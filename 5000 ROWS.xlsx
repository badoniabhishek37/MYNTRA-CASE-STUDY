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 cube tec practise sheet EXCEL\PROJECT MYNTRA DATA\"/>
    </mc:Choice>
  </mc:AlternateContent>
  <xr:revisionPtr revIDLastSave="0" documentId="13_ncr:1_{E88A171C-ABBF-4B9F-ADFA-C19732F235D2}" xr6:coauthVersionLast="47" xr6:coauthVersionMax="47" xr10:uidLastSave="{00000000-0000-0000-0000-000000000000}"/>
  <bookViews>
    <workbookView xWindow="-120" yWindow="-120" windowWidth="20730" windowHeight="11040" xr2:uid="{5DA85F3B-1ADE-4C43-AFA7-EDF2F7CB427A}"/>
  </bookViews>
  <sheets>
    <sheet name="Sheet1" sheetId="1" r:id="rId1"/>
  </sheets>
  <definedNames>
    <definedName name="_xlnm._FilterDatabase" localSheetId="0" hidden="1">Sheet1!$P$1:$R$5000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AH2" i="1" a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AB8" i="1"/>
  <c r="AB5" i="1"/>
  <c r="AB2" i="1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X2" i="1"/>
  <c r="Q4993" i="1" l="1"/>
  <c r="R4993" i="1" s="1"/>
  <c r="Q4985" i="1"/>
  <c r="R4985" i="1" s="1"/>
  <c r="Q4977" i="1"/>
  <c r="R4977" i="1" s="1"/>
  <c r="Q4969" i="1"/>
  <c r="R4969" i="1" s="1"/>
  <c r="Q4961" i="1"/>
  <c r="R4961" i="1" s="1"/>
  <c r="Q4953" i="1"/>
  <c r="R4953" i="1" s="1"/>
  <c r="Q4945" i="1"/>
  <c r="R4945" i="1" s="1"/>
  <c r="Q4937" i="1"/>
  <c r="R4937" i="1" s="1"/>
  <c r="Q4929" i="1"/>
  <c r="R4929" i="1" s="1"/>
  <c r="Q4921" i="1"/>
  <c r="R4921" i="1" s="1"/>
  <c r="Q4913" i="1"/>
  <c r="R4913" i="1" s="1"/>
  <c r="Q4905" i="1"/>
  <c r="R4905" i="1" s="1"/>
  <c r="Q4897" i="1"/>
  <c r="R4897" i="1" s="1"/>
  <c r="Q4889" i="1"/>
  <c r="R4889" i="1" s="1"/>
  <c r="Q4881" i="1"/>
  <c r="R4881" i="1" s="1"/>
  <c r="Q4873" i="1"/>
  <c r="R4873" i="1" s="1"/>
  <c r="Q4865" i="1"/>
  <c r="R4865" i="1" s="1"/>
  <c r="Q4857" i="1"/>
  <c r="R4857" i="1" s="1"/>
  <c r="Q4849" i="1"/>
  <c r="R4849" i="1" s="1"/>
  <c r="Q4841" i="1"/>
  <c r="R4841" i="1" s="1"/>
  <c r="Q4833" i="1"/>
  <c r="R4833" i="1" s="1"/>
  <c r="Q4825" i="1"/>
  <c r="R4825" i="1" s="1"/>
  <c r="Q4817" i="1"/>
  <c r="R4817" i="1" s="1"/>
  <c r="Q4809" i="1"/>
  <c r="R4809" i="1" s="1"/>
  <c r="R4801" i="1"/>
  <c r="Q4801" i="1"/>
  <c r="Q4793" i="1"/>
  <c r="R4793" i="1" s="1"/>
  <c r="Q4785" i="1"/>
  <c r="R4785" i="1" s="1"/>
  <c r="Q4777" i="1"/>
  <c r="R4777" i="1" s="1"/>
  <c r="Q4769" i="1"/>
  <c r="R4769" i="1" s="1"/>
  <c r="Q4761" i="1"/>
  <c r="R4761" i="1" s="1"/>
  <c r="Q4753" i="1"/>
  <c r="R4753" i="1" s="1"/>
  <c r="Q4745" i="1"/>
  <c r="R4745" i="1" s="1"/>
  <c r="Q4737" i="1"/>
  <c r="R4737" i="1" s="1"/>
  <c r="Q4729" i="1"/>
  <c r="R4729" i="1" s="1"/>
  <c r="Q4721" i="1"/>
  <c r="R4721" i="1" s="1"/>
  <c r="R4713" i="1"/>
  <c r="Q4713" i="1"/>
  <c r="Q4705" i="1"/>
  <c r="R4705" i="1" s="1"/>
  <c r="Q4697" i="1"/>
  <c r="R4697" i="1" s="1"/>
  <c r="Q4689" i="1"/>
  <c r="R4689" i="1" s="1"/>
  <c r="Q4681" i="1"/>
  <c r="R4681" i="1" s="1"/>
  <c r="Q4673" i="1"/>
  <c r="R4673" i="1" s="1"/>
  <c r="Q4665" i="1"/>
  <c r="R4665" i="1" s="1"/>
  <c r="Q4657" i="1"/>
  <c r="R4657" i="1" s="1"/>
  <c r="Q4649" i="1"/>
  <c r="R4649" i="1" s="1"/>
  <c r="Q4641" i="1"/>
  <c r="R4641" i="1" s="1"/>
  <c r="Q4633" i="1"/>
  <c r="R4633" i="1" s="1"/>
  <c r="Q4625" i="1"/>
  <c r="R4625" i="1" s="1"/>
  <c r="Q4617" i="1"/>
  <c r="R4617" i="1" s="1"/>
  <c r="Q4609" i="1"/>
  <c r="R4609" i="1" s="1"/>
  <c r="Q4601" i="1"/>
  <c r="R4601" i="1" s="1"/>
  <c r="Q4593" i="1"/>
  <c r="R4593" i="1" s="1"/>
  <c r="Q4585" i="1"/>
  <c r="R4585" i="1" s="1"/>
  <c r="Q4577" i="1"/>
  <c r="R4577" i="1" s="1"/>
  <c r="Q4569" i="1"/>
  <c r="R4569" i="1" s="1"/>
  <c r="Q4561" i="1"/>
  <c r="R4561" i="1" s="1"/>
  <c r="Q4553" i="1"/>
  <c r="R4553" i="1" s="1"/>
  <c r="Q4545" i="1"/>
  <c r="R4545" i="1" s="1"/>
  <c r="Q4537" i="1"/>
  <c r="R4537" i="1" s="1"/>
  <c r="Q4529" i="1"/>
  <c r="R4529" i="1" s="1"/>
  <c r="Q4521" i="1"/>
  <c r="R4521" i="1" s="1"/>
  <c r="Q4513" i="1"/>
  <c r="R4513" i="1" s="1"/>
  <c r="Q4505" i="1"/>
  <c r="R4505" i="1" s="1"/>
  <c r="Q4497" i="1"/>
  <c r="R4497" i="1" s="1"/>
  <c r="Q4489" i="1"/>
  <c r="R4489" i="1" s="1"/>
  <c r="Q4481" i="1"/>
  <c r="R4481" i="1" s="1"/>
  <c r="Q4473" i="1"/>
  <c r="R4473" i="1" s="1"/>
  <c r="Q4465" i="1"/>
  <c r="R4465" i="1" s="1"/>
  <c r="Q4457" i="1"/>
  <c r="R4457" i="1" s="1"/>
  <c r="Q4449" i="1"/>
  <c r="R4449" i="1" s="1"/>
  <c r="Q4441" i="1"/>
  <c r="R4441" i="1" s="1"/>
  <c r="Q4433" i="1"/>
  <c r="R4433" i="1" s="1"/>
  <c r="Q4425" i="1"/>
  <c r="R4425" i="1" s="1"/>
  <c r="Q4417" i="1"/>
  <c r="R4417" i="1" s="1"/>
  <c r="Q4409" i="1"/>
  <c r="R4409" i="1" s="1"/>
  <c r="Q4401" i="1"/>
  <c r="R4401" i="1" s="1"/>
  <c r="Q4393" i="1"/>
  <c r="R4393" i="1" s="1"/>
  <c r="Q4385" i="1"/>
  <c r="R4385" i="1" s="1"/>
  <c r="R4377" i="1"/>
  <c r="Q4377" i="1"/>
  <c r="Q4369" i="1"/>
  <c r="R4369" i="1" s="1"/>
  <c r="Q4361" i="1"/>
  <c r="R4361" i="1" s="1"/>
  <c r="R4353" i="1"/>
  <c r="Q4353" i="1"/>
  <c r="Q4345" i="1"/>
  <c r="R4345" i="1" s="1"/>
  <c r="Q4337" i="1"/>
  <c r="R4337" i="1" s="1"/>
  <c r="Q4329" i="1"/>
  <c r="R4329" i="1" s="1"/>
  <c r="Q4321" i="1"/>
  <c r="R4321" i="1" s="1"/>
  <c r="Q4313" i="1"/>
  <c r="R4313" i="1" s="1"/>
  <c r="Q4305" i="1"/>
  <c r="R4305" i="1" s="1"/>
  <c r="Q4297" i="1"/>
  <c r="R4297" i="1" s="1"/>
  <c r="Q4289" i="1"/>
  <c r="R4289" i="1" s="1"/>
  <c r="R4281" i="1"/>
  <c r="Q4281" i="1"/>
  <c r="Q4273" i="1"/>
  <c r="R4273" i="1" s="1"/>
  <c r="Q4265" i="1"/>
  <c r="R4265" i="1" s="1"/>
  <c r="Q4257" i="1"/>
  <c r="R4257" i="1" s="1"/>
  <c r="Q4249" i="1"/>
  <c r="R4249" i="1" s="1"/>
  <c r="Q4241" i="1"/>
  <c r="R4241" i="1" s="1"/>
  <c r="R4233" i="1"/>
  <c r="Q4233" i="1"/>
  <c r="Q4225" i="1"/>
  <c r="R4225" i="1" s="1"/>
  <c r="Q4217" i="1"/>
  <c r="R4217" i="1" s="1"/>
  <c r="Q4209" i="1"/>
  <c r="R4209" i="1" s="1"/>
  <c r="Q4201" i="1"/>
  <c r="R4201" i="1" s="1"/>
  <c r="Q4193" i="1"/>
  <c r="R4193" i="1" s="1"/>
  <c r="Q4185" i="1"/>
  <c r="R4185" i="1" s="1"/>
  <c r="Q4177" i="1"/>
  <c r="R4177" i="1" s="1"/>
  <c r="Q4169" i="1"/>
  <c r="R4169" i="1" s="1"/>
  <c r="Q4161" i="1"/>
  <c r="R4161" i="1" s="1"/>
  <c r="Q4153" i="1"/>
  <c r="R4153" i="1" s="1"/>
  <c r="R4145" i="1"/>
  <c r="Q4145" i="1"/>
  <c r="Q4137" i="1"/>
  <c r="R4137" i="1" s="1"/>
  <c r="Q4129" i="1"/>
  <c r="R4129" i="1" s="1"/>
  <c r="Q4121" i="1"/>
  <c r="R4121" i="1" s="1"/>
  <c r="Q4113" i="1"/>
  <c r="R4113" i="1" s="1"/>
  <c r="Q4105" i="1"/>
  <c r="R4105" i="1" s="1"/>
  <c r="R4097" i="1"/>
  <c r="Q4097" i="1"/>
  <c r="R4971" i="1"/>
  <c r="Q4971" i="1"/>
  <c r="R4986" i="1"/>
  <c r="Q4986" i="1"/>
  <c r="Q4946" i="1"/>
  <c r="R4946" i="1" s="1"/>
  <c r="Q4976" i="1"/>
  <c r="R4976" i="1" s="1"/>
  <c r="Q4952" i="1"/>
  <c r="R4952" i="1" s="1"/>
  <c r="Q4944" i="1"/>
  <c r="R4944" i="1" s="1"/>
  <c r="Q4936" i="1"/>
  <c r="R4936" i="1" s="1"/>
  <c r="R4928" i="1"/>
  <c r="Q4928" i="1"/>
  <c r="Q4912" i="1"/>
  <c r="R4912" i="1" s="1"/>
  <c r="Q4896" i="1"/>
  <c r="R4896" i="1" s="1"/>
  <c r="Q4880" i="1"/>
  <c r="R4880" i="1" s="1"/>
  <c r="Q4864" i="1"/>
  <c r="R4864" i="1" s="1"/>
  <c r="Q4840" i="1"/>
  <c r="R4840" i="1" s="1"/>
  <c r="Q4824" i="1"/>
  <c r="R4824" i="1" s="1"/>
  <c r="Q4808" i="1"/>
  <c r="R4808" i="1" s="1"/>
  <c r="Q4792" i="1"/>
  <c r="R4792" i="1" s="1"/>
  <c r="Q4776" i="1"/>
  <c r="R4776" i="1" s="1"/>
  <c r="Q4768" i="1"/>
  <c r="R4768" i="1" s="1"/>
  <c r="Q4752" i="1"/>
  <c r="R4752" i="1" s="1"/>
  <c r="Q4744" i="1"/>
  <c r="R4744" i="1" s="1"/>
  <c r="Q4736" i="1"/>
  <c r="R4736" i="1" s="1"/>
  <c r="Q4728" i="1"/>
  <c r="R4728" i="1" s="1"/>
  <c r="Q4720" i="1"/>
  <c r="R4720" i="1" s="1"/>
  <c r="Q4712" i="1"/>
  <c r="R4712" i="1" s="1"/>
  <c r="Q4704" i="1"/>
  <c r="R4704" i="1" s="1"/>
  <c r="Q4696" i="1"/>
  <c r="R4696" i="1" s="1"/>
  <c r="Q4688" i="1"/>
  <c r="R4688" i="1" s="1"/>
  <c r="Q4680" i="1"/>
  <c r="R4680" i="1" s="1"/>
  <c r="Q4672" i="1"/>
  <c r="R4672" i="1" s="1"/>
  <c r="Q4664" i="1"/>
  <c r="R4664" i="1" s="1"/>
  <c r="Q4656" i="1"/>
  <c r="R4656" i="1" s="1"/>
  <c r="Q4648" i="1"/>
  <c r="R4648" i="1" s="1"/>
  <c r="Q4640" i="1"/>
  <c r="R4640" i="1" s="1"/>
  <c r="Q4632" i="1"/>
  <c r="R4632" i="1" s="1"/>
  <c r="Q4624" i="1"/>
  <c r="R4624" i="1" s="1"/>
  <c r="Q4616" i="1"/>
  <c r="R4616" i="1" s="1"/>
  <c r="Q4608" i="1"/>
  <c r="R4608" i="1" s="1"/>
  <c r="Q4600" i="1"/>
  <c r="R4600" i="1" s="1"/>
  <c r="Q4592" i="1"/>
  <c r="R4592" i="1" s="1"/>
  <c r="Q4584" i="1"/>
  <c r="R4584" i="1" s="1"/>
  <c r="Q4576" i="1"/>
  <c r="R4576" i="1" s="1"/>
  <c r="Q4568" i="1"/>
  <c r="R4568" i="1" s="1"/>
  <c r="Q4560" i="1"/>
  <c r="R4560" i="1" s="1"/>
  <c r="Q4552" i="1"/>
  <c r="R4552" i="1" s="1"/>
  <c r="Q4544" i="1"/>
  <c r="R4544" i="1" s="1"/>
  <c r="Q4536" i="1"/>
  <c r="R4536" i="1" s="1"/>
  <c r="Q4528" i="1"/>
  <c r="R4528" i="1" s="1"/>
  <c r="R4520" i="1"/>
  <c r="Q4520" i="1"/>
  <c r="Q4512" i="1"/>
  <c r="R4512" i="1" s="1"/>
  <c r="Q4504" i="1"/>
  <c r="R4504" i="1" s="1"/>
  <c r="Q4496" i="1"/>
  <c r="R4496" i="1" s="1"/>
  <c r="Q4488" i="1"/>
  <c r="R4488" i="1" s="1"/>
  <c r="Q4480" i="1"/>
  <c r="R4480" i="1" s="1"/>
  <c r="R4472" i="1"/>
  <c r="Q4472" i="1"/>
  <c r="Q4464" i="1"/>
  <c r="R4464" i="1" s="1"/>
  <c r="R4456" i="1"/>
  <c r="Q4456" i="1"/>
  <c r="Q4448" i="1"/>
  <c r="R4448" i="1" s="1"/>
  <c r="Q4440" i="1"/>
  <c r="R4440" i="1" s="1"/>
  <c r="Q4432" i="1"/>
  <c r="R4432" i="1" s="1"/>
  <c r="R4424" i="1"/>
  <c r="Q4424" i="1"/>
  <c r="Q4416" i="1"/>
  <c r="R4416" i="1" s="1"/>
  <c r="Q4408" i="1"/>
  <c r="R4408" i="1" s="1"/>
  <c r="R4400" i="1"/>
  <c r="Q4400" i="1"/>
  <c r="R4392" i="1"/>
  <c r="Q4392" i="1"/>
  <c r="R4384" i="1"/>
  <c r="Q4384" i="1"/>
  <c r="Q4376" i="1"/>
  <c r="R4376" i="1" s="1"/>
  <c r="Q4368" i="1"/>
  <c r="R4368" i="1" s="1"/>
  <c r="Q4360" i="1"/>
  <c r="R4360" i="1" s="1"/>
  <c r="Q4352" i="1"/>
  <c r="R4352" i="1" s="1"/>
  <c r="Q4344" i="1"/>
  <c r="R4344" i="1" s="1"/>
  <c r="Q4336" i="1"/>
  <c r="R4336" i="1" s="1"/>
  <c r="Q4328" i="1"/>
  <c r="R4328" i="1" s="1"/>
  <c r="Q4320" i="1"/>
  <c r="R4320" i="1" s="1"/>
  <c r="Q4312" i="1"/>
  <c r="R4312" i="1" s="1"/>
  <c r="Q4304" i="1"/>
  <c r="R4304" i="1" s="1"/>
  <c r="Q4296" i="1"/>
  <c r="R4296" i="1" s="1"/>
  <c r="Q4288" i="1"/>
  <c r="R4288" i="1" s="1"/>
  <c r="Q4280" i="1"/>
  <c r="R4280" i="1" s="1"/>
  <c r="R4272" i="1"/>
  <c r="Q4272" i="1"/>
  <c r="Q4264" i="1"/>
  <c r="R4264" i="1" s="1"/>
  <c r="Q4256" i="1"/>
  <c r="R4256" i="1" s="1"/>
  <c r="Q4248" i="1"/>
  <c r="R4248" i="1" s="1"/>
  <c r="Q4240" i="1"/>
  <c r="R4240" i="1" s="1"/>
  <c r="R4232" i="1"/>
  <c r="Q4232" i="1"/>
  <c r="Q4224" i="1"/>
  <c r="R4224" i="1" s="1"/>
  <c r="Q4216" i="1"/>
  <c r="R4216" i="1" s="1"/>
  <c r="Q4208" i="1"/>
  <c r="R4208" i="1" s="1"/>
  <c r="Q4200" i="1"/>
  <c r="R4200" i="1" s="1"/>
  <c r="Q4192" i="1"/>
  <c r="R4192" i="1" s="1"/>
  <c r="Q4184" i="1"/>
  <c r="R4184" i="1" s="1"/>
  <c r="Q4176" i="1"/>
  <c r="R4176" i="1" s="1"/>
  <c r="Q4168" i="1"/>
  <c r="R4168" i="1" s="1"/>
  <c r="Q4160" i="1"/>
  <c r="R4160" i="1" s="1"/>
  <c r="Q4152" i="1"/>
  <c r="R4152" i="1" s="1"/>
  <c r="R4144" i="1"/>
  <c r="Q4144" i="1"/>
  <c r="Q4136" i="1"/>
  <c r="R4136" i="1" s="1"/>
  <c r="Q4128" i="1"/>
  <c r="R4128" i="1" s="1"/>
  <c r="R4120" i="1"/>
  <c r="Q4120" i="1"/>
  <c r="Q4112" i="1"/>
  <c r="R4112" i="1" s="1"/>
  <c r="Q4104" i="1"/>
  <c r="R4104" i="1" s="1"/>
  <c r="Q4096" i="1"/>
  <c r="R4096" i="1" s="1"/>
  <c r="Q4088" i="1"/>
  <c r="R4088" i="1" s="1"/>
  <c r="Q4080" i="1"/>
  <c r="R4080" i="1" s="1"/>
  <c r="R4072" i="1"/>
  <c r="Q4072" i="1"/>
  <c r="Q4064" i="1"/>
  <c r="R4064" i="1" s="1"/>
  <c r="Q4056" i="1"/>
  <c r="R4056" i="1" s="1"/>
  <c r="Q4048" i="1"/>
  <c r="R4048" i="1" s="1"/>
  <c r="Q4040" i="1"/>
  <c r="R4040" i="1" s="1"/>
  <c r="Q4032" i="1"/>
  <c r="R4032" i="1" s="1"/>
  <c r="Q4024" i="1"/>
  <c r="R4024" i="1" s="1"/>
  <c r="R4016" i="1"/>
  <c r="Q4016" i="1"/>
  <c r="Q4008" i="1"/>
  <c r="R4008" i="1" s="1"/>
  <c r="Q4000" i="1"/>
  <c r="R4000" i="1" s="1"/>
  <c r="Q3992" i="1"/>
  <c r="R3992" i="1" s="1"/>
  <c r="Q3984" i="1"/>
  <c r="R3984" i="1" s="1"/>
  <c r="Q3976" i="1"/>
  <c r="R3976" i="1" s="1"/>
  <c r="Q3968" i="1"/>
  <c r="R3968" i="1" s="1"/>
  <c r="Q3960" i="1"/>
  <c r="R3960" i="1" s="1"/>
  <c r="Q3952" i="1"/>
  <c r="R3952" i="1" s="1"/>
  <c r="Q3944" i="1"/>
  <c r="R3944" i="1" s="1"/>
  <c r="Q3936" i="1"/>
  <c r="R3936" i="1" s="1"/>
  <c r="Q3928" i="1"/>
  <c r="R3928" i="1" s="1"/>
  <c r="Q3920" i="1"/>
  <c r="R3920" i="1" s="1"/>
  <c r="Q3912" i="1"/>
  <c r="R3912" i="1" s="1"/>
  <c r="Q3904" i="1"/>
  <c r="R3904" i="1" s="1"/>
  <c r="Q3896" i="1"/>
  <c r="R3896" i="1" s="1"/>
  <c r="Q3888" i="1"/>
  <c r="R3888" i="1" s="1"/>
  <c r="Q3880" i="1"/>
  <c r="R3880" i="1" s="1"/>
  <c r="Q3872" i="1"/>
  <c r="R3872" i="1" s="1"/>
  <c r="Q4920" i="1"/>
  <c r="R4920" i="1" s="1"/>
  <c r="Q4904" i="1"/>
  <c r="R4904" i="1" s="1"/>
  <c r="Q4888" i="1"/>
  <c r="R4888" i="1" s="1"/>
  <c r="R4872" i="1"/>
  <c r="Q4872" i="1"/>
  <c r="Q4856" i="1"/>
  <c r="R4856" i="1" s="1"/>
  <c r="Q4848" i="1"/>
  <c r="R4848" i="1" s="1"/>
  <c r="R4832" i="1"/>
  <c r="Q4832" i="1"/>
  <c r="Q4816" i="1"/>
  <c r="R4816" i="1" s="1"/>
  <c r="R4800" i="1"/>
  <c r="Q4800" i="1"/>
  <c r="Q4784" i="1"/>
  <c r="R4784" i="1" s="1"/>
  <c r="Q4760" i="1"/>
  <c r="R4760" i="1" s="1"/>
  <c r="R4999" i="1"/>
  <c r="Q4999" i="1"/>
  <c r="Q4991" i="1"/>
  <c r="R4991" i="1" s="1"/>
  <c r="R4983" i="1"/>
  <c r="Q4983" i="1"/>
  <c r="Q4975" i="1"/>
  <c r="R4975" i="1" s="1"/>
  <c r="Q4967" i="1"/>
  <c r="R4967" i="1" s="1"/>
  <c r="Q4959" i="1"/>
  <c r="R4959" i="1" s="1"/>
  <c r="Q4951" i="1"/>
  <c r="R4951" i="1" s="1"/>
  <c r="Q4943" i="1"/>
  <c r="R4943" i="1" s="1"/>
  <c r="Q4935" i="1"/>
  <c r="R4935" i="1" s="1"/>
  <c r="Q4927" i="1"/>
  <c r="R4927" i="1" s="1"/>
  <c r="Q4919" i="1"/>
  <c r="R4919" i="1" s="1"/>
  <c r="Q4911" i="1"/>
  <c r="R4911" i="1" s="1"/>
  <c r="Q4903" i="1"/>
  <c r="R4903" i="1" s="1"/>
  <c r="Q4895" i="1"/>
  <c r="R4895" i="1" s="1"/>
  <c r="Q4887" i="1"/>
  <c r="R4887" i="1" s="1"/>
  <c r="Q4879" i="1"/>
  <c r="R4879" i="1" s="1"/>
  <c r="Q4871" i="1"/>
  <c r="R4871" i="1" s="1"/>
  <c r="Q4863" i="1"/>
  <c r="R4863" i="1" s="1"/>
  <c r="Q4855" i="1"/>
  <c r="R4855" i="1" s="1"/>
  <c r="Q4847" i="1"/>
  <c r="R4847" i="1" s="1"/>
  <c r="Q4839" i="1"/>
  <c r="R4839" i="1" s="1"/>
  <c r="R4831" i="1"/>
  <c r="Q4831" i="1"/>
  <c r="Q4823" i="1"/>
  <c r="R4823" i="1" s="1"/>
  <c r="Q4815" i="1"/>
  <c r="R4815" i="1" s="1"/>
  <c r="Q4807" i="1"/>
  <c r="R4807" i="1" s="1"/>
  <c r="Q4799" i="1"/>
  <c r="R4799" i="1" s="1"/>
  <c r="Q4791" i="1"/>
  <c r="R4791" i="1" s="1"/>
  <c r="Q4783" i="1"/>
  <c r="R4783" i="1" s="1"/>
  <c r="Q4775" i="1"/>
  <c r="R4775" i="1" s="1"/>
  <c r="Q4767" i="1"/>
  <c r="R4767" i="1" s="1"/>
  <c r="Q4759" i="1"/>
  <c r="R4759" i="1" s="1"/>
  <c r="Q4751" i="1"/>
  <c r="R4751" i="1" s="1"/>
  <c r="R4743" i="1"/>
  <c r="Q4743" i="1"/>
  <c r="Q4735" i="1"/>
  <c r="R4735" i="1" s="1"/>
  <c r="Q4727" i="1"/>
  <c r="R4727" i="1" s="1"/>
  <c r="Q4719" i="1"/>
  <c r="R4719" i="1" s="1"/>
  <c r="Q4711" i="1"/>
  <c r="R4711" i="1" s="1"/>
  <c r="Q4703" i="1"/>
  <c r="R4703" i="1" s="1"/>
  <c r="Q4695" i="1"/>
  <c r="R4695" i="1" s="1"/>
  <c r="Q4687" i="1"/>
  <c r="R4687" i="1" s="1"/>
  <c r="Q4679" i="1"/>
  <c r="R4679" i="1" s="1"/>
  <c r="Q4671" i="1"/>
  <c r="R4671" i="1" s="1"/>
  <c r="Q4663" i="1"/>
  <c r="R4663" i="1" s="1"/>
  <c r="Q4655" i="1"/>
  <c r="R4655" i="1" s="1"/>
  <c r="Q4647" i="1"/>
  <c r="R4647" i="1" s="1"/>
  <c r="Q4639" i="1"/>
  <c r="R4639" i="1" s="1"/>
  <c r="Q4631" i="1"/>
  <c r="R4631" i="1" s="1"/>
  <c r="Q4623" i="1"/>
  <c r="R4623" i="1" s="1"/>
  <c r="Q4615" i="1"/>
  <c r="R4615" i="1" s="1"/>
  <c r="Q4607" i="1"/>
  <c r="R4607" i="1" s="1"/>
  <c r="Q4599" i="1"/>
  <c r="R4599" i="1" s="1"/>
  <c r="Q4591" i="1"/>
  <c r="R4591" i="1" s="1"/>
  <c r="Q4583" i="1"/>
  <c r="R4583" i="1" s="1"/>
  <c r="Q4575" i="1"/>
  <c r="R4575" i="1" s="1"/>
  <c r="Q4567" i="1"/>
  <c r="R4567" i="1" s="1"/>
  <c r="Q4559" i="1"/>
  <c r="R4559" i="1" s="1"/>
  <c r="R4551" i="1"/>
  <c r="Q4551" i="1"/>
  <c r="Q4543" i="1"/>
  <c r="R4543" i="1" s="1"/>
  <c r="R4535" i="1"/>
  <c r="Q4535" i="1"/>
  <c r="Q4527" i="1"/>
  <c r="R4527" i="1" s="1"/>
  <c r="Q4519" i="1"/>
  <c r="R4519" i="1" s="1"/>
  <c r="Q4511" i="1"/>
  <c r="R4511" i="1" s="1"/>
  <c r="Q4503" i="1"/>
  <c r="R4503" i="1" s="1"/>
  <c r="Q4495" i="1"/>
  <c r="R4495" i="1" s="1"/>
  <c r="Q4487" i="1"/>
  <c r="R4487" i="1" s="1"/>
  <c r="Q4479" i="1"/>
  <c r="R4479" i="1" s="1"/>
  <c r="Q4471" i="1"/>
  <c r="R4471" i="1" s="1"/>
  <c r="Q4463" i="1"/>
  <c r="R4463" i="1" s="1"/>
  <c r="R4455" i="1"/>
  <c r="Q4455" i="1"/>
  <c r="R4447" i="1"/>
  <c r="Q4447" i="1"/>
  <c r="Q4439" i="1"/>
  <c r="R4439" i="1" s="1"/>
  <c r="Q4431" i="1"/>
  <c r="R4431" i="1" s="1"/>
  <c r="R4423" i="1"/>
  <c r="Q4423" i="1"/>
  <c r="Q4415" i="1"/>
  <c r="R4415" i="1" s="1"/>
  <c r="Q4407" i="1"/>
  <c r="R4407" i="1" s="1"/>
  <c r="R4399" i="1"/>
  <c r="Q4399" i="1"/>
  <c r="Q4391" i="1"/>
  <c r="R4391" i="1" s="1"/>
  <c r="Q4383" i="1"/>
  <c r="R4383" i="1" s="1"/>
  <c r="Q4375" i="1"/>
  <c r="R4375" i="1" s="1"/>
  <c r="Q4367" i="1"/>
  <c r="R4367" i="1" s="1"/>
  <c r="Q4359" i="1"/>
  <c r="R4359" i="1" s="1"/>
  <c r="Q4351" i="1"/>
  <c r="R4351" i="1" s="1"/>
  <c r="Q4343" i="1"/>
  <c r="R4343" i="1" s="1"/>
  <c r="Q4335" i="1"/>
  <c r="R4335" i="1" s="1"/>
  <c r="Q4327" i="1"/>
  <c r="R4327" i="1" s="1"/>
  <c r="Q4319" i="1"/>
  <c r="R4319" i="1" s="1"/>
  <c r="Q4311" i="1"/>
  <c r="R4311" i="1" s="1"/>
  <c r="R4303" i="1"/>
  <c r="Q4303" i="1"/>
  <c r="Q4295" i="1"/>
  <c r="R4295" i="1" s="1"/>
  <c r="Q4287" i="1"/>
  <c r="R4287" i="1" s="1"/>
  <c r="Q4279" i="1"/>
  <c r="R4279" i="1" s="1"/>
  <c r="Q4271" i="1"/>
  <c r="R4271" i="1" s="1"/>
  <c r="Q4263" i="1"/>
  <c r="R4263" i="1" s="1"/>
  <c r="R4255" i="1"/>
  <c r="Q4255" i="1"/>
  <c r="Q4247" i="1"/>
  <c r="R4247" i="1" s="1"/>
  <c r="Q4239" i="1"/>
  <c r="R4239" i="1" s="1"/>
  <c r="Q4231" i="1"/>
  <c r="R4231" i="1" s="1"/>
  <c r="Q4223" i="1"/>
  <c r="R4223" i="1" s="1"/>
  <c r="Q4215" i="1"/>
  <c r="R4215" i="1" s="1"/>
  <c r="Q4207" i="1"/>
  <c r="R4207" i="1" s="1"/>
  <c r="R4199" i="1"/>
  <c r="Q4199" i="1"/>
  <c r="Q4191" i="1"/>
  <c r="R4191" i="1" s="1"/>
  <c r="Q4183" i="1"/>
  <c r="R4183" i="1" s="1"/>
  <c r="Q4175" i="1"/>
  <c r="R4175" i="1" s="1"/>
  <c r="Q4167" i="1"/>
  <c r="R4167" i="1" s="1"/>
  <c r="Q4159" i="1"/>
  <c r="R4159" i="1" s="1"/>
  <c r="Q4151" i="1"/>
  <c r="R4151" i="1" s="1"/>
  <c r="Q4143" i="1"/>
  <c r="R4143" i="1" s="1"/>
  <c r="Q4135" i="1"/>
  <c r="R4135" i="1" s="1"/>
  <c r="Q4127" i="1"/>
  <c r="R4127" i="1" s="1"/>
  <c r="Q4119" i="1"/>
  <c r="R4119" i="1" s="1"/>
  <c r="Q4111" i="1"/>
  <c r="R4111" i="1" s="1"/>
  <c r="Q4103" i="1"/>
  <c r="R4103" i="1" s="1"/>
  <c r="Q4095" i="1"/>
  <c r="R4095" i="1" s="1"/>
  <c r="Q4087" i="1"/>
  <c r="R4087" i="1" s="1"/>
  <c r="Q4979" i="1"/>
  <c r="R4979" i="1" s="1"/>
  <c r="Q4939" i="1"/>
  <c r="R4939" i="1" s="1"/>
  <c r="Q4954" i="1"/>
  <c r="R4954" i="1" s="1"/>
  <c r="Q4984" i="1"/>
  <c r="R4984" i="1" s="1"/>
  <c r="Q4998" i="1"/>
  <c r="R4998" i="1" s="1"/>
  <c r="Q4974" i="1"/>
  <c r="R4974" i="1" s="1"/>
  <c r="R4958" i="1"/>
  <c r="Q4958" i="1"/>
  <c r="Q4950" i="1"/>
  <c r="R4950" i="1" s="1"/>
  <c r="R4942" i="1"/>
  <c r="Q4942" i="1"/>
  <c r="Q4934" i="1"/>
  <c r="R4934" i="1" s="1"/>
  <c r="Q4926" i="1"/>
  <c r="R4926" i="1" s="1"/>
  <c r="Q4918" i="1"/>
  <c r="R4918" i="1" s="1"/>
  <c r="Q4910" i="1"/>
  <c r="R4910" i="1" s="1"/>
  <c r="Q4902" i="1"/>
  <c r="R4902" i="1" s="1"/>
  <c r="Q4894" i="1"/>
  <c r="R4894" i="1" s="1"/>
  <c r="R4886" i="1"/>
  <c r="Q4886" i="1"/>
  <c r="Q4878" i="1"/>
  <c r="R4878" i="1" s="1"/>
  <c r="Q4870" i="1"/>
  <c r="R4870" i="1" s="1"/>
  <c r="Q4862" i="1"/>
  <c r="R4862" i="1" s="1"/>
  <c r="Q4854" i="1"/>
  <c r="R4854" i="1" s="1"/>
  <c r="Q4846" i="1"/>
  <c r="R4846" i="1" s="1"/>
  <c r="Q4838" i="1"/>
  <c r="R4838" i="1" s="1"/>
  <c r="Q4830" i="1"/>
  <c r="R4830" i="1" s="1"/>
  <c r="Q4822" i="1"/>
  <c r="R4822" i="1" s="1"/>
  <c r="Q4814" i="1"/>
  <c r="R4814" i="1" s="1"/>
  <c r="Q4806" i="1"/>
  <c r="R4806" i="1" s="1"/>
  <c r="Q4798" i="1"/>
  <c r="R4798" i="1" s="1"/>
  <c r="Q4790" i="1"/>
  <c r="R4790" i="1" s="1"/>
  <c r="Q4782" i="1"/>
  <c r="R4782" i="1" s="1"/>
  <c r="Q4774" i="1"/>
  <c r="R4774" i="1" s="1"/>
  <c r="R4766" i="1"/>
  <c r="Q4766" i="1"/>
  <c r="Q4758" i="1"/>
  <c r="R4758" i="1" s="1"/>
  <c r="Q4750" i="1"/>
  <c r="R4750" i="1" s="1"/>
  <c r="R4742" i="1"/>
  <c r="Q4742" i="1"/>
  <c r="Q4734" i="1"/>
  <c r="R4734" i="1" s="1"/>
  <c r="Q4726" i="1"/>
  <c r="R4726" i="1" s="1"/>
  <c r="Q4718" i="1"/>
  <c r="R4718" i="1" s="1"/>
  <c r="Q4710" i="1"/>
  <c r="R4710" i="1" s="1"/>
  <c r="Q4702" i="1"/>
  <c r="R4702" i="1" s="1"/>
  <c r="Q4694" i="1"/>
  <c r="R4694" i="1" s="1"/>
  <c r="Q4686" i="1"/>
  <c r="R4686" i="1" s="1"/>
  <c r="Q4678" i="1"/>
  <c r="R4678" i="1" s="1"/>
  <c r="Q4670" i="1"/>
  <c r="R4670" i="1" s="1"/>
  <c r="Q4662" i="1"/>
  <c r="R4662" i="1" s="1"/>
  <c r="Q4654" i="1"/>
  <c r="R4654" i="1" s="1"/>
  <c r="Q4646" i="1"/>
  <c r="R4646" i="1" s="1"/>
  <c r="Q4638" i="1"/>
  <c r="R4638" i="1" s="1"/>
  <c r="Q4630" i="1"/>
  <c r="R4630" i="1" s="1"/>
  <c r="Q4622" i="1"/>
  <c r="R4622" i="1" s="1"/>
  <c r="Q4614" i="1"/>
  <c r="R4614" i="1" s="1"/>
  <c r="Q4606" i="1"/>
  <c r="R4606" i="1" s="1"/>
  <c r="Q4598" i="1"/>
  <c r="R4598" i="1" s="1"/>
  <c r="R4590" i="1"/>
  <c r="Q4590" i="1"/>
  <c r="Q4582" i="1"/>
  <c r="R4582" i="1" s="1"/>
  <c r="R4574" i="1"/>
  <c r="Q4574" i="1"/>
  <c r="Q4566" i="1"/>
  <c r="R4566" i="1" s="1"/>
  <c r="Q4558" i="1"/>
  <c r="R4558" i="1" s="1"/>
  <c r="Q4550" i="1"/>
  <c r="R4550" i="1" s="1"/>
  <c r="Q4542" i="1"/>
  <c r="R4542" i="1" s="1"/>
  <c r="Q4534" i="1"/>
  <c r="R4534" i="1" s="1"/>
  <c r="Q4526" i="1"/>
  <c r="R4526" i="1" s="1"/>
  <c r="Q4518" i="1"/>
  <c r="R4518" i="1" s="1"/>
  <c r="Q4510" i="1"/>
  <c r="R4510" i="1" s="1"/>
  <c r="Q4502" i="1"/>
  <c r="R4502" i="1" s="1"/>
  <c r="R4494" i="1"/>
  <c r="Q4494" i="1"/>
  <c r="Q4486" i="1"/>
  <c r="R4486" i="1" s="1"/>
  <c r="Q4478" i="1"/>
  <c r="R4478" i="1" s="1"/>
  <c r="Q4470" i="1"/>
  <c r="R4470" i="1" s="1"/>
  <c r="Q4462" i="1"/>
  <c r="R4462" i="1" s="1"/>
  <c r="R4454" i="1"/>
  <c r="Q4454" i="1"/>
  <c r="Q4446" i="1"/>
  <c r="R4446" i="1" s="1"/>
  <c r="Q4438" i="1"/>
  <c r="R4438" i="1" s="1"/>
  <c r="Q4430" i="1"/>
  <c r="R4430" i="1" s="1"/>
  <c r="Q4422" i="1"/>
  <c r="R4422" i="1" s="1"/>
  <c r="R4414" i="1"/>
  <c r="Q4414" i="1"/>
  <c r="Q4406" i="1"/>
  <c r="R4406" i="1" s="1"/>
  <c r="R4398" i="1"/>
  <c r="Q4398" i="1"/>
  <c r="Q4390" i="1"/>
  <c r="R4390" i="1" s="1"/>
  <c r="Q4382" i="1"/>
  <c r="R4382" i="1" s="1"/>
  <c r="Q4374" i="1"/>
  <c r="R4374" i="1" s="1"/>
  <c r="Q4366" i="1"/>
  <c r="R4366" i="1" s="1"/>
  <c r="R4358" i="1"/>
  <c r="Q4358" i="1"/>
  <c r="Q4350" i="1"/>
  <c r="R4350" i="1" s="1"/>
  <c r="Q4342" i="1"/>
  <c r="R4342" i="1" s="1"/>
  <c r="R4334" i="1"/>
  <c r="Q4334" i="1"/>
  <c r="Q4326" i="1"/>
  <c r="R4326" i="1" s="1"/>
  <c r="Q4318" i="1"/>
  <c r="R4318" i="1" s="1"/>
  <c r="R4310" i="1"/>
  <c r="Q4310" i="1"/>
  <c r="R4302" i="1"/>
  <c r="Q4302" i="1"/>
  <c r="Q4294" i="1"/>
  <c r="R4294" i="1" s="1"/>
  <c r="Q4286" i="1"/>
  <c r="R4286" i="1" s="1"/>
  <c r="Q4278" i="1"/>
  <c r="R4278" i="1" s="1"/>
  <c r="Q4270" i="1"/>
  <c r="R4270" i="1" s="1"/>
  <c r="Q4262" i="1"/>
  <c r="R4262" i="1" s="1"/>
  <c r="Q4254" i="1"/>
  <c r="R4254" i="1" s="1"/>
  <c r="Q4246" i="1"/>
  <c r="R4246" i="1" s="1"/>
  <c r="Q4238" i="1"/>
  <c r="R4238" i="1" s="1"/>
  <c r="Q4230" i="1"/>
  <c r="R4230" i="1" s="1"/>
  <c r="Q4222" i="1"/>
  <c r="R4222" i="1" s="1"/>
  <c r="Q4214" i="1"/>
  <c r="R4214" i="1" s="1"/>
  <c r="Q4206" i="1"/>
  <c r="R4206" i="1" s="1"/>
  <c r="Q4198" i="1"/>
  <c r="R4198" i="1" s="1"/>
  <c r="Q4190" i="1"/>
  <c r="R4190" i="1" s="1"/>
  <c r="Q4182" i="1"/>
  <c r="R4182" i="1" s="1"/>
  <c r="Q4174" i="1"/>
  <c r="R4174" i="1" s="1"/>
  <c r="Q4166" i="1"/>
  <c r="R4166" i="1" s="1"/>
  <c r="Q4158" i="1"/>
  <c r="R4158" i="1" s="1"/>
  <c r="Q4150" i="1"/>
  <c r="R4150" i="1" s="1"/>
  <c r="Q4142" i="1"/>
  <c r="R4142" i="1" s="1"/>
  <c r="Q4134" i="1"/>
  <c r="R4134" i="1" s="1"/>
  <c r="Q4126" i="1"/>
  <c r="R4126" i="1" s="1"/>
  <c r="Q4118" i="1"/>
  <c r="R4118" i="1" s="1"/>
  <c r="Q4110" i="1"/>
  <c r="R4110" i="1" s="1"/>
  <c r="Q4102" i="1"/>
  <c r="R4102" i="1" s="1"/>
  <c r="Q4094" i="1"/>
  <c r="R4094" i="1" s="1"/>
  <c r="Q4086" i="1"/>
  <c r="R4086" i="1" s="1"/>
  <c r="Q4078" i="1"/>
  <c r="R4078" i="1" s="1"/>
  <c r="Q4070" i="1"/>
  <c r="R4070" i="1" s="1"/>
  <c r="Q4062" i="1"/>
  <c r="R4062" i="1" s="1"/>
  <c r="Q4054" i="1"/>
  <c r="R4054" i="1" s="1"/>
  <c r="Q4046" i="1"/>
  <c r="R4046" i="1" s="1"/>
  <c r="Q4038" i="1"/>
  <c r="R4038" i="1" s="1"/>
  <c r="Q4987" i="1"/>
  <c r="R4987" i="1" s="1"/>
  <c r="Q4931" i="1"/>
  <c r="R4931" i="1" s="1"/>
  <c r="Q4970" i="1"/>
  <c r="R4970" i="1" s="1"/>
  <c r="Q4992" i="1"/>
  <c r="R4992" i="1" s="1"/>
  <c r="Q4960" i="1"/>
  <c r="R4960" i="1" s="1"/>
  <c r="Q4982" i="1"/>
  <c r="R4982" i="1" s="1"/>
  <c r="Q4997" i="1"/>
  <c r="R4997" i="1" s="1"/>
  <c r="Q4981" i="1"/>
  <c r="R4981" i="1" s="1"/>
  <c r="Q4965" i="1"/>
  <c r="R4965" i="1" s="1"/>
  <c r="Q4949" i="1"/>
  <c r="R4949" i="1" s="1"/>
  <c r="Q4941" i="1"/>
  <c r="R4941" i="1" s="1"/>
  <c r="Q4933" i="1"/>
  <c r="R4933" i="1" s="1"/>
  <c r="Q4925" i="1"/>
  <c r="R4925" i="1" s="1"/>
  <c r="Q4917" i="1"/>
  <c r="R4917" i="1" s="1"/>
  <c r="Q4909" i="1"/>
  <c r="R4909" i="1" s="1"/>
  <c r="Q4901" i="1"/>
  <c r="R4901" i="1" s="1"/>
  <c r="Q4893" i="1"/>
  <c r="R4893" i="1" s="1"/>
  <c r="Q4885" i="1"/>
  <c r="R4885" i="1" s="1"/>
  <c r="Q4877" i="1"/>
  <c r="R4877" i="1" s="1"/>
  <c r="Q4869" i="1"/>
  <c r="R4869" i="1" s="1"/>
  <c r="Q4861" i="1"/>
  <c r="R4861" i="1" s="1"/>
  <c r="Q4853" i="1"/>
  <c r="R4853" i="1" s="1"/>
  <c r="Q4845" i="1"/>
  <c r="R4845" i="1" s="1"/>
  <c r="Q4837" i="1"/>
  <c r="R4837" i="1" s="1"/>
  <c r="Q4829" i="1"/>
  <c r="R4829" i="1" s="1"/>
  <c r="Q4821" i="1"/>
  <c r="R4821" i="1" s="1"/>
  <c r="Q4813" i="1"/>
  <c r="R4813" i="1" s="1"/>
  <c r="Q4805" i="1"/>
  <c r="R4805" i="1" s="1"/>
  <c r="Q4797" i="1"/>
  <c r="R4797" i="1" s="1"/>
  <c r="Q4789" i="1"/>
  <c r="R4789" i="1" s="1"/>
  <c r="Q4781" i="1"/>
  <c r="R4781" i="1" s="1"/>
  <c r="Q4773" i="1"/>
  <c r="R4773" i="1" s="1"/>
  <c r="R4765" i="1"/>
  <c r="Q4765" i="1"/>
  <c r="Q4757" i="1"/>
  <c r="R4757" i="1" s="1"/>
  <c r="Q4749" i="1"/>
  <c r="R4749" i="1" s="1"/>
  <c r="Q4741" i="1"/>
  <c r="R4741" i="1" s="1"/>
  <c r="R4733" i="1"/>
  <c r="Q4733" i="1"/>
  <c r="Q4725" i="1"/>
  <c r="R4725" i="1" s="1"/>
  <c r="Q4717" i="1"/>
  <c r="R4717" i="1" s="1"/>
  <c r="Q4709" i="1"/>
  <c r="R4709" i="1" s="1"/>
  <c r="Q4701" i="1"/>
  <c r="R4701" i="1" s="1"/>
  <c r="Q4693" i="1"/>
  <c r="R4693" i="1" s="1"/>
  <c r="Q4685" i="1"/>
  <c r="R4685" i="1" s="1"/>
  <c r="Q4677" i="1"/>
  <c r="R4677" i="1" s="1"/>
  <c r="Q4669" i="1"/>
  <c r="R4669" i="1" s="1"/>
  <c r="Q4661" i="1"/>
  <c r="R4661" i="1" s="1"/>
  <c r="Q4653" i="1"/>
  <c r="R4653" i="1" s="1"/>
  <c r="Q4645" i="1"/>
  <c r="R4645" i="1" s="1"/>
  <c r="Q4637" i="1"/>
  <c r="R4637" i="1" s="1"/>
  <c r="Q4629" i="1"/>
  <c r="R4629" i="1" s="1"/>
  <c r="Q4621" i="1"/>
  <c r="R4621" i="1" s="1"/>
  <c r="Q4613" i="1"/>
  <c r="R4613" i="1" s="1"/>
  <c r="R4605" i="1"/>
  <c r="Q4605" i="1"/>
  <c r="Q4597" i="1"/>
  <c r="R4597" i="1" s="1"/>
  <c r="R4589" i="1"/>
  <c r="Q4589" i="1"/>
  <c r="Q4581" i="1"/>
  <c r="R4581" i="1" s="1"/>
  <c r="Q4573" i="1"/>
  <c r="R4573" i="1" s="1"/>
  <c r="Q4565" i="1"/>
  <c r="R4565" i="1" s="1"/>
  <c r="Q4557" i="1"/>
  <c r="R4557" i="1" s="1"/>
  <c r="Q4549" i="1"/>
  <c r="R4549" i="1" s="1"/>
  <c r="Q4541" i="1"/>
  <c r="R4541" i="1" s="1"/>
  <c r="Q4533" i="1"/>
  <c r="R4533" i="1" s="1"/>
  <c r="Q4525" i="1"/>
  <c r="R4525" i="1" s="1"/>
  <c r="Q4517" i="1"/>
  <c r="R4517" i="1" s="1"/>
  <c r="Q4509" i="1"/>
  <c r="R4509" i="1" s="1"/>
  <c r="Q4501" i="1"/>
  <c r="R4501" i="1" s="1"/>
  <c r="Q4493" i="1"/>
  <c r="R4493" i="1" s="1"/>
  <c r="Q4485" i="1"/>
  <c r="R4485" i="1" s="1"/>
  <c r="Q4477" i="1"/>
  <c r="R4477" i="1" s="1"/>
  <c r="Q4469" i="1"/>
  <c r="R4469" i="1" s="1"/>
  <c r="Q4461" i="1"/>
  <c r="R4461" i="1" s="1"/>
  <c r="Q4453" i="1"/>
  <c r="R4453" i="1" s="1"/>
  <c r="Q4445" i="1"/>
  <c r="R4445" i="1" s="1"/>
  <c r="Q4437" i="1"/>
  <c r="R4437" i="1" s="1"/>
  <c r="Q4429" i="1"/>
  <c r="R4429" i="1" s="1"/>
  <c r="Q4421" i="1"/>
  <c r="R4421" i="1" s="1"/>
  <c r="Q4413" i="1"/>
  <c r="R4413" i="1" s="1"/>
  <c r="Q4405" i="1"/>
  <c r="R4405" i="1" s="1"/>
  <c r="Q4397" i="1"/>
  <c r="R4397" i="1" s="1"/>
  <c r="Q4389" i="1"/>
  <c r="R4389" i="1" s="1"/>
  <c r="Q4381" i="1"/>
  <c r="R4381" i="1" s="1"/>
  <c r="Q4373" i="1"/>
  <c r="R4373" i="1" s="1"/>
  <c r="Q4365" i="1"/>
  <c r="R4365" i="1" s="1"/>
  <c r="R4357" i="1"/>
  <c r="Q4357" i="1"/>
  <c r="Q4349" i="1"/>
  <c r="R4349" i="1" s="1"/>
  <c r="Q4341" i="1"/>
  <c r="R4341" i="1" s="1"/>
  <c r="Q4333" i="1"/>
  <c r="R4333" i="1" s="1"/>
  <c r="Q4325" i="1"/>
  <c r="R4325" i="1" s="1"/>
  <c r="Q4317" i="1"/>
  <c r="R4317" i="1" s="1"/>
  <c r="R4309" i="1"/>
  <c r="Q4309" i="1"/>
  <c r="Q4301" i="1"/>
  <c r="R4301" i="1" s="1"/>
  <c r="Q4293" i="1"/>
  <c r="R4293" i="1" s="1"/>
  <c r="Q4285" i="1"/>
  <c r="R4285" i="1" s="1"/>
  <c r="Q4277" i="1"/>
  <c r="R4277" i="1" s="1"/>
  <c r="Q4269" i="1"/>
  <c r="R4269" i="1" s="1"/>
  <c r="Q4261" i="1"/>
  <c r="R4261" i="1" s="1"/>
  <c r="Q4253" i="1"/>
  <c r="R4253" i="1" s="1"/>
  <c r="Q4245" i="1"/>
  <c r="R4245" i="1" s="1"/>
  <c r="Q4237" i="1"/>
  <c r="R4237" i="1" s="1"/>
  <c r="Q4229" i="1"/>
  <c r="R4229" i="1" s="1"/>
  <c r="Q4221" i="1"/>
  <c r="R4221" i="1" s="1"/>
  <c r="Q4213" i="1"/>
  <c r="R4213" i="1" s="1"/>
  <c r="Q4205" i="1"/>
  <c r="R4205" i="1" s="1"/>
  <c r="Q4197" i="1"/>
  <c r="R4197" i="1" s="1"/>
  <c r="Q4189" i="1"/>
  <c r="R4189" i="1" s="1"/>
  <c r="Q4181" i="1"/>
  <c r="R4181" i="1" s="1"/>
  <c r="R4173" i="1"/>
  <c r="Q4173" i="1"/>
  <c r="Q4165" i="1"/>
  <c r="R4165" i="1" s="1"/>
  <c r="Q4157" i="1"/>
  <c r="R4157" i="1" s="1"/>
  <c r="Q4149" i="1"/>
  <c r="R4149" i="1" s="1"/>
  <c r="Q4141" i="1"/>
  <c r="R4141" i="1" s="1"/>
  <c r="Q4133" i="1"/>
  <c r="R4133" i="1" s="1"/>
  <c r="Q4125" i="1"/>
  <c r="R4125" i="1" s="1"/>
  <c r="Q4117" i="1"/>
  <c r="R4117" i="1" s="1"/>
  <c r="Q4109" i="1"/>
  <c r="R4109" i="1" s="1"/>
  <c r="Q4101" i="1"/>
  <c r="R4101" i="1" s="1"/>
  <c r="Q4093" i="1"/>
  <c r="R4093" i="1" s="1"/>
  <c r="Q4085" i="1"/>
  <c r="R4085" i="1" s="1"/>
  <c r="Q4077" i="1"/>
  <c r="R4077" i="1" s="1"/>
  <c r="Q4069" i="1"/>
  <c r="R4069" i="1" s="1"/>
  <c r="Q4061" i="1"/>
  <c r="R4061" i="1" s="1"/>
  <c r="R4053" i="1"/>
  <c r="Q4053" i="1"/>
  <c r="Q4045" i="1"/>
  <c r="R4045" i="1" s="1"/>
  <c r="Q4963" i="1"/>
  <c r="R4963" i="1" s="1"/>
  <c r="Q4994" i="1"/>
  <c r="R4994" i="1" s="1"/>
  <c r="Q4962" i="1"/>
  <c r="R4962" i="1" s="1"/>
  <c r="Q5000" i="1"/>
  <c r="R5000" i="1" s="1"/>
  <c r="Q4968" i="1"/>
  <c r="R4968" i="1" s="1"/>
  <c r="Q4990" i="1"/>
  <c r="R4990" i="1" s="1"/>
  <c r="R4966" i="1"/>
  <c r="Q4966" i="1"/>
  <c r="Q4989" i="1"/>
  <c r="R4989" i="1" s="1"/>
  <c r="Q4973" i="1"/>
  <c r="R4973" i="1" s="1"/>
  <c r="Q4957" i="1"/>
  <c r="R4957" i="1" s="1"/>
  <c r="Q4996" i="1"/>
  <c r="R4996" i="1" s="1"/>
  <c r="Q4988" i="1"/>
  <c r="R4988" i="1" s="1"/>
  <c r="Q4980" i="1"/>
  <c r="R4980" i="1" s="1"/>
  <c r="Q4972" i="1"/>
  <c r="R4972" i="1" s="1"/>
  <c r="Q4964" i="1"/>
  <c r="R4964" i="1" s="1"/>
  <c r="Q4956" i="1"/>
  <c r="R4956" i="1" s="1"/>
  <c r="R4948" i="1"/>
  <c r="Q4948" i="1"/>
  <c r="Q4940" i="1"/>
  <c r="R4940" i="1" s="1"/>
  <c r="Q4932" i="1"/>
  <c r="R4932" i="1" s="1"/>
  <c r="Q4924" i="1"/>
  <c r="R4924" i="1" s="1"/>
  <c r="R4916" i="1"/>
  <c r="Q4916" i="1"/>
  <c r="Q4908" i="1"/>
  <c r="R4908" i="1" s="1"/>
  <c r="Q4900" i="1"/>
  <c r="R4900" i="1" s="1"/>
  <c r="Q4892" i="1"/>
  <c r="R4892" i="1" s="1"/>
  <c r="Q4884" i="1"/>
  <c r="R4884" i="1" s="1"/>
  <c r="Q4876" i="1"/>
  <c r="R4876" i="1" s="1"/>
  <c r="Q4868" i="1"/>
  <c r="R4868" i="1" s="1"/>
  <c r="Q4860" i="1"/>
  <c r="R4860" i="1" s="1"/>
  <c r="Q4852" i="1"/>
  <c r="R4852" i="1" s="1"/>
  <c r="Q4844" i="1"/>
  <c r="R4844" i="1" s="1"/>
  <c r="Q4836" i="1"/>
  <c r="R4836" i="1" s="1"/>
  <c r="Q4828" i="1"/>
  <c r="R4828" i="1" s="1"/>
  <c r="Q4820" i="1"/>
  <c r="R4820" i="1" s="1"/>
  <c r="Q4812" i="1"/>
  <c r="R4812" i="1" s="1"/>
  <c r="Q4804" i="1"/>
  <c r="R4804" i="1" s="1"/>
  <c r="Q4796" i="1"/>
  <c r="R4796" i="1" s="1"/>
  <c r="Q4788" i="1"/>
  <c r="R4788" i="1" s="1"/>
  <c r="Q4780" i="1"/>
  <c r="R4780" i="1" s="1"/>
  <c r="Q4772" i="1"/>
  <c r="R4772" i="1" s="1"/>
  <c r="Q4764" i="1"/>
  <c r="R4764" i="1" s="1"/>
  <c r="Q4756" i="1"/>
  <c r="R4756" i="1" s="1"/>
  <c r="Q4748" i="1"/>
  <c r="R4748" i="1" s="1"/>
  <c r="Q4740" i="1"/>
  <c r="R4740" i="1" s="1"/>
  <c r="Q4732" i="1"/>
  <c r="R4732" i="1" s="1"/>
  <c r="Q4724" i="1"/>
  <c r="R4724" i="1" s="1"/>
  <c r="Q4716" i="1"/>
  <c r="R4716" i="1" s="1"/>
  <c r="Q4708" i="1"/>
  <c r="R4708" i="1" s="1"/>
  <c r="Q4700" i="1"/>
  <c r="R4700" i="1" s="1"/>
  <c r="Q4692" i="1"/>
  <c r="R4692" i="1" s="1"/>
  <c r="Q4684" i="1"/>
  <c r="R4684" i="1" s="1"/>
  <c r="Q4676" i="1"/>
  <c r="R4676" i="1" s="1"/>
  <c r="Q4668" i="1"/>
  <c r="R4668" i="1" s="1"/>
  <c r="R4660" i="1"/>
  <c r="Q4660" i="1"/>
  <c r="Q4652" i="1"/>
  <c r="R4652" i="1" s="1"/>
  <c r="Q4644" i="1"/>
  <c r="R4644" i="1" s="1"/>
  <c r="Q4636" i="1"/>
  <c r="R4636" i="1" s="1"/>
  <c r="Q4628" i="1"/>
  <c r="R4628" i="1" s="1"/>
  <c r="Q4620" i="1"/>
  <c r="R4620" i="1" s="1"/>
  <c r="Q4612" i="1"/>
  <c r="R4612" i="1" s="1"/>
  <c r="Q4604" i="1"/>
  <c r="R4604" i="1" s="1"/>
  <c r="Q4596" i="1"/>
  <c r="R4596" i="1" s="1"/>
  <c r="Q4588" i="1"/>
  <c r="R4588" i="1" s="1"/>
  <c r="Q4580" i="1"/>
  <c r="R4580" i="1" s="1"/>
  <c r="Q4572" i="1"/>
  <c r="R4572" i="1" s="1"/>
  <c r="Q4564" i="1"/>
  <c r="R4564" i="1" s="1"/>
  <c r="Q4556" i="1"/>
  <c r="R4556" i="1" s="1"/>
  <c r="Q4548" i="1"/>
  <c r="R4548" i="1" s="1"/>
  <c r="R4540" i="1"/>
  <c r="Q4540" i="1"/>
  <c r="Q4532" i="1"/>
  <c r="R4532" i="1" s="1"/>
  <c r="Q4524" i="1"/>
  <c r="R4524" i="1" s="1"/>
  <c r="Q4516" i="1"/>
  <c r="R4516" i="1" s="1"/>
  <c r="Q4508" i="1"/>
  <c r="R4508" i="1" s="1"/>
  <c r="Q4500" i="1"/>
  <c r="R4500" i="1" s="1"/>
  <c r="Q4492" i="1"/>
  <c r="R4492" i="1" s="1"/>
  <c r="Q4484" i="1"/>
  <c r="R4484" i="1" s="1"/>
  <c r="Q4476" i="1"/>
  <c r="R4476" i="1" s="1"/>
  <c r="Q4468" i="1"/>
  <c r="R4468" i="1" s="1"/>
  <c r="Q4460" i="1"/>
  <c r="R4460" i="1" s="1"/>
  <c r="Q4452" i="1"/>
  <c r="R4452" i="1" s="1"/>
  <c r="Q4444" i="1"/>
  <c r="R4444" i="1" s="1"/>
  <c r="Q4436" i="1"/>
  <c r="R4436" i="1" s="1"/>
  <c r="Q4428" i="1"/>
  <c r="R4428" i="1" s="1"/>
  <c r="Q4420" i="1"/>
  <c r="R4420" i="1" s="1"/>
  <c r="Q4412" i="1"/>
  <c r="R4412" i="1" s="1"/>
  <c r="Q4404" i="1"/>
  <c r="R4404" i="1" s="1"/>
  <c r="Q4396" i="1"/>
  <c r="R4396" i="1" s="1"/>
  <c r="Q4388" i="1"/>
  <c r="R4388" i="1" s="1"/>
  <c r="Q4380" i="1"/>
  <c r="R4380" i="1" s="1"/>
  <c r="Q4372" i="1"/>
  <c r="R4372" i="1" s="1"/>
  <c r="R4364" i="1"/>
  <c r="Q4364" i="1"/>
  <c r="R4356" i="1"/>
  <c r="Q4356" i="1"/>
  <c r="Q4348" i="1"/>
  <c r="R4348" i="1" s="1"/>
  <c r="Q4340" i="1"/>
  <c r="R4340" i="1" s="1"/>
  <c r="R4332" i="1"/>
  <c r="Q4332" i="1"/>
  <c r="Q4324" i="1"/>
  <c r="R4324" i="1" s="1"/>
  <c r="Q4316" i="1"/>
  <c r="R4316" i="1" s="1"/>
  <c r="Q4308" i="1"/>
  <c r="R4308" i="1" s="1"/>
  <c r="Q4300" i="1"/>
  <c r="R4300" i="1" s="1"/>
  <c r="Q4292" i="1"/>
  <c r="R4292" i="1" s="1"/>
  <c r="Q4284" i="1"/>
  <c r="R4284" i="1" s="1"/>
  <c r="Q4276" i="1"/>
  <c r="R4276" i="1" s="1"/>
  <c r="Q4268" i="1"/>
  <c r="R4268" i="1" s="1"/>
  <c r="Q4260" i="1"/>
  <c r="R4260" i="1" s="1"/>
  <c r="R4252" i="1"/>
  <c r="Q4252" i="1"/>
  <c r="Q4244" i="1"/>
  <c r="R4244" i="1" s="1"/>
  <c r="Q4236" i="1"/>
  <c r="R4236" i="1" s="1"/>
  <c r="Q4228" i="1"/>
  <c r="R4228" i="1" s="1"/>
  <c r="Q4220" i="1"/>
  <c r="R4220" i="1" s="1"/>
  <c r="Q4212" i="1"/>
  <c r="R4212" i="1" s="1"/>
  <c r="R4204" i="1"/>
  <c r="Q4204" i="1"/>
  <c r="Q4196" i="1"/>
  <c r="R4196" i="1" s="1"/>
  <c r="R4188" i="1"/>
  <c r="Q4188" i="1"/>
  <c r="Q4180" i="1"/>
  <c r="R4180" i="1" s="1"/>
  <c r="Q4172" i="1"/>
  <c r="R4172" i="1" s="1"/>
  <c r="Q4164" i="1"/>
  <c r="R4164" i="1" s="1"/>
  <c r="Q4156" i="1"/>
  <c r="R4156" i="1" s="1"/>
  <c r="Q4148" i="1"/>
  <c r="R4148" i="1" s="1"/>
  <c r="Q4140" i="1"/>
  <c r="R4140" i="1" s="1"/>
  <c r="Q4132" i="1"/>
  <c r="R4132" i="1" s="1"/>
  <c r="Q4124" i="1"/>
  <c r="R4124" i="1" s="1"/>
  <c r="Q4116" i="1"/>
  <c r="R4116" i="1" s="1"/>
  <c r="Q4108" i="1"/>
  <c r="R4108" i="1" s="1"/>
  <c r="Q4100" i="1"/>
  <c r="R4100" i="1" s="1"/>
  <c r="Q4092" i="1"/>
  <c r="R4092" i="1" s="1"/>
  <c r="Q4084" i="1"/>
  <c r="R4084" i="1" s="1"/>
  <c r="Q4076" i="1"/>
  <c r="R4076" i="1" s="1"/>
  <c r="Q4068" i="1"/>
  <c r="R4068" i="1" s="1"/>
  <c r="R4060" i="1"/>
  <c r="Q4060" i="1"/>
  <c r="Q4052" i="1"/>
  <c r="R4052" i="1" s="1"/>
  <c r="Q4044" i="1"/>
  <c r="R4044" i="1" s="1"/>
  <c r="Q4036" i="1"/>
  <c r="R4036" i="1" s="1"/>
  <c r="Q4955" i="1"/>
  <c r="R4955" i="1" s="1"/>
  <c r="Q4923" i="1"/>
  <c r="R4923" i="1" s="1"/>
  <c r="Q4915" i="1"/>
  <c r="R4915" i="1" s="1"/>
  <c r="Q4907" i="1"/>
  <c r="R4907" i="1" s="1"/>
  <c r="Q4899" i="1"/>
  <c r="R4899" i="1" s="1"/>
  <c r="Q4891" i="1"/>
  <c r="R4891" i="1" s="1"/>
  <c r="Q4883" i="1"/>
  <c r="R4883" i="1" s="1"/>
  <c r="Q4875" i="1"/>
  <c r="R4875" i="1" s="1"/>
  <c r="Q4867" i="1"/>
  <c r="R4867" i="1" s="1"/>
  <c r="Q4859" i="1"/>
  <c r="R4859" i="1" s="1"/>
  <c r="Q4851" i="1"/>
  <c r="R4851" i="1" s="1"/>
  <c r="Q4843" i="1"/>
  <c r="R4843" i="1" s="1"/>
  <c r="Q4835" i="1"/>
  <c r="R4835" i="1" s="1"/>
  <c r="Q4827" i="1"/>
  <c r="R4827" i="1" s="1"/>
  <c r="Q4819" i="1"/>
  <c r="R4819" i="1" s="1"/>
  <c r="R4811" i="1"/>
  <c r="Q4811" i="1"/>
  <c r="Q4803" i="1"/>
  <c r="R4803" i="1" s="1"/>
  <c r="Q4795" i="1"/>
  <c r="R4795" i="1" s="1"/>
  <c r="Q4787" i="1"/>
  <c r="R4787" i="1" s="1"/>
  <c r="Q4779" i="1"/>
  <c r="R4779" i="1" s="1"/>
  <c r="R4771" i="1"/>
  <c r="Q4771" i="1"/>
  <c r="Q4763" i="1"/>
  <c r="R4763" i="1" s="1"/>
  <c r="R4755" i="1"/>
  <c r="Q4755" i="1"/>
  <c r="Q4747" i="1"/>
  <c r="R4747" i="1" s="1"/>
  <c r="Q4739" i="1"/>
  <c r="R4739" i="1" s="1"/>
  <c r="Q4731" i="1"/>
  <c r="R4731" i="1" s="1"/>
  <c r="Q4723" i="1"/>
  <c r="R4723" i="1" s="1"/>
  <c r="Q4715" i="1"/>
  <c r="R4715" i="1" s="1"/>
  <c r="Q4707" i="1"/>
  <c r="R4707" i="1" s="1"/>
  <c r="Q4699" i="1"/>
  <c r="R4699" i="1" s="1"/>
  <c r="Q4691" i="1"/>
  <c r="R4691" i="1" s="1"/>
  <c r="Q4683" i="1"/>
  <c r="R4683" i="1" s="1"/>
  <c r="Q4675" i="1"/>
  <c r="R4675" i="1" s="1"/>
  <c r="Q4667" i="1"/>
  <c r="R4667" i="1" s="1"/>
  <c r="Q4659" i="1"/>
  <c r="R4659" i="1" s="1"/>
  <c r="Q4651" i="1"/>
  <c r="R4651" i="1" s="1"/>
  <c r="Q4643" i="1"/>
  <c r="R4643" i="1" s="1"/>
  <c r="Q4635" i="1"/>
  <c r="R4635" i="1" s="1"/>
  <c r="Q4627" i="1"/>
  <c r="R4627" i="1" s="1"/>
  <c r="Q4619" i="1"/>
  <c r="R4619" i="1" s="1"/>
  <c r="Q4611" i="1"/>
  <c r="R4611" i="1" s="1"/>
  <c r="Q4603" i="1"/>
  <c r="R4603" i="1" s="1"/>
  <c r="Q4595" i="1"/>
  <c r="R4595" i="1" s="1"/>
  <c r="Q4587" i="1"/>
  <c r="R4587" i="1" s="1"/>
  <c r="Q4579" i="1"/>
  <c r="R4579" i="1" s="1"/>
  <c r="Q4571" i="1"/>
  <c r="R4571" i="1" s="1"/>
  <c r="Q4563" i="1"/>
  <c r="R4563" i="1" s="1"/>
  <c r="Q4555" i="1"/>
  <c r="R4555" i="1" s="1"/>
  <c r="Q4547" i="1"/>
  <c r="R4547" i="1" s="1"/>
  <c r="Q4539" i="1"/>
  <c r="R4539" i="1" s="1"/>
  <c r="Q4531" i="1"/>
  <c r="R4531" i="1" s="1"/>
  <c r="Q4523" i="1"/>
  <c r="R4523" i="1" s="1"/>
  <c r="Q4515" i="1"/>
  <c r="R4515" i="1" s="1"/>
  <c r="R4507" i="1"/>
  <c r="Q4507" i="1"/>
  <c r="Q4499" i="1"/>
  <c r="R4499" i="1" s="1"/>
  <c r="Q4491" i="1"/>
  <c r="R4491" i="1" s="1"/>
  <c r="Q4483" i="1"/>
  <c r="R4483" i="1" s="1"/>
  <c r="Q4475" i="1"/>
  <c r="R4475" i="1" s="1"/>
  <c r="Q4467" i="1"/>
  <c r="R4467" i="1" s="1"/>
  <c r="Q4459" i="1"/>
  <c r="R4459" i="1" s="1"/>
  <c r="Q4451" i="1"/>
  <c r="R4451" i="1" s="1"/>
  <c r="Q4443" i="1"/>
  <c r="R4443" i="1" s="1"/>
  <c r="Q4435" i="1"/>
  <c r="R4435" i="1" s="1"/>
  <c r="Q4427" i="1"/>
  <c r="R4427" i="1" s="1"/>
  <c r="Q4419" i="1"/>
  <c r="R4419" i="1" s="1"/>
  <c r="Q4411" i="1"/>
  <c r="R4411" i="1" s="1"/>
  <c r="Q4403" i="1"/>
  <c r="R4403" i="1" s="1"/>
  <c r="Q4395" i="1"/>
  <c r="R4395" i="1" s="1"/>
  <c r="Q4387" i="1"/>
  <c r="R4387" i="1" s="1"/>
  <c r="R4379" i="1"/>
  <c r="Q4379" i="1"/>
  <c r="Q4371" i="1"/>
  <c r="R4371" i="1" s="1"/>
  <c r="R4363" i="1"/>
  <c r="Q4363" i="1"/>
  <c r="R4355" i="1"/>
  <c r="Q4355" i="1"/>
  <c r="Q4347" i="1"/>
  <c r="R4347" i="1" s="1"/>
  <c r="Q4339" i="1"/>
  <c r="R4339" i="1" s="1"/>
  <c r="Q4331" i="1"/>
  <c r="R4331" i="1" s="1"/>
  <c r="Q4323" i="1"/>
  <c r="R4323" i="1" s="1"/>
  <c r="Q4315" i="1"/>
  <c r="R4315" i="1" s="1"/>
  <c r="Q4307" i="1"/>
  <c r="R4307" i="1" s="1"/>
  <c r="Q4299" i="1"/>
  <c r="R4299" i="1" s="1"/>
  <c r="Q4291" i="1"/>
  <c r="R4291" i="1" s="1"/>
  <c r="Q4283" i="1"/>
  <c r="R4283" i="1" s="1"/>
  <c r="Q4275" i="1"/>
  <c r="R4275" i="1" s="1"/>
  <c r="Q4267" i="1"/>
  <c r="R4267" i="1" s="1"/>
  <c r="Q4259" i="1"/>
  <c r="R4259" i="1" s="1"/>
  <c r="Q4251" i="1"/>
  <c r="R4251" i="1" s="1"/>
  <c r="R4243" i="1"/>
  <c r="Q4243" i="1"/>
  <c r="Q4235" i="1"/>
  <c r="R4235" i="1" s="1"/>
  <c r="Q4227" i="1"/>
  <c r="R4227" i="1" s="1"/>
  <c r="Q4219" i="1"/>
  <c r="R4219" i="1" s="1"/>
  <c r="Q4211" i="1"/>
  <c r="R4211" i="1" s="1"/>
  <c r="Q4203" i="1"/>
  <c r="R4203" i="1" s="1"/>
  <c r="Q4195" i="1"/>
  <c r="R4195" i="1" s="1"/>
  <c r="Q4187" i="1"/>
  <c r="R4187" i="1" s="1"/>
  <c r="Q4179" i="1"/>
  <c r="R4179" i="1" s="1"/>
  <c r="Q4171" i="1"/>
  <c r="R4171" i="1" s="1"/>
  <c r="Q4163" i="1"/>
  <c r="R4163" i="1" s="1"/>
  <c r="Q4155" i="1"/>
  <c r="R4155" i="1" s="1"/>
  <c r="Q4147" i="1"/>
  <c r="R4147" i="1" s="1"/>
  <c r="Q4139" i="1"/>
  <c r="R4139" i="1" s="1"/>
  <c r="Q4131" i="1"/>
  <c r="R4131" i="1" s="1"/>
  <c r="Q4123" i="1"/>
  <c r="R4123" i="1" s="1"/>
  <c r="Q4115" i="1"/>
  <c r="R4115" i="1" s="1"/>
  <c r="Q4107" i="1"/>
  <c r="R4107" i="1" s="1"/>
  <c r="Q4099" i="1"/>
  <c r="R4099" i="1" s="1"/>
  <c r="Q4091" i="1"/>
  <c r="R4091" i="1" s="1"/>
  <c r="Q4083" i="1"/>
  <c r="R4083" i="1" s="1"/>
  <c r="Q4075" i="1"/>
  <c r="R4075" i="1" s="1"/>
  <c r="Q4067" i="1"/>
  <c r="R4067" i="1" s="1"/>
  <c r="Q4059" i="1"/>
  <c r="R4059" i="1" s="1"/>
  <c r="Q4051" i="1"/>
  <c r="R4051" i="1" s="1"/>
  <c r="Q4043" i="1"/>
  <c r="R4043" i="1" s="1"/>
  <c r="Q4035" i="1"/>
  <c r="R4035" i="1" s="1"/>
  <c r="Q4027" i="1"/>
  <c r="R4027" i="1" s="1"/>
  <c r="Q4019" i="1"/>
  <c r="R4019" i="1" s="1"/>
  <c r="Q4011" i="1"/>
  <c r="R4011" i="1" s="1"/>
  <c r="Q4003" i="1"/>
  <c r="R4003" i="1" s="1"/>
  <c r="Q3995" i="1"/>
  <c r="R3995" i="1" s="1"/>
  <c r="Q3987" i="1"/>
  <c r="R3987" i="1" s="1"/>
  <c r="Q3979" i="1"/>
  <c r="R3979" i="1" s="1"/>
  <c r="Q3971" i="1"/>
  <c r="R3971" i="1" s="1"/>
  <c r="Q3963" i="1"/>
  <c r="R3963" i="1" s="1"/>
  <c r="Q3955" i="1"/>
  <c r="R3955" i="1" s="1"/>
  <c r="Q3947" i="1"/>
  <c r="R3947" i="1" s="1"/>
  <c r="Q3939" i="1"/>
  <c r="R3939" i="1" s="1"/>
  <c r="Q3931" i="1"/>
  <c r="R3931" i="1" s="1"/>
  <c r="Q3923" i="1"/>
  <c r="R3923" i="1" s="1"/>
  <c r="R3915" i="1"/>
  <c r="Q3915" i="1"/>
  <c r="R3907" i="1"/>
  <c r="Q3907" i="1"/>
  <c r="Q3899" i="1"/>
  <c r="R3899" i="1" s="1"/>
  <c r="Q4995" i="1"/>
  <c r="R4995" i="1" s="1"/>
  <c r="Q4947" i="1"/>
  <c r="R4947" i="1" s="1"/>
  <c r="Q4978" i="1"/>
  <c r="R4978" i="1" s="1"/>
  <c r="Q4938" i="1"/>
  <c r="R4938" i="1" s="1"/>
  <c r="Q4930" i="1"/>
  <c r="R4930" i="1" s="1"/>
  <c r="Q4922" i="1"/>
  <c r="R4922" i="1" s="1"/>
  <c r="Q4914" i="1"/>
  <c r="R4914" i="1" s="1"/>
  <c r="Q4906" i="1"/>
  <c r="R4906" i="1" s="1"/>
  <c r="Q4898" i="1"/>
  <c r="R4898" i="1" s="1"/>
  <c r="R4890" i="1"/>
  <c r="Q4890" i="1"/>
  <c r="Q4882" i="1"/>
  <c r="R4882" i="1" s="1"/>
  <c r="Q4874" i="1"/>
  <c r="R4874" i="1" s="1"/>
  <c r="Q4866" i="1"/>
  <c r="R4866" i="1" s="1"/>
  <c r="Q4858" i="1"/>
  <c r="R4858" i="1" s="1"/>
  <c r="Q4850" i="1"/>
  <c r="R4850" i="1" s="1"/>
  <c r="R4842" i="1"/>
  <c r="Q4842" i="1"/>
  <c r="Q4834" i="1"/>
  <c r="R4834" i="1" s="1"/>
  <c r="Q4826" i="1"/>
  <c r="R4826" i="1" s="1"/>
  <c r="R4818" i="1"/>
  <c r="Q4818" i="1"/>
  <c r="Q4810" i="1"/>
  <c r="R4810" i="1" s="1"/>
  <c r="R4802" i="1"/>
  <c r="Q4802" i="1"/>
  <c r="Q4794" i="1"/>
  <c r="R4794" i="1" s="1"/>
  <c r="Q4786" i="1"/>
  <c r="R4786" i="1" s="1"/>
  <c r="Q4778" i="1"/>
  <c r="R4778" i="1" s="1"/>
  <c r="Q4770" i="1"/>
  <c r="R4770" i="1" s="1"/>
  <c r="R4762" i="1"/>
  <c r="Q4762" i="1"/>
  <c r="Q4754" i="1"/>
  <c r="R4754" i="1" s="1"/>
  <c r="Q4746" i="1"/>
  <c r="R4746" i="1" s="1"/>
  <c r="Q4738" i="1"/>
  <c r="R4738" i="1" s="1"/>
  <c r="Q4730" i="1"/>
  <c r="R4730" i="1" s="1"/>
  <c r="Q4722" i="1"/>
  <c r="R4722" i="1" s="1"/>
  <c r="Q4714" i="1"/>
  <c r="R4714" i="1" s="1"/>
  <c r="Q4706" i="1"/>
  <c r="R4706" i="1" s="1"/>
  <c r="R4698" i="1"/>
  <c r="Q4698" i="1"/>
  <c r="Q4690" i="1"/>
  <c r="R4690" i="1" s="1"/>
  <c r="Q4682" i="1"/>
  <c r="R4682" i="1" s="1"/>
  <c r="R4674" i="1"/>
  <c r="Q4674" i="1"/>
  <c r="Q4666" i="1"/>
  <c r="R4666" i="1" s="1"/>
  <c r="Q4658" i="1"/>
  <c r="R4658" i="1" s="1"/>
  <c r="Q4650" i="1"/>
  <c r="R4650" i="1" s="1"/>
  <c r="Q4642" i="1"/>
  <c r="R4642" i="1" s="1"/>
  <c r="Q4634" i="1"/>
  <c r="R4634" i="1" s="1"/>
  <c r="Q4626" i="1"/>
  <c r="R4626" i="1" s="1"/>
  <c r="Q4618" i="1"/>
  <c r="R4618" i="1" s="1"/>
  <c r="Q4610" i="1"/>
  <c r="R4610" i="1" s="1"/>
  <c r="Q4602" i="1"/>
  <c r="R4602" i="1" s="1"/>
  <c r="Q4594" i="1"/>
  <c r="R4594" i="1" s="1"/>
  <c r="Q4586" i="1"/>
  <c r="R4586" i="1" s="1"/>
  <c r="Q4578" i="1"/>
  <c r="R4578" i="1" s="1"/>
  <c r="Q4570" i="1"/>
  <c r="R4570" i="1" s="1"/>
  <c r="Q4562" i="1"/>
  <c r="R4562" i="1" s="1"/>
  <c r="Q4554" i="1"/>
  <c r="R4554" i="1" s="1"/>
  <c r="Q4546" i="1"/>
  <c r="R4546" i="1" s="1"/>
  <c r="Q4538" i="1"/>
  <c r="R4538" i="1" s="1"/>
  <c r="Q4530" i="1"/>
  <c r="R4530" i="1" s="1"/>
  <c r="Q4522" i="1"/>
  <c r="R4522" i="1" s="1"/>
  <c r="Q4514" i="1"/>
  <c r="R4514" i="1" s="1"/>
  <c r="Q4506" i="1"/>
  <c r="R4506" i="1" s="1"/>
  <c r="Q4498" i="1"/>
  <c r="R4498" i="1" s="1"/>
  <c r="Q4490" i="1"/>
  <c r="R4490" i="1" s="1"/>
  <c r="Q4482" i="1"/>
  <c r="R4482" i="1" s="1"/>
  <c r="Q4474" i="1"/>
  <c r="R4474" i="1" s="1"/>
  <c r="Q4466" i="1"/>
  <c r="R4466" i="1" s="1"/>
  <c r="Q4458" i="1"/>
  <c r="R4458" i="1" s="1"/>
  <c r="Q4450" i="1"/>
  <c r="R4450" i="1" s="1"/>
  <c r="Q4442" i="1"/>
  <c r="R4442" i="1" s="1"/>
  <c r="Q4434" i="1"/>
  <c r="R4434" i="1" s="1"/>
  <c r="Q4426" i="1"/>
  <c r="R4426" i="1" s="1"/>
  <c r="Q4418" i="1"/>
  <c r="R4418" i="1" s="1"/>
  <c r="Q4410" i="1"/>
  <c r="R4410" i="1" s="1"/>
  <c r="Q4402" i="1"/>
  <c r="R4402" i="1" s="1"/>
  <c r="Q4394" i="1"/>
  <c r="R4394" i="1" s="1"/>
  <c r="Q4386" i="1"/>
  <c r="R4386" i="1" s="1"/>
  <c r="R4378" i="1"/>
  <c r="Q4378" i="1"/>
  <c r="Q4370" i="1"/>
  <c r="R4370" i="1" s="1"/>
  <c r="R4362" i="1"/>
  <c r="Q4362" i="1"/>
  <c r="R4354" i="1"/>
  <c r="Q4354" i="1"/>
  <c r="Q4346" i="1"/>
  <c r="R4346" i="1" s="1"/>
  <c r="Q4338" i="1"/>
  <c r="R4338" i="1" s="1"/>
  <c r="Q4330" i="1"/>
  <c r="R4330" i="1" s="1"/>
  <c r="Q4322" i="1"/>
  <c r="R4322" i="1" s="1"/>
  <c r="R4314" i="1"/>
  <c r="Q4314" i="1"/>
  <c r="Q4306" i="1"/>
  <c r="R4306" i="1" s="1"/>
  <c r="Q4298" i="1"/>
  <c r="R4298" i="1" s="1"/>
  <c r="Q4290" i="1"/>
  <c r="R4290" i="1" s="1"/>
  <c r="Q4282" i="1"/>
  <c r="R4282" i="1" s="1"/>
  <c r="Q4274" i="1"/>
  <c r="R4274" i="1" s="1"/>
  <c r="Q4266" i="1"/>
  <c r="R4266" i="1" s="1"/>
  <c r="Q4258" i="1"/>
  <c r="R4258" i="1" s="1"/>
  <c r="Q4250" i="1"/>
  <c r="R4250" i="1" s="1"/>
  <c r="Q4242" i="1"/>
  <c r="R4242" i="1" s="1"/>
  <c r="Q4234" i="1"/>
  <c r="R4234" i="1" s="1"/>
  <c r="Q4226" i="1"/>
  <c r="R4226" i="1" s="1"/>
  <c r="Q4218" i="1"/>
  <c r="R4218" i="1" s="1"/>
  <c r="Q4210" i="1"/>
  <c r="R4210" i="1" s="1"/>
  <c r="Q4202" i="1"/>
  <c r="R4202" i="1" s="1"/>
  <c r="Q4194" i="1"/>
  <c r="R4194" i="1" s="1"/>
  <c r="Q4186" i="1"/>
  <c r="R4186" i="1" s="1"/>
  <c r="Q4178" i="1"/>
  <c r="R4178" i="1" s="1"/>
  <c r="Q4170" i="1"/>
  <c r="R4170" i="1" s="1"/>
  <c r="Q4162" i="1"/>
  <c r="R4162" i="1" s="1"/>
  <c r="Q4154" i="1"/>
  <c r="R4154" i="1" s="1"/>
  <c r="R4146" i="1"/>
  <c r="Q4146" i="1"/>
  <c r="Q4138" i="1"/>
  <c r="R4138" i="1" s="1"/>
  <c r="Q4130" i="1"/>
  <c r="R4130" i="1" s="1"/>
  <c r="Q4122" i="1"/>
  <c r="R4122" i="1" s="1"/>
  <c r="Q4114" i="1"/>
  <c r="R4114" i="1" s="1"/>
  <c r="R4106" i="1"/>
  <c r="Q4106" i="1"/>
  <c r="R4098" i="1"/>
  <c r="Q4098" i="1"/>
  <c r="Q4090" i="1"/>
  <c r="R4090" i="1" s="1"/>
  <c r="R4082" i="1"/>
  <c r="Q4082" i="1"/>
  <c r="Q4074" i="1"/>
  <c r="R4074" i="1" s="1"/>
  <c r="Q4066" i="1"/>
  <c r="R4066" i="1" s="1"/>
  <c r="Q4058" i="1"/>
  <c r="R4058" i="1" s="1"/>
  <c r="Q4050" i="1"/>
  <c r="R4050" i="1" s="1"/>
  <c r="Q4042" i="1"/>
  <c r="R4042" i="1" s="1"/>
  <c r="Q4034" i="1"/>
  <c r="R4034" i="1" s="1"/>
  <c r="Q4026" i="1"/>
  <c r="R4026" i="1" s="1"/>
  <c r="Q4018" i="1"/>
  <c r="R4018" i="1" s="1"/>
  <c r="Q4010" i="1"/>
  <c r="R4010" i="1" s="1"/>
  <c r="Q4002" i="1"/>
  <c r="R4002" i="1" s="1"/>
  <c r="Q3994" i="1"/>
  <c r="R3994" i="1" s="1"/>
  <c r="Q3986" i="1"/>
  <c r="R3986" i="1" s="1"/>
  <c r="Q3978" i="1"/>
  <c r="R3978" i="1" s="1"/>
  <c r="Q3970" i="1"/>
  <c r="R3970" i="1" s="1"/>
  <c r="Q3962" i="1"/>
  <c r="R3962" i="1" s="1"/>
  <c r="Q3954" i="1"/>
  <c r="R3954" i="1" s="1"/>
  <c r="Q3946" i="1"/>
  <c r="R3946" i="1" s="1"/>
  <c r="Q3938" i="1"/>
  <c r="R3938" i="1" s="1"/>
  <c r="Q3930" i="1"/>
  <c r="R3930" i="1" s="1"/>
  <c r="Q3922" i="1"/>
  <c r="R3922" i="1" s="1"/>
  <c r="R3914" i="1"/>
  <c r="Q3914" i="1"/>
  <c r="R3906" i="1"/>
  <c r="Q3906" i="1"/>
  <c r="Q3898" i="1"/>
  <c r="R3898" i="1" s="1"/>
  <c r="Q3890" i="1"/>
  <c r="R3890" i="1" s="1"/>
  <c r="Q3882" i="1"/>
  <c r="R3882" i="1" s="1"/>
  <c r="Q3874" i="1"/>
  <c r="R3874" i="1" s="1"/>
  <c r="Q4089" i="1"/>
  <c r="R4089" i="1" s="1"/>
  <c r="R4081" i="1"/>
  <c r="Q4081" i="1"/>
  <c r="Q4073" i="1"/>
  <c r="R4073" i="1" s="1"/>
  <c r="Q4065" i="1"/>
  <c r="R4065" i="1" s="1"/>
  <c r="Q4057" i="1"/>
  <c r="R4057" i="1" s="1"/>
  <c r="Q4049" i="1"/>
  <c r="R4049" i="1" s="1"/>
  <c r="Q4041" i="1"/>
  <c r="R4041" i="1" s="1"/>
  <c r="Q4033" i="1"/>
  <c r="R4033" i="1" s="1"/>
  <c r="Q4025" i="1"/>
  <c r="R4025" i="1" s="1"/>
  <c r="R4017" i="1"/>
  <c r="Q4017" i="1"/>
  <c r="Q4009" i="1"/>
  <c r="R4009" i="1" s="1"/>
  <c r="Q4001" i="1"/>
  <c r="R4001" i="1" s="1"/>
  <c r="Q3993" i="1"/>
  <c r="R3993" i="1" s="1"/>
  <c r="R3985" i="1"/>
  <c r="Q3985" i="1"/>
  <c r="Q3977" i="1"/>
  <c r="R3977" i="1" s="1"/>
  <c r="Q3969" i="1"/>
  <c r="R3969" i="1" s="1"/>
  <c r="Q3961" i="1"/>
  <c r="R3961" i="1" s="1"/>
  <c r="Q3953" i="1"/>
  <c r="R3953" i="1" s="1"/>
  <c r="Q3945" i="1"/>
  <c r="R3945" i="1" s="1"/>
  <c r="Q3937" i="1"/>
  <c r="R3937" i="1" s="1"/>
  <c r="Q3929" i="1"/>
  <c r="R3929" i="1" s="1"/>
  <c r="Q3921" i="1"/>
  <c r="R3921" i="1" s="1"/>
  <c r="R3913" i="1"/>
  <c r="Q3913" i="1"/>
  <c r="Q3905" i="1"/>
  <c r="R3905" i="1" s="1"/>
  <c r="Q3897" i="1"/>
  <c r="R3897" i="1" s="1"/>
  <c r="Q3889" i="1"/>
  <c r="R3889" i="1" s="1"/>
  <c r="Q3881" i="1"/>
  <c r="R3881" i="1" s="1"/>
  <c r="Q3873" i="1"/>
  <c r="R3873" i="1" s="1"/>
  <c r="Q3865" i="1"/>
  <c r="R3865" i="1" s="1"/>
  <c r="Q3857" i="1"/>
  <c r="R3857" i="1" s="1"/>
  <c r="Q3849" i="1"/>
  <c r="R3849" i="1" s="1"/>
  <c r="Q3841" i="1"/>
  <c r="R3841" i="1" s="1"/>
  <c r="Q3833" i="1"/>
  <c r="R3833" i="1" s="1"/>
  <c r="Q3825" i="1"/>
  <c r="R3825" i="1" s="1"/>
  <c r="Q3817" i="1"/>
  <c r="R3817" i="1" s="1"/>
  <c r="Q3809" i="1"/>
  <c r="R3809" i="1" s="1"/>
  <c r="Q3801" i="1"/>
  <c r="R3801" i="1" s="1"/>
  <c r="Q3793" i="1"/>
  <c r="R3793" i="1" s="1"/>
  <c r="Q3785" i="1"/>
  <c r="R3785" i="1" s="1"/>
  <c r="Q3777" i="1"/>
  <c r="R3777" i="1" s="1"/>
  <c r="Q3769" i="1"/>
  <c r="R3769" i="1" s="1"/>
  <c r="Q3761" i="1"/>
  <c r="R3761" i="1" s="1"/>
  <c r="Q3753" i="1"/>
  <c r="R3753" i="1" s="1"/>
  <c r="Q3745" i="1"/>
  <c r="R3745" i="1" s="1"/>
  <c r="Q3737" i="1"/>
  <c r="R3737" i="1" s="1"/>
  <c r="Q3729" i="1"/>
  <c r="R3729" i="1" s="1"/>
  <c r="Q3721" i="1"/>
  <c r="R3721" i="1" s="1"/>
  <c r="Q3713" i="1"/>
  <c r="R3713" i="1" s="1"/>
  <c r="Q3705" i="1"/>
  <c r="R3705" i="1" s="1"/>
  <c r="Q3697" i="1"/>
  <c r="R3697" i="1" s="1"/>
  <c r="Q3689" i="1"/>
  <c r="R3689" i="1" s="1"/>
  <c r="Q3681" i="1"/>
  <c r="R3681" i="1" s="1"/>
  <c r="Q3673" i="1"/>
  <c r="R3673" i="1" s="1"/>
  <c r="Q3665" i="1"/>
  <c r="R3665" i="1" s="1"/>
  <c r="Q3657" i="1"/>
  <c r="R3657" i="1" s="1"/>
  <c r="Q3649" i="1"/>
  <c r="R3649" i="1" s="1"/>
  <c r="Q3641" i="1"/>
  <c r="R3641" i="1" s="1"/>
  <c r="Q3633" i="1"/>
  <c r="R3633" i="1" s="1"/>
  <c r="Q3625" i="1"/>
  <c r="R3625" i="1" s="1"/>
  <c r="Q3617" i="1"/>
  <c r="R3617" i="1" s="1"/>
  <c r="Q3609" i="1"/>
  <c r="R3609" i="1" s="1"/>
  <c r="Q3601" i="1"/>
  <c r="R3601" i="1" s="1"/>
  <c r="R3593" i="1"/>
  <c r="Q3593" i="1"/>
  <c r="Q3585" i="1"/>
  <c r="R3585" i="1" s="1"/>
  <c r="Q3577" i="1"/>
  <c r="R3577" i="1" s="1"/>
  <c r="Q3569" i="1"/>
  <c r="R3569" i="1" s="1"/>
  <c r="R3561" i="1"/>
  <c r="Q3561" i="1"/>
  <c r="R3553" i="1"/>
  <c r="Q3553" i="1"/>
  <c r="Q3545" i="1"/>
  <c r="R3545" i="1" s="1"/>
  <c r="Q3537" i="1"/>
  <c r="R3537" i="1" s="1"/>
  <c r="Q3529" i="1"/>
  <c r="R3529" i="1" s="1"/>
  <c r="Q3521" i="1"/>
  <c r="R3521" i="1" s="1"/>
  <c r="Q3513" i="1"/>
  <c r="R3513" i="1" s="1"/>
  <c r="R3505" i="1"/>
  <c r="Q3505" i="1"/>
  <c r="Q3497" i="1"/>
  <c r="R3497" i="1" s="1"/>
  <c r="Q3489" i="1"/>
  <c r="R3489" i="1" s="1"/>
  <c r="Q3481" i="1"/>
  <c r="R3481" i="1" s="1"/>
  <c r="Q3473" i="1"/>
  <c r="R3473" i="1" s="1"/>
  <c r="Q3465" i="1"/>
  <c r="R3465" i="1" s="1"/>
  <c r="R3457" i="1"/>
  <c r="Q3457" i="1"/>
  <c r="Q3449" i="1"/>
  <c r="R3449" i="1" s="1"/>
  <c r="Q3441" i="1"/>
  <c r="R3441" i="1" s="1"/>
  <c r="Q3433" i="1"/>
  <c r="R3433" i="1" s="1"/>
  <c r="Q3425" i="1"/>
  <c r="R3425" i="1" s="1"/>
  <c r="Q3417" i="1"/>
  <c r="R3417" i="1" s="1"/>
  <c r="Q3409" i="1"/>
  <c r="R3409" i="1" s="1"/>
  <c r="R3401" i="1"/>
  <c r="Q3401" i="1"/>
  <c r="Q3393" i="1"/>
  <c r="R3393" i="1" s="1"/>
  <c r="Q3385" i="1"/>
  <c r="R3385" i="1" s="1"/>
  <c r="Q3377" i="1"/>
  <c r="R3377" i="1" s="1"/>
  <c r="Q3369" i="1"/>
  <c r="R3369" i="1" s="1"/>
  <c r="Q3361" i="1"/>
  <c r="R3361" i="1" s="1"/>
  <c r="Q3353" i="1"/>
  <c r="R3353" i="1" s="1"/>
  <c r="Q3345" i="1"/>
  <c r="R3345" i="1" s="1"/>
  <c r="Q3337" i="1"/>
  <c r="R3337" i="1" s="1"/>
  <c r="R3329" i="1"/>
  <c r="Q3329" i="1"/>
  <c r="Q3321" i="1"/>
  <c r="R3321" i="1" s="1"/>
  <c r="Q3313" i="1"/>
  <c r="R3313" i="1" s="1"/>
  <c r="Q3305" i="1"/>
  <c r="R3305" i="1" s="1"/>
  <c r="Q3297" i="1"/>
  <c r="R3297" i="1" s="1"/>
  <c r="Q3289" i="1"/>
  <c r="R3289" i="1" s="1"/>
  <c r="R3281" i="1"/>
  <c r="Q3281" i="1"/>
  <c r="Q3273" i="1"/>
  <c r="R3273" i="1" s="1"/>
  <c r="Q3265" i="1"/>
  <c r="R3265" i="1" s="1"/>
  <c r="Q3257" i="1"/>
  <c r="R3257" i="1" s="1"/>
  <c r="Q3249" i="1"/>
  <c r="R3249" i="1" s="1"/>
  <c r="Q3241" i="1"/>
  <c r="R3241" i="1" s="1"/>
  <c r="Q3233" i="1"/>
  <c r="R3233" i="1" s="1"/>
  <c r="Q3225" i="1"/>
  <c r="R3225" i="1" s="1"/>
  <c r="Q3217" i="1"/>
  <c r="R3217" i="1" s="1"/>
  <c r="Q3209" i="1"/>
  <c r="R3209" i="1" s="1"/>
  <c r="Q3201" i="1"/>
  <c r="R3201" i="1" s="1"/>
  <c r="Q3193" i="1"/>
  <c r="R3193" i="1" s="1"/>
  <c r="Q3185" i="1"/>
  <c r="R3185" i="1" s="1"/>
  <c r="Q3177" i="1"/>
  <c r="R3177" i="1" s="1"/>
  <c r="Q3169" i="1"/>
  <c r="R3169" i="1" s="1"/>
  <c r="Q3161" i="1"/>
  <c r="R3161" i="1" s="1"/>
  <c r="R3153" i="1"/>
  <c r="Q3153" i="1"/>
  <c r="Q3145" i="1"/>
  <c r="R3145" i="1" s="1"/>
  <c r="Q3137" i="1"/>
  <c r="R3137" i="1" s="1"/>
  <c r="Q3129" i="1"/>
  <c r="R3129" i="1" s="1"/>
  <c r="Q3121" i="1"/>
  <c r="R3121" i="1" s="1"/>
  <c r="R3113" i="1"/>
  <c r="Q3113" i="1"/>
  <c r="R3105" i="1"/>
  <c r="Q3105" i="1"/>
  <c r="Q3097" i="1"/>
  <c r="R3097" i="1" s="1"/>
  <c r="Q3089" i="1"/>
  <c r="R3089" i="1" s="1"/>
  <c r="Q3081" i="1"/>
  <c r="R3081" i="1" s="1"/>
  <c r="Q3073" i="1"/>
  <c r="R3073" i="1" s="1"/>
  <c r="Q3065" i="1"/>
  <c r="R3065" i="1" s="1"/>
  <c r="Q3057" i="1"/>
  <c r="R3057" i="1" s="1"/>
  <c r="Q3049" i="1"/>
  <c r="R3049" i="1" s="1"/>
  <c r="Q3041" i="1"/>
  <c r="R3041" i="1" s="1"/>
  <c r="Q3033" i="1"/>
  <c r="R3033" i="1" s="1"/>
  <c r="Q3025" i="1"/>
  <c r="R3025" i="1" s="1"/>
  <c r="Q3017" i="1"/>
  <c r="R3017" i="1" s="1"/>
  <c r="Q3009" i="1"/>
  <c r="R3009" i="1" s="1"/>
  <c r="Q3001" i="1"/>
  <c r="R3001" i="1" s="1"/>
  <c r="Q2993" i="1"/>
  <c r="R2993" i="1" s="1"/>
  <c r="Q2985" i="1"/>
  <c r="R2985" i="1" s="1"/>
  <c r="Q2977" i="1"/>
  <c r="R2977" i="1" s="1"/>
  <c r="Q2969" i="1"/>
  <c r="R2969" i="1" s="1"/>
  <c r="Q2961" i="1"/>
  <c r="R2961" i="1" s="1"/>
  <c r="Q2953" i="1"/>
  <c r="R2953" i="1" s="1"/>
  <c r="R2945" i="1"/>
  <c r="Q2945" i="1"/>
  <c r="Q2937" i="1"/>
  <c r="R2937" i="1" s="1"/>
  <c r="R2929" i="1"/>
  <c r="Q2929" i="1"/>
  <c r="Q2921" i="1"/>
  <c r="R2921" i="1" s="1"/>
  <c r="Q2913" i="1"/>
  <c r="R2913" i="1" s="1"/>
  <c r="Q2905" i="1"/>
  <c r="R2905" i="1" s="1"/>
  <c r="R2897" i="1"/>
  <c r="Q2897" i="1"/>
  <c r="Q2889" i="1"/>
  <c r="R2889" i="1" s="1"/>
  <c r="R2881" i="1"/>
  <c r="Q2881" i="1"/>
  <c r="R2873" i="1"/>
  <c r="Q2873" i="1"/>
  <c r="R2865" i="1"/>
  <c r="Q2865" i="1"/>
  <c r="Q2857" i="1"/>
  <c r="R2857" i="1" s="1"/>
  <c r="Q2849" i="1"/>
  <c r="R2849" i="1" s="1"/>
  <c r="R2841" i="1"/>
  <c r="Q2841" i="1"/>
  <c r="Q2833" i="1"/>
  <c r="R2833" i="1" s="1"/>
  <c r="Q2825" i="1"/>
  <c r="R2825" i="1" s="1"/>
  <c r="Q2817" i="1"/>
  <c r="R2817" i="1" s="1"/>
  <c r="Q2809" i="1"/>
  <c r="R2809" i="1" s="1"/>
  <c r="Q2801" i="1"/>
  <c r="R2801" i="1" s="1"/>
  <c r="Q2793" i="1"/>
  <c r="R2793" i="1" s="1"/>
  <c r="Q2785" i="1"/>
  <c r="R2785" i="1" s="1"/>
  <c r="Q2777" i="1"/>
  <c r="R2777" i="1" s="1"/>
  <c r="Q2769" i="1"/>
  <c r="R2769" i="1" s="1"/>
  <c r="Q2761" i="1"/>
  <c r="R2761" i="1" s="1"/>
  <c r="Q2753" i="1"/>
  <c r="R2753" i="1" s="1"/>
  <c r="Q2745" i="1"/>
  <c r="R2745" i="1" s="1"/>
  <c r="Q2737" i="1"/>
  <c r="R2737" i="1" s="1"/>
  <c r="Q2729" i="1"/>
  <c r="R2729" i="1" s="1"/>
  <c r="Q2721" i="1"/>
  <c r="R2721" i="1" s="1"/>
  <c r="Q2713" i="1"/>
  <c r="R2713" i="1" s="1"/>
  <c r="Q2705" i="1"/>
  <c r="R2705" i="1" s="1"/>
  <c r="Q2697" i="1"/>
  <c r="R2697" i="1" s="1"/>
  <c r="Q2689" i="1"/>
  <c r="R2689" i="1" s="1"/>
  <c r="Q2681" i="1"/>
  <c r="R2681" i="1" s="1"/>
  <c r="Q2673" i="1"/>
  <c r="R2673" i="1" s="1"/>
  <c r="Q2665" i="1"/>
  <c r="R2665" i="1" s="1"/>
  <c r="Q2657" i="1"/>
  <c r="R2657" i="1" s="1"/>
  <c r="Q2649" i="1"/>
  <c r="R2649" i="1" s="1"/>
  <c r="Q2641" i="1"/>
  <c r="R2641" i="1" s="1"/>
  <c r="R2633" i="1"/>
  <c r="Q2633" i="1"/>
  <c r="Q2625" i="1"/>
  <c r="R2625" i="1" s="1"/>
  <c r="Q2617" i="1"/>
  <c r="R2617" i="1" s="1"/>
  <c r="Q2609" i="1"/>
  <c r="R2609" i="1" s="1"/>
  <c r="Q2601" i="1"/>
  <c r="R2601" i="1" s="1"/>
  <c r="Q2593" i="1"/>
  <c r="R2593" i="1" s="1"/>
  <c r="Q2585" i="1"/>
  <c r="R2585" i="1" s="1"/>
  <c r="Q2577" i="1"/>
  <c r="R2577" i="1" s="1"/>
  <c r="Q2569" i="1"/>
  <c r="R2569" i="1" s="1"/>
  <c r="Q2561" i="1"/>
  <c r="R2561" i="1" s="1"/>
  <c r="R2553" i="1"/>
  <c r="Q2553" i="1"/>
  <c r="Q2545" i="1"/>
  <c r="R2545" i="1" s="1"/>
  <c r="Q2537" i="1"/>
  <c r="R2537" i="1" s="1"/>
  <c r="Q2529" i="1"/>
  <c r="R2529" i="1" s="1"/>
  <c r="Q2521" i="1"/>
  <c r="R2521" i="1" s="1"/>
  <c r="Q2513" i="1"/>
  <c r="R2513" i="1" s="1"/>
  <c r="Q2505" i="1"/>
  <c r="R2505" i="1" s="1"/>
  <c r="Q2497" i="1"/>
  <c r="R2497" i="1" s="1"/>
  <c r="Q2489" i="1"/>
  <c r="R2489" i="1" s="1"/>
  <c r="Q2481" i="1"/>
  <c r="R2481" i="1" s="1"/>
  <c r="Q2473" i="1"/>
  <c r="R2473" i="1" s="1"/>
  <c r="Q2465" i="1"/>
  <c r="R2465" i="1" s="1"/>
  <c r="Q2457" i="1"/>
  <c r="R2457" i="1" s="1"/>
  <c r="Q2449" i="1"/>
  <c r="R2449" i="1" s="1"/>
  <c r="Q2441" i="1"/>
  <c r="R2441" i="1" s="1"/>
  <c r="Q2433" i="1"/>
  <c r="R2433" i="1" s="1"/>
  <c r="Q2425" i="1"/>
  <c r="R2425" i="1" s="1"/>
  <c r="Q2417" i="1"/>
  <c r="R2417" i="1" s="1"/>
  <c r="R2409" i="1"/>
  <c r="Q2409" i="1"/>
  <c r="Q2401" i="1"/>
  <c r="R2401" i="1" s="1"/>
  <c r="R2393" i="1"/>
  <c r="Q2393" i="1"/>
  <c r="Q2385" i="1"/>
  <c r="R2385" i="1" s="1"/>
  <c r="Q2377" i="1"/>
  <c r="R2377" i="1" s="1"/>
  <c r="R2369" i="1"/>
  <c r="Q2369" i="1"/>
  <c r="Q2361" i="1"/>
  <c r="R2361" i="1" s="1"/>
  <c r="Q2353" i="1"/>
  <c r="R2353" i="1" s="1"/>
  <c r="Q2345" i="1"/>
  <c r="R2345" i="1" s="1"/>
  <c r="Q2337" i="1"/>
  <c r="R2337" i="1" s="1"/>
  <c r="Q2329" i="1"/>
  <c r="R2329" i="1" s="1"/>
  <c r="Q2321" i="1"/>
  <c r="R2321" i="1" s="1"/>
  <c r="R2313" i="1"/>
  <c r="Q2313" i="1"/>
  <c r="Q2305" i="1"/>
  <c r="R2305" i="1" s="1"/>
  <c r="Q2297" i="1"/>
  <c r="R2297" i="1" s="1"/>
  <c r="Q2289" i="1"/>
  <c r="R2289" i="1" s="1"/>
  <c r="Q2281" i="1"/>
  <c r="R2281" i="1" s="1"/>
  <c r="Q2273" i="1"/>
  <c r="R2273" i="1" s="1"/>
  <c r="Q2265" i="1"/>
  <c r="R2265" i="1" s="1"/>
  <c r="Q2257" i="1"/>
  <c r="R2257" i="1" s="1"/>
  <c r="Q2249" i="1"/>
  <c r="R2249" i="1" s="1"/>
  <c r="Q2241" i="1"/>
  <c r="R2241" i="1" s="1"/>
  <c r="Q2233" i="1"/>
  <c r="R2233" i="1" s="1"/>
  <c r="Q2225" i="1"/>
  <c r="R2225" i="1" s="1"/>
  <c r="Q2217" i="1"/>
  <c r="R2217" i="1" s="1"/>
  <c r="Q2209" i="1"/>
  <c r="R2209" i="1" s="1"/>
  <c r="Q2201" i="1"/>
  <c r="R2201" i="1" s="1"/>
  <c r="Q2193" i="1"/>
  <c r="R2193" i="1" s="1"/>
  <c r="Q2185" i="1"/>
  <c r="R2185" i="1" s="1"/>
  <c r="Q2177" i="1"/>
  <c r="R2177" i="1" s="1"/>
  <c r="Q2169" i="1"/>
  <c r="R2169" i="1" s="1"/>
  <c r="Q2161" i="1"/>
  <c r="R2161" i="1" s="1"/>
  <c r="Q2153" i="1"/>
  <c r="R2153" i="1" s="1"/>
  <c r="Q2145" i="1"/>
  <c r="R2145" i="1" s="1"/>
  <c r="Q2137" i="1"/>
  <c r="R2137" i="1" s="1"/>
  <c r="Q2129" i="1"/>
  <c r="R2129" i="1" s="1"/>
  <c r="Q2121" i="1"/>
  <c r="R2121" i="1" s="1"/>
  <c r="Q2113" i="1"/>
  <c r="R2113" i="1" s="1"/>
  <c r="Q2105" i="1"/>
  <c r="R2105" i="1" s="1"/>
  <c r="Q2097" i="1"/>
  <c r="R2097" i="1" s="1"/>
  <c r="Q2089" i="1"/>
  <c r="R2089" i="1" s="1"/>
  <c r="Q2081" i="1"/>
  <c r="R2081" i="1" s="1"/>
  <c r="Q2073" i="1"/>
  <c r="R2073" i="1" s="1"/>
  <c r="Q2065" i="1"/>
  <c r="R2065" i="1" s="1"/>
  <c r="Q2057" i="1"/>
  <c r="R2057" i="1" s="1"/>
  <c r="Q2049" i="1"/>
  <c r="R2049" i="1" s="1"/>
  <c r="Q2041" i="1"/>
  <c r="R2041" i="1" s="1"/>
  <c r="Q2033" i="1"/>
  <c r="R2033" i="1" s="1"/>
  <c r="Q2025" i="1"/>
  <c r="R2025" i="1" s="1"/>
  <c r="Q2017" i="1"/>
  <c r="R2017" i="1" s="1"/>
  <c r="Q2009" i="1"/>
  <c r="R2009" i="1" s="1"/>
  <c r="Q2001" i="1"/>
  <c r="R2001" i="1" s="1"/>
  <c r="Q1993" i="1"/>
  <c r="R1993" i="1" s="1"/>
  <c r="Q1985" i="1"/>
  <c r="R1985" i="1" s="1"/>
  <c r="Q1977" i="1"/>
  <c r="R1977" i="1" s="1"/>
  <c r="Q1969" i="1"/>
  <c r="R1969" i="1" s="1"/>
  <c r="Q1961" i="1"/>
  <c r="R1961" i="1" s="1"/>
  <c r="Q1953" i="1"/>
  <c r="R1953" i="1" s="1"/>
  <c r="Q1945" i="1"/>
  <c r="R1945" i="1" s="1"/>
  <c r="Q1937" i="1"/>
  <c r="R1937" i="1" s="1"/>
  <c r="R1929" i="1"/>
  <c r="Q1929" i="1"/>
  <c r="Q1921" i="1"/>
  <c r="R1921" i="1" s="1"/>
  <c r="Q1913" i="1"/>
  <c r="R1913" i="1" s="1"/>
  <c r="Q1905" i="1"/>
  <c r="R1905" i="1" s="1"/>
  <c r="Q1897" i="1"/>
  <c r="R1897" i="1" s="1"/>
  <c r="Q1889" i="1"/>
  <c r="R1889" i="1" s="1"/>
  <c r="Q1881" i="1"/>
  <c r="R1881" i="1" s="1"/>
  <c r="Q1873" i="1"/>
  <c r="R1873" i="1" s="1"/>
  <c r="Q1865" i="1"/>
  <c r="R1865" i="1" s="1"/>
  <c r="Q1857" i="1"/>
  <c r="R1857" i="1" s="1"/>
  <c r="Q1849" i="1"/>
  <c r="R1849" i="1" s="1"/>
  <c r="Q1841" i="1"/>
  <c r="R1841" i="1" s="1"/>
  <c r="Q1833" i="1"/>
  <c r="R1833" i="1" s="1"/>
  <c r="Q1825" i="1"/>
  <c r="R1825" i="1" s="1"/>
  <c r="Q1817" i="1"/>
  <c r="R1817" i="1" s="1"/>
  <c r="Q1809" i="1"/>
  <c r="R1809" i="1" s="1"/>
  <c r="Q1801" i="1"/>
  <c r="R1801" i="1" s="1"/>
  <c r="Q1793" i="1"/>
  <c r="R1793" i="1" s="1"/>
  <c r="Q1785" i="1"/>
  <c r="R1785" i="1" s="1"/>
  <c r="Q1777" i="1"/>
  <c r="R1777" i="1" s="1"/>
  <c r="Q1769" i="1"/>
  <c r="R1769" i="1" s="1"/>
  <c r="Q1761" i="1"/>
  <c r="R1761" i="1" s="1"/>
  <c r="R1753" i="1"/>
  <c r="Q1753" i="1"/>
  <c r="Q1745" i="1"/>
  <c r="R1745" i="1" s="1"/>
  <c r="Q1737" i="1"/>
  <c r="R1737" i="1" s="1"/>
  <c r="Q1729" i="1"/>
  <c r="R1729" i="1" s="1"/>
  <c r="Q1721" i="1"/>
  <c r="R1721" i="1" s="1"/>
  <c r="Q1713" i="1"/>
  <c r="R1713" i="1" s="1"/>
  <c r="Q1705" i="1"/>
  <c r="R1705" i="1" s="1"/>
  <c r="Q1697" i="1"/>
  <c r="R1697" i="1" s="1"/>
  <c r="Q1689" i="1"/>
  <c r="R1689" i="1" s="1"/>
  <c r="R1681" i="1"/>
  <c r="Q1681" i="1"/>
  <c r="Q1673" i="1"/>
  <c r="R1673" i="1" s="1"/>
  <c r="Q1665" i="1"/>
  <c r="R1665" i="1" s="1"/>
  <c r="Q1657" i="1"/>
  <c r="R1657" i="1" s="1"/>
  <c r="Q1649" i="1"/>
  <c r="R1649" i="1" s="1"/>
  <c r="Q1641" i="1"/>
  <c r="R1641" i="1" s="1"/>
  <c r="Q1633" i="1"/>
  <c r="R1633" i="1" s="1"/>
  <c r="Q1625" i="1"/>
  <c r="R1625" i="1" s="1"/>
  <c r="Q1617" i="1"/>
  <c r="R1617" i="1" s="1"/>
  <c r="Q1609" i="1"/>
  <c r="R1609" i="1" s="1"/>
  <c r="Q1601" i="1"/>
  <c r="R1601" i="1" s="1"/>
  <c r="Q1593" i="1"/>
  <c r="R1593" i="1" s="1"/>
  <c r="Q1585" i="1"/>
  <c r="R1585" i="1" s="1"/>
  <c r="Q1577" i="1"/>
  <c r="R1577" i="1" s="1"/>
  <c r="R1569" i="1"/>
  <c r="Q1569" i="1"/>
  <c r="Q1561" i="1"/>
  <c r="R1561" i="1" s="1"/>
  <c r="Q1553" i="1"/>
  <c r="R1553" i="1" s="1"/>
  <c r="Q1545" i="1"/>
  <c r="R1545" i="1" s="1"/>
  <c r="Q1537" i="1"/>
  <c r="R1537" i="1" s="1"/>
  <c r="Q1529" i="1"/>
  <c r="R1529" i="1" s="1"/>
  <c r="Q1521" i="1"/>
  <c r="R1521" i="1" s="1"/>
  <c r="Q1513" i="1"/>
  <c r="R1513" i="1" s="1"/>
  <c r="Q1505" i="1"/>
  <c r="R1505" i="1" s="1"/>
  <c r="Q1497" i="1"/>
  <c r="R1497" i="1" s="1"/>
  <c r="Q1489" i="1"/>
  <c r="R1489" i="1" s="1"/>
  <c r="Q1481" i="1"/>
  <c r="R1481" i="1" s="1"/>
  <c r="Q1473" i="1"/>
  <c r="R1473" i="1" s="1"/>
  <c r="Q1465" i="1"/>
  <c r="R1465" i="1" s="1"/>
  <c r="Q1457" i="1"/>
  <c r="R1457" i="1" s="1"/>
  <c r="R1449" i="1"/>
  <c r="Q1449" i="1"/>
  <c r="Q1441" i="1"/>
  <c r="R1441" i="1" s="1"/>
  <c r="R1433" i="1"/>
  <c r="Q1433" i="1"/>
  <c r="Q1425" i="1"/>
  <c r="R1425" i="1" s="1"/>
  <c r="Q1417" i="1"/>
  <c r="R1417" i="1" s="1"/>
  <c r="Q1409" i="1"/>
  <c r="R1409" i="1" s="1"/>
  <c r="Q1401" i="1"/>
  <c r="R1401" i="1" s="1"/>
  <c r="Q1393" i="1"/>
  <c r="R1393" i="1" s="1"/>
  <c r="Q1385" i="1"/>
  <c r="R1385" i="1" s="1"/>
  <c r="Q1377" i="1"/>
  <c r="R1377" i="1" s="1"/>
  <c r="Q1369" i="1"/>
  <c r="R1369" i="1" s="1"/>
  <c r="Q1361" i="1"/>
  <c r="R1361" i="1" s="1"/>
  <c r="Q1353" i="1"/>
  <c r="R1353" i="1" s="1"/>
  <c r="Q1345" i="1"/>
  <c r="R1345" i="1" s="1"/>
  <c r="R1337" i="1"/>
  <c r="Q1337" i="1"/>
  <c r="Q1329" i="1"/>
  <c r="R1329" i="1" s="1"/>
  <c r="Q1321" i="1"/>
  <c r="R1321" i="1" s="1"/>
  <c r="Q1313" i="1"/>
  <c r="R1313" i="1" s="1"/>
  <c r="Q1305" i="1"/>
  <c r="R1305" i="1" s="1"/>
  <c r="R1297" i="1"/>
  <c r="Q1297" i="1"/>
  <c r="Q1289" i="1"/>
  <c r="R1289" i="1" s="1"/>
  <c r="Q1281" i="1"/>
  <c r="R1281" i="1" s="1"/>
  <c r="Q1273" i="1"/>
  <c r="R1273" i="1" s="1"/>
  <c r="Q1265" i="1"/>
  <c r="R1265" i="1" s="1"/>
  <c r="R1257" i="1"/>
  <c r="Q1257" i="1"/>
  <c r="Q1249" i="1"/>
  <c r="R1249" i="1" s="1"/>
  <c r="Q1241" i="1"/>
  <c r="R1241" i="1" s="1"/>
  <c r="Q1233" i="1"/>
  <c r="R1233" i="1" s="1"/>
  <c r="Q1225" i="1"/>
  <c r="R1225" i="1" s="1"/>
  <c r="R1217" i="1"/>
  <c r="Q1217" i="1"/>
  <c r="R1209" i="1"/>
  <c r="Q1209" i="1"/>
  <c r="Q1201" i="1"/>
  <c r="R1201" i="1" s="1"/>
  <c r="Q1193" i="1"/>
  <c r="R1193" i="1" s="1"/>
  <c r="Q1185" i="1"/>
  <c r="R1185" i="1" s="1"/>
  <c r="Q1177" i="1"/>
  <c r="R1177" i="1" s="1"/>
  <c r="Q1169" i="1"/>
  <c r="R1169" i="1" s="1"/>
  <c r="Q1161" i="1"/>
  <c r="R1161" i="1" s="1"/>
  <c r="Q1153" i="1"/>
  <c r="R1153" i="1" s="1"/>
  <c r="Q1145" i="1"/>
  <c r="R1145" i="1" s="1"/>
  <c r="Q1137" i="1"/>
  <c r="R1137" i="1" s="1"/>
  <c r="Q1129" i="1"/>
  <c r="R1129" i="1" s="1"/>
  <c r="Q1121" i="1"/>
  <c r="R1121" i="1" s="1"/>
  <c r="Q1113" i="1"/>
  <c r="R1113" i="1" s="1"/>
  <c r="Q1105" i="1"/>
  <c r="R1105" i="1" s="1"/>
  <c r="Q1097" i="1"/>
  <c r="R1097" i="1" s="1"/>
  <c r="Q1089" i="1"/>
  <c r="R1089" i="1" s="1"/>
  <c r="Q1081" i="1"/>
  <c r="R1081" i="1" s="1"/>
  <c r="Q1073" i="1"/>
  <c r="R1073" i="1" s="1"/>
  <c r="Q1065" i="1"/>
  <c r="R1065" i="1" s="1"/>
  <c r="Q1057" i="1"/>
  <c r="R1057" i="1" s="1"/>
  <c r="Q1049" i="1"/>
  <c r="R1049" i="1" s="1"/>
  <c r="Q1041" i="1"/>
  <c r="R1041" i="1" s="1"/>
  <c r="Q1033" i="1"/>
  <c r="R1033" i="1" s="1"/>
  <c r="Q1025" i="1"/>
  <c r="R1025" i="1" s="1"/>
  <c r="Q1017" i="1"/>
  <c r="R1017" i="1" s="1"/>
  <c r="Q1009" i="1"/>
  <c r="R1009" i="1" s="1"/>
  <c r="Q1001" i="1"/>
  <c r="R1001" i="1" s="1"/>
  <c r="Q993" i="1"/>
  <c r="R993" i="1" s="1"/>
  <c r="Q985" i="1"/>
  <c r="R985" i="1" s="1"/>
  <c r="Q977" i="1"/>
  <c r="R977" i="1" s="1"/>
  <c r="Q969" i="1"/>
  <c r="R969" i="1" s="1"/>
  <c r="Q961" i="1"/>
  <c r="R961" i="1" s="1"/>
  <c r="Q953" i="1"/>
  <c r="R953" i="1" s="1"/>
  <c r="Q945" i="1"/>
  <c r="R945" i="1" s="1"/>
  <c r="Q937" i="1"/>
  <c r="R937" i="1" s="1"/>
  <c r="Q929" i="1"/>
  <c r="R929" i="1" s="1"/>
  <c r="Q921" i="1"/>
  <c r="R921" i="1" s="1"/>
  <c r="Q913" i="1"/>
  <c r="R913" i="1" s="1"/>
  <c r="Q905" i="1"/>
  <c r="R905" i="1" s="1"/>
  <c r="Q897" i="1"/>
  <c r="R897" i="1" s="1"/>
  <c r="Q889" i="1"/>
  <c r="R889" i="1" s="1"/>
  <c r="R881" i="1"/>
  <c r="Q881" i="1"/>
  <c r="Q873" i="1"/>
  <c r="R873" i="1" s="1"/>
  <c r="Q865" i="1"/>
  <c r="R865" i="1" s="1"/>
  <c r="Q857" i="1"/>
  <c r="R857" i="1" s="1"/>
  <c r="Q849" i="1"/>
  <c r="R849" i="1" s="1"/>
  <c r="Q841" i="1"/>
  <c r="R841" i="1" s="1"/>
  <c r="Q833" i="1"/>
  <c r="R833" i="1" s="1"/>
  <c r="Q825" i="1"/>
  <c r="R825" i="1" s="1"/>
  <c r="Q817" i="1"/>
  <c r="R817" i="1" s="1"/>
  <c r="Q809" i="1"/>
  <c r="R809" i="1" s="1"/>
  <c r="Q801" i="1"/>
  <c r="R801" i="1" s="1"/>
  <c r="Q793" i="1"/>
  <c r="R793" i="1" s="1"/>
  <c r="Q785" i="1"/>
  <c r="R785" i="1" s="1"/>
  <c r="Q777" i="1"/>
  <c r="R777" i="1" s="1"/>
  <c r="Q769" i="1"/>
  <c r="R769" i="1" s="1"/>
  <c r="Q761" i="1"/>
  <c r="R761" i="1" s="1"/>
  <c r="Q753" i="1"/>
  <c r="R753" i="1" s="1"/>
  <c r="Q745" i="1"/>
  <c r="R745" i="1" s="1"/>
  <c r="R737" i="1"/>
  <c r="Q737" i="1"/>
  <c r="Q729" i="1"/>
  <c r="R729" i="1" s="1"/>
  <c r="Q721" i="1"/>
  <c r="R721" i="1" s="1"/>
  <c r="Q713" i="1"/>
  <c r="R713" i="1" s="1"/>
  <c r="Q705" i="1"/>
  <c r="R705" i="1" s="1"/>
  <c r="Q697" i="1"/>
  <c r="R697" i="1" s="1"/>
  <c r="Q689" i="1"/>
  <c r="R689" i="1" s="1"/>
  <c r="Q681" i="1"/>
  <c r="R681" i="1" s="1"/>
  <c r="Q673" i="1"/>
  <c r="R673" i="1" s="1"/>
  <c r="Q665" i="1"/>
  <c r="R665" i="1" s="1"/>
  <c r="Q657" i="1"/>
  <c r="R657" i="1" s="1"/>
  <c r="Q649" i="1"/>
  <c r="R649" i="1" s="1"/>
  <c r="Q641" i="1"/>
  <c r="R641" i="1" s="1"/>
  <c r="Q633" i="1"/>
  <c r="R633" i="1" s="1"/>
  <c r="Q625" i="1"/>
  <c r="R625" i="1" s="1"/>
  <c r="Q617" i="1"/>
  <c r="R617" i="1" s="1"/>
  <c r="Q609" i="1"/>
  <c r="R609" i="1" s="1"/>
  <c r="Q601" i="1"/>
  <c r="R601" i="1" s="1"/>
  <c r="Q593" i="1"/>
  <c r="R593" i="1" s="1"/>
  <c r="Q585" i="1"/>
  <c r="R585" i="1" s="1"/>
  <c r="Q577" i="1"/>
  <c r="R577" i="1" s="1"/>
  <c r="Q569" i="1"/>
  <c r="R569" i="1" s="1"/>
  <c r="R561" i="1"/>
  <c r="Q561" i="1"/>
  <c r="Q553" i="1"/>
  <c r="R553" i="1" s="1"/>
  <c r="Q545" i="1"/>
  <c r="R545" i="1" s="1"/>
  <c r="Q537" i="1"/>
  <c r="R537" i="1" s="1"/>
  <c r="Q529" i="1"/>
  <c r="R529" i="1" s="1"/>
  <c r="Q521" i="1"/>
  <c r="R521" i="1" s="1"/>
  <c r="Q513" i="1"/>
  <c r="R513" i="1" s="1"/>
  <c r="Q505" i="1"/>
  <c r="R505" i="1" s="1"/>
  <c r="Q497" i="1"/>
  <c r="R497" i="1" s="1"/>
  <c r="R489" i="1"/>
  <c r="Q489" i="1"/>
  <c r="Q481" i="1"/>
  <c r="R481" i="1" s="1"/>
  <c r="Q473" i="1"/>
  <c r="R473" i="1" s="1"/>
  <c r="Q465" i="1"/>
  <c r="R465" i="1" s="1"/>
  <c r="R457" i="1"/>
  <c r="Q457" i="1"/>
  <c r="Q449" i="1"/>
  <c r="R449" i="1" s="1"/>
  <c r="Q441" i="1"/>
  <c r="R441" i="1" s="1"/>
  <c r="Q433" i="1"/>
  <c r="R433" i="1" s="1"/>
  <c r="Q425" i="1"/>
  <c r="R425" i="1" s="1"/>
  <c r="Q417" i="1"/>
  <c r="R417" i="1" s="1"/>
  <c r="Q409" i="1"/>
  <c r="R409" i="1" s="1"/>
  <c r="Q401" i="1"/>
  <c r="R401" i="1" s="1"/>
  <c r="Q393" i="1"/>
  <c r="R393" i="1" s="1"/>
  <c r="R385" i="1"/>
  <c r="Q385" i="1"/>
  <c r="Q377" i="1"/>
  <c r="R377" i="1" s="1"/>
  <c r="Q369" i="1"/>
  <c r="R369" i="1" s="1"/>
  <c r="Q361" i="1"/>
  <c r="R361" i="1" s="1"/>
  <c r="Q353" i="1"/>
  <c r="R353" i="1" s="1"/>
  <c r="Q345" i="1"/>
  <c r="R345" i="1" s="1"/>
  <c r="Q337" i="1"/>
  <c r="R337" i="1" s="1"/>
  <c r="Q329" i="1"/>
  <c r="R329" i="1" s="1"/>
  <c r="Q321" i="1"/>
  <c r="R321" i="1" s="1"/>
  <c r="R313" i="1"/>
  <c r="Q313" i="1"/>
  <c r="Q305" i="1"/>
  <c r="R305" i="1" s="1"/>
  <c r="Q297" i="1"/>
  <c r="R297" i="1" s="1"/>
  <c r="Q289" i="1"/>
  <c r="R289" i="1" s="1"/>
  <c r="Q281" i="1"/>
  <c r="R281" i="1" s="1"/>
  <c r="Q273" i="1"/>
  <c r="R273" i="1" s="1"/>
  <c r="Q265" i="1"/>
  <c r="R265" i="1" s="1"/>
  <c r="R257" i="1"/>
  <c r="Q257" i="1"/>
  <c r="Q249" i="1"/>
  <c r="R249" i="1" s="1"/>
  <c r="Q241" i="1"/>
  <c r="R241" i="1" s="1"/>
  <c r="Q233" i="1"/>
  <c r="R233" i="1" s="1"/>
  <c r="Q225" i="1"/>
  <c r="R225" i="1" s="1"/>
  <c r="Q217" i="1"/>
  <c r="R217" i="1" s="1"/>
  <c r="Q209" i="1"/>
  <c r="R209" i="1" s="1"/>
  <c r="Q201" i="1"/>
  <c r="R201" i="1" s="1"/>
  <c r="Q193" i="1"/>
  <c r="R193" i="1" s="1"/>
  <c r="Q185" i="1"/>
  <c r="R185" i="1" s="1"/>
  <c r="Q177" i="1"/>
  <c r="R177" i="1" s="1"/>
  <c r="R169" i="1"/>
  <c r="Q169" i="1"/>
  <c r="Q161" i="1"/>
  <c r="R161" i="1" s="1"/>
  <c r="Q153" i="1"/>
  <c r="R153" i="1" s="1"/>
  <c r="Q145" i="1"/>
  <c r="R145" i="1" s="1"/>
  <c r="Q137" i="1"/>
  <c r="R137" i="1" s="1"/>
  <c r="R129" i="1"/>
  <c r="Q129" i="1"/>
  <c r="Q121" i="1"/>
  <c r="R121" i="1" s="1"/>
  <c r="Q113" i="1"/>
  <c r="R113" i="1" s="1"/>
  <c r="R105" i="1"/>
  <c r="Q105" i="1"/>
  <c r="Q97" i="1"/>
  <c r="R97" i="1" s="1"/>
  <c r="Q89" i="1"/>
  <c r="R89" i="1" s="1"/>
  <c r="Q81" i="1"/>
  <c r="R81" i="1" s="1"/>
  <c r="Q73" i="1"/>
  <c r="R73" i="1" s="1"/>
  <c r="Q65" i="1"/>
  <c r="R65" i="1" s="1"/>
  <c r="Q57" i="1"/>
  <c r="R57" i="1" s="1"/>
  <c r="Q49" i="1"/>
  <c r="R49" i="1" s="1"/>
  <c r="Q41" i="1"/>
  <c r="R41" i="1" s="1"/>
  <c r="Q33" i="1"/>
  <c r="R33" i="1" s="1"/>
  <c r="Q25" i="1"/>
  <c r="R25" i="1" s="1"/>
  <c r="Q17" i="1"/>
  <c r="R17" i="1" s="1"/>
  <c r="Q9" i="1"/>
  <c r="R9" i="1" s="1"/>
  <c r="Q3864" i="1"/>
  <c r="R3864" i="1" s="1"/>
  <c r="Q3856" i="1"/>
  <c r="R3856" i="1" s="1"/>
  <c r="Q3848" i="1"/>
  <c r="R3848" i="1" s="1"/>
  <c r="Q3840" i="1"/>
  <c r="R3840" i="1" s="1"/>
  <c r="Q3832" i="1"/>
  <c r="R3832" i="1" s="1"/>
  <c r="Q3824" i="1"/>
  <c r="R3824" i="1" s="1"/>
  <c r="Q3816" i="1"/>
  <c r="R3816" i="1" s="1"/>
  <c r="Q3808" i="1"/>
  <c r="R3808" i="1" s="1"/>
  <c r="Q3800" i="1"/>
  <c r="R3800" i="1" s="1"/>
  <c r="Q3792" i="1"/>
  <c r="R3792" i="1" s="1"/>
  <c r="R3784" i="1"/>
  <c r="Q3784" i="1"/>
  <c r="Q3776" i="1"/>
  <c r="R3776" i="1" s="1"/>
  <c r="Q3768" i="1"/>
  <c r="R3768" i="1" s="1"/>
  <c r="Q3760" i="1"/>
  <c r="R3760" i="1" s="1"/>
  <c r="Q3752" i="1"/>
  <c r="R3752" i="1" s="1"/>
  <c r="Q3744" i="1"/>
  <c r="R3744" i="1" s="1"/>
  <c r="R3736" i="1"/>
  <c r="Q3736" i="1"/>
  <c r="Q3728" i="1"/>
  <c r="R3728" i="1" s="1"/>
  <c r="R3720" i="1"/>
  <c r="Q3720" i="1"/>
  <c r="Q3712" i="1"/>
  <c r="R3712" i="1" s="1"/>
  <c r="Q3704" i="1"/>
  <c r="R3704" i="1" s="1"/>
  <c r="R3696" i="1"/>
  <c r="Q3696" i="1"/>
  <c r="Q3688" i="1"/>
  <c r="R3688" i="1" s="1"/>
  <c r="Q3680" i="1"/>
  <c r="R3680" i="1" s="1"/>
  <c r="Q3672" i="1"/>
  <c r="R3672" i="1" s="1"/>
  <c r="Q3664" i="1"/>
  <c r="R3664" i="1" s="1"/>
  <c r="Q3656" i="1"/>
  <c r="R3656" i="1" s="1"/>
  <c r="Q3648" i="1"/>
  <c r="R3648" i="1" s="1"/>
  <c r="Q3640" i="1"/>
  <c r="R3640" i="1" s="1"/>
  <c r="R3632" i="1"/>
  <c r="Q3632" i="1"/>
  <c r="Q3624" i="1"/>
  <c r="R3624" i="1" s="1"/>
  <c r="R3616" i="1"/>
  <c r="Q3616" i="1"/>
  <c r="Q3608" i="1"/>
  <c r="R3608" i="1" s="1"/>
  <c r="Q3600" i="1"/>
  <c r="R3600" i="1" s="1"/>
  <c r="Q3592" i="1"/>
  <c r="R3592" i="1" s="1"/>
  <c r="Q3584" i="1"/>
  <c r="R3584" i="1" s="1"/>
  <c r="Q3576" i="1"/>
  <c r="R3576" i="1" s="1"/>
  <c r="Q3568" i="1"/>
  <c r="R3568" i="1" s="1"/>
  <c r="Q3560" i="1"/>
  <c r="R3560" i="1" s="1"/>
  <c r="Q3552" i="1"/>
  <c r="R3552" i="1" s="1"/>
  <c r="Q3544" i="1"/>
  <c r="R3544" i="1" s="1"/>
  <c r="R3536" i="1"/>
  <c r="Q3536" i="1"/>
  <c r="Q3528" i="1"/>
  <c r="R3528" i="1" s="1"/>
  <c r="Q3520" i="1"/>
  <c r="R3520" i="1" s="1"/>
  <c r="Q3512" i="1"/>
  <c r="R3512" i="1" s="1"/>
  <c r="Q3504" i="1"/>
  <c r="R3504" i="1" s="1"/>
  <c r="Q3496" i="1"/>
  <c r="R3496" i="1" s="1"/>
  <c r="Q3488" i="1"/>
  <c r="R3488" i="1" s="1"/>
  <c r="Q3480" i="1"/>
  <c r="R3480" i="1" s="1"/>
  <c r="Q3472" i="1"/>
  <c r="R3472" i="1" s="1"/>
  <c r="Q3464" i="1"/>
  <c r="R3464" i="1" s="1"/>
  <c r="Q3456" i="1"/>
  <c r="R3456" i="1" s="1"/>
  <c r="Q3448" i="1"/>
  <c r="R3448" i="1" s="1"/>
  <c r="Q3440" i="1"/>
  <c r="R3440" i="1" s="1"/>
  <c r="Q3432" i="1"/>
  <c r="R3432" i="1" s="1"/>
  <c r="Q3424" i="1"/>
  <c r="R3424" i="1" s="1"/>
  <c r="Q3416" i="1"/>
  <c r="R3416" i="1" s="1"/>
  <c r="Q3408" i="1"/>
  <c r="R3408" i="1" s="1"/>
  <c r="Q3400" i="1"/>
  <c r="R3400" i="1" s="1"/>
  <c r="Q3392" i="1"/>
  <c r="R3392" i="1" s="1"/>
  <c r="Q3384" i="1"/>
  <c r="R3384" i="1" s="1"/>
  <c r="Q3376" i="1"/>
  <c r="R3376" i="1" s="1"/>
  <c r="Q3368" i="1"/>
  <c r="R3368" i="1" s="1"/>
  <c r="Q3360" i="1"/>
  <c r="R3360" i="1" s="1"/>
  <c r="Q3352" i="1"/>
  <c r="R3352" i="1" s="1"/>
  <c r="Q3344" i="1"/>
  <c r="R3344" i="1" s="1"/>
  <c r="Q3336" i="1"/>
  <c r="R3336" i="1" s="1"/>
  <c r="R3328" i="1"/>
  <c r="Q3328" i="1"/>
  <c r="Q3320" i="1"/>
  <c r="R3320" i="1" s="1"/>
  <c r="R3312" i="1"/>
  <c r="Q3312" i="1"/>
  <c r="Q3304" i="1"/>
  <c r="R3304" i="1" s="1"/>
  <c r="Q3296" i="1"/>
  <c r="R3296" i="1" s="1"/>
  <c r="Q3288" i="1"/>
  <c r="R3288" i="1" s="1"/>
  <c r="Q3280" i="1"/>
  <c r="R3280" i="1" s="1"/>
  <c r="R3272" i="1"/>
  <c r="Q3272" i="1"/>
  <c r="Q3264" i="1"/>
  <c r="R3264" i="1" s="1"/>
  <c r="Q3256" i="1"/>
  <c r="R3256" i="1" s="1"/>
  <c r="Q3248" i="1"/>
  <c r="R3248" i="1" s="1"/>
  <c r="Q3240" i="1"/>
  <c r="R3240" i="1" s="1"/>
  <c r="Q3232" i="1"/>
  <c r="R3232" i="1" s="1"/>
  <c r="Q3224" i="1"/>
  <c r="R3224" i="1" s="1"/>
  <c r="Q3216" i="1"/>
  <c r="R3216" i="1" s="1"/>
  <c r="Q3208" i="1"/>
  <c r="R3208" i="1" s="1"/>
  <c r="Q3200" i="1"/>
  <c r="R3200" i="1" s="1"/>
  <c r="Q3192" i="1"/>
  <c r="R3192" i="1" s="1"/>
  <c r="Q3184" i="1"/>
  <c r="R3184" i="1" s="1"/>
  <c r="Q3176" i="1"/>
  <c r="R3176" i="1" s="1"/>
  <c r="Q3168" i="1"/>
  <c r="R3168" i="1" s="1"/>
  <c r="Q3160" i="1"/>
  <c r="R3160" i="1" s="1"/>
  <c r="Q3152" i="1"/>
  <c r="R3152" i="1" s="1"/>
  <c r="Q3144" i="1"/>
  <c r="R3144" i="1" s="1"/>
  <c r="Q3136" i="1"/>
  <c r="R3136" i="1" s="1"/>
  <c r="R3128" i="1"/>
  <c r="Q3128" i="1"/>
  <c r="Q3120" i="1"/>
  <c r="R3120" i="1" s="1"/>
  <c r="Q3112" i="1"/>
  <c r="R3112" i="1" s="1"/>
  <c r="Q3104" i="1"/>
  <c r="R3104" i="1" s="1"/>
  <c r="R3096" i="1"/>
  <c r="Q3096" i="1"/>
  <c r="Q3088" i="1"/>
  <c r="R3088" i="1" s="1"/>
  <c r="Q3080" i="1"/>
  <c r="R3080" i="1" s="1"/>
  <c r="Q3072" i="1"/>
  <c r="R3072" i="1" s="1"/>
  <c r="Q3064" i="1"/>
  <c r="R3064" i="1" s="1"/>
  <c r="Q3056" i="1"/>
  <c r="R3056" i="1" s="1"/>
  <c r="Q3048" i="1"/>
  <c r="R3048" i="1" s="1"/>
  <c r="Q3040" i="1"/>
  <c r="R3040" i="1" s="1"/>
  <c r="Q3032" i="1"/>
  <c r="R3032" i="1" s="1"/>
  <c r="Q3024" i="1"/>
  <c r="R3024" i="1" s="1"/>
  <c r="Q3016" i="1"/>
  <c r="R3016" i="1" s="1"/>
  <c r="Q3008" i="1"/>
  <c r="R3008" i="1" s="1"/>
  <c r="Q3000" i="1"/>
  <c r="R3000" i="1" s="1"/>
  <c r="Q2992" i="1"/>
  <c r="R2992" i="1" s="1"/>
  <c r="Q2984" i="1"/>
  <c r="R2984" i="1" s="1"/>
  <c r="R2976" i="1"/>
  <c r="Q2976" i="1"/>
  <c r="Q2968" i="1"/>
  <c r="R2968" i="1" s="1"/>
  <c r="Q2960" i="1"/>
  <c r="R2960" i="1" s="1"/>
  <c r="Q2952" i="1"/>
  <c r="R2952" i="1" s="1"/>
  <c r="Q2944" i="1"/>
  <c r="R2944" i="1" s="1"/>
  <c r="Q2936" i="1"/>
  <c r="R2936" i="1" s="1"/>
  <c r="Q2928" i="1"/>
  <c r="R2928" i="1" s="1"/>
  <c r="Q2920" i="1"/>
  <c r="R2920" i="1" s="1"/>
  <c r="R2912" i="1"/>
  <c r="Q2912" i="1"/>
  <c r="R2904" i="1"/>
  <c r="Q2904" i="1"/>
  <c r="Q2896" i="1"/>
  <c r="R2896" i="1" s="1"/>
  <c r="Q2888" i="1"/>
  <c r="R2888" i="1" s="1"/>
  <c r="Q2880" i="1"/>
  <c r="R2880" i="1" s="1"/>
  <c r="Q2872" i="1"/>
  <c r="R2872" i="1" s="1"/>
  <c r="Q2864" i="1"/>
  <c r="R2864" i="1" s="1"/>
  <c r="Q2856" i="1"/>
  <c r="R2856" i="1" s="1"/>
  <c r="Q2848" i="1"/>
  <c r="R2848" i="1" s="1"/>
  <c r="Q2840" i="1"/>
  <c r="R2840" i="1" s="1"/>
  <c r="Q2832" i="1"/>
  <c r="R2832" i="1" s="1"/>
  <c r="Q2824" i="1"/>
  <c r="R2824" i="1" s="1"/>
  <c r="Q2816" i="1"/>
  <c r="R2816" i="1" s="1"/>
  <c r="Q2808" i="1"/>
  <c r="R2808" i="1" s="1"/>
  <c r="Q2800" i="1"/>
  <c r="R2800" i="1" s="1"/>
  <c r="Q2792" i="1"/>
  <c r="R2792" i="1" s="1"/>
  <c r="Q2784" i="1"/>
  <c r="R2784" i="1" s="1"/>
  <c r="Q2776" i="1"/>
  <c r="R2776" i="1" s="1"/>
  <c r="Q2768" i="1"/>
  <c r="R2768" i="1" s="1"/>
  <c r="Q2760" i="1"/>
  <c r="R2760" i="1" s="1"/>
  <c r="Q2752" i="1"/>
  <c r="R2752" i="1" s="1"/>
  <c r="Q2744" i="1"/>
  <c r="R2744" i="1" s="1"/>
  <c r="Q2736" i="1"/>
  <c r="R2736" i="1" s="1"/>
  <c r="Q2728" i="1"/>
  <c r="R2728" i="1" s="1"/>
  <c r="Q2720" i="1"/>
  <c r="R2720" i="1" s="1"/>
  <c r="Q2712" i="1"/>
  <c r="R2712" i="1" s="1"/>
  <c r="Q2704" i="1"/>
  <c r="R2704" i="1" s="1"/>
  <c r="Q2696" i="1"/>
  <c r="R2696" i="1" s="1"/>
  <c r="Q2688" i="1"/>
  <c r="R2688" i="1" s="1"/>
  <c r="Q2680" i="1"/>
  <c r="R2680" i="1" s="1"/>
  <c r="Q2672" i="1"/>
  <c r="R2672" i="1" s="1"/>
  <c r="Q2664" i="1"/>
  <c r="R2664" i="1" s="1"/>
  <c r="Q2656" i="1"/>
  <c r="R2656" i="1" s="1"/>
  <c r="Q2648" i="1"/>
  <c r="R2648" i="1" s="1"/>
  <c r="Q2640" i="1"/>
  <c r="R2640" i="1" s="1"/>
  <c r="R2632" i="1"/>
  <c r="Q2632" i="1"/>
  <c r="Q2624" i="1"/>
  <c r="R2624" i="1" s="1"/>
  <c r="Q2616" i="1"/>
  <c r="R2616" i="1" s="1"/>
  <c r="Q2608" i="1"/>
  <c r="R2608" i="1" s="1"/>
  <c r="R2600" i="1"/>
  <c r="Q2600" i="1"/>
  <c r="Q2592" i="1"/>
  <c r="R2592" i="1" s="1"/>
  <c r="R2584" i="1"/>
  <c r="Q2584" i="1"/>
  <c r="Q2576" i="1"/>
  <c r="R2576" i="1" s="1"/>
  <c r="Q2568" i="1"/>
  <c r="R2568" i="1" s="1"/>
  <c r="Q2560" i="1"/>
  <c r="R2560" i="1" s="1"/>
  <c r="Q2552" i="1"/>
  <c r="R2552" i="1" s="1"/>
  <c r="Q2544" i="1"/>
  <c r="R2544" i="1" s="1"/>
  <c r="Q2536" i="1"/>
  <c r="R2536" i="1" s="1"/>
  <c r="Q2528" i="1"/>
  <c r="R2528" i="1" s="1"/>
  <c r="Q2520" i="1"/>
  <c r="R2520" i="1" s="1"/>
  <c r="Q2512" i="1"/>
  <c r="R2512" i="1" s="1"/>
  <c r="Q2504" i="1"/>
  <c r="R2504" i="1" s="1"/>
  <c r="Q2496" i="1"/>
  <c r="R2496" i="1" s="1"/>
  <c r="Q2488" i="1"/>
  <c r="R2488" i="1" s="1"/>
  <c r="R2480" i="1"/>
  <c r="Q2480" i="1"/>
  <c r="Q2472" i="1"/>
  <c r="R2472" i="1" s="1"/>
  <c r="Q2464" i="1"/>
  <c r="R2464" i="1" s="1"/>
  <c r="R2456" i="1"/>
  <c r="Q2456" i="1"/>
  <c r="Q2448" i="1"/>
  <c r="R2448" i="1" s="1"/>
  <c r="Q2440" i="1"/>
  <c r="R2440" i="1" s="1"/>
  <c r="Q2432" i="1"/>
  <c r="R2432" i="1" s="1"/>
  <c r="Q2424" i="1"/>
  <c r="R2424" i="1" s="1"/>
  <c r="Q2416" i="1"/>
  <c r="R2416" i="1" s="1"/>
  <c r="R2408" i="1"/>
  <c r="Q2408" i="1"/>
  <c r="Q2400" i="1"/>
  <c r="R2400" i="1" s="1"/>
  <c r="Q2392" i="1"/>
  <c r="R2392" i="1" s="1"/>
  <c r="Q2384" i="1"/>
  <c r="R2384" i="1" s="1"/>
  <c r="Q2376" i="1"/>
  <c r="R2376" i="1" s="1"/>
  <c r="Q2368" i="1"/>
  <c r="R2368" i="1" s="1"/>
  <c r="Q2360" i="1"/>
  <c r="R2360" i="1" s="1"/>
  <c r="Q2352" i="1"/>
  <c r="R2352" i="1" s="1"/>
  <c r="R2344" i="1"/>
  <c r="Q2344" i="1"/>
  <c r="Q2336" i="1"/>
  <c r="R2336" i="1" s="1"/>
  <c r="Q2328" i="1"/>
  <c r="R2328" i="1" s="1"/>
  <c r="Q2320" i="1"/>
  <c r="R2320" i="1" s="1"/>
  <c r="Q2312" i="1"/>
  <c r="R2312" i="1" s="1"/>
  <c r="Q2304" i="1"/>
  <c r="R2304" i="1" s="1"/>
  <c r="Q2296" i="1"/>
  <c r="R2296" i="1" s="1"/>
  <c r="Q2288" i="1"/>
  <c r="R2288" i="1" s="1"/>
  <c r="Q2280" i="1"/>
  <c r="R2280" i="1" s="1"/>
  <c r="Q2272" i="1"/>
  <c r="R2272" i="1" s="1"/>
  <c r="Q2264" i="1"/>
  <c r="R2264" i="1" s="1"/>
  <c r="Q2256" i="1"/>
  <c r="R2256" i="1" s="1"/>
  <c r="Q2248" i="1"/>
  <c r="R2248" i="1" s="1"/>
  <c r="Q2240" i="1"/>
  <c r="R2240" i="1" s="1"/>
  <c r="Q2232" i="1"/>
  <c r="R2232" i="1" s="1"/>
  <c r="Q2224" i="1"/>
  <c r="R2224" i="1" s="1"/>
  <c r="Q2216" i="1"/>
  <c r="R2216" i="1" s="1"/>
  <c r="Q2208" i="1"/>
  <c r="R2208" i="1" s="1"/>
  <c r="Q2200" i="1"/>
  <c r="R2200" i="1" s="1"/>
  <c r="Q2192" i="1"/>
  <c r="R2192" i="1" s="1"/>
  <c r="Q2184" i="1"/>
  <c r="R2184" i="1" s="1"/>
  <c r="Q2176" i="1"/>
  <c r="R2176" i="1" s="1"/>
  <c r="R2168" i="1"/>
  <c r="Q2168" i="1"/>
  <c r="Q2160" i="1"/>
  <c r="R2160" i="1" s="1"/>
  <c r="Q2152" i="1"/>
  <c r="R2152" i="1" s="1"/>
  <c r="Q2144" i="1"/>
  <c r="R2144" i="1" s="1"/>
  <c r="Q2136" i="1"/>
  <c r="R2136" i="1" s="1"/>
  <c r="Q2128" i="1"/>
  <c r="R2128" i="1" s="1"/>
  <c r="Q2120" i="1"/>
  <c r="R2120" i="1" s="1"/>
  <c r="Q2112" i="1"/>
  <c r="R2112" i="1" s="1"/>
  <c r="Q2104" i="1"/>
  <c r="R2104" i="1" s="1"/>
  <c r="Q2096" i="1"/>
  <c r="R2096" i="1" s="1"/>
  <c r="Q2088" i="1"/>
  <c r="R2088" i="1" s="1"/>
  <c r="Q2080" i="1"/>
  <c r="R2080" i="1" s="1"/>
  <c r="Q2072" i="1"/>
  <c r="R2072" i="1" s="1"/>
  <c r="Q2064" i="1"/>
  <c r="R2064" i="1" s="1"/>
  <c r="Q2056" i="1"/>
  <c r="R2056" i="1" s="1"/>
  <c r="Q2048" i="1"/>
  <c r="R2048" i="1" s="1"/>
  <c r="Q2040" i="1"/>
  <c r="R2040" i="1" s="1"/>
  <c r="Q2032" i="1"/>
  <c r="R2032" i="1" s="1"/>
  <c r="Q2024" i="1"/>
  <c r="R2024" i="1" s="1"/>
  <c r="Q2016" i="1"/>
  <c r="R2016" i="1" s="1"/>
  <c r="Q2008" i="1"/>
  <c r="R2008" i="1" s="1"/>
  <c r="Q2000" i="1"/>
  <c r="R2000" i="1" s="1"/>
  <c r="Q1992" i="1"/>
  <c r="R1992" i="1" s="1"/>
  <c r="Q1984" i="1"/>
  <c r="R1984" i="1" s="1"/>
  <c r="Q1976" i="1"/>
  <c r="R1976" i="1" s="1"/>
  <c r="Q1968" i="1"/>
  <c r="R1968" i="1" s="1"/>
  <c r="Q1960" i="1"/>
  <c r="R1960" i="1" s="1"/>
  <c r="Q1952" i="1"/>
  <c r="R1952" i="1" s="1"/>
  <c r="Q1944" i="1"/>
  <c r="R1944" i="1" s="1"/>
  <c r="Q1936" i="1"/>
  <c r="R1936" i="1" s="1"/>
  <c r="Q1928" i="1"/>
  <c r="R1928" i="1" s="1"/>
  <c r="Q1920" i="1"/>
  <c r="R1920" i="1" s="1"/>
  <c r="Q1912" i="1"/>
  <c r="R1912" i="1" s="1"/>
  <c r="Q1904" i="1"/>
  <c r="R1904" i="1" s="1"/>
  <c r="Q1896" i="1"/>
  <c r="R1896" i="1" s="1"/>
  <c r="Q1888" i="1"/>
  <c r="R1888" i="1" s="1"/>
  <c r="Q1880" i="1"/>
  <c r="R1880" i="1" s="1"/>
  <c r="Q1872" i="1"/>
  <c r="R1872" i="1" s="1"/>
  <c r="Q1864" i="1"/>
  <c r="R1864" i="1" s="1"/>
  <c r="Q1856" i="1"/>
  <c r="R1856" i="1" s="1"/>
  <c r="R1848" i="1"/>
  <c r="Q1848" i="1"/>
  <c r="Q1840" i="1"/>
  <c r="R1840" i="1" s="1"/>
  <c r="R1832" i="1"/>
  <c r="Q1832" i="1"/>
  <c r="Q1824" i="1"/>
  <c r="R1824" i="1" s="1"/>
  <c r="Q1816" i="1"/>
  <c r="R1816" i="1" s="1"/>
  <c r="Q1808" i="1"/>
  <c r="R1808" i="1" s="1"/>
  <c r="Q1800" i="1"/>
  <c r="R1800" i="1" s="1"/>
  <c r="Q1792" i="1"/>
  <c r="R1792" i="1" s="1"/>
  <c r="R1784" i="1"/>
  <c r="Q1784" i="1"/>
  <c r="Q1776" i="1"/>
  <c r="R1776" i="1" s="1"/>
  <c r="Q1768" i="1"/>
  <c r="R1768" i="1" s="1"/>
  <c r="Q1760" i="1"/>
  <c r="R1760" i="1" s="1"/>
  <c r="Q1752" i="1"/>
  <c r="R1752" i="1" s="1"/>
  <c r="Q1744" i="1"/>
  <c r="R1744" i="1" s="1"/>
  <c r="Q1736" i="1"/>
  <c r="R1736" i="1" s="1"/>
  <c r="Q1728" i="1"/>
  <c r="R1728" i="1" s="1"/>
  <c r="Q1720" i="1"/>
  <c r="R1720" i="1" s="1"/>
  <c r="Q1712" i="1"/>
  <c r="R1712" i="1" s="1"/>
  <c r="R1704" i="1"/>
  <c r="Q1704" i="1"/>
  <c r="Q1696" i="1"/>
  <c r="R1696" i="1" s="1"/>
  <c r="Q1688" i="1"/>
  <c r="R1688" i="1" s="1"/>
  <c r="Q1680" i="1"/>
  <c r="R1680" i="1" s="1"/>
  <c r="Q1672" i="1"/>
  <c r="R1672" i="1" s="1"/>
  <c r="Q1664" i="1"/>
  <c r="R1664" i="1" s="1"/>
  <c r="Q1656" i="1"/>
  <c r="R1656" i="1" s="1"/>
  <c r="R1648" i="1"/>
  <c r="Q1648" i="1"/>
  <c r="R1640" i="1"/>
  <c r="Q1640" i="1"/>
  <c r="Q1632" i="1"/>
  <c r="R1632" i="1" s="1"/>
  <c r="R1624" i="1"/>
  <c r="Q1624" i="1"/>
  <c r="R1616" i="1"/>
  <c r="Q1616" i="1"/>
  <c r="Q1608" i="1"/>
  <c r="R1608" i="1" s="1"/>
  <c r="Q1600" i="1"/>
  <c r="R1600" i="1" s="1"/>
  <c r="Q1592" i="1"/>
  <c r="R1592" i="1" s="1"/>
  <c r="Q1584" i="1"/>
  <c r="R1584" i="1" s="1"/>
  <c r="Q1576" i="1"/>
  <c r="R1576" i="1" s="1"/>
  <c r="Q1568" i="1"/>
  <c r="R1568" i="1" s="1"/>
  <c r="Q1560" i="1"/>
  <c r="R1560" i="1" s="1"/>
  <c r="Q1552" i="1"/>
  <c r="R1552" i="1" s="1"/>
  <c r="Q1544" i="1"/>
  <c r="R1544" i="1" s="1"/>
  <c r="R1536" i="1"/>
  <c r="Q1536" i="1"/>
  <c r="Q1528" i="1"/>
  <c r="R1528" i="1" s="1"/>
  <c r="Q1520" i="1"/>
  <c r="R1520" i="1" s="1"/>
  <c r="Q1512" i="1"/>
  <c r="R1512" i="1" s="1"/>
  <c r="R1504" i="1"/>
  <c r="Q1504" i="1"/>
  <c r="Q1496" i="1"/>
  <c r="R1496" i="1" s="1"/>
  <c r="Q1488" i="1"/>
  <c r="R1488" i="1" s="1"/>
  <c r="Q1480" i="1"/>
  <c r="R1480" i="1" s="1"/>
  <c r="Q1472" i="1"/>
  <c r="R1472" i="1" s="1"/>
  <c r="Q1464" i="1"/>
  <c r="R1464" i="1" s="1"/>
  <c r="Q1456" i="1"/>
  <c r="R1456" i="1" s="1"/>
  <c r="Q1448" i="1"/>
  <c r="R1448" i="1" s="1"/>
  <c r="R1440" i="1"/>
  <c r="Q1440" i="1"/>
  <c r="Q1432" i="1"/>
  <c r="R1432" i="1" s="1"/>
  <c r="Q1424" i="1"/>
  <c r="R1424" i="1" s="1"/>
  <c r="Q1416" i="1"/>
  <c r="R1416" i="1" s="1"/>
  <c r="Q1408" i="1"/>
  <c r="R1408" i="1" s="1"/>
  <c r="Q1400" i="1"/>
  <c r="R1400" i="1" s="1"/>
  <c r="Q1392" i="1"/>
  <c r="R1392" i="1" s="1"/>
  <c r="Q1384" i="1"/>
  <c r="R1384" i="1" s="1"/>
  <c r="Q1376" i="1"/>
  <c r="R1376" i="1" s="1"/>
  <c r="Q1368" i="1"/>
  <c r="R1368" i="1" s="1"/>
  <c r="Q1360" i="1"/>
  <c r="R1360" i="1" s="1"/>
  <c r="Q1352" i="1"/>
  <c r="R1352" i="1" s="1"/>
  <c r="Q1344" i="1"/>
  <c r="R1344" i="1" s="1"/>
  <c r="Q1336" i="1"/>
  <c r="R1336" i="1" s="1"/>
  <c r="Q1328" i="1"/>
  <c r="R1328" i="1" s="1"/>
  <c r="Q1320" i="1"/>
  <c r="R1320" i="1" s="1"/>
  <c r="Q1312" i="1"/>
  <c r="R1312" i="1" s="1"/>
  <c r="Q1304" i="1"/>
  <c r="R1304" i="1" s="1"/>
  <c r="Q1296" i="1"/>
  <c r="R1296" i="1" s="1"/>
  <c r="Q1288" i="1"/>
  <c r="R1288" i="1" s="1"/>
  <c r="Q1280" i="1"/>
  <c r="R1280" i="1" s="1"/>
  <c r="R1272" i="1"/>
  <c r="Q1272" i="1"/>
  <c r="Q1264" i="1"/>
  <c r="R1264" i="1" s="1"/>
  <c r="Q1256" i="1"/>
  <c r="R1256" i="1" s="1"/>
  <c r="Q1248" i="1"/>
  <c r="R1248" i="1" s="1"/>
  <c r="Q1240" i="1"/>
  <c r="R1240" i="1" s="1"/>
  <c r="Q1232" i="1"/>
  <c r="R1232" i="1" s="1"/>
  <c r="Q1224" i="1"/>
  <c r="R1224" i="1" s="1"/>
  <c r="Q1216" i="1"/>
  <c r="R1216" i="1" s="1"/>
  <c r="Q1208" i="1"/>
  <c r="R1208" i="1" s="1"/>
  <c r="Q1200" i="1"/>
  <c r="R1200" i="1" s="1"/>
  <c r="Q1192" i="1"/>
  <c r="R1192" i="1" s="1"/>
  <c r="Q1184" i="1"/>
  <c r="R1184" i="1" s="1"/>
  <c r="Q1176" i="1"/>
  <c r="R1176" i="1" s="1"/>
  <c r="Q1168" i="1"/>
  <c r="R1168" i="1" s="1"/>
  <c r="Q1160" i="1"/>
  <c r="R1160" i="1" s="1"/>
  <c r="Q1152" i="1"/>
  <c r="R1152" i="1" s="1"/>
  <c r="Q1144" i="1"/>
  <c r="R1144" i="1" s="1"/>
  <c r="Q1136" i="1"/>
  <c r="R1136" i="1" s="1"/>
  <c r="Q1128" i="1"/>
  <c r="R1128" i="1" s="1"/>
  <c r="Q1120" i="1"/>
  <c r="R1120" i="1" s="1"/>
  <c r="Q1112" i="1"/>
  <c r="R1112" i="1" s="1"/>
  <c r="Q1104" i="1"/>
  <c r="R1104" i="1" s="1"/>
  <c r="R1096" i="1"/>
  <c r="Q1096" i="1"/>
  <c r="Q1088" i="1"/>
  <c r="R1088" i="1" s="1"/>
  <c r="Q1080" i="1"/>
  <c r="R1080" i="1" s="1"/>
  <c r="Q1072" i="1"/>
  <c r="R1072" i="1" s="1"/>
  <c r="Q1064" i="1"/>
  <c r="R1064" i="1" s="1"/>
  <c r="Q1056" i="1"/>
  <c r="R1056" i="1" s="1"/>
  <c r="Q1048" i="1"/>
  <c r="R1048" i="1" s="1"/>
  <c r="Q1040" i="1"/>
  <c r="R1040" i="1" s="1"/>
  <c r="R1032" i="1"/>
  <c r="Q1032" i="1"/>
  <c r="Q1024" i="1"/>
  <c r="R1024" i="1" s="1"/>
  <c r="Q1016" i="1"/>
  <c r="R1016" i="1" s="1"/>
  <c r="Q1008" i="1"/>
  <c r="R1008" i="1" s="1"/>
  <c r="Q1000" i="1"/>
  <c r="R1000" i="1" s="1"/>
  <c r="Q992" i="1"/>
  <c r="R992" i="1" s="1"/>
  <c r="Q984" i="1"/>
  <c r="R984" i="1" s="1"/>
  <c r="Q976" i="1"/>
  <c r="R976" i="1" s="1"/>
  <c r="Q968" i="1"/>
  <c r="R968" i="1" s="1"/>
  <c r="Q960" i="1"/>
  <c r="R960" i="1" s="1"/>
  <c r="Q952" i="1"/>
  <c r="R952" i="1" s="1"/>
  <c r="Q944" i="1"/>
  <c r="R944" i="1" s="1"/>
  <c r="Q936" i="1"/>
  <c r="R936" i="1" s="1"/>
  <c r="Q928" i="1"/>
  <c r="R928" i="1" s="1"/>
  <c r="Q920" i="1"/>
  <c r="R920" i="1" s="1"/>
  <c r="Q912" i="1"/>
  <c r="R912" i="1" s="1"/>
  <c r="Q904" i="1"/>
  <c r="R904" i="1" s="1"/>
  <c r="Q896" i="1"/>
  <c r="R896" i="1" s="1"/>
  <c r="Q888" i="1"/>
  <c r="R888" i="1" s="1"/>
  <c r="R880" i="1"/>
  <c r="Q880" i="1"/>
  <c r="Q872" i="1"/>
  <c r="R872" i="1" s="1"/>
  <c r="Q864" i="1"/>
  <c r="R864" i="1" s="1"/>
  <c r="Q856" i="1"/>
  <c r="R856" i="1" s="1"/>
  <c r="Q848" i="1"/>
  <c r="R848" i="1" s="1"/>
  <c r="Q840" i="1"/>
  <c r="R840" i="1" s="1"/>
  <c r="Q832" i="1"/>
  <c r="R832" i="1" s="1"/>
  <c r="Q824" i="1"/>
  <c r="R824" i="1" s="1"/>
  <c r="Q816" i="1"/>
  <c r="R816" i="1" s="1"/>
  <c r="Q808" i="1"/>
  <c r="R808" i="1" s="1"/>
  <c r="Q800" i="1"/>
  <c r="R800" i="1" s="1"/>
  <c r="Q792" i="1"/>
  <c r="R792" i="1" s="1"/>
  <c r="Q784" i="1"/>
  <c r="R784" i="1" s="1"/>
  <c r="Q776" i="1"/>
  <c r="R776" i="1" s="1"/>
  <c r="R768" i="1"/>
  <c r="Q768" i="1"/>
  <c r="Q760" i="1"/>
  <c r="R760" i="1" s="1"/>
  <c r="Q752" i="1"/>
  <c r="R752" i="1" s="1"/>
  <c r="Q744" i="1"/>
  <c r="R744" i="1" s="1"/>
  <c r="Q736" i="1"/>
  <c r="R736" i="1" s="1"/>
  <c r="Q728" i="1"/>
  <c r="R728" i="1" s="1"/>
  <c r="Q720" i="1"/>
  <c r="R720" i="1" s="1"/>
  <c r="Q712" i="1"/>
  <c r="R712" i="1" s="1"/>
  <c r="Q704" i="1"/>
  <c r="R704" i="1" s="1"/>
  <c r="Q696" i="1"/>
  <c r="R696" i="1" s="1"/>
  <c r="Q688" i="1"/>
  <c r="R688" i="1" s="1"/>
  <c r="Q680" i="1"/>
  <c r="R680" i="1" s="1"/>
  <c r="Q672" i="1"/>
  <c r="R672" i="1" s="1"/>
  <c r="Q664" i="1"/>
  <c r="R664" i="1" s="1"/>
  <c r="Q656" i="1"/>
  <c r="R656" i="1" s="1"/>
  <c r="Q648" i="1"/>
  <c r="R648" i="1" s="1"/>
  <c r="Q640" i="1"/>
  <c r="R640" i="1" s="1"/>
  <c r="Q632" i="1"/>
  <c r="R632" i="1" s="1"/>
  <c r="Q624" i="1"/>
  <c r="R624" i="1" s="1"/>
  <c r="Q616" i="1"/>
  <c r="R616" i="1" s="1"/>
  <c r="Q608" i="1"/>
  <c r="R608" i="1" s="1"/>
  <c r="Q600" i="1"/>
  <c r="R600" i="1" s="1"/>
  <c r="Q592" i="1"/>
  <c r="R592" i="1" s="1"/>
  <c r="Q584" i="1"/>
  <c r="R584" i="1" s="1"/>
  <c r="R576" i="1"/>
  <c r="Q576" i="1"/>
  <c r="Q568" i="1"/>
  <c r="R568" i="1" s="1"/>
  <c r="Q560" i="1"/>
  <c r="R560" i="1" s="1"/>
  <c r="Q552" i="1"/>
  <c r="R552" i="1" s="1"/>
  <c r="Q544" i="1"/>
  <c r="R544" i="1" s="1"/>
  <c r="Q536" i="1"/>
  <c r="R536" i="1" s="1"/>
  <c r="Q528" i="1"/>
  <c r="R528" i="1" s="1"/>
  <c r="Q520" i="1"/>
  <c r="R520" i="1" s="1"/>
  <c r="Q512" i="1"/>
  <c r="R512" i="1" s="1"/>
  <c r="Q504" i="1"/>
  <c r="R504" i="1" s="1"/>
  <c r="R496" i="1"/>
  <c r="Q496" i="1"/>
  <c r="Q488" i="1"/>
  <c r="R488" i="1" s="1"/>
  <c r="Q480" i="1"/>
  <c r="R480" i="1" s="1"/>
  <c r="Q472" i="1"/>
  <c r="R472" i="1" s="1"/>
  <c r="R464" i="1"/>
  <c r="Q464" i="1"/>
  <c r="Q456" i="1"/>
  <c r="R456" i="1" s="1"/>
  <c r="Q448" i="1"/>
  <c r="R448" i="1" s="1"/>
  <c r="Q440" i="1"/>
  <c r="R440" i="1" s="1"/>
  <c r="Q432" i="1"/>
  <c r="R432" i="1" s="1"/>
  <c r="Q424" i="1"/>
  <c r="R424" i="1" s="1"/>
  <c r="Q416" i="1"/>
  <c r="R416" i="1" s="1"/>
  <c r="Q408" i="1"/>
  <c r="R408" i="1" s="1"/>
  <c r="Q400" i="1"/>
  <c r="R400" i="1" s="1"/>
  <c r="Q392" i="1"/>
  <c r="R392" i="1" s="1"/>
  <c r="Q384" i="1"/>
  <c r="R384" i="1" s="1"/>
  <c r="Q376" i="1"/>
  <c r="R376" i="1" s="1"/>
  <c r="Q368" i="1"/>
  <c r="R368" i="1" s="1"/>
  <c r="Q360" i="1"/>
  <c r="R360" i="1" s="1"/>
  <c r="Q352" i="1"/>
  <c r="R352" i="1" s="1"/>
  <c r="Q344" i="1"/>
  <c r="R344" i="1" s="1"/>
  <c r="Q336" i="1"/>
  <c r="R336" i="1" s="1"/>
  <c r="Q328" i="1"/>
  <c r="R328" i="1" s="1"/>
  <c r="Q320" i="1"/>
  <c r="R320" i="1" s="1"/>
  <c r="R312" i="1"/>
  <c r="Q312" i="1"/>
  <c r="Q304" i="1"/>
  <c r="R304" i="1" s="1"/>
  <c r="Q296" i="1"/>
  <c r="R296" i="1" s="1"/>
  <c r="Q288" i="1"/>
  <c r="R288" i="1" s="1"/>
  <c r="Q280" i="1"/>
  <c r="R280" i="1" s="1"/>
  <c r="Q272" i="1"/>
  <c r="R272" i="1" s="1"/>
  <c r="Q264" i="1"/>
  <c r="R264" i="1" s="1"/>
  <c r="R256" i="1"/>
  <c r="Q256" i="1"/>
  <c r="Q248" i="1"/>
  <c r="R248" i="1" s="1"/>
  <c r="Q240" i="1"/>
  <c r="R240" i="1" s="1"/>
  <c r="Q232" i="1"/>
  <c r="R232" i="1" s="1"/>
  <c r="Q224" i="1"/>
  <c r="R224" i="1" s="1"/>
  <c r="Q216" i="1"/>
  <c r="R216" i="1" s="1"/>
  <c r="Q208" i="1"/>
  <c r="R208" i="1" s="1"/>
  <c r="Q200" i="1"/>
  <c r="R200" i="1" s="1"/>
  <c r="Q192" i="1"/>
  <c r="R192" i="1" s="1"/>
  <c r="Q184" i="1"/>
  <c r="R184" i="1" s="1"/>
  <c r="Q176" i="1"/>
  <c r="R176" i="1" s="1"/>
  <c r="R168" i="1"/>
  <c r="Q168" i="1"/>
  <c r="Q160" i="1"/>
  <c r="R160" i="1" s="1"/>
  <c r="Q152" i="1"/>
  <c r="R152" i="1" s="1"/>
  <c r="Q144" i="1"/>
  <c r="R144" i="1" s="1"/>
  <c r="Q136" i="1"/>
  <c r="R136" i="1" s="1"/>
  <c r="Q128" i="1"/>
  <c r="R128" i="1" s="1"/>
  <c r="Q120" i="1"/>
  <c r="R120" i="1" s="1"/>
  <c r="Q112" i="1"/>
  <c r="R112" i="1" s="1"/>
  <c r="Q104" i="1"/>
  <c r="R104" i="1" s="1"/>
  <c r="Q96" i="1"/>
  <c r="R96" i="1" s="1"/>
  <c r="R88" i="1"/>
  <c r="Q88" i="1"/>
  <c r="Q80" i="1"/>
  <c r="R80" i="1" s="1"/>
  <c r="Q72" i="1"/>
  <c r="R72" i="1" s="1"/>
  <c r="Q64" i="1"/>
  <c r="R64" i="1" s="1"/>
  <c r="Q56" i="1"/>
  <c r="R56" i="1" s="1"/>
  <c r="Q48" i="1"/>
  <c r="R48" i="1" s="1"/>
  <c r="Q40" i="1"/>
  <c r="R40" i="1" s="1"/>
  <c r="Q32" i="1"/>
  <c r="R32" i="1" s="1"/>
  <c r="R24" i="1"/>
  <c r="Q24" i="1"/>
  <c r="Q16" i="1"/>
  <c r="R16" i="1" s="1"/>
  <c r="Q8" i="1"/>
  <c r="Q4079" i="1"/>
  <c r="R4079" i="1" s="1"/>
  <c r="R4071" i="1"/>
  <c r="Q4071" i="1"/>
  <c r="Q4063" i="1"/>
  <c r="R4063" i="1" s="1"/>
  <c r="Q4055" i="1"/>
  <c r="R4055" i="1" s="1"/>
  <c r="Q4047" i="1"/>
  <c r="R4047" i="1" s="1"/>
  <c r="R4039" i="1"/>
  <c r="Q4039" i="1"/>
  <c r="Q4031" i="1"/>
  <c r="R4031" i="1" s="1"/>
  <c r="Q4023" i="1"/>
  <c r="R4023" i="1" s="1"/>
  <c r="Q4015" i="1"/>
  <c r="R4015" i="1" s="1"/>
  <c r="Q4007" i="1"/>
  <c r="R4007" i="1" s="1"/>
  <c r="R3999" i="1"/>
  <c r="Q3999" i="1"/>
  <c r="Q3991" i="1"/>
  <c r="R3991" i="1" s="1"/>
  <c r="Q3983" i="1"/>
  <c r="R3983" i="1" s="1"/>
  <c r="Q3975" i="1"/>
  <c r="R3975" i="1" s="1"/>
  <c r="Q3967" i="1"/>
  <c r="R3967" i="1" s="1"/>
  <c r="R3959" i="1"/>
  <c r="Q3959" i="1"/>
  <c r="Q3951" i="1"/>
  <c r="R3951" i="1" s="1"/>
  <c r="Q3943" i="1"/>
  <c r="R3943" i="1" s="1"/>
  <c r="Q3935" i="1"/>
  <c r="R3935" i="1" s="1"/>
  <c r="Q3927" i="1"/>
  <c r="R3927" i="1" s="1"/>
  <c r="Q3919" i="1"/>
  <c r="R3919" i="1" s="1"/>
  <c r="Q3911" i="1"/>
  <c r="R3911" i="1" s="1"/>
  <c r="Q3903" i="1"/>
  <c r="R3903" i="1" s="1"/>
  <c r="R3895" i="1"/>
  <c r="Q3895" i="1"/>
  <c r="Q3887" i="1"/>
  <c r="R3887" i="1" s="1"/>
  <c r="Q3879" i="1"/>
  <c r="R3879" i="1" s="1"/>
  <c r="Q3871" i="1"/>
  <c r="R3871" i="1" s="1"/>
  <c r="Q3863" i="1"/>
  <c r="R3863" i="1" s="1"/>
  <c r="Q3855" i="1"/>
  <c r="R3855" i="1" s="1"/>
  <c r="Q3847" i="1"/>
  <c r="R3847" i="1" s="1"/>
  <c r="Q3839" i="1"/>
  <c r="R3839" i="1" s="1"/>
  <c r="R3831" i="1"/>
  <c r="Q3831" i="1"/>
  <c r="Q3823" i="1"/>
  <c r="R3823" i="1" s="1"/>
  <c r="Q3815" i="1"/>
  <c r="R3815" i="1" s="1"/>
  <c r="Q3807" i="1"/>
  <c r="R3807" i="1" s="1"/>
  <c r="Q3799" i="1"/>
  <c r="R3799" i="1" s="1"/>
  <c r="Q3791" i="1"/>
  <c r="R3791" i="1" s="1"/>
  <c r="R3783" i="1"/>
  <c r="Q3783" i="1"/>
  <c r="Q3775" i="1"/>
  <c r="R3775" i="1" s="1"/>
  <c r="Q3767" i="1"/>
  <c r="R3767" i="1" s="1"/>
  <c r="Q3759" i="1"/>
  <c r="R3759" i="1" s="1"/>
  <c r="Q3751" i="1"/>
  <c r="R3751" i="1" s="1"/>
  <c r="Q3743" i="1"/>
  <c r="R3743" i="1" s="1"/>
  <c r="Q3735" i="1"/>
  <c r="R3735" i="1" s="1"/>
  <c r="Q3727" i="1"/>
  <c r="R3727" i="1" s="1"/>
  <c r="Q3719" i="1"/>
  <c r="R3719" i="1" s="1"/>
  <c r="Q3711" i="1"/>
  <c r="R3711" i="1" s="1"/>
  <c r="Q3703" i="1"/>
  <c r="R3703" i="1" s="1"/>
  <c r="Q3695" i="1"/>
  <c r="R3695" i="1" s="1"/>
  <c r="Q3687" i="1"/>
  <c r="R3687" i="1" s="1"/>
  <c r="Q3679" i="1"/>
  <c r="R3679" i="1" s="1"/>
  <c r="Q3671" i="1"/>
  <c r="R3671" i="1" s="1"/>
  <c r="Q3663" i="1"/>
  <c r="R3663" i="1" s="1"/>
  <c r="Q3655" i="1"/>
  <c r="R3655" i="1" s="1"/>
  <c r="Q3647" i="1"/>
  <c r="R3647" i="1" s="1"/>
  <c r="Q3639" i="1"/>
  <c r="R3639" i="1" s="1"/>
  <c r="Q3631" i="1"/>
  <c r="R3631" i="1" s="1"/>
  <c r="Q3623" i="1"/>
  <c r="R3623" i="1" s="1"/>
  <c r="R3615" i="1"/>
  <c r="Q3615" i="1"/>
  <c r="Q3607" i="1"/>
  <c r="R3607" i="1" s="1"/>
  <c r="Q3599" i="1"/>
  <c r="R3599" i="1" s="1"/>
  <c r="Q3591" i="1"/>
  <c r="R3591" i="1" s="1"/>
  <c r="Q3583" i="1"/>
  <c r="R3583" i="1" s="1"/>
  <c r="Q3575" i="1"/>
  <c r="R3575" i="1" s="1"/>
  <c r="Q3567" i="1"/>
  <c r="R3567" i="1" s="1"/>
  <c r="Q3559" i="1"/>
  <c r="R3559" i="1" s="1"/>
  <c r="Q3551" i="1"/>
  <c r="R3551" i="1" s="1"/>
  <c r="Q3543" i="1"/>
  <c r="R3543" i="1" s="1"/>
  <c r="Q3535" i="1"/>
  <c r="R3535" i="1" s="1"/>
  <c r="Q3527" i="1"/>
  <c r="R3527" i="1" s="1"/>
  <c r="Q3519" i="1"/>
  <c r="R3519" i="1" s="1"/>
  <c r="Q3511" i="1"/>
  <c r="R3511" i="1" s="1"/>
  <c r="Q3503" i="1"/>
  <c r="R3503" i="1" s="1"/>
  <c r="Q3495" i="1"/>
  <c r="R3495" i="1" s="1"/>
  <c r="Q3487" i="1"/>
  <c r="R3487" i="1" s="1"/>
  <c r="Q3479" i="1"/>
  <c r="R3479" i="1" s="1"/>
  <c r="Q3471" i="1"/>
  <c r="R3471" i="1" s="1"/>
  <c r="Q3463" i="1"/>
  <c r="R3463" i="1" s="1"/>
  <c r="Q3455" i="1"/>
  <c r="R3455" i="1" s="1"/>
  <c r="Q3447" i="1"/>
  <c r="R3447" i="1" s="1"/>
  <c r="Q3439" i="1"/>
  <c r="R3439" i="1" s="1"/>
  <c r="Q3431" i="1"/>
  <c r="R3431" i="1" s="1"/>
  <c r="Q3423" i="1"/>
  <c r="R3423" i="1" s="1"/>
  <c r="Q3415" i="1"/>
  <c r="R3415" i="1" s="1"/>
  <c r="Q3407" i="1"/>
  <c r="R3407" i="1" s="1"/>
  <c r="R3399" i="1"/>
  <c r="Q3399" i="1"/>
  <c r="Q3391" i="1"/>
  <c r="R3391" i="1" s="1"/>
  <c r="Q3383" i="1"/>
  <c r="R3383" i="1" s="1"/>
  <c r="Q3375" i="1"/>
  <c r="R3375" i="1" s="1"/>
  <c r="Q3367" i="1"/>
  <c r="R3367" i="1" s="1"/>
  <c r="Q3359" i="1"/>
  <c r="R3359" i="1" s="1"/>
  <c r="Q3351" i="1"/>
  <c r="R3351" i="1" s="1"/>
  <c r="Q3343" i="1"/>
  <c r="R3343" i="1" s="1"/>
  <c r="Q3335" i="1"/>
  <c r="R3335" i="1" s="1"/>
  <c r="Q3327" i="1"/>
  <c r="R3327" i="1" s="1"/>
  <c r="Q3319" i="1"/>
  <c r="R3319" i="1" s="1"/>
  <c r="Q3311" i="1"/>
  <c r="R3311" i="1" s="1"/>
  <c r="R3303" i="1"/>
  <c r="Q3303" i="1"/>
  <c r="Q3295" i="1"/>
  <c r="R3295" i="1" s="1"/>
  <c r="Q3287" i="1"/>
  <c r="R3287" i="1" s="1"/>
  <c r="Q3279" i="1"/>
  <c r="R3279" i="1" s="1"/>
  <c r="R3271" i="1"/>
  <c r="Q3271" i="1"/>
  <c r="Q3263" i="1"/>
  <c r="R3263" i="1" s="1"/>
  <c r="Q3255" i="1"/>
  <c r="R3255" i="1" s="1"/>
  <c r="Q3247" i="1"/>
  <c r="R3247" i="1" s="1"/>
  <c r="Q3239" i="1"/>
  <c r="R3239" i="1" s="1"/>
  <c r="Q3231" i="1"/>
  <c r="R3231" i="1" s="1"/>
  <c r="Q3223" i="1"/>
  <c r="R3223" i="1" s="1"/>
  <c r="Q3215" i="1"/>
  <c r="R3215" i="1" s="1"/>
  <c r="Q3207" i="1"/>
  <c r="R3207" i="1" s="1"/>
  <c r="Q3199" i="1"/>
  <c r="R3199" i="1" s="1"/>
  <c r="Q3191" i="1"/>
  <c r="R3191" i="1" s="1"/>
  <c r="Q3183" i="1"/>
  <c r="R3183" i="1" s="1"/>
  <c r="Q3175" i="1"/>
  <c r="R3175" i="1" s="1"/>
  <c r="Q3167" i="1"/>
  <c r="R3167" i="1" s="1"/>
  <c r="Q3159" i="1"/>
  <c r="R3159" i="1" s="1"/>
  <c r="Q3151" i="1"/>
  <c r="R3151" i="1" s="1"/>
  <c r="Q3143" i="1"/>
  <c r="R3143" i="1" s="1"/>
  <c r="Q3135" i="1"/>
  <c r="R3135" i="1" s="1"/>
  <c r="Q3127" i="1"/>
  <c r="R3127" i="1" s="1"/>
  <c r="Q3119" i="1"/>
  <c r="R3119" i="1" s="1"/>
  <c r="Q3111" i="1"/>
  <c r="R3111" i="1" s="1"/>
  <c r="R3103" i="1"/>
  <c r="Q3103" i="1"/>
  <c r="Q3095" i="1"/>
  <c r="R3095" i="1" s="1"/>
  <c r="Q3087" i="1"/>
  <c r="R3087" i="1" s="1"/>
  <c r="Q3079" i="1"/>
  <c r="R3079" i="1" s="1"/>
  <c r="Q3071" i="1"/>
  <c r="R3071" i="1" s="1"/>
  <c r="Q3063" i="1"/>
  <c r="R3063" i="1" s="1"/>
  <c r="Q3055" i="1"/>
  <c r="R3055" i="1" s="1"/>
  <c r="Q3047" i="1"/>
  <c r="R3047" i="1" s="1"/>
  <c r="R3039" i="1"/>
  <c r="Q3039" i="1"/>
  <c r="Q3031" i="1"/>
  <c r="R3031" i="1" s="1"/>
  <c r="Q3023" i="1"/>
  <c r="R3023" i="1" s="1"/>
  <c r="Q3015" i="1"/>
  <c r="R3015" i="1" s="1"/>
  <c r="Q3007" i="1"/>
  <c r="R3007" i="1" s="1"/>
  <c r="Q2999" i="1"/>
  <c r="R2999" i="1" s="1"/>
  <c r="Q2991" i="1"/>
  <c r="R2991" i="1" s="1"/>
  <c r="Q2983" i="1"/>
  <c r="R2983" i="1" s="1"/>
  <c r="Q2975" i="1"/>
  <c r="R2975" i="1" s="1"/>
  <c r="Q2967" i="1"/>
  <c r="R2967" i="1" s="1"/>
  <c r="Q2959" i="1"/>
  <c r="R2959" i="1" s="1"/>
  <c r="Q2951" i="1"/>
  <c r="R2951" i="1" s="1"/>
  <c r="Q2943" i="1"/>
  <c r="R2943" i="1" s="1"/>
  <c r="Q2935" i="1"/>
  <c r="R2935" i="1" s="1"/>
  <c r="Q2927" i="1"/>
  <c r="R2927" i="1" s="1"/>
  <c r="Q2919" i="1"/>
  <c r="R2919" i="1" s="1"/>
  <c r="Q2911" i="1"/>
  <c r="R2911" i="1" s="1"/>
  <c r="Q2903" i="1"/>
  <c r="R2903" i="1" s="1"/>
  <c r="Q2895" i="1"/>
  <c r="R2895" i="1" s="1"/>
  <c r="Q2887" i="1"/>
  <c r="R2887" i="1" s="1"/>
  <c r="Q2879" i="1"/>
  <c r="R2879" i="1" s="1"/>
  <c r="R2871" i="1"/>
  <c r="Q2871" i="1"/>
  <c r="Q2863" i="1"/>
  <c r="R2863" i="1" s="1"/>
  <c r="Q2855" i="1"/>
  <c r="R2855" i="1" s="1"/>
  <c r="Q2847" i="1"/>
  <c r="R2847" i="1" s="1"/>
  <c r="Q2839" i="1"/>
  <c r="R2839" i="1" s="1"/>
  <c r="Q2831" i="1"/>
  <c r="R2831" i="1" s="1"/>
  <c r="Q2823" i="1"/>
  <c r="R2823" i="1" s="1"/>
  <c r="R2815" i="1"/>
  <c r="Q2815" i="1"/>
  <c r="Q2807" i="1"/>
  <c r="R2807" i="1" s="1"/>
  <c r="Q2799" i="1"/>
  <c r="R2799" i="1" s="1"/>
  <c r="Q2791" i="1"/>
  <c r="R2791" i="1" s="1"/>
  <c r="Q2783" i="1"/>
  <c r="R2783" i="1" s="1"/>
  <c r="Q2775" i="1"/>
  <c r="R2775" i="1" s="1"/>
  <c r="Q2767" i="1"/>
  <c r="R2767" i="1" s="1"/>
  <c r="Q2759" i="1"/>
  <c r="R2759" i="1" s="1"/>
  <c r="Q2751" i="1"/>
  <c r="R2751" i="1" s="1"/>
  <c r="Q2743" i="1"/>
  <c r="R2743" i="1" s="1"/>
  <c r="Q2735" i="1"/>
  <c r="R2735" i="1" s="1"/>
  <c r="Q2727" i="1"/>
  <c r="R2727" i="1" s="1"/>
  <c r="Q2719" i="1"/>
  <c r="R2719" i="1" s="1"/>
  <c r="Q2711" i="1"/>
  <c r="R2711" i="1" s="1"/>
  <c r="Q2703" i="1"/>
  <c r="R2703" i="1" s="1"/>
  <c r="Q2695" i="1"/>
  <c r="R2695" i="1" s="1"/>
  <c r="Q2687" i="1"/>
  <c r="R2687" i="1" s="1"/>
  <c r="Q2679" i="1"/>
  <c r="R2679" i="1" s="1"/>
  <c r="R2671" i="1"/>
  <c r="Q2671" i="1"/>
  <c r="Q2663" i="1"/>
  <c r="R2663" i="1" s="1"/>
  <c r="Q2655" i="1"/>
  <c r="R2655" i="1" s="1"/>
  <c r="Q2647" i="1"/>
  <c r="R2647" i="1" s="1"/>
  <c r="Q2639" i="1"/>
  <c r="R2639" i="1" s="1"/>
  <c r="Q2631" i="1"/>
  <c r="R2631" i="1" s="1"/>
  <c r="R2623" i="1"/>
  <c r="Q2623" i="1"/>
  <c r="Q2615" i="1"/>
  <c r="R2615" i="1" s="1"/>
  <c r="Q2607" i="1"/>
  <c r="R2607" i="1" s="1"/>
  <c r="Q2599" i="1"/>
  <c r="R2599" i="1" s="1"/>
  <c r="Q2591" i="1"/>
  <c r="R2591" i="1" s="1"/>
  <c r="Q2583" i="1"/>
  <c r="R2583" i="1" s="1"/>
  <c r="Q2575" i="1"/>
  <c r="R2575" i="1" s="1"/>
  <c r="Q2567" i="1"/>
  <c r="R2567" i="1" s="1"/>
  <c r="Q2559" i="1"/>
  <c r="R2559" i="1" s="1"/>
  <c r="Q2551" i="1"/>
  <c r="R2551" i="1" s="1"/>
  <c r="Q2543" i="1"/>
  <c r="R2543" i="1" s="1"/>
  <c r="Q2535" i="1"/>
  <c r="R2535" i="1" s="1"/>
  <c r="Q2527" i="1"/>
  <c r="R2527" i="1" s="1"/>
  <c r="R2519" i="1"/>
  <c r="Q2519" i="1"/>
  <c r="Q2511" i="1"/>
  <c r="R2511" i="1" s="1"/>
  <c r="Q2503" i="1"/>
  <c r="R2503" i="1" s="1"/>
  <c r="R2495" i="1"/>
  <c r="Q2495" i="1"/>
  <c r="Q2487" i="1"/>
  <c r="R2487" i="1" s="1"/>
  <c r="Q2479" i="1"/>
  <c r="R2479" i="1" s="1"/>
  <c r="Q2471" i="1"/>
  <c r="R2471" i="1" s="1"/>
  <c r="Q2463" i="1"/>
  <c r="R2463" i="1" s="1"/>
  <c r="Q2455" i="1"/>
  <c r="R2455" i="1" s="1"/>
  <c r="Q2447" i="1"/>
  <c r="R2447" i="1" s="1"/>
  <c r="R2439" i="1"/>
  <c r="Q2439" i="1"/>
  <c r="Q2431" i="1"/>
  <c r="R2431" i="1" s="1"/>
  <c r="Q2423" i="1"/>
  <c r="R2423" i="1" s="1"/>
  <c r="Q2415" i="1"/>
  <c r="R2415" i="1" s="1"/>
  <c r="R2407" i="1"/>
  <c r="Q2407" i="1"/>
  <c r="Q2399" i="1"/>
  <c r="R2399" i="1" s="1"/>
  <c r="Q2391" i="1"/>
  <c r="R2391" i="1" s="1"/>
  <c r="Q2383" i="1"/>
  <c r="R2383" i="1" s="1"/>
  <c r="Q2375" i="1"/>
  <c r="R2375" i="1" s="1"/>
  <c r="Q2367" i="1"/>
  <c r="R2367" i="1" s="1"/>
  <c r="Q2359" i="1"/>
  <c r="R2359" i="1" s="1"/>
  <c r="Q2351" i="1"/>
  <c r="R2351" i="1" s="1"/>
  <c r="Q2343" i="1"/>
  <c r="R2343" i="1" s="1"/>
  <c r="Q2335" i="1"/>
  <c r="R2335" i="1" s="1"/>
  <c r="R2327" i="1"/>
  <c r="Q2327" i="1"/>
  <c r="Q2319" i="1"/>
  <c r="R2319" i="1" s="1"/>
  <c r="Q2311" i="1"/>
  <c r="R2311" i="1" s="1"/>
  <c r="R2303" i="1"/>
  <c r="Q2303" i="1"/>
  <c r="Q2295" i="1"/>
  <c r="R2295" i="1" s="1"/>
  <c r="Q2287" i="1"/>
  <c r="R2287" i="1" s="1"/>
  <c r="R2279" i="1"/>
  <c r="Q2279" i="1"/>
  <c r="Q2271" i="1"/>
  <c r="R2271" i="1" s="1"/>
  <c r="Q2263" i="1"/>
  <c r="R2263" i="1" s="1"/>
  <c r="Q2255" i="1"/>
  <c r="R2255" i="1" s="1"/>
  <c r="Q2247" i="1"/>
  <c r="R2247" i="1" s="1"/>
  <c r="Q2239" i="1"/>
  <c r="R2239" i="1" s="1"/>
  <c r="Q2231" i="1"/>
  <c r="R2231" i="1" s="1"/>
  <c r="Q2223" i="1"/>
  <c r="R2223" i="1" s="1"/>
  <c r="Q2215" i="1"/>
  <c r="R2215" i="1" s="1"/>
  <c r="Q2207" i="1"/>
  <c r="R2207" i="1" s="1"/>
  <c r="R2199" i="1"/>
  <c r="Q2199" i="1"/>
  <c r="Q2191" i="1"/>
  <c r="R2191" i="1" s="1"/>
  <c r="Q2183" i="1"/>
  <c r="R2183" i="1" s="1"/>
  <c r="Q2175" i="1"/>
  <c r="R2175" i="1" s="1"/>
  <c r="Q2167" i="1"/>
  <c r="R2167" i="1" s="1"/>
  <c r="Q2159" i="1"/>
  <c r="R2159" i="1" s="1"/>
  <c r="Q2151" i="1"/>
  <c r="R2151" i="1" s="1"/>
  <c r="Q2143" i="1"/>
  <c r="R2143" i="1" s="1"/>
  <c r="Q2135" i="1"/>
  <c r="R2135" i="1" s="1"/>
  <c r="Q2127" i="1"/>
  <c r="R2127" i="1" s="1"/>
  <c r="Q2119" i="1"/>
  <c r="R2119" i="1" s="1"/>
  <c r="Q2111" i="1"/>
  <c r="R2111" i="1" s="1"/>
  <c r="Q2103" i="1"/>
  <c r="R2103" i="1" s="1"/>
  <c r="Q2095" i="1"/>
  <c r="R2095" i="1" s="1"/>
  <c r="Q2087" i="1"/>
  <c r="R2087" i="1" s="1"/>
  <c r="Q2079" i="1"/>
  <c r="R2079" i="1" s="1"/>
  <c r="Q2071" i="1"/>
  <c r="R2071" i="1" s="1"/>
  <c r="Q2063" i="1"/>
  <c r="R2063" i="1" s="1"/>
  <c r="Q2055" i="1"/>
  <c r="R2055" i="1" s="1"/>
  <c r="Q2047" i="1"/>
  <c r="R2047" i="1" s="1"/>
  <c r="Q2039" i="1"/>
  <c r="R2039" i="1" s="1"/>
  <c r="Q2031" i="1"/>
  <c r="R2031" i="1" s="1"/>
  <c r="Q2023" i="1"/>
  <c r="R2023" i="1" s="1"/>
  <c r="Q2015" i="1"/>
  <c r="R2015" i="1" s="1"/>
  <c r="Q2007" i="1"/>
  <c r="R2007" i="1" s="1"/>
  <c r="Q1999" i="1"/>
  <c r="R1999" i="1" s="1"/>
  <c r="Q1991" i="1"/>
  <c r="R1991" i="1" s="1"/>
  <c r="Q1983" i="1"/>
  <c r="R1983" i="1" s="1"/>
  <c r="Q1975" i="1"/>
  <c r="R1975" i="1" s="1"/>
  <c r="Q1967" i="1"/>
  <c r="R1967" i="1" s="1"/>
  <c r="Q1959" i="1"/>
  <c r="R1959" i="1" s="1"/>
  <c r="Q1951" i="1"/>
  <c r="R1951" i="1" s="1"/>
  <c r="Q1943" i="1"/>
  <c r="R1943" i="1" s="1"/>
  <c r="Q1935" i="1"/>
  <c r="R1935" i="1" s="1"/>
  <c r="Q1927" i="1"/>
  <c r="R1927" i="1" s="1"/>
  <c r="Q1919" i="1"/>
  <c r="R1919" i="1" s="1"/>
  <c r="Q1911" i="1"/>
  <c r="R1911" i="1" s="1"/>
  <c r="Q1903" i="1"/>
  <c r="R1903" i="1" s="1"/>
  <c r="Q1895" i="1"/>
  <c r="R1895" i="1" s="1"/>
  <c r="Q1887" i="1"/>
  <c r="R1887" i="1" s="1"/>
  <c r="Q1879" i="1"/>
  <c r="R1879" i="1" s="1"/>
  <c r="Q1871" i="1"/>
  <c r="R1871" i="1" s="1"/>
  <c r="Q1863" i="1"/>
  <c r="R1863" i="1" s="1"/>
  <c r="Q1855" i="1"/>
  <c r="R1855" i="1" s="1"/>
  <c r="Q1847" i="1"/>
  <c r="R1847" i="1" s="1"/>
  <c r="Q1839" i="1"/>
  <c r="R1839" i="1" s="1"/>
  <c r="Q1831" i="1"/>
  <c r="R1831" i="1" s="1"/>
  <c r="Q1823" i="1"/>
  <c r="R1823" i="1" s="1"/>
  <c r="Q1815" i="1"/>
  <c r="R1815" i="1" s="1"/>
  <c r="Q1807" i="1"/>
  <c r="R1807" i="1" s="1"/>
  <c r="R1799" i="1"/>
  <c r="Q1799" i="1"/>
  <c r="Q1791" i="1"/>
  <c r="R1791" i="1" s="1"/>
  <c r="Q1783" i="1"/>
  <c r="R1783" i="1" s="1"/>
  <c r="Q1775" i="1"/>
  <c r="R1775" i="1" s="1"/>
  <c r="Q1767" i="1"/>
  <c r="R1767" i="1" s="1"/>
  <c r="Q1759" i="1"/>
  <c r="R1759" i="1" s="1"/>
  <c r="Q1751" i="1"/>
  <c r="R1751" i="1" s="1"/>
  <c r="Q1743" i="1"/>
  <c r="R1743" i="1" s="1"/>
  <c r="Q1735" i="1"/>
  <c r="R1735" i="1" s="1"/>
  <c r="Q1727" i="1"/>
  <c r="R1727" i="1" s="1"/>
  <c r="Q1719" i="1"/>
  <c r="R1719" i="1" s="1"/>
  <c r="Q1711" i="1"/>
  <c r="R1711" i="1" s="1"/>
  <c r="Q1703" i="1"/>
  <c r="R1703" i="1" s="1"/>
  <c r="Q1695" i="1"/>
  <c r="R1695" i="1" s="1"/>
  <c r="Q1687" i="1"/>
  <c r="R1687" i="1" s="1"/>
  <c r="Q1679" i="1"/>
  <c r="R1679" i="1" s="1"/>
  <c r="Q1671" i="1"/>
  <c r="R1671" i="1" s="1"/>
  <c r="Q1663" i="1"/>
  <c r="R1663" i="1" s="1"/>
  <c r="Q1655" i="1"/>
  <c r="R1655" i="1" s="1"/>
  <c r="Q1647" i="1"/>
  <c r="R1647" i="1" s="1"/>
  <c r="Q1639" i="1"/>
  <c r="R1639" i="1" s="1"/>
  <c r="R1631" i="1"/>
  <c r="Q1631" i="1"/>
  <c r="Q1623" i="1"/>
  <c r="R1623" i="1" s="1"/>
  <c r="Q1615" i="1"/>
  <c r="R1615" i="1" s="1"/>
  <c r="Q1607" i="1"/>
  <c r="R1607" i="1" s="1"/>
  <c r="Q1599" i="1"/>
  <c r="R1599" i="1" s="1"/>
  <c r="Q1591" i="1"/>
  <c r="R1591" i="1" s="1"/>
  <c r="Q1583" i="1"/>
  <c r="R1583" i="1" s="1"/>
  <c r="Q1575" i="1"/>
  <c r="R1575" i="1" s="1"/>
  <c r="Q1567" i="1"/>
  <c r="R1567" i="1" s="1"/>
  <c r="Q1559" i="1"/>
  <c r="R1559" i="1" s="1"/>
  <c r="Q1551" i="1"/>
  <c r="R1551" i="1" s="1"/>
  <c r="Q1543" i="1"/>
  <c r="R1543" i="1" s="1"/>
  <c r="Q1535" i="1"/>
  <c r="R1535" i="1" s="1"/>
  <c r="Q1527" i="1"/>
  <c r="R1527" i="1" s="1"/>
  <c r="Q1519" i="1"/>
  <c r="R1519" i="1" s="1"/>
  <c r="Q1511" i="1"/>
  <c r="R1511" i="1" s="1"/>
  <c r="Q1503" i="1"/>
  <c r="R1503" i="1" s="1"/>
  <c r="Q1495" i="1"/>
  <c r="R1495" i="1" s="1"/>
  <c r="R1487" i="1"/>
  <c r="Q1487" i="1"/>
  <c r="Q1479" i="1"/>
  <c r="R1479" i="1" s="1"/>
  <c r="Q1471" i="1"/>
  <c r="R1471" i="1" s="1"/>
  <c r="R1463" i="1"/>
  <c r="Q1463" i="1"/>
  <c r="Q1455" i="1"/>
  <c r="R1455" i="1" s="1"/>
  <c r="Q1447" i="1"/>
  <c r="R1447" i="1" s="1"/>
  <c r="Q1439" i="1"/>
  <c r="R1439" i="1" s="1"/>
  <c r="Q1431" i="1"/>
  <c r="R1431" i="1" s="1"/>
  <c r="Q1423" i="1"/>
  <c r="R1423" i="1" s="1"/>
  <c r="Q1415" i="1"/>
  <c r="R1415" i="1" s="1"/>
  <c r="Q1407" i="1"/>
  <c r="R1407" i="1" s="1"/>
  <c r="R1399" i="1"/>
  <c r="Q1399" i="1"/>
  <c r="Q1391" i="1"/>
  <c r="R1391" i="1" s="1"/>
  <c r="Q1383" i="1"/>
  <c r="R1383" i="1" s="1"/>
  <c r="Q1375" i="1"/>
  <c r="R1375" i="1" s="1"/>
  <c r="Q1367" i="1"/>
  <c r="R1367" i="1" s="1"/>
  <c r="Q1359" i="1"/>
  <c r="R1359" i="1" s="1"/>
  <c r="Q1351" i="1"/>
  <c r="R1351" i="1" s="1"/>
  <c r="R1343" i="1"/>
  <c r="Q1343" i="1"/>
  <c r="Q1335" i="1"/>
  <c r="R1335" i="1" s="1"/>
  <c r="Q1327" i="1"/>
  <c r="R1327" i="1" s="1"/>
  <c r="Q1319" i="1"/>
  <c r="R1319" i="1" s="1"/>
  <c r="Q1311" i="1"/>
  <c r="R1311" i="1" s="1"/>
  <c r="Q1303" i="1"/>
  <c r="R1303" i="1" s="1"/>
  <c r="Q1295" i="1"/>
  <c r="R1295" i="1" s="1"/>
  <c r="Q1287" i="1"/>
  <c r="R1287" i="1" s="1"/>
  <c r="Q1279" i="1"/>
  <c r="R1279" i="1" s="1"/>
  <c r="Q1271" i="1"/>
  <c r="R1271" i="1" s="1"/>
  <c r="Q1263" i="1"/>
  <c r="R1263" i="1" s="1"/>
  <c r="R1255" i="1"/>
  <c r="Q1255" i="1"/>
  <c r="Q1247" i="1"/>
  <c r="R1247" i="1" s="1"/>
  <c r="Q1239" i="1"/>
  <c r="R1239" i="1" s="1"/>
  <c r="Q1231" i="1"/>
  <c r="R1231" i="1" s="1"/>
  <c r="Q1223" i="1"/>
  <c r="R1223" i="1" s="1"/>
  <c r="Q1215" i="1"/>
  <c r="R1215" i="1" s="1"/>
  <c r="Q1207" i="1"/>
  <c r="R1207" i="1" s="1"/>
  <c r="Q1199" i="1"/>
  <c r="R1199" i="1" s="1"/>
  <c r="Q1191" i="1"/>
  <c r="R1191" i="1" s="1"/>
  <c r="Q1183" i="1"/>
  <c r="R1183" i="1" s="1"/>
  <c r="Q1175" i="1"/>
  <c r="R1175" i="1" s="1"/>
  <c r="Q1167" i="1"/>
  <c r="R1167" i="1" s="1"/>
  <c r="Q1159" i="1"/>
  <c r="R1159" i="1" s="1"/>
  <c r="R1151" i="1"/>
  <c r="Q1151" i="1"/>
  <c r="Q1143" i="1"/>
  <c r="R1143" i="1" s="1"/>
  <c r="Q1135" i="1"/>
  <c r="R1135" i="1" s="1"/>
  <c r="Q1127" i="1"/>
  <c r="R1127" i="1" s="1"/>
  <c r="Q1119" i="1"/>
  <c r="R1119" i="1" s="1"/>
  <c r="R1111" i="1"/>
  <c r="Q1111" i="1"/>
  <c r="Q1103" i="1"/>
  <c r="R1103" i="1" s="1"/>
  <c r="Q1095" i="1"/>
  <c r="R1095" i="1" s="1"/>
  <c r="Q1087" i="1"/>
  <c r="R1087" i="1" s="1"/>
  <c r="Q1079" i="1"/>
  <c r="R1079" i="1" s="1"/>
  <c r="Q1071" i="1"/>
  <c r="R1071" i="1" s="1"/>
  <c r="Q1063" i="1"/>
  <c r="R1063" i="1" s="1"/>
  <c r="Q1055" i="1"/>
  <c r="R1055" i="1" s="1"/>
  <c r="Q1047" i="1"/>
  <c r="R1047" i="1" s="1"/>
  <c r="R1039" i="1"/>
  <c r="Q1039" i="1"/>
  <c r="Q1031" i="1"/>
  <c r="R1031" i="1" s="1"/>
  <c r="Q1023" i="1"/>
  <c r="R1023" i="1" s="1"/>
  <c r="Q1015" i="1"/>
  <c r="R1015" i="1" s="1"/>
  <c r="Q1007" i="1"/>
  <c r="R1007" i="1" s="1"/>
  <c r="Q999" i="1"/>
  <c r="R999" i="1" s="1"/>
  <c r="Q991" i="1"/>
  <c r="R991" i="1" s="1"/>
  <c r="Q983" i="1"/>
  <c r="R983" i="1" s="1"/>
  <c r="Q975" i="1"/>
  <c r="R975" i="1" s="1"/>
  <c r="R967" i="1"/>
  <c r="Q967" i="1"/>
  <c r="Q959" i="1"/>
  <c r="R959" i="1" s="1"/>
  <c r="Q951" i="1"/>
  <c r="R951" i="1" s="1"/>
  <c r="Q943" i="1"/>
  <c r="R943" i="1" s="1"/>
  <c r="Q935" i="1"/>
  <c r="R935" i="1" s="1"/>
  <c r="Q927" i="1"/>
  <c r="R927" i="1" s="1"/>
  <c r="Q919" i="1"/>
  <c r="R919" i="1" s="1"/>
  <c r="Q911" i="1"/>
  <c r="R911" i="1" s="1"/>
  <c r="Q903" i="1"/>
  <c r="R903" i="1" s="1"/>
  <c r="Q895" i="1"/>
  <c r="R895" i="1" s="1"/>
  <c r="Q887" i="1"/>
  <c r="R887" i="1" s="1"/>
  <c r="Q879" i="1"/>
  <c r="R879" i="1" s="1"/>
  <c r="Q871" i="1"/>
  <c r="R871" i="1" s="1"/>
  <c r="Q863" i="1"/>
  <c r="R863" i="1" s="1"/>
  <c r="Q855" i="1"/>
  <c r="R855" i="1" s="1"/>
  <c r="Q847" i="1"/>
  <c r="R847" i="1" s="1"/>
  <c r="Q839" i="1"/>
  <c r="R839" i="1" s="1"/>
  <c r="Q831" i="1"/>
  <c r="R831" i="1" s="1"/>
  <c r="Q823" i="1"/>
  <c r="R823" i="1" s="1"/>
  <c r="Q815" i="1"/>
  <c r="R815" i="1" s="1"/>
  <c r="Q807" i="1"/>
  <c r="R807" i="1" s="1"/>
  <c r="Q799" i="1"/>
  <c r="R799" i="1" s="1"/>
  <c r="Q791" i="1"/>
  <c r="R791" i="1" s="1"/>
  <c r="Q783" i="1"/>
  <c r="R783" i="1" s="1"/>
  <c r="Q775" i="1"/>
  <c r="R775" i="1" s="1"/>
  <c r="Q767" i="1"/>
  <c r="R767" i="1" s="1"/>
  <c r="Q759" i="1"/>
  <c r="R759" i="1" s="1"/>
  <c r="Q751" i="1"/>
  <c r="R751" i="1" s="1"/>
  <c r="Q743" i="1"/>
  <c r="R743" i="1" s="1"/>
  <c r="Q735" i="1"/>
  <c r="R735" i="1" s="1"/>
  <c r="Q727" i="1"/>
  <c r="R727" i="1" s="1"/>
  <c r="Q719" i="1"/>
  <c r="R719" i="1" s="1"/>
  <c r="Q711" i="1"/>
  <c r="R711" i="1" s="1"/>
  <c r="Q703" i="1"/>
  <c r="R703" i="1" s="1"/>
  <c r="Q695" i="1"/>
  <c r="R695" i="1" s="1"/>
  <c r="Q687" i="1"/>
  <c r="R687" i="1" s="1"/>
  <c r="R679" i="1"/>
  <c r="Q679" i="1"/>
  <c r="Q671" i="1"/>
  <c r="R671" i="1" s="1"/>
  <c r="Q663" i="1"/>
  <c r="R663" i="1" s="1"/>
  <c r="Q655" i="1"/>
  <c r="R655" i="1" s="1"/>
  <c r="R647" i="1"/>
  <c r="Q647" i="1"/>
  <c r="Q639" i="1"/>
  <c r="R639" i="1" s="1"/>
  <c r="Q631" i="1"/>
  <c r="R631" i="1" s="1"/>
  <c r="Q623" i="1"/>
  <c r="R623" i="1" s="1"/>
  <c r="Q615" i="1"/>
  <c r="R615" i="1" s="1"/>
  <c r="Q607" i="1"/>
  <c r="R607" i="1" s="1"/>
  <c r="Q599" i="1"/>
  <c r="R599" i="1" s="1"/>
  <c r="Q591" i="1"/>
  <c r="R591" i="1" s="1"/>
  <c r="Q583" i="1"/>
  <c r="R583" i="1" s="1"/>
  <c r="Q575" i="1"/>
  <c r="R575" i="1" s="1"/>
  <c r="Q567" i="1"/>
  <c r="R567" i="1" s="1"/>
  <c r="Q559" i="1"/>
  <c r="R559" i="1" s="1"/>
  <c r="Q551" i="1"/>
  <c r="R551" i="1" s="1"/>
  <c r="Q543" i="1"/>
  <c r="R543" i="1" s="1"/>
  <c r="Q535" i="1"/>
  <c r="R535" i="1" s="1"/>
  <c r="Q527" i="1"/>
  <c r="R527" i="1" s="1"/>
  <c r="R519" i="1"/>
  <c r="Q519" i="1"/>
  <c r="Q511" i="1"/>
  <c r="R511" i="1" s="1"/>
  <c r="Q503" i="1"/>
  <c r="R503" i="1" s="1"/>
  <c r="Q495" i="1"/>
  <c r="R495" i="1" s="1"/>
  <c r="Q487" i="1"/>
  <c r="R487" i="1" s="1"/>
  <c r="R479" i="1"/>
  <c r="Q479" i="1"/>
  <c r="Q471" i="1"/>
  <c r="R471" i="1" s="1"/>
  <c r="Q463" i="1"/>
  <c r="R463" i="1" s="1"/>
  <c r="Q455" i="1"/>
  <c r="R455" i="1" s="1"/>
  <c r="Q447" i="1"/>
  <c r="R447" i="1" s="1"/>
  <c r="Q439" i="1"/>
  <c r="R439" i="1" s="1"/>
  <c r="Q431" i="1"/>
  <c r="R431" i="1" s="1"/>
  <c r="R423" i="1"/>
  <c r="Q423" i="1"/>
  <c r="Q415" i="1"/>
  <c r="R415" i="1" s="1"/>
  <c r="R407" i="1"/>
  <c r="Q407" i="1"/>
  <c r="Q399" i="1"/>
  <c r="R399" i="1" s="1"/>
  <c r="Q391" i="1"/>
  <c r="R391" i="1" s="1"/>
  <c r="Q383" i="1"/>
  <c r="R383" i="1" s="1"/>
  <c r="Q375" i="1"/>
  <c r="R375" i="1" s="1"/>
  <c r="Q367" i="1"/>
  <c r="R367" i="1" s="1"/>
  <c r="R359" i="1"/>
  <c r="Q359" i="1"/>
  <c r="Q351" i="1"/>
  <c r="R351" i="1" s="1"/>
  <c r="Q343" i="1"/>
  <c r="R343" i="1" s="1"/>
  <c r="Q335" i="1"/>
  <c r="R335" i="1" s="1"/>
  <c r="Q327" i="1"/>
  <c r="R327" i="1" s="1"/>
  <c r="Q319" i="1"/>
  <c r="R319" i="1" s="1"/>
  <c r="Q311" i="1"/>
  <c r="R311" i="1" s="1"/>
  <c r="Q303" i="1"/>
  <c r="R303" i="1" s="1"/>
  <c r="Q295" i="1"/>
  <c r="R295" i="1" s="1"/>
  <c r="Q287" i="1"/>
  <c r="R287" i="1" s="1"/>
  <c r="Q279" i="1"/>
  <c r="R279" i="1" s="1"/>
  <c r="Q271" i="1"/>
  <c r="R271" i="1" s="1"/>
  <c r="Q263" i="1"/>
  <c r="R263" i="1" s="1"/>
  <c r="Q255" i="1"/>
  <c r="R255" i="1" s="1"/>
  <c r="Q247" i="1"/>
  <c r="R247" i="1" s="1"/>
  <c r="Q239" i="1"/>
  <c r="R239" i="1" s="1"/>
  <c r="Q231" i="1"/>
  <c r="R231" i="1" s="1"/>
  <c r="Q223" i="1"/>
  <c r="R223" i="1" s="1"/>
  <c r="Q215" i="1"/>
  <c r="R215" i="1" s="1"/>
  <c r="R207" i="1"/>
  <c r="Q207" i="1"/>
  <c r="Q199" i="1"/>
  <c r="R199" i="1" s="1"/>
  <c r="Q191" i="1"/>
  <c r="R191" i="1" s="1"/>
  <c r="Q183" i="1"/>
  <c r="R183" i="1" s="1"/>
  <c r="Q175" i="1"/>
  <c r="R175" i="1" s="1"/>
  <c r="Q167" i="1"/>
  <c r="R167" i="1" s="1"/>
  <c r="Q159" i="1"/>
  <c r="R159" i="1" s="1"/>
  <c r="Q151" i="1"/>
  <c r="R151" i="1" s="1"/>
  <c r="Q143" i="1"/>
  <c r="R143" i="1" s="1"/>
  <c r="Q135" i="1"/>
  <c r="R135" i="1" s="1"/>
  <c r="Q127" i="1"/>
  <c r="R127" i="1" s="1"/>
  <c r="Q119" i="1"/>
  <c r="R119" i="1" s="1"/>
  <c r="R111" i="1"/>
  <c r="Q111" i="1"/>
  <c r="Q103" i="1"/>
  <c r="R103" i="1" s="1"/>
  <c r="Q95" i="1"/>
  <c r="R95" i="1" s="1"/>
  <c r="Q87" i="1"/>
  <c r="R87" i="1" s="1"/>
  <c r="Q79" i="1"/>
  <c r="R79" i="1" s="1"/>
  <c r="Q71" i="1"/>
  <c r="R71" i="1" s="1"/>
  <c r="R63" i="1"/>
  <c r="Q63" i="1"/>
  <c r="Q55" i="1"/>
  <c r="R55" i="1" s="1"/>
  <c r="Q47" i="1"/>
  <c r="R47" i="1" s="1"/>
  <c r="Q39" i="1"/>
  <c r="R39" i="1" s="1"/>
  <c r="Q31" i="1"/>
  <c r="R31" i="1" s="1"/>
  <c r="Q23" i="1"/>
  <c r="R23" i="1" s="1"/>
  <c r="Q15" i="1"/>
  <c r="R15" i="1" s="1"/>
  <c r="Q7" i="1"/>
  <c r="Q4030" i="1"/>
  <c r="R4030" i="1" s="1"/>
  <c r="Q4022" i="1"/>
  <c r="R4022" i="1" s="1"/>
  <c r="Q4014" i="1"/>
  <c r="R4014" i="1" s="1"/>
  <c r="Q4006" i="1"/>
  <c r="R4006" i="1" s="1"/>
  <c r="Q3998" i="1"/>
  <c r="R3998" i="1" s="1"/>
  <c r="Q3990" i="1"/>
  <c r="R3990" i="1" s="1"/>
  <c r="Q3982" i="1"/>
  <c r="R3982" i="1" s="1"/>
  <c r="Q3974" i="1"/>
  <c r="R3974" i="1" s="1"/>
  <c r="R3966" i="1"/>
  <c r="Q3966" i="1"/>
  <c r="Q3958" i="1"/>
  <c r="R3958" i="1" s="1"/>
  <c r="R3950" i="1"/>
  <c r="Q3950" i="1"/>
  <c r="Q3942" i="1"/>
  <c r="R3942" i="1" s="1"/>
  <c r="Q3934" i="1"/>
  <c r="R3934" i="1" s="1"/>
  <c r="Q3926" i="1"/>
  <c r="R3926" i="1" s="1"/>
  <c r="Q3918" i="1"/>
  <c r="R3918" i="1" s="1"/>
  <c r="Q3910" i="1"/>
  <c r="R3910" i="1" s="1"/>
  <c r="Q3902" i="1"/>
  <c r="R3902" i="1" s="1"/>
  <c r="R3894" i="1"/>
  <c r="Q3894" i="1"/>
  <c r="Q3886" i="1"/>
  <c r="R3886" i="1" s="1"/>
  <c r="Q3878" i="1"/>
  <c r="R3878" i="1" s="1"/>
  <c r="Q3870" i="1"/>
  <c r="R3870" i="1" s="1"/>
  <c r="Q3862" i="1"/>
  <c r="R3862" i="1" s="1"/>
  <c r="Q3854" i="1"/>
  <c r="R3854" i="1" s="1"/>
  <c r="Q3846" i="1"/>
  <c r="R3846" i="1" s="1"/>
  <c r="Q3838" i="1"/>
  <c r="R3838" i="1" s="1"/>
  <c r="Q3830" i="1"/>
  <c r="R3830" i="1" s="1"/>
  <c r="Q3822" i="1"/>
  <c r="R3822" i="1" s="1"/>
  <c r="Q3814" i="1"/>
  <c r="R3814" i="1" s="1"/>
  <c r="R3806" i="1"/>
  <c r="Q3806" i="1"/>
  <c r="Q3798" i="1"/>
  <c r="R3798" i="1" s="1"/>
  <c r="Q3790" i="1"/>
  <c r="R3790" i="1" s="1"/>
  <c r="Q3782" i="1"/>
  <c r="R3782" i="1" s="1"/>
  <c r="R3774" i="1"/>
  <c r="Q3774" i="1"/>
  <c r="Q3766" i="1"/>
  <c r="R3766" i="1" s="1"/>
  <c r="Q3758" i="1"/>
  <c r="R3758" i="1" s="1"/>
  <c r="Q3750" i="1"/>
  <c r="R3750" i="1" s="1"/>
  <c r="Q3742" i="1"/>
  <c r="R3742" i="1" s="1"/>
  <c r="R3734" i="1"/>
  <c r="Q3734" i="1"/>
  <c r="Q3726" i="1"/>
  <c r="R3726" i="1" s="1"/>
  <c r="Q3718" i="1"/>
  <c r="R3718" i="1" s="1"/>
  <c r="Q3710" i="1"/>
  <c r="R3710" i="1" s="1"/>
  <c r="Q3702" i="1"/>
  <c r="R3702" i="1" s="1"/>
  <c r="Q3694" i="1"/>
  <c r="R3694" i="1" s="1"/>
  <c r="Q3686" i="1"/>
  <c r="R3686" i="1" s="1"/>
  <c r="Q3678" i="1"/>
  <c r="R3678" i="1" s="1"/>
  <c r="Q3670" i="1"/>
  <c r="R3670" i="1" s="1"/>
  <c r="Q3662" i="1"/>
  <c r="R3662" i="1" s="1"/>
  <c r="R3654" i="1"/>
  <c r="Q3654" i="1"/>
  <c r="Q3646" i="1"/>
  <c r="R3646" i="1" s="1"/>
  <c r="Q3638" i="1"/>
  <c r="R3638" i="1" s="1"/>
  <c r="Q3630" i="1"/>
  <c r="R3630" i="1" s="1"/>
  <c r="Q3622" i="1"/>
  <c r="R3622" i="1" s="1"/>
  <c r="Q3614" i="1"/>
  <c r="R3614" i="1" s="1"/>
  <c r="Q3606" i="1"/>
  <c r="R3606" i="1" s="1"/>
  <c r="Q3598" i="1"/>
  <c r="R3598" i="1" s="1"/>
  <c r="Q3590" i="1"/>
  <c r="R3590" i="1" s="1"/>
  <c r="Q3582" i="1"/>
  <c r="R3582" i="1" s="1"/>
  <c r="Q3574" i="1"/>
  <c r="R3574" i="1" s="1"/>
  <c r="Q3566" i="1"/>
  <c r="R3566" i="1" s="1"/>
  <c r="Q3558" i="1"/>
  <c r="R3558" i="1" s="1"/>
  <c r="Q3550" i="1"/>
  <c r="R3550" i="1" s="1"/>
  <c r="Q3542" i="1"/>
  <c r="R3542" i="1" s="1"/>
  <c r="Q3534" i="1"/>
  <c r="R3534" i="1" s="1"/>
  <c r="Q3526" i="1"/>
  <c r="R3526" i="1" s="1"/>
  <c r="Q3518" i="1"/>
  <c r="R3518" i="1" s="1"/>
  <c r="Q3510" i="1"/>
  <c r="R3510" i="1" s="1"/>
  <c r="Q3502" i="1"/>
  <c r="R3502" i="1" s="1"/>
  <c r="Q3494" i="1"/>
  <c r="R3494" i="1" s="1"/>
  <c r="R3486" i="1"/>
  <c r="Q3486" i="1"/>
  <c r="Q3478" i="1"/>
  <c r="R3478" i="1" s="1"/>
  <c r="Q3470" i="1"/>
  <c r="R3470" i="1" s="1"/>
  <c r="Q3462" i="1"/>
  <c r="R3462" i="1" s="1"/>
  <c r="Q3454" i="1"/>
  <c r="R3454" i="1" s="1"/>
  <c r="R3446" i="1"/>
  <c r="Q3446" i="1"/>
  <c r="Q3438" i="1"/>
  <c r="R3438" i="1" s="1"/>
  <c r="Q3430" i="1"/>
  <c r="R3430" i="1" s="1"/>
  <c r="Q3422" i="1"/>
  <c r="R3422" i="1" s="1"/>
  <c r="Q3414" i="1"/>
  <c r="R3414" i="1" s="1"/>
  <c r="Q3406" i="1"/>
  <c r="R3406" i="1" s="1"/>
  <c r="Q3398" i="1"/>
  <c r="R3398" i="1" s="1"/>
  <c r="Q3390" i="1"/>
  <c r="R3390" i="1" s="1"/>
  <c r="Q3382" i="1"/>
  <c r="R3382" i="1" s="1"/>
  <c r="Q3374" i="1"/>
  <c r="R3374" i="1" s="1"/>
  <c r="Q3366" i="1"/>
  <c r="R3366" i="1" s="1"/>
  <c r="Q3358" i="1"/>
  <c r="R3358" i="1" s="1"/>
  <c r="Q3350" i="1"/>
  <c r="R3350" i="1" s="1"/>
  <c r="Q3342" i="1"/>
  <c r="R3342" i="1" s="1"/>
  <c r="Q3334" i="1"/>
  <c r="R3334" i="1" s="1"/>
  <c r="Q3326" i="1"/>
  <c r="R3326" i="1" s="1"/>
  <c r="Q3318" i="1"/>
  <c r="R3318" i="1" s="1"/>
  <c r="Q3310" i="1"/>
  <c r="R3310" i="1" s="1"/>
  <c r="R3302" i="1"/>
  <c r="Q3302" i="1"/>
  <c r="Q3294" i="1"/>
  <c r="R3294" i="1" s="1"/>
  <c r="Q3286" i="1"/>
  <c r="R3286" i="1" s="1"/>
  <c r="R3278" i="1"/>
  <c r="Q3278" i="1"/>
  <c r="R3270" i="1"/>
  <c r="Q3270" i="1"/>
  <c r="Q3262" i="1"/>
  <c r="R3262" i="1" s="1"/>
  <c r="Q3254" i="1"/>
  <c r="R3254" i="1" s="1"/>
  <c r="Q3246" i="1"/>
  <c r="R3246" i="1" s="1"/>
  <c r="Q3238" i="1"/>
  <c r="R3238" i="1" s="1"/>
  <c r="Q3230" i="1"/>
  <c r="R3230" i="1" s="1"/>
  <c r="Q3222" i="1"/>
  <c r="R3222" i="1" s="1"/>
  <c r="Q3214" i="1"/>
  <c r="R3214" i="1" s="1"/>
  <c r="Q3206" i="1"/>
  <c r="R3206" i="1" s="1"/>
  <c r="Q3198" i="1"/>
  <c r="R3198" i="1" s="1"/>
  <c r="Q3190" i="1"/>
  <c r="R3190" i="1" s="1"/>
  <c r="Q3182" i="1"/>
  <c r="R3182" i="1" s="1"/>
  <c r="Q3174" i="1"/>
  <c r="R3174" i="1" s="1"/>
  <c r="Q3166" i="1"/>
  <c r="R3166" i="1" s="1"/>
  <c r="Q3158" i="1"/>
  <c r="R3158" i="1" s="1"/>
  <c r="Q3150" i="1"/>
  <c r="R3150" i="1" s="1"/>
  <c r="Q3142" i="1"/>
  <c r="R3142" i="1" s="1"/>
  <c r="Q3134" i="1"/>
  <c r="R3134" i="1" s="1"/>
  <c r="Q3126" i="1"/>
  <c r="R3126" i="1" s="1"/>
  <c r="Q3118" i="1"/>
  <c r="R3118" i="1" s="1"/>
  <c r="Q3110" i="1"/>
  <c r="R3110" i="1" s="1"/>
  <c r="Q3102" i="1"/>
  <c r="R3102" i="1" s="1"/>
  <c r="Q3094" i="1"/>
  <c r="R3094" i="1" s="1"/>
  <c r="Q3086" i="1"/>
  <c r="R3086" i="1" s="1"/>
  <c r="Q3078" i="1"/>
  <c r="R3078" i="1" s="1"/>
  <c r="Q3070" i="1"/>
  <c r="R3070" i="1" s="1"/>
  <c r="R3062" i="1"/>
  <c r="Q3062" i="1"/>
  <c r="Q3054" i="1"/>
  <c r="R3054" i="1" s="1"/>
  <c r="Q3046" i="1"/>
  <c r="R3046" i="1" s="1"/>
  <c r="Q3038" i="1"/>
  <c r="R3038" i="1" s="1"/>
  <c r="Q3030" i="1"/>
  <c r="R3030" i="1" s="1"/>
  <c r="Q3022" i="1"/>
  <c r="R3022" i="1" s="1"/>
  <c r="R3014" i="1"/>
  <c r="Q3014" i="1"/>
  <c r="Q3006" i="1"/>
  <c r="R3006" i="1" s="1"/>
  <c r="Q2998" i="1"/>
  <c r="R2998" i="1" s="1"/>
  <c r="R2990" i="1"/>
  <c r="Q2990" i="1"/>
  <c r="Q2982" i="1"/>
  <c r="R2982" i="1" s="1"/>
  <c r="Q2974" i="1"/>
  <c r="R2974" i="1" s="1"/>
  <c r="Q2966" i="1"/>
  <c r="R2966" i="1" s="1"/>
  <c r="Q2958" i="1"/>
  <c r="R2958" i="1" s="1"/>
  <c r="Q2950" i="1"/>
  <c r="R2950" i="1" s="1"/>
  <c r="Q2942" i="1"/>
  <c r="R2942" i="1" s="1"/>
  <c r="Q2934" i="1"/>
  <c r="R2934" i="1" s="1"/>
  <c r="Q2926" i="1"/>
  <c r="R2926" i="1" s="1"/>
  <c r="Q2918" i="1"/>
  <c r="R2918" i="1" s="1"/>
  <c r="Q2910" i="1"/>
  <c r="R2910" i="1" s="1"/>
  <c r="Q2902" i="1"/>
  <c r="R2902" i="1" s="1"/>
  <c r="Q2894" i="1"/>
  <c r="R2894" i="1" s="1"/>
  <c r="Q2886" i="1"/>
  <c r="R2886" i="1" s="1"/>
  <c r="Q2878" i="1"/>
  <c r="R2878" i="1" s="1"/>
  <c r="Q2870" i="1"/>
  <c r="R2870" i="1" s="1"/>
  <c r="Q2862" i="1"/>
  <c r="R2862" i="1" s="1"/>
  <c r="Q2854" i="1"/>
  <c r="R2854" i="1" s="1"/>
  <c r="Q2846" i="1"/>
  <c r="R2846" i="1" s="1"/>
  <c r="Q2838" i="1"/>
  <c r="R2838" i="1" s="1"/>
  <c r="Q2830" i="1"/>
  <c r="R2830" i="1" s="1"/>
  <c r="R2822" i="1"/>
  <c r="Q2822" i="1"/>
  <c r="Q2814" i="1"/>
  <c r="R2814" i="1" s="1"/>
  <c r="Q2806" i="1"/>
  <c r="R2806" i="1" s="1"/>
  <c r="Q2798" i="1"/>
  <c r="R2798" i="1" s="1"/>
  <c r="Q2790" i="1"/>
  <c r="R2790" i="1" s="1"/>
  <c r="Q2782" i="1"/>
  <c r="R2782" i="1" s="1"/>
  <c r="Q2774" i="1"/>
  <c r="R2774" i="1" s="1"/>
  <c r="Q2766" i="1"/>
  <c r="R2766" i="1" s="1"/>
  <c r="Q2758" i="1"/>
  <c r="R2758" i="1" s="1"/>
  <c r="Q2750" i="1"/>
  <c r="R2750" i="1" s="1"/>
  <c r="Q2742" i="1"/>
  <c r="R2742" i="1" s="1"/>
  <c r="Q2734" i="1"/>
  <c r="R2734" i="1" s="1"/>
  <c r="Q2726" i="1"/>
  <c r="R2726" i="1" s="1"/>
  <c r="Q2718" i="1"/>
  <c r="R2718" i="1" s="1"/>
  <c r="Q2710" i="1"/>
  <c r="R2710" i="1" s="1"/>
  <c r="Q2702" i="1"/>
  <c r="R2702" i="1" s="1"/>
  <c r="Q2694" i="1"/>
  <c r="R2694" i="1" s="1"/>
  <c r="R2686" i="1"/>
  <c r="Q2686" i="1"/>
  <c r="Q2678" i="1"/>
  <c r="R2678" i="1" s="1"/>
  <c r="Q2670" i="1"/>
  <c r="R2670" i="1" s="1"/>
  <c r="Q2662" i="1"/>
  <c r="R2662" i="1" s="1"/>
  <c r="Q2654" i="1"/>
  <c r="R2654" i="1" s="1"/>
  <c r="Q2646" i="1"/>
  <c r="R2646" i="1" s="1"/>
  <c r="Q2638" i="1"/>
  <c r="R2638" i="1" s="1"/>
  <c r="Q2630" i="1"/>
  <c r="R2630" i="1" s="1"/>
  <c r="Q2622" i="1"/>
  <c r="R2622" i="1" s="1"/>
  <c r="Q2614" i="1"/>
  <c r="R2614" i="1" s="1"/>
  <c r="Q2606" i="1"/>
  <c r="R2606" i="1" s="1"/>
  <c r="Q2598" i="1"/>
  <c r="R2598" i="1" s="1"/>
  <c r="Q2590" i="1"/>
  <c r="R2590" i="1" s="1"/>
  <c r="Q2582" i="1"/>
  <c r="R2582" i="1" s="1"/>
  <c r="Q2574" i="1"/>
  <c r="R2574" i="1" s="1"/>
  <c r="Q2566" i="1"/>
  <c r="R2566" i="1" s="1"/>
  <c r="Q2558" i="1"/>
  <c r="R2558" i="1" s="1"/>
  <c r="Q2550" i="1"/>
  <c r="R2550" i="1" s="1"/>
  <c r="Q2542" i="1"/>
  <c r="R2542" i="1" s="1"/>
  <c r="Q2534" i="1"/>
  <c r="R2534" i="1" s="1"/>
  <c r="Q2526" i="1"/>
  <c r="R2526" i="1" s="1"/>
  <c r="Q2518" i="1"/>
  <c r="R2518" i="1" s="1"/>
  <c r="Q2510" i="1"/>
  <c r="R2510" i="1" s="1"/>
  <c r="Q2502" i="1"/>
  <c r="R2502" i="1" s="1"/>
  <c r="Q2494" i="1"/>
  <c r="R2494" i="1" s="1"/>
  <c r="R2486" i="1"/>
  <c r="Q2486" i="1"/>
  <c r="Q2478" i="1"/>
  <c r="R2478" i="1" s="1"/>
  <c r="R2470" i="1"/>
  <c r="Q2470" i="1"/>
  <c r="Q2462" i="1"/>
  <c r="R2462" i="1" s="1"/>
  <c r="Q2454" i="1"/>
  <c r="R2454" i="1" s="1"/>
  <c r="Q2446" i="1"/>
  <c r="R2446" i="1" s="1"/>
  <c r="Q2438" i="1"/>
  <c r="R2438" i="1" s="1"/>
  <c r="Q2430" i="1"/>
  <c r="R2430" i="1" s="1"/>
  <c r="Q2422" i="1"/>
  <c r="R2422" i="1" s="1"/>
  <c r="Q2414" i="1"/>
  <c r="R2414" i="1" s="1"/>
  <c r="Q2406" i="1"/>
  <c r="R2406" i="1" s="1"/>
  <c r="Q2398" i="1"/>
  <c r="R2398" i="1" s="1"/>
  <c r="Q2390" i="1"/>
  <c r="R2390" i="1" s="1"/>
  <c r="Q2382" i="1"/>
  <c r="R2382" i="1" s="1"/>
  <c r="Q2374" i="1"/>
  <c r="R2374" i="1" s="1"/>
  <c r="R2366" i="1"/>
  <c r="Q2366" i="1"/>
  <c r="Q2358" i="1"/>
  <c r="R2358" i="1" s="1"/>
  <c r="Q2350" i="1"/>
  <c r="R2350" i="1" s="1"/>
  <c r="Q2342" i="1"/>
  <c r="R2342" i="1" s="1"/>
  <c r="Q2334" i="1"/>
  <c r="R2334" i="1" s="1"/>
  <c r="Q2326" i="1"/>
  <c r="R2326" i="1" s="1"/>
  <c r="Q2318" i="1"/>
  <c r="R2318" i="1" s="1"/>
  <c r="Q2310" i="1"/>
  <c r="R2310" i="1" s="1"/>
  <c r="Q2302" i="1"/>
  <c r="R2302" i="1" s="1"/>
  <c r="Q2294" i="1"/>
  <c r="R2294" i="1" s="1"/>
  <c r="Q2286" i="1"/>
  <c r="R2286" i="1" s="1"/>
  <c r="Q2278" i="1"/>
  <c r="R2278" i="1" s="1"/>
  <c r="Q2270" i="1"/>
  <c r="R2270" i="1" s="1"/>
  <c r="Q2262" i="1"/>
  <c r="R2262" i="1" s="1"/>
  <c r="Q2254" i="1"/>
  <c r="R2254" i="1" s="1"/>
  <c r="Q2246" i="1"/>
  <c r="R2246" i="1" s="1"/>
  <c r="Q2238" i="1"/>
  <c r="R2238" i="1" s="1"/>
  <c r="Q2230" i="1"/>
  <c r="R2230" i="1" s="1"/>
  <c r="Q2222" i="1"/>
  <c r="R2222" i="1" s="1"/>
  <c r="Q2214" i="1"/>
  <c r="R2214" i="1" s="1"/>
  <c r="Q2206" i="1"/>
  <c r="R2206" i="1" s="1"/>
  <c r="Q2198" i="1"/>
  <c r="R2198" i="1" s="1"/>
  <c r="Q2190" i="1"/>
  <c r="R2190" i="1" s="1"/>
  <c r="Q2182" i="1"/>
  <c r="R2182" i="1" s="1"/>
  <c r="Q2174" i="1"/>
  <c r="R2174" i="1" s="1"/>
  <c r="Q2166" i="1"/>
  <c r="R2166" i="1" s="1"/>
  <c r="Q2158" i="1"/>
  <c r="R2158" i="1" s="1"/>
  <c r="Q2150" i="1"/>
  <c r="R2150" i="1" s="1"/>
  <c r="Q2142" i="1"/>
  <c r="R2142" i="1" s="1"/>
  <c r="Q2134" i="1"/>
  <c r="R2134" i="1" s="1"/>
  <c r="Q2126" i="1"/>
  <c r="R2126" i="1" s="1"/>
  <c r="Q2118" i="1"/>
  <c r="R2118" i="1" s="1"/>
  <c r="Q2110" i="1"/>
  <c r="R2110" i="1" s="1"/>
  <c r="Q2102" i="1"/>
  <c r="R2102" i="1" s="1"/>
  <c r="Q2094" i="1"/>
  <c r="R2094" i="1" s="1"/>
  <c r="Q2086" i="1"/>
  <c r="R2086" i="1" s="1"/>
  <c r="Q2078" i="1"/>
  <c r="R2078" i="1" s="1"/>
  <c r="Q2070" i="1"/>
  <c r="R2070" i="1" s="1"/>
  <c r="Q2062" i="1"/>
  <c r="R2062" i="1" s="1"/>
  <c r="Q2054" i="1"/>
  <c r="R2054" i="1" s="1"/>
  <c r="Q2046" i="1"/>
  <c r="R2046" i="1" s="1"/>
  <c r="R2038" i="1"/>
  <c r="Q2038" i="1"/>
  <c r="Q2030" i="1"/>
  <c r="R2030" i="1" s="1"/>
  <c r="Q2022" i="1"/>
  <c r="R2022" i="1" s="1"/>
  <c r="Q2014" i="1"/>
  <c r="R2014" i="1" s="1"/>
  <c r="Q2006" i="1"/>
  <c r="R2006" i="1" s="1"/>
  <c r="Q1998" i="1"/>
  <c r="R1998" i="1" s="1"/>
  <c r="R1990" i="1"/>
  <c r="Q1990" i="1"/>
  <c r="R1982" i="1"/>
  <c r="Q1982" i="1"/>
  <c r="Q1974" i="1"/>
  <c r="R1974" i="1" s="1"/>
  <c r="Q1966" i="1"/>
  <c r="R1966" i="1" s="1"/>
  <c r="Q1958" i="1"/>
  <c r="R1958" i="1" s="1"/>
  <c r="Q1950" i="1"/>
  <c r="R1950" i="1" s="1"/>
  <c r="Q1942" i="1"/>
  <c r="R1942" i="1" s="1"/>
  <c r="Q1934" i="1"/>
  <c r="R1934" i="1" s="1"/>
  <c r="Q1926" i="1"/>
  <c r="R1926" i="1" s="1"/>
  <c r="Q1918" i="1"/>
  <c r="R1918" i="1" s="1"/>
  <c r="R1910" i="1"/>
  <c r="Q1910" i="1"/>
  <c r="Q1902" i="1"/>
  <c r="R1902" i="1" s="1"/>
  <c r="Q1894" i="1"/>
  <c r="R1894" i="1" s="1"/>
  <c r="Q1886" i="1"/>
  <c r="R1886" i="1" s="1"/>
  <c r="Q1878" i="1"/>
  <c r="R1878" i="1" s="1"/>
  <c r="Q1870" i="1"/>
  <c r="R1870" i="1" s="1"/>
  <c r="Q1862" i="1"/>
  <c r="R1862" i="1" s="1"/>
  <c r="Q1854" i="1"/>
  <c r="R1854" i="1" s="1"/>
  <c r="Q1846" i="1"/>
  <c r="R1846" i="1" s="1"/>
  <c r="Q1838" i="1"/>
  <c r="R1838" i="1" s="1"/>
  <c r="Q1830" i="1"/>
  <c r="R1830" i="1" s="1"/>
  <c r="Q1822" i="1"/>
  <c r="R1822" i="1" s="1"/>
  <c r="Q1814" i="1"/>
  <c r="R1814" i="1" s="1"/>
  <c r="Q1806" i="1"/>
  <c r="R1806" i="1" s="1"/>
  <c r="Q1798" i="1"/>
  <c r="R1798" i="1" s="1"/>
  <c r="Q1790" i="1"/>
  <c r="R1790" i="1" s="1"/>
  <c r="Q1782" i="1"/>
  <c r="R1782" i="1" s="1"/>
  <c r="Q1774" i="1"/>
  <c r="R1774" i="1" s="1"/>
  <c r="Q1766" i="1"/>
  <c r="R1766" i="1" s="1"/>
  <c r="Q1758" i="1"/>
  <c r="R1758" i="1" s="1"/>
  <c r="Q1750" i="1"/>
  <c r="R1750" i="1" s="1"/>
  <c r="Q1742" i="1"/>
  <c r="R1742" i="1" s="1"/>
  <c r="Q1734" i="1"/>
  <c r="R1734" i="1" s="1"/>
  <c r="Q1726" i="1"/>
  <c r="R1726" i="1" s="1"/>
  <c r="Q1718" i="1"/>
  <c r="R1718" i="1" s="1"/>
  <c r="Q1710" i="1"/>
  <c r="R1710" i="1" s="1"/>
  <c r="R1702" i="1"/>
  <c r="Q1702" i="1"/>
  <c r="Q1694" i="1"/>
  <c r="R1694" i="1" s="1"/>
  <c r="Q1686" i="1"/>
  <c r="R1686" i="1" s="1"/>
  <c r="Q1678" i="1"/>
  <c r="R1678" i="1" s="1"/>
  <c r="Q1670" i="1"/>
  <c r="R1670" i="1" s="1"/>
  <c r="Q1662" i="1"/>
  <c r="R1662" i="1" s="1"/>
  <c r="Q1654" i="1"/>
  <c r="R1654" i="1" s="1"/>
  <c r="Q1646" i="1"/>
  <c r="R1646" i="1" s="1"/>
  <c r="Q1638" i="1"/>
  <c r="R1638" i="1" s="1"/>
  <c r="R1630" i="1"/>
  <c r="Q1630" i="1"/>
  <c r="Q1622" i="1"/>
  <c r="R1622" i="1" s="1"/>
  <c r="Q1614" i="1"/>
  <c r="R1614" i="1" s="1"/>
  <c r="Q1606" i="1"/>
  <c r="R1606" i="1" s="1"/>
  <c r="Q1598" i="1"/>
  <c r="R1598" i="1" s="1"/>
  <c r="R1590" i="1"/>
  <c r="Q1590" i="1"/>
  <c r="Q1582" i="1"/>
  <c r="R1582" i="1" s="1"/>
  <c r="Q1574" i="1"/>
  <c r="R1574" i="1" s="1"/>
  <c r="Q1566" i="1"/>
  <c r="R1566" i="1" s="1"/>
  <c r="Q1558" i="1"/>
  <c r="R1558" i="1" s="1"/>
  <c r="R1550" i="1"/>
  <c r="Q1550" i="1"/>
  <c r="Q1542" i="1"/>
  <c r="R1542" i="1" s="1"/>
  <c r="Q1534" i="1"/>
  <c r="R1534" i="1" s="1"/>
  <c r="Q1526" i="1"/>
  <c r="R1526" i="1" s="1"/>
  <c r="Q1518" i="1"/>
  <c r="R1518" i="1" s="1"/>
  <c r="Q1510" i="1"/>
  <c r="R1510" i="1" s="1"/>
  <c r="Q1502" i="1"/>
  <c r="R1502" i="1" s="1"/>
  <c r="Q1494" i="1"/>
  <c r="R1494" i="1" s="1"/>
  <c r="Q1486" i="1"/>
  <c r="R1486" i="1" s="1"/>
  <c r="Q1478" i="1"/>
  <c r="R1478" i="1" s="1"/>
  <c r="Q1470" i="1"/>
  <c r="R1470" i="1" s="1"/>
  <c r="Q1462" i="1"/>
  <c r="R1462" i="1" s="1"/>
  <c r="R1454" i="1"/>
  <c r="Q1454" i="1"/>
  <c r="Q1446" i="1"/>
  <c r="R1446" i="1" s="1"/>
  <c r="Q1438" i="1"/>
  <c r="R1438" i="1" s="1"/>
  <c r="Q1430" i="1"/>
  <c r="R1430" i="1" s="1"/>
  <c r="Q1422" i="1"/>
  <c r="R1422" i="1" s="1"/>
  <c r="Q1414" i="1"/>
  <c r="R1414" i="1" s="1"/>
  <c r="Q1406" i="1"/>
  <c r="R1406" i="1" s="1"/>
  <c r="Q1398" i="1"/>
  <c r="R1398" i="1" s="1"/>
  <c r="Q1390" i="1"/>
  <c r="R1390" i="1" s="1"/>
  <c r="Q1382" i="1"/>
  <c r="R1382" i="1" s="1"/>
  <c r="R1374" i="1"/>
  <c r="Q1374" i="1"/>
  <c r="Q1366" i="1"/>
  <c r="R1366" i="1" s="1"/>
  <c r="Q1358" i="1"/>
  <c r="R1358" i="1" s="1"/>
  <c r="Q1350" i="1"/>
  <c r="R1350" i="1" s="1"/>
  <c r="Q1342" i="1"/>
  <c r="R1342" i="1" s="1"/>
  <c r="R1334" i="1"/>
  <c r="Q1334" i="1"/>
  <c r="Q1326" i="1"/>
  <c r="R1326" i="1" s="1"/>
  <c r="R1318" i="1"/>
  <c r="Q1318" i="1"/>
  <c r="Q1310" i="1"/>
  <c r="R1310" i="1" s="1"/>
  <c r="Q1302" i="1"/>
  <c r="R1302" i="1" s="1"/>
  <c r="Q1294" i="1"/>
  <c r="R1294" i="1" s="1"/>
  <c r="Q1286" i="1"/>
  <c r="R1286" i="1" s="1"/>
  <c r="Q1278" i="1"/>
  <c r="R1278" i="1" s="1"/>
  <c r="Q1270" i="1"/>
  <c r="R1270" i="1" s="1"/>
  <c r="R1262" i="1"/>
  <c r="Q1262" i="1"/>
  <c r="Q1254" i="1"/>
  <c r="R1254" i="1" s="1"/>
  <c r="Q1246" i="1"/>
  <c r="R1246" i="1" s="1"/>
  <c r="Q1238" i="1"/>
  <c r="R1238" i="1" s="1"/>
  <c r="Q1230" i="1"/>
  <c r="R1230" i="1" s="1"/>
  <c r="Q1222" i="1"/>
  <c r="R1222" i="1" s="1"/>
  <c r="Q1214" i="1"/>
  <c r="R1214" i="1" s="1"/>
  <c r="Q1206" i="1"/>
  <c r="R1206" i="1" s="1"/>
  <c r="Q1198" i="1"/>
  <c r="R1198" i="1" s="1"/>
  <c r="Q1190" i="1"/>
  <c r="R1190" i="1" s="1"/>
  <c r="Q1182" i="1"/>
  <c r="R1182" i="1" s="1"/>
  <c r="Q1174" i="1"/>
  <c r="R1174" i="1" s="1"/>
  <c r="Q1166" i="1"/>
  <c r="R1166" i="1" s="1"/>
  <c r="Q1158" i="1"/>
  <c r="R1158" i="1" s="1"/>
  <c r="Q1150" i="1"/>
  <c r="R1150" i="1" s="1"/>
  <c r="Q1142" i="1"/>
  <c r="R1142" i="1" s="1"/>
  <c r="Q1134" i="1"/>
  <c r="R1134" i="1" s="1"/>
  <c r="Q1126" i="1"/>
  <c r="R1126" i="1" s="1"/>
  <c r="Q1118" i="1"/>
  <c r="R1118" i="1" s="1"/>
  <c r="Q1110" i="1"/>
  <c r="R1110" i="1" s="1"/>
  <c r="Q1102" i="1"/>
  <c r="R1102" i="1" s="1"/>
  <c r="Q1094" i="1"/>
  <c r="R1094" i="1" s="1"/>
  <c r="Q1086" i="1"/>
  <c r="R1086" i="1" s="1"/>
  <c r="Q1078" i="1"/>
  <c r="R1078" i="1" s="1"/>
  <c r="Q1070" i="1"/>
  <c r="R1070" i="1" s="1"/>
  <c r="Q1062" i="1"/>
  <c r="R1062" i="1" s="1"/>
  <c r="Q1054" i="1"/>
  <c r="R1054" i="1" s="1"/>
  <c r="Q1046" i="1"/>
  <c r="R1046" i="1" s="1"/>
  <c r="Q1038" i="1"/>
  <c r="R1038" i="1" s="1"/>
  <c r="Q1030" i="1"/>
  <c r="R1030" i="1" s="1"/>
  <c r="Q1022" i="1"/>
  <c r="R1022" i="1" s="1"/>
  <c r="Q1014" i="1"/>
  <c r="R1014" i="1" s="1"/>
  <c r="Q1006" i="1"/>
  <c r="R1006" i="1" s="1"/>
  <c r="Q998" i="1"/>
  <c r="R998" i="1" s="1"/>
  <c r="Q990" i="1"/>
  <c r="R990" i="1" s="1"/>
  <c r="Q982" i="1"/>
  <c r="R982" i="1" s="1"/>
  <c r="Q974" i="1"/>
  <c r="R974" i="1" s="1"/>
  <c r="Q966" i="1"/>
  <c r="R966" i="1" s="1"/>
  <c r="Q958" i="1"/>
  <c r="R958" i="1" s="1"/>
  <c r="Q950" i="1"/>
  <c r="R950" i="1" s="1"/>
  <c r="Q942" i="1"/>
  <c r="R942" i="1" s="1"/>
  <c r="Q934" i="1"/>
  <c r="R934" i="1" s="1"/>
  <c r="Q926" i="1"/>
  <c r="R926" i="1" s="1"/>
  <c r="Q918" i="1"/>
  <c r="R918" i="1" s="1"/>
  <c r="Q910" i="1"/>
  <c r="R910" i="1" s="1"/>
  <c r="Q902" i="1"/>
  <c r="R902" i="1" s="1"/>
  <c r="Q894" i="1"/>
  <c r="R894" i="1" s="1"/>
  <c r="Q886" i="1"/>
  <c r="R886" i="1" s="1"/>
  <c r="Q878" i="1"/>
  <c r="R878" i="1" s="1"/>
  <c r="Q870" i="1"/>
  <c r="R870" i="1" s="1"/>
  <c r="Q862" i="1"/>
  <c r="R862" i="1" s="1"/>
  <c r="R854" i="1"/>
  <c r="Q854" i="1"/>
  <c r="R846" i="1"/>
  <c r="Q846" i="1"/>
  <c r="Q838" i="1"/>
  <c r="R838" i="1" s="1"/>
  <c r="Q830" i="1"/>
  <c r="R830" i="1" s="1"/>
  <c r="Q822" i="1"/>
  <c r="R822" i="1" s="1"/>
  <c r="Q814" i="1"/>
  <c r="R814" i="1" s="1"/>
  <c r="Q806" i="1"/>
  <c r="R806" i="1" s="1"/>
  <c r="R798" i="1"/>
  <c r="Q798" i="1"/>
  <c r="Q790" i="1"/>
  <c r="R790" i="1" s="1"/>
  <c r="Q782" i="1"/>
  <c r="R782" i="1" s="1"/>
  <c r="Q774" i="1"/>
  <c r="R774" i="1" s="1"/>
  <c r="Q766" i="1"/>
  <c r="R766" i="1" s="1"/>
  <c r="Q758" i="1"/>
  <c r="R758" i="1" s="1"/>
  <c r="Q750" i="1"/>
  <c r="R750" i="1" s="1"/>
  <c r="Q742" i="1"/>
  <c r="R742" i="1" s="1"/>
  <c r="Q734" i="1"/>
  <c r="R734" i="1" s="1"/>
  <c r="R726" i="1"/>
  <c r="Q726" i="1"/>
  <c r="Q718" i="1"/>
  <c r="R718" i="1" s="1"/>
  <c r="Q710" i="1"/>
  <c r="R710" i="1" s="1"/>
  <c r="Q702" i="1"/>
  <c r="R702" i="1" s="1"/>
  <c r="Q694" i="1"/>
  <c r="R694" i="1" s="1"/>
  <c r="Q686" i="1"/>
  <c r="R686" i="1" s="1"/>
  <c r="Q678" i="1"/>
  <c r="R678" i="1" s="1"/>
  <c r="Q670" i="1"/>
  <c r="R670" i="1" s="1"/>
  <c r="Q662" i="1"/>
  <c r="R662" i="1" s="1"/>
  <c r="Q654" i="1"/>
  <c r="R654" i="1" s="1"/>
  <c r="Q646" i="1"/>
  <c r="R646" i="1" s="1"/>
  <c r="Q638" i="1"/>
  <c r="R638" i="1" s="1"/>
  <c r="Q630" i="1"/>
  <c r="R630" i="1" s="1"/>
  <c r="R622" i="1"/>
  <c r="Q622" i="1"/>
  <c r="Q614" i="1"/>
  <c r="R614" i="1" s="1"/>
  <c r="Q606" i="1"/>
  <c r="R606" i="1" s="1"/>
  <c r="R598" i="1"/>
  <c r="Q598" i="1"/>
  <c r="Q590" i="1"/>
  <c r="R590" i="1" s="1"/>
  <c r="Q582" i="1"/>
  <c r="R582" i="1" s="1"/>
  <c r="Q574" i="1"/>
  <c r="R574" i="1" s="1"/>
  <c r="Q566" i="1"/>
  <c r="R566" i="1" s="1"/>
  <c r="Q558" i="1"/>
  <c r="R558" i="1" s="1"/>
  <c r="Q550" i="1"/>
  <c r="R550" i="1" s="1"/>
  <c r="R542" i="1"/>
  <c r="Q542" i="1"/>
  <c r="Q534" i="1"/>
  <c r="R534" i="1" s="1"/>
  <c r="Q526" i="1"/>
  <c r="R526" i="1" s="1"/>
  <c r="R518" i="1"/>
  <c r="Q518" i="1"/>
  <c r="Q510" i="1"/>
  <c r="R510" i="1" s="1"/>
  <c r="Q502" i="1"/>
  <c r="R502" i="1" s="1"/>
  <c r="Q494" i="1"/>
  <c r="R494" i="1" s="1"/>
  <c r="Q486" i="1"/>
  <c r="R486" i="1" s="1"/>
  <c r="R478" i="1"/>
  <c r="Q478" i="1"/>
  <c r="Q470" i="1"/>
  <c r="R470" i="1" s="1"/>
  <c r="Q462" i="1"/>
  <c r="R462" i="1" s="1"/>
  <c r="Q454" i="1"/>
  <c r="R454" i="1" s="1"/>
  <c r="Q446" i="1"/>
  <c r="R446" i="1" s="1"/>
  <c r="Q438" i="1"/>
  <c r="R438" i="1" s="1"/>
  <c r="Q430" i="1"/>
  <c r="R430" i="1" s="1"/>
  <c r="Q422" i="1"/>
  <c r="R422" i="1" s="1"/>
  <c r="Q414" i="1"/>
  <c r="R414" i="1" s="1"/>
  <c r="Q406" i="1"/>
  <c r="R406" i="1" s="1"/>
  <c r="Q398" i="1"/>
  <c r="R398" i="1" s="1"/>
  <c r="Q390" i="1"/>
  <c r="R390" i="1" s="1"/>
  <c r="Q382" i="1"/>
  <c r="R382" i="1" s="1"/>
  <c r="Q374" i="1"/>
  <c r="R374" i="1" s="1"/>
  <c r="Q366" i="1"/>
  <c r="R366" i="1" s="1"/>
  <c r="Q358" i="1"/>
  <c r="R358" i="1" s="1"/>
  <c r="Q350" i="1"/>
  <c r="R350" i="1" s="1"/>
  <c r="Q342" i="1"/>
  <c r="R342" i="1" s="1"/>
  <c r="Q334" i="1"/>
  <c r="R334" i="1" s="1"/>
  <c r="Q326" i="1"/>
  <c r="R326" i="1" s="1"/>
  <c r="Q318" i="1"/>
  <c r="R318" i="1" s="1"/>
  <c r="R310" i="1"/>
  <c r="Q310" i="1"/>
  <c r="Q302" i="1"/>
  <c r="R302" i="1" s="1"/>
  <c r="Q294" i="1"/>
  <c r="R294" i="1" s="1"/>
  <c r="R286" i="1"/>
  <c r="Q286" i="1"/>
  <c r="Q278" i="1"/>
  <c r="R278" i="1" s="1"/>
  <c r="Q270" i="1"/>
  <c r="R270" i="1" s="1"/>
  <c r="Q262" i="1"/>
  <c r="R262" i="1" s="1"/>
  <c r="Q254" i="1"/>
  <c r="R254" i="1" s="1"/>
  <c r="Q246" i="1"/>
  <c r="R246" i="1" s="1"/>
  <c r="Q238" i="1"/>
  <c r="R238" i="1" s="1"/>
  <c r="Q230" i="1"/>
  <c r="R230" i="1" s="1"/>
  <c r="Q222" i="1"/>
  <c r="R222" i="1" s="1"/>
  <c r="Q214" i="1"/>
  <c r="R214" i="1" s="1"/>
  <c r="Q206" i="1"/>
  <c r="R206" i="1" s="1"/>
  <c r="Q198" i="1"/>
  <c r="R198" i="1" s="1"/>
  <c r="Q190" i="1"/>
  <c r="R190" i="1" s="1"/>
  <c r="R182" i="1"/>
  <c r="Q182" i="1"/>
  <c r="Q174" i="1"/>
  <c r="R174" i="1" s="1"/>
  <c r="Q166" i="1"/>
  <c r="R166" i="1" s="1"/>
  <c r="Q158" i="1"/>
  <c r="R158" i="1" s="1"/>
  <c r="Q150" i="1"/>
  <c r="R150" i="1" s="1"/>
  <c r="Q142" i="1"/>
  <c r="R142" i="1" s="1"/>
  <c r="Q134" i="1"/>
  <c r="R134" i="1" s="1"/>
  <c r="Q126" i="1"/>
  <c r="R126" i="1" s="1"/>
  <c r="Q118" i="1"/>
  <c r="R118" i="1" s="1"/>
  <c r="R110" i="1"/>
  <c r="Q110" i="1"/>
  <c r="Q102" i="1"/>
  <c r="R102" i="1" s="1"/>
  <c r="Q94" i="1"/>
  <c r="R94" i="1" s="1"/>
  <c r="Q86" i="1"/>
  <c r="R86" i="1" s="1"/>
  <c r="Q78" i="1"/>
  <c r="R78" i="1" s="1"/>
  <c r="Q70" i="1"/>
  <c r="R70" i="1" s="1"/>
  <c r="Q62" i="1"/>
  <c r="R62" i="1" s="1"/>
  <c r="Q54" i="1"/>
  <c r="R54" i="1" s="1"/>
  <c r="Q46" i="1"/>
  <c r="R46" i="1" s="1"/>
  <c r="Q38" i="1"/>
  <c r="R38" i="1" s="1"/>
  <c r="Q30" i="1"/>
  <c r="R30" i="1" s="1"/>
  <c r="R22" i="1"/>
  <c r="Q22" i="1"/>
  <c r="Q14" i="1"/>
  <c r="R14" i="1" s="1"/>
  <c r="Q6" i="1"/>
  <c r="Q4037" i="1"/>
  <c r="R4037" i="1" s="1"/>
  <c r="Q4029" i="1"/>
  <c r="R4029" i="1" s="1"/>
  <c r="Q4021" i="1"/>
  <c r="R4021" i="1" s="1"/>
  <c r="R4013" i="1"/>
  <c r="Q4013" i="1"/>
  <c r="Q4005" i="1"/>
  <c r="R4005" i="1" s="1"/>
  <c r="Q3997" i="1"/>
  <c r="R3997" i="1" s="1"/>
  <c r="Q3989" i="1"/>
  <c r="R3989" i="1" s="1"/>
  <c r="Q3981" i="1"/>
  <c r="R3981" i="1" s="1"/>
  <c r="Q3973" i="1"/>
  <c r="R3973" i="1" s="1"/>
  <c r="R3965" i="1"/>
  <c r="Q3965" i="1"/>
  <c r="Q3957" i="1"/>
  <c r="R3957" i="1" s="1"/>
  <c r="Q3949" i="1"/>
  <c r="R3949" i="1" s="1"/>
  <c r="Q3941" i="1"/>
  <c r="R3941" i="1" s="1"/>
  <c r="R3933" i="1"/>
  <c r="Q3933" i="1"/>
  <c r="R3925" i="1"/>
  <c r="Q3925" i="1"/>
  <c r="Q3917" i="1"/>
  <c r="R3917" i="1" s="1"/>
  <c r="Q3909" i="1"/>
  <c r="R3909" i="1" s="1"/>
  <c r="Q3901" i="1"/>
  <c r="R3901" i="1" s="1"/>
  <c r="Q3893" i="1"/>
  <c r="R3893" i="1" s="1"/>
  <c r="Q3885" i="1"/>
  <c r="R3885" i="1" s="1"/>
  <c r="Q3877" i="1"/>
  <c r="R3877" i="1" s="1"/>
  <c r="R3869" i="1"/>
  <c r="Q3869" i="1"/>
  <c r="Q3861" i="1"/>
  <c r="R3861" i="1" s="1"/>
  <c r="Q3853" i="1"/>
  <c r="R3853" i="1" s="1"/>
  <c r="Q3845" i="1"/>
  <c r="R3845" i="1" s="1"/>
  <c r="Q3837" i="1"/>
  <c r="R3837" i="1" s="1"/>
  <c r="Q3829" i="1"/>
  <c r="R3829" i="1" s="1"/>
  <c r="Q3821" i="1"/>
  <c r="R3821" i="1" s="1"/>
  <c r="Q3813" i="1"/>
  <c r="R3813" i="1" s="1"/>
  <c r="R3805" i="1"/>
  <c r="Q3805" i="1"/>
  <c r="Q3797" i="1"/>
  <c r="R3797" i="1" s="1"/>
  <c r="Q3789" i="1"/>
  <c r="R3789" i="1" s="1"/>
  <c r="Q3781" i="1"/>
  <c r="R3781" i="1" s="1"/>
  <c r="Q3773" i="1"/>
  <c r="R3773" i="1" s="1"/>
  <c r="Q3765" i="1"/>
  <c r="R3765" i="1" s="1"/>
  <c r="Q3757" i="1"/>
  <c r="R3757" i="1" s="1"/>
  <c r="Q3749" i="1"/>
  <c r="R3749" i="1" s="1"/>
  <c r="Q3741" i="1"/>
  <c r="R3741" i="1" s="1"/>
  <c r="Q3733" i="1"/>
  <c r="R3733" i="1" s="1"/>
  <c r="Q3725" i="1"/>
  <c r="R3725" i="1" s="1"/>
  <c r="Q3717" i="1"/>
  <c r="R3717" i="1" s="1"/>
  <c r="Q3709" i="1"/>
  <c r="R3709" i="1" s="1"/>
  <c r="Q3701" i="1"/>
  <c r="R3701" i="1" s="1"/>
  <c r="Q3693" i="1"/>
  <c r="R3693" i="1" s="1"/>
  <c r="Q3685" i="1"/>
  <c r="R3685" i="1" s="1"/>
  <c r="Q3677" i="1"/>
  <c r="R3677" i="1" s="1"/>
  <c r="Q3669" i="1"/>
  <c r="R3669" i="1" s="1"/>
  <c r="Q3661" i="1"/>
  <c r="R3661" i="1" s="1"/>
  <c r="R3653" i="1"/>
  <c r="Q3653" i="1"/>
  <c r="Q3645" i="1"/>
  <c r="R3645" i="1" s="1"/>
  <c r="Q3637" i="1"/>
  <c r="R3637" i="1" s="1"/>
  <c r="Q3629" i="1"/>
  <c r="R3629" i="1" s="1"/>
  <c r="Q3621" i="1"/>
  <c r="R3621" i="1" s="1"/>
  <c r="Q3613" i="1"/>
  <c r="R3613" i="1" s="1"/>
  <c r="Q3605" i="1"/>
  <c r="R3605" i="1" s="1"/>
  <c r="Q3597" i="1"/>
  <c r="R3597" i="1" s="1"/>
  <c r="Q3589" i="1"/>
  <c r="R3589" i="1" s="1"/>
  <c r="Q3581" i="1"/>
  <c r="R3581" i="1" s="1"/>
  <c r="R3573" i="1"/>
  <c r="Q3573" i="1"/>
  <c r="Q3565" i="1"/>
  <c r="R3565" i="1" s="1"/>
  <c r="Q3557" i="1"/>
  <c r="R3557" i="1" s="1"/>
  <c r="Q3549" i="1"/>
  <c r="R3549" i="1" s="1"/>
  <c r="Q3541" i="1"/>
  <c r="R3541" i="1" s="1"/>
  <c r="Q3533" i="1"/>
  <c r="R3533" i="1" s="1"/>
  <c r="Q3525" i="1"/>
  <c r="R3525" i="1" s="1"/>
  <c r="Q3517" i="1"/>
  <c r="R3517" i="1" s="1"/>
  <c r="Q3509" i="1"/>
  <c r="R3509" i="1" s="1"/>
  <c r="Q3501" i="1"/>
  <c r="R3501" i="1" s="1"/>
  <c r="Q3493" i="1"/>
  <c r="R3493" i="1" s="1"/>
  <c r="Q3485" i="1"/>
  <c r="R3485" i="1" s="1"/>
  <c r="Q3477" i="1"/>
  <c r="R3477" i="1" s="1"/>
  <c r="Q3469" i="1"/>
  <c r="R3469" i="1" s="1"/>
  <c r="Q3461" i="1"/>
  <c r="R3461" i="1" s="1"/>
  <c r="Q3453" i="1"/>
  <c r="R3453" i="1" s="1"/>
  <c r="Q3445" i="1"/>
  <c r="R3445" i="1" s="1"/>
  <c r="Q3437" i="1"/>
  <c r="R3437" i="1" s="1"/>
  <c r="Q3429" i="1"/>
  <c r="R3429" i="1" s="1"/>
  <c r="Q3421" i="1"/>
  <c r="R3421" i="1" s="1"/>
  <c r="Q3413" i="1"/>
  <c r="R3413" i="1" s="1"/>
  <c r="Q3405" i="1"/>
  <c r="R3405" i="1" s="1"/>
  <c r="Q3397" i="1"/>
  <c r="R3397" i="1" s="1"/>
  <c r="Q3389" i="1"/>
  <c r="R3389" i="1" s="1"/>
  <c r="Q3381" i="1"/>
  <c r="R3381" i="1" s="1"/>
  <c r="Q3373" i="1"/>
  <c r="R3373" i="1" s="1"/>
  <c r="Q3365" i="1"/>
  <c r="R3365" i="1" s="1"/>
  <c r="R3357" i="1"/>
  <c r="Q3357" i="1"/>
  <c r="R3349" i="1"/>
  <c r="Q3349" i="1"/>
  <c r="Q3341" i="1"/>
  <c r="R3341" i="1" s="1"/>
  <c r="R3333" i="1"/>
  <c r="Q3333" i="1"/>
  <c r="Q3325" i="1"/>
  <c r="R3325" i="1" s="1"/>
  <c r="Q3317" i="1"/>
  <c r="R3317" i="1" s="1"/>
  <c r="Q3309" i="1"/>
  <c r="R3309" i="1" s="1"/>
  <c r="R3301" i="1"/>
  <c r="Q3301" i="1"/>
  <c r="Q3293" i="1"/>
  <c r="R3293" i="1" s="1"/>
  <c r="Q3285" i="1"/>
  <c r="R3285" i="1" s="1"/>
  <c r="Q3277" i="1"/>
  <c r="R3277" i="1" s="1"/>
  <c r="Q3269" i="1"/>
  <c r="R3269" i="1" s="1"/>
  <c r="Q3261" i="1"/>
  <c r="R3261" i="1" s="1"/>
  <c r="Q3253" i="1"/>
  <c r="R3253" i="1" s="1"/>
  <c r="Q3245" i="1"/>
  <c r="R3245" i="1" s="1"/>
  <c r="Q3237" i="1"/>
  <c r="R3237" i="1" s="1"/>
  <c r="Q3229" i="1"/>
  <c r="R3229" i="1" s="1"/>
  <c r="Q3221" i="1"/>
  <c r="R3221" i="1" s="1"/>
  <c r="Q3213" i="1"/>
  <c r="R3213" i="1" s="1"/>
  <c r="Q3205" i="1"/>
  <c r="R3205" i="1" s="1"/>
  <c r="Q3197" i="1"/>
  <c r="R3197" i="1" s="1"/>
  <c r="Q3189" i="1"/>
  <c r="R3189" i="1" s="1"/>
  <c r="Q3181" i="1"/>
  <c r="R3181" i="1" s="1"/>
  <c r="Q3173" i="1"/>
  <c r="R3173" i="1" s="1"/>
  <c r="Q3165" i="1"/>
  <c r="R3165" i="1" s="1"/>
  <c r="Q3157" i="1"/>
  <c r="R3157" i="1" s="1"/>
  <c r="Q3149" i="1"/>
  <c r="R3149" i="1" s="1"/>
  <c r="Q3141" i="1"/>
  <c r="R3141" i="1" s="1"/>
  <c r="Q3133" i="1"/>
  <c r="R3133" i="1" s="1"/>
  <c r="Q3125" i="1"/>
  <c r="R3125" i="1" s="1"/>
  <c r="Q3117" i="1"/>
  <c r="R3117" i="1" s="1"/>
  <c r="Q3109" i="1"/>
  <c r="R3109" i="1" s="1"/>
  <c r="Q3101" i="1"/>
  <c r="R3101" i="1" s="1"/>
  <c r="Q3093" i="1"/>
  <c r="R3093" i="1" s="1"/>
  <c r="Q3085" i="1"/>
  <c r="R3085" i="1" s="1"/>
  <c r="Q3077" i="1"/>
  <c r="R3077" i="1" s="1"/>
  <c r="Q3069" i="1"/>
  <c r="R3069" i="1" s="1"/>
  <c r="Q3061" i="1"/>
  <c r="R3061" i="1" s="1"/>
  <c r="Q3053" i="1"/>
  <c r="R3053" i="1" s="1"/>
  <c r="Q3045" i="1"/>
  <c r="R3045" i="1" s="1"/>
  <c r="Q3037" i="1"/>
  <c r="R3037" i="1" s="1"/>
  <c r="Q3029" i="1"/>
  <c r="R3029" i="1" s="1"/>
  <c r="Q3021" i="1"/>
  <c r="R3021" i="1" s="1"/>
  <c r="Q3013" i="1"/>
  <c r="R3013" i="1" s="1"/>
  <c r="R3005" i="1"/>
  <c r="Q3005" i="1"/>
  <c r="Q2997" i="1"/>
  <c r="R2997" i="1" s="1"/>
  <c r="Q2989" i="1"/>
  <c r="R2989" i="1" s="1"/>
  <c r="Q2981" i="1"/>
  <c r="R2981" i="1" s="1"/>
  <c r="Q2973" i="1"/>
  <c r="R2973" i="1" s="1"/>
  <c r="Q2965" i="1"/>
  <c r="R2965" i="1" s="1"/>
  <c r="Q2957" i="1"/>
  <c r="R2957" i="1" s="1"/>
  <c r="Q2949" i="1"/>
  <c r="R2949" i="1" s="1"/>
  <c r="Q2941" i="1"/>
  <c r="R2941" i="1" s="1"/>
  <c r="Q2933" i="1"/>
  <c r="R2933" i="1" s="1"/>
  <c r="R2925" i="1"/>
  <c r="Q2925" i="1"/>
  <c r="Q2917" i="1"/>
  <c r="R2917" i="1" s="1"/>
  <c r="Q2909" i="1"/>
  <c r="R2909" i="1" s="1"/>
  <c r="Q2901" i="1"/>
  <c r="R2901" i="1" s="1"/>
  <c r="Q2893" i="1"/>
  <c r="R2893" i="1" s="1"/>
  <c r="Q2885" i="1"/>
  <c r="R2885" i="1" s="1"/>
  <c r="Q2877" i="1"/>
  <c r="R2877" i="1" s="1"/>
  <c r="Q2869" i="1"/>
  <c r="R2869" i="1" s="1"/>
  <c r="Q2861" i="1"/>
  <c r="R2861" i="1" s="1"/>
  <c r="Q2853" i="1"/>
  <c r="R2853" i="1" s="1"/>
  <c r="R2845" i="1"/>
  <c r="Q2845" i="1"/>
  <c r="Q2837" i="1"/>
  <c r="R2837" i="1" s="1"/>
  <c r="R2829" i="1"/>
  <c r="Q2829" i="1"/>
  <c r="Q2821" i="1"/>
  <c r="R2821" i="1" s="1"/>
  <c r="Q2813" i="1"/>
  <c r="R2813" i="1" s="1"/>
  <c r="Q2805" i="1"/>
  <c r="R2805" i="1" s="1"/>
  <c r="Q2797" i="1"/>
  <c r="R2797" i="1" s="1"/>
  <c r="Q2789" i="1"/>
  <c r="R2789" i="1" s="1"/>
  <c r="R2781" i="1"/>
  <c r="Q2781" i="1"/>
  <c r="Q2773" i="1"/>
  <c r="R2773" i="1" s="1"/>
  <c r="Q2765" i="1"/>
  <c r="R2765" i="1" s="1"/>
  <c r="Q2757" i="1"/>
  <c r="R2757" i="1" s="1"/>
  <c r="Q2749" i="1"/>
  <c r="R2749" i="1" s="1"/>
  <c r="Q2741" i="1"/>
  <c r="R2741" i="1" s="1"/>
  <c r="Q2733" i="1"/>
  <c r="R2733" i="1" s="1"/>
  <c r="Q2725" i="1"/>
  <c r="R2725" i="1" s="1"/>
  <c r="Q2717" i="1"/>
  <c r="R2717" i="1" s="1"/>
  <c r="Q2709" i="1"/>
  <c r="R2709" i="1" s="1"/>
  <c r="Q2701" i="1"/>
  <c r="R2701" i="1" s="1"/>
  <c r="Q2693" i="1"/>
  <c r="R2693" i="1" s="1"/>
  <c r="R2685" i="1"/>
  <c r="Q2685" i="1"/>
  <c r="Q2677" i="1"/>
  <c r="R2677" i="1" s="1"/>
  <c r="Q2669" i="1"/>
  <c r="R2669" i="1" s="1"/>
  <c r="Q2661" i="1"/>
  <c r="R2661" i="1" s="1"/>
  <c r="Q2653" i="1"/>
  <c r="R2653" i="1" s="1"/>
  <c r="Q2645" i="1"/>
  <c r="R2645" i="1" s="1"/>
  <c r="Q2637" i="1"/>
  <c r="R2637" i="1" s="1"/>
  <c r="Q2629" i="1"/>
  <c r="R2629" i="1" s="1"/>
  <c r="Q2621" i="1"/>
  <c r="R2621" i="1" s="1"/>
  <c r="Q2613" i="1"/>
  <c r="R2613" i="1" s="1"/>
  <c r="Q2605" i="1"/>
  <c r="R2605" i="1" s="1"/>
  <c r="Q2597" i="1"/>
  <c r="R2597" i="1" s="1"/>
  <c r="Q2589" i="1"/>
  <c r="R2589" i="1" s="1"/>
  <c r="Q2581" i="1"/>
  <c r="R2581" i="1" s="1"/>
  <c r="Q2573" i="1"/>
  <c r="R2573" i="1" s="1"/>
  <c r="Q2565" i="1"/>
  <c r="R2565" i="1" s="1"/>
  <c r="Q2557" i="1"/>
  <c r="R2557" i="1" s="1"/>
  <c r="Q2549" i="1"/>
  <c r="R2549" i="1" s="1"/>
  <c r="R2541" i="1"/>
  <c r="Q2541" i="1"/>
  <c r="Q2533" i="1"/>
  <c r="R2533" i="1" s="1"/>
  <c r="Q2525" i="1"/>
  <c r="R2525" i="1" s="1"/>
  <c r="R2517" i="1"/>
  <c r="Q2517" i="1"/>
  <c r="Q2509" i="1"/>
  <c r="R2509" i="1" s="1"/>
  <c r="Q2501" i="1"/>
  <c r="R2501" i="1" s="1"/>
  <c r="Q2493" i="1"/>
  <c r="R2493" i="1" s="1"/>
  <c r="Q2485" i="1"/>
  <c r="R2485" i="1" s="1"/>
  <c r="Q2477" i="1"/>
  <c r="R2477" i="1" s="1"/>
  <c r="Q2469" i="1"/>
  <c r="R2469" i="1" s="1"/>
  <c r="Q2461" i="1"/>
  <c r="R2461" i="1" s="1"/>
  <c r="Q2453" i="1"/>
  <c r="R2453" i="1" s="1"/>
  <c r="R2445" i="1"/>
  <c r="Q2445" i="1"/>
  <c r="Q2437" i="1"/>
  <c r="R2437" i="1" s="1"/>
  <c r="Q2429" i="1"/>
  <c r="R2429" i="1" s="1"/>
  <c r="Q2421" i="1"/>
  <c r="R2421" i="1" s="1"/>
  <c r="Q2413" i="1"/>
  <c r="R2413" i="1" s="1"/>
  <c r="R2405" i="1"/>
  <c r="Q2405" i="1"/>
  <c r="Q2397" i="1"/>
  <c r="R2397" i="1" s="1"/>
  <c r="Q2389" i="1"/>
  <c r="R2389" i="1" s="1"/>
  <c r="Q2381" i="1"/>
  <c r="R2381" i="1" s="1"/>
  <c r="R2373" i="1"/>
  <c r="Q2373" i="1"/>
  <c r="Q2365" i="1"/>
  <c r="R2365" i="1" s="1"/>
  <c r="Q2357" i="1"/>
  <c r="R2357" i="1" s="1"/>
  <c r="Q2349" i="1"/>
  <c r="R2349" i="1" s="1"/>
  <c r="Q2341" i="1"/>
  <c r="R2341" i="1" s="1"/>
  <c r="Q2333" i="1"/>
  <c r="R2333" i="1" s="1"/>
  <c r="Q2325" i="1"/>
  <c r="R2325" i="1" s="1"/>
  <c r="Q2317" i="1"/>
  <c r="R2317" i="1" s="1"/>
  <c r="Q2309" i="1"/>
  <c r="R2309" i="1" s="1"/>
  <c r="Q2301" i="1"/>
  <c r="R2301" i="1" s="1"/>
  <c r="Q2293" i="1"/>
  <c r="R2293" i="1" s="1"/>
  <c r="Q2285" i="1"/>
  <c r="R2285" i="1" s="1"/>
  <c r="Q2277" i="1"/>
  <c r="R2277" i="1" s="1"/>
  <c r="Q2269" i="1"/>
  <c r="R2269" i="1" s="1"/>
  <c r="Q2261" i="1"/>
  <c r="R2261" i="1" s="1"/>
  <c r="Q2253" i="1"/>
  <c r="R2253" i="1" s="1"/>
  <c r="Q2245" i="1"/>
  <c r="R2245" i="1" s="1"/>
  <c r="Q2237" i="1"/>
  <c r="R2237" i="1" s="1"/>
  <c r="Q2229" i="1"/>
  <c r="R2229" i="1" s="1"/>
  <c r="R2221" i="1"/>
  <c r="Q2221" i="1"/>
  <c r="Q2213" i="1"/>
  <c r="R2213" i="1" s="1"/>
  <c r="Q2205" i="1"/>
  <c r="R2205" i="1" s="1"/>
  <c r="Q2197" i="1"/>
  <c r="R2197" i="1" s="1"/>
  <c r="Q2189" i="1"/>
  <c r="R2189" i="1" s="1"/>
  <c r="Q2181" i="1"/>
  <c r="R2181" i="1" s="1"/>
  <c r="Q2173" i="1"/>
  <c r="R2173" i="1" s="1"/>
  <c r="Q2165" i="1"/>
  <c r="R2165" i="1" s="1"/>
  <c r="Q2157" i="1"/>
  <c r="R2157" i="1" s="1"/>
  <c r="Q2149" i="1"/>
  <c r="R2149" i="1" s="1"/>
  <c r="Q2141" i="1"/>
  <c r="R2141" i="1" s="1"/>
  <c r="Q2133" i="1"/>
  <c r="R2133" i="1" s="1"/>
  <c r="Q2125" i="1"/>
  <c r="R2125" i="1" s="1"/>
  <c r="Q2117" i="1"/>
  <c r="R2117" i="1" s="1"/>
  <c r="Q2109" i="1"/>
  <c r="R2109" i="1" s="1"/>
  <c r="Q2101" i="1"/>
  <c r="R2101" i="1" s="1"/>
  <c r="Q2093" i="1"/>
  <c r="R2093" i="1" s="1"/>
  <c r="Q2085" i="1"/>
  <c r="R2085" i="1" s="1"/>
  <c r="Q2077" i="1"/>
  <c r="R2077" i="1" s="1"/>
  <c r="Q2069" i="1"/>
  <c r="R2069" i="1" s="1"/>
  <c r="Q2061" i="1"/>
  <c r="R2061" i="1" s="1"/>
  <c r="Q2053" i="1"/>
  <c r="R2053" i="1" s="1"/>
  <c r="Q2045" i="1"/>
  <c r="R2045" i="1" s="1"/>
  <c r="Q2037" i="1"/>
  <c r="R2037" i="1" s="1"/>
  <c r="Q2029" i="1"/>
  <c r="R2029" i="1" s="1"/>
  <c r="Q2021" i="1"/>
  <c r="R2021" i="1" s="1"/>
  <c r="Q2013" i="1"/>
  <c r="R2013" i="1" s="1"/>
  <c r="Q2005" i="1"/>
  <c r="R2005" i="1" s="1"/>
  <c r="Q1997" i="1"/>
  <c r="R1997" i="1" s="1"/>
  <c r="Q1989" i="1"/>
  <c r="R1989" i="1" s="1"/>
  <c r="Q1981" i="1"/>
  <c r="R1981" i="1" s="1"/>
  <c r="Q1973" i="1"/>
  <c r="R1973" i="1" s="1"/>
  <c r="Q1965" i="1"/>
  <c r="R1965" i="1" s="1"/>
  <c r="Q1957" i="1"/>
  <c r="R1957" i="1" s="1"/>
  <c r="Q1949" i="1"/>
  <c r="R1949" i="1" s="1"/>
  <c r="Q1941" i="1"/>
  <c r="R1941" i="1" s="1"/>
  <c r="Q1933" i="1"/>
  <c r="R1933" i="1" s="1"/>
  <c r="Q1925" i="1"/>
  <c r="R1925" i="1" s="1"/>
  <c r="Q1917" i="1"/>
  <c r="R1917" i="1" s="1"/>
  <c r="Q1909" i="1"/>
  <c r="R1909" i="1" s="1"/>
  <c r="Q1901" i="1"/>
  <c r="R1901" i="1" s="1"/>
  <c r="Q1893" i="1"/>
  <c r="R1893" i="1" s="1"/>
  <c r="Q1885" i="1"/>
  <c r="R1885" i="1" s="1"/>
  <c r="Q1877" i="1"/>
  <c r="R1877" i="1" s="1"/>
  <c r="Q1869" i="1"/>
  <c r="R1869" i="1" s="1"/>
  <c r="Q1861" i="1"/>
  <c r="R1861" i="1" s="1"/>
  <c r="Q1853" i="1"/>
  <c r="R1853" i="1" s="1"/>
  <c r="Q1845" i="1"/>
  <c r="R1845" i="1" s="1"/>
  <c r="Q1837" i="1"/>
  <c r="R1837" i="1" s="1"/>
  <c r="Q1829" i="1"/>
  <c r="R1829" i="1" s="1"/>
  <c r="R1821" i="1"/>
  <c r="Q1821" i="1"/>
  <c r="Q1813" i="1"/>
  <c r="R1813" i="1" s="1"/>
  <c r="Q1805" i="1"/>
  <c r="R1805" i="1" s="1"/>
  <c r="Q1797" i="1"/>
  <c r="R1797" i="1" s="1"/>
  <c r="Q1789" i="1"/>
  <c r="R1789" i="1" s="1"/>
  <c r="Q1781" i="1"/>
  <c r="R1781" i="1" s="1"/>
  <c r="Q1773" i="1"/>
  <c r="R1773" i="1" s="1"/>
  <c r="Q1765" i="1"/>
  <c r="R1765" i="1" s="1"/>
  <c r="Q1757" i="1"/>
  <c r="R1757" i="1" s="1"/>
  <c r="Q1749" i="1"/>
  <c r="R1749" i="1" s="1"/>
  <c r="Q1741" i="1"/>
  <c r="R1741" i="1" s="1"/>
  <c r="Q1733" i="1"/>
  <c r="R1733" i="1" s="1"/>
  <c r="Q1725" i="1"/>
  <c r="R1725" i="1" s="1"/>
  <c r="Q1717" i="1"/>
  <c r="R1717" i="1" s="1"/>
  <c r="Q1709" i="1"/>
  <c r="R1709" i="1" s="1"/>
  <c r="Q1701" i="1"/>
  <c r="R1701" i="1" s="1"/>
  <c r="Q1693" i="1"/>
  <c r="R1693" i="1" s="1"/>
  <c r="Q1685" i="1"/>
  <c r="R1685" i="1" s="1"/>
  <c r="Q1677" i="1"/>
  <c r="R1677" i="1" s="1"/>
  <c r="Q1669" i="1"/>
  <c r="R1669" i="1" s="1"/>
  <c r="Q1661" i="1"/>
  <c r="R1661" i="1" s="1"/>
  <c r="Q1653" i="1"/>
  <c r="R1653" i="1" s="1"/>
  <c r="Q1645" i="1"/>
  <c r="R1645" i="1" s="1"/>
  <c r="Q1637" i="1"/>
  <c r="R1637" i="1" s="1"/>
  <c r="Q1629" i="1"/>
  <c r="R1629" i="1" s="1"/>
  <c r="Q1621" i="1"/>
  <c r="R1621" i="1" s="1"/>
  <c r="Q1613" i="1"/>
  <c r="R1613" i="1" s="1"/>
  <c r="Q1605" i="1"/>
  <c r="R1605" i="1" s="1"/>
  <c r="Q1597" i="1"/>
  <c r="R1597" i="1" s="1"/>
  <c r="Q1589" i="1"/>
  <c r="R1589" i="1" s="1"/>
  <c r="Q1581" i="1"/>
  <c r="R1581" i="1" s="1"/>
  <c r="Q1573" i="1"/>
  <c r="R1573" i="1" s="1"/>
  <c r="Q1565" i="1"/>
  <c r="R1565" i="1" s="1"/>
  <c r="Q1557" i="1"/>
  <c r="R1557" i="1" s="1"/>
  <c r="Q1549" i="1"/>
  <c r="R1549" i="1" s="1"/>
  <c r="Q1541" i="1"/>
  <c r="R1541" i="1" s="1"/>
  <c r="Q1533" i="1"/>
  <c r="R1533" i="1" s="1"/>
  <c r="Q1525" i="1"/>
  <c r="R1525" i="1" s="1"/>
  <c r="Q1517" i="1"/>
  <c r="R1517" i="1" s="1"/>
  <c r="Q1509" i="1"/>
  <c r="R1509" i="1" s="1"/>
  <c r="Q1501" i="1"/>
  <c r="R1501" i="1" s="1"/>
  <c r="Q1493" i="1"/>
  <c r="R1493" i="1" s="1"/>
  <c r="Q1485" i="1"/>
  <c r="R1485" i="1" s="1"/>
  <c r="R1477" i="1"/>
  <c r="Q1477" i="1"/>
  <c r="Q1469" i="1"/>
  <c r="R1469" i="1" s="1"/>
  <c r="Q1461" i="1"/>
  <c r="R1461" i="1" s="1"/>
  <c r="R1453" i="1"/>
  <c r="Q1453" i="1"/>
  <c r="Q1445" i="1"/>
  <c r="R1445" i="1" s="1"/>
  <c r="Q1437" i="1"/>
  <c r="R1437" i="1" s="1"/>
  <c r="Q1429" i="1"/>
  <c r="R1429" i="1" s="1"/>
  <c r="Q1421" i="1"/>
  <c r="R1421" i="1" s="1"/>
  <c r="Q1413" i="1"/>
  <c r="R1413" i="1" s="1"/>
  <c r="Q1405" i="1"/>
  <c r="R1405" i="1" s="1"/>
  <c r="Q1397" i="1"/>
  <c r="R1397" i="1" s="1"/>
  <c r="Q1389" i="1"/>
  <c r="R1389" i="1" s="1"/>
  <c r="Q1381" i="1"/>
  <c r="R1381" i="1" s="1"/>
  <c r="Q1373" i="1"/>
  <c r="R1373" i="1" s="1"/>
  <c r="Q1365" i="1"/>
  <c r="R1365" i="1" s="1"/>
  <c r="Q1357" i="1"/>
  <c r="R1357" i="1" s="1"/>
  <c r="Q1349" i="1"/>
  <c r="R1349" i="1" s="1"/>
  <c r="Q1341" i="1"/>
  <c r="R1341" i="1" s="1"/>
  <c r="R1333" i="1"/>
  <c r="Q1333" i="1"/>
  <c r="Q1325" i="1"/>
  <c r="R1325" i="1" s="1"/>
  <c r="R1317" i="1"/>
  <c r="Q1317" i="1"/>
  <c r="Q1309" i="1"/>
  <c r="R1309" i="1" s="1"/>
  <c r="Q1301" i="1"/>
  <c r="R1301" i="1" s="1"/>
  <c r="Q1293" i="1"/>
  <c r="R1293" i="1" s="1"/>
  <c r="Q1285" i="1"/>
  <c r="R1285" i="1" s="1"/>
  <c r="Q1277" i="1"/>
  <c r="R1277" i="1" s="1"/>
  <c r="Q1269" i="1"/>
  <c r="R1269" i="1" s="1"/>
  <c r="R1261" i="1"/>
  <c r="Q1261" i="1"/>
  <c r="Q1253" i="1"/>
  <c r="R1253" i="1" s="1"/>
  <c r="Q1245" i="1"/>
  <c r="R1245" i="1" s="1"/>
  <c r="Q1237" i="1"/>
  <c r="R1237" i="1" s="1"/>
  <c r="Q1229" i="1"/>
  <c r="R1229" i="1" s="1"/>
  <c r="Q1221" i="1"/>
  <c r="R1221" i="1" s="1"/>
  <c r="Q1213" i="1"/>
  <c r="R1213" i="1" s="1"/>
  <c r="Q1205" i="1"/>
  <c r="R1205" i="1" s="1"/>
  <c r="Q1197" i="1"/>
  <c r="R1197" i="1" s="1"/>
  <c r="Q1189" i="1"/>
  <c r="R1189" i="1" s="1"/>
  <c r="Q1181" i="1"/>
  <c r="R1181" i="1" s="1"/>
  <c r="Q1173" i="1"/>
  <c r="R1173" i="1" s="1"/>
  <c r="Q1165" i="1"/>
  <c r="R1165" i="1" s="1"/>
  <c r="Q1157" i="1"/>
  <c r="R1157" i="1" s="1"/>
  <c r="Q1149" i="1"/>
  <c r="R1149" i="1" s="1"/>
  <c r="Q1141" i="1"/>
  <c r="R1141" i="1" s="1"/>
  <c r="Q1133" i="1"/>
  <c r="R1133" i="1" s="1"/>
  <c r="Q1125" i="1"/>
  <c r="R1125" i="1" s="1"/>
  <c r="Q1117" i="1"/>
  <c r="R1117" i="1" s="1"/>
  <c r="Q1109" i="1"/>
  <c r="R1109" i="1" s="1"/>
  <c r="Q1101" i="1"/>
  <c r="R1101" i="1" s="1"/>
  <c r="Q1093" i="1"/>
  <c r="R1093" i="1" s="1"/>
  <c r="Q1085" i="1"/>
  <c r="R1085" i="1" s="1"/>
  <c r="Q1077" i="1"/>
  <c r="R1077" i="1" s="1"/>
  <c r="Q1069" i="1"/>
  <c r="R1069" i="1" s="1"/>
  <c r="Q1061" i="1"/>
  <c r="R1061" i="1" s="1"/>
  <c r="Q1053" i="1"/>
  <c r="R1053" i="1" s="1"/>
  <c r="Q1045" i="1"/>
  <c r="R1045" i="1" s="1"/>
  <c r="Q1037" i="1"/>
  <c r="R1037" i="1" s="1"/>
  <c r="Q1029" i="1"/>
  <c r="R1029" i="1" s="1"/>
  <c r="Q1021" i="1"/>
  <c r="R1021" i="1" s="1"/>
  <c r="Q1013" i="1"/>
  <c r="R1013" i="1" s="1"/>
  <c r="R1005" i="1"/>
  <c r="Q1005" i="1"/>
  <c r="Q997" i="1"/>
  <c r="R997" i="1" s="1"/>
  <c r="Q989" i="1"/>
  <c r="R989" i="1" s="1"/>
  <c r="Q981" i="1"/>
  <c r="R981" i="1" s="1"/>
  <c r="Q973" i="1"/>
  <c r="R973" i="1" s="1"/>
  <c r="Q965" i="1"/>
  <c r="R965" i="1" s="1"/>
  <c r="Q957" i="1"/>
  <c r="R957" i="1" s="1"/>
  <c r="Q949" i="1"/>
  <c r="R949" i="1" s="1"/>
  <c r="Q941" i="1"/>
  <c r="R941" i="1" s="1"/>
  <c r="Q933" i="1"/>
  <c r="R933" i="1" s="1"/>
  <c r="Q925" i="1"/>
  <c r="R925" i="1" s="1"/>
  <c r="Q917" i="1"/>
  <c r="R917" i="1" s="1"/>
  <c r="Q909" i="1"/>
  <c r="R909" i="1" s="1"/>
  <c r="Q901" i="1"/>
  <c r="R901" i="1" s="1"/>
  <c r="Q893" i="1"/>
  <c r="R893" i="1" s="1"/>
  <c r="R885" i="1"/>
  <c r="Q885" i="1"/>
  <c r="Q877" i="1"/>
  <c r="R877" i="1" s="1"/>
  <c r="Q869" i="1"/>
  <c r="R869" i="1" s="1"/>
  <c r="Q861" i="1"/>
  <c r="R861" i="1" s="1"/>
  <c r="Q853" i="1"/>
  <c r="R853" i="1" s="1"/>
  <c r="Q845" i="1"/>
  <c r="R845" i="1" s="1"/>
  <c r="Q837" i="1"/>
  <c r="R837" i="1" s="1"/>
  <c r="Q829" i="1"/>
  <c r="R829" i="1" s="1"/>
  <c r="Q821" i="1"/>
  <c r="R821" i="1" s="1"/>
  <c r="Q813" i="1"/>
  <c r="R813" i="1" s="1"/>
  <c r="Q805" i="1"/>
  <c r="R805" i="1" s="1"/>
  <c r="Q797" i="1"/>
  <c r="R797" i="1" s="1"/>
  <c r="Q789" i="1"/>
  <c r="R789" i="1" s="1"/>
  <c r="Q781" i="1"/>
  <c r="R781" i="1" s="1"/>
  <c r="Q773" i="1"/>
  <c r="R773" i="1" s="1"/>
  <c r="R765" i="1"/>
  <c r="Q765" i="1"/>
  <c r="Q757" i="1"/>
  <c r="R757" i="1" s="1"/>
  <c r="Q749" i="1"/>
  <c r="R749" i="1" s="1"/>
  <c r="Q741" i="1"/>
  <c r="R741" i="1" s="1"/>
  <c r="R733" i="1"/>
  <c r="Q733" i="1"/>
  <c r="Q725" i="1"/>
  <c r="R725" i="1" s="1"/>
  <c r="Q717" i="1"/>
  <c r="R717" i="1" s="1"/>
  <c r="Q709" i="1"/>
  <c r="R709" i="1" s="1"/>
  <c r="Q701" i="1"/>
  <c r="R701" i="1" s="1"/>
  <c r="Q693" i="1"/>
  <c r="R693" i="1" s="1"/>
  <c r="Q685" i="1"/>
  <c r="R685" i="1" s="1"/>
  <c r="Q677" i="1"/>
  <c r="R677" i="1" s="1"/>
  <c r="Q669" i="1"/>
  <c r="R669" i="1" s="1"/>
  <c r="Q661" i="1"/>
  <c r="R661" i="1" s="1"/>
  <c r="Q653" i="1"/>
  <c r="R653" i="1" s="1"/>
  <c r="Q645" i="1"/>
  <c r="R645" i="1" s="1"/>
  <c r="Q637" i="1"/>
  <c r="R637" i="1" s="1"/>
  <c r="Q629" i="1"/>
  <c r="R629" i="1" s="1"/>
  <c r="Q621" i="1"/>
  <c r="R621" i="1" s="1"/>
  <c r="Q613" i="1"/>
  <c r="R613" i="1" s="1"/>
  <c r="R605" i="1"/>
  <c r="Q605" i="1"/>
  <c r="Q597" i="1"/>
  <c r="R597" i="1" s="1"/>
  <c r="Q589" i="1"/>
  <c r="R589" i="1" s="1"/>
  <c r="Q581" i="1"/>
  <c r="R581" i="1" s="1"/>
  <c r="Q573" i="1"/>
  <c r="R573" i="1" s="1"/>
  <c r="Q565" i="1"/>
  <c r="R565" i="1" s="1"/>
  <c r="Q557" i="1"/>
  <c r="R557" i="1" s="1"/>
  <c r="Q549" i="1"/>
  <c r="R549" i="1" s="1"/>
  <c r="Q541" i="1"/>
  <c r="R541" i="1" s="1"/>
  <c r="Q533" i="1"/>
  <c r="R533" i="1" s="1"/>
  <c r="Q525" i="1"/>
  <c r="R525" i="1" s="1"/>
  <c r="Q517" i="1"/>
  <c r="R517" i="1" s="1"/>
  <c r="Q509" i="1"/>
  <c r="R509" i="1" s="1"/>
  <c r="Q501" i="1"/>
  <c r="R501" i="1" s="1"/>
  <c r="Q493" i="1"/>
  <c r="R493" i="1" s="1"/>
  <c r="Q485" i="1"/>
  <c r="R485" i="1" s="1"/>
  <c r="Q477" i="1"/>
  <c r="R477" i="1" s="1"/>
  <c r="Q469" i="1"/>
  <c r="R469" i="1" s="1"/>
  <c r="Q461" i="1"/>
  <c r="R461" i="1" s="1"/>
  <c r="Q453" i="1"/>
  <c r="R453" i="1" s="1"/>
  <c r="Q445" i="1"/>
  <c r="R445" i="1" s="1"/>
  <c r="R437" i="1"/>
  <c r="Q437" i="1"/>
  <c r="Q429" i="1"/>
  <c r="R429" i="1" s="1"/>
  <c r="Q421" i="1"/>
  <c r="R421" i="1" s="1"/>
  <c r="R413" i="1"/>
  <c r="Q413" i="1"/>
  <c r="Q405" i="1"/>
  <c r="R405" i="1" s="1"/>
  <c r="Q397" i="1"/>
  <c r="R397" i="1" s="1"/>
  <c r="Q389" i="1"/>
  <c r="R389" i="1" s="1"/>
  <c r="Q381" i="1"/>
  <c r="R381" i="1" s="1"/>
  <c r="Q373" i="1"/>
  <c r="R373" i="1" s="1"/>
  <c r="Q365" i="1"/>
  <c r="R365" i="1" s="1"/>
  <c r="Q357" i="1"/>
  <c r="R357" i="1" s="1"/>
  <c r="Q349" i="1"/>
  <c r="R349" i="1" s="1"/>
  <c r="R341" i="1"/>
  <c r="Q341" i="1"/>
  <c r="Q333" i="1"/>
  <c r="R333" i="1" s="1"/>
  <c r="Q325" i="1"/>
  <c r="R325" i="1" s="1"/>
  <c r="Q317" i="1"/>
  <c r="R317" i="1" s="1"/>
  <c r="Q309" i="1"/>
  <c r="R309" i="1" s="1"/>
  <c r="Q301" i="1"/>
  <c r="R301" i="1" s="1"/>
  <c r="Q293" i="1"/>
  <c r="R293" i="1" s="1"/>
  <c r="Q285" i="1"/>
  <c r="R285" i="1" s="1"/>
  <c r="Q277" i="1"/>
  <c r="R277" i="1" s="1"/>
  <c r="Q269" i="1"/>
  <c r="R269" i="1" s="1"/>
  <c r="Q261" i="1"/>
  <c r="R261" i="1" s="1"/>
  <c r="Q253" i="1"/>
  <c r="R253" i="1" s="1"/>
  <c r="Q245" i="1"/>
  <c r="R245" i="1" s="1"/>
  <c r="Q237" i="1"/>
  <c r="R237" i="1" s="1"/>
  <c r="Q229" i="1"/>
  <c r="R229" i="1" s="1"/>
  <c r="Q221" i="1"/>
  <c r="R221" i="1" s="1"/>
  <c r="Q213" i="1"/>
  <c r="R213" i="1" s="1"/>
  <c r="Q205" i="1"/>
  <c r="R205" i="1" s="1"/>
  <c r="Q197" i="1"/>
  <c r="R197" i="1" s="1"/>
  <c r="Q189" i="1"/>
  <c r="R189" i="1" s="1"/>
  <c r="Q181" i="1"/>
  <c r="R181" i="1" s="1"/>
  <c r="Q173" i="1"/>
  <c r="R173" i="1" s="1"/>
  <c r="Q165" i="1"/>
  <c r="R165" i="1" s="1"/>
  <c r="Q157" i="1"/>
  <c r="R157" i="1" s="1"/>
  <c r="Q149" i="1"/>
  <c r="R149" i="1" s="1"/>
  <c r="Q141" i="1"/>
  <c r="R141" i="1" s="1"/>
  <c r="Q133" i="1"/>
  <c r="R133" i="1" s="1"/>
  <c r="Q125" i="1"/>
  <c r="R125" i="1" s="1"/>
  <c r="Q117" i="1"/>
  <c r="R117" i="1" s="1"/>
  <c r="Q109" i="1"/>
  <c r="R109" i="1" s="1"/>
  <c r="Q101" i="1"/>
  <c r="R101" i="1" s="1"/>
  <c r="Q93" i="1"/>
  <c r="R93" i="1" s="1"/>
  <c r="Q85" i="1"/>
  <c r="R85" i="1" s="1"/>
  <c r="Q77" i="1"/>
  <c r="R77" i="1" s="1"/>
  <c r="Q69" i="1"/>
  <c r="R69" i="1" s="1"/>
  <c r="Q61" i="1"/>
  <c r="R61" i="1" s="1"/>
  <c r="Q53" i="1"/>
  <c r="R53" i="1" s="1"/>
  <c r="Q45" i="1"/>
  <c r="R45" i="1" s="1"/>
  <c r="Q37" i="1"/>
  <c r="R37" i="1" s="1"/>
  <c r="Q29" i="1"/>
  <c r="R29" i="1" s="1"/>
  <c r="Q21" i="1"/>
  <c r="R21" i="1" s="1"/>
  <c r="R13" i="1"/>
  <c r="Q13" i="1"/>
  <c r="Q5" i="1"/>
  <c r="Q4028" i="1"/>
  <c r="R4028" i="1" s="1"/>
  <c r="Q4020" i="1"/>
  <c r="R4020" i="1" s="1"/>
  <c r="Q4012" i="1"/>
  <c r="R4012" i="1" s="1"/>
  <c r="Q4004" i="1"/>
  <c r="R4004" i="1" s="1"/>
  <c r="Q3996" i="1"/>
  <c r="R3996" i="1" s="1"/>
  <c r="Q3988" i="1"/>
  <c r="R3988" i="1" s="1"/>
  <c r="Q3980" i="1"/>
  <c r="R3980" i="1" s="1"/>
  <c r="Q3972" i="1"/>
  <c r="R3972" i="1" s="1"/>
  <c r="Q3964" i="1"/>
  <c r="R3964" i="1" s="1"/>
  <c r="Q3956" i="1"/>
  <c r="R3956" i="1" s="1"/>
  <c r="Q3948" i="1"/>
  <c r="R3948" i="1" s="1"/>
  <c r="Q3940" i="1"/>
  <c r="R3940" i="1" s="1"/>
  <c r="Q3932" i="1"/>
  <c r="R3932" i="1" s="1"/>
  <c r="Q3924" i="1"/>
  <c r="R3924" i="1" s="1"/>
  <c r="Q3916" i="1"/>
  <c r="R3916" i="1" s="1"/>
  <c r="Q3908" i="1"/>
  <c r="R3908" i="1" s="1"/>
  <c r="Q3900" i="1"/>
  <c r="R3900" i="1" s="1"/>
  <c r="Q3892" i="1"/>
  <c r="R3892" i="1" s="1"/>
  <c r="Q3884" i="1"/>
  <c r="R3884" i="1" s="1"/>
  <c r="Q3876" i="1"/>
  <c r="R3876" i="1" s="1"/>
  <c r="Q3868" i="1"/>
  <c r="R3868" i="1" s="1"/>
  <c r="Q3860" i="1"/>
  <c r="R3860" i="1" s="1"/>
  <c r="Q3852" i="1"/>
  <c r="R3852" i="1" s="1"/>
  <c r="Q3844" i="1"/>
  <c r="R3844" i="1" s="1"/>
  <c r="Q3836" i="1"/>
  <c r="R3836" i="1" s="1"/>
  <c r="Q3828" i="1"/>
  <c r="R3828" i="1" s="1"/>
  <c r="Q3820" i="1"/>
  <c r="R3820" i="1" s="1"/>
  <c r="Q3812" i="1"/>
  <c r="R3812" i="1" s="1"/>
  <c r="Q3804" i="1"/>
  <c r="R3804" i="1" s="1"/>
  <c r="Q3796" i="1"/>
  <c r="R3796" i="1" s="1"/>
  <c r="Q3788" i="1"/>
  <c r="R3788" i="1" s="1"/>
  <c r="Q3780" i="1"/>
  <c r="R3780" i="1" s="1"/>
  <c r="Q3772" i="1"/>
  <c r="R3772" i="1" s="1"/>
  <c r="Q3764" i="1"/>
  <c r="R3764" i="1" s="1"/>
  <c r="Q3756" i="1"/>
  <c r="R3756" i="1" s="1"/>
  <c r="R3748" i="1"/>
  <c r="Q3748" i="1"/>
  <c r="Q3740" i="1"/>
  <c r="R3740" i="1" s="1"/>
  <c r="Q3732" i="1"/>
  <c r="R3732" i="1" s="1"/>
  <c r="Q3724" i="1"/>
  <c r="R3724" i="1" s="1"/>
  <c r="Q3716" i="1"/>
  <c r="R3716" i="1" s="1"/>
  <c r="Q3708" i="1"/>
  <c r="R3708" i="1" s="1"/>
  <c r="Q3700" i="1"/>
  <c r="R3700" i="1" s="1"/>
  <c r="Q3692" i="1"/>
  <c r="R3692" i="1" s="1"/>
  <c r="Q3684" i="1"/>
  <c r="R3684" i="1" s="1"/>
  <c r="Q3676" i="1"/>
  <c r="R3676" i="1" s="1"/>
  <c r="Q3668" i="1"/>
  <c r="R3668" i="1" s="1"/>
  <c r="R3660" i="1"/>
  <c r="Q3660" i="1"/>
  <c r="Q3652" i="1"/>
  <c r="R3652" i="1" s="1"/>
  <c r="Q3644" i="1"/>
  <c r="R3644" i="1" s="1"/>
  <c r="Q3636" i="1"/>
  <c r="R3636" i="1" s="1"/>
  <c r="Q3628" i="1"/>
  <c r="R3628" i="1" s="1"/>
  <c r="Q3620" i="1"/>
  <c r="R3620" i="1" s="1"/>
  <c r="Q3612" i="1"/>
  <c r="R3612" i="1" s="1"/>
  <c r="Q3604" i="1"/>
  <c r="R3604" i="1" s="1"/>
  <c r="Q3596" i="1"/>
  <c r="R3596" i="1" s="1"/>
  <c r="Q3588" i="1"/>
  <c r="R3588" i="1" s="1"/>
  <c r="Q3580" i="1"/>
  <c r="R3580" i="1" s="1"/>
  <c r="R3572" i="1"/>
  <c r="Q3572" i="1"/>
  <c r="Q3564" i="1"/>
  <c r="R3564" i="1" s="1"/>
  <c r="Q3556" i="1"/>
  <c r="R3556" i="1" s="1"/>
  <c r="Q3548" i="1"/>
  <c r="R3548" i="1" s="1"/>
  <c r="R3540" i="1"/>
  <c r="Q3540" i="1"/>
  <c r="Q3532" i="1"/>
  <c r="R3532" i="1" s="1"/>
  <c r="Q3524" i="1"/>
  <c r="R3524" i="1" s="1"/>
  <c r="Q3516" i="1"/>
  <c r="R3516" i="1" s="1"/>
  <c r="Q3508" i="1"/>
  <c r="R3508" i="1" s="1"/>
  <c r="R3500" i="1"/>
  <c r="Q3500" i="1"/>
  <c r="Q3492" i="1"/>
  <c r="R3492" i="1" s="1"/>
  <c r="R3484" i="1"/>
  <c r="Q3484" i="1"/>
  <c r="Q3476" i="1"/>
  <c r="R3476" i="1" s="1"/>
  <c r="Q3468" i="1"/>
  <c r="R3468" i="1" s="1"/>
  <c r="Q3460" i="1"/>
  <c r="R3460" i="1" s="1"/>
  <c r="Q3452" i="1"/>
  <c r="R3452" i="1" s="1"/>
  <c r="Q3444" i="1"/>
  <c r="R3444" i="1" s="1"/>
  <c r="Q3436" i="1"/>
  <c r="R3436" i="1" s="1"/>
  <c r="Q3428" i="1"/>
  <c r="R3428" i="1" s="1"/>
  <c r="Q3420" i="1"/>
  <c r="R3420" i="1" s="1"/>
  <c r="Q3412" i="1"/>
  <c r="R3412" i="1" s="1"/>
  <c r="Q3404" i="1"/>
  <c r="R3404" i="1" s="1"/>
  <c r="R3396" i="1"/>
  <c r="Q3396" i="1"/>
  <c r="Q3388" i="1"/>
  <c r="R3388" i="1" s="1"/>
  <c r="Q3380" i="1"/>
  <c r="R3380" i="1" s="1"/>
  <c r="Q3372" i="1"/>
  <c r="R3372" i="1" s="1"/>
  <c r="Q3364" i="1"/>
  <c r="R3364" i="1" s="1"/>
  <c r="Q3356" i="1"/>
  <c r="R3356" i="1" s="1"/>
  <c r="Q3348" i="1"/>
  <c r="R3348" i="1" s="1"/>
  <c r="Q3340" i="1"/>
  <c r="R3340" i="1" s="1"/>
  <c r="R3332" i="1"/>
  <c r="Q3332" i="1"/>
  <c r="Q3324" i="1"/>
  <c r="R3324" i="1" s="1"/>
  <c r="Q3316" i="1"/>
  <c r="R3316" i="1" s="1"/>
  <c r="Q3308" i="1"/>
  <c r="R3308" i="1" s="1"/>
  <c r="R3300" i="1"/>
  <c r="Q3300" i="1"/>
  <c r="Q3292" i="1"/>
  <c r="R3292" i="1" s="1"/>
  <c r="R3284" i="1"/>
  <c r="Q3284" i="1"/>
  <c r="Q3276" i="1"/>
  <c r="R3276" i="1" s="1"/>
  <c r="Q3268" i="1"/>
  <c r="R3268" i="1" s="1"/>
  <c r="Q3260" i="1"/>
  <c r="R3260" i="1" s="1"/>
  <c r="Q3252" i="1"/>
  <c r="R3252" i="1" s="1"/>
  <c r="Q3244" i="1"/>
  <c r="R3244" i="1" s="1"/>
  <c r="Q3236" i="1"/>
  <c r="R3236" i="1" s="1"/>
  <c r="Q3228" i="1"/>
  <c r="R3228" i="1" s="1"/>
  <c r="Q3220" i="1"/>
  <c r="R3220" i="1" s="1"/>
  <c r="Q3212" i="1"/>
  <c r="R3212" i="1" s="1"/>
  <c r="Q3204" i="1"/>
  <c r="R3204" i="1" s="1"/>
  <c r="R3196" i="1"/>
  <c r="Q3196" i="1"/>
  <c r="Q3188" i="1"/>
  <c r="R3188" i="1" s="1"/>
  <c r="Q3180" i="1"/>
  <c r="R3180" i="1" s="1"/>
  <c r="R3172" i="1"/>
  <c r="Q3172" i="1"/>
  <c r="R3164" i="1"/>
  <c r="Q3164" i="1"/>
  <c r="R3156" i="1"/>
  <c r="Q3156" i="1"/>
  <c r="Q3148" i="1"/>
  <c r="R3148" i="1" s="1"/>
  <c r="Q3140" i="1"/>
  <c r="R3140" i="1" s="1"/>
  <c r="Q3132" i="1"/>
  <c r="R3132" i="1" s="1"/>
  <c r="Q3124" i="1"/>
  <c r="R3124" i="1" s="1"/>
  <c r="Q3116" i="1"/>
  <c r="R3116" i="1" s="1"/>
  <c r="Q3108" i="1"/>
  <c r="R3108" i="1" s="1"/>
  <c r="Q3100" i="1"/>
  <c r="R3100" i="1" s="1"/>
  <c r="Q3092" i="1"/>
  <c r="R3092" i="1" s="1"/>
  <c r="Q3084" i="1"/>
  <c r="R3084" i="1" s="1"/>
  <c r="Q3076" i="1"/>
  <c r="R3076" i="1" s="1"/>
  <c r="Q3068" i="1"/>
  <c r="R3068" i="1" s="1"/>
  <c r="Q3060" i="1"/>
  <c r="R3060" i="1" s="1"/>
  <c r="Q3052" i="1"/>
  <c r="R3052" i="1" s="1"/>
  <c r="Q3044" i="1"/>
  <c r="R3044" i="1" s="1"/>
  <c r="Q3036" i="1"/>
  <c r="R3036" i="1" s="1"/>
  <c r="R3028" i="1"/>
  <c r="Q3028" i="1"/>
  <c r="R3020" i="1"/>
  <c r="Q3020" i="1"/>
  <c r="Q3012" i="1"/>
  <c r="R3012" i="1" s="1"/>
  <c r="R3004" i="1"/>
  <c r="Q3004" i="1"/>
  <c r="Q2996" i="1"/>
  <c r="R2996" i="1" s="1"/>
  <c r="Q2988" i="1"/>
  <c r="R2988" i="1" s="1"/>
  <c r="Q2980" i="1"/>
  <c r="R2980" i="1" s="1"/>
  <c r="Q2972" i="1"/>
  <c r="R2972" i="1" s="1"/>
  <c r="Q2964" i="1"/>
  <c r="R2964" i="1" s="1"/>
  <c r="Q2956" i="1"/>
  <c r="R2956" i="1" s="1"/>
  <c r="Q2948" i="1"/>
  <c r="R2948" i="1" s="1"/>
  <c r="Q2940" i="1"/>
  <c r="R2940" i="1" s="1"/>
  <c r="Q2932" i="1"/>
  <c r="R2932" i="1" s="1"/>
  <c r="Q2924" i="1"/>
  <c r="R2924" i="1" s="1"/>
  <c r="Q2916" i="1"/>
  <c r="R2916" i="1" s="1"/>
  <c r="R2908" i="1"/>
  <c r="Q2908" i="1"/>
  <c r="Q2900" i="1"/>
  <c r="R2900" i="1" s="1"/>
  <c r="Q2892" i="1"/>
  <c r="R2892" i="1" s="1"/>
  <c r="R2884" i="1"/>
  <c r="Q2884" i="1"/>
  <c r="Q2876" i="1"/>
  <c r="R2876" i="1" s="1"/>
  <c r="R2868" i="1"/>
  <c r="Q2868" i="1"/>
  <c r="R2860" i="1"/>
  <c r="Q2860" i="1"/>
  <c r="Q2852" i="1"/>
  <c r="R2852" i="1" s="1"/>
  <c r="Q2844" i="1"/>
  <c r="R2844" i="1" s="1"/>
  <c r="Q2836" i="1"/>
  <c r="R2836" i="1" s="1"/>
  <c r="Q2828" i="1"/>
  <c r="R2828" i="1" s="1"/>
  <c r="Q2820" i="1"/>
  <c r="R2820" i="1" s="1"/>
  <c r="Q2812" i="1"/>
  <c r="R2812" i="1" s="1"/>
  <c r="Q2804" i="1"/>
  <c r="R2804" i="1" s="1"/>
  <c r="Q2796" i="1"/>
  <c r="R2796" i="1" s="1"/>
  <c r="Q2788" i="1"/>
  <c r="R2788" i="1" s="1"/>
  <c r="Q2780" i="1"/>
  <c r="R2780" i="1" s="1"/>
  <c r="Q2772" i="1"/>
  <c r="R2772" i="1" s="1"/>
  <c r="Q2764" i="1"/>
  <c r="R2764" i="1" s="1"/>
  <c r="Q2756" i="1"/>
  <c r="R2756" i="1" s="1"/>
  <c r="Q2748" i="1"/>
  <c r="R2748" i="1" s="1"/>
  <c r="Q2740" i="1"/>
  <c r="R2740" i="1" s="1"/>
  <c r="Q2732" i="1"/>
  <c r="R2732" i="1" s="1"/>
  <c r="Q2724" i="1"/>
  <c r="R2724" i="1" s="1"/>
  <c r="Q2716" i="1"/>
  <c r="R2716" i="1" s="1"/>
  <c r="R2708" i="1"/>
  <c r="Q2708" i="1"/>
  <c r="Q2700" i="1"/>
  <c r="R2700" i="1" s="1"/>
  <c r="Q2692" i="1"/>
  <c r="R2692" i="1" s="1"/>
  <c r="Q2684" i="1"/>
  <c r="R2684" i="1" s="1"/>
  <c r="Q2676" i="1"/>
  <c r="R2676" i="1" s="1"/>
  <c r="Q2668" i="1"/>
  <c r="R2668" i="1" s="1"/>
  <c r="Q2660" i="1"/>
  <c r="R2660" i="1" s="1"/>
  <c r="Q2652" i="1"/>
  <c r="R2652" i="1" s="1"/>
  <c r="Q2644" i="1"/>
  <c r="R2644" i="1" s="1"/>
  <c r="Q2636" i="1"/>
  <c r="R2636" i="1" s="1"/>
  <c r="Q2628" i="1"/>
  <c r="R2628" i="1" s="1"/>
  <c r="R2620" i="1"/>
  <c r="Q2620" i="1"/>
  <c r="Q2612" i="1"/>
  <c r="R2612" i="1" s="1"/>
  <c r="Q2604" i="1"/>
  <c r="R2604" i="1" s="1"/>
  <c r="Q2596" i="1"/>
  <c r="R2596" i="1" s="1"/>
  <c r="Q2588" i="1"/>
  <c r="R2588" i="1" s="1"/>
  <c r="Q2580" i="1"/>
  <c r="R2580" i="1" s="1"/>
  <c r="Q2572" i="1"/>
  <c r="R2572" i="1" s="1"/>
  <c r="Q2564" i="1"/>
  <c r="R2564" i="1" s="1"/>
  <c r="Q2556" i="1"/>
  <c r="R2556" i="1" s="1"/>
  <c r="Q2548" i="1"/>
  <c r="R2548" i="1" s="1"/>
  <c r="Q2540" i="1"/>
  <c r="R2540" i="1" s="1"/>
  <c r="Q2532" i="1"/>
  <c r="R2532" i="1" s="1"/>
  <c r="Q2524" i="1"/>
  <c r="R2524" i="1" s="1"/>
  <c r="Q2516" i="1"/>
  <c r="R2516" i="1" s="1"/>
  <c r="Q2508" i="1"/>
  <c r="R2508" i="1" s="1"/>
  <c r="Q2500" i="1"/>
  <c r="R2500" i="1" s="1"/>
  <c r="Q2492" i="1"/>
  <c r="R2492" i="1" s="1"/>
  <c r="Q2484" i="1"/>
  <c r="R2484" i="1" s="1"/>
  <c r="Q2476" i="1"/>
  <c r="R2476" i="1" s="1"/>
  <c r="Q2468" i="1"/>
  <c r="R2468" i="1" s="1"/>
  <c r="Q2460" i="1"/>
  <c r="R2460" i="1" s="1"/>
  <c r="Q2452" i="1"/>
  <c r="R2452" i="1" s="1"/>
  <c r="Q2444" i="1"/>
  <c r="R2444" i="1" s="1"/>
  <c r="Q2436" i="1"/>
  <c r="R2436" i="1" s="1"/>
  <c r="Q2428" i="1"/>
  <c r="R2428" i="1" s="1"/>
  <c r="Q2420" i="1"/>
  <c r="R2420" i="1" s="1"/>
  <c r="Q2412" i="1"/>
  <c r="R2412" i="1" s="1"/>
  <c r="Q2404" i="1"/>
  <c r="R2404" i="1" s="1"/>
  <c r="Q2396" i="1"/>
  <c r="R2396" i="1" s="1"/>
  <c r="R2388" i="1"/>
  <c r="Q2388" i="1"/>
  <c r="Q2380" i="1"/>
  <c r="R2380" i="1" s="1"/>
  <c r="Q2372" i="1"/>
  <c r="R2372" i="1" s="1"/>
  <c r="Q2364" i="1"/>
  <c r="R2364" i="1" s="1"/>
  <c r="Q2356" i="1"/>
  <c r="R2356" i="1" s="1"/>
  <c r="Q2348" i="1"/>
  <c r="R2348" i="1" s="1"/>
  <c r="Q2340" i="1"/>
  <c r="R2340" i="1" s="1"/>
  <c r="Q2332" i="1"/>
  <c r="R2332" i="1" s="1"/>
  <c r="R2324" i="1"/>
  <c r="Q2324" i="1"/>
  <c r="Q2316" i="1"/>
  <c r="R2316" i="1" s="1"/>
  <c r="R2308" i="1"/>
  <c r="Q2308" i="1"/>
  <c r="R2300" i="1"/>
  <c r="Q2300" i="1"/>
  <c r="Q2292" i="1"/>
  <c r="R2292" i="1" s="1"/>
  <c r="Q2284" i="1"/>
  <c r="R2284" i="1" s="1"/>
  <c r="Q2276" i="1"/>
  <c r="R2276" i="1" s="1"/>
  <c r="Q2268" i="1"/>
  <c r="R2268" i="1" s="1"/>
  <c r="Q2260" i="1"/>
  <c r="R2260" i="1" s="1"/>
  <c r="Q2252" i="1"/>
  <c r="R2252" i="1" s="1"/>
  <c r="R2244" i="1"/>
  <c r="Q2244" i="1"/>
  <c r="Q2236" i="1"/>
  <c r="R2236" i="1" s="1"/>
  <c r="Q2228" i="1"/>
  <c r="R2228" i="1" s="1"/>
  <c r="R2220" i="1"/>
  <c r="Q2220" i="1"/>
  <c r="Q2212" i="1"/>
  <c r="R2212" i="1" s="1"/>
  <c r="Q2204" i="1"/>
  <c r="R2204" i="1" s="1"/>
  <c r="Q2196" i="1"/>
  <c r="R2196" i="1" s="1"/>
  <c r="Q2188" i="1"/>
  <c r="R2188" i="1" s="1"/>
  <c r="Q2180" i="1"/>
  <c r="R2180" i="1" s="1"/>
  <c r="Q2172" i="1"/>
  <c r="R2172" i="1" s="1"/>
  <c r="Q2164" i="1"/>
  <c r="R2164" i="1" s="1"/>
  <c r="Q2156" i="1"/>
  <c r="R2156" i="1" s="1"/>
  <c r="Q2148" i="1"/>
  <c r="R2148" i="1" s="1"/>
  <c r="Q2140" i="1"/>
  <c r="R2140" i="1" s="1"/>
  <c r="Q2132" i="1"/>
  <c r="R2132" i="1" s="1"/>
  <c r="Q2124" i="1"/>
  <c r="R2124" i="1" s="1"/>
  <c r="Q2116" i="1"/>
  <c r="R2116" i="1" s="1"/>
  <c r="Q2108" i="1"/>
  <c r="R2108" i="1" s="1"/>
  <c r="Q2100" i="1"/>
  <c r="R2100" i="1" s="1"/>
  <c r="Q2092" i="1"/>
  <c r="R2092" i="1" s="1"/>
  <c r="Q2084" i="1"/>
  <c r="R2084" i="1" s="1"/>
  <c r="Q2076" i="1"/>
  <c r="R2076" i="1" s="1"/>
  <c r="Q2068" i="1"/>
  <c r="R2068" i="1" s="1"/>
  <c r="Q2060" i="1"/>
  <c r="R2060" i="1" s="1"/>
  <c r="Q2052" i="1"/>
  <c r="R2052" i="1" s="1"/>
  <c r="Q2044" i="1"/>
  <c r="R2044" i="1" s="1"/>
  <c r="Q2036" i="1"/>
  <c r="R2036" i="1" s="1"/>
  <c r="Q2028" i="1"/>
  <c r="R2028" i="1" s="1"/>
  <c r="Q2020" i="1"/>
  <c r="R2020" i="1" s="1"/>
  <c r="Q2012" i="1"/>
  <c r="R2012" i="1" s="1"/>
  <c r="Q2004" i="1"/>
  <c r="R2004" i="1" s="1"/>
  <c r="Q1996" i="1"/>
  <c r="R1996" i="1" s="1"/>
  <c r="Q1988" i="1"/>
  <c r="R1988" i="1" s="1"/>
  <c r="Q1980" i="1"/>
  <c r="R1980" i="1" s="1"/>
  <c r="Q1972" i="1"/>
  <c r="R1972" i="1" s="1"/>
  <c r="R1964" i="1"/>
  <c r="Q1964" i="1"/>
  <c r="Q1956" i="1"/>
  <c r="R1956" i="1" s="1"/>
  <c r="Q1948" i="1"/>
  <c r="R1948" i="1" s="1"/>
  <c r="Q1940" i="1"/>
  <c r="R1940" i="1" s="1"/>
  <c r="Q1932" i="1"/>
  <c r="R1932" i="1" s="1"/>
  <c r="Q1924" i="1"/>
  <c r="R1924" i="1" s="1"/>
  <c r="Q1916" i="1"/>
  <c r="R1916" i="1" s="1"/>
  <c r="Q1908" i="1"/>
  <c r="R1908" i="1" s="1"/>
  <c r="Q1900" i="1"/>
  <c r="R1900" i="1" s="1"/>
  <c r="Q1892" i="1"/>
  <c r="R1892" i="1" s="1"/>
  <c r="Q1884" i="1"/>
  <c r="R1884" i="1" s="1"/>
  <c r="Q1876" i="1"/>
  <c r="R1876" i="1" s="1"/>
  <c r="Q1868" i="1"/>
  <c r="R1868" i="1" s="1"/>
  <c r="Q1860" i="1"/>
  <c r="R1860" i="1" s="1"/>
  <c r="Q1852" i="1"/>
  <c r="R1852" i="1" s="1"/>
  <c r="Q1844" i="1"/>
  <c r="R1844" i="1" s="1"/>
  <c r="Q1836" i="1"/>
  <c r="R1836" i="1" s="1"/>
  <c r="Q1828" i="1"/>
  <c r="R1828" i="1" s="1"/>
  <c r="R1820" i="1"/>
  <c r="Q1820" i="1"/>
  <c r="Q1812" i="1"/>
  <c r="R1812" i="1" s="1"/>
  <c r="Q1804" i="1"/>
  <c r="R1804" i="1" s="1"/>
  <c r="Q1796" i="1"/>
  <c r="R1796" i="1" s="1"/>
  <c r="Q1788" i="1"/>
  <c r="R1788" i="1" s="1"/>
  <c r="Q1780" i="1"/>
  <c r="R1780" i="1" s="1"/>
  <c r="Q1772" i="1"/>
  <c r="R1772" i="1" s="1"/>
  <c r="Q1764" i="1"/>
  <c r="R1764" i="1" s="1"/>
  <c r="Q1756" i="1"/>
  <c r="R1756" i="1" s="1"/>
  <c r="R1748" i="1"/>
  <c r="Q1748" i="1"/>
  <c r="Q1740" i="1"/>
  <c r="R1740" i="1" s="1"/>
  <c r="Q1732" i="1"/>
  <c r="R1732" i="1" s="1"/>
  <c r="Q1724" i="1"/>
  <c r="R1724" i="1" s="1"/>
  <c r="Q1716" i="1"/>
  <c r="R1716" i="1" s="1"/>
  <c r="Q1708" i="1"/>
  <c r="R1708" i="1" s="1"/>
  <c r="Q1700" i="1"/>
  <c r="R1700" i="1" s="1"/>
  <c r="Q1692" i="1"/>
  <c r="R1692" i="1" s="1"/>
  <c r="Q1684" i="1"/>
  <c r="R1684" i="1" s="1"/>
  <c r="Q1676" i="1"/>
  <c r="R1676" i="1" s="1"/>
  <c r="Q1668" i="1"/>
  <c r="R1668" i="1" s="1"/>
  <c r="Q1660" i="1"/>
  <c r="R1660" i="1" s="1"/>
  <c r="Q1652" i="1"/>
  <c r="R1652" i="1" s="1"/>
  <c r="Q1644" i="1"/>
  <c r="R1644" i="1" s="1"/>
  <c r="Q1636" i="1"/>
  <c r="R1636" i="1" s="1"/>
  <c r="Q1628" i="1"/>
  <c r="R1628" i="1" s="1"/>
  <c r="Q1620" i="1"/>
  <c r="R1620" i="1" s="1"/>
  <c r="Q1612" i="1"/>
  <c r="R1612" i="1" s="1"/>
  <c r="Q1604" i="1"/>
  <c r="R1604" i="1" s="1"/>
  <c r="Q1596" i="1"/>
  <c r="R1596" i="1" s="1"/>
  <c r="Q1588" i="1"/>
  <c r="R1588" i="1" s="1"/>
  <c r="Q1580" i="1"/>
  <c r="R1580" i="1" s="1"/>
  <c r="Q1572" i="1"/>
  <c r="R1572" i="1" s="1"/>
  <c r="Q1564" i="1"/>
  <c r="R1564" i="1" s="1"/>
  <c r="Q1556" i="1"/>
  <c r="R1556" i="1" s="1"/>
  <c r="Q1548" i="1"/>
  <c r="R1548" i="1" s="1"/>
  <c r="Q1540" i="1"/>
  <c r="R1540" i="1" s="1"/>
  <c r="Q1532" i="1"/>
  <c r="R1532" i="1" s="1"/>
  <c r="Q1524" i="1"/>
  <c r="R1524" i="1" s="1"/>
  <c r="Q1516" i="1"/>
  <c r="R1516" i="1" s="1"/>
  <c r="Q1508" i="1"/>
  <c r="R1508" i="1" s="1"/>
  <c r="Q1500" i="1"/>
  <c r="R1500" i="1" s="1"/>
  <c r="Q1492" i="1"/>
  <c r="R1492" i="1" s="1"/>
  <c r="Q1484" i="1"/>
  <c r="R1484" i="1" s="1"/>
  <c r="Q1476" i="1"/>
  <c r="R1476" i="1" s="1"/>
  <c r="Q1468" i="1"/>
  <c r="R1468" i="1" s="1"/>
  <c r="Q1460" i="1"/>
  <c r="R1460" i="1" s="1"/>
  <c r="Q1452" i="1"/>
  <c r="R1452" i="1" s="1"/>
  <c r="Q1444" i="1"/>
  <c r="R1444" i="1" s="1"/>
  <c r="Q1436" i="1"/>
  <c r="R1436" i="1" s="1"/>
  <c r="Q1428" i="1"/>
  <c r="R1428" i="1" s="1"/>
  <c r="Q1420" i="1"/>
  <c r="R1420" i="1" s="1"/>
  <c r="Q1412" i="1"/>
  <c r="R1412" i="1" s="1"/>
  <c r="Q1404" i="1"/>
  <c r="R1404" i="1" s="1"/>
  <c r="R1396" i="1"/>
  <c r="Q1396" i="1"/>
  <c r="Q1388" i="1"/>
  <c r="R1388" i="1" s="1"/>
  <c r="Q1380" i="1"/>
  <c r="R1380" i="1" s="1"/>
  <c r="Q1372" i="1"/>
  <c r="R1372" i="1" s="1"/>
  <c r="Q1364" i="1"/>
  <c r="R1364" i="1" s="1"/>
  <c r="Q1356" i="1"/>
  <c r="R1356" i="1" s="1"/>
  <c r="R1348" i="1"/>
  <c r="Q1348" i="1"/>
  <c r="R1340" i="1"/>
  <c r="Q1340" i="1"/>
  <c r="Q1332" i="1"/>
  <c r="R1332" i="1" s="1"/>
  <c r="Q1324" i="1"/>
  <c r="R1324" i="1" s="1"/>
  <c r="Q1316" i="1"/>
  <c r="R1316" i="1" s="1"/>
  <c r="Q1308" i="1"/>
  <c r="R1308" i="1" s="1"/>
  <c r="Q1300" i="1"/>
  <c r="R1300" i="1" s="1"/>
  <c r="Q1292" i="1"/>
  <c r="R1292" i="1" s="1"/>
  <c r="Q1284" i="1"/>
  <c r="R1284" i="1" s="1"/>
  <c r="Q1276" i="1"/>
  <c r="R1276" i="1" s="1"/>
  <c r="Q1268" i="1"/>
  <c r="R1268" i="1" s="1"/>
  <c r="Q1260" i="1"/>
  <c r="R1260" i="1" s="1"/>
  <c r="Q1252" i="1"/>
  <c r="R1252" i="1" s="1"/>
  <c r="Q1244" i="1"/>
  <c r="R1244" i="1" s="1"/>
  <c r="Q1236" i="1"/>
  <c r="R1236" i="1" s="1"/>
  <c r="Q1228" i="1"/>
  <c r="R1228" i="1" s="1"/>
  <c r="Q1220" i="1"/>
  <c r="R1220" i="1" s="1"/>
  <c r="Q1212" i="1"/>
  <c r="R1212" i="1" s="1"/>
  <c r="Q1204" i="1"/>
  <c r="R1204" i="1" s="1"/>
  <c r="Q1196" i="1"/>
  <c r="R1196" i="1" s="1"/>
  <c r="R1188" i="1"/>
  <c r="Q1188" i="1"/>
  <c r="Q1180" i="1"/>
  <c r="R1180" i="1" s="1"/>
  <c r="Q1172" i="1"/>
  <c r="R1172" i="1" s="1"/>
  <c r="Q1164" i="1"/>
  <c r="R1164" i="1" s="1"/>
  <c r="R1156" i="1"/>
  <c r="Q1156" i="1"/>
  <c r="R1148" i="1"/>
  <c r="Q1148" i="1"/>
  <c r="Q1140" i="1"/>
  <c r="R1140" i="1" s="1"/>
  <c r="Q1132" i="1"/>
  <c r="R1132" i="1" s="1"/>
  <c r="Q1124" i="1"/>
  <c r="R1124" i="1" s="1"/>
  <c r="Q1116" i="1"/>
  <c r="R1116" i="1" s="1"/>
  <c r="Q1108" i="1"/>
  <c r="R1108" i="1" s="1"/>
  <c r="Q1100" i="1"/>
  <c r="R1100" i="1" s="1"/>
  <c r="Q1092" i="1"/>
  <c r="R1092" i="1" s="1"/>
  <c r="R1084" i="1"/>
  <c r="Q1084" i="1"/>
  <c r="Q1076" i="1"/>
  <c r="R1076" i="1" s="1"/>
  <c r="Q1068" i="1"/>
  <c r="R1068" i="1" s="1"/>
  <c r="Q1060" i="1"/>
  <c r="R1060" i="1" s="1"/>
  <c r="Q1052" i="1"/>
  <c r="R1052" i="1" s="1"/>
  <c r="Q1044" i="1"/>
  <c r="R1044" i="1" s="1"/>
  <c r="Q1036" i="1"/>
  <c r="R1036" i="1" s="1"/>
  <c r="Q1028" i="1"/>
  <c r="R1028" i="1" s="1"/>
  <c r="Q1020" i="1"/>
  <c r="R1020" i="1" s="1"/>
  <c r="Q1012" i="1"/>
  <c r="R1012" i="1" s="1"/>
  <c r="Q1004" i="1"/>
  <c r="R1004" i="1" s="1"/>
  <c r="Q996" i="1"/>
  <c r="R996" i="1" s="1"/>
  <c r="Q988" i="1"/>
  <c r="R988" i="1" s="1"/>
  <c r="Q980" i="1"/>
  <c r="R980" i="1" s="1"/>
  <c r="Q972" i="1"/>
  <c r="R972" i="1" s="1"/>
  <c r="Q964" i="1"/>
  <c r="R964" i="1" s="1"/>
  <c r="Q956" i="1"/>
  <c r="R956" i="1" s="1"/>
  <c r="Q948" i="1"/>
  <c r="R948" i="1" s="1"/>
  <c r="Q940" i="1"/>
  <c r="R940" i="1" s="1"/>
  <c r="Q932" i="1"/>
  <c r="R932" i="1" s="1"/>
  <c r="Q924" i="1"/>
  <c r="R924" i="1" s="1"/>
  <c r="Q916" i="1"/>
  <c r="R916" i="1" s="1"/>
  <c r="Q908" i="1"/>
  <c r="R908" i="1" s="1"/>
  <c r="Q900" i="1"/>
  <c r="R900" i="1" s="1"/>
  <c r="Q892" i="1"/>
  <c r="R892" i="1" s="1"/>
  <c r="Q884" i="1"/>
  <c r="R884" i="1" s="1"/>
  <c r="Q876" i="1"/>
  <c r="R876" i="1" s="1"/>
  <c r="Q868" i="1"/>
  <c r="R868" i="1" s="1"/>
  <c r="Q860" i="1"/>
  <c r="R860" i="1" s="1"/>
  <c r="Q852" i="1"/>
  <c r="R852" i="1" s="1"/>
  <c r="Q844" i="1"/>
  <c r="R844" i="1" s="1"/>
  <c r="Q836" i="1"/>
  <c r="R836" i="1" s="1"/>
  <c r="Q828" i="1"/>
  <c r="R828" i="1" s="1"/>
  <c r="Q820" i="1"/>
  <c r="R820" i="1" s="1"/>
  <c r="R812" i="1"/>
  <c r="Q812" i="1"/>
  <c r="Q804" i="1"/>
  <c r="R804" i="1" s="1"/>
  <c r="Q796" i="1"/>
  <c r="R796" i="1" s="1"/>
  <c r="Q788" i="1"/>
  <c r="R788" i="1" s="1"/>
  <c r="Q780" i="1"/>
  <c r="R780" i="1" s="1"/>
  <c r="Q772" i="1"/>
  <c r="R772" i="1" s="1"/>
  <c r="R764" i="1"/>
  <c r="Q764" i="1"/>
  <c r="Q756" i="1"/>
  <c r="R756" i="1" s="1"/>
  <c r="Q748" i="1"/>
  <c r="R748" i="1" s="1"/>
  <c r="Q740" i="1"/>
  <c r="R740" i="1" s="1"/>
  <c r="Q732" i="1"/>
  <c r="R732" i="1" s="1"/>
  <c r="Q724" i="1"/>
  <c r="R724" i="1" s="1"/>
  <c r="Q716" i="1"/>
  <c r="R716" i="1" s="1"/>
  <c r="Q708" i="1"/>
  <c r="R708" i="1" s="1"/>
  <c r="Q700" i="1"/>
  <c r="R700" i="1" s="1"/>
  <c r="R692" i="1"/>
  <c r="Q692" i="1"/>
  <c r="Q684" i="1"/>
  <c r="R684" i="1" s="1"/>
  <c r="Q676" i="1"/>
  <c r="R676" i="1" s="1"/>
  <c r="Q668" i="1"/>
  <c r="R668" i="1" s="1"/>
  <c r="Q660" i="1"/>
  <c r="R660" i="1" s="1"/>
  <c r="Q652" i="1"/>
  <c r="R652" i="1" s="1"/>
  <c r="R644" i="1"/>
  <c r="Q644" i="1"/>
  <c r="Q636" i="1"/>
  <c r="R636" i="1" s="1"/>
  <c r="Q628" i="1"/>
  <c r="R628" i="1" s="1"/>
  <c r="Q620" i="1"/>
  <c r="R620" i="1" s="1"/>
  <c r="Q612" i="1"/>
  <c r="R612" i="1" s="1"/>
  <c r="Q604" i="1"/>
  <c r="R604" i="1" s="1"/>
  <c r="Q596" i="1"/>
  <c r="R596" i="1" s="1"/>
  <c r="Q588" i="1"/>
  <c r="R588" i="1" s="1"/>
  <c r="Q580" i="1"/>
  <c r="R580" i="1" s="1"/>
  <c r="R572" i="1"/>
  <c r="Q572" i="1"/>
  <c r="Q564" i="1"/>
  <c r="R564" i="1" s="1"/>
  <c r="Q556" i="1"/>
  <c r="R556" i="1" s="1"/>
  <c r="Q548" i="1"/>
  <c r="R548" i="1" s="1"/>
  <c r="Q540" i="1"/>
  <c r="R540" i="1" s="1"/>
  <c r="Q532" i="1"/>
  <c r="R532" i="1" s="1"/>
  <c r="Q524" i="1"/>
  <c r="R524" i="1" s="1"/>
  <c r="Q516" i="1"/>
  <c r="R516" i="1" s="1"/>
  <c r="Q508" i="1"/>
  <c r="R508" i="1" s="1"/>
  <c r="Q500" i="1"/>
  <c r="R500" i="1" s="1"/>
  <c r="Q492" i="1"/>
  <c r="R492" i="1" s="1"/>
  <c r="Q484" i="1"/>
  <c r="R484" i="1" s="1"/>
  <c r="Q476" i="1"/>
  <c r="R476" i="1" s="1"/>
  <c r="R468" i="1"/>
  <c r="Q468" i="1"/>
  <c r="R460" i="1"/>
  <c r="Q460" i="1"/>
  <c r="R452" i="1"/>
  <c r="Q452" i="1"/>
  <c r="R444" i="1"/>
  <c r="Q444" i="1"/>
  <c r="Q436" i="1"/>
  <c r="R436" i="1" s="1"/>
  <c r="Q428" i="1"/>
  <c r="R428" i="1" s="1"/>
  <c r="Q420" i="1"/>
  <c r="R420" i="1" s="1"/>
  <c r="Q412" i="1"/>
  <c r="R412" i="1" s="1"/>
  <c r="Q404" i="1"/>
  <c r="R404" i="1" s="1"/>
  <c r="Q396" i="1"/>
  <c r="R396" i="1" s="1"/>
  <c r="Q388" i="1"/>
  <c r="R388" i="1" s="1"/>
  <c r="Q380" i="1"/>
  <c r="R380" i="1" s="1"/>
  <c r="Q372" i="1"/>
  <c r="R372" i="1" s="1"/>
  <c r="Q364" i="1"/>
  <c r="R364" i="1" s="1"/>
  <c r="Q356" i="1"/>
  <c r="R356" i="1" s="1"/>
  <c r="R348" i="1"/>
  <c r="Q348" i="1"/>
  <c r="Q340" i="1"/>
  <c r="R340" i="1" s="1"/>
  <c r="R332" i="1"/>
  <c r="Q332" i="1"/>
  <c r="Q324" i="1"/>
  <c r="R324" i="1" s="1"/>
  <c r="Q316" i="1"/>
  <c r="R316" i="1" s="1"/>
  <c r="Q308" i="1"/>
  <c r="R308" i="1" s="1"/>
  <c r="R300" i="1"/>
  <c r="Q300" i="1"/>
  <c r="Q292" i="1"/>
  <c r="R292" i="1" s="1"/>
  <c r="Q284" i="1"/>
  <c r="R284" i="1" s="1"/>
  <c r="R276" i="1"/>
  <c r="Q276" i="1"/>
  <c r="Q268" i="1"/>
  <c r="R268" i="1" s="1"/>
  <c r="Q260" i="1"/>
  <c r="R260" i="1" s="1"/>
  <c r="Q252" i="1"/>
  <c r="R252" i="1" s="1"/>
  <c r="Q244" i="1"/>
  <c r="R244" i="1" s="1"/>
  <c r="Q236" i="1"/>
  <c r="R236" i="1" s="1"/>
  <c r="Q228" i="1"/>
  <c r="R228" i="1" s="1"/>
  <c r="Q220" i="1"/>
  <c r="R220" i="1" s="1"/>
  <c r="Q212" i="1"/>
  <c r="R212" i="1" s="1"/>
  <c r="Q204" i="1"/>
  <c r="R204" i="1" s="1"/>
  <c r="Q196" i="1"/>
  <c r="R196" i="1" s="1"/>
  <c r="Q188" i="1"/>
  <c r="R188" i="1" s="1"/>
  <c r="Q180" i="1"/>
  <c r="R180" i="1" s="1"/>
  <c r="Q172" i="1"/>
  <c r="R172" i="1" s="1"/>
  <c r="R164" i="1"/>
  <c r="Q164" i="1"/>
  <c r="Q156" i="1"/>
  <c r="R156" i="1" s="1"/>
  <c r="Q148" i="1"/>
  <c r="R148" i="1" s="1"/>
  <c r="Q140" i="1"/>
  <c r="R140" i="1" s="1"/>
  <c r="Q132" i="1"/>
  <c r="R132" i="1" s="1"/>
  <c r="Q124" i="1"/>
  <c r="R124" i="1" s="1"/>
  <c r="Q116" i="1"/>
  <c r="R116" i="1" s="1"/>
  <c r="Q108" i="1"/>
  <c r="R108" i="1" s="1"/>
  <c r="Q100" i="1"/>
  <c r="R100" i="1" s="1"/>
  <c r="Q92" i="1"/>
  <c r="R92" i="1" s="1"/>
  <c r="Q84" i="1"/>
  <c r="R84" i="1" s="1"/>
  <c r="R76" i="1"/>
  <c r="Q76" i="1"/>
  <c r="Q68" i="1"/>
  <c r="R68" i="1" s="1"/>
  <c r="Q60" i="1"/>
  <c r="R60" i="1" s="1"/>
  <c r="Q52" i="1"/>
  <c r="R52" i="1" s="1"/>
  <c r="Q44" i="1"/>
  <c r="R44" i="1" s="1"/>
  <c r="Q36" i="1"/>
  <c r="R36" i="1" s="1"/>
  <c r="Q28" i="1"/>
  <c r="R28" i="1" s="1"/>
  <c r="Q20" i="1"/>
  <c r="R20" i="1" s="1"/>
  <c r="Q12" i="1"/>
  <c r="R12" i="1" s="1"/>
  <c r="Q4" i="1"/>
  <c r="Q3891" i="1"/>
  <c r="R3891" i="1" s="1"/>
  <c r="R3883" i="1"/>
  <c r="Q3883" i="1"/>
  <c r="Q3875" i="1"/>
  <c r="R3875" i="1" s="1"/>
  <c r="R3867" i="1"/>
  <c r="Q3867" i="1"/>
  <c r="Q3859" i="1"/>
  <c r="R3859" i="1" s="1"/>
  <c r="Q3851" i="1"/>
  <c r="R3851" i="1" s="1"/>
  <c r="Q3843" i="1"/>
  <c r="R3843" i="1" s="1"/>
  <c r="Q3835" i="1"/>
  <c r="R3835" i="1" s="1"/>
  <c r="Q3827" i="1"/>
  <c r="R3827" i="1" s="1"/>
  <c r="Q3819" i="1"/>
  <c r="R3819" i="1" s="1"/>
  <c r="Q3811" i="1"/>
  <c r="R3811" i="1" s="1"/>
  <c r="Q3803" i="1"/>
  <c r="R3803" i="1" s="1"/>
  <c r="Q3795" i="1"/>
  <c r="R3795" i="1" s="1"/>
  <c r="Q3787" i="1"/>
  <c r="R3787" i="1" s="1"/>
  <c r="Q3779" i="1"/>
  <c r="R3779" i="1" s="1"/>
  <c r="Q3771" i="1"/>
  <c r="R3771" i="1" s="1"/>
  <c r="Q3763" i="1"/>
  <c r="R3763" i="1" s="1"/>
  <c r="Q3755" i="1"/>
  <c r="R3755" i="1" s="1"/>
  <c r="Q3747" i="1"/>
  <c r="R3747" i="1" s="1"/>
  <c r="Q3739" i="1"/>
  <c r="R3739" i="1" s="1"/>
  <c r="Q3731" i="1"/>
  <c r="R3731" i="1" s="1"/>
  <c r="Q3723" i="1"/>
  <c r="R3723" i="1" s="1"/>
  <c r="Q3715" i="1"/>
  <c r="R3715" i="1" s="1"/>
  <c r="R3707" i="1"/>
  <c r="Q3707" i="1"/>
  <c r="Q3699" i="1"/>
  <c r="R3699" i="1" s="1"/>
  <c r="Q3691" i="1"/>
  <c r="R3691" i="1" s="1"/>
  <c r="R3683" i="1"/>
  <c r="Q3683" i="1"/>
  <c r="Q3675" i="1"/>
  <c r="R3675" i="1" s="1"/>
  <c r="Q3667" i="1"/>
  <c r="R3667" i="1" s="1"/>
  <c r="Q3659" i="1"/>
  <c r="R3659" i="1" s="1"/>
  <c r="Q3651" i="1"/>
  <c r="R3651" i="1" s="1"/>
  <c r="Q3643" i="1"/>
  <c r="R3643" i="1" s="1"/>
  <c r="Q3635" i="1"/>
  <c r="R3635" i="1" s="1"/>
  <c r="Q3627" i="1"/>
  <c r="R3627" i="1" s="1"/>
  <c r="Q3619" i="1"/>
  <c r="R3619" i="1" s="1"/>
  <c r="Q3611" i="1"/>
  <c r="R3611" i="1" s="1"/>
  <c r="Q3603" i="1"/>
  <c r="R3603" i="1" s="1"/>
  <c r="Q3595" i="1"/>
  <c r="R3595" i="1" s="1"/>
  <c r="Q3587" i="1"/>
  <c r="R3587" i="1" s="1"/>
  <c r="Q3579" i="1"/>
  <c r="R3579" i="1" s="1"/>
  <c r="Q3571" i="1"/>
  <c r="R3571" i="1" s="1"/>
  <c r="Q3563" i="1"/>
  <c r="R3563" i="1" s="1"/>
  <c r="Q3555" i="1"/>
  <c r="R3555" i="1" s="1"/>
  <c r="Q3547" i="1"/>
  <c r="R3547" i="1" s="1"/>
  <c r="Q3539" i="1"/>
  <c r="R3539" i="1" s="1"/>
  <c r="Q3531" i="1"/>
  <c r="R3531" i="1" s="1"/>
  <c r="Q3523" i="1"/>
  <c r="R3523" i="1" s="1"/>
  <c r="Q3515" i="1"/>
  <c r="R3515" i="1" s="1"/>
  <c r="Q3507" i="1"/>
  <c r="R3507" i="1" s="1"/>
  <c r="Q3499" i="1"/>
  <c r="R3499" i="1" s="1"/>
  <c r="Q3491" i="1"/>
  <c r="R3491" i="1" s="1"/>
  <c r="Q3483" i="1"/>
  <c r="R3483" i="1" s="1"/>
  <c r="Q3475" i="1"/>
  <c r="R3475" i="1" s="1"/>
  <c r="Q3467" i="1"/>
  <c r="R3467" i="1" s="1"/>
  <c r="Q3459" i="1"/>
  <c r="R3459" i="1" s="1"/>
  <c r="Q3451" i="1"/>
  <c r="R3451" i="1" s="1"/>
  <c r="Q3443" i="1"/>
  <c r="R3443" i="1" s="1"/>
  <c r="Q3435" i="1"/>
  <c r="R3435" i="1" s="1"/>
  <c r="Q3427" i="1"/>
  <c r="R3427" i="1" s="1"/>
  <c r="R3419" i="1"/>
  <c r="Q3419" i="1"/>
  <c r="Q3411" i="1"/>
  <c r="R3411" i="1" s="1"/>
  <c r="Q3403" i="1"/>
  <c r="R3403" i="1" s="1"/>
  <c r="Q3395" i="1"/>
  <c r="R3395" i="1" s="1"/>
  <c r="R3387" i="1"/>
  <c r="Q3387" i="1"/>
  <c r="Q3379" i="1"/>
  <c r="R3379" i="1" s="1"/>
  <c r="R3371" i="1"/>
  <c r="Q3371" i="1"/>
  <c r="Q3363" i="1"/>
  <c r="R3363" i="1" s="1"/>
  <c r="Q3355" i="1"/>
  <c r="R3355" i="1" s="1"/>
  <c r="Q3347" i="1"/>
  <c r="R3347" i="1" s="1"/>
  <c r="Q3339" i="1"/>
  <c r="R3339" i="1" s="1"/>
  <c r="Q3331" i="1"/>
  <c r="R3331" i="1" s="1"/>
  <c r="Q3323" i="1"/>
  <c r="R3323" i="1" s="1"/>
  <c r="Q3315" i="1"/>
  <c r="R3315" i="1" s="1"/>
  <c r="Q3307" i="1"/>
  <c r="R3307" i="1" s="1"/>
  <c r="Q3299" i="1"/>
  <c r="R3299" i="1" s="1"/>
  <c r="Q3291" i="1"/>
  <c r="R3291" i="1" s="1"/>
  <c r="Q3283" i="1"/>
  <c r="R3283" i="1" s="1"/>
  <c r="Q3275" i="1"/>
  <c r="R3275" i="1" s="1"/>
  <c r="Q3267" i="1"/>
  <c r="R3267" i="1" s="1"/>
  <c r="Q3259" i="1"/>
  <c r="R3259" i="1" s="1"/>
  <c r="Q3251" i="1"/>
  <c r="R3251" i="1" s="1"/>
  <c r="Q3243" i="1"/>
  <c r="R3243" i="1" s="1"/>
  <c r="Q3235" i="1"/>
  <c r="R3235" i="1" s="1"/>
  <c r="Q3227" i="1"/>
  <c r="R3227" i="1" s="1"/>
  <c r="Q3219" i="1"/>
  <c r="R3219" i="1" s="1"/>
  <c r="Q3211" i="1"/>
  <c r="R3211" i="1" s="1"/>
  <c r="Q3203" i="1"/>
  <c r="R3203" i="1" s="1"/>
  <c r="Q3195" i="1"/>
  <c r="R3195" i="1" s="1"/>
  <c r="Q3187" i="1"/>
  <c r="R3187" i="1" s="1"/>
  <c r="Q3179" i="1"/>
  <c r="R3179" i="1" s="1"/>
  <c r="Q3171" i="1"/>
  <c r="R3171" i="1" s="1"/>
  <c r="Q3163" i="1"/>
  <c r="R3163" i="1" s="1"/>
  <c r="R3155" i="1"/>
  <c r="Q3155" i="1"/>
  <c r="Q3147" i="1"/>
  <c r="R3147" i="1" s="1"/>
  <c r="Q3139" i="1"/>
  <c r="R3139" i="1" s="1"/>
  <c r="Q3131" i="1"/>
  <c r="R3131" i="1" s="1"/>
  <c r="Q3123" i="1"/>
  <c r="R3123" i="1" s="1"/>
  <c r="Q3115" i="1"/>
  <c r="R3115" i="1" s="1"/>
  <c r="R3107" i="1"/>
  <c r="Q3107" i="1"/>
  <c r="Q3099" i="1"/>
  <c r="R3099" i="1" s="1"/>
  <c r="Q3091" i="1"/>
  <c r="R3091" i="1" s="1"/>
  <c r="Q3083" i="1"/>
  <c r="R3083" i="1" s="1"/>
  <c r="Q3075" i="1"/>
  <c r="R3075" i="1" s="1"/>
  <c r="Q3067" i="1"/>
  <c r="R3067" i="1" s="1"/>
  <c r="Q3059" i="1"/>
  <c r="R3059" i="1" s="1"/>
  <c r="R3051" i="1"/>
  <c r="Q3051" i="1"/>
  <c r="Q3043" i="1"/>
  <c r="R3043" i="1" s="1"/>
  <c r="Q3035" i="1"/>
  <c r="R3035" i="1" s="1"/>
  <c r="Q3027" i="1"/>
  <c r="R3027" i="1" s="1"/>
  <c r="R3019" i="1"/>
  <c r="Q3019" i="1"/>
  <c r="Q3011" i="1"/>
  <c r="R3011" i="1" s="1"/>
  <c r="R3003" i="1"/>
  <c r="Q3003" i="1"/>
  <c r="Q2995" i="1"/>
  <c r="R2995" i="1" s="1"/>
  <c r="Q2987" i="1"/>
  <c r="R2987" i="1" s="1"/>
  <c r="Q2979" i="1"/>
  <c r="R2979" i="1" s="1"/>
  <c r="Q2971" i="1"/>
  <c r="R2971" i="1" s="1"/>
  <c r="Q2963" i="1"/>
  <c r="R2963" i="1" s="1"/>
  <c r="Q2955" i="1"/>
  <c r="R2955" i="1" s="1"/>
  <c r="Q2947" i="1"/>
  <c r="R2947" i="1" s="1"/>
  <c r="R2939" i="1"/>
  <c r="Q2939" i="1"/>
  <c r="R2931" i="1"/>
  <c r="Q2931" i="1"/>
  <c r="Q2923" i="1"/>
  <c r="R2923" i="1" s="1"/>
  <c r="Q2915" i="1"/>
  <c r="R2915" i="1" s="1"/>
  <c r="Q2907" i="1"/>
  <c r="R2907" i="1" s="1"/>
  <c r="Q2899" i="1"/>
  <c r="R2899" i="1" s="1"/>
  <c r="Q2891" i="1"/>
  <c r="R2891" i="1" s="1"/>
  <c r="Q2883" i="1"/>
  <c r="R2883" i="1" s="1"/>
  <c r="Q2875" i="1"/>
  <c r="R2875" i="1" s="1"/>
  <c r="Q2867" i="1"/>
  <c r="R2867" i="1" s="1"/>
  <c r="Q2859" i="1"/>
  <c r="R2859" i="1" s="1"/>
  <c r="Q2851" i="1"/>
  <c r="R2851" i="1" s="1"/>
  <c r="Q2843" i="1"/>
  <c r="R2843" i="1" s="1"/>
  <c r="Q2835" i="1"/>
  <c r="R2835" i="1" s="1"/>
  <c r="Q2827" i="1"/>
  <c r="R2827" i="1" s="1"/>
  <c r="Q2819" i="1"/>
  <c r="R2819" i="1" s="1"/>
  <c r="Q2811" i="1"/>
  <c r="R2811" i="1" s="1"/>
  <c r="Q2803" i="1"/>
  <c r="R2803" i="1" s="1"/>
  <c r="Q2795" i="1"/>
  <c r="R2795" i="1" s="1"/>
  <c r="R2787" i="1"/>
  <c r="Q2787" i="1"/>
  <c r="Q2779" i="1"/>
  <c r="R2779" i="1" s="1"/>
  <c r="Q2771" i="1"/>
  <c r="R2771" i="1" s="1"/>
  <c r="Q2763" i="1"/>
  <c r="R2763" i="1" s="1"/>
  <c r="Q2755" i="1"/>
  <c r="R2755" i="1" s="1"/>
  <c r="Q2747" i="1"/>
  <c r="R2747" i="1" s="1"/>
  <c r="Q2739" i="1"/>
  <c r="R2739" i="1" s="1"/>
  <c r="Q2731" i="1"/>
  <c r="R2731" i="1" s="1"/>
  <c r="Q2723" i="1"/>
  <c r="R2723" i="1" s="1"/>
  <c r="Q2715" i="1"/>
  <c r="R2715" i="1" s="1"/>
  <c r="Q2707" i="1"/>
  <c r="R2707" i="1" s="1"/>
  <c r="Q2699" i="1"/>
  <c r="R2699" i="1" s="1"/>
  <c r="Q2691" i="1"/>
  <c r="R2691" i="1" s="1"/>
  <c r="Q2683" i="1"/>
  <c r="R2683" i="1" s="1"/>
  <c r="Q2675" i="1"/>
  <c r="R2675" i="1" s="1"/>
  <c r="Q2667" i="1"/>
  <c r="R2667" i="1" s="1"/>
  <c r="Q2659" i="1"/>
  <c r="R2659" i="1" s="1"/>
  <c r="Q2651" i="1"/>
  <c r="R2651" i="1" s="1"/>
  <c r="Q2643" i="1"/>
  <c r="R2643" i="1" s="1"/>
  <c r="Q2635" i="1"/>
  <c r="R2635" i="1" s="1"/>
  <c r="Q2627" i="1"/>
  <c r="R2627" i="1" s="1"/>
  <c r="Q2619" i="1"/>
  <c r="R2619" i="1" s="1"/>
  <c r="Q2611" i="1"/>
  <c r="R2611" i="1" s="1"/>
  <c r="Q2603" i="1"/>
  <c r="R2603" i="1" s="1"/>
  <c r="Q2595" i="1"/>
  <c r="R2595" i="1" s="1"/>
  <c r="Q2587" i="1"/>
  <c r="R2587" i="1" s="1"/>
  <c r="Q2579" i="1"/>
  <c r="R2579" i="1" s="1"/>
  <c r="Q2571" i="1"/>
  <c r="R2571" i="1" s="1"/>
  <c r="Q2563" i="1"/>
  <c r="R2563" i="1" s="1"/>
  <c r="Q2555" i="1"/>
  <c r="R2555" i="1" s="1"/>
  <c r="Q2547" i="1"/>
  <c r="R2547" i="1" s="1"/>
  <c r="Q2539" i="1"/>
  <c r="R2539" i="1" s="1"/>
  <c r="Q2531" i="1"/>
  <c r="R2531" i="1" s="1"/>
  <c r="Q2523" i="1"/>
  <c r="R2523" i="1" s="1"/>
  <c r="Q2515" i="1"/>
  <c r="R2515" i="1" s="1"/>
  <c r="Q2507" i="1"/>
  <c r="R2507" i="1" s="1"/>
  <c r="Q2499" i="1"/>
  <c r="R2499" i="1" s="1"/>
  <c r="Q2491" i="1"/>
  <c r="R2491" i="1" s="1"/>
  <c r="Q2483" i="1"/>
  <c r="R2483" i="1" s="1"/>
  <c r="Q2475" i="1"/>
  <c r="R2475" i="1" s="1"/>
  <c r="Q2467" i="1"/>
  <c r="R2467" i="1" s="1"/>
  <c r="Q2459" i="1"/>
  <c r="R2459" i="1" s="1"/>
  <c r="Q2451" i="1"/>
  <c r="R2451" i="1" s="1"/>
  <c r="Q2443" i="1"/>
  <c r="R2443" i="1" s="1"/>
  <c r="Q2435" i="1"/>
  <c r="R2435" i="1" s="1"/>
  <c r="R2427" i="1"/>
  <c r="Q2427" i="1"/>
  <c r="Q2419" i="1"/>
  <c r="R2419" i="1" s="1"/>
  <c r="Q2411" i="1"/>
  <c r="R2411" i="1" s="1"/>
  <c r="Q2403" i="1"/>
  <c r="R2403" i="1" s="1"/>
  <c r="Q2395" i="1"/>
  <c r="R2395" i="1" s="1"/>
  <c r="Q2387" i="1"/>
  <c r="R2387" i="1" s="1"/>
  <c r="Q2379" i="1"/>
  <c r="R2379" i="1" s="1"/>
  <c r="Q2371" i="1"/>
  <c r="R2371" i="1" s="1"/>
  <c r="Q2363" i="1"/>
  <c r="R2363" i="1" s="1"/>
  <c r="Q2355" i="1"/>
  <c r="R2355" i="1" s="1"/>
  <c r="Q2347" i="1"/>
  <c r="R2347" i="1" s="1"/>
  <c r="Q2339" i="1"/>
  <c r="R2339" i="1" s="1"/>
  <c r="R2331" i="1"/>
  <c r="Q2331" i="1"/>
  <c r="Q2323" i="1"/>
  <c r="R2323" i="1" s="1"/>
  <c r="Q2315" i="1"/>
  <c r="R2315" i="1" s="1"/>
  <c r="Q2307" i="1"/>
  <c r="R2307" i="1" s="1"/>
  <c r="Q2299" i="1"/>
  <c r="R2299" i="1" s="1"/>
  <c r="Q2291" i="1"/>
  <c r="R2291" i="1" s="1"/>
  <c r="Q2283" i="1"/>
  <c r="R2283" i="1" s="1"/>
  <c r="Q2275" i="1"/>
  <c r="R2275" i="1" s="1"/>
  <c r="Q2267" i="1"/>
  <c r="R2267" i="1" s="1"/>
  <c r="Q2259" i="1"/>
  <c r="R2259" i="1" s="1"/>
  <c r="Q2251" i="1"/>
  <c r="R2251" i="1" s="1"/>
  <c r="Q2243" i="1"/>
  <c r="R2243" i="1" s="1"/>
  <c r="Q2235" i="1"/>
  <c r="R2235" i="1" s="1"/>
  <c r="Q2227" i="1"/>
  <c r="R2227" i="1" s="1"/>
  <c r="Q2219" i="1"/>
  <c r="R2219" i="1" s="1"/>
  <c r="Q2211" i="1"/>
  <c r="R2211" i="1" s="1"/>
  <c r="Q2203" i="1"/>
  <c r="R2203" i="1" s="1"/>
  <c r="Q2195" i="1"/>
  <c r="R2195" i="1" s="1"/>
  <c r="Q2187" i="1"/>
  <c r="R2187" i="1" s="1"/>
  <c r="Q2179" i="1"/>
  <c r="R2179" i="1" s="1"/>
  <c r="Q2171" i="1"/>
  <c r="R2171" i="1" s="1"/>
  <c r="Q2163" i="1"/>
  <c r="R2163" i="1" s="1"/>
  <c r="Q2155" i="1"/>
  <c r="R2155" i="1" s="1"/>
  <c r="Q2147" i="1"/>
  <c r="R2147" i="1" s="1"/>
  <c r="Q2139" i="1"/>
  <c r="R2139" i="1" s="1"/>
  <c r="Q2131" i="1"/>
  <c r="R2131" i="1" s="1"/>
  <c r="Q2123" i="1"/>
  <c r="R2123" i="1" s="1"/>
  <c r="R2115" i="1"/>
  <c r="Q2115" i="1"/>
  <c r="Q2107" i="1"/>
  <c r="R2107" i="1" s="1"/>
  <c r="R2099" i="1"/>
  <c r="Q2099" i="1"/>
  <c r="Q2091" i="1"/>
  <c r="R2091" i="1" s="1"/>
  <c r="Q2083" i="1"/>
  <c r="R2083" i="1" s="1"/>
  <c r="Q2075" i="1"/>
  <c r="R2075" i="1" s="1"/>
  <c r="Q2067" i="1"/>
  <c r="R2067" i="1" s="1"/>
  <c r="Q2059" i="1"/>
  <c r="R2059" i="1" s="1"/>
  <c r="Q2051" i="1"/>
  <c r="R2051" i="1" s="1"/>
  <c r="Q2043" i="1"/>
  <c r="R2043" i="1" s="1"/>
  <c r="Q2035" i="1"/>
  <c r="R2035" i="1" s="1"/>
  <c r="Q2027" i="1"/>
  <c r="R2027" i="1" s="1"/>
  <c r="Q2019" i="1"/>
  <c r="R2019" i="1" s="1"/>
  <c r="R2011" i="1"/>
  <c r="Q2011" i="1"/>
  <c r="Q2003" i="1"/>
  <c r="R2003" i="1" s="1"/>
  <c r="Q1995" i="1"/>
  <c r="R1995" i="1" s="1"/>
  <c r="Q1987" i="1"/>
  <c r="R1987" i="1" s="1"/>
  <c r="Q1979" i="1"/>
  <c r="R1979" i="1" s="1"/>
  <c r="Q1971" i="1"/>
  <c r="R1971" i="1" s="1"/>
  <c r="Q1963" i="1"/>
  <c r="R1963" i="1" s="1"/>
  <c r="Q1955" i="1"/>
  <c r="R1955" i="1" s="1"/>
  <c r="Q1947" i="1"/>
  <c r="R1947" i="1" s="1"/>
  <c r="Q1939" i="1"/>
  <c r="R1939" i="1" s="1"/>
  <c r="Q1931" i="1"/>
  <c r="R1931" i="1" s="1"/>
  <c r="Q1923" i="1"/>
  <c r="R1923" i="1" s="1"/>
  <c r="Q1915" i="1"/>
  <c r="R1915" i="1" s="1"/>
  <c r="Q1907" i="1"/>
  <c r="R1907" i="1" s="1"/>
  <c r="Q1899" i="1"/>
  <c r="R1899" i="1" s="1"/>
  <c r="Q1891" i="1"/>
  <c r="R1891" i="1" s="1"/>
  <c r="Q1883" i="1"/>
  <c r="R1883" i="1" s="1"/>
  <c r="Q1875" i="1"/>
  <c r="R1875" i="1" s="1"/>
  <c r="Q1867" i="1"/>
  <c r="R1867" i="1" s="1"/>
  <c r="Q1859" i="1"/>
  <c r="R1859" i="1" s="1"/>
  <c r="Q1851" i="1"/>
  <c r="R1851" i="1" s="1"/>
  <c r="Q1843" i="1"/>
  <c r="R1843" i="1" s="1"/>
  <c r="Q1835" i="1"/>
  <c r="R1835" i="1" s="1"/>
  <c r="Q1827" i="1"/>
  <c r="R1827" i="1" s="1"/>
  <c r="Q1819" i="1"/>
  <c r="R1819" i="1" s="1"/>
  <c r="Q1811" i="1"/>
  <c r="R1811" i="1" s="1"/>
  <c r="Q1803" i="1"/>
  <c r="R1803" i="1" s="1"/>
  <c r="Q1795" i="1"/>
  <c r="R1795" i="1" s="1"/>
  <c r="Q1787" i="1"/>
  <c r="R1787" i="1" s="1"/>
  <c r="Q1779" i="1"/>
  <c r="R1779" i="1" s="1"/>
  <c r="Q1771" i="1"/>
  <c r="R1771" i="1" s="1"/>
  <c r="Q1763" i="1"/>
  <c r="R1763" i="1" s="1"/>
  <c r="Q1755" i="1"/>
  <c r="R1755" i="1" s="1"/>
  <c r="Q1747" i="1"/>
  <c r="R1747" i="1" s="1"/>
  <c r="Q1739" i="1"/>
  <c r="R1739" i="1" s="1"/>
  <c r="Q1731" i="1"/>
  <c r="R1731" i="1" s="1"/>
  <c r="Q1723" i="1"/>
  <c r="R1723" i="1" s="1"/>
  <c r="Q1715" i="1"/>
  <c r="R1715" i="1" s="1"/>
  <c r="Q1707" i="1"/>
  <c r="R1707" i="1" s="1"/>
  <c r="Q1699" i="1"/>
  <c r="R1699" i="1" s="1"/>
  <c r="Q1691" i="1"/>
  <c r="R1691" i="1" s="1"/>
  <c r="Q1683" i="1"/>
  <c r="R1683" i="1" s="1"/>
  <c r="Q1675" i="1"/>
  <c r="R1675" i="1" s="1"/>
  <c r="Q1667" i="1"/>
  <c r="R1667" i="1" s="1"/>
  <c r="Q1659" i="1"/>
  <c r="R1659" i="1" s="1"/>
  <c r="Q1651" i="1"/>
  <c r="R1651" i="1" s="1"/>
  <c r="Q1643" i="1"/>
  <c r="R1643" i="1" s="1"/>
  <c r="Q1635" i="1"/>
  <c r="R1635" i="1" s="1"/>
  <c r="Q1627" i="1"/>
  <c r="R1627" i="1" s="1"/>
  <c r="Q1619" i="1"/>
  <c r="R1619" i="1" s="1"/>
  <c r="R1611" i="1"/>
  <c r="Q1611" i="1"/>
  <c r="Q1603" i="1"/>
  <c r="R1603" i="1" s="1"/>
  <c r="Q1595" i="1"/>
  <c r="R1595" i="1" s="1"/>
  <c r="Q1587" i="1"/>
  <c r="R1587" i="1" s="1"/>
  <c r="Q1579" i="1"/>
  <c r="R1579" i="1" s="1"/>
  <c r="Q1571" i="1"/>
  <c r="R1571" i="1" s="1"/>
  <c r="Q1563" i="1"/>
  <c r="R1563" i="1" s="1"/>
  <c r="R1555" i="1"/>
  <c r="Q1555" i="1"/>
  <c r="Q1547" i="1"/>
  <c r="R1547" i="1" s="1"/>
  <c r="Q1539" i="1"/>
  <c r="R1539" i="1" s="1"/>
  <c r="Q1531" i="1"/>
  <c r="R1531" i="1" s="1"/>
  <c r="Q1523" i="1"/>
  <c r="R1523" i="1" s="1"/>
  <c r="Q1515" i="1"/>
  <c r="R1515" i="1" s="1"/>
  <c r="Q1507" i="1"/>
  <c r="R1507" i="1" s="1"/>
  <c r="Q1499" i="1"/>
  <c r="R1499" i="1" s="1"/>
  <c r="Q1491" i="1"/>
  <c r="R1491" i="1" s="1"/>
  <c r="Q1483" i="1"/>
  <c r="R1483" i="1" s="1"/>
  <c r="Q1475" i="1"/>
  <c r="R1475" i="1" s="1"/>
  <c r="R1467" i="1"/>
  <c r="Q1467" i="1"/>
  <c r="Q1459" i="1"/>
  <c r="R1459" i="1" s="1"/>
  <c r="Q1451" i="1"/>
  <c r="R1451" i="1" s="1"/>
  <c r="Q1443" i="1"/>
  <c r="R1443" i="1" s="1"/>
  <c r="Q1435" i="1"/>
  <c r="R1435" i="1" s="1"/>
  <c r="Q1427" i="1"/>
  <c r="R1427" i="1" s="1"/>
  <c r="Q1419" i="1"/>
  <c r="R1419" i="1" s="1"/>
  <c r="Q1411" i="1"/>
  <c r="R1411" i="1" s="1"/>
  <c r="Q1403" i="1"/>
  <c r="R1403" i="1" s="1"/>
  <c r="Q1395" i="1"/>
  <c r="R1395" i="1" s="1"/>
  <c r="Q1387" i="1"/>
  <c r="R1387" i="1" s="1"/>
  <c r="Q1379" i="1"/>
  <c r="R1379" i="1" s="1"/>
  <c r="Q1371" i="1"/>
  <c r="R1371" i="1" s="1"/>
  <c r="Q1363" i="1"/>
  <c r="R1363" i="1" s="1"/>
  <c r="Q1355" i="1"/>
  <c r="R1355" i="1" s="1"/>
  <c r="Q1347" i="1"/>
  <c r="R1347" i="1" s="1"/>
  <c r="Q1339" i="1"/>
  <c r="R1339" i="1" s="1"/>
  <c r="Q1331" i="1"/>
  <c r="R1331" i="1" s="1"/>
  <c r="Q1323" i="1"/>
  <c r="R1323" i="1" s="1"/>
  <c r="Q1315" i="1"/>
  <c r="R1315" i="1" s="1"/>
  <c r="R1307" i="1"/>
  <c r="Q1307" i="1"/>
  <c r="Q1299" i="1"/>
  <c r="R1299" i="1" s="1"/>
  <c r="Q1291" i="1"/>
  <c r="R1291" i="1" s="1"/>
  <c r="Q1283" i="1"/>
  <c r="R1283" i="1" s="1"/>
  <c r="Q1275" i="1"/>
  <c r="R1275" i="1" s="1"/>
  <c r="Q1267" i="1"/>
  <c r="R1267" i="1" s="1"/>
  <c r="Q1259" i="1"/>
  <c r="R1259" i="1" s="1"/>
  <c r="R1251" i="1"/>
  <c r="Q1251" i="1"/>
  <c r="Q1243" i="1"/>
  <c r="R1243" i="1" s="1"/>
  <c r="Q1235" i="1"/>
  <c r="R1235" i="1" s="1"/>
  <c r="Q1227" i="1"/>
  <c r="R1227" i="1" s="1"/>
  <c r="Q1219" i="1"/>
  <c r="R1219" i="1" s="1"/>
  <c r="Q1211" i="1"/>
  <c r="R1211" i="1" s="1"/>
  <c r="Q1203" i="1"/>
  <c r="R1203" i="1" s="1"/>
  <c r="R1195" i="1"/>
  <c r="Q1195" i="1"/>
  <c r="Q1187" i="1"/>
  <c r="R1187" i="1" s="1"/>
  <c r="Q1179" i="1"/>
  <c r="R1179" i="1" s="1"/>
  <c r="Q1171" i="1"/>
  <c r="R1171" i="1" s="1"/>
  <c r="R1163" i="1"/>
  <c r="Q1163" i="1"/>
  <c r="Q1155" i="1"/>
  <c r="R1155" i="1" s="1"/>
  <c r="Q1147" i="1"/>
  <c r="R1147" i="1" s="1"/>
  <c r="Q1139" i="1"/>
  <c r="R1139" i="1" s="1"/>
  <c r="Q1131" i="1"/>
  <c r="R1131" i="1" s="1"/>
  <c r="Q1123" i="1"/>
  <c r="R1123" i="1" s="1"/>
  <c r="Q1115" i="1"/>
  <c r="R1115" i="1" s="1"/>
  <c r="Q1107" i="1"/>
  <c r="R1107" i="1" s="1"/>
  <c r="Q1099" i="1"/>
  <c r="R1099" i="1" s="1"/>
  <c r="Q1091" i="1"/>
  <c r="R1091" i="1" s="1"/>
  <c r="Q1083" i="1"/>
  <c r="R1083" i="1" s="1"/>
  <c r="Q1075" i="1"/>
  <c r="R1075" i="1" s="1"/>
  <c r="Q1067" i="1"/>
  <c r="R1067" i="1" s="1"/>
  <c r="Q1059" i="1"/>
  <c r="R1059" i="1" s="1"/>
  <c r="R1051" i="1"/>
  <c r="Q1051" i="1"/>
  <c r="Q1043" i="1"/>
  <c r="R1043" i="1" s="1"/>
  <c r="Q1035" i="1"/>
  <c r="R1035" i="1" s="1"/>
  <c r="Q1027" i="1"/>
  <c r="R1027" i="1" s="1"/>
  <c r="Q1019" i="1"/>
  <c r="R1019" i="1" s="1"/>
  <c r="Q1011" i="1"/>
  <c r="R1011" i="1" s="1"/>
  <c r="Q1003" i="1"/>
  <c r="R1003" i="1" s="1"/>
  <c r="Q995" i="1"/>
  <c r="R995" i="1" s="1"/>
  <c r="Q987" i="1"/>
  <c r="R987" i="1" s="1"/>
  <c r="Q979" i="1"/>
  <c r="R979" i="1" s="1"/>
  <c r="Q971" i="1"/>
  <c r="R971" i="1" s="1"/>
  <c r="Q963" i="1"/>
  <c r="R963" i="1" s="1"/>
  <c r="Q955" i="1"/>
  <c r="R955" i="1" s="1"/>
  <c r="Q947" i="1"/>
  <c r="R947" i="1" s="1"/>
  <c r="R939" i="1"/>
  <c r="Q939" i="1"/>
  <c r="Q931" i="1"/>
  <c r="R931" i="1" s="1"/>
  <c r="Q923" i="1"/>
  <c r="R923" i="1" s="1"/>
  <c r="Q915" i="1"/>
  <c r="R915" i="1" s="1"/>
  <c r="R907" i="1"/>
  <c r="Q907" i="1"/>
  <c r="Q899" i="1"/>
  <c r="R899" i="1" s="1"/>
  <c r="Q891" i="1"/>
  <c r="R891" i="1" s="1"/>
  <c r="Q883" i="1"/>
  <c r="R883" i="1" s="1"/>
  <c r="Q875" i="1"/>
  <c r="R875" i="1" s="1"/>
  <c r="Q867" i="1"/>
  <c r="R867" i="1" s="1"/>
  <c r="Q859" i="1"/>
  <c r="R859" i="1" s="1"/>
  <c r="Q851" i="1"/>
  <c r="R851" i="1" s="1"/>
  <c r="Q843" i="1"/>
  <c r="R843" i="1" s="1"/>
  <c r="R835" i="1"/>
  <c r="Q835" i="1"/>
  <c r="Q827" i="1"/>
  <c r="R827" i="1" s="1"/>
  <c r="Q819" i="1"/>
  <c r="R819" i="1" s="1"/>
  <c r="Q811" i="1"/>
  <c r="R811" i="1" s="1"/>
  <c r="Q803" i="1"/>
  <c r="R803" i="1" s="1"/>
  <c r="Q795" i="1"/>
  <c r="R795" i="1" s="1"/>
  <c r="Q787" i="1"/>
  <c r="R787" i="1" s="1"/>
  <c r="Q779" i="1"/>
  <c r="R779" i="1" s="1"/>
  <c r="Q771" i="1"/>
  <c r="R771" i="1" s="1"/>
  <c r="Q763" i="1"/>
  <c r="R763" i="1" s="1"/>
  <c r="Q755" i="1"/>
  <c r="R755" i="1" s="1"/>
  <c r="Q747" i="1"/>
  <c r="R747" i="1" s="1"/>
  <c r="R739" i="1"/>
  <c r="Q739" i="1"/>
  <c r="Q731" i="1"/>
  <c r="R731" i="1" s="1"/>
  <c r="Q723" i="1"/>
  <c r="R723" i="1" s="1"/>
  <c r="Q715" i="1"/>
  <c r="R715" i="1" s="1"/>
  <c r="Q707" i="1"/>
  <c r="R707" i="1" s="1"/>
  <c r="R699" i="1"/>
  <c r="Q699" i="1"/>
  <c r="Q691" i="1"/>
  <c r="R691" i="1" s="1"/>
  <c r="Q683" i="1"/>
  <c r="R683" i="1" s="1"/>
  <c r="Q675" i="1"/>
  <c r="R675" i="1" s="1"/>
  <c r="Q667" i="1"/>
  <c r="R667" i="1" s="1"/>
  <c r="Q659" i="1"/>
  <c r="R659" i="1" s="1"/>
  <c r="Q651" i="1"/>
  <c r="R651" i="1" s="1"/>
  <c r="Q643" i="1"/>
  <c r="R643" i="1" s="1"/>
  <c r="Q635" i="1"/>
  <c r="R635" i="1" s="1"/>
  <c r="Q627" i="1"/>
  <c r="R627" i="1" s="1"/>
  <c r="Q619" i="1"/>
  <c r="R619" i="1" s="1"/>
  <c r="R611" i="1"/>
  <c r="Q611" i="1"/>
  <c r="Q603" i="1"/>
  <c r="R603" i="1" s="1"/>
  <c r="Q595" i="1"/>
  <c r="R595" i="1" s="1"/>
  <c r="Q587" i="1"/>
  <c r="R587" i="1" s="1"/>
  <c r="Q579" i="1"/>
  <c r="R579" i="1" s="1"/>
  <c r="Q571" i="1"/>
  <c r="R571" i="1" s="1"/>
  <c r="Q563" i="1"/>
  <c r="R563" i="1" s="1"/>
  <c r="Q555" i="1"/>
  <c r="R555" i="1" s="1"/>
  <c r="Q547" i="1"/>
  <c r="R547" i="1" s="1"/>
  <c r="Q539" i="1"/>
  <c r="R539" i="1" s="1"/>
  <c r="Q531" i="1"/>
  <c r="R531" i="1" s="1"/>
  <c r="Q523" i="1"/>
  <c r="R523" i="1" s="1"/>
  <c r="Q515" i="1"/>
  <c r="R515" i="1" s="1"/>
  <c r="Q507" i="1"/>
  <c r="R507" i="1" s="1"/>
  <c r="Q499" i="1"/>
  <c r="R499" i="1" s="1"/>
  <c r="Q491" i="1"/>
  <c r="R491" i="1" s="1"/>
  <c r="Q483" i="1"/>
  <c r="R483" i="1" s="1"/>
  <c r="Q475" i="1"/>
  <c r="R475" i="1" s="1"/>
  <c r="Q467" i="1"/>
  <c r="R467" i="1" s="1"/>
  <c r="Q459" i="1"/>
  <c r="R459" i="1" s="1"/>
  <c r="Q451" i="1"/>
  <c r="R451" i="1" s="1"/>
  <c r="Q443" i="1"/>
  <c r="R443" i="1" s="1"/>
  <c r="Q435" i="1"/>
  <c r="R435" i="1" s="1"/>
  <c r="Q427" i="1"/>
  <c r="R427" i="1" s="1"/>
  <c r="Q419" i="1"/>
  <c r="R419" i="1" s="1"/>
  <c r="Q411" i="1"/>
  <c r="R411" i="1" s="1"/>
  <c r="Q403" i="1"/>
  <c r="R403" i="1" s="1"/>
  <c r="Q395" i="1"/>
  <c r="R395" i="1" s="1"/>
  <c r="Q387" i="1"/>
  <c r="R387" i="1" s="1"/>
  <c r="Q379" i="1"/>
  <c r="R379" i="1" s="1"/>
  <c r="Q371" i="1"/>
  <c r="R371" i="1" s="1"/>
  <c r="R363" i="1"/>
  <c r="Q363" i="1"/>
  <c r="Q355" i="1"/>
  <c r="R355" i="1" s="1"/>
  <c r="Q347" i="1"/>
  <c r="R347" i="1" s="1"/>
  <c r="Q339" i="1"/>
  <c r="R339" i="1" s="1"/>
  <c r="Q331" i="1"/>
  <c r="R331" i="1" s="1"/>
  <c r="Q323" i="1"/>
  <c r="R323" i="1" s="1"/>
  <c r="Q315" i="1"/>
  <c r="R315" i="1" s="1"/>
  <c r="Q307" i="1"/>
  <c r="R307" i="1" s="1"/>
  <c r="Q299" i="1"/>
  <c r="R299" i="1" s="1"/>
  <c r="Q291" i="1"/>
  <c r="R291" i="1" s="1"/>
  <c r="Q283" i="1"/>
  <c r="R283" i="1" s="1"/>
  <c r="Q275" i="1"/>
  <c r="R275" i="1" s="1"/>
  <c r="Q267" i="1"/>
  <c r="R267" i="1" s="1"/>
  <c r="Q259" i="1"/>
  <c r="R259" i="1" s="1"/>
  <c r="Q251" i="1"/>
  <c r="R251" i="1" s="1"/>
  <c r="Q243" i="1"/>
  <c r="R243" i="1" s="1"/>
  <c r="Q235" i="1"/>
  <c r="R235" i="1" s="1"/>
  <c r="Q227" i="1"/>
  <c r="R227" i="1" s="1"/>
  <c r="Q219" i="1"/>
  <c r="R219" i="1" s="1"/>
  <c r="Q211" i="1"/>
  <c r="R211" i="1" s="1"/>
  <c r="Q203" i="1"/>
  <c r="R203" i="1" s="1"/>
  <c r="Q195" i="1"/>
  <c r="R195" i="1" s="1"/>
  <c r="Q187" i="1"/>
  <c r="R187" i="1" s="1"/>
  <c r="Q179" i="1"/>
  <c r="R179" i="1" s="1"/>
  <c r="Q171" i="1"/>
  <c r="R171" i="1" s="1"/>
  <c r="Q163" i="1"/>
  <c r="R163" i="1" s="1"/>
  <c r="Q155" i="1"/>
  <c r="R155" i="1" s="1"/>
  <c r="Q147" i="1"/>
  <c r="R147" i="1" s="1"/>
  <c r="Q139" i="1"/>
  <c r="R139" i="1" s="1"/>
  <c r="Q131" i="1"/>
  <c r="R131" i="1" s="1"/>
  <c r="Q123" i="1"/>
  <c r="R123" i="1" s="1"/>
  <c r="Q115" i="1"/>
  <c r="R115" i="1" s="1"/>
  <c r="Q107" i="1"/>
  <c r="R107" i="1" s="1"/>
  <c r="Q99" i="1"/>
  <c r="R99" i="1" s="1"/>
  <c r="Q91" i="1"/>
  <c r="R91" i="1" s="1"/>
  <c r="Q83" i="1"/>
  <c r="R83" i="1" s="1"/>
  <c r="Q75" i="1"/>
  <c r="R75" i="1" s="1"/>
  <c r="Q67" i="1"/>
  <c r="R67" i="1" s="1"/>
  <c r="Q59" i="1"/>
  <c r="R59" i="1" s="1"/>
  <c r="Q51" i="1"/>
  <c r="R51" i="1" s="1"/>
  <c r="Q43" i="1"/>
  <c r="R43" i="1" s="1"/>
  <c r="Q35" i="1"/>
  <c r="R35" i="1" s="1"/>
  <c r="Q27" i="1"/>
  <c r="R27" i="1" s="1"/>
  <c r="R19" i="1"/>
  <c r="Q19" i="1"/>
  <c r="R11" i="1"/>
  <c r="Q11" i="1"/>
  <c r="Q3" i="1"/>
  <c r="Q3866" i="1"/>
  <c r="R3866" i="1" s="1"/>
  <c r="Q3858" i="1"/>
  <c r="R3858" i="1" s="1"/>
  <c r="Q3850" i="1"/>
  <c r="R3850" i="1" s="1"/>
  <c r="Q3842" i="1"/>
  <c r="R3842" i="1" s="1"/>
  <c r="Q3834" i="1"/>
  <c r="R3834" i="1" s="1"/>
  <c r="Q3826" i="1"/>
  <c r="R3826" i="1" s="1"/>
  <c r="Q3818" i="1"/>
  <c r="R3818" i="1" s="1"/>
  <c r="Q3810" i="1"/>
  <c r="R3810" i="1" s="1"/>
  <c r="Q3802" i="1"/>
  <c r="R3802" i="1" s="1"/>
  <c r="Q3794" i="1"/>
  <c r="R3794" i="1" s="1"/>
  <c r="Q3786" i="1"/>
  <c r="R3786" i="1" s="1"/>
  <c r="Q3778" i="1"/>
  <c r="R3778" i="1" s="1"/>
  <c r="Q3770" i="1"/>
  <c r="R3770" i="1" s="1"/>
  <c r="Q3762" i="1"/>
  <c r="R3762" i="1" s="1"/>
  <c r="Q3754" i="1"/>
  <c r="R3754" i="1" s="1"/>
  <c r="Q3746" i="1"/>
  <c r="R3746" i="1" s="1"/>
  <c r="Q3738" i="1"/>
  <c r="R3738" i="1" s="1"/>
  <c r="R3730" i="1"/>
  <c r="Q3730" i="1"/>
  <c r="Q3722" i="1"/>
  <c r="R3722" i="1" s="1"/>
  <c r="Q3714" i="1"/>
  <c r="R3714" i="1" s="1"/>
  <c r="Q3706" i="1"/>
  <c r="R3706" i="1" s="1"/>
  <c r="Q3698" i="1"/>
  <c r="R3698" i="1" s="1"/>
  <c r="Q3690" i="1"/>
  <c r="R3690" i="1" s="1"/>
  <c r="Q3682" i="1"/>
  <c r="R3682" i="1" s="1"/>
  <c r="Q3674" i="1"/>
  <c r="R3674" i="1" s="1"/>
  <c r="Q3666" i="1"/>
  <c r="R3666" i="1" s="1"/>
  <c r="Q3658" i="1"/>
  <c r="R3658" i="1" s="1"/>
  <c r="Q3650" i="1"/>
  <c r="R3650" i="1" s="1"/>
  <c r="Q3642" i="1"/>
  <c r="R3642" i="1" s="1"/>
  <c r="Q3634" i="1"/>
  <c r="R3634" i="1" s="1"/>
  <c r="Q3626" i="1"/>
  <c r="R3626" i="1" s="1"/>
  <c r="Q3618" i="1"/>
  <c r="R3618" i="1" s="1"/>
  <c r="Q3610" i="1"/>
  <c r="R3610" i="1" s="1"/>
  <c r="Q3602" i="1"/>
  <c r="R3602" i="1" s="1"/>
  <c r="Q3594" i="1"/>
  <c r="R3594" i="1" s="1"/>
  <c r="Q3586" i="1"/>
  <c r="R3586" i="1" s="1"/>
  <c r="Q3578" i="1"/>
  <c r="R3578" i="1" s="1"/>
  <c r="Q3570" i="1"/>
  <c r="R3570" i="1" s="1"/>
  <c r="Q3562" i="1"/>
  <c r="R3562" i="1" s="1"/>
  <c r="Q3554" i="1"/>
  <c r="R3554" i="1" s="1"/>
  <c r="Q3546" i="1"/>
  <c r="R3546" i="1" s="1"/>
  <c r="Q3538" i="1"/>
  <c r="R3538" i="1" s="1"/>
  <c r="R3530" i="1"/>
  <c r="Q3530" i="1"/>
  <c r="Q3522" i="1"/>
  <c r="R3522" i="1" s="1"/>
  <c r="Q3514" i="1"/>
  <c r="R3514" i="1" s="1"/>
  <c r="Q3506" i="1"/>
  <c r="R3506" i="1" s="1"/>
  <c r="Q3498" i="1"/>
  <c r="R3498" i="1" s="1"/>
  <c r="Q3490" i="1"/>
  <c r="R3490" i="1" s="1"/>
  <c r="Q3482" i="1"/>
  <c r="R3482" i="1" s="1"/>
  <c r="Q3474" i="1"/>
  <c r="R3474" i="1" s="1"/>
  <c r="Q3466" i="1"/>
  <c r="R3466" i="1" s="1"/>
  <c r="Q3458" i="1"/>
  <c r="R3458" i="1" s="1"/>
  <c r="Q3450" i="1"/>
  <c r="R3450" i="1" s="1"/>
  <c r="Q3442" i="1"/>
  <c r="R3442" i="1" s="1"/>
  <c r="Q3434" i="1"/>
  <c r="R3434" i="1" s="1"/>
  <c r="Q3426" i="1"/>
  <c r="R3426" i="1" s="1"/>
  <c r="Q3418" i="1"/>
  <c r="R3418" i="1" s="1"/>
  <c r="Q3410" i="1"/>
  <c r="R3410" i="1" s="1"/>
  <c r="Q3402" i="1"/>
  <c r="R3402" i="1" s="1"/>
  <c r="Q3394" i="1"/>
  <c r="R3394" i="1" s="1"/>
  <c r="R3386" i="1"/>
  <c r="Q3386" i="1"/>
  <c r="Q3378" i="1"/>
  <c r="R3378" i="1" s="1"/>
  <c r="Q3370" i="1"/>
  <c r="R3370" i="1" s="1"/>
  <c r="Q3362" i="1"/>
  <c r="R3362" i="1" s="1"/>
  <c r="Q3354" i="1"/>
  <c r="R3354" i="1" s="1"/>
  <c r="Q3346" i="1"/>
  <c r="R3346" i="1" s="1"/>
  <c r="Q3338" i="1"/>
  <c r="R3338" i="1" s="1"/>
  <c r="Q3330" i="1"/>
  <c r="R3330" i="1" s="1"/>
  <c r="Q3322" i="1"/>
  <c r="R3322" i="1" s="1"/>
  <c r="Q3314" i="1"/>
  <c r="R3314" i="1" s="1"/>
  <c r="Q3306" i="1"/>
  <c r="R3306" i="1" s="1"/>
  <c r="Q3298" i="1"/>
  <c r="R3298" i="1" s="1"/>
  <c r="Q3290" i="1"/>
  <c r="R3290" i="1" s="1"/>
  <c r="Q3282" i="1"/>
  <c r="R3282" i="1" s="1"/>
  <c r="Q3274" i="1"/>
  <c r="R3274" i="1" s="1"/>
  <c r="Q3266" i="1"/>
  <c r="R3266" i="1" s="1"/>
  <c r="Q3258" i="1"/>
  <c r="R3258" i="1" s="1"/>
  <c r="Q3250" i="1"/>
  <c r="R3250" i="1" s="1"/>
  <c r="R3242" i="1"/>
  <c r="Q3242" i="1"/>
  <c r="Q3234" i="1"/>
  <c r="R3234" i="1" s="1"/>
  <c r="Q3226" i="1"/>
  <c r="R3226" i="1" s="1"/>
  <c r="Q3218" i="1"/>
  <c r="R3218" i="1" s="1"/>
  <c r="Q3210" i="1"/>
  <c r="R3210" i="1" s="1"/>
  <c r="Q3202" i="1"/>
  <c r="R3202" i="1" s="1"/>
  <c r="Q3194" i="1"/>
  <c r="R3194" i="1" s="1"/>
  <c r="Q3186" i="1"/>
  <c r="R3186" i="1" s="1"/>
  <c r="Q3178" i="1"/>
  <c r="R3178" i="1" s="1"/>
  <c r="Q3170" i="1"/>
  <c r="R3170" i="1" s="1"/>
  <c r="Q3162" i="1"/>
  <c r="R3162" i="1" s="1"/>
  <c r="Q3154" i="1"/>
  <c r="R3154" i="1" s="1"/>
  <c r="Q3146" i="1"/>
  <c r="R3146" i="1" s="1"/>
  <c r="Q3138" i="1"/>
  <c r="R3138" i="1" s="1"/>
  <c r="Q3130" i="1"/>
  <c r="R3130" i="1" s="1"/>
  <c r="Q3122" i="1"/>
  <c r="R3122" i="1" s="1"/>
  <c r="Q3114" i="1"/>
  <c r="R3114" i="1" s="1"/>
  <c r="Q3106" i="1"/>
  <c r="R3106" i="1" s="1"/>
  <c r="Q3098" i="1"/>
  <c r="R3098" i="1" s="1"/>
  <c r="Q3090" i="1"/>
  <c r="R3090" i="1" s="1"/>
  <c r="Q3082" i="1"/>
  <c r="R3082" i="1" s="1"/>
  <c r="Q3074" i="1"/>
  <c r="R3074" i="1" s="1"/>
  <c r="Q3066" i="1"/>
  <c r="R3066" i="1" s="1"/>
  <c r="Q3058" i="1"/>
  <c r="R3058" i="1" s="1"/>
  <c r="Q3050" i="1"/>
  <c r="R3050" i="1" s="1"/>
  <c r="Q3042" i="1"/>
  <c r="R3042" i="1" s="1"/>
  <c r="Q3034" i="1"/>
  <c r="R3034" i="1" s="1"/>
  <c r="Q3026" i="1"/>
  <c r="R3026" i="1" s="1"/>
  <c r="Q3018" i="1"/>
  <c r="R3018" i="1" s="1"/>
  <c r="Q3010" i="1"/>
  <c r="R3010" i="1" s="1"/>
  <c r="Q3002" i="1"/>
  <c r="R3002" i="1" s="1"/>
  <c r="Q2994" i="1"/>
  <c r="R2994" i="1" s="1"/>
  <c r="Q2986" i="1"/>
  <c r="R2986" i="1" s="1"/>
  <c r="Q2978" i="1"/>
  <c r="R2978" i="1" s="1"/>
  <c r="Q2970" i="1"/>
  <c r="R2970" i="1" s="1"/>
  <c r="Q2962" i="1"/>
  <c r="R2962" i="1" s="1"/>
  <c r="Q2954" i="1"/>
  <c r="R2954" i="1" s="1"/>
  <c r="Q2946" i="1"/>
  <c r="R2946" i="1" s="1"/>
  <c r="Q2938" i="1"/>
  <c r="R2938" i="1" s="1"/>
  <c r="Q2930" i="1"/>
  <c r="R2930" i="1" s="1"/>
  <c r="Q2922" i="1"/>
  <c r="R2922" i="1" s="1"/>
  <c r="Q2914" i="1"/>
  <c r="R2914" i="1" s="1"/>
  <c r="Q2906" i="1"/>
  <c r="R2906" i="1" s="1"/>
  <c r="Q2898" i="1"/>
  <c r="R2898" i="1" s="1"/>
  <c r="Q2890" i="1"/>
  <c r="R2890" i="1" s="1"/>
  <c r="Q2882" i="1"/>
  <c r="R2882" i="1" s="1"/>
  <c r="Q2874" i="1"/>
  <c r="R2874" i="1" s="1"/>
  <c r="Q2866" i="1"/>
  <c r="R2866" i="1" s="1"/>
  <c r="Q2858" i="1"/>
  <c r="R2858" i="1" s="1"/>
  <c r="Q2850" i="1"/>
  <c r="R2850" i="1" s="1"/>
  <c r="R2842" i="1"/>
  <c r="Q2842" i="1"/>
  <c r="Q2834" i="1"/>
  <c r="R2834" i="1" s="1"/>
  <c r="Q2826" i="1"/>
  <c r="R2826" i="1" s="1"/>
  <c r="Q2818" i="1"/>
  <c r="R2818" i="1" s="1"/>
  <c r="Q2810" i="1"/>
  <c r="R2810" i="1" s="1"/>
  <c r="Q2802" i="1"/>
  <c r="R2802" i="1" s="1"/>
  <c r="Q2794" i="1"/>
  <c r="R2794" i="1" s="1"/>
  <c r="R2786" i="1"/>
  <c r="Q2786" i="1"/>
  <c r="Q2778" i="1"/>
  <c r="R2778" i="1" s="1"/>
  <c r="Q2770" i="1"/>
  <c r="R2770" i="1" s="1"/>
  <c r="Q2762" i="1"/>
  <c r="R2762" i="1" s="1"/>
  <c r="Q2754" i="1"/>
  <c r="R2754" i="1" s="1"/>
  <c r="R2746" i="1"/>
  <c r="Q2746" i="1"/>
  <c r="Q2738" i="1"/>
  <c r="R2738" i="1" s="1"/>
  <c r="R2730" i="1"/>
  <c r="Q2730" i="1"/>
  <c r="Q2722" i="1"/>
  <c r="R2722" i="1" s="1"/>
  <c r="Q2714" i="1"/>
  <c r="R2714" i="1" s="1"/>
  <c r="Q2706" i="1"/>
  <c r="R2706" i="1" s="1"/>
  <c r="R2698" i="1"/>
  <c r="Q2698" i="1"/>
  <c r="Q2690" i="1"/>
  <c r="R2690" i="1" s="1"/>
  <c r="Q2682" i="1"/>
  <c r="R2682" i="1" s="1"/>
  <c r="Q2674" i="1"/>
  <c r="R2674" i="1" s="1"/>
  <c r="Q2666" i="1"/>
  <c r="R2666" i="1" s="1"/>
  <c r="R2658" i="1"/>
  <c r="Q2658" i="1"/>
  <c r="Q2650" i="1"/>
  <c r="R2650" i="1" s="1"/>
  <c r="Q2642" i="1"/>
  <c r="R2642" i="1" s="1"/>
  <c r="Q2634" i="1"/>
  <c r="R2634" i="1" s="1"/>
  <c r="Q2626" i="1"/>
  <c r="R2626" i="1" s="1"/>
  <c r="Q2618" i="1"/>
  <c r="R2618" i="1" s="1"/>
  <c r="Q2610" i="1"/>
  <c r="R2610" i="1" s="1"/>
  <c r="Q2602" i="1"/>
  <c r="R2602" i="1" s="1"/>
  <c r="R2594" i="1"/>
  <c r="Q2594" i="1"/>
  <c r="Q2586" i="1"/>
  <c r="R2586" i="1" s="1"/>
  <c r="Q2578" i="1"/>
  <c r="R2578" i="1" s="1"/>
  <c r="Q2570" i="1"/>
  <c r="R2570" i="1" s="1"/>
  <c r="Q2562" i="1"/>
  <c r="R2562" i="1" s="1"/>
  <c r="Q2554" i="1"/>
  <c r="R2554" i="1" s="1"/>
  <c r="Q2546" i="1"/>
  <c r="R2546" i="1" s="1"/>
  <c r="Q2538" i="1"/>
  <c r="R2538" i="1" s="1"/>
  <c r="R2530" i="1"/>
  <c r="Q2530" i="1"/>
  <c r="Q2522" i="1"/>
  <c r="R2522" i="1" s="1"/>
  <c r="Q2514" i="1"/>
  <c r="R2514" i="1" s="1"/>
  <c r="Q2506" i="1"/>
  <c r="R2506" i="1" s="1"/>
  <c r="Q2498" i="1"/>
  <c r="R2498" i="1" s="1"/>
  <c r="Q2490" i="1"/>
  <c r="R2490" i="1" s="1"/>
  <c r="Q2482" i="1"/>
  <c r="R2482" i="1" s="1"/>
  <c r="Q2474" i="1"/>
  <c r="R2474" i="1" s="1"/>
  <c r="Q2466" i="1"/>
  <c r="R2466" i="1" s="1"/>
  <c r="Q2458" i="1"/>
  <c r="R2458" i="1" s="1"/>
  <c r="Q2450" i="1"/>
  <c r="R2450" i="1" s="1"/>
  <c r="Q2442" i="1"/>
  <c r="R2442" i="1" s="1"/>
  <c r="Q2434" i="1"/>
  <c r="R2434" i="1" s="1"/>
  <c r="Q2426" i="1"/>
  <c r="R2426" i="1" s="1"/>
  <c r="R2418" i="1"/>
  <c r="Q2418" i="1"/>
  <c r="R2410" i="1"/>
  <c r="Q2410" i="1"/>
  <c r="Q2402" i="1"/>
  <c r="R2402" i="1" s="1"/>
  <c r="Q2394" i="1"/>
  <c r="R2394" i="1" s="1"/>
  <c r="Q2386" i="1"/>
  <c r="R2386" i="1" s="1"/>
  <c r="Q2378" i="1"/>
  <c r="R2378" i="1" s="1"/>
  <c r="Q2370" i="1"/>
  <c r="R2370" i="1" s="1"/>
  <c r="Q2362" i="1"/>
  <c r="R2362" i="1" s="1"/>
  <c r="Q2354" i="1"/>
  <c r="R2354" i="1" s="1"/>
  <c r="Q2346" i="1"/>
  <c r="R2346" i="1" s="1"/>
  <c r="R2338" i="1"/>
  <c r="Q2338" i="1"/>
  <c r="Q2330" i="1"/>
  <c r="R2330" i="1" s="1"/>
  <c r="Q2322" i="1"/>
  <c r="R2322" i="1" s="1"/>
  <c r="Q2314" i="1"/>
  <c r="R2314" i="1" s="1"/>
  <c r="Q2306" i="1"/>
  <c r="R2306" i="1" s="1"/>
  <c r="Q2298" i="1"/>
  <c r="R2298" i="1" s="1"/>
  <c r="Q2290" i="1"/>
  <c r="R2290" i="1" s="1"/>
  <c r="Q2282" i="1"/>
  <c r="R2282" i="1" s="1"/>
  <c r="Q2274" i="1"/>
  <c r="R2274" i="1" s="1"/>
  <c r="Q2266" i="1"/>
  <c r="R2266" i="1" s="1"/>
  <c r="Q2258" i="1"/>
  <c r="R2258" i="1" s="1"/>
  <c r="Q2250" i="1"/>
  <c r="R2250" i="1" s="1"/>
  <c r="Q2242" i="1"/>
  <c r="R2242" i="1" s="1"/>
  <c r="Q2234" i="1"/>
  <c r="R2234" i="1" s="1"/>
  <c r="Q2226" i="1"/>
  <c r="R2226" i="1" s="1"/>
  <c r="Q2218" i="1"/>
  <c r="R2218" i="1" s="1"/>
  <c r="Q2210" i="1"/>
  <c r="R2210" i="1" s="1"/>
  <c r="Q2202" i="1"/>
  <c r="R2202" i="1" s="1"/>
  <c r="Q2194" i="1"/>
  <c r="R2194" i="1" s="1"/>
  <c r="R2186" i="1"/>
  <c r="Q2186" i="1"/>
  <c r="Q2178" i="1"/>
  <c r="R2178" i="1" s="1"/>
  <c r="Q2170" i="1"/>
  <c r="R2170" i="1" s="1"/>
  <c r="Q2162" i="1"/>
  <c r="R2162" i="1" s="1"/>
  <c r="Q2154" i="1"/>
  <c r="R2154" i="1" s="1"/>
  <c r="R2146" i="1"/>
  <c r="Q2146" i="1"/>
  <c r="Q2138" i="1"/>
  <c r="R2138" i="1" s="1"/>
  <c r="Q2130" i="1"/>
  <c r="R2130" i="1" s="1"/>
  <c r="Q2122" i="1"/>
  <c r="R2122" i="1" s="1"/>
  <c r="Q2114" i="1"/>
  <c r="R2114" i="1" s="1"/>
  <c r="Q2106" i="1"/>
  <c r="R2106" i="1" s="1"/>
  <c r="Q2098" i="1"/>
  <c r="R2098" i="1" s="1"/>
  <c r="Q2090" i="1"/>
  <c r="R2090" i="1" s="1"/>
  <c r="Q2082" i="1"/>
  <c r="R2082" i="1" s="1"/>
  <c r="Q2074" i="1"/>
  <c r="R2074" i="1" s="1"/>
  <c r="Q2066" i="1"/>
  <c r="R2066" i="1" s="1"/>
  <c r="Q2058" i="1"/>
  <c r="R2058" i="1" s="1"/>
  <c r="Q2050" i="1"/>
  <c r="R2050" i="1" s="1"/>
  <c r="Q2042" i="1"/>
  <c r="R2042" i="1" s="1"/>
  <c r="Q2034" i="1"/>
  <c r="R2034" i="1" s="1"/>
  <c r="Q2026" i="1"/>
  <c r="R2026" i="1" s="1"/>
  <c r="Q2018" i="1"/>
  <c r="R2018" i="1" s="1"/>
  <c r="Q2010" i="1"/>
  <c r="R2010" i="1" s="1"/>
  <c r="Q2002" i="1"/>
  <c r="R2002" i="1" s="1"/>
  <c r="Q1994" i="1"/>
  <c r="R1994" i="1" s="1"/>
  <c r="Q1986" i="1"/>
  <c r="R1986" i="1" s="1"/>
  <c r="Q1978" i="1"/>
  <c r="R1978" i="1" s="1"/>
  <c r="Q1970" i="1"/>
  <c r="R1970" i="1" s="1"/>
  <c r="Q1962" i="1"/>
  <c r="R1962" i="1" s="1"/>
  <c r="Q1954" i="1"/>
  <c r="R1954" i="1" s="1"/>
  <c r="R1946" i="1"/>
  <c r="Q1946" i="1"/>
  <c r="Q1938" i="1"/>
  <c r="R1938" i="1" s="1"/>
  <c r="Q1930" i="1"/>
  <c r="R1930" i="1" s="1"/>
  <c r="Q1922" i="1"/>
  <c r="R1922" i="1" s="1"/>
  <c r="Q1914" i="1"/>
  <c r="R1914" i="1" s="1"/>
  <c r="Q1906" i="1"/>
  <c r="R1906" i="1" s="1"/>
  <c r="Q1898" i="1"/>
  <c r="R1898" i="1" s="1"/>
  <c r="Q1890" i="1"/>
  <c r="R1890" i="1" s="1"/>
  <c r="Q1882" i="1"/>
  <c r="R1882" i="1" s="1"/>
  <c r="Q1874" i="1"/>
  <c r="R1874" i="1" s="1"/>
  <c r="Q1866" i="1"/>
  <c r="R1866" i="1" s="1"/>
  <c r="Q1858" i="1"/>
  <c r="R1858" i="1" s="1"/>
  <c r="Q1850" i="1"/>
  <c r="R1850" i="1" s="1"/>
  <c r="Q1842" i="1"/>
  <c r="R1842" i="1" s="1"/>
  <c r="R1834" i="1"/>
  <c r="Q1834" i="1"/>
  <c r="Q1826" i="1"/>
  <c r="R1826" i="1" s="1"/>
  <c r="Q1818" i="1"/>
  <c r="R1818" i="1" s="1"/>
  <c r="Q1810" i="1"/>
  <c r="R1810" i="1" s="1"/>
  <c r="Q1802" i="1"/>
  <c r="R1802" i="1" s="1"/>
  <c r="Q1794" i="1"/>
  <c r="R1794" i="1" s="1"/>
  <c r="Q1786" i="1"/>
  <c r="R1786" i="1" s="1"/>
  <c r="Q1778" i="1"/>
  <c r="R1778" i="1" s="1"/>
  <c r="Q1770" i="1"/>
  <c r="R1770" i="1" s="1"/>
  <c r="R1762" i="1"/>
  <c r="Q1762" i="1"/>
  <c r="Q1754" i="1"/>
  <c r="R1754" i="1" s="1"/>
  <c r="Q1746" i="1"/>
  <c r="R1746" i="1" s="1"/>
  <c r="Q1738" i="1"/>
  <c r="R1738" i="1" s="1"/>
  <c r="R1730" i="1"/>
  <c r="Q1730" i="1"/>
  <c r="Q1722" i="1"/>
  <c r="R1722" i="1" s="1"/>
  <c r="Q1714" i="1"/>
  <c r="R1714" i="1" s="1"/>
  <c r="Q1706" i="1"/>
  <c r="R1706" i="1" s="1"/>
  <c r="Q1698" i="1"/>
  <c r="R1698" i="1" s="1"/>
  <c r="Q1690" i="1"/>
  <c r="R1690" i="1" s="1"/>
  <c r="Q1682" i="1"/>
  <c r="R1682" i="1" s="1"/>
  <c r="Q1674" i="1"/>
  <c r="R1674" i="1" s="1"/>
  <c r="Q1666" i="1"/>
  <c r="R1666" i="1" s="1"/>
  <c r="Q1658" i="1"/>
  <c r="R1658" i="1" s="1"/>
  <c r="Q1650" i="1"/>
  <c r="R1650" i="1" s="1"/>
  <c r="Q1642" i="1"/>
  <c r="R1642" i="1" s="1"/>
  <c r="Q1634" i="1"/>
  <c r="R1634" i="1" s="1"/>
  <c r="Q1626" i="1"/>
  <c r="R1626" i="1" s="1"/>
  <c r="Q1618" i="1"/>
  <c r="R1618" i="1" s="1"/>
  <c r="Q1610" i="1"/>
  <c r="R1610" i="1" s="1"/>
  <c r="Q1602" i="1"/>
  <c r="R1602" i="1" s="1"/>
  <c r="Q1594" i="1"/>
  <c r="R1594" i="1" s="1"/>
  <c r="Q1586" i="1"/>
  <c r="R1586" i="1" s="1"/>
  <c r="R1578" i="1"/>
  <c r="Q1578" i="1"/>
  <c r="Q1570" i="1"/>
  <c r="R1570" i="1" s="1"/>
  <c r="Q1562" i="1"/>
  <c r="R1562" i="1" s="1"/>
  <c r="Q1554" i="1"/>
  <c r="R1554" i="1" s="1"/>
  <c r="Q1546" i="1"/>
  <c r="R1546" i="1" s="1"/>
  <c r="Q1538" i="1"/>
  <c r="R1538" i="1" s="1"/>
  <c r="Q1530" i="1"/>
  <c r="R1530" i="1" s="1"/>
  <c r="Q1522" i="1"/>
  <c r="R1522" i="1" s="1"/>
  <c r="Q1514" i="1"/>
  <c r="R1514" i="1" s="1"/>
  <c r="Q1506" i="1"/>
  <c r="R1506" i="1" s="1"/>
  <c r="Q1498" i="1"/>
  <c r="R1498" i="1" s="1"/>
  <c r="R1490" i="1"/>
  <c r="Q1490" i="1"/>
  <c r="Q1482" i="1"/>
  <c r="R1482" i="1" s="1"/>
  <c r="Q1474" i="1"/>
  <c r="R1474" i="1" s="1"/>
  <c r="Q1466" i="1"/>
  <c r="R1466" i="1" s="1"/>
  <c r="Q1458" i="1"/>
  <c r="R1458" i="1" s="1"/>
  <c r="Q1450" i="1"/>
  <c r="R1450" i="1" s="1"/>
  <c r="Q1442" i="1"/>
  <c r="R1442" i="1" s="1"/>
  <c r="Q1434" i="1"/>
  <c r="R1434" i="1" s="1"/>
  <c r="Q1426" i="1"/>
  <c r="R1426" i="1" s="1"/>
  <c r="Q1418" i="1"/>
  <c r="R1418" i="1" s="1"/>
  <c r="Q1410" i="1"/>
  <c r="R1410" i="1" s="1"/>
  <c r="R1402" i="1"/>
  <c r="Q1402" i="1"/>
  <c r="Q1394" i="1"/>
  <c r="R1394" i="1" s="1"/>
  <c r="Q1386" i="1"/>
  <c r="R1386" i="1" s="1"/>
  <c r="Q1378" i="1"/>
  <c r="R1378" i="1" s="1"/>
  <c r="Q1370" i="1"/>
  <c r="R1370" i="1" s="1"/>
  <c r="R1362" i="1"/>
  <c r="Q1362" i="1"/>
  <c r="Q1354" i="1"/>
  <c r="R1354" i="1" s="1"/>
  <c r="Q1346" i="1"/>
  <c r="R1346" i="1" s="1"/>
  <c r="Q1338" i="1"/>
  <c r="R1338" i="1" s="1"/>
  <c r="Q1330" i="1"/>
  <c r="R1330" i="1" s="1"/>
  <c r="Q1322" i="1"/>
  <c r="R1322" i="1" s="1"/>
  <c r="Q1314" i="1"/>
  <c r="R1314" i="1" s="1"/>
  <c r="Q1306" i="1"/>
  <c r="R1306" i="1" s="1"/>
  <c r="Q1298" i="1"/>
  <c r="R1298" i="1" s="1"/>
  <c r="Q1290" i="1"/>
  <c r="R1290" i="1" s="1"/>
  <c r="Q1282" i="1"/>
  <c r="R1282" i="1" s="1"/>
  <c r="Q1274" i="1"/>
  <c r="R1274" i="1" s="1"/>
  <c r="Q1266" i="1"/>
  <c r="R1266" i="1" s="1"/>
  <c r="Q1258" i="1"/>
  <c r="R1258" i="1" s="1"/>
  <c r="Q1250" i="1"/>
  <c r="R1250" i="1" s="1"/>
  <c r="R1242" i="1"/>
  <c r="Q1242" i="1"/>
  <c r="Q1234" i="1"/>
  <c r="R1234" i="1" s="1"/>
  <c r="Q1226" i="1"/>
  <c r="R1226" i="1" s="1"/>
  <c r="Q1218" i="1"/>
  <c r="R1218" i="1" s="1"/>
  <c r="Q1210" i="1"/>
  <c r="R1210" i="1" s="1"/>
  <c r="Q1202" i="1"/>
  <c r="R1202" i="1" s="1"/>
  <c r="Q1194" i="1"/>
  <c r="R1194" i="1" s="1"/>
  <c r="Q1186" i="1"/>
  <c r="R1186" i="1" s="1"/>
  <c r="Q1178" i="1"/>
  <c r="R1178" i="1" s="1"/>
  <c r="Q1170" i="1"/>
  <c r="R1170" i="1" s="1"/>
  <c r="Q1162" i="1"/>
  <c r="R1162" i="1" s="1"/>
  <c r="Q1154" i="1"/>
  <c r="R1154" i="1" s="1"/>
  <c r="Q1146" i="1"/>
  <c r="R1146" i="1" s="1"/>
  <c r="Q1138" i="1"/>
  <c r="R1138" i="1" s="1"/>
  <c r="Q1130" i="1"/>
  <c r="R1130" i="1" s="1"/>
  <c r="Q1122" i="1"/>
  <c r="R1122" i="1" s="1"/>
  <c r="Q1114" i="1"/>
  <c r="R1114" i="1" s="1"/>
  <c r="Q1106" i="1"/>
  <c r="R1106" i="1" s="1"/>
  <c r="Q1098" i="1"/>
  <c r="R1098" i="1" s="1"/>
  <c r="Q1090" i="1"/>
  <c r="R1090" i="1" s="1"/>
  <c r="Q1082" i="1"/>
  <c r="R1082" i="1" s="1"/>
  <c r="Q1074" i="1"/>
  <c r="R1074" i="1" s="1"/>
  <c r="Q1066" i="1"/>
  <c r="R1066" i="1" s="1"/>
  <c r="Q1058" i="1"/>
  <c r="R1058" i="1" s="1"/>
  <c r="Q1050" i="1"/>
  <c r="R1050" i="1" s="1"/>
  <c r="Q1042" i="1"/>
  <c r="R1042" i="1" s="1"/>
  <c r="Q1034" i="1"/>
  <c r="R1034" i="1" s="1"/>
  <c r="Q1026" i="1"/>
  <c r="R1026" i="1" s="1"/>
  <c r="Q1018" i="1"/>
  <c r="R1018" i="1" s="1"/>
  <c r="R1010" i="1"/>
  <c r="Q1010" i="1"/>
  <c r="Q1002" i="1"/>
  <c r="R1002" i="1" s="1"/>
  <c r="Q994" i="1"/>
  <c r="R994" i="1" s="1"/>
  <c r="Q986" i="1"/>
  <c r="R986" i="1" s="1"/>
  <c r="Q978" i="1"/>
  <c r="R978" i="1" s="1"/>
  <c r="Q970" i="1"/>
  <c r="R970" i="1" s="1"/>
  <c r="Q962" i="1"/>
  <c r="R962" i="1" s="1"/>
  <c r="Q954" i="1"/>
  <c r="R954" i="1" s="1"/>
  <c r="R946" i="1"/>
  <c r="Q946" i="1"/>
  <c r="R938" i="1"/>
  <c r="Q938" i="1"/>
  <c r="Q930" i="1"/>
  <c r="R930" i="1" s="1"/>
  <c r="Q922" i="1"/>
  <c r="R922" i="1" s="1"/>
  <c r="Q914" i="1"/>
  <c r="R914" i="1" s="1"/>
  <c r="Q906" i="1"/>
  <c r="R906" i="1" s="1"/>
  <c r="Q898" i="1"/>
  <c r="R898" i="1" s="1"/>
  <c r="Q890" i="1"/>
  <c r="R890" i="1" s="1"/>
  <c r="Q882" i="1"/>
  <c r="R882" i="1" s="1"/>
  <c r="Q874" i="1"/>
  <c r="R874" i="1" s="1"/>
  <c r="Q866" i="1"/>
  <c r="R866" i="1" s="1"/>
  <c r="Q858" i="1"/>
  <c r="R858" i="1" s="1"/>
  <c r="Q850" i="1"/>
  <c r="R850" i="1" s="1"/>
  <c r="Q842" i="1"/>
  <c r="R842" i="1" s="1"/>
  <c r="Q834" i="1"/>
  <c r="R834" i="1" s="1"/>
  <c r="Q826" i="1"/>
  <c r="R826" i="1" s="1"/>
  <c r="R818" i="1"/>
  <c r="Q818" i="1"/>
  <c r="Q810" i="1"/>
  <c r="R810" i="1" s="1"/>
  <c r="Q802" i="1"/>
  <c r="R802" i="1" s="1"/>
  <c r="Q794" i="1"/>
  <c r="R794" i="1" s="1"/>
  <c r="R786" i="1"/>
  <c r="Q786" i="1"/>
  <c r="Q778" i="1"/>
  <c r="R778" i="1" s="1"/>
  <c r="Q770" i="1"/>
  <c r="R770" i="1" s="1"/>
  <c r="Q762" i="1"/>
  <c r="R762" i="1" s="1"/>
  <c r="Q754" i="1"/>
  <c r="R754" i="1" s="1"/>
  <c r="Q746" i="1"/>
  <c r="R746" i="1" s="1"/>
  <c r="R738" i="1"/>
  <c r="Q738" i="1"/>
  <c r="R730" i="1"/>
  <c r="Q730" i="1"/>
  <c r="Q722" i="1"/>
  <c r="R722" i="1" s="1"/>
  <c r="Q714" i="1"/>
  <c r="R714" i="1" s="1"/>
  <c r="Q706" i="1"/>
  <c r="R706" i="1" s="1"/>
  <c r="Q698" i="1"/>
  <c r="R698" i="1" s="1"/>
  <c r="Q690" i="1"/>
  <c r="R690" i="1" s="1"/>
  <c r="R682" i="1"/>
  <c r="Q682" i="1"/>
  <c r="Q674" i="1"/>
  <c r="R674" i="1" s="1"/>
  <c r="Q666" i="1"/>
  <c r="R666" i="1" s="1"/>
  <c r="Q658" i="1"/>
  <c r="R658" i="1" s="1"/>
  <c r="Q650" i="1"/>
  <c r="R650" i="1" s="1"/>
  <c r="Q642" i="1"/>
  <c r="R642" i="1" s="1"/>
  <c r="Q634" i="1"/>
  <c r="R634" i="1" s="1"/>
  <c r="Q626" i="1"/>
  <c r="R626" i="1" s="1"/>
  <c r="Q618" i="1"/>
  <c r="R618" i="1" s="1"/>
  <c r="Q610" i="1"/>
  <c r="R610" i="1" s="1"/>
  <c r="Q602" i="1"/>
  <c r="R602" i="1" s="1"/>
  <c r="Q594" i="1"/>
  <c r="R594" i="1" s="1"/>
  <c r="R586" i="1"/>
  <c r="Q586" i="1"/>
  <c r="Q578" i="1"/>
  <c r="R578" i="1" s="1"/>
  <c r="Q570" i="1"/>
  <c r="R570" i="1" s="1"/>
  <c r="Q562" i="1"/>
  <c r="R562" i="1" s="1"/>
  <c r="Q554" i="1"/>
  <c r="R554" i="1" s="1"/>
  <c r="Q546" i="1"/>
  <c r="R546" i="1" s="1"/>
  <c r="Q538" i="1"/>
  <c r="R538" i="1" s="1"/>
  <c r="Q530" i="1"/>
  <c r="R530" i="1" s="1"/>
  <c r="Q522" i="1"/>
  <c r="R522" i="1" s="1"/>
  <c r="Q514" i="1"/>
  <c r="R514" i="1" s="1"/>
  <c r="Q506" i="1"/>
  <c r="R506" i="1" s="1"/>
  <c r="Q498" i="1"/>
  <c r="R498" i="1" s="1"/>
  <c r="Q490" i="1"/>
  <c r="R490" i="1" s="1"/>
  <c r="Q482" i="1"/>
  <c r="R482" i="1" s="1"/>
  <c r="Q474" i="1"/>
  <c r="R474" i="1" s="1"/>
  <c r="Q466" i="1"/>
  <c r="R466" i="1" s="1"/>
  <c r="Q458" i="1"/>
  <c r="R458" i="1" s="1"/>
  <c r="Q450" i="1"/>
  <c r="R450" i="1" s="1"/>
  <c r="Q442" i="1"/>
  <c r="R442" i="1" s="1"/>
  <c r="Q434" i="1"/>
  <c r="R434" i="1" s="1"/>
  <c r="Q426" i="1"/>
  <c r="R426" i="1" s="1"/>
  <c r="Q418" i="1"/>
  <c r="R418" i="1" s="1"/>
  <c r="Q410" i="1"/>
  <c r="R410" i="1" s="1"/>
  <c r="R402" i="1"/>
  <c r="Q402" i="1"/>
  <c r="Q394" i="1"/>
  <c r="R394" i="1" s="1"/>
  <c r="Q386" i="1"/>
  <c r="R386" i="1" s="1"/>
  <c r="Q378" i="1"/>
  <c r="R378" i="1" s="1"/>
  <c r="Q370" i="1"/>
  <c r="R370" i="1" s="1"/>
  <c r="R362" i="1"/>
  <c r="Q362" i="1"/>
  <c r="R354" i="1"/>
  <c r="Q354" i="1"/>
  <c r="Q346" i="1"/>
  <c r="R346" i="1" s="1"/>
  <c r="Q338" i="1"/>
  <c r="R338" i="1" s="1"/>
  <c r="Q330" i="1"/>
  <c r="R330" i="1" s="1"/>
  <c r="Q322" i="1"/>
  <c r="R322" i="1" s="1"/>
  <c r="Q314" i="1"/>
  <c r="R314" i="1" s="1"/>
  <c r="Q306" i="1"/>
  <c r="R306" i="1" s="1"/>
  <c r="Q298" i="1"/>
  <c r="R298" i="1" s="1"/>
  <c r="R290" i="1"/>
  <c r="Q290" i="1"/>
  <c r="Q282" i="1"/>
  <c r="R282" i="1" s="1"/>
  <c r="Q274" i="1"/>
  <c r="R274" i="1" s="1"/>
  <c r="Q266" i="1"/>
  <c r="R266" i="1" s="1"/>
  <c r="Q258" i="1"/>
  <c r="R258" i="1" s="1"/>
  <c r="Q250" i="1"/>
  <c r="R250" i="1" s="1"/>
  <c r="Q242" i="1"/>
  <c r="R242" i="1" s="1"/>
  <c r="Q234" i="1"/>
  <c r="R234" i="1" s="1"/>
  <c r="Q226" i="1"/>
  <c r="R226" i="1" s="1"/>
  <c r="Q218" i="1"/>
  <c r="R218" i="1" s="1"/>
  <c r="Q210" i="1"/>
  <c r="R210" i="1" s="1"/>
  <c r="Q202" i="1"/>
  <c r="R202" i="1" s="1"/>
  <c r="Q194" i="1"/>
  <c r="R194" i="1" s="1"/>
  <c r="Q186" i="1"/>
  <c r="R186" i="1" s="1"/>
  <c r="Q178" i="1"/>
  <c r="R178" i="1" s="1"/>
  <c r="Q170" i="1"/>
  <c r="R170" i="1" s="1"/>
  <c r="Q162" i="1"/>
  <c r="R162" i="1" s="1"/>
  <c r="Q154" i="1"/>
  <c r="R154" i="1" s="1"/>
  <c r="Q146" i="1"/>
  <c r="R146" i="1" s="1"/>
  <c r="Q138" i="1"/>
  <c r="R138" i="1" s="1"/>
  <c r="Q130" i="1"/>
  <c r="R130" i="1" s="1"/>
  <c r="Q122" i="1"/>
  <c r="R122" i="1" s="1"/>
  <c r="Q114" i="1"/>
  <c r="R114" i="1" s="1"/>
  <c r="Q106" i="1"/>
  <c r="R106" i="1" s="1"/>
  <c r="R98" i="1"/>
  <c r="Q98" i="1"/>
  <c r="Q90" i="1"/>
  <c r="R90" i="1" s="1"/>
  <c r="Q82" i="1"/>
  <c r="R82" i="1" s="1"/>
  <c r="R74" i="1"/>
  <c r="Q74" i="1"/>
  <c r="R66" i="1"/>
  <c r="Q66" i="1"/>
  <c r="Q58" i="1"/>
  <c r="R58" i="1" s="1"/>
  <c r="Q50" i="1"/>
  <c r="R50" i="1" s="1"/>
  <c r="Q42" i="1"/>
  <c r="R42" i="1" s="1"/>
  <c r="Q34" i="1"/>
  <c r="R34" i="1" s="1"/>
  <c r="Q26" i="1"/>
  <c r="R26" i="1" s="1"/>
  <c r="Q18" i="1"/>
  <c r="R18" i="1" s="1"/>
  <c r="R10" i="1"/>
  <c r="Q10" i="1"/>
  <c r="Y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R8" i="1" l="1"/>
  <c r="Y8" i="1"/>
  <c r="R7" i="1"/>
  <c r="Y7" i="1"/>
  <c r="R6" i="1"/>
  <c r="Y6" i="1"/>
  <c r="R5" i="1"/>
  <c r="Y5" i="1"/>
  <c r="R4" i="1"/>
  <c r="Y4" i="1"/>
  <c r="R3" i="1"/>
  <c r="Y3" i="1"/>
  <c r="R2" i="1"/>
  <c r="X5" i="1"/>
  <c r="X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S5000" i="1" l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5" i="1"/>
  <c r="S4984" i="1"/>
  <c r="S4982" i="1"/>
  <c r="S4981" i="1"/>
  <c r="S4980" i="1"/>
  <c r="S4979" i="1"/>
  <c r="S4978" i="1"/>
  <c r="S4977" i="1"/>
  <c r="S4976" i="1"/>
  <c r="S4975" i="1"/>
  <c r="S4974" i="1"/>
  <c r="S4973" i="1"/>
  <c r="S4972" i="1"/>
  <c r="S4970" i="1"/>
  <c r="S4969" i="1"/>
  <c r="S4968" i="1"/>
  <c r="S4967" i="1"/>
  <c r="S4965" i="1"/>
  <c r="S4964" i="1"/>
  <c r="S4963" i="1"/>
  <c r="S4962" i="1"/>
  <c r="S4961" i="1"/>
  <c r="S4960" i="1"/>
  <c r="S4959" i="1"/>
  <c r="S4957" i="1"/>
  <c r="S4956" i="1"/>
  <c r="S4955" i="1"/>
  <c r="S4954" i="1"/>
  <c r="S4953" i="1"/>
  <c r="S4952" i="1"/>
  <c r="S4951" i="1"/>
  <c r="S4950" i="1"/>
  <c r="S4949" i="1"/>
  <c r="S4947" i="1"/>
  <c r="S4946" i="1"/>
  <c r="S4945" i="1"/>
  <c r="S4944" i="1"/>
  <c r="S4943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7" i="1"/>
  <c r="S4926" i="1"/>
  <c r="S4925" i="1"/>
  <c r="S4924" i="1"/>
  <c r="S4923" i="1"/>
  <c r="S4922" i="1"/>
  <c r="S4921" i="1"/>
  <c r="S4920" i="1"/>
  <c r="S4919" i="1"/>
  <c r="S4918" i="1"/>
  <c r="S4917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89" i="1"/>
  <c r="S4888" i="1"/>
  <c r="S4887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1" i="1"/>
  <c r="S4840" i="1"/>
  <c r="S4839" i="1"/>
  <c r="S4838" i="1"/>
  <c r="S4837" i="1"/>
  <c r="S4836" i="1"/>
  <c r="S4835" i="1"/>
  <c r="S4834" i="1"/>
  <c r="S4833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7" i="1"/>
  <c r="S4816" i="1"/>
  <c r="S4815" i="1"/>
  <c r="S4814" i="1"/>
  <c r="S4813" i="1"/>
  <c r="S4812" i="1"/>
  <c r="S4810" i="1"/>
  <c r="S4809" i="1"/>
  <c r="S4808" i="1"/>
  <c r="S4807" i="1"/>
  <c r="S4806" i="1"/>
  <c r="S4805" i="1"/>
  <c r="S4804" i="1"/>
  <c r="S4803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0" i="1"/>
  <c r="S4769" i="1"/>
  <c r="S4768" i="1"/>
  <c r="S4767" i="1"/>
  <c r="S4764" i="1"/>
  <c r="S4763" i="1"/>
  <c r="S4761" i="1"/>
  <c r="S4760" i="1"/>
  <c r="S4759" i="1"/>
  <c r="S4758" i="1"/>
  <c r="S4757" i="1"/>
  <c r="S4756" i="1"/>
  <c r="S4754" i="1"/>
  <c r="S4753" i="1"/>
  <c r="S4752" i="1"/>
  <c r="S4751" i="1"/>
  <c r="S4750" i="1"/>
  <c r="S4749" i="1"/>
  <c r="S4748" i="1"/>
  <c r="S4747" i="1"/>
  <c r="S4746" i="1"/>
  <c r="S4745" i="1"/>
  <c r="S4744" i="1"/>
  <c r="S4741" i="1"/>
  <c r="S4740" i="1"/>
  <c r="S4739" i="1"/>
  <c r="S4738" i="1"/>
  <c r="S4737" i="1"/>
  <c r="S4736" i="1"/>
  <c r="S4735" i="1"/>
  <c r="S4734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0" i="1"/>
  <c r="S4549" i="1"/>
  <c r="S4548" i="1"/>
  <c r="S4547" i="1"/>
  <c r="S4546" i="1"/>
  <c r="S4545" i="1"/>
  <c r="S4544" i="1"/>
  <c r="S4543" i="1"/>
  <c r="S4542" i="1"/>
  <c r="S4541" i="1"/>
  <c r="S4539" i="1"/>
  <c r="S4538" i="1"/>
  <c r="S4537" i="1"/>
  <c r="S4536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3" i="1"/>
  <c r="S4452" i="1"/>
  <c r="S4451" i="1"/>
  <c r="S4450" i="1"/>
  <c r="S4449" i="1"/>
  <c r="S4448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2" i="1"/>
  <c r="S4421" i="1"/>
  <c r="S4420" i="1"/>
  <c r="S4419" i="1"/>
  <c r="S4418" i="1"/>
  <c r="S4417" i="1"/>
  <c r="S4416" i="1"/>
  <c r="S4415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397" i="1"/>
  <c r="S4396" i="1"/>
  <c r="S4395" i="1"/>
  <c r="S4394" i="1"/>
  <c r="S4393" i="1"/>
  <c r="S4391" i="1"/>
  <c r="S4390" i="1"/>
  <c r="S4389" i="1"/>
  <c r="S4388" i="1"/>
  <c r="S4387" i="1"/>
  <c r="S4386" i="1"/>
  <c r="S4385" i="1"/>
  <c r="S4383" i="1"/>
  <c r="S4382" i="1"/>
  <c r="S4381" i="1"/>
  <c r="S4380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1" i="1"/>
  <c r="S4360" i="1"/>
  <c r="S4359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3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3" i="1"/>
  <c r="S4312" i="1"/>
  <c r="S4311" i="1"/>
  <c r="S4308" i="1"/>
  <c r="S4307" i="1"/>
  <c r="S4306" i="1"/>
  <c r="S4305" i="1"/>
  <c r="S4304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0" i="1"/>
  <c r="S4279" i="1"/>
  <c r="S4278" i="1"/>
  <c r="S4277" i="1"/>
  <c r="S4276" i="1"/>
  <c r="S4275" i="1"/>
  <c r="S4274" i="1"/>
  <c r="S4273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4" i="1"/>
  <c r="S4253" i="1"/>
  <c r="S4251" i="1"/>
  <c r="S4250" i="1"/>
  <c r="S4249" i="1"/>
  <c r="S4248" i="1"/>
  <c r="S4247" i="1"/>
  <c r="S4246" i="1"/>
  <c r="S4245" i="1"/>
  <c r="S4244" i="1"/>
  <c r="S4242" i="1"/>
  <c r="S4241" i="1"/>
  <c r="S4240" i="1"/>
  <c r="S4239" i="1"/>
  <c r="S4238" i="1"/>
  <c r="S4237" i="1"/>
  <c r="S4236" i="1"/>
  <c r="S4235" i="1"/>
  <c r="S4234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3" i="1"/>
  <c r="S4202" i="1"/>
  <c r="S4201" i="1"/>
  <c r="S4200" i="1"/>
  <c r="S4198" i="1"/>
  <c r="S4197" i="1"/>
  <c r="S4196" i="1"/>
  <c r="S4195" i="1"/>
  <c r="S4194" i="1"/>
  <c r="S4193" i="1"/>
  <c r="S4192" i="1"/>
  <c r="S4191" i="1"/>
  <c r="S4190" i="1"/>
  <c r="S4189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5" i="1"/>
  <c r="S4104" i="1"/>
  <c r="S4103" i="1"/>
  <c r="S4102" i="1"/>
  <c r="S4101" i="1"/>
  <c r="S4100" i="1"/>
  <c r="S4099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0" i="1"/>
  <c r="S4079" i="1"/>
  <c r="S4078" i="1"/>
  <c r="S4077" i="1"/>
  <c r="S4076" i="1"/>
  <c r="S4075" i="1"/>
  <c r="S4074" i="1"/>
  <c r="S4073" i="1"/>
  <c r="S4070" i="1"/>
  <c r="S4069" i="1"/>
  <c r="S4068" i="1"/>
  <c r="S4067" i="1"/>
  <c r="S4066" i="1"/>
  <c r="S4065" i="1"/>
  <c r="S4064" i="1"/>
  <c r="S4063" i="1"/>
  <c r="S4062" i="1"/>
  <c r="S4061" i="1"/>
  <c r="S4059" i="1"/>
  <c r="S4058" i="1"/>
  <c r="S4057" i="1"/>
  <c r="S4056" i="1"/>
  <c r="S4055" i="1"/>
  <c r="S4054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5" i="1"/>
  <c r="S4014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4" i="1"/>
  <c r="S3963" i="1"/>
  <c r="S3962" i="1"/>
  <c r="S3961" i="1"/>
  <c r="S3960" i="1"/>
  <c r="S3958" i="1"/>
  <c r="S3957" i="1"/>
  <c r="S3956" i="1"/>
  <c r="S3955" i="1"/>
  <c r="S3954" i="1"/>
  <c r="S3953" i="1"/>
  <c r="S3952" i="1"/>
  <c r="S3951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2" i="1"/>
  <c r="S3931" i="1"/>
  <c r="S3930" i="1"/>
  <c r="S3929" i="1"/>
  <c r="S3928" i="1"/>
  <c r="S3927" i="1"/>
  <c r="S3926" i="1"/>
  <c r="S3924" i="1"/>
  <c r="S3923" i="1"/>
  <c r="S3922" i="1"/>
  <c r="S3921" i="1"/>
  <c r="S3920" i="1"/>
  <c r="S3919" i="1"/>
  <c r="S3918" i="1"/>
  <c r="S3917" i="1"/>
  <c r="S3916" i="1"/>
  <c r="S3912" i="1"/>
  <c r="S3911" i="1"/>
  <c r="S3910" i="1"/>
  <c r="S3909" i="1"/>
  <c r="S3908" i="1"/>
  <c r="S3905" i="1"/>
  <c r="S3904" i="1"/>
  <c r="S3903" i="1"/>
  <c r="S3902" i="1"/>
  <c r="S3901" i="1"/>
  <c r="S3900" i="1"/>
  <c r="S3899" i="1"/>
  <c r="S3898" i="1"/>
  <c r="S3897" i="1"/>
  <c r="S3896" i="1"/>
  <c r="S3893" i="1"/>
  <c r="S3892" i="1"/>
  <c r="S3891" i="1"/>
  <c r="S3890" i="1"/>
  <c r="S3889" i="1"/>
  <c r="S3888" i="1"/>
  <c r="S3887" i="1"/>
  <c r="S3886" i="1"/>
  <c r="S3885" i="1"/>
  <c r="S3884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8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2" i="1"/>
  <c r="S3781" i="1"/>
  <c r="S3780" i="1"/>
  <c r="S3779" i="1"/>
  <c r="S3778" i="1"/>
  <c r="S3777" i="1"/>
  <c r="S3776" i="1"/>
  <c r="S3775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7" i="1"/>
  <c r="S3746" i="1"/>
  <c r="S3745" i="1"/>
  <c r="S3744" i="1"/>
  <c r="S3743" i="1"/>
  <c r="S3742" i="1"/>
  <c r="S3741" i="1"/>
  <c r="S3740" i="1"/>
  <c r="S3739" i="1"/>
  <c r="S3738" i="1"/>
  <c r="S3737" i="1"/>
  <c r="S3735" i="1"/>
  <c r="S3733" i="1"/>
  <c r="S3732" i="1"/>
  <c r="S3731" i="1"/>
  <c r="S3729" i="1"/>
  <c r="S3728" i="1"/>
  <c r="S3727" i="1"/>
  <c r="S3726" i="1"/>
  <c r="S3725" i="1"/>
  <c r="S3724" i="1"/>
  <c r="S3723" i="1"/>
  <c r="S3722" i="1"/>
  <c r="S3721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6" i="1"/>
  <c r="S3705" i="1"/>
  <c r="S3704" i="1"/>
  <c r="S3703" i="1"/>
  <c r="S3702" i="1"/>
  <c r="S3701" i="1"/>
  <c r="S3700" i="1"/>
  <c r="S3699" i="1"/>
  <c r="S3698" i="1"/>
  <c r="S3697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59" i="1"/>
  <c r="S3658" i="1"/>
  <c r="S3657" i="1"/>
  <c r="S3656" i="1"/>
  <c r="S3655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1" i="1"/>
  <c r="S3570" i="1"/>
  <c r="S3569" i="1"/>
  <c r="S3568" i="1"/>
  <c r="S3567" i="1"/>
  <c r="S3566" i="1"/>
  <c r="S3565" i="1"/>
  <c r="S3564" i="1"/>
  <c r="S3563" i="1"/>
  <c r="S3562" i="1"/>
  <c r="S3560" i="1"/>
  <c r="S3559" i="1"/>
  <c r="S3558" i="1"/>
  <c r="S3557" i="1"/>
  <c r="S3556" i="1"/>
  <c r="S3555" i="1"/>
  <c r="S3554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39" i="1"/>
  <c r="S3538" i="1"/>
  <c r="S3537" i="1"/>
  <c r="S3535" i="1"/>
  <c r="S3534" i="1"/>
  <c r="S3533" i="1"/>
  <c r="S3532" i="1"/>
  <c r="S3531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4" i="1"/>
  <c r="S3503" i="1"/>
  <c r="S3502" i="1"/>
  <c r="S3501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5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6" i="1"/>
  <c r="S3455" i="1"/>
  <c r="S3454" i="1"/>
  <c r="S3453" i="1"/>
  <c r="S3452" i="1"/>
  <c r="S3451" i="1"/>
  <c r="S3450" i="1"/>
  <c r="S3449" i="1"/>
  <c r="S3448" i="1"/>
  <c r="S3447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0" i="1"/>
  <c r="S3398" i="1"/>
  <c r="S3397" i="1"/>
  <c r="S3395" i="1"/>
  <c r="S3394" i="1"/>
  <c r="S3393" i="1"/>
  <c r="S3392" i="1"/>
  <c r="S3391" i="1"/>
  <c r="S3390" i="1"/>
  <c r="S3389" i="1"/>
  <c r="S3388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6" i="1"/>
  <c r="S3355" i="1"/>
  <c r="S3354" i="1"/>
  <c r="S3353" i="1"/>
  <c r="S3352" i="1"/>
  <c r="S3351" i="1"/>
  <c r="S3350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1" i="1"/>
  <c r="S3330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1" i="1"/>
  <c r="S3310" i="1"/>
  <c r="S3309" i="1"/>
  <c r="S3308" i="1"/>
  <c r="S3307" i="1"/>
  <c r="S3306" i="1"/>
  <c r="S3305" i="1"/>
  <c r="S3304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3" i="1"/>
  <c r="S3282" i="1"/>
  <c r="S3280" i="1"/>
  <c r="S3279" i="1"/>
  <c r="S3277" i="1"/>
  <c r="S3276" i="1"/>
  <c r="S3275" i="1"/>
  <c r="S3274" i="1"/>
  <c r="S3273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1" i="1"/>
  <c r="S3170" i="1"/>
  <c r="S3169" i="1"/>
  <c r="S3168" i="1"/>
  <c r="S3167" i="1"/>
  <c r="S3166" i="1"/>
  <c r="S3165" i="1"/>
  <c r="S3163" i="1"/>
  <c r="S3162" i="1"/>
  <c r="S3161" i="1"/>
  <c r="S3160" i="1"/>
  <c r="S3159" i="1"/>
  <c r="S3158" i="1"/>
  <c r="S3157" i="1"/>
  <c r="S3154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2" i="1"/>
  <c r="S3111" i="1"/>
  <c r="S3110" i="1"/>
  <c r="S3109" i="1"/>
  <c r="S3108" i="1"/>
  <c r="S3106" i="1"/>
  <c r="S3104" i="1"/>
  <c r="S3102" i="1"/>
  <c r="S3101" i="1"/>
  <c r="S3100" i="1"/>
  <c r="S3099" i="1"/>
  <c r="S3098" i="1"/>
  <c r="S3097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1" i="1"/>
  <c r="S3060" i="1"/>
  <c r="S3059" i="1"/>
  <c r="S3058" i="1"/>
  <c r="S3057" i="1"/>
  <c r="S3056" i="1"/>
  <c r="S3055" i="1"/>
  <c r="S3054" i="1"/>
  <c r="S3053" i="1"/>
  <c r="S3052" i="1"/>
  <c r="S3050" i="1"/>
  <c r="S3049" i="1"/>
  <c r="S3048" i="1"/>
  <c r="S3047" i="1"/>
  <c r="S3046" i="1"/>
  <c r="S3045" i="1"/>
  <c r="S3044" i="1"/>
  <c r="S3043" i="1"/>
  <c r="S3042" i="1"/>
  <c r="S3041" i="1"/>
  <c r="S3040" i="1"/>
  <c r="S3038" i="1"/>
  <c r="S3037" i="1"/>
  <c r="S3036" i="1"/>
  <c r="S3035" i="1"/>
  <c r="S3034" i="1"/>
  <c r="S3033" i="1"/>
  <c r="S3032" i="1"/>
  <c r="S3031" i="1"/>
  <c r="S3030" i="1"/>
  <c r="S3029" i="1"/>
  <c r="S3027" i="1"/>
  <c r="S3026" i="1"/>
  <c r="S3025" i="1"/>
  <c r="S3024" i="1"/>
  <c r="S3023" i="1"/>
  <c r="S3022" i="1"/>
  <c r="S3021" i="1"/>
  <c r="S3018" i="1"/>
  <c r="S3017" i="1"/>
  <c r="S3016" i="1"/>
  <c r="S3015" i="1"/>
  <c r="S3013" i="1"/>
  <c r="S3012" i="1"/>
  <c r="S3011" i="1"/>
  <c r="S3010" i="1"/>
  <c r="S3009" i="1"/>
  <c r="S3008" i="1"/>
  <c r="S3007" i="1"/>
  <c r="S3006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4" i="1"/>
  <c r="S2943" i="1"/>
  <c r="S2942" i="1"/>
  <c r="S2941" i="1"/>
  <c r="S2940" i="1"/>
  <c r="S2938" i="1"/>
  <c r="S2937" i="1"/>
  <c r="S2936" i="1"/>
  <c r="S2935" i="1"/>
  <c r="S2934" i="1"/>
  <c r="S2933" i="1"/>
  <c r="S2932" i="1"/>
  <c r="S2930" i="1"/>
  <c r="S2928" i="1"/>
  <c r="S2927" i="1"/>
  <c r="S2926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1" i="1"/>
  <c r="S2910" i="1"/>
  <c r="S2909" i="1"/>
  <c r="S2907" i="1"/>
  <c r="S2906" i="1"/>
  <c r="S2905" i="1"/>
  <c r="S2903" i="1"/>
  <c r="S2902" i="1"/>
  <c r="S2901" i="1"/>
  <c r="S2900" i="1"/>
  <c r="S2899" i="1"/>
  <c r="S2898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3" i="1"/>
  <c r="S2882" i="1"/>
  <c r="S2880" i="1"/>
  <c r="S2879" i="1"/>
  <c r="S2878" i="1"/>
  <c r="S2877" i="1"/>
  <c r="S2876" i="1"/>
  <c r="S2875" i="1"/>
  <c r="S2874" i="1"/>
  <c r="S2872" i="1"/>
  <c r="S2870" i="1"/>
  <c r="S2869" i="1"/>
  <c r="S2867" i="1"/>
  <c r="S2866" i="1"/>
  <c r="S2864" i="1"/>
  <c r="S2863" i="1"/>
  <c r="S2862" i="1"/>
  <c r="S2861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4" i="1"/>
  <c r="S2843" i="1"/>
  <c r="S2840" i="1"/>
  <c r="S2839" i="1"/>
  <c r="S2838" i="1"/>
  <c r="S2837" i="1"/>
  <c r="S2836" i="1"/>
  <c r="S2835" i="1"/>
  <c r="S2834" i="1"/>
  <c r="S2833" i="1"/>
  <c r="S2832" i="1"/>
  <c r="S2831" i="1"/>
  <c r="S2830" i="1"/>
  <c r="S2828" i="1"/>
  <c r="S2827" i="1"/>
  <c r="S2826" i="1"/>
  <c r="S2825" i="1"/>
  <c r="S2824" i="1"/>
  <c r="S2823" i="1"/>
  <c r="S2821" i="1"/>
  <c r="S2820" i="1"/>
  <c r="S2819" i="1"/>
  <c r="S2818" i="1"/>
  <c r="S2817" i="1"/>
  <c r="S2816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5" i="1"/>
  <c r="S2784" i="1"/>
  <c r="S2783" i="1"/>
  <c r="S2782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7" i="1"/>
  <c r="S2706" i="1"/>
  <c r="S2705" i="1"/>
  <c r="S2704" i="1"/>
  <c r="S2703" i="1"/>
  <c r="S2702" i="1"/>
  <c r="S2701" i="1"/>
  <c r="S2700" i="1"/>
  <c r="S2699" i="1"/>
  <c r="S2697" i="1"/>
  <c r="S2696" i="1"/>
  <c r="S2695" i="1"/>
  <c r="S2694" i="1"/>
  <c r="S2693" i="1"/>
  <c r="S2692" i="1"/>
  <c r="S2691" i="1"/>
  <c r="S2690" i="1"/>
  <c r="S2689" i="1"/>
  <c r="S2688" i="1"/>
  <c r="S2687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1" i="1"/>
  <c r="S2630" i="1"/>
  <c r="S2629" i="1"/>
  <c r="S2628" i="1"/>
  <c r="S2627" i="1"/>
  <c r="S2626" i="1"/>
  <c r="S2625" i="1"/>
  <c r="S2624" i="1"/>
  <c r="S2622" i="1"/>
  <c r="S2621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599" i="1"/>
  <c r="S2598" i="1"/>
  <c r="S2597" i="1"/>
  <c r="S2596" i="1"/>
  <c r="S2595" i="1"/>
  <c r="S2593" i="1"/>
  <c r="S2592" i="1"/>
  <c r="S2591" i="1"/>
  <c r="S2590" i="1"/>
  <c r="S2589" i="1"/>
  <c r="S2588" i="1"/>
  <c r="S2587" i="1"/>
  <c r="S2586" i="1"/>
  <c r="S2585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2" i="1"/>
  <c r="S2551" i="1"/>
  <c r="S2550" i="1"/>
  <c r="S2549" i="1"/>
  <c r="S2548" i="1"/>
  <c r="S2547" i="1"/>
  <c r="S2546" i="1"/>
  <c r="S2545" i="1"/>
  <c r="S2544" i="1"/>
  <c r="S2543" i="1"/>
  <c r="S2542" i="1"/>
  <c r="S2540" i="1"/>
  <c r="S2539" i="1"/>
  <c r="S2538" i="1"/>
  <c r="S2537" i="1"/>
  <c r="S2536" i="1"/>
  <c r="S2535" i="1"/>
  <c r="S2534" i="1"/>
  <c r="S2533" i="1"/>
  <c r="S2532" i="1"/>
  <c r="S2531" i="1"/>
  <c r="S2529" i="1"/>
  <c r="S2528" i="1"/>
  <c r="S2527" i="1"/>
  <c r="S2526" i="1"/>
  <c r="S2525" i="1"/>
  <c r="S2524" i="1"/>
  <c r="S2523" i="1"/>
  <c r="S2522" i="1"/>
  <c r="S2521" i="1"/>
  <c r="S2520" i="1"/>
  <c r="S2518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4" i="1"/>
  <c r="S2493" i="1"/>
  <c r="S2492" i="1"/>
  <c r="S2491" i="1"/>
  <c r="S2490" i="1"/>
  <c r="S2489" i="1"/>
  <c r="S2488" i="1"/>
  <c r="S2487" i="1"/>
  <c r="S2485" i="1"/>
  <c r="S2484" i="1"/>
  <c r="S2483" i="1"/>
  <c r="S2482" i="1"/>
  <c r="S2481" i="1"/>
  <c r="S2479" i="1"/>
  <c r="S2478" i="1"/>
  <c r="S2477" i="1"/>
  <c r="S2476" i="1"/>
  <c r="S2475" i="1"/>
  <c r="S2474" i="1"/>
  <c r="S2473" i="1"/>
  <c r="S2472" i="1"/>
  <c r="S2471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5" i="1"/>
  <c r="S2454" i="1"/>
  <c r="S2453" i="1"/>
  <c r="S2452" i="1"/>
  <c r="S2451" i="1"/>
  <c r="S2450" i="1"/>
  <c r="S2449" i="1"/>
  <c r="S2448" i="1"/>
  <c r="S2447" i="1"/>
  <c r="S2446" i="1"/>
  <c r="S2444" i="1"/>
  <c r="S2443" i="1"/>
  <c r="S2442" i="1"/>
  <c r="S2441" i="1"/>
  <c r="S2440" i="1"/>
  <c r="S2438" i="1"/>
  <c r="S2437" i="1"/>
  <c r="S2436" i="1"/>
  <c r="S2435" i="1"/>
  <c r="S2434" i="1"/>
  <c r="S2433" i="1"/>
  <c r="S2432" i="1"/>
  <c r="S2431" i="1"/>
  <c r="S2430" i="1"/>
  <c r="S2429" i="1"/>
  <c r="S2428" i="1"/>
  <c r="S2426" i="1"/>
  <c r="S2425" i="1"/>
  <c r="S2424" i="1"/>
  <c r="S2423" i="1"/>
  <c r="S2422" i="1"/>
  <c r="S2421" i="1"/>
  <c r="S2420" i="1"/>
  <c r="S2419" i="1"/>
  <c r="S2417" i="1"/>
  <c r="S2416" i="1"/>
  <c r="S2415" i="1"/>
  <c r="S2414" i="1"/>
  <c r="S2413" i="1"/>
  <c r="S2412" i="1"/>
  <c r="S2411" i="1"/>
  <c r="S2406" i="1"/>
  <c r="S2404" i="1"/>
  <c r="S2403" i="1"/>
  <c r="S2402" i="1"/>
  <c r="S2401" i="1"/>
  <c r="S2400" i="1"/>
  <c r="S2399" i="1"/>
  <c r="S2398" i="1"/>
  <c r="S2397" i="1"/>
  <c r="S2396" i="1"/>
  <c r="S2395" i="1"/>
  <c r="S2394" i="1"/>
  <c r="S2392" i="1"/>
  <c r="S2391" i="1"/>
  <c r="S2390" i="1"/>
  <c r="S2389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2" i="1"/>
  <c r="S2371" i="1"/>
  <c r="S2370" i="1"/>
  <c r="S2368" i="1"/>
  <c r="S2367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3" i="1"/>
  <c r="S2342" i="1"/>
  <c r="S2341" i="1"/>
  <c r="S2340" i="1"/>
  <c r="S2339" i="1"/>
  <c r="S2337" i="1"/>
  <c r="S2336" i="1"/>
  <c r="S2335" i="1"/>
  <c r="S2334" i="1"/>
  <c r="S2333" i="1"/>
  <c r="S2332" i="1"/>
  <c r="S2330" i="1"/>
  <c r="S2329" i="1"/>
  <c r="S2328" i="1"/>
  <c r="S2326" i="1"/>
  <c r="S2325" i="1"/>
  <c r="S2323" i="1"/>
  <c r="S2322" i="1"/>
  <c r="S2321" i="1"/>
  <c r="S2320" i="1"/>
  <c r="S2319" i="1"/>
  <c r="S2318" i="1"/>
  <c r="S2317" i="1"/>
  <c r="S2316" i="1"/>
  <c r="S2315" i="1"/>
  <c r="S2314" i="1"/>
  <c r="S2312" i="1"/>
  <c r="S2311" i="1"/>
  <c r="S2310" i="1"/>
  <c r="S2309" i="1"/>
  <c r="S2307" i="1"/>
  <c r="S2306" i="1"/>
  <c r="S2305" i="1"/>
  <c r="S2304" i="1"/>
  <c r="S2302" i="1"/>
  <c r="S2301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89" i="1"/>
  <c r="S1988" i="1"/>
  <c r="S1987" i="1"/>
  <c r="S1986" i="1"/>
  <c r="S1985" i="1"/>
  <c r="S1984" i="1"/>
  <c r="S1983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3" i="1"/>
  <c r="S1831" i="1"/>
  <c r="S1830" i="1"/>
  <c r="S1829" i="1"/>
  <c r="S1828" i="1"/>
  <c r="S1827" i="1"/>
  <c r="S1826" i="1"/>
  <c r="S1825" i="1"/>
  <c r="S1824" i="1"/>
  <c r="S1823" i="1"/>
  <c r="S1822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1" i="1"/>
  <c r="S1760" i="1"/>
  <c r="S1759" i="1"/>
  <c r="S1758" i="1"/>
  <c r="S1757" i="1"/>
  <c r="S1756" i="1"/>
  <c r="S1755" i="1"/>
  <c r="S1754" i="1"/>
  <c r="S1752" i="1"/>
  <c r="S1751" i="1"/>
  <c r="S1750" i="1"/>
  <c r="S1749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3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7" i="1"/>
  <c r="S1646" i="1"/>
  <c r="S1645" i="1"/>
  <c r="S1644" i="1"/>
  <c r="S1643" i="1"/>
  <c r="S1642" i="1"/>
  <c r="S1641" i="1"/>
  <c r="S1639" i="1"/>
  <c r="S1638" i="1"/>
  <c r="S1637" i="1"/>
  <c r="S1636" i="1"/>
  <c r="S1635" i="1"/>
  <c r="S1634" i="1"/>
  <c r="S1633" i="1"/>
  <c r="S1632" i="1"/>
  <c r="S1629" i="1"/>
  <c r="S1628" i="1"/>
  <c r="S1627" i="1"/>
  <c r="S1626" i="1"/>
  <c r="S1625" i="1"/>
  <c r="S1623" i="1"/>
  <c r="S1622" i="1"/>
  <c r="S1621" i="1"/>
  <c r="S1620" i="1"/>
  <c r="S1619" i="1"/>
  <c r="S1618" i="1"/>
  <c r="S1617" i="1"/>
  <c r="S1615" i="1"/>
  <c r="S1614" i="1"/>
  <c r="S1613" i="1"/>
  <c r="S1612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89" i="1"/>
  <c r="S1588" i="1"/>
  <c r="S1587" i="1"/>
  <c r="S1586" i="1"/>
  <c r="S1585" i="1"/>
  <c r="S1584" i="1"/>
  <c r="S1583" i="1"/>
  <c r="S1582" i="1"/>
  <c r="S1581" i="1"/>
  <c r="S1580" i="1"/>
  <c r="S1579" i="1"/>
  <c r="S1577" i="1"/>
  <c r="S1576" i="1"/>
  <c r="S1575" i="1"/>
  <c r="S1574" i="1"/>
  <c r="S1573" i="1"/>
  <c r="S1572" i="1"/>
  <c r="S1571" i="1"/>
  <c r="S1570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4" i="1"/>
  <c r="S1553" i="1"/>
  <c r="S1552" i="1"/>
  <c r="S1551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89" i="1"/>
  <c r="S1488" i="1"/>
  <c r="S1486" i="1"/>
  <c r="S1485" i="1"/>
  <c r="S1484" i="1"/>
  <c r="S1483" i="1"/>
  <c r="S1482" i="1"/>
  <c r="S1481" i="1"/>
  <c r="S1480" i="1"/>
  <c r="S1479" i="1"/>
  <c r="S1478" i="1"/>
  <c r="S1476" i="1"/>
  <c r="S1475" i="1"/>
  <c r="S1474" i="1"/>
  <c r="S1473" i="1"/>
  <c r="S1472" i="1"/>
  <c r="S1471" i="1"/>
  <c r="S1470" i="1"/>
  <c r="S1469" i="1"/>
  <c r="S1468" i="1"/>
  <c r="S1466" i="1"/>
  <c r="S1465" i="1"/>
  <c r="S1464" i="1"/>
  <c r="S1462" i="1"/>
  <c r="S1461" i="1"/>
  <c r="S1460" i="1"/>
  <c r="S1459" i="1"/>
  <c r="S1458" i="1"/>
  <c r="S1457" i="1"/>
  <c r="S1456" i="1"/>
  <c r="S1455" i="1"/>
  <c r="S1452" i="1"/>
  <c r="S1451" i="1"/>
  <c r="S1450" i="1"/>
  <c r="S1448" i="1"/>
  <c r="S1447" i="1"/>
  <c r="S1446" i="1"/>
  <c r="S1445" i="1"/>
  <c r="S1444" i="1"/>
  <c r="S1443" i="1"/>
  <c r="S1442" i="1"/>
  <c r="S1441" i="1"/>
  <c r="S1439" i="1"/>
  <c r="S1438" i="1"/>
  <c r="S1437" i="1"/>
  <c r="S1436" i="1"/>
  <c r="S1435" i="1"/>
  <c r="S1434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1" i="1"/>
  <c r="S1400" i="1"/>
  <c r="S1398" i="1"/>
  <c r="S1397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3" i="1"/>
  <c r="S1372" i="1"/>
  <c r="S1371" i="1"/>
  <c r="S1370" i="1"/>
  <c r="S1369" i="1"/>
  <c r="S1368" i="1"/>
  <c r="S1367" i="1"/>
  <c r="S1366" i="1"/>
  <c r="S1365" i="1"/>
  <c r="S1364" i="1"/>
  <c r="S1363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7" i="1"/>
  <c r="S1346" i="1"/>
  <c r="S1345" i="1"/>
  <c r="S1344" i="1"/>
  <c r="S1342" i="1"/>
  <c r="S1341" i="1"/>
  <c r="S1339" i="1"/>
  <c r="S1338" i="1"/>
  <c r="S1336" i="1"/>
  <c r="S1335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6" i="1"/>
  <c r="S1315" i="1"/>
  <c r="S1314" i="1"/>
  <c r="S1313" i="1"/>
  <c r="S1312" i="1"/>
  <c r="S1311" i="1"/>
  <c r="S1310" i="1"/>
  <c r="S1309" i="1"/>
  <c r="S1308" i="1"/>
  <c r="S1306" i="1"/>
  <c r="S1305" i="1"/>
  <c r="S1304" i="1"/>
  <c r="S1303" i="1"/>
  <c r="S1302" i="1"/>
  <c r="S1301" i="1"/>
  <c r="S1300" i="1"/>
  <c r="S1299" i="1"/>
  <c r="S1298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1" i="1"/>
  <c r="S1270" i="1"/>
  <c r="S1269" i="1"/>
  <c r="S1268" i="1"/>
  <c r="S1267" i="1"/>
  <c r="S1266" i="1"/>
  <c r="S1265" i="1"/>
  <c r="S1264" i="1"/>
  <c r="S1263" i="1"/>
  <c r="S1260" i="1"/>
  <c r="S1259" i="1"/>
  <c r="S1258" i="1"/>
  <c r="S1256" i="1"/>
  <c r="S1254" i="1"/>
  <c r="S1253" i="1"/>
  <c r="S1252" i="1"/>
  <c r="S1250" i="1"/>
  <c r="S1249" i="1"/>
  <c r="S1248" i="1"/>
  <c r="S1247" i="1"/>
  <c r="S1246" i="1"/>
  <c r="S1245" i="1"/>
  <c r="S1244" i="1"/>
  <c r="S1243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6" i="1"/>
  <c r="S1215" i="1"/>
  <c r="S1214" i="1"/>
  <c r="S1213" i="1"/>
  <c r="S1212" i="1"/>
  <c r="S1211" i="1"/>
  <c r="S1210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4" i="1"/>
  <c r="S1193" i="1"/>
  <c r="S1192" i="1"/>
  <c r="S1191" i="1"/>
  <c r="S1190" i="1"/>
  <c r="S1189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2" i="1"/>
  <c r="S1161" i="1"/>
  <c r="S1160" i="1"/>
  <c r="S1159" i="1"/>
  <c r="S1158" i="1"/>
  <c r="S1157" i="1"/>
  <c r="S1155" i="1"/>
  <c r="S1154" i="1"/>
  <c r="S1153" i="1"/>
  <c r="S1152" i="1"/>
  <c r="S1150" i="1"/>
  <c r="S1149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5" i="1"/>
  <c r="S1094" i="1"/>
  <c r="S1093" i="1"/>
  <c r="S1092" i="1"/>
  <c r="S1091" i="1"/>
  <c r="S1090" i="1"/>
  <c r="S1089" i="1"/>
  <c r="S1088" i="1"/>
  <c r="S1087" i="1"/>
  <c r="S1086" i="1"/>
  <c r="S1085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0" i="1"/>
  <c r="S1049" i="1"/>
  <c r="S1048" i="1"/>
  <c r="S1047" i="1"/>
  <c r="S1046" i="1"/>
  <c r="S1045" i="1"/>
  <c r="S1044" i="1"/>
  <c r="S1043" i="1"/>
  <c r="S1042" i="1"/>
  <c r="S1041" i="1"/>
  <c r="S1040" i="1"/>
  <c r="S1038" i="1"/>
  <c r="S1037" i="1"/>
  <c r="S1036" i="1"/>
  <c r="S1035" i="1"/>
  <c r="S1034" i="1"/>
  <c r="S1033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09" i="1"/>
  <c r="S1008" i="1"/>
  <c r="S1007" i="1"/>
  <c r="S1006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5" i="1"/>
  <c r="S944" i="1"/>
  <c r="S943" i="1"/>
  <c r="S942" i="1"/>
  <c r="S941" i="1"/>
  <c r="S940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4" i="1"/>
  <c r="S883" i="1"/>
  <c r="S882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3" i="1"/>
  <c r="S852" i="1"/>
  <c r="S851" i="1"/>
  <c r="S850" i="1"/>
  <c r="S849" i="1"/>
  <c r="S848" i="1"/>
  <c r="S847" i="1"/>
  <c r="S845" i="1"/>
  <c r="S844" i="1"/>
  <c r="S843" i="1"/>
  <c r="S842" i="1"/>
  <c r="S841" i="1"/>
  <c r="S840" i="1"/>
  <c r="S839" i="1"/>
  <c r="S838" i="1"/>
  <c r="S837" i="1"/>
  <c r="S836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7" i="1"/>
  <c r="S816" i="1"/>
  <c r="S815" i="1"/>
  <c r="S814" i="1"/>
  <c r="S813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7" i="1"/>
  <c r="S796" i="1"/>
  <c r="S795" i="1"/>
  <c r="S794" i="1"/>
  <c r="S793" i="1"/>
  <c r="S792" i="1"/>
  <c r="S791" i="1"/>
  <c r="S790" i="1"/>
  <c r="S789" i="1"/>
  <c r="S788" i="1"/>
  <c r="S787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7" i="1"/>
  <c r="S766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6" i="1"/>
  <c r="S735" i="1"/>
  <c r="S734" i="1"/>
  <c r="S732" i="1"/>
  <c r="S731" i="1"/>
  <c r="S729" i="1"/>
  <c r="S728" i="1"/>
  <c r="S727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8" i="1"/>
  <c r="S697" i="1"/>
  <c r="S696" i="1"/>
  <c r="S695" i="1"/>
  <c r="S694" i="1"/>
  <c r="S693" i="1"/>
  <c r="S691" i="1"/>
  <c r="S690" i="1"/>
  <c r="S689" i="1"/>
  <c r="S688" i="1"/>
  <c r="S687" i="1"/>
  <c r="S686" i="1"/>
  <c r="S685" i="1"/>
  <c r="S684" i="1"/>
  <c r="S683" i="1"/>
  <c r="S681" i="1"/>
  <c r="S680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6" i="1"/>
  <c r="S645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1" i="1"/>
  <c r="S620" i="1"/>
  <c r="S619" i="1"/>
  <c r="S618" i="1"/>
  <c r="S617" i="1"/>
  <c r="S616" i="1"/>
  <c r="S615" i="1"/>
  <c r="S614" i="1"/>
  <c r="S613" i="1"/>
  <c r="S612" i="1"/>
  <c r="S610" i="1"/>
  <c r="S609" i="1"/>
  <c r="S608" i="1"/>
  <c r="S607" i="1"/>
  <c r="S606" i="1"/>
  <c r="S604" i="1"/>
  <c r="S603" i="1"/>
  <c r="S602" i="1"/>
  <c r="S601" i="1"/>
  <c r="S600" i="1"/>
  <c r="S599" i="1"/>
  <c r="S597" i="1"/>
  <c r="S596" i="1"/>
  <c r="S595" i="1"/>
  <c r="S594" i="1"/>
  <c r="S593" i="1"/>
  <c r="S592" i="1"/>
  <c r="S591" i="1"/>
  <c r="S590" i="1"/>
  <c r="S589" i="1"/>
  <c r="S588" i="1"/>
  <c r="S587" i="1"/>
  <c r="S585" i="1"/>
  <c r="S584" i="1"/>
  <c r="S583" i="1"/>
  <c r="S582" i="1"/>
  <c r="S581" i="1"/>
  <c r="S580" i="1"/>
  <c r="S579" i="1"/>
  <c r="S578" i="1"/>
  <c r="S577" i="1"/>
  <c r="S575" i="1"/>
  <c r="S574" i="1"/>
  <c r="S573" i="1"/>
  <c r="S571" i="1"/>
  <c r="S570" i="1"/>
  <c r="S569" i="1"/>
  <c r="S568" i="1"/>
  <c r="S567" i="1"/>
  <c r="S566" i="1"/>
  <c r="S565" i="1"/>
  <c r="S564" i="1"/>
  <c r="S563" i="1"/>
  <c r="S562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5" i="1"/>
  <c r="S494" i="1"/>
  <c r="S493" i="1"/>
  <c r="S492" i="1"/>
  <c r="S491" i="1"/>
  <c r="S490" i="1"/>
  <c r="S488" i="1"/>
  <c r="S487" i="1"/>
  <c r="S486" i="1"/>
  <c r="S485" i="1"/>
  <c r="S484" i="1"/>
  <c r="S483" i="1"/>
  <c r="S482" i="1"/>
  <c r="S481" i="1"/>
  <c r="S480" i="1"/>
  <c r="S477" i="1"/>
  <c r="S476" i="1"/>
  <c r="S475" i="1"/>
  <c r="S474" i="1"/>
  <c r="S473" i="1"/>
  <c r="S472" i="1"/>
  <c r="S471" i="1"/>
  <c r="S470" i="1"/>
  <c r="S469" i="1"/>
  <c r="S467" i="1"/>
  <c r="S466" i="1"/>
  <c r="S465" i="1"/>
  <c r="S463" i="1"/>
  <c r="S462" i="1"/>
  <c r="S461" i="1"/>
  <c r="S459" i="1"/>
  <c r="S458" i="1"/>
  <c r="S456" i="1"/>
  <c r="S455" i="1"/>
  <c r="S454" i="1"/>
  <c r="S453" i="1"/>
  <c r="S451" i="1"/>
  <c r="S450" i="1"/>
  <c r="S449" i="1"/>
  <c r="S448" i="1"/>
  <c r="S447" i="1"/>
  <c r="S446" i="1"/>
  <c r="S445" i="1"/>
  <c r="S443" i="1"/>
  <c r="S442" i="1"/>
  <c r="S441" i="1"/>
  <c r="S440" i="1"/>
  <c r="S439" i="1"/>
  <c r="S438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2" i="1"/>
  <c r="S421" i="1"/>
  <c r="S420" i="1"/>
  <c r="S419" i="1"/>
  <c r="S418" i="1"/>
  <c r="S417" i="1"/>
  <c r="S416" i="1"/>
  <c r="S415" i="1"/>
  <c r="S414" i="1"/>
  <c r="S412" i="1"/>
  <c r="S411" i="1"/>
  <c r="S410" i="1"/>
  <c r="S409" i="1"/>
  <c r="S408" i="1"/>
  <c r="S406" i="1"/>
  <c r="S405" i="1"/>
  <c r="S404" i="1"/>
  <c r="S403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1" i="1"/>
  <c r="S360" i="1"/>
  <c r="S358" i="1"/>
  <c r="S357" i="1"/>
  <c r="S356" i="1"/>
  <c r="S355" i="1"/>
  <c r="S353" i="1"/>
  <c r="S352" i="1"/>
  <c r="S351" i="1"/>
  <c r="S350" i="1"/>
  <c r="S349" i="1"/>
  <c r="S347" i="1"/>
  <c r="S346" i="1"/>
  <c r="S345" i="1"/>
  <c r="S344" i="1"/>
  <c r="S343" i="1"/>
  <c r="S342" i="1"/>
  <c r="S340" i="1"/>
  <c r="S339" i="1"/>
  <c r="S338" i="1"/>
  <c r="S337" i="1"/>
  <c r="S336" i="1"/>
  <c r="S335" i="1"/>
  <c r="S334" i="1"/>
  <c r="S333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1" i="1"/>
  <c r="S309" i="1"/>
  <c r="S308" i="1"/>
  <c r="S307" i="1"/>
  <c r="S306" i="1"/>
  <c r="S305" i="1"/>
  <c r="S304" i="1"/>
  <c r="S303" i="1"/>
  <c r="S302" i="1"/>
  <c r="S301" i="1"/>
  <c r="S299" i="1"/>
  <c r="S298" i="1"/>
  <c r="S297" i="1"/>
  <c r="S296" i="1"/>
  <c r="S295" i="1"/>
  <c r="S294" i="1"/>
  <c r="S293" i="1"/>
  <c r="S292" i="1"/>
  <c r="S291" i="1"/>
  <c r="S289" i="1"/>
  <c r="S288" i="1"/>
  <c r="S287" i="1"/>
  <c r="S285" i="1"/>
  <c r="S284" i="1"/>
  <c r="S283" i="1"/>
  <c r="S282" i="1"/>
  <c r="S281" i="1"/>
  <c r="S280" i="1"/>
  <c r="S279" i="1"/>
  <c r="S278" i="1"/>
  <c r="S277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7" i="1"/>
  <c r="S166" i="1"/>
  <c r="S165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09" i="1"/>
  <c r="S108" i="1"/>
  <c r="S107" i="1"/>
  <c r="S106" i="1"/>
  <c r="S104" i="1"/>
  <c r="S103" i="1"/>
  <c r="S102" i="1"/>
  <c r="S101" i="1"/>
  <c r="S100" i="1"/>
  <c r="S99" i="1"/>
  <c r="S97" i="1"/>
  <c r="S96" i="1"/>
  <c r="S95" i="1"/>
  <c r="S94" i="1"/>
  <c r="S93" i="1"/>
  <c r="S92" i="1"/>
  <c r="S91" i="1"/>
  <c r="S90" i="1"/>
  <c r="S89" i="1"/>
  <c r="S87" i="1"/>
  <c r="S86" i="1"/>
  <c r="S85" i="1"/>
  <c r="S84" i="1"/>
  <c r="S83" i="1"/>
  <c r="S82" i="1"/>
  <c r="S81" i="1"/>
  <c r="S80" i="1"/>
  <c r="S79" i="1"/>
  <c r="S78" i="1"/>
  <c r="S77" i="1"/>
  <c r="S75" i="1"/>
  <c r="S73" i="1"/>
  <c r="S72" i="1"/>
  <c r="S71" i="1"/>
  <c r="S70" i="1"/>
  <c r="S69" i="1"/>
  <c r="S68" i="1"/>
  <c r="S67" i="1"/>
  <c r="S65" i="1"/>
  <c r="S64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3" i="1"/>
  <c r="S21" i="1"/>
  <c r="S20" i="1"/>
  <c r="S18" i="1"/>
  <c r="S17" i="1"/>
  <c r="S16" i="1"/>
  <c r="S15" i="1"/>
  <c r="S14" i="1"/>
  <c r="S12" i="1"/>
  <c r="S9" i="1"/>
  <c r="S8" i="1"/>
  <c r="AF2" i="1" s="1"/>
  <c r="S7" i="1"/>
  <c r="S6" i="1"/>
  <c r="S5" i="1"/>
  <c r="S4" i="1"/>
  <c r="S3" i="1"/>
  <c r="S2" i="1"/>
  <c r="S105" i="1" l="1"/>
  <c r="S169" i="1"/>
  <c r="S881" i="1"/>
  <c r="S129" i="1"/>
  <c r="S257" i="1"/>
  <c r="S737" i="1"/>
  <c r="S1297" i="1"/>
  <c r="S1929" i="1"/>
  <c r="S2841" i="1"/>
  <c r="S2929" i="1"/>
  <c r="S3329" i="1"/>
  <c r="S3561" i="1"/>
  <c r="S3985" i="1"/>
  <c r="S4081" i="1"/>
  <c r="S4097" i="1"/>
  <c r="S4233" i="1"/>
  <c r="S4281" i="1"/>
  <c r="S4353" i="1"/>
  <c r="S4377" i="1"/>
  <c r="S4713" i="1"/>
  <c r="S4801" i="1"/>
  <c r="S313" i="1"/>
  <c r="S1681" i="1"/>
  <c r="S2369" i="1"/>
  <c r="S2945" i="1"/>
  <c r="S3281" i="1"/>
  <c r="S3505" i="1"/>
  <c r="S3913" i="1"/>
  <c r="S4017" i="1"/>
  <c r="S66" i="1"/>
  <c r="S98" i="1"/>
  <c r="S290" i="1"/>
  <c r="S354" i="1"/>
  <c r="S362" i="1"/>
  <c r="S402" i="1"/>
  <c r="S586" i="1"/>
  <c r="S682" i="1"/>
  <c r="S730" i="1"/>
  <c r="S738" i="1"/>
  <c r="S786" i="1"/>
  <c r="S818" i="1"/>
  <c r="S938" i="1"/>
  <c r="S946" i="1"/>
  <c r="S1010" i="1"/>
  <c r="S1242" i="1"/>
  <c r="S1362" i="1"/>
  <c r="S1402" i="1"/>
  <c r="S1490" i="1"/>
  <c r="S1578" i="1"/>
  <c r="S1730" i="1"/>
  <c r="S1762" i="1"/>
  <c r="S1834" i="1"/>
  <c r="S1946" i="1"/>
  <c r="S2146" i="1"/>
  <c r="S2186" i="1"/>
  <c r="S2338" i="1"/>
  <c r="S2410" i="1"/>
  <c r="S2418" i="1"/>
  <c r="S2530" i="1"/>
  <c r="S2594" i="1"/>
  <c r="S2658" i="1"/>
  <c r="S2698" i="1"/>
  <c r="S2730" i="1"/>
  <c r="S2746" i="1"/>
  <c r="S2786" i="1"/>
  <c r="S2842" i="1"/>
  <c r="S3242" i="1"/>
  <c r="S3386" i="1"/>
  <c r="S3530" i="1"/>
  <c r="S3730" i="1"/>
  <c r="S3906" i="1"/>
  <c r="S3914" i="1"/>
  <c r="S4082" i="1"/>
  <c r="S4098" i="1"/>
  <c r="S4106" i="1"/>
  <c r="S4146" i="1"/>
  <c r="S4314" i="1"/>
  <c r="S4354" i="1"/>
  <c r="S4362" i="1"/>
  <c r="S4378" i="1"/>
  <c r="S4674" i="1"/>
  <c r="S4698" i="1"/>
  <c r="S4762" i="1"/>
  <c r="S4802" i="1"/>
  <c r="S4818" i="1"/>
  <c r="S4842" i="1"/>
  <c r="S4890" i="1"/>
  <c r="S4986" i="1"/>
  <c r="S457" i="1"/>
  <c r="S1337" i="1"/>
  <c r="S2409" i="1"/>
  <c r="S2873" i="1"/>
  <c r="S3153" i="1"/>
  <c r="S3457" i="1"/>
  <c r="S4145" i="1"/>
  <c r="S10" i="1"/>
  <c r="S74" i="1"/>
  <c r="S11" i="1"/>
  <c r="S19" i="1"/>
  <c r="S363" i="1"/>
  <c r="S611" i="1"/>
  <c r="S699" i="1"/>
  <c r="S739" i="1"/>
  <c r="S835" i="1"/>
  <c r="S907" i="1"/>
  <c r="S939" i="1"/>
  <c r="S1051" i="1"/>
  <c r="S1163" i="1"/>
  <c r="S1195" i="1"/>
  <c r="S1251" i="1"/>
  <c r="S1307" i="1"/>
  <c r="S1467" i="1"/>
  <c r="S1555" i="1"/>
  <c r="S1611" i="1"/>
  <c r="S2011" i="1"/>
  <c r="S2099" i="1"/>
  <c r="S2115" i="1"/>
  <c r="S2331" i="1"/>
  <c r="S2427" i="1"/>
  <c r="S2787" i="1"/>
  <c r="S2931" i="1"/>
  <c r="S2939" i="1"/>
  <c r="S3003" i="1"/>
  <c r="S3019" i="1"/>
  <c r="S3051" i="1"/>
  <c r="S3107" i="1"/>
  <c r="S3155" i="1"/>
  <c r="S3371" i="1"/>
  <c r="S3387" i="1"/>
  <c r="S3419" i="1"/>
  <c r="S3683" i="1"/>
  <c r="S3707" i="1"/>
  <c r="S3867" i="1"/>
  <c r="S3883" i="1"/>
  <c r="S3907" i="1"/>
  <c r="S3915" i="1"/>
  <c r="S4243" i="1"/>
  <c r="S4355" i="1"/>
  <c r="S4363" i="1"/>
  <c r="S4379" i="1"/>
  <c r="S4507" i="1"/>
  <c r="S4755" i="1"/>
  <c r="S4771" i="1"/>
  <c r="S4811" i="1"/>
  <c r="S4971" i="1"/>
  <c r="S1257" i="1"/>
  <c r="S1569" i="1"/>
  <c r="S2393" i="1"/>
  <c r="S2881" i="1"/>
  <c r="S3105" i="1"/>
  <c r="S3553" i="1"/>
  <c r="S76" i="1"/>
  <c r="S164" i="1"/>
  <c r="S276" i="1"/>
  <c r="S300" i="1"/>
  <c r="S332" i="1"/>
  <c r="S348" i="1"/>
  <c r="S444" i="1"/>
  <c r="S452" i="1"/>
  <c r="S460" i="1"/>
  <c r="S468" i="1"/>
  <c r="S572" i="1"/>
  <c r="S644" i="1"/>
  <c r="S692" i="1"/>
  <c r="S764" i="1"/>
  <c r="S812" i="1"/>
  <c r="S1084" i="1"/>
  <c r="S1148" i="1"/>
  <c r="S1156" i="1"/>
  <c r="S1188" i="1"/>
  <c r="S1340" i="1"/>
  <c r="S1348" i="1"/>
  <c r="S1396" i="1"/>
  <c r="S1748" i="1"/>
  <c r="S1820" i="1"/>
  <c r="S1964" i="1"/>
  <c r="S2220" i="1"/>
  <c r="S2244" i="1"/>
  <c r="S2300" i="1"/>
  <c r="S2308" i="1"/>
  <c r="S2324" i="1"/>
  <c r="S2388" i="1"/>
  <c r="S2620" i="1"/>
  <c r="S2708" i="1"/>
  <c r="S2860" i="1"/>
  <c r="S2868" i="1"/>
  <c r="S2884" i="1"/>
  <c r="S2908" i="1"/>
  <c r="S3004" i="1"/>
  <c r="S3020" i="1"/>
  <c r="S3028" i="1"/>
  <c r="S3156" i="1"/>
  <c r="S3164" i="1"/>
  <c r="S3172" i="1"/>
  <c r="S3196" i="1"/>
  <c r="S3284" i="1"/>
  <c r="S3300" i="1"/>
  <c r="S3332" i="1"/>
  <c r="S3396" i="1"/>
  <c r="S3484" i="1"/>
  <c r="S3500" i="1"/>
  <c r="S3540" i="1"/>
  <c r="S3572" i="1"/>
  <c r="S3660" i="1"/>
  <c r="S3748" i="1"/>
  <c r="S4060" i="1"/>
  <c r="S4188" i="1"/>
  <c r="S4204" i="1"/>
  <c r="S4252" i="1"/>
  <c r="S4332" i="1"/>
  <c r="S4356" i="1"/>
  <c r="S4364" i="1"/>
  <c r="S4540" i="1"/>
  <c r="S4660" i="1"/>
  <c r="S4916" i="1"/>
  <c r="S4948" i="1"/>
  <c r="S489" i="1"/>
  <c r="S1209" i="1"/>
  <c r="S1433" i="1"/>
  <c r="S2897" i="1"/>
  <c r="S3113" i="1"/>
  <c r="S3401" i="1"/>
  <c r="S3593" i="1"/>
  <c r="S13" i="1"/>
  <c r="S341" i="1"/>
  <c r="S413" i="1"/>
  <c r="S437" i="1"/>
  <c r="S605" i="1"/>
  <c r="S733" i="1"/>
  <c r="S765" i="1"/>
  <c r="S885" i="1"/>
  <c r="S1005" i="1"/>
  <c r="S1261" i="1"/>
  <c r="S1317" i="1"/>
  <c r="S1333" i="1"/>
  <c r="S1453" i="1"/>
  <c r="S1477" i="1"/>
  <c r="S1821" i="1"/>
  <c r="S2221" i="1"/>
  <c r="S2373" i="1"/>
  <c r="S2405" i="1"/>
  <c r="S2445" i="1"/>
  <c r="S2517" i="1"/>
  <c r="S2541" i="1"/>
  <c r="S2685" i="1"/>
  <c r="S2781" i="1"/>
  <c r="S2829" i="1"/>
  <c r="S2845" i="1"/>
  <c r="S2925" i="1"/>
  <c r="S3005" i="1"/>
  <c r="S3301" i="1"/>
  <c r="S3333" i="1"/>
  <c r="S3349" i="1"/>
  <c r="S3357" i="1"/>
  <c r="S3573" i="1"/>
  <c r="S3653" i="1"/>
  <c r="S3805" i="1"/>
  <c r="S3869" i="1"/>
  <c r="S3925" i="1"/>
  <c r="S3933" i="1"/>
  <c r="S3965" i="1"/>
  <c r="S4013" i="1"/>
  <c r="S4053" i="1"/>
  <c r="S4173" i="1"/>
  <c r="S4309" i="1"/>
  <c r="S4357" i="1"/>
  <c r="S4589" i="1"/>
  <c r="S4605" i="1"/>
  <c r="S4733" i="1"/>
  <c r="S4765" i="1"/>
  <c r="S561" i="1"/>
  <c r="S1217" i="1"/>
  <c r="S2633" i="1"/>
  <c r="S110" i="1"/>
  <c r="S310" i="1"/>
  <c r="S478" i="1"/>
  <c r="S518" i="1"/>
  <c r="S542" i="1"/>
  <c r="S598" i="1"/>
  <c r="S622" i="1"/>
  <c r="S726" i="1"/>
  <c r="S798" i="1"/>
  <c r="S846" i="1"/>
  <c r="S854" i="1"/>
  <c r="S1262" i="1"/>
  <c r="S1318" i="1"/>
  <c r="S1334" i="1"/>
  <c r="S1374" i="1"/>
  <c r="S1454" i="1"/>
  <c r="S1550" i="1"/>
  <c r="S1590" i="1"/>
  <c r="S1630" i="1"/>
  <c r="S1702" i="1"/>
  <c r="S1910" i="1"/>
  <c r="S1982" i="1"/>
  <c r="S1990" i="1"/>
  <c r="S2038" i="1"/>
  <c r="S2366" i="1"/>
  <c r="S2470" i="1"/>
  <c r="S2486" i="1"/>
  <c r="S2686" i="1"/>
  <c r="S2822" i="1"/>
  <c r="S2990" i="1"/>
  <c r="S3014" i="1"/>
  <c r="S3062" i="1"/>
  <c r="S3270" i="1"/>
  <c r="S3278" i="1"/>
  <c r="S3302" i="1"/>
  <c r="S3446" i="1"/>
  <c r="S3486" i="1"/>
  <c r="S3654" i="1"/>
  <c r="S3734" i="1"/>
  <c r="S3774" i="1"/>
  <c r="S3806" i="1"/>
  <c r="S3894" i="1"/>
  <c r="S3950" i="1"/>
  <c r="S3966" i="1"/>
  <c r="S4302" i="1"/>
  <c r="S4310" i="1"/>
  <c r="S4334" i="1"/>
  <c r="S4358" i="1"/>
  <c r="S4398" i="1"/>
  <c r="S4414" i="1"/>
  <c r="S4454" i="1"/>
  <c r="S4494" i="1"/>
  <c r="S4574" i="1"/>
  <c r="S4590" i="1"/>
  <c r="S4742" i="1"/>
  <c r="S4766" i="1"/>
  <c r="S4886" i="1"/>
  <c r="S4942" i="1"/>
  <c r="S4958" i="1"/>
  <c r="S4966" i="1"/>
  <c r="S385" i="1"/>
  <c r="S1753" i="1"/>
  <c r="S2553" i="1"/>
  <c r="S182" i="1"/>
  <c r="S286" i="1"/>
  <c r="S63" i="1"/>
  <c r="S111" i="1"/>
  <c r="S207" i="1"/>
  <c r="S359" i="1"/>
  <c r="S407" i="1"/>
  <c r="S423" i="1"/>
  <c r="S479" i="1"/>
  <c r="S519" i="1"/>
  <c r="S647" i="1"/>
  <c r="S679" i="1"/>
  <c r="S967" i="1"/>
  <c r="S1039" i="1"/>
  <c r="S1111" i="1"/>
  <c r="S1151" i="1"/>
  <c r="S1255" i="1"/>
  <c r="S1343" i="1"/>
  <c r="S1399" i="1"/>
  <c r="S1463" i="1"/>
  <c r="S1487" i="1"/>
  <c r="S1631" i="1"/>
  <c r="S1799" i="1"/>
  <c r="S2199" i="1"/>
  <c r="S2279" i="1"/>
  <c r="S2303" i="1"/>
  <c r="S2327" i="1"/>
  <c r="S2407" i="1"/>
  <c r="S2439" i="1"/>
  <c r="S2495" i="1"/>
  <c r="S2519" i="1"/>
  <c r="S2623" i="1"/>
  <c r="S2671" i="1"/>
  <c r="S2815" i="1"/>
  <c r="S2871" i="1"/>
  <c r="S3039" i="1"/>
  <c r="S3103" i="1"/>
  <c r="S3271" i="1"/>
  <c r="S3303" i="1"/>
  <c r="S3399" i="1"/>
  <c r="S3615" i="1"/>
  <c r="S3783" i="1"/>
  <c r="S3831" i="1"/>
  <c r="S3895" i="1"/>
  <c r="S3959" i="1"/>
  <c r="S3999" i="1"/>
  <c r="S4039" i="1"/>
  <c r="S4071" i="1"/>
  <c r="S4199" i="1"/>
  <c r="S4255" i="1"/>
  <c r="S4303" i="1"/>
  <c r="S4399" i="1"/>
  <c r="S4423" i="1"/>
  <c r="S4447" i="1"/>
  <c r="S4455" i="1"/>
  <c r="S4535" i="1"/>
  <c r="S4551" i="1"/>
  <c r="S4743" i="1"/>
  <c r="S4831" i="1"/>
  <c r="S4983" i="1"/>
  <c r="S4999" i="1"/>
  <c r="S1449" i="1"/>
  <c r="S2313" i="1"/>
  <c r="S2865" i="1"/>
  <c r="S22" i="1"/>
  <c r="S24" i="1"/>
  <c r="S88" i="1"/>
  <c r="S168" i="1"/>
  <c r="S256" i="1"/>
  <c r="S312" i="1"/>
  <c r="S464" i="1"/>
  <c r="S496" i="1"/>
  <c r="S576" i="1"/>
  <c r="S768" i="1"/>
  <c r="S880" i="1"/>
  <c r="S1032" i="1"/>
  <c r="S1096" i="1"/>
  <c r="S1272" i="1"/>
  <c r="S1440" i="1"/>
  <c r="S1504" i="1"/>
  <c r="S1536" i="1"/>
  <c r="S1616" i="1"/>
  <c r="S1624" i="1"/>
  <c r="S1640" i="1"/>
  <c r="S1648" i="1"/>
  <c r="S1704" i="1"/>
  <c r="S1784" i="1"/>
  <c r="S1832" i="1"/>
  <c r="S1848" i="1"/>
  <c r="S2168" i="1"/>
  <c r="S2344" i="1"/>
  <c r="S2408" i="1"/>
  <c r="S2456" i="1"/>
  <c r="S2480" i="1"/>
  <c r="S2584" i="1"/>
  <c r="S2600" i="1"/>
  <c r="S2632" i="1"/>
  <c r="S2904" i="1"/>
  <c r="S2912" i="1"/>
  <c r="S2976" i="1"/>
  <c r="S3096" i="1"/>
  <c r="S3128" i="1"/>
  <c r="S3272" i="1"/>
  <c r="S3312" i="1"/>
  <c r="S3328" i="1"/>
  <c r="S3536" i="1"/>
  <c r="S3616" i="1"/>
  <c r="S3632" i="1"/>
  <c r="S3696" i="1"/>
  <c r="S3720" i="1"/>
  <c r="S3736" i="1"/>
  <c r="S3784" i="1"/>
  <c r="S4016" i="1"/>
  <c r="S4072" i="1"/>
  <c r="S4120" i="1"/>
  <c r="S4144" i="1"/>
  <c r="S4232" i="1"/>
  <c r="S4272" i="1"/>
  <c r="S4384" i="1"/>
  <c r="S4392" i="1"/>
  <c r="S4400" i="1"/>
  <c r="S4424" i="1"/>
  <c r="S4456" i="1"/>
  <c r="S4472" i="1"/>
  <c r="S4520" i="1"/>
  <c r="S4800" i="1"/>
  <c r="S4832" i="1"/>
  <c r="S4872" i="1"/>
  <c r="S49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<sst xmlns="http://schemas.openxmlformats.org/spreadsheetml/2006/main" count="39560" uniqueCount="10187">
  <si>
    <t>URL</t>
  </si>
  <si>
    <t>Product_id</t>
  </si>
  <si>
    <t>BrandName</t>
  </si>
  <si>
    <t>Category</t>
  </si>
  <si>
    <t>Individual_category</t>
  </si>
  <si>
    <t>category_by_Gender</t>
  </si>
  <si>
    <t>Description</t>
  </si>
  <si>
    <t>DiscountPrice (in Rs)</t>
  </si>
  <si>
    <t>OriginalPrice (in Rs)</t>
  </si>
  <si>
    <t>DiscountOffer</t>
  </si>
  <si>
    <t>SizeOption</t>
  </si>
  <si>
    <t>Ratings</t>
  </si>
  <si>
    <t>Reviews</t>
  </si>
  <si>
    <t>https://www.myntra.com/jeans/roadster/roadster-men-navy-blue-slim-fit-mid-rise-clean-look-jeans/2296012/buy</t>
  </si>
  <si>
    <t>Roadster</t>
  </si>
  <si>
    <t>Bottom Wear</t>
  </si>
  <si>
    <t>jeans</t>
  </si>
  <si>
    <t>Men</t>
  </si>
  <si>
    <t>roadster men navy blue slim fit mid rise clean look jeans</t>
  </si>
  <si>
    <t>45% OFF</t>
  </si>
  <si>
    <t>28, 30, 32, 34, 36</t>
  </si>
  <si>
    <t>https://www.myntra.com/track-pants/locomotive/locomotive-men-black--white-solid-slim-fit-track-pants/13780156/buy</t>
  </si>
  <si>
    <t>LOCOMOTIVE</t>
  </si>
  <si>
    <t>track-pants</t>
  </si>
  <si>
    <t>locomotive men black  white solid slim fit track pants</t>
  </si>
  <si>
    <t>55% OFF</t>
  </si>
  <si>
    <t>S, M, L, XL</t>
  </si>
  <si>
    <t>https://www.myntra.com/shirts/roadster/roadster-men-navy-white--black-geometric-printed-sustainable-casual-shirt/11895958/buy</t>
  </si>
  <si>
    <t>Topwear</t>
  </si>
  <si>
    <t>shirts</t>
  </si>
  <si>
    <t>roadster men navy white  black geometric printed sustainable casual shirt</t>
  </si>
  <si>
    <t>38, 40, 42, 44, 46, 48</t>
  </si>
  <si>
    <t>https://www.myntra.com/shapewear/zivame/zivame-women-black-saree-shapewear-zi3023core0nude/4335679/buy</t>
  </si>
  <si>
    <t>Zivame</t>
  </si>
  <si>
    <t>Lingerie &amp; Sleep Wear</t>
  </si>
  <si>
    <t>shapewear</t>
  </si>
  <si>
    <t>Women</t>
  </si>
  <si>
    <t>zivame women black saree shapewear zi3023core0nude</t>
  </si>
  <si>
    <t xml:space="preserve">  31% OFF</t>
  </si>
  <si>
    <t>S, M, L, XL, XXL</t>
  </si>
  <si>
    <t>https://www.myntra.com/tshirts/roadster/roadster-women-white-solid-v-neck-pure-cotton-t-shirt/11690882/buy</t>
  </si>
  <si>
    <t>Western</t>
  </si>
  <si>
    <t>tshirts</t>
  </si>
  <si>
    <t>roadster women white solid v neck pure cotton t shirt</t>
  </si>
  <si>
    <t>35% OFF</t>
  </si>
  <si>
    <t>XS, S, M, L, XL</t>
  </si>
  <si>
    <t>https://www.myntra.com/tops/mast--harbour/mast--harbour-women-yellow-solid-tank-top/2490950/buy</t>
  </si>
  <si>
    <t>Mast &amp; Harbour</t>
  </si>
  <si>
    <t>tops</t>
  </si>
  <si>
    <t>mast  harbour women yellow solid tank top</t>
  </si>
  <si>
    <t>40% OFF</t>
  </si>
  <si>
    <t>https://www.myntra.com/trousers/highlander/highlander-men-olive-green-slim-fit-solid-regular-trousers/6744434/buy</t>
  </si>
  <si>
    <t>HIGHLANDER</t>
  </si>
  <si>
    <t>trousers</t>
  </si>
  <si>
    <t>highlander men olive green slim fit solid regular trousers</t>
  </si>
  <si>
    <t>60% OFF</t>
  </si>
  <si>
    <t>30, 32, 34, 36</t>
  </si>
  <si>
    <t>https://www.myntra.com/tops/mayra/mayra-pink-embroidered-a-line-pure-cotton-top/8439415/buy</t>
  </si>
  <si>
    <t>Mayra</t>
  </si>
  <si>
    <t>mayra pink embroidered a line pure cotton top</t>
  </si>
  <si>
    <t>58% OFF</t>
  </si>
  <si>
    <t>https://www.myntra.com/tshirts/roadster/roadster-women-pack-of-2-solid-t-shirts/17381394/buy</t>
  </si>
  <si>
    <t>roadster women pack of 2 solid t shirts</t>
  </si>
  <si>
    <t>https://www.myntra.com/jeans/herenow/herenow-men-blue-slim-fit-mid-rise-clean-look-ankle-length-stretchable-jeans/2359257/buy</t>
  </si>
  <si>
    <t>HERE&amp;NOW</t>
  </si>
  <si>
    <t>herenow men blue slim fit mid rise clean look ankle length stretchable jeans</t>
  </si>
  <si>
    <t>https://www.myntra.com/tights/hrx-by-hrithik-roshan/hrx-by-hrithik-roshan-men-rapid-dry-training-tights/7695793/buy</t>
  </si>
  <si>
    <t>HRX by Hrithik Roshan</t>
  </si>
  <si>
    <t>Sports Wear</t>
  </si>
  <si>
    <t>tights</t>
  </si>
  <si>
    <t>hrx by hrithik roshan men rapid dry training tights</t>
  </si>
  <si>
    <t>https://www.myntra.com/tshirts/roadster/roadster-men-navy-blue--white-striped-polo-collar-pure-cotton-t-shirt/10307375/buy</t>
  </si>
  <si>
    <t>roadster men navy blue  white striped polo collar pure cotton t shirt</t>
  </si>
  <si>
    <t>XS, S, M, L, XL, XXL, 3XL, 4XL</t>
  </si>
  <si>
    <t>https://www.myntra.com/kurta-sets/anubhutee/anubhutee-women-pink--white-printed-kurta-with-trousers--dupatta/12873874/buy</t>
  </si>
  <si>
    <t>Anubhutee</t>
  </si>
  <si>
    <t>Indian Wear</t>
  </si>
  <si>
    <t>kurta-sets</t>
  </si>
  <si>
    <t>anubhutee women pink  white printed kurta with trousers  dupatta</t>
  </si>
  <si>
    <t>70% OFF</t>
  </si>
  <si>
    <t>https://www.myntra.com/jumpsuit/athena/athena-women-black-solid-basic-jumpsuit/11634538/buy</t>
  </si>
  <si>
    <t>Athena</t>
  </si>
  <si>
    <t>jumpsuit</t>
  </si>
  <si>
    <t>athena women black solid basic jumpsuit</t>
  </si>
  <si>
    <t>50% OFF</t>
  </si>
  <si>
    <t>https://www.myntra.com/tshirts/roadster/roadster-women-maroon-solid-round-neck-t-shirt/2312181/buy</t>
  </si>
  <si>
    <t>roadster women maroon solid round neck t shirt</t>
  </si>
  <si>
    <t>https://www.myntra.com/shirts/highlander/highlander-men-blue--black-slim-fit-printed-casual-shirt/13842386/buy</t>
  </si>
  <si>
    <t>highlander men blue  black slim fit printed casual shirt</t>
  </si>
  <si>
    <t>53% OFF</t>
  </si>
  <si>
    <t>39, 40, 42, 44</t>
  </si>
  <si>
    <t>https://www.myntra.com/kurtas/vishudh/vishudh-women-blue--pink-floral-print-a-line-kurta/10473520/buy</t>
  </si>
  <si>
    <t>Vishudh</t>
  </si>
  <si>
    <t>kurtas</t>
  </si>
  <si>
    <t>vishudh women blue  pink floral print a line kurta</t>
  </si>
  <si>
    <t>59% OFF</t>
  </si>
  <si>
    <t>https://www.myntra.com/kurta-sets/sangria/sangria-women-green--off-white-printed-kurta-with-palazzos--dupatta/10561392/buy</t>
  </si>
  <si>
    <t>Sangria</t>
  </si>
  <si>
    <t>Plus Size</t>
  </si>
  <si>
    <t>sangria women green  off white printed kurta with palazzos  dupatta</t>
  </si>
  <si>
    <t>XS, S, M, L, XL, XXL, 3XL</t>
  </si>
  <si>
    <t>https://www.myntra.com/trousers/tokyo-talkies/tokyo-talkies-women-olive-green-regular-fit-solid-cargos/12391750/buy</t>
  </si>
  <si>
    <t>Tokyo Talkies</t>
  </si>
  <si>
    <t>tokyo talkies women olive green regular fit solid cargos</t>
  </si>
  <si>
    <t>61% OFF</t>
  </si>
  <si>
    <t>28, 30, 32, 34</t>
  </si>
  <si>
    <t>https://www.myntra.com/tshirts/dressberry/dressberry-women-lovely-olive-typography-talking-tee/2522986/buy</t>
  </si>
  <si>
    <t>DressBerry</t>
  </si>
  <si>
    <t>dressberry women lovely olive typography talking tee</t>
  </si>
  <si>
    <t>75% OFF</t>
  </si>
  <si>
    <t>https://www.myntra.com/tshirts/roadster/roadster-women-pack-of-2-printed-cotton-t-shirt/17385142/buy</t>
  </si>
  <si>
    <t>roadster women pack of 2 printed cotton t shirt</t>
  </si>
  <si>
    <t>https://www.myntra.com/kurtas/anouk/anouk-women-mustard-yellow--gold-toned-printed-straight-kurta/12153330/buy</t>
  </si>
  <si>
    <t>Anouk</t>
  </si>
  <si>
    <t>anouk women mustard yellow  gold toned printed straight kurta</t>
  </si>
  <si>
    <t>XS, S, M, L, XL, XXL</t>
  </si>
  <si>
    <t>https://www.myntra.com/bra/enamor/enamor-black-non-wired-removable-pads-high-coverage-medium-impact-sports-bra-sb08/1864573/buy</t>
  </si>
  <si>
    <t>Enamor</t>
  </si>
  <si>
    <t>bra</t>
  </si>
  <si>
    <t>enamor black non wired removable pads high coverage medium impact sports bra sb08</t>
  </si>
  <si>
    <t>https://www.myntra.com/shirts/all-about-you/all-about-you-women-mauve-stretchable-casual-shirt/13205276/buy</t>
  </si>
  <si>
    <t>all about you</t>
  </si>
  <si>
    <t>all about you women mauve stretchable casual shirt</t>
  </si>
  <si>
    <t>https://www.myntra.com/tops/kassually/kassually-blue-floral-cinched-waist-top-with-puff-sleeves/11535928/buy</t>
  </si>
  <si>
    <t>KASSUALLY</t>
  </si>
  <si>
    <t>kassually blue floral cinched waist top with puff sleeves</t>
  </si>
  <si>
    <t>62% OFF</t>
  </si>
  <si>
    <t>https://www.myntra.com/tops/rare/rare-women-maroon-striped-top/6552977/buy</t>
  </si>
  <si>
    <t>RARE</t>
  </si>
  <si>
    <t>rare women maroon striped top</t>
  </si>
  <si>
    <t>57% OFF</t>
  </si>
  <si>
    <t>https://www.myntra.com/trousers/zastraa/zastraa-women-maroon-slim-fit-peg-trousers/9476129/buy</t>
  </si>
  <si>
    <t>Zastraa</t>
  </si>
  <si>
    <t>zastraa women maroon slim fit peg trousers</t>
  </si>
  <si>
    <t>26, 28, 30, 32, 34, 36</t>
  </si>
  <si>
    <t>https://www.myntra.com/shorts/wisstler/wisstler-women-navy--pink-chevron-print-regular-fit-shorts/2017530/buy</t>
  </si>
  <si>
    <t>WISSTLER</t>
  </si>
  <si>
    <t>shorts</t>
  </si>
  <si>
    <t>wisstler women navy  pink chevron print regular fit shorts</t>
  </si>
  <si>
    <t>https://www.myntra.com/kurtas/sangria/sangria-women-black--green-printed-straight-kurta/11173948/buy</t>
  </si>
  <si>
    <t>sangria women black  green printed straight kurta</t>
  </si>
  <si>
    <t>60% OFF, Hurry*</t>
  </si>
  <si>
    <t>https://www.myntra.com/shorts/roadster/roadster-women-blue-solid-regular-fit-denim-shorts/11118428/buy</t>
  </si>
  <si>
    <t>roadster women blue solid regular fit denim shorts</t>
  </si>
  <si>
    <t>https://www.myntra.com/tshirts/roadster/roadster-women-green--teal-green-pack-of-2-printed-round-neck-t-shirts/17383362/buy</t>
  </si>
  <si>
    <t>roadster women green  teal green pack of 2 printed round neck t shirts</t>
  </si>
  <si>
    <t>L, M, S, XS, XL</t>
  </si>
  <si>
    <t>https://www.myntra.com/dresses/vishudh/vishudh-women-navy-blue--green-maxi-dress/9971493/buy</t>
  </si>
  <si>
    <t>dresses</t>
  </si>
  <si>
    <t>vishudh women navy blue  green maxi dress</t>
  </si>
  <si>
    <t>65% OFF</t>
  </si>
  <si>
    <t>https://www.myntra.com/jumpsuit/cottinfab/cottinfab-olive-green-solid-cold-shoulder-jumpsuit/7846797/buy</t>
  </si>
  <si>
    <t>Cottinfab</t>
  </si>
  <si>
    <t>cottinfab olive green solid cold shoulder jumpsuit</t>
  </si>
  <si>
    <t>https://www.myntra.com/jumpsuit/quiero/quiero-women-maroon-wrap-detail-jumpsuit/10771696/buy</t>
  </si>
  <si>
    <t>QUIERO</t>
  </si>
  <si>
    <t>quiero women maroon wrap detail jumpsuit</t>
  </si>
  <si>
    <t>https://www.myntra.com/tshirts/roadster/roadster-women-rust-pink--white-colourblocked-round-neck-pure-cotton-t-shirt-with-twisted-detail/10969948/buy</t>
  </si>
  <si>
    <t>roadster women rust pink  white colourblocked round neck pure cotton t shirt with twisted detail</t>
  </si>
  <si>
    <t>https://www.myntra.com/bath-robe/elevanto/elevanto-women-fuchsia-pink-solid-bath-robe/11938872/buy</t>
  </si>
  <si>
    <t>ELEVANTO</t>
  </si>
  <si>
    <t>bath-robe</t>
  </si>
  <si>
    <t>elevanto women fuchsia pink solid bath robe</t>
  </si>
  <si>
    <t>51% OFF</t>
  </si>
  <si>
    <t>Onesize</t>
  </si>
  <si>
    <t>https://www.myntra.com/track-pants/tokyo-talkies/tokyo-talkies-women-black-solid-casual-joggers/14154054/buy</t>
  </si>
  <si>
    <t>tokyo talkies women black solid casual joggers</t>
  </si>
  <si>
    <t>49% OFF</t>
  </si>
  <si>
    <t>https://www.myntra.com/jeans/wrogn/wrogn-men-blue-skinny-fit-mid-rise-clean-look-stretchable-jeans/2477061/buy</t>
  </si>
  <si>
    <t>WROGN</t>
  </si>
  <si>
    <t>wrogn men blue skinny fit mid rise clean look stretchable jeans</t>
  </si>
  <si>
    <t>28, 30, 32, 34, 36, 38</t>
  </si>
  <si>
    <t>https://www.myntra.com/jeans/wrogn/wrogn-men-black-slim-fit-mid-rise-clean-look-stretchable-jeans/10187401/buy</t>
  </si>
  <si>
    <t>wrogn men black slim fit mid rise clean look stretchable jeans</t>
  </si>
  <si>
    <t>https://www.myntra.com/track-pants/hrx-by-hrithik-roshan/hrx-by-hrithik-roshan-men-olive-green-camo-athleisure-track-pants/6791064/buy</t>
  </si>
  <si>
    <t>hrx by hrithik roshan men olive green camo athleisure track pants</t>
  </si>
  <si>
    <t>https://www.myntra.com/shirts/roadster/roadster-men-sea-green-pure-cotton-sustainable-casual-shirt/12918912/buy</t>
  </si>
  <si>
    <t>roadster men sea green pure cotton sustainable casual shirt</t>
  </si>
  <si>
    <t>https://www.myntra.com/tights/hrx-by-hrithik-roshan/hrx-by-hrithik-roshan-black-self-striped-seamless-rapid-dry-yoga-tights/11245584/buy</t>
  </si>
  <si>
    <t>hrx by hrithik roshan black self striped seamless rapid dry yoga tights</t>
  </si>
  <si>
    <t>https://www.myntra.com/trousers/sassafras/sassafras-women-olive-green-peg-trousers/8643285/buy</t>
  </si>
  <si>
    <t>SASSAFRAS</t>
  </si>
  <si>
    <t>sassafras women olive green peg trousers</t>
  </si>
  <si>
    <t>https://www.myntra.com/tops/her-by-invictus/her-by-invictus-white--black-floral-monochrome-smart-casual-top/9451341/buy</t>
  </si>
  <si>
    <t>her by invictus</t>
  </si>
  <si>
    <t>her by invictus white  black floral monochrome smart casual top</t>
  </si>
  <si>
    <t>30% OFF</t>
  </si>
  <si>
    <t>https://www.myntra.com/jackets/stylestone/stylestone-women-blue-solid-denim-jacket/7526008/buy</t>
  </si>
  <si>
    <t>StyleStone</t>
  </si>
  <si>
    <t>jackets</t>
  </si>
  <si>
    <t>stylestone women blue solid denim jacket</t>
  </si>
  <si>
    <t>https://www.myntra.com/tops/mayra/mayra-women-mustard-yellow--green-ditsy-floral-printed-cinched-waist-top/11235516/buy</t>
  </si>
  <si>
    <t>mayra women mustard yellow  green ditsy floral printed cinched waist top</t>
  </si>
  <si>
    <t>https://www.myntra.com/jeans/roadster/roadster-men-navy-blue-super-skinny-fit-acid-wash-clean-look-stretchable-jeans/10064541/buy</t>
  </si>
  <si>
    <t>roadster men navy blue super skinny fit acid wash clean look stretchable jeans</t>
  </si>
  <si>
    <t>28, 30, 32, 34, 36, 38, 40</t>
  </si>
  <si>
    <t>https://www.myntra.com/socks/hrx-by-hrithik-roshan/hrx-by-hrithik-roshan-men-quarter-length-pack-of-3-terry-socks/976816/buy</t>
  </si>
  <si>
    <t>Inner Wear &amp;  Sleep Wear</t>
  </si>
  <si>
    <t>socks</t>
  </si>
  <si>
    <t>hrx by hrithik roshan men quarter length pack of 3 terry socks</t>
  </si>
  <si>
    <t>https://www.myntra.com/tshirts/moda-rapido/moda-rapido-men-olive-green--yellow-striped-cotton-pure-cotton-t-shirt/11269190/buy</t>
  </si>
  <si>
    <t>Moda Rapido</t>
  </si>
  <si>
    <t>moda rapido men olive green  yellow striped cotton pure cotton t shirt</t>
  </si>
  <si>
    <t>https://www.myntra.com/tshirts/moda-rapido/moda-rapido-men-olive-green-printed-round-neck-pure-cotton-t-shirt/10266495/buy</t>
  </si>
  <si>
    <t>moda rapido men olive green printed round neck pure cotton t shirt</t>
  </si>
  <si>
    <t>https://www.myntra.com/tops/harpa/harpa-women-pink-printed-wrap-top/8986005/buy</t>
  </si>
  <si>
    <t>Harpa</t>
  </si>
  <si>
    <t>harpa women pink printed wrap top</t>
  </si>
  <si>
    <t>52% OFF</t>
  </si>
  <si>
    <t>https://www.myntra.com/jackets/sassafras/sassafras-women-blue-solid-denim-jacket/10604500/buy</t>
  </si>
  <si>
    <t>sassafras women blue solid denim jacket</t>
  </si>
  <si>
    <t>https://www.myntra.com/jeans/roadster/roadster-women-stunning-blue-boyfriend-fit-jeans/11045880/buy</t>
  </si>
  <si>
    <t>roadster women stunning blue boyfriend fit jeans</t>
  </si>
  <si>
    <t>https://www.myntra.com/tshirts/kook-n-keech-marvel/kook-n-keech-marvel-women-red-printed-polo-collar-pure-cotton-t-shirt/8912653/buy</t>
  </si>
  <si>
    <t>Kook N Keech Marvel</t>
  </si>
  <si>
    <t>kook n keech marvel women red printed polo collar pure cotton t shirt</t>
  </si>
  <si>
    <t>https://www.myntra.com/jeans/roadster/roadster-men-blue-slim-fit-mid-rise-mildly-distressed-stretchable-jeans/10064487/buy</t>
  </si>
  <si>
    <t>roadster men blue slim fit mid rise mildly distressed stretchable jeans</t>
  </si>
  <si>
    <t>https://www.myntra.com/shirts/highlander/highlander-men-white-slim-fit-solid-casual-shirt/2888727/buy</t>
  </si>
  <si>
    <t>highlander men white slim fit solid casual shirt</t>
  </si>
  <si>
    <t>https://www.myntra.com/tops/pluss/pluss-black-a-line-crop-pure-cotton-top/12150560/buy</t>
  </si>
  <si>
    <t>plusS</t>
  </si>
  <si>
    <t>pluss black a line crop pure cotton top</t>
  </si>
  <si>
    <t>S, M, L, XL, XXL, 3XL, 4XL</t>
  </si>
  <si>
    <t>https://www.myntra.com/dresses/la-zoire/la-zoire-maroon-georgette-maxi-dress/2337104/buy</t>
  </si>
  <si>
    <t>La Zoire</t>
  </si>
  <si>
    <t>la zoire maroon georgette maxi dress</t>
  </si>
  <si>
    <t>https://www.myntra.com/shirts/highlander/highlander-men-black--white-slim-fit-striped-casual-shirt/12027772/buy</t>
  </si>
  <si>
    <t>highlander men black  white slim fit striped casual shirt</t>
  </si>
  <si>
    <t>https://www.myntra.com/shirts/highlander/highlander-men-navy--off-white-slim-fit-checked-casual-shirt/2429098/buy</t>
  </si>
  <si>
    <t>highlander men navy  off white slim fit checked casual shirt</t>
  </si>
  <si>
    <t>https://www.myntra.com/kurtas/anayna/anayna-women-beige--pink-screen-print-straight-kurta/11530828/buy</t>
  </si>
  <si>
    <t>anayna</t>
  </si>
  <si>
    <t>anayna women beige  pink screen print straight kurta</t>
  </si>
  <si>
    <t>S, M, L, XL, XXL, 3XL</t>
  </si>
  <si>
    <t>https://www.myntra.com/bra/enamor/enamor-white-non-wired-non-padded-full-coverage-everyday-bra-ab75-/130968/buy</t>
  </si>
  <si>
    <t xml:space="preserve">enamor white non wired non padded full coverage everyday bra ab75 </t>
  </si>
  <si>
    <t>34B, 34C, 34D, 36B, 36C, 36D, 38B, 38C, 38D, 40B, 40C, 40D, 42B, 42C, 42D</t>
  </si>
  <si>
    <t>https://www.myntra.com/kurta-sets/sangria/sangria-women-fuchsia--white-layered-printed-kurta-with-trousers/8350055/buy</t>
  </si>
  <si>
    <t>sangria women fuchsia  white layered printed kurta with trousers</t>
  </si>
  <si>
    <t>https://www.myntra.com/tops/roadster/the-roadster-lifestyle-co-women-black-striped-top/10856472/buy</t>
  </si>
  <si>
    <t>the roadster lifestyle co women black striped top</t>
  </si>
  <si>
    <t>https://www.myntra.com/shirts/roadster/roadster-men-blue-faded-denim-casual-sustainable-shirt/6687412/buy</t>
  </si>
  <si>
    <t>roadster men blue faded denim casual sustainable shirt</t>
  </si>
  <si>
    <t>https://www.myntra.com/dresses/sangria/sangria-teal-blue--coral-pink-floral-print-a-line-dress/11174094/buy</t>
  </si>
  <si>
    <t>sangria teal blue  coral pink floral print a line dress</t>
  </si>
  <si>
    <t>https://www.myntra.com/kurta-sets/azira/azira-women-green-printed-kurta-with-palazzos--dupatta/13141478/buy</t>
  </si>
  <si>
    <t>Azira</t>
  </si>
  <si>
    <t>azira women green printed kurta with palazzos  dupatta</t>
  </si>
  <si>
    <t>https://www.myntra.com/tshirts/roadster/roadster-women-mustard-yellow-solid-round-neck-t-shirt/2439141/buy</t>
  </si>
  <si>
    <t>roadster women mustard yellow solid round neck t shirt</t>
  </si>
  <si>
    <t>https://www.myntra.com/shirts/roadster/roadster-men-maroon-pure-cotton-sustainable-casual-shirt/11903990/buy</t>
  </si>
  <si>
    <t>roadster men maroon pure cotton sustainable casual shirt</t>
  </si>
  <si>
    <t>38, 40, 42, 44</t>
  </si>
  <si>
    <t>https://www.myntra.com/kurta-sets/anouk/anouk-women-green-printed-kurti-with-dhoti-pants/12337118/buy</t>
  </si>
  <si>
    <t>anouk women green printed kurti with dhoti pants</t>
  </si>
  <si>
    <t>https://www.myntra.com/tops/herenow/herenow-women-blue-schifilli-embroidered-pure-cotton-top/12650884/buy</t>
  </si>
  <si>
    <t>herenow women blue schifilli embroidered pure cotton top</t>
  </si>
  <si>
    <t>https://www.myntra.com/kurtas/sangria/sangria-women-green--yellow-printed-straight-kurta/8350425/buy</t>
  </si>
  <si>
    <t>sangria women green  yellow printed straight kurta</t>
  </si>
  <si>
    <t>https://www.myntra.com/tshirts/roadster/roadster-women-set-of-2-printed-t-shirts/17381750/buy</t>
  </si>
  <si>
    <t>roadster women set of 2 printed t shirts</t>
  </si>
  <si>
    <t>https://www.myntra.com/jeans/wrogn/wrogn-men-blue-slim-fit-mid-rise-clean-look-stretchable-jeans/6832275/buy</t>
  </si>
  <si>
    <t>wrogn men blue slim fit mid rise clean look stretchable jeans</t>
  </si>
  <si>
    <t>https://www.myntra.com/shirts/roadster/roadster-men-grey-printed-pure-cotton-sustainable-casual-shirt/7256007/buy</t>
  </si>
  <si>
    <t>roadster men grey printed pure cotton sustainable casual shirt</t>
  </si>
  <si>
    <t>https://www.myntra.com/trousers/tokyo-talkies/tokyo-talkies-women-maroon-regular-fit-solid-parallel-trousers/13035312/buy</t>
  </si>
  <si>
    <t>tokyo talkies women maroon regular fit solid parallel trousers</t>
  </si>
  <si>
    <t>https://www.myntra.com/jeans/roadster/roadster-women-stunning-blue-boyfriend-fit-stretchable-jeans/11045892/buy</t>
  </si>
  <si>
    <t>roadster women stunning blue boyfriend fit stretchable jeans</t>
  </si>
  <si>
    <t>https://www.myntra.com/tops/taavi/taavi-white--orange-hand-block-print-smocked-legacy-sustainable-pure-cotton-a-line-top/11157486/buy</t>
  </si>
  <si>
    <t>Taavi</t>
  </si>
  <si>
    <t>taavi white  orange hand block print smocked legacy sustainable pure cotton a line top</t>
  </si>
  <si>
    <t xml:space="preserve"> 45 % OFF</t>
  </si>
  <si>
    <t>https://www.myntra.com/tshirts/wrogn/wrogn-men-navy-blue-striped-slim-fit-cotton-pure-cotton-t-shirt/11363302/buy</t>
  </si>
  <si>
    <t>wrogn men navy blue striped slim fit cotton pure cotton t shirt</t>
  </si>
  <si>
    <t>https://www.myntra.com/kurtas/varanga/varanga-women-mustard-yellow-solid-straight-kurta-with-thread-work/12412864/buy</t>
  </si>
  <si>
    <t>Varanga</t>
  </si>
  <si>
    <t>varanga women mustard yellow solid straight kurta with thread work</t>
  </si>
  <si>
    <t>71% OFF</t>
  </si>
  <si>
    <t>https://www.myntra.com/shapewear/zivame/zivame-women-grey-tummy--thigh-shaper-zi0pssan03agrey/7569310/buy</t>
  </si>
  <si>
    <t>zivame women grey tummy  thigh shaper zi0pssan03agrey</t>
  </si>
  <si>
    <t>25% OFF</t>
  </si>
  <si>
    <t>https://www.myntra.com/tops/herenow/herenow-black-ethnic-motifs-a-line-top/7102379/buy</t>
  </si>
  <si>
    <t>herenow black ethnic motifs a line top</t>
  </si>
  <si>
    <t>https://www.myntra.com/tops/her-by-invictus/her-by-invictus-white-shirt-style-top/9240973/buy</t>
  </si>
  <si>
    <t>her by invictus white shirt style top</t>
  </si>
  <si>
    <t>https://www.myntra.com/jackets/sassafras/sassafras-women-lavender-solid-cropped-jacket/12222046/buy</t>
  </si>
  <si>
    <t>sassafras women lavender solid cropped jacket</t>
  </si>
  <si>
    <t>https://www.myntra.com/jackets/street-9/street-9-women-white-solid-crop-jacket/7772505/buy</t>
  </si>
  <si>
    <t>STREET 9</t>
  </si>
  <si>
    <t>street 9 women white solid crop jacket</t>
  </si>
  <si>
    <t>https://www.myntra.com/tshirts/mast--harbour/mast--harbour-women-pink-solid-round-neck-t-shirt/11711920/buy</t>
  </si>
  <si>
    <t>mast  harbour women pink solid round neck t shirt</t>
  </si>
  <si>
    <t>https://www.myntra.com/briefs/levis/levis-men-pack-of-2-solid-pure-cotton--briefs-bf-100ca-2pk/9262959/buy</t>
  </si>
  <si>
    <t>Levis</t>
  </si>
  <si>
    <t>briefs</t>
  </si>
  <si>
    <t>levis men pack of 2 solid pure cotton  briefs bf 100ca 2pk</t>
  </si>
  <si>
    <t>https://www.myntra.com/shirts/highlander/highlander-men-peach-coloured-slim-fit-solid-casual-shirt/2888743/buy</t>
  </si>
  <si>
    <t>highlander men peach coloured slim fit solid casual shirt</t>
  </si>
  <si>
    <t>https://www.myntra.com/kurta-sets/anubhutee/anubhutee-women-red--off-white-bandhani-print-kurta-with-palazzos/13021502/buy</t>
  </si>
  <si>
    <t>anubhutee women red  off white bandhani print kurta with palazzos</t>
  </si>
  <si>
    <t>https://www.myntra.com/briefs/dollar-missy/dollar-missy-women-pack-of-12-hipster--101s-oe-po12/8025483/buy</t>
  </si>
  <si>
    <t>Dollar Missy</t>
  </si>
  <si>
    <t>dollar missy women pack of 12 hipster  101s oe po12</t>
  </si>
  <si>
    <t>https://www.myntra.com/sweatshirts/roadster/the-roadster-lifestyle-co-women-orange-solid-hooded-sweatshirt/9901951/buy</t>
  </si>
  <si>
    <t>sweatshirts</t>
  </si>
  <si>
    <t>the roadster lifestyle co women orange solid hooded sweatshirt</t>
  </si>
  <si>
    <t>https://www.myntra.com/tops/trend-arrest/trend-arrest-women-red--white-floral-printed-smocked-crop-peplum-top/11709228/buy</t>
  </si>
  <si>
    <t>Trend Arrest</t>
  </si>
  <si>
    <t>trend arrest women red  white floral printed smocked crop peplum top</t>
  </si>
  <si>
    <t>XS, S, M, L</t>
  </si>
  <si>
    <t>https://www.myntra.com/jeans/roadster/roadster-women-blue-skinny-fit-high-rise-clean-look-stretchable-cropped-jeans/11541522/buy</t>
  </si>
  <si>
    <t>roadster women blue skinny fit high rise clean look stretchable cropped jeans</t>
  </si>
  <si>
    <t>https://www.myntra.com/tshirts/hrx-by-hrithik-roshan/hrx-by-hrithik-roshan-men-navy-blue-solid-training-t-shirt/10106025/buy</t>
  </si>
  <si>
    <t>hrx by hrithik roshan men navy blue solid training t shirt</t>
  </si>
  <si>
    <t>https://www.myntra.com/shirts/highlander/highlander-men-blue-slim-fit-solid-casual-shirt/2347572/buy</t>
  </si>
  <si>
    <t>highlander men blue slim fit solid casual shirt</t>
  </si>
  <si>
    <t>https://www.myntra.com/sarees/tikhi-imli/tikhi-imli-yellow-embellished-poly-georgette-saree/11263958/buy</t>
  </si>
  <si>
    <t>Tikhi Imli</t>
  </si>
  <si>
    <t>sarees</t>
  </si>
  <si>
    <t>tikhi imli yellow embellished poly georgette saree</t>
  </si>
  <si>
    <t>https://www.myntra.com/tights/hrx-by-hrithik-roshan/hrx-by-hrithik-roshan-women-navy-solid-rapid-dry-training-tights/7695835/buy</t>
  </si>
  <si>
    <t>hrx by hrithik roshan women navy solid rapid dry training tights</t>
  </si>
  <si>
    <t>https://www.myntra.com/sweatshirts/belle-fille/belle-fille-maroon-polyester-fleece-hooded-sweatshirt/596473/buy</t>
  </si>
  <si>
    <t>Belle Fille</t>
  </si>
  <si>
    <t>belle fille maroon polyester fleece hooded sweatshirt</t>
  </si>
  <si>
    <t>https://www.myntra.com/jeans/roadster/roadster-women-blue-boyfriend-fit-high-rise-clean-look-stretchable-jeans/8801149/buy</t>
  </si>
  <si>
    <t>roadster women blue boyfriend fit high rise clean look stretchable jeans</t>
  </si>
  <si>
    <t>https://www.myntra.com/tshirts/roadster/roadster-women-mustard-yellow--black-printed-round-neck-t-shirt/12193806/buy</t>
  </si>
  <si>
    <t>roadster women mustard yellow  black printed round neck t shirt</t>
  </si>
  <si>
    <t>https://www.myntra.com/tshirts/dressberry/dressberry-women-grey-melange-printed-round-neck-t-shirt/2522852/buy</t>
  </si>
  <si>
    <t>dressberry women grey melange printed round neck t shirt</t>
  </si>
  <si>
    <t>https://www.myntra.com/jeans/wrogn/wrogn-men-grey-slim-fit-mid-rise-clean-look-jeans/1700734/buy</t>
  </si>
  <si>
    <t>wrogn men grey slim fit mid rise clean look jeans</t>
  </si>
  <si>
    <t>https://www.myntra.com/shirts/roadster/roadster-men-grey-printed-regular-fit-casual-sustainable-shirt/10740976/buy</t>
  </si>
  <si>
    <t>roadster men grey printed regular fit casual sustainable shirt</t>
  </si>
  <si>
    <t>https://www.myntra.com/shirts/roadster/roadster-men-blue-pure-cotton-sustainable-casual-shirt/11326046/buy</t>
  </si>
  <si>
    <t>roadster men blue pure cotton sustainable casual shirt</t>
  </si>
  <si>
    <t>https://www.myntra.com/kurtas/moda-rapido/moda-rapido-women-white--blue-printed-straight-kurta/2000035/buy</t>
  </si>
  <si>
    <t>moda rapido women white  blue printed straight kurta</t>
  </si>
  <si>
    <t>https://www.myntra.com/kurta-sets/vishudh/vishudh-women-turquoise-blue--gold-toned-printed-kurti-with-palazzos/9673749/buy</t>
  </si>
  <si>
    <t>vishudh women turquoise blue  gold toned printed kurti with palazzos</t>
  </si>
  <si>
    <t>https://www.myntra.com/tshirts/herenow/herenow-women-white--pink-striped-v-neck-pure-cotton-t-shirt/10297291/buy</t>
  </si>
  <si>
    <t>herenow women white  pink striped v neck pure cotton t shirt</t>
  </si>
  <si>
    <t>https://www.myntra.com/tshirts/ether/ether-women-navy-blue-solid-high-neck-t-shirt/11900306/buy</t>
  </si>
  <si>
    <t>ether</t>
  </si>
  <si>
    <t>ether women navy blue solid high neck t shirt</t>
  </si>
  <si>
    <t>https://www.myntra.com/trunk/jockey/jockey-international-collection-men-blue-solid-trunks-ic28/11036420/buy</t>
  </si>
  <si>
    <t>Jockey</t>
  </si>
  <si>
    <t>trunk</t>
  </si>
  <si>
    <t>jockey international collection men blue solid trunks ic28</t>
  </si>
  <si>
    <t>S, M, L</t>
  </si>
  <si>
    <t>https://www.myntra.com/trunk/jockey/jockey-men-pack-of-2-navy-blue-solid-trunks/11638588/buy</t>
  </si>
  <si>
    <t>jockey men pack of 2 navy blue solid trunks</t>
  </si>
  <si>
    <t>https://www.myntra.com/tshirts/hrx-by-hrithik-roshan/hrx-by-hrithik-roshan-men-black-printed-rapid-dry-basketball-tank-tshirt/11640010/buy</t>
  </si>
  <si>
    <t>hrx by hrithik roshan men black printed rapid dry basketball tank tshirt</t>
  </si>
  <si>
    <t>https://www.myntra.com/tshirts/roadster/roadster-men-navy-blue-solid-polo-collar-pure-cotton-t-shirt/2303687/buy</t>
  </si>
  <si>
    <t>roadster men navy blue solid polo collar pure cotton t shirt</t>
  </si>
  <si>
    <t>https://www.myntra.com/shirts/herenow/herenow-men-white--green-slim-fit-striped-casual-shirt/10316399/buy</t>
  </si>
  <si>
    <t>herenow men white  green slim fit striped casual shirt</t>
  </si>
  <si>
    <t>38, 40, 42, 44, 46</t>
  </si>
  <si>
    <t>https://www.myntra.com/tshirts/mast--harbour/mast--harbour-men-navy-blue--mustard-yellow-printed-round-neck-t-shirt/12116006/buy</t>
  </si>
  <si>
    <t>mast  harbour men navy blue  mustard yellow printed round neck t shirt</t>
  </si>
  <si>
    <t>https://www.myntra.com/kurtis/anouk/anouk-women-navy-blue--maroon-printed-kurti/6613296/buy</t>
  </si>
  <si>
    <t>kurtis</t>
  </si>
  <si>
    <t>anouk women navy blue  maroon printed kurti</t>
  </si>
  <si>
    <t>https://www.myntra.com/skirts/roadster/roadster-blue-washed-denim-straight-skirt/11489602/buy</t>
  </si>
  <si>
    <t>skirts</t>
  </si>
  <si>
    <t>roadster blue washed denim straight skirt</t>
  </si>
  <si>
    <t>https://www.myntra.com/tops/dressberry/dressberry-rust-orange-self-design-top/10162419/buy</t>
  </si>
  <si>
    <t>dressberry rust orange self design top</t>
  </si>
  <si>
    <t>https://www.myntra.com/dresses/sassafras/sassafras-grey--peach-coloured-floral-printed-accordian-pleat-fit--flare-dress/11364360/buy</t>
  </si>
  <si>
    <t>sassafras grey  peach coloured floral printed accordian pleat fit  flare dress</t>
  </si>
  <si>
    <t>https://www.myntra.com/kurtas/herenow/herenow-women-charcoal-grey--golden-ethnic-motif-print-straight-kurta/12524810/buy</t>
  </si>
  <si>
    <t>herenow women charcoal grey  golden ethnic motif print straight kurta</t>
  </si>
  <si>
    <t>https://www.myntra.com/kurtas/jaipur-kurti/jaipur-kurti-women-grey--black-checked-straight-kurta/10317827/buy</t>
  </si>
  <si>
    <t>Jaipur Kurti</t>
  </si>
  <si>
    <t>jaipur kurti women grey  black checked straight kurta</t>
  </si>
  <si>
    <t>https://www.myntra.com/tshirts/roadster/-roadster-women-pack-of-2-cotton-t-shirts/17382690/buy</t>
  </si>
  <si>
    <t xml:space="preserve"> roadster women pack of 2 cotton t shirts</t>
  </si>
  <si>
    <t>https://www.myntra.com/dresses/tokyo-talkies/tokyo-talkies-women-yellow-printed-maxi-dress/6625378/buy</t>
  </si>
  <si>
    <t>tokyo talkies women yellow printed maxi dress</t>
  </si>
  <si>
    <t>https://www.myntra.com/jeans/moda-rapido/moda-rapido-men-black-skinny-fit-mid-rise-slash-knee-stretchable-jeans/2344421/buy</t>
  </si>
  <si>
    <t>moda rapido men black skinny fit mid rise slash knee stretchable jeans</t>
  </si>
  <si>
    <t>https://www.myntra.com/tshirts/wrogn/wrogn-men-off-white--navy-striped-polo-pure-cotton-t-shirt/2478316/buy</t>
  </si>
  <si>
    <t>wrogn men off white  navy striped polo pure cotton t shirt</t>
  </si>
  <si>
    <t>https://www.myntra.com/kurtas/anubhutee/anubhutee-women-pink--orange-screen-print-a-line-kurta/11535126/buy</t>
  </si>
  <si>
    <t>anubhutee women pink  orange screen print a line kurta</t>
  </si>
  <si>
    <t>https://www.myntra.com/bra/dressberry/dressberry-pink-solid-non-wired-non-padded-everyday-bra-db-soft-bra-007c/10939758/buy</t>
  </si>
  <si>
    <t>dressberry pink solid non wired non padded everyday bra db soft bra 007c</t>
  </si>
  <si>
    <t>32B, 32C, 34B, 34C, 34D, 36B, 36C, 36D, 38B, 38C</t>
  </si>
  <si>
    <t>https://www.myntra.com/tshirts/mast--harbour/mast--harbour-women-off-white-printed-round-neck-t-shirt/7140521/buy</t>
  </si>
  <si>
    <t>mast  harbour women off white printed round neck t shirt</t>
  </si>
  <si>
    <t>https://www.myntra.com/jeans/dressberry/dressberry-women-blue-skinny-fit-mid-rise-clean-look-stretchable-jeans/10365147/buy</t>
  </si>
  <si>
    <t>dressberry women blue skinny fit mid rise clean look stretchable jeans</t>
  </si>
  <si>
    <t>https://www.myntra.com/kurtas/yuris/yuris-women-pink--white-printed-straight-kurta/10054351/buy</t>
  </si>
  <si>
    <t>Yuris</t>
  </si>
  <si>
    <t>yuris women pink  white printed straight kurta</t>
  </si>
  <si>
    <t>https://www.myntra.com/kurtas/anouk/anouk-women-blue--white-printed-indigo-straight-kurta/10960692/buy</t>
  </si>
  <si>
    <t>anouk women blue  white printed indigo straight kurta</t>
  </si>
  <si>
    <t>https://www.myntra.com/kurta-sets/anubhutee/anubhutee-women-pink--white-pure-cotton-bandhani-print-kurta-with-trousers/13581338/buy</t>
  </si>
  <si>
    <t>anubhutee women pink  white pure cotton bandhani print kurta with trousers</t>
  </si>
  <si>
    <t>66% OFF</t>
  </si>
  <si>
    <t>https://www.myntra.com/night-suits/claura/claura-women-yellow--white-printed-night-suit-cot-108-yellow-lt/7487820/buy</t>
  </si>
  <si>
    <t>Claura</t>
  </si>
  <si>
    <t>night-suits</t>
  </si>
  <si>
    <t>claura women yellow  white printed night suit cot 108 yellow lt</t>
  </si>
  <si>
    <t>38% OFF</t>
  </si>
  <si>
    <t>https://www.myntra.com/briefs/softrose/softrose-women-pack-of-3-boyshorts-sh7004bws/782799/buy</t>
  </si>
  <si>
    <t>Softrose</t>
  </si>
  <si>
    <t>softrose women pack of 3 boyshorts sh7004bws</t>
  </si>
  <si>
    <t>20% OFF</t>
  </si>
  <si>
    <t>https://www.myntra.com/tights/neu-look-fashion/neu-look-fashion-women-black--pink-colourblocked-gym-tights/14225120/buy</t>
  </si>
  <si>
    <t>NEU LOOK FASHION</t>
  </si>
  <si>
    <t>neu look fashion women black  pink colourblocked gym tights</t>
  </si>
  <si>
    <t>64% OFF</t>
  </si>
  <si>
    <t>https://www.myntra.com/tights/hrx-by-hrithik-roshan/hrx-by-hrithik-roshan-women-blue-printed-rapid-dry-seamless-running-tights/8475747/buy</t>
  </si>
  <si>
    <t>hrx by hrithik roshan women blue printed rapid dry seamless running tights</t>
  </si>
  <si>
    <t>https://www.myntra.com/tshirts/campus-sutra/campus-sutra-men-charcoal-grey-striped-mandarin-collar-t-shirt/10891012/buy</t>
  </si>
  <si>
    <t>Campus Sutra</t>
  </si>
  <si>
    <t>campus sutra men charcoal grey striped mandarin collar t shirt</t>
  </si>
  <si>
    <t>https://www.myntra.com/jackets/hrx-by-hrithik-roshan/hrx-by-hrithik-roshan-men-black--grey-camouflage-printed-running-bomber-jacket/4453300/buy</t>
  </si>
  <si>
    <t>hrx by hrithik roshan men black  grey camouflage printed running bomber jacket</t>
  </si>
  <si>
    <t>https://www.myntra.com/kurtas/varanga/varanga-women-yellow--peach-coloured-floral-screen-printed-gotta-patti-straight-kurta/15241816/buy</t>
  </si>
  <si>
    <t>varanga women yellow  peach coloured floral screen printed gotta patti straight kurta</t>
  </si>
  <si>
    <t>https://www.myntra.com/trousers/street-9/street-9-women-rose-cropped-cargos/12277596/buy</t>
  </si>
  <si>
    <t>street 9 women rose cropped cargos</t>
  </si>
  <si>
    <t>26, 28, 30, 32, 34</t>
  </si>
  <si>
    <t>https://www.myntra.com/shirts/kook-n-keech/kook-n-keech-women-black-regular-fit-printed-casual-shirt/2371017/buy</t>
  </si>
  <si>
    <t>Kook N Keech</t>
  </si>
  <si>
    <t>kook n keech women black regular fit printed casual shirt</t>
  </si>
  <si>
    <t>https://www.myntra.com/jeans/roadster/roadster-women-blue-flared-high-rise-clean-look-stretchable-jeans/11542062/buy</t>
  </si>
  <si>
    <t>roadster women blue flared high rise clean look stretchable jeans</t>
  </si>
  <si>
    <t>https://www.myntra.com/tshirts/roadster/roadster-women-black-geo-printed-round-neck-t-shirt/8353077/buy</t>
  </si>
  <si>
    <t>roadster women black geo printed round neck t shirt</t>
  </si>
  <si>
    <t>https://www.myntra.com/tshirts/roadster/roadster-women-olive-green-solid-round-neck-t-shirt/1753425/buy</t>
  </si>
  <si>
    <t>roadster women olive green solid round neck t shirt</t>
  </si>
  <si>
    <t>https://www.myntra.com/tshirts/herenow/herenow-men-white-solid-round-neck-t-shirt/12816474/buy</t>
  </si>
  <si>
    <t>herenow men white solid round neck t shirt</t>
  </si>
  <si>
    <t>https://www.myntra.com/tshirts/herenow/herenow-men-red--black-cotton-printed-detail-round-neck-t-shirt/12817380/buy</t>
  </si>
  <si>
    <t>herenow men red  black cotton printed detail round neck t shirt</t>
  </si>
  <si>
    <t>https://www.myntra.com/tops/sangria/sangria-navy-blue-tie-dye-blouson-top/8860565/buy</t>
  </si>
  <si>
    <t>sangria navy blue tie dye blouson top</t>
  </si>
  <si>
    <t>https://www.myntra.com/tshirts/roadster/roadster-women-pack-of-2-solid-t-shirts/17381456/buy</t>
  </si>
  <si>
    <t>https://www.myntra.com/tshirts/roadster/roadster-women-black--maroon-pack-of-2-typography-print-round-neck-regular-fit-t-shirts/17383018/buy</t>
  </si>
  <si>
    <t>roadster women black  maroon pack of 2 typography print round neck regular fit t shirts</t>
  </si>
  <si>
    <t>M, S, XS, XL, L</t>
  </si>
  <si>
    <t>https://www.myntra.com/tops/roadster/the-roadster-lifestyle-co-black-top-with-side-stripes/10856446/buy</t>
  </si>
  <si>
    <t>the roadster lifestyle co black top with side stripes</t>
  </si>
  <si>
    <t>https://www.myntra.com/kurtas/anouk/anouk-women-blue--pink-floral-print-a-line-kurta/2472860/buy</t>
  </si>
  <si>
    <t>anouk women blue  pink floral print a line kurta</t>
  </si>
  <si>
    <t>https://www.myntra.com/dresses/sangria/sangria-white--black-chevron-print-pure-cotton-a-line-dress/13249520/buy</t>
  </si>
  <si>
    <t>sangria white  black chevron print pure cotton a line dress</t>
  </si>
  <si>
    <t>https://www.myntra.com/trousers/roadster/roadster-men-khaki-slim-fit-solid-chinos/2167359/buy</t>
  </si>
  <si>
    <t>roadster men khaki slim fit solid chinos</t>
  </si>
  <si>
    <t>https://www.myntra.com/tshirts/wrogn/wrogn-men-maroon-printed-t-shirt/2338881/buy</t>
  </si>
  <si>
    <t>wrogn men maroon printed t shirt</t>
  </si>
  <si>
    <t>https://www.myntra.com/tshirts/wrogn/wrogn-men-burgundy-solid-slim-fit-round-neck-pure-cotton-t-shirt/10188591/buy</t>
  </si>
  <si>
    <t>wrogn men burgundy solid slim fit round neck pure cotton t shirt</t>
  </si>
  <si>
    <t>https://www.myntra.com/dresses/sera/sera-women-burgundy--pink-printed-tailored-dress/1829161/buy</t>
  </si>
  <si>
    <t>Sera</t>
  </si>
  <si>
    <t>sera women burgundy  pink printed tailored dress</t>
  </si>
  <si>
    <t>https://www.myntra.com/tshirts/wrogn/wrogn-men-black--white-placement-printed-round-neck-t-shirt/11363214/buy</t>
  </si>
  <si>
    <t>wrogn men black  white placement printed round neck t shirt</t>
  </si>
  <si>
    <t>https://www.myntra.com/shapewear/zivame/zivame-beige-mermaid-saree-shapewear-zi3022core0nude/7340681/buy</t>
  </si>
  <si>
    <t>zivame beige mermaid saree shapewear zi3022core0nude</t>
  </si>
  <si>
    <t>31% OFF</t>
  </si>
  <si>
    <t>https://www.myntra.com/bath-robe/elevanto/elevanto-women-navy-blue-solid-bath-robe/11938894/buy</t>
  </si>
  <si>
    <t>elevanto women navy blue solid bath robe</t>
  </si>
  <si>
    <t>https://www.myntra.com/track-pants/hrx-by-hrithik-roshan/hrx-by-hrithik-roshan-women-navy-solid-joggers/2332166/buy</t>
  </si>
  <si>
    <t>hrx by hrithik roshan women navy solid joggers</t>
  </si>
  <si>
    <t>https://www.myntra.com/dresses/anouk/anouk-women-navy-blue--beige-printed-fit-and-flare-dress-with-pleated-detail/11199262/buy</t>
  </si>
  <si>
    <t>anouk women navy blue  beige printed fit and flare dress with pleated detail</t>
  </si>
  <si>
    <t>https://www.myntra.com/dresses/vishudh/vishudh-women-grey--mustard-yellow-printed-a-line-dress/11544142/buy</t>
  </si>
  <si>
    <t>vishudh women grey  mustard yellow printed a line dress</t>
  </si>
  <si>
    <t>63% OFF</t>
  </si>
  <si>
    <t>https://www.myntra.com/jeans/roadster/roadster-men-blue-skinny-fit-mid-rise-mildly-distressed-stretchable-jeans/8788237/buy</t>
  </si>
  <si>
    <t>roadster men blue skinny fit mid rise mildly distressed stretchable jeans</t>
  </si>
  <si>
    <t>https://www.myntra.com/socks/peter-england/peter-england-men-set-of-3-calf-length-assorted-socks/7224693/buy</t>
  </si>
  <si>
    <t>Peter England</t>
  </si>
  <si>
    <t>peter england men set of 3 calf length assorted socks</t>
  </si>
  <si>
    <t>https://www.myntra.com/shirts/wrogn/wrogn-men-navy-slim-fit-printed-casual-shirt/1729348/buy</t>
  </si>
  <si>
    <t>wrogn men navy slim fit printed casual shirt</t>
  </si>
  <si>
    <t>39, 40, 42, 44, 46</t>
  </si>
  <si>
    <t>https://www.myntra.com/kurta-sets/anubhutee/anubhutee-women-green--beige-embroidered-kurta-with-palazzos/11531248/buy</t>
  </si>
  <si>
    <t>anubhutee women green  beige embroidered kurta with palazzos</t>
  </si>
  <si>
    <t>https://www.myntra.com/jeans/dressberry/dressberry-women-blue-skinny-fit-mid-rise-clean-look-stretchable-cropped-jeans/11293698/buy</t>
  </si>
  <si>
    <t>dressberry women blue skinny fit mid rise clean look stretchable cropped jeans</t>
  </si>
  <si>
    <t>https://www.myntra.com/sweatshirts/hm/hm-men-grey-relaxed-fit-sweatshirt/16324984/buy</t>
  </si>
  <si>
    <t>H&amp;M</t>
  </si>
  <si>
    <t>hm men grey relaxed fit sweatshirt</t>
  </si>
  <si>
    <t>https://www.myntra.com/tights/hrx-by-hrithik-roshan/hrx-by-hrithik-roshan-women-navy-blue-yoga-seamless-solid-tights/10106159/buy</t>
  </si>
  <si>
    <t>hrx by hrithik roshan women navy blue yoga seamless solid tights</t>
  </si>
  <si>
    <t>https://www.myntra.com/tops/harpa/harpa-pink-printed-peplum-top/13532760/buy</t>
  </si>
  <si>
    <t>harpa pink printed peplum top</t>
  </si>
  <si>
    <t>https://www.myntra.com/tshirts/roadster/roadster-women-navy-blue--maroon-pack-of-2-printed-round-neck-regular-fit-t-shirts/17383440/buy</t>
  </si>
  <si>
    <t>roadster women navy blue  maroon pack of 2 printed round neck regular fit t shirts</t>
  </si>
  <si>
    <t>https://www.myntra.com/dresses/antheaa/antheaa-magenta-tiered-maxi-dress/12974208/buy</t>
  </si>
  <si>
    <t>Antheaa</t>
  </si>
  <si>
    <t>antheaa magenta tiered maxi dress</t>
  </si>
  <si>
    <t>https://www.myntra.com/tshirts/roadster/roadster-women-off-white-solid-round-neck-pure-cotton-t-shirt-with-piping-detail/11296016/buy</t>
  </si>
  <si>
    <t>roadster women off white solid round neck pure cotton t shirt with piping detail</t>
  </si>
  <si>
    <t>https://www.myntra.com/tshirts/wrogn/wrogn-men-teal-blue-slim-fit-cotton-pure-cotton-t-shirt/9768169/buy</t>
  </si>
  <si>
    <t>wrogn men teal blue slim fit cotton pure cotton t shirt</t>
  </si>
  <si>
    <t>https://www.myntra.com/bra/dressberry/dressberry-peach-coloured-workout-bra-medium-coverage/13983654/buy</t>
  </si>
  <si>
    <t>dressberry peach coloured workout bra medium coverage</t>
  </si>
  <si>
    <t>https://www.myntra.com/bra/zivame/zivame-white-self-design-non-wired-non-padded-everyday-bra-zi0zpctb03awhte/5678795/buy</t>
  </si>
  <si>
    <t>zivame white self design non wired non padded everyday bra zi0zpctb03awhte</t>
  </si>
  <si>
    <t>43% OFF</t>
  </si>
  <si>
    <t>32B, 32C, 32D, 34B, 34C, 34D, 36B, 36C, 36D, 38B, 38C</t>
  </si>
  <si>
    <t>https://www.myntra.com/skirts/kassually/kassually-black-front-bow-pencil-skirt/12670196/buy</t>
  </si>
  <si>
    <t>kassually black front bow pencil skirt</t>
  </si>
  <si>
    <t>https://www.myntra.com/tshirts/roadster/-roadster-women-pack-of-2-cotton-t-shirts/17382832/buy</t>
  </si>
  <si>
    <t>https://www.myntra.com/dresses/athena/athena-nude-coloured-sheath-dress/12956584/buy</t>
  </si>
  <si>
    <t>athena nude coloured sheath dress</t>
  </si>
  <si>
    <t>https://www.myntra.com/lounge-pants/hubberholme/hubberholme-men-solid-charcoal-grey-solid-lounge-pants/8613927/buy</t>
  </si>
  <si>
    <t>Hubberholme</t>
  </si>
  <si>
    <t>lounge-pants</t>
  </si>
  <si>
    <t>hubberholme men solid charcoal grey solid lounge pants</t>
  </si>
  <si>
    <t>https://www.myntra.com/kurtas/anouk/anouk-women-green--gold-toned-floral-printed-straight-kurta/10416940/buy</t>
  </si>
  <si>
    <t>anouk women green  gold toned floral printed straight kurta</t>
  </si>
  <si>
    <t>https://www.myntra.com/bra/hrx-by-hrithik-roshan/hrx-by-hrithik-roshan-seamless-black--grey-lightly-padded-rapid-dry-sports-bra-3376/8475729/buy</t>
  </si>
  <si>
    <t>hrx by hrithik roshan seamless black  grey lightly padded rapid dry sports bra 3376</t>
  </si>
  <si>
    <t>https://www.myntra.com/tshirts/roadster/the-roadster-lifestyle-co-women-mustard-yellow-solid-round-neck-t-shirt/9697407/buy</t>
  </si>
  <si>
    <t>the roadster lifestyle co women mustard yellow solid round neck t shirt</t>
  </si>
  <si>
    <t>https://www.myntra.com/tshirts/roadster/the-roadster-lifestyle-co-women-black-solid-round-neck-pure-cotton-t-shirt-with-printed-detailing/10968574/buy</t>
  </si>
  <si>
    <t>the roadster lifestyle co women black solid round neck pure cotton t shirt with printed detailing</t>
  </si>
  <si>
    <t>Rs. 500 OFF</t>
  </si>
  <si>
    <t>https://www.myntra.com/trousers/highlander/highlander-men-olive-green-slim-fit-solid-joggers/5125964/buy</t>
  </si>
  <si>
    <t>highlander men olive green slim fit solid joggers</t>
  </si>
  <si>
    <t>https://www.myntra.com/palazzos/clora-creation/clora-creation-women-white-embroidered-straight-palazzos/9791977/buy</t>
  </si>
  <si>
    <t>Clora Creation</t>
  </si>
  <si>
    <t>palazzos</t>
  </si>
  <si>
    <t>clora creation women white embroidered straight palazzos</t>
  </si>
  <si>
    <t>27% OFF</t>
  </si>
  <si>
    <t>https://www.myntra.com/jeans/ether/ether-women-ice-blue-wide-leg-high-rise-denim-with-light-fade/2325411/buy</t>
  </si>
  <si>
    <t>ether women ice blue wide leg high rise denim with light fade</t>
  </si>
  <si>
    <t>https://www.myntra.com/trousers/sassafras/sassafras-women-charcoal-grey-chambray-pure-cotton-joggers-with-contrast-belt/12222138/buy</t>
  </si>
  <si>
    <t>sassafras women charcoal grey chambray pure cotton joggers with contrast belt</t>
  </si>
  <si>
    <t>https://www.myntra.com/kurtas/mokshi/mokshi-women-pink--blue-printed-cotton-anarkali-kurta/13452040/buy</t>
  </si>
  <si>
    <t>mokshi</t>
  </si>
  <si>
    <t>mokshi women pink  blue printed cotton anarkali kurta</t>
  </si>
  <si>
    <t>67% OFF</t>
  </si>
  <si>
    <t>https://www.myntra.com/sarees/saree-mall/saree-mall-mauve--red-organza-block-print-saree/13901198/buy</t>
  </si>
  <si>
    <t>Saree mall</t>
  </si>
  <si>
    <t>saree mall mauve  red organza block print saree</t>
  </si>
  <si>
    <t>https://www.myntra.com/bra/dressberry/dressberry-black-solid-non-wired-non-padded-everyday-bra-db-wond-bra-006b/10939766/buy</t>
  </si>
  <si>
    <t>dressberry black solid non wired non padded everyday bra db wond bra 006b</t>
  </si>
  <si>
    <t>32B, 32C, 34B, 34C, 34D, 36B, 36C, 36D, 38B, 38C, 38D</t>
  </si>
  <si>
    <t>https://www.myntra.com/stockings/lebami/lebami-women-black-solid-stockings/7739835/buy</t>
  </si>
  <si>
    <t>Lebami</t>
  </si>
  <si>
    <t>stockings</t>
  </si>
  <si>
    <t>lebami women black solid stockings</t>
  </si>
  <si>
    <t>36% OFF</t>
  </si>
  <si>
    <t>https://www.myntra.com/tops/her-by-invictus/her-by-invictus-mauve-top-with-pleated-detail/10374655/buy</t>
  </si>
  <si>
    <t>her by invictus mauve top with pleated detail</t>
  </si>
  <si>
    <t>https://www.myntra.com/dresses/mish/mish-purple-v-neck-maxi-dress/11425620/buy</t>
  </si>
  <si>
    <t>MISH</t>
  </si>
  <si>
    <t>mish purple v neck maxi dress</t>
  </si>
  <si>
    <t>https://www.myntra.com/jeans/herenow/herenow-men-blue-slim-fit-mid-rise-cropped-clean-look-stretchable-jeans/2133029/buy</t>
  </si>
  <si>
    <t>herenow men blue slim fit mid rise cropped clean look stretchable jeans</t>
  </si>
  <si>
    <t>https://www.myntra.com/lounge-pants/vimal/vimal-men-pack-of-2-solid-cotton-lounge-pants/13676446/buy</t>
  </si>
  <si>
    <t>VIMAL</t>
  </si>
  <si>
    <t>vimal men pack of 2 solid cotton lounge pants</t>
  </si>
  <si>
    <t>https://www.myntra.com/tshirts/wrogn/wrogn-men-olive-green-henley-neck-slim-fit-cotton-pure-cotton-t-shirt/6833068/buy</t>
  </si>
  <si>
    <t>wrogn men olive green henley neck slim fit cotton pure cotton t shirt</t>
  </si>
  <si>
    <t>https://www.myntra.com/tshirts/roadster/roadster-men-teal-blue-printed-round-neck-pure-cotton-t-shirt/10574802/buy</t>
  </si>
  <si>
    <t>roadster men teal blue printed round neck pure cotton t shirt</t>
  </si>
  <si>
    <t>https://www.myntra.com/night-suits/i-like-me/i-like-me-women-pink--white-printed-night-suit/13152598/buy</t>
  </si>
  <si>
    <t>I like me</t>
  </si>
  <si>
    <t>i like me women pink  white printed night suit</t>
  </si>
  <si>
    <t>https://www.myntra.com/shirts/marie-claire/marie-claire-navy-crepe-sheer-comfort-shirt/1382567/buy</t>
  </si>
  <si>
    <t>Marie Claire</t>
  </si>
  <si>
    <t>marie claire navy crepe sheer comfort shirt</t>
  </si>
  <si>
    <t>https://www.myntra.com/tshirts/mast--harbour/mast--harbour-women-off-white-striped-round-neck-t-shirt/8325391/buy</t>
  </si>
  <si>
    <t>mast  harbour women off white striped round neck t shirt</t>
  </si>
  <si>
    <t>Rs. 400 OFF</t>
  </si>
  <si>
    <t>https://www.myntra.com/jeggings/roadster/the-roadster-lifestyle-co-women-grey-washed-super-skinny-fit-mid-rise-clean-look-cropped-jeggings/10967486/buy</t>
  </si>
  <si>
    <t>jeggings</t>
  </si>
  <si>
    <t>the roadster lifestyle co women grey washed super skinny fit mid rise clean look cropped jeggings</t>
  </si>
  <si>
    <t>https://www.myntra.com/jeans/locomotive/locomotive-men-black-skinny-fit-mid-rise-clean-look-stretchable-jeans/9838337/buy</t>
  </si>
  <si>
    <t>locomotive men black skinny fit mid rise clean look stretchable jeans</t>
  </si>
  <si>
    <t>https://www.myntra.com/jeans/roadster/the-roadster-lifestyle-co-men-navy-blue-super-skinny-fit-mid-rise-mildly-distressed-stretchable-jeans/10064539/buy</t>
  </si>
  <si>
    <t>the roadster lifestyle co men navy blue super skinny fit mid rise mildly distressed stretchable jeans</t>
  </si>
  <si>
    <t>https://www.myntra.com/shirts/wrogn/wrogn-men-maroon--off-white-slim-fit-checked-casual-shirt/11361424/buy</t>
  </si>
  <si>
    <t>wrogn men maroon  off white slim fit checked casual shirt</t>
  </si>
  <si>
    <t>https://www.myntra.com/kurtas/vishudh/vishudh-women-mustard-yellow-printed-a-line-kurta/11897388/buy</t>
  </si>
  <si>
    <t>vishudh women mustard yellow printed a line kurta</t>
  </si>
  <si>
    <t>80% OFF</t>
  </si>
  <si>
    <t>https://www.myntra.com/leggings/go-colors/go-colors-women-silver-toned-solid-skinny-fit-shimmer-ankle-length-leggings/4891840/buy</t>
  </si>
  <si>
    <t>Go Colors</t>
  </si>
  <si>
    <t>leggings</t>
  </si>
  <si>
    <t>go colors women silver toned solid skinny fit shimmer ankle length leggings</t>
  </si>
  <si>
    <t>https://www.myntra.com/tops/la-zoire/la-zoire-women-maroon-solid-top/8861985/buy</t>
  </si>
  <si>
    <t>la zoire women maroon solid top</t>
  </si>
  <si>
    <t>https://www.myntra.com/jeans/wrogn/wrogn-navy-slim-fit-low-distressed-stretchable-jeans/1729302/buy</t>
  </si>
  <si>
    <t>wrogn navy slim fit low distressed stretchable jeans</t>
  </si>
  <si>
    <t>https://www.myntra.com/tshirts/kook-n-keech/kook-n-keech-men-white--black-striped-oversized-longline-pure-cotton-t-shirt/2095982/buy</t>
  </si>
  <si>
    <t>kook n keech men white  black striped oversized longline pure cotton t shirt</t>
  </si>
  <si>
    <t>https://www.myntra.com/shirts/highlander/highlander-men-khaki-solid-slim-fit-solid-casual-shirt/2041659/buy</t>
  </si>
  <si>
    <t>highlander men khaki solid slim fit solid casual shirt</t>
  </si>
  <si>
    <t>48% OFF</t>
  </si>
  <si>
    <t>https://www.myntra.com/shirts/jainish/jainish-men-grey-classic-slim-fit-solid-formal-shirt/5126313/buy</t>
  </si>
  <si>
    <t>JAINISH</t>
  </si>
  <si>
    <t>jainish men grey classic slim fit solid formal shirt</t>
  </si>
  <si>
    <t>54% OFF</t>
  </si>
  <si>
    <t>36, 38, 40, 42, 44</t>
  </si>
  <si>
    <t>https://www.myntra.com/shirts/roadster/roadster-men-teal-blue-regular-fit-solid-sustainable-casual-shirt/11895996/buy</t>
  </si>
  <si>
    <t>roadster men teal blue regular fit solid sustainable casual shirt</t>
  </si>
  <si>
    <t>https://www.myntra.com/kurtas/herenow/herenow-women-lime-green--blue-printed-straight-kurta/12851400/buy</t>
  </si>
  <si>
    <t>herenow women lime green  blue printed straight kurta</t>
  </si>
  <si>
    <t>https://www.myntra.com/shirts/dennis-lingo/dennis-lingo-men-white-slim-fit-casual-shirt/14094532/buy</t>
  </si>
  <si>
    <t>Dennis Lingo</t>
  </si>
  <si>
    <t>dennis lingo men white slim fit casual shirt</t>
  </si>
  <si>
    <t>https://www.myntra.com/shirts/mast--harbour/mast--harbour-men-blue-slim-fit--casual-linen-cotton-sustainable-shirt/2444567/buy</t>
  </si>
  <si>
    <t>mast  harbour men blue slim fit  casual linen cotton sustainable shirt</t>
  </si>
  <si>
    <t>https://www.myntra.com/tshirts/roadster/roadster-men-sea-green-solid-polo-collar-t-shirt/12123128/buy</t>
  </si>
  <si>
    <t>roadster men sea green solid polo collar t shirt</t>
  </si>
  <si>
    <t>https://www.myntra.com/night-suits/etc/etc-women-navy-blue--pink-floral-print-night-suit/12441728/buy</t>
  </si>
  <si>
    <t>ETC</t>
  </si>
  <si>
    <t>etc women navy blue  pink floral print night suit</t>
  </si>
  <si>
    <t>https://www.myntra.com/lounge-pants/clovia/clovia-women-grey-melange-solid-lounge-pants/9299469/buy</t>
  </si>
  <si>
    <t>Clovia</t>
  </si>
  <si>
    <t>clovia women grey melange solid lounge pants</t>
  </si>
  <si>
    <t>https://www.myntra.com/tshirts/herenow/herenow-women-pack-of-2-solid-round-neck-pure-cotton-t-shirts/9435685/buy</t>
  </si>
  <si>
    <t>herenow women pack of 2 solid round neck pure cotton t shirts</t>
  </si>
  <si>
    <t>https://www.myntra.com/kurtas/herenow/herenow-women-teal-blue--white-printed-a-line-kurta/7119163/buy</t>
  </si>
  <si>
    <t>herenow women teal blue  white printed a line kurta</t>
  </si>
  <si>
    <t>https://www.myntra.com/tops/la-zoire/la-zoire-rose-shirt-style-top/7269182/buy</t>
  </si>
  <si>
    <t>la zoire rose shirt style top</t>
  </si>
  <si>
    <t>https://www.myntra.com/tshirts/roadster/roadster-women-mustard-yellow-solid-round-neck-pure-cotton-t-shirt-with-sleeve-stripes/11976820/buy</t>
  </si>
  <si>
    <t>roadster women mustard yellow solid round neck pure cotton t shirt with sleeve stripes</t>
  </si>
  <si>
    <t>https://www.myntra.com/tshirts/roadster/roadster-women-pack-of-2-printed-cotton-t-shirt/17385112/buy</t>
  </si>
  <si>
    <t>https://www.myntra.com/dresses/sassafras/sassafras-off-white--green-floral-printed-a-line-dress/8643125/buy</t>
  </si>
  <si>
    <t>sassafras off white  green floral printed a line dress</t>
  </si>
  <si>
    <t>https://www.myntra.com/trousers/wrogn/wrogn-men-olive-green-joggers/2339796/buy</t>
  </si>
  <si>
    <t>wrogn men olive green joggers</t>
  </si>
  <si>
    <t>https://www.myntra.com/jeans/roadster-fast-and-furious/roadster-fast-and-furious-men-blue-slim-fit-mid-rise-clean-look-stretchable-jeans/4451362/buy</t>
  </si>
  <si>
    <t>Roadster Fast and Furious</t>
  </si>
  <si>
    <t>roadster fast and furious men blue slim fit mid rise clean look stretchable jeans</t>
  </si>
  <si>
    <t>https://www.myntra.com/jeans/herenow/herenow-women-blue-skinny-fit-high-rise-clean-look-stretchable-cropped-jeans/12545646/buy</t>
  </si>
  <si>
    <t>herenow women blue skinny fit high rise clean look stretchable cropped jeans</t>
  </si>
  <si>
    <t>26, 28, 30, 32, 34, 36, 38, 40</t>
  </si>
  <si>
    <t>https://www.myntra.com/jeans/tokyo-talkies/tokyo-talkies-women-white-super-skinny-fit-mid-rise-clean-look-stretchable-jeans/8195049/buy</t>
  </si>
  <si>
    <t>tokyo talkies women white super skinny fit mid rise clean look stretchable jeans</t>
  </si>
  <si>
    <t>https://www.myntra.com/tops/sangria/sangria-rust-red-ethnic-motifs-flared-a-line-pure-cotton-top/8349547/buy</t>
  </si>
  <si>
    <t>sangria rust red ethnic motifs flared a line pure cotton top</t>
  </si>
  <si>
    <t>https://www.myntra.com/kurta-sets/anouk/anouk-women-mustard-yellow--pink-printed-kurta-with-trousers/12134814/buy</t>
  </si>
  <si>
    <t>anouk women mustard yellow  pink printed kurta with trousers</t>
  </si>
  <si>
    <t>https://www.myntra.com/tshirts/herenow/herenow-women-black--red-striped-high-neck-t-shirt/11759370/buy</t>
  </si>
  <si>
    <t>herenow women black  red striped high neck t shirt</t>
  </si>
  <si>
    <t>https://www.myntra.com/tshirts/highlander/highlander-men-charcoal-grey-slim-fit-solid-henley-neck-t-shirt/1923230/buy</t>
  </si>
  <si>
    <t>highlander men charcoal grey slim fit solid henley neck t shirt</t>
  </si>
  <si>
    <t>https://www.myntra.com/tshirts/mast--harbour/mast--harbour-men-peach-coloured-solid-round-neck-t-shirt/3082389/buy</t>
  </si>
  <si>
    <t>mast  harbour men peach coloured solid round neck t shirt</t>
  </si>
  <si>
    <t>https://www.myntra.com/tshirts/roadster/roadster-women-pack-of-2-solid-pure-cotton-t-shirts/17381526/buy</t>
  </si>
  <si>
    <t>roadster women pack of 2 solid pure cotton t shirts</t>
  </si>
  <si>
    <t>https://www.myntra.com/jeans/purple-feather/purple-feather-women-blue-skinny-fit-high-rise-clean-look-jeans/6722273/buy</t>
  </si>
  <si>
    <t>Purple Feather</t>
  </si>
  <si>
    <t>purple feather women blue skinny fit high rise clean look jeans</t>
  </si>
  <si>
    <t>https://www.myntra.com/jeans/roadster/roadster-men-white-skinny-fit-mid-rise-clean-look-stretchable-jeans/2315624/buy</t>
  </si>
  <si>
    <t>roadster men white skinny fit mid rise clean look stretchable jeans</t>
  </si>
  <si>
    <t>https://www.myntra.com/tshirts/roadster/roadster-men-navy-blue--mustard-brown-striped-detail-v-neck-pure-cotton-t-shirt/9329675/buy</t>
  </si>
  <si>
    <t>roadster men navy blue  mustard brown striped detail v neck pure cotton t shirt</t>
  </si>
  <si>
    <t>https://www.myntra.com/tshirts/mast--harbour/mast--harbour-men-blue-striped-round-neck-pure-cotton-t-shirt/8301975/buy</t>
  </si>
  <si>
    <t>mast  harbour men blue striped round neck pure cotton t shirt</t>
  </si>
  <si>
    <t>https://www.myntra.com/kurta-sets/sangria/sangria-women-green--blue-embroidered-kurta-with-trousers/8349037/buy</t>
  </si>
  <si>
    <t>sangria women green  blue embroidered kurta with trousers</t>
  </si>
  <si>
    <t>https://www.myntra.com/kurta-sets/varanga/varanga-calm-blue-and-grey-yoke-design-kurta-set/13769676/buy</t>
  </si>
  <si>
    <t>varanga calm blue and grey yoke design kurta set</t>
  </si>
  <si>
    <t>https://www.myntra.com/tshirts/hrx-by-hrithik-roshan/hrx-by-hrithik-roshan-women-grey-t-shirt-with-raglan-sleeves/9038197/buy</t>
  </si>
  <si>
    <t>hrx by hrithik roshan women grey t shirt with raglan sleeves</t>
  </si>
  <si>
    <t>https://www.myntra.com/shorts/dressberry/dressberry-women-stunning-blue-washed-fringed-shorts/11264146/buy</t>
  </si>
  <si>
    <t>dressberry women stunning blue washed fringed shorts</t>
  </si>
  <si>
    <t>https://www.myntra.com/tops/scorpius/scorpius-women-pack-of-2-crop-tops/9340227/buy</t>
  </si>
  <si>
    <t>SCORPIUS</t>
  </si>
  <si>
    <t>scorpius women pack of 2 crop tops</t>
  </si>
  <si>
    <t>https://www.myntra.com/tshirts/ether/ether-women-white-solid-high-neck-pure-cotton-t-shirt/8610407/buy</t>
  </si>
  <si>
    <t>ether women white solid high neck pure cotton t shirt</t>
  </si>
  <si>
    <t>Rs. 300 OFF</t>
  </si>
  <si>
    <t>https://www.myntra.com/tops/herenow/herenow-women-white--green-printed-a-line-top/2163307/buy</t>
  </si>
  <si>
    <t>herenow women white  green printed a line top</t>
  </si>
  <si>
    <t>https://www.myntra.com/dresses/vishudh/vishudh-women-off-white--green-floral-print-a-line-dress/10016755/buy</t>
  </si>
  <si>
    <t>vishudh women off white  green floral print a line dress</t>
  </si>
  <si>
    <t>https://www.myntra.com/briefs/clovia/clovia-women-black-self-design-lace-boyshorts-pn2656p13/6825084/buy</t>
  </si>
  <si>
    <t>clovia women black self design lace boyshorts pn2656p13</t>
  </si>
  <si>
    <t>https://www.myntra.com/jeans/tokyo-talkies/tokyo-talkies-women-black-skinny-fit-mid-rise-slash-knee-stretchable-jeans/9440745/buy</t>
  </si>
  <si>
    <t>tokyo talkies women black skinny fit mid rise slash knee stretchable jeans</t>
  </si>
  <si>
    <t>https://www.myntra.com/tshirts/roadster/the-roadster-lifestyle-co-men-black-printed-detail-round-neck-t-shirt/10939124/buy</t>
  </si>
  <si>
    <t>the roadster lifestyle co men black printed detail round neck t shirt</t>
  </si>
  <si>
    <t>https://www.myntra.com/kurtas/herenow/herenow-women-magenta-solid-straight-kurta/4450322/buy</t>
  </si>
  <si>
    <t>herenow women magenta solid straight kurta</t>
  </si>
  <si>
    <t>https://www.myntra.com/kurtas/herenow/herenow-women-green-solid-straight-kurta/12050580/buy</t>
  </si>
  <si>
    <t>herenow women green solid straight kurta</t>
  </si>
  <si>
    <t>https://www.myntra.com/tshirts/roadster/roadster-women-pack-of-2-pure-cotton-t-shirts/17382176/buy</t>
  </si>
  <si>
    <t>roadster women pack of 2 pure cotton t shirts</t>
  </si>
  <si>
    <t>https://www.myntra.com/dresses/campus-sutra/campus-sutra-mint-green--white-printed-shirt-dress-with-side-slits/12181732/buy</t>
  </si>
  <si>
    <t>campus sutra mint green  white printed shirt dress with side slits</t>
  </si>
  <si>
    <t>https://www.myntra.com/jeans/dolce-crudo/dolce-crudo-women-navy-blue-skinny-fit-high-rise-clean-look-stretchable-cropped-jeans/10696608/buy</t>
  </si>
  <si>
    <t>DOLCE CRUDO</t>
  </si>
  <si>
    <t>dolce crudo women navy blue skinny fit high rise clean look stretchable cropped jeans</t>
  </si>
  <si>
    <t>https://www.myntra.com/tshirts/roadster/-roadster-women-pack-of-2-cotton-t-shirts/17381612/buy</t>
  </si>
  <si>
    <t>S, XS, XL, L, M</t>
  </si>
  <si>
    <t>https://www.myntra.com/jeans/roadster/roadster-men-blue-skinny-fit-low-rise-clean-look-stretchable-jeans/8962443/buy</t>
  </si>
  <si>
    <t>roadster men blue skinny fit low rise clean look stretchable jeans</t>
  </si>
  <si>
    <t>https://www.myntra.com/shirts/highlander/highlander-men-sea-green-slim-fit-printed-casual-shirt/11964926/buy</t>
  </si>
  <si>
    <t>highlander men sea green slim fit printed casual shirt</t>
  </si>
  <si>
    <t>https://www.myntra.com/dresses/cottinfab/cottinfab-black-sequinned-maxi-dress/9149689/buy</t>
  </si>
  <si>
    <t>cottinfab black sequinned maxi dress</t>
  </si>
  <si>
    <t>https://www.myntra.com/tops/athena/athena-burgundy-pleated-bardot-top/10733250/buy</t>
  </si>
  <si>
    <t>athena burgundy pleated bardot top</t>
  </si>
  <si>
    <t>https://www.myntra.com/jeans/mast--harbour/mast--harbour-men-navy-blue-slim-tapered-fit-mid-rise-clean-look-stretchable-jeans/12983800/buy</t>
  </si>
  <si>
    <t>mast  harbour men navy blue slim tapered fit mid rise clean look stretchable jeans</t>
  </si>
  <si>
    <t>https://www.myntra.com/shirts/mast--harbour/mast--harbour-men-maroon-slim-fit-casual-shirt/10343471/buy</t>
  </si>
  <si>
    <t>mast  harbour men maroon slim fit casual shirt</t>
  </si>
  <si>
    <t>https://www.myntra.com/tshirts/roadster/the-roadster-lifestyle-co-men-mustard-yellow-printed-round-neck-pure-cotton-t-shirt/10940564/buy</t>
  </si>
  <si>
    <t>the roadster lifestyle co men mustard yellow printed round neck pure cotton t shirt</t>
  </si>
  <si>
    <t>https://www.myntra.com/tops/sangria/sangria-blue-ethnic-motifs-a-line-pure-cotton-top/8349519/buy</t>
  </si>
  <si>
    <t>sangria blue ethnic motifs a line pure cotton top</t>
  </si>
  <si>
    <t>https://www.myntra.com/kurtas/sangria/sangria-women-white--blue-printed-straight-kurta/11174384/buy</t>
  </si>
  <si>
    <t>sangria women white  blue printed straight kurta</t>
  </si>
  <si>
    <t>https://www.myntra.com/dresses/herenow/herenow-navy-blue-floral-printed-tiered-maxi-dress/8002531/buy</t>
  </si>
  <si>
    <t>herenow navy blue floral printed tiered maxi dress</t>
  </si>
  <si>
    <t>https://www.myntra.com/jeans/roadster/roadster-women-blue-skinny-fit-mid-rise-clean-look-stretchable-jeans/11541582/buy</t>
  </si>
  <si>
    <t>roadster women blue skinny fit mid rise clean look stretchable jeans</t>
  </si>
  <si>
    <t>https://www.myntra.com/tops/tokyo-talkies/tokyo-talkies-women-taupe-printed-top/8195047/buy</t>
  </si>
  <si>
    <t>tokyo talkies women taupe printed top</t>
  </si>
  <si>
    <t>https://www.myntra.com/tshirts/chkokko/chkokko-men-black-solid-high-neck-t-shirt/10481292/buy</t>
  </si>
  <si>
    <t>Chkokko</t>
  </si>
  <si>
    <t>chkokko men black solid high neck t shirt</t>
  </si>
  <si>
    <t>69% OFF</t>
  </si>
  <si>
    <t>S, M, L, XL, XXL, 3XL, 4XL, 5XL</t>
  </si>
  <si>
    <t>https://www.myntra.com/sarees/saree-mall/saree-mall-women-pink-solid-saree/9753225/buy</t>
  </si>
  <si>
    <t>saree mall women pink solid saree</t>
  </si>
  <si>
    <t>73% OFF</t>
  </si>
  <si>
    <t>https://www.myntra.com/tops/herenow/herenow-white-lightweight-a-line-pure-cotton-top-with-gathers/2077137/buy</t>
  </si>
  <si>
    <t>herenow white lightweight a line pure cotton top with gathers</t>
  </si>
  <si>
    <t>https://www.myntra.com/shirts/all-about-you/all-about-you-women-mustard-stretchable-casual-shirt/13205026/buy</t>
  </si>
  <si>
    <t>all about you women mustard stretchable casual shirt</t>
  </si>
  <si>
    <t>https://www.myntra.com/tshirts/roadster/roadster-women-green--teal-blue-pack-of-2-printed-round-neck-t-shirts/17383352/buy</t>
  </si>
  <si>
    <t>roadster women green  teal blue pack of 2 printed round neck t shirts</t>
  </si>
  <si>
    <t>https://www.myntra.com/jumpsuit/tokyo-talkies/tokyo-talkies-women-black--white-checked-basic-jumpsuit-with-belt/10051297/buy</t>
  </si>
  <si>
    <t>tokyo talkies women black  white checked basic jumpsuit with belt</t>
  </si>
  <si>
    <t>https://www.myntra.com/jackets/roadster/roadster-women-blue-solid-denim-jacket/12178112/buy</t>
  </si>
  <si>
    <t>roadster women blue solid denim jacket</t>
  </si>
  <si>
    <t>https://www.myntra.com/trunk/levis/levis-men-navy-solid-pure-cotton--trunks-001-boxer-brief/12032616/buy</t>
  </si>
  <si>
    <t>levis men navy solid pure cotton  trunks 001 boxer brief</t>
  </si>
  <si>
    <t>https://www.myntra.com/briefs/dollar-missy/dollar-missy-women-pack-of-6-briefs-101p-multi-po6/2190876/buy</t>
  </si>
  <si>
    <t>dollar missy women pack of 6 briefs 101p multi po6</t>
  </si>
  <si>
    <t>https://www.myntra.com/jeans/roadster/roadster-women-blue-skinny-fit-mid-rise-clean-look-stretchable-cropped-jeans/11541504/buy</t>
  </si>
  <si>
    <t>roadster women blue skinny fit mid rise clean look stretchable cropped jeans</t>
  </si>
  <si>
    <t>https://www.myntra.com/jackets/street-9/street-9-women-blue-solid-satin-bomber-jacket/7772555/buy</t>
  </si>
  <si>
    <t>street 9 women blue solid satin bomber jacket</t>
  </si>
  <si>
    <t>https://www.myntra.com/tshirts/mast--harbour/mast--harbour-women-navy-blue--silver-printed-round-neck-t-shirt/11711888/buy</t>
  </si>
  <si>
    <t>mast  harbour women navy blue  silver printed round neck t shirt</t>
  </si>
  <si>
    <t>https://www.myntra.com/tops/tokyo-talkies/tokyo-talkies-navy-blue--white-vertical-striped-top/12009564/buy</t>
  </si>
  <si>
    <t>tokyo talkies navy blue  white vertical striped top</t>
  </si>
  <si>
    <t>47% OFF</t>
  </si>
  <si>
    <t>https://www.myntra.com/shirts/roadster/roadster-men-maroon--navy-blue-regular-fit-checked-sustainable-casual-shirt/11326694/buy</t>
  </si>
  <si>
    <t>roadster men maroon  navy blue regular fit checked sustainable casual shirt</t>
  </si>
  <si>
    <t>https://www.myntra.com/bra/floret/floret-pink-pack-of-2-full-coverage-minimizer-bras-t3033/1908862/buy</t>
  </si>
  <si>
    <t>Floret</t>
  </si>
  <si>
    <t>floret pink pack of 2 full coverage minimizer bras t3033</t>
  </si>
  <si>
    <t>5% OFF</t>
  </si>
  <si>
    <t>30B, 32B, 34B, 36B, 38B, 40B</t>
  </si>
  <si>
    <t>https://www.myntra.com/tshirts/ether/ether-women-pack-of-2-pure-cotton-t-shirts/11431386/buy</t>
  </si>
  <si>
    <t>ether women pack of 2 pure cotton t shirts</t>
  </si>
  <si>
    <t>https://www.myntra.com/jackets/roadster/roadster-men-navy-blue--black-solid-reversible-bomber-jacket/10679170/buy</t>
  </si>
  <si>
    <t>roadster men navy blue  black solid reversible bomber jacket</t>
  </si>
  <si>
    <t>https://www.myntra.com/tshirts/roadster/roadster-men-pink-melange-solid-round-neck-t-shirt/1996724/buy</t>
  </si>
  <si>
    <t>roadster men pink melange solid round neck t shirt</t>
  </si>
  <si>
    <t>https://www.myntra.com/dresses/mayra/mayra-women-pink-candy-striped-maxi-dress/11011466/buy</t>
  </si>
  <si>
    <t>mayra women pink candy striped maxi dress</t>
  </si>
  <si>
    <t>https://www.myntra.com/tshirts/roadster/the-roadster-lifestyle-co-women-pink-solid-round-neck-pure-cotton-t-shirt/9740129/buy</t>
  </si>
  <si>
    <t>the roadster lifestyle co women pink solid round neck pure cotton t shirt</t>
  </si>
  <si>
    <t>https://www.myntra.com/tshirts/roadster/roadster-men-blue-printed-round-neck-t-shirt/2308268/buy</t>
  </si>
  <si>
    <t>roadster men blue printed round neck t shirt</t>
  </si>
  <si>
    <t>https://www.myntra.com/briefs/c9-airwear/c9-airwear-women-pack-of-3-solid-bikini-briefs-p1174/13038032/buy</t>
  </si>
  <si>
    <t>C9 AIRWEAR</t>
  </si>
  <si>
    <t>c9 airwear women pack of 3 solid bikini briefs p1174</t>
  </si>
  <si>
    <t>https://www.myntra.com/jumpsuit/sera/sera-blue--peach-coloured-printed-playsuit/3452046/buy</t>
  </si>
  <si>
    <t>sera blue  peach coloured printed playsuit</t>
  </si>
  <si>
    <t>https://www.myntra.com/jackets/domyos-by-decathlon/domyos-by-decathlon-men-khaki-straight-cut-fitness-jacket/14180702/buy</t>
  </si>
  <si>
    <t>Domyos By Decathlon</t>
  </si>
  <si>
    <t>domyos by decathlon men khaki straight cut fitness jacket</t>
  </si>
  <si>
    <t>15% OFF</t>
  </si>
  <si>
    <t>https://www.myntra.com/tshirts/roadster/roadster-men-white-solid-slub-effect-raw-edge-v-neck-pure-cotton-t-shirt/2306179/buy</t>
  </si>
  <si>
    <t>roadster men white solid slub effect raw edge v neck pure cotton t shirt</t>
  </si>
  <si>
    <t>https://www.myntra.com/tights/hrx-by-hrithik-roshan/hrx-active-by-hrithik-roshan-women-charcoal-grey-solid-three-fourth-length-training-tights/5842092/buy</t>
  </si>
  <si>
    <t>hrx active by hrithik roshan women charcoal grey solid three fourth length training tights</t>
  </si>
  <si>
    <t>https://www.myntra.com/tshirts/roadster/roadster-women-rust-brown-solid-round-neck-pure-cotton-t-shirt/10778646/buy</t>
  </si>
  <si>
    <t>roadster women rust brown solid round neck pure cotton t shirt</t>
  </si>
  <si>
    <t>https://www.myntra.com/briefs/us-polo-assn/us-polo-assn-men-pack-of-2-black-solid-briefs-y9i006-002-p2/11354536/buy</t>
  </si>
  <si>
    <t>U.S. Polo Assn.</t>
  </si>
  <si>
    <t>us polo assn men pack of 2 black solid briefs y9i006 002 p2</t>
  </si>
  <si>
    <t>https://www.myntra.com/kurtas/kipek/kipek-women-teal-blue--golden-printed-anarkali-kurta-with-dupatta/12015554/buy</t>
  </si>
  <si>
    <t>kipek</t>
  </si>
  <si>
    <t>kipek women teal blue  golden printed anarkali kurta with dupatta</t>
  </si>
  <si>
    <t>https://www.myntra.com/dresses/uf/uf-black--pink-floral-print-maxi-dress/12762116/buy</t>
  </si>
  <si>
    <t>U&amp;F</t>
  </si>
  <si>
    <t>uf black  pink floral print maxi dress</t>
  </si>
  <si>
    <t>https://www.myntra.com/jeans/dolce-crudo/dolce-crudo-women-black-skinny-fit-high-rise-clean-look-stretchable-cropped-jeans/10728896/buy</t>
  </si>
  <si>
    <t>dolce crudo women black skinny fit high rise clean look stretchable cropped jeans</t>
  </si>
  <si>
    <t>https://www.myntra.com/jackets/roadster/the-roadster-lifestyle-co-men-olive-green-solid-hooded-tailored-jacket-with-detachable-hood/10617882/buy</t>
  </si>
  <si>
    <t>the roadster lifestyle co men olive green solid hooded tailored jacket with detachable hood</t>
  </si>
  <si>
    <t>https://www.myntra.com/dresses/dressberry/dressberry-women-pretty-pink-floral-bell-sleeves-dress/2521064/buy</t>
  </si>
  <si>
    <t>dressberry women pretty pink floral bell sleeves dress</t>
  </si>
  <si>
    <t>https://www.myntra.com/tshirts/kook-n-keech/kook-n-keech-women-black-printed-round-neck-t-shirt/2414666/buy</t>
  </si>
  <si>
    <t>kook n keech women black printed round neck t shirt</t>
  </si>
  <si>
    <t>https://www.myntra.com/tops/tokyo-talkies/tokyo-talkies-women-black-printed-blouson-top/13453596/buy</t>
  </si>
  <si>
    <t>tokyo talkies women black printed blouson top</t>
  </si>
  <si>
    <t>https://www.myntra.com/track-pants/highlander/highlander-men-black-solid-slim-fit-track-pants/14014788/buy</t>
  </si>
  <si>
    <t>highlander men black solid slim fit track pants</t>
  </si>
  <si>
    <t>https://www.myntra.com/jeans/highlander/highlander-men-black-tapered-fit-jeans/15228444/buy</t>
  </si>
  <si>
    <t>highlander men black tapered fit jeans</t>
  </si>
  <si>
    <t>30, 32, 34, 36, 38</t>
  </si>
  <si>
    <t>https://www.myntra.com/shrug/mayra/mayra-women-black-solid-button-shrug/11012510/buy</t>
  </si>
  <si>
    <t>shrug</t>
  </si>
  <si>
    <t>mayra women black solid button shrug</t>
  </si>
  <si>
    <t>https://www.myntra.com/jeans/ether/ether-women-black-skinny-fit-low-rise-clean-look-jeans/1802098/buy</t>
  </si>
  <si>
    <t>ether women black skinny fit low rise clean look jeans</t>
  </si>
  <si>
    <t>https://www.myntra.com/dresses/tokyo-talkies/tokyo-talkies-women-checked-grey-shirt-dress/10845288/buy</t>
  </si>
  <si>
    <t>tokyo talkies women checked grey shirt dress</t>
  </si>
  <si>
    <t>https://www.myntra.com/dresses/athena/athena-mauve-self-design-sheath-dress/13709578/buy</t>
  </si>
  <si>
    <t>athena mauve self design sheath dress</t>
  </si>
  <si>
    <t>https://www.myntra.com/jeans/roadster/roadster-men-black-regular-fit-low-rise-mildly-distressed-stretchable-jeans/8903777/buy</t>
  </si>
  <si>
    <t>roadster men black regular fit low rise mildly distressed stretchable jeans</t>
  </si>
  <si>
    <t>https://www.myntra.com/trousers/highlander/highlander-men-brown-slim-fit-solid-chinos/5125962/buy</t>
  </si>
  <si>
    <t>highlander men brown slim fit solid chinos</t>
  </si>
  <si>
    <t>https://www.myntra.com/sweatshirts/hm/hm-men-white-relaxed-fit-hoodie/15193768/buy</t>
  </si>
  <si>
    <t>hm men white relaxed fit hoodie</t>
  </si>
  <si>
    <t>https://www.myntra.com/tshirts/roadster/roadster-men-navy--maroon-striped-henley-t-shirt/2388302/buy</t>
  </si>
  <si>
    <t>roadster men navy  maroon striped henley t shirt</t>
  </si>
  <si>
    <t>https://www.myntra.com/kurtas/sangria/sangria-women-blue--white-printed-straight-kurta/11173950/buy</t>
  </si>
  <si>
    <t>sangria women blue  white printed straight kurta</t>
  </si>
  <si>
    <t>https://www.myntra.com/sarees/kalini/kalini-peach-coloured--blue-polycotton-baluchari-saree/14675114/buy</t>
  </si>
  <si>
    <t>KALINI</t>
  </si>
  <si>
    <t>kalini peach coloured  blue polycotton baluchari saree</t>
  </si>
  <si>
    <t>68% OFF</t>
  </si>
  <si>
    <t>https://www.myntra.com/shirts/harvard/harvard-blue-casual-denim-shirt/1718905/buy</t>
  </si>
  <si>
    <t>Harvard</t>
  </si>
  <si>
    <t>harvard blue casual denim shirt</t>
  </si>
  <si>
    <t>https://www.myntra.com/jumpsuit/cottinfab/cottinfab-women-burgundy-solid-basic-jumpsuit/10961164/buy</t>
  </si>
  <si>
    <t>cottinfab women burgundy solid basic jumpsuit</t>
  </si>
  <si>
    <t>https://www.myntra.com/jeans/mast--harbour/mast--harbour-men-navy-blue-skinny-fit-mid-rise-clean-look-stretchable-jeans/7255260/buy</t>
  </si>
  <si>
    <t>mast  harbour men navy blue skinny fit mid rise clean look stretchable jeans</t>
  </si>
  <si>
    <t>https://www.myntra.com/tshirts/roadster/roadster-women-olive-green-brand-logo-printed-round-neck-pure-cotton-t-shirt/11404294/buy</t>
  </si>
  <si>
    <t>roadster women olive green brand logo printed round neck pure cotton t shirt</t>
  </si>
  <si>
    <t>https://www.myntra.com/track-pants/hrx-by-hrithik-roshan/hrx-by-hrithik-roshan-black-joggers/1866650/buy</t>
  </si>
  <si>
    <t>hrx by hrithik roshan black joggers</t>
  </si>
  <si>
    <t>https://www.myntra.com/tshirts/hrx-by-hrithik-roshan/hrx-by-hrithik-roshan-men-grey-self-design-round-neck-active-t-shirt/1987411/buy</t>
  </si>
  <si>
    <t>hrx by hrithik roshan men grey self design round neck active t shirt</t>
  </si>
  <si>
    <t>https://www.myntra.com/shirts/highlander/highlander-men-beige--white-slim-fit-striped-casual-shirt/11044440/buy</t>
  </si>
  <si>
    <t>highlander men beige  white slim fit striped casual shirt</t>
  </si>
  <si>
    <t>https://www.myntra.com/shirts/roadster/roadster-men-black--grey-regular-fit-checked-sustainable-casual-shirt/10397849/buy</t>
  </si>
  <si>
    <t>roadster men black  grey regular fit checked sustainable casual shirt</t>
  </si>
  <si>
    <t>https://www.myntra.com/tshirts/moda-rapido/moda-rapido-women-pink-printed-round-neck-pure-cotton-t-shirt/9705197/buy</t>
  </si>
  <si>
    <t>moda rapido women pink printed round neck pure cotton t shirt</t>
  </si>
  <si>
    <t>https://www.myntra.com/trousers/rare/rare-women-brown-parallel-trousers/10463330/buy</t>
  </si>
  <si>
    <t>rare women brown parallel trousers</t>
  </si>
  <si>
    <t>https://www.myntra.com/jackets/campus-sutra/campus-sutra-women-maroon-solid-puffer-jacket/12181796/buy</t>
  </si>
  <si>
    <t>campus sutra women maroon solid puffer jacket</t>
  </si>
  <si>
    <t>https://www.myntra.com/tshirts/mast--harbour/mast--harbour-women-off-white-printed-round-neck-t-shirt/8325439/buy</t>
  </si>
  <si>
    <t>https://www.myntra.com/kurta-sets/ishin/ishin-women-pink--white-bandhani-printed-kurta-with-trousers/12509638/buy</t>
  </si>
  <si>
    <t>Ishin</t>
  </si>
  <si>
    <t>ishin women pink  white bandhani printed kurta with trousers</t>
  </si>
  <si>
    <t>https://www.myntra.com/kurtas/sangria/sangria-women-red-printed-straight-kurta/9371627/buy</t>
  </si>
  <si>
    <t>sangria women red printed straight kurta</t>
  </si>
  <si>
    <t>https://www.myntra.com/kurtas/sangria/sangria-women-white--peach-coloured-ethnic-motifs-printed-pure-cotton-straight-kurta/13437322/buy</t>
  </si>
  <si>
    <t>sangria women white  peach coloured ethnic motifs printed pure cotton straight kurta</t>
  </si>
  <si>
    <t>https://www.myntra.com/jeans/tokyo-talkies/tokyo-talkies-women-black-skinny-fit-mid-rise-clean-look-jeans/10641868/buy</t>
  </si>
  <si>
    <t>tokyo talkies women black skinny fit mid rise clean look jeans</t>
  </si>
  <si>
    <t>https://www.myntra.com/tshirts/roadster/roadster-women-pack-of-2-printed-t-shirt/17381768/buy</t>
  </si>
  <si>
    <t>roadster women pack of 2 printed t shirt</t>
  </si>
  <si>
    <t>https://www.myntra.com/socks/mast--harbour/mast--harbour-men-pack-of-3-above-ankle-length-socks/10986390/buy</t>
  </si>
  <si>
    <t>mast  harbour men pack of 3 above ankle length socks</t>
  </si>
  <si>
    <t>https://www.myntra.com/shirts/mast--harbour/mast--harbour-men-peach-coloured-slim-fit-printed-casual-shirt/8714027/buy</t>
  </si>
  <si>
    <t>mast  harbour men peach coloured slim fit printed casual shirt</t>
  </si>
  <si>
    <t>https://www.myntra.com/jackets/wrogn/wrogn-men-brown-solid-biker-jacket/6832181/buy</t>
  </si>
  <si>
    <t>wrogn men brown solid biker jacket</t>
  </si>
  <si>
    <t>M, L, XL, XXL</t>
  </si>
  <si>
    <t>https://www.myntra.com/kurtas/anouk/anouk-women-turquoise-blue-solid-a-line-kurta/9200201/buy</t>
  </si>
  <si>
    <t>anouk women turquoise blue solid a line kurta</t>
  </si>
  <si>
    <t>https://www.myntra.com/tshirts/mast--harbour/mast--harbour-women-mustard-yellow-pack-of-2-typography-printed-t-shirt/17523596/buy</t>
  </si>
  <si>
    <t>mast  harbour women mustard yellow pack of 2 typography printed t shirt</t>
  </si>
  <si>
    <t>https://www.myntra.com/dresses/berrylush/berrylush-white-floral-printed-fit-and-flare-dress/11109396/buy</t>
  </si>
  <si>
    <t>Berrylush</t>
  </si>
  <si>
    <t>berrylush white floral printed fit and flare dress</t>
  </si>
  <si>
    <t>17% OFF</t>
  </si>
  <si>
    <t>https://www.myntra.com/shirts/roadster/roadster-men-charcoal-grey-regular-fit-printed-sustainable-casual-shirt/2248879/buy</t>
  </si>
  <si>
    <t>roadster men charcoal grey regular fit printed sustainable casual shirt</t>
  </si>
  <si>
    <t>https://www.myntra.com/tshirts/wrogn/wrogn-men-charcoal-grey-printed-v-neck-slim-fit-pure-cotton-t-shirt/8426381/buy</t>
  </si>
  <si>
    <t>wrogn men charcoal grey printed v neck slim fit pure cotton t shirt</t>
  </si>
  <si>
    <t>https://www.myntra.com/briefs/jockey/jockey-simple-comfort-women-pack-of-3-bikini-briefs-1410/15034244/buy</t>
  </si>
  <si>
    <t>jockey simple comfort women pack of 3 bikini briefs 1410</t>
  </si>
  <si>
    <t>https://www.myntra.com/trousers/ether/ether-women-blue-washed-denim-pure-cotton-joggers/1741886/buy</t>
  </si>
  <si>
    <t>ether women blue washed denim pure cotton joggers</t>
  </si>
  <si>
    <t>https://www.myntra.com/tops/mast--harbour/mast--harbour-women-yellow-solid-top/8325255/buy</t>
  </si>
  <si>
    <t>mast  harbour women yellow solid top</t>
  </si>
  <si>
    <t>https://www.myntra.com/jeans/roadster/roadster-men-blue-super-skinny-fit-mid-rise-mildly-distressed-stretchable-jeans/10064565/buy</t>
  </si>
  <si>
    <t>roadster men blue super skinny fit mid rise mildly distressed stretchable jeans</t>
  </si>
  <si>
    <t>https://www.myntra.com/kurta-sets/anouk/anouk-women-mustard--turquoise-blue-printed-kurta-with-trousers/6611361/buy</t>
  </si>
  <si>
    <t>anouk women mustard  turquoise blue printed kurta with trousers</t>
  </si>
  <si>
    <t>https://www.myntra.com/shorts/hrx-by-hrithik-roshan/hrx-by-hrithik-roshan-women-moonlit-ocean-solid-regular-fit-rapid-dry-running-shorts/11357430/buy</t>
  </si>
  <si>
    <t>hrx by hrithik roshan women moonlit ocean solid regular fit rapid dry running shorts</t>
  </si>
  <si>
    <t>https://www.myntra.com/trousers/highlander/highlander-men-olive-green-slim-fit-chinos/1979350/buy</t>
  </si>
  <si>
    <t>highlander men olive green slim fit chinos</t>
  </si>
  <si>
    <t>23% OFF</t>
  </si>
  <si>
    <t>https://www.myntra.com/trunk/us-polo-assn/us-polo-assn-men-white-solid-trunks-i660-001/9168717/buy</t>
  </si>
  <si>
    <t>us polo assn men white solid trunks i660 001</t>
  </si>
  <si>
    <t>https://www.myntra.com/shirts/herenow/herenow-men-blue-regular-fit-printed-casual-shirt/8943339/buy</t>
  </si>
  <si>
    <t>herenow men blue regular fit printed casual shirt</t>
  </si>
  <si>
    <t>https://www.myntra.com/shirts/roadster/roadster-men-olive-pure-cotton-casual-shirt/10275261/buy</t>
  </si>
  <si>
    <t>roadster men olive pure cotton casual shirt</t>
  </si>
  <si>
    <t>https://www.myntra.com/tops/sassafras/sassafras-red-pure-cotton-fitted-crop-top/13843034/buy</t>
  </si>
  <si>
    <t>sassafras red pure cotton fitted crop top</t>
  </si>
  <si>
    <t>https://www.myntra.com/jeans/roadster/roadster-men-blue-skinny-fit-mid-rise-clean-look-stretchable-jeans/10064543/buy</t>
  </si>
  <si>
    <t>roadster men blue skinny fit mid rise clean look stretchable jeans</t>
  </si>
  <si>
    <t>https://www.myntra.com/trousers/roadster/roadster-men-grey-regular-fit-solid-trousers/13859292/buy</t>
  </si>
  <si>
    <t>roadster men grey regular fit solid trousers</t>
  </si>
  <si>
    <t>https://www.myntra.com/trunk/jockey/jockey-international-collection-men-grey-solid-trunks-ic25/11444888/buy</t>
  </si>
  <si>
    <t>jockey international collection men grey solid trunks ic25</t>
  </si>
  <si>
    <t>https://www.myntra.com/sarees/inddus/inddus-mustard-yellow--gold-toned-net-embroidered-saree/12631330/buy</t>
  </si>
  <si>
    <t>Inddus</t>
  </si>
  <si>
    <t>inddus mustard yellow  gold toned net embroidered saree</t>
  </si>
  <si>
    <t>https://www.myntra.com/kurtas/sangria/sangria-women-red-straight-fit-kurta-with-gota-patti-detail/9371507/buy</t>
  </si>
  <si>
    <t>sangria women red straight fit kurta with gota patti detail</t>
  </si>
  <si>
    <t>https://www.myntra.com/jumpsuit/tokyo-talkies/tokyo-talkies-women-black-solid-basic-jumpsuit/12033996/buy</t>
  </si>
  <si>
    <t>tokyo talkies women black solid basic jumpsuit</t>
  </si>
  <si>
    <t>https://www.myntra.com/tops/roadster/roadster-women-yellow-solid-top/8964507/buy</t>
  </si>
  <si>
    <t>roadster women yellow solid top</t>
  </si>
  <si>
    <t>https://www.myntra.com/trousers/roadster/roadster-men-black-sustainable-trousers/11201226/buy</t>
  </si>
  <si>
    <t>roadster men black sustainable trousers</t>
  </si>
  <si>
    <t>https://www.myntra.com/kurtas/hangup/hangup-men-black-solid-pathani-kurta/2453736/buy</t>
  </si>
  <si>
    <t>Hangup</t>
  </si>
  <si>
    <t>hangup men black solid pathani kurta</t>
  </si>
  <si>
    <t>https://www.myntra.com/boxers/urban-scottish/urban-scottish-men-pack-of-2-printed-pure-cotton-boxers-re-usbx1805/12446096/buy</t>
  </si>
  <si>
    <t>URBAN SCOTTISH</t>
  </si>
  <si>
    <t>boxers</t>
  </si>
  <si>
    <t>urban scottish men pack of 2 printed pure cotton boxers re usbx1805</t>
  </si>
  <si>
    <t>https://www.myntra.com/tshirts/roadster/roadster-men-white-solid-polo-collar-t-shirt/2303707/buy</t>
  </si>
  <si>
    <t>roadster men white solid polo collar t shirt</t>
  </si>
  <si>
    <t>https://www.myntra.com/tshirts/roadster/roadster-men-blue-solid-henley-neck-t-shirt/10424670/buy</t>
  </si>
  <si>
    <t>roadster men blue solid henley neck t shirt</t>
  </si>
  <si>
    <t>https://www.myntra.com/tshirts/roadster/roadster-women-pack-of-2-pure-cotton-t-shirts/17381472/buy</t>
  </si>
  <si>
    <t>https://www.myntra.com/lounge-pants/vimal/vimal-men-set-of-2-black-and-navy-blue-solid-lounge-pants/12708354/buy</t>
  </si>
  <si>
    <t>vimal men set of 2 black and navy blue solid lounge pants</t>
  </si>
  <si>
    <t>https://www.myntra.com/kurta-sets/janasya/janasya-women-navy-blue--peach-coloured-solid-kurti-with-trousers--dupatta/8974413/buy</t>
  </si>
  <si>
    <t>Janasya</t>
  </si>
  <si>
    <t>janasya women navy blue  peach coloured solid kurti with trousers  dupatta</t>
  </si>
  <si>
    <t>https://www.myntra.com/tops/miss-chase/miss-chase-black-self-design-top/8935419/buy</t>
  </si>
  <si>
    <t>Miss Chase</t>
  </si>
  <si>
    <t>miss chase black self design top</t>
  </si>
  <si>
    <t>https://www.myntra.com/jeans/mast--harbour/mast--harbour-men-navy-blue-skinny-fit-mid-rise-low-distress-stretchable-jeans/13077152/buy</t>
  </si>
  <si>
    <t>mast  harbour men navy blue skinny fit mid rise low distress stretchable jeans</t>
  </si>
  <si>
    <t>https://www.myntra.com/shirts/highlander/highlander-men-rust-red--off-white-slim-fit-printed-casual-shirt/13861878/buy</t>
  </si>
  <si>
    <t>highlander men rust red  off white slim fit printed casual shirt</t>
  </si>
  <si>
    <t>https://www.myntra.com/shirts/highlander/highlander-men-white--blue-slim-fit-printed-casual-shirt/14205782/buy</t>
  </si>
  <si>
    <t>highlander men white  blue slim fit printed casual shirt</t>
  </si>
  <si>
    <t>https://www.myntra.com/bra/dressberry/dressberry-pack-of-2-solid-non-wired-lightly-padded-t-shirt-bras-bp-030/11883168/buy</t>
  </si>
  <si>
    <t>dressberry pack of 2 solid non wired lightly padded t shirt bras bp 030</t>
  </si>
  <si>
    <t>https://www.myntra.com/tshirts/hrx-by-hrithik-roshan/hrx-by-hrithik-roshan-women-white-printed-round-neck-running-pure-cotton-t-shirt/11037088/buy</t>
  </si>
  <si>
    <t>hrx by hrithik roshan women white printed round neck running pure cotton t shirt</t>
  </si>
  <si>
    <t>https://www.myntra.com/jeans/tokyo-talkies/tokyo-talkies-women-navy-blue-slim-fit-high-rise-clean-look-stretchable-jeans/12876318/buy</t>
  </si>
  <si>
    <t>tokyo talkies women navy blue slim fit high rise clean look stretchable jeans</t>
  </si>
  <si>
    <t>https://www.myntra.com/dresses/dressberry/dressberry-women-burgundy-embroidered-a-line-dress/10463770/buy</t>
  </si>
  <si>
    <t>dressberry women burgundy embroidered a line dress</t>
  </si>
  <si>
    <t>https://www.myntra.com/trousers/highlander/highlander-men-navy-blue-tapered-fit-chinos/2290042/buy</t>
  </si>
  <si>
    <t>highlander men navy blue tapered fit chinos</t>
  </si>
  <si>
    <t>https://www.myntra.com/trousers/highlander/highlander-men-grey-slim-fit-trousers/8106703/buy</t>
  </si>
  <si>
    <t>highlander men grey slim fit trousers</t>
  </si>
  <si>
    <t>https://www.myntra.com/lounge-pants/xyxx/xyxx-men-super-combed-cotton-checkmate-lounge-pants-xypyjm10/10852560/buy</t>
  </si>
  <si>
    <t>XYXX</t>
  </si>
  <si>
    <t>xyxx men super combed cotton checkmate lounge pants xypyjm10</t>
  </si>
  <si>
    <t>Rs. 140 OFF</t>
  </si>
  <si>
    <t>https://www.myntra.com/tshirts/mast--harbour/mast--harbour-men-multicoloured-striped-round-neck-t-shirt/8301909/buy</t>
  </si>
  <si>
    <t>mast  harbour men multicoloured striped round neck t shirt</t>
  </si>
  <si>
    <t>https://www.myntra.com/tshirts/roadster/roadster-men-blue--white-striped-round-neck-pure-cotton-t-shirt/8829435/buy</t>
  </si>
  <si>
    <t>roadster men blue  white striped round neck pure cotton t shirt</t>
  </si>
  <si>
    <t>https://www.myntra.com/sarees/inddus/inddus-red--golden-woven-design-silk-blend-saree/12048344/buy</t>
  </si>
  <si>
    <t>inddus red  golden woven design silk blend saree</t>
  </si>
  <si>
    <t>https://www.myntra.com/briefs/dollar-missy/dollar-missy-women-pack-of-6-bikini-briefs-201p-hrt-cam-pur-po6/2190882/buy</t>
  </si>
  <si>
    <t>dollar missy women pack of 6 bikini briefs 201p hrt cam pur po6</t>
  </si>
  <si>
    <t>https://www.myntra.com/jeggings/roadster/roadster-women-navy-blue-super-skinny-fit-washed-treggings/11489668/buy</t>
  </si>
  <si>
    <t>roadster women navy blue super skinny fit washed treggings</t>
  </si>
  <si>
    <t>https://www.myntra.com/dresses/roadster/roadster-easy-shift-dress-in-cotton-blend/2368774/buy</t>
  </si>
  <si>
    <t>roadster easy shift dress in cotton blend</t>
  </si>
  <si>
    <t>https://www.myntra.com/shorts/hrx-by-hrithik-roshan/hrx-by-hrithik-roshan-men-navy-solid-rapid-dry-running-shorts/12212310/buy</t>
  </si>
  <si>
    <t>hrx by hrithik roshan men navy solid rapid dry running shorts</t>
  </si>
  <si>
    <t>https://www.myntra.com/boxers/us-polo-assn/us-polo-assn-men-assorted-printed-pure-cotton-boxers-i657-615-cr-l/9168503/buy</t>
  </si>
  <si>
    <t>us polo assn men assorted printed pure cotton boxers i657 615 cr l</t>
  </si>
  <si>
    <t>https://www.myntra.com/kurtas/anouk/anouk-men-navy-blue-solid-straight-kurta/10803222/buy</t>
  </si>
  <si>
    <t>anouk men navy blue solid straight kurta</t>
  </si>
  <si>
    <t>https://www.myntra.com/shirts/mast--harbour/mast--harbour-men-brown-slim-fit---casual-linen-cotton-sustainable-shirt/2444566/buy</t>
  </si>
  <si>
    <t>mast  harbour men brown slim fit   casual linen cotton sustainable shirt</t>
  </si>
  <si>
    <t>https://www.myntra.com/tops/her-by-invictus/her-by-invictus-navy-blue--white-floral-pleated-top/11735666/buy</t>
  </si>
  <si>
    <t>her by invictus navy blue  white floral pleated top</t>
  </si>
  <si>
    <t>https://www.myntra.com/tops/harpa/harpa-women-yellow-floral-printed-round-neck-top/13377766/buy</t>
  </si>
  <si>
    <t>harpa women yellow floral printed round neck top</t>
  </si>
  <si>
    <t>https://www.myntra.com/track-pants/hrx-by-hrithik-roshan/hrx-by-hrithik-roshan-teal-blue-active-joggers/1912701/buy</t>
  </si>
  <si>
    <t>hrx by hrithik roshan teal blue active joggers</t>
  </si>
  <si>
    <t>https://www.myntra.com/tshirts/bewakoof/bewakoof-men-white-solid-round-neck-pure-cotton-t-shirt/13819100/buy</t>
  </si>
  <si>
    <t>Bewakoof</t>
  </si>
  <si>
    <t>bewakoof men white solid round neck pure cotton t shirt</t>
  </si>
  <si>
    <t>10% OFF</t>
  </si>
  <si>
    <t>https://www.myntra.com/tshirts/roadster/roadster-women-white-solid-round-neck-t-shirt/11398830/buy</t>
  </si>
  <si>
    <t>roadster women white solid round neck t shirt</t>
  </si>
  <si>
    <t>https://www.myntra.com/tshirts/roadster/roadster-men-navy-blue--red-striped-pure-cotton-polo-collar-applique-pure-cotton-t-shirt/1396021/buy</t>
  </si>
  <si>
    <t>roadster men navy blue  red striped pure cotton polo collar applique pure cotton t shirt</t>
  </si>
  <si>
    <t>https://www.myntra.com/dresses/dressberry/dressberry-women-navy-blue-solid-tiered-a-line-dress/11183816/buy</t>
  </si>
  <si>
    <t>dressberry women navy blue solid tiered a line dress</t>
  </si>
  <si>
    <t>https://www.myntra.com/kurta-sets/indo-era/indo-era-women-navy-blue-yoke-design-kurta-with-trousers--dupatta/13250072/buy</t>
  </si>
  <si>
    <t>Indo Era</t>
  </si>
  <si>
    <t>indo era women navy blue yoke design kurta with trousers  dupatta</t>
  </si>
  <si>
    <t>https://www.myntra.com/tshirts/hrx-by-hrithik-roshan/hrx-by-hrithik-roshan-women-red-solid-round-neck-t-shirt/7688063/buy</t>
  </si>
  <si>
    <t>hrx by hrithik roshan women red solid round neck t shirt</t>
  </si>
  <si>
    <t>https://www.myntra.com/tops/miss-chase/miss-chase-pink-floral-printed-tie-up-neck-crepe-maxi-longline-top/13916976/buy</t>
  </si>
  <si>
    <t>miss chase pink floral printed tie up neck crepe maxi longline top</t>
  </si>
  <si>
    <t>https://www.myntra.com/trousers/tokyo-talkies/tokyo-talkies-women-black-straight-fit-solid-regular-trousers/12292256/buy</t>
  </si>
  <si>
    <t>tokyo talkies women black straight fit solid regular trousers</t>
  </si>
  <si>
    <t>https://www.myntra.com/shirts/roadster/roadster-men-grey--navy-blue-regular-fit-checked-casual-shirt/6849362/buy</t>
  </si>
  <si>
    <t>roadster men grey  navy blue regular fit checked casual shirt</t>
  </si>
  <si>
    <t>https://www.myntra.com/kurta-sets/ahika/ahika-women-maroon--brown-printed-kurta-with-trousers--dupatta/13415698/buy</t>
  </si>
  <si>
    <t>AHIKA</t>
  </si>
  <si>
    <t>ahika women maroon  brown printed kurta with trousers  dupatta</t>
  </si>
  <si>
    <t>https://www.myntra.com/kurta-sets/anubhutee/anubhutee-women-navy-blue-ethnic-motifs-embroidered-thread-work-kurta-with-trousers--with-dupatta/16331376/buy</t>
  </si>
  <si>
    <t>anubhutee women navy blue ethnic motifs embroidered thread work kurta with trousers  with dupatta</t>
  </si>
  <si>
    <t>https://www.myntra.com/lounge-pants/domyos-by-decathlon/domyos-by-decathlon-women-grey-pink-solid-regular-fit-organic-cotton-yoga-pants/12965938/buy</t>
  </si>
  <si>
    <t>domyos by decathlon women grey pink solid regular fit organic cotton yoga pants</t>
  </si>
  <si>
    <t>https://www.myntra.com/tshirts/roadster/roadster-women-pack-of-2-printed-cotton-t-shirt/17385514/buy</t>
  </si>
  <si>
    <t>https://www.myntra.com/jeans/kook-n-keech/kook-n-keech-women-black--blue-boyfriend-fit-mid-rise-colourblocked-cropped-jeans/7255283/buy</t>
  </si>
  <si>
    <t>kook n keech women black  blue boyfriend fit mid rise colourblocked cropped jeans</t>
  </si>
  <si>
    <t>https://www.myntra.com/jeans/roadster/roadster-women-blue-skinny-fit-high-rise-clean-look-stretchable-cropped-jeans/6831717/buy</t>
  </si>
  <si>
    <t>https://www.myntra.com/track-pants/tokyo-talkies/tokyo-talkies-women-green-solid-slim-fit-track-pants/14154082/buy</t>
  </si>
  <si>
    <t>tokyo talkies women green solid slim fit track pants</t>
  </si>
  <si>
    <t>https://www.myntra.com/briefs/us-polo-assn/us-polo-assn-men-assorted-briefs-z9i615-615/10248053/buy</t>
  </si>
  <si>
    <t>us polo assn men assorted briefs z9i615 615</t>
  </si>
  <si>
    <t>https://www.myntra.com/kurtas/yuris/yuris-women-pink--white-printed-straight-kurta/10054361/buy</t>
  </si>
  <si>
    <t>https://www.myntra.com/kurtas/herenow/herenow-women-blue--white-printed-straight-kurta/13007406/buy</t>
  </si>
  <si>
    <t>herenow women blue  white printed straight kurta</t>
  </si>
  <si>
    <t>https://www.myntra.com/tshirts/kook-n-keech/kook-n-keech-women-black-printed-round-neck-boxy-pure-cotton-t-shirt/10926786/buy</t>
  </si>
  <si>
    <t>kook n keech women black printed round neck boxy pure cotton t shirt</t>
  </si>
  <si>
    <t>https://www.myntra.com/tshirts/roadster/roadster-women-pack-of-2-pure-cotton-t-shirts/17381626/buy</t>
  </si>
  <si>
    <t>https://www.myntra.com/leggings/tag-7/tag-7-women-pack-of-2-solid-ankle-length-leggings/10662122/buy</t>
  </si>
  <si>
    <t>TAG 7</t>
  </si>
  <si>
    <t>tag 7 women pack of 2 solid ankle length leggings</t>
  </si>
  <si>
    <t>https://www.myntra.com/tshirts/roadster/roadster-women-pack-of-2-solid-t-shirts/17381454/buy</t>
  </si>
  <si>
    <t>https://www.myntra.com/kurtas/vishudh/vishudh-women-red--gold-toned-printed-straight-kurta/5597189/buy</t>
  </si>
  <si>
    <t>vishudh women red  gold toned printed straight kurta</t>
  </si>
  <si>
    <t>https://www.myntra.com/kurtas/varanga/varanga-women-black--white-printed-straight-kurta/12488786/buy</t>
  </si>
  <si>
    <t>varanga women black  white printed straight kurta</t>
  </si>
  <si>
    <t>https://www.myntra.com/kurta-sets/sangria/sangria-women-maroon--golden-pure-cotton-printed-kurta-with-palazzos/13437250/buy</t>
  </si>
  <si>
    <t>sangria women maroon  golden pure cotton printed kurta with palazzos</t>
  </si>
  <si>
    <t>https://www.myntra.com/jeans/roadster/roadster-women-blue-skinny-fit-mid-rise-clean-look-stretchable-jeans/8091637/buy</t>
  </si>
  <si>
    <t>https://www.myntra.com/jeans/roadster/roadster-women-blue-narrow-wide-leg-high-rise-clean-look-stretchable-jeans/13315066/buy</t>
  </si>
  <si>
    <t>roadster women blue narrow wide leg high rise clean look stretchable jeans</t>
  </si>
  <si>
    <t>https://www.myntra.com/jackets/ether/ether-women-navy-blue-solid-bomber/6697880/buy</t>
  </si>
  <si>
    <t>ether women navy blue solid bomber</t>
  </si>
  <si>
    <t>https://www.myntra.com/track-pants/hubberholme/hubberholme-white-slim-fit-track-pants/1757662/buy</t>
  </si>
  <si>
    <t>hubberholme white slim fit track pants</t>
  </si>
  <si>
    <t>https://www.myntra.com/kurta-sets/vishudh/vishudh-women-navy-blue--pink-printed-kurta-with-palazzos/11938226/buy</t>
  </si>
  <si>
    <t>vishudh women navy blue  pink printed kurta with palazzos</t>
  </si>
  <si>
    <t>https://www.myntra.com/tops/roadster/roadster-women-white--black-solid-a-line-pure-cotton-top/11373682/buy</t>
  </si>
  <si>
    <t>roadster women white  black solid a line pure cotton top</t>
  </si>
  <si>
    <t>https://www.myntra.com/jeans/roadster/roadster-men-grey-slim-fit-mid-rise-clean-look-stretchable-jeans/9575361/buy</t>
  </si>
  <si>
    <t>roadster men grey slim fit mid rise clean look stretchable jeans</t>
  </si>
  <si>
    <t>https://www.myntra.com/socks/mast--harbour/mast--harbour-men-pack-of-3-shoeliners/10986404/buy</t>
  </si>
  <si>
    <t>mast  harbour men pack of 3 shoeliners</t>
  </si>
  <si>
    <t>https://www.myntra.com/shirts/roadster/roadster-men-navy-blue--green-checked-pure-cotton-casual-sustainable-shirt/11896050/buy</t>
  </si>
  <si>
    <t>roadster men navy blue  green checked pure cotton casual sustainable shirt</t>
  </si>
  <si>
    <t>https://www.myntra.com/kurtas/anouk/anouk-women-red--black-checked-straight-kurta/8621731/buy</t>
  </si>
  <si>
    <t>anouk women red  black checked straight kurta</t>
  </si>
  <si>
    <t>https://www.myntra.com/dresses/myshka/myshka-maroon--golden-ethnic-motifs-printed-cotton-maxi-dress/11629168/buy</t>
  </si>
  <si>
    <t>Myshka</t>
  </si>
  <si>
    <t>myshka maroon  golden ethnic motifs printed cotton maxi dress</t>
  </si>
  <si>
    <t>https://www.myntra.com/tshirts/roadster/roadster-women-pack-of-2-pure-cotton-t-shirts/17381478/buy</t>
  </si>
  <si>
    <t>https://www.myntra.com/tops/her-by-invictus/her-by-invictus-black-polka-dots-pleated-top/7645398/buy</t>
  </si>
  <si>
    <t>her by invictus black polka dots pleated top</t>
  </si>
  <si>
    <t>https://www.myntra.com/jeans/roadster/roadster-men-blue-skinny-fit-mid-rise-mildly-distressed-stretchable-jeans/11274626/buy</t>
  </si>
  <si>
    <t>https://www.myntra.com/kurtas/sangria/sangria-women-black--white-printed-straight-kurta/10560802/buy</t>
  </si>
  <si>
    <t>sangria women black  white printed straight kurta</t>
  </si>
  <si>
    <t>https://www.myntra.com/tshirts/dillinger/dillinger-women-teal-blue-printed-oversized-cotton-pure-cotton-t-shirt/12029628/buy</t>
  </si>
  <si>
    <t>DILLINGER</t>
  </si>
  <si>
    <t>dillinger women teal blue printed oversized cotton pure cotton t shirt</t>
  </si>
  <si>
    <t>https://www.myntra.com/kurta-sets/varanga/varanga-women-pink--silver-toned-yoke-design-kurta-with-palazzos--dupatta/14046728/buy</t>
  </si>
  <si>
    <t>varanga women pink  silver toned yoke design kurta with palazzos  dupatta</t>
  </si>
  <si>
    <t>https://www.myntra.com/tshirts/roadster/roadster-women-pack-of-2-pure-cotton-t-shirts/2025239/buy</t>
  </si>
  <si>
    <t>https://www.myntra.com/jeans/wrogn/wrogn-men-blue-tapered-fit-mid-rise-clean-look-stretchable-cropped-jeans/10187343/buy</t>
  </si>
  <si>
    <t>wrogn men blue tapered fit mid rise clean look stretchable cropped jeans</t>
  </si>
  <si>
    <t>https://www.myntra.com/trunk/one8-by-virat-kohli/one8-by-virat-kohli-pack-of-2-men-grey-melange--orange-solid-trunks-10512948-1-10513016-1/11217408/buy</t>
  </si>
  <si>
    <t>one8 by Virat Kohli</t>
  </si>
  <si>
    <t>one8 by virat kohli pack of 2 men grey melange  orange solid trunks 10512948 1 10513016 1</t>
  </si>
  <si>
    <t>Rs. 100 OFF</t>
  </si>
  <si>
    <t>https://www.myntra.com/shirts/moda-rapido/moda-rapido-men-mustard-floral-resort-wear-shirt/11158218/buy</t>
  </si>
  <si>
    <t>moda rapido men mustard floral resort wear shirt</t>
  </si>
  <si>
    <t>https://www.myntra.com/jeans/locomotive/locomotive-men-black-tapered-fit-mid-rise-clean-look-stretchable-jeans/7726426/buy</t>
  </si>
  <si>
    <t>locomotive men black tapered fit mid rise clean look stretchable jeans</t>
  </si>
  <si>
    <t>https://www.myntra.com/trousers/highlander/highlander-men-navy-blue--grey-slim-fit-checked-regular-trousers/10144527/buy</t>
  </si>
  <si>
    <t>highlander men navy blue  grey slim fit checked regular trousers</t>
  </si>
  <si>
    <t>https://www.myntra.com/shirts/roadster/roadster-men-navy-blue--red-striped-pure-cotton-sustainable-casual-shirt/10945090/buy</t>
  </si>
  <si>
    <t>roadster men navy blue  red striped pure cotton sustainable casual shirt</t>
  </si>
  <si>
    <t>https://www.myntra.com/tshirts/mast--harbour/mast--harbour-men-navy-solid-round-neck-pure-cotton-t-shirt/2232130/buy</t>
  </si>
  <si>
    <t>mast  harbour men navy solid round neck pure cotton t shirt</t>
  </si>
  <si>
    <t>https://www.myntra.com/kurtas/vishudh/vishudh-women-peach-coloured-checked-straight-kurta/10074627/buy</t>
  </si>
  <si>
    <t>vishudh women peach coloured checked straight kurta</t>
  </si>
  <si>
    <t>https://www.myntra.com/shapewear/laceandme/laceandme-women-nude-coloured-solid-shaper-briefs-9813/12069880/buy</t>
  </si>
  <si>
    <t>Laceandme</t>
  </si>
  <si>
    <t>laceandme women nude coloured solid shaper briefs 9813</t>
  </si>
  <si>
    <t>41% OFF</t>
  </si>
  <si>
    <t>https://www.myntra.com/bra/rosaline-by-zivame/rosaline-by-zivame-blue-solid-non-wired-non-padded-t-shirt-bra-zi1885coreablue0/11416434/buy</t>
  </si>
  <si>
    <t>Rosaline by Zivame</t>
  </si>
  <si>
    <t>rosaline by zivame blue solid non wired non padded t shirt bra zi1885coreablue0</t>
  </si>
  <si>
    <t>32B, 32C, 32D, 34B, 34C, 34D, 36B, 36C, 36D, 38B, 38C, 38D</t>
  </si>
  <si>
    <t>https://www.myntra.com/tops/pluss/pluss-women-pastel-green-embroidered-peplum-top/8126453/buy</t>
  </si>
  <si>
    <t>pluss women pastel green embroidered peplum top</t>
  </si>
  <si>
    <t>https://www.myntra.com/shorts/hrx-by-hrithik-roshan/hrx-by-hrithik-roshan-women-red-rapid-dry-yoga-seamless-shorts/10106535/buy</t>
  </si>
  <si>
    <t>hrx by hrithik roshan women red rapid dry yoga seamless shorts</t>
  </si>
  <si>
    <t>https://www.myntra.com/tights/hrx-by-hrithik-roshan/hrx-by-hrithik-roshan-women-navy-blue-skinny-fit-solid-rapid-dry-cropped-training-tights/7695782/buy</t>
  </si>
  <si>
    <t>hrx by hrithik roshan women navy blue skinny fit solid rapid dry cropped training tights</t>
  </si>
  <si>
    <t>https://www.myntra.com/jeans/roadster/roadster-women-navy-blue-super-skinny-fit-high-rise-clean-look-stretchable-jeans/12278628/buy</t>
  </si>
  <si>
    <t>roadster women navy blue super skinny fit high rise clean look stretchable jeans</t>
  </si>
  <si>
    <t>https://www.myntra.com/tops/dressberry/dressberry-navy-blue-self-striped-fitted-top/11271956/buy</t>
  </si>
  <si>
    <t>dressberry navy blue self striped fitted top</t>
  </si>
  <si>
    <t>https://www.myntra.com/shirts/highlander/highlander-men-mustard-yellow-slim-fit-solid-cotton-casual-shirt/13957442/buy</t>
  </si>
  <si>
    <t>highlander men mustard yellow slim fit solid cotton casual shirt</t>
  </si>
  <si>
    <t>https://www.myntra.com/tops/bhama-couture/bhama-couture-blue--white-striped-a-line-pure-cotton-top/9717187/buy</t>
  </si>
  <si>
    <t>Bhama Couture</t>
  </si>
  <si>
    <t>bhama couture blue  white striped a line pure cotton top</t>
  </si>
  <si>
    <t>https://www.myntra.com/bra/jockey/jockey-burgundy-solid-non-wired-lightly-padded-everyday-bra-1723-0105-btred/9314595/buy</t>
  </si>
  <si>
    <t>jockey burgundy solid non wired lightly padded everyday bra 1723 0105 btred</t>
  </si>
  <si>
    <t>30B, 32B, 32C, 34B, 34C, 36B, 36C, 38B</t>
  </si>
  <si>
    <t>https://www.myntra.com/jeans/tokyo-talkies/tokyo-talkies-women-navy-blue-slim-fit-mid-rise-clean-look-stretchable-jeans/12876646/buy</t>
  </si>
  <si>
    <t>tokyo talkies women navy blue slim fit mid rise clean look stretchable jeans</t>
  </si>
  <si>
    <t>https://www.myntra.com/tops/scorpius/scorpius-women-pack-of-2-black-solid-crop-tops/9339767/buy</t>
  </si>
  <si>
    <t>scorpius women pack of 2 black solid crop tops</t>
  </si>
  <si>
    <t>https://www.myntra.com/dresses/sassafras/sassafras-pink--orange-floral-printed-tiered-a-line-dress-with-puff-sleeves/13581108/buy</t>
  </si>
  <si>
    <t>sassafras pink  orange floral printed tiered a line dress with puff sleeves</t>
  </si>
  <si>
    <t>https://www.myntra.com/kurtas/taavi/taavi-men-indigo-hand-block-printed-straight-sustainable-kurta-with-roll-up-sleeves/9304671/buy</t>
  </si>
  <si>
    <t>taavi men indigo hand block printed straight sustainable kurta with roll up sleeves</t>
  </si>
  <si>
    <t>https://www.myntra.com/tshirts/roadster/roadster-men-blue-striped-round-neck-pure-cotton-t-shirt/2337949/buy</t>
  </si>
  <si>
    <t>roadster men blue striped round neck pure cotton t shirt</t>
  </si>
  <si>
    <t>https://www.myntra.com/tshirts/roadster/roadster-women-pack-of-2-mustard-yellow-solid-t-shirts/17381350/buy</t>
  </si>
  <si>
    <t>roadster women pack of 2 mustard yellow solid t shirts</t>
  </si>
  <si>
    <t>https://www.myntra.com/tops/dressberry/dressberry-women-navy-blue--orange-floral-print-top/11182738/buy</t>
  </si>
  <si>
    <t>dressberry women navy blue  orange floral print top</t>
  </si>
  <si>
    <t>https://www.myntra.com/tshirts/roadster/roadster-women-lavender--navy-printed-round-neck-t-shirt/12193758/buy</t>
  </si>
  <si>
    <t>roadster women lavender  navy printed round neck t shirt</t>
  </si>
  <si>
    <t>https://www.myntra.com/shirts/ether/ether-men-black-slim-fit-antimicrobial-cotton-stretch-shirt/1155795/buy</t>
  </si>
  <si>
    <t>ether men black slim fit antimicrobial cotton stretch shirt</t>
  </si>
  <si>
    <t>https://www.myntra.com/kurtas/sangria/sangria-women-blue-geometric-printed-straight-kurta/8349181/buy</t>
  </si>
  <si>
    <t>sangria women blue geometric printed straight kurta</t>
  </si>
  <si>
    <t>https://www.myntra.com/lounge-pants/etc/etc-women-black-pure-cotton-solid-lounge-joggers/12820436/buy</t>
  </si>
  <si>
    <t>etc women black pure cotton solid lounge joggers</t>
  </si>
  <si>
    <t xml:space="preserve"> 50 % OFF</t>
  </si>
  <si>
    <t>https://www.myntra.com/bra/enamor/enamor-light-pink-non-wired-non-padded-full-coverage-everyday-tshirt-bra-a027-/11818414/buy</t>
  </si>
  <si>
    <t xml:space="preserve">enamor light pink non wired non padded full coverage everyday tshirt bra a027 </t>
  </si>
  <si>
    <t>https://www.myntra.com/tops/veni-vidi-vici/veni-vidi-vici-white-ruffled-bardot-top/7477729/buy</t>
  </si>
  <si>
    <t>Veni Vidi Vici</t>
  </si>
  <si>
    <t>veni vidi vici white ruffled bardot top</t>
  </si>
  <si>
    <t>https://www.myntra.com/kurtas/anouk/anouk-men-maroon--beige-printed-straight-short-kurta/10307987/buy</t>
  </si>
  <si>
    <t>anouk men maroon  beige printed straight short kurta</t>
  </si>
  <si>
    <t>https://www.myntra.com/shirts/wrogn/wrogn-men-rust-orange-checked-slim-casual-shirt/1427701/buy</t>
  </si>
  <si>
    <t>wrogn men rust orange checked slim casual shirt</t>
  </si>
  <si>
    <t>https://www.myntra.com/jackets/roadster/the-roadster-lifestyle-co-men-blue-solid-denim-jacket/10617850/buy</t>
  </si>
  <si>
    <t>the roadster lifestyle co men blue solid denim jacket</t>
  </si>
  <si>
    <t>https://www.myntra.com/kurtas/sangria/sangria-women-black-printed-straight-kurta/8420231/buy</t>
  </si>
  <si>
    <t>sangria women black printed straight kurta</t>
  </si>
  <si>
    <t>https://www.myntra.com/tshirts/mast--harbour/mast--harbour-women-pack-of-2-solid-tshirts/17523394/buy</t>
  </si>
  <si>
    <t>mast  harbour women pack of 2 solid tshirts</t>
  </si>
  <si>
    <t>https://www.myntra.com/tshirts/roadster/roadster-women-pack-of-2-pure-cotton-t-shirts/17384216/buy</t>
  </si>
  <si>
    <t>https://www.myntra.com/sweatshirts/roadster/the-roadster-lifestyle-co-women-green-solid-sweatshirt/9478295/buy</t>
  </si>
  <si>
    <t>the roadster lifestyle co women green solid sweatshirt</t>
  </si>
  <si>
    <t>https://www.myntra.com/dresses/tokyo-talkies/tokyo-talkies-women-grey-printed-fit-and-flare-dress/4924933/buy</t>
  </si>
  <si>
    <t>tokyo talkies women grey printed fit and flare dress</t>
  </si>
  <si>
    <t>https://www.myntra.com/tshirts/maniac/maniac-men-white-striped-scoop-neck-pure-cotton-t-shirt/9200817/buy</t>
  </si>
  <si>
    <t>Maniac</t>
  </si>
  <si>
    <t>maniac men white striped scoop neck pure cotton t shirt</t>
  </si>
  <si>
    <t>https://www.myntra.com/dresses/ahalyaa/ahalyaa-green-ethnic-motifs-printed-maxi-dress/7193789/buy</t>
  </si>
  <si>
    <t>Ahalyaa</t>
  </si>
  <si>
    <t>ahalyaa green ethnic motifs printed maxi dress</t>
  </si>
  <si>
    <t>Rs. 1456 OFF</t>
  </si>
  <si>
    <t>https://www.myntra.com/tshirts/roadster/roadster-women-pack-of-2-pure-cotton-t-shirts/17381480/buy</t>
  </si>
  <si>
    <t>https://www.myntra.com/tshirts/roadster/roadster-women-pack-of-2-printed-cotton-t-shirt/17385104/buy</t>
  </si>
  <si>
    <t>https://www.myntra.com/jeans/roadster/the-roadster-lifestyle-co-men-blue-slim-fit-mid-rise-clean-look-stretchable-jeans/10930336/buy</t>
  </si>
  <si>
    <t>the roadster lifestyle co men blue slim fit mid rise clean look stretchable jeans</t>
  </si>
  <si>
    <t>https://www.myntra.com/tshirts/hrx-by-hrithik-roshan/hrx-by-hrithik-roshan-men-pack-of-2-grey--white-t-shirt/16323384/buy</t>
  </si>
  <si>
    <t>hrx by hrithik roshan men pack of 2 grey  white t shirt</t>
  </si>
  <si>
    <t>S, M, XL, XXL, L</t>
  </si>
  <si>
    <t>https://www.myntra.com/shirts/highlander/highlander-men-white--olive-green-slim-fit-printed-casual-shirt/11889116/buy</t>
  </si>
  <si>
    <t>highlander men white  olive green slim fit printed casual shirt</t>
  </si>
  <si>
    <t>https://www.myntra.com/tshirts/roadster/roadster-men-white--navy-striped-round-neck-pure-cotton-t-shirt/2297744/buy</t>
  </si>
  <si>
    <t>roadster men white  navy striped round neck pure cotton t shirt</t>
  </si>
  <si>
    <t>https://www.myntra.com/palazzos/juniper/juniper-women-maroon--gold-coloured-printed-flared-palazzos/11893114/buy</t>
  </si>
  <si>
    <t>Juniper</t>
  </si>
  <si>
    <t>juniper women maroon  gold coloured printed flared palazzos</t>
  </si>
  <si>
    <t>https://www.myntra.com/kurta-sets/sangria/sangria-women-teal-green--golden-zari-embroidered-angrakha-kurta-palazzo-dupatta-set/12104526/buy</t>
  </si>
  <si>
    <t>sangria women teal green  golden zari embroidered angrakha kurta palazzo dupatta set</t>
  </si>
  <si>
    <t>https://www.myntra.com/bra/floret/floret-pack-of-3-full-coverage-bras/851425/buy</t>
  </si>
  <si>
    <t>floret pack of 3 full coverage bras</t>
  </si>
  <si>
    <t>https://www.myntra.com/track-pants/tokyo-talkies/tokyo-talkies-women-maroon-solid-port-royale-casual-straight-fit-track-pants/14154064/buy</t>
  </si>
  <si>
    <t>tokyo talkies women maroon solid port royale casual straight fit track pants</t>
  </si>
  <si>
    <t>https://www.myntra.com/tshirts/maniac/maniac-men-yellow--navy-blue-printed-round-neck-pure-cotton-t-shirt/9256769/buy</t>
  </si>
  <si>
    <t>maniac men yellow  navy blue printed round neck pure cotton t shirt</t>
  </si>
  <si>
    <t>56% OFF</t>
  </si>
  <si>
    <t>https://www.myntra.com/tshirts/wrogn/wrogn-white-printed-pure-cotton-t-shirt/1421972/buy</t>
  </si>
  <si>
    <t>wrogn white printed pure cotton t shirt</t>
  </si>
  <si>
    <t>https://www.myntra.com/kurtas/sangria/sangria-women-green--orange-ethnic-print-straight-kurta/13437256/buy</t>
  </si>
  <si>
    <t>sangria women green  orange ethnic print straight kurta</t>
  </si>
  <si>
    <t>https://www.myntra.com/tshirts/hrx-by-hrithik-roshan/hrx-by-hrithik-roshan-men-pack-of-2-t-shirts/16324074/buy</t>
  </si>
  <si>
    <t>hrx by hrithik roshan men pack of 2 t shirts</t>
  </si>
  <si>
    <t>https://www.myntra.com/shirts/roadster/roadster-men-black--grey-slim-fit-checked-sustainable-casual-shirt/2116963/buy</t>
  </si>
  <si>
    <t>roadster men black  grey slim fit checked sustainable casual shirt</t>
  </si>
  <si>
    <t>https://www.myntra.com/tshirts/roadster/roadster-men-green-melange-solid-v-neck-t-shirt/1996729/buy</t>
  </si>
  <si>
    <t>roadster men green melange solid v neck t shirt</t>
  </si>
  <si>
    <t>https://www.myntra.com/jeans/herenow/herenow-women-blue-bootcut-high-rise-clean-look-stretchable-cropped-jeans/9072729/buy</t>
  </si>
  <si>
    <t>herenow women blue bootcut high rise clean look stretchable cropped jeans</t>
  </si>
  <si>
    <t>https://www.myntra.com/dresses/pluss/pluss-blue-striped-fit-and-flare-dress/7753715/buy</t>
  </si>
  <si>
    <t>pluss blue striped fit and flare dress</t>
  </si>
  <si>
    <t>https://www.myntra.com/tshirts/mast--harbour/mast--harbour-women-pack-of-2-t-shirts/17524574/buy</t>
  </si>
  <si>
    <t>mast  harbour women pack of 2 t shirts</t>
  </si>
  <si>
    <t>https://www.myntra.com/tshirts/sassafras/sassafras-women-fluorescent-green-blessed-print-round-neck-t-shirt/12737822/buy</t>
  </si>
  <si>
    <t>sassafras women fluorescent green blessed print round neck t shirt</t>
  </si>
  <si>
    <t>https://www.myntra.com/jeans/roadster/roadster-men-blue-skinny-fit-mid-rise-acid-wash-clean-look-stretchable-jeans/11274476/buy</t>
  </si>
  <si>
    <t>roadster men blue skinny fit mid rise acid wash clean look stretchable jeans</t>
  </si>
  <si>
    <t>https://www.myntra.com/shirts/roadster/roadster-men-blue-pure-cotton-washed-denim-sustainable-shirt/1376192/buy</t>
  </si>
  <si>
    <t>roadster men blue pure cotton washed denim sustainable shirt</t>
  </si>
  <si>
    <t>https://www.myntra.com/dresses/tokyo-talkies/tokyo-talkies-women-rust-red-floral-printed-dress/10088851/buy</t>
  </si>
  <si>
    <t>tokyo talkies women rust red floral printed dress</t>
  </si>
  <si>
    <t>https://www.myntra.com/tops/her-by-invictus/her-by-invictus-teal-blue--black-conversational-pleated-top/10821238/buy</t>
  </si>
  <si>
    <t>her by invictus teal blue  black conversational pleated top</t>
  </si>
  <si>
    <t>https://www.myntra.com/dresses/sassafras/sassafras-sea-green--red-floral-print-a-line-dress/1774662/buy</t>
  </si>
  <si>
    <t>sassafras sea green  red floral print a line dress</t>
  </si>
  <si>
    <t>https://www.myntra.com/tshirts/roadster/-roadster-women-pack-of-2-cotton-t-shirts/17382688/buy</t>
  </si>
  <si>
    <t>XL, L, M, S, XS</t>
  </si>
  <si>
    <t>https://www.myntra.com/shirts/highlander/highlander-men-black-slim-fit-casual-shirt/12027774/buy</t>
  </si>
  <si>
    <t>highlander men black slim fit casual shirt</t>
  </si>
  <si>
    <t>https://www.myntra.com/tops/pluss/pluss-women-blue-printed-peplum-top/8715089/buy</t>
  </si>
  <si>
    <t>pluss women blue printed peplum top</t>
  </si>
  <si>
    <t>https://www.myntra.com/dresses/pluss/pluss-women-red-embroidered-fit--flare-dress/9657035/buy</t>
  </si>
  <si>
    <t>pluss women red embroidered fit  flare dress</t>
  </si>
  <si>
    <t>https://www.myntra.com/shorts/dressberry/dressberry-women-stylish-black-solid-fringed-shorts/11264142/buy</t>
  </si>
  <si>
    <t>dressberry women stylish black solid fringed shorts</t>
  </si>
  <si>
    <t>https://www.myntra.com/dresses/street-9/street-9-navy-blue-one-shoulder-fit--flare-dress/7287282/buy</t>
  </si>
  <si>
    <t>street 9 navy blue one shoulder fit  flare dress</t>
  </si>
  <si>
    <t>https://www.myntra.com/dresses/tokyo-talkies/tokyo-talkies-women-rose-lace-shirt-dress/10981590/buy</t>
  </si>
  <si>
    <t>tokyo talkies women rose lace shirt dress</t>
  </si>
  <si>
    <t>https://www.myntra.com/tops/scorpius/scorpius-women-pack-of-2-solid-crop-pure-cotton-tops/9340383/buy</t>
  </si>
  <si>
    <t>scorpius women pack of 2 solid crop pure cotton tops</t>
  </si>
  <si>
    <t>https://www.myntra.com/jeans/kotty/kotty-women-black-boyfriend-fit-high-rise-clean-look-jeans/12161178/buy</t>
  </si>
  <si>
    <t>Kotty</t>
  </si>
  <si>
    <t>kotty women black boyfriend fit high rise clean look jeans</t>
  </si>
  <si>
    <t>26, 28, 30, 32</t>
  </si>
  <si>
    <t>https://www.myntra.com/dresses/sassafras/sassafras-cream-coloured--pink-floral-printed-maxi-dress/11364356/buy</t>
  </si>
  <si>
    <t>sassafras cream coloured  pink floral printed maxi dress</t>
  </si>
  <si>
    <t>https://www.myntra.com/trousers/roadster/roadster-men-olive-green-slim-fit-printed-joggers/2145329/buy</t>
  </si>
  <si>
    <t>roadster men olive green slim fit printed joggers</t>
  </si>
  <si>
    <t>https://www.myntra.com/jeans/roadster/roadster-men-black-skinny-fit-mid-rise-clean-look-stretchable-lycra-fiber-jeans/9716723/buy</t>
  </si>
  <si>
    <t>roadster men black skinny fit mid rise clean look stretchable lycra fiber jeans</t>
  </si>
  <si>
    <t>https://www.myntra.com/jeans/roadster/roadster-men-blue-skinny-fit-mid-rise-clean-look-stretchable-jeans/11274708/buy</t>
  </si>
  <si>
    <t>https://www.myntra.com/sweatshirts/hrx-by-hrithik-roshan/hrx-by-hrithik-roshan-men-black-solid-sweatshirt/1960337/buy</t>
  </si>
  <si>
    <t>hrx by hrithik roshan men black solid sweatshirt</t>
  </si>
  <si>
    <t>https://www.myntra.com/sweatshirts/campus-sutra/campus-sutra-men-navy-blue-solid-hooded-sweatshirt/10381405/buy</t>
  </si>
  <si>
    <t>campus sutra men navy blue solid hooded sweatshirt</t>
  </si>
  <si>
    <t>https://www.myntra.com/tops/her-by-invictus/her-by-invictus-white-semi-sheer-top/6939221/buy</t>
  </si>
  <si>
    <t>her by invictus white semi sheer top</t>
  </si>
  <si>
    <t>https://www.myntra.com/tops/tokyo-talkies/tokyo-talkies-women-black--white-striped-top/12009576/buy</t>
  </si>
  <si>
    <t>tokyo talkies women black  white striped top</t>
  </si>
  <si>
    <t>https://www.myntra.com/tshirts/kook-n-keech/kook-n-keech-women-white-graphic-printed-cotton-pure-cotton-t-shirt/12104196/buy</t>
  </si>
  <si>
    <t>kook n keech women white graphic printed cotton pure cotton t shirt</t>
  </si>
  <si>
    <t>https://www.myntra.com/track-pants/hrx-by-hrithik-roshan/hrx-by-hrithik-roshan-men-black-solid-regular-fit-rapid-dry-cricket-track-pants/11640816/buy</t>
  </si>
  <si>
    <t>hrx by hrithik roshan men black solid regular fit rapid dry cricket track pants</t>
  </si>
  <si>
    <t>https://www.myntra.com/tshirts/herenow/herenow-men-grey--white-dyed-round-neck-pure-cotton-t-shirt/9376103/buy</t>
  </si>
  <si>
    <t>herenow men grey  white dyed round neck pure cotton t shirt</t>
  </si>
  <si>
    <t>https://www.myntra.com/sarees/tikhi-imli/tikhi-imli-black--red-polycotton-printed-saree/10381759/buy</t>
  </si>
  <si>
    <t>tikhi imli black  red polycotton printed saree</t>
  </si>
  <si>
    <t>https://www.myntra.com/dresses/dressberry/dressberry-women-deep-navy-blue-romantic-florals-dress/10440496/buy</t>
  </si>
  <si>
    <t>dressberry women deep navy blue romantic florals dress</t>
  </si>
  <si>
    <t>https://www.myntra.com/jeans/roadster/roadster-men-blue-premium-mildly-distressed-acid-wash-skinny-fit-stretchable-lycra-fiber-jeans/9114357/buy</t>
  </si>
  <si>
    <t>roadster men blue premium mildly distressed acid wash skinny fit stretchable lycra fiber jeans</t>
  </si>
  <si>
    <t>https://www.myntra.com/kurtas/see-designs/see-designs-men-blue--beige-printed-straight-kurta/11312646/buy</t>
  </si>
  <si>
    <t>See Designs</t>
  </si>
  <si>
    <t>see designs men blue  beige printed straight kurta</t>
  </si>
  <si>
    <t>S, XS, XL, XXL, L, M</t>
  </si>
  <si>
    <t>https://www.myntra.com/tshirts/kook-n-keech-marvel/kook-n-keech-marvel-men-black--white-printed-round-neck-pure-cotton-t-shirt/8972475/buy</t>
  </si>
  <si>
    <t>kook n keech marvel men black  white printed round neck pure cotton t shirt</t>
  </si>
  <si>
    <t>https://www.myntra.com/tshirts/veirdo/veirdo-men-black-printed-round-neck-pure-cotton-t-shirt/12915204/buy</t>
  </si>
  <si>
    <t>VEIRDO</t>
  </si>
  <si>
    <t>veirdo men black printed round neck pure cotton t shirt</t>
  </si>
  <si>
    <t>Rs. 550 OFF</t>
  </si>
  <si>
    <t>https://www.myntra.com/kurtas/vishudh/vishudh-women-turquoise-blue-printed-straight-kurta/10649248/buy</t>
  </si>
  <si>
    <t>vishudh women turquoise blue printed straight kurta</t>
  </si>
  <si>
    <t>https://www.myntra.com/tops/roadster/roadster-black-self-design-sustainable-top/11021016/buy</t>
  </si>
  <si>
    <t>roadster black self design sustainable top</t>
  </si>
  <si>
    <t>https://www.myntra.com/jeans/roadster/roadster-women-navy-blue-skinny-fit-mid-rise-high-rise-clean-look-jeans/11118422/buy</t>
  </si>
  <si>
    <t>roadster women navy blue skinny fit mid rise high rise clean look jeans</t>
  </si>
  <si>
    <t>https://www.myntra.com/jeans/mast--harbour/mast--harbour-men-white-slim-fit-mid-rise-clean-look-stretchable-jeans/2485350/buy</t>
  </si>
  <si>
    <t>mast  harbour men white slim fit mid rise clean look stretchable jeans</t>
  </si>
  <si>
    <t>https://www.myntra.com/trousers/invictus/invictus-navy-slim-fit-formal-trousers/1199569/buy</t>
  </si>
  <si>
    <t>INVICTUS</t>
  </si>
  <si>
    <t>invictus navy slim fit formal trousers</t>
  </si>
  <si>
    <t>https://www.myntra.com/socks/mast--harbour/mast--harbour-men-set-of-3-ankle-length-socks/1575063/buy</t>
  </si>
  <si>
    <t>mast  harbour men set of 3 ankle length socks</t>
  </si>
  <si>
    <t>https://www.myntra.com/kurtas/indo-era/indo-era-women-burgundy--golden-ethnic-motifs-yoke-design-kurta/15098616/buy</t>
  </si>
  <si>
    <t>indo era women burgundy  golden ethnic motifs yoke design kurta</t>
  </si>
  <si>
    <t>https://www.myntra.com/tshirts/herenow/herenow-love-is-in-the-air-boxy-t-shirt/8813173/buy</t>
  </si>
  <si>
    <t>herenow love is in the air boxy t shirt</t>
  </si>
  <si>
    <t>https://www.myntra.com/tops/veni-vidi-vici/veni-vidi-vici-black-self-design-crop-top/1617114/buy</t>
  </si>
  <si>
    <t>veni vidi vici black self design crop top</t>
  </si>
  <si>
    <t>https://www.myntra.com/trousers/sassafras/sassafras-women-black-smart-high-rise-graduated-flare-trousers/14994900/buy</t>
  </si>
  <si>
    <t>sassafras women black smart high rise graduated flare trousers</t>
  </si>
  <si>
    <t>https://www.myntra.com/sarees/ishin/ishin-navy-poly-georgette-printed-saree/1566011/buy</t>
  </si>
  <si>
    <t>ishin navy poly georgette printed saree</t>
  </si>
  <si>
    <t>https://www.myntra.com/kurta-sets/vishudh/vishudh-women-maroon-ethnic-motifs-printed-regular-pure-cotton-kurta-with-trousers/10089243/buy</t>
  </si>
  <si>
    <t>vishudh women maroon ethnic motifs printed regular pure cotton kurta with trousers</t>
  </si>
  <si>
    <t>https://www.myntra.com/tshirts/mast--harbour/mast--harbour-women-pack-of-2-cotton-t-shirts/17524634/buy</t>
  </si>
  <si>
    <t>mast  harbour women pack of 2 cotton t shirts</t>
  </si>
  <si>
    <t>https://www.myntra.com/jeans/tokyo-talkies/tokyo-talkies-women-black-super-skinny-fit-mid-rise-clean-look-stretchable-jeans/8083185/buy</t>
  </si>
  <si>
    <t>tokyo talkies women black super skinny fit mid rise clean look stretchable jeans</t>
  </si>
  <si>
    <t>https://www.myntra.com/jeans/roadster/roadster-men-black-slim-fit-mid-rise-clean-look-stretchable-jeans/10064533/buy</t>
  </si>
  <si>
    <t>roadster men black slim fit mid rise clean look stretchable jeans</t>
  </si>
  <si>
    <t>https://www.myntra.com/leggings/twin-birds/twin-birds-women-black-solid-plus-ankle-length-leggings/11902186/buy</t>
  </si>
  <si>
    <t>TWIN BIRDS</t>
  </si>
  <si>
    <t>twin birds women black solid plus ankle length leggings</t>
  </si>
  <si>
    <t>https://www.myntra.com/socks/hrx-by-hrithik-roshan/hrx-by-hrithik-roshan-men-ankle-length-pack-of-3-socks/2510307/buy</t>
  </si>
  <si>
    <t>hrx by hrithik roshan men ankle length pack of 3 socks</t>
  </si>
  <si>
    <t>https://www.myntra.com/kurtas/herenow/herenow-women-beige--maroon-printed-straight-kurta/12520604/buy</t>
  </si>
  <si>
    <t>herenow women beige  maroon printed straight kurta</t>
  </si>
  <si>
    <t>https://www.myntra.com/kurtas/varanga/varanga-women-lime-green-striped-kurta/14489508/buy</t>
  </si>
  <si>
    <t>varanga women lime green striped kurta</t>
  </si>
  <si>
    <t>https://www.myntra.com/track-pants/tokyo-talkies/tokyo-talkies-women-lavender-solid-regular-fit-track-pants/14062984/buy</t>
  </si>
  <si>
    <t>tokyo talkies women lavender solid regular fit track pants</t>
  </si>
  <si>
    <t>https://www.myntra.com/dresses/uf/uf-women-maroon-solid-maxi-dress/11099542/buy</t>
  </si>
  <si>
    <t>uf women maroon solid maxi dress</t>
  </si>
  <si>
    <t>https://www.myntra.com/dresses/athena/athena-lavender-scuba-bodycon-maxi-tulle-dress-with-ruffled-shoulder/15227166/buy</t>
  </si>
  <si>
    <t>athena lavender scuba bodycon maxi tulle dress with ruffled shoulder</t>
  </si>
  <si>
    <t>https://www.myntra.com/tshirts/mast--harbour/mast--harbour-women-white-printed-round-neck-t-shirt/8325383/buy</t>
  </si>
  <si>
    <t>mast  harbour women white printed round neck t shirt</t>
  </si>
  <si>
    <t>https://www.myntra.com/track-pants/maniac/maniac-men-black-solid-slim-fit-joggers/9436563/buy</t>
  </si>
  <si>
    <t>maniac men black solid slim fit joggers</t>
  </si>
  <si>
    <t>44% OFF</t>
  </si>
  <si>
    <t>M, L, XL</t>
  </si>
  <si>
    <t>https://www.myntra.com/lounge-pants/xyxx/xyxx-men-super-combed-cotton-pack-of-2-checkmate-lounge-pants-xypyjm2pckn05/10852574/buy</t>
  </si>
  <si>
    <t>xyxx men super combed cotton pack of 2 checkmate lounge pants xypyjm2pckn05</t>
  </si>
  <si>
    <t>https://www.myntra.com/jeans/high-star/high-star-women-black-bootcut-high-rise-clean-look-stretchable-jeans/13265560/buy</t>
  </si>
  <si>
    <t>High Star</t>
  </si>
  <si>
    <t>high star women black bootcut high rise clean look stretchable jeans</t>
  </si>
  <si>
    <t>https://www.myntra.com/jeans/herenow/herenow-men-grey-slim-tapered-fit-mid-rise-clean-look-stretchable-cropped-jeans/12183976/buy</t>
  </si>
  <si>
    <t>herenow men grey slim tapered fit mid rise clean look stretchable cropped jeans</t>
  </si>
  <si>
    <t>https://www.myntra.com/lounge-pants/vimal/vimal-men-pack-of-2-black-solid-lounge-pants/11807560/buy</t>
  </si>
  <si>
    <t>vimal men pack of 2 black solid lounge pants</t>
  </si>
  <si>
    <t>https://www.myntra.com/kurta-sets/anouk/anouk-women-grey--rust-orange-yellow-printed-kurta-with-palazzos/11201504/buy</t>
  </si>
  <si>
    <t>anouk women grey  rust orange yellow printed kurta with palazzos</t>
  </si>
  <si>
    <t>https://www.myntra.com/lounge-pants/claura/claura-women-pack-of-2-black--grey-lounge-pants-lower-11-grey-blak/6632589/buy</t>
  </si>
  <si>
    <t>claura women pack of 2 black  grey lounge pants lower 11 grey blak</t>
  </si>
  <si>
    <t>https://www.myntra.com/briefs/us-polo-assn/us-polo-assn-men-assorted-solid-briefs-i666-615-p1/10248005/buy</t>
  </si>
  <si>
    <t>us polo assn men assorted solid briefs i666 615 p1</t>
  </si>
  <si>
    <t>https://www.myntra.com/shirts/locomotive/locomotive-men-blue--navy-blue-slim-fit-checked-casual-shirt/10341691/buy</t>
  </si>
  <si>
    <t>locomotive men blue  navy blue slim fit checked casual shirt</t>
  </si>
  <si>
    <t>https://www.myntra.com/tshirts/roadster/roadster-men-charcoal-grey-melange-solid-scoop-neck-pure-cotton-t-shirt-with-racer-back/11632492/buy</t>
  </si>
  <si>
    <t>roadster men charcoal grey melange solid scoop neck pure cotton t shirt with racer back</t>
  </si>
  <si>
    <t>https://www.myntra.com/tops/street-9/street-9-women-green-solid-satin-finish-bardot-top/8160645/buy</t>
  </si>
  <si>
    <t>street 9 women green solid satin finish bardot top</t>
  </si>
  <si>
    <t>https://www.myntra.com/tshirts/roadster/roadster-women-pack-of-2-pure-cotton-colourblocked-t-shirts/17384212/buy</t>
  </si>
  <si>
    <t>roadster women pack of 2 pure cotton colourblocked t shirts</t>
  </si>
  <si>
    <t>https://www.myntra.com/kurta-sets/vishudh/vishudh-women-red--solid-kurta-with-trousers/7572940/buy</t>
  </si>
  <si>
    <t>vishudh women red  solid kurta with trousers</t>
  </si>
  <si>
    <t>https://www.myntra.com/tshirts/bewakoof/bewakoof-women-black-solid-round-neck-pure-cotton-t-shirt/12331848/buy</t>
  </si>
  <si>
    <t>bewakoof women black solid round neck pure cotton t shirt</t>
  </si>
  <si>
    <t>Rs. 38 OFF</t>
  </si>
  <si>
    <t>https://www.myntra.com/sweatshirts/campus-sutra/campus-sutra-men-mustard-yellow-printed-hooded-sweatshirt/13070348/buy</t>
  </si>
  <si>
    <t>campus sutra men mustard yellow printed hooded sweatshirt</t>
  </si>
  <si>
    <t>https://www.myntra.com/shirts/roadster/the-roadster-lifestyle-co-men-maroon--grey-checked-sustainable-casual-shirt/10759302/buy</t>
  </si>
  <si>
    <t>the roadster lifestyle co men maroon  grey checked sustainable casual shirt</t>
  </si>
  <si>
    <t>https://www.myntra.com/sarees/mitera/mitera-maroon--gold-toned-silk-blend-woven-design-kanjeevaram-saree/11117398/buy</t>
  </si>
  <si>
    <t>Mitera</t>
  </si>
  <si>
    <t>mitera maroon  gold toned silk blend woven design kanjeevaram saree</t>
  </si>
  <si>
    <t>72% OFF</t>
  </si>
  <si>
    <t>https://www.myntra.com/jeggings/dressberry/dressberry-women-black-washed-super-skinny-fit-jeggings/10967126/buy</t>
  </si>
  <si>
    <t>dressberry women black washed super skinny fit jeggings</t>
  </si>
  <si>
    <t>https://www.myntra.com/tshirts/roadster/roadster-women-black--blue-pack-of-2-typography-print-round-neck-knitted-t-shirts/17383532/buy</t>
  </si>
  <si>
    <t>roadster women black  blue pack of 2 typography print round neck knitted t shirts</t>
  </si>
  <si>
    <t>https://www.myntra.com/track-pants/hrx-by-hrithik-roshan/hrx-by-hrithik-roshan-women-black-pure-cotton-solid-track-pants-with-side-stripe-detail/4444122/buy</t>
  </si>
  <si>
    <t>hrx by hrithik roshan women black pure cotton solid track pants with side stripe detail</t>
  </si>
  <si>
    <t>https://www.myntra.com/jeans/chemistry/chemistry-women-blue-flared-fit-mid-rise-clean-look-stretchable-jeans/8317537/buy</t>
  </si>
  <si>
    <t>Chemistry</t>
  </si>
  <si>
    <t>chemistry women blue flared fit mid rise clean look stretchable jeans</t>
  </si>
  <si>
    <t>https://www.myntra.com/dresses/sassafras/sassafras-green--pink-floral-printed-wrap-dress/10856364/buy</t>
  </si>
  <si>
    <t>sassafras green  pink floral printed wrap dress</t>
  </si>
  <si>
    <t>https://www.myntra.com/jeggings/roadster/roadster-women-blue-stretchable-jeggings/2367846/buy</t>
  </si>
  <si>
    <t>roadster women blue stretchable jeggings</t>
  </si>
  <si>
    <t>https://www.myntra.com/shirts/highlander/highlander-men-maroon--navy-blue-slim-fit-checked-casual-shirt/8988447/buy</t>
  </si>
  <si>
    <t>highlander men maroon  navy blue slim fit checked casual shirt</t>
  </si>
  <si>
    <t>https://www.myntra.com/shirts/roadster/roadster-men-beige--red-checked-casual-reversible-sustainable-shirt/11896318/buy</t>
  </si>
  <si>
    <t>roadster men beige  red checked casual reversible sustainable shirt</t>
  </si>
  <si>
    <t>https://www.myntra.com/kurtas/anayna/anayna-women-lime-green--off-white-bandhani-screen-print-cotton-angrakha-kurta/13932876/buy</t>
  </si>
  <si>
    <t>anayna women lime green  off white bandhani screen print cotton angrakha kurta</t>
  </si>
  <si>
    <t>https://www.myntra.com/bra/jockey/jockey-black-moulded-cami-bra-ss12/27502/buy</t>
  </si>
  <si>
    <t>jockey black moulded cami bra ss12</t>
  </si>
  <si>
    <t>32A, 32B, 32C, 34A, 34B, 34C, 36A, 36B, 36C, 38A, 38B, 38C</t>
  </si>
  <si>
    <t>https://www.myntra.com/briefs/softrose/softrose-women-pack-of-3-boyshorts-sh7004pfc/782817/buy</t>
  </si>
  <si>
    <t>softrose women pack of 3 boyshorts sh7004pfc</t>
  </si>
  <si>
    <t>https://www.myntra.com/tops/pluss/pluss-women-sea-green-self-design-peplum-top/6521613/buy</t>
  </si>
  <si>
    <t>pluss women sea green self design peplum top</t>
  </si>
  <si>
    <t>https://www.myntra.com/tshirts/roadster/roadster-women-pack-of-2-pure-cotton-typography-print-t-shirts/17384820/buy</t>
  </si>
  <si>
    <t>roadster women pack of 2 pure cotton typography print t shirts</t>
  </si>
  <si>
    <t>https://www.myntra.com/tops/street-9/street-9-dusty-rose-embellished-peplum-top/7287261/buy</t>
  </si>
  <si>
    <t>street 9 dusty rose embellished peplum top</t>
  </si>
  <si>
    <t>https://www.myntra.com/tops/dressberry/dressberry-coral-pink-floral-high-low-top/8282019/buy</t>
  </si>
  <si>
    <t>dressberry coral pink floral high low top</t>
  </si>
  <si>
    <t>https://www.myntra.com/dupatta/taavi/taavi-women-black--grey-hand-block-print-sustainable-pure-cotton-dupatta/9345953/buy</t>
  </si>
  <si>
    <t>dupatta</t>
  </si>
  <si>
    <t>taavi women black  grey hand block print sustainable pure cotton dupatta</t>
  </si>
  <si>
    <t>https://www.myntra.com/sarees/saree-mall/saree-mall-charcoal-grey-embelished-detail-lace-saree/10264741/buy</t>
  </si>
  <si>
    <t>saree mall charcoal grey embelished detail lace saree</t>
  </si>
  <si>
    <t>https://www.myntra.com/tops/scorpius/scorpius-women-black-solid-crop-top/11966466/buy</t>
  </si>
  <si>
    <t>scorpius women black solid crop top</t>
  </si>
  <si>
    <t>https://www.myntra.com/dresses/berrylush/berrylush-navy-blue-floral-printed-fit-and-flare-dress/13191668/buy</t>
  </si>
  <si>
    <t>berrylush navy blue floral printed fit and flare dress</t>
  </si>
  <si>
    <t>https://www.myntra.com/tshirts/roadster/roadster-women-pack-of-2-pure-cotton-t-shirts/17384032/buy</t>
  </si>
  <si>
    <t>https://www.myntra.com/jeans/highlander/highlander-men-blue-slim-fit-mid-rise-clean-look-acid-wash-stretchable-jeans/3077230/buy</t>
  </si>
  <si>
    <t>highlander men blue slim fit mid rise clean look acid wash stretchable jeans</t>
  </si>
  <si>
    <t>https://www.myntra.com/socks/mast--harbour/mast--harbour-men-set-of-3-grey-melange-socks/618673/buy</t>
  </si>
  <si>
    <t>mast  harbour men set of 3 grey melange socks</t>
  </si>
  <si>
    <t>https://www.myntra.com/kurta-sets/ahalyaa/ahalyaa-women-green--burgundy-printed-kurta-with-churidar--dupatta/11080108/buy</t>
  </si>
  <si>
    <t>ahalyaa women green  burgundy printed kurta with churidar  dupatta</t>
  </si>
  <si>
    <t>https://www.myntra.com/lounge-pants/claura/claura-women-pink--black-checked-lounge-pants/12096672/buy</t>
  </si>
  <si>
    <t>claura women pink  black checked lounge pants</t>
  </si>
  <si>
    <t>https://www.myntra.com/sweatshirts/roadster/roadster-women-lavender-solid-sweatshirt/11991406/buy</t>
  </si>
  <si>
    <t>roadster women lavender solid sweatshirt</t>
  </si>
  <si>
    <t>https://www.myntra.com/sweatshirts/sassafras/sassafras-women-sea-green-solid-boxy-cropped-sweatshirt/12222024/buy</t>
  </si>
  <si>
    <t>sassafras women sea green solid boxy cropped sweatshirt</t>
  </si>
  <si>
    <t>https://www.myntra.com/tops/roadster/roadster-women-maroon-solid-sustainable-top/10964434/buy</t>
  </si>
  <si>
    <t>roadster women maroon solid sustainable top</t>
  </si>
  <si>
    <t>https://www.myntra.com/tshirts/roadster/the-roadster-lifestyle-co-women-black-solid-round-neck-pure-cotton-t-shirt/10301079/buy</t>
  </si>
  <si>
    <t>the roadster lifestyle co women black solid round neck pure cotton t shirt</t>
  </si>
  <si>
    <t>https://www.myntra.com/shorts/highlander/highlander-men-black-solid-slim-fit-sports-shorts/13842332/buy</t>
  </si>
  <si>
    <t>highlander men black solid slim fit sports shorts</t>
  </si>
  <si>
    <t>https://www.myntra.com/jeans/wrogn/wrogn-men-blue-skinny-fit-mid-rise-clean-look-stretchable-jeans/8673407/buy</t>
  </si>
  <si>
    <t>https://www.myntra.com/trousers/invictus/invictus-black-slim-fit-formal-trousers/1199568/buy</t>
  </si>
  <si>
    <t>invictus black slim fit formal trousers</t>
  </si>
  <si>
    <t>https://www.myntra.com/jackets/hrx-by-hrithik-roshan/hrx-active-by-hrithik-roshan-men-grey-solid-sporty-jacket/4923947/buy</t>
  </si>
  <si>
    <t>hrx active by hrithik roshan men grey solid sporty jacket</t>
  </si>
  <si>
    <t>https://www.myntra.com/jackets/highlander/highlander-men-blue-solid-denim-jacket-jacket/11009086/buy</t>
  </si>
  <si>
    <t>highlander men blue solid denim jacket jacket</t>
  </si>
  <si>
    <t>https://www.myntra.com/shirts/highlander/highlander-men-rust-slim-fit-solid-casual-shirt/4286779/buy</t>
  </si>
  <si>
    <t>highlander men rust slim fit solid casual shirt</t>
  </si>
  <si>
    <t>https://www.myntra.com/dresses/anouk/anouk-women-mustard-printed-fit-and-flare-dress/7745356/buy</t>
  </si>
  <si>
    <t>anouk women mustard printed fit and flare dress</t>
  </si>
  <si>
    <t>https://www.myntra.com/kurtas/varanga/varanga-women-pink--white-leheriya-printed-angrakha-kurta-with-embroidery/13647622/buy</t>
  </si>
  <si>
    <t>varanga women pink  white leheriya printed angrakha kurta with embroidery</t>
  </si>
  <si>
    <t>https://www.myntra.com/tshirts/hrx-by-hrithik-roshan/hrx-by-hrithik-roshan-women-white--blue-dyed-round-neck-crop-pure-cotton-t-shirt/11704426/buy</t>
  </si>
  <si>
    <t>hrx by hrithik roshan women white  blue dyed round neck crop pure cotton t shirt</t>
  </si>
  <si>
    <t>S/M, L/XL</t>
  </si>
  <si>
    <t>https://www.myntra.com/dresses/sassafras/sassafras-mustard-yellow--green-floral-print-wrap-asymmetric-dress/11364204/buy</t>
  </si>
  <si>
    <t>sassafras mustard yellow  green floral print wrap asymmetric dress</t>
  </si>
  <si>
    <t>https://www.myntra.com/tshirts/roadster/roadster-women-maroon-pack-of-2-typography-print-round-neck-regular-fit-t-shirts/17383238/buy</t>
  </si>
  <si>
    <t>roadster women maroon pack of 2 typography print round neck regular fit t shirts</t>
  </si>
  <si>
    <t>https://www.myntra.com/shirts/roadster/roadster-men-black--beige-conversational-printed-pure-cotton-sustainable-casual-shirt/11895970/buy</t>
  </si>
  <si>
    <t>roadster men black  beige conversational printed pure cotton sustainable casual shirt</t>
  </si>
  <si>
    <t>https://www.myntra.com/tshirts/hypernation/hypernation-men-black-solid-high-neck-t-shirt/8255921/buy</t>
  </si>
  <si>
    <t>Hypernation</t>
  </si>
  <si>
    <t>hypernation men black solid high neck t shirt</t>
  </si>
  <si>
    <t>19% OFF</t>
  </si>
  <si>
    <t>https://www.myntra.com/kurta-sets/nayo/nayo-women-pink--off-white-floral-screen-print-a-line-pure-cotton-kurta-set-with-dupatta/14346084/buy</t>
  </si>
  <si>
    <t>Nayo</t>
  </si>
  <si>
    <t>nayo women pink  off white floral screen print a line pure cotton kurta set with dupatta</t>
  </si>
  <si>
    <t>https://www.myntra.com/sarees/mitera/mitera-beige--teal-blue-silk-saree/10968928/buy</t>
  </si>
  <si>
    <t>mitera beige  teal blue silk saree</t>
  </si>
  <si>
    <t>78% OFF</t>
  </si>
  <si>
    <t>https://www.myntra.com/kurtas/sangria/sangria-black--white-striped-a-line-kurta/9371099/buy</t>
  </si>
  <si>
    <t>sangria black  white striped a line kurta</t>
  </si>
  <si>
    <t>https://www.myntra.com/dresses/dressberry/dressberry-women-black-solid-sheath-dress/10526790/buy</t>
  </si>
  <si>
    <t>dressberry women black solid sheath dress</t>
  </si>
  <si>
    <t>https://www.myntra.com/jeans/roadster/roadster-men-grey-slim-fit-mid-rise-clean-look-stretchable-jeans/8962319/buy</t>
  </si>
  <si>
    <t>https://www.myntra.com/tshirts/roadster/roadster-men-grey-all-over-printed-round-neck-t-shirt/2475652/buy</t>
  </si>
  <si>
    <t>roadster men grey all over printed round neck t shirt</t>
  </si>
  <si>
    <t>https://www.myntra.com/kurtas/vishudh/vishudh-women-pink--white-printed-straight-kurta/2976313/buy</t>
  </si>
  <si>
    <t>vishudh women pink  white printed straight kurta</t>
  </si>
  <si>
    <t>https://www.myntra.com/kurta-sets/anouk/anouk-women-pink--gold-toned-printed-kurta-with-palazzos/11202304/buy</t>
  </si>
  <si>
    <t>anouk women pink  gold toned printed kurta with palazzos</t>
  </si>
  <si>
    <t>https://www.myntra.com/kurtas/anouk/anouk-women-black--maroon-ethnic-motifs-pure-cotton-printed-kurta/13905664/buy</t>
  </si>
  <si>
    <t>anouk women black  maroon ethnic motifs pure cotton printed kurta</t>
  </si>
  <si>
    <t>https://www.myntra.com/bra/zivame/zivame-maroon-solid-underwired-lightly-padded-t-shirt-bra/7432898/buy</t>
  </si>
  <si>
    <t>zivame maroon solid underwired lightly padded t shirt bra</t>
  </si>
  <si>
    <t>32B, 32C, 32D, 34B, 34C, 34D, 36B, 36C, 36D, 38B, 38C, 38D, 38DD, 40C, 40D</t>
  </si>
  <si>
    <t>https://www.myntra.com/dresses/all-about-you/all-about-you-classy-beige-floral-printed-pure-cotton-waisted-dress/13205322/buy</t>
  </si>
  <si>
    <t>all about you classy beige floral printed pure cotton waisted dress</t>
  </si>
  <si>
    <t>https://www.myntra.com/dresses/libas/libas-pink-chanderi-zari-work-anarkali-maxi-dress-with-pink-net-dupatta/14502098/buy</t>
  </si>
  <si>
    <t>Libas</t>
  </si>
  <si>
    <t>libas pink chanderi zari work anarkali maxi dress with pink net dupatta</t>
  </si>
  <si>
    <t>https://www.myntra.com/shorts/tokyo-talkies/tokyo-talkies-women-navy-blue--white-striped-regular-shorts/11970554/buy</t>
  </si>
  <si>
    <t>tokyo talkies women navy blue  white striped regular shorts</t>
  </si>
  <si>
    <t>https://www.myntra.com/jeans/roadster/roadster-men-black-skinny-fit-mid-rise-clean-look-stretchable-jeans/9716731/buy</t>
  </si>
  <si>
    <t>roadster men black skinny fit mid rise clean look stretchable jeans</t>
  </si>
  <si>
    <t>https://www.myntra.com/shirts/roadster/roadster-men-maroon-cotton-linen-sustainable-casual-shirt/8217979/buy</t>
  </si>
  <si>
    <t>roadster men maroon cotton linen sustainable casual shirt</t>
  </si>
  <si>
    <t>https://www.myntra.com/shirts/mast--harbour/mast--harbour-men-mustard-slim-fit-casual-shirt/2271714/buy</t>
  </si>
  <si>
    <t>mast  harbour men mustard slim fit casual shirt</t>
  </si>
  <si>
    <t>https://www.myntra.com/tshirts/ether/ether-men-navy-blue-melange-solid-round-neck-pure-cotton-t-shirt-with-chest-pocket/11752134/buy</t>
  </si>
  <si>
    <t>ether men navy blue melange solid round neck pure cotton t shirt with chest pocket</t>
  </si>
  <si>
    <t>https://www.myntra.com/kurta-sets/vishudh/vishudh-women-maroon-checked-kurta-with-palazzos/8773391/buy</t>
  </si>
  <si>
    <t>vishudh women maroon checked kurta with palazzos</t>
  </si>
  <si>
    <t>https://www.myntra.com/kurtas/sangria/sangria-women-sea-green--rust-red-printed-straight-kurta/11536894/buy</t>
  </si>
  <si>
    <t>sangria women sea green  rust red printed straight kurta</t>
  </si>
  <si>
    <t>https://www.myntra.com/skirts/rigo/rigo-black-flared-mini-skirt/7078933/buy</t>
  </si>
  <si>
    <t>Rigo</t>
  </si>
  <si>
    <t>rigo black flared mini skirt</t>
  </si>
  <si>
    <t>28, 30, 32</t>
  </si>
  <si>
    <t>https://www.myntra.com/dresses/sassafras/sassafras-women-black-solid-blazer-dress/13873912/buy</t>
  </si>
  <si>
    <t>sassafras women black solid blazer dress</t>
  </si>
  <si>
    <t>https://www.myntra.com/jeans/tokyo-talkies/tokyo-talkies-women-blue-tapered-fit-mid-rise-clean-look-stretchable-jeans/9845435/buy</t>
  </si>
  <si>
    <t>tokyo talkies women blue tapered fit mid rise clean look stretchable jeans</t>
  </si>
  <si>
    <t>https://www.myntra.com/jeans/campus-sutra/campus-sutra-men-blue-jogger-fit-mid-rise-clean-look-stretchable-jeans/8375977/buy</t>
  </si>
  <si>
    <t>campus sutra men blue jogger fit mid rise clean look stretchable jeans</t>
  </si>
  <si>
    <t>https://www.myntra.com/kurta-sets/deyann/deyann-men-blue--cream-coloured-self-design-kurta-with-pyjamas/6518651/buy</t>
  </si>
  <si>
    <t>DEYANN</t>
  </si>
  <si>
    <t>deyann men blue  cream coloured self design kurta with pyjamas</t>
  </si>
  <si>
    <t>https://www.myntra.com/kurtas/herenow/herenow-women-blue--golden-ethnic-printed-straight-kurta/12524816/buy</t>
  </si>
  <si>
    <t>herenow women blue  golden ethnic printed straight kurta</t>
  </si>
  <si>
    <t>https://www.myntra.com/track-pants/mast--harbour/mast--harbour-women-dusty-pink-solid-track-pants/12332478/buy</t>
  </si>
  <si>
    <t>mast  harbour women dusty pink solid track pants</t>
  </si>
  <si>
    <t>https://www.myntra.com/tshirts/roadster/roadster-women-pack-of-2-solid-t-shirts/17381392/buy</t>
  </si>
  <si>
    <t>https://www.myntra.com/sweatshirts/roadster/roadster-women-olive-green-solid-hooded-sweatshirt/11991112/buy</t>
  </si>
  <si>
    <t>roadster women olive green solid hooded sweatshirt</t>
  </si>
  <si>
    <t>https://www.myntra.com/dresses/tokyo-talkies/tokyo-talkies-women-black-solid-sheath-dress/13194602/buy</t>
  </si>
  <si>
    <t>tokyo talkies women black solid sheath dress</t>
  </si>
  <si>
    <t>https://www.myntra.com/jackets/tokyo-talkies/tokyo-talkies-women-blue-solid-pure-cotton-denim-jacket/10437832/buy</t>
  </si>
  <si>
    <t>tokyo talkies women blue solid pure cotton denim jacket</t>
  </si>
  <si>
    <t>https://www.myntra.com/dresses/her-by-invictus/her-by-invictus-beige--black-colourblocked-sheath-dress/8207829/buy</t>
  </si>
  <si>
    <t>her by invictus beige  black colourblocked sheath dress</t>
  </si>
  <si>
    <t>https://www.myntra.com/tshirts/hrx-by-hrithik-roshan/hrx-by-hrithik-roshan-women-orange-solid-round-neck-t-shirt/8328571/buy</t>
  </si>
  <si>
    <t>hrx by hrithik roshan women orange solid round neck t shirt</t>
  </si>
  <si>
    <t>https://www.myntra.com/tshirts/wrogn/wrogn-men-rust-orange--black-striped-slim-fit-round-neck-pure-cotton-t-shirt/11363752/buy</t>
  </si>
  <si>
    <t>wrogn men rust orange  black striped slim fit round neck pure cotton t shirt</t>
  </si>
  <si>
    <t>https://www.myntra.com/tshirts/herenow/herenow-men-white-striped-cotton-pure-cotton-t-shirt/4318093/buy</t>
  </si>
  <si>
    <t>herenow men white striped cotton pure cotton t shirt</t>
  </si>
  <si>
    <t>https://www.myntra.com/kurtas/anouk/anouk-women-olive-green-antiviral-finish-geometric-print-pure-cotton-straight-kurta/12135064/buy</t>
  </si>
  <si>
    <t>anouk women olive green antiviral finish geometric print pure cotton straight kurta</t>
  </si>
  <si>
    <t>https://www.myntra.com/kurta-sets/ishin/ishin-women-green--off-white-yoke-design-kurta-with-block-print-palazzos/11250784/buy</t>
  </si>
  <si>
    <t>ishin women green  off white yoke design kurta with block print palazzos</t>
  </si>
  <si>
    <t>https://www.myntra.com/leggings/go-colors/go-colors-women-gold-toned-solid-skinny-fit-shimmer-ankle-length-leggings/4891826/buy</t>
  </si>
  <si>
    <t>go colors women gold toned solid skinny fit shimmer ankle length leggings</t>
  </si>
  <si>
    <t>https://www.myntra.com/track-pants/tokyo-talkies/tokyo-talkies-women-mint-green-solid-track-pants/14170722/buy</t>
  </si>
  <si>
    <t>tokyo talkies women mint green solid track pants</t>
  </si>
  <si>
    <t>https://www.myntra.com/dresses/indian-virasat/indian-virasat-maroon--beige-ethnic-motifs-printed-maxi-ethnic-dress/10679270/buy</t>
  </si>
  <si>
    <t>Indian Virasat</t>
  </si>
  <si>
    <t>indian virasat maroon  beige ethnic motifs printed maxi ethnic dress</t>
  </si>
  <si>
    <t>https://www.myntra.com/tshirts/roadster/roadster-women-pack-of-2-colourblocked-t-shirts/17384184/buy</t>
  </si>
  <si>
    <t>roadster women pack of 2 colourblocked t shirts</t>
  </si>
  <si>
    <t>https://www.myntra.com/shirts/wrogn/wrogn-men-rust-orange--navy-blue-slim-fit-checked-casual-shirt/10187629/buy</t>
  </si>
  <si>
    <t>wrogn men rust orange  navy blue slim fit checked casual shirt</t>
  </si>
  <si>
    <t>https://www.myntra.com/jackets/wrogn/wrogn-men-olive-green-solid-slim-fit-biker-jacket/10187221/buy</t>
  </si>
  <si>
    <t>wrogn men olive green solid slim fit biker jacket</t>
  </si>
  <si>
    <t>https://www.myntra.com/kurtas/tissu/tissu-women-blue-printed-anarkali-kurta/9301353/buy</t>
  </si>
  <si>
    <t>Tissu</t>
  </si>
  <si>
    <t>tissu women blue printed anarkali kurta</t>
  </si>
  <si>
    <t>37% OFF</t>
  </si>
  <si>
    <t>XS, S, M, L, XL, XXL, 3XL, 4XL, 5XL, 6XL, 7XL, 8XL</t>
  </si>
  <si>
    <t>https://www.myntra.com/sarees/kalini/kalini-maroon--gold-ethnic-motifs-zari-silk-blend-banarasi-saree/16697006/buy</t>
  </si>
  <si>
    <t>kalini maroon  gold ethnic motifs zari silk blend banarasi saree</t>
  </si>
  <si>
    <t>https://www.myntra.com/bra/clovia/clovia-maroon-cotton-non-padded-non-wired-bra-with-u-back/1413902/buy</t>
  </si>
  <si>
    <t>clovia maroon cotton non padded non wired bra with u back</t>
  </si>
  <si>
    <t>32B, 32C, 34B, 34C, 36B, 36C, 38B, 38C, 40B</t>
  </si>
  <si>
    <t>https://www.myntra.com/dresses/herenow/herenow-women-maroon-printed-maxi-dress/2499823/buy</t>
  </si>
  <si>
    <t>herenow women maroon printed maxi dress</t>
  </si>
  <si>
    <t>70% OFF, Hurry*</t>
  </si>
  <si>
    <t>https://www.myntra.com/tops/dressberry/dressberry-women-white-sheer-polyester-casual-top/1244305/buy</t>
  </si>
  <si>
    <t>dressberry women white sheer polyester casual top</t>
  </si>
  <si>
    <t>https://www.myntra.com/jeans/roadster/roadster-women-blue-skinny-fit-mid-rise-clean-look-stretchable-cropped-jeans/9205377/buy</t>
  </si>
  <si>
    <t>https://www.myntra.com/shrug/sassafras/sassafras-women-green-solid-open-front-longline-shrug/12738028/buy</t>
  </si>
  <si>
    <t>sassafras women green solid open front longline shrug</t>
  </si>
  <si>
    <t>https://www.myntra.com/jeans/tokyo-talkies/tokyo-talkies-women-black-relaxed-fit-mid-rise-clean-look-jeans/10710942/buy</t>
  </si>
  <si>
    <t>tokyo talkies women black relaxed fit mid rise clean look jeans</t>
  </si>
  <si>
    <t>https://www.myntra.com/shirts/campus-sutra/campus-sutra-men-blue--grey-regular-fit-colourblocked-casual-shirt/2012863/buy</t>
  </si>
  <si>
    <t>campus sutra men blue  grey regular fit colourblocked casual shirt</t>
  </si>
  <si>
    <t>https://www.myntra.com/kurta-sets/ishin/ishin-women-teal-blue-embroidered-kurta-with-sharara--dupatta/13817718/buy</t>
  </si>
  <si>
    <t>ishin women teal blue embroidered kurta with sharara  dupatta</t>
  </si>
  <si>
    <t>https://www.myntra.com/tops/scorpius/scorpius-women-pack-of-2-crop-tops/9341399/buy</t>
  </si>
  <si>
    <t>https://www.myntra.com/shirts/roadster/the-roadster-lifestyle-co-men-navy-blue-and-beige-pure-cotton-tartan-checked-casual-shirt/10398025/buy</t>
  </si>
  <si>
    <t>the roadster lifestyle co men navy blue and beige pure cotton tartan checked casual shirt</t>
  </si>
  <si>
    <t>https://www.myntra.com/shirts/ether/ether-men-navy-blue-anti-microbial-poplin-cotton-shirt/11746280/buy</t>
  </si>
  <si>
    <t>ether men navy blue anti microbial poplin cotton shirt</t>
  </si>
  <si>
    <t>https://www.myntra.com/sarees/tikhi-imli/tikhi-imli-trendy-mauve-sleek-poly-crepe-saree-with-embellished-border--cape/13919148/buy</t>
  </si>
  <si>
    <t>tikhi imli trendy mauve sleek poly crepe saree with embellished border  cape</t>
  </si>
  <si>
    <t>https://www.myntra.com/tops/athena/athena-lavender-bell-sleeves-smocking-crop-georgette-top/13709580/buy</t>
  </si>
  <si>
    <t>athena lavender bell sleeves smocking crop georgette top</t>
  </si>
  <si>
    <t>https://www.myntra.com/trousers/roadster/roadster-men-grey-slim-fit-solid-joggers/3081630/buy</t>
  </si>
  <si>
    <t>roadster men grey slim fit solid joggers</t>
  </si>
  <si>
    <t>https://www.myntra.com/lounge-pants/vimal/vimal-men-pack-of-2-grey-solid-cotton-lounge-pants/13676458/buy</t>
  </si>
  <si>
    <t>vimal men pack of 2 grey solid cotton lounge pants</t>
  </si>
  <si>
    <t>https://www.myntra.com/bra/abelino/abelino-pack-of-3-solid-non-wired-lightly-padded-t-shirt-bra-comyashiblkredgreen/12382656/buy</t>
  </si>
  <si>
    <t>ABELINO</t>
  </si>
  <si>
    <t>abelino pack of 3 solid non wired lightly padded t shirt bra comyashiblkredgreen</t>
  </si>
  <si>
    <t>79% OFF</t>
  </si>
  <si>
    <t>28B, 30B, 32B, 34B, 36B, 38B, 40B</t>
  </si>
  <si>
    <t>https://www.myntra.com/dresses/miss-chase/miss-chase-maroon-shirt-dress/10166985/buy</t>
  </si>
  <si>
    <t>miss chase maroon shirt dress</t>
  </si>
  <si>
    <t>https://www.myntra.com/jeggings/dressberry/dressberry-women-pack-of-2-solid-super-skinny-fit-ankle-length-denim-jeggings/9657187/buy</t>
  </si>
  <si>
    <t>dressberry women pack of 2 solid super skinny fit ankle length denim jeggings</t>
  </si>
  <si>
    <t>https://www.myntra.com/tshirts/roadster/roadster-women-pink--blue-printed-round-neck-pure-cotton-t-shirt/9740079/buy</t>
  </si>
  <si>
    <t>roadster women pink  blue printed round neck pure cotton t shirt</t>
  </si>
  <si>
    <t>Rs. 200 OFF</t>
  </si>
  <si>
    <t>https://www.myntra.com/track-pants/hrx-by-hrithik-roshan/hrx-by-hrithik-roshan-men-grey-melange-solid-rapid-dry-training-joggers/7695798/buy</t>
  </si>
  <si>
    <t>hrx by hrithik roshan men grey melange solid rapid dry training joggers</t>
  </si>
  <si>
    <t>https://www.myntra.com/track-pants/hrx-by-hrithik-roshan/hrx-by-hrithik-roshan-active-men-teal-green-solid-rapid-dry-track-pants/8000719/buy</t>
  </si>
  <si>
    <t>hrx by hrithik roshan active men teal green solid rapid dry track pants</t>
  </si>
  <si>
    <t>https://www.myntra.com/trousers/black-coffee/black-coffee-men-charcoal-grey-formal-trousers/1778109/buy</t>
  </si>
  <si>
    <t>Black coffee</t>
  </si>
  <si>
    <t>black coffee men charcoal grey formal trousers</t>
  </si>
  <si>
    <t>https://www.myntra.com/tshirts/campus-sutra/campus-sutra-men-blue-solid-round-neck-pure-cotton-t-shirt/10017021/buy</t>
  </si>
  <si>
    <t>campus sutra men blue solid round neck pure cotton t shirt</t>
  </si>
  <si>
    <t>https://www.myntra.com/kurta-sets/aasi/aasi-women-red--black-printed-kurta-with-skirt/8090747/buy</t>
  </si>
  <si>
    <t>aasi</t>
  </si>
  <si>
    <t>aasi women red  black printed kurta with skirt</t>
  </si>
  <si>
    <t>https://www.myntra.com/kurtas/herenow/herenow-women-peach-coloured--white-bandhani-print-straight-kurta/12530338/buy</t>
  </si>
  <si>
    <t>herenow women peach coloured  white bandhani print straight kurta</t>
  </si>
  <si>
    <t>https://www.myntra.com/jeans/tokyo-talkies/tokyo-talkies-women-blue-super-skinny-fit-mid-rise-clean-look-stretchable-jeans/8195013/buy</t>
  </si>
  <si>
    <t>tokyo talkies women blue super skinny fit mid rise clean look stretchable jeans</t>
  </si>
  <si>
    <t>https://www.myntra.com/tops/rigo/rigo-women-black-solid-top/6911333/buy</t>
  </si>
  <si>
    <t>rigo women black solid top</t>
  </si>
  <si>
    <t>https://www.myntra.com/trunk/jockey/jockey-international-collection-men-black-solid-trunks-ic28/11036254/buy</t>
  </si>
  <si>
    <t>jockey international collection men black solid trunks ic28</t>
  </si>
  <si>
    <t>https://www.myntra.com/tshirts/wrogn/wrogn-men-burgundy-solid-polo-collar-t-shirt/11363908/buy</t>
  </si>
  <si>
    <t>wrogn men burgundy solid polo collar t shirt</t>
  </si>
  <si>
    <t>https://www.myntra.com/tshirts/wrogn/wrogn-men-charcoal-grey--black-colourblocked-slim-fit-hood-pure-cotton-t-shirt/10410606/buy</t>
  </si>
  <si>
    <t>wrogn men charcoal grey  black colourblocked slim fit hood pure cotton t shirt</t>
  </si>
  <si>
    <t>https://www.myntra.com/jackets/roadster/roadster-men-navy-blue-solid-denim-jacket/10617856/buy</t>
  </si>
  <si>
    <t>roadster men navy blue solid denim jacket</t>
  </si>
  <si>
    <t>https://www.myntra.com/tshirts/roadster/roadster-women-navy-blue--black-pack-of-2-printed-round-neck-regular-fit-t-shirts/17383122/buy</t>
  </si>
  <si>
    <t>roadster women navy blue  black pack of 2 printed round neck regular fit t shirts</t>
  </si>
  <si>
    <t>https://www.myntra.com/tshirts/roadster/roadster-women-pack-of-2-solid-t-shirts/17381986/buy</t>
  </si>
  <si>
    <t>https://www.myntra.com/tshirts/roadster/roadster-women-green--maroon-pack-of-2-printed-round-neck-pure-cotton-t-shirts/17383350/buy</t>
  </si>
  <si>
    <t>roadster women green  maroon pack of 2 printed round neck pure cotton t shirts</t>
  </si>
  <si>
    <t>https://www.myntra.com/trousers/libas/libas-women-white-cigarette-trousers/13234824/buy</t>
  </si>
  <si>
    <t>libas women white cigarette trousers</t>
  </si>
  <si>
    <t>https://www.myntra.com/sweatshirts/hrx-by-hrithik-roshan/hrx-by-hrithik-roshan-men-navy--mustard-yellow-colourblocked-sweatshirt/9445631/buy</t>
  </si>
  <si>
    <t>hrx by hrithik roshan men navy  mustard yellow colourblocked sweatshirt</t>
  </si>
  <si>
    <t>https://www.myntra.com/shirts/highlander/highlander-men-olive-green-slim-fit-printed-casual-shirt/10863420/buy</t>
  </si>
  <si>
    <t>highlander men olive green slim fit printed casual shirt</t>
  </si>
  <si>
    <t>https://www.myntra.com/tshirts/louis-philippe-sport/louis-philippe-sport-men-white-solid-polo-collar-t-shirt/14304560/buy</t>
  </si>
  <si>
    <t>Louis Philippe Sport</t>
  </si>
  <si>
    <t>louis philippe sport men white solid polo collar t shirt</t>
  </si>
  <si>
    <t>https://www.myntra.com/shirts/roadster/roadster-men-burgundy-regular-fit-solid-casual-sustainable-shirt/6791220/buy</t>
  </si>
  <si>
    <t>roadster men burgundy regular fit solid casual sustainable shirt</t>
  </si>
  <si>
    <t>https://www.myntra.com/sweatshirts/campus-sutra/campus-sutra-men-green-solid-hooded-sweatshirt/12748752/buy</t>
  </si>
  <si>
    <t>campus sutra men green solid hooded sweatshirt</t>
  </si>
  <si>
    <t>https://www.myntra.com/bra/enamor/enamor-skin-non-wired-non-padded-full-coverage-everyday-tshirt-bra-a027-/11818402/buy</t>
  </si>
  <si>
    <t xml:space="preserve">enamor skin non wired non padded full coverage everyday tshirt bra a027 </t>
  </si>
  <si>
    <t>https://www.myntra.com/tshirts/roadster/roadster-women-burgundy-solid-round-neck-t-shirt/10778702/buy</t>
  </si>
  <si>
    <t>roadster women burgundy solid round neck t shirt</t>
  </si>
  <si>
    <t>https://www.myntra.com/jeans/wrogn/wrogn-men-blue-slim-fit-mid-rise-clean-look-jogger-jeans/1758525/buy</t>
  </si>
  <si>
    <t>wrogn men blue slim fit mid rise clean look jogger jeans</t>
  </si>
  <si>
    <t>https://www.myntra.com/tshirts/mast--harbour/mast--harbour-men-olive-green-solid-round-neck-t-shirt/3082390/buy</t>
  </si>
  <si>
    <t>mast  harbour men olive green solid round neck t shirt</t>
  </si>
  <si>
    <t>https://www.myntra.com/dresses/shae-by-sassafras/shae-by-sassafras-women-white--navy-blue-printed-a-line-dress/11349910/buy</t>
  </si>
  <si>
    <t>Shae by SASSAFRAS</t>
  </si>
  <si>
    <t>shae by sassafras women white  navy blue printed a line dress</t>
  </si>
  <si>
    <t>https://www.myntra.com/sarees/mitera/mitera-navy-blue--gold-coloured-silk-blend-woven-design-banarasi-saree/11749988/buy</t>
  </si>
  <si>
    <t>mitera navy blue  gold coloured silk blend woven design banarasi saree</t>
  </si>
  <si>
    <t>https://www.myntra.com/trousers/highlander/highlander-men-beige-casual-trousers/1380188/buy</t>
  </si>
  <si>
    <t>highlander men beige casual trousers</t>
  </si>
  <si>
    <t>https://www.myntra.com/briefs/jockey/jockey-men-multicoloured-printed-briefs-ny01-0105-nyc06/10906454/buy</t>
  </si>
  <si>
    <t>jockey men multicoloured printed briefs ny01 0105 nyc06</t>
  </si>
  <si>
    <t>https://www.myntra.com/dresses/kassually/kassually-women-mustard-yellow-solid-a-line-dress/11348390/buy</t>
  </si>
  <si>
    <t>kassually women mustard yellow solid a line dress</t>
  </si>
  <si>
    <t>https://www.myntra.com/dresses/kassually/kassually-women-rose--maroon-colourblocked-blouson-dress/11535972/buy</t>
  </si>
  <si>
    <t>kassually women rose  maroon colourblocked blouson dress</t>
  </si>
  <si>
    <t>https://www.myntra.com/jeans/tokyo-talkies/tokyo-talkies-women-white-bootcut-mid-rise-clean-look-stretchable-jeans/11538394/buy</t>
  </si>
  <si>
    <t>tokyo talkies women white bootcut mid rise clean look stretchable jeans</t>
  </si>
  <si>
    <t>https://www.myntra.com/tops/tokyo-talkies/tokyo-talkies-navy-blue--white-v-neck-striped-top/12111056/buy</t>
  </si>
  <si>
    <t>tokyo talkies navy blue  white v neck striped top</t>
  </si>
  <si>
    <t>https://www.myntra.com/shirts/invictus/invictus-men-white--blue-slim-fit-horizontal-stripes-casual-shirt/2031938/buy</t>
  </si>
  <si>
    <t>invictus men white  blue slim fit horizontal stripes casual shirt</t>
  </si>
  <si>
    <t>38, 39, 40, 42, 44</t>
  </si>
  <si>
    <t>https://www.myntra.com/tshirts/roadster/-roadster-women-pack-of-2-cotton-t-shirts/17382822/buy</t>
  </si>
  <si>
    <t>https://www.myntra.com/dresses/athena/athena-black-sheath-dress/11024458/buy</t>
  </si>
  <si>
    <t>athena black sheath dress</t>
  </si>
  <si>
    <t>https://www.myntra.com/shirts/mast--harbour/mast--harbour-men-olive-green--regular-fit-solid--casual-linen-sustainable-shirt/2310135/buy</t>
  </si>
  <si>
    <t>mast  harbour men olive green  regular fit solid  casual linen sustainable shirt</t>
  </si>
  <si>
    <t>https://www.myntra.com/tshirts/roadster/roadster-women-pack-of-2-solid-t-shirts/17381404/buy</t>
  </si>
  <si>
    <t>https://www.myntra.com/shirts/her-by-invictus/her-by-invictus-women-maroon--white-printed-casual-shirt/9410705/buy</t>
  </si>
  <si>
    <t>her by invictus women maroon  white printed casual shirt</t>
  </si>
  <si>
    <t>https://www.myntra.com/shirts/roadster/roadster-women-white-self-striped-casual-shirt/9656259/buy</t>
  </si>
  <si>
    <t>roadster women white self striped casual shirt</t>
  </si>
  <si>
    <t>https://www.myntra.com/jeans/high-star/high-star-women-black-slim-fit-high-rise-clean-look-stretchable-jeans/10343531/buy</t>
  </si>
  <si>
    <t>high star women black slim fit high rise clean look stretchable jeans</t>
  </si>
  <si>
    <t>https://www.myntra.com/shorts/artengo-by-decathlon/artengo-by-decathlon-men-white-solid-regular-fit-shorts/12991924/buy</t>
  </si>
  <si>
    <t>Artengo By Decathlon</t>
  </si>
  <si>
    <t>artengo by decathlon men white solid regular fit shorts</t>
  </si>
  <si>
    <t>28% OFF</t>
  </si>
  <si>
    <t>30, 32, 34, 37, 41</t>
  </si>
  <si>
    <t>https://www.myntra.com/kurtas/house-of-pataudi/house-of-pataudi-men-green-woven-design-straight-kurta/7441137/buy</t>
  </si>
  <si>
    <t>House of Pataudi</t>
  </si>
  <si>
    <t>house of pataudi men green woven design straight kurta</t>
  </si>
  <si>
    <t>https://www.myntra.com/shirts/mast--harbour/mast--harbour-men-beige--grey-slim-fit-checked-sustainable-casual-shirt/2077208/buy</t>
  </si>
  <si>
    <t>mast  harbour men beige  grey slim fit checked sustainable casual shirt</t>
  </si>
  <si>
    <t>https://www.myntra.com/tshirts/moda-rapido/moda-rapido-men-white--black-striped-round-neck-t-shirt/2221364/buy</t>
  </si>
  <si>
    <t>moda rapido men white  black striped round neck t shirt</t>
  </si>
  <si>
    <t>https://www.myntra.com/tops/herenow/herenow-women-white--navy-lightweight-striped-shirt-style-pure-cotton-top/2077135/buy</t>
  </si>
  <si>
    <t>herenow women white  navy lightweight striped shirt style pure cotton top</t>
  </si>
  <si>
    <t>https://www.myntra.com/dresses/jaipur-kurti/jaipur-kurti-navy-blue--off-white-cotton-striped-a-line-dress/4704797/buy</t>
  </si>
  <si>
    <t>jaipur kurti navy blue  off white cotton striped a line dress</t>
  </si>
  <si>
    <t>https://www.myntra.com/tshirts/mast--harbour/mast--harbour-women-pack-of-2-cotton-t-shirts/17524572/buy</t>
  </si>
  <si>
    <t>https://www.myntra.com/tshirts/roadster/roadster-women-navy-blue--maroon-pack-of-2-printed-round-neck-regular-fit-t-shirts/17382882/buy</t>
  </si>
  <si>
    <t>https://www.myntra.com/shirts/highlander/highlander-men-black--white-slim-fit-checked-casual-shirt/8469261/buy</t>
  </si>
  <si>
    <t>highlander men black  white slim fit checked casual shirt</t>
  </si>
  <si>
    <t>https://www.myntra.com/tunics/nayo/nayo-womens-maroon--cream-coloured-printed-tunic/14170550/buy</t>
  </si>
  <si>
    <t>tunics</t>
  </si>
  <si>
    <t>nayo womens maroon  cream coloured printed tunic</t>
  </si>
  <si>
    <t>https://www.myntra.com/kurta-sets/prakhya/prakhya-women-pink-embroidered-kurta-with-trousers--dupatta/13607464/buy</t>
  </si>
  <si>
    <t>Prakhya</t>
  </si>
  <si>
    <t>prakhya women pink embroidered kurta with trousers  dupatta</t>
  </si>
  <si>
    <t>M, L, XL, XXL, 3XL</t>
  </si>
  <si>
    <t>https://www.myntra.com/tops/dressberry/dressberry-women-stylish-black-solid-cut-out-basic-top/2522867/buy</t>
  </si>
  <si>
    <t>dressberry women stylish black solid cut out basic top</t>
  </si>
  <si>
    <t>https://www.myntra.com/kurtas/anouk/anouk-women-black--white-printed-straight-kurta/10960718/buy</t>
  </si>
  <si>
    <t>anouk women black  white printed straight kurta</t>
  </si>
  <si>
    <t>https://www.myntra.com/kurtas/sangria/sangria-women-pink-printed-tiered-anarkali-kurta/8350119/buy</t>
  </si>
  <si>
    <t>sangria women pink printed tiered anarkali kurta</t>
  </si>
  <si>
    <t>https://www.myntra.com/briefs/enamor/enamor-women-pack-of-3-assorted-mid-waist-hipster-cotton-briefs-cr02/2295683/buy</t>
  </si>
  <si>
    <t>enamor women pack of 3 assorted mid waist hipster cotton briefs cr02</t>
  </si>
  <si>
    <t>https://www.myntra.com/tops/her-by-invictus/her-by-invictus-olive-green-smart-casual-top/9240703/buy</t>
  </si>
  <si>
    <t>her by invictus olive green smart casual top</t>
  </si>
  <si>
    <t>https://www.myntra.com/tops/la-zoire/la-zoire-green-sheer-knotted-top/807931/buy</t>
  </si>
  <si>
    <t>la zoire green sheer knotted top</t>
  </si>
  <si>
    <t>https://www.myntra.com/tshirts/mast--harbour/mast--harbour-women-blue-solid-round-neck-t-shirt/11700056/buy</t>
  </si>
  <si>
    <t>mast  harbour women blue solid round neck t shirt</t>
  </si>
  <si>
    <t>https://www.myntra.com/briefs/jockey/jockey-men-black--white-printed-briefs-ny01-0105-nyc01/10906444/buy</t>
  </si>
  <si>
    <t>jockey men black  white printed briefs ny01 0105 nyc01</t>
  </si>
  <si>
    <t>https://www.myntra.com/tshirts/wrogn/wrogn-men-brown-printed-round-neck-t-shirt/6833275/buy</t>
  </si>
  <si>
    <t>wrogn men brown printed round neck t shirt</t>
  </si>
  <si>
    <t>https://www.myntra.com/sarees/gosriki/gosriki-off-white-silk-blend-solid-khadi-saree/10853008/buy</t>
  </si>
  <si>
    <t>GoSriKi</t>
  </si>
  <si>
    <t>gosriki off white silk blend solid khadi saree</t>
  </si>
  <si>
    <t>https://www.myntra.com/bra/jockey/jockey-pink-medium-coverage-seamless-shaper-bra-1722/1376778/buy</t>
  </si>
  <si>
    <t>jockey pink medium coverage seamless shaper bra 1722</t>
  </si>
  <si>
    <t>30B, 32B, 32C, 34B, 34C, 36B, 36C, 38B, 38C</t>
  </si>
  <si>
    <t>https://www.myntra.com/tops/sassafras/sassafras-women-blue--pink-floral-printed-crop-regular-top/11364332/buy</t>
  </si>
  <si>
    <t>sassafras women blue  pink floral printed crop regular top</t>
  </si>
  <si>
    <t>https://www.myntra.com/jackets/roadster/roadster-women-lavender-solid-padded-jacket/12698610/buy</t>
  </si>
  <si>
    <t>roadster women lavender solid padded jacket</t>
  </si>
  <si>
    <t>https://www.myntra.com/tshirts/mast--harbour/mast--harbour-women-mustard-yellow-printed-round-neck-t-shirt/2224781/buy</t>
  </si>
  <si>
    <t>mast  harbour women mustard yellow printed round neck t shirt</t>
  </si>
  <si>
    <t>https://www.myntra.com/tshirts/roadster/roadster-women-lavender-solid-round-neck-pure-cotton-t-shirt-with-printed-detailing/10968524/buy</t>
  </si>
  <si>
    <t>roadster women lavender solid round neck pure cotton t shirt with printed detailing</t>
  </si>
  <si>
    <t>https://www.myntra.com/tshirts/roadster/roadster-women-black--white-printed-round-neck-t-shirt/11401800/buy</t>
  </si>
  <si>
    <t>roadster women black  white printed round neck t shirt</t>
  </si>
  <si>
    <t>https://www.myntra.com/trunk/levis/levis-men-charcoal-grey-solid--trunks-bb-100ca-1pk-style-010-46/9261285/buy</t>
  </si>
  <si>
    <t>levis men charcoal grey solid  trunks bb 100ca 1pk style 010 46</t>
  </si>
  <si>
    <t>https://www.myntra.com/tshirts/ether/ether-men-navy-striped-t-shirt/1460195/buy</t>
  </si>
  <si>
    <t>ether men navy striped t shirt</t>
  </si>
  <si>
    <t>https://www.myntra.com/kurtas/anouk/anouk-women-navy-blue-printed-straight-kurta/12135220/buy</t>
  </si>
  <si>
    <t>anouk women navy blue printed straight kurta</t>
  </si>
  <si>
    <t>https://www.myntra.com/trousers/tokyo-talkies/tokyo-talkies-women-navy-blue--white-straight-fit-striped-peg-trousers/12009590/buy</t>
  </si>
  <si>
    <t>tokyo talkies women navy blue  white straight fit striped peg trousers</t>
  </si>
  <si>
    <t>https://www.myntra.com/dresses/sassafras/sassafras-grey-floral-printed-high-slit-maxi-dress/8643095/buy</t>
  </si>
  <si>
    <t>sassafras grey floral printed high slit maxi dress</t>
  </si>
  <si>
    <t>https://www.myntra.com/tshirts/ether/ether-women-coral--white-striped-round-neck-extended-sleeve-chest-pocket-t-shirt/1763177/buy</t>
  </si>
  <si>
    <t>ether women coral  white striped round neck extended sleeve chest pocket t shirt</t>
  </si>
  <si>
    <t>https://www.myntra.com/tops/mast--harbour/mast--harbour-women-black-solid-top/2490953/buy</t>
  </si>
  <si>
    <t>mast  harbour women black solid top</t>
  </si>
  <si>
    <t>https://www.myntra.com/jeans/harvard/harvard-men-navy-blue-slim-fit-mid-rise-clean-look-stretchable-jeans/10415106/buy</t>
  </si>
  <si>
    <t>harvard men navy blue slim fit mid rise clean look stretchable jeans</t>
  </si>
  <si>
    <t>https://www.myntra.com/shirts/highlander/highlander-men-orange--peach-coloured-slim-fit-solid-casual-shirt/6012712/buy</t>
  </si>
  <si>
    <t>highlander men orange  peach coloured slim fit solid casual shirt</t>
  </si>
  <si>
    <t>https://www.myntra.com/tshirts/herenow/herenow-men-mustard-yellow-printed-round-neck-pure-cotton-t-shirt/7088221/buy</t>
  </si>
  <si>
    <t>herenow men mustard yellow printed round neck pure cotton t shirt</t>
  </si>
  <si>
    <t>https://www.myntra.com/track-pants/tokyo-talkies/tokyo-talkies-women-maroon-solid-slim-fit-port-royale-casual-track-pants/14154078/buy</t>
  </si>
  <si>
    <t>tokyo talkies women maroon solid slim fit port royale casual track pants</t>
  </si>
  <si>
    <t>https://www.myntra.com/shirts/highlander/highlander-men-white--navy-blue-slim-fit-printed-casual-shirt/10004111/buy</t>
  </si>
  <si>
    <t>highlander men white  navy blue slim fit printed casual shirt</t>
  </si>
  <si>
    <t>https://www.myntra.com/tshirts/kook-n-keech-disney/kook-n-keech-disney-men-blue-printed-round-neck-oversize-t-shirt/2095974/buy</t>
  </si>
  <si>
    <t>Kook N Keech Disney</t>
  </si>
  <si>
    <t>kook n keech disney men blue printed round neck oversize t shirt</t>
  </si>
  <si>
    <t>https://www.myntra.com/shirts/highlander/highlander-blue-slim-fit-casual-shirt/1272492/buy</t>
  </si>
  <si>
    <t>highlander blue slim fit casual shirt</t>
  </si>
  <si>
    <t>https://www.myntra.com/tops/herenow/herenow-black-geometric-sleeveless-top/1973400/buy</t>
  </si>
  <si>
    <t>herenow black geometric sleeveless top</t>
  </si>
  <si>
    <t>https://www.myntra.com/sweatshirts/roadster/the-roadster-lifestyle-co-women-black-printed-reversible-sweatshirt/9478001/buy</t>
  </si>
  <si>
    <t>the roadster lifestyle co women black printed reversible sweatshirt</t>
  </si>
  <si>
    <t>https://www.myntra.com/tops/rare/rare-blue-printed-off-shoulder-blouson-top/1109295/buy</t>
  </si>
  <si>
    <t>rare blue printed off shoulder blouson top</t>
  </si>
  <si>
    <t>https://www.myntra.com/shirts/roadster/roadster-men-navy-blue-checked-pure-cotton-sustainable-casual-shirt/11327214/buy</t>
  </si>
  <si>
    <t>roadster men navy blue checked pure cotton sustainable casual shirt</t>
  </si>
  <si>
    <t>https://www.myntra.com/dresses/uf/uf-women-pink--blue-printed-maxi-dress/11538028/buy</t>
  </si>
  <si>
    <t>uf women pink  blue printed maxi dress</t>
  </si>
  <si>
    <t>https://www.myntra.com/dresses/pluss/pluss-green-floral-a-line-dress/14059226/buy</t>
  </si>
  <si>
    <t>pluss green floral a line dress</t>
  </si>
  <si>
    <t>https://www.myntra.com/kurtas/herenow/herenow-women-black-self-striped-pure-cotton-straight-kurta/13404396/buy</t>
  </si>
  <si>
    <t>herenow women black self striped pure cotton straight kurta</t>
  </si>
  <si>
    <t>https://www.myntra.com/shrug/sera/sera-navy-blue--white-printed-tie-up-shrug/9657975/buy</t>
  </si>
  <si>
    <t>sera navy blue  white printed tie up shrug</t>
  </si>
  <si>
    <t>https://www.myntra.com/jeans/roadster/roadster-women-blue-flared-fit-high-rise-clean-look-stretchable-jeans/12278684/buy</t>
  </si>
  <si>
    <t>roadster women blue flared fit high rise clean look stretchable jeans</t>
  </si>
  <si>
    <t>https://www.myntra.com/tshirts/ether/ether-women-blue--white-striped-round-neck-pure-cotton-t-shirt/11900346/buy</t>
  </si>
  <si>
    <t>ether women blue  white striped round neck pure cotton t shirt</t>
  </si>
  <si>
    <t>https://www.myntra.com/track-pants/herenow/herenow-men-navy-solid-straight-fit-joggers/5395406/buy</t>
  </si>
  <si>
    <t>herenow men navy solid straight fit joggers</t>
  </si>
  <si>
    <t>https://www.myntra.com/briefs/us-polo-assn/us-polo-assn-men-pack-of-2-assorted-briefs-10248015/10248015/buy</t>
  </si>
  <si>
    <t>us polo assn men pack of 2 assorted briefs 10248015</t>
  </si>
  <si>
    <t>https://www.myntra.com/tops/herenow/herenow-women-pink-printed-pure-cotton-top/2483497/buy</t>
  </si>
  <si>
    <t>herenow women pink printed pure cotton top</t>
  </si>
  <si>
    <t>https://www.myntra.com/tights/hrx-by-hrithik-roshan/hrx-active-by-hrithik-roshan-black-solid-tights/1864296/buy</t>
  </si>
  <si>
    <t>hrx active by hrithik roshan black solid tights</t>
  </si>
  <si>
    <t>https://www.myntra.com/tshirts/roadster/roadster-women-pack-of-2-solid-t-shirts/17381412/buy</t>
  </si>
  <si>
    <t>https://www.myntra.com/innerwear-vests/us-polo-assn/us-polo-assn-men-pack-of-2-white-solid-innerwear-vests-i642-001-p2/9168683/buy</t>
  </si>
  <si>
    <t>innerwear-vests</t>
  </si>
  <si>
    <t>us polo assn men pack of 2 white solid innerwear vests i642 001 p2</t>
  </si>
  <si>
    <t>https://www.myntra.com/tshirts/kook-n-keech/kook-n-keech-men-multicoloured-striped-round-neck-high-low-hem-pure-cotton-t-shirt/8923763/buy</t>
  </si>
  <si>
    <t>kook n keech men multicoloured striped round neck high low hem pure cotton t shirt</t>
  </si>
  <si>
    <t>https://www.myntra.com/shirts/roadster/roadster-men-maroon-slim-fit-sustainable-casual-shirt/2184630/buy</t>
  </si>
  <si>
    <t>roadster men maroon slim fit sustainable casual shirt</t>
  </si>
  <si>
    <t>https://www.myntra.com/kurtas/vishudh/vishudh-women-navy-printed-a-line-kurta/2076190/buy</t>
  </si>
  <si>
    <t>vishudh women navy printed a line kurta</t>
  </si>
  <si>
    <t>https://www.myntra.com/tshirts/roadster/roadster-women-pack-of-2-cotton-t-shirts/17381548/buy</t>
  </si>
  <si>
    <t>roadster women pack of 2 cotton t shirts</t>
  </si>
  <si>
    <t>https://www.myntra.com/dresses/deebaco/deebaco-turquoise-blue-tropical-printed-smocked-fit--flare-dress-with-shrug/14483862/buy</t>
  </si>
  <si>
    <t>DEEBACO</t>
  </si>
  <si>
    <t>deebaco turquoise blue tropical printed smocked fit  flare dress with shrug</t>
  </si>
  <si>
    <t>https://www.myntra.com/tshirts/ether/ether-women-black-solid-v-neck-t-shirt/11900390/buy</t>
  </si>
  <si>
    <t>ether women black solid v neck t shirt</t>
  </si>
  <si>
    <t>https://www.myntra.com/trousers/roadster/roadster-men-navy-slim-fit-pure-cotton-joggers/2291335/buy</t>
  </si>
  <si>
    <t>roadster men navy slim fit pure cotton joggers</t>
  </si>
  <si>
    <t>https://www.myntra.com/trunk/xyxx/xyxx-men-pack-of-3-solid-ultra-soft-antimicrobial-micro-modal-trunks-xytrnk3pckn518-/13682898/buy</t>
  </si>
  <si>
    <t xml:space="preserve">xyxx men pack of 3 solid ultra soft antimicrobial micro modal trunks xytrnk3pckn518 </t>
  </si>
  <si>
    <t>Rs. 78 OFF</t>
  </si>
  <si>
    <t>https://www.myntra.com/kurtas/ksut/ksut-women-black-solid-straight-kurta/10817836/buy</t>
  </si>
  <si>
    <t>KSUT</t>
  </si>
  <si>
    <t>ksut women black solid straight kurta</t>
  </si>
  <si>
    <t>https://www.myntra.com/sarees/mitera/mitera-maroon--gold-toned-silk-blend-woven-design-kanjeevaram-saree/10361183/buy</t>
  </si>
  <si>
    <t>https://www.myntra.com/sweatshirts/roadster/roadster-women-black-solid-hooded-sweatshirt/5960830/buy</t>
  </si>
  <si>
    <t>roadster women black solid hooded sweatshirt</t>
  </si>
  <si>
    <t>https://www.myntra.com/tshirts/roadster/the-roadster-lifestyle-co-women-mustard-yellow-solid-round-neck-pure-cotton-t-shirt/10778666/buy</t>
  </si>
  <si>
    <t>the roadster lifestyle co women mustard yellow solid round neck pure cotton t shirt</t>
  </si>
  <si>
    <t>https://www.myntra.com/trousers/highlander/highlander-men-olive-green-slim-fit-joggers/2343637/buy</t>
  </si>
  <si>
    <t>highlander men olive green slim fit joggers</t>
  </si>
  <si>
    <t>https://www.myntra.com/tshirts/wrogn/wrogn-men-black--red-printed-round-neck-pure-cotton-t-shirt/11363358/buy</t>
  </si>
  <si>
    <t>wrogn men black  red printed round neck pure cotton t shirt</t>
  </si>
  <si>
    <t>https://www.myntra.com/tshirts/wrogn/wrogn-men-green-printed-t-shirt/8426499/buy</t>
  </si>
  <si>
    <t>wrogn men green printed t shirt</t>
  </si>
  <si>
    <t>https://www.myntra.com/dresses/uf/uf-navy-blue--pink-floral-printed-maxi-dress/11100708/buy</t>
  </si>
  <si>
    <t>uf navy blue  pink floral printed maxi dress</t>
  </si>
  <si>
    <t>XXL, 3XL, 4XL, 5XL</t>
  </si>
  <si>
    <t>https://www.myntra.com/night-suits/smarty-pants/smarty-pants-women-grey--maroon-pack-of-2-fall-winter-printed-night-suit/17801492/buy</t>
  </si>
  <si>
    <t>Smarty Pants</t>
  </si>
  <si>
    <t>smarty pants women grey  maroon pack of 2 fall winter printed night suit</t>
  </si>
  <si>
    <t>XXL, XL, M, S, L</t>
  </si>
  <si>
    <t>https://www.myntra.com/briefs/c9-airwear/c9-airwear-women-pack-of-3-solid-hipster-briefs-p1119/8735259/buy</t>
  </si>
  <si>
    <t>c9 airwear women pack of 3 solid hipster briefs p1119</t>
  </si>
  <si>
    <t>https://www.myntra.com/trousers/wrogn/wrogn-men-black-slim-fit-solid-chinos/11560484/buy</t>
  </si>
  <si>
    <t>wrogn men black slim fit solid chinos</t>
  </si>
  <si>
    <t>https://www.myntra.com/shirts/wrogn/wrogn-men-green-slim-fit-solid-casual-shirt/11361672/buy</t>
  </si>
  <si>
    <t>wrogn men green slim fit solid casual shirt</t>
  </si>
  <si>
    <t>https://www.myntra.com/kurtas/vishudh/vishudh-women-red--black-printed-a-line-kurta/1959689/buy</t>
  </si>
  <si>
    <t>vishudh women red  black printed a line kurta</t>
  </si>
  <si>
    <t>https://www.myntra.com/kurta-sets/stylum/stylum-women-blue-printed-layered-pure-cotton-kurta-with-trousers--with-dupatta/14440572/buy</t>
  </si>
  <si>
    <t>Stylum</t>
  </si>
  <si>
    <t>stylum women blue printed layered pure cotton kurta with trousers  with dupatta</t>
  </si>
  <si>
    <t>https://www.myntra.com/kurta-sets/prakhya/prakhya-women-blue-panelled-kurta-with-sharara--with-dupatta/14514378/buy</t>
  </si>
  <si>
    <t>prakhya women blue panelled kurta with sharara  with dupatta</t>
  </si>
  <si>
    <t>https://www.myntra.com/kurtis/tissu/tissu-women-beige--red-floral-printed-straight-kurti/11759904/buy</t>
  </si>
  <si>
    <t>tissu women beige  red floral printed straight kurti</t>
  </si>
  <si>
    <t>39% OFF</t>
  </si>
  <si>
    <t>https://www.myntra.com/tshirts/roadster/roadster-women-pack-of-2-pure-cotton-typography-print-t-shirts/17384836/buy</t>
  </si>
  <si>
    <t>https://www.myntra.com/dresses/vishudh/vishudh-women-navy-blue-printed-maxi-dress/8746069/buy</t>
  </si>
  <si>
    <t>vishudh women navy blue printed maxi dress</t>
  </si>
  <si>
    <t>https://www.myntra.com/tshirts/roadster/the-roadster-lifestyle-co-women-black-solid-round-neck-t-shirt/10778698/buy</t>
  </si>
  <si>
    <t>the roadster lifestyle co women black solid round neck t shirt</t>
  </si>
  <si>
    <t>https://www.myntra.com/tshirts/roadster/the-roadster-lifestyle-co-women-mustard-yellow-solid-polo-collar-pure-cotton-t-shirt/10969750/buy</t>
  </si>
  <si>
    <t>the roadster lifestyle co women mustard yellow solid polo collar pure cotton t shirt</t>
  </si>
  <si>
    <t>https://www.myntra.com/tshirts/roadster/the-roadster-lifestyle-co-women-olive-green--white-colourblocked-round-neck-pure-cotton-t-shirt/10970304/buy</t>
  </si>
  <si>
    <t>the roadster lifestyle co women olive green  white colourblocked round neck pure cotton t shirt</t>
  </si>
  <si>
    <t>https://www.myntra.com/tops/hm/hm-2-pack-vest-sustainable-pure-cotton-tops/10367061/buy</t>
  </si>
  <si>
    <t>hm 2 pack vest sustainable pure cotton tops</t>
  </si>
  <si>
    <t>XXS, XS, S, M, L, XL</t>
  </si>
  <si>
    <t>https://www.myntra.com/shorts/hrx-by-hrithik-roshan/hrx-by-hrithik-roshan-men-black-solid-rapid-dry-running-shorts/12212318/buy</t>
  </si>
  <si>
    <t>hrx by hrithik roshan men black solid rapid dry running shorts</t>
  </si>
  <si>
    <t>https://www.myntra.com/tshirts/mast--harbour/mast--harbour-men-navy-blue-red--grey-colourblocked-polo-collar-t-shirt/8325363/buy</t>
  </si>
  <si>
    <t>mast  harbour men navy blue red  grey colourblocked polo collar t shirt</t>
  </si>
  <si>
    <t>https://www.myntra.com/sweaters/roadster/the-roadster-lifestyle-co-men-off-white-checked-knitted-patterned-pullover/15654416/buy</t>
  </si>
  <si>
    <t>sweaters</t>
  </si>
  <si>
    <t>the roadster lifestyle co men off white checked knitted patterned pullover</t>
  </si>
  <si>
    <t>https://www.myntra.com/tshirts/ether/ether-men-blue-solid-pique-polo-t-shirt-with-contrast-rib--collar/1462052/buy</t>
  </si>
  <si>
    <t>ether men blue solid pique polo t shirt with contrast rib  collar</t>
  </si>
  <si>
    <t>https://www.myntra.com/dresses/herenow/herenow-black-high-neck-bodycon-dress/12016078/buy</t>
  </si>
  <si>
    <t>herenow black high neck bodycon dress</t>
  </si>
  <si>
    <t>https://www.myntra.com/shirts/invictus/invictus-white-slim-fit-formal-shirt/1271542/buy</t>
  </si>
  <si>
    <t>invictus white slim fit formal shirt</t>
  </si>
  <si>
    <t>https://www.myntra.com/kurta-sets/anubhutee/anubhutee-women-black--off-white-printed-kurta-with-palazzos/10941758/buy</t>
  </si>
  <si>
    <t>anubhutee women black  off white printed kurta with palazzos</t>
  </si>
  <si>
    <t>https://www.myntra.com/trousers/highlander/highlander-men-grey-slim-fit-solid-chinos/3077245/buy</t>
  </si>
  <si>
    <t>highlander men grey slim fit solid chinos</t>
  </si>
  <si>
    <t>https://www.myntra.com/trousers/highlander/highlander-men-blue--grey-slim-fit-checked-regular-trousers/10004171/buy</t>
  </si>
  <si>
    <t>highlander men blue  grey slim fit checked regular trousers</t>
  </si>
  <si>
    <t>https://www.myntra.com/jeans/roadster/the-roadster-lifestyle-co-men-black-skinny-fit-mid-rise-clean-look-stretchable-jeans/8962359/buy</t>
  </si>
  <si>
    <t>the roadster lifestyle co men black skinny fit mid rise clean look stretchable jeans</t>
  </si>
  <si>
    <t>https://www.myntra.com/shorts/highlander/highlander-men-navy-blue-striped-slim-fit-regular-shorts/10341661/buy</t>
  </si>
  <si>
    <t>highlander men navy blue striped slim fit regular shorts</t>
  </si>
  <si>
    <t>https://www.myntra.com/shirts/roadster/roadster-men-white--black-geometric-printed-pure-cotton-sustainable-casual-shirt/11325776/buy</t>
  </si>
  <si>
    <t>roadster men white  black geometric printed pure cotton sustainable casual shirt</t>
  </si>
  <si>
    <t>https://www.myntra.com/kurta-sets/sangria/sangira-women-grey-printed-kurta-with-palazzo--dupatta/8350295/buy</t>
  </si>
  <si>
    <t>sangira women grey printed kurta with palazzo  dupatta</t>
  </si>
  <si>
    <t>https://www.myntra.com/leggings/go-colors/go-colors-women-gold-toned-solid-skinny-fit-shimmer-ankle-length-leggings/4891838/buy</t>
  </si>
  <si>
    <t>https://www.myntra.com/kurtas/jaipur-kurti/jaipur-kurti-women-navy-blue--pink-quirky-print-straight-kurta/11053868/buy</t>
  </si>
  <si>
    <t>jaipur kurti women navy blue  pink quirky print straight kurta</t>
  </si>
  <si>
    <t>https://www.myntra.com/socks/levis/levis-men-set-of-3-shoeliners/2075643/buy</t>
  </si>
  <si>
    <t>levis men set of 3 shoeliners</t>
  </si>
  <si>
    <t>https://www.myntra.com/shirts/roadster/the-roadster-lifestyle-co-men-black--olive-green-tartan-checks-checked-cotton-casual-shirt/10944952/buy</t>
  </si>
  <si>
    <t>the roadster lifestyle co men black  olive green tartan checks checked cotton casual shirt</t>
  </si>
  <si>
    <t>https://www.myntra.com/sweatshirts/roadster/roadster-women-mustard-brown-fleece-solid-hooded-sweatshirt/11991426/buy</t>
  </si>
  <si>
    <t>roadster women mustard brown fleece solid hooded sweatshirt</t>
  </si>
  <si>
    <t>https://www.myntra.com/jeans/high-star/high-star-women-black-slim-fit-high-rise-clean-look-stretchable-jeans/11554556/buy</t>
  </si>
  <si>
    <t>26% OFF</t>
  </si>
  <si>
    <t>26, 28, 30, 32, 34, 36, 38, 40, 42, 44</t>
  </si>
  <si>
    <t>https://www.myntra.com/tshirts/hrx-by-hrithik-roshan/hrx-by-hrithik-roshan-men-grey-running-t-shirt/10106211/buy</t>
  </si>
  <si>
    <t>hrx by hrithik roshan men grey running t shirt</t>
  </si>
  <si>
    <t>https://www.myntra.com/shirts/locomotive/locomotive-men-blue--mauve-slim-fit-printed-casual-shirt/12032544/buy</t>
  </si>
  <si>
    <t>locomotive men blue  mauve slim fit printed casual shirt</t>
  </si>
  <si>
    <t>https://www.myntra.com/tops/nayo/nayo-burgundy--white-floral-printed-pure-cotton-top/13706216/buy</t>
  </si>
  <si>
    <t>nayo burgundy  white floral printed pure cotton top</t>
  </si>
  <si>
    <t>https://www.myntra.com/jeans/herenow/herenow-women-black-skinny-fit-high-rise-clean-look-stretchable-jeans/13532336/buy</t>
  </si>
  <si>
    <t>herenow women black skinny fit high rise clean look stretchable jeans</t>
  </si>
  <si>
    <t>https://www.myntra.com/jackets/roadster/the-roadster-lifestyle-co-women-peach-coloured-solid-puffer-jacket/9479095/buy</t>
  </si>
  <si>
    <t>the roadster lifestyle co women peach coloured solid puffer jacket</t>
  </si>
  <si>
    <t>https://www.myntra.com/jeans/moda-rapido/moda-rapido-off-white-slim-fit-mid-rise-slash-knee-jeans/1959220/buy</t>
  </si>
  <si>
    <t>moda rapido off white slim fit mid rise slash knee jeans</t>
  </si>
  <si>
    <t>https://www.myntra.com/shirts/roadster/roadster-men-black--white-regular-fit-printed-casual-sustainable-shirt/10944438/buy</t>
  </si>
  <si>
    <t>roadster men black  white regular fit printed casual sustainable shirt</t>
  </si>
  <si>
    <t>https://www.myntra.com/shirts/roadster/the-roadster-lifestyle-co-women-white-regular-fit-solid-casual-shirt/9656251/buy</t>
  </si>
  <si>
    <t>the roadster lifestyle co women white regular fit solid casual shirt</t>
  </si>
  <si>
    <t>https://www.myntra.com/track-pants/hubberholme/hubberholme-men-pack-of-2-solid-track-pants/15008088/buy</t>
  </si>
  <si>
    <t>hubberholme men pack of 2 solid track pants</t>
  </si>
  <si>
    <t>https://www.myntra.com/jeans/roadster/roadster-men-blue-skinny-fit-mid-rise-clean-look-acid-wash-stretchable-jeans/10046861/buy</t>
  </si>
  <si>
    <t>roadster men blue skinny fit mid rise clean look acid wash stretchable jeans</t>
  </si>
  <si>
    <t>https://www.myntra.com/jeans/highlander/highlander-men-black-solid-jogger-mid-rise-clean-look-stretchable-jeans/5814349/buy</t>
  </si>
  <si>
    <t>highlander men black solid jogger mid rise clean look stretchable jeans</t>
  </si>
  <si>
    <t>https://www.myntra.com/tshirts/herenow/herenow-men-teal-blue-solid-round-neck-t-shirt/12787018/buy</t>
  </si>
  <si>
    <t>herenow men teal blue solid round neck t shirt</t>
  </si>
  <si>
    <t>https://www.myntra.com/dresses/anouk/anouk-green--blue-striped-pure-cotton-a-line-dress/11199374/buy</t>
  </si>
  <si>
    <t>anouk green  blue striped pure cotton a line dress</t>
  </si>
  <si>
    <t>https://www.myntra.com/kurtas/vishudh/vishudh-women-green-printed-anarkali-kurta/6942355/buy</t>
  </si>
  <si>
    <t>vishudh women green printed anarkali kurta</t>
  </si>
  <si>
    <t>https://www.myntra.com/night-suits/anubhutee/anubhutee-women-green--white-bandhani-printed-cotton-night-suit/13021512/buy</t>
  </si>
  <si>
    <t>anubhutee women green  white bandhani printed cotton night suit</t>
  </si>
  <si>
    <t>https://www.myntra.com/tops/street-9/street-9-burgundy-self-design-crop-pure-cotton-top/7287325/buy</t>
  </si>
  <si>
    <t>street 9 burgundy self design crop pure cotton top</t>
  </si>
  <si>
    <t>https://www.myntra.com/dresses/dressberry/dressberry-women-pink-floral-printed-a-line-dress/10526804/buy</t>
  </si>
  <si>
    <t>dressberry women pink floral printed a line dress</t>
  </si>
  <si>
    <t>https://www.myntra.com/tshirts/roadster/roadster-women-pack-of-2-solid-pure-cotton-t-shirts/17381370/buy</t>
  </si>
  <si>
    <t>https://www.myntra.com/jeans/wrogn/wrogn-men-blue-skinny-fit-mid-rise-clean-look-stretchable-jeans/2032838/buy</t>
  </si>
  <si>
    <t>https://www.myntra.com/trousers/dennison/dennison-men-white-smart-tapered-fit-cropped-trousers/10604374/buy</t>
  </si>
  <si>
    <t>DENNISON</t>
  </si>
  <si>
    <t>dennison men white smart tapered fit cropped trousers</t>
  </si>
  <si>
    <t>https://www.myntra.com/shorts/highlander/highlander-men-beige-solid-regular-fit-chino-shorts/8120161/buy</t>
  </si>
  <si>
    <t>highlander men beige solid regular fit chino shorts</t>
  </si>
  <si>
    <t>https://www.myntra.com/shirts/highlander/highlander-men-blue--white-slim-fit-colourblocked-casual-shirt/10004115/buy</t>
  </si>
  <si>
    <t>highlander men blue  white slim fit colourblocked casual shirt</t>
  </si>
  <si>
    <t>https://www.myntra.com/jeans/roadster/roadster-women-blue-flared-mid-rise-clean-look-stretchable-jeans/11045890/buy</t>
  </si>
  <si>
    <t>roadster women blue flared mid rise clean look stretchable jeans</t>
  </si>
  <si>
    <t>https://www.myntra.com/kurta-sets/see-designs/see-designs-men-blue--white-printed-kurta-with-pyjamas/12960838/buy</t>
  </si>
  <si>
    <t>see designs men blue  white printed kurta with pyjamas</t>
  </si>
  <si>
    <t>https://www.myntra.com/sweatshirts/kook-n-keech/kook-n-keech-red-printed-hooded-sweatshirt/1395990/buy</t>
  </si>
  <si>
    <t>kook n keech red printed hooded sweatshirt</t>
  </si>
  <si>
    <t>https://www.myntra.com/bra/zivame/zivame-white-solid-non-wired-lightly-padded-t-shirt-bra-zi1137corewhite/5432681/buy</t>
  </si>
  <si>
    <t>zivame white solid non wired lightly padded t shirt bra zi1137corewhite</t>
  </si>
  <si>
    <t>https://www.myntra.com/kurtas/herenow/herenow-women-green--navy-blue-floral-print-straight-kurta/12524814/buy</t>
  </si>
  <si>
    <t>herenow women green  navy blue floral print straight kurta</t>
  </si>
  <si>
    <t>https://www.myntra.com/kurtas/herenow/herenow-embroidered-wine-viscose-kurta/7270152/buy</t>
  </si>
  <si>
    <t>herenow embroidered wine viscose kurta</t>
  </si>
  <si>
    <t>https://www.myntra.com/track-pants/hrx-by-hrithik-roshan/hrx-by-hrithik-roshan-men-blue-solid-regular-fit-rapid-dry-cricket-track-pants/11640718/buy</t>
  </si>
  <si>
    <t>hrx by hrithik roshan men blue solid regular fit rapid dry cricket track pants</t>
  </si>
  <si>
    <t>https://www.myntra.com/trousers/mast--harbour/mast--harbour-men-black-regular-fit-solid-chinos/13204530/buy</t>
  </si>
  <si>
    <t>mast  harbour men black regular fit solid chinos</t>
  </si>
  <si>
    <t>https://www.myntra.com/track-pants/hrx-by-hrithik-roshan/hrx-by-hrithik-roshan-men-black--navy-blue-colourblocked-joggers/2520652/buy</t>
  </si>
  <si>
    <t>hrx by hrithik roshan men black  navy blue colourblocked joggers</t>
  </si>
  <si>
    <t>https://www.myntra.com/shirts/roadster/roadster-men-navy-blue--green-summer-check-sustainable-casual-shirt/8225991/buy</t>
  </si>
  <si>
    <t>roadster men navy blue  green summer check sustainable casual shirt</t>
  </si>
  <si>
    <t>https://www.myntra.com/bra/zivame/zivame-peach-coloured-solid-non-wired-non-padded-everyday-bra/11228146/buy</t>
  </si>
  <si>
    <t>zivame peach coloured solid non wired non padded everyday bra</t>
  </si>
  <si>
    <t>32DD, 32E, 34DD, 34E, 34F, 36DD, 36E, 36F, 38DD, 38E, 38F, 40C, 40D, 40DD, 40E, 42C, 42D, 42DD, 42E, 44C, 44D, 44DD, 44E</t>
  </si>
  <si>
    <t>https://www.myntra.com/bra/zivame/zivame-black-solid-non-wired-lightly-padded-t-shirt-bra-zi1175fasheblak/12415698/buy</t>
  </si>
  <si>
    <t>zivame black solid non wired lightly padded t shirt bra zi1175fasheblak</t>
  </si>
  <si>
    <t>30B, 30C, 32B, 32C, 32D, 34B, 34D, 34DD, 36B, 36C, 36D, 36DD, 38B, 38C, 38D, 40C, 40D</t>
  </si>
  <si>
    <t>https://www.myntra.com/sweatshirts/roadster/roadster-greenturn-women-pink-solid-hooded-sustainable-sweatshirt/12335282/buy</t>
  </si>
  <si>
    <t>roadster greenturn women pink solid hooded sustainable sweatshirt</t>
  </si>
  <si>
    <t xml:space="preserve"> 60 % OFF</t>
  </si>
  <si>
    <t>https://www.myntra.com/tshirts/roadster/roadster-women-pack-of-2-cotton-t-shirt/17382032/buy</t>
  </si>
  <si>
    <t>roadster women pack of 2 cotton t shirt</t>
  </si>
  <si>
    <t>https://www.myntra.com/socks/hrx-by-hrithik-roshan/hrx-by-hrithik-roshan-men-ankle-length-pack-of-3-quick-dry-socks/10986454/buy</t>
  </si>
  <si>
    <t>hrx by hrithik roshan men ankle length pack of 3 quick dry socks</t>
  </si>
  <si>
    <t>https://www.myntra.com/shirts/roadster/roadster-men-olive-brown-cotton-sustainable-casual-shirt/11903984/buy</t>
  </si>
  <si>
    <t>roadster men olive brown cotton sustainable casual shirt</t>
  </si>
  <si>
    <t>https://www.myntra.com/tshirts/roadster/roadster-men-navy-blue--yellow-striped-polo-collar-pure-cotton-t-shirt/9345341/buy</t>
  </si>
  <si>
    <t>roadster men navy blue  yellow striped polo collar pure cotton t shirt</t>
  </si>
  <si>
    <t>https://www.myntra.com/shirts/locomotive/locomotive-men-green--white-slim-fit-checked-casual-shirt/11069362/buy</t>
  </si>
  <si>
    <t>locomotive men green  white slim fit checked casual shirt</t>
  </si>
  <si>
    <t>https://www.myntra.com/briefs/lady-lyka/lady-lyka-pack-of-3-printed-hipster-high-rise-pure-cotton-briefs-galaxy-3/14028894/buy</t>
  </si>
  <si>
    <t>Lady Lyka</t>
  </si>
  <si>
    <t>lady lyka pack of 3 printed hipster high rise pure cotton briefs galaxy 3</t>
  </si>
  <si>
    <t>https://www.myntra.com/dresses/sangria/sangria-red--white-geometric-printed-cotton-a-line-dress/11174192/buy</t>
  </si>
  <si>
    <t>sangria red  white geometric printed cotton a line dress</t>
  </si>
  <si>
    <t>https://www.myntra.com/tights/hrx-by-hrithik-roshan/hrx-by-hrithik-roshan-women-black-self-design-rapid-dry-seamless-yoga-tights/10106321/buy</t>
  </si>
  <si>
    <t>hrx by hrithik roshan women black self design rapid dry seamless yoga tights</t>
  </si>
  <si>
    <t>https://www.myntra.com/jeans/roadster/the-roadster-lifestyle-co-women-blue-skinny-fit-mid-rise-clean-look-stretchable-cropped-jeans/9205397/buy</t>
  </si>
  <si>
    <t>the roadster lifestyle co women blue skinny fit mid rise clean look stretchable cropped jeans</t>
  </si>
  <si>
    <t>https://www.myntra.com/trousers/tokyo-talkies/tokyo-talkies-women-beige-regular-fit-self-design-parallel-trousers/12209962/buy</t>
  </si>
  <si>
    <t>tokyo talkies women beige regular fit self design parallel trousers</t>
  </si>
  <si>
    <t>https://www.myntra.com/shorts/highlander/highlander-men-black-washed-slim-fit-denim-shorts/8120171/buy</t>
  </si>
  <si>
    <t>highlander men black washed slim fit denim shorts</t>
  </si>
  <si>
    <t>https://www.myntra.com/tshirts/wrogn/wrogn-men-black-slim-fit-cotton-t-shirt/2339490/buy</t>
  </si>
  <si>
    <t>wrogn men black slim fit cotton t shirt</t>
  </si>
  <si>
    <t>https://www.myntra.com/briefs/zivame/zivame-beige-solid-boy-shorts-zi60b8core0skin/12398628/buy</t>
  </si>
  <si>
    <t>zivame beige solid boy shorts zi60b8core0skin</t>
  </si>
  <si>
    <t>22% OFF</t>
  </si>
  <si>
    <t>https://www.myntra.com/bra/dressberry/dressberry-maroon-solid-non-wired-non-padded-everyday-bra-db-wond-bra-006a/10939832/buy</t>
  </si>
  <si>
    <t>dressberry maroon solid non wired non padded everyday bra db wond bra 006a</t>
  </si>
  <si>
    <t>https://www.myntra.com/bra/fashionrack/fashionrack-beige-solid-non-wired-lightly-padded-stick-on-push-up-bra/9382253/buy</t>
  </si>
  <si>
    <t>FashionRack</t>
  </si>
  <si>
    <t>fashionrack beige solid non wired lightly padded stick on push up bra</t>
  </si>
  <si>
    <t>32B, 32C, 32D, 34B, 34C, 34D, 36B, 36C, 36D</t>
  </si>
  <si>
    <t>https://www.myntra.com/kurtas/herenow/herenow-women-blue--olive-green-floral-printed-straight-kurta/12530334/buy</t>
  </si>
  <si>
    <t>herenow women blue  olive green floral printed straight kurta</t>
  </si>
  <si>
    <t>https://www.myntra.com/tops/pluss/pluss-women-green-solid-top/2299528/buy</t>
  </si>
  <si>
    <t>pluss women green solid top</t>
  </si>
  <si>
    <t>https://www.myntra.com/jeans/dressberry/dressberry-women-blue-skinny-fit-mid-rise-slash-knee-stretchable-jeans/2202564/buy</t>
  </si>
  <si>
    <t>dressberry women blue skinny fit mid rise slash knee stretchable jeans</t>
  </si>
  <si>
    <t>https://www.myntra.com/dresses/athena/athena-black-embellished-sheath-dress/11312196/buy</t>
  </si>
  <si>
    <t>athena black embellished sheath dress</t>
  </si>
  <si>
    <t>https://www.myntra.com/tshirts/mast--harbour/mast--harbour-women-green-solid-round-neck-t-shirt/2464258/buy</t>
  </si>
  <si>
    <t>mast  harbour women green solid round neck t shirt</t>
  </si>
  <si>
    <t>https://www.myntra.com/tshirts/kook-n-keech-superman/kook-n-keech-superman-men-white-printed-round-neck-pure-cotton-t-shirt/10283867/buy</t>
  </si>
  <si>
    <t>Kook N Keech Superman</t>
  </si>
  <si>
    <t>kook n keech superman men white printed round neck pure cotton t shirt</t>
  </si>
  <si>
    <t>https://www.myntra.com/sarees/shaily/shaily-cream-coloured--blue-pure-silk-woven-design-banarasi-saree/10037083/buy</t>
  </si>
  <si>
    <t>Shaily</t>
  </si>
  <si>
    <t>shaily cream coloured  blue pure silk woven design banarasi saree</t>
  </si>
  <si>
    <t>https://www.myntra.com/dresses/sangria/sangria-yellow-floral-printed-cotton-a-line-dress/8349249/buy</t>
  </si>
  <si>
    <t>sangria yellow floral printed cotton a line dress</t>
  </si>
  <si>
    <t>https://www.myntra.com/tshirts/dressberry/dressberry-women-pack-of-2-solid-pure-cotton-t-shirts/17476318/buy</t>
  </si>
  <si>
    <t>dressberry women pack of 2 solid pure cotton t shirts</t>
  </si>
  <si>
    <t>XL, M, S, L</t>
  </si>
  <si>
    <t>https://www.myntra.com/tshirts/roadster/roadster-women-dusty-pink-pack-of-2-typography-print-round-neck-t-shirts/17383590/buy</t>
  </si>
  <si>
    <t>roadster women dusty pink pack of 2 typography print round neck t shirts</t>
  </si>
  <si>
    <t>https://www.myntra.com/shirts/her-by-invictus/her-by-invictus-women-olive-green-regular-fit-solid-formal-shirt/6939244/buy</t>
  </si>
  <si>
    <t>her by invictus women olive green regular fit solid formal shirt</t>
  </si>
  <si>
    <t>https://www.myntra.com/sarees/mitera/mitera-navy-blue-sequinned-pure-georgette-saree/12047292/buy</t>
  </si>
  <si>
    <t>mitera navy blue sequinned pure georgette saree</t>
  </si>
  <si>
    <t>https://www.myntra.com/leggings/twin-birds/twin-birds-women-white-solid-ankle-length-leggings/11244106/buy</t>
  </si>
  <si>
    <t>twin birds women white solid ankle length leggings</t>
  </si>
  <si>
    <t>https://www.myntra.com/bra/amante/amante-nude-printed-non-wired-lightly-padded-t-shirt-bra/1839663/buy</t>
  </si>
  <si>
    <t>Amante</t>
  </si>
  <si>
    <t>amante nude printed non wired lightly padded t shirt bra</t>
  </si>
  <si>
    <t>32B, 32C, 32D, 34B, 34C, 34D, 36B, 36C, 36D, 38B, 38C, 38D, 40C, 40D</t>
  </si>
  <si>
    <t>https://www.myntra.com/tops/anouk/anouk-white-mandarin-collar-empire-top/13238794/buy</t>
  </si>
  <si>
    <t>anouk white mandarin collar empire top</t>
  </si>
  <si>
    <t>https://www.myntra.com/jeans/miss-chase/miss-chase-women-navy-blue-slim-fit-high-rise-clean-look-jeans/7744508/buy</t>
  </si>
  <si>
    <t>miss chase women navy blue slim fit high rise clean look jeans</t>
  </si>
  <si>
    <t>https://www.myntra.com/jeans/wrogn/wrogn-men-black-slim-fit-mid-rise-clean-look-stretchable-jeans/10187447/buy</t>
  </si>
  <si>
    <t>https://www.myntra.com/trunk/us-polo-assn/us-polo-assn-men-assorted-trunk-10353589/10353589/buy</t>
  </si>
  <si>
    <t>us polo assn men assorted trunk 10353589</t>
  </si>
  <si>
    <t>https://www.myntra.com/tshirts/campus-sutra/campus-sutra-men-grey-solid-mandarin-collar-t-shirt/10890962/buy</t>
  </si>
  <si>
    <t>campus sutra men grey solid mandarin collar t shirt</t>
  </si>
  <si>
    <t>https://www.myntra.com/dresses/herenow/herenow-white--pink-lightweight-cotton-floral-print-fit--flare-dress/2056708/buy</t>
  </si>
  <si>
    <t>herenow white  pink lightweight cotton floral print fit  flare dress</t>
  </si>
  <si>
    <t>https://www.myntra.com/jackets/herenow/herenow-women-grey-solid-cropped-denim-jacket/10300853/buy</t>
  </si>
  <si>
    <t>herenow women grey solid cropped denim jacket</t>
  </si>
  <si>
    <t>https://www.myntra.com/tshirts/kook-n-keech-marvel/kook-n-keech-marvel-women-white--red-printed-round-neck-pure-cotton-t-shirt/8972461/buy</t>
  </si>
  <si>
    <t>kook n keech marvel women white  red printed round neck pure cotton t shirt</t>
  </si>
  <si>
    <t>https://www.myntra.com/tshirts/mast--harbour/mast--harbour-women-twin-collection-white--navy-blue-striped-round-neck-pure-cotton-t-shirt/8315901/buy</t>
  </si>
  <si>
    <t>mast  harbour women twin collection white  navy blue striped round neck pure cotton t shirt</t>
  </si>
  <si>
    <t>https://www.myntra.com/tshirts/hrx-by-hrithik-roshan/hrx-by-hrithik-roshan-men-grey-solid-high-neck-t-shirt/2520585/buy</t>
  </si>
  <si>
    <t>hrx by hrithik roshan men grey solid high neck t shirt</t>
  </si>
  <si>
    <t>https://www.myntra.com/tshirts/louis-philippe-sport/louis-philippe-sport-men-purple-brand-logo-polo-collar-t-shirt/14311864/buy</t>
  </si>
  <si>
    <t>louis philippe sport men purple brand logo polo collar t shirt</t>
  </si>
  <si>
    <t>https://www.myntra.com/dresses/ahalyaa/ahalyaa-black--green-floral-printed-maxi-dress/9689953/buy</t>
  </si>
  <si>
    <t>ahalyaa black  green floral printed maxi dress</t>
  </si>
  <si>
    <t>Rs. 2216 OFF</t>
  </si>
  <si>
    <t>https://www.myntra.com/tops/veni-vidi-vici/veni-vidi-vici-maroon-one-shoulder-fitted-crop-top/1973570/buy</t>
  </si>
  <si>
    <t>veni vidi vici maroon one shoulder fitted crop top</t>
  </si>
  <si>
    <t>https://www.myntra.com/dresses/sassafras/sassafras-brown-empire-flared-dress/9070049/buy</t>
  </si>
  <si>
    <t>sassafras brown empire flared dress</t>
  </si>
  <si>
    <t>https://www.myntra.com/trousers/roadster/roadster-men-navy-slim-fit-pure-cotton-joggers/2291339/buy</t>
  </si>
  <si>
    <t>https://www.myntra.com/shirts/roadster/roadster-men-navy-blue--brown-checked-sustainable-casual-shirt/1376232/buy</t>
  </si>
  <si>
    <t>roadster men navy blue  brown checked sustainable casual shirt</t>
  </si>
  <si>
    <t>https://www.myntra.com/shirts/mast--harbour/mast--harbour-men-magenta--orange-checked-pure-cotton-sustainable-casual-shirt/11194956/buy</t>
  </si>
  <si>
    <t>mast  harbour men magenta  orange checked pure cotton sustainable casual shirt</t>
  </si>
  <si>
    <t>https://www.myntra.com/sarees/ishin/ishin-magenta--black-poly-georgette-printed-saree/9720893/buy</t>
  </si>
  <si>
    <t>ishin magenta  black poly georgette printed saree</t>
  </si>
  <si>
    <t>https://www.myntra.com/kurtas/anouk/anouk-women-teal-blue--white-striped-kurta/13789746/buy</t>
  </si>
  <si>
    <t>anouk women teal blue  white striped kurta</t>
  </si>
  <si>
    <t>https://www.myntra.com/sarees/saree-mall/saree-mall-green-solid-saree/11083546/buy</t>
  </si>
  <si>
    <t>saree mall green solid saree</t>
  </si>
  <si>
    <t>https://www.myntra.com/track-pants/harvard/harvard-women-teal-blue-solid-regular-fit-cropped-joggers/12374414/buy</t>
  </si>
  <si>
    <t>harvard women teal blue solid regular fit cropped joggers</t>
  </si>
  <si>
    <t>https://www.myntra.com/tshirts/roadster/roadster-women-rust-brown--dusty-pink-pack-of-2-printed-drop-shoulder-sleeves-t-shirts/17383580/buy</t>
  </si>
  <si>
    <t>roadster women rust brown  dusty pink pack of 2 printed drop shoulder sleeves t shirts</t>
  </si>
  <si>
    <t>https://www.myntra.com/tops/scorpius/scorpious-women-pack-of-two-tops/9339527/buy</t>
  </si>
  <si>
    <t>scorpious women pack of two tops</t>
  </si>
  <si>
    <t>https://www.myntra.com/tops/dressberry/dressberry-women-pretty-pink-solid-puff-sleeves-top/11002194/buy</t>
  </si>
  <si>
    <t>dressberry women pretty pink solid puff sleeves top</t>
  </si>
  <si>
    <t>https://www.myntra.com/track-pants/tokyo-talkies/tokyo-talkies-women-brown-solid-slim-fit-track-pants/14062988/buy</t>
  </si>
  <si>
    <t>tokyo talkies women brown solid slim fit track pants</t>
  </si>
  <si>
    <t>https://www.myntra.com/briefs/jockey/jockey-international-collection-men-turquoise-blue-solid-briefs-ic27/11036298/buy</t>
  </si>
  <si>
    <t>jockey international collection men turquoise blue solid briefs ic27</t>
  </si>
  <si>
    <t>https://www.myntra.com/shirts/wrogn/wrogn-men-blue-faded-cotton-casual-shirt/11361514/buy</t>
  </si>
  <si>
    <t>wrogn men blue faded cotton casual shirt</t>
  </si>
  <si>
    <t>https://www.myntra.com/shirts/mast--harbour/mast--harbour-men-blue-regular-fit-solid-casual--linen-sustainable-shirt/11369814/buy</t>
  </si>
  <si>
    <t>mast  harbour men blue regular fit solid casual  linen sustainable shirt</t>
  </si>
  <si>
    <t>https://www.myntra.com/tshirts/roadster/roadster-men-burgundy-all-over-print-round-neck-t-shirt/8938961/buy</t>
  </si>
  <si>
    <t>roadster men burgundy all over print round neck t shirt</t>
  </si>
  <si>
    <t>https://www.myntra.com/tshirts/hrx-by-hrithik-roshan/hrx-by-hrithik-roshan-men-red-printed-round-neck-athleisure-pure-cotton-t-shirt/6825457/buy</t>
  </si>
  <si>
    <t>hrx by hrithik roshan men red printed round neck athleisure pure cotton t shirt</t>
  </si>
  <si>
    <t>https://www.myntra.com/kurtas/herenow/herenow-women-white--yellow-striped-straight-kurta/12524820/buy</t>
  </si>
  <si>
    <t>herenow women white  yellow striped straight kurta</t>
  </si>
  <si>
    <t>https://www.myntra.com/sarees/mitera/mitera-pink--green-art-silk-woven-design-half--half-banarasi-saree/11457308/buy</t>
  </si>
  <si>
    <t>mitera pink  green art silk woven design half  half banarasi saree</t>
  </si>
  <si>
    <t>https://www.myntra.com/shorts/tokyo-talkies/tokyo-talkies-women-lavender-solid-regular-fit-cotton-sports-shorts/14063010/buy</t>
  </si>
  <si>
    <t>tokyo talkies women lavender solid regular fit cotton sports shorts</t>
  </si>
  <si>
    <t>https://www.myntra.com/tops/street-9/street-9-black--beige-animal-printed-flared-sleeves-chiffon-blouson-crop-top/13904908/buy</t>
  </si>
  <si>
    <t>street 9 black  beige animal printed flared sleeves chiffon blouson crop top</t>
  </si>
  <si>
    <t>https://www.myntra.com/jeans/locomotive/locomotive-men-white-slim-fit-mid-rise-clean-look-stretchable-jeans/8064707/buy</t>
  </si>
  <si>
    <t>locomotive men white slim fit mid rise clean look stretchable jeans</t>
  </si>
  <si>
    <t>https://www.myntra.com/shorts/roadster/roadster-men-beige-printed-regular-fit-chino-shorts/2387568/buy</t>
  </si>
  <si>
    <t>roadster men beige printed regular fit chino shorts</t>
  </si>
  <si>
    <t>https://www.myntra.com/shirts/roadster/roadster-men-black--red-printed-pure-cotton-sustainable-casual-shirt/11895978/buy</t>
  </si>
  <si>
    <t>roadster men black  red printed pure cotton sustainable casual shirt</t>
  </si>
  <si>
    <t>https://www.myntra.com/tshirts/roadster/roadster-women-mustard-brown--charcoal-grey-colourblocked-round-neck-t-shirt/2519738/buy</t>
  </si>
  <si>
    <t>roadster women mustard brown  charcoal grey colourblocked round neck t shirt</t>
  </si>
  <si>
    <t>https://www.myntra.com/track-pants/hrx-by-hrithik-roshan/hrx-by-hrithik-roshan-men-grey-melange-solid-slim-fit-rapid-dry-running-track-pants/8328405/buy</t>
  </si>
  <si>
    <t>hrx by hrithik roshan men grey melange solid slim fit rapid dry running track pants</t>
  </si>
  <si>
    <t>https://www.myntra.com/trousers/roadster/roadster-men-navy-blue-slim-fit-pure-cotton-sustainable-chinos/2119005/buy</t>
  </si>
  <si>
    <t>roadster men navy blue slim fit pure cotton sustainable chinos</t>
  </si>
  <si>
    <t>https://www.myntra.com/shirts/roadster/roadster-men-grey-typography-printed-pure-cotton-casual-sustainable-shirt/10944710/buy</t>
  </si>
  <si>
    <t>roadster men grey typography printed pure cotton casual sustainable shirt</t>
  </si>
  <si>
    <t>https://www.myntra.com/leggings/tag-7/tag-7-women-black-solid-ankle-length-leggings/10480828/buy</t>
  </si>
  <si>
    <t>tag 7 women black solid ankle length leggings</t>
  </si>
  <si>
    <t>https://www.myntra.com/shirts/roadster/roadster-men-coffee-brown--black-checked-pure-cotton-sustainable-casual-shirt/11896036/buy</t>
  </si>
  <si>
    <t>roadster men coffee brown  black checked pure cotton sustainable casual shirt</t>
  </si>
  <si>
    <t>https://www.myntra.com/sweatshirts/kook-n-keech/kook-n-keech-men-red--white-colourblocked-sweatshirt/2118953/buy</t>
  </si>
  <si>
    <t>kook n keech men red  white colourblocked sweatshirt</t>
  </si>
  <si>
    <t>https://www.myntra.com/kurta-sets/yuris/yuris-women-blue--peach-coloured-printed-kurta-with-trousers--dupatta/13530352/buy</t>
  </si>
  <si>
    <t>yuris women blue  peach coloured printed kurta with trousers  dupatta</t>
  </si>
  <si>
    <t>https://www.myntra.com/tshirts/moda-rapido/moda-rapido-women-grey-graphic-printed-longline-cotton-pure-cotton-t-shirt/12018218/buy</t>
  </si>
  <si>
    <t>moda rapido women grey graphic printed longline cotton pure cotton t shirt</t>
  </si>
  <si>
    <t>https://www.myntra.com/jeans/roadster/roadster-women-navy-skinny-fit-mid-rise-clean-look-stretchable-cropped-jeans/6995097/buy</t>
  </si>
  <si>
    <t>roadster women navy skinny fit mid rise clean look stretchable cropped jeans</t>
  </si>
  <si>
    <t>https://www.myntra.com/jeggings/roadster/roadster-women-charcoal-grey-super-skinny-fit-solid-denim-treggings/11489514/buy</t>
  </si>
  <si>
    <t>roadster women charcoal grey super skinny fit solid denim treggings</t>
  </si>
  <si>
    <t>https://www.myntra.com/jeans/highlander/highlander-men-black-slim-tapered-fit-mid-rise-clean-look-stretchable-jeans/3855148/buy</t>
  </si>
  <si>
    <t>highlander men black slim tapered fit mid rise clean look stretchable jeans</t>
  </si>
  <si>
    <t>https://www.myntra.com/kurta-sets/inddus/inddus-women-marron-net-sheer-sequinned-kurta-with-sharara--dupatta/13895560/buy</t>
  </si>
  <si>
    <t>inddus women marron net sheer sequinned kurta with sharara  dupatta</t>
  </si>
  <si>
    <t>https://www.myntra.com/night-suits/boston-club/boston-club-women-navy-blue--pink-printed-night-suit/13567602/buy</t>
  </si>
  <si>
    <t>Boston Club</t>
  </si>
  <si>
    <t>boston club women navy blue  pink printed night suit</t>
  </si>
  <si>
    <t>https://www.myntra.com/kurtas/sangria/sangria-women-white--navy-blue-printed-straight-kurta/11174228/buy</t>
  </si>
  <si>
    <t>sangria women white  navy blue printed straight kurta</t>
  </si>
  <si>
    <t>https://www.myntra.com/sweatshirts/tokyo-talkies/tokyo-talkies-women-mustard-orange-solid-hooded-sweatshirt/10742386/buy</t>
  </si>
  <si>
    <t>tokyo talkies women mustard orange solid hooded sweatshirt</t>
  </si>
  <si>
    <t>https://www.myntra.com/tops/all-about-you/all-about-you-yellow--off-white-floral-print-mandarin-collar-puff-sleeve-pure-cotton-top/13204882/buy</t>
  </si>
  <si>
    <t>all about you yellow  off white floral print mandarin collar puff sleeve pure cotton top</t>
  </si>
  <si>
    <t>https://www.myntra.com/sweaters/roadster/roadster-women-black--white-checked-pullover/5447367/buy</t>
  </si>
  <si>
    <t>roadster women black  white checked pullover</t>
  </si>
  <si>
    <t>https://www.myntra.com/tshirts/roadster/the-roadster-lifestyle-co-women-pink-solid-round-neck-pure-cotton-t-shirt/9739965/buy</t>
  </si>
  <si>
    <t>https://www.myntra.com/dresses/dressberry/dressberry-green--off-white-floral-printed-a-line-dress/10440650/buy</t>
  </si>
  <si>
    <t>dressberry green  off white floral printed a line dress</t>
  </si>
  <si>
    <t>https://www.myntra.com/lounge-shorts/us-polo-assn/us-polo-assn-men-pack-of-2-grey-solid-lounge-shorts/17977458/buy</t>
  </si>
  <si>
    <t>lounge-shorts</t>
  </si>
  <si>
    <t>us polo assn men pack of 2 grey solid lounge shorts</t>
  </si>
  <si>
    <t>https://www.myntra.com/shirts/harvard/harvard-men-navy-blue--red-slim-fit-checked-sustainable-casual-shirt/2358001/buy</t>
  </si>
  <si>
    <t>harvard men navy blue  red slim fit checked sustainable casual shirt</t>
  </si>
  <si>
    <t>https://www.myntra.com/tshirts/ether/ether-men-teal-green-chest-print-round-neck-pure-cotton-t-shirt/11900354/buy</t>
  </si>
  <si>
    <t>ether men teal green chest print round neck pure cotton t shirt</t>
  </si>
  <si>
    <t>https://www.myntra.com/bra/zivame/zivame-blue--yellow-solid-underwired-lightly-padded-t-shirt-bra-zi1132corezblue/6608551/buy</t>
  </si>
  <si>
    <t>zivame blue  yellow solid underwired lightly padded t shirt bra zi1132corezblue</t>
  </si>
  <si>
    <t>34B, 34C, 36B, 36C</t>
  </si>
  <si>
    <t>https://www.myntra.com/kurtas/sangria/sangria-women-blue-solid-a-line-kurta/8350403/buy</t>
  </si>
  <si>
    <t>sangria women blue solid a line kurta</t>
  </si>
  <si>
    <t>https://www.myntra.com/tshirts/ether/ether-women-blue-solid-round-neck-t-shirt/1270768/buy</t>
  </si>
  <si>
    <t>ether women blue solid round neck t shirt</t>
  </si>
  <si>
    <t>https://www.myntra.com/jeans/roadster/roadster-men-blue-skinny-fit-mid-rise-clean-look-stretchable-jeans/8962463/buy</t>
  </si>
  <si>
    <t>https://www.myntra.com/tshirts/hrx-by-hrithik-roshan/hrx-by-hrithik-roshan-lifestyle-men-pack-of-2-round-neck-tshirts/16322466/buy</t>
  </si>
  <si>
    <t>hrx by hrithik roshan lifestyle men pack of 2 round neck tshirts</t>
  </si>
  <si>
    <t>XL, XXL, L, S, M</t>
  </si>
  <si>
    <t>https://www.myntra.com/tshirts/wrogn/wrogn-men-blue-slim-fit-colourblocked-round-neck-pure-cotton-t-shirt/11363666/buy</t>
  </si>
  <si>
    <t>wrogn men blue slim fit colourblocked round neck pure cotton t shirt</t>
  </si>
  <si>
    <t>https://www.myntra.com/bra/zivame/zivame-blue-solid-non-wired-non-padded-t-shirt-bra-zi1882coreablue/10554970/buy</t>
  </si>
  <si>
    <t>zivame blue solid non wired non padded t shirt bra zi1882coreablue</t>
  </si>
  <si>
    <t>https://www.myntra.com/tshirts/roadster/roadster-women-pack-of-2-printed-cotton-t-shirt/17384862/buy</t>
  </si>
  <si>
    <t>https://www.myntra.com/tshirts/roadster/roadster-women-navy-blue--mauve-pink-pack-of-2-printed-round-neck-knitted-t-shirts/17383642/buy</t>
  </si>
  <si>
    <t>roadster women navy blue  mauve pink pack of 2 printed round neck knitted t shirts</t>
  </si>
  <si>
    <t>https://www.myntra.com/tops/mayra/mayra-women-black-solid-crop-top/4441317/buy</t>
  </si>
  <si>
    <t>mayra women black solid crop top</t>
  </si>
  <si>
    <t>https://www.myntra.com/track-pants/hrx-by-hrithik-roshan/hrx-by-hrithik-roshan-white-cotton-athleisure-track-pants/6791073/buy</t>
  </si>
  <si>
    <t>hrx by hrithik roshan white cotton athleisure track pants</t>
  </si>
  <si>
    <t>https://www.myntra.com/socks/mast--harbour/mast--harbour-men-pack-of-3-calf-length-socks/10986386/buy</t>
  </si>
  <si>
    <t>mast  harbour men pack of 3 calf length socks</t>
  </si>
  <si>
    <t>https://www.myntra.com/sarees/kalini/kalini-pink--mustard-yellow-ethnic-motifs-woven-design-half--half-kanjeevaram-saree/14879588/buy</t>
  </si>
  <si>
    <t>kalini pink  mustard yellow ethnic motifs woven design half  half kanjeevaram saree</t>
  </si>
  <si>
    <t>https://www.myntra.com/kurtas/varanga/varanga-women-turquoise-blue-geometric-striped-thread-work-georgette-kurta/14489524/buy</t>
  </si>
  <si>
    <t>varanga women turquoise blue geometric striped thread work georgette kurta</t>
  </si>
  <si>
    <t>https://www.myntra.com/track-pants/hubberholme/hubberholme-men-black-slim-fit-solid-cargo-joggers/13961906/buy</t>
  </si>
  <si>
    <t>hubberholme men black slim fit solid cargo joggers</t>
  </si>
  <si>
    <t>https://www.myntra.com/kurtas/taavi/taavi-men-maroon--black-bagru-printed-straight-sustainable-kurta-with-roll-up-sleeves/10384141/buy</t>
  </si>
  <si>
    <t>taavi men maroon  black bagru printed straight sustainable kurta with roll up sleeves</t>
  </si>
  <si>
    <t>https://www.myntra.com/tshirts/wrogn/wrogn-men-burgundy-solid-polo-collar-slim-fit-t-shirt/2339460/buy</t>
  </si>
  <si>
    <t>wrogn men burgundy solid polo collar slim fit t shirt</t>
  </si>
  <si>
    <t>https://www.myntra.com/jeans/moda-rapido/moda-rapido-women-navy-blue-bootcut-high-rise-clean-look-stretchable-jeans/9072709/buy</t>
  </si>
  <si>
    <t>moda rapido women navy blue bootcut high rise clean look stretchable jeans</t>
  </si>
  <si>
    <t>https://www.myntra.com/track-pants/hrx-by-hrithik-roshan/hrx-by-hrithik-roshan-men-navy-melange-solid-regular-fit-bio-wash-lifestyle-jogger/11998924/buy</t>
  </si>
  <si>
    <t>hrx by hrithik roshan men navy melange solid regular fit bio wash lifestyle jogger</t>
  </si>
  <si>
    <t>https://www.myntra.com/sarees/saree-mall/saree-mall-yellow-silk-blend-patola-print-kanjeevaram-saree-with-unstitched-blouse/6825162/buy</t>
  </si>
  <si>
    <t>saree mall yellow silk blend patola print kanjeevaram saree with unstitched blouse</t>
  </si>
  <si>
    <t>https://www.myntra.com/dresses/pluss/pluss-rust-brown--white-polka-dot-print-sheath-dress-with-ruched-detail/13914244/buy</t>
  </si>
  <si>
    <t>pluss rust brown  white polka dot print sheath dress with ruched detail</t>
  </si>
  <si>
    <t>https://www.myntra.com/tshirts/roadster/roadster-women-pack-of-2-printed-cotton-t-shirt/17385582/buy</t>
  </si>
  <si>
    <t>https://www.myntra.com/shirts/dressberry/dressberry-women-lovely-olive-solid-cut-out-shirt/2521376/buy</t>
  </si>
  <si>
    <t>dressberry women lovely olive solid cut out shirt</t>
  </si>
  <si>
    <t>https://www.myntra.com/tops/pluss/pluss-sea-green-cinched-waist-top/2468600/buy</t>
  </si>
  <si>
    <t>pluss sea green cinched waist top</t>
  </si>
  <si>
    <t>https://www.myntra.com/lounge-pants/hubberholme/hubberholme-men-solid-grey-melange-solid-lounge-pants/8613929/buy</t>
  </si>
  <si>
    <t>hubberholme men solid grey melange solid lounge pants</t>
  </si>
  <si>
    <t>https://www.myntra.com/shirts/roadster/roadster-men-navy-blue-printed-pure-cotton-sustainable-casual-shirt/10740920/buy</t>
  </si>
  <si>
    <t>roadster men navy blue printed pure cotton sustainable casual shirt</t>
  </si>
  <si>
    <t>https://www.myntra.com/bra/floret/floret-pack-of-2-full-coverage-maternity-bras/762418/buy</t>
  </si>
  <si>
    <t>floret pack of 2 full coverage maternity bras</t>
  </si>
  <si>
    <t>32B, 34B, 36B, 38B, 40B</t>
  </si>
  <si>
    <t>https://www.myntra.com/kurtas/herenow/herenow-women-green--golden-ethnic-print-straight-kurta/12530340/buy</t>
  </si>
  <si>
    <t>herenow women green  golden ethnic print straight kurta</t>
  </si>
  <si>
    <t>https://www.myntra.com/sweatshirts/roadster/roadster-women-lavender-solid-sweatshirt/11991302/buy</t>
  </si>
  <si>
    <t>https://www.myntra.com/tshirts/roadster/roadster-women-pack-of-2-pure-cotton-typography-print-t-shirts/17384818/buy</t>
  </si>
  <si>
    <t>https://www.myntra.com/tops/marie-claire/marie-claire-women-blue--red-floral-print-cape-top/1731802/buy</t>
  </si>
  <si>
    <t>marie claire women blue  red floral print cape top</t>
  </si>
  <si>
    <t>https://www.myntra.com/tshirts/mast--harbour/mast--harbour-women-pack-of-2-cotton-t-shirts/17524582/buy</t>
  </si>
  <si>
    <t>https://www.myntra.com/tshirts/roadster/roadster-women-mauve--maroon-pack-of-2-typography-print-pure-cotton-t-shirts/17382864/buy</t>
  </si>
  <si>
    <t>roadster women mauve  maroon pack of 2 typography print pure cotton t shirts</t>
  </si>
  <si>
    <t>https://www.myntra.com/sweatshirts/hrx-by-hrithik-roshan/hrx-by-hrithik-roshan-women-orange-hooded-active-sweatshirt/4653850/buy</t>
  </si>
  <si>
    <t>hrx by hrithik roshan women orange hooded active sweatshirt</t>
  </si>
  <si>
    <t>https://www.myntra.com/tshirts/roadster/the-roadster-lifestyle-co-women-rose-solid-round-neck-pure-cotton-t-shirt/13594612/buy</t>
  </si>
  <si>
    <t>the roadster lifestyle co women rose solid round neck pure cotton t shirt</t>
  </si>
  <si>
    <t>https://www.myntra.com/kurtis/tissu/tissu-women-pink--white-printed-a-line-kurti/11759894/buy</t>
  </si>
  <si>
    <t>tissu women pink  white printed a line kurti</t>
  </si>
  <si>
    <t>https://www.myntra.com/tops/pluss/pluss-black-self-design-crop-top/12150614/buy</t>
  </si>
  <si>
    <t>pluss black self design crop top</t>
  </si>
  <si>
    <t>https://www.myntra.com/tops/pluss/pluss-purple-self-design-crop-top/12150618/buy</t>
  </si>
  <si>
    <t>pluss purple self design crop top</t>
  </si>
  <si>
    <t>https://www.myntra.com/kurtas/herenow/herenow-women-pink--white-checked-bell-sleeves-straight-kurta/12844212/buy</t>
  </si>
  <si>
    <t>herenow women pink  white checked bell sleeves straight kurta</t>
  </si>
  <si>
    <t>https://www.myntra.com/skirts/tokyo-talkies/tokyo-talkies-navy-blue-a-line-pure-cotton-skirt/13275212/buy</t>
  </si>
  <si>
    <t>tokyo talkies navy blue a line pure cotton skirt</t>
  </si>
  <si>
    <t>https://www.myntra.com/dresses/mast--harbour/mast--harbour-navy-embroidered-a-line-dress/11144172/buy</t>
  </si>
  <si>
    <t>mast  harbour navy embroidered a line dress</t>
  </si>
  <si>
    <t>https://www.myntra.com/jeans/mast--harbour/mast--harbour-women-blue-boyfriend-fit-high-rise-clean-look-stretchable-jeans/9444915/buy</t>
  </si>
  <si>
    <t>mast  harbour women blue boyfriend fit high rise clean look stretchable jeans</t>
  </si>
  <si>
    <t>https://www.myntra.com/socks/wrogn/wrogn-men-set-of-3-above-ankle-socks/12402758/buy</t>
  </si>
  <si>
    <t>wrogn men set of 3 above ankle socks</t>
  </si>
  <si>
    <t>https://www.myntra.com/sweatshirts/campus-sutra/campus-sutra-men-maroon-solid-hooded-sweatshirt/10381423/buy</t>
  </si>
  <si>
    <t>campus sutra men maroon solid hooded sweatshirt</t>
  </si>
  <si>
    <t>https://www.myntra.com/shirts/wrogn/wrogn-men-navy-checked-casual-shirt/1729361/buy</t>
  </si>
  <si>
    <t>wrogn men navy checked casual shirt</t>
  </si>
  <si>
    <t>https://www.myntra.com/kurtas/sangria/sangria-women-blue--magenta-pure-cotton-printed-straight-kurta/13249428/buy</t>
  </si>
  <si>
    <t>sangria women blue  magenta pure cotton printed straight kurta</t>
  </si>
  <si>
    <t>https://www.myntra.com/sarees/mitera/mitera-pink--gold-toned-woven-design-zari-silk-blend-banarasi-saree/15012204/buy</t>
  </si>
  <si>
    <t>mitera pink  gold toned woven design zari silk blend banarasi saree</t>
  </si>
  <si>
    <t>https://www.myntra.com/track-pants/dressberry/dressberry-women-olive-green-solid-joggers/9265605/buy</t>
  </si>
  <si>
    <t>dressberry women olive green solid joggers</t>
  </si>
  <si>
    <t>https://www.myntra.com/tops/hrx-by-hrithik-roshan/hrx-by-hrithik-roshan-black-rapid-dry-tank-top/8010357/buy</t>
  </si>
  <si>
    <t>hrx by hrithik roshan black rapid dry tank top</t>
  </si>
  <si>
    <t>https://www.myntra.com/trousers/highlander/highlander-men-green-tapered-fit-solid-chinos/6743832/buy</t>
  </si>
  <si>
    <t>highlander men green tapered fit solid chinos</t>
  </si>
  <si>
    <t>https://www.myntra.com/tshirts/wrogn/wrogn-men-black-solid-slim-fit-polo-collar-pure-cotton-t-shirt/10410716/buy</t>
  </si>
  <si>
    <t>wrogn men black solid slim fit polo collar pure cotton t shirt</t>
  </si>
  <si>
    <t>https://www.myntra.com/kurtas/sangria/sangria-women-off-white--red-floral-print-front-slit-a-line-kurta/13437258/buy</t>
  </si>
  <si>
    <t>sangria women off white  red floral print front slit a line kurta</t>
  </si>
  <si>
    <t>https://www.myntra.com/sarees/saree-mall/saree-mall-black--beige-printed-saree/10613148/buy</t>
  </si>
  <si>
    <t>saree mall black  beige printed saree</t>
  </si>
  <si>
    <t>https://www.myntra.com/kurtas/vishudh/vishudh-women-turquoise-blue-printed-a-line-kurta/11862362/buy</t>
  </si>
  <si>
    <t>vishudh women turquoise blue printed a line kurta</t>
  </si>
  <si>
    <t>https://www.myntra.com/jeans/tokyo-talkies/tokyo-talkies-women-white-flared-mid-rise-clean-look-jeans/13641440/buy</t>
  </si>
  <si>
    <t>tokyo talkies women white flared mid rise clean look jeans</t>
  </si>
  <si>
    <t>https://www.myntra.com/lounge-pants/vimal/vimal-men-pack-of-2-solid-cotton-lounge-pants/13676452/buy</t>
  </si>
  <si>
    <t>https://www.myntra.com/tshirts/hrx-by-hrithik-roshan/hrx-by-hrithik-roshan-men-teal-blue-printed-round-neck-athleisure-pure-cotton-t-shirt/6825447/buy</t>
  </si>
  <si>
    <t>hrx by hrithik roshan men teal blue printed round neck athleisure pure cotton t shirt</t>
  </si>
  <si>
    <t>https://www.myntra.com/shirts/locomotive/locomotive-men-olive-green-slim-fit-solid-casual-shirt/5523552/buy</t>
  </si>
  <si>
    <t>locomotive men olive green slim fit solid casual shirt</t>
  </si>
  <si>
    <t>https://www.myntra.com/shirts/herenow/herenow-men-olive-green-slim-fit-solid-casual-shirt/8979975/buy</t>
  </si>
  <si>
    <t>herenow men olive green slim fit solid casual shirt</t>
  </si>
  <si>
    <t>https://www.myntra.com/skirts/moda-rapido/moda-rapido-navy-blue--white-printed-pure-cotton-maxi-flared-skirt/10216989/buy</t>
  </si>
  <si>
    <t>moda rapido navy blue  white printed pure cotton maxi flared skirt</t>
  </si>
  <si>
    <t>26, 28, 30, 32, 34, 36, 38</t>
  </si>
  <si>
    <t>https://www.myntra.com/tops/her-by-invictus/her-by-invictus-maroon-v-neck-boxy-top/11240346/buy</t>
  </si>
  <si>
    <t>her by invictus maroon v neck boxy top</t>
  </si>
  <si>
    <t>https://www.myntra.com/tops/ruhaans/ruhaans-black--white-striped-georgette-kaftan-longline-top/14269434/buy</t>
  </si>
  <si>
    <t>Ruhaans</t>
  </si>
  <si>
    <t>ruhaans black  white striped georgette kaftan longline top</t>
  </si>
  <si>
    <t>https://www.myntra.com/tops/sassafras/sassafras-women-mustard-yellow-crop-ribbed-top/12222032/buy</t>
  </si>
  <si>
    <t>sassafras women mustard yellow crop ribbed top</t>
  </si>
  <si>
    <t>https://www.myntra.com/tshirts/roadster/-roadster-women-pack-of-2-cotton-t-shirts/17381614/buy</t>
  </si>
  <si>
    <t>https://www.myntra.com/shirts/highlander/highlander-men-beige-slim-fit-solid-casual-shirt/2948542/buy</t>
  </si>
  <si>
    <t>highlander men beige slim fit solid casual shirt</t>
  </si>
  <si>
    <t>https://www.myntra.com/kurtas/sangria/sangria-women-blue--golden-ethnic-print-a-line-kurta/13437312/buy</t>
  </si>
  <si>
    <t>sangria women blue  golden ethnic print a line kurta</t>
  </si>
  <si>
    <t>https://www.myntra.com/kurta-sets/anouk/anouk-women-green-yoke-design-pure-cotton-kurta-with-trousers/13237770/buy</t>
  </si>
  <si>
    <t>anouk women green yoke design pure cotton kurta with trousers</t>
  </si>
  <si>
    <t>https://www.myntra.com/kurta-sets/ziyaa/ziyaa-women-pink--black-foil-printed-kurta-with-trousers/11674706/buy</t>
  </si>
  <si>
    <t>ZIYAA</t>
  </si>
  <si>
    <t>ziyaa women pink  black foil printed kurta with trousers</t>
  </si>
  <si>
    <t>https://www.myntra.com/tights/hrx-by-hrithik-roshan/hrx-by-hrithik-roshan-women-navy-blue-seamless-solid-tights/3009880/buy</t>
  </si>
  <si>
    <t>hrx by hrithik roshan women navy blue seamless solid tights</t>
  </si>
  <si>
    <t>https://www.myntra.com/tops/mayra/mayra-women-black-lace-top/7256677/buy</t>
  </si>
  <si>
    <t>mayra women black lace top</t>
  </si>
  <si>
    <t>https://www.myntra.com/tops/purple-feather/purple-feather-black-top/6406469/buy</t>
  </si>
  <si>
    <t>purple feather black top</t>
  </si>
  <si>
    <t>https://www.myntra.com/track-pants/nyamba-by-decathlon/nyamba-by-decathlon-men-navy-blue-fitness-track-pants/14515728/buy</t>
  </si>
  <si>
    <t>NYAMBA By Decathlon</t>
  </si>
  <si>
    <t>nyamba by decathlon men navy blue fitness track pants</t>
  </si>
  <si>
    <t>14% OFF</t>
  </si>
  <si>
    <t>https://www.myntra.com/jeans/campus-sutra/campus-sutra-men-navy-blue-mildly-distressed-light-fade-applique-stretchable-jeans/11793380/buy</t>
  </si>
  <si>
    <t>campus sutra men navy blue mildly distressed light fade applique stretchable jeans</t>
  </si>
  <si>
    <t>https://www.myntra.com/kurtas/purple-state/purple-state-men-maroon-solid-kurta/8650829/buy</t>
  </si>
  <si>
    <t>Purple State</t>
  </si>
  <si>
    <t>purple state men maroon solid kurta</t>
  </si>
  <si>
    <t>https://www.myntra.com/kurta-sets/nayo/nayo-women-green-ethnic-motifs-printed-pure-cotton-kurta-with-trousers--dupatta/14709964/buy</t>
  </si>
  <si>
    <t>nayo women green ethnic motifs printed pure cotton kurta with trousers  dupatta</t>
  </si>
  <si>
    <t>https://www.myntra.com/kurtis/tissu/tissu-women-grey--pink-floral-printed-straight-kurti/13705898/buy</t>
  </si>
  <si>
    <t>tissu women grey  pink floral printed straight kurti</t>
  </si>
  <si>
    <t>42% OFF</t>
  </si>
  <si>
    <t>https://www.myntra.com/tops/roadster/the-roadster-lifestyle-co-women--navy-blue-white-striped-pure-cotton-top/10958316/buy</t>
  </si>
  <si>
    <t>the roadster lifestyle co women  navy blue white striped pure cotton top</t>
  </si>
  <si>
    <t>https://www.myntra.com/dresses/dressberry/dressberry-women-navy-blue--maroon-floral-printed-a-line-dress/11002760/buy</t>
  </si>
  <si>
    <t>dressberry women navy blue  maroon floral printed a line dress</t>
  </si>
  <si>
    <t>https://www.myntra.com/tshirts/mast--harbour/mast--harbour-women-white--blue-printed-round-neck-t-shirt/11185036/buy</t>
  </si>
  <si>
    <t>mast  harbour women white  blue printed round neck t shirt</t>
  </si>
  <si>
    <t>https://www.myntra.com/jeggings/roadster/the-roadster-lifestyle-co-women-blue-solid-super-skinny-fit-denim-jeggings/10967402/buy</t>
  </si>
  <si>
    <t>the roadster lifestyle co women blue solid super skinny fit denim jeggings</t>
  </si>
  <si>
    <t>https://www.myntra.com/track-pants/highlander/highlander-men-navy-blue-solid-slim-fit-track-pants/14067762/buy</t>
  </si>
  <si>
    <t>highlander men navy blue solid slim fit track pants</t>
  </si>
  <si>
    <t>https://www.myntra.com/trousers/invictus/invictus-men-charcoal-grey-slim-fit-self-design-formal-trousers/7149893/buy</t>
  </si>
  <si>
    <t>invictus men charcoal grey slim fit self design formal trousers</t>
  </si>
  <si>
    <t>https://www.myntra.com/kurta-sets/hangup/hangup-men-black-solid-kurta-with-pyjamas/11812532/buy</t>
  </si>
  <si>
    <t>hangup men black solid kurta with pyjamas</t>
  </si>
  <si>
    <t>https://www.myntra.com/shirts/campus-sutra/campus-sutra-men-white--blue-striped-casual-shirt/14811424/buy</t>
  </si>
  <si>
    <t>campus sutra men white  blue striped casual shirt</t>
  </si>
  <si>
    <t>https://www.myntra.com/jackets/roadster/roadster-men-blue-solid-denim-jacket/10617886/buy</t>
  </si>
  <si>
    <t>roadster men blue solid denim jacket</t>
  </si>
  <si>
    <t>https://www.myntra.com/kurtas/florence/florence-women-green-solid-a-line-kurta/11215738/buy</t>
  </si>
  <si>
    <t>Florence</t>
  </si>
  <si>
    <t>florence women green solid a line kurta</t>
  </si>
  <si>
    <t>82% OFF</t>
  </si>
  <si>
    <t>https://www.myntra.com/jeans/herenow/herenow-women-black-skinny-fit-mid-rise-clean-look-stretchable-jeans/2383795/buy</t>
  </si>
  <si>
    <t>herenow women black skinny fit mid rise clean look stretchable jeans</t>
  </si>
  <si>
    <t>https://www.myntra.com/tops/carlton-london/carlton-london-black-top-with-bell-sleeves/10019827/buy</t>
  </si>
  <si>
    <t>Carlton London</t>
  </si>
  <si>
    <t>carlton london black top with bell sleeves</t>
  </si>
  <si>
    <t>https://www.myntra.com/tops/scorpius/scorpius-women-pack-of-2-crop-tops/9341667/buy</t>
  </si>
  <si>
    <t>https://www.myntra.com/dresses/mish/mish-black-v-neck-maxi-dress/7326497/buy</t>
  </si>
  <si>
    <t>mish black v neck maxi dress</t>
  </si>
  <si>
    <t>https://www.myntra.com/tshirts/roadster/roadster-women-pack-of-2-t-shirts/17384198/buy</t>
  </si>
  <si>
    <t>roadster women pack of 2 t shirts</t>
  </si>
  <si>
    <t>https://www.myntra.com/tshirts/roadster/roadster-men-navy-blue--orange-striped-round-neck-t-shirt/11659964/buy</t>
  </si>
  <si>
    <t>roadster men navy blue  orange striped round neck t shirt</t>
  </si>
  <si>
    <t>https://www.myntra.com/kurtas/moda-rapido/moda-rapido-women-black-solid-straight-kurta/2528692/buy</t>
  </si>
  <si>
    <t>moda rapido women black solid straight kurta</t>
  </si>
  <si>
    <t>https://www.myntra.com/tops/tokyo-talkies/tokyo-talkies-women-off-white-solid-top/8500553/buy</t>
  </si>
  <si>
    <t>tokyo talkies women off white solid top</t>
  </si>
  <si>
    <t>https://www.myntra.com/tshirts/dillinger/dillinger-women-blue-printed-round-neck-oversized-t-shirt/13641766/buy</t>
  </si>
  <si>
    <t>dillinger women blue printed round neck oversized t shirt</t>
  </si>
  <si>
    <t>https://www.myntra.com/tops/athena/athena-women-stylish-black-floral-top/15301030/buy</t>
  </si>
  <si>
    <t>athena women stylish black floral top</t>
  </si>
  <si>
    <t>https://www.myntra.com/sweaters/mast--harbour/mast--harbour-women-grey--peach-coloured-striped-pullover/6726654/buy</t>
  </si>
  <si>
    <t>mast  harbour women grey  peach coloured striped pullover</t>
  </si>
  <si>
    <t>https://www.myntra.com/tshirts/roadster/roadster-women-set-of-2-printed-pure-cotton-t-shirts/17381172/buy</t>
  </si>
  <si>
    <t>roadster women set of 2 printed pure cotton t shirts</t>
  </si>
  <si>
    <t>https://www.myntra.com/shirts/dennison/dennison-men-white-comfort-fit-solid-formal-shirt/1950256/buy</t>
  </si>
  <si>
    <t>dennison men white comfort fit solid formal shirt</t>
  </si>
  <si>
    <t>https://www.myntra.com/jeans/wrogn/wrogn-men-grey-skinny-fit-mid-rise-clean-look-stretchable-jeans/2338186/buy</t>
  </si>
  <si>
    <t>wrogn men grey skinny fit mid rise clean look stretchable jeans</t>
  </si>
  <si>
    <t>https://www.myntra.com/jeans/wrogn/wrogn-men-blue-slim-fit-mid-rise-clean-look-stretchable-jeans/6832363/buy</t>
  </si>
  <si>
    <t>https://www.myntra.com/tshirts/roadster/roadster-men-charcoal-grey-printed-round-neck-t-shirt/11537070/buy</t>
  </si>
  <si>
    <t>roadster men charcoal grey printed round neck t shirt</t>
  </si>
  <si>
    <t>https://www.myntra.com/tops/scorpius/scorpius-women-pack-of-2-crop-tops/9340077/buy</t>
  </si>
  <si>
    <t>https://www.myntra.com/shirts/her-by-invictus/her-by-invictus-women-green-casual-shirt/6939207/buy</t>
  </si>
  <si>
    <t>her by invictus women green casual shirt</t>
  </si>
  <si>
    <t>https://www.myntra.com/tops/tokyo-talkies/tokyo-talkies-women-green-printed-cinched-waist-top/11995810/buy</t>
  </si>
  <si>
    <t>tokyo talkies women green printed cinched waist top</t>
  </si>
  <si>
    <t>https://www.myntra.com/jeans/roadster/roadster-men-blue-skinny-fit-mid-rise-clean-look-stretchable-jeans/11274542/buy</t>
  </si>
  <si>
    <t>https://www.myntra.com/trunk/levis/levis-men-pack-of-2-solid-pure-cotton--trunks-bb-100ca-2pk-style-010-318/9261047/buy</t>
  </si>
  <si>
    <t>levis men pack of 2 solid pure cotton  trunks bb 100ca 2pk style 010 318</t>
  </si>
  <si>
    <t>https://www.myntra.com/tshirts/roadster/roadster-men-white--charcoal-grey-colourblocked-polo-collar-pure-cotton-t-shirt/6712204/buy</t>
  </si>
  <si>
    <t>roadster men white  charcoal grey colourblocked polo collar pure cotton t shirt</t>
  </si>
  <si>
    <t>https://www.myntra.com/tshirts/wrogn/wrogn-men-black-printed-round-neck-t-shirt/11363104/buy</t>
  </si>
  <si>
    <t>wrogn men black printed round neck t shirt</t>
  </si>
  <si>
    <t>https://www.myntra.com/bra/enamor/enamor-blue-non-wired-non-padded-full-coverage-low-impact-sports-bra-sb06/13021586/buy</t>
  </si>
  <si>
    <t>enamor blue non wired non padded full coverage low impact sports bra sb06</t>
  </si>
  <si>
    <t>https://www.myntra.com/dresses/jaipur-kurti/jaipur-kurti-sea-green-embroidered-fit-and-flare-pure-cotton-dress-with-tie-up-detail/11394178/buy</t>
  </si>
  <si>
    <t>jaipur kurti sea green embroidered fit and flare pure cotton dress with tie up detail</t>
  </si>
  <si>
    <t>https://www.myntra.com/jeans/herenow/herenow-women-blue-skinny-fit-high-rise-clean-look-stretchable-jeans/13103794/buy</t>
  </si>
  <si>
    <t>herenow women blue skinny fit high rise clean look stretchable jeans</t>
  </si>
  <si>
    <t>https://www.myntra.com/tshirts/roadster/roadster-women-mustard-yellow--blue-pack-of-2-typography-print-round-neck-t-shirts/17383540/buy</t>
  </si>
  <si>
    <t>roadster women mustard yellow  blue pack of 2 typography print round neck t shirts</t>
  </si>
  <si>
    <t>https://www.myntra.com/track-pants/mast--harbour/mast--harbour-women-blue-solid-cropped-joggers/13392056/buy</t>
  </si>
  <si>
    <t>mast  harbour women blue solid cropped joggers</t>
  </si>
  <si>
    <t>https://www.myntra.com/dresses/uf/uf-maroon-butterfly-applique-detail-a-line-dress/12160328/buy</t>
  </si>
  <si>
    <t>uf maroon butterfly applique detail a line dress</t>
  </si>
  <si>
    <t>https://www.myntra.com/tops/sangria/sangria-white-floral-pure-cotton-top/9370681/buy</t>
  </si>
  <si>
    <t>sangria white floral pure cotton top</t>
  </si>
  <si>
    <t>https://www.myntra.com/kurtas/yufta/yufta-women-pink--white-leheriya-print-straight-kurta/10360535/buy</t>
  </si>
  <si>
    <t>Yufta</t>
  </si>
  <si>
    <t>yufta women pink  white leheriya print straight kurta</t>
  </si>
  <si>
    <t>https://www.myntra.com/bra/zivame/zivame-pink-solid-underwired-non-padded-everyday-bra-zi0101m0xlzpink/4369962/buy</t>
  </si>
  <si>
    <t>zivame pink solid underwired non padded everyday bra zi0101m0xlzpink</t>
  </si>
  <si>
    <t>34DD, 34E, 36D, 36DD, 36E, 38D, 38DD, 38E, 40C, 40D, 40DD, 42C, 42D, 42DD</t>
  </si>
  <si>
    <t>https://www.myntra.com/trousers/jaipur-kurti/jaipur-kurti-women-red-regular-cropped-trousers/11053934/buy</t>
  </si>
  <si>
    <t>jaipur kurti women red regular cropped trousers</t>
  </si>
  <si>
    <t>46% OFF</t>
  </si>
  <si>
    <t>https://www.myntra.com/tops/scorpius/scorpius-women-pack-of-2-solid-tops/9340649/buy</t>
  </si>
  <si>
    <t>scorpius women pack of 2 solid tops</t>
  </si>
  <si>
    <t>https://www.myntra.com/tops/scorpius/scorpious-women-pack-of-two-tops/9339651/buy</t>
  </si>
  <si>
    <t>https://www.myntra.com/shirts/highlander/highlander-men-white--black-slim-fit-striped-casual-shirt/12340822/buy</t>
  </si>
  <si>
    <t>highlander men white  black slim fit striped casual shirt</t>
  </si>
  <si>
    <t>https://www.myntra.com/jackets/roadster/roadster-men-navy-blue-solid-bomber/1901439/buy</t>
  </si>
  <si>
    <t>roadster men navy blue solid bomber</t>
  </si>
  <si>
    <t>https://www.myntra.com/kurtas/anouk/anouk-women-black--multicoloured-printed-straight-kurta/12135250/buy</t>
  </si>
  <si>
    <t>anouk women black  multicoloured printed straight kurta</t>
  </si>
  <si>
    <t>https://www.myntra.com/kurtas/ishin/ishin-women-pink--white-printed-straight-kurta/11740792/buy</t>
  </si>
  <si>
    <t>ishin women pink  white printed straight kurta</t>
  </si>
  <si>
    <t>https://www.myntra.com/bra/clovia/clovia-pink-solid-non-wired-non-padded-t-shirt-bra-br0638m2232b/11387330/buy</t>
  </si>
  <si>
    <t>clovia pink solid non wired non padded t shirt bra br0638m2232b</t>
  </si>
  <si>
    <t>32B, 32C, 32D, 34B, 34C, 34D, 36B, 36C, 36D, 38B, 38C, 40B, 40C</t>
  </si>
  <si>
    <t>https://www.myntra.com/tops/herenow/herenow-white-striped-shirt-style-top/12051490/buy</t>
  </si>
  <si>
    <t>herenow white striped shirt style top</t>
  </si>
  <si>
    <t>https://www.myntra.com/track-pants/tokyo-talkies/tokyo-talkies-women-white-solid-slim-fit-track-pants/14695616/buy</t>
  </si>
  <si>
    <t>tokyo talkies women white solid slim fit track pants</t>
  </si>
  <si>
    <t>https://www.myntra.com/sweatshirts/belle-fille/belle-fille-grey-polyester-fleece-hooded-sweatshirt/596480/buy</t>
  </si>
  <si>
    <t>belle fille grey polyester fleece hooded sweatshirt</t>
  </si>
  <si>
    <t>https://www.myntra.com/jeans/roadster/roadster-women-blue-skinny-fit-high-rise-clean-look-stretchable-jeans/8810395/buy</t>
  </si>
  <si>
    <t>roadster women blue skinny fit high rise clean look stretchable jeans</t>
  </si>
  <si>
    <t>https://www.myntra.com/jeans/roadster/roadster-men-blue-super-skinny-fit-mid-rise-low-distress-stretchable-jeans/10064473/buy</t>
  </si>
  <si>
    <t>roadster men blue super skinny fit mid rise low distress stretchable jeans</t>
  </si>
  <si>
    <t>https://www.myntra.com/dresses/sangria/sangria-multicoloured-ethnic-motifs-printed-cotton-a-line-dress/8420413/buy</t>
  </si>
  <si>
    <t>sangria multicoloured ethnic motifs printed cotton a line dress</t>
  </si>
  <si>
    <t>https://www.myntra.com/tshirts/roadster/roadster-women-pack-of-2-solid-cotton-t-shirt/17382018/buy</t>
  </si>
  <si>
    <t>roadster women pack of 2 solid cotton t shirt</t>
  </si>
  <si>
    <t>https://www.myntra.com/dresses/her-by-invictus/her-by-invictus-blue-self-design-sweater-dress/7383105/buy</t>
  </si>
  <si>
    <t>her by invictus blue self design sweater dress</t>
  </si>
  <si>
    <t>https://www.myntra.com/tshirts/hrx-by-hrithik-roshan/hrx-by-hrithik-roshan-men-white-printed-rapid-dry-lightweight-running-t-shirt/10167957/buy</t>
  </si>
  <si>
    <t>hrx by hrithik roshan men white printed rapid dry lightweight running t shirt</t>
  </si>
  <si>
    <t>https://www.myntra.com/tshirts/roadster/roadster-men-charcoal-grey-solid-polo-collar-t-shirt/10424632/buy</t>
  </si>
  <si>
    <t>roadster men charcoal grey solid polo collar t shirt</t>
  </si>
  <si>
    <t>https://www.myntra.com/shirts/roadster/roadster-men-teal-blue--white-conversational-printed-pure-cotton-sustainable-casual-shirt/10944780/buy</t>
  </si>
  <si>
    <t>roadster men teal blue  white conversational printed pure cotton sustainable casual shirt</t>
  </si>
  <si>
    <t>https://www.myntra.com/shirts/roadster/roadster-men-olive-green--black-regular-fit-printed-casual-sustainable-shirt/11326642/buy</t>
  </si>
  <si>
    <t>roadster men olive green  black regular fit printed casual sustainable shirt</t>
  </si>
  <si>
    <t>https://www.myntra.com/shirts/roadster/roadster-men-white--black-printed-sustainable-casual-shirt/11895986/buy</t>
  </si>
  <si>
    <t>roadster men white  black printed sustainable casual shirt</t>
  </si>
  <si>
    <t>https://www.myntra.com/jackets/roadster/roadster-men-blue-solid-denim-jacket/6411301/buy</t>
  </si>
  <si>
    <t>https://www.myntra.com/jeans/roadster/roadster-women-black-super-skinny-fit-high-rise-clean-look-stretchable-jeans/11541584/buy</t>
  </si>
  <si>
    <t>roadster women black super skinny fit high rise clean look stretchable jeans</t>
  </si>
  <si>
    <t>https://www.myntra.com/dresses/taavi/taavi-blue-woven-legacy-a-line-midi-off-shoulder-sustainable-pure-cotton-dress-with-shoulder-straps/7032949/buy</t>
  </si>
  <si>
    <t>taavi blue woven legacy a line midi off shoulder sustainable pure cotton dress with shoulder straps</t>
  </si>
  <si>
    <t>https://www.myntra.com/shirts/hm/hm-women-white-oversized-cotton-shirt/15198496/buy</t>
  </si>
  <si>
    <t>hm women white oversized cotton shirt</t>
  </si>
  <si>
    <t>https://www.myntra.com/shorts/hrx-by-hrithik-roshan/hrx-by-hrithik-roshan-men-white-solid-regular-fit-sports-shorts/4046660/buy</t>
  </si>
  <si>
    <t>hrx by hrithik roshan men white solid regular fit sports shorts</t>
  </si>
  <si>
    <t>https://www.myntra.com/kurtas/house-of-pataudi/house-of-pataudi-men-white--grey-printed-straight-kurta/7441172/buy</t>
  </si>
  <si>
    <t>house of pataudi men white  grey printed straight kurta</t>
  </si>
  <si>
    <t>https://www.myntra.com/kurta-sets/ahika/ahika-women-green-kurta-with-trousers--with-dupatta/16600894/buy</t>
  </si>
  <si>
    <t>ahika women green kurta with trousers  with dupatta</t>
  </si>
  <si>
    <t>74% OFF</t>
  </si>
  <si>
    <t>https://www.myntra.com/kurta-sets/varanga/varanga-women-magenta--golden-yoke-design-kurta-with-trousers/13932430/buy</t>
  </si>
  <si>
    <t>varanga women magenta  golden yoke design kurta with trousers</t>
  </si>
  <si>
    <t>https://www.myntra.com/shapewear/zivame/zivame-women-black-saree-shapewear-zi3023coreblack/2453120/buy</t>
  </si>
  <si>
    <t>zivame women black saree shapewear zi3023coreblack</t>
  </si>
  <si>
    <t>https://www.myntra.com/kurtas/herenow/herenow-women-pink-printed-straight-kurta/13384820/buy</t>
  </si>
  <si>
    <t>herenow women pink printed straight kurta</t>
  </si>
  <si>
    <t>https://www.myntra.com/tshirts/herenow/herenow-men-maroon-solid-cotton-polo-collar-pure-cotton-t-shirt/12817390/buy</t>
  </si>
  <si>
    <t>herenow men maroon solid cotton polo collar pure cotton t shirt</t>
  </si>
  <si>
    <t>https://www.myntra.com/sarees/varkala-silk-sarees/varkala-silk-sarees-yellow--teal-green-silk-cotton-solid-banarasi-saree/9435023/buy</t>
  </si>
  <si>
    <t>Varkala Silk Sarees</t>
  </si>
  <si>
    <t>varkala silk sarees yellow  teal green silk cotton solid banarasi saree</t>
  </si>
  <si>
    <t>https://www.myntra.com/dresses/vishudh/vishudh-women-red-and-white-printed-a-line-dress-with-jacket/7286685/buy</t>
  </si>
  <si>
    <t>vishudh women red and white printed a line dress with jacket</t>
  </si>
  <si>
    <t>https://www.myntra.com/shirts/tokyo-talkies/tokyo-talkies-women-maroon-regular-fit-checked-casual-shirt/10145883/buy</t>
  </si>
  <si>
    <t>tokyo talkies women maroon regular fit checked casual shirt</t>
  </si>
  <si>
    <t>https://www.myntra.com/shirts/roadster/roadster-women-mauve-solid-pure-cotton-shirt-with-lace-inserts/13398668/buy</t>
  </si>
  <si>
    <t>roadster women mauve solid pure cotton shirt with lace inserts</t>
  </si>
  <si>
    <t>https://www.myntra.com/tops/roadster/roadster-women-charcoal-grey-solid-top/11987136/buy</t>
  </si>
  <si>
    <t>roadster women charcoal grey solid top</t>
  </si>
  <si>
    <t>https://www.myntra.com/shirts/highlander/highlander-men-white--navy-blue-slim-fit-printed-casual-shirt/11889112/buy</t>
  </si>
  <si>
    <t>https://www.myntra.com/shirts/roadster/roadster-men-navy-blue--green-regular-fit-checked-casual-sustainable-shirt/2284517/buy</t>
  </si>
  <si>
    <t>roadster men navy blue  green regular fit checked casual sustainable shirt</t>
  </si>
  <si>
    <t>https://www.myntra.com/tshirts/maniac/maniac-men-red-printed-round-neck-pure-cotton-t-shirt/9718625/buy</t>
  </si>
  <si>
    <t>maniac men red printed round neck pure cotton t shirt</t>
  </si>
  <si>
    <t>https://www.myntra.com/kurtas/kalini/kalini-women-white-dyed-anarkali-kurta/17241820/buy</t>
  </si>
  <si>
    <t>kalini women white dyed anarkali kurta</t>
  </si>
  <si>
    <t>https://www.myntra.com/sarees/saree-mall/saree-mall-pink--orange-checked-saree/11330220/buy</t>
  </si>
  <si>
    <t>saree mall pink  orange checked saree</t>
  </si>
  <si>
    <t>https://www.myntra.com/kurta-sets/kalini/kalini-women-teal-yoke-design-kurta-with-palazzos--with-dupatta/16836356/buy</t>
  </si>
  <si>
    <t>kalini women teal yoke design kurta with palazzos  with dupatta</t>
  </si>
  <si>
    <t>https://www.myntra.com/track-pants/genius18/genius18-women-black-solid-classic-regular-fit-joggers/10252617/buy</t>
  </si>
  <si>
    <t>Genius18</t>
  </si>
  <si>
    <t>genius18 women black solid classic regular fit joggers</t>
  </si>
  <si>
    <t>https://www.myntra.com/tops/athena/athena-black-v-neck-bardot-top/12031392/buy</t>
  </si>
  <si>
    <t>athena black v neck bardot top</t>
  </si>
  <si>
    <t>https://www.myntra.com/tshirts/mast--harbour/mast--harbour-women-pack-of-2-cotton-t-shirts/17524586/buy</t>
  </si>
  <si>
    <t>https://www.myntra.com/tshirts/roadster/roadster-women-pack-of-2-cotton-t-shirts/17382704/buy</t>
  </si>
  <si>
    <t>https://www.myntra.com/tops/scorpius/scorpius-women-pack-of-2-solid-tops/9340751/buy</t>
  </si>
  <si>
    <t>https://www.myntra.com/shorts/wisstler/wisstler-women-black-printed-regular-fit-regular-shorts/7030403/buy</t>
  </si>
  <si>
    <t>wisstler women black printed regular fit regular shorts</t>
  </si>
  <si>
    <t>https://www.myntra.com/jeans/wrogn/wrogn-men-black-skinny-fit-mid-rise-clean-look-stretchable-jeans/11358942/buy</t>
  </si>
  <si>
    <t>wrogn men black skinny fit mid rise clean look stretchable jeans</t>
  </si>
  <si>
    <t>https://www.myntra.com/shorts/hrx-by-hrithik-roshan/hrx-by-hrithik-roshan-men-grey-melange-solid-sports-shorts/2073259/buy</t>
  </si>
  <si>
    <t>hrx by hrithik roshan men grey melange solid sports shorts</t>
  </si>
  <si>
    <t>https://www.myntra.com/innerwear-vests/levis/levis-men-black-self-striped-pure-cotton--innerwear-vests-014-vest/12032828/buy</t>
  </si>
  <si>
    <t>levis men black self striped pure cotton  innerwear vests 014 vest</t>
  </si>
  <si>
    <t>https://www.myntra.com/tshirts/herenow/herenow-men-mustard-yellow-printed-round-neck-pure-cotton-t-shirt/12817374/buy</t>
  </si>
  <si>
    <t>https://www.myntra.com/dresses/vishudh/vishudh-black--white-checked-shirt-dress-with-belt/10222645/buy</t>
  </si>
  <si>
    <t>vishudh black  white checked shirt dress with belt</t>
  </si>
  <si>
    <t>https://www.myntra.com/kurta-sets/jaipur-kurti/jaipur-kurti-women-green--golden-yoke-design-handloom-kurta-with-trousers--dupatta/10317815/buy</t>
  </si>
  <si>
    <t>jaipur kurti women green  golden yoke design handloom kurta with trousers  dupatta</t>
  </si>
  <si>
    <t>https://www.myntra.com/thermal-tops/kanvin/kanvin-balck-thermal-top/1605549/buy</t>
  </si>
  <si>
    <t>Kanvin</t>
  </si>
  <si>
    <t>thermal-tops</t>
  </si>
  <si>
    <t>kanvin balck thermal top</t>
  </si>
  <si>
    <t>https://www.myntra.com/jeans/herenow/herenow-women-navy-blue-bootcut-fit-stretchable-jeans/14275634/buy</t>
  </si>
  <si>
    <t>herenow women navy blue bootcut fit stretchable jeans</t>
  </si>
  <si>
    <t>https://www.myntra.com/tshirts/roadster/-roadster-women-pack-of-2-cotton-t-shirts/17382676/buy</t>
  </si>
  <si>
    <t>https://www.myntra.com/trousers/rare/rare-women-black-parallel-trousers/6012538/buy</t>
  </si>
  <si>
    <t>rare women black parallel trousers</t>
  </si>
  <si>
    <t>https://www.myntra.com/jeans/tokyo-talkies/tokyo-talkies-women-black-slim-fit-high-rise-clean-look-jeans/13133134/buy</t>
  </si>
  <si>
    <t>tokyo talkies women black slim fit high rise clean look jeans</t>
  </si>
  <si>
    <t>https://www.myntra.com/track-pants/hrx-by-hrithik-roshan/hrx-active-by-hrithik-roshan-men-grey-solid-joggers/5293752/buy</t>
  </si>
  <si>
    <t>hrx active by hrithik roshan men grey solid joggers</t>
  </si>
  <si>
    <t>https://www.myntra.com/sweatshirts/roadster/roadster-men-navy-blue-solid-sweatshirt/1959445/buy</t>
  </si>
  <si>
    <t>roadster men navy blue solid sweatshirt</t>
  </si>
  <si>
    <t>https://www.myntra.com/kurtas/anouk/anouk-women-blue-embroidered-sequins-kurta/13902668/buy</t>
  </si>
  <si>
    <t>anouk women blue embroidered sequins kurta</t>
  </si>
  <si>
    <t>https://www.myntra.com/kurta-sets/varanga/varanga-women-grey-floral-regular-kurta-with-trousers--with-dupatta/11412398/buy</t>
  </si>
  <si>
    <t>varanga women grey floral regular kurta with trousers  with dupatta</t>
  </si>
  <si>
    <t>https://www.myntra.com/sarees/inddus/inddus-red--gold-toned-net-embroidered-saree/12631360/buy</t>
  </si>
  <si>
    <t>inddus red  gold toned net embroidered saree</t>
  </si>
  <si>
    <t>https://www.myntra.com/tops/scorpius/scorpious-women-pack-of-shrug--top/9338305/buy</t>
  </si>
  <si>
    <t>scorpious women pack of shrug  top</t>
  </si>
  <si>
    <t>https://www.myntra.com/tops/roadster/roadster-women-black-solid-styled-back-top/11955218/buy</t>
  </si>
  <si>
    <t>roadster women black solid styled back top</t>
  </si>
  <si>
    <t>https://www.myntra.com/tshirts/moda-rapido/moda-rapido-men-black-solid-longline-t-shirt/2221353/buy</t>
  </si>
  <si>
    <t>moda rapido men black solid longline t shirt</t>
  </si>
  <si>
    <t>https://www.myntra.com/tshirts/roadster/roadster-men-black-solid-round-neck-t-shirt/11632488/buy</t>
  </si>
  <si>
    <t>roadster men black solid round neck t shirt</t>
  </si>
  <si>
    <t>https://www.myntra.com/dresses/shae-by-sassafras/shae-by-sassafras-women-white--navy-blue-printed-fit--flare-dress/11349786/buy</t>
  </si>
  <si>
    <t>shae by sassafras women white  navy blue printed fit  flare dress</t>
  </si>
  <si>
    <t>https://www.myntra.com/dresses/dressberry/dressberry-women-navy-blue--maroon-striped-a-line-midi-dress/10463802/buy</t>
  </si>
  <si>
    <t>dressberry women navy blue  maroon striped a line midi dress</t>
  </si>
  <si>
    <t>https://www.myntra.com/trousers/mast--harbour/mast--harbour-men-beige-slim-fit-chinos/4110852/buy</t>
  </si>
  <si>
    <t>mast  harbour men beige slim fit chinos</t>
  </si>
  <si>
    <t>https://www.myntra.com/track-pants/herenow/herenow-men-black-solid-regular-fit-joggers/12473186/buy</t>
  </si>
  <si>
    <t>herenow men black solid regular fit joggers</t>
  </si>
  <si>
    <t>https://www.myntra.com/jeans/roadster/roadster-men-blue-skinny-fit-mid-rise-clean-look-stretchable-jeans/11274620/buy</t>
  </si>
  <si>
    <t>https://www.myntra.com/jeans/roadster/roadster-men-blue-slim-fit-mid-rise-clean-look-jeans/2524998/buy</t>
  </si>
  <si>
    <t>roadster men blue slim fit mid rise clean look jeans</t>
  </si>
  <si>
    <t>https://www.myntra.com/kurtas/see-designs/see-designs-men-blue--white-woven-design-straight-kurta/12408958/buy</t>
  </si>
  <si>
    <t>see designs men blue  white woven design straight kurta</t>
  </si>
  <si>
    <t>https://www.myntra.com/shirts/locomotive/locomotive-men-black--off-white-slim-fit-printed-casual-shirt/13684206/buy</t>
  </si>
  <si>
    <t>locomotive men black  off white slim fit printed casual shirt</t>
  </si>
  <si>
    <t>https://www.myntra.com/shirts/mast--harbour/mast--harbour-men-rust-pink-regular-fit-solid-casual--linen-cotton-sustainable-shirt/11369802/buy</t>
  </si>
  <si>
    <t>mast  harbour men rust pink regular fit solid casual  linen cotton sustainable shirt</t>
  </si>
  <si>
    <t>https://www.myntra.com/kurtas/sangria/sangria-women-green--silver-printed-a-line-kurta/10561502/buy</t>
  </si>
  <si>
    <t>sangria women green  silver printed a line kurta</t>
  </si>
  <si>
    <t>https://www.myntra.com/tops/scorpius/scorpius-women-pack-of-2-tops/9340203/buy</t>
  </si>
  <si>
    <t>scorpius women pack of 2 tops</t>
  </si>
  <si>
    <t>https://www.myntra.com/tshirts/roadster/roadster-women-khaki-solid-round-neck-t-shirt/12193070/buy</t>
  </si>
  <si>
    <t>roadster women khaki solid round neck t shirt</t>
  </si>
  <si>
    <t>https://www.myntra.com/tshirts/mast--harbour/mast--harbour-women-blue-striped-round-neck-t-shirt/11711886/buy</t>
  </si>
  <si>
    <t>mast  harbour women blue striped round neck t shirt</t>
  </si>
  <si>
    <t>https://www.myntra.com/tshirts/locomotive/locomotive-men-navy-blue--sea-green-colourblocked-polo-collar-t-shirt/10285765/buy</t>
  </si>
  <si>
    <t>locomotive men navy blue  sea green colourblocked polo collar t shirt</t>
  </si>
  <si>
    <t>https://www.myntra.com/shirts/roadster/roadster-men-navy-blue--grey-micro-check-casual-sustainable-shirt/8889625/buy</t>
  </si>
  <si>
    <t>roadster men navy blue  grey micro check casual sustainable shirt</t>
  </si>
  <si>
    <t>https://www.myntra.com/sweatshirts/kook-n-keech/kook-n-keech-men-navy-blue--white-colourblocked-hooded-sweatshirt/2118949/buy</t>
  </si>
  <si>
    <t>kook n keech men navy blue  white colourblocked hooded sweatshirt</t>
  </si>
  <si>
    <t>https://www.myntra.com/tops/scorpius/scorpious-women-pack-of-two-pure-cotton-tops/9339647/buy</t>
  </si>
  <si>
    <t>scorpious women pack of two pure cotton tops</t>
  </si>
  <si>
    <t>https://www.myntra.com/trousers/herenow/herenow-men-blue-slim-fit-chinos/9089095/buy</t>
  </si>
  <si>
    <t>herenow men blue slim fit chinos</t>
  </si>
  <si>
    <t>https://www.myntra.com/shorts/wrogn/wrogn-men-black-solid-regular-fit-shorts/8684729/buy</t>
  </si>
  <si>
    <t>wrogn men black solid regular fit shorts</t>
  </si>
  <si>
    <t>https://www.myntra.com/shirts/roadster/roadster-men-navy-blue-printed-sustainable-casual-shirt/10740956/buy</t>
  </si>
  <si>
    <t>roadster men navy blue printed sustainable casual shirt</t>
  </si>
  <si>
    <t>https://www.myntra.com/kurtas/sangria/sangria-women-blue--golden-ethnic-print-cotton-straight-kurta/13437276/buy</t>
  </si>
  <si>
    <t>sangria women blue  golden ethnic print cotton straight kurta</t>
  </si>
  <si>
    <t>https://www.myntra.com/night-suits/etc/etc-women-black--white-floral-printed-night-suit/12441828/buy</t>
  </si>
  <si>
    <t>etc women black  white floral printed night suit</t>
  </si>
  <si>
    <t>https://www.myntra.com/bra/amante/amante-nude-coloured-solid-non-wired-lightly-padded-t-shirt-bra10606/2013337/buy</t>
  </si>
  <si>
    <t>amante nude coloured solid non wired lightly padded t shirt bra10606</t>
  </si>
  <si>
    <t>https://www.myntra.com/kurtas/herenow/herenow-women-green-solid-straight-kurta/12050642/buy</t>
  </si>
  <si>
    <t>https://www.myntra.com/tshirts/roadster/roadster-women-pack-of-2-solid-t-shirts/17381452/buy</t>
  </si>
  <si>
    <t>https://www.myntra.com/jeans/roadster/roadster-men-blue-skinny-fit-mid-rise-clean-look-stretchable-jeans/10671362/buy</t>
  </si>
  <si>
    <t>https://www.myntra.com/track-pants/maniac/maniac-men-black-solid-slim-fit-joggers/9436559/buy</t>
  </si>
  <si>
    <t>https://www.myntra.com/sweatshirts/hrx-by-hrithik-roshan/hrx-by-hrithik-roshan-outdoor-men-olive-green-solid-fleece-sweatshirt/9965811/buy</t>
  </si>
  <si>
    <t>hrx by hrithik roshan outdoor men olive green solid fleece sweatshirt</t>
  </si>
  <si>
    <t>https://www.myntra.com/shirts/roadster/roadster-men-red--navy-blue-checked-casual-pure-cotton-reversible-sustainable-shirt/11896322/buy</t>
  </si>
  <si>
    <t>roadster men red  navy blue checked casual pure cotton reversible sustainable shirt</t>
  </si>
  <si>
    <t>https://www.myntra.com/tights/hrx-by-hrithik-roshan/hrx-by-hrithik-roshan-women-black-solid-rapid-dry-tights/2306124/buy</t>
  </si>
  <si>
    <t>hrx by hrithik roshan women black solid rapid dry tights</t>
  </si>
  <si>
    <t>https://www.myntra.com/jeans/roadster/the-roadster-lifestyle-co-women-blue-super-skinny-fit-high-rise-clean-look-stretchable-jeans/11118554/buy</t>
  </si>
  <si>
    <t>the roadster lifestyle co women blue super skinny fit high rise clean look stretchable jeans</t>
  </si>
  <si>
    <t>https://www.myntra.com/tops/scorpius/scorpius-women-pack-of-2-solid-tops/9339903/buy</t>
  </si>
  <si>
    <t>https://www.myntra.com/dresses/tokyo-talkies/tokyo-talkies-women-rust-floral-print-maxi-dress/10085971/buy</t>
  </si>
  <si>
    <t>tokyo talkies women rust floral print maxi dress</t>
  </si>
  <si>
    <t>https://www.myntra.com/dresses/miss-chase/miss-chase-maroon-fringed-maxi-dress/8584061/buy</t>
  </si>
  <si>
    <t>miss chase maroon fringed maxi dress</t>
  </si>
  <si>
    <t>https://www.myntra.com/track-pants/hrx-by-hrithik-roshan/hrx-by-hrithik-roshan-men-grey-melange-solid-slim-fit-jogger-lifestyle-track-pants/8897777/buy</t>
  </si>
  <si>
    <t>hrx by hrithik roshan men grey melange solid slim fit jogger lifestyle track pants</t>
  </si>
  <si>
    <t>https://www.myntra.com/track-pants/highlander/highlander-men-green-solid-slim-fit-track-pants/14121284/buy</t>
  </si>
  <si>
    <t>highlander men green solid slim fit track pants</t>
  </si>
  <si>
    <t>https://www.myntra.com/tshirts/hrx-by-hrithik-roshan/hrx-by-hrithik-roshan-men-blue-solid-round-neck-rapid-dry-t-shirt/1709446/buy</t>
  </si>
  <si>
    <t>hrx by hrithik roshan men blue solid round neck rapid dry t shirt</t>
  </si>
  <si>
    <t>https://www.myntra.com/shirts/highlander/highlander-men-navy-blue--white-slim-fit-striped-casual-shirt/8237313/buy</t>
  </si>
  <si>
    <t>highlander men navy blue  white slim fit striped casual shirt</t>
  </si>
  <si>
    <t>https://www.myntra.com/kurta-sets/ahika/ahika-women-teal-ethnic-motifs-yoke-design-kurta-with-trousers--with-dupatta/16600750/buy</t>
  </si>
  <si>
    <t>ahika women teal ethnic motifs yoke design kurta with trousers  with dupatta</t>
  </si>
  <si>
    <t>https://www.myntra.com/dresses/dressberry/dressberry-blue-chambray-a-line-dress/2354860/buy</t>
  </si>
  <si>
    <t>dressberry blue chambray a line dress</t>
  </si>
  <si>
    <t>https://www.myntra.com/jeans/miss-chase/miss-chase-women-black-skinny-fit-high-rise-clean-look-jeans/10075727/buy</t>
  </si>
  <si>
    <t>miss chase women black skinny fit high rise clean look jeans</t>
  </si>
  <si>
    <t>https://www.myntra.com/track-pants/harvard/harvard-women-charcoal-grey-solid-cropped-track-pants/12671256/buy</t>
  </si>
  <si>
    <t>harvard women charcoal grey solid cropped track pants</t>
  </si>
  <si>
    <t>https://www.myntra.com/trousers/roadster/roadster-men-olive-green-slim-fit-pure-cotton-sustainable-chinos/2119006/buy</t>
  </si>
  <si>
    <t>roadster men olive green slim fit pure cotton sustainable chinos</t>
  </si>
  <si>
    <t>https://www.myntra.com/shirts/roadster/roadster-men-black--green-regular-fit-checked-casual-sustainable-shirt/11008588/buy</t>
  </si>
  <si>
    <t>roadster men black  green regular fit checked casual sustainable shirt</t>
  </si>
  <si>
    <t>https://www.myntra.com/shirts/wrogn/wrogn-men-burgundy--black-slim-fit-checked-casual-shirt/10410142/buy</t>
  </si>
  <si>
    <t>wrogn men burgundy  black slim fit checked casual shirt</t>
  </si>
  <si>
    <t>https://www.myntra.com/tshirts/wrogn/wrogn-men-mustard-yellow-printed-slim-fit-round-neck-pure-cotton-t-shirt/8426385/buy</t>
  </si>
  <si>
    <t>wrogn men mustard yellow printed slim fit round neck pure cotton t shirt</t>
  </si>
  <si>
    <t>https://www.myntra.com/tshirts/mast--harbour/mast--harbour-women-pack-of-2-pure-cotton-tshirts/17523506/buy</t>
  </si>
  <si>
    <t>mast  harbour women pack of 2 pure cotton tshirts</t>
  </si>
  <si>
    <t>https://www.myntra.com/dresses/mast--harbour/mast--harbour-blue--white-accordion-pleated-floral-printed-wrap-dress/11144064/buy</t>
  </si>
  <si>
    <t>mast  harbour blue  white accordion pleated floral printed wrap dress</t>
  </si>
  <si>
    <t>https://www.myntra.com/tops/popnetic/popnetic-women-black-printed-top/5831458/buy</t>
  </si>
  <si>
    <t>Popnetic</t>
  </si>
  <si>
    <t>popnetic women black printed top</t>
  </si>
  <si>
    <t>https://www.myntra.com/jeans/mast--harbour/mast--harbour-men-blue-slim-tapered-fit-mid-rise-clean-look-stretchable-jeans/7330638/buy</t>
  </si>
  <si>
    <t>mast  harbour men blue slim tapered fit mid rise clean look stretchable jeans</t>
  </si>
  <si>
    <t>https://www.myntra.com/tops/azira/azira-navy-blue--maroon-ethnic-motifs-pleated-empire-pure-cotton-top/9658889/buy</t>
  </si>
  <si>
    <t>azira navy blue  maroon ethnic motifs pleated empire pure cotton top</t>
  </si>
  <si>
    <t>https://www.myntra.com/dresses/pluss/pluss-navy-blue--mustard-yellow-geometric-printed-a-line-dress/12150564/buy</t>
  </si>
  <si>
    <t>pluss navy blue  mustard yellow geometric printed a line dress</t>
  </si>
  <si>
    <t>https://www.myntra.com/track-pants/tokyo-talkies/tokyo-talkies-women-brown-solid-slim-fit-track-pants/14175760/buy</t>
  </si>
  <si>
    <t>https://www.myntra.com/tops/roadster/roadster-rust-orange-v-neck-top-with-cut-outs/11296160/buy</t>
  </si>
  <si>
    <t>roadster rust orange v neck top with cut outs</t>
  </si>
  <si>
    <t>https://www.myntra.com/shirts/roadster/roadster-men-navy-blue--beige-regular-fit-checked-sustainable-casual-shirt/11896312/buy</t>
  </si>
  <si>
    <t>roadster men navy blue  beige regular fit checked sustainable casual shirt</t>
  </si>
  <si>
    <t>https://www.myntra.com/kurta-sets/anouk/anouk-women-black-printed-kurta-with-trousers/12134668/buy</t>
  </si>
  <si>
    <t>anouk women black printed kurta with trousers</t>
  </si>
  <si>
    <t>https://www.myntra.com/tops/pluss/pluss-women-coral-pink--black-printed-top/9657057/buy</t>
  </si>
  <si>
    <t>pluss women coral pink  black printed top</t>
  </si>
  <si>
    <t>https://www.myntra.com/tights/hrx-by-hrithik-roshan/hrx-by-hrithik-roshan-women-purple-printed-tights/2488712/buy</t>
  </si>
  <si>
    <t>hrx by hrithik roshan women purple printed tights</t>
  </si>
  <si>
    <t>https://www.myntra.com/tops/scorpius/scorpius-women-pack-of-2-crop-pure-cotton-tops/9340125/buy</t>
  </si>
  <si>
    <t>scorpius women pack of 2 crop pure cotton tops</t>
  </si>
  <si>
    <t>https://www.myntra.com/jeans/levis/levis-men-blue-512-slim-tapered-fit-light-fade-stretchable-jeans/15038458/buy</t>
  </si>
  <si>
    <t>levis men blue 512 slim tapered fit light fade stretchable jeans</t>
  </si>
  <si>
    <t>28, 30, 32, 34, 36, 38, 40, 42</t>
  </si>
  <si>
    <t>https://www.myntra.com/jeans/roadster/roadster-men-blue-slim-fit-mid-rise-low-distress-stretchable-lycra-fiber-jeans/10064553/buy</t>
  </si>
  <si>
    <t>roadster men blue slim fit mid rise low distress stretchable lycra fiber jeans</t>
  </si>
  <si>
    <t>https://www.myntra.com/jeans/highlander/highlander-men-grey-jogger-mid-rise-clean-look-stretchable-jeans/4322602/buy</t>
  </si>
  <si>
    <t>highlander men grey jogger mid rise clean look stretchable jeans</t>
  </si>
  <si>
    <t>https://www.myntra.com/jeans/roadster/roadster-men-navy-blue-slim-fit-mid-rise-clean-look-stretchable-jeans/12303648/buy</t>
  </si>
  <si>
    <t>roadster men navy blue slim fit mid rise clean look stretchable jeans</t>
  </si>
  <si>
    <t>https://www.myntra.com/track-pants/locomotive/locomotive-men-black--white-solid-straight-fit-track-pants/13684208/buy</t>
  </si>
  <si>
    <t>locomotive men black  white solid straight fit track pants</t>
  </si>
  <si>
    <t>https://www.myntra.com/sweatshirts/ether/ether-men-black--white-contrast-panel-sweatshirt/6533849/buy</t>
  </si>
  <si>
    <t>ether men black  white contrast panel sweatshirt</t>
  </si>
  <si>
    <t>https://www.myntra.com/tshirts/roadster/the-roadster-lifestyle-co-women-black-polo-collar-t-shirt/10970128/buy</t>
  </si>
  <si>
    <t>the roadster lifestyle co women black polo collar t shirt</t>
  </si>
  <si>
    <t>https://www.myntra.com/tshirts/roadster/roadster-women-black--maroon-pack-of-2-typography-print-round-neck-regular-fit-t-shirts/17382972/buy</t>
  </si>
  <si>
    <t>https://www.myntra.com/jeans/wrogn/wrogn-men-black-skinny-fit-mid-rise-clean-look-stretchable-jeans/6832409/buy</t>
  </si>
  <si>
    <t>https://www.myntra.com/jeans/highlander/highlander-men-blue--black-tapered-fit-mid-rise-highly-distressed-jeans/10874694/buy</t>
  </si>
  <si>
    <t>highlander men blue  black tapered fit mid rise highly distressed jeans</t>
  </si>
  <si>
    <t>https://www.myntra.com/shirts/jainish/jainish-men-brown-classic-slim-fit-solid-formal-shirt/5126314/buy</t>
  </si>
  <si>
    <t>jainish men brown classic slim fit solid formal shirt</t>
  </si>
  <si>
    <t>https://www.myntra.com/bra/zivame/zivame-nude-coloured-solid-non-wired-lightly-padded-t-shirt-bra-ziz1230047mnude/2070846/buy</t>
  </si>
  <si>
    <t>zivame nude coloured solid non wired lightly padded t shirt bra ziz1230047mnude</t>
  </si>
  <si>
    <t>32B, 32C, 34B, 34C, 34D, 36B, 36C, 36D, 38B</t>
  </si>
  <si>
    <t>https://www.myntra.com/kurtas/sangria/sangria-women-maroon-embroidered-straight-kurta/9043557/buy</t>
  </si>
  <si>
    <t>sangria women maroon embroidered straight kurta</t>
  </si>
  <si>
    <t>https://www.myntra.com/jeans/wrogn/wrogn-men-blue-jogger-mid-rise-clean-look-jogger-jeans/8678037/buy</t>
  </si>
  <si>
    <t>wrogn men blue jogger mid rise clean look jogger jeans</t>
  </si>
  <si>
    <t>https://www.myntra.com/shorts/hrx-by-hrithik-roshan/hrx-by-hrithik-roshan-men-lifestyle-black-solid-regular-fit-sports-shorts/10106527/buy</t>
  </si>
  <si>
    <t>hrx by hrithik roshan men lifestyle black solid regular fit sports shorts</t>
  </si>
  <si>
    <t>https://www.myntra.com/shirts/roadster/roadster-men-grey--blue-regular-fit-checked-sustainable-casual-shirt/12947374/buy</t>
  </si>
  <si>
    <t>roadster men grey  blue regular fit checked sustainable casual shirt</t>
  </si>
  <si>
    <t>https://www.myntra.com/tshirts/wrogn/wrogn-men-red--white-printed-round-neck-t-shirt/11363844/buy</t>
  </si>
  <si>
    <t>wrogn men red  white printed round neck t shirt</t>
  </si>
  <si>
    <t>https://www.myntra.com/sarees/kalini/kalini-blue--grey-art-silk-printed-khadi-saree/14252714/buy</t>
  </si>
  <si>
    <t>kalini blue  grey art silk printed khadi saree</t>
  </si>
  <si>
    <t>81% OFF</t>
  </si>
  <si>
    <t>https://www.myntra.com/track-pants/mast--harbour/mast--harbour-women-black-solid-track-pants/12332472/buy</t>
  </si>
  <si>
    <t>mast  harbour women black solid track pants</t>
  </si>
  <si>
    <t>https://www.myntra.com/jeans/roadster/the-roadster-lifestyle-co-women-blue-skinny-fit-fit-mid-rise-clean-look-stretchable-jeans/11118406/buy</t>
  </si>
  <si>
    <t>the roadster lifestyle co women blue skinny fit fit mid rise clean look stretchable jeans</t>
  </si>
  <si>
    <t>https://www.myntra.com/tops/roadster/roadster-women-black--white-solid-a-line-pure-cotton-top/11373642/buy</t>
  </si>
  <si>
    <t>roadster women black  white solid a line pure cotton top</t>
  </si>
  <si>
    <t>https://www.myntra.com/trousers/roadster/roadster-men-white-regular-fit-solid-regular-trousers/13859128/buy</t>
  </si>
  <si>
    <t>roadster men white regular fit solid regular trousers</t>
  </si>
  <si>
    <t>https://www.myntra.com/jeans/locomotive/locomotive-men-blue-tapered-fit-mid-rise-clean-look-stretchable-jeans/8469237/buy</t>
  </si>
  <si>
    <t>locomotive men blue tapered fit mid rise clean look stretchable jeans</t>
  </si>
  <si>
    <t>https://www.myntra.com/sweatshirts/hrx-by-hrithik-roshan/hrx-by-hrithik-roshan-outdoor-men-black-solid-sweatshirt/9965829/buy</t>
  </si>
  <si>
    <t>hrx by hrithik roshan outdoor men black solid sweatshirt</t>
  </si>
  <si>
    <t>https://www.myntra.com/shirts/highlander/highlander-men-rust-orange-slim-fit-solid-casual-shirt/2948536/buy</t>
  </si>
  <si>
    <t>highlander men rust orange slim fit solid casual shirt</t>
  </si>
  <si>
    <t>https://www.myntra.com/tshirts/wrogn/wrogn-men-black-solid-slim-fit-round-neck-pure-cotton-t-shirt/10188243/buy</t>
  </si>
  <si>
    <t>wrogn men black solid slim fit round neck pure cotton t shirt</t>
  </si>
  <si>
    <t>https://www.myntra.com/shirts/mast--harbour/mast--harbour-men-olive-green-slim-fit-casual-shirt/5276346/buy</t>
  </si>
  <si>
    <t>mast  harbour men olive green slim fit casual shirt</t>
  </si>
  <si>
    <t>https://www.myntra.com/sarees/inddus/inddus-purple-solid-silk-blend-saree/10986200/buy</t>
  </si>
  <si>
    <t>inddus purple solid silk blend saree</t>
  </si>
  <si>
    <t>https://www.myntra.com/kurta-sets/libas/libas-women-white--grey-ethnic-printed-pure-cotton-kurta-with-churidar--with-dupatta/13747908/buy</t>
  </si>
  <si>
    <t>libas women white  grey ethnic printed pure cotton kurta with churidar  with dupatta</t>
  </si>
  <si>
    <t>https://www.myntra.com/bra/jockey/jockey-pink-solid-non-wired-lightly-padded-everyday-bra-1581-0105/1865942/buy</t>
  </si>
  <si>
    <t>jockey pink solid non wired lightly padded everyday bra 1581 0105</t>
  </si>
  <si>
    <t>30B, 32B, 34B</t>
  </si>
  <si>
    <t>https://www.myntra.com/tights/neu-look-fashion/neu-look-fashion-black--grey-colourblocked-gym-tights/14225126/buy</t>
  </si>
  <si>
    <t>neu look fashion black  grey colourblocked gym tights</t>
  </si>
  <si>
    <t>https://www.myntra.com/track-pants/hrx-by-hrithik-roshan/hrx-by-hrithik-roshan-women-jet-black-slim-fit-bio-wash-antimicrobial-lifestyle-jogger/12167200/buy</t>
  </si>
  <si>
    <t>hrx by hrithik roshan women jet black slim fit bio wash antimicrobial lifestyle jogger</t>
  </si>
  <si>
    <t>https://www.myntra.com/dresses/sassafras/sassafras-women-purple-solid-a-line-dress-with-gathers-/11514714/buy</t>
  </si>
  <si>
    <t xml:space="preserve">sassafras women purple solid a line dress with gathers </t>
  </si>
  <si>
    <t>https://www.myntra.com/dresses/all-about-you/all-about-you-gorgeous-green-self-design-pure-cotton-waisted-dress/13204994/buy</t>
  </si>
  <si>
    <t>all about you gorgeous green self design pure cotton waisted dress</t>
  </si>
  <si>
    <t>https://www.myntra.com/jeans/roadster/roadster-men-charcoal-grey-skinny-fit-mid-rise-acid-wash-clean-look-stretchable-jeans/11274480/buy</t>
  </si>
  <si>
    <t>roadster men charcoal grey skinny fit mid rise acid wash clean look stretchable jeans</t>
  </si>
  <si>
    <t>https://www.myntra.com/shirts/roadster/roadster-men-navy-blue--red-regular-fit-checked-sustainable-casual-shirt/10397879/buy</t>
  </si>
  <si>
    <t>roadster men navy blue  red regular fit checked sustainable casual shirt</t>
  </si>
  <si>
    <t>https://www.myntra.com/sarees/saree-mall/saree-mall-burgundy-poly-georgette-party-wear-saree-with-matching-blouse/14984838/buy</t>
  </si>
  <si>
    <t>saree mall burgundy poly georgette party wear saree with matching blouse</t>
  </si>
  <si>
    <t>https://www.myntra.com/dresses/taavi/taavi-pink--blue-striped-woven-legacy-fit--flare-sustainable-pure-cotton-dress-with-pockets/11125386/buy</t>
  </si>
  <si>
    <t>taavi pink  blue striped woven legacy fit  flare sustainable pure cotton dress with pockets</t>
  </si>
  <si>
    <t>https://www.myntra.com/jeans/tokyo-talkies/tokyo-talkies-women-white-super-skinny-fit-mid-rise-clean-look-stretchable-jeans/7557286/buy</t>
  </si>
  <si>
    <t>https://www.myntra.com/tops/scorpius/scorpious-women-pack-of-shrug-and-top/9338847/buy</t>
  </si>
  <si>
    <t>scorpious women pack of shrug and top</t>
  </si>
  <si>
    <t>https://www.myntra.com/jumpsuit/quiero/quiero-women-navy-blue--pink-floral-printed-flared-jumpsuit/7215043/buy</t>
  </si>
  <si>
    <t>quiero women navy blue  pink floral printed flared jumpsuit</t>
  </si>
  <si>
    <t>https://www.myntra.com/jeans/kook-n-keech-marvel/kook-n-keech-marvel-men-black-skinny-fit-mid-rise-highly-distressed-stretchable-jeans/10474904/buy</t>
  </si>
  <si>
    <t>kook n keech marvel men black skinny fit mid rise highly distressed stretchable jeans</t>
  </si>
  <si>
    <t>https://www.myntra.com/kurta-sets/deyann/deyann-men-navy-blue--red-solid-kurta-with-patiala/10276171/buy</t>
  </si>
  <si>
    <t>deyann men navy blue  red solid kurta with patiala</t>
  </si>
  <si>
    <t>https://www.myntra.com/tshirts/roadster/roadster-men-mustard-yellow-polo-collar-cotton-pure-cotton-t-shirt/10920072/buy</t>
  </si>
  <si>
    <t>roadster men mustard yellow polo collar cotton pure cotton t shirt</t>
  </si>
  <si>
    <t>https://www.myntra.com/shirts/roadster/roadster-men-navy-blue--red-checked-pure-cotton-sustainable-casual-shirt/11896352/buy</t>
  </si>
  <si>
    <t>roadster men navy blue  red checked pure cotton sustainable casual shirt</t>
  </si>
  <si>
    <t>https://www.myntra.com/kurta-sets/jaipur-kurti/jaipur-kurti-women-maroon--mustard-yellow-woven-design-kurta-with-trousers--dupatta/9000211/buy</t>
  </si>
  <si>
    <t>jaipur kurti women maroon  mustard yellow woven design kurta with trousers  dupatta</t>
  </si>
  <si>
    <t>https://www.myntra.com/jeans/tokyo-talkies/tokyo-talkies-women-blue-super-skinny-fit-mid-rise-clean-look-stretchable-jeans/8083191/buy</t>
  </si>
  <si>
    <t>https://www.myntra.com/tops/scorpius/scorpius-women-pack-of-2-tops/9339997/buy</t>
  </si>
  <si>
    <t>https://www.myntra.com/tops/scorpius/scorpious-women-pack-of-shrug--top/9338625/buy</t>
  </si>
  <si>
    <t>https://www.myntra.com/shrug/scorpius/scorpious-women-pack-of-shrug--top/9338101/buy</t>
  </si>
  <si>
    <t>https://www.myntra.com/track-pants/highlander/highlander-men-black--grey-colorblocked-slim-fit-track-pants/13899962/buy</t>
  </si>
  <si>
    <t>highlander men black  grey colorblocked slim fit track pants</t>
  </si>
  <si>
    <t>https://www.myntra.com/jeans/wrogn/wrogn-men-blue-slim-fit-mid-rise-clean-look-stretchable-jeans/6832361/buy</t>
  </si>
  <si>
    <t>https://www.myntra.com/jeans/herenow/herenow-men-grey-ankle-slim-tapered-fit-mid-rise-mildly-distressed-stretchable-jeans/10619774/buy</t>
  </si>
  <si>
    <t>herenow men grey ankle slim tapered fit mid rise mildly distressed stretchable jeans</t>
  </si>
  <si>
    <t>https://www.myntra.com/jeans/roadster/roadster-men-blue-slim-tapered-fit-mid-rise-clean-look-stretchable-jeans/12358436/buy</t>
  </si>
  <si>
    <t>roadster men blue slim tapered fit mid rise clean look stretchable jeans</t>
  </si>
  <si>
    <t>https://www.myntra.com/lounge-pants/us-polo-assn/us-polo-assn-men-pack-of-2-printed-lounge-pants/17982168/buy</t>
  </si>
  <si>
    <t>us polo assn men pack of 2 printed lounge pants</t>
  </si>
  <si>
    <t>M, L, XXL, S, XL</t>
  </si>
  <si>
    <t>https://www.myntra.com/dresses/anouk/anouk-white--black-striped-fit-and-flare-dress/10960782/buy</t>
  </si>
  <si>
    <t>anouk white  black striped fit and flare dress</t>
  </si>
  <si>
    <t>https://www.myntra.com/tshirts/roadster/roadster-women-pack-of-2-solid-t-shirts/17381458/buy</t>
  </si>
  <si>
    <t>https://www.myntra.com/tops/berrylush/berrylush-women-rose-solid-bardot-top/8367607/buy</t>
  </si>
  <si>
    <t>berrylush women rose solid bardot top</t>
  </si>
  <si>
    <t>https://www.myntra.com/tshirts/roadster/roadster-women-pack-of-2-cotton-t-shirt/17384858/buy</t>
  </si>
  <si>
    <t>https://www.myntra.com/dresses/sassafras/sassafras-women-sea-green-dobby-weave-a-line-dress/11549426/buy</t>
  </si>
  <si>
    <t>sassafras women sea green dobby weave a line dress</t>
  </si>
  <si>
    <t>https://www.myntra.com/dresses/anouk/anouk-maroon--black-chevron-printed-a-line-dress/11199428/buy</t>
  </si>
  <si>
    <t>anouk maroon  black chevron printed a line dress</t>
  </si>
  <si>
    <t>https://www.myntra.com/tshirts/roadster/the-roadster-lifestyle-co-women-peach-coloured-printed-round-neck-t-shirt/8974131/buy</t>
  </si>
  <si>
    <t>the roadster lifestyle co women peach coloured printed round neck t shirt</t>
  </si>
  <si>
    <t>https://www.myntra.com/tshirts/roadster/roadster-women-mustard-yellow-solid-round-neck-pure-cotton-t-shirt/10778694/buy</t>
  </si>
  <si>
    <t>roadster women mustard yellow solid round neck pure cotton t shirt</t>
  </si>
  <si>
    <t>https://www.myntra.com/capris/enamor/enamor-women-black-slim-fit-34th-capris-lounge-pants/5661623/buy</t>
  </si>
  <si>
    <t>capris</t>
  </si>
  <si>
    <t>enamor women black slim fit 34th capris lounge pants</t>
  </si>
  <si>
    <t>28, 29, 30, 32</t>
  </si>
  <si>
    <t>https://www.myntra.com/jeans/wrogn/wrogn-men-grey-skinny-fit-stretchable-jeans/1729330/buy</t>
  </si>
  <si>
    <t>wrogn men grey skinny fit stretchable jeans</t>
  </si>
  <si>
    <t>https://www.myntra.com/briefs/jack--jones/jack--jones-men-olive-green-solid-briefs-1955179048/8874173/buy</t>
  </si>
  <si>
    <t>Jack &amp; Jones</t>
  </si>
  <si>
    <t>jack  jones men olive green solid briefs 1955179048</t>
  </si>
  <si>
    <t>https://www.myntra.com/lounge-pants/vimal/vimal-men-pack-of-2-solid-cotton-lounge-pants/13676448/buy</t>
  </si>
  <si>
    <t>https://www.myntra.com/briefs/jack--jones/jack--jones-men-pack-of-2-olive-green-solid-briefs-/11787914/buy</t>
  </si>
  <si>
    <t xml:space="preserve">jack  jones men pack of 2 olive green solid briefs </t>
  </si>
  <si>
    <t>https://www.myntra.com/tshirts/hrx-by-hrithik-roshan/hrx-by-hrithik-roshan-men-green-colourblocked-rapid-dry-antimicrobial-training-t-shirt/12295546/buy</t>
  </si>
  <si>
    <t>hrx by hrithik roshan men green colourblocked rapid dry antimicrobial training t shirt</t>
  </si>
  <si>
    <t>https://www.myntra.com/tshirts/roadster/the-roadster-lifestyle-co-men-charcoal-grey-typography-printed-t-shirt/10943340/buy</t>
  </si>
  <si>
    <t>the roadster lifestyle co men charcoal grey typography printed t shirt</t>
  </si>
  <si>
    <t>https://www.myntra.com/tops/herenow/herenow-women-blue--white-chevron-print-top/12652028/buy</t>
  </si>
  <si>
    <t>herenow women blue  white chevron print top</t>
  </si>
  <si>
    <t>https://www.myntra.com/tights/hrx-by-hrithik-roshan/hrx-by-hrithik-roshan-women-black-training-tights/7277195/buy</t>
  </si>
  <si>
    <t>hrx by hrithik roshan women black training tights</t>
  </si>
  <si>
    <t>https://www.myntra.com/tops/scorpius/scorpius-women-pack-of-2-solid-tops/9341439/buy</t>
  </si>
  <si>
    <t>https://www.myntra.com/tshirts/roadster/roadster-women-pink--blue-pack-of-2-typography-printed-round-neck-regular-fit-t-shirts/17383536/buy</t>
  </si>
  <si>
    <t>roadster women pink  blue pack of 2 typography printed round neck regular fit t shirts</t>
  </si>
  <si>
    <t>https://www.myntra.com/jeans/mast--harbour/mast--harbour-men-navy-blue-slim-tapered-fit-mid-rise-clean-look-stretchable-jeans/12983716/buy</t>
  </si>
  <si>
    <t>https://www.myntra.com/kurtas/sangria/sangria-women-red-printed-a-line-kurta/8349333/buy</t>
  </si>
  <si>
    <t>sangria women red printed a line kurta</t>
  </si>
  <si>
    <t>https://www.myntra.com/track-pants/tokyo-talkies/tokyo-talkies-women-rose-solid-slim-fit-cargo-track-pants/14145162/buy</t>
  </si>
  <si>
    <t>tokyo talkies women rose solid slim fit cargo track pants</t>
  </si>
  <si>
    <t>https://www.myntra.com/tshirts/roadster/roadster-women-pack-of-2-t-shirts/2353137/buy</t>
  </si>
  <si>
    <t>https://www.myntra.com/jeans/sassafras/sassafras-women-navy-blue-pure-cotton-relaxed-fit-high-rise-clean-look-jeans/13000368/buy</t>
  </si>
  <si>
    <t>sassafras women navy blue pure cotton relaxed fit high rise clean look jeans</t>
  </si>
  <si>
    <t>https://www.myntra.com/jackets/roadster/roadster-women-pink--white-colourblocked-hooded-puffer-jacket/12698836/buy</t>
  </si>
  <si>
    <t>roadster women pink  white colourblocked hooded puffer jacket</t>
  </si>
  <si>
    <t>https://www.myntra.com/tops/roadster/roadster-women-rust-brown-striped-top/2114485/buy</t>
  </si>
  <si>
    <t>roadster women rust brown striped top</t>
  </si>
  <si>
    <t>https://www.myntra.com/trousers/ether/ether-men-grey-slim-fit-solid-chinos/11746292/buy</t>
  </si>
  <si>
    <t>ether men grey slim fit solid chinos</t>
  </si>
  <si>
    <t>https://www.myntra.com/jeans/mast--harbour/mast--harbour-men-blue-skinny-fit-mid-rise-clean-look-stretchable-jeans/2527895/buy</t>
  </si>
  <si>
    <t>mast  harbour men blue skinny fit mid rise clean look stretchable jeans</t>
  </si>
  <si>
    <t>https://www.myntra.com/tshirts/bushirt/bushirt-men-pack-of-2-solid-round-neck-pure-cotton-t-shirts/10669528/buy</t>
  </si>
  <si>
    <t>Bushirt</t>
  </si>
  <si>
    <t>bushirt men pack of 2 solid round neck pure cotton t shirts</t>
  </si>
  <si>
    <t>https://www.myntra.com/tshirts/roadster/roadster-men-black-solid-v-neck-pure-cotton-t-shirt-with-contrast-raw-edges/2330209/buy</t>
  </si>
  <si>
    <t>roadster men black solid v neck pure cotton t shirt with contrast raw edges</t>
  </si>
  <si>
    <t>https://www.myntra.com/dresses/sassafras/sassafras-women-teal-blue-solid-maxi-dress/7687298/buy</t>
  </si>
  <si>
    <t>sassafras women teal blue solid maxi dress</t>
  </si>
  <si>
    <t>https://www.myntra.com/trousers/sassafras/sassafras-women-olive-green--brown-printed-cropped-joggers/10604598/buy</t>
  </si>
  <si>
    <t>sassafras women olive green  brown printed cropped joggers</t>
  </si>
  <si>
    <t>https://www.myntra.com/tops/tokyo-talkies/tokyo-talkies-women-yellow-solid-a-line-top/8158669/buy</t>
  </si>
  <si>
    <t>tokyo talkies women yellow solid a line top</t>
  </si>
  <si>
    <t>https://www.myntra.com/trousers/highlander/highlander-men-olive-green-tapered-fit-printed-chinos/6812994/buy</t>
  </si>
  <si>
    <t>highlander men olive green tapered fit printed chinos</t>
  </si>
  <si>
    <t>https://www.myntra.com/sweatshirts/hrx-by-hrithik-roshan/hrx-by-hrithik-roshan-men-black-solid-hooded-sweatshirt/4653872/buy</t>
  </si>
  <si>
    <t>hrx by hrithik roshan men black solid hooded sweatshirt</t>
  </si>
  <si>
    <t>https://www.myntra.com/shorts/hrx-by-hrithik-roshan/hrx-by-hrithik-roshan-women-rose-dawn-solid-regular-fit-rapid-dry-running-shorts/11357432/buy</t>
  </si>
  <si>
    <t>hrx by hrithik roshan women rose dawn solid regular fit rapid dry running shorts</t>
  </si>
  <si>
    <t>https://www.myntra.com/skirts/sassafras/sassafras-black--white-striped-pencil-skirt/9552849/buy</t>
  </si>
  <si>
    <t>sassafras black  white striped pencil skirt</t>
  </si>
  <si>
    <t>https://www.myntra.com/dresses/rare/rare-women-black-solid-maxi-dress/1644910/buy</t>
  </si>
  <si>
    <t>rare women black solid maxi dress</t>
  </si>
  <si>
    <t>https://www.myntra.com/jeans/dolce-crudo/dolce-crudo-women-blue-bootcut-mid-rise-clean-look-stretchable-jeans/10946128/buy</t>
  </si>
  <si>
    <t>dolce crudo women blue bootcut mid rise clean look stretchable jeans</t>
  </si>
  <si>
    <t>https://www.myntra.com/jeans/roadster/roadster-men-grey-skinny-fit-mid-rise-clean-look-stretchable-jeans/11274410/buy</t>
  </si>
  <si>
    <t>roadster men grey skinny fit mid rise clean look stretchable jeans</t>
  </si>
  <si>
    <t>https://www.myntra.com/shirts/hancock/hancock-men-white-slim-fit-solid-formal-shirt/7277178/buy</t>
  </si>
  <si>
    <t>Hancock</t>
  </si>
  <si>
    <t>hancock men white slim fit solid formal shirt</t>
  </si>
  <si>
    <t>https://www.myntra.com/tshirts/roadster/roadster-men-rust-orange--black-printed-round-neck-t-shirt/12003910/buy</t>
  </si>
  <si>
    <t>roadster men rust orange  black printed round neck t shirt</t>
  </si>
  <si>
    <t>https://www.myntra.com/kurtas/jaipur-kurti/jaipur-kurti-women-green-yoke-design-straight-kurta/11394278/buy</t>
  </si>
  <si>
    <t>jaipur kurti women green yoke design straight kurta</t>
  </si>
  <si>
    <t>https://www.myntra.com/kurta-sets/yufta/yufta-women-beige--grey-printed-kurta-with-trousers/9075011/buy</t>
  </si>
  <si>
    <t>yufta women beige  grey printed kurta with trousers</t>
  </si>
  <si>
    <t>https://www.myntra.com/kurtas/herenow/herenow-women-blue-printed-straight-kurta/2397218/buy</t>
  </si>
  <si>
    <t>herenow women blue printed straight kurta</t>
  </si>
  <si>
    <t>https://www.myntra.com/tshirts/roadster/roadster-women-green--black-pack-of-2-printed-round-neck-regular-fit-t-shirts/17382994/buy</t>
  </si>
  <si>
    <t>roadster women green  black pack of 2 printed round neck regular fit t shirts</t>
  </si>
  <si>
    <t>https://www.myntra.com/dresses/sassafras/sassafras-women-maroon-solid-sheath-dress/7687293/buy</t>
  </si>
  <si>
    <t>sassafras women maroon solid sheath dress</t>
  </si>
  <si>
    <t>https://www.myntra.com/tops/scorpius/scorpious-women-pack-of-shrug--top/9338369/buy</t>
  </si>
  <si>
    <t>https://www.myntra.com/tops/scorpius/scorpious-women-pack-of-shrug--top/9338509/buy</t>
  </si>
  <si>
    <t>https://www.myntra.com/tops/scorpius/scorpious-women-pack-of-two-tops/9339525/buy</t>
  </si>
  <si>
    <t>https://www.myntra.com/tops/scorpius/scorpious-women-pack-of-shirt-and-top/9339357/buy</t>
  </si>
  <si>
    <t>scorpious women pack of shirt and top</t>
  </si>
  <si>
    <t>https://www.myntra.com/tops/scorpius/scorpious-women-pack-of-shrug-and-top/9338735/buy</t>
  </si>
  <si>
    <t>https://www.myntra.com/tops/sassafras/sassafras-women-sea-green-solid-crop-top/9552789/buy</t>
  </si>
  <si>
    <t>sassafras women sea green solid crop top</t>
  </si>
  <si>
    <t>https://www.myntra.com/tops/scorpius/scorpius-women-black-solid-crop-top/4658096/buy</t>
  </si>
  <si>
    <t>https://www.myntra.com/tshirts/roadster/roadster-women-pack-of-2-typography-print-cotton-t-shirt/17381146/buy</t>
  </si>
  <si>
    <t>roadster women pack of 2 typography print cotton t shirt</t>
  </si>
  <si>
    <t>https://www.myntra.com/lounge-pants/vimal/vimal-men-pack-of-2-navy-blue-solid-lounge-pants/11807550/buy</t>
  </si>
  <si>
    <t>vimal men pack of 2 navy blue solid lounge pants</t>
  </si>
  <si>
    <t>https://www.myntra.com/sweatshirts/wrogn/wrogn-men-maroon--navy-blue-colorblocked-sweatshirt/6832922/buy</t>
  </si>
  <si>
    <t>wrogn men maroon  navy blue colorblocked sweatshirt</t>
  </si>
  <si>
    <t>https://www.myntra.com/tshirts/mast--harbour/mast--harbour-men-navy-self-design-round-neck-t-shirt/3082386/buy</t>
  </si>
  <si>
    <t>mast  harbour men navy self design round neck t shirt</t>
  </si>
  <si>
    <t>https://www.myntra.com/kurtas/anouk/anouk-women-mustard-yellow--green-printed-straight-kurta/11086598/buy</t>
  </si>
  <si>
    <t>anouk women mustard yellow  green printed straight kurta</t>
  </si>
  <si>
    <t>https://www.myntra.com/kurta-sets/ziyaa/ziyaa-women-cream-coloured-solid-kurta-with-trousers/11056900/buy</t>
  </si>
  <si>
    <t>ziyaa women cream coloured solid kurta with trousers</t>
  </si>
  <si>
    <t>https://www.myntra.com/tops/roadster/the-roadster-lifestyle-co-black--white-horizontal-striped-top/10856466/buy</t>
  </si>
  <si>
    <t>the roadster lifestyle co black  white horizontal striped top</t>
  </si>
  <si>
    <t>https://www.myntra.com/jeans/tokyo-talkies/tokyo-talkies-women-navy-blue-super-skinny-fit-mid-rise-clean-look-stretchable-jeans/10774686/buy</t>
  </si>
  <si>
    <t>tokyo talkies women navy blue super skinny fit mid rise clean look stretchable jeans</t>
  </si>
  <si>
    <t>https://www.myntra.com/dresses/slenor/slenor-women-brown--black-printed-a-line-dress-with-puff-sleeves/13995574/buy</t>
  </si>
  <si>
    <t>Slenor</t>
  </si>
  <si>
    <t>slenor women brown  black printed a line dress with puff sleeves</t>
  </si>
  <si>
    <t>https://www.myntra.com/shorts/tokyo-talkies/tokyo-talkies-women-black--white-striped-regular-fit-regular-shorts/12004884/buy</t>
  </si>
  <si>
    <t>tokyo talkies women black  white striped regular fit regular shorts</t>
  </si>
  <si>
    <t>https://www.myntra.com/tshirts/roadster/roadster-women-teal-green--burgundy-pack-of-2-printed-round-neck-regular-fit-t-shirts/17383488/buy</t>
  </si>
  <si>
    <t>roadster women teal green  burgundy pack of 2 printed round neck regular fit t shirts</t>
  </si>
  <si>
    <t>https://www.myntra.com/shorts/quechua-by-decathlon/quechua-by-decathlon-men-grey-solid-regular-shorts/12965780/buy</t>
  </si>
  <si>
    <t>Quechua By Decathlon</t>
  </si>
  <si>
    <t>quechua by decathlon men grey solid regular shorts</t>
  </si>
  <si>
    <t>1% OFF</t>
  </si>
  <si>
    <t>29, 31, 32, 34, 36, 41, 42, 48</t>
  </si>
  <si>
    <t>https://www.myntra.com/jeans/wrogn/wrogn-men-white-slim-fit-mid-rise-clean-look-stretchable-jeans/5556622/buy</t>
  </si>
  <si>
    <t>wrogn men white slim fit mid rise clean look stretchable jeans</t>
  </si>
  <si>
    <t>https://www.myntra.com/jeans/kook-n-keech/kook-n-keech-men-black-skinny-fit-mid-rise-mildly-distressed-stretchable-jeans/7255220/buy</t>
  </si>
  <si>
    <t>kook n keech men black skinny fit mid rise mildly distressed stretchable jeans</t>
  </si>
  <si>
    <t>https://www.myntra.com/shirts/harvard/harvard-men-navy--green-slim-fit-checked-casual-shirt/2358019/buy</t>
  </si>
  <si>
    <t>harvard men navy  green slim fit checked casual shirt</t>
  </si>
  <si>
    <t>https://www.myntra.com/sarees/kalini/kalini-black--red-jute-silk-embroidered-saree/12754022/buy</t>
  </si>
  <si>
    <t>kalini black  red jute silk embroidered saree</t>
  </si>
  <si>
    <t>https://www.myntra.com/kurtas/varanga/varanga-women-blue--white-striped-gotta-patti-cotton-kurta/14489504/buy</t>
  </si>
  <si>
    <t>varanga women blue  white striped gotta patti cotton kurta</t>
  </si>
  <si>
    <t>https://www.myntra.com/nightdress/cottinfab/cottinfab-green--off-white-floral-print-kaftan-maxi-nightdress/12657168/buy</t>
  </si>
  <si>
    <t>nightdress</t>
  </si>
  <si>
    <t>cottinfab green  off white floral print kaftan maxi nightdress</t>
  </si>
  <si>
    <t>https://www.myntra.com/bra/hrx-by-hrithik-roshan/hrx-by-hrithik-roshan-jet-black-solid-medium-support-rapid-dry-running-sports-bra/11862240/buy</t>
  </si>
  <si>
    <t>hrx by hrithik roshan jet black solid medium support rapid dry running sports bra</t>
  </si>
  <si>
    <t>https://www.myntra.com/tops/her-by-invictus/her-by-invictus-red-key-hole-neck-top/10821268/buy</t>
  </si>
  <si>
    <t>her by invictus red key hole neck top</t>
  </si>
  <si>
    <t>https://www.myntra.com/shorts/hm/hm-women-black-cotton-jersey-cycling-shorts/12696136/buy</t>
  </si>
  <si>
    <t>hm women black cotton jersey cycling shorts</t>
  </si>
  <si>
    <t>25, 28, 31, 34</t>
  </si>
  <si>
    <t>https://www.myntra.com/jeans/roadster/roadster-men-charcoal-grey-slim-tapered-fit-mid-rise-clean-look-stretchable-jeans/8962389/buy</t>
  </si>
  <si>
    <t>roadster men charcoal grey slim tapered fit mid rise clean look stretchable jeans</t>
  </si>
  <si>
    <t>https://www.myntra.com/trousers/roadster/roadster-men-green-slim-fit-chinos-trousers/2119003/buy</t>
  </si>
  <si>
    <t>roadster men green slim fit chinos trousers</t>
  </si>
  <si>
    <t>https://www.myntra.com/jeans/roadster-fast-and-furious/roadster-fast-and-furious-men-blue-slim-fit-mid-rise-clean-look-stretchable-jeans/4451370/buy</t>
  </si>
  <si>
    <t>https://www.myntra.com/jeans/highlander/highlander-men-grey-tapered-fit-mid-rise-clean-look-stretchable-cropped-jeans/3855192/buy</t>
  </si>
  <si>
    <t>highlander men grey tapered fit mid rise clean look stretchable cropped jeans</t>
  </si>
  <si>
    <t>https://www.myntra.com/tshirts/hrx-by-hrithik-roshan/hrx-by-hrithik-roshan-men-black--grey-training-regular-fit-t-shirt/10106267/buy</t>
  </si>
  <si>
    <t>hrx by hrithik roshan men black  grey training regular fit t shirt</t>
  </si>
  <si>
    <t>https://www.myntra.com/shirts/mast--harbour/mast--harbour-men-blue--black-regular-fit-printed-casual-shirt/11007440/buy</t>
  </si>
  <si>
    <t>mast  harbour men blue  black regular fit printed casual shirt</t>
  </si>
  <si>
    <t>https://www.myntra.com/kurtas/anouk/anouk-women-blue--yellow-ethnic-motifs-pure-cotton-printed-kurta/13905666/buy</t>
  </si>
  <si>
    <t>anouk women blue  yellow ethnic motifs pure cotton printed kurta</t>
  </si>
  <si>
    <t>https://www.myntra.com/kurtas/herenow/herenow-women-off-white--red-ethnic-motif-print-straight-kurta/12524786/buy</t>
  </si>
  <si>
    <t>herenow women off white  red ethnic motif print straight kurta</t>
  </si>
  <si>
    <t>https://www.myntra.com/dresses/taavi/taavi-women-mustard-self-design-empire-sustainable-dress/7032960/buy</t>
  </si>
  <si>
    <t>taavi women mustard self design empire sustainable dress</t>
  </si>
  <si>
    <t>https://www.myntra.com/shirts/roadster/roadster-men-white-regular-fit-printed-sustainable-casual-shirt/10944448/buy</t>
  </si>
  <si>
    <t>roadster men white regular fit printed sustainable casual shirt</t>
  </si>
  <si>
    <t>https://www.myntra.com/tshirts/wrogn/wrogn-men-maroon--charcoal-grey-slim-fit-striped-round-neck-pure-cotton-t-shirt/9768167/buy</t>
  </si>
  <si>
    <t>wrogn men maroon  charcoal grey slim fit striped round neck pure cotton t shirt</t>
  </si>
  <si>
    <t>https://www.myntra.com/tshirts/kook-n-keech/kook-n-keech-women-purple--black-typography-printed-t-shirt/12716474/buy</t>
  </si>
  <si>
    <t>kook n keech women purple  black typography printed t shirt</t>
  </si>
  <si>
    <t>https://www.myntra.com/jeans/high-star/high-star-women-blue-slim-fit-high-rise-clean-look-stretchable-jeans/12722432/buy</t>
  </si>
  <si>
    <t>high star women blue slim fit high rise clean look stretchable jeans</t>
  </si>
  <si>
    <t>https://www.myntra.com/jackets/street-9/street-9-women-teal-green-solid-satin-cropped-bomber-jacket/7772515/buy</t>
  </si>
  <si>
    <t>street 9 women teal green solid satin cropped bomber jacket</t>
  </si>
  <si>
    <t>https://www.myntra.com/shorts/domyos-by-decathlon/domyos-by-decathlon-men-black-solid-organic-cotton-regular-yoga-shorts/12959196/buy</t>
  </si>
  <si>
    <t>domyos by decathlon men black solid organic cotton regular yoga shorts</t>
  </si>
  <si>
    <t>https://www.myntra.com/boxers/jockey/jockey-relax-men-set-of-2-assorted-checked-pure-cotton-boxers-1222-0210/652387/buy</t>
  </si>
  <si>
    <t>jockey relax men set of 2 assorted checked pure cotton boxers 1222 0210</t>
  </si>
  <si>
    <t>https://www.myntra.com/shirts/roadster/roadster-men-grey--black-printed-pure-cotton-sustainable-casual-shirt/11326290/buy</t>
  </si>
  <si>
    <t>roadster men grey  black printed pure cotton sustainable casual shirt</t>
  </si>
  <si>
    <t>https://www.myntra.com/kurtas/vishudh/vishudh-women-grey--magenta-striped-straight-kurta/9971485/buy</t>
  </si>
  <si>
    <t>vishudh women grey  magenta striped straight kurta</t>
  </si>
  <si>
    <t>https://www.myntra.com/kurtas/os/os-women-pink--white-striped-straight-kurta/12916814/buy</t>
  </si>
  <si>
    <t>Os</t>
  </si>
  <si>
    <t>os women pink  white striped straight kurta</t>
  </si>
  <si>
    <t>https://www.myntra.com/shapewear/clovia/clovia-nude-coloured-side-slit-saree-shapewear-sw0023p24/1939809/buy</t>
  </si>
  <si>
    <t>clovia nude coloured side slit saree shapewear sw0023p24</t>
  </si>
  <si>
    <t>https://www.myntra.com/tshirts/roadster/roadster-women-navy-blue--green-pack-of-2-printed-round-neck-t-shirts/17383370/buy</t>
  </si>
  <si>
    <t>roadster women navy blue  green pack of 2 printed round neck t shirts</t>
  </si>
  <si>
    <t>https://www.myntra.com/jeans/dressberry/dressberry-women-blue-skinny-fit-mid-rise-clean-look-stretchable-cropped-jeans/10365193/buy</t>
  </si>
  <si>
    <t>https://www.myntra.com/sweaters/hm/hm-women-grey-acrylic-jumper/16159528/buy</t>
  </si>
  <si>
    <t>hm women grey acrylic jumper</t>
  </si>
  <si>
    <t>https://www.myntra.com/shirts/anouk/anouk-men-white--navy-blue-printed-pure-cotton-casual-shirt/10356889/buy</t>
  </si>
  <si>
    <t>anouk men white  navy blue printed pure cotton casual shirt</t>
  </si>
  <si>
    <t>https://www.myntra.com/kurta-sets/ishin/ishin-women-red-embroidered-kurta-with-sharara--dupatta/13494310/buy</t>
  </si>
  <si>
    <t>ishin women red embroidered kurta with sharara  dupatta</t>
  </si>
  <si>
    <t>https://www.myntra.com/briefs/jockey/jockey-simple-comfort-women-pack-of-3-hipster-briefs-1406/393686/buy</t>
  </si>
  <si>
    <t>jockey simple comfort women pack of 3 hipster briefs 1406</t>
  </si>
  <si>
    <t>https://www.myntra.com/tshirts/roadster/-roadster-women-pack-of-2-cotton-t-shirts/17382828/buy</t>
  </si>
  <si>
    <t>https://www.myntra.com/dresses/scorpius/scorpius-maroon-semi-sheer-maxi-dress/9265953/buy</t>
  </si>
  <si>
    <t>scorpius maroon semi sheer maxi dress</t>
  </si>
  <si>
    <t>https://www.myntra.com/tshirts/mast--harbour/mast--harbour-women-black-lightweight-solid-round-neck-t-shirt/2224769/buy</t>
  </si>
  <si>
    <t>mast  harbour women black lightweight solid round neck t shirt</t>
  </si>
  <si>
    <t>https://www.myntra.com/tops/tokyo-talkies/tokyo-talkies-white-crop-empire-top/13194568/buy</t>
  </si>
  <si>
    <t>tokyo talkies white crop empire top</t>
  </si>
  <si>
    <t>https://www.myntra.com/tshirts/roadster/roadster-women-teal-blue-printed-round-neck-pure-cotton-t-shirt/13126922/buy</t>
  </si>
  <si>
    <t>roadster women teal blue printed round neck pure cotton t shirt</t>
  </si>
  <si>
    <t>https://www.myntra.com/jeans/mast--harbour/mast--harbour-men-white-slim-fit-mid-rise-clean-look-stretchable-jeans/2485348/buy</t>
  </si>
  <si>
    <t>https://www.myntra.com/shirts/roadster/roadster-men-navy-blue--white-regular-fit-conversational-printed-sustainable-casual-shirt/11895972/buy</t>
  </si>
  <si>
    <t>roadster men navy blue  white regular fit conversational printed sustainable casual shirt</t>
  </si>
  <si>
    <t>https://www.myntra.com/shirts/invictus/invictus-men-black--white-slim-fit-striped-casual-shirt/8352591/buy</t>
  </si>
  <si>
    <t>invictus men black  white slim fit striped casual shirt</t>
  </si>
  <si>
    <t>https://www.myntra.com/jackets/roadster/roadster-black--teal-blue-quilted-reversible-jacket/1279418/buy</t>
  </si>
  <si>
    <t>roadster black  teal blue quilted reversible jacket</t>
  </si>
  <si>
    <t>https://www.myntra.com/tshirts/roadster/roadster-men-navy-blue--olive-green-colourblocked-henley-neck-pure-cotton-t-shirt/11545200/buy</t>
  </si>
  <si>
    <t>roadster men navy blue  olive green colourblocked henley neck pure cotton t shirt</t>
  </si>
  <si>
    <t>https://www.myntra.com/kurta-sets/yuris/yuris-women-olive-green--pink-pure-cotton-printed-kurta-with-trousers--dupatta/13791184/buy</t>
  </si>
  <si>
    <t>yuris women olive green  pink pure cotton printed kurta with trousers  dupatta</t>
  </si>
  <si>
    <t>https://www.myntra.com/dresses/street-9/street-9-green-one-shoulder-a-line-dress/8160695/buy</t>
  </si>
  <si>
    <t>street 9 green one shoulder a line dress</t>
  </si>
  <si>
    <t>https://www.myntra.com/jackets/sassafras/sassafras-women-black-solid-cropped-puffer-jacket/12738032/buy</t>
  </si>
  <si>
    <t>sassafras women black solid cropped puffer jacket</t>
  </si>
  <si>
    <t>https://www.myntra.com/tops/mast--harbour/mast--harbour-women-pink-solid-tank-top/2490952/buy</t>
  </si>
  <si>
    <t>mast  harbour women pink solid tank top</t>
  </si>
  <si>
    <t>https://www.myntra.com/jeans/roadster/roadster-men-grey-slim-fit-mid-rise-clean-look-stretchable-jeans/10064545/buy</t>
  </si>
  <si>
    <t>https://www.myntra.com/shorts/highlander/highlander-men-grey-washed-slim-fit-denim-shorts/11519690/buy</t>
  </si>
  <si>
    <t>highlander men grey washed slim fit denim shorts</t>
  </si>
  <si>
    <t>https://www.myntra.com/socks/wrogn/wrogn-men-pack-of-3-brand-logo-patterned-above-ankle-length-socks/12402760/buy</t>
  </si>
  <si>
    <t>wrogn men pack of 3 brand logo patterned above ankle length socks</t>
  </si>
  <si>
    <t>https://www.myntra.com/boxers/urban-scottish/urban-scottish-men-pack-of-2-multicoloured-printed--pure-cotton-boxers-usbx1909/9966837/buy</t>
  </si>
  <si>
    <t>urban scottish men pack of 2 multicoloured printed  pure cotton boxers usbx1909</t>
  </si>
  <si>
    <t>https://www.myntra.com/tshirts/roadster/the-roadster-lifestyle-co-men-black--grey-colourblocked-t-shirt/8938857/buy</t>
  </si>
  <si>
    <t>the roadster lifestyle co men black  grey colourblocked t shirt</t>
  </si>
  <si>
    <t>https://www.myntra.com/shirts/roadster/roadster-men-white-solid-sustainable-casual-shirt/8920443/buy</t>
  </si>
  <si>
    <t>roadster men white solid sustainable casual shirt</t>
  </si>
  <si>
    <t>https://www.myntra.com/kurtas/varanga/varanga-women-magenta-foil-printed-zari-detail-a-line-angrakha-kurta/10737442/buy</t>
  </si>
  <si>
    <t>varanga women magenta foil printed zari detail a line angrakha kurta</t>
  </si>
  <si>
    <t>https://www.myntra.com/sweaters/roadster/the-roadster-lifestyle-co-women-pink--off-white-striped-sweater/9478599/buy</t>
  </si>
  <si>
    <t>the roadster lifestyle co women pink  off white striped sweater</t>
  </si>
  <si>
    <t>https://www.myntra.com/shorts/kipsta-by-decathlon/kipsta-by-decathlon-men-black-solid-regular-fit-football-shorts/12960764/buy</t>
  </si>
  <si>
    <t>Kipsta By Decathlon</t>
  </si>
  <si>
    <t>kipsta by decathlon men black solid regular fit football shorts</t>
  </si>
  <si>
    <t>18% OFF</t>
  </si>
  <si>
    <t>https://www.myntra.com/trousers/ivoc/ivoc-men-black-joggers/7416286/buy</t>
  </si>
  <si>
    <t>IVOC</t>
  </si>
  <si>
    <t>ivoc men black joggers</t>
  </si>
  <si>
    <t>Rs. 975 OFF</t>
  </si>
  <si>
    <t>https://www.myntra.com/jackets/hrx-by-hrithik-roshan/hrx-by-hrithik-roshan-men-red-bomber-jacket/14562580/buy</t>
  </si>
  <si>
    <t>hrx by hrithik roshan men red bomber jacket</t>
  </si>
  <si>
    <t>https://www.myntra.com/shirts/mast--harbour/mast--harbour-men-green-printed-casual-shirt/10169021/buy</t>
  </si>
  <si>
    <t>mast  harbour men green printed casual shirt</t>
  </si>
  <si>
    <t>https://www.myntra.com/trousers/pluss/pluss-women-burgundy-regular-fit-solid-bootcut-trousers/10483708/buy</t>
  </si>
  <si>
    <t>pluss women burgundy regular fit solid bootcut trousers</t>
  </si>
  <si>
    <t>https://www.myntra.com/dresses/pluss/pluss-women-black-printed-fit-and-flare-dress/7271375/buy</t>
  </si>
  <si>
    <t>pluss women black printed fit and flare dress</t>
  </si>
  <si>
    <t>https://www.myntra.com/jeans/wrogn/wrogn-men-blue-slim-fit-mid-rise-mildly-distress-stretchable-jeans/2338316/buy</t>
  </si>
  <si>
    <t>wrogn men blue slim fit mid rise mildly distress stretchable jeans</t>
  </si>
  <si>
    <t>https://www.myntra.com/kurta-sets/jompers/jompers-men-mustard--white-embroidered-kurta-with-churidar/13269470/buy</t>
  </si>
  <si>
    <t>Jompers</t>
  </si>
  <si>
    <t>jompers men mustard  white embroidered kurta with churidar</t>
  </si>
  <si>
    <t>https://www.myntra.com/tshirts/mast--harbour/mast--harbour-men-green-solid-polo-collar-t-shirt/11607366/buy</t>
  </si>
  <si>
    <t>mast  harbour men green solid polo collar t shirt</t>
  </si>
  <si>
    <t>https://www.myntra.com/bra/leading-lady/leading-lady-grey-pack-of-2-full-coverage-sports-bras-2-40/1445626/buy</t>
  </si>
  <si>
    <t>Leading Lady</t>
  </si>
  <si>
    <t>leading lady grey pack of 2 full coverage sports bras 2 40</t>
  </si>
  <si>
    <t>https://www.myntra.com/skirts/sassafras/sassafras-navy-blue--pink-printed-pencil-skirt/7188688/buy</t>
  </si>
  <si>
    <t>sassafras navy blue  pink printed pencil skirt</t>
  </si>
  <si>
    <t>https://www.myntra.com/jeans/roadster/roadster-men-blue-slim-tapered-fit-mid-rise-clean-look-stretchable-jeans/12303736/buy</t>
  </si>
  <si>
    <t>https://www.myntra.com/tshirts/mast--harbour/mast--harbour-men-navy-blue-mustard-yellow--white-colourblocked-polo-collar-t-shirt/8325311/buy</t>
  </si>
  <si>
    <t>mast  harbour men navy blue mustard yellow  white colourblocked polo collar t shirt</t>
  </si>
  <si>
    <t>https://www.myntra.com/shirts/roadster/roadster-men-blue--white-printed-cotton-printed-sustainable-casual-shirt/7255964/buy</t>
  </si>
  <si>
    <t>roadster men blue  white printed cotton printed sustainable casual shirt</t>
  </si>
  <si>
    <t>https://www.myntra.com/tshirts/ether/ether-men-navy--red-striped-round-neck-pure-cotton-t-shirt/8363939/buy</t>
  </si>
  <si>
    <t>ether men navy  red striped round neck pure cotton t shirt</t>
  </si>
  <si>
    <t>https://www.myntra.com/kurtas/moda-rapido/moda-rapido-women-blue-printed-a-line-kurta/1757974/buy</t>
  </si>
  <si>
    <t>moda rapido women blue printed a line kurta</t>
  </si>
  <si>
    <t>https://www.myntra.com/kurtis/ira-soleil/ira-soleil-women-black-printed-kurti/110269/buy</t>
  </si>
  <si>
    <t>Ira Soleil</t>
  </si>
  <si>
    <t>ira soleil women black printed kurti</t>
  </si>
  <si>
    <t>https://www.myntra.com/dresses/vishudh/vishudh-rust-brown-floral-printed-cotton-anarkali-dress/7726509/buy</t>
  </si>
  <si>
    <t>vishudh rust brown floral printed cotton anarkali dress</t>
  </si>
  <si>
    <t>https://www.myntra.com/dresses/dressberry/dressberry-navy-blue--mustard-yellow-floral-printed-maxi-dress/11005690/buy</t>
  </si>
  <si>
    <t>dressberry navy blue  mustard yellow floral printed maxi dress</t>
  </si>
  <si>
    <t>https://www.myntra.com/tshirts/dressberry/dressberry-women-black--white-striped-round-neck-t-shirt/2522850/buy</t>
  </si>
  <si>
    <t>dressberry women black  white striped round neck t shirt</t>
  </si>
  <si>
    <t>https://www.myntra.com/jeans/harvard/harvard-men-black-slim-fit-mid-rise-clean-look-stretchable-jeans/10415114/buy</t>
  </si>
  <si>
    <t>harvard men black slim fit mid rise clean look stretchable jeans</t>
  </si>
  <si>
    <t>https://www.myntra.com/shirts/roadster/the-roadster-lifestyle-co-men-maroon--navy-blue-regular-fit-checked-sustainable-casual-shirt/10398073/buy</t>
  </si>
  <si>
    <t>the roadster lifestyle co men maroon  navy blue regular fit checked sustainable casual shirt</t>
  </si>
  <si>
    <t>https://www.myntra.com/night-suits/anubhutee/anubhutee-women-green--pink-pure-cotton-printed-night-suit/13592722/buy</t>
  </si>
  <si>
    <t>anubhutee women green  pink pure cotton printed night suit</t>
  </si>
  <si>
    <t>https://www.myntra.com/jackets/herenow/herenow-women-black-solid-denim-jacket/7674432/buy</t>
  </si>
  <si>
    <t>herenow women black solid denim jacket</t>
  </si>
  <si>
    <t>https://www.myntra.com/jeans/herenow/herenow-men-black-skinny-fit-mid-rise-clean-look-acid-wash-stretchable-jeans/11739156/buy</t>
  </si>
  <si>
    <t>herenow men black skinny fit mid rise clean look acid wash stretchable jeans</t>
  </si>
  <si>
    <t>https://www.myntra.com/jeans/roadster/roadster-men-navy-blue-skinny-fit-mid-rise-clean-look-stretchable-jeans/7733672/buy</t>
  </si>
  <si>
    <t>roadster men navy blue skinny fit mid rise clean look stretchable jeans</t>
  </si>
  <si>
    <t>https://www.myntra.com/jeans/highlander/highlander-men-grey-tapered-fit-mid-rise-clean-look-jeans/13662282/buy</t>
  </si>
  <si>
    <t>highlander men grey tapered fit mid rise clean look jeans</t>
  </si>
  <si>
    <t>https://www.myntra.com/tshirts/mast--harbour/mast--harbour-men-white--black-printed-polo-collar-t-shirt/11896672/buy</t>
  </si>
  <si>
    <t>mast  harbour men white  black printed polo collar t shirt</t>
  </si>
  <si>
    <t>https://www.myntra.com/sweatshirts/campus-sutra/campus-sutra-men-black-solid-hooded-sweatshirt/10605240/buy</t>
  </si>
  <si>
    <t>campus sutra men black solid hooded sweatshirt</t>
  </si>
  <si>
    <t>https://www.myntra.com/shirts/mast--harbour/mast--harbour-men-grey--white-slim-fit-striped-casual-shirt/2518699/buy</t>
  </si>
  <si>
    <t>mast  harbour men grey  white slim fit striped casual shirt</t>
  </si>
  <si>
    <t>https://www.myntra.com/tshirts/hm/hm-men-regular-fit-cotton-round-neck-t-shirt/16718166/buy</t>
  </si>
  <si>
    <t>hm men regular fit cotton round neck t shirt</t>
  </si>
  <si>
    <t>https://www.myntra.com/kurtas/jaipur-kurti/jaipur-kurti-women-brown--beige-printed-straight-kurta/9000219/buy</t>
  </si>
  <si>
    <t>jaipur kurti women brown  beige printed straight kurta</t>
  </si>
  <si>
    <t>https://www.myntra.com/dresses/uf/uf-women-cream-coloured--pink-floral-print-maxi-dress/11099600/buy</t>
  </si>
  <si>
    <t>uf women cream coloured  pink floral print maxi dress</t>
  </si>
  <si>
    <t>https://www.myntra.com/tshirts/mast--harbour/mast--harbour-women-pack-of-2-printed-tshirts/17525606/buy</t>
  </si>
  <si>
    <t>mast  harbour women pack of 2 printed tshirts</t>
  </si>
  <si>
    <t>https://www.myntra.com/jeans/roadster/roadster-men-grey-skinny-fit-mid-rise-clean-look-stretchable-jeans/2059978/buy</t>
  </si>
  <si>
    <t>https://www.myntra.com/jeans/ether/ether-men-white-slim-fit-jeans/1414791/buy</t>
  </si>
  <si>
    <t>ether men white slim fit jeans</t>
  </si>
  <si>
    <t>https://www.myntra.com/jeans/roadster/roadster-men-blue-slim-fit-mid-rise-clean-look-jeans/2296001/buy</t>
  </si>
  <si>
    <t>https://www.myntra.com/shirts/highlander/highlander-men-black--charcoal-grey-slim-fit-printed-casual-shirt/10381477/buy</t>
  </si>
  <si>
    <t>highlander men black  charcoal grey slim fit printed casual shirt</t>
  </si>
  <si>
    <t>https://www.myntra.com/shirts/herenow/herenow-men-maroon--olive-green-slim-fit-checked-casual-shirt/11049786/buy</t>
  </si>
  <si>
    <t>herenow men maroon  olive green slim fit checked casual shirt</t>
  </si>
  <si>
    <t>https://www.myntra.com/tshirts/wrogn/wrogn-men-black-solid-slim-fit-round-neck-t-shirt/10410508/buy</t>
  </si>
  <si>
    <t>wrogn men black solid slim fit round neck t shirt</t>
  </si>
  <si>
    <t>https://www.myntra.com/tshirts/wrogn/wrogn-men-black-solid-round-neck-t-shirt/2339026/buy</t>
  </si>
  <si>
    <t>wrogn men black solid round neck t shirt</t>
  </si>
  <si>
    <t>https://www.myntra.com/kurtas/herenow/herenow-women-off-white-striped-straight-kurta/12524826/buy</t>
  </si>
  <si>
    <t>herenow women off white striped straight kurta</t>
  </si>
  <si>
    <t>https://www.myntra.com/sweatshirts/roadster/the-roadster-lifestyle-co-women-navy-blue-solid-sweatshirt/9478083/buy</t>
  </si>
  <si>
    <t>the roadster lifestyle co women navy blue solid sweatshirt</t>
  </si>
  <si>
    <t>https://www.myntra.com/jackets/roadster/the-roadster-lifestyle-co-women-white-solid-denim-jacket/10562402/buy</t>
  </si>
  <si>
    <t>the roadster lifestyle co women white solid denim jacket</t>
  </si>
  <si>
    <t>https://www.myntra.com/jeans/roadster/roadster-men-navy-blue-slim-fit-mid-rise-clean-look-stretchable-jeans/10064493/buy</t>
  </si>
  <si>
    <t>https://www.myntra.com/shorts/hrx-by-hrithik-roshan/hrx-by-hrithik-roshan-men-charcoal-grey-rapid-dry-lightweight-dolphin-running-shorts/8851935/buy</t>
  </si>
  <si>
    <t>hrx by hrithik roshan men charcoal grey rapid dry lightweight dolphin running shorts</t>
  </si>
  <si>
    <t>https://www.myntra.com/tshirts/roadster/roadster-men-grey-printed-round-neck-pure-cotton-t-shirt/11545308/buy</t>
  </si>
  <si>
    <t>roadster men grey printed round neck pure cotton t shirt</t>
  </si>
  <si>
    <t>https://www.myntra.com/tshirts/roadster/-roadster-women-pack-of-2-cotton-t-shirts/17382702/buy</t>
  </si>
  <si>
    <t>https://www.myntra.com/tshirts/roadster/the-roadster-lifestyle-co-women-beige-solid-round-neck-t-shirt/13594624/buy</t>
  </si>
  <si>
    <t>the roadster lifestyle co women beige solid round neck t shirt</t>
  </si>
  <si>
    <t>https://www.myntra.com/tshirts/roadster/roadster-women-pink-solid-round-neck-t-shirt/11976912/buy</t>
  </si>
  <si>
    <t>roadster women pink solid round neck t shirt</t>
  </si>
  <si>
    <t>https://www.myntra.com/jeans/highlander/highlander-men-white-slim-fit-mid-rise-clean-look-stretchable-jeans/8211455/buy</t>
  </si>
  <si>
    <t>highlander men white slim fit mid rise clean look stretchable jeans</t>
  </si>
  <si>
    <t>https://www.myntra.com/tshirts/roadster/roadster-men-blue-printed-hood-pure-cotton-t-shirt/1844184/buy</t>
  </si>
  <si>
    <t>roadster men blue printed hood pure cotton t shirt</t>
  </si>
  <si>
    <t>https://www.myntra.com/kurta-sets/sangria/sangria-women-charcoal-grey-solid-kurta-with-palazzos/11536950/buy</t>
  </si>
  <si>
    <t>sangria women charcoal grey solid kurta with palazzos</t>
  </si>
  <si>
    <t>https://www.myntra.com/tops/dressberry/dressberry-women-black-self-design-lace-top/11271806/buy</t>
  </si>
  <si>
    <t>dressberry women black self design lace top</t>
  </si>
  <si>
    <t>https://www.myntra.com/dresses/mast--harbour/mast--harbour-women-rose-sheath-dress/9981511/buy</t>
  </si>
  <si>
    <t>mast  harbour women rose sheath dress</t>
  </si>
  <si>
    <t>https://www.myntra.com/tshirts/mast--harbour/mast--harbour-women-white-solid-round-neck-t-shirt/11700064/buy</t>
  </si>
  <si>
    <t>mast  harbour women white solid round neck t shirt</t>
  </si>
  <si>
    <t>https://www.myntra.com/trousers/highlander/highlander-men-khaki-slim-fit-joggers/2343634/buy</t>
  </si>
  <si>
    <t>highlander men khaki slim fit joggers</t>
  </si>
  <si>
    <t>https://www.myntra.com/shirts/roadster/roadster-men-grey-regular-fit-solid-sustainable-casual-shirt/11326758/buy</t>
  </si>
  <si>
    <t>roadster men grey regular fit solid sustainable casual shirt</t>
  </si>
  <si>
    <t>https://www.myntra.com/palazzos/vishudh/vishudh-women-black-checked-straight-palazzos/10074605/buy</t>
  </si>
  <si>
    <t>vishudh women black checked straight palazzos</t>
  </si>
  <si>
    <t>https://www.myntra.com/jeans/dressberry/dressberry-women-blue-skinny-fit-mid-rise-clean-look-stretchable-ankle-length-jeans/10158753/buy</t>
  </si>
  <si>
    <t>dressberry women blue skinny fit mid rise clean look stretchable ankle length jeans</t>
  </si>
  <si>
    <t>https://www.myntra.com/tshirts/mast--harbour/mast--harbour-women-black-solid-round-neck-crop-pure-cotton-t-shirt/2490935/buy</t>
  </si>
  <si>
    <t>mast  harbour women black solid round neck crop pure cotton t shirt</t>
  </si>
  <si>
    <t>https://www.myntra.com/shorts/roadster/roadster-women-blue-solid-regular-fit-denim-shorts/11489552/buy</t>
  </si>
  <si>
    <t>https://www.myntra.com/shorts/highlander/highlander-men-pink-solid-slim-fit-regular-shorts/14121300/buy</t>
  </si>
  <si>
    <t>highlander men pink solid slim fit regular shorts</t>
  </si>
  <si>
    <t>https://www.myntra.com/tshirts/louis-philippe-sport/louis-philippe-sport-men-yellow-pure-cotton-solid-polo-collar-pure-cotton-t-shirt/14196610/buy</t>
  </si>
  <si>
    <t>louis philippe sport men yellow pure cotton solid polo collar pure cotton t shirt</t>
  </si>
  <si>
    <t>https://www.myntra.com/tshirts/bushirt/bushirt-pack-of-2-solid-pure-cotton-t-shirts/10669536/buy</t>
  </si>
  <si>
    <t>bushirt pack of 2 solid pure cotton t shirts</t>
  </si>
  <si>
    <t>https://www.myntra.com/sarees/mitera/mitera-brown--gold-toned-silk-blend-woven-design-kanjeevaram-saree/11495626/buy</t>
  </si>
  <si>
    <t>mitera brown  gold toned silk blend woven design kanjeevaram saree</t>
  </si>
  <si>
    <t>https://www.myntra.com/tops/tokyo-talkies/tokyo-talkies-off-white-self-design-a-line-top/8238855/buy</t>
  </si>
  <si>
    <t>tokyo talkies off white self design a line top</t>
  </si>
  <si>
    <t>https://www.myntra.com/tshirts/roadster/roadster-women-pack-of-2-pure-cotton-typography-print-t-shirts/17384666/buy</t>
  </si>
  <si>
    <t>https://www.myntra.com/tops/rare/rare-maroon-floral-top-with-cuffed-sleeves/12364798/buy</t>
  </si>
  <si>
    <t>rare maroon floral top with cuffed sleeves</t>
  </si>
  <si>
    <t>https://www.myntra.com/leggings/bitterlime/bitterlime-pack-of-2-34th-leggings/1226060/buy</t>
  </si>
  <si>
    <t>Bitterlime</t>
  </si>
  <si>
    <t>bitterlime pack of 2 34th leggings</t>
  </si>
  <si>
    <t>https://www.myntra.com/track-pants/rigo/rigo-men-black--white-printed-regular-fit-joggers/12970010/buy</t>
  </si>
  <si>
    <t>rigo men black  white printed regular fit joggers</t>
  </si>
  <si>
    <t>https://www.myntra.com/trousers/mast--harbour/mast--harbour-men-coffee-brown-slim-fit-chinos/4110959/buy</t>
  </si>
  <si>
    <t>mast  harbour men coffee brown slim fit chinos</t>
  </si>
  <si>
    <t>https://www.myntra.com/lounge-pants/vimal/vimal-men-pack-of-2-grey-solid-cotton-lounge-pants/13676450/buy</t>
  </si>
  <si>
    <t>https://www.myntra.com/shirts/wrogn/wrogn-men-black--blue-slim-fit-checked-casual-shirt/11361250/buy</t>
  </si>
  <si>
    <t>wrogn men black  blue slim fit checked casual shirt</t>
  </si>
  <si>
    <t>https://www.myntra.com/tshirts/roadster/roadster-men-white-solid-v-neck-pure-cotton-t-shirt/11126656/buy</t>
  </si>
  <si>
    <t>roadster men white solid v neck pure cotton t shirt</t>
  </si>
  <si>
    <t>https://www.myntra.com/tops/bhama-couture/bhama-couture-navy-blue-ethnic-motifs-bell-sleeves-a-line-top/12151760/buy</t>
  </si>
  <si>
    <t>bhama couture navy blue ethnic motifs bell sleeves a line top</t>
  </si>
  <si>
    <t>https://www.myntra.com/kurtas/vishudh/vishudh-women-burgundy-printed-a-line-kurta/7570699/buy</t>
  </si>
  <si>
    <t>vishudh women burgundy printed a line kurta</t>
  </si>
  <si>
    <t>https://www.myntra.com/sarees/saree-mall/saree-mall-burgundy-striped-poly-georgette-party-wear-saree-with-matching-blouse/14984816/buy</t>
  </si>
  <si>
    <t>saree mall burgundy striped poly georgette party wear saree with matching blouse</t>
  </si>
  <si>
    <t>https://www.myntra.com/bra/floret/floret-pack-of-3-t-shirt-bras/851435/buy</t>
  </si>
  <si>
    <t>floret pack of 3 t shirt bras</t>
  </si>
  <si>
    <t>https://www.myntra.com/jeans/roadster/roadster-time-travlr-women-blue-boyfriend-fit-mid-rise-low-distress-jeans/2322605/buy</t>
  </si>
  <si>
    <t>roadster time travlr women blue boyfriend fit mid rise low distress jeans</t>
  </si>
  <si>
    <t>https://www.myntra.com/tshirts/roadster/roadster-women-olive-green--brown-printed-polo-collar-pure-cotton-t-shirt/1768591/buy</t>
  </si>
  <si>
    <t>roadster women olive green  brown printed polo collar pure cotton t shirt</t>
  </si>
  <si>
    <t>https://www.myntra.com/track-pants/highlander/highlander-men-navy-blue-typography-casual-track-pants/14156018/buy</t>
  </si>
  <si>
    <t>highlander men navy blue typography casual track pants</t>
  </si>
  <si>
    <t>https://www.myntra.com/jeans/campus-sutra/campus-sutra-men-blue-jogger-mid-rise-clean-look-jogger-jeans/11729938/buy</t>
  </si>
  <si>
    <t>campus sutra men blue jogger mid rise clean look jogger jeans</t>
  </si>
  <si>
    <t>https://www.myntra.com/briefs/c9-airwear/c9-airwear-women-pack-of-3-striped-hipster-briefs-p1117/8735275/buy</t>
  </si>
  <si>
    <t>c9 airwear women pack of 3 striped hipster briefs p1117</t>
  </si>
  <si>
    <t>https://www.myntra.com/bra/zivame/zivame-red-solid-non-wired-non-padded-minimizer-bra-zi010250x700red/4369960/buy</t>
  </si>
  <si>
    <t>zivame red solid non wired non padded minimizer bra zi010250x700red</t>
  </si>
  <si>
    <t>https://www.myntra.com/tops/pluss/pluss-rose-frill-detail-top-with-mini-scarf/10667858/buy</t>
  </si>
  <si>
    <t>pluss rose frill detail top with mini scarf</t>
  </si>
  <si>
    <t>https://www.myntra.com/tshirts/harvard/harvard-women-blue--white-ombre-dyed-round-neck-t-shirt/2372790/buy</t>
  </si>
  <si>
    <t>harvard women blue  white ombre dyed round neck t shirt</t>
  </si>
  <si>
    <t>https://www.myntra.com/tshirts/roadster/roadster-women-pack-of-2-pure-cotton-t-shirts/17382168/buy</t>
  </si>
  <si>
    <t>https://www.myntra.com/jeans/roadster/roadster-men-blue-slim-fit-mid-rise-clean-look-jeans/2356414/buy</t>
  </si>
  <si>
    <t>https://www.myntra.com/trousers/roadster/roadster-men-khaki-sustainable-chinos/11201232/buy</t>
  </si>
  <si>
    <t>roadster men khaki sustainable chinos</t>
  </si>
  <si>
    <t>https://www.myntra.com/trousers/jainish/jainish-men-black-slim-fit-formal-trousers/7305613/buy</t>
  </si>
  <si>
    <t>jainish men black slim fit formal trousers</t>
  </si>
  <si>
    <t>https://www.myntra.com/trousers/black-coffee/black-coffee-grey-formal-trousers/1847849/buy</t>
  </si>
  <si>
    <t>black coffee grey formal trousers</t>
  </si>
  <si>
    <t>https://www.myntra.com/shirts/roadster/roadster-men-yellow-regular-fit-solid-sustainable-casual-shirt/10945120/buy</t>
  </si>
  <si>
    <t>roadster men yellow regular fit solid sustainable casual shirt</t>
  </si>
  <si>
    <t>https://www.myntra.com/tops/sassafras/sassafras-women-navy-blue-solid-top/10856186/buy</t>
  </si>
  <si>
    <t>sassafras women navy blue solid top</t>
  </si>
  <si>
    <t>https://www.myntra.com/tshirts/roadster/roadster-women-set-of-2-pure-cotton-t-shirts/17384170/buy</t>
  </si>
  <si>
    <t>roadster women set of 2 pure cotton t shirts</t>
  </si>
  <si>
    <t>https://www.myntra.com/tshirts/roadster/roadster-women-pack-of-2-t-shirts/17381620/buy</t>
  </si>
  <si>
    <t>https://www.myntra.com/dresses/dressberry/dressberry-women-bright-orange-romantic-florals-dress/8278697/buy</t>
  </si>
  <si>
    <t>dressberry women bright orange romantic florals dress</t>
  </si>
  <si>
    <t>https://www.myntra.com/tshirts/roadster/roadster-women-pack-of-2-pure-cotton-solid-t-shirts/17383946/buy</t>
  </si>
  <si>
    <t>roadster women pack of 2 pure cotton solid t shirts</t>
  </si>
  <si>
    <t>https://www.myntra.com/track-pants/hrx-by-hrithik-roshan/hrx-by-hrithik-roshan-men-navy-melange-solid-regular-fit-bio-wash-lifestyle-joggers/11998906/buy</t>
  </si>
  <si>
    <t>hrx by hrithik roshan men navy melange solid regular fit bio wash lifestyle joggers</t>
  </si>
  <si>
    <t>https://www.myntra.com/trunk/one8-by-virat-kohli/one8-by-virat-kohli-men-orange--black-solid-trunks-10512974-1-10513044-1/11217412/buy</t>
  </si>
  <si>
    <t>one8 by virat kohli men orange  black solid trunks 10512974 1 10513044 1</t>
  </si>
  <si>
    <t>Rs. 121 OFF</t>
  </si>
  <si>
    <t>https://www.myntra.com/boxers/urban-scottish/urban-scottish-men-pack-of-2-printed-pure-cotton-boxers-usbx2039/11529160/buy</t>
  </si>
  <si>
    <t>urban scottish men pack of 2 printed pure cotton boxers usbx2039</t>
  </si>
  <si>
    <t>https://www.myntra.com/tshirts/hrx-by-hrithik-roshan/hrx-active-by-hrithik-roshan-seamless-men-charcoal-grey-printed-round-neck-t-shirt/3009821/buy</t>
  </si>
  <si>
    <t>hrx active by hrithik roshan seamless men charcoal grey printed round neck t shirt</t>
  </si>
  <si>
    <t>https://www.myntra.com/tshirts/roadster/roadster-women-dusty-pink--green-pack-of-2-typography-print-round-neck-knitted-t-shirts/17383610/buy</t>
  </si>
  <si>
    <t>roadster women dusty pink  green pack of 2 typography print round neck knitted t shirts</t>
  </si>
  <si>
    <t>XS, XL, L, M, S</t>
  </si>
  <si>
    <t>https://www.myntra.com/dresses/antheaa/antheaa-rust-orange-dobby-weave-sequinned-tiered-wrap-dress/12595580/buy</t>
  </si>
  <si>
    <t>antheaa rust orange dobby weave sequinned tiered wrap dress</t>
  </si>
  <si>
    <t>https://www.myntra.com/tops/tokyo-talkies/tokyo-talkies-women-pink-solid-a-line-top/9801601/buy</t>
  </si>
  <si>
    <t>tokyo talkies women pink solid a line top</t>
  </si>
  <si>
    <t>https://www.myntra.com/shorts/hrx-by-hrithik-roshan/hrx-by-hrithik-roshan-men-grey-solid-lifestyle-regular-fit-sports-shorts/10106533/buy</t>
  </si>
  <si>
    <t>hrx by hrithik roshan men grey solid lifestyle regular fit sports shorts</t>
  </si>
  <si>
    <t>https://www.myntra.com/pyjamas/hypernation/hypernation-men-white-solid-pyjamas/11887886/buy</t>
  </si>
  <si>
    <t>pyjamas</t>
  </si>
  <si>
    <t>hypernation men white solid pyjamas</t>
  </si>
  <si>
    <t>29% OFF</t>
  </si>
  <si>
    <t>https://www.myntra.com/tshirts/wrogn/wrogn-men-off-white-printed-round-neck-pure-cotton-t-shirt/2338895/buy</t>
  </si>
  <si>
    <t>wrogn men off white printed round neck pure cotton t shirt</t>
  </si>
  <si>
    <t>https://www.myntra.com/tshirts/roadster/roadster-men-olive-green-self-design-round-neck-pure-cotton-t-shirt-with-contrast-hem/10941354/buy</t>
  </si>
  <si>
    <t>roadster men olive green self design round neck pure cotton t shirt with contrast hem</t>
  </si>
  <si>
    <t>https://www.myntra.com/dresses/indian-virasat/indian-virasat-women-black--yellow-printed-tiered-fit-and-flare-dress/10692626/buy</t>
  </si>
  <si>
    <t>indian virasat women black  yellow printed tiered fit and flare dress</t>
  </si>
  <si>
    <t>https://www.myntra.com/sarees/tikhi-imli/tikhi-imli-pink-embroidered-net-saree/11263900/buy</t>
  </si>
  <si>
    <t>tikhi imli pink embroidered net saree</t>
  </si>
  <si>
    <t>https://www.myntra.com/lounge-pants/enamor/enamor-women-black-relaxed-fit-lounge-joggers/11532788/buy</t>
  </si>
  <si>
    <t>enamor women black relaxed fit lounge joggers</t>
  </si>
  <si>
    <t>https://www.myntra.com/kurtas/herenow/herenow-women-white--peach-coloured-printed-a-line-kurta/12851396/buy</t>
  </si>
  <si>
    <t>herenow women white  peach coloured printed a line kurta</t>
  </si>
  <si>
    <t>https://www.myntra.com/tops/athena/athena-women-pink-solid-wrap-top/12031382/buy</t>
  </si>
  <si>
    <t>athena women pink solid wrap top</t>
  </si>
  <si>
    <t>https://www.myntra.com/dresses/tokyo-talkies/tokyo-talkies-women-green-maxi-dress/10080501/buy</t>
  </si>
  <si>
    <t>tokyo talkies women green maxi dress</t>
  </si>
  <si>
    <t>https://www.myntra.com/shorts/campus-sutra/campus-sutra-men-blue-washed-regular-fit-denim-shorts/8590437/buy</t>
  </si>
  <si>
    <t>campus sutra men blue washed regular fit denim shorts</t>
  </si>
  <si>
    <t>https://www.myntra.com/kurtas/anouk/anouk-men-rust-solid-straight-kurta/9367419/buy</t>
  </si>
  <si>
    <t>anouk men rust solid straight kurta</t>
  </si>
  <si>
    <t>https://www.myntra.com/tshirts/wrogn/wrogn-men-red--white-striped-slim-fit-round-neck-pure-cotton-t-shirt/11363446/buy</t>
  </si>
  <si>
    <t>wrogn men red  white striped slim fit round neck pure cotton t shirt</t>
  </si>
  <si>
    <t>https://www.myntra.com/shirts/roadster/the-roadster-lifestyle-co-men-white-regular-fit-solid-sustainable-casual-shirt/10398447/buy</t>
  </si>
  <si>
    <t>the roadster lifestyle co men white regular fit solid sustainable casual shirt</t>
  </si>
  <si>
    <t>https://www.myntra.com/tshirts/roadster/roadster-time-travlr-men-blue-sleveless-pure-cotton-t-shirt-with-raw-edges/2498504/buy</t>
  </si>
  <si>
    <t>roadster time travlr men blue sleveless pure cotton t shirt with raw edges</t>
  </si>
  <si>
    <t>https://www.myntra.com/kurtas/vishudh/vishudh-women-maroon--white-printed-straight-kurta/10503328/buy</t>
  </si>
  <si>
    <t>vishudh women maroon  white printed straight kurta</t>
  </si>
  <si>
    <t>https://www.myntra.com/briefs/jockey/jockey-women-black-bikini-briefs-ss-02/15034280/buy</t>
  </si>
  <si>
    <t>jockey women black bikini briefs ss 02</t>
  </si>
  <si>
    <t>https://www.myntra.com/tops/carlton-london/carlton-london-teal-blue-lace-top/10019885/buy</t>
  </si>
  <si>
    <t>carlton london teal blue lace top</t>
  </si>
  <si>
    <t>https://www.myntra.com/tshirts/ether/ether-women-blue-solid-boxy-round-neck-t-shirt/11900428/buy</t>
  </si>
  <si>
    <t>ether women blue solid boxy round neck t shirt</t>
  </si>
  <si>
    <t>https://www.myntra.com/sweatshirts/hm/hm-women-beige-sweatshirt/15808980/buy</t>
  </si>
  <si>
    <t>hm women beige sweatshirt</t>
  </si>
  <si>
    <t>https://www.myntra.com/tshirts/herenow/herenow-men-black-solid-round-neck-t-shirt/12816470/buy</t>
  </si>
  <si>
    <t>herenow men black solid round neck t shirt</t>
  </si>
  <si>
    <t>https://www.myntra.com/kurtas/anayna/anayna-women-maroon--beige-printed-straight-kurta/7372858/buy</t>
  </si>
  <si>
    <t>anayna women maroon  beige printed straight kurta</t>
  </si>
  <si>
    <t>https://www.myntra.com/kurtas/herenow/herenow-women-blue--white-printed-straight-kurta/12530332/buy</t>
  </si>
  <si>
    <t>https://www.myntra.com/tops/dressberry/dressberry-sustainable-ecovero-women-peach-coloured--navy-blue-printed--top/11002110/buy</t>
  </si>
  <si>
    <t>dressberry sustainable ecovero women peach coloured  navy blue printed  top</t>
  </si>
  <si>
    <t>https://www.myntra.com/tops/shae-by-sassafras/shae-by-sassafras-women-teal-blue--off-white-printed-a-line-pure-cotton-top/11636294/buy</t>
  </si>
  <si>
    <t>shae by sassafras women teal blue  off white printed a line pure cotton top</t>
  </si>
  <si>
    <t>https://www.myntra.com/dresses/berrylush/berrylush-women-maroon-solid-fit-and-flare-dress/12791492/buy</t>
  </si>
  <si>
    <t>berrylush women maroon solid fit and flare dress</t>
  </si>
  <si>
    <t>https://www.myntra.com/shirts/invictus/invictus-men-black--pink-slim-fit-printed-casual-shirt/2314010/buy</t>
  </si>
  <si>
    <t>invictus men black  pink slim fit printed casual shirt</t>
  </si>
  <si>
    <t>https://www.myntra.com/kurtas/anouk/anouk-women-lime-green--teal-blue-striped-pure-cotton-straight-kurta/13238718/buy</t>
  </si>
  <si>
    <t>anouk women lime green  teal blue striped pure cotton straight kurta</t>
  </si>
  <si>
    <t>https://www.myntra.com/kurtas/anubhutee/anubhutee-women-peach-coloured--white-khari-printed-straight-kurta/10513912/buy</t>
  </si>
  <si>
    <t>anubhutee women peach coloured  white khari printed straight kurta</t>
  </si>
  <si>
    <t>https://www.myntra.com/kurtas/sangria/sangria-women-maroon-solid-a-line-kurta/8350401/buy</t>
  </si>
  <si>
    <t>sangria women maroon solid a line kurta</t>
  </si>
  <si>
    <t>https://www.myntra.com/sweaters/roadster/roadster-women-purple-self-design-pullover/5447385/buy</t>
  </si>
  <si>
    <t>roadster women purple self design pullover</t>
  </si>
  <si>
    <t>Rs. 900 OFF</t>
  </si>
  <si>
    <t>https://www.myntra.com/jeggings/roadster/roadster-women-blue-solid-mid-rise-super-skinny-fit-cropped-jeggings/11489506/buy</t>
  </si>
  <si>
    <t>roadster women blue solid mid rise super skinny fit cropped jeggings</t>
  </si>
  <si>
    <t>https://www.myntra.com/jeans/tokyo-talkies/tokyo-talkies-women-black-skinny-fit-mid-rise-clean-look-stretchable-jeans/12876636/buy</t>
  </si>
  <si>
    <t>tokyo talkies women black skinny fit mid rise clean look stretchable jeans</t>
  </si>
  <si>
    <t>https://www.myntra.com/jeans/roadster/roadster-women-navy-blue-skinny-fit-high-rise-clean-look-stretchable-cropped-jeans/11541668/buy</t>
  </si>
  <si>
    <t>roadster women navy blue skinny fit high rise clean look stretchable cropped jeans</t>
  </si>
  <si>
    <t>https://www.myntra.com/track-pants/puma-motorsport/puma-motorsport-men-black-solid-bmw-mms-joggers/11451786/buy</t>
  </si>
  <si>
    <t>PUMA Motorsport</t>
  </si>
  <si>
    <t>puma motorsport men black solid bmw mms joggers</t>
  </si>
  <si>
    <t>https://www.myntra.com/tshirts/moda-rapido/moda-rapido-men-black--orange-printed-round-neck-pure-cotton-t-shirt/11269116/buy</t>
  </si>
  <si>
    <t>moda rapido men black  orange printed round neck pure cotton t shirt</t>
  </si>
  <si>
    <t>https://www.myntra.com/kurtas/anouk/anouk-women-off-white--navy-blue-printed-straight-kurta/11201602/buy</t>
  </si>
  <si>
    <t>anouk women off white  navy blue printed straight kurta</t>
  </si>
  <si>
    <t>https://www.myntra.com/kurta-sets/vishudh/vishudh-women-turquoise-blue--gold-toned-printed-kurta-with-palazzos/8255321/buy</t>
  </si>
  <si>
    <t>vishudh women turquoise blue  gold toned printed kurta with palazzos</t>
  </si>
  <si>
    <t>https://www.myntra.com/trousers/athena/athena-women-black--orange-loose-fit-solid-joggers/11521904/buy</t>
  </si>
  <si>
    <t>athena women black  orange loose fit solid joggers</t>
  </si>
  <si>
    <t>https://www.myntra.com/tops/roadster/the-roadster-lifestyle-co-women-black-solid-knitted-top/10964478/buy</t>
  </si>
  <si>
    <t>the roadster lifestyle co women black solid knitted top</t>
  </si>
  <si>
    <t>https://www.myntra.com/tops/miss-chase/miss-chase-black-crop-top/1406107/buy</t>
  </si>
  <si>
    <t>miss chase black crop top</t>
  </si>
  <si>
    <t>https://www.myntra.com/jeans/highlander/highlander-men-grey-tapered-fit-mid-rise-clean-look-stretchable-jeans/12425532/buy</t>
  </si>
  <si>
    <t>highlander men grey tapered fit mid rise clean look stretchable jeans</t>
  </si>
  <si>
    <t>https://www.myntra.com/kurta-sets/sojanya/sojanya-men-grey--blue-self-design-kurta-with-churidar--nehru-jacket/6518468/buy</t>
  </si>
  <si>
    <t>SOJANYA</t>
  </si>
  <si>
    <t>sojanya men grey  blue self design kurta with churidar  nehru jacket</t>
  </si>
  <si>
    <t>https://www.myntra.com/tshirts/hrx-by-hrithik-roshan/hrx-by-hrithik-roshan-men-charcoal-grey-advanced-rapid-dry-round-neck-t-shirt/2314408/buy</t>
  </si>
  <si>
    <t>hrx by hrithik roshan men charcoal grey advanced rapid dry round neck t shirt</t>
  </si>
  <si>
    <t>https://www.myntra.com/tshirts/roadster/the-roadster-lifestyle-co-men-maroon-solid-round-neck-pure-cotton-t-shirt/10941216/buy</t>
  </si>
  <si>
    <t>the roadster lifestyle co men maroon solid round neck pure cotton t shirt</t>
  </si>
  <si>
    <t>https://www.myntra.com/night-suits/etc/etc-women-black-solid-night-suit-with-satin-finish/12441578/buy</t>
  </si>
  <si>
    <t>etc women black solid night suit with satin finish</t>
  </si>
  <si>
    <t>https://www.myntra.com/tshirts/roadster/roadster-women-rust-brown--green-pack-of-2-printed-round-neck-knitted-t-shirts/17383600/buy</t>
  </si>
  <si>
    <t>roadster women rust brown  green pack of 2 printed round neck knitted t shirts</t>
  </si>
  <si>
    <t>https://www.myntra.com/jeans/roadster/roadster-men-blue-skinny-fit-mid-rise-mildly-distressed-stretchable-jeans/11259996/buy</t>
  </si>
  <si>
    <t>https://www.myntra.com/jeans/roadster/roadster-men-blue-slim-tapered-fit-mid-rise-clean-look-stretchable-jeans/12358326/buy</t>
  </si>
  <si>
    <t>https://www.myntra.com/jeans/herenow/herenow-men-black-skinny-fit-mid-rise-clean-look-stretchable-jeans/13134624/buy</t>
  </si>
  <si>
    <t>herenow men black skinny fit mid rise clean look stretchable jeans</t>
  </si>
  <si>
    <t>https://www.myntra.com/jackets/domyos-by-decathlon/domyos-by-decathlon-men-black-lightweight-training-or-gym-sporty-jacket/14491548/buy</t>
  </si>
  <si>
    <t>domyos by decathlon men black lightweight training or gym sporty jacket</t>
  </si>
  <si>
    <t>13% OFF</t>
  </si>
  <si>
    <t>https://www.myntra.com/shirts/highlander/highlander-men-mustard--black-slim-fit-checked-casual-shirt/10004155/buy</t>
  </si>
  <si>
    <t>highlander men mustard  black slim fit checked casual shirt</t>
  </si>
  <si>
    <t>https://www.myntra.com/shirts/dennis-lingo/dennis-lingo-men-black-slim-fit-solid-casual-shirt/6626369/buy</t>
  </si>
  <si>
    <t>dennis lingo men black slim fit solid casual shirt</t>
  </si>
  <si>
    <t>https://www.myntra.com/shirts/roadster/roadster-pack-of-2-solid-slim-fit-sustainable-casual-shirts/2038068/buy</t>
  </si>
  <si>
    <t>roadster pack of 2 solid slim fit sustainable casual shirts</t>
  </si>
  <si>
    <t>https://www.myntra.com/tshirts/roadster/roadster-men-blue-solid-round-neck-t-shirt/1997464/buy</t>
  </si>
  <si>
    <t>roadster men blue solid round neck t shirt</t>
  </si>
  <si>
    <t>https://www.myntra.com/kurtis/anubhutee/anubhutee-women-charcoal-grey--red-printed-straight-kurti/10513934/buy</t>
  </si>
  <si>
    <t>anubhutee women charcoal grey  red printed straight kurti</t>
  </si>
  <si>
    <t>https://www.myntra.com/kurtas/yuris/yuris-women-green--off-white-striped-straight-kurta-with-floral-embroidered-detail/10736380/buy</t>
  </si>
  <si>
    <t>yuris women green  off white striped straight kurta with floral embroidered detail</t>
  </si>
  <si>
    <t>https://www.myntra.com/kurtas/vishudh/vishudh-women-white--grey-solid-a-line-kurta/2976285/buy</t>
  </si>
  <si>
    <t>vishudh women white  grey solid a line kurta</t>
  </si>
  <si>
    <t>https://www.myntra.com/kurta-sets/meeranshi/meeranshi-women-grey-yoke-design-kurta-with-palazzos/10634670/buy</t>
  </si>
  <si>
    <t>Meeranshi</t>
  </si>
  <si>
    <t>meeranshi women grey yoke design kurta with palazzos</t>
  </si>
  <si>
    <t>https://www.myntra.com/shirts/dressberry/dressberry-women-brown-regular-fit-printed-casual-shirt/7485921/buy</t>
  </si>
  <si>
    <t>dressberry women brown regular fit printed casual shirt</t>
  </si>
  <si>
    <t>https://www.myntra.com/sweatshirts/sassafras/sassafras-women-off-white-faux-fur-crop-sweatshirt/12737878/buy</t>
  </si>
  <si>
    <t>sassafras women off white faux fur crop sweatshirt</t>
  </si>
  <si>
    <t>https://www.myntra.com/dresses/athena/athena-green-v-neck-blazer-dress-with-puff-sleeves/13904152/buy</t>
  </si>
  <si>
    <t>athena green v neck blazer dress with puff sleeves</t>
  </si>
  <si>
    <t>https://www.myntra.com/jumpsuit/quiero/quiero-women-pink-wrap-detail-jumpsuit/11007034/buy</t>
  </si>
  <si>
    <t>quiero women pink wrap detail jumpsuit</t>
  </si>
  <si>
    <t>https://www.myntra.com/tshirts/chemistry/chemistry-women-brown-v-neck-cotton-pure-cotton-t-shirt/12645740/buy</t>
  </si>
  <si>
    <t>chemistry women brown v neck cotton pure cotton t shirt</t>
  </si>
  <si>
    <t>https://www.myntra.com/tshirts/roadster/the-roadster-lifestyle-co-women-navy-blue-solid-round-neck-t-shirt/9697405/buy</t>
  </si>
  <si>
    <t>the roadster lifestyle co women navy blue solid round neck t shirt</t>
  </si>
  <si>
    <t>https://www.myntra.com/socks/hrx-by-hrithik-roshan/hrx-by-hrithik-roshan-men-ankle-length-pack-of-3-socks/2510318/buy</t>
  </si>
  <si>
    <t>https://www.myntra.com/shirts/mast--harbour/mast--harbour-men-teal-green--navy-blue-regular-fit-checked-sustainable-casual-shirt/11195048/buy</t>
  </si>
  <si>
    <t>mast  harbour men teal green  navy blue regular fit checked sustainable casual shirt</t>
  </si>
  <si>
    <t>https://www.myntra.com/jeans/roadster/roadster-women-blue-skinny-fit-high-rise-clean-look-stretchable-jeans/8810391/buy</t>
  </si>
  <si>
    <t>https://www.myntra.com/tshirts/roadster/the-roadster-lifestyle-co-women-black--beige-striped-round-neck-pure-cotton-t-shirt/9740187/buy</t>
  </si>
  <si>
    <t>the roadster lifestyle co women black  beige striped round neck pure cotton t shirt</t>
  </si>
  <si>
    <t>https://www.myntra.com/jeans/mast--harbour/mast--harbour-men-blue-skinny-fit-mid-rise-clean-look-stretchable-jeans/12983710/buy</t>
  </si>
  <si>
    <t>https://www.myntra.com/socks/wrogn/-wrogn-men-pack-of-3-patterned-ankle-length-socks/12402736/buy</t>
  </si>
  <si>
    <t xml:space="preserve"> wrogn men pack of 3 patterned ankle length socks</t>
  </si>
  <si>
    <t>https://www.myntra.com/kurtas/vishudh/vishudh-women-yellow-yoke-design-asymmetric-kurta/11148496/buy</t>
  </si>
  <si>
    <t>vishudh women yellow yoke design asymmetric kurta</t>
  </si>
  <si>
    <t>https://www.myntra.com/capris/c9-airwear/c9-airwear-women-black-solid-capris-/5872481/buy</t>
  </si>
  <si>
    <t xml:space="preserve">c9 airwear women black solid capris </t>
  </si>
  <si>
    <t>https://www.myntra.com/track-pants/tokyo-talkies/tokyo-talkies-women-black--white-solid-slim-fit-track-pants/14154092/buy</t>
  </si>
  <si>
    <t>tokyo talkies women black  white solid slim fit track pants</t>
  </si>
  <si>
    <t>https://www.myntra.com/jumpsuit/sassafras/sassafras-maroon--green-floral-print-playsuit/4882924/buy</t>
  </si>
  <si>
    <t>sassafras maroon  green floral print playsuit</t>
  </si>
  <si>
    <t>https://www.myntra.com/dresses/mast--harbour/mast--harbour-red--white-embroidered-a-line-dress/11144166/buy</t>
  </si>
  <si>
    <t>mast  harbour red  white embroidered a line dress</t>
  </si>
  <si>
    <t>https://www.myntra.com/dresses/rare/rare-navy-blue--pink-floral-printed-fit-and-flare-dress/10778936/buy</t>
  </si>
  <si>
    <t>rare navy blue  pink floral printed fit and flare dress</t>
  </si>
  <si>
    <t>https://www.myntra.com/dresses/dressberry/dressberry-beautiful-off-white-floral-70s-mini-dress/2521066/buy</t>
  </si>
  <si>
    <t>dressberry beautiful off white floral 70s mini dress</t>
  </si>
  <si>
    <t>https://www.myntra.com/tshirts/roadster/the-roadster-lifestyle-co-men-black--white-colourblocked-polo-collar-pure-cotton-t-shirt/9242647/buy</t>
  </si>
  <si>
    <t>the roadster lifestyle co men black  white colourblocked polo collar pure cotton t shirt</t>
  </si>
  <si>
    <t>https://www.myntra.com/bra/enamor/enamor-black-non-wired-non-padded-full-coverage-everyday-bra-ab75-/130966/buy</t>
  </si>
  <si>
    <t xml:space="preserve">enamor black non wired non padded full coverage everyday bra ab75 </t>
  </si>
  <si>
    <t>https://www.myntra.com/tops/pluss/pluss-pink-self-design-crop-top/12150616/buy</t>
  </si>
  <si>
    <t>pluss pink self design crop top</t>
  </si>
  <si>
    <t>https://www.myntra.com/sweaters/roadster/roadster-women-black-self-design-cardigan/6397681/buy</t>
  </si>
  <si>
    <t>roadster women black self design cardigan</t>
  </si>
  <si>
    <t>https://www.myntra.com/jackets/belle-fille/belle-fille-women-grey-solid-hooded-sporty-jacket/2053499/buy</t>
  </si>
  <si>
    <t>belle fille women grey solid hooded sporty jacket</t>
  </si>
  <si>
    <t>https://www.myntra.com/tshirts/roadster/roadster-women-white-solid-v-neck-t-shirt/10778710/buy</t>
  </si>
  <si>
    <t>roadster women white solid v neck t shirt</t>
  </si>
  <si>
    <t>https://www.myntra.com/bra/zivame/zivame-red-solid-non-wired-lightly-padded-t-shirt-bra-zi1946fash00red/10806144/buy</t>
  </si>
  <si>
    <t>zivame red solid non wired lightly padded t shirt bra zi1946fash00red</t>
  </si>
  <si>
    <t>https://www.myntra.com/kurtas/herenow/herenow-women-grey-solid-pure-cotton-straight-kurta/13404388/buy</t>
  </si>
  <si>
    <t>herenow women grey solid pure cotton straight kurta</t>
  </si>
  <si>
    <t>https://www.myntra.com/jeggings/sassafras/sassafras-women-black-solid-high-waist-treggings/13843086/buy</t>
  </si>
  <si>
    <t>sassafras women black solid high waist treggings</t>
  </si>
  <si>
    <t>https://www.myntra.com/jeans/wrogn/wrogn-men-black-slim-fit-mid-rise-clean-look-stretchable-jeans/10685308/buy</t>
  </si>
  <si>
    <t>https://www.myntra.com/jeans/roadster/roadster-men-blue-skinny-fit-mid-rise-clean-look-stretchable-jeans/7278581/buy</t>
  </si>
  <si>
    <t>https://www.myntra.com/shirts/highlander/highlander-men-blue-slim-fit-printed-casual-shirt/13842342/buy</t>
  </si>
  <si>
    <t>highlander men blue slim fit printed casual shirt</t>
  </si>
  <si>
    <t>https://www.myntra.com/tshirts/hrx-by-hrithik-roshan/hrx-by-hrithik-roshan-men-navy-blue-solid-bio-wash-lifestyle-pure-cotton-t-shirts/6791055/buy</t>
  </si>
  <si>
    <t>hrx by hrithik roshan men navy blue solid bio wash lifestyle pure cotton t shirts</t>
  </si>
  <si>
    <t>https://www.myntra.com/shirts/english-navy/english-navy-men-grey-slim-fit-solid-formal-shirt/8571065/buy</t>
  </si>
  <si>
    <t>English Navy</t>
  </si>
  <si>
    <t>english navy men grey slim fit solid formal shirt</t>
  </si>
  <si>
    <t>https://www.myntra.com/kurtas/anouk/anouk-women-green--white-floral-printed-boat-neck-straight-kurta/12135010/buy</t>
  </si>
  <si>
    <t>anouk women green  white floral printed boat neck straight kurta</t>
  </si>
  <si>
    <t>https://www.myntra.com/kurtas/varanga/varanga-women-navy-blue--beige-ethnic-motifs-printed-keyhole-neck-gotta-patti-kurta/15268846/buy</t>
  </si>
  <si>
    <t>varanga women navy blue  beige ethnic motifs printed keyhole neck gotta patti kurta</t>
  </si>
  <si>
    <t>https://www.myntra.com/night-suits/claura/claura-women-pink--white-feather-print-pyjamas-set/10316807/buy</t>
  </si>
  <si>
    <t>claura women pink  white feather print pyjamas set</t>
  </si>
  <si>
    <t>https://www.myntra.com/jackets/tokyo-talkies/tokyo-talkies-women-blue-solid-denim-jacket/10742396/buy</t>
  </si>
  <si>
    <t>tokyo talkies women blue solid denim jacket</t>
  </si>
  <si>
    <t>https://www.myntra.com/jeggings/sassafras/sassafras-women-black-solid-high-waist-treggings/13843254/buy</t>
  </si>
  <si>
    <t>https://www.myntra.com/dresses/dressberry/dressberry-women-enchanting-sea-green-romantic-florals-dress/10720136/buy</t>
  </si>
  <si>
    <t>dressberry women enchanting sea green romantic florals dress</t>
  </si>
  <si>
    <t>https://www.myntra.com/jeans/roadster/roadster-men-navy-blue-acid-washed-slim-fit-mid-rise-clean-look-stretchable-jeans/12303596/buy</t>
  </si>
  <si>
    <t>roadster men navy blue acid washed slim fit mid rise clean look stretchable jeans</t>
  </si>
  <si>
    <t>https://www.myntra.com/tshirts/roadster/roadster-men-grey--black-printed-round-neck-pure-cotton-t-shirt/10938454/buy</t>
  </si>
  <si>
    <t>roadster men grey  black printed round neck pure cotton t shirt</t>
  </si>
  <si>
    <t>https://www.myntra.com/kurtis/anubhutee/anubhutee-women-teal-blue--golden-printed-kurti/11053760/buy</t>
  </si>
  <si>
    <t>anubhutee women teal blue  golden printed kurti</t>
  </si>
  <si>
    <t>https://www.myntra.com/bra/zivame/zivame-blue-solid-underwired-lightly-padded-push-up-bra-zi1133coreablue/6820287/buy</t>
  </si>
  <si>
    <t>zivame blue solid underwired lightly padded push up bra zi1133coreablue</t>
  </si>
  <si>
    <t>https://www.myntra.com/kurtas/ahika/ahika-women-off-white--pink-printed-anarkali-kurta/12142722/buy</t>
  </si>
  <si>
    <t>ahika women off white  pink printed anarkali kurta</t>
  </si>
  <si>
    <t>https://www.myntra.com/trousers/tokyo-talkies/tokyo-talkies-women-olive-green-trousers/12026426/buy</t>
  </si>
  <si>
    <t>tokyo talkies women olive green trousers</t>
  </si>
  <si>
    <t>https://www.myntra.com/tshirts/roadster/roadster-women-pack-of-2-pure-cotton-typography-print-t-shirts/17384844/buy</t>
  </si>
  <si>
    <t>https://www.myntra.com/jeans/roadster-fast-and-furious/roadster-fast-and-furious-men-blue-slim-fit-low-rise-clean-look-stretchable-jeans/4451372/buy</t>
  </si>
  <si>
    <t>roadster fast and furious men blue slim fit low rise clean look stretchable jeans</t>
  </si>
  <si>
    <t>https://www.myntra.com/jackets/campus-sutra/campus-sutra-men-black-solid-windcheater-hooded-bomber/12252860/buy</t>
  </si>
  <si>
    <t>campus sutra men black solid windcheater hooded bomber</t>
  </si>
  <si>
    <t>https://www.myntra.com/tshirts/roadster/roadster-women-pack-of--2-colourblocked-t-shirts/17384220/buy</t>
  </si>
  <si>
    <t>roadster women pack of  2 colourblocked t shirts</t>
  </si>
  <si>
    <t>https://www.myntra.com/jeans/highlander/highlander-men-white-tapered-fit-mid-rise-clean-look-stretchable-jeans/11117228/buy</t>
  </si>
  <si>
    <t>highlander men white tapered fit mid rise clean look stretchable jeans</t>
  </si>
  <si>
    <t>https://www.myntra.com/track-pants/mast--harbour/mast--harbour-men-grey-regular-fit-solid-track-pants/2463353/buy</t>
  </si>
  <si>
    <t>mast  harbour men grey regular fit solid track pants</t>
  </si>
  <si>
    <t>https://www.myntra.com/kurtas/cross-court/cross-court-men-violet--maroon-solid-straight-kurta/3736649/buy</t>
  </si>
  <si>
    <t>Cross Court</t>
  </si>
  <si>
    <t>cross court men violet  maroon solid straight kurta</t>
  </si>
  <si>
    <t>https://www.myntra.com/kurtas/varanga/varanga-women-pink--white-printed-straight-kurta/9236625/buy</t>
  </si>
  <si>
    <t>varanga women pink  white printed straight kurta</t>
  </si>
  <si>
    <t>https://www.myntra.com/tshirts/roadster/roadster-women-black--maroon-pack-of-2-typography-print-round-neck-pure-cotton-t-shirts/17383444/buy</t>
  </si>
  <si>
    <t>roadster women black  maroon pack of 2 typography print round neck pure cotton t shirts</t>
  </si>
  <si>
    <t>https://www.myntra.com/shirts/invictus/invictus-men-navy-blue--red-slim-fit-printed-semiformal-shirt/8352597/buy</t>
  </si>
  <si>
    <t>invictus men navy blue  red slim fit printed semiformal shirt</t>
  </si>
  <si>
    <t>https://www.myntra.com/shirts/roadster/the-roadster-lifestyle-co-men-navy-blue--grey-regular-fit-checked-sustainable-casual-shirt/9951473/buy</t>
  </si>
  <si>
    <t>the roadster lifestyle co men navy blue  grey regular fit checked sustainable casual shirt</t>
  </si>
  <si>
    <t>https://www.myntra.com/jackets/hubberholme/hubberholme-men-black-solid-denim-jacket/12834804/buy</t>
  </si>
  <si>
    <t>hubberholme men black solid denim jacket</t>
  </si>
  <si>
    <t>https://www.myntra.com/shirts/harvard/harvard-men-navy--red-checked-slim-fit-casual-shirt/1847239/buy</t>
  </si>
  <si>
    <t>harvard men navy  red checked slim fit casual shirt</t>
  </si>
  <si>
    <t>https://www.myntra.com/tshirts/harvard/harvard-men-yellow-solid-polo-collar-pure-cotton-t-shirt/9079605/buy</t>
  </si>
  <si>
    <t>harvard men yellow solid polo collar pure cotton t shirt</t>
  </si>
  <si>
    <t>https://www.myntra.com/kurtas/inddus/inddus-women-black-striped-georgette-kurta-with-sequined-detail/13895576/buy</t>
  </si>
  <si>
    <t>inddus women black striped georgette kurta with sequined detail</t>
  </si>
  <si>
    <t>https://www.myntra.com/bra/jockey/jockey-pack-of-2-non-padded-bras/3013729/buy</t>
  </si>
  <si>
    <t>jockey pack of 2 non padded bras</t>
  </si>
  <si>
    <t>https://www.myntra.com/tshirts/dillinger/dillinger-women-green-printed-longline-oversized-cotton-pure-cotton-t-shirt/12729384/buy</t>
  </si>
  <si>
    <t>dillinger women green printed longline oversized cotton pure cotton t shirt</t>
  </si>
  <si>
    <t>https://www.myntra.com/tshirts/roadster/roadster-women-mustard-yellow--teal-green-pack-of-2-printed-round-neck-t-shirts/17383510/buy</t>
  </si>
  <si>
    <t>roadster women mustard yellow  teal green pack of 2 printed round neck t shirts</t>
  </si>
  <si>
    <t>https://www.myntra.com/tshirts/roadster/roadster-women-pack-of-2-solid-t-shirts/17381996/buy</t>
  </si>
  <si>
    <t>https://www.myntra.com/tshirts/mast--harbour/mast--harbour-women-pack-of-2-cotton-t-shirts/17524566/buy</t>
  </si>
  <si>
    <t>https://www.myntra.com/jeggings/deewa/deewa-women-black-slim-fit-solid-treggings/10555458/buy</t>
  </si>
  <si>
    <t>Deewa</t>
  </si>
  <si>
    <t>deewa women black slim fit solid treggings</t>
  </si>
  <si>
    <t>https://www.myntra.com/jeans/roadster/roadster-women-blue-slim-fit-mid-rise-clean-look-stretchable-cropped-jeans/8810403/buy</t>
  </si>
  <si>
    <t>roadster women blue slim fit mid rise clean look stretchable cropped jeans</t>
  </si>
  <si>
    <t>https://www.myntra.com/lounge-pants/vimal/vimal-men-charcoal-grey-solid-lounge-pants-/2091633/buy</t>
  </si>
  <si>
    <t xml:space="preserve">vimal men charcoal grey solid lounge pants </t>
  </si>
  <si>
    <t>33% OFF</t>
  </si>
  <si>
    <t>https://www.myntra.com/lounge-pants/vimal/vimal-men-pack-of-2-charcoal-grey-solid-lounge-pants-/11849720/buy</t>
  </si>
  <si>
    <t xml:space="preserve">vimal men pack of 2 charcoal grey solid lounge pants </t>
  </si>
  <si>
    <t>https://www.myntra.com/shirts/locomotive/locomotive-men-navy-blue--pink-slim-fit-printed-casual-shirt/13955204/buy</t>
  </si>
  <si>
    <t>locomotive men navy blue  pink slim fit printed casual shirt</t>
  </si>
  <si>
    <t>https://www.myntra.com/shirts/herenow/herenow-men-navy-blue--green-slim-fit-checked-casual-shirt/11350332/buy</t>
  </si>
  <si>
    <t>herenow men navy blue  green slim fit checked casual shirt</t>
  </si>
  <si>
    <t>https://www.myntra.com/shirts/wrogn/wrogn-men-navy-blue-slim-fit-striped-casual-shirt/10409970/buy</t>
  </si>
  <si>
    <t>wrogn men navy blue slim fit striped casual shirt</t>
  </si>
  <si>
    <t>https://www.myntra.com/dresses/herenow/herenow-navy-blue--white-geometric-printed-maxi-shirt-dress/7119168/buy</t>
  </si>
  <si>
    <t>herenow navy blue  white geometric printed maxi shirt dress</t>
  </si>
  <si>
    <t>https://www.myntra.com/sarees/inddus/inddus-navy-blue--golden-silk-blend-solid-festive-saree/12631312/buy</t>
  </si>
  <si>
    <t>inddus navy blue  golden silk blend solid festive saree</t>
  </si>
  <si>
    <t>https://www.myntra.com/kurta-sets/ishin/ishin-women-black--beige-printed-kurta-with-trousers-and-ethnic-jacket/11239052/buy</t>
  </si>
  <si>
    <t>ishin women black  beige printed kurta with trousers and ethnic jacket</t>
  </si>
  <si>
    <t>https://www.myntra.com/nightdress/secret-wish/secret-wish-navy-printed-maxi-nightdress-nt-136/1081753/buy</t>
  </si>
  <si>
    <t>Secret Wish</t>
  </si>
  <si>
    <t>secret wish navy printed maxi nightdress nt 136</t>
  </si>
  <si>
    <t xml:space="preserve"> 46 % OFF</t>
  </si>
  <si>
    <t>https://www.myntra.com/tshirts/hrx-by-hrithik-roshan/hrx-by-hrithik-roshan-women-navy-blue-solid-rapid-dry-training-tshirt/10565494/buy</t>
  </si>
  <si>
    <t>hrx by hrithik roshan women navy blue solid rapid dry training tshirt</t>
  </si>
  <si>
    <t>https://www.myntra.com/jeans/tokyo-talkies/tokyo-talkies-women-grey-super-skinny-fit-mid-rise-clean-look-stretchable-jeans/11395996/buy</t>
  </si>
  <si>
    <t>tokyo talkies women grey super skinny fit mid rise clean look stretchable jeans</t>
  </si>
  <si>
    <t>https://www.myntra.com/tshirts/roadster/roadster-women-pack-of-2-solid-cotton-t-shirt/17385768/buy</t>
  </si>
  <si>
    <t>https://www.myntra.com/jeans/roadster/roadster-women-blue-boyfriend-fit-high-rise-clean-look-stretchable-side-striped-jeans/11118514/buy</t>
  </si>
  <si>
    <t>roadster women blue boyfriend fit high rise clean look stretchable side striped jeans</t>
  </si>
  <si>
    <t>https://www.myntra.com/tops/roadster/roadster-women-mustard-yellow-styled-back-pure-cotton-top/8330195/buy</t>
  </si>
  <si>
    <t>roadster women mustard yellow styled back pure cotton top</t>
  </si>
  <si>
    <t>https://www.myntra.com/shorts/hrx-by-hrithik-roshan/hrx-by-hrithik-roshan-men-navy-blue-solid-regular-fit-sports-shorts/8851929/buy</t>
  </si>
  <si>
    <t>hrx by hrithik roshan men navy blue solid regular fit sports shorts</t>
  </si>
  <si>
    <t>https://www.myntra.com/track-pants/maniac/maniac-men-black-solid-slim-fit-joggers/9436571/buy</t>
  </si>
  <si>
    <t>https://www.myntra.com/shirts/roadster/roadster-men-green--black-regular-fit-printed-sustainable-casual-shirt/11326622/buy</t>
  </si>
  <si>
    <t>roadster men green  black regular fit printed sustainable casual shirt</t>
  </si>
  <si>
    <t>https://www.myntra.com/shirts/roadster/roadster-men-navy-blue--brown-checked-pure-cotton-sustainable-casual-shirt/10397911/buy</t>
  </si>
  <si>
    <t>roadster men navy blue  brown checked pure cotton sustainable casual shirt</t>
  </si>
  <si>
    <t>https://www.myntra.com/shirts/roadster/roadster-men-black-regular-fit-solid-sustainable-casual-shirt/10944412/buy</t>
  </si>
  <si>
    <t>roadster men black regular fit solid sustainable casual shirt</t>
  </si>
  <si>
    <t>https://www.myntra.com/bra/van-heusen/van-heusen-beige-solid-underwired-lightly-padded-6-way-strapless-bandeau-bra-ilibr1gasww3733001/9442835/buy</t>
  </si>
  <si>
    <t>Van Heusen</t>
  </si>
  <si>
    <t>van heusen beige solid underwired lightly padded 6 way strapless bandeau bra ilibr1gasww3733001</t>
  </si>
  <si>
    <t>https://www.myntra.com/night-suits/anubhutee/anubhutee-women-blue-pure-cotton-printed-night-suit/13592720/buy</t>
  </si>
  <si>
    <t>anubhutee women blue pure cotton printed night suit</t>
  </si>
  <si>
    <t>https://www.myntra.com/shirts/harvard/harvard-blue-solid-casual-denim-shirt/1718904/buy</t>
  </si>
  <si>
    <t>harvard blue solid casual denim shirt</t>
  </si>
  <si>
    <t>https://www.myntra.com/tshirts/roadster/roadster-women-white-solid-v-neck-pure-cotton-t-shirt/10778656/buy</t>
  </si>
  <si>
    <t>https://www.myntra.com/sports-sandals/quechua-by-decathlon/quechua-by-decathlon-unisex-black-nh50-sports-sandals/13167660/buy</t>
  </si>
  <si>
    <t>sports-sandals</t>
  </si>
  <si>
    <t>quechua by decathlon unisex black nh50 sports sandals</t>
  </si>
  <si>
    <t>8% OFF</t>
  </si>
  <si>
    <t>UK3, UK4, UK5, UK5.5, UK6.5, UK7, UK8, UK8.5, UK9.5, UK10.5, UK11, UK12</t>
  </si>
  <si>
    <t>https://www.myntra.com/tops/miss-chase/miss-chase-black-striped-maxi-top/9722997/buy</t>
  </si>
  <si>
    <t>miss chase black striped maxi top</t>
  </si>
  <si>
    <t>https://www.myntra.com/tshirts/wrogn/wrogn-men-mustard-yellow--white-striped-slim-fit-pure-cotton-t-shirt/8426355/buy</t>
  </si>
  <si>
    <t>wrogn men mustard yellow  white striped slim fit pure cotton t shirt</t>
  </si>
  <si>
    <t>https://www.myntra.com/kurtas/anouk/anouk-women-black--orange-bandhani-printed-kurta/14376546/buy</t>
  </si>
  <si>
    <t>anouk women black  orange bandhani printed kurta</t>
  </si>
  <si>
    <t>https://www.myntra.com/briefs/enamor/enamor-women-pack-of-3-assorted-mid-waist-cotton-hipster-briefs-cr17/2295687/buy</t>
  </si>
  <si>
    <t>enamor women pack of 3 assorted mid waist cotton hipster briefs cr17</t>
  </si>
  <si>
    <t>https://www.myntra.com/bra/dressberry/dressberry-white-lace-non-wired-non-padded-everyday-bra-db-crht-bra-010d/10939824/buy</t>
  </si>
  <si>
    <t>dressberry white lace non wired non padded everyday bra db crht bra 010d</t>
  </si>
  <si>
    <t>https://www.myntra.com/kurtas/herenow/herenow-women-pink--blue-printed-straight-kurta/4696509/buy</t>
  </si>
  <si>
    <t>herenow women pink  blue printed straight kurta</t>
  </si>
  <si>
    <t>https://www.myntra.com/tshirts/roadster/roadster-women-pack-of-2-printed-cotton-t-shirt/17385208/buy</t>
  </si>
  <si>
    <t>https://www.myntra.com/tops/dressberry/dressberry-women-pink-solid-longline-top/2393019/buy</t>
  </si>
  <si>
    <t>dressberry women pink solid longline top</t>
  </si>
  <si>
    <t>https://www.myntra.com/trousers/roadster/roadster-men-blue-regular-fit-solid-chinos/8237591/buy</t>
  </si>
  <si>
    <t>roadster men blue regular fit solid chinos</t>
  </si>
  <si>
    <t>https://www.myntra.com/tshirts/hrx-by-hrithik-roshan/hrx-by-hrithik-roshan-men-mazarine-blue-typographic-rapid-dry-antimicrobial-training-tshirt/13040630/buy</t>
  </si>
  <si>
    <t>hrx by hrithik roshan men mazarine blue typographic rapid dry antimicrobial training tshirt</t>
  </si>
  <si>
    <t>https://www.myntra.com/sweaters/roadster/roadster-men-brown--black-colourblocked-hooded-pullover/5151921/buy</t>
  </si>
  <si>
    <t>roadster men brown  black colourblocked hooded pullover</t>
  </si>
  <si>
    <t>https://www.myntra.com/shirts/highlander/highlander-teal-blue-slim-shirt/1272494/buy</t>
  </si>
  <si>
    <t>highlander teal blue slim shirt</t>
  </si>
  <si>
    <t>https://www.myntra.com/kurta-sets/herenow/herenow-women-peach-coloured--blue-solid-kurta-with-palazzos/4921219/buy</t>
  </si>
  <si>
    <t>herenow women peach coloured  blue solid kurta with palazzos</t>
  </si>
  <si>
    <t>https://www.myntra.com/dresses/zima-leto/zima-leto-women-navy-blue-solid-midi-sheath-dress/6620324/buy</t>
  </si>
  <si>
    <t>Zima Leto</t>
  </si>
  <si>
    <t>zima leto women navy blue solid midi sheath dress</t>
  </si>
  <si>
    <t>https://www.myntra.com/sweatshirts/roadster/the-roadster-lifestyle-co-women-black-solid-sweatshirt/9477715/buy</t>
  </si>
  <si>
    <t>the roadster lifestyle co women black solid sweatshirt</t>
  </si>
  <si>
    <t>https://www.myntra.com/trousers/invictus/invictus-men-grey-self-design-slim-fit-formal-trousers/1749040/buy</t>
  </si>
  <si>
    <t>invictus men grey self design slim fit formal trousers</t>
  </si>
  <si>
    <t>https://www.myntra.com/shirts/roadster/roadster-men-rust-regular-fit-solid-sustainable-casual-shirt/11903994/buy</t>
  </si>
  <si>
    <t>roadster men rust regular fit solid sustainable casual shirt</t>
  </si>
  <si>
    <t>https://www.myntra.com/shirts/wrogn/wrogn-men-navy-blue--green-slim-fit-checked-casual-shirt/8426223/buy</t>
  </si>
  <si>
    <t>wrogn men navy blue  green slim fit checked casual shirt</t>
  </si>
  <si>
    <t>https://www.myntra.com/kurta-sets/idalia/idalia-women-navy-blue--golden-printed-kurta-with-skirt/8949487/buy</t>
  </si>
  <si>
    <t>Idalia</t>
  </si>
  <si>
    <t>idalia women navy blue  golden printed kurta with skirt</t>
  </si>
  <si>
    <t>https://www.myntra.com/jeans/roadster/roadster-men-black-regular-fit-mid-rise-clean-look-stretchable-jeans/8903681/buy</t>
  </si>
  <si>
    <t>roadster men black regular fit mid rise clean look stretchable jeans</t>
  </si>
  <si>
    <t>https://www.myntra.com/trousers/highlander/highlander-men-grey--blue-slim-fit-printed-joggers/6812996/buy</t>
  </si>
  <si>
    <t>highlander men grey  blue slim fit printed joggers</t>
  </si>
  <si>
    <t>https://www.myntra.com/tshirts/roadster/roadster-men-charcoal-grey--black-printed-round-neck-t-shirt/11744680/buy</t>
  </si>
  <si>
    <t>roadster men charcoal grey  black printed round neck t shirt</t>
  </si>
  <si>
    <t>https://www.myntra.com/shirts/wrogn/wrogn-men-navy-blue-slim-fit-striped-casual-shirt/11361588/buy</t>
  </si>
  <si>
    <t>https://www.myntra.com/kurtas/yash-gallery/yash-gallery-women-off-white--maroon-printed-anarkali-kurta/11008048/buy</t>
  </si>
  <si>
    <t>YASH GALLERY</t>
  </si>
  <si>
    <t>yash gallery women off white  maroon printed anarkali kurta</t>
  </si>
  <si>
    <t>XS, S, M, L, XL, XXL, 3XL, 4XL, 5XL</t>
  </si>
  <si>
    <t>https://www.myntra.com/bra/lebami/lebami-black-lace-non-wired-lightly-padded-bralette-527-black/9003071/buy</t>
  </si>
  <si>
    <t>lebami black lace non wired lightly padded bralette 527 black</t>
  </si>
  <si>
    <t>32% OFF</t>
  </si>
  <si>
    <t>30, 32, 34</t>
  </si>
  <si>
    <t>https://www.myntra.com/tshirts/hrx-by-hrithik-roshan/hrx-by-hrithik-roshan-women-peach-whip-solid-rapid-dry-racket-sports-tshirts/11640002/buy</t>
  </si>
  <si>
    <t>hrx by hrithik roshan women peach whip solid rapid dry racket sports tshirts</t>
  </si>
  <si>
    <t>https://www.myntra.com/sweatshirts/roadster/the-roadster-lifestyle-co-women-lavender-solid-hooded-sweatshirt/9901953/buy</t>
  </si>
  <si>
    <t>the roadster lifestyle co women lavender solid hooded sweatshirt</t>
  </si>
  <si>
    <t>https://www.myntra.com/leggings/rangmanch-by-pantaloons/rangmanch-by-pantaloons-women-gold-toned-solid-ankle-length-leggings/9791491/buy</t>
  </si>
  <si>
    <t>RANGMANCH BY PANTALOONS</t>
  </si>
  <si>
    <t>rangmanch by pantaloons women gold toned solid ankle length leggings</t>
  </si>
  <si>
    <t>https://www.myntra.com/jackets/roadster/roadster-men-navy-blue--red-colourblocked-puffer-jacket/9587533/buy</t>
  </si>
  <si>
    <t>roadster men navy blue  red colourblocked puffer jacket</t>
  </si>
  <si>
    <t>https://www.myntra.com/kurtas/sangria/sangria-women-navy-blue--white-floral-print-a-line-kurta/13437260/buy</t>
  </si>
  <si>
    <t>sangria women navy blue  white floral print a line kurta</t>
  </si>
  <si>
    <t>https://www.myntra.com/kurta-sets/herenow/herenow-women-beige--grey-printed-kurta-with-palazzos/3014458/buy</t>
  </si>
  <si>
    <t>herenow women beige  grey printed kurta with palazzos</t>
  </si>
  <si>
    <t>https://www.myntra.com/sweatshirts/campus-sutra/campus-sutra-women-black-solid-hooded-sweatshirt/10584392/buy</t>
  </si>
  <si>
    <t>campus sutra women black solid hooded sweatshirt</t>
  </si>
  <si>
    <t>https://www.myntra.com/jeans/mast--harbour/mast--harbour-women-black-skinny-fit-stretchable-jeans/1744901/buy</t>
  </si>
  <si>
    <t>mast  harbour women black skinny fit stretchable jeans</t>
  </si>
  <si>
    <t>https://www.myntra.com/tops/roadster/the-roadster-lifestyle-co-women-mustard-yellow-solid-top/10964506/buy</t>
  </si>
  <si>
    <t>the roadster lifestyle co women mustard yellow solid top</t>
  </si>
  <si>
    <t>https://www.myntra.com/tops/chemistry/chemistry-red-ethnic-motifs-pure-cotton-top/11193818/buy</t>
  </si>
  <si>
    <t>chemistry red ethnic motifs pure cotton top</t>
  </si>
  <si>
    <t>https://www.myntra.com/tshirts/hrx-by-hrithik-roshan/hrx-by-hrithik-roshan-ultralyte-men-maroon--black-colourblocked-running-t-shirt/10106171/buy</t>
  </si>
  <si>
    <t>hrx by hrithik roshan ultralyte men maroon  black colourblocked running t shirt</t>
  </si>
  <si>
    <t>https://www.myntra.com/shirts/highlander/highlander-men-charcoal-grey--white-slim-fit-checked-casual-shirt/11044444/buy</t>
  </si>
  <si>
    <t>highlander men charcoal grey  white slim fit checked casual shirt</t>
  </si>
  <si>
    <t>https://www.myntra.com/shirts/roadster/roadster-men-navy-blue--black-regular-fit-printed-casual-sustainable-shirt/8985541/buy</t>
  </si>
  <si>
    <t>roadster men navy blue  black regular fit printed casual sustainable shirt</t>
  </si>
  <si>
    <t>https://www.myntra.com/kurtas/vishudh/vishudh-women-blue-printed-a-line-kurta/5125742/buy</t>
  </si>
  <si>
    <t>vishudh women blue printed a line kurta</t>
  </si>
  <si>
    <t>https://www.myntra.com/tshirts/juneberry/juneberry-women-white-printed-round-neck-t-shirt/13502984/buy</t>
  </si>
  <si>
    <t>JUNEBERRY</t>
  </si>
  <si>
    <t>juneberry women white printed round neck t shirt</t>
  </si>
  <si>
    <t>Rs. 750 OFF</t>
  </si>
  <si>
    <t>https://www.myntra.com/skirts/sassafras/sassafras-black-corduroy-pure-cotton-a-line-skirt/12288126/buy</t>
  </si>
  <si>
    <t>sassafras black corduroy pure cotton a line skirt</t>
  </si>
  <si>
    <t>https://www.myntra.com/tops/kassually/kassually-fuchsia-high-low-top/10934794/buy</t>
  </si>
  <si>
    <t>kassually fuchsia high low top</t>
  </si>
  <si>
    <t>https://www.myntra.com/jeans/dressberry/dressberry-women-black-skinny-fit-high-rise-clean-look-cropped-jeans/11306968/buy</t>
  </si>
  <si>
    <t>dressberry women black skinny fit high rise clean look cropped jeans</t>
  </si>
  <si>
    <t>https://www.myntra.com/tshirts/roadster/roadster-women-mustard-yellow-solid-round-neck-t-shirt/11893634/buy</t>
  </si>
  <si>
    <t>https://www.myntra.com/tops/tokyo-talkies/tokyo-talkies-women-grey-self-design-a-line-top/9801593/buy</t>
  </si>
  <si>
    <t>tokyo talkies women grey self design a line top</t>
  </si>
  <si>
    <t>https://www.myntra.com/dresses/yash-gallery/yash-gallery-women-blue--white-printed-a-line-dress/11097714/buy</t>
  </si>
  <si>
    <t>yash gallery women blue  white printed a line dress</t>
  </si>
  <si>
    <t>https://www.myntra.com/dresses/sassafras/sassafras-yellow-self-design-dobby-weave-wrap-dress-with-belt/13581038/buy</t>
  </si>
  <si>
    <t>sassafras yellow self design dobby weave wrap dress with belt</t>
  </si>
  <si>
    <t>https://www.myntra.com/dresses/dressberry/dressberry-blue-chambray-a-line-dress/2354862/buy</t>
  </si>
  <si>
    <t>https://www.myntra.com/kurta-sets/mokshi/mokshi-women-white--pink-printed-kurta-with-palazzos/12989794/buy</t>
  </si>
  <si>
    <t>mokshi women white  pink printed kurta with palazzos</t>
  </si>
  <si>
    <t>https://www.myntra.com/sweatshirts/roadster/roadster-women-burgundy-solid-sleeveless-hooded-sweatshirt/6011985/buy</t>
  </si>
  <si>
    <t>roadster women burgundy solid sleeveless hooded sweatshirt</t>
  </si>
  <si>
    <t>https://www.myntra.com/shirts/dressberry/dressberry-women-gorgeous-red-romantic-florals-shirt/8883945/buy</t>
  </si>
  <si>
    <t>dressberry women gorgeous red romantic florals shirt</t>
  </si>
  <si>
    <t>https://www.myntra.com/shirts/mast--harbour/mast--harbour-women-sea-green--yellow-regular-fit-floral-printed-casual-shirt/11711804/buy</t>
  </si>
  <si>
    <t>mast  harbour women sea green  yellow regular fit floral printed casual shirt</t>
  </si>
  <si>
    <t>https://www.myntra.com/tshirts/roadster/roadster-women-pack-of-2-printed-t-shirts/17381782/buy</t>
  </si>
  <si>
    <t>roadster women pack of 2 printed t shirts</t>
  </si>
  <si>
    <t>https://www.myntra.com/jeans/roadster/roadster-women-stunning-blue-boyfriend-fit-stretchable-jeans/11530308/buy</t>
  </si>
  <si>
    <t>https://www.myntra.com/dungarees/roadster/roadster-women-charcoal-grey-dungarees/2471562/buy</t>
  </si>
  <si>
    <t>dungarees</t>
  </si>
  <si>
    <t>roadster women charcoal grey dungarees</t>
  </si>
  <si>
    <t>https://www.myntra.com/trousers/hangup/hangup-men-black--black-formal-trousers/7271326/buy</t>
  </si>
  <si>
    <t>hangup men black  black formal trousers</t>
  </si>
  <si>
    <t>28, 30, 32, 34, 36, 38, 40, 42, 44, 46, 48, 50, 52</t>
  </si>
  <si>
    <t>https://www.myntra.com/shirts/roadster/roadster-men-blue-faded-denim-sustainable-casual-shirt/6687387/buy</t>
  </si>
  <si>
    <t>roadster men blue faded denim sustainable casual shirt</t>
  </si>
  <si>
    <t>https://www.myntra.com/shirts/the-indian-garage-co/the-indian-garage-co-men-white--navy-blue-slim-fit-printed-casual-shirt/11132180/buy</t>
  </si>
  <si>
    <t>The Indian Garage Co</t>
  </si>
  <si>
    <t>the indian garage co men white  navy blue slim fit printed casual shirt</t>
  </si>
  <si>
    <t>https://www.myntra.com/kurta-sets/yufta/yufta-women-teal-blue--grey-solid-kurta-with-sharara/8566957/buy</t>
  </si>
  <si>
    <t>yufta women teal blue  grey solid kurta with sharara</t>
  </si>
  <si>
    <t>https://www.myntra.com/bra/floret/floret-pack-of-2-full-coverage-maternity-bras/762420/buy</t>
  </si>
  <si>
    <t>https://www.myntra.com/shorts/hrx-by-hrithik-roshan/hrx-by-hrithik-roshan-women-blue-rapid-dry-running-shorts/8328167/buy</t>
  </si>
  <si>
    <t>hrx by hrithik roshan women blue rapid dry running shorts</t>
  </si>
  <si>
    <t>https://www.myntra.com/tshirts/roadster/the-roadster-lifestyle-co-women-pink-printed-round-neck-pure-cotton-t-shirt/10968552/buy</t>
  </si>
  <si>
    <t>the roadster lifestyle co women pink printed round neck pure cotton t shirt</t>
  </si>
  <si>
    <t>https://www.myntra.com/jeans/levis/levis-men-black-512-slim-tapered-fit-stretchable-jeans/14852062/buy</t>
  </si>
  <si>
    <t>levis men black 512 slim tapered fit stretchable jeans</t>
  </si>
  <si>
    <t>https://www.myntra.com/jackets/hrx-by-hrithik-roshan/hrx-by-hrithik-roshan-men-black-solid-training-rapid-dry-hooded-jacket/9445791/buy</t>
  </si>
  <si>
    <t>hrx by hrithik roshan men black solid training rapid dry hooded jacket</t>
  </si>
  <si>
    <t>https://www.myntra.com/kurtas/nayo/nayo-women-maroon--navy-blue-ethnic-motifs-printed-straight-kurta/14346052/buy</t>
  </si>
  <si>
    <t>nayo women maroon  navy blue ethnic motifs printed straight kurta</t>
  </si>
  <si>
    <t>https://www.myntra.com/sarees/saree-mall/saree-mall-teal-green-embellished-lace-saree/10264739/buy</t>
  </si>
  <si>
    <t>saree mall teal green embellished lace saree</t>
  </si>
  <si>
    <t>https://www.myntra.com/bra/lebami/lebami-beige-lace-non-wired-lightly-padded-bandeau-bra-1209201883/7436261/buy</t>
  </si>
  <si>
    <t>lebami beige lace non wired lightly padded bandeau bra 1209201883</t>
  </si>
  <si>
    <t>34% OFF</t>
  </si>
  <si>
    <t>https://www.myntra.com/kurtas/herenow/herenow-women-pink-solid-pure-cotton-straight-kurta/13404404/buy</t>
  </si>
  <si>
    <t>herenow women pink solid pure cotton straight kurta</t>
  </si>
  <si>
    <t>https://www.myntra.com/trousers/aujjessa/aujjessa-women-off-white-regular-fit-solid-trousers/7161750/buy</t>
  </si>
  <si>
    <t>Aujjessa</t>
  </si>
  <si>
    <t>aujjessa women off white regular fit solid trousers</t>
  </si>
  <si>
    <t>https://www.myntra.com/dresses/tokyo-talkies/tokyo-talkies-women-grey-solid-maxi-dress/2311117/buy</t>
  </si>
  <si>
    <t>tokyo talkies women grey solid maxi dress</t>
  </si>
  <si>
    <t>https://www.myntra.com/trousers/roadster/roadster-men-green-trousers/13859094/buy</t>
  </si>
  <si>
    <t>roadster men green trousers</t>
  </si>
  <si>
    <t>https://www.myntra.com/kurtas/bene-kleed/bene-kleed-men-olive-green-slim-fit-solid-straight-kurta/8006471/buy</t>
  </si>
  <si>
    <t>Bene Kleed</t>
  </si>
  <si>
    <t>bene kleed men olive green slim fit solid straight kurta</t>
  </si>
  <si>
    <t>Rs. 1305 OFF</t>
  </si>
  <si>
    <t>https://www.myntra.com/tshirts/ether/ether-men-black--white-striped-t-shirt/1462085/buy</t>
  </si>
  <si>
    <t>ether men black  white striped t shirt</t>
  </si>
  <si>
    <t>https://www.myntra.com/shirts/roadster/roadster-women-brown-regular-fit-solid-casual-shirt/11681582/buy</t>
  </si>
  <si>
    <t>roadster women brown regular fit solid casual shirt</t>
  </si>
  <si>
    <t>https://www.myntra.com/jeans/chemistry/chemistry-women-blue-flared-mid-rise-clean-look-stretchable-cropped-jeans/2475351/buy</t>
  </si>
  <si>
    <t>chemistry women blue flared mid rise clean look stretchable cropped jeans</t>
  </si>
  <si>
    <t>https://www.myntra.com/dresses/dressberry/dressberry-women-stunning-blue-floral-swirling-volume-dress/2529712/buy</t>
  </si>
  <si>
    <t>dressberry women stunning blue floral swirling volume dress</t>
  </si>
  <si>
    <t>https://www.myntra.com/tops/cation/cation-black-lace-maxi-top/10423014/buy</t>
  </si>
  <si>
    <t>Cation</t>
  </si>
  <si>
    <t>cation black lace maxi top</t>
  </si>
  <si>
    <t>https://www.myntra.com/track-pants/hrx-by-hrithik-roshan/hrx-by-hrithik-roshan-men-teal-green-athleisure-joggers-/7224489/buy</t>
  </si>
  <si>
    <t xml:space="preserve">hrx by hrithik roshan men teal green athleisure joggers </t>
  </si>
  <si>
    <t>https://www.myntra.com/jeans/roadster/the-roadster-lifestyle-co-men-blue-skinny-fit-mid-rise-clean-look-stretchable-jeans/8962397/buy</t>
  </si>
  <si>
    <t>the roadster lifestyle co men blue skinny fit mid rise clean look stretchable jeans</t>
  </si>
  <si>
    <t>https://www.myntra.com/trunk/levis/levis-men-pack-of-2-solid-pure-cotton--trunks-bb-100ca-2pk-style-010-307/9261263/buy</t>
  </si>
  <si>
    <t>levis men pack of 2 solid pure cotton  trunks bb 100ca 2pk style 010 307</t>
  </si>
  <si>
    <t>https://www.myntra.com/tracksuits/hrx-by-hrithik-roshan/hrx-by-hrithik-roshan-men-navy-blue-solid-lifestyle-tracksuit/10498720/buy</t>
  </si>
  <si>
    <t>tracksuits</t>
  </si>
  <si>
    <t>hrx by hrithik roshan men navy blue solid lifestyle tracksuit</t>
  </si>
  <si>
    <t>https://www.myntra.com/tshirts/hrx-by-hrithik-roshan/hrx-by-hrithik-roshan-men-pack-of-2-blue--grey-printed-rapid-dry-basketball-t-shirt/16323144/buy</t>
  </si>
  <si>
    <t>hrx by hrithik roshan men pack of 2 blue  grey printed rapid dry basketball t shirt</t>
  </si>
  <si>
    <t>https://www.myntra.com/sweatshirts/roadster/the-roadster-lifestyle-co-women-green-solid-hooded-sweatshirt/9478117/buy</t>
  </si>
  <si>
    <t>the roadster lifestyle co women green solid hooded sweatshirt</t>
  </si>
  <si>
    <t>https://www.myntra.com/tshirts/mast--harbour/mast--harbour-women-set-of-2-round-neck-t-shirt/17525226/buy</t>
  </si>
  <si>
    <t>mast  harbour women set of 2 round neck t shirt</t>
  </si>
  <si>
    <t>https://www.myntra.com/shorts/highlander/highlander-men-olive-green-solid-slim-fit-regular-shorts/13858426/buy</t>
  </si>
  <si>
    <t>highlander men olive green solid slim fit regular shorts</t>
  </si>
  <si>
    <t>https://www.myntra.com/shirts/highlander/highlander-men-sea-green--white-slim-fit-checked-casual-shirt/11467504/buy</t>
  </si>
  <si>
    <t>highlander men sea green  white slim fit checked casual shirt</t>
  </si>
  <si>
    <t>https://www.myntra.com/shirts/locomotive/locomotive-men-teal-blue--white-slim-fit-printed-casual-shirt/14014824/buy</t>
  </si>
  <si>
    <t>locomotive men teal blue  white slim fit printed casual shirt</t>
  </si>
  <si>
    <t>https://www.myntra.com/tshirts/mast--harbour/mast--harbour-men-teal-blue-printed-polo-collar-t-shirt/8302427/buy</t>
  </si>
  <si>
    <t>mast  harbour men teal blue printed polo collar t shirt</t>
  </si>
  <si>
    <t>https://www.myntra.com/shirts/locomotive/locomotive-men-navy-blue--white-slim-fit-striped-casual-shirt/10534218/buy</t>
  </si>
  <si>
    <t>locomotive men navy blue  white slim fit striped casual shirt</t>
  </si>
  <si>
    <t>https://www.myntra.com/shirts/invictus/invictus-men-blue-tailored-fit-formal-shirt/486791/buy</t>
  </si>
  <si>
    <t>invictus men blue tailored fit formal shirt</t>
  </si>
  <si>
    <t>37, 38, 39, 40, 42, 44</t>
  </si>
  <si>
    <t>https://www.myntra.com/shirts/invictus/invictus-men-navy-blue--red-slim-fit-checked-casual-shirt/6970699/buy</t>
  </si>
  <si>
    <t>invictus men navy blue  red slim fit checked casual shirt</t>
  </si>
  <si>
    <t>https://www.myntra.com/tops/tokyo-talkies/tokyo-talkies-women-peach-coloured-printed-top/10535832/buy</t>
  </si>
  <si>
    <t>tokyo talkies women peach coloured printed top</t>
  </si>
  <si>
    <t>https://www.myntra.com/dresses/uf/uf-off-white-floral-printed-fit-and-flare-dress/13555072/buy</t>
  </si>
  <si>
    <t>uf off white floral printed fit and flare dress</t>
  </si>
  <si>
    <t>https://www.myntra.com/jeans/tokyo-talkies/tokyo-talkies-women-blue-super-skinny-fit-mid-rise-clean-look-stretchable-cropped-jeans/7766127/buy</t>
  </si>
  <si>
    <t>tokyo talkies women blue super skinny fit mid rise clean look stretchable cropped jeans</t>
  </si>
  <si>
    <t>https://www.myntra.com/tshirts/kook-n-keech-disney/kook-n-keech-disney-women-blue-micky-mouse-print-round-neck-cropped-boxy-t-shirt/11242132/buy</t>
  </si>
  <si>
    <t>kook n keech disney women blue micky mouse print round neck cropped boxy t shirt</t>
  </si>
  <si>
    <t>https://www.myntra.com/dresses/her-by-invictus/her-by-invictus-women-black--red-floral-print-a-line-dress/12220464/buy</t>
  </si>
  <si>
    <t>her by invictus women black  red floral print a line dress</t>
  </si>
  <si>
    <t>https://www.myntra.com/tshirts/wrogn/wrogn-men-burgundy-slim-fit-solid-round-neck-pure-cotton-t-shirt/11363516/buy</t>
  </si>
  <si>
    <t>wrogn men burgundy slim fit solid round neck pure cotton t shirt</t>
  </si>
  <si>
    <t>https://www.myntra.com/shirts/anouk/anouk-men-mustard-yellow--white-regular-fit-printed-casual-shirt/10356877/buy</t>
  </si>
  <si>
    <t>anouk men mustard yellow  white regular fit printed casual shirt</t>
  </si>
  <si>
    <t>https://www.myntra.com/tshirts/mast--harbour/mast--harbour-men-mustard-yellow-solid-round-neck-sleeveless-t-shirt/2232091/buy</t>
  </si>
  <si>
    <t>mast  harbour men mustard yellow solid round neck sleeveless t shirt</t>
  </si>
  <si>
    <t>https://www.myntra.com/kurta-sets/anouk/anouk-women-pink-yoke-design-pure-cotton-kurta-with-trousers/13237744/buy</t>
  </si>
  <si>
    <t>anouk women pink yoke design pure cotton kurta with trousers</t>
  </si>
  <si>
    <t>https://www.myntra.com/kurtas/poshak-hub/poshak-hub-women-purple--golden-printed-empire-anarkali-kurta/11048812/buy</t>
  </si>
  <si>
    <t>Poshak Hub</t>
  </si>
  <si>
    <t>poshak hub women purple  golden printed empire anarkali kurta</t>
  </si>
  <si>
    <t>https://www.myntra.com/tunics/sangria/sangria-black--red-embroidered-tunic/8349555/buy</t>
  </si>
  <si>
    <t>sangria black  red embroidered tunic</t>
  </si>
  <si>
    <t>https://www.myntra.com/tights/nike/nike-women-black-solid-essential-as-nsw-78-mid-rise-leggings/13735306/buy</t>
  </si>
  <si>
    <t>Nike</t>
  </si>
  <si>
    <t>nike women black solid essential as nsw 78 mid rise leggings</t>
  </si>
  <si>
    <t>https://www.myntra.com/shirts/kassually/kassually-women-rust-comfort-regular-fit-solid-casual-shirt/10658938/buy</t>
  </si>
  <si>
    <t>kassually women rust comfort regular fit solid casual shirt</t>
  </si>
  <si>
    <t>https://www.myntra.com/skirts/popnetic/popnetic-black-wrap-pure-cotton-skirt/9404673/buy</t>
  </si>
  <si>
    <t>popnetic black wrap pure cotton skirt</t>
  </si>
  <si>
    <t>https://www.myntra.com/sweatshirts/roadster/roadster-women-lavender-solid-boxy-hooded-sweatshirt/11991116/buy</t>
  </si>
  <si>
    <t>roadster women lavender solid boxy hooded sweatshirt</t>
  </si>
  <si>
    <t>https://www.myntra.com/shorts/harvard/harvard-men-grey-printed-regular-fit-chino-shorts/1874587/buy</t>
  </si>
  <si>
    <t>harvard men grey printed regular fit chino shorts</t>
  </si>
  <si>
    <t>https://www.myntra.com/socks/roadster/roadster-men-pack-of-3-patterned-shoe-liners/6831812/buy</t>
  </si>
  <si>
    <t>roadster men pack of 3 patterned shoe liners</t>
  </si>
  <si>
    <t>https://www.myntra.com/lounge-pants/vimal/vimal-men-pack-of-2-navy-blue--grey-melange-solid-lounge-pants/11807564/buy</t>
  </si>
  <si>
    <t>vimal men pack of 2 navy blue  grey melange solid lounge pants</t>
  </si>
  <si>
    <t>https://www.myntra.com/tshirts/roadster/roadster-time-travlr-men-navy-blue-printed-round-neck-pure-cotton-t-shirt/2340658/buy</t>
  </si>
  <si>
    <t>roadster time travlr men navy blue printed round neck pure cotton t shirt</t>
  </si>
  <si>
    <t>https://www.myntra.com/dresses/deewa/deewa-black--maroon-floral-printed-maxi-dress/10579766/buy</t>
  </si>
  <si>
    <t>deewa black  maroon floral printed maxi dress</t>
  </si>
  <si>
    <t>https://www.myntra.com/jackets/roadster/the-roadster-lifestyle-co-women-maroon-colourblocked-jacket/9478741/buy</t>
  </si>
  <si>
    <t>the roadster lifestyle co women maroon colourblocked jacket</t>
  </si>
  <si>
    <t>https://www.myntra.com/tops/vishudh/vishudh-brown-embroidered-empire-top/12822658/buy</t>
  </si>
  <si>
    <t>vishudh brown embroidered empire top</t>
  </si>
  <si>
    <t>https://www.myntra.com/jeans/roadster/roadster-men-navy-blue-carrot-regular-fit-mid-rise-mildly-distressed-stretchable-jeans/8903579/buy</t>
  </si>
  <si>
    <t>roadster men navy blue carrot regular fit mid rise mildly distressed stretchable jeans</t>
  </si>
  <si>
    <t>https://www.myntra.com/shorts/roadster/roadster-men-grey-printed-regular-fit-shorts/11942980/buy</t>
  </si>
  <si>
    <t>roadster men grey printed regular fit shorts</t>
  </si>
  <si>
    <t>https://www.myntra.com/bra/hrx-by-hrithik-roshan/hrx-by-hrithik-roshan-green-solid-non-wired-non-padded-rapid-dry-training-sports-bra/11158202/buy</t>
  </si>
  <si>
    <t>hrx by hrithik roshan green solid non wired non padded rapid dry training sports bra</t>
  </si>
  <si>
    <t>https://www.myntra.com/kurtas/herenow/herenow-women-teal-blue--mustard-yellow-printed-layered-kurta/9075131/buy</t>
  </si>
  <si>
    <t>herenow women teal blue  mustard yellow printed layered kurta</t>
  </si>
  <si>
    <t>https://www.myntra.com/jackets/herenow/herenow-women-blue-faded-denim-jacket/9686617/buy</t>
  </si>
  <si>
    <t>herenow women blue faded denim jacket</t>
  </si>
  <si>
    <t>https://www.myntra.com/tops/sassafras/sassafras-women-brown-solid-twisted-crop-blouson-top/8643235/buy</t>
  </si>
  <si>
    <t>sassafras women brown solid twisted crop blouson top</t>
  </si>
  <si>
    <t>https://www.myntra.com/tops/vividartsy/vividartsy-lavender-sleeveless-fitted-top/12151584/buy</t>
  </si>
  <si>
    <t>VividArtsy</t>
  </si>
  <si>
    <t>vividartsy lavender sleeveless fitted top</t>
  </si>
  <si>
    <t>2% OFF</t>
  </si>
  <si>
    <t>https://www.myntra.com/jeans/herenow/herenow-men-charcoal-grey-slim-fit-mid-rise-clean-look-stretchable-jeans/12560202/buy</t>
  </si>
  <si>
    <t>herenow men charcoal grey slim fit mid rise clean look stretchable jeans</t>
  </si>
  <si>
    <t>https://www.myntra.com/tshirts/roadster/roadster-men-green-solid-polo-collar-t-shirt/10943374/buy</t>
  </si>
  <si>
    <t>roadster men green solid polo collar t shirt</t>
  </si>
  <si>
    <t>https://www.myntra.com/shirts/highlander/highlander-men-white-slim-fit-solid-casual-shirt/10132009/buy</t>
  </si>
  <si>
    <t>https://www.myntra.com/tshirts/roadster/roadster-men-blue-solid-v-neck-pure-cotton-t-shirt/6149797/buy</t>
  </si>
  <si>
    <t>roadster men blue solid v neck pure cotton t shirt</t>
  </si>
  <si>
    <t>https://www.myntra.com/tshirts/hrx-by-hrithik-roshan/hrx-by-hrithik-roshan-women-pink-rapid-dry-slim-fit-training-tshirt/10498744/buy</t>
  </si>
  <si>
    <t>hrx by hrithik roshan women pink rapid dry slim fit training tshirt</t>
  </si>
  <si>
    <t>https://www.myntra.com/track-pants/dressberry/dressberry-women-grey-melange-solid-joggers/11003558/buy</t>
  </si>
  <si>
    <t>dressberry women grey melange solid joggers</t>
  </si>
  <si>
    <t>https://www.myntra.com/sweatshirts/belle-fille/belle-fille-maroon-sweatshirt/1643043/buy</t>
  </si>
  <si>
    <t>belle fille maroon sweatshirt</t>
  </si>
  <si>
    <t>https://www.myntra.com/track-pants/hrx-by-hrithik-roshan/hrx-by-hrithik-roshan-men-pack-of-2-grey--black-solid-training-aniti-microbial-joggers/15745912/buy</t>
  </si>
  <si>
    <t>hrx by hrithik roshan men pack of 2 grey  black solid training aniti microbial joggers</t>
  </si>
  <si>
    <t>XL, M, L, XXL, S</t>
  </si>
  <si>
    <t>https://www.myntra.com/tops/om-sai-latest-creation/om-sai-latest-creation-blue-printed-flared-sleeves-regular-top/14568520/buy</t>
  </si>
  <si>
    <t>OM SAI LATEST CREATION</t>
  </si>
  <si>
    <t>om sai latest creation blue printed flared sleeves regular top</t>
  </si>
  <si>
    <t>Rs. 10 OFF</t>
  </si>
  <si>
    <t>https://www.myntra.com/jeans/wrogn/wrogn-men-blue-jogger-mid-rise-clean-look-stretchable-jeans/10685342/buy</t>
  </si>
  <si>
    <t>wrogn men blue jogger mid rise clean look stretchable jeans</t>
  </si>
  <si>
    <t>https://www.myntra.com/trunk/us-polo-assn/us-polo-assn-men-pack-of-2-assorted-pure-cotton-trunks-i641-615-p2/15474976/buy</t>
  </si>
  <si>
    <t>us polo assn men pack of 2 assorted pure cotton trunks i641 615 p2</t>
  </si>
  <si>
    <t>https://www.myntra.com/briefs/pepe-jeans/pepe-jeans-men-black-solid-contour-briefs-8904311302278/8936383/buy</t>
  </si>
  <si>
    <t>Pepe Jeans</t>
  </si>
  <si>
    <t>pepe jeans men black solid contour briefs 8904311302278</t>
  </si>
  <si>
    <t>https://www.myntra.com/camisoles/jockey/jockey-women-white-solid-camisole-1487-0110/9901897/buy</t>
  </si>
  <si>
    <t>camisoles</t>
  </si>
  <si>
    <t>jockey women white solid camisole 1487 0110</t>
  </si>
  <si>
    <t>https://www.myntra.com/bra/lebami/lebami-white-solid-non-wired-lightly-padded-bandeau-bra-521white30/7525447/buy</t>
  </si>
  <si>
    <t>lebami white solid non wired lightly padded bandeau bra 521white30</t>
  </si>
  <si>
    <t>https://www.myntra.com/jeans/dressberry/dressberry-women-blue-skinny-fit-mid-rise-clean-look-stretchable-cropped-jeans/10365239/buy</t>
  </si>
  <si>
    <t>https://www.myntra.com/kurta-sets/libas/libas-women-black-floral-embroidered-kurta-with-palazzos--dupatta/14602180/buy</t>
  </si>
  <si>
    <t>libas women black floral embroidered kurta with palazzos  dupatta</t>
  </si>
  <si>
    <t>https://www.myntra.com/bra/floret/floret-pack-of-2-full-coverage-sports-bras-t-3001/914994/buy</t>
  </si>
  <si>
    <t>floret pack of 2 full coverage sports bras t 3001</t>
  </si>
  <si>
    <t>https://www.myntra.com/bra/quttos/quttos-burgundy-solid-underwired-lightly-padded-balconette-bra-qt-br-4006-wn-30b/12218494/buy</t>
  </si>
  <si>
    <t>Quttos</t>
  </si>
  <si>
    <t>quttos burgundy solid underwired lightly padded balconette bra qt br 4006 wn 30b</t>
  </si>
  <si>
    <t>30B, 32B, 34B, 34C, 36B, 36C, 38B, 38C</t>
  </si>
  <si>
    <t>https://www.myntra.com/tights/hrx-by-hrithik-roshan/hrx-active-by-hrithik-roshan-black-tights/1987115/buy</t>
  </si>
  <si>
    <t>hrx active by hrithik roshan black tights</t>
  </si>
  <si>
    <t>https://www.myntra.com/jeans/roadster/roadster-women-blue-skinny-fit-high-rise-clean-look-stretchable-jeans/11930858/buy</t>
  </si>
  <si>
    <t>https://www.myntra.com/jeans/sassafras/sassafras-women-navy-pure-cotton-relaxed-fit-high-rise-non-stretchable-clean-look-jeans/13000570/buy</t>
  </si>
  <si>
    <t>sassafras women navy pure cotton relaxed fit high rise non stretchable clean look jeans</t>
  </si>
  <si>
    <t>https://www.myntra.com/tshirts/roadster/roadster-women-pack-of-2-t-shirts/17382154/buy</t>
  </si>
  <si>
    <t>https://www.myntra.com/shirts/roadster/roadster-men-peach-coloured--black-regular-fit-checked-sustainable-casual-shirt/11326746/buy</t>
  </si>
  <si>
    <t>roadster men peach coloured  black regular fit checked sustainable casual shirt</t>
  </si>
  <si>
    <t>https://www.myntra.com/tshirts/wrogn/wrogn-men-teal-blue-striped-slim-fit-polo-collar-pure-cotton-t-shirt/11363586/buy</t>
  </si>
  <si>
    <t>wrogn men teal blue striped slim fit polo collar pure cotton t shirt</t>
  </si>
  <si>
    <t>https://www.myntra.com/tshirts/wrogn/wrogn-men-olive-green-solid-slim-fit-solid-polo-pure-cotton-t-shirt/2339444/buy</t>
  </si>
  <si>
    <t>wrogn men olive green solid slim fit solid polo pure cotton t shirt</t>
  </si>
  <si>
    <t>https://www.myntra.com/shirts/locomotive/locomotive-men-navy-blue--grey-slim-fit-checked-casual-shirt/10020075/buy</t>
  </si>
  <si>
    <t>locomotive men navy blue  grey slim fit checked casual shirt</t>
  </si>
  <si>
    <t>https://www.myntra.com/sarees/saree-mall/saree-mall-off-white-solid-chanderi-sarees/13988092/buy</t>
  </si>
  <si>
    <t>saree mall off white solid chanderi sarees</t>
  </si>
  <si>
    <t>https://www.myntra.com/bra/dressberry/dressberry-red-workout-bra-medium-coverage/13983650/buy</t>
  </si>
  <si>
    <t>dressberry red workout bra medium coverage</t>
  </si>
  <si>
    <t>https://www.myntra.com/kurtas/sangria/sangria-women-black--blue-printed-straight-kurta/9371023/buy</t>
  </si>
  <si>
    <t>sangria women black  blue printed straight kurta</t>
  </si>
  <si>
    <t>https://www.myntra.com/tops/dressberry/dressberry-coral-self-design-fitted-pure-cotton-top/9528617/buy</t>
  </si>
  <si>
    <t>dressberry coral self design fitted pure cotton top</t>
  </si>
  <si>
    <t>https://www.myntra.com/dresses/mast--harbour/mast--harbour-turquoise-blue-solid-shirt-dress/1735166/buy</t>
  </si>
  <si>
    <t>mast  harbour turquoise blue solid shirt dress</t>
  </si>
  <si>
    <t>https://www.myntra.com/jeans/mast--harbour/mast--harbour-men-green-skinny-fit-mid-rise-clean-look-stretchable-jeans/2383108/buy</t>
  </si>
  <si>
    <t>mast  harbour men green skinny fit mid rise clean look stretchable jeans</t>
  </si>
  <si>
    <t>https://www.myntra.com/kurtas/anouk/anouk-men-black--white-striped-straight-kurta/12135120/buy</t>
  </si>
  <si>
    <t>anouk men black  white striped straight kurta</t>
  </si>
  <si>
    <t>https://www.myntra.com/socks/mast--harbour/mast--harbour-men-set-of-3-socks/1616326/buy</t>
  </si>
  <si>
    <t>mast  harbour men set of 3 socks</t>
  </si>
  <si>
    <t>https://www.myntra.com/tshirts/roadster/roadster-men-beige-solid-raw-edge-round-neck-pure-cotton-t-shirt/1996790/buy</t>
  </si>
  <si>
    <t>roadster men beige solid raw edge round neck pure cotton t shirt</t>
  </si>
  <si>
    <t>https://www.myntra.com/dresses/anubhutee/anubhutee-mustard-yellow--white-bandhani-printed-pure-cotton-angrakha-a-line-dress/13503134/buy</t>
  </si>
  <si>
    <t>anubhutee mustard yellow  white bandhani printed pure cotton angrakha a line dress</t>
  </si>
  <si>
    <t>https://www.myntra.com/dupatta/dupatta-bazaar/dupatta-bazaar-gold-coloured-embroidered-dupatta/11514858/buy</t>
  </si>
  <si>
    <t>Dupatta Bazaar</t>
  </si>
  <si>
    <t>dupatta bazaar gold coloured embroidered dupatta</t>
  </si>
  <si>
    <t>https://www.myntra.com/tshirts/hrx-by-hrithik-roshan/hrx-by-hrithik-roshan-women-lifestyle-maroon-rapid-dry-typography-printed-t-shirt/10106263/buy</t>
  </si>
  <si>
    <t>hrx by hrithik roshan women lifestyle maroon rapid dry typography printed t shirt</t>
  </si>
  <si>
    <t>https://www.myntra.com/tops/berrylush/berrylush-women-yellow-printed-wrap-top/12382156/buy</t>
  </si>
  <si>
    <t>berrylush women yellow printed wrap top</t>
  </si>
  <si>
    <t>https://www.myntra.com/trousers/street-9/street-9-women-olive-green--brown-camouflage-print-cargos/12277594/buy</t>
  </si>
  <si>
    <t>street 9 women olive green  brown camouflage print cargos</t>
  </si>
  <si>
    <t>https://www.myntra.com/tshirts/roadster/the-roadster-lifestyle-co-women-white-solid-round-neck-t-shirt/9697349/buy</t>
  </si>
  <si>
    <t>the roadster lifestyle co women white solid round neck t shirt</t>
  </si>
  <si>
    <t>https://www.myntra.com/trunk/levis/levis-men-pack-of-2-assorted-solid-trunks-007/14447640/buy</t>
  </si>
  <si>
    <t>levis men pack of 2 assorted solid trunks 007</t>
  </si>
  <si>
    <t>https://www.myntra.com/track-pants/hrx-by-hrithik-roshan/hrx-by-hrithik-roshan-men-black-cotton-active-track-pants/7223697/buy</t>
  </si>
  <si>
    <t>hrx by hrithik roshan men black cotton active track pants</t>
  </si>
  <si>
    <t>https://www.myntra.com/tshirts/hrx-by-hrithik-roshan/hrx-by-hrithik-roshan-men-fluorescent-green-rapid-dry-n9-antimicrobial-running-t-shirt/11639896/buy</t>
  </si>
  <si>
    <t>hrx by hrithik roshan men fluorescent green rapid dry n9 antimicrobial running t shirt</t>
  </si>
  <si>
    <t>https://www.myntra.com/shirts/roadster/roadster-men-white-pure-cotton-casual-sustainable-shirt/11896076/buy</t>
  </si>
  <si>
    <t>roadster men white pure cotton casual sustainable shirt</t>
  </si>
  <si>
    <t>https://www.myntra.com/jackets/hrx-by-hrithik-roshan/hrx-by-hrithik-roshan-men-blue-solid-padded-jacket/5393440/buy</t>
  </si>
  <si>
    <t>hrx by hrithik roshan men blue solid padded jacket</t>
  </si>
  <si>
    <t>https://www.myntra.com/kurtas/vishudh/vishudh-women-red--gold-toned-printed-straight-kurta/12277564/buy</t>
  </si>
  <si>
    <t>https://www.myntra.com/kurta-sets/nayo/nayo-women-rust-printed-kurta-with-trousers--dupatta/13771260/buy</t>
  </si>
  <si>
    <t>nayo women rust printed kurta with trousers  dupatta</t>
  </si>
  <si>
    <t>https://www.myntra.com/kurta-sets/anayna/anayna-women-blue--white-self-striped-kantha-work-kurta-with-trousers--dupatta/12894728/buy</t>
  </si>
  <si>
    <t>anayna women blue  white self striped kantha work kurta with trousers  dupatta</t>
  </si>
  <si>
    <t>https://www.myntra.com/jeans/roadster/roadster-women-blue-skinny-fit-high-rise-clean-look-stretchable-cropped-jeans/7139255/buy</t>
  </si>
  <si>
    <t>https://www.myntra.com/shirts/invictus/invictus-men-red--black-checked-slim-fit-formal-shirt/452660/buy</t>
  </si>
  <si>
    <t>invictus men red  black checked slim fit formal shirt</t>
  </si>
  <si>
    <t>https://www.myntra.com/tshirts/roadster/the-roadster-lifestyle-co-men-sea-green-graphic-printed-round-neck-pure-cotton-t-shirt/10938508/buy</t>
  </si>
  <si>
    <t>the roadster lifestyle co men sea green graphic printed round neck pure cotton t shirt</t>
  </si>
  <si>
    <t>https://www.myntra.com/night-suits/claura/claura-women-navy-blue--beige-floral-printed-pure-cotton-night-suit/15318634/buy</t>
  </si>
  <si>
    <t>claura women navy blue  beige floral printed pure cotton night suit</t>
  </si>
  <si>
    <t>https://www.myntra.com/bra/zivame/zivame-white-lace-non-wired-non-padded-everyday-bra-zi0zpctb03bwhit/12430640/buy</t>
  </si>
  <si>
    <t>zivame white lace non wired non padded everyday bra zi0zpctb03bwhit</t>
  </si>
  <si>
    <t>https://www.myntra.com/track-pants/harvard/harvard-women-black-solid-joggers/11109816/buy</t>
  </si>
  <si>
    <t>harvard women black solid joggers</t>
  </si>
  <si>
    <t>https://www.myntra.com/tshirts/hrx-by-hrithik-roshan/hrx-by-hrithik-roshan-women-black-printed-round-neck-running-pure-cotton-t-shirt/11037108/buy</t>
  </si>
  <si>
    <t>hrx by hrithik roshan women black printed round neck running pure cotton t shirt</t>
  </si>
  <si>
    <t>https://www.myntra.com/trousers/sassafras/sassafras-women-navy-blue-parallel-trousers/13843124/buy</t>
  </si>
  <si>
    <t>sassafras women navy blue parallel trousers</t>
  </si>
  <si>
    <t>https://www.myntra.com/tops/campus-sutra/campus-sutra-women-white-printed-crop-pure-cotton-top/11683422/buy</t>
  </si>
  <si>
    <t>campus sutra women white printed crop pure cotton top</t>
  </si>
  <si>
    <t>https://www.myntra.com/trunk/jockey/jockey-men-navy-blue-solid-trunks-us20-0105/11863660/buy</t>
  </si>
  <si>
    <t>jockey men navy blue solid trunks us20 0105</t>
  </si>
  <si>
    <t>https://www.myntra.com/shirts/highlander/highlander-men-blue-slim-fit-printed-casual-shirt/13938106/buy</t>
  </si>
  <si>
    <t>https://www.myntra.com/tshirts/wrogn/wrogn-men-burgundy-solid-round-neck-pure-cotton-t-shirt/2478310/buy</t>
  </si>
  <si>
    <t>wrogn men burgundy solid round neck pure cotton t shirt</t>
  </si>
  <si>
    <t>https://www.myntra.com/kurtas/w/w-women-mustard-yellow--off-white-ethnic-printed-straight-kurta/11369664/buy</t>
  </si>
  <si>
    <t>W</t>
  </si>
  <si>
    <t>w women mustard yellow  off white ethnic printed straight kurta</t>
  </si>
  <si>
    <t>https://www.myntra.com/bra/floret/floret-women-pack-of-2-full-coverage-bras-t3033skin-black40b/2486236/buy</t>
  </si>
  <si>
    <t>floret women pack of 2 full coverage bras t3033skin black40b</t>
  </si>
  <si>
    <t>https://www.myntra.com/tshirts/roadster/-roadster-women-pack-of-2-cotton-t-shirts/17382686/buy</t>
  </si>
  <si>
    <t>https://www.myntra.com/tshirts/mast--harbour/mast--harbour-women-black-solid-round-neck-t-shirt/11700058/buy</t>
  </si>
  <si>
    <t>mast  harbour women black solid round neck t shirt</t>
  </si>
  <si>
    <t>https://www.myntra.com/shorts/arise/arise-men-navy-blue-solid-shorts/5345806/buy</t>
  </si>
  <si>
    <t>ARISE</t>
  </si>
  <si>
    <t>arise men navy blue solid shorts</t>
  </si>
  <si>
    <t>https://www.myntra.com/nehru-jackets/hangup/hangup-men-multicoloured-printed-nehru-jacket-with-pocket-square/6610000/buy</t>
  </si>
  <si>
    <t>nehru-jackets</t>
  </si>
  <si>
    <t>hangup men multicoloured printed nehru jacket with pocket square</t>
  </si>
  <si>
    <t>S, M, L, XL, XXL, 3XL, 4XL, 5XL, 6XL</t>
  </si>
  <si>
    <t>https://www.myntra.com/shirts/highlander/highlander-men-blue-printed-regular-fit-casual-shirt/12005980/buy</t>
  </si>
  <si>
    <t>highlander men blue printed regular fit casual shirt</t>
  </si>
  <si>
    <t>https://www.myntra.com/sweaters/roadster/roadster-men-olive-green--navy-blue-colourblocked-pullover/1900948/buy</t>
  </si>
  <si>
    <t>roadster men olive green  navy blue colourblocked pullover</t>
  </si>
  <si>
    <t>https://www.myntra.com/tshirts/mast--harbour/mast--harbour-men-pink--white-striped-detail-round-neck-t-shirt/11896566/buy</t>
  </si>
  <si>
    <t>mast  harbour men pink  white striped detail round neck t shirt</t>
  </si>
  <si>
    <t>https://www.myntra.com/sarees/sangria/sangria-navy-blue-solid-saree/14383658/buy</t>
  </si>
  <si>
    <t>sangria navy blue solid saree</t>
  </si>
  <si>
    <t>https://www.myntra.com/sarees/tikhi-imli/tikhi-imli-off-white--gold-coloured-net-embroidered-saree/11263890/buy</t>
  </si>
  <si>
    <t>tikhi imli off white  gold coloured net embroidered saree</t>
  </si>
  <si>
    <t>https://www.myntra.com/dresses/sangria/sangria-white--blue-chevron-print-pure-cotton-a-line-dress/13249354/buy</t>
  </si>
  <si>
    <t>sangria white  blue chevron print pure cotton a line dress</t>
  </si>
  <si>
    <t>https://www.myntra.com/jeggings/dressberry/dressberry-women-black-washed-super-skinny-fit-jeggings/10967124/buy</t>
  </si>
  <si>
    <t>https://www.myntra.com/tops/dressberry/dressberry-women-deep-navy-blue-romantic-florals-top/13179752/buy</t>
  </si>
  <si>
    <t>dressberry women deep navy blue romantic florals top</t>
  </si>
  <si>
    <t>https://www.myntra.com/track-pants/maniac/maniac-men-black-solid-slim-fit-joggers/9054887/buy</t>
  </si>
  <si>
    <t>https://www.myntra.com/kurtas/anouk/anouk-men-green--white-printed-straight-short-kurta/10308001/buy</t>
  </si>
  <si>
    <t>anouk men green  white printed straight short kurta</t>
  </si>
  <si>
    <t>https://www.myntra.com/dresses/anouk/anouk-maroon-gathered-pure-cotton-a-line-dress-with-thread-work/12134602/buy</t>
  </si>
  <si>
    <t>anouk maroon gathered pure cotton a line dress with thread work</t>
  </si>
  <si>
    <t>https://www.myntra.com/kurta-sets/yuris/yuris-women-navy-blue--white-printed-pure-cotton-kurta-with-palazzos--dupatta/13027858/buy</t>
  </si>
  <si>
    <t>yuris women navy blue  white printed pure cotton kurta with palazzos  dupatta</t>
  </si>
  <si>
    <t>https://www.myntra.com/briefs/jockey/jockey-women-pack-of-2-bikini-briefs/13563606/buy</t>
  </si>
  <si>
    <t>jockey women pack of 2 bikini briefs</t>
  </si>
  <si>
    <t>S, L, M</t>
  </si>
  <si>
    <t>https://www.myntra.com/trousers/roadster/roadster-men-beige-regular-fit-solid-regular-trousers/13859180/buy</t>
  </si>
  <si>
    <t>roadster men beige regular fit solid regular trousers</t>
  </si>
  <si>
    <t>https://www.myntra.com/tshirts/mast--harbour/mast--harbour-men-burgundy-printed-polo-collar-pure-cotton-t-shirt/11017728/buy</t>
  </si>
  <si>
    <t>mast  harbour men burgundy printed polo collar pure cotton t shirt</t>
  </si>
  <si>
    <t>https://www.myntra.com/sarees/mitera/mitera-blue--gold-coloured-silk-blend-woven-design-kanjeevaram-saree/11076732/buy</t>
  </si>
  <si>
    <t>mitera blue  gold coloured silk blend woven design kanjeevaram saree</t>
  </si>
  <si>
    <t>https://www.myntra.com/kurtis/tissu/tissu-women-navy-blue--pink-floral-print-a-line-kurti/12124942/buy</t>
  </si>
  <si>
    <t>tissu women navy blue  pink floral print a line kurti</t>
  </si>
  <si>
    <t>https://www.myntra.com/bra/hrx-by-hrithik-roshan/hrx-by-hrithik-roshan-black-solid-medium-support-seamless-rapid-dry-training-sports-bra/11245670/buy</t>
  </si>
  <si>
    <t>hrx by hrithik roshan black solid medium support seamless rapid dry training sports bra</t>
  </si>
  <si>
    <t>https://www.myntra.com/trousers/bitterlime/bitterlime-women-grey-relaxed-peg-trousers/8999489/buy</t>
  </si>
  <si>
    <t>bitterlime women grey relaxed peg trousers</t>
  </si>
  <si>
    <t>https://www.myntra.com/tops/rare-roots/rare-roots-women-green--off-white-printed-top/4369826/buy</t>
  </si>
  <si>
    <t>RARE ROOTS</t>
  </si>
  <si>
    <t>rare roots women green  off white printed top</t>
  </si>
  <si>
    <t>https://www.myntra.com/sweatshirts/roadster/roadster-women-olive-green-solid-hooded-sweatshirt/6011860/buy</t>
  </si>
  <si>
    <t>https://www.myntra.com/tshirts/roadster/roadster-women-rust-brown--teal-green-pack-of-2-printed-round-neck-knitted-t-shirts/17383496/buy</t>
  </si>
  <si>
    <t>roadster women rust brown  teal green pack of 2 printed round neck knitted t shirts</t>
  </si>
  <si>
    <t>https://www.myntra.com/shrug/athena/athena-women-maroon-solid-open-front-shrug/10753700/buy</t>
  </si>
  <si>
    <t>athena women maroon solid open front shrug</t>
  </si>
  <si>
    <t>https://www.myntra.com/tshirts/mast--harbour/mast--harbour-women-navy-blue-printed-round-neck-t-shirt/2224788/buy</t>
  </si>
  <si>
    <t>mast  harbour women navy blue printed round neck t shirt</t>
  </si>
  <si>
    <t>https://www.myntra.com/tshirts/mast--harbour/mast--harbour-women-pack-of-2-t-shirts/17525214/buy</t>
  </si>
  <si>
    <t>https://www.myntra.com/kurta-sets/anouk/anouk-men-navy-blue--white-solid-fusion-kurta-with-salwar/10354553/buy</t>
  </si>
  <si>
    <t>anouk men navy blue  white solid fusion kurta with salwar</t>
  </si>
  <si>
    <t>https://www.myntra.com/trunk/jockey/jockey-men-pack-of-2-coffee-brown-solid-trunks-8009-0205/11863532/buy</t>
  </si>
  <si>
    <t>jockey men pack of 2 coffee brown solid trunks 8009 0205</t>
  </si>
  <si>
    <t>https://www.myntra.com/tshirts/hrx-by-hrithik-roshan/hrx-by-hrithik-roshan-men-red--black-solid-round-neck-pure-cotton-t-shirt/8897767/buy</t>
  </si>
  <si>
    <t>hrx by hrithik roshan men red  black solid round neck pure cotton t shirt</t>
  </si>
  <si>
    <t>https://www.myntra.com/kurta-sets/anouk/anouk-women-maroon--navy-blue-printed-kurta-with-palazzos/12134762/buy</t>
  </si>
  <si>
    <t>anouk women maroon  navy blue printed kurta with palazzos</t>
  </si>
  <si>
    <t>https://www.myntra.com/kurta-sets/anouk/anouk-women-olive-green-ethnic-motifs-yoke-design-kurta-with-palazzos--with-dupatta/14399812/buy</t>
  </si>
  <si>
    <t>anouk women olive green ethnic motifs yoke design kurta with palazzos  with dupatta</t>
  </si>
  <si>
    <t>https://www.myntra.com/tops/campus-sutra/campus-sutra-women-maroon-printed-crop-top/11683428/buy</t>
  </si>
  <si>
    <t>campus sutra women maroon printed crop top</t>
  </si>
  <si>
    <t>https://www.myntra.com/track-pants/highlander/highlander-men-black-solid-slim-fit-track-pants/13842336/buy</t>
  </si>
  <si>
    <t>https://www.myntra.com/shirts/highlander/highlander-men-white--grey-slim-fit-floral-print-casual-shirt/12086000/buy</t>
  </si>
  <si>
    <t>highlander men white  grey slim fit floral print casual shirt</t>
  </si>
  <si>
    <t>https://www.myntra.com/shirts/roadster/roadster-men-black--grey-regular-fit-checked-casual-sustainable-shirt/10398271/buy</t>
  </si>
  <si>
    <t>roadster men black  grey regular fit checked casual sustainable shirt</t>
  </si>
  <si>
    <t>https://www.myntra.com/tshirts/mast--harbour/mast--harbour-men-white-printed-round-neck-t-shirt/12115954/buy</t>
  </si>
  <si>
    <t>mast  harbour men white printed round neck t shirt</t>
  </si>
  <si>
    <t>https://www.myntra.com/kurta-sets/sangria/sangria-women-mustard-yellow-yoke-design-kurta-with-palazzos/12104956/buy</t>
  </si>
  <si>
    <t>sangria women mustard yellow yoke design kurta with palazzos</t>
  </si>
  <si>
    <t>https://www.myntra.com/sweatshirts/hrx-by-hrithik-roshan/hrx-by-hrithik-roshan-outdoor-women-navy-blue-solid-fleece-sweatshirt/9965737/buy</t>
  </si>
  <si>
    <t>hrx by hrithik roshan outdoor women navy blue solid fleece sweatshirt</t>
  </si>
  <si>
    <t>https://www.myntra.com/shirts/tokyo-talkies/tokyo-talkies-women-white-regular-fit-printed-casual-shirt/12479236/buy</t>
  </si>
  <si>
    <t>tokyo talkies women white regular fit printed casual shirt</t>
  </si>
  <si>
    <t>https://www.myntra.com/tops/sassafras/sassafras-beige--pink-floral-twisted-crop-top/11364470/buy</t>
  </si>
  <si>
    <t>sassafras beige  pink floral twisted crop top</t>
  </si>
  <si>
    <t>https://www.myntra.com/dresses/berrylush/berrylush-green-v-neck-maxi-dress/7417314/buy</t>
  </si>
  <si>
    <t>berrylush green v neck maxi dress</t>
  </si>
  <si>
    <t>https://www.myntra.com/tshirts/roadster/roadster-women-maroon--burgundy-pack-of-2-printed-pure-cotton-regular-fit-t-shirts/17383430/buy</t>
  </si>
  <si>
    <t>roadster women maroon  burgundy pack of 2 printed pure cotton regular fit t shirts</t>
  </si>
  <si>
    <t>https://www.myntra.com/jeans/wrogn/wrogn-men-black-slim-fit-mid-rise-clean-look-jeans/1502333/buy</t>
  </si>
  <si>
    <t>wrogn men black slim fit mid rise clean look jeans</t>
  </si>
  <si>
    <t>https://www.myntra.com/trousers/roadster/roadster-men-navy-blue-regular-fit-solid-chinos/13859302/buy</t>
  </si>
  <si>
    <t>roadster men navy blue regular fit solid chinos</t>
  </si>
  <si>
    <t>https://www.myntra.com/tshirts/wrogn-active/wrogn-active-men-black-self-design-mock-collar-t-shirt/11551944/buy</t>
  </si>
  <si>
    <t>WROGN ACTIVE</t>
  </si>
  <si>
    <t>wrogn active men black self design mock collar t shirt</t>
  </si>
  <si>
    <t>https://www.myntra.com/tshirts/invictus/invictus-men-olive-green-anti-microbial-solid-round-neck-pure-cotton-t-shirt/12177872/buy</t>
  </si>
  <si>
    <t>invictus men olive green anti microbial solid round neck pure cotton t shirt</t>
  </si>
  <si>
    <t>https://www.myntra.com/kurta-sets/anouk/anouk-women-beige--red-printed-kurta-with-trousers/10776022/buy</t>
  </si>
  <si>
    <t>anouk women beige  red printed kurta with trousers</t>
  </si>
  <si>
    <t>https://www.myntra.com/tops/rare/rare-women-navy-blue-striped-top/6552985/buy</t>
  </si>
  <si>
    <t>rare women navy blue striped top</t>
  </si>
  <si>
    <t>https://www.myntra.com/dresses/dressberry/dressberry-women-blue-solid-chambray-pinafore-dress/6826875/buy</t>
  </si>
  <si>
    <t>dressberry women blue solid chambray pinafore dress</t>
  </si>
  <si>
    <t>https://www.myntra.com/dresses/harpa/harpa-women-navy-blue-printed-maxi-dress/7578929/buy</t>
  </si>
  <si>
    <t>harpa women navy blue printed maxi dress</t>
  </si>
  <si>
    <t>https://www.myntra.com/tshirts/kook-n-keech/kook-n-keech-women-black-printed-pure-cotton-t-shirt/2414665/buy</t>
  </si>
  <si>
    <t>kook n keech women black printed pure cotton t shirt</t>
  </si>
  <si>
    <t>https://www.myntra.com/shorts/roadster/roadster-men-olive-brown-printed-regular-fit-chino-shorts/2387570/buy</t>
  </si>
  <si>
    <t>roadster men olive brown printed regular fit chino shorts</t>
  </si>
  <si>
    <t>https://www.myntra.com/trunk/hrx-by-hrithik-roshan/hrx-by-hrithik-roshan-men-lifestyle-pack-of-2-solid-trunks-hrx-ss18-ls-7006ae/6747411/buy</t>
  </si>
  <si>
    <t>hrx by hrithik roshan men lifestyle pack of 2 solid trunks hrx ss18 ls 7006ae</t>
  </si>
  <si>
    <t>https://www.myntra.com/shirts/jaipur-kurti/jaipur-kurti-women-pink-straight-regular-fit-solid-casual-shirt/5362955/buy</t>
  </si>
  <si>
    <t>jaipur kurti women pink straight regular fit solid casual shirt</t>
  </si>
  <si>
    <t>https://www.myntra.com/track-pants/tokyo-talkies/tokyo-talkies-women-blue-solid-slim-fit-cargo-joggers/14145152/buy</t>
  </si>
  <si>
    <t>tokyo talkies women blue solid slim fit cargo joggers</t>
  </si>
  <si>
    <t>https://www.myntra.com/tops/sassafras/sassafras-women-dusty-pink-solid-top/10604446/buy</t>
  </si>
  <si>
    <t>sassafras women dusty pink solid top</t>
  </si>
  <si>
    <t>https://www.myntra.com/jeans/dressberry/dressberry-women-black-skinny-fit-high-rise-highly-distressed-stretchable-jeans/11306966/buy</t>
  </si>
  <si>
    <t>dressberry women black skinny fit high rise highly distressed stretchable jeans</t>
  </si>
  <si>
    <t>https://www.myntra.com/tshirts/roadster/the-roadster-lifestyle-co-women-white-solid-round-neck-pure-cotton-t-shirt/9740087/buy</t>
  </si>
  <si>
    <t>the roadster lifestyle co women white solid round neck pure cotton t shirt</t>
  </si>
  <si>
    <t>https://www.myntra.com/jeans/highlander/highlander-men-blue-tapered-fit-jeans/13815398/buy</t>
  </si>
  <si>
    <t>highlander men blue tapered fit jeans</t>
  </si>
  <si>
    <t>https://www.myntra.com/tshirts/campus-sutra/campus-sutra-men-blue-polo-collar-t-shirt/10622806/buy</t>
  </si>
  <si>
    <t>campus sutra men blue polo collar t shirt</t>
  </si>
  <si>
    <t>https://www.myntra.com/shirts/roadster/the-roadster-lifestyle-co-men-olive-green--black-geometric-printed-pure-cotton-casual-shirt/10944440/buy</t>
  </si>
  <si>
    <t>the roadster lifestyle co men olive green  black geometric printed pure cotton casual shirt</t>
  </si>
  <si>
    <t>https://www.myntra.com/tshirts/invictus/invictus-men-navy-blue-anti-microbial-solid-round-neck-pure-cotton-t-shirt/12177900/buy</t>
  </si>
  <si>
    <t>invictus men navy blue anti microbial solid round neck pure cotton t shirt</t>
  </si>
  <si>
    <t>https://www.myntra.com/shirts/english-navy/english-navy-men-green-slim-fit-solid-formal-shirt/11103892/buy</t>
  </si>
  <si>
    <t>english navy men green slim fit solid formal shirt</t>
  </si>
  <si>
    <t>https://www.myntra.com/tshirts/bewakoof/bewakoof-men-black-printed-mickey-trio-round-neck-t-shirt/13552854/buy</t>
  </si>
  <si>
    <t>bewakoof men black printed mickey trio round neck t shirt</t>
  </si>
  <si>
    <t>https://www.myntra.com/tops/pluss/pluss-women-burgundy-embroidered-peplum-top/11732974/buy</t>
  </si>
  <si>
    <t>pluss women burgundy embroidered peplum top</t>
  </si>
  <si>
    <t>https://www.myntra.com/jackets/herenow/herenow-women-pink-solid-longline-tailored-jacket/10177963/buy</t>
  </si>
  <si>
    <t>herenow women pink solid longline tailored jacket</t>
  </si>
  <si>
    <t>https://www.myntra.com/tshirts/moda-rapido/moda-rapido-metoo-oversized-cotton-t-shirt/8813221/buy</t>
  </si>
  <si>
    <t>moda rapido metoo oversized cotton t shirt</t>
  </si>
  <si>
    <t>https://www.myntra.com/tshirts/moda-rapido/moda-rapido-women-navy-blue-printed-round-neck-pure-cotton-t-shirt/8813303/buy</t>
  </si>
  <si>
    <t>moda rapido women navy blue printed round neck pure cotton t shirt</t>
  </si>
  <si>
    <t>https://www.myntra.com/jeggings/roadster/roadster-women-blue-washed-super-skinny-fit-denim-jeggings/10967442/buy</t>
  </si>
  <si>
    <t>roadster women blue washed super skinny fit denim jeggings</t>
  </si>
  <si>
    <t>https://www.myntra.com/tshirts/roadster/roadster-women-pack-of-2-pure-cotton-typography-print-t-shirts/17384852/buy</t>
  </si>
  <si>
    <t>https://www.myntra.com/tshirts/roadster/roadster-women-teal-green-solid-round-neck-t-shirt/11296134/buy</t>
  </si>
  <si>
    <t>roadster women teal green solid round neck t shirt</t>
  </si>
  <si>
    <t>https://www.myntra.com/jeans/wrogn/wrogn-men-black-skinny-fit-mid-rise-clean-look-stretchable-jeans/8424729/buy</t>
  </si>
  <si>
    <t>https://www.myntra.com/jeans/roadster/roadster-men-blue-skinny-fit-mid-rise-slash-knee-stretchable-cropped-jeans/8962323/buy</t>
  </si>
  <si>
    <t>roadster men blue skinny fit mid rise slash knee stretchable cropped jeans</t>
  </si>
  <si>
    <t>https://www.myntra.com/jeans/campus-sutra/campus-sutra-men-blue-jogger-fit-mid-rise-clean-look-stretchable-jeans/8375973/buy</t>
  </si>
  <si>
    <t>https://www.myntra.com/shorts/highlander/highlander-men-black-striped-slim-fit-regular-shorts/10285707/buy</t>
  </si>
  <si>
    <t>highlander men black striped slim fit regular shorts</t>
  </si>
  <si>
    <t>https://www.myntra.com/shirts/herenow/herenow-men-white--red-striped-pure-cotton-casual-shirt/7076513/buy</t>
  </si>
  <si>
    <t>herenow men white  red striped pure cotton casual shirt</t>
  </si>
  <si>
    <t>https://www.myntra.com/tops/sassafras/sassafras-women-white-floral-print-layered-crop-bardot-top/2472406/buy</t>
  </si>
  <si>
    <t>sassafras women white floral print layered crop bardot top</t>
  </si>
  <si>
    <t>https://www.myntra.com/tshirts/mast--harbour/mast--harbour-women-pack-of-2-pure-cotton-tshirts/17523502/buy</t>
  </si>
  <si>
    <t>https://www.myntra.com/dresses/sassafras/sassafras-taupe--green-floral-printed-maxi-dress/8643259/buy</t>
  </si>
  <si>
    <t>sassafras taupe  green floral printed maxi dress</t>
  </si>
  <si>
    <t>https://www.myntra.com/tshirts/roadster/roadster-women-black-solid-keyhole-neck-pure-cotton-t-shirt/7490098/buy</t>
  </si>
  <si>
    <t>roadster women black solid keyhole neck pure cotton t shirt</t>
  </si>
  <si>
    <t>https://www.myntra.com/tops/roadster/roadster-women-black-solid-pure-cotton-top/2312844/buy</t>
  </si>
  <si>
    <t>roadster women black solid pure cotton top</t>
  </si>
  <si>
    <t>https://www.myntra.com/tshirts/mast--harbour/mast--harbour-women-white--navy-blue-striped-round-neck-t-shirt/8325267/buy</t>
  </si>
  <si>
    <t>mast  harbour women white  navy blue striped round neck t shirt</t>
  </si>
  <si>
    <t>https://www.myntra.com/jeans/roadster/roadster-men-blue-slim-fit-mid-rise-clean-look-stretchable-jeans/10046897/buy</t>
  </si>
  <si>
    <t>roadster men blue slim fit mid rise clean look stretchable jeans</t>
  </si>
  <si>
    <t>https://www.myntra.com/shirts/highlander/highlander-men-off-white--yellow-slim-fit-checked-casual-shirt/10004137/buy</t>
  </si>
  <si>
    <t>highlander men off white  yellow slim fit checked casual shirt</t>
  </si>
  <si>
    <t>https://www.myntra.com/shirts/locomotive/locomotive-men-olive-brown--mustard-yellow-slim-fit-checked-casual-shirt/10341693/buy</t>
  </si>
  <si>
    <t>locomotive men olive brown  mustard yellow slim fit checked casual shirt</t>
  </si>
  <si>
    <t>https://www.myntra.com/tshirts/moda-rapido/moda-rapido-men-white-printed-round-neck-pure-cotton-t-shirt/2221332/buy</t>
  </si>
  <si>
    <t>moda rapido men white printed round neck pure cotton t shirt</t>
  </si>
  <si>
    <t>https://www.myntra.com/kurtas/w/w-women-green--white-printed-straight-kurta/8429985/buy</t>
  </si>
  <si>
    <t>w women green  white printed straight kurta</t>
  </si>
  <si>
    <t>https://www.myntra.com/kurtas/vishudh/vishudh-women-olive-green-floral-embroidered-straight-kurta/10016739/buy</t>
  </si>
  <si>
    <t>vishudh women olive green floral embroidered straight kurta</t>
  </si>
  <si>
    <t>https://www.myntra.com/kurta-sets/sangria/sangria-women-orange--yellow-printed-kurta-with-trousers/10561078/buy</t>
  </si>
  <si>
    <t>sangria women orange  yellow printed kurta with trousers</t>
  </si>
  <si>
    <t>https://www.myntra.com/sweaters/roadster/roadster-women-black-solid-pullover-sweater/1949983/buy</t>
  </si>
  <si>
    <t>roadster women black solid pullover sweater</t>
  </si>
  <si>
    <t>https://www.myntra.com/jackets/roadster/roadster-women-pink-solid-puffer-jacket/1875245/buy</t>
  </si>
  <si>
    <t>roadster women pink solid puffer jacket</t>
  </si>
  <si>
    <t>https://www.myntra.com/tshirts/chemistry/chemistry-women-black-drop-shoulder-t-shirt/12645764/buy</t>
  </si>
  <si>
    <t>chemistry women black drop shoulder t shirt</t>
  </si>
  <si>
    <t>https://www.myntra.com/tops/friskers/friskers-pack-of-2-tank-top/12802686/buy</t>
  </si>
  <si>
    <t>Friskers</t>
  </si>
  <si>
    <t>friskers pack of 2 tank top</t>
  </si>
  <si>
    <t>https://www.myntra.com/jeans/locomotive/locomotive-men-blue-tapered-fit-mid-rise-clean-look-stretchable-jeans/10144539/buy</t>
  </si>
  <si>
    <t>https://www.myntra.com/kurtas/sojanya/sojanya-men-green-dobby-checked-straight-kurta/11422582/buy</t>
  </si>
  <si>
    <t>sojanya men green dobby checked straight kurta</t>
  </si>
  <si>
    <t>https://www.myntra.com/lounge-pants/vimal/vimal-men-navy-blue-solid-lounge-pants/2091637/buy</t>
  </si>
  <si>
    <t>vimal men navy blue solid lounge pants</t>
  </si>
  <si>
    <t>https://www.myntra.com/lounge-pants/vimal/vimal-men-pack-of-2-navy-blue--charcoal-grey-solid-lounge-pants/11849718/buy</t>
  </si>
  <si>
    <t>vimal men pack of 2 navy blue  charcoal grey solid lounge pants</t>
  </si>
  <si>
    <t>https://www.myntra.com/shirts/locomotive/locomotive-men-blue--white-slim-fit-checked-casual-shirt/10341681/buy</t>
  </si>
  <si>
    <t>locomotive men blue  white slim fit checked casual shirt</t>
  </si>
  <si>
    <t>https://www.myntra.com/sarees/mitera/mitera-green--black-poly-chiffon-woven-design-mysore-silk-saree/12748270/buy</t>
  </si>
  <si>
    <t>mitera green  black poly chiffon woven design mysore silk saree</t>
  </si>
  <si>
    <t>Rs. 1215 OFF</t>
  </si>
  <si>
    <t>https://www.myntra.com/tops/sassafras/sassafras-women-off-white-solid-top-with-satin-finish/10856214/buy</t>
  </si>
  <si>
    <t>sassafras women off white solid top with satin finish</t>
  </si>
  <si>
    <t>https://www.myntra.com/tshirts/roadster/roadster-women-pack-of-2-pure-cotton-t-shirts/17383988/buy</t>
  </si>
  <si>
    <t>https://www.myntra.com/jeans/dolce-crudo/dolce-crudo-women-black-slim-fit-high-rise-clean-look-stretchable-jeans/10667052/buy</t>
  </si>
  <si>
    <t>dolce crudo women black slim fit high rise clean look stretchable jeans</t>
  </si>
  <si>
    <t>https://www.myntra.com/tshirts/roadster/the-roadster-lifestyle-co-women-navy-blue--yellow-striped-high-neck-pure-cotton-t-shirt/10144435/buy</t>
  </si>
  <si>
    <t>the roadster lifestyle co women navy blue  yellow striped high neck pure cotton t shirt</t>
  </si>
  <si>
    <t>https://www.myntra.com/tshirts/roadster/roadster-women-pack-of-2-pure-cotton-solid-t-shirts/17381874/buy</t>
  </si>
  <si>
    <t>https://www.myntra.com/tshirts/wrogn/wrogn-men-olive-green-self-design-boxy-fit-round-neck-pure-cotton-t-shirt/11363114/buy</t>
  </si>
  <si>
    <t>wrogn men olive green self design boxy fit round neck pure cotton t shirt</t>
  </si>
  <si>
    <t>https://www.myntra.com/shirts/roadster/roadster-men-blue--black-checked-sustainable-casual-shirt/2279528/buy</t>
  </si>
  <si>
    <t>roadster men blue  black checked sustainable casual shirt</t>
  </si>
  <si>
    <t>https://www.myntra.com/dresses/varanga/varanga-off-white-geometric-printed-fit-and-flare-dress/8529065/buy</t>
  </si>
  <si>
    <t>varanga off white geometric printed fit and flare dress</t>
  </si>
  <si>
    <t>https://www.myntra.com/kurta-sets/sangria/sangria-women-red--orange-colourblocked-kurta-with-palazzos/8420283/buy</t>
  </si>
  <si>
    <t>sangria women red  orange colourblocked kurta with palazzos</t>
  </si>
  <si>
    <t>https://www.myntra.com/tops/veni-vidi-vici/veni-vidi-vici-women-burgundy-solid-bardot-top/5151607/buy</t>
  </si>
  <si>
    <t>veni vidi vici women burgundy solid bardot top</t>
  </si>
  <si>
    <t>https://www.myntra.com/shirts/roadster/roadster-women-white-solid-casual-shirt/14615132/buy</t>
  </si>
  <si>
    <t>roadster women white solid casual shirt</t>
  </si>
  <si>
    <t>https://www.myntra.com/dresses/street-9/street-9-women-black-floral-printed-fit-and-flare-dress/13038904/buy</t>
  </si>
  <si>
    <t>street 9 women black floral printed fit and flare dress</t>
  </si>
  <si>
    <t>https://www.myntra.com/shorts/tokyo-talkies/tokyo-talkies-women-mint-green-solid-regular-fit-regular-shorts/14145170/buy</t>
  </si>
  <si>
    <t>tokyo talkies women mint green solid regular fit regular shorts</t>
  </si>
  <si>
    <t>https://www.myntra.com/jeans/highlander/highlander-men-grey-tapered-fit-mid-rise-clean-look-stretchable-jeans/10460328/buy</t>
  </si>
  <si>
    <t>https://www.myntra.com/tshirts/herenow/herenow-men-mustard-yellow-printed-round-neck-pure-cotton-t-shirt/12817324/buy</t>
  </si>
  <si>
    <t>https://www.myntra.com/tshirts/herenow/herenow-men-black-printed-round-neck-t-shirt/11332928/buy</t>
  </si>
  <si>
    <t>herenow men black printed round neck t shirt</t>
  </si>
  <si>
    <t>https://www.myntra.com/shirts/roadster/the-roadster-lifestyle-co-men-blue-regular-fit-solid-sustainable-casual-shirt/10832830/buy</t>
  </si>
  <si>
    <t>the roadster lifestyle co men blue regular fit solid sustainable casual shirt</t>
  </si>
  <si>
    <t>https://www.myntra.com/dresses/vishudh/vishudh-women-maroon--off-white-striped-fit-and-flare-dress/13769322/buy</t>
  </si>
  <si>
    <t>vishudh women maroon  off white striped fit and flare dress</t>
  </si>
  <si>
    <t>https://www.myntra.com/tops/pluss/pluss-trendy-purple-and-white-solid-wrapped-top/14141216/buy</t>
  </si>
  <si>
    <t>pluss trendy purple and white solid wrapped top</t>
  </si>
  <si>
    <t>https://www.myntra.com/kurta-sets/sangria/sangria-women-navy-blue--off-white-printed-kurta-with-trousers/11174406/buy</t>
  </si>
  <si>
    <t>sangria women navy blue  off white printed kurta with trousers</t>
  </si>
  <si>
    <t>https://www.myntra.com/track-pants/tokyo-talkies/tokyo-talkies-women-rose-solid-slim-fit-joggers/14154052/buy</t>
  </si>
  <si>
    <t>tokyo talkies women rose solid slim fit joggers</t>
  </si>
  <si>
    <t>https://www.myntra.com/tshirts/roadster/roadster-women-pack-of-2-pure-cotton-t-shirts/17384186/buy</t>
  </si>
  <si>
    <t>https://www.myntra.com/jeggings/roadster/roadster-women-black-solid-super-skinny-fit-cropped-jeggings/10365295/buy</t>
  </si>
  <si>
    <t>roadster women black solid super skinny fit cropped jeggings</t>
  </si>
  <si>
    <t>https://www.myntra.com/trunk/jockey/jockey-men-black-solid-trunks-us20-0105/11863556/buy</t>
  </si>
  <si>
    <t>jockey men black solid trunks us20 0105</t>
  </si>
  <si>
    <t>https://www.myntra.com/tshirts/roadster/roadster-men-maroon-and-black-printed-round-neck-t-shirt/11544864/buy</t>
  </si>
  <si>
    <t>roadster men maroon and black printed round neck t shirt</t>
  </si>
  <si>
    <t>https://www.myntra.com/tshirts/hrx-by-hrithik-roshan/hrx-by-hrithik-roshan-men-navy-blue-solid-regular-fit-antimicrobial-rapid-dry-lifestyle-pure-cotton-t-shirt/2425411/buy</t>
  </si>
  <si>
    <t>hrx by hrithik roshan men navy blue solid regular fit antimicrobial rapid dry lifestyle pure cotton t shirt</t>
  </si>
  <si>
    <t>https://www.myntra.com/tshirts/campus-sutra/campus-sutra-men-grey--black-printed-round-neck-t-shirt/10891010/buy</t>
  </si>
  <si>
    <t>campus sutra men grey  black printed round neck t shirt</t>
  </si>
  <si>
    <t>https://www.myntra.com/dresses/anouk/anouk-women-maroon-solid-maxi-dress/11197170/buy</t>
  </si>
  <si>
    <t>anouk women maroon solid maxi dress</t>
  </si>
  <si>
    <t>https://www.myntra.com/sarees/kalini/kalini-pack-of-3-black--beige-silk-blend-sarees/14243256/buy</t>
  </si>
  <si>
    <t>kalini pack of 3 black  beige silk blend sarees</t>
  </si>
  <si>
    <t>Pack</t>
  </si>
  <si>
    <t>https://www.myntra.com/tshirts/hrx-by-hrithik-roshan/hrx-by-hrithik-roshan-women-black-solid-bio-wash-training-tshirts/11999874/buy</t>
  </si>
  <si>
    <t>hrx by hrithik roshan women black solid bio wash training tshirts</t>
  </si>
  <si>
    <t>https://www.myntra.com/tshirts/roadster/roadster-women-pack-of-2-solid-pure-cotton-t-shirts/17381528/buy</t>
  </si>
  <si>
    <t>https://www.myntra.com/tops/rare/rare-pink-georgette-lightweight-layered-top-with-cut-out-detail/1437351/buy</t>
  </si>
  <si>
    <t>rare pink georgette lightweight layered top with cut out detail</t>
  </si>
  <si>
    <t>https://www.myntra.com/tops/dressberry/dressberry-women-deep-navy-blue-self-design-cut-out-top/1791090/buy</t>
  </si>
  <si>
    <t>dressberry women deep navy blue self design cut out top</t>
  </si>
  <si>
    <t>https://www.myntra.com/tshirts/dillinger/dillinger-women-red--white-colourblocked-round-neck-pure-cotton-t-shirt/10426050/buy</t>
  </si>
  <si>
    <t>dillinger women red  white colourblocked round neck pure cotton t shirt</t>
  </si>
  <si>
    <t>https://www.myntra.com/trousers/highlander/highlander-men-teal-slim-fit-solid-joggers/5711095/buy</t>
  </si>
  <si>
    <t>highlander men teal slim fit solid joggers</t>
  </si>
  <si>
    <t>https://www.myntra.com/shirts/wrogn/wrogn-men-navy--maroon-slim-fit-checked-casual-shirt/8426181/buy</t>
  </si>
  <si>
    <t>wrogn men navy  maroon slim fit checked casual shirt</t>
  </si>
  <si>
    <t>https://www.myntra.com/kurtas/sangria/sangria-women-off-white--rust-printed-straight-kurta/11174110/buy</t>
  </si>
  <si>
    <t>sangria women off white  rust printed straight kurta</t>
  </si>
  <si>
    <t>https://www.myntra.com/kurtis/anubhutee/anubhutee-women-black--blue-printed-straight-kurti/11535128/buy</t>
  </si>
  <si>
    <t>anubhutee women black  blue printed straight kurti</t>
  </si>
  <si>
    <t>https://www.myntra.com/jeans/roadster/roadster-men-navy-blue-skinny-fit-mid-rise-clean-look-stretchable-jeans/11274726/buy</t>
  </si>
  <si>
    <t>https://www.myntra.com/trousers/highlander/highlander-men-khaki-slim-fit-joggers/5387866/buy</t>
  </si>
  <si>
    <t>https://www.myntra.com/briefs/jockey/jockey-women-pack-of-2-assorted-hipster-briefs-1523-0210-dastd/14838572/buy</t>
  </si>
  <si>
    <t>jockey women pack of 2 assorted hipster briefs 1523 0210 dastd</t>
  </si>
  <si>
    <t>https://www.myntra.com/dresses/sangria/sangria-women-grey--rust-orange-printed-shirt-dress/11174248/buy</t>
  </si>
  <si>
    <t>sangria women grey  rust orange printed shirt dress</t>
  </si>
  <si>
    <t>https://www.myntra.com/shrug/river-of-design-jeans/river-of-design-jeans-women-blue-embellished-crop-shrug/14791710/buy</t>
  </si>
  <si>
    <t>River Of Design Jeans</t>
  </si>
  <si>
    <t>river of design jeans women blue embellished crop shrug</t>
  </si>
  <si>
    <t>https://www.myntra.com/tshirts/roadster/roadster-women-pack-of-2-printed-cotton-t-shirt/17385194/buy</t>
  </si>
  <si>
    <t>https://www.myntra.com/dresses/taavi/taavi-women-multicoloured-striped-woven-legacy-a-line-sustainable-dress-with-pockets/11125376/buy</t>
  </si>
  <si>
    <t>taavi women multicoloured striped woven legacy a line sustainable dress with pockets</t>
  </si>
  <si>
    <t>https://www.myntra.com/jeans/roadster/roadster-women-black-skinny-fit-high-rise-clean-look-stretchable-cropped-jeans/7713851/buy</t>
  </si>
  <si>
    <t>roadster women black skinny fit high rise clean look stretchable cropped jeans</t>
  </si>
  <si>
    <t>https://www.myntra.com/jackets/hrx-by-hrithik-roshan/hrx-active-by-hrithik-roshan-men-black-solid-hooded-sporty-jacket/1868206/buy</t>
  </si>
  <si>
    <t>hrx active by hrithik roshan men black solid hooded sporty jacket</t>
  </si>
  <si>
    <t>https://www.myntra.com/shirts/roadster/roadster-men-black--red-regular-fit-checked-casual-sustainable-shirt/12947508/buy</t>
  </si>
  <si>
    <t>roadster men black  red regular fit checked casual sustainable shirt</t>
  </si>
  <si>
    <t>https://www.myntra.com/shirts/invictus/invictus-men-navy-blue--red-slim-fit-self-design-formal-shirt/10887578/buy</t>
  </si>
  <si>
    <t>invictus men navy blue  red slim fit self design formal shirt</t>
  </si>
  <si>
    <t>https://www.myntra.com/tshirts/roadster/roadster-time-travlr-men-white-sleveless-pure-cotton-t-shirt-with-raw-edges/2498491/buy</t>
  </si>
  <si>
    <t>roadster time travlr men white sleveless pure cotton t shirt with raw edges</t>
  </si>
  <si>
    <t>https://www.myntra.com/shirts/hancock/hancock-men-purple-slim-fit-solid-formal-shirt/1983071/buy</t>
  </si>
  <si>
    <t>hancock men purple slim fit solid formal shirt</t>
  </si>
  <si>
    <t>https://www.myntra.com/sarees/tikhi-imli/tikhi-imli-beige-sequinned-saree/13737536/buy</t>
  </si>
  <si>
    <t>tikhi imli beige sequinned saree</t>
  </si>
  <si>
    <t>https://www.myntra.com/bra/zivame/zivame-black-solid-non-wired-lightly-padded-t-shirt-bra-zi1131coreblack/6608568/buy</t>
  </si>
  <si>
    <t>zivame black solid non wired lightly padded t shirt bra zi1131coreblack</t>
  </si>
  <si>
    <t>34C, 36C, 36D, 38B, 38C</t>
  </si>
  <si>
    <t>https://www.myntra.com/tshirts/herenow/herenow-women-pink-solid-polo-collar-t-shirt/12406888/buy</t>
  </si>
  <si>
    <t>herenow women pink solid polo collar t shirt</t>
  </si>
  <si>
    <t>https://www.myntra.com/kurtas/herenow/herenow-women-yellow-self-striped-keyhole-neck-embroidered-pure-cotton-straight-kurta/13495774/buy</t>
  </si>
  <si>
    <t>herenow women yellow self striped keyhole neck embroidered pure cotton straight kurta</t>
  </si>
  <si>
    <t>https://www.myntra.com/tops/dressberry/dressberry-women-stylish-black-floral-vacay-attire-top/11182394/buy</t>
  </si>
  <si>
    <t>dressberry women stylish black floral vacay attire top</t>
  </si>
  <si>
    <t>https://www.myntra.com/trousers/jaipur-kurti/jaipur-kurti-women-grey-regular-fit-solid-trousers/9435913/buy</t>
  </si>
  <si>
    <t>jaipur kurti women grey regular fit solid trousers</t>
  </si>
  <si>
    <t>https://www.myntra.com/jeans/dolce-crudo/dolce-crudo-women-navy-blue-skinny-fit-high-rise-clean-look-stretchable-jeans/10696596/buy</t>
  </si>
  <si>
    <t>dolce crudo women navy blue skinny fit high rise clean look stretchable jeans</t>
  </si>
  <si>
    <t>https://www.myntra.com/tshirts/roadster/roadster-women-green--maroon-pack-of-2-printed-round-neck-regular-sleeves-t-shirts/17383234/buy</t>
  </si>
  <si>
    <t>roadster women green  maroon pack of 2 printed round neck regular sleeves t shirts</t>
  </si>
  <si>
    <t>https://www.myntra.com/jeans/highlander/highlander-men-white-tapered-fit-jeans/13430298/buy</t>
  </si>
  <si>
    <t>highlander men white tapered fit jeans</t>
  </si>
  <si>
    <t>https://www.myntra.com/shorts/highlander/highlander-men-grey-checked-slim-fit-regular-shorts/10460308/buy</t>
  </si>
  <si>
    <t>highlander men grey checked slim fit regular shorts</t>
  </si>
  <si>
    <t>https://www.myntra.com/dresses/nayo/nayo-burgundy-ethnic-motifs-maxi-dress/14345998/buy</t>
  </si>
  <si>
    <t>nayo burgundy ethnic motifs maxi dress</t>
  </si>
  <si>
    <t>https://www.myntra.com/kurtas/sangria/sangria-women-off-white-embroidered-straight-kurta/8350257/buy</t>
  </si>
  <si>
    <t>sangria women off white embroidered straight kurta</t>
  </si>
  <si>
    <t>https://www.myntra.com/tshirts/roadster/roadster-men-grey-melange-solid-t-shirt/11948318/buy</t>
  </si>
  <si>
    <t>roadster men grey melange solid t shirt</t>
  </si>
  <si>
    <t>https://www.myntra.com/kurta-sets/anouk/anouk-women-green-solid-kurta-with-trousers--dupatta/12134822/buy</t>
  </si>
  <si>
    <t>anouk women green solid kurta with trousers  dupatta</t>
  </si>
  <si>
    <t>https://www.myntra.com/tops/sangria/sangria-green-floral-high-low-pure-cotton-top-with-bell-sleeves/8420329/buy</t>
  </si>
  <si>
    <t>sangria green floral high low pure cotton top with bell sleeves</t>
  </si>
  <si>
    <t>https://www.myntra.com/shrug/wisstler/wisstler-women-black--off-white-printed-longline-shrug/10197815/buy</t>
  </si>
  <si>
    <t>wisstler women black  off white printed longline shrug</t>
  </si>
  <si>
    <t>https://www.myntra.com/jackets/tokyo-talkies/tokyo-talkies-women-white-solid-jacket/10710870/buy</t>
  </si>
  <si>
    <t>tokyo talkies women white solid jacket</t>
  </si>
  <si>
    <t>https://www.myntra.com/kurtas/varanga/varanga-women-off-white--gold-toned-printed-straight-kurta/2297276/buy</t>
  </si>
  <si>
    <t>varanga women off white  gold toned printed straight kurta</t>
  </si>
  <si>
    <t>https://www.myntra.com/kurtas/varanga/varanga-women-red--silver-toned-embroidered-straight-kurta/12541334/buy</t>
  </si>
  <si>
    <t>varanga women red  silver toned embroidered straight kurta</t>
  </si>
  <si>
    <t>https://www.myntra.com/kurta-sets/street-9/street-9-women-turquoise-blue--beige-self-design-kurta-with-trousers/9340297/buy</t>
  </si>
  <si>
    <t>street 9 women turquoise blue  beige self design kurta with trousers</t>
  </si>
  <si>
    <t>https://www.myntra.com/kurtas/rain--rainbow/rain--rainbow-women-green--pink-printed-anarkali-kurta/2263523/buy</t>
  </si>
  <si>
    <t>Rain &amp; Rainbow</t>
  </si>
  <si>
    <t>rain  rainbow women green  pink printed anarkali kurta</t>
  </si>
  <si>
    <t>https://www.myntra.com/tops/sassafras/sassafras-women-brown-solid-blouson-top/8643161/buy</t>
  </si>
  <si>
    <t>sassafras women brown solid blouson top</t>
  </si>
  <si>
    <t>https://www.myntra.com/trousers/mast--harbour/mast--harbour-women-brown-peg-trousers/2334884/buy</t>
  </si>
  <si>
    <t>mast  harbour women brown peg trousers</t>
  </si>
  <si>
    <t>https://www.myntra.com/track-pants/hubberholme/hubberholme-men-charcoal-grey-slim-fit-solid-cargo-joggers/13961904/buy</t>
  </si>
  <si>
    <t>hubberholme men charcoal grey slim fit solid cargo joggers</t>
  </si>
  <si>
    <t>https://www.myntra.com/tshirts/roadster/roadster-men-navy-blue-striped-round-neck-pure-cotton-t-shirt/2318578/buy</t>
  </si>
  <si>
    <t>roadster men navy blue striped round neck pure cotton t shirt</t>
  </si>
  <si>
    <t>https://www.myntra.com/shirts/roadster/roadster-men-charcoal-solid-casual-shirt/8499849/buy</t>
  </si>
  <si>
    <t>roadster men charcoal solid casual shirt</t>
  </si>
  <si>
    <t>https://www.myntra.com/jackets/roadster/roadster-men-deep-burgundy-solid-leather-jacket/7116650/buy</t>
  </si>
  <si>
    <t>roadster men deep burgundy solid leather jacket</t>
  </si>
  <si>
    <t>https://www.myntra.com/kurta-sets/sangria/sangria-women-white--mustard-yellow-printed-kurta-with-palazzos/11174322/buy</t>
  </si>
  <si>
    <t>sangria women white  mustard yellow printed kurta with palazzos</t>
  </si>
  <si>
    <t>https://www.myntra.com/kurta-sets/vishudh/vishudh-women-silver-toned--solid-kurta-with-trousers--dupatta/7572967/buy</t>
  </si>
  <si>
    <t>vishudh women silver toned  solid kurta with trousers  dupatta</t>
  </si>
  <si>
    <t>https://www.myntra.com/kurta-sets/sangria/sangria-women-maroon-solid-kurta-with-palazzos/11536956/buy</t>
  </si>
  <si>
    <t>sangria women maroon solid kurta with palazzos</t>
  </si>
  <si>
    <t>https://www.myntra.com/dresses/berrylush/berrylush-women-rose-solid-styled-back-fit-and-flare-dress/12480208/buy</t>
  </si>
  <si>
    <t>berrylush women rose solid styled back fit and flare dress</t>
  </si>
  <si>
    <t>https://www.myntra.com/jumpsuit/sassafras/sassafras-women-fuchsia-pink-solid-basic-jumpsuit/10308659/buy</t>
  </si>
  <si>
    <t>sassafras women fuchsia pink solid basic jumpsuit</t>
  </si>
  <si>
    <t>https://www.myntra.com/dresses/anouk/anouk-blue--pink-ethnic-motifs-print-tiered-a-line-midi-dress/13237374/buy</t>
  </si>
  <si>
    <t>anouk blue  pink ethnic motifs print tiered a line midi dress</t>
  </si>
  <si>
    <t>https://www.myntra.com/dresses/athena/athena-burgundy-v-neck-wrap-dress/11024460/buy</t>
  </si>
  <si>
    <t>athena burgundy v neck wrap dress</t>
  </si>
  <si>
    <t>https://www.myntra.com/jeans/highlander/highlander-men-grey-tapered-fit-mid-rise-clean-look-stretchable-jeans/13938110/buy</t>
  </si>
  <si>
    <t>https://www.myntra.com/shirts/harvard/harvard-men-blue--red-slim-fit-checked-sustainable-casual-shirt/2358015/buy</t>
  </si>
  <si>
    <t>harvard men blue  red slim fit checked sustainable casual shirt</t>
  </si>
  <si>
    <t>https://www.myntra.com/jackets/roadster/roadster-men-olive-green-solid-bomber-jacket/9564199/buy</t>
  </si>
  <si>
    <t>roadster men olive green solid bomber jacket</t>
  </si>
  <si>
    <t>https://www.myntra.com/kurtas/inddus/inddus-women-blue-solid-straight-kurta-with-floral-lace-detail/9539335/buy</t>
  </si>
  <si>
    <t>inddus women blue solid straight kurta with floral lace detail</t>
  </si>
  <si>
    <t>https://www.myntra.com/kurta-sets/street-9/street-9-women-black-yoke-design-kurta-with-trousers/14016082/buy</t>
  </si>
  <si>
    <t>street 9 women black yoke design kurta with trousers</t>
  </si>
  <si>
    <t>https://www.myntra.com/night-suits/smarty-pants/smarty-pants-women-grey-printed-night-suit/15190446/buy</t>
  </si>
  <si>
    <t>smarty pants women grey printed night suit</t>
  </si>
  <si>
    <t>https://www.myntra.com/kurtas/herenow/herenow-women-black-floral-printed-straight-kurta/10243917/buy</t>
  </si>
  <si>
    <t>herenow women black floral printed straight kurta</t>
  </si>
  <si>
    <t>https://www.myntra.com/kurta-sets/herenow/herenow-women-navy-blue--maroon-printed-kurta-with-palazzos/3014457/buy</t>
  </si>
  <si>
    <t>herenow women navy blue  maroon printed kurta with palazzos</t>
  </si>
  <si>
    <t>https://www.myntra.com/sweatshirts/ether/ether-women-maroon-solid-pullover-sweatshirt/1484032/buy</t>
  </si>
  <si>
    <t>ether women maroon solid pullover sweatshirt</t>
  </si>
  <si>
    <t>https://www.myntra.com/trousers/sassafras/sassafras-women-blue-tapered-fit-solid-cropped-regular-trousers/11866148/buy</t>
  </si>
  <si>
    <t>sassafras women blue tapered fit solid cropped regular trousers</t>
  </si>
  <si>
    <t>https://www.myntra.com/shirts/hancock/hancock-women-white-slim-fit-formal-shirt/11530274/buy</t>
  </si>
  <si>
    <t>hancock women white slim fit formal shirt</t>
  </si>
  <si>
    <t>https://www.myntra.com/kurtas/cross-court/cross-court-men-blue-woven-design-straight-kurta/3003546/buy</t>
  </si>
  <si>
    <t>cross court men blue woven design straight kurta</t>
  </si>
  <si>
    <t>https://www.myntra.com/tshirts/mast--harbour/mast--harbour-men-white-solid-polo-collar-pure-cotton-t-shirt/11607356/buy</t>
  </si>
  <si>
    <t>mast  harbour men white solid polo collar pure cotton t shirt</t>
  </si>
  <si>
    <t>https://www.myntra.com/shirts/highlander/highlander-men-blue-slim-fit-striped-casual-shirt/10863410/buy</t>
  </si>
  <si>
    <t>highlander men blue slim fit striped casual shirt</t>
  </si>
  <si>
    <t>https://www.myntra.com/tshirts/roadster/roadster-men-navy-blue--white-striped-polo-collar-t-shirt/11462776/buy</t>
  </si>
  <si>
    <t>roadster men navy blue  white striped polo collar t shirt</t>
  </si>
  <si>
    <t>https://www.myntra.com/shirts/roadster/roadster-men-navy-blue--white-regular-fit-geometric-printed-sustainable-casual-shirt/11895964/buy</t>
  </si>
  <si>
    <t>roadster men navy blue  white regular fit geometric printed sustainable casual shirt</t>
  </si>
  <si>
    <t>https://www.myntra.com/tunics/bhama-couture/bhama-couture-women-beige--pink-printed-tunic/11090026/buy</t>
  </si>
  <si>
    <t>bhama couture women beige  pink printed tunic</t>
  </si>
  <si>
    <t>https://www.myntra.com/kurta-sets/indo-era/indo-era-women-navy-blue-solid-kurta-with-palazzos--dupatta/11530502/buy</t>
  </si>
  <si>
    <t>indo era women navy blue solid kurta with palazzos  dupatta</t>
  </si>
  <si>
    <t>https://www.myntra.com/bra/prettycat/prettycat-black-lace-non-wired-lightly-padded-bralette-bra/4670941/buy</t>
  </si>
  <si>
    <t>PrettyCat</t>
  </si>
  <si>
    <t>prettycat black lace non wired lightly padded bralette bra</t>
  </si>
  <si>
    <t>30A, 30B, 32A, 32B, 34A, 34B, 36A, 36B</t>
  </si>
  <si>
    <t>https://www.myntra.com/track-pants/hrx-by-hrithik-roshan/hrx-by-hrithik-roshan-men-white-solid-regular-fit-rapid-dry-cricket-track-pants/11640670/buy</t>
  </si>
  <si>
    <t>hrx by hrithik roshan men white solid regular fit rapid dry cricket track pants</t>
  </si>
  <si>
    <t>https://www.myntra.com/socks/artengo-by-decathlon/artengo-by-decathlon-pack-of-3-assorted-ankle-length-socks/14405324/buy</t>
  </si>
  <si>
    <t>artengo by decathlon pack of 3 assorted ankle length socks</t>
  </si>
  <si>
    <t>UK2.5, UK5.5, UK8.5</t>
  </si>
  <si>
    <t>https://www.myntra.com/shirts/roadster/roadster-men-brown--orange-checked-pure-cotton-sustainable-casual-shirt/11896052/buy</t>
  </si>
  <si>
    <t>roadster men brown  orange checked pure cotton sustainable casual shirt</t>
  </si>
  <si>
    <t>https://www.myntra.com/tshirts/mast--harbour/mast--harbour-men-coral-pink-striped-polo-collar-pure-cotton-t-shirt/4149433/buy</t>
  </si>
  <si>
    <t>mast  harbour men coral pink striped polo collar pure cotton t shirt</t>
  </si>
  <si>
    <t>https://www.myntra.com/tops/woowzerz/woowzerz-teal-green-peplum-top-with-sweetheart-neck/12052842/buy</t>
  </si>
  <si>
    <t>WoowZerz</t>
  </si>
  <si>
    <t>woowzerz teal green peplum top with sweetheart neck</t>
  </si>
  <si>
    <t>https://www.myntra.com/jeans/dressberry/dressberry-women-blue-skinny-fit-mid-rise-clean-look-stretchable-ankle-length-jeans/11293728/buy</t>
  </si>
  <si>
    <t>Rs. 1100 OFF</t>
  </si>
  <si>
    <t>https://www.myntra.com/tshirts/harvard/harvard-women-white--yellow-ombre-dyed-round-neck-t-shirt/2372791/buy</t>
  </si>
  <si>
    <t>harvard women white  yellow ombre dyed round neck t shirt</t>
  </si>
  <si>
    <t>Rs. 499 OFF</t>
  </si>
  <si>
    <t>https://www.myntra.com/kurtas/taavi/taavi-men-maroon--black-ikat-woven-design-straight-kurta-with-roll-up-sleeves/11014192/buy</t>
  </si>
  <si>
    <t>taavi men maroon  black ikat woven design straight kurta with roll up sleeves</t>
  </si>
  <si>
    <t>https://www.myntra.com/tshirts/roadster/roadster-men-black-printed-round-neck-t-shirt/1277684/buy</t>
  </si>
  <si>
    <t>roadster men black printed round neck t shirt</t>
  </si>
  <si>
    <t>https://www.myntra.com/kurtas/sangria/sangria-women-green--golden-printed-straight-kurta/9371239/buy</t>
  </si>
  <si>
    <t>sangria women green  golden printed straight kurta</t>
  </si>
  <si>
    <t>https://www.myntra.com/kurta-sets/kalini/kalini-women-pink--gold-coloured-printed-kurta-with-trousers--dupatta/13489956/buy</t>
  </si>
  <si>
    <t>kalini women pink  gold coloured printed kurta with trousers  dupatta</t>
  </si>
  <si>
    <t>77% OFF</t>
  </si>
  <si>
    <t>https://www.myntra.com/sarees/kalini/kalini-pack-of-2-black--beige-silk-blend-khadi-sarees/14241982/buy</t>
  </si>
  <si>
    <t>kalini pack of 2 black  beige silk blend khadi sarees</t>
  </si>
  <si>
    <t>https://www.myntra.com/tops/pluss/pluss-women-purple-solid-top/7753723/buy</t>
  </si>
  <si>
    <t>pluss women purple solid top</t>
  </si>
  <si>
    <t>https://www.myntra.com/track-pants/harvard/harvard-women-navy-track-pants/6017139/buy</t>
  </si>
  <si>
    <t>harvard women navy track pants</t>
  </si>
  <si>
    <t>https://www.myntra.com/tshirts/roadster/roadster-women-mustard-yellow-solid-round-neck-t-shirt/11396706/buy</t>
  </si>
  <si>
    <t>https://www.myntra.com/tshirts/roadster/the-roadster-lifestyle-co-women-white-solid-henley-neck-pure-cotton-t-shirt/9740125/buy</t>
  </si>
  <si>
    <t>the roadster lifestyle co women white solid henley neck pure cotton t shirt</t>
  </si>
  <si>
    <t>https://www.myntra.com/tops/roadster/the-roadster-lifestyle-co-women-black--off-white-printed-pure-cotton-top/10958406/buy</t>
  </si>
  <si>
    <t>the roadster lifestyle co women black  off white printed pure cotton top</t>
  </si>
  <si>
    <t>https://www.myntra.com/jeans/highlander/highlander-men-blue-tapered-fit-mid-rise-clean-look-stretchable-jeans/7438767/buy</t>
  </si>
  <si>
    <t>highlander men blue tapered fit mid rise clean look stretchable jeans</t>
  </si>
  <si>
    <t>https://www.myntra.com/tshirts/maniac/maniac-men-grey-colourblocked-round-neck-t-shirt/10881908/buy</t>
  </si>
  <si>
    <t>maniac men grey colourblocked round neck t shirt</t>
  </si>
  <si>
    <t>https://www.myntra.com/night-suits/claura/claura-women-black--white-striped-night-suit-cot-158/11756222/buy</t>
  </si>
  <si>
    <t>claura women black  white striped night suit cot 158</t>
  </si>
  <si>
    <t>https://www.myntra.com/night-suits/claura/claura-women-peach-coloured--black-printed-night-suit/12095012/buy</t>
  </si>
  <si>
    <t>claura women peach coloured  black printed night suit</t>
  </si>
  <si>
    <t>https://www.myntra.com/kurtas/herenow/herenow-peach-puree-checked-kurta-with-pom-pom-detail/9075065/buy</t>
  </si>
  <si>
    <t>herenow peach puree checked kurta with pom pom detail</t>
  </si>
  <si>
    <t>https://www.myntra.com/jackets/belle-fille/belle-fille-women-red-solid-sporty--jacket/1010442/buy</t>
  </si>
  <si>
    <t>belle fille women red solid sporty  jacket</t>
  </si>
  <si>
    <t>https://www.myntra.com/jeans/hubberholme/hubberholme-women-navy-blue-slim-fit-bootcut-mid-rise-clean-look-cropped-stretchable-jeans/12379888/buy</t>
  </si>
  <si>
    <t>hubberholme women navy blue slim fit bootcut mid rise clean look cropped stretchable jeans</t>
  </si>
  <si>
    <t>https://www.myntra.com/sweatshirts/the-dry-state/the-dry-state-women-white--black-quirky-printed-pure-cotton-hooded-sweatshirt/12895378/buy</t>
  </si>
  <si>
    <t>The Dry State</t>
  </si>
  <si>
    <t>the dry state women white  black quirky printed pure cotton hooded sweatshirt</t>
  </si>
  <si>
    <t>https://www.myntra.com/skirts/uptownie-lite/uptownie-lite-brown-satin-pleated-flared-midi-skirt/11425704/buy</t>
  </si>
  <si>
    <t>Uptownie Lite</t>
  </si>
  <si>
    <t>uptownie lite brown satin pleated flared midi skirt</t>
  </si>
  <si>
    <t>https://www.myntra.com/tops/tokyo-talkies/tokyo-talkies-women-black-checked-top/13239978/buy</t>
  </si>
  <si>
    <t>tokyo talkies women black checked top</t>
  </si>
  <si>
    <t>https://www.myntra.com/trousers/highlander/highlander-men-black--grey-slim-fit-checked-regular-trousers/10144531/buy</t>
  </si>
  <si>
    <t>highlander men black  grey slim fit checked regular trousers</t>
  </si>
  <si>
    <t>https://www.myntra.com/bra/enamor/enamor-black-non-wired-non-padded-full-coverage-everyday-tshirt-bra-a027-/10685708/buy</t>
  </si>
  <si>
    <t xml:space="preserve">enamor black non wired non padded full coverage everyday tshirt bra a027 </t>
  </si>
  <si>
    <t>https://www.myntra.com/trousers/highlander/highlander-men-black-tapered-fit-solid-regular-trousers/13266534/buy</t>
  </si>
  <si>
    <t>highlander men black tapered fit solid regular trousers</t>
  </si>
  <si>
    <t>https://www.myntra.com/tshirts/hrx-by-hrithik-roshan/hrx-by-hrithik-roshan-men-cream-coloured-lifestyle-fullsleeve-crew-neck-tshirt/8904191/buy</t>
  </si>
  <si>
    <t>hrx by hrithik roshan men cream coloured lifestyle fullsleeve crew neck tshirt</t>
  </si>
  <si>
    <t>https://www.myntra.com/trousers/tokyo-talkies/tokyo-talkies-women-olive-green-regular-fit-self-design-ankle-length-high-waist-trousers/12072494/buy</t>
  </si>
  <si>
    <t>tokyo talkies women olive green regular fit self design ankle length high waist trousers</t>
  </si>
  <si>
    <t>https://www.myntra.com/jeans/roadster/roadster-men-blue-skinny-fit-mid-rise-clean-look-stretchable-jeans/11274704/buy</t>
  </si>
  <si>
    <t>https://www.myntra.com/jeans/highlander/highlander-men-blue-slim-fit-mid-rise-clean-look-jeans/2174900/buy</t>
  </si>
  <si>
    <t>highlander men blue slim fit mid rise clean look jeans</t>
  </si>
  <si>
    <t>https://www.myntra.com/shirts/wrogn/wrogn-men-olive-green-slim-fit-casual-shirt/8426253/buy</t>
  </si>
  <si>
    <t>wrogn men olive green slim fit casual shirt</t>
  </si>
  <si>
    <t>https://www.myntra.com/kurtas/vishudh/vishudh-women-white--pink-printed-a-line-kurta/7334039/buy</t>
  </si>
  <si>
    <t>vishudh women white  pink printed a line kurta</t>
  </si>
  <si>
    <t>https://www.myntra.com/kurta-sets/vishudh/vishudh-women-navy-blue-printed-kurta-with-palazzos/8890019/buy</t>
  </si>
  <si>
    <t>vishudh women navy blue printed kurta with palazzos</t>
  </si>
  <si>
    <t>https://www.myntra.com/kurta-sets/vishudh/vishudh-women-burgundy--solid-kurta-with-palazzos/7572995/buy</t>
  </si>
  <si>
    <t>vishudh women burgundy  solid kurta with palazzos</t>
  </si>
  <si>
    <t>https://www.myntra.com/kurtas/sangria/sangria-women-black-printed-straight-kurta/9371515/buy</t>
  </si>
  <si>
    <t>https://www.myntra.com/jackets/roadster/the-roadster-lifestyle-co-women-blue-solid-denim-jacket/10562346/buy</t>
  </si>
  <si>
    <t>the roadster lifestyle co women blue solid denim jacket</t>
  </si>
  <si>
    <t>https://www.myntra.com/tshirts/roadster/roadster-men-blue-printed-henley-neck-pure-cotton-t-shirt/11533838/buy</t>
  </si>
  <si>
    <t>roadster men blue printed henley neck pure cotton t shirt</t>
  </si>
  <si>
    <t>https://www.myntra.com/tshirts/roadster/the-roadster-lifestyle-co-men-green-printed-round-neck-pure-cotton-t-shirt/8938965/buy</t>
  </si>
  <si>
    <t>the roadster lifestyle co men green printed round neck pure cotton t shirt</t>
  </si>
  <si>
    <t>https://www.myntra.com/kurtas/vishudh/vishudh-women-grey--beige-printed-straight-kurta/9981437/buy</t>
  </si>
  <si>
    <t>vishudh women grey  beige printed straight kurta</t>
  </si>
  <si>
    <t>https://www.myntra.com/kurta-sets/inddus/inddus-women-pink--blue-embroidered-kurta-with-sharara--dupatta/12491436/buy</t>
  </si>
  <si>
    <t>inddus women pink  blue embroidered kurta with sharara  dupatta</t>
  </si>
  <si>
    <t>https://www.myntra.com/jeans/miss-chase/miss-chase-women-blue-skinny-fit-high-rise-clean-look-jeans/8514289/buy</t>
  </si>
  <si>
    <t>miss chase women blue skinny fit high rise clean look jeans</t>
  </si>
  <si>
    <t>https://www.myntra.com/tops/her-by-invictus/her-by-invictus-burgundy--navy-blue-polka-dots-roll-up-sleeves-top/12220398/buy</t>
  </si>
  <si>
    <t>her by invictus burgundy  navy blue polka dots roll up sleeves top</t>
  </si>
  <si>
    <t>https://www.myntra.com/tshirts/roadster/roadster-women-burgundy--white-typography-printed-cotton-t-shirt/11401738/buy</t>
  </si>
  <si>
    <t>roadster women burgundy  white typography printed cotton t shirt</t>
  </si>
  <si>
    <t>Rs. 600 OFF</t>
  </si>
  <si>
    <t>https://www.myntra.com/tshirts/harvard/harvard-women-blue--white-ombre-dyed-t-shirt/2372792/buy</t>
  </si>
  <si>
    <t>harvard women blue  white ombre dyed t shirt</t>
  </si>
  <si>
    <t>https://www.myntra.com/boxers/urban-scottish/urban-scottish-men-pack-of-2-printed----pure-cotton-boxers-usbx1801/8726891/buy</t>
  </si>
  <si>
    <t>urban scottish men pack of 2 printed    pure cotton boxers usbx1801</t>
  </si>
  <si>
    <t>https://www.myntra.com/shirts/highlander/highlander-men-black--white-slim-fit-striped-casual-shirt/11780926/buy</t>
  </si>
  <si>
    <t>https://www.myntra.com/shirts/roadster/roadster-men-grey-regular-fit-printed-sustainable-casual-shirt/2283218/buy</t>
  </si>
  <si>
    <t>roadster men grey regular fit printed sustainable casual shirt</t>
  </si>
  <si>
    <t>https://www.myntra.com/shirts/wrogn/wrogn-men-red--navy-blue-smart-fit-checked-casual-shirt/2338729/buy</t>
  </si>
  <si>
    <t>wrogn men red  navy blue smart fit checked casual shirt</t>
  </si>
  <si>
    <t>https://www.myntra.com/kurtas/sangria/sangria-women-green--orange-printed-straight-kurta/11174366/buy</t>
  </si>
  <si>
    <t>sangria women green  orange printed straight kurta</t>
  </si>
  <si>
    <t>https://www.myntra.com/night-suits/masha/masha-women-yellow-printed-night-suit/11966634/buy</t>
  </si>
  <si>
    <t>Masha</t>
  </si>
  <si>
    <t>masha women yellow printed night suit</t>
  </si>
  <si>
    <t xml:space="preserve"> 43 % OFF</t>
  </si>
  <si>
    <t>https://www.myntra.com/kurta-sets/sangria/sangria-women-navy-blue--off-white-printed-kurta-with-palazzos/11174074/buy</t>
  </si>
  <si>
    <t>sangria women navy blue  off white printed kurta with palazzos</t>
  </si>
  <si>
    <t>https://www.myntra.com/dresses/sangria/sangria-green-geometric-printed-wrap-dress/10560786/buy</t>
  </si>
  <si>
    <t>sangria green geometric printed wrap dress</t>
  </si>
  <si>
    <t>https://www.myntra.com/kurta-sets/sangria/sangria-women-aubergine--golden-embroidered-detail-angrakha-kurta-with-palazzos--dupatta/12104534/buy</t>
  </si>
  <si>
    <t>sangria women aubergine  golden embroidered detail angrakha kurta with palazzos  dupatta</t>
  </si>
  <si>
    <t>https://www.myntra.com/jeans/roadster/roadster-women-blue-bootcut-fit-mid-rise-mildly-distressed-stretchable-jeans/10782772/buy</t>
  </si>
  <si>
    <t>roadster women blue bootcut fit mid rise mildly distressed stretchable jeans</t>
  </si>
  <si>
    <t>https://www.myntra.com/tshirts/wrogn/wrogn-men-navy-blue--burgundy-slim-fit-colourblocked-round-neck-pure-cotton-t-shirt/10188449/buy</t>
  </si>
  <si>
    <t>wrogn men navy blue  burgundy slim fit colourblocked round neck pure cotton t shirt</t>
  </si>
  <si>
    <t>https://www.myntra.com/kurtas/anouk/anouk-women-off-white--green-striped-straight-kurta/11402162/buy</t>
  </si>
  <si>
    <t>anouk women off white  green striped straight kurta</t>
  </si>
  <si>
    <t>https://www.myntra.com/sarees/saree-mall/saree-mall-green--maroon-solid-saree/7999575/buy</t>
  </si>
  <si>
    <t>saree mall green  maroon solid saree</t>
  </si>
  <si>
    <t>https://www.myntra.com/kurtas/vishudh/vishudh-women-black-woven-design-straight-kurta/2444017/buy</t>
  </si>
  <si>
    <t>vishudh women black woven design straight kurta</t>
  </si>
  <si>
    <t>https://www.myntra.com/sarees/mitera/mitera-red-embroidered-net-saree/10303761/buy</t>
  </si>
  <si>
    <t>mitera red embroidered net saree</t>
  </si>
  <si>
    <t>https://www.myntra.com/kurtas/sangria/sangria-women-rust-printed-anarkali-kurta/8349993/buy</t>
  </si>
  <si>
    <t>sangria women rust printed anarkali kurta</t>
  </si>
  <si>
    <t>https://www.myntra.com/jeans/herenow/herenow-women-blue-skinny-fit-high-rise-clean-look-stretchable-jeans/12545664/buy</t>
  </si>
  <si>
    <t>https://www.myntra.com/tights/hrx-by-hrithik-roshan/hrx-by-hrithik-roshan-women-jet-black-solid-rapid-dry-seamless-training-tights/11245464/buy</t>
  </si>
  <si>
    <t>hrx by hrithik roshan women jet black solid rapid dry seamless training tights</t>
  </si>
  <si>
    <t>https://www.myntra.com/dresses/kassually/kassually-green-v-neck-pleated-fit--flare-dress/13840088/buy</t>
  </si>
  <si>
    <t>kassually green v neck pleated fit  flare dress</t>
  </si>
  <si>
    <t>https://www.myntra.com/trousers/zastraa/zastraa-women-black-parallel-trousers/7414866/buy</t>
  </si>
  <si>
    <t>zastraa women black parallel trousers</t>
  </si>
  <si>
    <t>https://www.myntra.com/shirts/highlander/highlander-men-navy-blue-slim-fit-striped-casual-shirt/13836306/buy</t>
  </si>
  <si>
    <t>highlander men navy blue slim fit striped casual shirt</t>
  </si>
  <si>
    <t>https://www.myntra.com/shirts/the-indian-garage-co/the-indian-garage-co-men-white--navy-blue-slim-fit-striped-casual-shirt/10673588/buy</t>
  </si>
  <si>
    <t>the indian garage co men white  navy blue slim fit striped casual shirt</t>
  </si>
  <si>
    <t>https://www.myntra.com/kurtas/anayna/anayna-women-blue--white-geometric-screen-print-cotton-fusion-kurta/13932904/buy</t>
  </si>
  <si>
    <t>anayna women blue  white geometric screen print cotton fusion kurta</t>
  </si>
  <si>
    <t>https://www.myntra.com/sarees/kalini/kalini-off-white-khadi-silk-printed-khadi-saree/14252908/buy</t>
  </si>
  <si>
    <t>kalini off white khadi silk printed khadi saree</t>
  </si>
  <si>
    <t>https://www.myntra.com/sarees/mitera/mitera-orange--pink-silk-blend-woven-design-kanjeevaram-saree/11096590/buy</t>
  </si>
  <si>
    <t>mitera orange  pink silk blend woven design kanjeevaram saree</t>
  </si>
  <si>
    <t>https://www.myntra.com/bra/dressberry/dressberry-pack-of-2-solid-non-wired-non-padded-everyday-bra-db-lwr-bra-030/11883136/buy</t>
  </si>
  <si>
    <t>dressberry pack of 2 solid non wired non padded everyday bra db lwr bra 030</t>
  </si>
  <si>
    <t>https://www.myntra.com/tshirts/the-dry-state/the-dry-state-women-pink--mustard-yellow-colourblocked-round-neck-slim-fit-t-shirt/11156880/buy</t>
  </si>
  <si>
    <t>the dry state women pink  mustard yellow colourblocked round neck slim fit t shirt</t>
  </si>
  <si>
    <t>https://www.myntra.com/jeans/tokyo-talkies/tokyo-talkies-women-black-super-skinny-fit-mid-rise-clean-look-jeans/7625915/buy</t>
  </si>
  <si>
    <t>tokyo talkies women black super skinny fit mid rise clean look jeans</t>
  </si>
  <si>
    <t>https://www.myntra.com/jumpsuit/dressberry/dressberry-women-stunning-blue-solid-joyful-jumpsuit/1804157/buy</t>
  </si>
  <si>
    <t>dressberry women stunning blue solid joyful jumpsuit</t>
  </si>
  <si>
    <t>https://www.myntra.com/dresses/quiero/quiero-blue--pink-floral-printed-smocked-tiered-maxi-dress/11767384/buy</t>
  </si>
  <si>
    <t>quiero blue  pink floral printed smocked tiered maxi dress</t>
  </si>
  <si>
    <t>https://www.myntra.com/jeans/roadster/roadster-men-grey-skinny-fit-mid-rise-clean-look-stretchable-jeans/11274486/buy</t>
  </si>
  <si>
    <t>https://www.myntra.com/shorts/harvard/harvard-men-navy-blue-printed-regular-fit-chino-shorts/1874586/buy</t>
  </si>
  <si>
    <t>harvard men navy blue printed regular fit chino shorts</t>
  </si>
  <si>
    <t>https://www.myntra.com/tshirts/kalenji-by-decathlon/kalenji-by-decathlon-men-grey-solid-running-t-shirt/12928860/buy</t>
  </si>
  <si>
    <t>Kalenji By Decathlon</t>
  </si>
  <si>
    <t>kalenji by decathlon men grey solid running t shirt</t>
  </si>
  <si>
    <t>3% OFF</t>
  </si>
  <si>
    <t>https://www.myntra.com/kurtas/libas/libas-women-grey-printed-straight-kurta/12741920/buy</t>
  </si>
  <si>
    <t>libas women grey printed straight kurta</t>
  </si>
  <si>
    <t>https://www.myntra.com/dresses/bhama-couture/bhama-couture-women-red-solid-tiered-a-line-dress/9717155/buy</t>
  </si>
  <si>
    <t>bhama couture women red solid tiered a line dress</t>
  </si>
  <si>
    <t>https://www.myntra.com/bra/dressberry/dressberry-white-solid-non-wired-non-padded-everyday-bra-db-mint-bra-001a/10939770/buy</t>
  </si>
  <si>
    <t>dressberry white solid non wired non padded everyday bra db mint bra 001a</t>
  </si>
  <si>
    <t>https://www.myntra.com/kurtas/herenow/herenow-women-navy-printed-straight-kurta/2130348/buy</t>
  </si>
  <si>
    <t>herenow women navy printed straight kurta</t>
  </si>
  <si>
    <t>https://www.myntra.com/tshirts/moda-rapido/moda-rapido-men-red--black-printed-round-neck-pure-cotton-t-shirt/10287485/buy</t>
  </si>
  <si>
    <t>moda rapido men red  black printed round neck pure cotton t shirt</t>
  </si>
  <si>
    <t>https://www.myntra.com/dresses/sangria/sangria-navy-blue-midi-fit--flare-dress/9365731/buy</t>
  </si>
  <si>
    <t>sangria navy blue midi fit  flare dress</t>
  </si>
  <si>
    <t>https://www.myntra.com/dresses/sangria/sangria-blue--white-ethnic-motifs-printed-cotton-a-line-dress/10561020/buy</t>
  </si>
  <si>
    <t>sangria blue  white ethnic motifs printed cotton a line dress</t>
  </si>
  <si>
    <t>https://www.myntra.com/jumpsuit/thread-muster/thread-muster-women-mustard-yellow-solid-basic-jumpsuit/13639362/buy</t>
  </si>
  <si>
    <t>THREAD MUSTER</t>
  </si>
  <si>
    <t>thread muster women mustard yellow solid basic jumpsuit</t>
  </si>
  <si>
    <t>https://www.myntra.com/tshirts/roadster/roadster-women-pack-of-2-solid-pure-cotton-t-shirts/17381366/buy</t>
  </si>
  <si>
    <t>https://www.myntra.com/track-pants/mast--harbour/mast--harbour-men-black-printed-joggers/2463361/buy</t>
  </si>
  <si>
    <t>mast  harbour men black printed joggers</t>
  </si>
  <si>
    <t>https://www.myntra.com/tshirts/wrogn/wrogn-men-white-black-striped-polo-collar-pure-cotton-t-shirt/2339637/buy</t>
  </si>
  <si>
    <t>wrogn men white black striped polo collar pure cotton t shirt</t>
  </si>
  <si>
    <t>https://www.myntra.com/tshirts/herenow/herenow-men-navy-blue--black-typography-print-round-neck-pure-cotton-t-shirt/12816448/buy</t>
  </si>
  <si>
    <t>herenow men navy blue  black typography print round neck pure cotton t shirt</t>
  </si>
  <si>
    <t>https://www.myntra.com/kurtis/anubhutee/anubhutee-magenta--orange-checked-angrakha-kurti/10613280/buy</t>
  </si>
  <si>
    <t>anubhutee magenta  orange checked angrakha kurti</t>
  </si>
  <si>
    <t>https://www.myntra.com/kurtas/janasya/janasya-women-green-floral-print-a-line-kurta/11506932/buy</t>
  </si>
  <si>
    <t>janasya women green floral print a line kurta</t>
  </si>
  <si>
    <t>https://www.myntra.com/kurtas/stylum/stylum-women-green--red-bandhani-printed-kurta-with-dupatta/14440472/buy</t>
  </si>
  <si>
    <t>stylum women green  red bandhani printed kurta with dupatta</t>
  </si>
  <si>
    <t>Rs. 1401 OFF</t>
  </si>
  <si>
    <t>https://www.myntra.com/shapewear/laceandme/laceandme-beige-power-grip-women-tummy-tucker-belt-4164/2413353/buy</t>
  </si>
  <si>
    <t>laceandme beige power grip women tummy tucker belt 4164</t>
  </si>
  <si>
    <t>https://www.myntra.com/night-suits/masha/masha-women-yellow-printed-night-suit/12253984/buy</t>
  </si>
  <si>
    <t>https://www.myntra.com/trousers/mast--harbour/mast--harbour-women-black-regular-fit-solid-trousers/2364699/buy</t>
  </si>
  <si>
    <t>mast  harbour women black regular fit solid trousers</t>
  </si>
  <si>
    <t>https://www.myntra.com/jeans/roadster/roadster-men-blue-skinny-fit-mid-rise-mildly-distressed-stretchable-jeans/11274662/buy</t>
  </si>
  <si>
    <t>https://www.myntra.com/jeans/roadster/roadster-men-dark-blue-slim-fit-mid-rise-clean-look-stretchable-jeans/4607725/buy</t>
  </si>
  <si>
    <t>roadster men dark blue slim fit mid rise clean look stretchable jeans</t>
  </si>
  <si>
    <t>https://www.myntra.com/shirts/hancock/hancock-men-burgundy-slim-fit-formal-shirt/7237202/buy</t>
  </si>
  <si>
    <t>hancock men burgundy slim fit formal shirt</t>
  </si>
  <si>
    <t>https://www.myntra.com/shirts/moda-rapido/moda-rapido-men-pink--navy-blue-slim-fit-checked-casual-shirt/10091973/buy</t>
  </si>
  <si>
    <t>moda rapido men pink  navy blue slim fit checked casual shirt</t>
  </si>
  <si>
    <t>https://www.myntra.com/tshirts/rigo/rigo-men-teal-blue-solid-round-neck-t-shirt/9980055/buy</t>
  </si>
  <si>
    <t>rigo men teal blue solid round neck t shirt</t>
  </si>
  <si>
    <t>https://www.myntra.com/kurtas/anouk/anouk-women-blue--white-pure-cotton-ethnic-printed-straight-kurta/13238252/buy</t>
  </si>
  <si>
    <t>anouk women blue  white pure cotton ethnic printed straight kurta</t>
  </si>
  <si>
    <t>https://www.myntra.com/camisoles/enamor/enamor-women-white-slim-fit-camisole/865721/buy</t>
  </si>
  <si>
    <t>enamor women white slim fit camisole</t>
  </si>
  <si>
    <t>https://www.myntra.com/dresses/deebaco/deebaco-white---yellow-floral-tie-up-neck--fit-and-flared-dress/14352192/buy</t>
  </si>
  <si>
    <t>deebaco white   yellow floral tie up neck  fit and flared dress</t>
  </si>
  <si>
    <t>https://www.myntra.com/tshirts/roadster/roadster-men-maroon-solid-t-shirt/1708413/buy</t>
  </si>
  <si>
    <t>roadster men maroon solid t shirt</t>
  </si>
  <si>
    <t>https://www.myntra.com/sarees/tikhi-imli/tikhi-imli-pink-printed-saree/9302571/buy</t>
  </si>
  <si>
    <t>tikhi imli pink printed saree</t>
  </si>
  <si>
    <t>https://www.myntra.com/night-suits/etc/etc-women-black-night-suit/12441768/buy</t>
  </si>
  <si>
    <t>etc women black night suit</t>
  </si>
  <si>
    <t>https://www.myntra.com/kurtas/moda-rapido/moda-rapido-women-grey--white-printed-straight-kurta/1850238/buy</t>
  </si>
  <si>
    <t>moda rapido women grey  white printed straight kurta</t>
  </si>
  <si>
    <t>https://www.myntra.com/dresses/la-zoire/la-zoire-black-maxi-dress/691963/buy</t>
  </si>
  <si>
    <t>la zoire black maxi dress</t>
  </si>
  <si>
    <t>https://www.myntra.com/tshirts/roadster/the-roadster-lifestyle-co-women-dusty-red-solid-round-neck-pure-cotton-t-shirt/13594618/buy</t>
  </si>
  <si>
    <t>the roadster lifestyle co women dusty red solid round neck pure cotton t shirt</t>
  </si>
  <si>
    <t>https://www.myntra.com/tshirts/roadster/roadster-men-navy-blue--grey-colourblocked-polo-collar-t-shirt/11278638/buy</t>
  </si>
  <si>
    <t>roadster men navy blue  grey colourblocked polo collar t shirt</t>
  </si>
  <si>
    <t>https://www.myntra.com/tshirts/huetrap/huetrap-men-blue-floral-printed-cotton-t-shirt/11427076/buy</t>
  </si>
  <si>
    <t>Huetrap</t>
  </si>
  <si>
    <t>huetrap men blue floral printed cotton t shirt</t>
  </si>
  <si>
    <t>https://www.myntra.com/tshirts/bushirt/bushirt-men-pack-of-2-solid-round-neck-pure-cotton-t-shirts/10669540/buy</t>
  </si>
  <si>
    <t>https://www.myntra.com/kurtas/sangria/sangria-women-pink--white-pure-cotton-printed-anarkali-kurta/13437316/buy</t>
  </si>
  <si>
    <t>sangria women pink  white pure cotton printed anarkali kurta</t>
  </si>
  <si>
    <t>https://www.myntra.com/bra/dressberry/dressberry-blue-solid-non-wired-non-padded-everyday-bra-db-soft-bra-007d/10939784/buy</t>
  </si>
  <si>
    <t>dressberry blue solid non wired non padded everyday bra db soft bra 007d</t>
  </si>
  <si>
    <t>36B, 38D, 34D, 34C, 34B, 32C, 38C, 32B, 38B, 36D, 36C</t>
  </si>
  <si>
    <t>https://www.myntra.com/bra/quttos/quttos-red-solid-wired-lightly-padded-balconette-bra-qt-br-4006/11884346/buy</t>
  </si>
  <si>
    <t>quttos red solid wired lightly padded balconette bra qt br 4006</t>
  </si>
  <si>
    <t>https://www.myntra.com/night-suits/herenow/herenow-women-peach-coloured-solid-night-suit/12524912/buy</t>
  </si>
  <si>
    <t>herenow women peach coloured solid night suit</t>
  </si>
  <si>
    <t>https://www.myntra.com/track-pants/hrx-by-hrithik-roshan/hrx-by-hrithik-roshan-women-black-slim-fit-rapid-dry-antimicrobial-running-track-pants/11357296/buy</t>
  </si>
  <si>
    <t>hrx by hrithik roshan women black slim fit rapid dry antimicrobial running track pants</t>
  </si>
  <si>
    <t>https://www.myntra.com/tops/mast--harbour/mast--harbour-dusty-pink-semi-sheer-ruffled-top/11711862/buy</t>
  </si>
  <si>
    <t>mast  harbour dusty pink semi sheer ruffled top</t>
  </si>
  <si>
    <t>https://www.myntra.com/shorts/tokyo-talkies/tokyo-talkies-women-red-solid-regular-shorts/14348874/buy</t>
  </si>
  <si>
    <t>tokyo talkies women red solid regular shorts</t>
  </si>
  <si>
    <t>https://www.myntra.com/shirts/invictus/invictus-pink-printed-slim-formal-shirt/1086729/buy</t>
  </si>
  <si>
    <t>invictus pink printed slim formal shirt</t>
  </si>
  <si>
    <t>https://www.myntra.com/shirts/ether/ether-men-navy-blue-regular-fit-anti-microbial-cotton-linen-shirt/1207931/buy</t>
  </si>
  <si>
    <t>ether men navy blue regular fit anti microbial cotton linen shirt</t>
  </si>
  <si>
    <t>https://www.myntra.com/shirts/wrogn/wrogn-men-burgundy-slim-fit-casual-shirt/12131918/buy</t>
  </si>
  <si>
    <t>wrogn men burgundy slim fit casual shirt</t>
  </si>
  <si>
    <t>https://www.myntra.com/tshirts/herenow/herenow-men-blue-printed-round-neck-pure-cotton-t-shirt/12817358/buy</t>
  </si>
  <si>
    <t>herenow men blue printed round neck pure cotton t shirt</t>
  </si>
  <si>
    <t>https://www.myntra.com/tshirts/roadster/roadster-men-brown-striped-round-neck-pure-cotton-t-shirt/2318579/buy</t>
  </si>
  <si>
    <t>roadster men brown striped round neck pure cotton t shirt</t>
  </si>
  <si>
    <t>https://www.myntra.com/kurtas/yuris/yuris-women-red--white-bandhani-printed-straight-kurta/10736440/buy</t>
  </si>
  <si>
    <t>yuris women red  white bandhani printed straight kurta</t>
  </si>
  <si>
    <t>https://www.myntra.com/kurta-sets/varanga/varanga-women-mauve--silver-yoke-design-kurta-with-palazzos/10483698/buy</t>
  </si>
  <si>
    <t>varanga women mauve  silver yoke design kurta with palazzos</t>
  </si>
  <si>
    <t>https://www.myntra.com/kurtas/sangria/sangria-women-pink--white-floral-printed-straight-kurta/9371231/buy</t>
  </si>
  <si>
    <t>sangria women pink  white floral printed straight kurta</t>
  </si>
  <si>
    <t>XS, S, M, L, XL, 3XL, XXL</t>
  </si>
  <si>
    <t>https://www.myntra.com/dresses/pluss/pluss-women-burgundy--black-leopard-print-midi-a-line-dress-with-belt/13382040/buy</t>
  </si>
  <si>
    <t>pluss women burgundy  black leopard print midi a line dress with belt</t>
  </si>
  <si>
    <t>https://www.myntra.com/shirts/dressberry/dressberry-women-peach-coloured--navy-blue-regular-fit-printed-casual-shirt/8277941/buy</t>
  </si>
  <si>
    <t>dressberry women peach coloured  navy blue regular fit printed casual shirt</t>
  </si>
  <si>
    <t>Rs. 800 OFF</t>
  </si>
  <si>
    <t>https://www.myntra.com/skirts/sassafras/sassafras-pink-accordion-pleated-satin-finish-flared-midi-skirt/12541594/buy</t>
  </si>
  <si>
    <t>sassafras pink accordion pleated satin finish flared midi skirt</t>
  </si>
  <si>
    <t>https://www.myntra.com/trousers/roadster/roadster-women-khaki-sustainable-joggers/1787847/buy</t>
  </si>
  <si>
    <t>roadster women khaki sustainable joggers</t>
  </si>
  <si>
    <t>https://www.myntra.com/tshirts/roadster/roadster-women-white-solid-v-neck-t-shirt-with-printed-detail/11893804/buy</t>
  </si>
  <si>
    <t>roadster women white solid v neck t shirt with printed detail</t>
  </si>
  <si>
    <t>https://www.myntra.com/jeans/roadster/the-roadster-lifestyle-co-men-grey-skinny-fit-mid-rise-clean-look-stretchable-jeans/8962435/buy</t>
  </si>
  <si>
    <t>the roadster lifestyle co men grey skinny fit mid rise clean look stretchable jeans</t>
  </si>
  <si>
    <t>https://www.myntra.com/boxers/urban-scottish/urban-scottish-men-pack-of-2-blue-printed-pure-cotton-boxers-usbx2029/11529148/buy</t>
  </si>
  <si>
    <t>urban scottish men pack of 2 blue printed pure cotton boxers usbx2029</t>
  </si>
  <si>
    <t>https://www.myntra.com/tshirts/bushirt/bushirt-men-pack-of-2-solid-round-neck-pure-cotton-t-shirts/10670118/buy</t>
  </si>
  <si>
    <t>https://www.myntra.com/tshirts/herenow/herenow-men-white-printed--pure-cotton-t-shirt/12816890/buy</t>
  </si>
  <si>
    <t>herenow men white printed  pure cotton t shirt</t>
  </si>
  <si>
    <t>https://www.myntra.com/kurtas/herenow/herenow-women-white--beige-yoke-design-a-line-kurta/12524800/buy</t>
  </si>
  <si>
    <t>herenow women white  beige yoke design a line kurta</t>
  </si>
  <si>
    <t>https://www.myntra.com/kurtas/anayna/anayna-women-pink-self-striped-straight-kurta/11530772/buy</t>
  </si>
  <si>
    <t>anayna women pink self striped straight kurta</t>
  </si>
  <si>
    <t>https://www.myntra.com/track-pants/tokyo-talkies/tokyo-talkies-women-navy-blue-solid-track-pants/14348872/buy</t>
  </si>
  <si>
    <t>tokyo talkies women navy blue solid track pants</t>
  </si>
  <si>
    <t>https://www.myntra.com/tops/kassually/kassually-white-pleated-bishop-sleeves-blouson/11513008/buy</t>
  </si>
  <si>
    <t>kassually white pleated bishop sleeves blouson</t>
  </si>
  <si>
    <t>https://www.myntra.com/jackets/tokyo-talkies/tokyo-talkies-women-blue-washed-denim-jacket/10437830/buy</t>
  </si>
  <si>
    <t>tokyo talkies women blue washed denim jacket</t>
  </si>
  <si>
    <t>https://www.myntra.com/tights/softrose/softrose-black-tights/1164692/buy</t>
  </si>
  <si>
    <t>softrose black tights</t>
  </si>
  <si>
    <t>https://www.myntra.com/trousers/jaipur-kurti/jaipur-kurti-women-off-white-cropped-trousers/11053798/buy</t>
  </si>
  <si>
    <t>jaipur kurti women off white cropped trousers</t>
  </si>
  <si>
    <t>https://www.myntra.com/track-pants/tokyo-talkies/tokyo-talkies-women-black-solid-casual-track-pants/14154074/buy</t>
  </si>
  <si>
    <t>tokyo talkies women black solid casual track pants</t>
  </si>
  <si>
    <t>https://www.myntra.com/tops/mast--harbour/mast--harbour-dark-pink-printed-tank-top/1085630/buy</t>
  </si>
  <si>
    <t>mast  harbour dark pink printed tank top</t>
  </si>
  <si>
    <t>https://www.myntra.com/tops/roadster/roadster-women-magenta-solid-pure-cotton-top/2315748/buy</t>
  </si>
  <si>
    <t>roadster women magenta solid pure cotton top</t>
  </si>
  <si>
    <t>https://www.myntra.com/trousers/black-coffee/black-coffee-men-grey-slim-fit-solid-formal-trousers/1813853/buy</t>
  </si>
  <si>
    <t>black coffee men grey slim fit solid formal trousers</t>
  </si>
  <si>
    <t>https://www.myntra.com/shirts/wrogn/wrogn-men-white--grey-slim-fit-striped-casual-shirt/8682187/buy</t>
  </si>
  <si>
    <t>wrogn men white  grey slim fit striped casual shirt</t>
  </si>
  <si>
    <t>https://www.myntra.com/tshirts/chkokko/chkokko-men-black-solid-turtle-neck-t-shirt/10481274/buy</t>
  </si>
  <si>
    <t>chkokko men black solid turtle neck t shirt</t>
  </si>
  <si>
    <t>https://www.myntra.com/tshirts/roadster/roadster-men-maroon--cream-coloured-striped-round-neck-pure-cotton-t-shirt/10920156/buy</t>
  </si>
  <si>
    <t>roadster men maroon  cream coloured striped round neck pure cotton t shirt</t>
  </si>
  <si>
    <t>https://www.myntra.com/kurtas/kalini/kalini-women-green--yellow-ethnic-motifs-printed-thread-work-anarkali-kurta/16505426/buy</t>
  </si>
  <si>
    <t>kalini women green  yellow ethnic motifs printed thread work anarkali kurta</t>
  </si>
  <si>
    <t>https://www.myntra.com/tops/ira-soleil/ira-soleil-pink--gold-coloured-ethnic-motifs-peplum-top/10999568/buy</t>
  </si>
  <si>
    <t>ira soleil pink  gold coloured ethnic motifs peplum top</t>
  </si>
  <si>
    <t>https://www.myntra.com/blazers/sassafras/sassafras-women-black-solid-slim-fit-single-breasted-formal-pure-cotton-blazer/11064316/buy</t>
  </si>
  <si>
    <t>blazers</t>
  </si>
  <si>
    <t>sassafras women black solid slim fit single breasted formal pure cotton blazer</t>
  </si>
  <si>
    <t>https://www.myntra.com/dresses/athena/athena-black-net-ruched-bodycon-dress/14827904/buy</t>
  </si>
  <si>
    <t>athena black net ruched bodycon dress</t>
  </si>
  <si>
    <t>https://www.myntra.com/track-pants/domyos-by-decathlon/domyos-by-decathlon-men-black-slim-fit-fitness-trackpant-with-zip-pocket/12965920/buy</t>
  </si>
  <si>
    <t>domyos by decathlon men black slim fit fitness trackpant with zip pocket</t>
  </si>
  <si>
    <t>https://www.myntra.com/shorts/highlander/highlander-men-olive-green-solid-slim-fit-regular-shorts/13858440/buy</t>
  </si>
  <si>
    <t>https://www.myntra.com/jeans/mast--harbour/mast--harbour-men-navy-blue-skinny-fit-mid-rise-clean-look-stretchable-jeans/13077176/buy</t>
  </si>
  <si>
    <t>https://www.myntra.com/jeans/highlander/highlander-men-grey-tapered-fit-mid-rise-clean-look-stretchable-jeans/13938118/buy</t>
  </si>
  <si>
    <t>https://www.myntra.com/kurtas/sojanya/sojanya-men-yellow-dobby-self-checked-straight-kurta/11422726/buy</t>
  </si>
  <si>
    <t>sojanya men yellow dobby self checked straight kurta</t>
  </si>
  <si>
    <t>https://www.myntra.com/shirts/highlander/highlander-men-white-slim-fit-solid-casual-shirt/12027780/buy</t>
  </si>
  <si>
    <t>https://www.myntra.com/tshirts/domyos-by-decathlon/domyos-by-decathlon-men-black-slim-fit-gym-t-shirt/14125208/buy</t>
  </si>
  <si>
    <t>domyos by decathlon men black slim fit gym t shirt</t>
  </si>
  <si>
    <t>16% OFF</t>
  </si>
  <si>
    <t>https://www.myntra.com/dresses/vishudh/vishudh-purple--off-white-ethnic-motifs-printed-a-line-dress/13957382/buy</t>
  </si>
  <si>
    <t>vishudh purple  off white ethnic motifs printed a line dress</t>
  </si>
  <si>
    <t>https://www.myntra.com/kurtas/varanga/varanga-women-magenta-mirror-work-pleated-a-line-kurta/12450342/buy</t>
  </si>
  <si>
    <t>varanga women magenta mirror work pleated a line kurta</t>
  </si>
  <si>
    <t>https://www.myntra.com/sarees/mitera/mitera-purple--gold-coloured-silk-blend-woven-design-banarasi-saree/11699228/buy</t>
  </si>
  <si>
    <t>mitera purple  gold coloured silk blend woven design banarasi saree</t>
  </si>
  <si>
    <t>https://www.myntra.com/tights/hrx-by-hrithik-roshan/hrx-by-hrithik-roshan-women-teal-blue-skinny-fit-printed-rapid-dry-seamless-yoga-tights/8475745/buy</t>
  </si>
  <si>
    <t>hrx by hrithik roshan women teal blue skinny fit printed rapid dry seamless yoga tights</t>
  </si>
  <si>
    <t>https://www.myntra.com/tights/hrx-by-hrithik-roshan/hrx-by-hrithik-roshan-women-navy-blue-solid-rapid-dry-training-tights/7695854/buy</t>
  </si>
  <si>
    <t>hrx by hrithik roshan women navy blue solid rapid dry training tights</t>
  </si>
  <si>
    <t>https://www.myntra.com/tops/roadster/roadster-white-boxy-top-with-batwing-sleeves/1764443/buy</t>
  </si>
  <si>
    <t>roadster white boxy top with batwing sleeves</t>
  </si>
  <si>
    <t>https://www.myntra.com/dresses/mabish-by-sonal-jain/mabish-by-sonal-jain-green-block-print-maxi-dress/10294499/buy</t>
  </si>
  <si>
    <t>MABISH by Sonal Jain</t>
  </si>
  <si>
    <t>mabish by sonal jain green block print maxi dress</t>
  </si>
  <si>
    <t>https://www.myntra.com/sweatshirts/hrx-by-hrithik-roshan/hrx-by-hrithik-roshan-women-olive-green-hooded-active-sweatshirt/4653848/buy</t>
  </si>
  <si>
    <t>hrx by hrithik roshan women olive green hooded active sweatshirt</t>
  </si>
  <si>
    <t>https://www.myntra.com/jeans/miss-chase/miss-chase-women-blue-super-skinny-fit-high-rise-clean-look-jeans/12238136/buy</t>
  </si>
  <si>
    <t>miss chase women blue super skinny fit high rise clean look jeans</t>
  </si>
  <si>
    <t>https://www.myntra.com/tshirts/roadster/roadster-women-green--white-colourblocked-round-neck-crop-t-shirt/11697408/buy</t>
  </si>
  <si>
    <t>roadster women green  white colourblocked round neck crop t shirt</t>
  </si>
  <si>
    <t>https://www.myntra.com/tops/tokyo-talkies/tokyo-talkies-women-blue-floral-printed-peplum-top/10015995/buy</t>
  </si>
  <si>
    <t>tokyo talkies women blue floral printed peplum top</t>
  </si>
  <si>
    <t>https://www.myntra.com/trousers/roadster/the-roadster-lifestyle-co-men-olive-green-regular-fit-solid-chinos/10944466/buy</t>
  </si>
  <si>
    <t>the roadster lifestyle co men olive green regular fit solid chinos</t>
  </si>
  <si>
    <t>https://www.myntra.com/jeans/wrogn/wrogn-men-black-skinny-fit-mid-rise-clean-look-stretchable-jeans/8673413/buy</t>
  </si>
  <si>
    <t>https://www.myntra.com/jeans/mast--harbour/mast--harbour-men-black-skinny-fit-mid-rise-clean-look-stretchable-jeans/12983764/buy</t>
  </si>
  <si>
    <t>mast  harbour men black skinny fit mid rise clean look stretchable jeans</t>
  </si>
  <si>
    <t>https://www.myntra.com/shirts/roadster/roadster-men-charcoal-grey-regular-fit-solid-casual-shirt/10397845/buy</t>
  </si>
  <si>
    <t>roadster men charcoal grey regular fit solid casual shirt</t>
  </si>
  <si>
    <t>https://www.myntra.com/kurtas/sangria/sangria-women-green--golden-floral-print-straight-kurta/11174028/buy</t>
  </si>
  <si>
    <t>sangria women green  golden floral print straight kurta</t>
  </si>
  <si>
    <t>https://www.myntra.com/kurtas/w/w-women-off-white--black-printed-straight-kurta/8429563/buy</t>
  </si>
  <si>
    <t>w women off white  black printed straight kurta</t>
  </si>
  <si>
    <t>https://www.myntra.com/lounge-pants/claura/claura-navy-blue-solid-lounge-pants-lower-11/5702448/buy</t>
  </si>
  <si>
    <t>claura navy blue solid lounge pants lower 11</t>
  </si>
  <si>
    <t>https://www.myntra.com/kurtas/sangria/sangria-women-orange--green-striped-straight-kurta/8349763/buy</t>
  </si>
  <si>
    <t>sangria women orange  green striped straight kurta</t>
  </si>
  <si>
    <t>https://www.myntra.com/dresses/herenow/herenow-women-blue-printed-shift-dress/2056706/buy</t>
  </si>
  <si>
    <t>herenow women blue printed shift dress</t>
  </si>
  <si>
    <t>https://www.myntra.com/track-pants/hrx-by-hrithik-roshan/hrx-by-hrithik-roshan-women-olive-green-solid-slim-fit-joggers/10389847/buy</t>
  </si>
  <si>
    <t>hrx by hrithik roshan women olive green solid slim fit joggers</t>
  </si>
  <si>
    <t>https://www.myntra.com/shirts/tokyo-talkies/tokyo-talkies-women-blue--white-regular-fit-striped-casual-shirt/12479234/buy</t>
  </si>
  <si>
    <t>tokyo talkies women blue  white regular fit striped casual shirt</t>
  </si>
  <si>
    <t>https://www.myntra.com/tshirts/roadster/roadster-women-pack-of-2-pure-cotton-typography-print-t-shirts/17384822/buy</t>
  </si>
  <si>
    <t>https://www.myntra.com/shorts/tokyo-talkies/tokyo-talkies-women-green-solid-regular-fit-sports-shorts/14154070/buy</t>
  </si>
  <si>
    <t>tokyo talkies women green solid regular fit sports shorts</t>
  </si>
  <si>
    <t>https://www.myntra.com/track-pants/hrx-by-hrithik-roshan/hrx-by-hrithik-roshan-men-navy-blue-solid-rapid-dry-active-joggers/12167138/buy</t>
  </si>
  <si>
    <t>hrx by hrithik roshan men navy blue solid rapid dry active joggers</t>
  </si>
  <si>
    <t>https://www.myntra.com/jeans/roadster/roadster-men-blue-slim-fit-mid-rise-clean-look-stretchable-jeans/10046857/buy</t>
  </si>
  <si>
    <t>https://www.myntra.com/kurtas/anouk/anouk-men-green--white-printed-cotton-straight-kurta/11200628/buy</t>
  </si>
  <si>
    <t>anouk men green  white printed cotton straight kurta</t>
  </si>
  <si>
    <t>https://www.myntra.com/socks/mast--harbour/mast--harbour-men-set-of-3-ankle-length-socks/10986358/buy</t>
  </si>
  <si>
    <t>https://www.myntra.com/tshirts/mast--harbour/mast--harbour-men-navy-blue-printed-polo-pure-cotton-t-shirt/2300737/buy</t>
  </si>
  <si>
    <t>mast  harbour men navy blue printed polo pure cotton t shirt</t>
  </si>
  <si>
    <t>https://www.myntra.com/shirts/roadster/the-roadster-lifestyle-co-men-navy--black-regular-fit-printed-sustainable-casual-shirt/8985567/buy</t>
  </si>
  <si>
    <t>the roadster lifestyle co men navy  black regular fit printed sustainable casual shirt</t>
  </si>
  <si>
    <t>https://www.myntra.com/tops/cottinfab/cottinfab-women-black-printed-kaftan-top/1583367/buy</t>
  </si>
  <si>
    <t>cottinfab women black printed kaftan top</t>
  </si>
  <si>
    <t>https://www.myntra.com/tops/pluss/pluss-women-rose-solid-victorian-top/12150558/buy</t>
  </si>
  <si>
    <t>pluss women rose solid victorian top</t>
  </si>
  <si>
    <t>https://www.myntra.com/jeans/roadster/roadster-women-blue-skinny-fit-high-rise-clean-look-stretchable-cropped-jeans/7139230/buy</t>
  </si>
  <si>
    <t>https://www.myntra.com/dresses/tokyo-talkies/tokyo-talkies-navy-blue-cotton-maxi-dress/10710916/buy</t>
  </si>
  <si>
    <t>tokyo talkies navy blue cotton maxi dress</t>
  </si>
  <si>
    <t>https://www.myntra.com/tshirts/roadster/roadster-women-black-solid-round-neck-t-shirt/12193272/buy</t>
  </si>
  <si>
    <t>roadster women black solid round neck t shirt</t>
  </si>
  <si>
    <t>https://www.myntra.com/tshirts/roadster/roadster-women-white-printed-round-neck-pure-cotton-t-shirt/2315497/buy</t>
  </si>
  <si>
    <t>roadster women white printed round neck pure cotton t shirt</t>
  </si>
  <si>
    <t>https://www.myntra.com/shirts/herenow/herenow-men-brown--black-slim-fit-printed-casual-shirt/11131048/buy</t>
  </si>
  <si>
    <t>herenow men brown  black slim fit printed casual shirt</t>
  </si>
  <si>
    <t>https://www.myntra.com/shirts/mast--harbour/mast--harbour-men-mustard-yellow-slim-fit-solid-casual-shirt/2444697/buy</t>
  </si>
  <si>
    <t>mast  harbour men mustard yellow slim fit solid casual shirt</t>
  </si>
  <si>
    <t>https://www.myntra.com/shirts/mast--harbour/mast--harbour-men-white--maroon-regular-fit-printed---casual-cotton-linen-sustainable-shirt/11369798/buy</t>
  </si>
  <si>
    <t>mast  harbour men white  maroon regular fit printed   casual cotton linen sustainable shirt</t>
  </si>
  <si>
    <t>https://www.myntra.com/tshirts/roadster/the-roadster-lifestyle-co-men-white-printed-round-neck-pure-cotton-t-shirt/10938422/buy</t>
  </si>
  <si>
    <t>the roadster lifestyle co men white printed round neck pure cotton t shirt</t>
  </si>
  <si>
    <t>https://www.myntra.com/tshirts/mast--harbour/mast--harbour-men-navy-blue-printed-round-neck-t-shirt/11017736/buy</t>
  </si>
  <si>
    <t>mast  harbour men navy blue printed round neck t shirt</t>
  </si>
  <si>
    <t>https://www.myntra.com/tshirts/wrogn/wrogn-men-green-and-white-printed-round-neck-t-shirt/11363330/buy</t>
  </si>
  <si>
    <t>wrogn men green and white printed round neck t shirt</t>
  </si>
  <si>
    <t>https://www.myntra.com/shirts/highlander/highlander-navy-checked-slim-fit-casual-shirt/1497800/buy</t>
  </si>
  <si>
    <t>highlander navy checked slim fit casual shirt</t>
  </si>
  <si>
    <t>https://www.myntra.com/night-suits/claura/claura-women-black-solid-pyjamas-set/8212017/buy</t>
  </si>
  <si>
    <t>claura women black solid pyjamas set</t>
  </si>
  <si>
    <t>https://www.myntra.com/shirts/style-quotient/style-quotient-women-white-smart-regular-fit-solid-formal-shirt/11305028/buy</t>
  </si>
  <si>
    <t>Style Quotient</t>
  </si>
  <si>
    <t>style quotient women white smart regular fit solid formal shirt</t>
  </si>
  <si>
    <t>https://www.myntra.com/jeans/roadster/roadster-men-kooltex-blue-regular-fit-low-rise-clean-look-stretchable-jeans/8788113/buy</t>
  </si>
  <si>
    <t>roadster men kooltex blue regular fit low rise clean look stretchable jeans</t>
  </si>
  <si>
    <t>https://www.myntra.com/boxers/levis/levis-men-pack-of-2-pure-cotton-checked-boxers/18028728/buy</t>
  </si>
  <si>
    <t>levis men pack of 2 pure cotton checked boxers</t>
  </si>
  <si>
    <t>https://www.myntra.com/shirts/highlander/highlander-men-white-slim-fit-casual-cotton-linen-shirt/14014770/buy</t>
  </si>
  <si>
    <t>highlander men white slim fit casual cotton linen shirt</t>
  </si>
  <si>
    <t>https://www.myntra.com/shirts/roadster/roadster-men-navy-blue--black-regular-fit-checked-sustainable-casual-shirt/11327224/buy</t>
  </si>
  <si>
    <t>roadster men navy blue  black regular fit checked sustainable casual shirt</t>
  </si>
  <si>
    <t>https://www.myntra.com/shirts/highlander/highlander-men-maroon-slim-fit-printed-casual-shirt/1675355/buy</t>
  </si>
  <si>
    <t>highlander men maroon slim fit printed casual shirt</t>
  </si>
  <si>
    <t>https://www.myntra.com/kurtas/ahalyaa/ahalyaa-beige--off-white-anarkali-kurta-with-dupatta/2105727/buy</t>
  </si>
  <si>
    <t>ahalyaa beige  off white anarkali kurta with dupatta</t>
  </si>
  <si>
    <t>https://www.myntra.com/tops/anouk/anouk-black-checked-crop-top/12135386/buy</t>
  </si>
  <si>
    <t>anouk black checked crop top</t>
  </si>
  <si>
    <t>https://www.myntra.com/jeans/roadster/roadster-women-stunning-blue-boyfriend-fit-stretchable-jeans/11118614/buy</t>
  </si>
  <si>
    <t>https://www.myntra.com/jeans/roadster/the-roadster-lifestyle-co-women-blue-skinny-fit-mid-rise-mildly-distressed-stretchable-cropped-jeans/9017989/buy</t>
  </si>
  <si>
    <t>the roadster lifestyle co women blue skinny fit mid rise mildly distressed stretchable cropped jeans</t>
  </si>
  <si>
    <t>https://www.myntra.com/tshirts/roadster/roadster-women-red--blue-striped-round-neck-pure-cotton-t-shirt/11893630/buy</t>
  </si>
  <si>
    <t>roadster women red  blue striped round neck pure cotton t shirt</t>
  </si>
  <si>
    <t>https://www.myntra.com/jeans/levis/levis-men-blue-512-slim-tapered-fit-light-fade-stretchable-jeans/14852230/buy</t>
  </si>
  <si>
    <t>https://www.myntra.com/sarees/mitera/mitera-green--white-embellished-sequinned-saree/14636550/buy</t>
  </si>
  <si>
    <t>mitera green  white embellished sequinned saree</t>
  </si>
  <si>
    <t>https://www.myntra.com/jackets/roadster/the-roadster-lifestyle-co-women-olive-green-solid-denim-jacket/10562422/buy</t>
  </si>
  <si>
    <t>the roadster lifestyle co women olive green solid denim jacket</t>
  </si>
  <si>
    <t>https://www.myntra.com/tshirts/roadster/roadster-women-navy-blue-printed-round-neck-pure-cotton-t-shirt/11893880/buy</t>
  </si>
  <si>
    <t>roadster women navy blue printed round neck pure cotton t shirt</t>
  </si>
  <si>
    <t>https://www.myntra.com/tracksuits/hrx-by-hrithik-roshan/hrx-by-hrithik-roshan-men-black-and-white-solid-lifestyle-tracksuit/10498614/buy</t>
  </si>
  <si>
    <t>hrx by hrithik roshan men black and white solid lifestyle tracksuit</t>
  </si>
  <si>
    <t>https://www.myntra.com/shirts/highlander/highlander-men-navy--red-slim-fit-checked-casual-shirt/4692404/buy</t>
  </si>
  <si>
    <t>highlander men navy  red slim fit checked casual shirt</t>
  </si>
  <si>
    <t>https://www.myntra.com/shirts/roadster/roadster-men-charcoal-regular-fit-solid-casual-sustainable-shirt/11896084/buy</t>
  </si>
  <si>
    <t>roadster men charcoal regular fit solid casual sustainable shirt</t>
  </si>
  <si>
    <t>https://www.myntra.com/tshirts/justice-league/justice-league-men-black-printed-round-neck-t-shirt/2388199/buy</t>
  </si>
  <si>
    <t>Justice League</t>
  </si>
  <si>
    <t>justice league men black printed round neck t shirt</t>
  </si>
  <si>
    <t>https://www.myntra.com/tops/varanga/varanga-white-shirt-style-top/9039205/buy</t>
  </si>
  <si>
    <t>varanga white shirt style top</t>
  </si>
  <si>
    <t>https://www.myntra.com/dresses/tokyo-talkies/tokyo-talkies-women-black-sheath-dress/10051331/buy</t>
  </si>
  <si>
    <t>tokyo talkies women black sheath dress</t>
  </si>
  <si>
    <t>https://www.myntra.com/dresses/sassafras/sassafras-women-rust-red-solid-a-line-dress/11866192/buy</t>
  </si>
  <si>
    <t>sassafras women rust red solid a line dress</t>
  </si>
  <si>
    <t>https://www.myntra.com/jeans/dolce-crudo/dolce-crudo-women-blue-skinny-fit-high-rise-clean-look-stretchable-denim-jeans/10666988/buy</t>
  </si>
  <si>
    <t>dolce crudo women blue skinny fit high rise clean look stretchable denim jeans</t>
  </si>
  <si>
    <t>https://www.myntra.com/tshirts/roadster/roadster-women-blue-solid-round-neck-t-shirt/12193872/buy</t>
  </si>
  <si>
    <t>roadster women blue solid round neck t shirt</t>
  </si>
  <si>
    <t>https://www.myntra.com/tops/tokyo-talkies/tokyo-talkies-women-green-solid-pleated-top/12429960/buy</t>
  </si>
  <si>
    <t>tokyo talkies women green solid pleated top</t>
  </si>
  <si>
    <t>https://www.myntra.com/jeans/roadster/roadster-men-navy-blue-slim-fit-mid-rise-clean-look-stretchable-jeans/12303752/buy</t>
  </si>
  <si>
    <t>https://www.myntra.com/shorts/highlander/highlander-men-grey-printed-slim-fit-mid-rise-regular-shorts/14645970/buy</t>
  </si>
  <si>
    <t>highlander men grey printed slim fit mid rise regular shorts</t>
  </si>
  <si>
    <t>https://www.myntra.com/jeans/roadster/roadster-men-blue-skinny-fit-mid-rise-clean-look-stretchable-jeans/8962453/buy</t>
  </si>
  <si>
    <t>https://www.myntra.com/trousers/hubberholme/hubberholme-men-navy-blue-slim-fit-chinos/12895172/buy</t>
  </si>
  <si>
    <t>hubberholme men navy blue slim fit chinos</t>
  </si>
  <si>
    <t>https://www.myntra.com/shirts/highlander/highlander-men-brown-manhattan-slim-fit-printed-casual-shirt/11180954/buy</t>
  </si>
  <si>
    <t>highlander men brown manhattan slim fit printed casual shirt</t>
  </si>
  <si>
    <t>https://www.myntra.com/jackets/roadster/roadster-men-red--blue-checked-reversible-tailored-jacket/1901427/buy</t>
  </si>
  <si>
    <t>roadster men red  blue checked reversible tailored jacket</t>
  </si>
  <si>
    <t>https://www.myntra.com/tshirts/kook-n-keech-marvel/kook-n-keech-marvel-men-white--red-striped-round-neck-pure-cotton-t-shirt/8912621/buy</t>
  </si>
  <si>
    <t>kook n keech marvel men white  red striped round neck pure cotton t shirt</t>
  </si>
  <si>
    <t>https://www.myntra.com/tshirts/campus-sutra/campus-sutra-men-blue-colourblocked-polo-collar-t-shirt/11582834/buy</t>
  </si>
  <si>
    <t>campus sutra men blue colourblocked polo collar t shirt</t>
  </si>
  <si>
    <t>https://www.myntra.com/sarees/tikhi-imli/tikhi-imli-navy-blue--beige-striped-saree/10237651/buy</t>
  </si>
  <si>
    <t>tikhi imli navy blue  beige striped saree</t>
  </si>
  <si>
    <t>https://www.myntra.com/jeans/levis/levis-men-blue-512-slim-taper-fit-light-fade-stretchable-jeans/14852034/buy</t>
  </si>
  <si>
    <t>levis men blue 512 slim taper fit light fade stretchable jeans</t>
  </si>
  <si>
    <t>https://www.myntra.com/trousers/black-coffee/black-coffee-navy-sharp-fit-formal-trousers/1813851/buy</t>
  </si>
  <si>
    <t>black coffee navy sharp fit formal trousers</t>
  </si>
  <si>
    <t>https://www.myntra.com/shorts/highlander/highlander-men-navy-blue-checked-slim-fit-regular-shorts/10285721/buy</t>
  </si>
  <si>
    <t>highlander men navy blue checked slim fit regular shorts</t>
  </si>
  <si>
    <t>https://www.myntra.com/tshirts/hrx-by-hrithik-roshan/hrx-by-hrithik-roshan-men-navy-blue-solid-round-neck-pure-cotton-t-shirt/10106285/buy</t>
  </si>
  <si>
    <t>hrx by hrithik roshan men navy blue solid round neck pure cotton t shirt</t>
  </si>
  <si>
    <t>https://www.myntra.com/shirts/roadster/the-roadster-lifestyle-co-men-burgundy--black-regular-fit-checked-sustainable-casual-shirt/10944988/buy</t>
  </si>
  <si>
    <t>the roadster lifestyle co men burgundy  black regular fit checked sustainable casual shirt</t>
  </si>
  <si>
    <t>https://www.myntra.com/shirts/highlander/highlander-men-blue-slim-fit-solid-formal-shirt/10611336/buy</t>
  </si>
  <si>
    <t>highlander men blue slim fit solid formal shirt</t>
  </si>
  <si>
    <t>https://www.myntra.com/tshirts/wrogn/wrogn-men-orange-solid-polo-collar-t-shirt/11363318/buy</t>
  </si>
  <si>
    <t>wrogn men orange solid polo collar t shirt</t>
  </si>
  <si>
    <t>https://www.myntra.com/shirts/locomotive/locomotive-men-black--blue-slim-fit-printed-casual-shirt/12299300/buy</t>
  </si>
  <si>
    <t>locomotive men black  blue slim fit printed casual shirt</t>
  </si>
  <si>
    <t>https://www.myntra.com/sarees/saree-mall/saree-mall-pink--blue-floral-dyed-banarasi-sarees/14006702/buy</t>
  </si>
  <si>
    <t>saree mall pink  blue floral dyed banarasi sarees</t>
  </si>
  <si>
    <t>https://www.myntra.com/bra/floret/floret-pack-of-2-solid-non-wired-heavily-padded-push-up-bra-t3010nude-wine40b/2486226/buy</t>
  </si>
  <si>
    <t>floret pack of 2 solid non wired heavily padded push up bra t3010nude wine40b</t>
  </si>
  <si>
    <t>https://www.myntra.com/track-pants/tokyo-talkies/tokyo-talkies-women-blue-solid-slim-fit-track-pants/14071414/buy</t>
  </si>
  <si>
    <t>tokyo talkies women blue solid slim fit track pants</t>
  </si>
  <si>
    <t>https://www.myntra.com/dresses/miss-chase/miss-chase-women-maroon-striped-bodycon-dress/4044295/buy</t>
  </si>
  <si>
    <t>miss chase women maroon striped bodycon dress</t>
  </si>
  <si>
    <t>https://www.myntra.com/dresses/color-cocktail/color-cocktail-women-brown-solid-shirt-dress/9766841/buy</t>
  </si>
  <si>
    <t>Color Cocktail</t>
  </si>
  <si>
    <t>color cocktail women brown solid shirt dress</t>
  </si>
  <si>
    <t>https://www.myntra.com/tshirts/roadster/roadster-women-blue-printed-round-neck-t-shirt/11404274/buy</t>
  </si>
  <si>
    <t>roadster women blue printed round neck t shirt</t>
  </si>
  <si>
    <t>https://www.myntra.com/tops/kook-n-keech-disney/kook-n-keech-disney-women-black-printed-boxy-crop-pure-cotton-top/8979875/buy</t>
  </si>
  <si>
    <t>kook n keech disney women black printed boxy crop pure cotton top</t>
  </si>
  <si>
    <t>https://www.myntra.com/tshirts/the-dry-state/the-dry-state-women-teal-green-solid-henley-neck-t-shirt/4445485/buy</t>
  </si>
  <si>
    <t>the dry state women teal green solid henley neck t shirt</t>
  </si>
  <si>
    <t>https://www.myntra.com/jeans/herenow/herenow-men-black-ankle-slim-tapered-fit-mid-rise-slash-knee-jeans/9598439/buy</t>
  </si>
  <si>
    <t>herenow men black ankle slim tapered fit mid rise slash knee jeans</t>
  </si>
  <si>
    <t>https://www.myntra.com/shirts/highlander/highlander-men-white-slim-fit-solid-casual-shirt/10729262/buy</t>
  </si>
  <si>
    <t>https://www.myntra.com/shirts/roadster/the-roadster-lifestyle-co-men-teal-blue-regular-fit-printed-sustainable-casual-shirt/10740908/buy</t>
  </si>
  <si>
    <t>the roadster lifestyle co men teal blue regular fit printed sustainable casual shirt</t>
  </si>
  <si>
    <t>https://www.myntra.com/kurta-sets/varanga/varanga-women-yellow--black-yoke-design-art-silk-kurta-with-palazzos/11285614/buy</t>
  </si>
  <si>
    <t>varanga women yellow  black yoke design art silk kurta with palazzos</t>
  </si>
  <si>
    <t>https://www.myntra.com/trousers/dressberry/dressberry-women-dusty-pink-mid-rise-trousers/10440504/buy</t>
  </si>
  <si>
    <t>dressberry women dusty pink mid rise trousers</t>
  </si>
  <si>
    <t>https://www.myntra.com/jeans/roadster/roadster-women-blue-skinny-fit-mid-rise-clean-look-stretchable-jeans/11132288/buy</t>
  </si>
  <si>
    <t>https://www.myntra.com/dresses/thread-muster/thread-muster-maroon-georgette-v-neck-maxi-dress/13266672/buy</t>
  </si>
  <si>
    <t>thread muster maroon georgette v neck maxi dress</t>
  </si>
  <si>
    <t>https://www.myntra.com/trousers/roadster/roadster-men-black-slim-fit-solid-chinos/2290970/buy</t>
  </si>
  <si>
    <t>roadster men black slim fit solid chinos</t>
  </si>
  <si>
    <t>https://www.myntra.com/lounge-pants/vimal/vimal-men-black-solid-lounge-pants/2091620/buy</t>
  </si>
  <si>
    <t>vimal men black solid lounge pants</t>
  </si>
  <si>
    <t>https://www.myntra.com/lounge-pants/vimal/vimal-men-pack-of-2-black-solid-lounge-pants/11849726/buy</t>
  </si>
  <si>
    <t>https://www.myntra.com/tshirts/hrx-by-hrithik-roshan/hrx-by-hrithik-roshan-men-pack-of-2-printed-tshirt/16322580/buy</t>
  </si>
  <si>
    <t>hrx by hrithik roshan men pack of 2 printed tshirt</t>
  </si>
  <si>
    <t>https://www.myntra.com/tshirts/roadster/roadster-men-grey-melange--black-striped-polo-collar-t-shirt/11462772/buy</t>
  </si>
  <si>
    <t>roadster men grey melange  black striped polo collar t shirt</t>
  </si>
  <si>
    <t>https://www.myntra.com/bra/floret/floret-pack-of-2-full-coverage-bras-t3033white-white/1908863/buy</t>
  </si>
  <si>
    <t>floret pack of 2 full coverage bras t3033white white</t>
  </si>
  <si>
    <t>https://www.myntra.com/trousers/jaipur-kurti/jaipur-kurti-women-olive-green-solid-trousers/2339837/buy</t>
  </si>
  <si>
    <t>jaipur kurti women olive green solid trousers</t>
  </si>
  <si>
    <t>https://www.myntra.com/jeans/herenow/herenow-women-blue-skinny-fit-high-rise-clean-look-stretchable-cropped-jeans/12545650/buy</t>
  </si>
  <si>
    <t>https://www.myntra.com/dresses/sassafras/sassafras-red--beige-floral-printed-tiered-a-line-dress/11364458/buy</t>
  </si>
  <si>
    <t>sassafras red  beige floral printed tiered a line dress</t>
  </si>
  <si>
    <t>https://www.myntra.com/sweatshirts/rigo/rigo-men-olive-green-printed-sweatshirt/7574907/buy</t>
  </si>
  <si>
    <t>rigo men olive green printed sweatshirt</t>
  </si>
  <si>
    <t>https://www.myntra.com/tops/sangria/sangria-navy-blue--white-floral-pleated-top/8349517/buy</t>
  </si>
  <si>
    <t>sangria navy blue  white floral pleated top</t>
  </si>
  <si>
    <t>https://www.myntra.com/kurtas/herenow/herenow-women-black-printed-straight-kurta/7800263/buy</t>
  </si>
  <si>
    <t>herenow women black printed straight kurta</t>
  </si>
  <si>
    <t>https://www.myntra.com/tops/mast--harbour/mast--harbour-women-off-white-solid-top/11711838/buy</t>
  </si>
  <si>
    <t>mast  harbour women off white solid top</t>
  </si>
  <si>
    <t>https://www.myntra.com/dresses/antheaa/antheaa-pink-self-design-tiered-fit--flare-dress/13780874/buy</t>
  </si>
  <si>
    <t>antheaa pink self design tiered fit  flare dress</t>
  </si>
  <si>
    <t>https://www.myntra.com/tshirts/roadster/the-roadster-lifestyle-co-women-dusty-pink-solid-henley-neck-pure-cotton-t-shirt/10958402/buy</t>
  </si>
  <si>
    <t>the roadster lifestyle co women dusty pink solid henley neck pure cotton t shirt</t>
  </si>
  <si>
    <t>https://www.myntra.com/tops/mayra/mayra-multicoloured-ethnic-motifs-v-neck-blouson/10636610/buy</t>
  </si>
  <si>
    <t>mayra multicoloured ethnic motifs v neck blouson</t>
  </si>
  <si>
    <t>https://www.myntra.com/trousers/mast--harbour/mast--harbour-men-grey-tapered-fit-solid-chinos/2285138/buy</t>
  </si>
  <si>
    <t>mast  harbour men grey tapered fit solid chinos</t>
  </si>
  <si>
    <t>28/31, 28/33, 28/29, 30/33, 30/29, 30/31, 32/29, 32/31, 32/33, 34/29, 34/31, 34/33, 36/31, 36/33, 36/29</t>
  </si>
  <si>
    <t>https://www.myntra.com/track-pants/maniac/maniac-men-black-solid-slim-fit-joggers/9054883/buy</t>
  </si>
  <si>
    <t>https://www.myntra.com/tshirts/highlander/highlander-men-white-checked-polo-collar-t-shirt/10132013/buy</t>
  </si>
  <si>
    <t>highlander men white checked polo collar t shirt</t>
  </si>
  <si>
    <t>https://www.myntra.com/tshirts/wrogn/wrogn-blue--mustard-yellow-striped-polo-slim-pure-cotton-t-shirt/1421976/buy</t>
  </si>
  <si>
    <t>wrogn blue  mustard yellow striped polo slim pure cotton t shirt</t>
  </si>
  <si>
    <t>https://www.myntra.com/tshirts/wrogn/wrogn-men-burgundy-solid-round-neck-t-shirt/11363382/buy</t>
  </si>
  <si>
    <t>wrogn men burgundy solid round neck t shirt</t>
  </si>
  <si>
    <t>https://www.myntra.com/sarees/kalini/kalini-black--beige-silk-blend-printed-khadi-saree/12015756/buy</t>
  </si>
  <si>
    <t>kalini black  beige silk blend printed khadi saree</t>
  </si>
  <si>
    <t>https://www.myntra.com/kurtas/aayna/aayna-women-off-white-solid-anarkali-kurta/10430624/buy</t>
  </si>
  <si>
    <t>Aayna</t>
  </si>
  <si>
    <t>aayna women off white solid anarkali kurta</t>
  </si>
  <si>
    <t>https://www.myntra.com/shorts/tokyo-talkies/tokyo-talkies-women-navy-blue-striped-regular-fit-regular-shorts/12009522/buy</t>
  </si>
  <si>
    <t>tokyo talkies women navy blue striped regular fit regular shorts</t>
  </si>
  <si>
    <t>https://www.myntra.com/tshirts/mast--harbour/mast--harbour-women-pack-of-2-printed-pure-cotton-tshirts/17525546/buy</t>
  </si>
  <si>
    <t>mast  harbour women pack of 2 printed pure cotton tshirts</t>
  </si>
  <si>
    <t>https://www.myntra.com/tops/kook-n-keech/kook-n-keech-women-white-printed-shirt-style-top/2371016/buy</t>
  </si>
  <si>
    <t>kook n keech women white printed shirt style top</t>
  </si>
  <si>
    <t>https://www.myntra.com/dresses/dressberry/dressberry-women-navy-blue--white-printed-maxi-dress/7485876/buy</t>
  </si>
  <si>
    <t>dressberry women navy blue  white printed maxi dress</t>
  </si>
  <si>
    <t>https://www.myntra.com/tshirts/roadster/roadster-women-pack-of-2-pure-cotton-solid-t-shirts/17383948/buy</t>
  </si>
  <si>
    <t>https://www.myntra.com/jeans/mast--harbour/mast--harbour-black-skinny-fit-jeans/1271314/buy</t>
  </si>
  <si>
    <t>mast  harbour black skinny fit jeans</t>
  </si>
  <si>
    <t>https://www.myntra.com/jeans/roadster/roadster-men-black-skinny-fit-mid-rise-mildly-distressed-stretchable-jeans/7678841/buy</t>
  </si>
  <si>
    <t>roadster men black skinny fit mid rise mildly distressed stretchable jeans</t>
  </si>
  <si>
    <t>https://www.myntra.com/jeans/roadster/roadster-men-blue-skinny-fit-mid-rise-clean-look-stretchable-jeans/11274778/buy</t>
  </si>
  <si>
    <t>https://www.myntra.com/pyjamas/jompers/jompers-men-beige-solid-pants-cut-pyjama/11751826/buy</t>
  </si>
  <si>
    <t>jompers men beige solid pants cut pyjama</t>
  </si>
  <si>
    <t>https://www.myntra.com/innerwear-vests/jockey/jockey-men-white--grey-solid-innerwear-vest-with-brief/11799512/buy</t>
  </si>
  <si>
    <t>jockey men white  grey solid innerwear vest with brief</t>
  </si>
  <si>
    <t>L, M, S</t>
  </si>
  <si>
    <t>https://www.myntra.com/tshirts/wrogn/wrogn-men-black--white-colourblocked-slim-fit-hooded-pure-cotton-t-shirt/10410520/buy</t>
  </si>
  <si>
    <t>wrogn men black  white colourblocked slim fit hooded pure cotton t shirt</t>
  </si>
  <si>
    <t>https://www.myntra.com/tshirts/roadster/the-roadster-lifestyle-co-men-navy-blue-printed-round-neck-pure-cotton-t-shirt-with-striped-sleeves/11126672/buy</t>
  </si>
  <si>
    <t>the roadster lifestyle co men navy blue printed round neck pure cotton t shirt with striped sleeves</t>
  </si>
  <si>
    <t>https://www.myntra.com/kurtas/anouk/anouk-women-mustard-yellow--blue-printed-straight-kurta/10960746/buy</t>
  </si>
  <si>
    <t>anouk women mustard yellow  blue printed straight kurta</t>
  </si>
  <si>
    <t>https://www.myntra.com/kurtas/herenow/herenow-women-maroon--golden-quirky-print-straight-kurta/10224579/buy</t>
  </si>
  <si>
    <t>herenow women maroon  golden quirky print straight kurta</t>
  </si>
  <si>
    <t>https://www.myntra.com/briefs/enamor/enamor-women-pack-of-3-assorted-low-waist-bikini-cotton-briefs-cr01/2295676/buy</t>
  </si>
  <si>
    <t>enamor women pack of 3 assorted low waist bikini cotton briefs cr01</t>
  </si>
  <si>
    <t>https://www.myntra.com/kurtas/herenow/herenow-women-green--purple-printed-a-line-kurta/12851460/buy</t>
  </si>
  <si>
    <t>herenow women green  purple printed a line kurta</t>
  </si>
  <si>
    <t>https://www.myntra.com/jeans/herenow/herenow-women-deep-blue-high-rise-skinny-jeans/8987769/buy</t>
  </si>
  <si>
    <t>herenow women deep blue high rise skinny jeans</t>
  </si>
  <si>
    <t>https://www.myntra.com/tops/tokyo-talkies/tokyo-talkies-women-green-solid-top/10080483/buy</t>
  </si>
  <si>
    <t>tokyo talkies women green solid top</t>
  </si>
  <si>
    <t>https://www.myntra.com/tshirts/roadster/roadster-women-pack-of-2-pure-cotton-typography-print-t-shirts/17384846/buy</t>
  </si>
  <si>
    <t>https://www.myntra.com/tops/harpa/harpa-peach-coloured-floral-printed-top-with-bishop-sleeves/13532770/buy</t>
  </si>
  <si>
    <t>harpa peach coloured floral printed top with bishop sleeves</t>
  </si>
  <si>
    <t>https://www.myntra.com/tshirts/roadster/roadster-women-black-pack-of-2-typography-print-round-neck-regular-sleeves-t-shirts/17383140/buy</t>
  </si>
  <si>
    <t>roadster women black pack of 2 typography print round neck regular sleeves t shirts</t>
  </si>
  <si>
    <t>https://www.myntra.com/jeans/sassafras/sassafras-women-rust-red-regular-fit-solid-high-rise-slouchy-jeans/12222072/buy</t>
  </si>
  <si>
    <t>sassafras women rust red regular fit solid high rise slouchy jeans</t>
  </si>
  <si>
    <t>https://www.myntra.com/dresses/tokyo-talkies/tokyo-talkies-women-red--black-checked-shirt-dress/10854226/buy</t>
  </si>
  <si>
    <t>tokyo talkies women red  black checked shirt dress</t>
  </si>
  <si>
    <t>https://www.myntra.com/tshirts/roadster/roadster-women-blue-printed-boxy-fit-round-neck-pure-cotton-t-shirt/13601528/buy</t>
  </si>
  <si>
    <t>roadster women blue printed boxy fit round neck pure cotton t shirt</t>
  </si>
  <si>
    <t>https://www.myntra.com/briefs/one8-by-virat-kohli/one8-by-virat-kohli-men-pack-of-3-solid-briefs/10794308/buy</t>
  </si>
  <si>
    <t>one8 by virat kohli men pack of 3 solid briefs</t>
  </si>
  <si>
    <t>Rs. 123 OFF</t>
  </si>
  <si>
    <t>https://www.myntra.com/trunk/us-polo-assn/us-polo-assn-men-assorted-solid-trunks-i641-615-p1-xxl/9168561/buy</t>
  </si>
  <si>
    <t>us polo assn men assorted solid trunks i641 615 p1 xxl</t>
  </si>
  <si>
    <t>XL, XXL</t>
  </si>
  <si>
    <t>https://www.myntra.com/tshirts/mast--harbour/mast--harbour-men-pink-solid-polo-collar-t-shirt/11607352/buy</t>
  </si>
  <si>
    <t>mast  harbour men pink solid polo collar t shirt</t>
  </si>
  <si>
    <t>https://www.myntra.com/shirts/roadster/roadster-men-charcoal-grey--black-regular-fit-printed-sustainable-casual-shirt/10944718/buy</t>
  </si>
  <si>
    <t>roadster men charcoal grey  black regular fit printed sustainable casual shirt</t>
  </si>
  <si>
    <t>https://www.myntra.com/tshirts/roadster/roadster-time-travlr-men-maroon-sleveless-pure-cotton-t-shirt-with-raw-edges/2498495/buy</t>
  </si>
  <si>
    <t>roadster time travlr men maroon sleveless pure cotton t shirt with raw edges</t>
  </si>
  <si>
    <t>https://www.myntra.com/tshirts/herenow/herenow-men-navy-blue-solid-round-neck-pure-cotton-t-shirt/12816832/buy</t>
  </si>
  <si>
    <t>herenow men navy blue solid round neck pure cotton t shirt</t>
  </si>
  <si>
    <t>https://www.myntra.com/tshirts/highlander/highlander-men-charcoal-grey--black-colourblocked-round-neck-t-shirt/1703240/buy</t>
  </si>
  <si>
    <t>highlander men charcoal grey  black colourblocked round neck t shirt</t>
  </si>
  <si>
    <t>https://www.myntra.com/tshirts/moda-rapido/moda-rapido-men-charcoal-grey--mustard-yellow-colourblocked-round-neck-pure-cotton-t-shirt/10287471/buy</t>
  </si>
  <si>
    <t>moda rapido men charcoal grey  mustard yellow colourblocked round neck pure cotton t shirt</t>
  </si>
  <si>
    <t>https://www.myntra.com/thermal-bottoms/wedze-by-decathlon/wedze-by-decathlon-women-black-solid-thermal-bottoms/15341522/buy</t>
  </si>
  <si>
    <t>WEDZE By Decathlon</t>
  </si>
  <si>
    <t>thermal-bottoms</t>
  </si>
  <si>
    <t>wedze by decathlon women black solid thermal bottoms</t>
  </si>
  <si>
    <t>https://www.myntra.com/kurtas/herenow/herenow-women-peach-coloured-printed-straight-kurta/1990022/buy</t>
  </si>
  <si>
    <t>herenow women peach coloured printed straight kurta</t>
  </si>
  <si>
    <t>https://www.myntra.com/track-pants/mast--harbour/mast--harbour-women-navy-blue-solid-track-pants/12332480/buy</t>
  </si>
  <si>
    <t>mast  harbour women navy blue solid track pants</t>
  </si>
  <si>
    <t>https://www.myntra.com/tshirts/roadster/roadster-women-pack-of-2-pure-cotton-t-shirts/17384024/buy</t>
  </si>
  <si>
    <t>https://www.myntra.com/sweatshirts/roadster/the-roadster-lifestyle-co-women-rose-solid-hooded-sweatshirt/9478371/buy</t>
  </si>
  <si>
    <t>the roadster lifestyle co women rose solid hooded sweatshirt</t>
  </si>
  <si>
    <t>https://www.myntra.com/trousers/sassafras/sassafras-women-blue-chambray-parallel-trousers/7687332/buy</t>
  </si>
  <si>
    <t>sassafras women blue chambray parallel trousers</t>
  </si>
  <si>
    <t>https://www.myntra.com/jeggings/roadster/roadster-women-blue-washed-mid-rise-denim-jeggings/9056979/buy</t>
  </si>
  <si>
    <t>roadster women blue washed mid rise denim jeggings</t>
  </si>
  <si>
    <t>https://www.myntra.com/tshirts/roadster/-roadster-women-pack-of-2-printed-pure-cotton-t-shirt/17381758/buy</t>
  </si>
  <si>
    <t xml:space="preserve"> roadster women pack of 2 printed pure cotton t shirt</t>
  </si>
  <si>
    <t>https://www.myntra.com/jeans/mast--harbour/mast--harbour-men-black-skinny-fit-mid-rise-clean-look-stretchable-jeans/2152650/buy</t>
  </si>
  <si>
    <t>https://www.myntra.com/trousers/highlander/highlander-men-beige-slim-fit-solid-regular-trousers/8106697/buy</t>
  </si>
  <si>
    <t>highlander men beige slim fit solid regular trousers</t>
  </si>
  <si>
    <t>https://www.myntra.com/shirts/highlander/highlander-men-navy-blue-slim-fit-printed-casual-shirt/7798141/buy</t>
  </si>
  <si>
    <t>highlander men navy blue slim fit printed casual shirt</t>
  </si>
  <si>
    <t>https://www.myntra.com/jackets/wrogn/wrogn-men-navy-blue-solid-jacket/10187229/buy</t>
  </si>
  <si>
    <t>wrogn men navy blue solid jacket</t>
  </si>
  <si>
    <t>https://www.myntra.com/kurtas/shae-by-sassafras/shae-by-sassafras-women-purple--golden-embroidered-yoke-design-velvet-straight-kurta/12542032/buy</t>
  </si>
  <si>
    <t>shae by sassafras women purple  golden embroidered yoke design velvet straight kurta</t>
  </si>
  <si>
    <t>https://www.myntra.com/briefs/jockey/jockey-women-pack-of-3-assorted-briefs/60309/buy</t>
  </si>
  <si>
    <t>jockey women pack of 3 assorted briefs</t>
  </si>
  <si>
    <t>https://www.myntra.com/kurtas/herenow/herenow-women-off-white--black-printed-a-line-kurta/12622724/buy</t>
  </si>
  <si>
    <t>herenow women off white  black printed a line kurta</t>
  </si>
  <si>
    <t>https://www.myntra.com/shorts/roadster/the-roadster-lifestyle-co-women-blue-regular-fit-washed-faded-denim-shorts/11118602/buy</t>
  </si>
  <si>
    <t>the roadster lifestyle co women blue regular fit washed faded denim shorts</t>
  </si>
  <si>
    <t>https://www.myntra.com/tshirts/roadster/roadster-women-pink--white-solid-round-neck-pure-cotton-t-shirt/11401820/buy</t>
  </si>
  <si>
    <t>roadster women pink  white solid round neck pure cotton t shirt</t>
  </si>
  <si>
    <t>https://www.myntra.com/jeans/highlander/highlander-men-blue-mid-rise-clean-look-stretchable-jogger-jeans/4322612/buy</t>
  </si>
  <si>
    <t>highlander men blue mid rise clean look stretchable jogger jeans</t>
  </si>
  <si>
    <t>https://www.myntra.com/lounge-tshirts/levis/levis-men-black-solid-pure-cotton-v-neck--lounge-t-shirt/12027434/buy</t>
  </si>
  <si>
    <t>lounge-tshirts</t>
  </si>
  <si>
    <t>levis men black solid pure cotton v neck  lounge t shirt</t>
  </si>
  <si>
    <t>https://www.myntra.com/tshirts/maniac/maniac-men-blue--teal-green-colourblocked-round-neck-t-shirt/11226634/buy</t>
  </si>
  <si>
    <t>maniac men blue  teal green colourblocked round neck t shirt</t>
  </si>
  <si>
    <t>https://www.myntra.com/shirts/highlander/highlander-men-white-slim-fit-solid-casual-shirt/9935321/buy</t>
  </si>
  <si>
    <t>https://www.myntra.com/bra/zivame/zivame-maroon-maternity-bra-full-coverage/14797222/buy</t>
  </si>
  <si>
    <t>zivame maroon maternity bra full coverage</t>
  </si>
  <si>
    <t>https://www.myntra.com/dresses/uf/uf-women-blue-solid-layered-maxi-dress/11099596/buy</t>
  </si>
  <si>
    <t>uf women blue solid layered maxi dress</t>
  </si>
  <si>
    <t>https://www.myntra.com/dresses/rare/rare-black-fit--flare-dress/1085485/buy</t>
  </si>
  <si>
    <t>rare black fit  flare dress</t>
  </si>
  <si>
    <t>https://www.myntra.com/jackets/roadster/roadster-women-red-solid-padded-jacket/1845133/buy</t>
  </si>
  <si>
    <t>roadster women red solid padded jacket</t>
  </si>
  <si>
    <t>https://www.myntra.com/tshirts/mast--harbour/mast--harbour-women-red-striped-round-neck-crop-t-shirt/2490938/buy</t>
  </si>
  <si>
    <t>mast  harbour women red striped round neck crop t shirt</t>
  </si>
  <si>
    <t>https://www.myntra.com/trousers/dennison/dennison-men-black-comfort-tapered-fit-cropped-trousers/6558198/buy</t>
  </si>
  <si>
    <t>dennison men black comfort tapered fit cropped trousers</t>
  </si>
  <si>
    <t>https://www.myntra.com/jackets/hrx-by-hrithik-roshan/hrx-by-hrithik-roshan-men-olive-green--black-colourblocked-sporty-jacket/9445735/buy</t>
  </si>
  <si>
    <t>hrx by hrithik roshan men olive green  black colourblocked sporty jacket</t>
  </si>
  <si>
    <t>https://www.myntra.com/shirts/campus-sutra/campus-sutra-men-black--red-regular-fit-checked-casual-shirt/11582854/buy</t>
  </si>
  <si>
    <t>campus sutra men black  red regular fit checked casual shirt</t>
  </si>
  <si>
    <t>https://www.myntra.com/tshirts/roadster/roadster-men-white-graphic-printed-round-neck-pure-cotton-t-shirt/10938524/buy</t>
  </si>
  <si>
    <t>roadster men white graphic printed round neck pure cotton t shirt</t>
  </si>
  <si>
    <t>https://www.myntra.com/kurtas/ziyaa/ziyaa-women-beige--black-colourblocked-straight-kurta/10972758/buy</t>
  </si>
  <si>
    <t>ziyaa women beige  black colourblocked straight kurta</t>
  </si>
  <si>
    <t>https://www.myntra.com/bra/prettycat/prettycat-black-solid-underwired-lightly-padded-push-up-bra-pc-br-20304636b/8386941/buy</t>
  </si>
  <si>
    <t>prettycat black solid underwired lightly padded push up bra pc br 20304636b</t>
  </si>
  <si>
    <t>https://www.myntra.com/jumpsuit/purys/purys-women-navy-blue--coral-striped-playsuit/6382209/buy</t>
  </si>
  <si>
    <t>PURYS</t>
  </si>
  <si>
    <t>purys women navy blue  coral striped playsuit</t>
  </si>
  <si>
    <t>https://www.myntra.com/tops/taavi/taavi-women-navy-blue--white-woven-design-ikat-empire-sustainable-pure-cotton-top-with-smocked-detailing/10128417/buy</t>
  </si>
  <si>
    <t>taavi women navy blue  white woven design ikat empire sustainable pure cotton top with smocked detailing</t>
  </si>
  <si>
    <t>https://www.myntra.com/dresses/tokyo-talkies/tokyo-talkies-red--navy-blue-shirt-dress/10336485/buy</t>
  </si>
  <si>
    <t>tokyo talkies red  navy blue shirt dress</t>
  </si>
  <si>
    <t>https://www.myntra.com/leggings/hm/hm-women-black-cotton-sustainable-leggings/10441252/buy</t>
  </si>
  <si>
    <t>hm women black cotton sustainable leggings</t>
  </si>
  <si>
    <t>https://www.myntra.com/shorts/maniac/maniac-men-navy-blue-solid-slim-fit-sports-shorts/11407084/buy</t>
  </si>
  <si>
    <t>maniac men navy blue solid slim fit sports shorts</t>
  </si>
  <si>
    <t>32, 34, 36</t>
  </si>
  <si>
    <t>https://www.myntra.com/shirts/anouk/anouk-men-navy-blue-printed-indigo-casual-shirt/10960740/buy</t>
  </si>
  <si>
    <t>anouk men navy blue printed indigo casual shirt</t>
  </si>
  <si>
    <t>https://www.myntra.com/boxers/jockey/jockey-relax-relax-men-pack-of-2-assorted-checked-pure-cotton-boxers-1222-0210/9866707/buy</t>
  </si>
  <si>
    <t>jockey relax relax men pack of 2 assorted checked pure cotton boxers 1222 0210</t>
  </si>
  <si>
    <t>https://www.myntra.com/shirts/highlander/highlander-men-black--white-slim-fit-colourblocked-casual-shirt/12949994/buy</t>
  </si>
  <si>
    <t>highlander men black  white slim fit colourblocked casual shirt</t>
  </si>
  <si>
    <t>https://www.myntra.com/tshirts/mast--harbour/mast--harbour-men-navy-blue-colourblocked-polo-collar-t-shirt/8325421/buy</t>
  </si>
  <si>
    <t>mast  harbour men navy blue colourblocked polo collar t shirt</t>
  </si>
  <si>
    <t>https://www.myntra.com/shirts/wrogn/wrogn-men-red--black-slim-fit-checked-casual-shirt/1729405/buy</t>
  </si>
  <si>
    <t>wrogn men red  black slim fit checked casual shirt</t>
  </si>
  <si>
    <t>https://www.myntra.com/jackets/roadster/roadster-men-black-solid-denim-jacket/6411482/buy</t>
  </si>
  <si>
    <t>roadster men black solid denim jacket</t>
  </si>
  <si>
    <t>https://www.myntra.com/jackets/locomotive/locomotive-men-navy-blue-colourblocked-puffer-jacket/12970024/buy</t>
  </si>
  <si>
    <t>locomotive men navy blue colourblocked puffer jacket</t>
  </si>
  <si>
    <t>https://www.myntra.com/kurtas/vishudh/vishudh-women-yellow-printed-straight-kurta/12992864/buy</t>
  </si>
  <si>
    <t>vishudh women yellow printed straight kurta</t>
  </si>
  <si>
    <t>https://www.myntra.com/kurta-sets/anouk/anouk-women-navy-blue-printed-kurta-with-palazzos/10419444/buy</t>
  </si>
  <si>
    <t>anouk women navy blue printed kurta with palazzos</t>
  </si>
  <si>
    <t>https://www.myntra.com/bra/hrx-by-hrithik-roshan/hrx-by-hrithik-roshan-blue-solid-lightly-padded-rapid-dry-sports-bra-hrx-ss19-wk-3603/8328151/buy</t>
  </si>
  <si>
    <t>hrx by hrithik roshan blue solid lightly padded rapid dry sports bra hrx ss19 wk 3603</t>
  </si>
  <si>
    <t>https://www.myntra.com/bra/abelino/abelino-grey--navy-blue-solid-non-wired-lightly-padded-everyday-bra/12382654/buy</t>
  </si>
  <si>
    <t>abelino grey  navy blue solid non wired lightly padded everyday bra</t>
  </si>
  <si>
    <t>https://www.myntra.com/lounge-shorts/slumber-jill/slumber-jill-black-embroidered-detail-lounge-shorts-fwsj909/1910427/buy</t>
  </si>
  <si>
    <t>Slumber Jill</t>
  </si>
  <si>
    <t>slumber jill black embroidered detail lounge shorts fwsj909</t>
  </si>
  <si>
    <t>Rs. 130 OFF</t>
  </si>
  <si>
    <t>https://www.myntra.com/bra/momtobe/momtobe-pack-of-3-solid-non-wired-non-padded-maternity-bra-5508repkpurmrnfb-30/13570840/buy</t>
  </si>
  <si>
    <t>MomToBe</t>
  </si>
  <si>
    <t>momtobe pack of 3 solid non wired non padded maternity bra 5508repkpurmrnfb 30</t>
  </si>
  <si>
    <t>30C, 32C, 34C, 36C, 38C, 40C, 42C</t>
  </si>
  <si>
    <t>https://www.myntra.com/tops/tokyo-talkies/tokyo-talkies-women-burgundy-solid-top/10015985/buy</t>
  </si>
  <si>
    <t>tokyo talkies women burgundy solid top</t>
  </si>
  <si>
    <t>https://www.myntra.com/tops/miss-chase/miss-chase-navy-crop-top/1341216/buy</t>
  </si>
  <si>
    <t>miss chase navy crop top</t>
  </si>
  <si>
    <t>https://www.myntra.com/tops/roadster/roadster-blue-geometric-smocked-pure-cotton-top/7207024/buy</t>
  </si>
  <si>
    <t>roadster blue geometric smocked pure cotton top</t>
  </si>
  <si>
    <t>https://www.myntra.com/sweatshirts/roadster/roadster-women-dusty-pink-solid-hooded-sweatshirt/11991064/buy</t>
  </si>
  <si>
    <t>roadster women dusty pink solid hooded sweatshirt</t>
  </si>
  <si>
    <t>https://www.myntra.com/tops/athena/athena-red-sweetheart-neck-puff-sleeves-georgette-crop-top/13709560/buy</t>
  </si>
  <si>
    <t>athena red sweetheart neck puff sleeves georgette crop top</t>
  </si>
  <si>
    <t>https://www.myntra.com/jeggings/roadster/roadster-women-black-solid-super-skinny-fit-cropped-jeggings/10365283/buy</t>
  </si>
  <si>
    <t>https://www.myntra.com/leggings/tag-7/tag-7-women-black-solid-ankle-length-leggings/12030922/buy</t>
  </si>
  <si>
    <t>https://www.myntra.com/tshirts/roadster/roadster-women-pack-of-2-pure-cotton-solid-t-shirts/17381886/buy</t>
  </si>
  <si>
    <t>https://www.myntra.com/jeans/wrogn/wrogn-men-blue-slim-fit-mid-rise-clean-look-stretchable-jeans/2338202/buy</t>
  </si>
  <si>
    <t>https://www.myntra.com/track-pants/herenow/herenow-men-teal-green--black-solid-straight-fit-joggers-with-side-stripes/10922590/buy</t>
  </si>
  <si>
    <t>herenow men teal green  black solid straight fit joggers with side stripes</t>
  </si>
  <si>
    <t>https://www.myntra.com/shirts/locomotive/locomotive-men-navy-blue-slim-fit-printed-casual-shirt/14227648/buy</t>
  </si>
  <si>
    <t>locomotive men navy blue slim fit printed casual shirt</t>
  </si>
  <si>
    <t>https://www.myntra.com/kurtas/herenow/herenow-women-navy-blue-cotton-striped-mirror-work-tie-up-neck-straight-kurta/14172602/buy</t>
  </si>
  <si>
    <t>herenow women navy blue cotton striped mirror work tie up neck straight kurta</t>
  </si>
  <si>
    <t>https://www.myntra.com/briefs/van-heusen/van-heusen-women-pack-of-3-assorted-antibacterial-printed-briefs-11104/10779794/buy</t>
  </si>
  <si>
    <t>van heusen women pack of 3 assorted antibacterial printed briefs 11104</t>
  </si>
  <si>
    <t>https://www.myntra.com/kurta-sets/sangria/sangria-women-black--golden-printed-detail-straight-kurta-with-trousers/12866312/buy</t>
  </si>
  <si>
    <t>sangria women black  golden printed detail straight kurta with trousers</t>
  </si>
  <si>
    <t>https://www.myntra.com/tights/hrx-by-hrithik-roshan/hrx-by-hrithik-roshan-women-grey-printed-rapid-dry-seamless-yoga-tights/10106003/buy</t>
  </si>
  <si>
    <t>hrx by hrithik roshan women grey printed rapid dry seamless yoga tights</t>
  </si>
  <si>
    <t>https://www.myntra.com/tshirts/roadster/roadster-women-black--maroon-pack-of-2-typography-print-pure-cotton-regular-fit-t-shirts/17382902/buy</t>
  </si>
  <si>
    <t>roadster women black  maroon pack of 2 typography print pure cotton regular fit t shirts</t>
  </si>
  <si>
    <t>https://www.myntra.com/tshirts/roadster/roadster-women-mustard-printed-round-neck-t-shirt/10968570/buy</t>
  </si>
  <si>
    <t>roadster women mustard printed round neck t shirt</t>
  </si>
  <si>
    <t>https://www.myntra.com/track-pants/tokyo-talkies/tokyo-talkies-women-white-solid-slim-fit-track-pants/14062986/buy</t>
  </si>
  <si>
    <t>https://www.myntra.com/kurtas/vishudh/vishudh-women-black--gold-toned-printed-a-line-kurta/9822965/buy</t>
  </si>
  <si>
    <t>vishudh women black  gold toned printed a line kurta</t>
  </si>
  <si>
    <t>https://www.myntra.com/kurtas/inddus/inddus-women-black-solid-anarkali-kurta-with-dupatta/9745885/buy</t>
  </si>
  <si>
    <t>inddus women black solid anarkali kurta with dupatta</t>
  </si>
  <si>
    <t>https://www.myntra.com/night-suits/claura/claura-women-nude-coloured--white-printed-night-suit/10904742/buy</t>
  </si>
  <si>
    <t>claura women nude coloured  white printed night suit</t>
  </si>
  <si>
    <t>https://www.myntra.com/tops/mayra/mayra-off-white-embroidered-a-line-top/10504730/buy</t>
  </si>
  <si>
    <t>mayra off white embroidered a line top</t>
  </si>
  <si>
    <t>https://www.myntra.com/tops/street-9/street-9-beige-embellished-net-cinched-waist-top/10716734/buy</t>
  </si>
  <si>
    <t>street 9 beige embellished net cinched waist top</t>
  </si>
  <si>
    <t>https://www.myntra.com/jeans/dressberry/dressberry-women-blue-skinny-fit-mid-rise-clean-look--stretchable-ankle-length-jeans/10671376/buy</t>
  </si>
  <si>
    <t>dressberry women blue skinny fit mid rise clean look  stretchable ankle length jeans</t>
  </si>
  <si>
    <t>https://www.myntra.com/tshirts/roadster/roadster-women-pack-of-2-solid-pure-cotton-t-shirts/17381516/buy</t>
  </si>
  <si>
    <t>https://www.myntra.com/kurtas/see-designs/see-designs-men-blue-solid-asymmetric-straight-kurta/7432057/buy</t>
  </si>
  <si>
    <t>see designs men blue solid asymmetric straight kurta</t>
  </si>
  <si>
    <t>https://www.myntra.com/lounge-pants/us-polo-assn/us-polo-assn-men-navy-blue-chambray-solid-lounge-pants-i658-195-pl/10861818/buy</t>
  </si>
  <si>
    <t>us polo assn men navy blue chambray solid lounge pants i658 195 pl</t>
  </si>
  <si>
    <t>https://www.myntra.com/briefs/jockey/jockey-modern-classic-men-grey-brief-8044-0105/11036534/buy</t>
  </si>
  <si>
    <t>jockey modern classic men grey brief 8044 0105</t>
  </si>
  <si>
    <t>https://www.myntra.com/lounge-pants/us-polo-assn/us-polo-assn-men-navy-blue-chambray-solid-lounge-pants/11786012/buy</t>
  </si>
  <si>
    <t>us polo assn men navy blue chambray solid lounge pants</t>
  </si>
  <si>
    <t>XL, S, XXL, L, M</t>
  </si>
  <si>
    <t>https://www.myntra.com/briefs/jockey/jockey-men-pack-of-2-modern-classic-briefs/11475060/buy</t>
  </si>
  <si>
    <t>jockey men pack of 2 modern classic briefs</t>
  </si>
  <si>
    <t>https://www.myntra.com/tshirts/ether/ether-men-grey-solid-round-neck-t-shirt/11900358/buy</t>
  </si>
  <si>
    <t>ether men grey solid round neck t shirt</t>
  </si>
  <si>
    <t>https://www.myntra.com/tshirts/rigo/rigo-men-grey-colourblocked-round-neck-t-shirt/5567406/buy</t>
  </si>
  <si>
    <t>rigo men grey colourblocked round neck t shirt</t>
  </si>
  <si>
    <t>https://www.myntra.com/kurtas/varanga/varanga-women-pink--white-leheriya-striped-keyhole-neck-pure-cotton-kurta/13523742/buy</t>
  </si>
  <si>
    <t>varanga women pink  white leheriya striped keyhole neck pure cotton kurta</t>
  </si>
  <si>
    <t>https://www.myntra.com/tshirts/mast--harbour/mast--harbour-women-pack-of-2-pure-cotton-tshirts/17523504/buy</t>
  </si>
  <si>
    <t>https://www.myntra.com/skirts/roadster/roadster-blue-washed-denim-straight-skirt/11489594/buy</t>
  </si>
  <si>
    <t>https://www.myntra.com/dresses/athena/athena-black-square-neck-bodycon-dress/12049996/buy</t>
  </si>
  <si>
    <t>athena black square neck bodycon dress</t>
  </si>
  <si>
    <t>https://www.myntra.com/trousers/domyos-by-decathlon/domyos-by-decathlon-women-black-slim-fit-high-rise-easy-wash-maternity-cigarette-trousers/14468610/buy</t>
  </si>
  <si>
    <t>domyos by decathlon women black slim fit high rise easy wash maternity cigarette trousers</t>
  </si>
  <si>
    <t>26, 28, 30, 33, 35, 38</t>
  </si>
  <si>
    <t>https://www.myntra.com/tshirts/mast--harbour/mast--harbour-women-pack-of-2-striped-tshirts/17525486/buy</t>
  </si>
  <si>
    <t>mast  harbour women pack of 2 striped tshirts</t>
  </si>
  <si>
    <t>https://www.myntra.com/sweatshirts/campus-sutra/campus-sutra-men-red--white-printed-hooded-pullover-sweatshirt/10991974/buy</t>
  </si>
  <si>
    <t>campus sutra men red  white printed hooded pullover sweatshirt</t>
  </si>
  <si>
    <t>https://www.myntra.com/kurtas/ahika/ahika-women-green--beige-printed-straight-kurta/10808274/buy</t>
  </si>
  <si>
    <t>ahika women green  beige printed straight kurta</t>
  </si>
  <si>
    <t>https://www.myntra.com/dresses/anouk/anouk-mustard-yellow-embroidered-pleated-pure-cotton-a-line-dress/12134590/buy</t>
  </si>
  <si>
    <t>anouk mustard yellow embroidered pleated pure cotton a line dress</t>
  </si>
  <si>
    <t>https://www.myntra.com/kurta-sets/os/os-women-blue-printed-kurta-with-pyjamas--dupatta/13619724/buy</t>
  </si>
  <si>
    <t>os women blue printed kurta with pyjamas  dupatta</t>
  </si>
  <si>
    <t>https://www.myntra.com/kurtas/varanga/varanga-women-pink--off-white-ethnic-motifs-printed-anarkali-kurta/14962074/buy</t>
  </si>
  <si>
    <t>varanga women pink  off white ethnic motifs printed anarkali kurta</t>
  </si>
  <si>
    <t>https://www.myntra.com/bra/hrx-by-hrithik-roshan/hrx-by-hrithik-roshan-charcoal-grey-solid-seamless-yoga-light-support-rapid-dry-sports-bra/11245646/buy</t>
  </si>
  <si>
    <t>hrx by hrithik roshan charcoal grey solid seamless yoga light support rapid dry sports bra</t>
  </si>
  <si>
    <t>https://www.myntra.com/briefs/softrose/softrose-pack-of-3-women-bikini-briefs-rb5001brrg/782913/buy</t>
  </si>
  <si>
    <t>softrose pack of 3 women bikini briefs rb5001brrg</t>
  </si>
  <si>
    <t>https://www.myntra.com/tops/street-9/street-9-yellow-one-shoulder-cinched-waist-pure-cotton-top/11677820/buy</t>
  </si>
  <si>
    <t>street 9 yellow one shoulder cinched waist pure cotton top</t>
  </si>
  <si>
    <t>https://www.myntra.com/jeans/hm/hm-women-black-solid-clean-look-slim-high-ankle-jeans/15650812/buy</t>
  </si>
  <si>
    <t>hm women black solid clean look slim high ankle jeans</t>
  </si>
  <si>
    <t>23, 25, 27, 28, 30, 31, 33, 34</t>
  </si>
  <si>
    <t>https://www.myntra.com/jackets/wrogn/wrogn-men-black-slim-fit-solid-denim-jacket/10187097/buy</t>
  </si>
  <si>
    <t>wrogn men black slim fit solid denim jacket</t>
  </si>
  <si>
    <t>https://www.myntra.com/kurtas/herenow/herenow-women-blue--golden-floral-print-straight-kurta/12851458/buy</t>
  </si>
  <si>
    <t>herenow women blue  golden floral print straight kurta</t>
  </si>
  <si>
    <t>https://www.myntra.com/sarees/rajnandini/rajnandini-beige--green-cotton-blend-woven-design-saree/11165152/buy</t>
  </si>
  <si>
    <t>Rajnandini</t>
  </si>
  <si>
    <t>rajnandini beige  green cotton blend woven design saree</t>
  </si>
  <si>
    <t>https://www.myntra.com/dresses/nayo/nayo-peach-coloured--pink-floral-printed-cotton-maxi-dress/11080572/buy</t>
  </si>
  <si>
    <t>nayo peach coloured  pink floral printed cotton maxi dress</t>
  </si>
  <si>
    <t>https://www.myntra.com/kurta-sets/sangria/sangria-women-beige--black-pure-cotton-printed-kurta-with-salwar/13437328/buy</t>
  </si>
  <si>
    <t>sangria women beige  black pure cotton printed kurta with salwar</t>
  </si>
  <si>
    <t>https://www.myntra.com/sweatshirts/ether/ether-women-black-solid-sweatshirt/6533820/buy</t>
  </si>
  <si>
    <t>ether women black solid sweatshirt</t>
  </si>
  <si>
    <t>https://www.myntra.com/jackets/roadster/the-roadster-lifestyle-co-women-burgundy-solid-jacket/9478613/buy</t>
  </si>
  <si>
    <t>the roadster lifestyle co women burgundy solid jacket</t>
  </si>
  <si>
    <t>https://www.myntra.com/track-pants/highlander/men-highlander-men-grey-solid-slim-fit-track-pants/13815358/buy</t>
  </si>
  <si>
    <t>men highlander men grey solid slim fit track pants</t>
  </si>
  <si>
    <t>https://www.myntra.com/jeans/harvard/harvard-men-black-skinny-fit-mid-rise-clean-look-stretchable-jeans/11901128/buy</t>
  </si>
  <si>
    <t>harvard men black skinny fit mid rise clean look stretchable jeans</t>
  </si>
  <si>
    <t>https://www.myntra.com/socks/kopnhagn/kopnhagn-men-pack-of-5-assorted-ankle-length-socks/14198032/buy</t>
  </si>
  <si>
    <t>KOPNHAGN</t>
  </si>
  <si>
    <t>kopnhagn men pack of 5 assorted ankle length socks</t>
  </si>
  <si>
    <t>https://www.myntra.com/kurta-sets/prakhya/prakhya-women-black--pink-printed-kurta-with-trousers/13804808/buy</t>
  </si>
  <si>
    <t>prakhya women black  pink printed kurta with trousers</t>
  </si>
  <si>
    <t>https://www.myntra.com/bra/enamor/enamor-nude-coloured-non-wired-non-padded-full-coverage-balconette-bra-a019/12897836/buy</t>
  </si>
  <si>
    <t>enamor nude coloured non wired non padded full coverage balconette bra a019</t>
  </si>
  <si>
    <t>32B, 32C, 34B, 34C, 36B, 36C, 38B, 38C</t>
  </si>
  <si>
    <t>https://www.myntra.com/tops/pluss/pluss-women-olive-green-embellished-top/8126485/buy</t>
  </si>
  <si>
    <t>pluss women olive green embellished top</t>
  </si>
  <si>
    <t>https://www.myntra.com/tshirts/roadster/roadster-women-maroon--dusty-pink-pack-of-2-typography-print-pure-cotton-t-shirts/17383458/buy</t>
  </si>
  <si>
    <t>roadster women maroon  dusty pink pack of 2 typography print pure cotton t shirts</t>
  </si>
  <si>
    <t>https://www.myntra.com/jeans/high-star/high-star-women-blue-slim-fit-high-rise-clean-look-stretchable-jeans/7243701/buy</t>
  </si>
  <si>
    <t>https://www.myntra.com/jeans/highlander/highlander-men-grey-jogger-mid-rise-clean-look-stretchable-jeans/4322609/buy</t>
  </si>
  <si>
    <t>https://www.myntra.com/trunk/hrx-by-hrithik-roshan/hrx-by-hrithik-roshan-men-lifestyle-black-solid-trunk-ls-7014c/6747432/buy</t>
  </si>
  <si>
    <t>hrx by hrithik roshan men lifestyle black solid trunk ls 7014c</t>
  </si>
  <si>
    <t>https://www.myntra.com/tshirts/moda-rapido/moda-rapido-men-black-printed-round-neck-pure-cotton-t-shirt/11269192/buy</t>
  </si>
  <si>
    <t>moda rapido men black printed round neck pure cotton t shirt</t>
  </si>
  <si>
    <t>https://www.myntra.com/tops/vishudh/vishudh-women-rust-printed-high-low-top/10074597/buy</t>
  </si>
  <si>
    <t>vishudh women rust printed high low top</t>
  </si>
  <si>
    <t>https://www.myntra.com/kurtis/herenow/herenow-women-blue-embroidered-pure-cotton-a-line-kurti/12037942/buy</t>
  </si>
  <si>
    <t>herenow women blue embroidered pure cotton a line kurti</t>
  </si>
  <si>
    <t>https://www.myntra.com/dresses/vishudh/vishudh-women-peach-coloured-floral-print-fit-and-flare-dress/10016721/buy</t>
  </si>
  <si>
    <t>vishudh women peach coloured floral print fit and flare dress</t>
  </si>
  <si>
    <t>https://www.myntra.com/palazzos/moda-rapido/moda-rapido-women-off-white-hem-design-straight-palazzos/11460402/buy</t>
  </si>
  <si>
    <t>moda rapido women off white hem design straight palazzos</t>
  </si>
  <si>
    <t>27, 29, 31, 33, 35, 37, 39</t>
  </si>
  <si>
    <t>https://www.myntra.com/tshirts/moda-rapido/moda-rapido-women-multicoloured-striped-round-neck-t-shirt/12915562/buy</t>
  </si>
  <si>
    <t>moda rapido women multicoloured striped round neck t shirt</t>
  </si>
  <si>
    <t>https://www.myntra.com/sweatshirts/hrx-by-hrithik-roshan/hrx-by-hrithik-roshan-outdoor-rust-red-solid-sweatshirt/9965745/buy</t>
  </si>
  <si>
    <t>hrx by hrithik roshan outdoor rust red solid sweatshirt</t>
  </si>
  <si>
    <t>https://www.myntra.com/track-pants/tokyo-talkies/tokyo-talkies-women-lavender-solid-slim-fit-joggers/14154056/buy</t>
  </si>
  <si>
    <t>tokyo talkies women lavender solid slim fit joggers</t>
  </si>
  <si>
    <t>https://www.myntra.com/dresses/sassafras/sassafras-women-pink--green-printed-maxi-dress/11364148/buy</t>
  </si>
  <si>
    <t>sassafras women pink  green printed maxi dress</t>
  </si>
  <si>
    <t>https://www.myntra.com/trousers/highlander/highlander-men-white-slim-fit-solid-cargos/8469245/buy</t>
  </si>
  <si>
    <t>highlander men white slim fit solid cargos</t>
  </si>
  <si>
    <t>https://www.myntra.com/track-pants/locomotive/locomotive-men-black-solid-slim-fit-track-pants/14033882/buy</t>
  </si>
  <si>
    <t>locomotive men black solid slim fit track pants</t>
  </si>
  <si>
    <t>https://www.myntra.com/boxers/levis/levis-men-pack-of-2-pure-cotton-checked-boxers/18028768/buy</t>
  </si>
  <si>
    <t>https://www.myntra.com/tshirts/wild-west/wild-west-men-black-solid-v-neck-t-shirt/9081865/buy</t>
  </si>
  <si>
    <t>WILD WEST</t>
  </si>
  <si>
    <t>wild west men black solid v neck t shirt</t>
  </si>
  <si>
    <t>https://www.myntra.com/tshirts/herenow/herenow-men-black-printed-round-neck-pure-cotton-t-shirt/8879321/buy</t>
  </si>
  <si>
    <t>herenow men black printed round neck pure cotton t shirt</t>
  </si>
  <si>
    <t>https://www.myntra.com/tops/taavi/taavi-pink-striped-woven-legacy-a-line--sustainable-pure-cotton-top-with-smocking-detail/11464650/buy</t>
  </si>
  <si>
    <t>taavi pink striped woven legacy a line  sustainable pure cotton top with smocking detail</t>
  </si>
  <si>
    <t>https://www.myntra.com/kurtas/sangria/sangria-women-white--navy-blue-pure-cotton-striped-straight-kurta/9371747/buy</t>
  </si>
  <si>
    <t>sangria women white  navy blue pure cotton striped straight kurta</t>
  </si>
  <si>
    <t>https://www.myntra.com/jeans/levis/levis-men-blue-512-slim-tapered-fit-stretchable-jeans/15038460/buy</t>
  </si>
  <si>
    <t>levis men blue 512 slim tapered fit stretchable jeans</t>
  </si>
  <si>
    <t>https://www.myntra.com/trousers/wrogn/wrogn-men-navy-blue-slim-fit-chinos/11560486/buy</t>
  </si>
  <si>
    <t>wrogn men navy blue slim fit chinos</t>
  </si>
  <si>
    <t>https://www.myntra.com/track-pants/mast--harbour/mast--harbour-men-grey-melange-joggers/6863011/buy</t>
  </si>
  <si>
    <t>mast  harbour men grey melange joggers</t>
  </si>
  <si>
    <t>https://www.myntra.com/tshirts/mast--harbour/mast--harbour-men-navy-blue-striped-polo-collar-pure-cotton-t-shirt/4149418/buy</t>
  </si>
  <si>
    <t>mast  harbour men navy blue striped polo collar pure cotton t shirt</t>
  </si>
  <si>
    <t>https://www.myntra.com/tshirts/roadster/roadster-time-travlr-men-black-scoop-neck-sleveless-t-shirt-with-raw-edges/2498476/buy</t>
  </si>
  <si>
    <t>roadster time travlr men black scoop neck sleveless t shirt with raw edges</t>
  </si>
  <si>
    <t>https://www.myntra.com/tshirts/rigo/rigo-men-maroon--black-slogan-print-round-neck-cotton-t-shirt/11726706/buy</t>
  </si>
  <si>
    <t>rigo men maroon  black slogan print round neck cotton t shirt</t>
  </si>
  <si>
    <t>https://www.myntra.com/kurtas/sangria/sangria-women-navy-blue-printed-a-line-kurta/9371655/buy</t>
  </si>
  <si>
    <t>sangria women navy blue printed a line kurta</t>
  </si>
  <si>
    <t>https://www.myntra.com/tops/rare/rare-black-self-design-top/6552966/buy</t>
  </si>
  <si>
    <t>rare black self design top</t>
  </si>
  <si>
    <t>https://www.myntra.com/tshirts/roadster/roadster-women-pack-of-2-typography-print-cotton-t-shirt/17384856/buy</t>
  </si>
  <si>
    <t>https://www.myntra.com/briefs/damensch/damensch-men-deo-soft-deodorizing-micro-modal-solid-briefs-dam-as-b-obwgsb-pack-3-mix/9599113/buy</t>
  </si>
  <si>
    <t>DAMENSCH</t>
  </si>
  <si>
    <t>damensch men deo soft deodorizing micro modal solid briefs dam as b obwgsb pack 3 mix</t>
  </si>
  <si>
    <t>https://www.myntra.com/kurtas/vishudh/vishudh-women-black--red-checked-cotton-kurta/14370140/buy</t>
  </si>
  <si>
    <t>vishudh women black  red checked cotton kurta</t>
  </si>
  <si>
    <t>https://www.myntra.com/kurtas/varanga/varanga-women-pink-yoke-design-gotta-patti-crepe-kurta/14508760/buy</t>
  </si>
  <si>
    <t>varanga women pink yoke design gotta patti crepe kurta</t>
  </si>
  <si>
    <t>https://www.myntra.com/kurta-sets/inddus/inddus-women-blue--white-yoke-design-kurta-with-palazzos/8889401/buy</t>
  </si>
  <si>
    <t>inddus women blue  white yoke design kurta with palazzos</t>
  </si>
  <si>
    <t>https://www.myntra.com/kurta-sets/sangria/women-purple-floral-zari-embroidered-anarkali-kurta-palazzo-dupatta-set/12104794/buy</t>
  </si>
  <si>
    <t>women purple floral zari embroidered anarkali kurta palazzo dupatta set</t>
  </si>
  <si>
    <t>https://www.myntra.com/kurtas/herenow/herenow-women-white-solid-straight-kurta/12530350/buy</t>
  </si>
  <si>
    <t>herenow women white solid straight kurta</t>
  </si>
  <si>
    <t>https://www.myntra.com/tshirts/roadster/roadster-women-rust-brown--maroon-pack-of-2-printed-round-neck-knitted-t-shirts/17383438/buy</t>
  </si>
  <si>
    <t>roadster women rust brown  maroon pack of 2 printed round neck knitted t shirts</t>
  </si>
  <si>
    <t>https://www.myntra.com/tshirts/roadster/the-roadster-lifestyle-co-men-blue--white-printed-round-neck-t-shirt/10939132/buy</t>
  </si>
  <si>
    <t>the roadster lifestyle co men blue  white printed round neck t shirt</t>
  </si>
  <si>
    <t>https://www.myntra.com/kurta-sets/sangria/sangria-women-navy-blue--white-pure-cotton-printed-kurta-with-salwar/13437234/buy</t>
  </si>
  <si>
    <t>sangria women navy blue  white pure cotton printed kurta with salwar</t>
  </si>
  <si>
    <t>https://www.myntra.com/sarees/mitera/mitera-red-woven-design-kanjeevaram-saree/11244968/buy</t>
  </si>
  <si>
    <t>mitera red woven design kanjeevaram saree</t>
  </si>
  <si>
    <t>https://www.myntra.com/briefs/enamor/enamor-women-pack-of-3-assorted-mid-waist-hipster-cotton-briefs-cr02/12176804/buy</t>
  </si>
  <si>
    <t>https://www.myntra.com/kurta-sets/sangria/sangria-women-green--red-pure-cotton-printed-kurta-with-palazzos/13437296/buy</t>
  </si>
  <si>
    <t>sangria women green  red pure cotton printed kurta with palazzos</t>
  </si>
  <si>
    <t>https://www.myntra.com/tops/harpa/harpa-yellow-square-neck-top/12664634/buy</t>
  </si>
  <si>
    <t>harpa yellow square neck top</t>
  </si>
  <si>
    <t>https://www.myntra.com/dresses/uf/uf-women-lavender-net-solid-maxi-dress/11099570/buy</t>
  </si>
  <si>
    <t>uf women lavender net solid maxi dress</t>
  </si>
  <si>
    <t>https://www.myntra.com/tshirts/mast--harbour/mast--harbour-women-pack-of-2-printed-tshirts/17523376/buy</t>
  </si>
  <si>
    <t>https://www.myntra.com/tshirts/roadster/roadster-women-black-solid-v-neck-pure-cotton-t-shirt/10778684/buy</t>
  </si>
  <si>
    <t>roadster women black solid v neck pure cotton t shirt</t>
  </si>
  <si>
    <t>https://www.myntra.com/tops/dressberry/dressberry-women-fluorescent-green-ribbed-shirt-style-top/13179848/buy</t>
  </si>
  <si>
    <t>dressberry women fluorescent green ribbed shirt style top</t>
  </si>
  <si>
    <t>https://www.myntra.com/kurta-sets/anouk/anouk-men-black--red-self-design-kurta-with-pyjamas/9366013/buy</t>
  </si>
  <si>
    <t>anouk men black  red self design kurta with pyjamas</t>
  </si>
  <si>
    <t>https://www.myntra.com/tshirts/roadster/roadster-men-navy-blue-typography-printed-t-shirt/9102595/buy</t>
  </si>
  <si>
    <t>roadster men navy blue typography printed t shirt</t>
  </si>
  <si>
    <t>https://www.myntra.com/sarees/ishin/ishin-green--red-printed-saree/10500838/buy</t>
  </si>
  <si>
    <t>ishin green  red printed saree</t>
  </si>
  <si>
    <t>https://www.myntra.com/kurta-sets/sringam/sringam-women-yellow--white-printed-kurta-with-trousers--dupatta/11569266/buy</t>
  </si>
  <si>
    <t>Sringam</t>
  </si>
  <si>
    <t>sringam women yellow  white printed kurta with trousers  dupatta</t>
  </si>
  <si>
    <t>https://www.myntra.com/lehenga-choli/satrani/satrani-teal-blue--pink-solid-unstitched-lehenga--blouse-with-dupatta/11671590/buy</t>
  </si>
  <si>
    <t>Satrani</t>
  </si>
  <si>
    <t>lehenga-choli</t>
  </si>
  <si>
    <t>satrani teal blue  pink solid unstitched lehenga  blouse with dupatta</t>
  </si>
  <si>
    <t>https://www.myntra.com/lounge-pants/claura/claura-black-solid-lounge-pants-lower-11/5702437/buy</t>
  </si>
  <si>
    <t>claura black solid lounge pants lower 11</t>
  </si>
  <si>
    <t>https://www.myntra.com/trousers/street-9/street-9-women-mustard-brown-cargos/12277586/buy</t>
  </si>
  <si>
    <t>street 9 women mustard brown cargos</t>
  </si>
  <si>
    <t>https://www.myntra.com/dresses/berrylush/berrylush-women-black-floral-printed-maxi-dress/9249061/buy</t>
  </si>
  <si>
    <t>berrylush women black floral printed maxi dress</t>
  </si>
  <si>
    <t>https://www.myntra.com/tshirts/mast--harbour/mast--harbour-women-pack-of-2-solid-tshirts/17525460/buy</t>
  </si>
  <si>
    <t>https://www.myntra.com/socks/mast--harbour/mast--harbour-men-set-of-3-socks/1616324/buy</t>
  </si>
  <si>
    <t>https://www.myntra.com/kurtis/anubhutee/anubhutee-women-navy-blue--white-printed-kurti/11053762/buy</t>
  </si>
  <si>
    <t>anubhutee women navy blue  white printed kurti</t>
  </si>
  <si>
    <t>https://www.myntra.com/kurta-sets/sangria/sangria-women-pink--beige-pure-cotton-ethnic-motif-printed-kurta-with-salwar/13437262/buy</t>
  </si>
  <si>
    <t>sangria women pink  beige pure cotton ethnic motif printed kurta with salwar</t>
  </si>
  <si>
    <t>https://www.myntra.com/kurtas/jaipur-kurti/jaipur-kurti-women-black--grey-striped-straight-kurta/8233165/buy</t>
  </si>
  <si>
    <t>jaipur kurti women black  grey striped straight kurta</t>
  </si>
  <si>
    <t>https://www.myntra.com/jeans/herenow/herenow-women-blue-solid-bootcut-stretchable-jeans/14139238/buy</t>
  </si>
  <si>
    <t>herenow women blue solid bootcut stretchable jeans</t>
  </si>
  <si>
    <t>https://www.myntra.com/dresses/street-9/street-9-women-black-printed-a-line-dress/13072016/buy</t>
  </si>
  <si>
    <t>street 9 women black printed a line dress</t>
  </si>
  <si>
    <t>https://www.myntra.com/dresses/berrylush/berrylush-women-rose-solid-styled-back-maxi-dress/10730128/buy</t>
  </si>
  <si>
    <t>berrylush women rose solid styled back maxi dress</t>
  </si>
  <si>
    <t>https://www.myntra.com/jumpsuit/taavi/taavi-women-blue--white-indigo-hand-block-print-sustainable-jumpsuit-with-loose-legs--tie-ups/9254703/buy</t>
  </si>
  <si>
    <t>taavi women blue  white indigo hand block print sustainable jumpsuit with loose legs  tie ups</t>
  </si>
  <si>
    <t>https://www.myntra.com/jackets/roadster/the-roadster-lifestyle-co-women-blue-solid-denim-jacket/10562392/buy</t>
  </si>
  <si>
    <t>https://www.myntra.com/trousers/domyos-by-decathlon/domyos-by-decathlon-women-burgundy-organic-cotton-yoga-pants/12965940/buy</t>
  </si>
  <si>
    <t>domyos by decathlon women burgundy organic cotton yoga pants</t>
  </si>
  <si>
    <t>https://www.myntra.com/jeans/locomotive/locomotive-men-white-tapered-fit-mid-rise-mildly-distressed-stretchable-jeans/10020047/buy</t>
  </si>
  <si>
    <t>locomotive men white tapered fit mid rise mildly distressed stretchable jeans</t>
  </si>
  <si>
    <t>https://www.myntra.com/track-pants/hrx-by-hrithik-roshan/hrx-by-hrithik-roshan-men-navy-blue-solid-slim-fit-jogger-lifestyle-track-pants/8897791/buy</t>
  </si>
  <si>
    <t>hrx by hrithik roshan men navy blue solid slim fit jogger lifestyle track pants</t>
  </si>
  <si>
    <t>https://www.myntra.com/kurtas/house-of-pataudi/house-of-pataudi-men-turquoise-blue-chikankari-embroidered-straight-kurta/8704519/buy</t>
  </si>
  <si>
    <t>house of pataudi men turquoise blue chikankari embroidered straight kurta</t>
  </si>
  <si>
    <t>https://www.myntra.com/shirts/harvard/harvard-men-yellow--blue-slim-fit-checked-sustainable-casual-shirt/2391102/buy</t>
  </si>
  <si>
    <t>harvard men yellow  blue slim fit checked sustainable casual shirt</t>
  </si>
  <si>
    <t>https://www.myntra.com/tshirts/mast--harbour/mast--harbour-men-orange-solid-round-neck-t-shirt/3082392/buy</t>
  </si>
  <si>
    <t>mast  harbour men orange solid round neck t shirt</t>
  </si>
  <si>
    <t>https://www.myntra.com/kurta-sets/jaipur-kurti/jaipur-kurti-women-navy-blue--green-woven-design-kurta-with-trousers--dupatta/9000189/buy</t>
  </si>
  <si>
    <t>jaipur kurti women navy blue  green woven design kurta with trousers  dupatta</t>
  </si>
  <si>
    <t>https://www.myntra.com/bra/abelino/abelino-pink-printed-non-wired-lightly-padded-t-shirt-bra-appypink01/7865861/buy</t>
  </si>
  <si>
    <t>abelino pink printed non wired lightly padded t shirt bra appypink01</t>
  </si>
  <si>
    <t>https://www.myntra.com/night-suits/drape-in-vogue/drape-in-vogue-women-pink-satin-finish-solid-nightsuit/11316784/buy</t>
  </si>
  <si>
    <t>DRAPE IN VOGUE</t>
  </si>
  <si>
    <t>drape in vogue women pink satin finish solid nightsuit</t>
  </si>
  <si>
    <t>https://www.myntra.com/sweatshirts/hrx-by-hrithik-roshan/hrx-by-hrithik-roshan-women-black-solid-hooded-sweatshirt/4881843/buy</t>
  </si>
  <si>
    <t>hrx by hrithik roshan women black solid hooded sweatshirt</t>
  </si>
  <si>
    <t>https://www.myntra.com/tshirts/roadster/roadster-women-pack-of-2-t-shirts/17382052/buy</t>
  </si>
  <si>
    <t>https://www.myntra.com/sweatshirts/roadster/roadster-women-green-solid-sweatshirt/6011928/buy</t>
  </si>
  <si>
    <t>roadster women green solid sweatshirt</t>
  </si>
  <si>
    <t>https://www.myntra.com/tshirts/roadster/roadster-women-pack-of-2-printed-pure-cotton-t-shirt/17381764/buy</t>
  </si>
  <si>
    <t>roadster women pack of 2 printed pure cotton t shirt</t>
  </si>
  <si>
    <t>https://www.myntra.com/tops/roadster/roadster-women-olive-green-printed-top/2357270/buy</t>
  </si>
  <si>
    <t>roadster women olive green printed top</t>
  </si>
  <si>
    <t>https://www.myntra.com/track-pants/hrx-by-hrithik-roshan/hrx-by-hrithik-roshan-men-charcoal-grey-active-essential-track-pants/6833359/buy</t>
  </si>
  <si>
    <t>hrx by hrithik roshan men charcoal grey active essential track pants</t>
  </si>
  <si>
    <t>https://www.myntra.com/jackets/hrx-by-hrithik-roshan/hrx-by-hrithik-roshan-men-black-solid-lifestyle-hooded-sporty-jacket/9445855/buy</t>
  </si>
  <si>
    <t>hrx by hrithik roshan men black solid lifestyle hooded sporty jacket</t>
  </si>
  <si>
    <t>https://www.myntra.com/shirts/highlander/highlander-men-navy-blue-slim-fit-striped-casual-shirt/13842380/buy</t>
  </si>
  <si>
    <t>https://www.myntra.com/tshirts/mast--harbour/mast--harbour-men-blue-polo-collar-cotton-pure-cotton-t-shirt/4149378/buy</t>
  </si>
  <si>
    <t>mast  harbour men blue polo collar cotton pure cotton t shirt</t>
  </si>
  <si>
    <t>https://www.myntra.com/sweatshirts/roadster/roadster-men-charcoal-grey-solid-hooded-sweatshirt/9334557/buy</t>
  </si>
  <si>
    <t>roadster men charcoal grey solid hooded sweatshirt</t>
  </si>
  <si>
    <t>https://www.myntra.com/night-suits/anubhutee/anubhutee-women-peach-coloured--purple-printed-cotton-night-suit/13021478/buy</t>
  </si>
  <si>
    <t>anubhutee women peach coloured  purple printed cotton night suit</t>
  </si>
  <si>
    <t>https://www.myntra.com/tops/herenow/herenow-women-taupe--off-white-printed-top/2056691/buy</t>
  </si>
  <si>
    <t>herenow women taupe  off white printed top</t>
  </si>
  <si>
    <t>https://www.myntra.com/tshirts/dressberry/dressberry-women-mustard-yellow--navy-blue-solid-set-of-2-round-neck-t-shirts/9044845/buy</t>
  </si>
  <si>
    <t>dressberry women mustard yellow  navy blue solid set of 2 round neck t shirts</t>
  </si>
  <si>
    <t>https://www.myntra.com/jeans/roadster/roadster-women-blue-bootcut-mid-rise-clean-look-stretchable-jeans/11132268/buy</t>
  </si>
  <si>
    <t>roadster women blue bootcut mid rise clean look stretchable jeans</t>
  </si>
  <si>
    <t>https://www.myntra.com/tops/tokyo-talkies/tokyo-talkies-women-navy-blue-printed-tiered-top/8195043/buy</t>
  </si>
  <si>
    <t>tokyo talkies women navy blue printed tiered top</t>
  </si>
  <si>
    <t>https://www.myntra.com/tops/roadster/roadster-women-black-solid-v-neck-top/11401808/buy</t>
  </si>
  <si>
    <t>roadster women black solid v neck top</t>
  </si>
  <si>
    <t>https://www.myntra.com/tshirts/mast--harbour/mast--harbour-women-pack-of-2-striped-tshirts/17525602/buy</t>
  </si>
  <si>
    <t>https://www.myntra.com/tshirts/mast--harbour/mast--harbour-men-white--blue-striped-polo-collar-t-shirt/4149423/buy</t>
  </si>
  <si>
    <t>mast  harbour men white  blue striped polo collar t shirt</t>
  </si>
  <si>
    <t>https://www.myntra.com/shirts/mast--harbour/mast--harbour-men-red-slim-fit-solid-casual-shirt/2178633/buy</t>
  </si>
  <si>
    <t>mast  harbour men red slim fit solid casual shirt</t>
  </si>
  <si>
    <t>https://www.myntra.com/tshirts/wrogn/wrogn-men-charcoal-grey--black-colourblocked-polo-collar-pure-cotton-t-shirt/10188255/buy</t>
  </si>
  <si>
    <t>wrogn men charcoal grey  black colourblocked polo collar pure cotton t shirt</t>
  </si>
  <si>
    <t>https://www.myntra.com/sweatshirts/mast--harbour/mast--harbour-men-navy-blue--mustard-yellow-colourblocked-hooded-sweatshirt/10136913/buy</t>
  </si>
  <si>
    <t>mast  harbour men navy blue  mustard yellow colourblocked hooded sweatshirt</t>
  </si>
  <si>
    <t>https://www.myntra.com/kurtas/sangria/sangria-women-navy-blue--golden-striped-straight-kurta/8944837/buy</t>
  </si>
  <si>
    <t>sangria women navy blue  golden striped straight kurta</t>
  </si>
  <si>
    <t>https://www.myntra.com/tshirts/moda-rapido/moda-rapido-women-grey-melange-solid-v-neck-pure-cotton-t-shirt/8813229/buy</t>
  </si>
  <si>
    <t>moda rapido women grey melange solid v neck pure cotton t shirt</t>
  </si>
  <si>
    <t>https://www.myntra.com/dresses/kook-n-keech/kook-n-keech-women-grey-melange-printed-t-shirt-dress/2414651/buy</t>
  </si>
  <si>
    <t>kook n keech women grey melange printed t shirt dress</t>
  </si>
  <si>
    <t>https://www.myntra.com/dresses/kassually/kassually-women-purple-high-low-maxi-dress/11348386/buy</t>
  </si>
  <si>
    <t>kassually women purple high low maxi dress</t>
  </si>
  <si>
    <t>https://www.myntra.com/tshirts/roadster/roadster-women-green-solid-boxy-fit-round-neck-t-shirt/11401664/buy</t>
  </si>
  <si>
    <t>roadster women green solid boxy fit round neck t shirt</t>
  </si>
  <si>
    <t>https://www.myntra.com/kurtas/sojanya/sojanya-men-black-solid-straight-kurta/11562728/buy</t>
  </si>
  <si>
    <t>sojanya men black solid straight kurta</t>
  </si>
  <si>
    <t>https://www.myntra.com/boxers/jockey/jockey-men-assorted-checked-pure-cotton-boxers-1222-0110/11445084/buy</t>
  </si>
  <si>
    <t>jockey men assorted checked pure cotton boxers 1222 0110</t>
  </si>
  <si>
    <t>https://www.myntra.com/tshirts/wrogn/wrogn-men-mustard-yellow--green-colourblocked-slim-fit-round-neck-pure-cotton-t-shirt/11364038/buy</t>
  </si>
  <si>
    <t>wrogn men mustard yellow  green colourblocked slim fit round neck pure cotton t shirt</t>
  </si>
  <si>
    <t>https://www.myntra.com/tshirts/maniac/maniac-men-yellow--navy-striped-round-neck-pure-cotton-t-shirt/9200809/buy</t>
  </si>
  <si>
    <t>maniac men yellow  navy striped round neck pure cotton t shirt</t>
  </si>
  <si>
    <t>https://www.myntra.com/kurtas/herenow/herenow-women-solid-green-pintuck-pleated-straight-kurta/14430996/buy</t>
  </si>
  <si>
    <t>herenow women solid green pintuck pleated straight kurta</t>
  </si>
  <si>
    <t>https://www.myntra.com/kurta-sets/sangria/sangria-women-bown-zari-embroidered-flared-kurta-pant-dupatta-set/12104668/buy</t>
  </si>
  <si>
    <t>sangria women bown zari embroidered flared kurta pant dupatta set</t>
  </si>
  <si>
    <t>https://www.myntra.com/bra/zivame/zivame-beige-solid-non-wired-non-padded-everyday-bra-zi1880/11505988/buy</t>
  </si>
  <si>
    <t>zivame beige solid non wired non padded everyday bra zi1880</t>
  </si>
  <si>
    <t>32DD, 32E, 34DD, 34F, 36DD, 36E, 36F, 38DD, 38E, 38F, 40C, 40D, 40DD, 40E, 42C, 42D, 42DD, 44DD</t>
  </si>
  <si>
    <t>https://www.myntra.com/tops/harpa/harpa-navy-blue-polka-dots-printed-top/13532790/buy</t>
  </si>
  <si>
    <t>harpa navy blue polka dots printed top</t>
  </si>
  <si>
    <t>https://www.myntra.com/shirts/highlander/highlander-men-blue-slim-fit-solid-casual-shirt/6491770/buy</t>
  </si>
  <si>
    <t>https://www.myntra.com/shirts/highlander/highlander-men-blue--white-slim-fit-checked-roll-up-sleeves-casual-shirt/8651931/buy</t>
  </si>
  <si>
    <t>highlander men blue  white slim fit checked roll up sleeves casual shirt</t>
  </si>
  <si>
    <t>https://www.myntra.com/shirts/roadster/roadster-men-grey-printed-pure-cotton-sustainable-casual-shirt/11326176/buy</t>
  </si>
  <si>
    <t>https://www.myntra.com/shirts/herenow/herenow-men-navy-blue--green-slim-fit-printed-casual-shirt/11158214/buy</t>
  </si>
  <si>
    <t>herenow men navy blue  green slim fit printed casual shirt</t>
  </si>
  <si>
    <t>https://www.myntra.com/sweatshirts/kook-n-keech/kook-n-keech-men-black-solid-hooded-sweatshirt/6838451/buy</t>
  </si>
  <si>
    <t>kook n keech men black solid hooded sweatshirt</t>
  </si>
  <si>
    <t>https://www.myntra.com/shirts/roadster/roadster-men-blue-sustainable-denim-shirt/12164228/buy</t>
  </si>
  <si>
    <t>roadster men blue sustainable denim shirt</t>
  </si>
  <si>
    <t>https://www.myntra.com/tshirts/roadster/roadster-men-teal-blue--black-printed-round-neck-pure-cotton-t-shirt/12003924/buy</t>
  </si>
  <si>
    <t>roadster men teal blue  black printed round neck pure cotton t shirt</t>
  </si>
  <si>
    <t>https://www.myntra.com/nightdress/etc/etc-mustard-yellow--black-checked-nightdress/12442112/buy</t>
  </si>
  <si>
    <t>etc mustard yellow  black checked nightdress</t>
  </si>
  <si>
    <t>https://www.myntra.com/bra/prettycat/prettycat-white-lace-non-wired-lightly-padded-bandeau-bra/2525386/buy</t>
  </si>
  <si>
    <t>prettycat white lace non wired lightly padded bandeau bra</t>
  </si>
  <si>
    <t>https://www.myntra.com/sweatshirts/hrx-by-hrithik-roshan/hrx-by-hrithik-roshan-women-black-solid-running-sweatshirt/9965779/buy</t>
  </si>
  <si>
    <t>hrx by hrithik roshan women black solid running sweatshirt</t>
  </si>
  <si>
    <t>https://www.myntra.com/dresses/berrylush/berrylush-black--white-floral-print-fit-and-flare-dress/12388862/buy</t>
  </si>
  <si>
    <t>berrylush black  white floral print fit and flare dress</t>
  </si>
  <si>
    <t>https://www.myntra.com/jeans/tokyo-talkies/tokyo-talkies-women-black-regular-fit-high-rise-clean-look-stretchable-jeans/13100548/buy</t>
  </si>
  <si>
    <t>tokyo talkies women black regular fit high rise clean look stretchable jeans</t>
  </si>
  <si>
    <t>https://www.myntra.com/dungarees/zastraa/zastraa-women-green-solid-dungaree/10606450/buy</t>
  </si>
  <si>
    <t>zastraa women green solid dungaree</t>
  </si>
  <si>
    <t>https://www.myntra.com/trousers/roadster/roadster-time-travlr-men-beige-slim-fit-solid-chinos/2290963/buy</t>
  </si>
  <si>
    <t>roadster time travlr men beige slim fit solid chinos</t>
  </si>
  <si>
    <t>https://www.myntra.com/jeans/roadster/the-roadster-lifestyle-co-men-blue-skinny-fit-mid-rise-clean-look-stretchable-jeans/8962375/buy</t>
  </si>
  <si>
    <t>https://www.myntra.com/tshirts/wrogn/wrogn-men-teal-blue-printed-round-neck-t-shirt/2001982/buy</t>
  </si>
  <si>
    <t>wrogn men teal blue printed round neck t shirt</t>
  </si>
  <si>
    <t>https://www.myntra.com/shirts/highlander/highlander-men-maroon--white-slim-fit-checked-roll-up-sleeves-casual-shirt/8651929/buy</t>
  </si>
  <si>
    <t>highlander men maroon  white slim fit checked roll up sleeves casual shirt</t>
  </si>
  <si>
    <t>https://www.myntra.com/tshirts/kook-n-keech-marvel/kook-n-keech-marvel-men-black-printed-round-neck-t-shirt/2388043/buy</t>
  </si>
  <si>
    <t>kook n keech marvel men black printed round neck t shirt</t>
  </si>
  <si>
    <t>https://www.myntra.com/palazzos/vishudh/vishudh-women-coral--orange-printed-flared-palazzos/10074637/buy</t>
  </si>
  <si>
    <t>vishudh women coral  orange printed flared palazzos</t>
  </si>
  <si>
    <t>https://www.myntra.com/lounge-pants/etc/etc-women-teal-blue--mustard-yellow-printed-lounge-pants/14059924/buy</t>
  </si>
  <si>
    <t>etc women teal blue  mustard yellow printed lounge pants</t>
  </si>
  <si>
    <t>https://www.myntra.com/tshirts/mast--harbour/mast--harbour-women-pack-of-2-pure-cotton-tshirts/17523498/buy</t>
  </si>
  <si>
    <t>https://www.myntra.com/skirts/sassafras/sassafras-navy-blue-accordian-pleated-satin-finish-flared-maxi-skirt/10861474/buy</t>
  </si>
  <si>
    <t>sassafras navy blue accordian pleated satin finish flared maxi skirt</t>
  </si>
  <si>
    <t>https://www.myntra.com/jeans/locomotive/locomotive-men-navy-blue-slim-fit-mid-rise-clean-look-stretchable-jeans/8168953/buy</t>
  </si>
  <si>
    <t>locomotive men navy blue slim fit mid rise clean look stretchable jeans</t>
  </si>
  <si>
    <t>https://www.myntra.com/tshirts/hrx-by-hrithik-roshan/hrx-by-hrithik-roshan-men-black--rust-brown-graphic-print-crew-neck-pure-cotton-t-shirt/8898205/buy</t>
  </si>
  <si>
    <t>hrx by hrithik roshan men black  rust brown graphic print crew neck pure cotton t shirt</t>
  </si>
  <si>
    <t>https://www.myntra.com/sweaters/roadster/roadster-men-mustard-yellow--black-striped-pullover/5415497/buy</t>
  </si>
  <si>
    <t>roadster men mustard yellow  black striped pullover</t>
  </si>
  <si>
    <t>https://www.myntra.com/tshirts/bushirt/bushirt-men-set-of-2-solid-round-neck-pure-cotton-t-shirt/10669530/buy</t>
  </si>
  <si>
    <t>bushirt men set of 2 solid round neck pure cotton t shirt</t>
  </si>
  <si>
    <t>https://www.myntra.com/sarees/inddus/inddus-purple-solid-silk-blend-saree/10382467/buy</t>
  </si>
  <si>
    <t>https://www.myntra.com/night-suits/anubhutee/anubhutee-women-white--blue-pure-cotton-printed-night-suit/13021516/buy</t>
  </si>
  <si>
    <t>anubhutee women white  blue pure cotton printed night suit</t>
  </si>
  <si>
    <t>https://www.myntra.com/track-pants/pluss/pluss-women-white--purple-dyed-joggers/12831978/buy</t>
  </si>
  <si>
    <t>pluss women white  purple dyed joggers</t>
  </si>
  <si>
    <t>https://www.myntra.com/tops/berrylush/berrylush-women-mustard-yellow--white-floral-printed-top/12375550/buy</t>
  </si>
  <si>
    <t>berrylush women mustard yellow  white floral printed top</t>
  </si>
  <si>
    <t>https://www.myntra.com/dresses/athena/athena-women-burgundy-floral-print-puff-sleeves-fit--flare-dress/15300950/buy</t>
  </si>
  <si>
    <t>athena women burgundy floral print puff sleeves fit  flare dress</t>
  </si>
  <si>
    <t>https://www.myntra.com/tshirts/roadster/roadster-women-pink-solid-polo-collar-pure-cotton-t-shirt/10969984/buy</t>
  </si>
  <si>
    <t>roadster women pink solid polo collar pure cotton t shirt</t>
  </si>
  <si>
    <t>https://www.myntra.com/jeans/highlander/highlander-men-blue-slim-fit-mid-rise-clean-look-stretchable-crop-jeans/11093692/buy</t>
  </si>
  <si>
    <t>highlander men blue slim fit mid rise clean look stretchable crop jeans</t>
  </si>
  <si>
    <t>https://www.myntra.com/kurtas/sojanya/sojanya-men-mustard-yellow-dobby-self-checked-straight-kurta/11422530/buy</t>
  </si>
  <si>
    <t>sojanya men mustard yellow dobby self checked straight kurta</t>
  </si>
  <si>
    <t>https://www.myntra.com/kurta-sets/vishudh/vishudh-women-navy-blue--off-white-striped-kurta-with-palazzos/10913804/buy</t>
  </si>
  <si>
    <t>vishudh women navy blue  off white striped kurta with palazzos</t>
  </si>
  <si>
    <t>https://www.myntra.com/night-suits/anubhutee/anubhutee-women-orange--white-pure-cotton-printed-night-suit/13021500/buy</t>
  </si>
  <si>
    <t>anubhutee women orange  white pure cotton printed night suit</t>
  </si>
  <si>
    <t>https://www.myntra.com/briefs/jockey/jockey-women-pack-of-3-assorted-bikini-briefs-1410-0310-lastd/13975632/buy</t>
  </si>
  <si>
    <t>jockey women pack of 3 assorted bikini briefs 1410 0310 lastd</t>
  </si>
  <si>
    <t>https://www.myntra.com/tops/rare/rare-women-maroon-striped-top/6552995/buy</t>
  </si>
  <si>
    <t>https://www.myntra.com/jeans/roadster/the-roadster-lifestyle-co-women-blue-skinny-fit-mid-rise-clean-look-stretchable-jeans/11017848/buy</t>
  </si>
  <si>
    <t>the roadster lifestyle co women blue skinny fit mid rise clean look stretchable jeans</t>
  </si>
  <si>
    <t>https://www.myntra.com/tops/her-by-invictus/her-by-invictus-women-white--blue-striped-top-with-back-button-placket/11052604/buy</t>
  </si>
  <si>
    <t>her by invictus women white  blue striped top with back button placket</t>
  </si>
  <si>
    <t>https://www.myntra.com/jeans/roadster/the-roadster-lifestyle-co-men-grey-skinny-fit-clean-look-acid-wash-stretchable-jeans/10064559/buy</t>
  </si>
  <si>
    <t>the roadster lifestyle co men grey skinny fit clean look acid wash stretchable jeans</t>
  </si>
  <si>
    <t>https://www.myntra.com/jeans/highlander/highlander-men-blue-tapered-fit-mid-rise-clean-look-stretchable-jeans/12837722/buy</t>
  </si>
  <si>
    <t>https://www.myntra.com/tshirts/puma/puma-men-red--black-colourblocked-slim-fit-rcb-take-down-jersey-v-neck-t-shirt/13971574/buy</t>
  </si>
  <si>
    <t>Puma</t>
  </si>
  <si>
    <t>puma men red  black colourblocked slim fit rcb take down jersey v neck t shirt</t>
  </si>
  <si>
    <t>https://www.myntra.com/tshirts/wrogn/wrogn-men-blue--white-slim-fit-striped-round-neck-pure-cotton-t-shirt/11364058/buy</t>
  </si>
  <si>
    <t>wrogn men blue  white slim fit striped round neck pure cotton t shirt</t>
  </si>
  <si>
    <t>https://www.myntra.com/shirts/roadster/roadster-men-maroon--navy-blue-regular-fit-checked-sustainable-casual-shirt/7134489/buy</t>
  </si>
  <si>
    <t>https://www.myntra.com/tshirts/roadster/roadster-men-white-solid-round-neck-t-shirt/11632496/buy</t>
  </si>
  <si>
    <t>roadster men white solid round neck t shirt</t>
  </si>
  <si>
    <t>https://www.myntra.com/track-pants/hrx-by-hrithik-roshan/hrx-by-hrithik-roshan-women-black-solid-slim-fit-joggers/10389835/buy</t>
  </si>
  <si>
    <t>hrx by hrithik roshan women black solid slim fit joggers</t>
  </si>
  <si>
    <t>https://www.myntra.com/tops/roadster/the-roadster-lifestyle-co-black--white-checked-pure-cotton-shirt-style-pure-cotton-top/10962118/buy</t>
  </si>
  <si>
    <t>the roadster lifestyle co black  white checked pure cotton shirt style pure cotton top</t>
  </si>
  <si>
    <t>https://www.myntra.com/jeans/chemistry/chemistry-women-black-flared-high-rise-clean-look-stretchable-cropped-jeans/8317535/buy</t>
  </si>
  <si>
    <t>chemistry women black flared high rise clean look stretchable cropped jeans</t>
  </si>
  <si>
    <t>https://www.myntra.com/tops/roadster/the-roadster-lifestyle-co-burgundy--ribbed-contrast-top/10964492/buy</t>
  </si>
  <si>
    <t>the roadster lifestyle co burgundy  ribbed contrast top</t>
  </si>
  <si>
    <t>https://www.myntra.com/tshirts/roadster/roadster-women-purple-solid-round-neck-t-shirt/11396698/buy</t>
  </si>
  <si>
    <t>roadster women purple solid round neck t shirt</t>
  </si>
  <si>
    <t>https://www.myntra.com/kurtas/sojanya/sojanya-men-blue-dobby-self-checked-straight-kurta/11422660/buy</t>
  </si>
  <si>
    <t>sojanya men blue dobby self checked straight kurta</t>
  </si>
  <si>
    <t>https://www.myntra.com/boxers/levis/levis-men-pack-of-2-pure-cotton-checked-boxers/18028758/buy</t>
  </si>
  <si>
    <t>https://www.myntra.com/shirts/wrogn/wrogn-men-navy-blue--green-slim-fit-checked-casual-shirt/2478228/buy</t>
  </si>
  <si>
    <t>https://www.myntra.com/kurtas/herenow/herenow-women-red-solid-pathani-kurta/12524798/buy</t>
  </si>
  <si>
    <t>herenow women red solid pathani kurta</t>
  </si>
  <si>
    <t>https://www.myntra.com/skirts/studio-shringaar/studio-shringaar-mustard-yellow--pink-floral-print-lehenga-skirt/13983880/buy</t>
  </si>
  <si>
    <t>Studio Shringaar</t>
  </si>
  <si>
    <t>studio shringaar mustard yellow  pink floral print lehenga skirt</t>
  </si>
  <si>
    <t>Rs. 2751 OFF</t>
  </si>
  <si>
    <t>https://www.myntra.com/baby-dolls/phwoar/phwoar-black-self-design-baby-doll-mb-1001/12187658/buy</t>
  </si>
  <si>
    <t>PHWOAR</t>
  </si>
  <si>
    <t>baby-dolls</t>
  </si>
  <si>
    <t>phwoar black self design baby doll mb 1001</t>
  </si>
  <si>
    <t>https://www.myntra.com/jeans/wrogn/wrogn-men-black--slim-fit-mid-rise-clean-look-jeans/11358928/buy</t>
  </si>
  <si>
    <t>wrogn men black  slim fit mid rise clean look jeans</t>
  </si>
  <si>
    <t>https://www.myntra.com/shirts/highlander/highlander-men-navy-blue--white-slim-fit-striped-casual-shirt/12005968/buy</t>
  </si>
  <si>
    <t>https://www.myntra.com/shirts/locomotive/locomotive-men-olive-green-slim-fit-printed-casual-shirt/12299296/buy</t>
  </si>
  <si>
    <t>locomotive men olive green slim fit printed casual shirt</t>
  </si>
  <si>
    <t>https://www.myntra.com/shirts/highlander/highlander-men-navy--red-slim-fit-checked-casual-shirt/1703189/buy</t>
  </si>
  <si>
    <t>https://www.myntra.com/dresses/sassafras/sassafras-women-navy-blue-solid-a-line-dress/10691350/buy</t>
  </si>
  <si>
    <t>sassafras women navy blue solid a line dress</t>
  </si>
  <si>
    <t>https://www.myntra.com/briefs/dollar-missy/dollar-missy-womens-pack-of-12-assorted-hipster-briefs-101p-oe-po12/8025487/buy</t>
  </si>
  <si>
    <t>dollar missy womens pack of 12 assorted hipster briefs 101p oe po12</t>
  </si>
  <si>
    <t>https://www.myntra.com/tshirts/roadster/roadster-women-pack-of-2-pure-cotton-t-shirts/17381490/buy</t>
  </si>
  <si>
    <t>https://www.myntra.com/shirts/tokyo-talkies/tokyo-talkies-women-red--black-regular-fit-checked-casual-shirt/10380855/buy</t>
  </si>
  <si>
    <t>tokyo talkies women red  black regular fit checked casual shirt</t>
  </si>
  <si>
    <t>https://www.myntra.com/dresses/aasi---house-of-nayo/aasi---house-of-nayo-women-blue--orange-printed-maxi-dress/11080656/buy</t>
  </si>
  <si>
    <t>AASI - HOUSE OF NAYO</t>
  </si>
  <si>
    <t>aasi   house of nayo women blue  orange printed maxi dress</t>
  </si>
  <si>
    <t>https://www.myntra.com/tshirts/mast--harbour/mast--harbour-women-pack-of-2-cotton-t-shirts/17524642/buy</t>
  </si>
  <si>
    <t>https://www.myntra.com/tops/her-by-invictus/her-by-invictus-women-cream-coloured--red-printed-shirt-style-top/11735662/buy</t>
  </si>
  <si>
    <t>her by invictus women cream coloured  red printed shirt style top</t>
  </si>
  <si>
    <t>https://www.myntra.com/tshirts/roadster/roadster-women-black-solid-round-neck-t-shirt/11296054/buy</t>
  </si>
  <si>
    <t>https://www.myntra.com/trousers/highlander/highlander-men-green-tapered-fit-solid-chinos/13275682/buy</t>
  </si>
  <si>
    <t>https://www.myntra.com/kurtas/taavi/taavi-men-black-kalamkari-block-printed-straight-sustainable-kurta-with-roll-up-sleeves/10184937/buy</t>
  </si>
  <si>
    <t>taavi men black kalamkari block printed straight sustainable kurta with roll up sleeves</t>
  </si>
  <si>
    <t>https://www.myntra.com/jackets/solognac-by-decathlon/solognac-by-decathlon-men-olive-green-solid-lightweight-tailored-jacket/13036472/buy</t>
  </si>
  <si>
    <t>SOLOGNAC By Decathlon</t>
  </si>
  <si>
    <t>solognac by decathlon men olive green solid lightweight tailored jacket</t>
  </si>
  <si>
    <t>https://www.myntra.com/shirts/roadster/roadster-men-olive-green--black-checked-pure-cotton-sustainable-casual-shirt/9951409/buy</t>
  </si>
  <si>
    <t>roadster men olive green  black checked pure cotton sustainable casual shirt</t>
  </si>
  <si>
    <t>https://www.myntra.com/shirts/roadster/roadster-men-burgundy--black-checked-pure-cotton-casual-sustainable-shirt/11327084/buy</t>
  </si>
  <si>
    <t>roadster men burgundy  black checked pure cotton casual sustainable shirt</t>
  </si>
  <si>
    <t>https://www.myntra.com/shirts/herenow/herenow-men-grey--pink-slim-fit-printed-casual-shirt/12664470/buy</t>
  </si>
  <si>
    <t>herenow men grey  pink slim fit printed casual shirt</t>
  </si>
  <si>
    <t>https://www.myntra.com/tshirts/hm/hm-men-blue-round-neck-pure-cotton-t-shirt-regular-fit/13504004/buy</t>
  </si>
  <si>
    <t>hm men blue round neck pure cotton t shirt regular fit</t>
  </si>
  <si>
    <t>https://www.myntra.com/tshirts/roadster/roadster-men-teal-blue-drop-shoulder-pure-cotton-t-shirt/2215268/buy</t>
  </si>
  <si>
    <t>roadster men teal blue drop shoulder pure cotton t shirt</t>
  </si>
  <si>
    <t>https://www.myntra.com/kurta-sets/anouk/anouk-women-blue-yoke-design-pure-cotton-kurta-with-trousers/13237958/buy</t>
  </si>
  <si>
    <t>anouk women blue yoke design pure cotton kurta with trousers</t>
  </si>
  <si>
    <t>https://www.myntra.com/palazzos/tag-7/tag-7-women-pack-of-2-black--maroon-solid-flared-palazzos/11169382/buy</t>
  </si>
  <si>
    <t>tag 7 women pack of 2 black  maroon solid flared palazzos</t>
  </si>
  <si>
    <t>https://www.myntra.com/kurta-sets/anaisa/anaisa-women-white-embroidered-kurta-with-trousers/14054966/buy</t>
  </si>
  <si>
    <t>ANAISA</t>
  </si>
  <si>
    <t>anaisa women white embroidered kurta with trousers</t>
  </si>
  <si>
    <t>https://www.myntra.com/nightdress/etc/etc-sea-green--blue-printed-nightdress/12442032/buy</t>
  </si>
  <si>
    <t>etc sea green  blue printed nightdress</t>
  </si>
  <si>
    <t>https://www.myntra.com/sweatshirts/roadster/the-roadster-lifestyle-co-women-orange-solid-hooded-sweatshirt/9902035/buy</t>
  </si>
  <si>
    <t>https://www.myntra.com/trousers/rare/rare-women-mustard-yellow-original-parallel-trousers/6705743/buy</t>
  </si>
  <si>
    <t>rare women mustard yellow original parallel trousers</t>
  </si>
  <si>
    <t>https://www.myntra.com/tops/sassafras/sassafras-women-peach-coloured-solid-cropped-twisted-knot-top/12221966/buy</t>
  </si>
  <si>
    <t>sassafras women peach coloured solid cropped twisted knot top</t>
  </si>
  <si>
    <t>https://www.myntra.com/trunk/jockey/jockey-men-charcoal-grey--white-striped-trunks-ny02-0105-nyc09/10906412/buy</t>
  </si>
  <si>
    <t>jockey men charcoal grey  white striped trunks ny02 0105 nyc09</t>
  </si>
  <si>
    <t>https://www.myntra.com/trunk/jockey/jockey-men-pack-of-2-charcoal-grey--white-striped-trunks/11638988/buy</t>
  </si>
  <si>
    <t>jockey men pack of 2 charcoal grey  white striped trunks</t>
  </si>
  <si>
    <t>https://www.myntra.com/sweatshirts/hrx-by-hrithik-roshan/hrx-by-hrithik-roshan-men-black-solid-rapid-dry-sweatshirt/9445841/buy</t>
  </si>
  <si>
    <t>hrx by hrithik roshan men black solid rapid dry sweatshirt</t>
  </si>
  <si>
    <t>https://www.myntra.com/tshirts/wrogn/wrogn-men-navy-blue-printed-slim-fit-round-neck-pure-cotton-t-shirt/2338997/buy</t>
  </si>
  <si>
    <t>wrogn men navy blue printed slim fit round neck pure cotton t shirt</t>
  </si>
  <si>
    <t>https://www.myntra.com/dresses/sangria/sangria-women-navy-blue--off-white-block-print-a-line-dress/11174498/buy</t>
  </si>
  <si>
    <t>sangria women navy blue  off white block print a line dress</t>
  </si>
  <si>
    <t>https://www.myntra.com/dresses/pluss/pluss-black-cotton-a-line-dress-with-belt/12916578/buy</t>
  </si>
  <si>
    <t>pluss black cotton a line dress with belt</t>
  </si>
  <si>
    <t>https://www.myntra.com/tops/20dresses/20dresses-women-green--rust-orange-floral-print-wrap-top/11844134/buy</t>
  </si>
  <si>
    <t>20Dresses</t>
  </si>
  <si>
    <t>20dresses women green  rust orange floral print wrap top</t>
  </si>
  <si>
    <t>https://www.myntra.com/tops/athena/athena-black-wrap-top-with-puffed-sleeves/12031404/buy</t>
  </si>
  <si>
    <t>athena black wrap top with puffed sleeves</t>
  </si>
  <si>
    <t>https://www.myntra.com/jeggings/roadster/roadster-women-navy-blue-solid-mid-rise-super-skinny-fit-cropped-jeggings/11489624/buy</t>
  </si>
  <si>
    <t>roadster women navy blue solid mid rise super skinny fit cropped jeggings</t>
  </si>
  <si>
    <t>https://www.myntra.com/tshirts/dressberry/dressberry-women-pack-of-2-t-shirts/17477814/buy</t>
  </si>
  <si>
    <t>dressberry women pack of 2 t shirts</t>
  </si>
  <si>
    <t>https://www.myntra.com/jeans/tokyo-talkies/tokyo-talkies-women-blue-slim-fit-high-rise-clean-look-stretchable-jeans/12261676/buy</t>
  </si>
  <si>
    <t>tokyo talkies women blue slim fit high rise clean look stretchable jeans</t>
  </si>
  <si>
    <t>https://www.myntra.com/shorts/wisstler/wisstler-women-black-printed-regular-fit-regular-shorts/9621443/buy</t>
  </si>
  <si>
    <t>https://www.myntra.com/shirts/roadster/roadster-men-teal-blue-regular-fit-solid-sustainable-casual-shirt/11903970/buy</t>
  </si>
  <si>
    <t>https://www.myntra.com/shirts/herenow/herenow-men-blue--white-slim-fit-striped-casual-shirt/11758158/buy</t>
  </si>
  <si>
    <t>herenow men blue  white slim fit striped casual shirt</t>
  </si>
  <si>
    <t>https://www.myntra.com/tshirts/wrogn/wrogn-men-maroon-printed-t-shirt/2338889/buy</t>
  </si>
  <si>
    <t>https://www.myntra.com/tshirts/wrogn/wrogn-men-black-printed-slim-fit-round-neck-t-shirt/2339240/buy</t>
  </si>
  <si>
    <t>wrogn men black printed slim fit round neck t shirt</t>
  </si>
  <si>
    <t>https://www.myntra.com/kurtas/ziyaa/ziyaa-women-navy-blue--red-printed-straight-kurta/12705418/buy</t>
  </si>
  <si>
    <t>ziyaa women navy blue  red printed straight kurta</t>
  </si>
  <si>
    <t>https://www.myntra.com/dresses/sangria/sangria-orange--yellow-self-design-a-line-dress/10561370/buy</t>
  </si>
  <si>
    <t>sangria orange  yellow self design a line dress</t>
  </si>
  <si>
    <t>https://www.myntra.com/kurta-sets/yufta/yufta-women-pink--golden-printed-kurta-with-palazzos/9719075/buy</t>
  </si>
  <si>
    <t>yufta women pink  golden printed kurta with palazzos</t>
  </si>
  <si>
    <t>https://www.myntra.com/dresses/tokyo-talkies/tokyo-talkies-black-one-shoulder-maxi-dress/12789914/buy</t>
  </si>
  <si>
    <t>tokyo talkies black one shoulder maxi dress</t>
  </si>
  <si>
    <t>https://www.myntra.com/dresses/quiero/quiero-women-navy-blue--grey-floral-print-maxi-dress/8856721/buy</t>
  </si>
  <si>
    <t>quiero women navy blue  grey floral print maxi dress</t>
  </si>
  <si>
    <t>https://www.myntra.com/tshirts/roadster/the-roadster-lifestyle-co-women-black-solid-round-neck-pure-cotton-t-shirt/10778632/buy</t>
  </si>
  <si>
    <t>https://www.myntra.com/shorts/maniac/maniac-men-black-solid-slim-fit-regular-shorts/11399196/buy</t>
  </si>
  <si>
    <t>maniac men black solid slim fit regular shorts</t>
  </si>
  <si>
    <t>https://www.myntra.com/jeans/locomotive/locomotive-men-blue-slim-fit-mid-rise-clean-look-stretchable-jeans/8064673/buy</t>
  </si>
  <si>
    <t>locomotive men blue slim fit mid rise clean look stretchable jeans</t>
  </si>
  <si>
    <t>https://www.myntra.com/jeans/roadster/roadster-men-blue-skinny-fit-mid-rise-mildly-distressed-stretchable-jeans/8962415/buy</t>
  </si>
  <si>
    <t>https://www.myntra.com/trousers/highlander/highlander-men-navy-blue-slim-fit-checked-regular-trousers/10863412/buy</t>
  </si>
  <si>
    <t>highlander men navy blue slim fit checked regular trousers</t>
  </si>
  <si>
    <t>https://www.myntra.com/trunk/jockey/jockey-international-collection-men-charcoal-grey-solid-trunks-ic28/11444368/buy</t>
  </si>
  <si>
    <t>jockey international collection men charcoal grey solid trunks ic28</t>
  </si>
  <si>
    <t>https://www.myntra.com/jackets/quechua-by-decathlon/quechua-by-decathlon-men-grey-solid-insulator-sporty-jacket/12941962/buy</t>
  </si>
  <si>
    <t>quechua by decathlon men grey solid insulator sporty jacket</t>
  </si>
  <si>
    <t>4% OFF</t>
  </si>
  <si>
    <t>https://www.myntra.com/tshirts/hrx-by-hrithik-roshan/hrx-by-hrithik-roshan-men-navy-printed-bio-wash-yoga-tshirt/11999462/buy</t>
  </si>
  <si>
    <t>hrx by hrithik roshan men navy printed bio wash yoga tshirt</t>
  </si>
  <si>
    <t>https://www.myntra.com/shirts/highlander/highlander-men-black--white-slim-fit-striped-casual-shirt/8237315/buy</t>
  </si>
  <si>
    <t>https://www.myntra.com/tshirts/roadster/roadster-charcoal--red-polo-t-shirt/867504/buy</t>
  </si>
  <si>
    <t>roadster charcoal  red polo t shirt</t>
  </si>
  <si>
    <t>https://www.myntra.com/tshirts/wrogn/wrogn-men-burgundy-solid-polo-pure-cotton-t-shirt/1729511/buy</t>
  </si>
  <si>
    <t>wrogn men burgundy solid polo pure cotton t shirt</t>
  </si>
  <si>
    <t>https://www.myntra.com/palazzos/vishudh/vishudh-women-navy-blue--white-checked-straight-palazzo/13081826/buy</t>
  </si>
  <si>
    <t>vishudh women navy blue  white checked straight palazzo</t>
  </si>
  <si>
    <t>https://www.myntra.com/bra/zivame/zivame-blue-solid-underwired-lightly-padded-t-shirt-bra-zi1740fashablue/9408677/buy</t>
  </si>
  <si>
    <t>zivame blue solid underwired lightly padded t shirt bra zi1740fashablue</t>
  </si>
  <si>
    <t>https://www.myntra.com/kurtas/herenow/herenow-women-fuchsia-self-striped-pure-cotton-straight-kurta/13404414/buy</t>
  </si>
  <si>
    <t>herenow women fuchsia self striped pure cotton straight kurta</t>
  </si>
  <si>
    <t>https://www.myntra.com/dresses/pluss/pluss-women-pink-printed-fit-and-flare-dress/9295343/buy</t>
  </si>
  <si>
    <t>pluss women pink printed fit and flare dress</t>
  </si>
  <si>
    <t>https://www.myntra.com/dresses/vishudh/vishudh-women-lime-green-embroidered-maxi-dress/13246066/buy</t>
  </si>
  <si>
    <t>vishudh women lime green embroidered maxi dress</t>
  </si>
  <si>
    <t>https://www.myntra.com/jeans/roadster/roadster-women-navy-blue-bootcut-high-rise-clean-look-stretchable-jeans/11531670/buy</t>
  </si>
  <si>
    <t>roadster women navy blue bootcut high rise clean look stretchable jeans</t>
  </si>
  <si>
    <t>https://www.myntra.com/dresses/vishudh/vishudh-women-grey--red-floral-printed-maxi-dress/10399335/buy</t>
  </si>
  <si>
    <t>vishudh women grey  red floral printed maxi dress</t>
  </si>
  <si>
    <t>https://www.myntra.com/leggings/rangmanch-by-pantaloons/rangmanch-by-pantaloons-women-red-solid-slim-fit-leggings/8473957/buy</t>
  </si>
  <si>
    <t>rangmanch by pantaloons women red solid slim fit leggings</t>
  </si>
  <si>
    <t>https://www.myntra.com/jeans/roadster/roadster-men-blue-slim-fit-mid-rise-clean-look-stretchable-jeans/10092101/buy</t>
  </si>
  <si>
    <t>https://www.myntra.com/sweatshirts/hrx-by-hrithik-roshan/hrx-by-hrithik-roshan-men-olive-green-training-rapid-dry-solid-sweatshirt/9445473/buy</t>
  </si>
  <si>
    <t>hrx by hrithik roshan men olive green training rapid dry solid sweatshirt</t>
  </si>
  <si>
    <t>https://www.myntra.com/shirts/highlander/highlander-men-navy-blue--red-slim-fit-checked-casual-shirt/10004133/buy</t>
  </si>
  <si>
    <t>highlander men navy blue  red slim fit checked casual shirt</t>
  </si>
  <si>
    <t>https://www.myntra.com/shirts/wrogn/wrogn-men-blue--white-slim-fit-printed-casual-shirt/11361168/buy</t>
  </si>
  <si>
    <t>wrogn men blue  white slim fit printed casual shirt</t>
  </si>
  <si>
    <t>https://www.myntra.com/tshirts/roadster/roadster-men-teal-solid-v-neck-pure-cotton-t-shirt/6149141/buy</t>
  </si>
  <si>
    <t>roadster men teal solid v neck pure cotton t shirt</t>
  </si>
  <si>
    <t>https://www.myntra.com/lounge-pants/etc/etc-women-pink--white-floral-print-lounge-pants/13175858/buy</t>
  </si>
  <si>
    <t>etc women pink  white floral print lounge pants</t>
  </si>
  <si>
    <t>https://www.myntra.com/bath-robe/elevanto/elevanto-women-pink-solid-bath-robe/11938886/buy</t>
  </si>
  <si>
    <t>elevanto women pink solid bath robe</t>
  </si>
  <si>
    <t>https://www.myntra.com/dresses/sangria/sangria-maroon--white-striped-a-line-dress/10561478/buy</t>
  </si>
  <si>
    <t>sangria maroon  white striped a line dress</t>
  </si>
  <si>
    <t>https://www.myntra.com/tshirts/mast--harbour/mast--harbour-women-pack-of-2-cotton-t-shirts/17524668/buy</t>
  </si>
  <si>
    <t>https://www.myntra.com/trousers/vishudh/vishudh-women-navy-blue--off-white-regular-fit-striped-regular-trousers/12822674/buy</t>
  </si>
  <si>
    <t>vishudh women navy blue  off white regular fit striped regular trousers</t>
  </si>
  <si>
    <t>https://www.myntra.com/jeans/roadster/roadster-men-blue-skinny-fit-mid-rise-clean-look-stretchable-lycra-fiber-jeans/10764170/buy</t>
  </si>
  <si>
    <t>roadster men blue skinny fit mid rise clean look stretchable lycra fiber jeans</t>
  </si>
  <si>
    <t>https://www.myntra.com/trousers/highlander/highlander-men-khaki-tapered-fit-solid-regular-trousers/5387867/buy</t>
  </si>
  <si>
    <t>highlander men khaki tapered fit solid regular trousers</t>
  </si>
  <si>
    <t>https://www.myntra.com/shorts/highlander/highlander-men-black-checked-slim-fit-regular-shorts/10285699/buy</t>
  </si>
  <si>
    <t>highlander men black checked slim fit regular shorts</t>
  </si>
  <si>
    <t>https://www.myntra.com/briefs/jockey/jockey-zone-men-pack-of-2-navy-blue-bold-briefs-us14-0205/11036310/buy</t>
  </si>
  <si>
    <t>jockey zone men pack of 2 navy blue bold briefs us14 0205</t>
  </si>
  <si>
    <t>https://www.myntra.com/briefs/jockey/jockey-men-pack-of-4-navy-blue-solid-briefs-us14-0205/11639112/buy</t>
  </si>
  <si>
    <t>jockey men pack of 4 navy blue solid briefs us14 0205</t>
  </si>
  <si>
    <t>https://www.myntra.com/shirts/highlander/highlander-men-olive-green-slim-fit-printed-casual-shirt/13938102/buy</t>
  </si>
  <si>
    <t>https://www.myntra.com/kurtas/see-designs/see-designs-men-green--white-printed-pure-cotton-straight-kurta/13488726/buy</t>
  </si>
  <si>
    <t>see designs men green  white printed pure cotton straight kurta</t>
  </si>
  <si>
    <t>https://www.myntra.com/kurta-sets/ahika/ahika-women-burgundy-floral-printed-kurta-with-trousers--with-dupatta/16600952/buy</t>
  </si>
  <si>
    <t>ahika women burgundy floral printed kurta with trousers  with dupatta</t>
  </si>
  <si>
    <t>https://www.myntra.com/kurtas/herenow/herenow-women-red--beige-printed-a-line-kurta/12530346/buy</t>
  </si>
  <si>
    <t>herenow women red  beige printed a line kurta</t>
  </si>
  <si>
    <t>https://www.myntra.com/kurtas/jaipur-kurti/jaipur-kurti-women-red--golden-printed-straight-kurta/7106902/buy</t>
  </si>
  <si>
    <t>jaipur kurti women red  golden printed straight kurta</t>
  </si>
  <si>
    <t>https://www.myntra.com/kurtas/jaipur-kurti/jaipur-kurti-women-green-self-striped-a-line-kurta/2447589/buy</t>
  </si>
  <si>
    <t>jaipur kurti women green self striped a line kurta</t>
  </si>
  <si>
    <t>https://www.myntra.com/tops/mast--harbour/mast--harbour-women-teal-blue-solid-shirt-style-top/1710948/buy</t>
  </si>
  <si>
    <t>mast  harbour women teal blue solid shirt style top</t>
  </si>
  <si>
    <t>https://www.myntra.com/tops/berrylush/berrylush-white--yellow-striped-cinched-waist-top/12374876/buy</t>
  </si>
  <si>
    <t>berrylush white  yellow striped cinched waist top</t>
  </si>
  <si>
    <t>https://www.myntra.com/sweaters/roadster/the-roadster-lifestyle-co-women-pink-cable-knit-pullover/10377129/buy</t>
  </si>
  <si>
    <t>the roadster lifestyle co women pink cable knit pullover</t>
  </si>
  <si>
    <t>https://www.myntra.com/jumpsuit/athena/athena-women-brown-solid-basic-jumpsuit/11644202/buy</t>
  </si>
  <si>
    <t>athena women brown solid basic jumpsuit</t>
  </si>
  <si>
    <t>https://www.myntra.com/dresses/berrylush/berrylush-women-yellow-solid-maxi-dress/11109404/buy</t>
  </si>
  <si>
    <t>berrylush women yellow solid maxi dress</t>
  </si>
  <si>
    <t>https://www.myntra.com/tshirts/roadster/roadster-women-black--burgundy-pack-of-2-printed-round-neck-regular-fit-t-shirts/17383070/buy</t>
  </si>
  <si>
    <t>roadster women black  burgundy pack of 2 printed round neck regular fit t shirts</t>
  </si>
  <si>
    <t>https://www.myntra.com/trousers/roadster/roadster-men-grey-slim-fit-sustainable-chinos/12180550/buy</t>
  </si>
  <si>
    <t>roadster men grey slim fit sustainable chinos</t>
  </si>
  <si>
    <t>https://www.myntra.com/tshirts/huetrap/huetrap-men-yellow-graphic-printed-cotton-t-shirt/1966134/buy</t>
  </si>
  <si>
    <t>huetrap men yellow graphic printed cotton t shirt</t>
  </si>
  <si>
    <t>https://www.myntra.com/shirts/wrogn/wrogn-men-black--white-slim-fit-printed-casual-shirt/10187601/buy</t>
  </si>
  <si>
    <t>wrogn men black  white slim fit printed casual shirt</t>
  </si>
  <si>
    <t>https://www.myntra.com/kurta-sets/kalini/kalini-women-maroon-embroidered-gotta-patti-kurta-with-palazzos--with-dupatta/17062988/buy</t>
  </si>
  <si>
    <t>kalini women maroon embroidered gotta patti kurta with palazzos  with dupatta</t>
  </si>
  <si>
    <t>76% OFF</t>
  </si>
  <si>
    <t>https://www.myntra.com/kurta-sets/sangria/sangria-women-pink-printed-kurta-with-trousers/8350053/buy</t>
  </si>
  <si>
    <t>sangria women pink printed kurta with trousers</t>
  </si>
  <si>
    <t>https://www.myntra.com/tshirts/herenow/herenow-women-black-typography-printed-pure-cotton-t-shirt/15313286/buy</t>
  </si>
  <si>
    <t>herenow women black typography printed pure cotton t shirt</t>
  </si>
  <si>
    <t>https://www.myntra.com/tops/veni-vidi-vici/veni-vidi-vici-women-green-solid-bardot-crop-top/10054581/buy</t>
  </si>
  <si>
    <t>veni vidi vici women green solid bardot crop top</t>
  </si>
  <si>
    <t>https://www.myntra.com/tops/mast--harbour/mast--harbour-rust-brown-schiffli-embroidered-sheer-top/11144258/buy</t>
  </si>
  <si>
    <t>mast  harbour rust brown schiffli embroidered sheer top</t>
  </si>
  <si>
    <t>https://www.myntra.com/tops/mast--harbour/mast--harbour-women-blue-self-striped-pure-cotton-top/11144044/buy</t>
  </si>
  <si>
    <t>mast  harbour women blue self striped pure cotton top</t>
  </si>
  <si>
    <t>https://www.myntra.com/trousers/roadster/roadster-men-white-solid-slim-fit-chinos/12180558/buy</t>
  </si>
  <si>
    <t>roadster men white solid slim fit chinos</t>
  </si>
  <si>
    <t>https://www.myntra.com/jeans/locomotive/locomotive-men-grey-tapered-fit-mid-rise-clean-look-stretchable-jeans/10646514/buy</t>
  </si>
  <si>
    <t>locomotive men grey tapered fit mid rise clean look stretchable jeans</t>
  </si>
  <si>
    <t>https://www.myntra.com/track-pants/puma/puma-black-zippered-jersey-track-pants/2344590/buy</t>
  </si>
  <si>
    <t>puma black zippered jersey track pants</t>
  </si>
  <si>
    <t>https://www.myntra.com/shirts/wrogn/wrogn-men-khaki-casual-shirt/1806152/buy</t>
  </si>
  <si>
    <t>wrogn men khaki casual shirt</t>
  </si>
  <si>
    <t>https://www.myntra.com/shirts/roadster/roadster-men-blue-checked-casual-shirt/6849350/buy</t>
  </si>
  <si>
    <t>roadster men blue checked casual shirt</t>
  </si>
  <si>
    <t>https://www.myntra.com/tshirts/highlander/highlander-men-black-slim-fit-solid-round-neck-pure-cotton-t-shirt-with-chest-pocket/1816490/buy</t>
  </si>
  <si>
    <t>highlander men black slim fit solid round neck pure cotton t shirt with chest pocket</t>
  </si>
  <si>
    <t>https://www.myntra.com/kurta-sets/ishin/ishin-women-red--gold-toned-printed-kurta-with-palazzos/12509616/buy</t>
  </si>
  <si>
    <t>ishin women red  gold toned printed kurta with palazzos</t>
  </si>
  <si>
    <t>https://www.myntra.com/sarees/mitera/mitera-black--red-silk-cotton-kutchi-embroidered-saree/12679522/buy</t>
  </si>
  <si>
    <t>mitera black  red silk cotton kutchi embroidered saree</t>
  </si>
  <si>
    <t>86% OFF</t>
  </si>
  <si>
    <t>https://www.myntra.com/dresses/sangria/sangria-women-red--grey-printed-fit-and-flare-dress/13437306/buy</t>
  </si>
  <si>
    <t>sangria women red  grey printed fit and flare dress</t>
  </si>
  <si>
    <t>https://www.myntra.com/sweatshirts/sassafras/sassafras-women-black-printed-detail-hooded-crop-sweatshirt/2280937/buy</t>
  </si>
  <si>
    <t>sassafras women black printed detail hooded crop sweatshirt</t>
  </si>
  <si>
    <t>https://www.myntra.com/jumpsuit/athena/athena-women-pink-solid-basic-jumpsuit/11634540/buy</t>
  </si>
  <si>
    <t>athena women pink solid basic jumpsuit</t>
  </si>
  <si>
    <t>https://www.myntra.com/sweaters/roadster/roadster-women-black-solid-pullover/6397172/buy</t>
  </si>
  <si>
    <t>roadster women black solid pullover</t>
  </si>
  <si>
    <t>https://www.myntra.com/jeans/highlander/highlander-men-black-jogger-mid-rise-clean-look-stretchable-jogger-jeans/4322597/buy</t>
  </si>
  <si>
    <t>highlander men black jogger mid rise clean look stretchable jogger jeans</t>
  </si>
  <si>
    <t>https://www.myntra.com/track-pants/hubberholme/hubberholme-men-navy-blue-slim-fit-solid-cargo-joggers/13961900/buy</t>
  </si>
  <si>
    <t>hubberholme men navy blue slim fit solid cargo joggers</t>
  </si>
  <si>
    <t>https://www.myntra.com/jackets/roadster/-roadster-men-olive-green-solid-tailored-jacket/6411291/buy</t>
  </si>
  <si>
    <t xml:space="preserve"> roadster men olive green solid tailored jacket</t>
  </si>
  <si>
    <t>https://www.myntra.com/kurtas/anouk/anouk-women-green--golden-ethnic-motifs-printed-kurta/14122522/buy</t>
  </si>
  <si>
    <t>anouk women green  golden ethnic motifs printed kurta</t>
  </si>
  <si>
    <t>https://www.myntra.com/kurtas/taavi/taavi-women-pink-south-cotton-woven-legacy-sustainable-kurta-with-tassels/7033884/buy</t>
  </si>
  <si>
    <t>taavi women pink south cotton woven legacy sustainable kurta with tassels</t>
  </si>
  <si>
    <t>https://www.myntra.com/bra/momtobe/momtobe-pack-of-3-solid-non-wired-non-padded-maternity-bras-5502reblkwhtbgfb-30/12266388/buy</t>
  </si>
  <si>
    <t>momtobe pack of 3 solid non wired non padded maternity bras 5502reblkwhtbgfb 30</t>
  </si>
  <si>
    <t>https://www.myntra.com/shrug/cation/cation-women-black-printed-waterfall-longline-shrug/8377311/buy</t>
  </si>
  <si>
    <t>cation women black printed waterfall longline shrug</t>
  </si>
  <si>
    <t>https://www.myntra.com/jeggings/ether/ether-women-black-solid-skinny-fit-treggings/11037610/buy</t>
  </si>
  <si>
    <t>ether women black solid skinny fit treggings</t>
  </si>
  <si>
    <t>https://www.myntra.com/jeans/kassually/kassually-women-black-bootcut-mid-rise-clean-look-jeans/12190438/buy</t>
  </si>
  <si>
    <t>kassually women black bootcut mid rise clean look jeans</t>
  </si>
  <si>
    <t>https://www.myntra.com/tshirts/roadster/roadster-women-black-colourblocked-round-neck-t-shirt/11893730/buy</t>
  </si>
  <si>
    <t>roadster women black colourblocked round neck t shirt</t>
  </si>
  <si>
    <t>https://www.myntra.com/shorts/dressberry/dressberry-women-stunning-blue-washed-summer-shorts/11995110/buy</t>
  </si>
  <si>
    <t>dressberry women stunning blue washed summer shorts</t>
  </si>
  <si>
    <t>https://www.myntra.com/tshirts/mast--harbour/mast--harbour-men-peach-coloured-printed-polo-collar-pure-cotton-t-shirt/8301915/buy</t>
  </si>
  <si>
    <t>mast  harbour men peach coloured printed polo collar pure cotton t shirt</t>
  </si>
  <si>
    <t>https://www.myntra.com/sweaters/roadster/roadster-men-mustard-yellow--black-striped-sweater/9564819/buy</t>
  </si>
  <si>
    <t>roadster men mustard yellow  black striped sweater</t>
  </si>
  <si>
    <t>https://www.myntra.com/sweatshirts/kook-n-keech-marvel/kook-n-keech-marvel-black-colourblocked-sweatshirt/1406441/buy</t>
  </si>
  <si>
    <t>kook n keech marvel black colourblocked sweatshirt</t>
  </si>
  <si>
    <t>https://www.myntra.com/sarees/vastranand/vastranand-black-vichitra-poly-silk-solid-saree-with-embellished-border/11571434/buy</t>
  </si>
  <si>
    <t>VASTRANAND</t>
  </si>
  <si>
    <t>vastranand black vichitra poly silk solid saree with embellished border</t>
  </si>
  <si>
    <t>https://www.myntra.com/tshirts/mast--harbour/mast--harbour-women-pack-of-2-cotton-t-shirts/17524676/buy</t>
  </si>
  <si>
    <t>https://www.myntra.com/tshirts/roadster/roadster-men-charcoal-grey-solid-henley-neck-t-shirt/6713837/buy</t>
  </si>
  <si>
    <t>roadster men charcoal grey solid henley neck t shirt</t>
  </si>
  <si>
    <t>https://www.myntra.com/kurtas/herenow/herenow-women-peach-coloured--white-floral-print-straight-kurta/12851442/buy</t>
  </si>
  <si>
    <t>herenow women peach coloured  white floral print straight kurta</t>
  </si>
  <si>
    <t>https://www.myntra.com/dresses/myshka/myshka-black-pleated-a-line-dress/12400478/buy</t>
  </si>
  <si>
    <t>myshka black pleated a line dress</t>
  </si>
  <si>
    <t>https://www.myntra.com/kurta-sets/prakhya/prakhya-women-pink--off-white-printed-kurta-with-palazzos--dupatta/13737396/buy</t>
  </si>
  <si>
    <t>prakhya women pink  off white printed kurta with palazzos  dupatta</t>
  </si>
  <si>
    <t>32/37, M, L, XL, XXL, 3XL</t>
  </si>
  <si>
    <t>https://www.myntra.com/tshirts/roadster/roadster-women-set-of-2-printed-pure-cotton-t-shirts/17385164/buy</t>
  </si>
  <si>
    <t>https://www.myntra.com/shorts/roadster/the-roadster-lifestyle-co-women-blue-solid-regular-fit-denim-shorts/11118426/buy</t>
  </si>
  <si>
    <t>the roadster lifestyle co women blue solid regular fit denim shorts</t>
  </si>
  <si>
    <t>https://www.myntra.com/sweatshirts/sassafras/sassafras-women-blue-solid-faux-fur-sweatshirt/12737888/buy</t>
  </si>
  <si>
    <t>sassafras women blue solid faux fur sweatshirt</t>
  </si>
  <si>
    <t>https://www.myntra.com/tops/scorpius/scorpius-women-pack-of-2-solid-tops/9340989/buy</t>
  </si>
  <si>
    <t>https://www.myntra.com/jackets/sassafras/sassafras-women-beige-solid-corduroy-cropped-bomber-jacket/12288060/buy</t>
  </si>
  <si>
    <t>sassafras women beige solid corduroy cropped bomber jacket</t>
  </si>
  <si>
    <t>https://www.myntra.com/tops/tokyo-talkies/tokyo-talkies-women-red-checked-cropped-wrap-top/7211068/buy</t>
  </si>
  <si>
    <t>tokyo talkies women red checked cropped wrap top</t>
  </si>
  <si>
    <t>https://www.myntra.com/tshirts/roadster/-roadster-women-pack-of-2-cotton-t-shirts/17382840/buy</t>
  </si>
  <si>
    <t>https://www.myntra.com/jeans/locomotive/locomotive-men-khaki-slim-fit-mid-rise-clean-look-stretchable-jeans/8064709/buy</t>
  </si>
  <si>
    <t>locomotive men khaki slim fit mid rise clean look stretchable jeans</t>
  </si>
  <si>
    <t>https://www.myntra.com/tshirts/moda-rapido/moda-rapido-men-white-printed-longline-t-shirt/2221356/buy</t>
  </si>
  <si>
    <t>moda rapido men white printed longline t shirt</t>
  </si>
  <si>
    <t>https://www.myntra.com/kurtas/moda-rapido/moda-rapido-women-pink--grey-printed-a-line-kurta/9072385/buy</t>
  </si>
  <si>
    <t>moda rapido women pink  grey printed a line kurta</t>
  </si>
  <si>
    <t>https://www.myntra.com/kurta-sets/libas/libas-women-off-white-ethnic-motifs-printed-pleated-pure-cotton-kurta-with-churidar--with-dupatta/13747918/buy</t>
  </si>
  <si>
    <t>libas women off white ethnic motifs printed pleated pure cotton kurta with churidar  with dupatta</t>
  </si>
  <si>
    <t>https://www.myntra.com/kurtas/sangria/sangria-women-off-white--navy-blue-printed-straight-kurta/10561274/buy</t>
  </si>
  <si>
    <t>sangria women off white  navy blue printed straight kurta</t>
  </si>
  <si>
    <t>https://www.myntra.com/tshirts/roadster/roadster-women-pack-of-2-solid-pure-cotton-t-shirts/17381520/buy</t>
  </si>
  <si>
    <t>https://www.myntra.com/tshirts/roadster/roadster-women-pack-of-2-solid-cotton-t-shirt/17385790/buy</t>
  </si>
  <si>
    <t>https://www.myntra.com/jeans/all-about-you/all-about-you-women-blue-straight-fit-high-rise-clean-look-stretchable-cropped-jeans/12867304/buy</t>
  </si>
  <si>
    <t>all about you women blue straight fit high rise clean look stretchable cropped jeans</t>
  </si>
  <si>
    <t>https://www.myntra.com/jeans/mast--harbour/mast--harbour-women-blue-skinny-fit-high-rise-clean-look-stretchable-frayed-hem-jeans/11607044/buy</t>
  </si>
  <si>
    <t>mast  harbour women blue skinny fit high rise clean look stretchable frayed hem jeans</t>
  </si>
  <si>
    <t>https://www.myntra.com/tshirts/roadster/roadster-women-black-solid-round-neck-pure-cotton-t-shirt-with-curved-hem/11893760/buy</t>
  </si>
  <si>
    <t>roadster women black solid round neck pure cotton t shirt with curved hem</t>
  </si>
  <si>
    <t>https://www.myntra.com/track-pants/tokyo-talkies/tokyo-talkies-women-blue-solid-slim-fit-track-pants/14062990/buy</t>
  </si>
  <si>
    <t>https://www.myntra.com/jeans/roadster/roadster-men-black-slim-fit-mid-rise-clean-look-stretchable-jeans/10046853/buy</t>
  </si>
  <si>
    <t>https://www.myntra.com/pyjamas/jompers/jompers-men-white-solid-pyjamas/11770274/buy</t>
  </si>
  <si>
    <t>jompers men white solid pyjamas</t>
  </si>
  <si>
    <t>https://www.myntra.com/kurtas/anouk/anouk-women-blue--grey-printed-a-line-fusion-kurta/11199278/buy</t>
  </si>
  <si>
    <t>anouk women blue  grey printed a line fusion kurta</t>
  </si>
  <si>
    <t>https://www.myntra.com/kurta-sets/anouk/anouk-women-navy-blue-printed-kurta-with-palazzos--dupatta/13789772/buy</t>
  </si>
  <si>
    <t>anouk women navy blue printed kurta with palazzos  dupatta</t>
  </si>
  <si>
    <t>https://www.myntra.com/kurta-sets/bhama-couture/bhama-couture-women-green--red-solid-kurta-with-palazzos--dupatta/11607438/buy</t>
  </si>
  <si>
    <t>bhama couture women green  red solid kurta with palazzos  dupatta</t>
  </si>
  <si>
    <t>https://www.myntra.com/sarees/mitera/mitera-grey-sequinned-ready-to-wear-saree/14668766/buy</t>
  </si>
  <si>
    <t>mitera grey sequinned ready to wear saree</t>
  </si>
  <si>
    <t>https://www.myntra.com/tshirts/mast--harbour/mast--harbour-women-pack-of-2-pure-cotton-tshirts/17523500/buy</t>
  </si>
  <si>
    <t>https://www.myntra.com/sweatshirts/roadster/roadster-women-maroon--navy-blue-colourblocked-hooded-sweatshirt/6011817/buy</t>
  </si>
  <si>
    <t>roadster women maroon  navy blue colourblocked hooded sweatshirt</t>
  </si>
  <si>
    <t>https://www.myntra.com/dresses/berrylush/berrylush-women-mustard-yellow-solid-peplum-sleeve-fit-and-flare-dress/11882806/buy</t>
  </si>
  <si>
    <t>berrylush women mustard yellow solid peplum sleeve fit and flare dress</t>
  </si>
  <si>
    <t>https://www.myntra.com/jumpsuit/sassafras/sassafras-women-black-solid-basic-jumpsuit/10604560/buy</t>
  </si>
  <si>
    <t>sassafras women black solid basic jumpsuit</t>
  </si>
  <si>
    <t>https://www.myntra.com/jeans/highlander/highlander-men-blue-tapered-fit-jeans/13815392/buy</t>
  </si>
  <si>
    <t>https://www.myntra.com/tshirts/hrx-by-hrithik-roshan/hrx-by-hrithik-roshan-men-rust-red-solid-running-t-shirt/10106021/buy</t>
  </si>
  <si>
    <t>hrx by hrithik roshan men rust red solid running t shirt</t>
  </si>
  <si>
    <t>https://www.myntra.com/kurtas/anouk/anouk-men-black--grey-floral-printed-straight-kurta/11200646/buy</t>
  </si>
  <si>
    <t>anouk men black  grey floral printed straight kurta</t>
  </si>
  <si>
    <t>https://www.myntra.com/shirts/wrogn/wrogn-men-navy-blue-slim-fit-casual-shirt/10187703/buy</t>
  </si>
  <si>
    <t>wrogn men navy blue slim fit casual shirt</t>
  </si>
  <si>
    <t>https://www.myntra.com/shirts/the-bear-house/the-bear-house-men-black--white-slim-fit-checked-flannel-casual-shirt/12853658/buy</t>
  </si>
  <si>
    <t>THE BEAR HOUSE</t>
  </si>
  <si>
    <t>the bear house men black  white slim fit checked flannel casual shirt</t>
  </si>
  <si>
    <t>https://www.myntra.com/tshirts/highlander/highlander-men-black-solid-v-neck-t-shirt/1703248/buy</t>
  </si>
  <si>
    <t>highlander men black solid v neck t shirt</t>
  </si>
  <si>
    <t>https://www.myntra.com/kurta-sets/indo-era/indo-era-women-red-ethnic-motifs-printed-regular-kurta-with-trousers--dupatta/15344728/buy</t>
  </si>
  <si>
    <t>indo era women red ethnic motifs printed regular kurta with trousers  dupatta</t>
  </si>
  <si>
    <t>https://www.myntra.com/bra/zivame/zivame-women-blue-solid-non-padded-wireless-everyday-bra-zi1882corecblue/13130408/buy</t>
  </si>
  <si>
    <t>zivame women blue solid non padded wireless everyday bra zi1882corecblue</t>
  </si>
  <si>
    <t>https://www.myntra.com/jeans/moda-rapido/moda-rapido-women-navy-blue-bootcut-mid-rise-clean-look-stretchable-jeans/13104188/buy</t>
  </si>
  <si>
    <t>moda rapido women navy blue bootcut mid rise clean look stretchable jeans</t>
  </si>
  <si>
    <t>https://www.myntra.com/dresses/uf/uf-women-black--red-floral-print-maxi-dress/11099552/buy</t>
  </si>
  <si>
    <t>uf women black  red floral print maxi dress</t>
  </si>
  <si>
    <t>https://www.myntra.com/dresses/sassafras/sassafras-women-sage-green--peach-coloured-printed-maxi-dress/8643225/buy</t>
  </si>
  <si>
    <t>sassafras women sage green  peach coloured printed maxi dress</t>
  </si>
  <si>
    <t>https://www.myntra.com/jeans/highlander/highlander-men-white-appliqued-tapered-fit-mid-rise-clean-look-stretchable-jeans/11108928/buy</t>
  </si>
  <si>
    <t>highlander men white appliqued tapered fit mid rise clean look stretchable jeans</t>
  </si>
  <si>
    <t>https://www.myntra.com/jeans/ether/ether-men-blue-skinny-fit-mid-rise-clean-look-stretchable-jeans/7633387/buy</t>
  </si>
  <si>
    <t>ether men blue skinny fit mid rise clean look stretchable jeans</t>
  </si>
  <si>
    <t>https://www.myntra.com/innerwear-vests/jockey/jockey-men-pack-of-2-ribbed-innerwear-vests/11638822/buy</t>
  </si>
  <si>
    <t>jockey men pack of 2 ribbed innerwear vests</t>
  </si>
  <si>
    <t>https://www.myntra.com/skirts/anayna/anayna-black--beige-printed-flared-pure-cotton-maxi-skirt/11227214/buy</t>
  </si>
  <si>
    <t>anayna black  beige printed flared pure cotton maxi skirt</t>
  </si>
  <si>
    <t>https://www.myntra.com/dresses/tokyo-talkies/tokyo-talkies-women-navy-blue-solid-denim-pinafore-dress/10847900/buy</t>
  </si>
  <si>
    <t>tokyo talkies women navy blue solid denim pinafore dress</t>
  </si>
  <si>
    <t>https://www.myntra.com/jeans/dolce-crudo/dolce-crudo-women-navy-blue-skinny-fit-high-rise-clean-look-stretchable-jeans/10696598/buy</t>
  </si>
  <si>
    <t>https://www.myntra.com/socks/wrogn/wrogn-men-pack-of-3-brand-logo-patterned-above-ankle-length-socks/12402734/buy</t>
  </si>
  <si>
    <t>https://www.myntra.com/briefs/jockey/jockey-elance-men-charcoal-grey-solid-midi-briefs-1010-0105/11036524/buy</t>
  </si>
  <si>
    <t>jockey elance men charcoal grey solid midi briefs 1010 0105</t>
  </si>
  <si>
    <t>https://www.myntra.com/briefs/jockey/jockey-men-pack-of-2-charcoal-grey-solid-briefs-1010-0105/11639114/buy</t>
  </si>
  <si>
    <t>jockey men pack of 2 charcoal grey solid briefs 1010 0105</t>
  </si>
  <si>
    <t>https://www.myntra.com/shirts/locomotive/locomotive-men-blue--grey-slim-fit-printed-casual-shirt/10450360/buy</t>
  </si>
  <si>
    <t>locomotive men blue  grey slim fit printed casual shirt</t>
  </si>
  <si>
    <t>https://www.myntra.com/sweaters/roadster/roadster-men-navy-blue--red-striped-pullover/5415551/buy</t>
  </si>
  <si>
    <t>roadster men navy blue  red striped pullover</t>
  </si>
  <si>
    <t>https://www.myntra.com/shirts/roadster/roadster-men-navy-blue--grey-shadow-check-sustainable-casual-shirt/8889689/buy</t>
  </si>
  <si>
    <t>roadster men navy blue  grey shadow check sustainable casual shirt</t>
  </si>
  <si>
    <t>https://www.myntra.com/tshirts/mast--harbour/mast--harbour-men-blue-solid-round-neck-pure-cotton-t-shirt/2232090/buy</t>
  </si>
  <si>
    <t>mast  harbour men blue solid round neck pure cotton t shirt</t>
  </si>
  <si>
    <t>https://www.myntra.com/tunics/sangria/sangria-navy-blue-printed-tunic/8349579/buy</t>
  </si>
  <si>
    <t>sangria navy blue printed tunic</t>
  </si>
  <si>
    <t>https://www.myntra.com/dresses/herenow/herenow-women-black--white-polka-dots-print-a-line-dress/12625342/buy</t>
  </si>
  <si>
    <t>herenow women black  white polka dots print a line dress</t>
  </si>
  <si>
    <t>https://www.myntra.com/tops/herenow/herenow-pink-self-design-shirt-style-top/12051516/buy</t>
  </si>
  <si>
    <t>herenow pink self design shirt style top</t>
  </si>
  <si>
    <t>https://www.myntra.com/tshirts/mast--harbour/mast--harbour-women-pack-of-2-cotton-t-shirts/17524646/buy</t>
  </si>
  <si>
    <t>https://www.myntra.com/dresses/pluss/pluss-women-mustard-yellow-floral-printed-maxi-dress/6914153/buy</t>
  </si>
  <si>
    <t>pluss women mustard yellow floral printed maxi dress</t>
  </si>
  <si>
    <t>https://www.myntra.com/jackets/roadster/the-roadster-lifestyle-co-women-blue-solid-denim-jacket/10562418/buy</t>
  </si>
  <si>
    <t>https://www.myntra.com/tshirts/roadster/roadster-women-black-solid-polo-collar-pure-cotton-t-shirt/10970110/buy</t>
  </si>
  <si>
    <t>roadster women black solid polo collar pure cotton t shirt</t>
  </si>
  <si>
    <t>https://www.myntra.com/tshirts/mast--harbour/mast--harbour-women-green-striped-round-neck-t-shirt/2490910/buy</t>
  </si>
  <si>
    <t>mast  harbour women green striped round neck t shirt</t>
  </si>
  <si>
    <t>https://www.myntra.com/shorts/highlander/highlander-men-black-solid-slim-fit-regular-shorts/13858434/buy</t>
  </si>
  <si>
    <t>highlander men black solid slim fit regular shorts</t>
  </si>
  <si>
    <t>https://www.myntra.com/trousers/herenow/herenow-men-olive-green-chinos/12554996/buy</t>
  </si>
  <si>
    <t>herenow men olive green chinos</t>
  </si>
  <si>
    <t>https://www.myntra.com/jeans/levis/levis-men-blue-512-classic-datum-tapered-fit-stretchable-jeans/15038426/buy</t>
  </si>
  <si>
    <t>levis men blue 512 classic datum tapered fit stretchable jeans</t>
  </si>
  <si>
    <t>https://www.myntra.com/track-pants/mast--harbour/mast--harbour-navy-blue-printed-joggers/2463363/buy</t>
  </si>
  <si>
    <t>mast  harbour navy blue printed joggers</t>
  </si>
  <si>
    <t>https://www.myntra.com/tshirts/wrogn/wrogn-men-blue-slim-fit-cotton-t-shirt/11363116/buy</t>
  </si>
  <si>
    <t>wrogn men blue slim fit cotton t shirt</t>
  </si>
  <si>
    <t>https://www.myntra.com/shirts/roadster/the-roadster-lifestyle-co-men-teal-blue--off-white-regular-fit-printed-sustainable-casual-shirt/10944596/buy</t>
  </si>
  <si>
    <t>the roadster lifestyle co men teal blue  off white regular fit printed sustainable casual shirt</t>
  </si>
  <si>
    <t>https://www.myntra.com/tshirts/ether/ether-unisex-mustard-yellow-printed-round-neck-pure-cotton-t-shirt/2199702/buy</t>
  </si>
  <si>
    <t>ether unisex mustard yellow printed round neck pure cotton t shirt</t>
  </si>
  <si>
    <t>https://www.myntra.com/shirts/highlander/highlander-men-charcoal-grey-slim-fit-solid-casual-shirt/1272495/buy</t>
  </si>
  <si>
    <t>highlander men charcoal grey slim fit solid casual shirt</t>
  </si>
  <si>
    <t>https://www.myntra.com/kurta-sets/popnetic/popnetic-women-off-white--navy-blue-printed-kurta-with-palazzos/11113616/buy</t>
  </si>
  <si>
    <t>popnetic women off white  navy blue printed kurta with palazzos</t>
  </si>
  <si>
    <t>https://www.myntra.com/kurtas/herenow/herenow-women-off-white--black-floral-printed-floral-kurta/14172582/buy</t>
  </si>
  <si>
    <t>herenow women off white  black floral printed floral kurta</t>
  </si>
  <si>
    <t>https://www.myntra.com/briefs/masha/masha-women-pack-of-3-striped-hipster-pt3pc-107/2496748/buy</t>
  </si>
  <si>
    <t>masha women pack of 3 striped hipster pt3pc 107</t>
  </si>
  <si>
    <t>https://www.myntra.com/tops/roadster/roadster-women-olive-green-top/4317331/buy</t>
  </si>
  <si>
    <t>roadster women olive green top</t>
  </si>
  <si>
    <t>https://www.myntra.com/tshirts/mast--harbour/mast--harbour-women-pack-of-2-cotton-t-shirts/17524618/buy</t>
  </si>
  <si>
    <t>https://www.myntra.com/jeans/sassafras/sassafras-women-navy-blue-regular-fit-high-rise-highly-distressed-cropped-jeans/13633418/buy</t>
  </si>
  <si>
    <t>sassafras women navy blue regular fit high rise highly distressed cropped jeans</t>
  </si>
  <si>
    <t>https://www.myntra.com/trousers/dennison/dennison-men-black-smart-tapered-fit-formal-trousers/13093896/buy</t>
  </si>
  <si>
    <t>dennison men black smart tapered fit formal trousers</t>
  </si>
  <si>
    <t>https://www.myntra.com/briefs/jockey/jockey-men-grey-melange-solid-basic-pack-of-2-briefs-11863264-1-11444374-1/16578310/buy</t>
  </si>
  <si>
    <t>jockey men grey melange solid basic pack of 2 briefs 11863264 1 11444374 1</t>
  </si>
  <si>
    <t>M, S, L</t>
  </si>
  <si>
    <t>https://www.myntra.com/sweatshirts/hrx-by-hrithik-roshan/hrx-by-hrithik-roshan-men-navy-blue-printed-sweatshirt/9299023/buy</t>
  </si>
  <si>
    <t>hrx by hrithik roshan men navy blue printed sweatshirt</t>
  </si>
  <si>
    <t>https://www.myntra.com/kurta-sets/anouk/anouk-women-white-geometric-printed-pure-cotton-kurta-with-palazzos/14121984/buy</t>
  </si>
  <si>
    <t>anouk women white geometric printed pure cotton kurta with palazzos</t>
  </si>
  <si>
    <t>https://www.myntra.com/trousers/jaipur-kurti/jaipur-kurti-women-maroon-solid-trousers/2039878/buy</t>
  </si>
  <si>
    <t>jaipur kurti women maroon solid trousers</t>
  </si>
  <si>
    <t>https://www.myntra.com/tops/pluss/pluss-maroon--black-animal-printed-top-with-tie-ups/13382018/buy</t>
  </si>
  <si>
    <t>pluss maroon  black animal printed top with tie ups</t>
  </si>
  <si>
    <t>https://www.myntra.com/kurta-sets/sangria/sangria-women-green--white-printed-anarkali-kurta-with-palazzos/12104912/buy</t>
  </si>
  <si>
    <t>sangria women green  white printed anarkali kurta with palazzos</t>
  </si>
  <si>
    <t>https://www.myntra.com/sweatshirts/roadster/roadster-pink--navy-colourblocked-sweatshirt/6011988/buy</t>
  </si>
  <si>
    <t>roadster pink  navy colourblocked sweatshirt</t>
  </si>
  <si>
    <t>https://www.myntra.com/tshirts/roadster/the-roadster-lifestyle-co-women-white-solid-round-neck-pure-cotton-t-shirt/10778622/buy</t>
  </si>
  <si>
    <t>https://www.myntra.com/track-pants/highlander/highlander-men-black-solid-slim-fit-track-pants/14014784/buy</t>
  </si>
  <si>
    <t>https://www.myntra.com/jeans/highlander/highlander-men-blue-tapered-fit-mid-rise-clean-look-stretchable-jeans/12005986/buy</t>
  </si>
  <si>
    <t>https://www.myntra.com/tshirts/wrogn/wrogn-men-rust-red--off-white-slim-fit-striped-round-neck-pure-cotton-t-shirt/11363500/buy</t>
  </si>
  <si>
    <t>wrogn men rust red  off white slim fit striped round neck pure cotton t shirt</t>
  </si>
  <si>
    <t>https://www.myntra.com/kurtas/varanga/varanga-women-yellow-printed-straight-kurta/10018797/buy</t>
  </si>
  <si>
    <t>varanga women yellow printed straight kurta</t>
  </si>
  <si>
    <t>https://www.myntra.com/track-pants/hrx-by-hrithik-roshan/hrx-by-hrithik-roshan-women-aleutian-solid-tapered-fit-bio-wash-yoga--sustainable-joggers/12167274/buy</t>
  </si>
  <si>
    <t>hrx by hrithik roshan women aleutian solid tapered fit bio wash yoga  sustainable joggers</t>
  </si>
  <si>
    <t>https://www.myntra.com/jeans/roadster/roadster-women-blue-boyfriend-fit-mid-rise-highly-distressed-non-stretchable-jeans/11045876/buy</t>
  </si>
  <si>
    <t>roadster women blue boyfriend fit mid rise highly distressed non stretchable jeans</t>
  </si>
  <si>
    <t>https://www.myntra.com/sweatshirts/hm/hm-women-black-hooded-top/11257750/buy</t>
  </si>
  <si>
    <t>hm women black hooded top</t>
  </si>
  <si>
    <t>https://www.myntra.com/jeans/wrogn/wrogn-men-black-skinny-fit-mid-rise-clean-look-stretchable-jeans/6832318/buy</t>
  </si>
  <si>
    <t>https://www.myntra.com/jeans/wrogn/wrogn-men-blue-jogger-mid-rise-low-distress-jeans/6832526/buy</t>
  </si>
  <si>
    <t>wrogn men blue jogger mid rise low distress jeans</t>
  </si>
  <si>
    <t>https://www.myntra.com/jeans/wrogn/wrogn-men-black-tapered-fit-mid-rise-clean-look-stretchable-cropped-jeans/10187459/buy</t>
  </si>
  <si>
    <t>wrogn men black tapered fit mid rise clean look stretchable cropped jeans</t>
  </si>
  <si>
    <t>https://www.myntra.com/shirts/wrogn/wrogn-men-charcoal-grey--beige-slim-fit-checked-casual-shirt/10187585/buy</t>
  </si>
  <si>
    <t>wrogn men charcoal grey  beige slim fit checked casual shirt</t>
  </si>
  <si>
    <t>https://www.myntra.com/tshirts/ether/ether-men-navy-blue--yellow-colourblocked-round-neck-pure-cotton-t-shirt/11432190/buy</t>
  </si>
  <si>
    <t>ether men navy blue  yellow colourblocked round neck pure cotton t shirt</t>
  </si>
  <si>
    <t>https://www.myntra.com/kurtas/libas/libas-women-black--white-yoke-design-kurta/14046624/buy</t>
  </si>
  <si>
    <t>libas women black  white yoke design kurta</t>
  </si>
  <si>
    <t>https://www.myntra.com/sarees/mitera/mitera-red--gold-toned-silk-blend-woven-design-kanjeevaram-saree/11458586/buy</t>
  </si>
  <si>
    <t>mitera red  gold toned silk blend woven design kanjeevaram saree</t>
  </si>
  <si>
    <t>https://www.myntra.com/bra/sztori/sztori-plus-size-yellow-solid-non-wired-non-padded-everyday-bra-sz-bra-708g/10304943/buy</t>
  </si>
  <si>
    <t>Sztori</t>
  </si>
  <si>
    <t>sztori plus size yellow solid non wired non padded everyday bra sz bra 708g</t>
  </si>
  <si>
    <t>Rs. 560 OFF</t>
  </si>
  <si>
    <t>38B, 38C, 38D, 40B, 40C, 40D, 42B, 42C, 42D, 44B, 44C, 44D, 46B, 46C, 46D</t>
  </si>
  <si>
    <t>https://www.myntra.com/tshirts/mast--harbour/mast--harbour-women-pack-of-2-tshirts/17523402/buy</t>
  </si>
  <si>
    <t>mast  harbour women pack of 2 tshirts</t>
  </si>
  <si>
    <t>https://www.myntra.com/dresses/dressberry/dressberry-women-attractive-peach-tropical-70s-mini-dress/2392496/buy</t>
  </si>
  <si>
    <t>dressberry women attractive peach tropical 70s mini dress</t>
  </si>
  <si>
    <t>https://www.myntra.com/tshirts/kook-n-keech/kook-n-keech-women-pink-printed-round-neck-oversized-t-shirt/2414664/buy</t>
  </si>
  <si>
    <t>kook n keech women pink printed round neck oversized t shirt</t>
  </si>
  <si>
    <t>https://www.myntra.com/trunk/jockey/jockey-men-navy-blue-pure-cotton-solid-trunks-fp03-0105/12903012/buy</t>
  </si>
  <si>
    <t>jockey men navy blue pure cotton solid trunks fp03 0105</t>
  </si>
  <si>
    <t>https://www.myntra.com/boxers/levis/levis-men-pack-of-2-pure-cotton-checked-boxers/18028784/buy</t>
  </si>
  <si>
    <t>https://www.myntra.com/sarees/saree-mall/saree-mall-ethnic-motifs-silk-blend-saree-with-woven-design-border/13988128/buy</t>
  </si>
  <si>
    <t>saree mall ethnic motifs silk blend saree with woven design border</t>
  </si>
  <si>
    <t>https://www.myntra.com/night-suits/etc/etc-women-mustard--purple-printed-night-suit/12441636/buy</t>
  </si>
  <si>
    <t>etc women mustard  purple printed night suit</t>
  </si>
  <si>
    <t>https://www.myntra.com/shorts/domyos-by-decathlon/domyos-by-decathlon-women-black-high-waist-skin-tight-fitness-shorts/12959222/buy</t>
  </si>
  <si>
    <t>domyos by decathlon women black high waist skin tight fitness shorts</t>
  </si>
  <si>
    <t>28, 30, 32, 34, 36, 40</t>
  </si>
  <si>
    <t>https://www.myntra.com/tshirts/roadster/roadster-women-pack-of-2-pure-cotton-t-shirts/17381522/buy</t>
  </si>
  <si>
    <t>https://www.myntra.com/shrug/scorpius/scorpius-women-off-white--grey-printed-open-front-shrug/11120364/buy</t>
  </si>
  <si>
    <t>scorpius women off white  grey printed open front shrug</t>
  </si>
  <si>
    <t>https://www.myntra.com/tshirts/roadster/roadster-women-pack-of-2-pure-cotton-typography-print-t-shirts/17384828/buy</t>
  </si>
  <si>
    <t>https://www.myntra.com/dresses/antheaa/antheaa-fuchsia-solid-chiffon-smocked-tiered-midi-dress/15577328/buy</t>
  </si>
  <si>
    <t>antheaa fuchsia solid chiffon smocked tiered midi dress</t>
  </si>
  <si>
    <t>https://www.myntra.com/coats/zastraa/zastraa-women-black--self-design-hip-length-coat/10606466/buy</t>
  </si>
  <si>
    <t>coats</t>
  </si>
  <si>
    <t>zastraa women black  self design hip length coat</t>
  </si>
  <si>
    <t>https://www.myntra.com/trousers/invictus/invictus-men-black-slim-fit-checked-formal-trousers/7149905/buy</t>
  </si>
  <si>
    <t>invictus men black slim fit checked formal trousers</t>
  </si>
  <si>
    <t>https://www.myntra.com/boxers/urban-scottish/urban-scottish-men-pack-of-2-multicoloured-printed--pure-cotton-boxers-usbx1917/9966851/buy</t>
  </si>
  <si>
    <t>urban scottish men pack of 2 multicoloured printed  pure cotton boxers usbx1917</t>
  </si>
  <si>
    <t>https://www.myntra.com/tshirts/hrx-by-hrithik-roshan/hrx-by-hrithik-roshan-men-navy-printed-bio-wash-yoga-pure-cotton-t-shirt/11999598/buy</t>
  </si>
  <si>
    <t>hrx by hrithik roshan men navy printed bio wash yoga pure cotton t shirt</t>
  </si>
  <si>
    <t>https://www.myntra.com/tshirts/mast--harbour/mast--harbour-men-coral-orange--navy-blue-striped-polo-collar-t-shirt/4149404/buy</t>
  </si>
  <si>
    <t>mast  harbour men coral orange  navy blue striped polo collar t shirt</t>
  </si>
  <si>
    <t>https://www.myntra.com/tshirts/mast--harbour/mast--harbour-men-navy-blue-printed-polo-collar-t-shirt/8826189/buy</t>
  </si>
  <si>
    <t>mast  harbour men navy blue printed polo collar t shirt</t>
  </si>
  <si>
    <t>https://www.myntra.com/shirts/roadster/roadster-men-white-printed-regular-fit-sustainable-casual-shirt/10740958/buy</t>
  </si>
  <si>
    <t>roadster men white printed regular fit sustainable casual shirt</t>
  </si>
  <si>
    <t>https://www.myntra.com/shirts/roadster/roadster-men-olive-green--blue-twill-checked-casual-sustainable-shirt/12947504/buy</t>
  </si>
  <si>
    <t>roadster men olive green  blue twill checked casual sustainable shirt</t>
  </si>
  <si>
    <t>https://www.myntra.com/shirts/wrogn/wrogn-men-white-smart-casual-shirt/2338542/buy</t>
  </si>
  <si>
    <t>wrogn men white smart casual shirt</t>
  </si>
  <si>
    <t>https://www.myntra.com/shirts/roadster/roadster-men-slub-indigo-gingham-shirt/8470027/buy</t>
  </si>
  <si>
    <t>roadster men slub indigo gingham shirt</t>
  </si>
  <si>
    <t>https://www.myntra.com/briefs/c9-airwear/c9-airwear-women-multicolored-set-of-3-solid-hipster-briefs-p1174pack3/13038030/buy</t>
  </si>
  <si>
    <t>c9 airwear women multicolored set of 3 solid hipster briefs p1174pack3</t>
  </si>
  <si>
    <t>https://www.myntra.com/jeans/chemistry/chemistry-women-black-regular-fit-mid-rise-clean-look-stretchable-jeans/8505843/buy</t>
  </si>
  <si>
    <t>chemistry women black regular fit mid rise clean look stretchable jeans</t>
  </si>
  <si>
    <t>https://www.myntra.com/jeans/ether/ether-men-blue-skinny-fit-mid-rise-clean-look-stretchable-jeans/7633370/buy</t>
  </si>
  <si>
    <t>https://www.myntra.com/shirts/jainish/jainish-men-purple-classic-slim-fit-solid-formal-shirt/10683666/buy</t>
  </si>
  <si>
    <t>jainish men purple classic slim fit solid formal shirt</t>
  </si>
  <si>
    <t>https://www.myntra.com/shirts/harvard/harvard-men-navy-checked-slim-fit-casual-shirt/1847237/buy</t>
  </si>
  <si>
    <t>harvard men navy checked slim fit casual shirt</t>
  </si>
  <si>
    <t>https://www.myntra.com/tshirts/roadster/the-roadster-lifestyle-co-men-grey-melange-solid-round-neck-t-shirt/10307501/buy</t>
  </si>
  <si>
    <t>the roadster lifestyle co men grey melange solid round neck t shirt</t>
  </si>
  <si>
    <t>https://www.myntra.com/bra/hrx-by-hrithik-roshan/hrx-by-hrithik-roshan-sea-green-solid-rapid-dry-training-sports-bra-hrx-aw19-wk/10917766/buy</t>
  </si>
  <si>
    <t>hrx by hrithik roshan sea green solid rapid dry training sports bra hrx aw19 wk</t>
  </si>
  <si>
    <t>https://www.myntra.com/jumpsuit/kassually/kassually-women-green--black-printed-basic-jumpsuit/12752550/buy</t>
  </si>
  <si>
    <t>kassually women green  black printed basic jumpsuit</t>
  </si>
  <si>
    <t>https://www.myntra.com/track-pants/hrx-by-hrithik-roshan/hrx-by-hrithik-roshan-men-black-forest-solid-slim-fit-antimicrobial-running-joggers/13040386/buy</t>
  </si>
  <si>
    <t>hrx by hrithik roshan men black forest solid slim fit antimicrobial running joggers</t>
  </si>
  <si>
    <t>https://www.myntra.com/track-pants/herenow/herenow-men-black--pink-printed-joggers/10202161/buy</t>
  </si>
  <si>
    <t>herenow men black  pink printed joggers</t>
  </si>
  <si>
    <t>https://www.myntra.com/innerwear-vests/us-polo-assn/us-polo-assn-men-assorted-striped-innerwear-vest-y9i555-615-cp/10248153/buy</t>
  </si>
  <si>
    <t>us polo assn men assorted striped innerwear vest y9i555 615 cp</t>
  </si>
  <si>
    <t>https://www.myntra.com/innerwear-vests/us-polo-assn/us-polo-assn-men-pack-of-2-white--red-striped-innerwear-vests/11786040/buy</t>
  </si>
  <si>
    <t>us polo assn men pack of 2 white  red striped innerwear vests</t>
  </si>
  <si>
    <t>https://www.myntra.com/tshirts/kryptic/kryptic-men-maroon--navy-checked-polo-pure-cotton-t-shirt/10180527/buy</t>
  </si>
  <si>
    <t>Kryptic</t>
  </si>
  <si>
    <t>kryptic men maroon  navy checked polo pure cotton t shirt</t>
  </si>
  <si>
    <t>https://www.myntra.com/shirts/roadster/the-roadster-lifestyle-co-men-charcoal--black-regular-fit-printed-sustainable-casual-shirt/9951287/buy</t>
  </si>
  <si>
    <t>the roadster lifestyle co men charcoal  black regular fit printed sustainable casual shirt</t>
  </si>
  <si>
    <t>https://www.myntra.com/kurtas/kipek/kipek-women-mustard-yellow--pink-floral-printed-a-line-kurta-with-back-tie-ups/12015500/buy</t>
  </si>
  <si>
    <t>kipek women mustard yellow  pink floral printed a line kurta with back tie ups</t>
  </si>
  <si>
    <t>https://www.myntra.com/sarees/saree-mall/saree-mall-green-ethnic-motifs-brasso-chanderi-sarees/14006676/buy</t>
  </si>
  <si>
    <t>saree mall green ethnic motifs brasso chanderi sarees</t>
  </si>
  <si>
    <t>https://www.myntra.com/kurtas/sangria/sangria-women-yellow-solid-straight-kurta/13437314/buy</t>
  </si>
  <si>
    <t>sangria women yellow solid straight kurta</t>
  </si>
  <si>
    <t>https://www.myntra.com/tops/harpa/harpa-green-printed-blouson-top/13532782/buy</t>
  </si>
  <si>
    <t>harpa green printed blouson top</t>
  </si>
  <si>
    <t>https://www.myntra.com/dresses/uf/uf-women-teal-blue--black-multi-striped-a-line-dress-with-belt/12160350/buy</t>
  </si>
  <si>
    <t>uf women teal blue  black multi striped a line dress with belt</t>
  </si>
  <si>
    <t>https://www.myntra.com/jeans/all-about-you/all-about-you-women-blue-slouchy-fit-high-rise-clean-look-stretchable-cropped-jeans/12466140/buy</t>
  </si>
  <si>
    <t>all about you women blue slouchy fit high rise clean look stretchable cropped jeans</t>
  </si>
  <si>
    <t>https://www.myntra.com/tops/roadster/roadster-women-rust-solid-red-top/11401654/buy</t>
  </si>
  <si>
    <t>roadster women rust solid red top</t>
  </si>
  <si>
    <t>https://www.myntra.com/jeans/roadster/roadster-men-black-slim-fit-mid-rise-stretchable-jeans/2525011/buy</t>
  </si>
  <si>
    <t>roadster men black slim fit mid rise stretchable jeans</t>
  </si>
  <si>
    <t>https://www.myntra.com/trousers/wrogn/wrogn-men-black-chinos/10188171/buy</t>
  </si>
  <si>
    <t>wrogn men black chinos</t>
  </si>
  <si>
    <t>https://www.myntra.com/track-pants/kook-n-keech/kook-n-keech-blue-joggers/2002145/buy</t>
  </si>
  <si>
    <t>kook n keech blue joggers</t>
  </si>
  <si>
    <t>https://www.myntra.com/trunk/us-polo-assn/us-polo-assn-men-assorted-printed-trunks-10248017/10248017/buy</t>
  </si>
  <si>
    <t>us polo assn men assorted printed trunks 10248017</t>
  </si>
  <si>
    <t>https://www.myntra.com/tshirts/wrogn/wrogn-men-blue-striped-cotton-t-shirt/2002018/buy</t>
  </si>
  <si>
    <t>wrogn men blue striped cotton t shirt</t>
  </si>
  <si>
    <t>https://www.myntra.com/dresses/vishudh/vishudh-women-grey--gold-toned-printed-maxi-dress/9981425/buy</t>
  </si>
  <si>
    <t>vishudh women grey  gold toned printed maxi dress</t>
  </si>
  <si>
    <t>https://www.myntra.com/lehenga-choli/inddus/inddus-women-dusty-pink-solid-semi-stitched-lehenga--unstitched-blouse-with-dupatta/8340727/buy</t>
  </si>
  <si>
    <t>inddus women dusty pink solid semi stitched lehenga  unstitched blouse with dupatta</t>
  </si>
  <si>
    <t>https://www.myntra.com/tops/herenow/herenow-purple--yellow-puff-sleeve-smocked-a-line-top/14208164/buy</t>
  </si>
  <si>
    <t>herenow purple  yellow puff sleeve smocked a line top</t>
  </si>
  <si>
    <t>https://www.myntra.com/kurtas/herenow/herenow-women-yellow--maroon-printed-straight-kurta/12530342/buy</t>
  </si>
  <si>
    <t>herenow women yellow  maroon printed straight kurta</t>
  </si>
  <si>
    <t>https://www.myntra.com/tops/mast--harbour/mast--harbour-women-off-white-solid-top/2495151/buy</t>
  </si>
  <si>
    <t>https://www.myntra.com/tshirts/roadster/the-roadster-lifestyle-co-women-mustard-yellow--teal-blue-colourblocked-round-neck-pure-cotton-t-shirt/10144243/buy</t>
  </si>
  <si>
    <t>the roadster lifestyle co women mustard yellow  teal blue colourblocked round neck pure cotton t shirt</t>
  </si>
  <si>
    <t>https://www.myntra.com/tops/mast--harbour/mast--harbour-off-white-floral-pleated-top/8352779/buy</t>
  </si>
  <si>
    <t>mast  harbour off white floral pleated top</t>
  </si>
  <si>
    <t>https://www.myntra.com/tshirts/roadster/the-roadster-lifestyle-co-women-rust-red-pure-cotton-solid-drop-shoulder-sleeves-pure-cotton-t-shirt/13270264/buy</t>
  </si>
  <si>
    <t>the roadster lifestyle co women rust red pure cotton solid drop shoulder sleeves pure cotton t shirt</t>
  </si>
  <si>
    <t>https://www.myntra.com/tops/roadster/roadster-women-green-colourblocked-pure-cotton-top/11680624/buy</t>
  </si>
  <si>
    <t>roadster women green colourblocked pure cotton top</t>
  </si>
  <si>
    <t>Onesize, XS, S, M, L, XL</t>
  </si>
  <si>
    <t>https://www.myntra.com/tshirts/dressberry/dressberry-women-mustard-yellow-solid-mandarin-collar-t-shirt/11182520/buy</t>
  </si>
  <si>
    <t>dressberry women mustard yellow solid mandarin collar t shirt</t>
  </si>
  <si>
    <t>https://www.myntra.com/jeans/wrogn/wrogn-men-charcoal-grey-skinny-fit-mid-rise-clean-look-stretchable-jeans/6832236/buy</t>
  </si>
  <si>
    <t>wrogn men charcoal grey skinny fit mid rise clean look stretchable jeans</t>
  </si>
  <si>
    <t>https://www.myntra.com/boxers/levis/levis-men-pack-of-2-pure-cotton-checked-boxers/18028830/buy</t>
  </si>
  <si>
    <t>https://www.myntra.com/shirts/roadster/roadster-men-teal-green-regular-fit-solid-sustainable-casual-shirt/11904010/buy</t>
  </si>
  <si>
    <t>roadster men teal green regular fit solid sustainable casual shirt</t>
  </si>
  <si>
    <t>https://www.myntra.com/shirts/highlander/highlander-men-red--navy-blue-slim-fit-checked-hooded-casual-shirt/11114290/buy</t>
  </si>
  <si>
    <t>highlander men red  navy blue slim fit checked hooded casual shirt</t>
  </si>
  <si>
    <t>https://www.myntra.com/tshirts/herenow/herenow-men-black-printed-round-neck-pure-cotton-t-shirt/5508852/buy</t>
  </si>
  <si>
    <t>https://www.myntra.com/kurtas/herenow/herenow-women-green--golden-ethnic-motif-pure-cotton-print-straight-kurta/12851454/buy</t>
  </si>
  <si>
    <t>herenow women green  golden ethnic motif pure cotton print straight kurta</t>
  </si>
  <si>
    <t>https://www.myntra.com/kurtas/fabric-fitoor/fabric-fitoor-women-pink--white-printed-anarkali-kurta/12103902/buy</t>
  </si>
  <si>
    <t>FABRIC FITOOR</t>
  </si>
  <si>
    <t>fabric fitoor women pink  white printed anarkali kurta</t>
  </si>
  <si>
    <t>https://www.myntra.com/kurta-sets/inddus/inddus-women-blue-georgette-embroidered-kurti-with-sharara--dupatta/11611278/buy</t>
  </si>
  <si>
    <t>inddus women blue georgette embroidered kurti with sharara  dupatta</t>
  </si>
  <si>
    <t>https://www.myntra.com/briefs/van-heusen/van-heusen-women-pack-of-2-assorted-solid-antibacterial-hipster-briefs-11109/10779724/buy</t>
  </si>
  <si>
    <t>van heusen women pack of 2 assorted solid antibacterial hipster briefs 11109</t>
  </si>
  <si>
    <t>https://www.myntra.com/dresses/sassafras/sassafras-off-white--brown-leopard-printed-a-line-dress-with-belt/11866264/buy</t>
  </si>
  <si>
    <t>sassafras off white  brown leopard printed a line dress with belt</t>
  </si>
  <si>
    <t>https://www.myntra.com/jeans/roadster/roadster-women-navy-blue-skinny-fit-high-rise-clean-look-stretchable-jeans/9022577/buy</t>
  </si>
  <si>
    <t>roadster women navy blue skinny fit high rise clean look stretchable jeans</t>
  </si>
  <si>
    <t>https://www.myntra.com/dresses/scorpius/scorpius-blue-floral-printed-maxi-dress/11288920/buy</t>
  </si>
  <si>
    <t>scorpius blue floral printed maxi dress</t>
  </si>
  <si>
    <t>https://www.myntra.com/shorts/mast--harbour/mast--harbour-women-blue-washed-regular-fit-denim-shorts/2383148/buy</t>
  </si>
  <si>
    <t>mast  harbour women blue washed regular fit denim shorts</t>
  </si>
  <si>
    <t>https://www.myntra.com/shrug/stylestone/stylestone-women-black--white-georgette-printed-open-front-shrug/11333080/buy</t>
  </si>
  <si>
    <t>stylestone women black  white georgette printed open front shrug</t>
  </si>
  <si>
    <t>https://www.myntra.com/shorts/highlander/highlander-men-navy-blue-solid-slim-fit-regular-shorts/14121270/buy</t>
  </si>
  <si>
    <t>highlander men navy blue solid slim fit regular shorts</t>
  </si>
  <si>
    <t>https://www.myntra.com/jeans/roadster/roadster-men-blue-skinny-fit-mid-rise-low-distress-stretchable-jeans/11255730/buy</t>
  </si>
  <si>
    <t>roadster men blue skinny fit mid rise low distress stretchable jeans</t>
  </si>
  <si>
    <t>https://www.myntra.com/boxers/levis/levis-men-pack-of-2-pure-cotton-checked-boxers/18028792/buy</t>
  </si>
  <si>
    <t>https://www.myntra.com/tshirts/difference-of-opinion/difference-of-opinion-men-pink-striped-round-neck-t-shirt/12368030/buy</t>
  </si>
  <si>
    <t>Difference of Opinion</t>
  </si>
  <si>
    <t>difference of opinion men pink striped round neck t shirt</t>
  </si>
  <si>
    <t>https://www.myntra.com/tshirts/mast--harbour/mast--harbour-men-blue--white-striped-polo-collar-t-shirt/8325285/buy</t>
  </si>
  <si>
    <t>mast  harbour men blue  white striped polo collar t shirt</t>
  </si>
  <si>
    <t>https://www.myntra.com/shirts/mast--harbour/mast--harbour-men-pink-regular-fit-printed-smart-casual-shirt/11659166/buy</t>
  </si>
  <si>
    <t>mast  harbour men pink regular fit printed smart casual shirt</t>
  </si>
  <si>
    <t>https://www.myntra.com/tshirts/herenow/herenow-men-black-printed-round-neck-t-shirt/12816476/buy</t>
  </si>
  <si>
    <t>https://www.myntra.com/kurtas/vishudh/vishudh-women-pink-printed-a-line-kurta/13075448/buy</t>
  </si>
  <si>
    <t>vishudh women pink printed a line kurta</t>
  </si>
  <si>
    <t>https://www.myntra.com/sarees/mitera/mitera-brown--gold-coloured-ethnic-motifs-woven-design-silk-blend-banarasi-saree/14850348/buy</t>
  </si>
  <si>
    <t>mitera brown  gold coloured ethnic motifs woven design silk blend banarasi saree</t>
  </si>
  <si>
    <t>https://www.myntra.com/trousers/jaipur-kurti/jaipur-kurti-women-grey-solid-casual-trousers/2339838/buy</t>
  </si>
  <si>
    <t>jaipur kurti women grey solid casual trousers</t>
  </si>
  <si>
    <t>https://www.myntra.com/skirts/sassafras/sassafras-white-self-striped-corduroy-a-line-mini-pure-cotton-skirt/12288178/buy</t>
  </si>
  <si>
    <t>sassafras white self striped corduroy a line mini pure cotton skirt</t>
  </si>
  <si>
    <t>https://www.myntra.com/tops/roadster/roadster-women-black--burgundy-checked-shirt-style-top/10962748/buy</t>
  </si>
  <si>
    <t>roadster women black  burgundy checked shirt style top</t>
  </si>
  <si>
    <t>https://www.myntra.com/tshirts/mast--harbour/mast--harbour-women-pack-of-2-cotton-t-shirts/17524620/buy</t>
  </si>
  <si>
    <t>https://www.myntra.com/jeans/miss-chase/miss-chase-women-black-slim-fit-high-rise-clean-look-jeans/7260729/buy</t>
  </si>
  <si>
    <t>miss chase women black slim fit high rise clean look jeans</t>
  </si>
  <si>
    <t>https://www.myntra.com/tshirts/campus-sutra/campus-sutra-men-charcoal-solid-mandarin-collar-sports-t-shirt/3084800/buy</t>
  </si>
  <si>
    <t>campus sutra men charcoal solid mandarin collar sports t shirt</t>
  </si>
  <si>
    <t>https://www.myntra.com/shirts/roadster/roadster-men-coffee-brown--black-regular-fit-checked-sustainable-casual-shirt/11896066/buy</t>
  </si>
  <si>
    <t>roadster men coffee brown  black regular fit checked sustainable casual shirt</t>
  </si>
  <si>
    <t>https://www.myntra.com/sweatshirts/campus-sutra/campus-sutra-women-pink-printed-hooded-sweatshirt/10922022/buy</t>
  </si>
  <si>
    <t>campus sutra women pink printed hooded sweatshirt</t>
  </si>
  <si>
    <t>https://www.myntra.com/track-pants/hrx-by-hrithik-roshan/hrx-by-hrithik-roshan--active-women-slim-fit-black-solid-joggers/10498536/buy</t>
  </si>
  <si>
    <t>hrx by hrithik roshan  active women slim fit black solid joggers</t>
  </si>
  <si>
    <t>https://www.myntra.com/trousers/street-9/street-9-women-dusty-pink-loose-fit-solid-joggers/11234408/buy</t>
  </si>
  <si>
    <t>street 9 women dusty pink loose fit solid joggers</t>
  </si>
  <si>
    <t>https://www.myntra.com/tshirts/roadster/roadster-women-pack-of-2-pure-cotton-t-shirts/17383990/buy</t>
  </si>
  <si>
    <t>https://www.myntra.com/jeans/roadster/roadster-men-grey-slim-fit-mid-rise-clean-look-stretchable-jeans/11274794/buy</t>
  </si>
  <si>
    <t>https://www.myntra.com/briefs/levis/-levis-men-pack-of-2-solid-pure-cotton-briefs/17978982/buy</t>
  </si>
  <si>
    <t xml:space="preserve"> levis men pack of 2 solid pure cotton briefs</t>
  </si>
  <si>
    <t>XL, S, M, L</t>
  </si>
  <si>
    <t>https://www.myntra.com/shirts/invictus/invictus-men-white-lightweight-tailored-fit-formal-shirt/486789/buy</t>
  </si>
  <si>
    <t>invictus men white lightweight tailored fit formal shirt</t>
  </si>
  <si>
    <t>https://www.myntra.com/shirts/roadster/roadster-men-coffee-brown-regular-fit-solid-sustainable-casual-shirt/8894461/buy</t>
  </si>
  <si>
    <t>roadster men coffee brown regular fit solid sustainable casual shirt</t>
  </si>
  <si>
    <t>https://www.myntra.com/kurtas/maaesa/maaesa-women-navy-blue--white-hand-dyed-asymmetric-kaftan-kurta/13705338/buy</t>
  </si>
  <si>
    <t>Maaesa</t>
  </si>
  <si>
    <t>maaesa women navy blue  white hand dyed asymmetric kaftan kurta</t>
  </si>
  <si>
    <t>https://www.myntra.com/dresses/vishudh/vishudh-women-mustard-orange--pink-floral-print-maxi-dress/10016713/buy</t>
  </si>
  <si>
    <t>vishudh women mustard orange  pink floral print maxi dress</t>
  </si>
  <si>
    <t>https://www.myntra.com/kurta-sets/khushal-k/khushal-k-women-yellow--navy-blue-printed-kurta-with-palazzos--dupatta/11399560/buy</t>
  </si>
  <si>
    <t>Khushal K</t>
  </si>
  <si>
    <t>khushal k women yellow  navy blue printed kurta with palazzos  dupatta</t>
  </si>
  <si>
    <t>https://www.myntra.com/jeans/roadster/roadster-women-blue-skinny-fit-mid-rise-clean-look-stretchable-cropped-jeans/11541578/buy</t>
  </si>
  <si>
    <t>https://www.myntra.com/jeans/roadster/roadster-women-stylish-black-high-rise-relaxed-fit-stretchable-jeans/11541684/buy</t>
  </si>
  <si>
    <t>roadster women stylish black high rise relaxed fit stretchable jeans</t>
  </si>
  <si>
    <t>https://www.myntra.com/tshirts/roadster/roadster-women-pack-of-2-cotton-t-shirt/17382024/buy</t>
  </si>
  <si>
    <t>https://www.myntra.com/jeans/roadster/roadster-men-navy-blue-skinny-fit-mid-rise-clean-look-stretchable-jeans/7243641/buy</t>
  </si>
  <si>
    <t>https://www.myntra.com/jeans/roadster/roadster-men-navy-blue-skinny-fit-mid-rise-clean-look-stretchable-jeans/10064549/buy</t>
  </si>
  <si>
    <t>https://www.myntra.com/shorts/highlander/highlander-men-green-solid-slim-fit-regular-shorts/10550820/buy</t>
  </si>
  <si>
    <t>highlander men green solid slim fit regular shorts</t>
  </si>
  <si>
    <t>https://www.myntra.com/socks/mast--harbour/mast--harbour-men-set-of-3-shoe-liners/10986452/buy</t>
  </si>
  <si>
    <t>mast  harbour men set of 3 shoe liners</t>
  </si>
  <si>
    <t>https://www.myntra.com/bra/clovia/clovia-non-padded-non-wired-bra/2004670/buy</t>
  </si>
  <si>
    <t>clovia non padded non wired bra</t>
  </si>
  <si>
    <t>https://www.myntra.com/bra/jockey/jockey-pack-of-2-bras/3013686/buy</t>
  </si>
  <si>
    <t>jockey pack of 2 bras</t>
  </si>
  <si>
    <t>https://www.myntra.com/trousers/jaipur-kurti/jaipur-kurti-women-navy-blue-trousers/11053928/buy</t>
  </si>
  <si>
    <t>jaipur kurti women navy blue trousers</t>
  </si>
  <si>
    <t>https://www.myntra.com/kurta-sets/sangria/sangria-women-maroon--yellow-printed-kurta-with-palazzos/12104870/buy</t>
  </si>
  <si>
    <t>sangria women maroon  yellow printed kurta with palazzos</t>
  </si>
  <si>
    <t>https://www.myntra.com/track-pants/hrx-by-hrithik-roshan/hrx-by-hrithik-roshan-charcoal-grey-ankle-length-track-pants/2293433/buy</t>
  </si>
  <si>
    <t>hrx by hrithik roshan charcoal grey ankle length track pants</t>
  </si>
  <si>
    <t>https://www.myntra.com/tops/scorpius/scorpius-women-black-solid-bralette-top/12129998/buy</t>
  </si>
  <si>
    <t>scorpius women black solid bralette top</t>
  </si>
  <si>
    <t>https://www.myntra.com/tshirts/mast--harbour/mast--harbour-women-pack-of-2-cotton-t-shirts/17524666/buy</t>
  </si>
  <si>
    <t>https://www.myntra.com/jeans/high-star/high-star-women-white-slim-fit-mid-rise-clean-look-stretchable-jeans/7289178/buy</t>
  </si>
  <si>
    <t>high star women white slim fit mid rise clean look stretchable jeans</t>
  </si>
  <si>
    <t>28, 30, 32, 34, 36, 38, 40, 42, 44</t>
  </si>
  <si>
    <t>https://www.myntra.com/jeans/roadster/roadster-women-blue-flared-high-rise-mildly-distressed-stretchable-jeans/11542032/buy</t>
  </si>
  <si>
    <t>roadster women blue flared high rise mildly distressed stretchable jeans</t>
  </si>
  <si>
    <t>https://www.myntra.com/jumpsuit/athena/athena-women-multicoloured-striped-basic-jumpsuit/10797974/buy</t>
  </si>
  <si>
    <t>athena women multicoloured striped basic jumpsuit</t>
  </si>
  <si>
    <t>https://www.myntra.com/tshirts/roadster/roadster-women-rose-solid-polo-collar-t-shirt-with-embroidery/13321874/buy</t>
  </si>
  <si>
    <t>roadster women rose solid polo collar t shirt with embroidery</t>
  </si>
  <si>
    <t>https://www.myntra.com/tops/sassafras/sassafras-women-sea-green-solid-a-line-top/11364154/buy</t>
  </si>
  <si>
    <t>sassafras women sea green solid a line top</t>
  </si>
  <si>
    <t>https://www.myntra.com/trousers/roadster/roadster-men-blue-regular-fit-solid-regular-trousers/13859558/buy</t>
  </si>
  <si>
    <t>roadster men blue regular fit solid regular trousers</t>
  </si>
  <si>
    <t>https://www.myntra.com/shorts/highlander/highlander-men-olive-green-solid-slim-fit-chino-shorts/10792190/buy</t>
  </si>
  <si>
    <t>highlander men olive green solid slim fit chino shorts</t>
  </si>
  <si>
    <t>https://www.myntra.com/kurtas/see-designs/see-designs-men-peach-coloured--white-printed-pure-cotton-straight-kurta/13488722/buy</t>
  </si>
  <si>
    <t>see designs men peach coloured  white printed pure cotton straight kurta</t>
  </si>
  <si>
    <t>https://www.myntra.com/shirts/wrogn/wrogn-men-white-checked-casual-shirt/1758558/buy</t>
  </si>
  <si>
    <t>wrogn men white checked casual shirt</t>
  </si>
  <si>
    <t>https://www.myntra.com/tshirts/roadster/the-roadster-lifestyle-co-men-mustard-yellow-solid-round-neck-pure-cotton-t-shirt/10939048/buy</t>
  </si>
  <si>
    <t>the roadster lifestyle co men mustard yellow solid round neck pure cotton t shirt</t>
  </si>
  <si>
    <t>https://www.myntra.com/palazzos/vishudh/vishudh-women-cream-coloured--gold-toned-printed-straight-palazzos/14194616/buy</t>
  </si>
  <si>
    <t>vishudh women cream coloured  gold toned printed straight palazzos</t>
  </si>
  <si>
    <t>https://www.myntra.com/dresses/pluss/pluss-women-multicoloured-striped-fit--flare-dress/8969633/buy</t>
  </si>
  <si>
    <t>pluss women multicoloured striped fit  flare dress</t>
  </si>
  <si>
    <t>https://www.myntra.com/leggings/herenow/herenow-women-fuchsia-pink-solid-ankle-length-leggings/14268564/buy</t>
  </si>
  <si>
    <t>herenow women fuchsia pink solid ankle length leggings</t>
  </si>
  <si>
    <t>https://www.myntra.com/shirts/tokyo-talkies/tokyo-talkies-women-white-manhattan-regular-fit-printed-casual-shirt/12789592/buy</t>
  </si>
  <si>
    <t>tokyo talkies women white manhattan regular fit printed casual shirt</t>
  </si>
  <si>
    <t>https://www.myntra.com/sweatshirts/roadster/the-roadster-lifestyle-co-women-red-solid-hooded-sweatshirt/9901957/buy</t>
  </si>
  <si>
    <t>the roadster lifestyle co women red solid hooded sweatshirt</t>
  </si>
  <si>
    <t>https://www.myntra.com/tops/street-9/street-9-white-one-shoulder-cinched-waist-pure-cotton-top/11677786/buy</t>
  </si>
  <si>
    <t>street 9 white one shoulder cinched waist pure cotton top</t>
  </si>
  <si>
    <t>https://www.myntra.com/tshirts/mast--harbour/mast--harbour-women-pack-of-2-cotton-t-shirts/17524640/buy</t>
  </si>
  <si>
    <t>https://www.myntra.com/tshirts/mast--harbour/mast--harbour-women-pack-of-2-cotton-t-shirts/17524658/buy</t>
  </si>
  <si>
    <t>https://www.myntra.com/sweatshirts/mast--harbour/mast--harbour-women-off-white--rust-orange-colourblocked-hooded-sweatshirt/9968719/buy</t>
  </si>
  <si>
    <t>mast  harbour women off white  rust orange colourblocked hooded sweatshirt</t>
  </si>
  <si>
    <t>https://www.myntra.com/trousers/juniper/juniper-women-attractive-off-white-solid-scalloped-edge-trousers/12388718/buy</t>
  </si>
  <si>
    <t>juniper women attractive off white solid scalloped edge trousers</t>
  </si>
  <si>
    <t>https://www.myntra.com/tops/berrylush/berrylush-black-high-low-top/6791178/buy</t>
  </si>
  <si>
    <t>berrylush black high low top</t>
  </si>
  <si>
    <t>https://www.myntra.com/jeans/roadster/roadster-women-black-regular-fit-mid-rise-clean-look-stretchable-jeans/4451422/buy</t>
  </si>
  <si>
    <t>roadster women black regular fit mid rise clean look stretchable jeans</t>
  </si>
  <si>
    <t>https://www.myntra.com/tshirts/mast--harbour/mast--harbour-women-yellow-mustard-striped-round-neck-t-shirt/9125973/buy</t>
  </si>
  <si>
    <t>mast  harbour women yellow mustard striped round neck t shirt</t>
  </si>
  <si>
    <t>Rs. 250 OFF</t>
  </si>
  <si>
    <t>https://www.myntra.com/tshirts/roadster/the-roadster-lifestyle-co-women-green-printed-round-neck-pure-cotton-t-shirt/10968554/buy</t>
  </si>
  <si>
    <t>the roadster lifestyle co women green printed round neck pure cotton t shirt</t>
  </si>
  <si>
    <t>https://www.myntra.com/tshirts/roadster/roadster-women-olive-grey-solid-polo-collar-pure-cotton-t-shirt/10969896/buy</t>
  </si>
  <si>
    <t>roadster women olive grey solid polo collar pure cotton t shirt</t>
  </si>
  <si>
    <t>https://www.myntra.com/shirts/hm/hm-women-black-oversized-cotton-shirt/12345338/buy</t>
  </si>
  <si>
    <t>hm women black oversized cotton shirt</t>
  </si>
  <si>
    <t>https://www.myntra.com/tshirts/fido-dido/fido-dido-men-salmon-pink-solid-polo-collar-pure-cotton-t-shirt/11878810/buy</t>
  </si>
  <si>
    <t>FIDO DIDO</t>
  </si>
  <si>
    <t>fido dido men salmon pink solid polo collar pure cotton t shirt</t>
  </si>
  <si>
    <t>https://www.myntra.com/tops/berrylush/berrylush-women-black-printed-bralette-top/12800760/buy</t>
  </si>
  <si>
    <t>berrylush women black printed bralette top</t>
  </si>
  <si>
    <t>https://www.myntra.com/tops/dressberry/dressberry-olive-green-self-design-lace-top/11271818/buy</t>
  </si>
  <si>
    <t>dressberry olive green self design lace top</t>
  </si>
  <si>
    <t>https://www.myntra.com/tshirts/mast--harbour/mast--harbour-women-pack-of-2-cotton-t-shirts/17524616/buy</t>
  </si>
  <si>
    <t>https://www.myntra.com/dresses/dressberry/dressberry-women-deep-navy-blue-floral-volume-play-dress/11680702/buy</t>
  </si>
  <si>
    <t>dressberry women deep navy blue floral volume play dress</t>
  </si>
  <si>
    <t>https://www.myntra.com/tshirts/roadster/roadster-women-white-boxy-fit-solid-round-neck-crop-t-shirt/11697388/buy</t>
  </si>
  <si>
    <t>roadster women white boxy fit solid round neck crop t shirt</t>
  </si>
  <si>
    <t>https://www.myntra.com/tops/hrx-by-hrithik-roshan/hrx-by-hrithik-roshan-women-charcoal-grey-printed-top/1546306/buy</t>
  </si>
  <si>
    <t>hrx by hrithik roshan women charcoal grey printed top</t>
  </si>
  <si>
    <t>https://www.myntra.com/tshirts/roadster/roadster-women-black-solid-round-neck-pure-cotton-t-shirt/11296172/buy</t>
  </si>
  <si>
    <t>roadster women black solid round neck pure cotton t shirt</t>
  </si>
  <si>
    <t>https://www.myntra.com/tops/rare/rare-women-blue-lightweight-floral-printed-bardot-top/1901032/buy</t>
  </si>
  <si>
    <t>rare women blue lightweight floral printed bardot top</t>
  </si>
  <si>
    <t>https://www.myntra.com/shorts/arise/arise-men-grey-solid-regular-fit-shorts/5345802/buy</t>
  </si>
  <si>
    <t>arise men grey solid regular fit shorts</t>
  </si>
  <si>
    <t>https://www.myntra.com/shirts/highlander/highlander-men-black-pure-cotton-casual-shirt/2041658/buy</t>
  </si>
  <si>
    <t>highlander men black pure cotton casual shirt</t>
  </si>
  <si>
    <t>https://www.myntra.com/shirts/mast--harbour/mast--harbour-men-blue-slim-fit-solid-chambray-casual-shirt/4450306/buy</t>
  </si>
  <si>
    <t>mast  harbour men blue slim fit solid chambray casual shirt</t>
  </si>
  <si>
    <t>https://www.myntra.com/shirts/wrogn/wrogn-men-navy-blue--purple-slim-fit-striped-casual-shirt/11361568/buy</t>
  </si>
  <si>
    <t>wrogn men navy blue  purple slim fit striped casual shirt</t>
  </si>
  <si>
    <t>https://www.myntra.com/tshirts/roadster/roadster-men-charcoal-grey--black-striped-henley-neck-t-shirt/1997338/buy</t>
  </si>
  <si>
    <t>roadster men charcoal grey  black striped henley neck t shirt</t>
  </si>
  <si>
    <t>https://www.myntra.com/dresses/anouk/anouk-women-maroon-printed-a-line-dress/11113836/buy</t>
  </si>
  <si>
    <t>anouk women maroon printed a line dress</t>
  </si>
  <si>
    <t>https://www.myntra.com/kurtas/varanga/varanga-women-maroon--golden-printed-straight-kurta/7224389/buy</t>
  </si>
  <si>
    <t>varanga women maroon  golden printed straight kurta</t>
  </si>
  <si>
    <t>https://www.myntra.com/kurtas/vishudh/vishudh-women-grey--blue-solid-a-line-kurta/2693895/buy</t>
  </si>
  <si>
    <t>vishudh women grey  blue solid a line kurta</t>
  </si>
  <si>
    <t>https://www.myntra.com/tshirts/moda-rapido/moda-rapido-women-off-white-printed-t-shirt/14140618/buy</t>
  </si>
  <si>
    <t>moda rapido women off white printed t shirt</t>
  </si>
  <si>
    <t>https://www.myntra.com/kurtas/sangria/sangria-women-white--navy-blue-paper-birds-printed-straight-kurta/11174242/buy</t>
  </si>
  <si>
    <t>sangria women white  navy blue paper birds printed straight kurta</t>
  </si>
  <si>
    <t>https://www.myntra.com/tops/sassafras/sassafras-white-schiffli-embroidered-a-line-pure-cotton-top/11549424/buy</t>
  </si>
  <si>
    <t>sassafras white schiffli embroidered a line pure cotton top</t>
  </si>
  <si>
    <t>https://www.myntra.com/dresses/aasi---house-of-nayo/aasi---house-of-nayo-black-ethnic-motifs-embroidered-cotton-a-line-ethnic-dress/13088236/buy</t>
  </si>
  <si>
    <t>aasi   house of nayo black ethnic motifs embroidered cotton a line ethnic dress</t>
  </si>
  <si>
    <t>https://www.myntra.com/jeans/roadster/roadster-women-stunning-blue-straight-fit-cropped-stretchable-jeans/10058485/buy</t>
  </si>
  <si>
    <t>roadster women stunning blue straight fit cropped stretchable jeans</t>
  </si>
  <si>
    <t>https://www.myntra.com/tops/dressberry/dressberry-women-black-solid-top/11272226/buy</t>
  </si>
  <si>
    <t>dressberry women black solid top</t>
  </si>
  <si>
    <t>https://www.myntra.com/tshirts/roadster/roadster-women-dusty-pink-solid-round-neck-pure-cotton-t-shirt/11401904/buy</t>
  </si>
  <si>
    <t>roadster women dusty pink solid round neck pure cotton t shirt</t>
  </si>
  <si>
    <t>https://www.myntra.com/shirts/roadster/roadster-men-brown-regular-fit-solid-sustainable-casual-shirt/11327116/buy</t>
  </si>
  <si>
    <t>roadster men brown regular fit solid sustainable casual shirt</t>
  </si>
  <si>
    <t>https://www.myntra.com/sarees/inddus/inddus-maroon-cotton-blend-woven-design-chanderi-saree/11423194/buy</t>
  </si>
  <si>
    <t>inddus maroon cotton blend woven design chanderi saree</t>
  </si>
  <si>
    <t>https://www.myntra.com/briefs/jockey/jockey-women-navy-blue-solid-hipster-briefs-1802-0105/11068136/buy</t>
  </si>
  <si>
    <t>jockey women navy blue solid hipster briefs 1802 0105</t>
  </si>
  <si>
    <t>https://www.myntra.com/briefs/jockey/jockey-women-pack-of-2-solid-hipster-briefs/11810534/buy</t>
  </si>
  <si>
    <t>jockey women pack of 2 solid hipster briefs</t>
  </si>
  <si>
    <t>https://www.myntra.com/bra/zivame/zivame-black-solid-non-wired-non-padded-everyday-bra/2298921/buy</t>
  </si>
  <si>
    <t>zivame black solid non wired non padded everyday bra</t>
  </si>
  <si>
    <t>32D, 32DD, 34D, 34DD, 36D, 36DD, 38D, 38DD, 40C, 40D, 40DD</t>
  </si>
  <si>
    <t>https://www.myntra.com/kurtas/herenow/herenow-earthy-stripes-straight-kurta/2152694/buy</t>
  </si>
  <si>
    <t>herenow earthy stripes straight kurta</t>
  </si>
  <si>
    <t>https://www.myntra.com/jeans/moda-rapido/moda-rapido-women-ankle-length-skinny-fit-blue-mildly-distressed-stretchable-jeans/1800330/buy</t>
  </si>
  <si>
    <t>moda rapido women ankle length skinny fit blue mildly distressed stretchable jeans</t>
  </si>
  <si>
    <t>https://www.myntra.com/sweatshirts/roadster/roadster-women-beige-solid-hooded-sweatshirt/11991534/buy</t>
  </si>
  <si>
    <t>roadster women beige solid hooded sweatshirt</t>
  </si>
  <si>
    <t>https://www.myntra.com/dresses/20dresses/20dresses-red-one-shoulder-pleated-fit--flare-dress/2432653/buy</t>
  </si>
  <si>
    <t>20dresses red one shoulder pleated fit  flare dress</t>
  </si>
  <si>
    <t>https://www.myntra.com/jackets/roadster/roadster-women-red-solid-hooded-padded-jacket/12698614/buy</t>
  </si>
  <si>
    <t>roadster women red solid hooded padded jacket</t>
  </si>
  <si>
    <t>https://www.myntra.com/tshirts/mast--harbour/mast--harbour-women-white-pure-cotton-typography-printed-t-shirt--mask/13320974/buy</t>
  </si>
  <si>
    <t>mast  harbour women white pure cotton typography printed t shirt  mask</t>
  </si>
  <si>
    <t>https://www.myntra.com/tshirts/roadster/the-roadster-lifestyle-co-women-navy-blue-solid-polo-collar-pure-cotton-t-shirt/10970290/buy</t>
  </si>
  <si>
    <t>the roadster lifestyle co women navy blue solid polo collar pure cotton t shirt</t>
  </si>
  <si>
    <t>https://www.myntra.com/trousers/jompers/jompers-women-off-white-smart-slim-fit-solid-regular-trousers/8367901/buy</t>
  </si>
  <si>
    <t>jompers women off white smart slim fit solid regular trousers</t>
  </si>
  <si>
    <t>https://www.myntra.com/tshirts/roadster/roadster-women-pack-of-2-pure-cotton-t-shirts/17383976/buy</t>
  </si>
  <si>
    <t>https://www.myntra.com/kurtas/taavi/taavi-men-blue-indigo-hand-block-print-straight-sustainable-kurta-with-pockets/9294989/buy</t>
  </si>
  <si>
    <t>taavi men blue indigo hand block print straight sustainable kurta with pockets</t>
  </si>
  <si>
    <t>https://www.myntra.com/shirts/locomotive/locomotive-men-white-slim-fit-solid-casual-shirt/12970020/buy</t>
  </si>
  <si>
    <t>locomotive men white slim fit solid casual shirt</t>
  </si>
  <si>
    <t>https://www.myntra.com/kurtas/ksut/ksut-women-mustard-yellow--blue-printed-straight-kurta/11531100/buy</t>
  </si>
  <si>
    <t>ksut women mustard yellow  blue printed straight kurta</t>
  </si>
  <si>
    <t>https://www.myntra.com/kurtas/herenow/herenow-women-peach-coloured--golden-printed-straight-kurta/12851406/buy</t>
  </si>
  <si>
    <t>herenow women peach coloured  golden printed straight kurta</t>
  </si>
  <si>
    <t>https://www.myntra.com/jeans/herenow/herenow-women-white-regular-fit-mid-rise-clean-look-stretchable-jeans/12522924/buy</t>
  </si>
  <si>
    <t>herenow women white regular fit mid rise clean look stretchable jeans</t>
  </si>
  <si>
    <t>https://www.myntra.com/tshirts/hrx-by-hrithik-roshan/hrx-by-hrithik-roshan-women-black-solid-round-neck-t-shirt/7695809/buy</t>
  </si>
  <si>
    <t>hrx by hrithik roshan women black solid round neck t shirt</t>
  </si>
  <si>
    <t>https://www.myntra.com/tops/street-9/street-9-white-puff-sleeves-blouson-top/13738616/buy</t>
  </si>
  <si>
    <t>street 9 white puff sleeves blouson top</t>
  </si>
  <si>
    <t>https://www.myntra.com/tops/taavi/taavi-women-blue--white-indigo-hand-block-print-high-low-sustainable-pure-cotton-top-with-tie-up-neck/8860719/buy</t>
  </si>
  <si>
    <t>taavi women blue  white indigo hand block print high low sustainable pure cotton top with tie up neck</t>
  </si>
  <si>
    <t>https://www.myntra.com/dresses/tokyo-talkies/tokyo-talkies-women-black--white-fit-and-flare-dress/10082953/buy</t>
  </si>
  <si>
    <t>tokyo talkies women black  white fit and flare dress</t>
  </si>
  <si>
    <t>https://www.myntra.com/jeans/chemistry/chemistry-women-blue-flared-mid-rise-clean-look-jeans/8505847/buy</t>
  </si>
  <si>
    <t>chemistry women blue flared mid rise clean look jeans</t>
  </si>
  <si>
    <t>https://www.myntra.com/jumpsuit/sassafras/sassafras-women-maroon-solid-layered-basic-jumpsuit/10604534/buy</t>
  </si>
  <si>
    <t>sassafras women maroon solid layered basic jumpsuit</t>
  </si>
  <si>
    <t>https://www.myntra.com/tshirts/mast--harbour/mast--harbour-women-pink-solid-round-neck-pure-cotton-t-shirt/2490934/buy</t>
  </si>
  <si>
    <t>mast  harbour women pink solid round neck pure cotton t shirt</t>
  </si>
  <si>
    <t>https://www.myntra.com/tshirts/roadster/roadster-women-teal-green--white-printed-round-neck-t-shirt/12193328/buy</t>
  </si>
  <si>
    <t>roadster women teal green  white printed round neck t shirt</t>
  </si>
  <si>
    <t>https://www.myntra.com/trousers/us-polo-assn/us-polo-assn-men-khaki-slim-fit-solid-chinos/1966990/buy</t>
  </si>
  <si>
    <t>us polo assn men khaki slim fit solid chinos</t>
  </si>
  <si>
    <t>https://www.myntra.com/track-pants/maniac/maniac-men-navy-blue-solid-joggers-/11198082/buy</t>
  </si>
  <si>
    <t xml:space="preserve">maniac men navy blue solid joggers </t>
  </si>
  <si>
    <t>https://www.myntra.com/jackets/hrx-by-hrithik-roshan/hrx-by-hrithik-roshan-men-black-solid-sporty-jacket/1868250/buy</t>
  </si>
  <si>
    <t>hrx by hrithik roshan men black solid sporty jacket</t>
  </si>
  <si>
    <t>https://www.myntra.com/shirts/herenow/herenow-men-blue--maroon-slim-fit-checked-casual-shirt/14098622/buy</t>
  </si>
  <si>
    <t>herenow men blue  maroon slim fit checked casual shirt</t>
  </si>
  <si>
    <t>https://www.myntra.com/tshirts/mast--harbour/mast--harbour-men-peach-coloured-solid-round-neck-t-shirt/12115912/buy</t>
  </si>
  <si>
    <t>https://www.myntra.com/kurta-sets/khushal-k/khushal-k-women-pink--silver-coloured-solid-kurta-with-palazzos/9162489/buy</t>
  </si>
  <si>
    <t>khushal k women pink  silver coloured solid kurta with palazzos</t>
  </si>
  <si>
    <t>https://www.myntra.com/tops/pluss/pluss-rust-orange-ruffled-top/12635974/buy</t>
  </si>
  <si>
    <t>pluss rust orange ruffled top</t>
  </si>
  <si>
    <t>https://www.myntra.com/tops/harpa/harpa-women-white-printed-top/13532722/buy</t>
  </si>
  <si>
    <t>harpa women white printed top</t>
  </si>
  <si>
    <t>https://www.myntra.com/dresses/tokyo-talkies/tokyo-talkies-women-silver-toned-solid-sheath-dress/12876644/buy</t>
  </si>
  <si>
    <t>tokyo talkies women silver toned solid sheath dress</t>
  </si>
  <si>
    <t>https://www.myntra.com/tops/dressberry/dressberry-women-tranquil-peach-floral-vacay-attire/11183034/buy</t>
  </si>
  <si>
    <t>dressberry women tranquil peach floral vacay attire</t>
  </si>
  <si>
    <t>https://www.myntra.com/tshirts/mast--harbour/mast--harbour-women-pack-of-2-cotton-t-shirts/17524632/buy</t>
  </si>
  <si>
    <t>https://www.myntra.com/tshirts/mast--harbour/mast--harbour-women-pack-of-2-printed-pure-cotton-tshirts/17525584/buy</t>
  </si>
  <si>
    <t>https://www.myntra.com/jeans/roadster/roadster-women-blue-skinny-fit-mid-rise-clean-look-stretchable-cropped-jeans/7139177/buy</t>
  </si>
  <si>
    <t>https://www.myntra.com/jumpsuit/uf/uf-women-sea-green--purple-smoked-bodice-floral-print-basic-jumpsuit/12762090/buy</t>
  </si>
  <si>
    <t>uf women sea green  purple smoked bodice floral print basic jumpsuit</t>
  </si>
  <si>
    <t>https://www.myntra.com/tshirts/roadster/roadster-women-lavender-solid-round-neck-pure-cotton-t-shirt/11401894/buy</t>
  </si>
  <si>
    <t>roadster women lavender solid round neck pure cotton t shirt</t>
  </si>
  <si>
    <t>https://www.myntra.com/jeans/highlander/highlander-men-blue-slim-fit-mid-rise-clean-look-stretchable-jeans/3880903/buy</t>
  </si>
  <si>
    <t>highlander men blue slim fit mid rise clean look stretchable jeans</t>
  </si>
  <si>
    <t>https://www.myntra.com/kurtas/anouk/anouk-men-navy-blue-thread-work-kurta/13238938/buy</t>
  </si>
  <si>
    <t>anouk men navy blue thread work kurta</t>
  </si>
  <si>
    <t>https://www.myntra.com/socks/kiprun-by-decathlon/kiprun-by-decathlon-pack-of-3-solid-black-running-socks/14322004/buy</t>
  </si>
  <si>
    <t>KIPRUN By Decathlon</t>
  </si>
  <si>
    <t>kiprun by decathlon pack of 3 solid black running socks</t>
  </si>
  <si>
    <t>UK2.5, UK5.5, UK8.5, UK12</t>
  </si>
  <si>
    <t>https://www.myntra.com/shirts/highlander/highlander-men-navy-blue-tropical-printed-casual-shirt/13658904/buy</t>
  </si>
  <si>
    <t>highlander men navy blue tropical printed casual shirt</t>
  </si>
  <si>
    <t>https://www.myntra.com/tshirts/roadster/roadster-men-navy-blue--white-striped-polo-collar-pure-cotton-t-shirt/11278658/buy</t>
  </si>
  <si>
    <t>https://www.myntra.com/shirts/herenow/herenow-men-cotton-linen-yellow-casual-shirt/2414326/buy</t>
  </si>
  <si>
    <t>herenow men cotton linen yellow casual shirt</t>
  </si>
  <si>
    <t>https://www.myntra.com/kurtas/anubhutee/anubhutee-women-pink--golden-foil-printed-straight-kurta/11531184/buy</t>
  </si>
  <si>
    <t>anubhutee women pink  golden foil printed straight kurta</t>
  </si>
  <si>
    <t>https://www.myntra.com/kurtas/sangria/sangria-women-pink-solid-a-line-kurta/8349867/buy</t>
  </si>
  <si>
    <t>sangria women pink solid a line kurta</t>
  </si>
  <si>
    <t>https://www.myntra.com/bra/enamor/enamor-black-non-wired-non-padded-full-coverage-everyday-tshirt-bra-a030-/13021584/buy</t>
  </si>
  <si>
    <t xml:space="preserve">enamor black non wired non padded full coverage everyday tshirt bra a030 </t>
  </si>
  <si>
    <t>https://www.myntra.com/kurtas/herenow/herenow-women-blue--white-printed-straight-kurta/12050644/buy</t>
  </si>
  <si>
    <t>https://www.myntra.com/tshirts/mast--harbour/mast--harbour-women-pack-of-2-cotton-t-shirts/17524630/buy</t>
  </si>
  <si>
    <t>https://www.myntra.com/tshirts/mast--harbour/mast--harbour-women-pack-of-2-cotton-t-shirts/17524644/buy</t>
  </si>
  <si>
    <t>https://www.myntra.com/skirts/sassafras/sassafras-blue-washed-midi-denim-pure-cotton-a-line-skirt/10604482/buy</t>
  </si>
  <si>
    <t>sassafras blue washed midi denim pure cotton a line skirt</t>
  </si>
  <si>
    <t>https://www.myntra.com/dresses/street-9/street-9-women-teal-green-lace-layered-a-line-dress/10773356/buy</t>
  </si>
  <si>
    <t>street 9 women teal green lace layered a line dress</t>
  </si>
  <si>
    <t>https://www.myntra.com/tshirts/roadster/the-roadster-lifestyle-co-women-black-printed-round-neck-t-shirt/10968580/buy</t>
  </si>
  <si>
    <t>the roadster lifestyle co women black printed round neck t shirt</t>
  </si>
  <si>
    <t>https://www.myntra.com/shirts/roadster/roadster-men-olive-green-regular-fit-solid-casual-shirt/11326374/buy</t>
  </si>
  <si>
    <t>roadster men olive green regular fit solid casual shirt</t>
  </si>
  <si>
    <t>https://www.myntra.com/shirts/invictus/invictus-red--navy-checked-slim-formal-shirt/1038959/buy</t>
  </si>
  <si>
    <t>invictus red  navy checked slim formal shirt</t>
  </si>
  <si>
    <t>https://www.myntra.com/shirts/roadster/the-roadster-lifestyle-co-men-blue-casual-sustainable-denim-shirt/10863066/buy</t>
  </si>
  <si>
    <t>the roadster lifestyle co men blue casual sustainable denim shirt</t>
  </si>
  <si>
    <t>https://www.myntra.com/shirts/jainish/jainish-men-pack-of-2-classic-shirts/9342501/buy</t>
  </si>
  <si>
    <t>jainish men pack of 2 classic shirts</t>
  </si>
  <si>
    <t>44, 42, 40, 38, 36</t>
  </si>
  <si>
    <t>https://www.myntra.com/tshirts/roadster/roadster-men-maroon-solid-round-neck-pure-cotton-t-shirt/9334709/buy</t>
  </si>
  <si>
    <t>roadster men maroon solid round neck pure cotton t shirt</t>
  </si>
  <si>
    <t>https://www.myntra.com/dupatta/taavi/taavi-women-white-block-print-legacy-pure-cotton-dupatta/7538236/buy</t>
  </si>
  <si>
    <t>taavi women white block print legacy pure cotton dupatta</t>
  </si>
  <si>
    <t>https://www.myntra.com/kurtas/ziyaa/ziyaa-women-black-foil-printed-anarkali-kurta/13594784/buy</t>
  </si>
  <si>
    <t>ziyaa women black foil printed anarkali kurta</t>
  </si>
  <si>
    <t>https://www.myntra.com/kurtas/divyank/divyank-women-green--yellow-bandhani-printed-anarkali-kurta/15495246/buy</t>
  </si>
  <si>
    <t>DIVYANK</t>
  </si>
  <si>
    <t>divyank women green  yellow bandhani printed anarkali kurta</t>
  </si>
  <si>
    <t>https://www.myntra.com/skirts/varanga/varanga-blue--pink-printed-flared-maxi-dress/10653790/buy</t>
  </si>
  <si>
    <t>varanga blue  pink printed flared maxi dress</t>
  </si>
  <si>
    <t>26, 28, 30, 32, 35</t>
  </si>
  <si>
    <t>https://www.myntra.com/tshirts/mast--harbour/mast--harbour-women-pack-of-2-cotton-t-shirts/17524624/buy</t>
  </si>
  <si>
    <t>https://www.myntra.com/dresses/sassafras/sassafras-women-navy-blue-printed-a-line-dress/8488101/buy</t>
  </si>
  <si>
    <t>sassafras women navy blue printed a line dress</t>
  </si>
  <si>
    <t>https://www.myntra.com/dresses/antheaa/antheaa-women-burgundy-tiered-keyhole-neck-solid-maxi-dress/13780910/buy</t>
  </si>
  <si>
    <t>antheaa women burgundy tiered keyhole neck solid maxi dress</t>
  </si>
  <si>
    <t>https://www.myntra.com/dresses/karmic-vision/karmic-vision-black-lace-maxi-dress/10132463/buy</t>
  </si>
  <si>
    <t>Karmic Vision</t>
  </si>
  <si>
    <t>karmic vision black lace maxi dress</t>
  </si>
  <si>
    <t>https://www.myntra.com/jeans/roadster/roadster-men-blue-skinny-fit-mid-rise-clean-look-stretchable-jeans/8962401/buy</t>
  </si>
  <si>
    <t>https://www.myntra.com/jeans/urbano-fashion/urbano-fashion-men-grey-slim-fit-mid-rise-clean-look-stretchable-jogger-jeans/11744372/buy</t>
  </si>
  <si>
    <t>Urbano Fashion</t>
  </si>
  <si>
    <t>urbano fashion men grey slim fit mid rise clean look stretchable jogger jeans</t>
  </si>
  <si>
    <t>https://www.myntra.com/tshirts/hrx-by-hrithik-roshan/hrx-by-hrithik-roshan-men-olive-green-solid-training-t-shirt/10106047/buy</t>
  </si>
  <si>
    <t>hrx by hrithik roshan men olive green solid training t shirt</t>
  </si>
  <si>
    <t>https://www.myntra.com/kurta-sets/libas/libas-women-maroon-striped-kurta-with-sharara--dupatta/13169092/buy</t>
  </si>
  <si>
    <t>libas women maroon striped kurta with sharara  dupatta</t>
  </si>
  <si>
    <t>https://www.myntra.com/sarees/mitera/mitera-olive-green-silk-blend-woven-design-kanjeevaram-saree/11076746/buy</t>
  </si>
  <si>
    <t>mitera olive green silk blend woven design kanjeevaram saree</t>
  </si>
  <si>
    <t>https://www.myntra.com/kurtas/herenow/herenow-women-mustard--black-printed-straight-kurta/12530348/buy</t>
  </si>
  <si>
    <t>herenow women mustard  black printed straight kurta</t>
  </si>
  <si>
    <t>https://www.myntra.com/tops/harpa/harpa-women-red-floral-printed-top/13532786/buy</t>
  </si>
  <si>
    <t>harpa women red floral printed top</t>
  </si>
  <si>
    <t>https://www.myntra.com/tops/sassafras/sassafras-pink--orange-floral-printed-puff-sleeves-blouson-top/13581118/buy</t>
  </si>
  <si>
    <t>sassafras pink  orange floral printed puff sleeves blouson top</t>
  </si>
  <si>
    <t>https://www.myntra.com/tops/roadster/roadster-women-black-solid-top/8593717/buy</t>
  </si>
  <si>
    <t>roadster women black solid top</t>
  </si>
  <si>
    <t>https://www.myntra.com/tshirts/roadster/the-roadster-lifestyle-co-women-maroon-solid-round-neck-pure-cotton-t-shirt/10778650/buy</t>
  </si>
  <si>
    <t>the roadster lifestyle co women maroon solid round neck pure cotton t shirt</t>
  </si>
  <si>
    <t>https://www.myntra.com/trousers/nation-polo-club/nation-polo-club-men-maroon-skinny-fit-solid-chinos/6558977/buy</t>
  </si>
  <si>
    <t>Nation Polo Club</t>
  </si>
  <si>
    <t>nation polo club men maroon skinny fit solid chinos</t>
  </si>
  <si>
    <t>https://www.myntra.com/tshirts/huetrap/huetrap-men-navy-blue-graphic-printed-cotton-t-shirt/2352554/buy</t>
  </si>
  <si>
    <t>huetrap men navy blue graphic printed cotton t shirt</t>
  </si>
  <si>
    <t>https://www.myntra.com/sweatshirts/roadster/roadster-men-mustard-yellow-colourblocked-sweatshirt/10099655/buy</t>
  </si>
  <si>
    <t>roadster men mustard yellow colourblocked sweatshirt</t>
  </si>
  <si>
    <t>https://www.myntra.com/shirts/harvard/harvard-men-navy-blue--brown-slim-fit-checked-casual-shirt/2358027/buy</t>
  </si>
  <si>
    <t>harvard men navy blue  brown slim fit checked casual shirt</t>
  </si>
  <si>
    <t>https://www.myntra.com/tops/sangria/sangria-blue-abstract-pure-cotton-top/8458745/buy</t>
  </si>
  <si>
    <t>sangria blue abstract pure cotton top</t>
  </si>
  <si>
    <t>https://www.myntra.com/sarees/mitera/mitera-grey--turquoise-blue-silk-blend-woven-design-kanjeevaram-saree/11244982/buy</t>
  </si>
  <si>
    <t>mitera grey  turquoise blue silk blend woven design kanjeevaram saree</t>
  </si>
  <si>
    <t>https://www.myntra.com/leggings/anouk/anouk-women-blue-solid-ankle-length-leggings/13905728/buy</t>
  </si>
  <si>
    <t>anouk women blue solid ankle length leggings</t>
  </si>
  <si>
    <t>https://www.myntra.com/dresses/pluss/pluss-mighty-beige-and-black-animal-printed-tiered-shirt-balloon-dress/13897772/buy</t>
  </si>
  <si>
    <t>pluss mighty beige and black animal printed tiered shirt balloon dress</t>
  </si>
  <si>
    <t>https://www.myntra.com/tshirts/mast--harbour/mast--harbour-women-pack-of-2-printed-cotton-regular-fit-t-shirts/17524680/buy</t>
  </si>
  <si>
    <t>mast  harbour women pack of 2 printed cotton regular fit t shirts</t>
  </si>
  <si>
    <t>https://www.myntra.com/dresses/berrylush/berrylush-women-green-solid-maxi-dress/11046736/buy</t>
  </si>
  <si>
    <t>berrylush women green solid maxi dress</t>
  </si>
  <si>
    <t>https://www.myntra.com/dresses/woowzerz/woowzerz-black-asymmetric-blazer-dress/9396259/buy</t>
  </si>
  <si>
    <t>woowzerz black asymmetric blazer dress</t>
  </si>
  <si>
    <t>https://www.myntra.com/trousers/vishudh/vishudh-women-beige-regular-fit-solid-cropped-parallel-trousers/7573014/buy</t>
  </si>
  <si>
    <t>vishudh women beige regular fit solid cropped parallel trousers</t>
  </si>
  <si>
    <t>https://www.myntra.com/jeans/roadster/roadster-men-blue-slim-tapered-fit-mid-rise-clean-look-stretchable-cropped-jeans/12358332/buy</t>
  </si>
  <si>
    <t>roadster men blue slim tapered fit mid rise clean look stretchable cropped jeans</t>
  </si>
  <si>
    <t>https://www.myntra.com/jeans/highlander/highlander-men-blue-tapered-fit-mid-rise-clean-look-stretchable-jeans/11315404/buy</t>
  </si>
  <si>
    <t>https://www.myntra.com/trousers/black-coffee/black-coffee-men-black--grey-slim-fit-checked-formal-trousers/11267248/buy</t>
  </si>
  <si>
    <t>black coffee men black  grey slim fit checked formal trousers</t>
  </si>
  <si>
    <t>https://www.myntra.com/socks/puma/puma-unisex-pack-of-2-assorted-ankle-length-socks/11949510/buy</t>
  </si>
  <si>
    <t>puma unisex pack of 2 assorted ankle length socks</t>
  </si>
  <si>
    <t xml:space="preserve">Pack, </t>
  </si>
  <si>
    <t>https://www.myntra.com/shirts/highlander/highlander-men-dapper-blue-conversational-resort-wear-shirt/13815384/buy</t>
  </si>
  <si>
    <t>highlander men dapper blue conversational resort wear shirt</t>
  </si>
  <si>
    <t>https://www.myntra.com/shirts/harvard/harvard-men-pink--navy-slim-fit-checked-casual-shirt/2391095/buy</t>
  </si>
  <si>
    <t>harvard men pink  navy slim fit checked casual shirt</t>
  </si>
  <si>
    <t>https://www.myntra.com/sarees/tikhi-imli/tikhi-imli-burgundy-solid-poly-georgette-ruffled-saree/10381773/buy</t>
  </si>
  <si>
    <t>tikhi imli burgundy solid poly georgette ruffled saree</t>
  </si>
  <si>
    <t>https://www.myntra.com/sarees/varkala-silk-sarees/varkala-silk-sarees-pink-kanjeevaram-tussar-silk-traditional-saree/1485453/buy</t>
  </si>
  <si>
    <t>varkala silk sarees pink kanjeevaram tussar silk traditional saree</t>
  </si>
  <si>
    <t>https://www.myntra.com/tshirts/hrx-by-hrithik-roshan/hrx-by-hrithik-roshan-women-rust-red-rapid-dry-training-tshirt/10565570/buy</t>
  </si>
  <si>
    <t>hrx by hrithik roshan women rust red rapid dry training tshirt</t>
  </si>
  <si>
    <t>https://www.myntra.com/jackets/roadster/roadster-women-blue-washed-cropped-denim-trucker-jacket/12178094/buy</t>
  </si>
  <si>
    <t>roadster women blue washed cropped denim trucker jacket</t>
  </si>
  <si>
    <t>https://www.myntra.com/leggings/twin-birds/twin-birds-women-black-solid-ankle-length-leggings/11243924/buy</t>
  </si>
  <si>
    <t>twin birds women black solid ankle length leggings</t>
  </si>
  <si>
    <t>https://www.myntra.com/tshirts/roadster/roadster-women-black--yellow-printed-round-neck-pure-cotton-t-shirt/11893686/buy</t>
  </si>
  <si>
    <t>roadster women black  yellow printed round neck pure cotton t shirt</t>
  </si>
  <si>
    <t>https://www.myntra.com/jeans/roadster/roadster-men-black-skinny-fit-mid-rise-clean-look-stretchable-jeans/8962449/buy</t>
  </si>
  <si>
    <t>https://www.myntra.com/lounge-pants/us-polo-assn/us-polo-assn-men-navy-blue--maroon-checked-lounge-pants-i659-bn1-ch/10861802/buy</t>
  </si>
  <si>
    <t>us polo assn men navy blue  maroon checked lounge pants i659 bn1 ch</t>
  </si>
  <si>
    <t>https://www.myntra.com/lounge-shorts/us-polo-assn/us-polo-assn-men-pack-of-2-solid-lounge-shorts/17977616/buy</t>
  </si>
  <si>
    <t>us polo assn men pack of 2 solid lounge shorts</t>
  </si>
  <si>
    <t>https://www.myntra.com/jackets/hrx-by-hrithik-roshan/hrx-by-hrithik-roshan-men-charcoal-grey-solid-sporty-jacket/2170644/buy</t>
  </si>
  <si>
    <t>hrx by hrithik roshan men charcoal grey solid sporty jacket</t>
  </si>
  <si>
    <t>https://www.myntra.com/tshirts/mast--harbour/mast--harbour-men-mustard-yellow-solid-polo-collar-pure-cotton-t-shirt/4149376/buy</t>
  </si>
  <si>
    <t>mast  harbour men mustard yellow solid polo collar pure cotton t shirt</t>
  </si>
  <si>
    <t>https://www.myntra.com/kurtas/sangria/sangria-women-rust-woven-design-a-line-kurta/9370997/buy</t>
  </si>
  <si>
    <t>sangria women rust woven design a line kurta</t>
  </si>
  <si>
    <t>https://www.myntra.com/kurta-sets/anubhutee/anubhutee-women-charcoal-grey--pink-embroidered-kurta-with-trousers/11531250/buy</t>
  </si>
  <si>
    <t>anubhutee women charcoal grey  pink embroidered kurta with trousers</t>
  </si>
  <si>
    <t>https://www.myntra.com/bra/zivame/zivame-maroon-solid-t-shirt-bra---half-coverage-non-wired-lightly-padded/9690329/buy</t>
  </si>
  <si>
    <t>zivame maroon solid t shirt bra   half coverage non wired lightly padded</t>
  </si>
  <si>
    <t>https://www.myntra.com/bra/enamor/enamor-beige-non-wired-non-padded-full-coverage-everyday-bra-ab75-/12701410/buy</t>
  </si>
  <si>
    <t xml:space="preserve">enamor beige non wired non padded full coverage everyday bra ab75 </t>
  </si>
  <si>
    <t>34B, 34C, 34D, 36B, 36C, 36D, 38B, 38C, 38D</t>
  </si>
  <si>
    <t>https://www.myntra.com/bra/zivame/zivame-navy-blue-solid-underwired-lightly-padded-t-shirt-bra-zi1025fashc/8357719/buy</t>
  </si>
  <si>
    <t>zivame navy blue solid underwired lightly padded t shirt bra zi1025fashc</t>
  </si>
  <si>
    <t>https://www.myntra.com/tshirts/hrx-by-hrithik-roshan/hrx-by-hrithik-roshan-women-navy-blue-printed-round-neck-t-shirt/8379301/buy</t>
  </si>
  <si>
    <t>hrx by hrithik roshan women navy blue printed round neck t shirt</t>
  </si>
  <si>
    <t>https://www.myntra.com/tops/carlton-london/carlton-london-sea-green-floral-peplum-top/10019867/buy</t>
  </si>
  <si>
    <t>carlton london sea green floral peplum top</t>
  </si>
  <si>
    <t>https://www.myntra.com/dresses/momtobe/momtobe-navy-blue-embroidered-a-line-maternity-dress/12293600/buy</t>
  </si>
  <si>
    <t>momtobe navy blue embroidered a line maternity dress</t>
  </si>
  <si>
    <t>https://www.myntra.com/dresses/tokyo-talkies/tokyo-talkies-women-blue-solid-denim-pinafore-dress/10847888/buy</t>
  </si>
  <si>
    <t>tokyo talkies women blue solid denim pinafore dress</t>
  </si>
  <si>
    <t>https://www.myntra.com/tshirts/mast--harbour/mast--harbour-women-pack-of-2-cotton-t-shirts/17524614/buy</t>
  </si>
  <si>
    <t>https://www.myntra.com/tshirts/mast--harbour/mast--harbour-women-pack-of-2-cotton-t-shirts/17524608/buy</t>
  </si>
  <si>
    <t>https://www.myntra.com/tshirts/roadster/roadster-women-mauve-printed--round-neck-pure-cotton-t-shirt/13126834/buy</t>
  </si>
  <si>
    <t>roadster women mauve printed  round neck pure cotton t shirt</t>
  </si>
  <si>
    <t>https://www.myntra.com/tops/dressberry/dressberry-women-black--yellow-striped-cropped-boxy-pure-cotton-top/9265367/buy</t>
  </si>
  <si>
    <t>dressberry women black  yellow striped cropped boxy pure cotton top</t>
  </si>
  <si>
    <t>https://www.myntra.com/jeans/roadster/roadster-men-blue-super-skinny-fit-mid-rise-low-distress-stretchable-jeans/10092089/buy</t>
  </si>
  <si>
    <t>https://www.myntra.com/jeans/roadster/roadster-men-blue-skinny-fit-mid-rise-clean-look-stretchable-jeans/10064519/buy</t>
  </si>
  <si>
    <t>https://www.myntra.com/jeans/mast--harbour/mast--harbour-men-navy-blue-solid-skinny-fit-stretchable-jeans/12983788/buy</t>
  </si>
  <si>
    <t>mast  harbour men navy blue solid skinny fit stretchable jeans</t>
  </si>
  <si>
    <t>https://www.myntra.com/trousers/hubberholme/hubberholme-men-beige-slim-fit-cargos/2389026/buy</t>
  </si>
  <si>
    <t>hubberholme men beige slim fit cargos</t>
  </si>
  <si>
    <t>30, 32, 34, 36, 38, 40, 42</t>
  </si>
  <si>
    <t>https://www.myntra.com/kurtas/see-designs/see-designs-men-lime-green--white-printed-pure-cotton-straight-kurta/13488728/buy</t>
  </si>
  <si>
    <t>see designs men lime green  white printed pure cotton straight kurta</t>
  </si>
  <si>
    <t>https://www.myntra.com/lounge-tshirts/us-polo-assn/us-polo-assn-men-pack-of-2-charcoal-grey--white-printed-lounge-t-shirt/11805404/buy</t>
  </si>
  <si>
    <t>us polo assn men pack of 2 charcoal grey  white printed lounge t shirt</t>
  </si>
  <si>
    <t>https://www.myntra.com/tshirts/campus-sutra/campus-sutra-men-blue-striped-high-neck-t-shirt/10891018/buy</t>
  </si>
  <si>
    <t>campus sutra men blue striped high neck t shirt</t>
  </si>
  <si>
    <t>https://www.myntra.com/shirts/mast--harbour/mast--harbour-men-coral-pink--black-checked-sustainable-casual-shirt/11194966/buy</t>
  </si>
  <si>
    <t>mast  harbour men coral pink  black checked sustainable casual shirt</t>
  </si>
  <si>
    <t>https://www.myntra.com/tops/vishudh/vishudh-women-red-printed-a-line-top/13000002/buy</t>
  </si>
  <si>
    <t>vishudh women red printed a line top</t>
  </si>
  <si>
    <t>https://www.myntra.com/kurtas/vishudh/vishudh-women-lime-green-printed-a-line-kurta/2094577/buy</t>
  </si>
  <si>
    <t>vishudh women lime green printed a line kurta</t>
  </si>
  <si>
    <t>https://www.myntra.com/kurtas/poshak-hub/poshak-hub-women-pink--golden-printed-empire-anarkali-kurta/11048804/buy</t>
  </si>
  <si>
    <t>poshak hub women pink  golden printed empire anarkali kurta</t>
  </si>
  <si>
    <t>https://www.myntra.com/sarees/saree-mall/saree-mall-pink-silk-blend-printed-kanjeevaram-saree/6825161/buy</t>
  </si>
  <si>
    <t>saree mall pink silk blend printed kanjeevaram saree</t>
  </si>
  <si>
    <t>https://www.myntra.com/sweatshirts/roadster/roadster-women-pink-solid-sweatshirt/11991300/buy</t>
  </si>
  <si>
    <t>roadster women pink solid sweatshirt</t>
  </si>
  <si>
    <t>https://www.myntra.com/tshirts/roadster/roadster-women-mustard-yellow--black-pack-of-2-typography-print-round-neck-t-shirts/17383184/buy</t>
  </si>
  <si>
    <t>roadster women mustard yellow  black pack of 2 typography print round neck t shirts</t>
  </si>
  <si>
    <t>https://www.myntra.com/tshirts/mast--harbour/mast--harbour-women-pack-of-2-cotton-t-shirts/17524650/buy</t>
  </si>
  <si>
    <t>https://www.myntra.com/track-pants/sassafras/sassafras-women-black-regular-fit-solid-joggers/12221926/buy</t>
  </si>
  <si>
    <t>sassafras women black regular fit solid joggers</t>
  </si>
  <si>
    <t>https://www.myntra.com/tops/imfashini/imfashini-peach-coloured-lace-top--2-ply-cloth-mask/12087518/buy</t>
  </si>
  <si>
    <t>Imfashini</t>
  </si>
  <si>
    <t>imfashini peach coloured lace top  2 ply cloth mask</t>
  </si>
  <si>
    <t>https://www.myntra.com/skirts/chemistry/chemistry-blue-denim-a-line-skirt/8317561/buy</t>
  </si>
  <si>
    <t>chemistry blue denim a line skirt</t>
  </si>
  <si>
    <t>https://www.myntra.com/trousers/juniper/juniper-women-off-white-smart-slim-fit-solid-cropped-cigarette-trousers/10614658/buy</t>
  </si>
  <si>
    <t>juniper women off white smart slim fit solid cropped cigarette trousers</t>
  </si>
  <si>
    <t>https://www.myntra.com/dresses/la-zoire/la-zoire-women-lime-green-solid-maxi-dress/1964105/buy</t>
  </si>
  <si>
    <t>la zoire women lime green solid maxi dress</t>
  </si>
  <si>
    <t>https://www.myntra.com/shorts/breakbounce/breakbounce-men-blue-solid-slim-fit-regular-shorts/11851476/buy</t>
  </si>
  <si>
    <t>Breakbounce</t>
  </si>
  <si>
    <t>breakbounce men blue solid slim fit regular shorts</t>
  </si>
  <si>
    <t>https://www.myntra.com/track-pants/hrx-by-hrithik-roshan/hrx-by-hrithik-roshan-men-light-grey-melange-solid-regular-fit-bio-wash-lifestyle-jogger/11998908/buy</t>
  </si>
  <si>
    <t>hrx by hrithik roshan men light grey melange solid regular fit bio wash lifestyle jogger</t>
  </si>
  <si>
    <t>https://www.myntra.com/trousers/black-coffee/black-coffee-navy-formal-trousers/1778108/buy</t>
  </si>
  <si>
    <t>black coffee navy formal trousers</t>
  </si>
  <si>
    <t>https://www.myntra.com/jackets/roadster/the-roadster-lifestyle-co-men-charcoal-grey-washed-denim-jacket/10617878/buy</t>
  </si>
  <si>
    <t>the roadster lifestyle co men charcoal grey washed denim jacket</t>
  </si>
  <si>
    <t>https://www.myntra.com/dresses/vishudh/vishudh-burgundy-checked-flared-belted-shirt-maxi-dress/8746081/buy</t>
  </si>
  <si>
    <t>vishudh burgundy checked flared belted shirt maxi dress</t>
  </si>
  <si>
    <t>https://www.myntra.com/jeggings/roadster/roadster-women-charcoal-grey-washed-mid-rise-super-skinny-fit-jeggings/11489670/buy</t>
  </si>
  <si>
    <t>roadster women charcoal grey washed mid rise super skinny fit jeggings</t>
  </si>
  <si>
    <t>https://www.myntra.com/tshirts/mast--harbour/mast--harbour-women-pack-of-2-cotton-t-shirts/17524600/buy</t>
  </si>
  <si>
    <t>https://www.myntra.com/jeans/dressberry/dressberry-women-blue-skinny-fit-mid-rise-clean-look-stretchable--ankle-length-jeans/10158795/buy</t>
  </si>
  <si>
    <t>dressberry women blue skinny fit mid rise clean look stretchable  ankle length jeans</t>
  </si>
  <si>
    <t>https://www.myntra.com/jackets/campus-sutra/campus-sutra-women-maroon-solid-sporty-jacket/2033529/buy</t>
  </si>
  <si>
    <t>campus sutra women maroon solid sporty jacket</t>
  </si>
  <si>
    <t>https://www.myntra.com/tops/tokyo-talkies/tokyo-talkies-women-off-white-and-beige-floral-printed-peplum-top/10641924/buy</t>
  </si>
  <si>
    <t>tokyo talkies women off white and beige floral printed peplum top</t>
  </si>
  <si>
    <t>https://www.myntra.com/tshirts/roadster/roadster-women-navy-blue-solid-round-neck-t-shirt/8661719/buy</t>
  </si>
  <si>
    <t>roadster women navy blue solid round neck t shirt</t>
  </si>
  <si>
    <t>https://www.myntra.com/innerwear-vests/dollar-bigboss/dollar-bigboss-pack-of-4-white-innerwear-vests-mdve-01-r1-po4/2330106/buy</t>
  </si>
  <si>
    <t>Dollar Bigboss</t>
  </si>
  <si>
    <t>dollar bigboss pack of 4 white innerwear vests mdve 01 r1 po4</t>
  </si>
  <si>
    <t>https://www.myntra.com/boxers/us-polo-assn/us-polo-assn-men-red-printed----pure-cotton-boxers-i663-125/9167287/buy</t>
  </si>
  <si>
    <t>us polo assn men red printed    pure cotton boxers i663 125</t>
  </si>
  <si>
    <t>https://www.myntra.com/boxers/us-polo-assn/us-polo-assn-men-pack-of-2-red--navy-blue-printed-boxers-/11786050/buy</t>
  </si>
  <si>
    <t xml:space="preserve">us polo assn men pack of 2 red  navy blue printed boxers </t>
  </si>
  <si>
    <t>https://www.myntra.com/shirts/bene-kleed/bene-kleed-men-beige--blue-slim-fit-printed-casual-shirt/10710292/buy</t>
  </si>
  <si>
    <t>bene kleed men beige  blue slim fit printed casual shirt</t>
  </si>
  <si>
    <t>Rs. 1412 OFF</t>
  </si>
  <si>
    <t>https://www.myntra.com/shirts/roadster/roadster-men-olive-green-regular-fit-self-striped-casual-shirt/10944496/buy</t>
  </si>
  <si>
    <t>roadster men olive green regular fit self striped casual shirt</t>
  </si>
  <si>
    <t>https://www.myntra.com/kurtas/herenow/herenow-women-navy-blue--white-printed-pathani-kurta/12851424/buy</t>
  </si>
  <si>
    <t>herenow women navy blue  white printed pathani kurta</t>
  </si>
  <si>
    <t>https://www.myntra.com/dresses/vishudh/vishudh-women-sea-green-printed-fit-and-flare-dress/13481918/buy</t>
  </si>
  <si>
    <t>vishudh women sea green printed fit and flare dress</t>
  </si>
  <si>
    <t>https://www.myntra.com/kurta-sets/sangria/sangria-women-beige--black-printed-kurta-with-palazzos/9365713/buy</t>
  </si>
  <si>
    <t>sangria women beige  black printed kurta with palazzos</t>
  </si>
  <si>
    <t>https://www.myntra.com/kurta-sets/ahalyaa/ahalyaa-women-black-embellished-kurta-with-palazzos--dupatta/11409578/buy</t>
  </si>
  <si>
    <t>ahalyaa women black embellished kurta with palazzos  dupatta</t>
  </si>
  <si>
    <t>https://www.myntra.com/bra/hrx-by-hrithik-roshan/hrx-by-hrithik-roshan-olive-green--black-abstract-bra/11794352/buy</t>
  </si>
  <si>
    <t>hrx by hrithik roshan olive green  black abstract bra</t>
  </si>
  <si>
    <t>https://www.myntra.com/bra/enamor/enamor-purple-non-wired-non-padded-high-coverage-everyday-bra-a042-/650555/buy</t>
  </si>
  <si>
    <t xml:space="preserve">enamor purple non wired non padded high coverage everyday bra a042 </t>
  </si>
  <si>
    <t>32B, 32C, 32D, 34B, 34C, 34D, 36B, 36C, 36D, 38B, 38C, 38D, 40B, 40C, 40D, 42B, 42C</t>
  </si>
  <si>
    <t>https://www.myntra.com/jeans/roadster/roadster-women-blue-super-skinny-fit-mid-rise-clean-look-stretchable-jeans/11531812/buy</t>
  </si>
  <si>
    <t>roadster women blue super skinny fit mid rise clean look stretchable jeans</t>
  </si>
  <si>
    <t>https://www.myntra.com/tshirts/mast--harbour/mast--harbour-women-pack-of-2-cotton-t-shirts/17524656/buy</t>
  </si>
  <si>
    <t>https://www.myntra.com/trousers/dressberry/dressberry-women-black--white-regular-fit-checked-joggers/2332070/buy</t>
  </si>
  <si>
    <t>dressberry women black  white regular fit checked joggers</t>
  </si>
  <si>
    <t>https://www.myntra.com/dresses/tokyo-talkies/tokyo-talkies-women-blue-printed-shirt-dress/2440170/buy</t>
  </si>
  <si>
    <t>tokyo talkies women blue printed shirt dress</t>
  </si>
  <si>
    <t>https://www.myntra.com/tshirts/roadster/the-roadster-lifestyle-co-women-mauve-printed-round-neck-t-shirt/9464717/buy</t>
  </si>
  <si>
    <t>the roadster lifestyle co women mauve printed round neck t shirt</t>
  </si>
  <si>
    <t>https://www.myntra.com/shirts/roadster/roadster-men-blue-regular-fit-faded-sustainable-casual-shirt/10863060/buy</t>
  </si>
  <si>
    <t>roadster men blue regular fit faded sustainable casual shirt</t>
  </si>
  <si>
    <t>https://www.myntra.com/jackets/highlander/highlander-men-grey-washed-denim-jacket/10460330/buy</t>
  </si>
  <si>
    <t>highlander men grey washed denim jacket</t>
  </si>
  <si>
    <t>https://www.myntra.com/tshirts/roadster/the-roadster-lifestyle-co-men-mustard-yellow-striped-round-neck-pure-cotton-t-shirt/10940678/buy</t>
  </si>
  <si>
    <t>the roadster lifestyle co men mustard yellow striped round neck pure cotton t shirt</t>
  </si>
  <si>
    <t>https://www.myntra.com/tshirts/highlander/highlander-men-navy-solid-round-neck-pure-cotton-t-shirt/1816488/buy</t>
  </si>
  <si>
    <t>highlander men navy solid round neck pure cotton t shirt</t>
  </si>
  <si>
    <t>https://www.myntra.com/dresses/myshka/myshka-women-burgundy--beige-floral-print-a-line-dress/9825417/buy</t>
  </si>
  <si>
    <t>myshka women burgundy  beige floral print a line dress</t>
  </si>
  <si>
    <t>https://www.myntra.com/lounge-pants/etc/etc-women-charcoal-grey-solid-lounge-pants/12820430/buy</t>
  </si>
  <si>
    <t>etc women charcoal grey solid lounge pants</t>
  </si>
  <si>
    <t>https://www.myntra.com/bra/mod--shy/mod--shy-black-solid-non-wired-non-padded-bandeau-bra-ms66/11290218/buy</t>
  </si>
  <si>
    <t>mod &amp; shy</t>
  </si>
  <si>
    <t>mod  shy black solid non wired non padded bandeau bra ms66</t>
  </si>
  <si>
    <t>XS, S, M</t>
  </si>
  <si>
    <t>https://www.myntra.com/tops/mast--harbour/mast--harbour-women-pink--white-striped-a-line-top/11256318/buy</t>
  </si>
  <si>
    <t>mast  harbour women pink  white striped a line top</t>
  </si>
  <si>
    <t>https://www.myntra.com/tshirts/mast--harbour/mast--harbour-women-pack-of-2-printed-cotton-regular-fit-t-shirts/17524962/buy</t>
  </si>
  <si>
    <t>https://www.myntra.com/tshirts/mast--harbour/mast--harbour-women-blue-printed-round-neck-pure-cotton-t-shirt/2224785/buy</t>
  </si>
  <si>
    <t>mast  harbour women blue printed round neck pure cotton t shirt</t>
  </si>
  <si>
    <t>https://www.myntra.com/tshirts/roadster/roadster-women-maroon--white-printed-round-neck-t-shirt/12193888/buy</t>
  </si>
  <si>
    <t>roadster women maroon  white printed round neck t shirt</t>
  </si>
  <si>
    <t>https://www.myntra.com/dresses/her-by-invictus/her-by-invictus-women-off-white--rust-orange-checked-a-line-dress/12220428/buy</t>
  </si>
  <si>
    <t>her by invictus women off white  rust orange checked a line dress</t>
  </si>
  <si>
    <t>https://www.myntra.com/shorts/domyos-by-decathlon/domyos-by-decathlon-men-black-solid-regular-fit-boxing-shorts/12965846/buy</t>
  </si>
  <si>
    <t>domyos by decathlon men black solid regular fit boxing shorts</t>
  </si>
  <si>
    <t>12% OFF</t>
  </si>
  <si>
    <t>36, 38, 42, 44, 48</t>
  </si>
  <si>
    <t>https://www.myntra.com/shirts/roadster/the-roadster-lifestyle-co-men-blue-regular-fit-solid-sustainable-casual-shirt/10832832/buy</t>
  </si>
  <si>
    <t>https://www.myntra.com/kurta-sets/gerua/gerua-women-blue-printed-kurta-with-palazzos/12746076/buy</t>
  </si>
  <si>
    <t>GERUA</t>
  </si>
  <si>
    <t>gerua women blue printed kurta with palazzos</t>
  </si>
  <si>
    <t>https://www.myntra.com/shorts/bitz/bitz-women-pack-of-2-black-solid-regular-fit-biker-shorts/6829030/buy</t>
  </si>
  <si>
    <t>Bitz</t>
  </si>
  <si>
    <t>bitz women pack of 2 black solid regular fit biker shorts</t>
  </si>
  <si>
    <t>24, 26, 28, 30, 32</t>
  </si>
  <si>
    <t>https://www.myntra.com/tshirts/roadster/roadster-women-pack-of-2-printed-cotton-t-shirt/17385136/buy</t>
  </si>
  <si>
    <t>https://www.myntra.com/sweatshirts/belle-fille/belle-fille-women-black-hooded-sweatshirt/596474/buy</t>
  </si>
  <si>
    <t>belle fille women black hooded sweatshirt</t>
  </si>
  <si>
    <t>https://www.myntra.com/tshirts/mast--harbour/mast--harbour-women-pack-of-2-cotton-t-shirts/17524598/buy</t>
  </si>
  <si>
    <t>https://www.myntra.com/trousers/sassafras/sassafras-women-beige-regular-fit-solid-hip-hop-style-denim-joggers/12221980/buy</t>
  </si>
  <si>
    <t>sassafras women beige regular fit solid hip hop style denim joggers</t>
  </si>
  <si>
    <t>https://www.myntra.com/jeans/paris-hamilton/paris-hamilton-women-black-boyfriend-fit-high-rise-clean-look-cropped-stretchable-jeans/12831588/buy</t>
  </si>
  <si>
    <t>PARIS HAMILTON</t>
  </si>
  <si>
    <t>paris hamilton women black boyfriend fit high rise clean look cropped stretchable jeans</t>
  </si>
  <si>
    <t>26, 28, 30, 32, 34, 36, 38, 40, 42</t>
  </si>
  <si>
    <t>https://www.myntra.com/jackets/deewa/deewa-women-charcoal-grey-sheen-effect-solid-hooded-puffer-jacket-/11043644/buy</t>
  </si>
  <si>
    <t xml:space="preserve">deewa women charcoal grey sheen effect solid hooded puffer jacket </t>
  </si>
  <si>
    <t>https://www.myntra.com/tshirts/roadster/the-roadster-lifestyle-co-women-pink-printed-round-neck-pure-cotton-t-shirt/10964514/buy</t>
  </si>
  <si>
    <t>https://www.myntra.com/jeans/locomotive/locomotive-men-maroon-slim-fit-mid-rise-clean-look-stretchable-jeans/7942507/buy</t>
  </si>
  <si>
    <t>locomotive men maroon slim fit mid rise clean look stretchable jeans</t>
  </si>
  <si>
    <t>https://www.myntra.com/trousers/black-coffee/black-coffee-navy-sharp-fit-formal-trousers/1813854/buy</t>
  </si>
  <si>
    <t>https://www.myntra.com/shirts/highlander/highlander-men-green-slim-fit-solid-casual-shirt/6787209/buy</t>
  </si>
  <si>
    <t>highlander men green slim fit solid casual shirt</t>
  </si>
  <si>
    <t>https://www.myntra.com/tshirts/roadster/roadster-men-brown-solid-scoop-neck-t-shirt/11632476/buy</t>
  </si>
  <si>
    <t>roadster men brown solid scoop neck t shirt</t>
  </si>
  <si>
    <t>https://www.myntra.com/tshirts/wrogn/wrogn-men-charcoal-grey-printed-slim-fit-round-neck-pure-cotton-t-shirt/10410688/buy</t>
  </si>
  <si>
    <t>wrogn men charcoal grey printed slim fit round neck pure cotton t shirt</t>
  </si>
  <si>
    <t>https://www.myntra.com/tshirts/roadster/roadster-men-charcoal-grey-solid-v-neck-t-shirt/6149424/buy</t>
  </si>
  <si>
    <t>roadster men charcoal grey solid v neck t shirt</t>
  </si>
  <si>
    <t>https://www.myntra.com/dresses/varanga/varanga-white-geometric-printed-maxi-dress-with-dupatta/13764658/buy</t>
  </si>
  <si>
    <t>varanga white geometric printed maxi dress with dupatta</t>
  </si>
  <si>
    <t>https://www.myntra.com/tights/cultsport/cultsport-women-black--purple-printed-tights/13314856/buy</t>
  </si>
  <si>
    <t>Cultsport</t>
  </si>
  <si>
    <t>cultsport women black  purple printed tights</t>
  </si>
  <si>
    <t>Rs. 1119 OFF</t>
  </si>
  <si>
    <t>https://www.myntra.com/tshirts/mast--harbour/mast--harbour-women-pack-of-2-cotton-t-shirts/17524596/buy</t>
  </si>
  <si>
    <t>https://www.myntra.com/tshirts/mast--harbour/mast--harbour-women-pack-of-2-cotton-t-shirts/17524652/buy</t>
  </si>
  <si>
    <t>https://www.myntra.com/jeans/hubberholme/hubberholme-women-charcoal-slim-fit-bootcut-mid-rise-clean-look-cropped-stretchable-jeans/12379920/buy</t>
  </si>
  <si>
    <t>hubberholme women charcoal slim fit bootcut mid rise clean look cropped stretchable jeans</t>
  </si>
  <si>
    <t>https://www.myntra.com/jeans/roadster/roadster-women-blue-relaxed-fit-high-rise-clean-look-stretchable-jeans/11541590/buy</t>
  </si>
  <si>
    <t>roadster women blue relaxed fit high rise clean look stretchable jeans</t>
  </si>
  <si>
    <t>https://www.myntra.com/tshirts/mast--harbour/mast--harbour-women-green--white-striped-v-neck-t-shirt/2490946/buy</t>
  </si>
  <si>
    <t>mast  harbour women green  white striped v neck t shirt</t>
  </si>
  <si>
    <t>https://www.myntra.com/trousers/roadster/roadster-men-grey-regular-fit-solid-regular-trousers/7204194/buy</t>
  </si>
  <si>
    <t>roadster men grey regular fit solid regular trousers</t>
  </si>
  <si>
    <t>https://www.myntra.com/jeans/mast--harbour/mast--harbour-men-charcoal-grey-skinny-fit-mid-rise-clean-look-stretchable-jeans/12983730/buy</t>
  </si>
  <si>
    <t>mast  harbour men charcoal grey skinny fit mid rise clean look stretchable jeans</t>
  </si>
  <si>
    <t>https://www.myntra.com/shirts/jainish/jainish-men-grey-classic-slim-fit-solid-formal-shirt/7782684/buy</t>
  </si>
  <si>
    <t>https://www.myntra.com/tshirts/ether/ether-men-navy-blue-solid-round-neck-pure-cotton-t-shirt-with-contrast-tipping/12109782/buy</t>
  </si>
  <si>
    <t>ether men navy blue solid round neck pure cotton t shirt with contrast tipping</t>
  </si>
  <si>
    <t>https://www.myntra.com/tshirts/herenow/herenow-men-navy-blue-printed-round-neck-pure-cotton-t-shirt/11748146/buy</t>
  </si>
  <si>
    <t>herenow men navy blue printed round neck pure cotton t shirt</t>
  </si>
  <si>
    <t>https://www.myntra.com/kurta-sets/anouk/anouk-women-yellow--rust-pink-floral-printed-kurta-with-palazzos--dupatta/13789776/buy</t>
  </si>
  <si>
    <t>anouk women yellow  rust pink floral printed kurta with palazzos  dupatta</t>
  </si>
  <si>
    <t>https://www.myntra.com/baby-dolls/clovia/clovia-orange-baby-dolls-ns0465p16/1028565/buy</t>
  </si>
  <si>
    <t>clovia orange baby dolls ns0465p16</t>
  </si>
  <si>
    <t>https://www.myntra.com/jeans/hubberholme/hubberholme-women-black-skinny-fit-high-rise-clean-look-stretchable-jeans/11928612/buy</t>
  </si>
  <si>
    <t>hubberholme women black skinny fit high rise clean look stretchable jeans</t>
  </si>
  <si>
    <t>https://www.myntra.com/sweatshirts/roadster/roadster-women-navy-blue-solid-sweatshirt/5960814/buy</t>
  </si>
  <si>
    <t>roadster women navy blue solid sweatshirt</t>
  </si>
  <si>
    <t>https://www.myntra.com/tshirts/mast--harbour/mast--harbour-women-pack-of-2-cotton-t-shirts/17524612/buy</t>
  </si>
  <si>
    <t>https://www.myntra.com/tshirts/roadster/roadster-women-mustard-yellow--maroon-pack-of-2-typography-print-regular-fit-t-shirts/17382942/buy</t>
  </si>
  <si>
    <t>roadster women mustard yellow  maroon pack of 2 typography print regular fit t shirts</t>
  </si>
  <si>
    <t>https://www.myntra.com/jeans/roadster/roadster-women-blue-distressed-acid-wash-skinny-ankle-length-mid-rise-stretchable-jeans/8460377/buy</t>
  </si>
  <si>
    <t>roadster women blue distressed acid wash skinny ankle length mid rise stretchable jeans</t>
  </si>
  <si>
    <t>https://www.myntra.com/jackets/roadster/roadster-women-blue-solid-denim-jacket/12178100/buy</t>
  </si>
  <si>
    <t>https://www.myntra.com/sweaters/roadster/roadster-women-maroon-solid-pullover/6397323/buy</t>
  </si>
  <si>
    <t>roadster women maroon solid pullover</t>
  </si>
  <si>
    <t>https://www.myntra.com/kurtas/anouk/anouk-men-beige--black-printed-straight-kurta/11200630/buy</t>
  </si>
  <si>
    <t>anouk men beige  black printed straight kurta</t>
  </si>
  <si>
    <t>https://www.myntra.com/tshirts/roadster/roadster-men-navy-solid-polo-collar-pure-cotton-t-shirt/2303705/buy</t>
  </si>
  <si>
    <t>roadster men navy solid polo collar pure cotton t shirt</t>
  </si>
  <si>
    <t>https://www.myntra.com/shirts/herenow/herenow-men-green--white-slim-fit-printed-casual-shirt/12654932/buy</t>
  </si>
  <si>
    <t>herenow men green  white slim fit printed casual shirt</t>
  </si>
  <si>
    <t>https://www.myntra.com/kurtas/vishudh/vishudh-grey-checked-pathani-kurta/13681906/buy</t>
  </si>
  <si>
    <t>vishudh grey checked pathani kurta</t>
  </si>
  <si>
    <t>https://www.myntra.com/kurtas/herenow/herenow-women-blue--white-printed-straight-kurta/2154353/buy</t>
  </si>
  <si>
    <t>https://www.myntra.com/kurtas/shae-by-sassafras/shae-by-sassafras-women-green--pink-printed-anarkali-kurta/11636378/buy</t>
  </si>
  <si>
    <t>shae by sassafras women green  pink printed anarkali kurta</t>
  </si>
  <si>
    <t>https://www.myntra.com/kurtas/yufta/yufta-women-mustard-yellow--green-printed-a-line-panelled-kurta/11404714/buy</t>
  </si>
  <si>
    <t>yufta women mustard yellow  green printed a line panelled kurta</t>
  </si>
  <si>
    <t>https://www.myntra.com/jeans/roadster/the-roadster-lifestyle-co-women-blue-skinny-fit-high-rise-high-rise-clean-look-jeans/11118398/buy</t>
  </si>
  <si>
    <t>the roadster lifestyle co women blue skinny fit high rise high rise clean look jeans</t>
  </si>
  <si>
    <t>https://www.myntra.com/jeans/harvard/harvard-women-white-skinny-fit-mid-rise-clean-look-stretchable-jeans/2279574/buy</t>
  </si>
  <si>
    <t>harvard women white skinny fit mid rise clean look stretchable jeans</t>
  </si>
  <si>
    <t>https://www.myntra.com/tshirts/bewakoof/bewakoof-women-white-solid-round-neck-pure-cotton-t-shirt/13381400/buy</t>
  </si>
  <si>
    <t>bewakoof women white solid round neck pure cotton t shirt</t>
  </si>
  <si>
    <t>Rs. 15 OFF</t>
  </si>
  <si>
    <t>https://www.myntra.com/tshirts/mast--harbour/mast--harbour-women-neon-orange-solid-round-neck-t-shirt/11700120/buy</t>
  </si>
  <si>
    <t>mast  harbour women neon orange solid round neck t shirt</t>
  </si>
  <si>
    <t>https://www.myntra.com/track-pants/mast--harbour/mast--harbour-grey-melange-solid-joggers/6863014/buy</t>
  </si>
  <si>
    <t>mast  harbour grey melange solid joggers</t>
  </si>
  <si>
    <t>https://www.myntra.com/jeans/highlander/highlander-men-blue-tapered-fit-mid-rise-clean-look-jeans/13662276/buy</t>
  </si>
  <si>
    <t>highlander men blue tapered fit mid rise clean look jeans</t>
  </si>
  <si>
    <t>https://www.myntra.com/shirts/wrogn/wrogn-men-red--black-slim-fit-checked-casual-shirt/2338763/buy</t>
  </si>
  <si>
    <t>https://www.myntra.com/night-suits/masha/masha-women-grey--black-printed-night-suit/11966618/buy</t>
  </si>
  <si>
    <t>masha women grey  black printed night suit</t>
  </si>
  <si>
    <t>https://www.myntra.com/night-suits/etc/etc-women-white--brown-printed-night-suit/13310070/buy</t>
  </si>
  <si>
    <t>etc women white  brown printed night suit</t>
  </si>
  <si>
    <t>https://www.myntra.com/briefs/max/max-women-pack-of-3-assorted-cotton-high-rise-hipster-briefs-lhp03/13330146/buy</t>
  </si>
  <si>
    <t>max</t>
  </si>
  <si>
    <t>max women pack of 3 assorted cotton high rise hipster briefs lhp03</t>
  </si>
  <si>
    <t>https://www.myntra.com/bra/floret/floret-pack-of-2-full-coverage-bras-t3033white-tomato/1908861/buy</t>
  </si>
  <si>
    <t>floret pack of 2 full coverage bras t3033white tomato</t>
  </si>
  <si>
    <t>https://www.myntra.com/palazzos/herenow/herenow-women-mustard-yellow--brown-printed-wide-leg-cropped-palazzos/2489398/buy</t>
  </si>
  <si>
    <t>herenow women mustard yellow  brown printed wide leg cropped palazzos</t>
  </si>
  <si>
    <t>https://www.myntra.com/tops/herenow/herenow-maroon-self-design-dobby-weave-shirt-style-top/12051498/buy</t>
  </si>
  <si>
    <t>herenow maroon self design dobby weave shirt style top</t>
  </si>
  <si>
    <t>https://www.myntra.com/jeans/herenow/herenow-women-blue-skinny-fit-high-rise-mildly-distressed-stretchable-cropped-jeans/11440404/buy</t>
  </si>
  <si>
    <t>herenow women blue skinny fit high rise mildly distressed stretchable cropped jeans</t>
  </si>
  <si>
    <t>https://www.myntra.com/kurta-sets/sangria/sangria-women-teal--blue--golden-printed-kurta-with-palazzos-with-dupatta/10561032/buy</t>
  </si>
  <si>
    <t>sangria women teal  blue  golden printed kurta with palazzos with dupatta</t>
  </si>
  <si>
    <t>https://www.myntra.com/tshirts/roadster/roadster-women-pack-of-2-pure-cotton-t-shirts/17381488/buy</t>
  </si>
  <si>
    <t>https://www.myntra.com/jackets/hrx-by-hrithik-roshan/hrx-by-hrithik-roshan-men-grey--fluorescent-green-running-hooded-colourblocked-jacket/9445523/buy</t>
  </si>
  <si>
    <t>hrx by hrithik roshan men grey  fluorescent green running hooded colourblocked jacket</t>
  </si>
  <si>
    <t>https://www.myntra.com/tshirts/hrx-by-hrithik-roshan/hrx-by-hrithik-roshan-men-off-white-printed-bio-wash-yoga-pure-cotton-t-shirt/11999582/buy</t>
  </si>
  <si>
    <t>hrx by hrithik roshan men off white printed bio wash yoga pure cotton t shirt</t>
  </si>
  <si>
    <t>https://www.myntra.com/tshirts/minions-by-kook-n-keech/minions-by-kook-n-keech-men-white--black-printed-round-neck-longline-pure-cotton-t-shirt/8923741/buy</t>
  </si>
  <si>
    <t>Minions by Kook N Keech</t>
  </si>
  <si>
    <t>minions by kook n keech men white  black printed round neck longline pure cotton t shirt</t>
  </si>
  <si>
    <t>https://www.myntra.com/sweaters/roadster/roadster-men-black-self-design-pullover/5151884/buy</t>
  </si>
  <si>
    <t>roadster men black self design pullover</t>
  </si>
  <si>
    <t>https://www.myntra.com/shirts/wild-west/wild-west-men-white-casual-shirt/9733875/buy</t>
  </si>
  <si>
    <t>wild west men white casual shirt</t>
  </si>
  <si>
    <t>https://www.myntra.com/kurta-sets/bhama-couture/bhama-couture-women-red-embroidered-kurta-with-palazzos/11414660/buy</t>
  </si>
  <si>
    <t>bhama couture women red embroidered kurta with palazzos</t>
  </si>
  <si>
    <t>https://www.myntra.com/kurta-sets/sangria/sangria-women-white-solid-cotton-gotta-patti-kurta-with-palazzos--dupatta/8349025/buy</t>
  </si>
  <si>
    <t>sangria women white solid cotton gotta patti kurta with palazzos  dupatta</t>
  </si>
  <si>
    <t>https://www.myntra.com/tops/sangria/sangria-women-black-geometric-yoke-embroidered-mandarin-collar-regular-top/13321352/buy</t>
  </si>
  <si>
    <t>sangria women black geometric yoke embroidered mandarin collar regular top</t>
  </si>
  <si>
    <t>https://www.myntra.com/kurtas/sangria/sangria-women-blue-printed-a-line-kurta/11754946/buy</t>
  </si>
  <si>
    <t>sangria women blue printed a line kurta</t>
  </si>
  <si>
    <t>https://www.myntra.com/tshirts/hrx-by-hrithik-roshan/hrx-by-hrithik-roshan-women-white-printed-round-neck-running-pure-cotton-t-shirt/11037106/buy</t>
  </si>
  <si>
    <t>https://www.myntra.com/tshirts/roadster/roadster-women-pack-of-2-pure-cotton-t-shirts/2353138/buy</t>
  </si>
  <si>
    <t>https://www.myntra.com/dresses/tokyo-talkies/tokyo-talkies-women-navy-blue-denim-shirt-dress/10503336/buy</t>
  </si>
  <si>
    <t>tokyo talkies women navy blue denim shirt dress</t>
  </si>
  <si>
    <t>https://www.myntra.com/jackets/tokyo-talkies/tokyo-talkies-women-black-solid-denim-jacket/10841106/buy</t>
  </si>
  <si>
    <t>tokyo talkies women black solid denim jacket</t>
  </si>
  <si>
    <t>https://www.myntra.com/tshirts/roadster/roadster-women-dusty-pink--white-colourblocked-round-neck-crop-pure-cotton-t-shirt/11697402/buy</t>
  </si>
  <si>
    <t>roadster women dusty pink  white colourblocked round neck crop pure cotton t shirt</t>
  </si>
  <si>
    <t>https://www.myntra.com/jeans/roadster/roadster-men-blue-straight-fit-mid-rise-clean-look-jeans/12303676/buy</t>
  </si>
  <si>
    <t>roadster men blue straight fit mid rise clean look jeans</t>
  </si>
  <si>
    <t>https://www.myntra.com/trousers/roadster/roadster-men-blue-trousers/13859576/buy</t>
  </si>
  <si>
    <t>roadster men blue trousers</t>
  </si>
  <si>
    <t>https://www.myntra.com/socks/roadster/roadster-men-set-of-3-above-ankle-length-socks/1422313/buy</t>
  </si>
  <si>
    <t>roadster men set of 3 above ankle length socks</t>
  </si>
  <si>
    <t>https://www.myntra.com/shirts/highlander/highlander-men-white--coral-slim-fit-striped-casual-shirt/10946710/buy</t>
  </si>
  <si>
    <t>highlander men white  coral slim fit striped casual shirt</t>
  </si>
  <si>
    <t>https://www.myntra.com/tshirts/roadster/roadster-men-charcoal-grey-solid-cotton-t-shirt/1996787/buy</t>
  </si>
  <si>
    <t>roadster men charcoal grey solid cotton t shirt</t>
  </si>
  <si>
    <t>https://www.myntra.com/kurtas/yufta/yufta-women-green--off-white-leheriya-dyed-straight-kurta/10360527/buy</t>
  </si>
  <si>
    <t>yufta women green  off white leheriya dyed straight kurta</t>
  </si>
  <si>
    <t>https://www.myntra.com/kurtas/moda-rapido/moda-rapido-off-white--black-printed-straight-kurta/1829475/buy</t>
  </si>
  <si>
    <t>moda rapido off white  black printed straight kurta</t>
  </si>
  <si>
    <t>https://www.myntra.com/tshirts/moda-rapido/moda-rapido-women-grey-melange-solid-round-neck-pure-cotton-t-shirt/8813115/buy</t>
  </si>
  <si>
    <t>moda rapido women grey melange solid round neck pure cotton t shirt</t>
  </si>
  <si>
    <t>https://www.myntra.com/tshirts/mast--harbour/mast--harbour-women-pack-of-2-printed-cotton-regular-fit-t-shirts/17524918/buy</t>
  </si>
  <si>
    <t>https://www.myntra.com/dresses/berrylush/berrylush-multicoloured-floral-print-fit-and-flare-dress/12806502/buy</t>
  </si>
  <si>
    <t>berrylush multicoloured floral print fit and flare dress</t>
  </si>
  <si>
    <t>https://www.myntra.com/trousers/forclaz-by-decathlon/forclaz-by-decathlon-men-grey-trekking-cargos/13167774/buy</t>
  </si>
  <si>
    <t>FORCLAZ By Decathlon</t>
  </si>
  <si>
    <t>forclaz by decathlon men grey trekking cargos</t>
  </si>
  <si>
    <t>29, 31, 32, 34, 36, 39, 41, 43</t>
  </si>
  <si>
    <t>https://www.myntra.com/trousers/black-coffee/black-coffee-black-sharp-fit-formal-trousers/1847799/buy</t>
  </si>
  <si>
    <t>black coffee black sharp fit formal trousers</t>
  </si>
  <si>
    <t>https://www.myntra.com/kurta-sets/anouk/anouk-men-burgundy--navy-blue-solid-pleated-straight-kurta-with-patiala/10239333/buy</t>
  </si>
  <si>
    <t>anouk men burgundy  navy blue solid pleated straight kurta with patiala</t>
  </si>
  <si>
    <t>https://www.myntra.com/boxers/levis/levis-men-pack-of-2-pure-cotton-checked-boxers/18028828/buy</t>
  </si>
  <si>
    <t>https://www.myntra.com/innerwear-vests/jockey/jockey-men-charcoal-grey-solid-innerwear-vest-us26-0105/10647172/buy</t>
  </si>
  <si>
    <t>jockey men charcoal grey solid innerwear vest us26 0105</t>
  </si>
  <si>
    <t>https://www.myntra.com/innerwear-vests/jockey/jockey-men-pack-of-2-charcoal-grey-solid-innerwear-vests/11638770/buy</t>
  </si>
  <si>
    <t>jockey men pack of 2 charcoal grey solid innerwear vests</t>
  </si>
  <si>
    <t>https://www.myntra.com/shirts/shaftesbury-london/shaftesbury-london-white-standard-fit-formal-shirt/998931/buy</t>
  </si>
  <si>
    <t>Shaftesbury London</t>
  </si>
  <si>
    <t>shaftesbury london white standard fit formal shirt</t>
  </si>
  <si>
    <t>36, 38, 40, 42, 44, 46, 48, 50, 52, 54</t>
  </si>
  <si>
    <t>https://www.myntra.com/tunics/rain--rainbow/rain--rainbow-blue--orange-printed-a-line-tunic/9035869/buy</t>
  </si>
  <si>
    <t>rain  rainbow blue  orange printed a line tunic</t>
  </si>
  <si>
    <t>https://www.myntra.com/stockings/lebami/lebami-women-beige-solid-stockings/10606134/buy</t>
  </si>
  <si>
    <t>lebami women beige solid stockings</t>
  </si>
  <si>
    <t>https://www.myntra.com/trousers/tokyo-talkies/tokyo-talkies-women-navy-blue--white-striped-parallel-trousers/11927558/buy</t>
  </si>
  <si>
    <t>tokyo talkies women navy blue  white striped parallel trousers</t>
  </si>
  <si>
    <t>https://www.myntra.com/track-pants/hrx-by-hrithik-roshan/hrx-by-hrithik-roshan-men-jet-black-solid-slim-fit-training-track-pants/12254468/buy</t>
  </si>
  <si>
    <t>hrx by hrithik roshan men jet black solid slim fit training track pants</t>
  </si>
  <si>
    <t>https://www.myntra.com/shirts/roadster/roadster-men-blue-regular-fit-solid-pure-cotton-casual-sustainable-shirt/12919344/buy</t>
  </si>
  <si>
    <t>roadster men blue regular fit solid pure cotton casual sustainable shirt</t>
  </si>
  <si>
    <t>https://www.myntra.com/kurtas/sangria/sangria-women-off-white--navy-blue-floral-printed-straight-kurta/9371565/buy</t>
  </si>
  <si>
    <t>sangria women off white  navy blue floral printed straight kurta</t>
  </si>
  <si>
    <t>https://www.myntra.com/sarees/mitera/mitera-red-silk-blend-woven-design-banarasi-saree/11556818/buy</t>
  </si>
  <si>
    <t>mitera red silk blend woven design banarasi saree</t>
  </si>
  <si>
    <t>https://www.myntra.com/lounge-pants/max/max-women-navy-blue-printed-lounge-pants/14198812/buy</t>
  </si>
  <si>
    <t>max women navy blue printed lounge pants</t>
  </si>
  <si>
    <t>https://www.myntra.com/kurtas/sangria/sangria-women-maroon--mustard-yellow-printed-straight-kurta/10561332/buy</t>
  </si>
  <si>
    <t>sangria women maroon  mustard yellow printed straight kurta</t>
  </si>
  <si>
    <t>https://www.myntra.com/sweatshirts/hrx-by-hrithik-roshan/hrx-by-hrithik-roshan-outdoor-women-black-solid-sweatshirt/9965759/buy</t>
  </si>
  <si>
    <t>hrx by hrithik roshan outdoor women black solid sweatshirt</t>
  </si>
  <si>
    <t>https://www.myntra.com/tshirts/roadster/roadster-women-black--maroon-pack-of-2-typography-print-round-neck-t-shirts/17383258/buy</t>
  </si>
  <si>
    <t>roadster women black  maroon pack of 2 typography print round neck t shirts</t>
  </si>
  <si>
    <t>https://www.myntra.com/jeans/roadster/roadster-men-navy-blue-slim-fit-mid-rise-clean-look-stretchable-jeans/8962331/buy</t>
  </si>
  <si>
    <t>https://www.myntra.com/jeans/highlander/highlander-men-blue-tapered-fit-mid-rise-clean-look-stretchable-jeans/13492026/buy</t>
  </si>
  <si>
    <t>https://www.myntra.com/kurtas/see-designs/see-designs-men-burgundy-solid-asymmetrical-hem-straight-kurta/2205652/buy</t>
  </si>
  <si>
    <t>see designs men burgundy solid asymmetrical hem straight kurta</t>
  </si>
  <si>
    <t>https://www.myntra.com/tshirts/roadster/the-roadster-lifestyle-co-men-charcoal-grey--black-colourblocked-polo-collar-pure-cotton-t-shirt/9242693/buy</t>
  </si>
  <si>
    <t>the roadster lifestyle co men charcoal grey  black colourblocked polo collar pure cotton t shirt</t>
  </si>
  <si>
    <t>https://www.myntra.com/tshirts/maniac/maniac-men-navy-blue-solid-round-neck-pure-cotton-t-shirt/9059133/buy</t>
  </si>
  <si>
    <t>maniac men navy blue solid round neck pure cotton t shirt</t>
  </si>
  <si>
    <t>https://www.myntra.com/tshirts/wrogn/wrogn-men-maroon-slim-fit-solid-polo-collar-pure-cotton-t-shirt/11363640/buy</t>
  </si>
  <si>
    <t>wrogn men maroon slim fit solid polo collar pure cotton t shirt</t>
  </si>
  <si>
    <t>https://www.myntra.com/jackets/roadster/roadster-men-blue--black-checked-reversible-tailored-jacket/1901429/buy</t>
  </si>
  <si>
    <t>roadster men blue  black checked reversible tailored jacket</t>
  </si>
  <si>
    <t>https://www.myntra.com/kurta-sets/anubhutee/anubhutee-women-navy-blue-ethnic-motifs-panelled-kurta-with-trousers--dupatta/15649434/buy</t>
  </si>
  <si>
    <t>anubhutee women navy blue ethnic motifs panelled kurta with trousers  dupatta</t>
  </si>
  <si>
    <t>https://www.myntra.com/kurtas/sangria/sangria-women-black--white-woven-design-a-line-kurta/10561324/buy</t>
  </si>
  <si>
    <t>sangria women black  white woven design a line kurta</t>
  </si>
  <si>
    <t>https://www.myntra.com/tops/sassafras/sassafras-women-lavender--green-crop-floral-print-blouson-top/11364266/buy</t>
  </si>
  <si>
    <t>sassafras women lavender  green crop floral print blouson top</t>
  </si>
  <si>
    <t>https://www.myntra.com/jeans/tokyo-talkies/tokyo-talkies-women-navy-blue-skinny-fit-mid-rise-clean-look-stretchable-jeans/12887830/buy</t>
  </si>
  <si>
    <t>tokyo talkies women navy blue skinny fit mid rise clean look stretchable jeans</t>
  </si>
  <si>
    <t>https://www.myntra.com/dresses/tokyo-talkies/tokyo-talkies-women-rust-red-floral-print-shirt-dress/10336533/buy</t>
  </si>
  <si>
    <t>tokyo talkies women rust red floral print shirt dress</t>
  </si>
  <si>
    <t>https://www.myntra.com/tshirts/roadster/roadster-women-pack-of-2-pure-cotton-solid-polo-collar-t-shirts/17381618/buy</t>
  </si>
  <si>
    <t>roadster women pack of 2 pure cotton solid polo collar t shirts</t>
  </si>
  <si>
    <t>https://www.myntra.com/tops/scorpius/scorpius-women-pack-of-2-solid-pure-cotton-tops/9341677/buy</t>
  </si>
  <si>
    <t>scorpius women pack of 2 solid pure cotton tops</t>
  </si>
  <si>
    <t>https://www.myntra.com/jeans/moda-rapido/moda-rapido-men-black-slim-tapered-fit-mid-rise-clean-look-stretchable-jeans/2288345/buy</t>
  </si>
  <si>
    <t>moda rapido men black slim tapered fit mid rise clean look stretchable jeans</t>
  </si>
  <si>
    <t>https://www.myntra.com/trunk/damensch/damensch-men-deo-soft-deodorizing-micro-modal-solid-trunks-dam-as-t-obwgsb-pack-3-mix/9599039/buy</t>
  </si>
  <si>
    <t>damensch men deo soft deodorizing micro modal solid trunks dam as t obwgsb pack 3 mix</t>
  </si>
  <si>
    <t>https://www.myntra.com/socks/adidas/adidas-men-pack-of-3-assorted-ankle-length-socks/13130286/buy</t>
  </si>
  <si>
    <t>ADIDAS</t>
  </si>
  <si>
    <t>adidas men pack of 3 assorted ankle length socks</t>
  </si>
  <si>
    <t>https://www.myntra.com/briefs/jockey/jockey-men-navy-blue--red-solid-briefs-us14-0105/9867877/buy</t>
  </si>
  <si>
    <t>jockey men navy blue  red solid briefs us14 0105</t>
  </si>
  <si>
    <t>https://www.myntra.com/briefs/jockey/jockey-men-pack-of-2-solid-briefs-us14-0105/11638840/buy</t>
  </si>
  <si>
    <t>jockey men pack of 2 solid briefs us14 0105</t>
  </si>
  <si>
    <t>https://www.myntra.com/shirts/roadster/roadster-men-navy-blue-pure-cotton-casual-sustainable-shirt/11326026/buy</t>
  </si>
  <si>
    <t>roadster men navy blue pure cotton casual sustainable shirt</t>
  </si>
  <si>
    <t>https://www.myntra.com/shirts/wrogn/wrogn-men-white-slim-fit-solid-casual-printed-sleeve-shirt/11361214/buy</t>
  </si>
  <si>
    <t>wrogn men white slim fit solid casual printed sleeve shirt</t>
  </si>
  <si>
    <t>https://www.myntra.com/kurtas/sangria/sangria-women-mustard-yellow--white-floral-print-a-line-kurta/13437240/buy</t>
  </si>
  <si>
    <t>sangria women mustard yellow  white floral print a line kurta</t>
  </si>
  <si>
    <t>https://www.myntra.com/kurta-sets/vishudh/vishudh-women-pink--grey-printed-kurta-with-palazzos/9971501/buy</t>
  </si>
  <si>
    <t>vishudh women pink  grey printed kurta with palazzos</t>
  </si>
  <si>
    <t>https://www.myntra.com/tops/roadster/roadster-women-dusty-pink-self-design-top/11021000/buy</t>
  </si>
  <si>
    <t>roadster women dusty pink self design top</t>
  </si>
  <si>
    <t>https://www.myntra.com/tshirts/mast--harbour/mast--harbour-women-pack-of-2-printed-cotton-regular-fit-t-shirts/17524678/buy</t>
  </si>
  <si>
    <t>https://www.myntra.com/jeans/roadster/roadster-women-blue-flared-high-rise-mildly-distressed-stretchable-jeans/11541966/buy</t>
  </si>
  <si>
    <t>https://www.myntra.com/jeans/kassually/kassually-women-white-wide-leg-mid-rise-clean-look-jeans/12335038/buy</t>
  </si>
  <si>
    <t>kassually women white wide leg mid rise clean look jeans</t>
  </si>
  <si>
    <t>https://www.myntra.com/tshirts/mast--harbour/mast--harbour-women-pack-of-2-striped-tshirts/17525478/buy</t>
  </si>
  <si>
    <t>https://www.myntra.com/trousers/highlander/highlander-men-olive-green-chinos/4438815/buy</t>
  </si>
  <si>
    <t>highlander men olive green chinos</t>
  </si>
  <si>
    <t>https://www.myntra.com/trousers/roadster/roadster-men-rust-brown-slim-fit-solid-chinos/13859220/buy</t>
  </si>
  <si>
    <t>roadster men rust brown slim fit solid chinos</t>
  </si>
  <si>
    <t>https://www.myntra.com/shirts/locomotive/locomotive-men-blue--white-slim-fit-checked-casual-shirt/10020063/buy</t>
  </si>
  <si>
    <t>https://www.myntra.com/dresses/yuris/yuris-lime-greenembroidered-a-line-ethnic-dress/11355896/buy</t>
  </si>
  <si>
    <t>yuris lime greenembroidered a line ethnic dress</t>
  </si>
  <si>
    <t>https://www.myntra.com/kurtas/herenow/herenow-women-navy-yoke-design-a-line-kurta/2045956/buy</t>
  </si>
  <si>
    <t>herenow women navy yoke design a line kurta</t>
  </si>
  <si>
    <t>https://www.myntra.com/sarees/shaily/shaily-maroon-woven-design-banarasi-saree/6984149/buy</t>
  </si>
  <si>
    <t>shaily maroon woven design banarasi saree</t>
  </si>
  <si>
    <t>85% OFF</t>
  </si>
  <si>
    <t>https://www.myntra.com/bra/zivame/zivame-black--black-solid-underwired-lightly-padded-t-shirt-bra/7782985/buy</t>
  </si>
  <si>
    <t>zivame black  black solid underwired lightly padded t shirt bra</t>
  </si>
  <si>
    <t>30B, 30C, 32B, 32C, 32D, 34B, 34C, 34D, 34DD, 36B, 36C, 36D, 36DD, 38B, 38C, 38D</t>
  </si>
  <si>
    <t>https://www.myntra.com/kurtas/herenow/herenow-women-green--golden-printed-straight-kurta/12851448/buy</t>
  </si>
  <si>
    <t>herenow women green  golden printed straight kurta</t>
  </si>
  <si>
    <t>https://www.myntra.com/tops/pluss/pluss-grey-top/8126503/buy</t>
  </si>
  <si>
    <t>pluss grey top</t>
  </si>
  <si>
    <t>https://www.myntra.com/track-pants/stylestone/stylestone-women-navy-blue-solid-track-pants/12767052/buy</t>
  </si>
  <si>
    <t>stylestone women navy blue solid track pants</t>
  </si>
  <si>
    <t>https://www.myntra.com/trousers/kassually/kassually-women-grey-peg-leg-regular-fit-solid-cropped-peg-trousers/10739562/buy</t>
  </si>
  <si>
    <t>kassually women grey peg leg regular fit solid cropped peg trousers</t>
  </si>
  <si>
    <t>24, 26, 28, 30, 32, 34</t>
  </si>
  <si>
    <t>https://www.myntra.com/trousers/bitterlime/bitterlime-women-grey-relaxed-regular-fit-self-design-peg-trousers/8999463/buy</t>
  </si>
  <si>
    <t>bitterlime women grey relaxed regular fit self design peg trousers</t>
  </si>
  <si>
    <t>https://www.myntra.com/sweatshirts/kook-n-keech-disney/kook-n-keech-disney-women-black--red-printed-hooded-sweatshirt/10278993/buy</t>
  </si>
  <si>
    <t>kook n keech disney women black  red printed hooded sweatshirt</t>
  </si>
  <si>
    <t>https://www.myntra.com/tshirts/ether/ether-women-black-printed-round-neck-pure-cotton-t-shirt/9889593/buy</t>
  </si>
  <si>
    <t>ether women black printed round neck pure cotton t shirt</t>
  </si>
  <si>
    <t>https://www.myntra.com/tshirts/dexter-by-kook-n-keech/dexter-by-kook-n-keech-women-pink-printed-round-neck-t-shirt/10926234/buy</t>
  </si>
  <si>
    <t>Dexter by Kook N Keech</t>
  </si>
  <si>
    <t>dexter by kook n keech women pink printed round neck t shirt</t>
  </si>
  <si>
    <t>https://www.myntra.com/shorts/hm/hm-men-black-solid-regular-fit-sweatshirt-shorts/14240582/buy</t>
  </si>
  <si>
    <t>hm men black solid regular fit sweatshirt shorts</t>
  </si>
  <si>
    <t>28, 31, 33, 37, 41, 44</t>
  </si>
  <si>
    <t>https://www.myntra.com/jeans/roadster/roadster-men-navy-jeano-fit-mid-rise-clean-look-stretchable-cropped-jeans/7139506/buy</t>
  </si>
  <si>
    <t>roadster men navy jeano fit mid rise clean look stretchable cropped jeans</t>
  </si>
  <si>
    <t>https://www.myntra.com/jeans/wrogn/wrogn-men-black-skinny-fit-mid-rise-clean-look-stretchable-jeans/11359202/buy</t>
  </si>
  <si>
    <t>https://www.myntra.com/lounge-pants/us-polo-assn/us-polo-assn-men-maroon--navy-blue-checked-lounge-pants-i659-rn0-ch/10861806/buy</t>
  </si>
  <si>
    <t>us polo assn men maroon  navy blue checked lounge pants i659 rn0 ch</t>
  </si>
  <si>
    <t>https://www.myntra.com/lounge-pants/us-polo-assn/us-polo-assn-men-maroon--navy-blue-pack-of-2-checked-lounge-pants/11786016/buy</t>
  </si>
  <si>
    <t>us polo assn men maroon  navy blue pack of 2 checked lounge pants</t>
  </si>
  <si>
    <t>https://www.myntra.com/briefs/jockey/jockey-men-coffee-brown-solid-basic-briefs-8037-0105/11863356/buy</t>
  </si>
  <si>
    <t>jockey men coffee brown solid basic briefs 8037 0105</t>
  </si>
  <si>
    <t>https://www.myntra.com/shirts/highlander/highlander-men-white--grey-slim-fit-printed-casual-shirt/12211386/buy</t>
  </si>
  <si>
    <t>highlander men white  grey slim fit printed casual shirt</t>
  </si>
  <si>
    <t>https://www.myntra.com/kurta-sets/aayna/aayna-women-white-striped-kurta-with-palazzos/10687006/buy</t>
  </si>
  <si>
    <t>aayna women white striped kurta with palazzos</t>
  </si>
  <si>
    <t>https://www.myntra.com/kurta-sets/ishin/ishin-women-red-printed-kurta-with-sharara/9170431/buy</t>
  </si>
  <si>
    <t>ishin women red printed kurta with sharara</t>
  </si>
  <si>
    <t>https://www.myntra.com/kurta-sets/mokshi/mokshi-women-yellow--white-printed-kurta-with-palazzos--dupatta/13451924/buy</t>
  </si>
  <si>
    <t>mokshi women yellow  white printed kurta with palazzos  dupatta</t>
  </si>
  <si>
    <t>https://www.myntra.com/bra/clovia/clovia-cotton-rich-padded-non-wired-push-up-multiway-t-shirt-bra/8097155/buy</t>
  </si>
  <si>
    <t>clovia cotton rich padded non wired push up multiway t shirt bra</t>
  </si>
  <si>
    <t>32B, 32C, 32D, 34B, 34C, 34D, 36B, 36C, 36D, 38B, 38C, 38D, 40B, 40C</t>
  </si>
  <si>
    <t>https://www.myntra.com/tshirts/herenow/herenow-women-black--mustard-yellow-striped-high-neck-t-shirt/11759424/buy</t>
  </si>
  <si>
    <t>herenow women black  mustard yellow striped high neck t shirt</t>
  </si>
  <si>
    <t>https://www.myntra.com/track-pants/tokyo-talkies/tokyo-talkies-women-green-solid-track-pants/14154062/buy</t>
  </si>
  <si>
    <t>tokyo talkies women green solid track pants</t>
  </si>
  <si>
    <t>https://www.myntra.com/tops/cation/cation-women-red-solid-fitted-cropped-pure-cotton-top/8178447/buy</t>
  </si>
  <si>
    <t>cation women red solid fitted cropped pure cotton top</t>
  </si>
  <si>
    <t>https://www.myntra.com/dresses/tokyo-talkies/tokyo-talkies-women-black-solid-bodycon-dress/13842510/buy</t>
  </si>
  <si>
    <t>tokyo talkies women black solid bodycon dress</t>
  </si>
  <si>
    <t>https://www.myntra.com/sweatshirts/roadster/roadster-women-black-solid-hooded-front-open-green-turn-sweatshirt/12335334/buy</t>
  </si>
  <si>
    <t>roadster women black solid hooded front open green turn sweatshirt</t>
  </si>
  <si>
    <t>https://www.myntra.com/tshirts/mast--harbour/mast--harbour-women-pack-of-2-t-shirts/17524606/buy</t>
  </si>
  <si>
    <t>https://www.myntra.com/shorts/highlander/highlander-men-black-solid-slim-fit-sports-shorts/13815428/buy</t>
  </si>
  <si>
    <t>https://www.myntra.com/jeans/wrogn/wrogn-men-blue-slim-fit-mid-rise-clean-look-stretchable-jeans/10187455/buy</t>
  </si>
  <si>
    <t>https://www.myntra.com/trousers/black-coffee/black-coffee-men-grey-slim-fit-checked-regular-trousers/11249346/buy</t>
  </si>
  <si>
    <t>black coffee men grey slim fit checked regular trousers</t>
  </si>
  <si>
    <t>https://www.myntra.com/sweaters/roadster/roadster-men-blue-colourblocked-sweater/1956607/buy</t>
  </si>
  <si>
    <t>roadster men blue colourblocked sweater</t>
  </si>
  <si>
    <t>https://www.myntra.com/shirts/roadster/roadster-men-grey--black-checked-pure-cotton-sustainable-casual-shirt/11326702/buy</t>
  </si>
  <si>
    <t>roadster men grey  black checked pure cotton sustainable casual shirt</t>
  </si>
  <si>
    <t>https://www.myntra.com/tshirts/kook-n-keech-disney/kook-n-keech-disney-men-navy-blue-mickey-mouse-printed-round-neck-pure-cotton-t-shirt/2216776/buy</t>
  </si>
  <si>
    <t>kook n keech disney men navy blue mickey mouse printed round neck pure cotton t shirt</t>
  </si>
  <si>
    <t>https://www.myntra.com/nightdress/etc/etc-yellow--purple-printed-nightdress/12441534/buy</t>
  </si>
  <si>
    <t>etc yellow  purple printed nightdress</t>
  </si>
  <si>
    <t>https://www.myntra.com/bra/sztori/sztori-plus-size-grey-melange-solid-non-wired-non-padded-everyday-bra-sz-bra-709d/10304947/buy</t>
  </si>
  <si>
    <t>sztori plus size grey melange solid non wired non padded everyday bra sz bra 709d</t>
  </si>
  <si>
    <t>https://www.myntra.com/dresses/tokyo-talkies/tokyo-talkies-women-black-printed-fit-and-flare-dress/13536318/buy</t>
  </si>
  <si>
    <t>tokyo talkies women black printed fit and flare dress</t>
  </si>
  <si>
    <t>https://www.myntra.com/tshirts/roadster/roadster-women-pack-of-2-solid-t-shirts/17381878/buy</t>
  </si>
  <si>
    <t>https://www.myntra.com/tops/scorpius/scorpius-women-pack-of-2-pure-cotton-tops/9341323/buy</t>
  </si>
  <si>
    <t>scorpius women pack of 2 pure cotton tops</t>
  </si>
  <si>
    <t>https://www.myntra.com/dresses/berrylush/berrylush-blue--maroon-floral-printed-two-piece-dress/12480194/buy</t>
  </si>
  <si>
    <t>berrylush blue  maroon floral printed two piece dress</t>
  </si>
  <si>
    <t>https://www.myntra.com/tshirts/roadster/roadster-women-stunning-blue-typography-joyful-conversation-tshirt/13601590/buy</t>
  </si>
  <si>
    <t>roadster women stunning blue typography joyful conversation tshirt</t>
  </si>
  <si>
    <t>https://www.myntra.com/jeans/wrogn/wrogn-men-blue-slim-fit-mid-rise-clean-look-stretchable-jeans/8424707/buy</t>
  </si>
  <si>
    <t>https://www.myntra.com/tshirts/mast--harbour/mast--harbour-men-blue-printed-polo-collar-t-shirt/8325349/buy</t>
  </si>
  <si>
    <t>mast  harbour men blue printed polo collar t shirt</t>
  </si>
  <si>
    <t>https://www.myntra.com/shirts/roadster/roadster-men-mauve--white-geometric-printed-sustainable-casual-shirt/12127304/buy</t>
  </si>
  <si>
    <t>roadster men mauve  white geometric printed sustainable casual shirt</t>
  </si>
  <si>
    <t>https://www.myntra.com/shirts/roadster/the-roadster-lifestyle-co-men-navy-blue--white-regular-fit-checked-sustainable-casual-shirt/10863030/buy</t>
  </si>
  <si>
    <t>the roadster lifestyle co men navy blue  white regular fit checked sustainable casual shirt</t>
  </si>
  <si>
    <t>https://www.myntra.com/tshirts/herenow/herenow-men-multicoloured-printed-round-neck-t-shirt/12787316/buy</t>
  </si>
  <si>
    <t>herenow men multicoloured printed round neck t shirt</t>
  </si>
  <si>
    <t>https://www.myntra.com/sarees/mitera/mitera-pink--gold-toned-silk-blend-woven-design-banarasi-saree/11411808/buy</t>
  </si>
  <si>
    <t>mitera pink  gold toned silk blend woven design banarasi saree</t>
  </si>
  <si>
    <t>https://www.myntra.com/tops/pluss/pluss-women-blue-printed-top/8393893/buy</t>
  </si>
  <si>
    <t>pluss women blue printed top</t>
  </si>
  <si>
    <t>https://www.myntra.com/track-pants/hrx-by-hrithik-roshan/hrx-by-hrithik-roshan-women-black-active-solid-straight-fit-34th-track-pants/8379297/buy</t>
  </si>
  <si>
    <t>hrx by hrithik roshan women black active solid straight fit 34th track pants</t>
  </si>
  <si>
    <t>https://www.myntra.com/tshirts/roadster/roadster-women-pack-of-2-printed-cotton-t-shirt/17385152/buy</t>
  </si>
  <si>
    <t>https://www.myntra.com/jeggings/dressberry/dressberry-women-blue-super-skinny-fit-jeggings/10365223/buy</t>
  </si>
  <si>
    <t>dressberry women blue super skinny fit jeggings</t>
  </si>
  <si>
    <t>https://www.myntra.com/trousers/street-9/street-9-women-lime-green-regular-fit-solid-cargos/12277610/buy</t>
  </si>
  <si>
    <t>street 9 women lime green regular fit solid cargos</t>
  </si>
  <si>
    <t>https://www.myntra.com/jackets/roadster/the-roadster-lifestyle-co-women-olive-green-solid-bomber-jacket/9479013/buy</t>
  </si>
  <si>
    <t>the roadster lifestyle co women olive green solid bomber jacket</t>
  </si>
  <si>
    <t>https://www.myntra.com/tops/roadster/roadster-women-maroon--white-solid-a-line-pure-cotton-top/11373664/buy</t>
  </si>
  <si>
    <t>roadster women maroon  white solid a line pure cotton top</t>
  </si>
  <si>
    <t>https://www.myntra.com/tshirts/roadster/roadster-time-travlr-women-grey-solid-round-neck-t-shirt/2519778/buy</t>
  </si>
  <si>
    <t>roadster time travlr women grey solid round neck t shirt</t>
  </si>
  <si>
    <t>https://www.myntra.com/trousers/roadster/roadster-men-black-slim-fit-joggers/2291340/buy</t>
  </si>
  <si>
    <t>roadster men black slim fit joggers</t>
  </si>
  <si>
    <t>https://www.myntra.com/jeans/harvard/harvard-men-black-skinny-fit-mid-rise-clean-look-stretchable-jeans/10415124/buy</t>
  </si>
  <si>
    <t>https://www.myntra.com/tshirts/hrx-by-hrithik-roshan/hrx-by-hrithik-roshan-men-blue-printed-rapid-dry-basketball-tank-top/11640414/buy</t>
  </si>
  <si>
    <t>hrx by hrithik roshan men blue printed rapid dry basketball tank top</t>
  </si>
  <si>
    <t>https://www.myntra.com/shirts/flying-machine/flying-machine-men-black-comfort-slim-fit-solid-casual-shirt/2364207/buy</t>
  </si>
  <si>
    <t>Flying Machine</t>
  </si>
  <si>
    <t>flying machine men black comfort slim fit solid casual shirt</t>
  </si>
  <si>
    <t>https://www.myntra.com/tshirts/roadster/roadster-men-black--white-striped-round-neck-t-shirt/10941014/buy</t>
  </si>
  <si>
    <t>roadster men black  white striped round neck t shirt</t>
  </si>
  <si>
    <t>https://www.myntra.com/kurta-sets/gerua/gerua-women-pink-ethnic-motifs-printed-panelled-kurta-with-skirt/12768478/buy</t>
  </si>
  <si>
    <t>gerua women pink ethnic motifs printed panelled kurta with skirt</t>
  </si>
  <si>
    <t>https://www.myntra.com/kurta-sets/w/w-women-green--golden-regular-sequinned-kurta-with-trousers--with-dupatta/15026486/buy</t>
  </si>
  <si>
    <t>w women green  golden regular sequinned kurta with trousers  with dupatta</t>
  </si>
  <si>
    <t>https://www.myntra.com/tops/roadster/the-roadster-lifestyle-co-pink-blouson-sustainable-top/10962206/buy</t>
  </si>
  <si>
    <t>the roadster lifestyle co pink blouson sustainable top</t>
  </si>
  <si>
    <t>https://www.myntra.com/dresses/tokyo-talkies/tokyo-talkies-women-maroon-solid-sheath-dress/12810322/buy</t>
  </si>
  <si>
    <t>tokyo talkies women maroon solid sheath dress</t>
  </si>
  <si>
    <t>https://www.myntra.com/shorts/mast--harbour/mast--harbour-women-blue-washed-regular-fit-denim-shorts/2261828/buy</t>
  </si>
  <si>
    <t>https://www.myntra.com/sweatshirts/campus-sutra/campus-sutra-women-olive-green-solid-hooded-sweatshirt/10922026/buy</t>
  </si>
  <si>
    <t>campus sutra women olive green solid hooded sweatshirt</t>
  </si>
  <si>
    <t>https://www.myntra.com/tops/campus-sutra/campus-sutra-women-white-solid-boxy-pure-cotton-top/11683412/buy</t>
  </si>
  <si>
    <t>campus sutra women white solid boxy pure cotton top</t>
  </si>
  <si>
    <t>https://www.myntra.com/tshirts/ether/ether-maroon-t-shirt/1147938/buy</t>
  </si>
  <si>
    <t>ether maroon t shirt</t>
  </si>
  <si>
    <t>https://www.myntra.com/kurtas/sojanya/sojanya-men-mustard-yellow-solid-straight-kurta/11422516/buy</t>
  </si>
  <si>
    <t>sojanya men mustard yellow solid straight kurta</t>
  </si>
  <si>
    <t>https://www.myntra.com/trunk/jockey/jockey-men-black--white-printed-trunks-ny03-0105-nyc07/10906422/buy</t>
  </si>
  <si>
    <t>jockey men black  white printed trunks ny03 0105 nyc07</t>
  </si>
  <si>
    <t>https://www.myntra.com/innerwear-vests/jockey/jockey-men-black--charcoal-grey-printed-basic-vest/11444902/buy</t>
  </si>
  <si>
    <t>jockey men black  charcoal grey printed basic vest</t>
  </si>
  <si>
    <t>https://www.myntra.com/sweatshirts/kook-n-keech-marvel/kook-n-keech-marvel-men-black-solid-sweatshirt/2175466/buy</t>
  </si>
  <si>
    <t>kook n keech marvel men black solid sweatshirt</t>
  </si>
  <si>
    <t>https://www.myntra.com/tshirts/roadster/roadster-men-grey-melange-solid-scoop-neck-t-shirt/11632478/buy</t>
  </si>
  <si>
    <t>roadster men grey melange solid scoop neck t shirt</t>
  </si>
  <si>
    <t>https://www.myntra.com/kurtas/herenow/herenow-women-grey--pink-floral-print-empire-a-line-kurta/12530366/buy</t>
  </si>
  <si>
    <t>herenow women grey  pink floral print empire a line kurta</t>
  </si>
  <si>
    <t>https://www.myntra.com/track-pants/mast--harbour/mast--harbour-women-black-solid-track-pants/11941640/buy</t>
  </si>
  <si>
    <t>https://www.myntra.com/tops/sassafras/sassafras-women-green--pink-printed-crop-top/11364340/buy</t>
  </si>
  <si>
    <t>sassafras women green  pink printed crop top</t>
  </si>
  <si>
    <t>https://www.myntra.com/tops/style-quotient/style-quotient-women-grey-solid-top/6543979/buy</t>
  </si>
  <si>
    <t>style quotient women grey solid top</t>
  </si>
  <si>
    <t>https://www.myntra.com/dresses/harpa/harpa-black--burgundy-floral-printed-midi-fit--flare-dress/7578936/buy</t>
  </si>
  <si>
    <t>harpa black  burgundy floral printed midi fit  flare dress</t>
  </si>
  <si>
    <t>https://www.myntra.com/jumpsuit/miss-chase/miss-chase-black-solid-basic-jumpsuit/10429890/buy</t>
  </si>
  <si>
    <t>miss chase black solid basic jumpsuit</t>
  </si>
  <si>
    <t>https://www.myntra.com/tshirts/roadster/roadster-women-pack-of-2-solid-t-shirts/17381508/buy</t>
  </si>
  <si>
    <t>https://www.myntra.com/jeans/herenow/herenow-men-blue-slim-fit-cropped-mid-rise-slash-knee-stretchable-length-jeans/2150847/buy</t>
  </si>
  <si>
    <t>herenow men blue slim fit cropped mid rise slash knee stretchable length jeans</t>
  </si>
  <si>
    <t>https://www.myntra.com/trunk/hrx-by-hrithik-roshan/hrx-by-hrithik-roshan-men-lifestyle-core-pack-of-2-trunks-hrx-ss18-ls-7007ae/6747471/buy</t>
  </si>
  <si>
    <t>hrx by hrithik roshan men lifestyle core pack of 2 trunks hrx ss18 ls 7007ae</t>
  </si>
  <si>
    <t>https://www.myntra.com/boxers/levis/levis-men-pack-of-2-pure-cotton-checked-boxers/18028814/buy</t>
  </si>
  <si>
    <t>https://www.myntra.com/shirts/hancock/hancock-men-white-solid-pure-cotton-slim-fit-formal-shirt/1825917/buy</t>
  </si>
  <si>
    <t>hancock men white solid pure cotton slim fit formal shirt</t>
  </si>
  <si>
    <t>https://www.myntra.com/shirts/roadster/roadster-men-khaki-regular-fit-solid-sustainable-casual-shirt/11896024/buy</t>
  </si>
  <si>
    <t>roadster men khaki regular fit solid sustainable casual shirt</t>
  </si>
  <si>
    <t>https://www.myntra.com/dresses/vishudh/vishudh-women-green-solid-layered-maxi-dress-with-front-open-jacket/7427271/buy</t>
  </si>
  <si>
    <t>vishudh women green solid layered maxi dress with front open jacket</t>
  </si>
  <si>
    <t>https://www.myntra.com/pyjamas/clovia/clovia-women-navy-blue-solid-lounge-pants-lb0173p08xl/9299585/buy</t>
  </si>
  <si>
    <t>clovia women navy blue solid lounge pants lb0173p08xl</t>
  </si>
  <si>
    <t>https://www.myntra.com/kurtas/herenow/herenow-women-navy-blue--white-bandhani-print-straight-kurta/12530320/buy</t>
  </si>
  <si>
    <t>herenow women navy blue  white bandhani print straight kurta</t>
  </si>
  <si>
    <t>https://www.myntra.com/trousers/athena/athena-women-fuchsia-pink--orange-loose-fit-joggers/11521902/buy</t>
  </si>
  <si>
    <t>athena women fuchsia pink  orange loose fit joggers</t>
  </si>
  <si>
    <t>https://www.myntra.com/dresses/roving-mode/roving-mode-black-floral-printed-fit-and-flare-dress/7999243/buy</t>
  </si>
  <si>
    <t>ROVING MODE</t>
  </si>
  <si>
    <t>roving mode black floral printed fit and flare dress</t>
  </si>
  <si>
    <t>https://www.myntra.com/tshirts/roadster/roadster-women-mustard-yellow-solid-round-neck-t-shirt/11398852/buy</t>
  </si>
  <si>
    <t>https://www.myntra.com/jeans/locomotive/locomotive-men-blue-slim-fit-mid-rise-clean-look-stretchable-jeans/7584933/buy</t>
  </si>
  <si>
    <t>https://www.myntra.com/jeans/roadster/the-roadster-lifestyle-co-men-blue-skinny-fit-mid-rise-clean-look-stretchable-jeans/8962355/buy</t>
  </si>
  <si>
    <t>https://www.myntra.com/shirts/roadster/roadster-men-black--red-regular-fit-printed-casual-sustainable-shirt/11895980/buy</t>
  </si>
  <si>
    <t>roadster men black  red regular fit printed casual sustainable shirt</t>
  </si>
  <si>
    <t>https://www.myntra.com/tshirts/bullmer/bullmer-men-pack-of-3-printed-round-neck-t-shirt/11934792/buy</t>
  </si>
  <si>
    <t>BULLMER</t>
  </si>
  <si>
    <t>bullmer men pack of 3 printed round neck t shirt</t>
  </si>
  <si>
    <t>https://www.myntra.com/tshirts/wrogn/wrogn-men-white--blue-colourblocked-polo-collar-t-shirt/6833178/buy</t>
  </si>
  <si>
    <t>wrogn men white  blue colourblocked polo collar t shirt</t>
  </si>
  <si>
    <t>https://www.myntra.com/tshirts/mast--harbour/mast--harbour-men-coral-pink-solid-v-neck-pure-cotton-t-shirt/2232110/buy</t>
  </si>
  <si>
    <t>mast  harbour men coral pink solid v neck pure cotton t shirt</t>
  </si>
  <si>
    <t>https://www.myntra.com/bra/zivame/zivame-burgundy-solid-non-wired-lightly-padded-t-shirt-bra-zi1137corem/8998277/buy</t>
  </si>
  <si>
    <t>zivame burgundy solid non wired lightly padded t shirt bra zi1137corem</t>
  </si>
  <si>
    <t>32B, 32C, 32D, 32DD, 34B, 34C, 34D, 34DD, 36B, 36C, 36D, 36DD, 38B, 38C, 38D, 38DD</t>
  </si>
  <si>
    <t>https://www.myntra.com/kurtas/jaipur-kurti/jaipur-kurti-women-navy-blue-solid-straight-kurta/11394290/buy</t>
  </si>
  <si>
    <t>jaipur kurti women navy blue solid straight kurta</t>
  </si>
  <si>
    <t>https://www.myntra.com/sweatshirts/roadster/the-roadster-lifestyle-co-women-black--white-colourblocked-hooded-sweatshirt/9477841/buy</t>
  </si>
  <si>
    <t>the roadster lifestyle co women black  white colourblocked hooded sweatshirt</t>
  </si>
  <si>
    <t>https://www.myntra.com/jeans/roadster/roadster-women-black-skinny-fit-high-rise-clean-look-stretchable-jeans/11930898/buy</t>
  </si>
  <si>
    <t>roadster women black skinny fit high rise clean look stretchable jeans</t>
  </si>
  <si>
    <t>https://www.myntra.com/jeans/locomotive/locomotive-men-navy-blue-tapered-fit-mid-rise-clean-look-stretchable-jeans/9655655/buy</t>
  </si>
  <si>
    <t>locomotive men navy blue tapered fit mid rise clean look stretchable jeans</t>
  </si>
  <si>
    <t>https://www.myntra.com/innerwear-vests/jockey/jockey-zone-men-black-innerwear-vest-fp04-0105/1999068/buy</t>
  </si>
  <si>
    <t>jockey zone men black innerwear vest fp04 0105</t>
  </si>
  <si>
    <t>https://www.myntra.com/shirts/roadster/roadster-men-black--red-regular-fit-checked-casual-sustainable-shirt/11896376/buy</t>
  </si>
  <si>
    <t>https://www.myntra.com/kurtas/herenow/herenow-women-maroon--golden-floral-printed-straight-kurta/13384824/buy</t>
  </si>
  <si>
    <t>herenow women maroon  golden floral printed straight kurta</t>
  </si>
  <si>
    <t>https://www.myntra.com/kurta-sets/libas/libas-women-blue-sequinned-detail-kurta-with-palazzos--dupatta/15055286/buy</t>
  </si>
  <si>
    <t>libas women blue sequinned detail kurta with palazzos  dupatta</t>
  </si>
  <si>
    <t>https://www.myntra.com/tops/sangria/sangria-women-rust-orange-ethnic-printed-a-line-top/8350177/buy</t>
  </si>
  <si>
    <t>sangria women rust orange ethnic printed a line top</t>
  </si>
  <si>
    <t>https://www.myntra.com/tshirts/mast--harbour/mast--harbour-women-pack-of-2-cotton-t-shirts/17524672/buy</t>
  </si>
  <si>
    <t>https://www.myntra.com/tshirts/mast--harbour/mast--harbour-women-pack-of-2-cotton-t-shirts/17524604/buy</t>
  </si>
  <si>
    <t>https://www.myntra.com/jackets/roadster/roadster-women-blue-solid-denim-jacket/12178132/buy</t>
  </si>
  <si>
    <t>https://www.myntra.com/jumpsuit/tokyo-talkies/tokyo-talkies-women-sage-green-solid-basic-jumpsuit/12033998/buy</t>
  </si>
  <si>
    <t>tokyo talkies women sage green solid basic jumpsuit</t>
  </si>
  <si>
    <t>https://www.myntra.com/tshirts/mango/mango-women-navy-blue--white-brand-logo-polka-dots-print-cotton-t-shirt/14779212/buy</t>
  </si>
  <si>
    <t>MANGO</t>
  </si>
  <si>
    <t>mango women navy blue  white brand logo polka dots print cotton t shirt</t>
  </si>
  <si>
    <t>https://www.myntra.com/jeans/wrogn/wrogn-men-grey-jogger-mid-rise-clean-look-stretchable-jeans/11359078/buy</t>
  </si>
  <si>
    <t>wrogn men grey jogger mid rise clean look stretchable jeans</t>
  </si>
  <si>
    <t>https://www.myntra.com/trousers/wrogn/wrogn-men-olive-green-slim-fit-solid-regular-trousers/10238687/buy</t>
  </si>
  <si>
    <t>wrogn men olive green slim fit solid regular trousers</t>
  </si>
  <si>
    <t>https://www.myntra.com/kurtas/anouk/anouk-men-pink-striped-straight-kurta/10307959/buy</t>
  </si>
  <si>
    <t>anouk men pink striped straight kurta</t>
  </si>
  <si>
    <t>https://www.myntra.com/shirts/moda-rapido/moda-rapido-men-grey--black-slim-fit-printed-casual-shirt/11350320/buy</t>
  </si>
  <si>
    <t>moda rapido men grey  black slim fit printed casual shirt</t>
  </si>
  <si>
    <t>https://www.myntra.com/tshirts/herenow/herenow-men-white--charcoal-grey-colourblocked-round-neck-pure-cotton-t-shirt/9376197/buy</t>
  </si>
  <si>
    <t>herenow men white  charcoal grey colourblocked round neck pure cotton t shirt</t>
  </si>
  <si>
    <t>https://www.myntra.com/tshirts/wrogn/wrogn-men-rust-orange-solid-slim-fit-round-neck-pure-cotton-t-shirt/8426281/buy</t>
  </si>
  <si>
    <t>wrogn men rust orange solid slim fit round neck pure cotton t shirt</t>
  </si>
  <si>
    <t>https://www.myntra.com/kurtas/varanga/varanga-women-blue--white-striped-keyhole-neck-thread-work-anarkali-kurta/14932070/buy</t>
  </si>
  <si>
    <t>varanga women blue  white striped keyhole neck thread work anarkali kurta</t>
  </si>
  <si>
    <t>https://www.myntra.com/bra/mod--shy/mod--shy-beige-solid-non-wired-non-padded-bandeau-bra-ms47/10327159/buy</t>
  </si>
  <si>
    <t>mod  shy beige solid non wired non padded bandeau bra ms47</t>
  </si>
  <si>
    <t>https://www.myntra.com/kurtas/herenow/herenow-women-peach-coloured-floral-print-a-line-kurta/1986773/buy</t>
  </si>
  <si>
    <t>herenow women peach coloured floral print a line kurta</t>
  </si>
  <si>
    <t>https://www.myntra.com/tshirts/roadster/roadster-women-pack-of-2-cotton-t-shirt/17385554/buy</t>
  </si>
  <si>
    <t>https://www.myntra.com/jeans/roadster/roadster-women-blue-skinny-fit-mid-rise-clean-look-stretchable-cropped-jeans/4608884/buy</t>
  </si>
  <si>
    <t>https://www.myntra.com/lounge-pants/us-polo-assn/us-polo-assn-men-green--navy-blue-checked-lounge-pants-i659-gn0-ch/10861804/buy</t>
  </si>
  <si>
    <t>us polo assn men green  navy blue checked lounge pants i659 gn0 ch</t>
  </si>
  <si>
    <t>https://www.myntra.com/shirts/roadster/roadster-men-olive-green-regular-fit-solid-sustainable-casual-shirt/2127879/buy</t>
  </si>
  <si>
    <t>roadster men olive green regular fit solid sustainable casual shirt</t>
  </si>
  <si>
    <t>https://www.myntra.com/shirts/ether/ether-men-peach-coloured-slim-fit-antimicrobial-cotton-stretch-shirt/1155791/buy</t>
  </si>
  <si>
    <t>ether men peach coloured slim fit antimicrobial cotton stretch shirt</t>
  </si>
  <si>
    <t>https://www.myntra.com/kurtas/vishudh/vishudh-women-maroon--white-striped-straight-kurta/13481976/buy</t>
  </si>
  <si>
    <t>vishudh women maroon  white striped straight kurta</t>
  </si>
  <si>
    <t>https://www.myntra.com/sarees/shavya/shavya-black--white-pure-georgette-printed-celebrity-saree/12092592/buy</t>
  </si>
  <si>
    <t>SHAVYA</t>
  </si>
  <si>
    <t>shavya black  white pure georgette printed celebrity saree</t>
  </si>
  <si>
    <t>https://www.myntra.com/kurta-sets/anouk/anouk-women-peach-coloured-yoke-design-mirror-work-kurta-with-trousers--with-dupatta/14399798/buy</t>
  </si>
  <si>
    <t>anouk women peach coloured yoke design mirror work kurta with trousers  with dupatta</t>
  </si>
  <si>
    <t>https://www.myntra.com/briefs/c9-airwear/c9-airwear-women-pack-of-3-assorted-brief/10193867/buy</t>
  </si>
  <si>
    <t>c9 airwear women pack of 3 assorted brief</t>
  </si>
  <si>
    <t>https://www.myntra.com/tops/sassafras/sassafras-women-olive-green-solid-top/10856138/buy</t>
  </si>
  <si>
    <t>sassafras women olive green solid top</t>
  </si>
  <si>
    <t>https://www.myntra.com/tops/sera/sera-mauve-floral-chiffon-regular-crop-top/16008634/buy</t>
  </si>
  <si>
    <t>sera mauve floral chiffon regular crop top</t>
  </si>
  <si>
    <t>https://www.myntra.com/tshirts/mast--harbour/mast--harbour-women-pack-of-2-cotton-t-shirts/17524626/buy</t>
  </si>
  <si>
    <t>https://www.myntra.com/jeans/tokyo-talkies/tokyo-talkies-women-blue-super-skinny-fit-mid-rise-mildly-distressed-jeans/10359371/buy</t>
  </si>
  <si>
    <t>tokyo talkies women blue super skinny fit mid rise mildly distressed jeans</t>
  </si>
  <si>
    <t>https://www.myntra.com/jeans/dressberry/dressberry-women-blue-slim-fit-mid-rise-clean-look-stretchable-cropped-jeans/12466180/buy</t>
  </si>
  <si>
    <t>dressberry women blue slim fit mid rise clean look stretchable cropped jeans</t>
  </si>
  <si>
    <t>https://www.myntra.com/track-pants/hrx-by-hrithik-roshan/hrx-by-hrithik-roshan-men-grey-slim-fit-rapid-dry-antimicrobial-lycra-running-track-pants/11011860/buy</t>
  </si>
  <si>
    <t>hrx by hrithik roshan men grey slim fit rapid dry antimicrobial lycra running track pants</t>
  </si>
  <si>
    <t>https://www.myntra.com/shirts/invictus/invictus-white-printed-slim-formal-shirt/832430/buy</t>
  </si>
  <si>
    <t>invictus white printed slim formal shirt</t>
  </si>
  <si>
    <t>https://www.myntra.com/kurtas/herenow/herenow-women-navy-blue--green-ethnic-floral-print-straight-kurta/12540770/buy</t>
  </si>
  <si>
    <t>herenow women navy blue  green ethnic floral print straight kurta</t>
  </si>
  <si>
    <t>https://www.myntra.com/kurtas/herenow/herenow-women-green--golden-printed-straight-kurta/12524788/buy</t>
  </si>
  <si>
    <t>https://www.myntra.com/tshirts/juneberry/juneberry-women-multicoloured-tropical-printed-tropical-t-shirt/14912590/buy</t>
  </si>
  <si>
    <t>juneberry women multicoloured tropical printed tropical t shirt</t>
  </si>
  <si>
    <t>Rs. 700 OFF</t>
  </si>
  <si>
    <t>https://www.myntra.com/trousers/anouk/anouk-women-black-cropped-pure-cotton-cigarette-trousers-with-lace-detail/13913346/buy</t>
  </si>
  <si>
    <t>anouk women black cropped pure cotton cigarette trousers with lace detail</t>
  </si>
  <si>
    <t>https://www.myntra.com/tshirts/roadster/roadster-women-black--dusty-pink-pack-of-2-typography-print-regular-fit-t-shirts/17383160/buy</t>
  </si>
  <si>
    <t>roadster women black  dusty pink pack of 2 typography print regular fit t shirts</t>
  </si>
  <si>
    <t>https://www.myntra.com/jeans/roadster/roadster-men-blue-skinny-fit-mid-rise-clean-look-stretchable-jeans/8903669/buy</t>
  </si>
  <si>
    <t>https://www.myntra.com/jeans/roadster/roadster-men-blue-slim-tapered-fit-mid-rise-clean-look-jeans/4426141/buy</t>
  </si>
  <si>
    <t>roadster men blue slim tapered fit mid rise clean look jeans</t>
  </si>
  <si>
    <t>https://www.myntra.com/jeans/mast--harbour/mast--harbour-men-blue-skinny-fit-mid-rise-clean-look-stretchable-jeans/13077148/buy</t>
  </si>
  <si>
    <t>https://www.myntra.com/kurtas/anouk/anouk-men-white--navy-blue-kurta/13238942/buy</t>
  </si>
  <si>
    <t>anouk men white  navy blue kurta</t>
  </si>
  <si>
    <t>https://www.myntra.com/kurta-sets/benstoke/benstoke-men-navy-blue-solid-kurta-with-churidar/12222394/buy</t>
  </si>
  <si>
    <t>Benstoke</t>
  </si>
  <si>
    <t>benstoke men navy blue solid kurta with churidar</t>
  </si>
  <si>
    <t>https://www.myntra.com/shirts/roadster/roadster-men-blue--black-regular-fit-printed-sustainable-casual-shirt/9951265/buy</t>
  </si>
  <si>
    <t>roadster men blue  black regular fit printed sustainable casual shirt</t>
  </si>
  <si>
    <t>https://www.myntra.com/shirts/roadster/roadster-men-navy-blue--brown-checked-pure-cotton-sustainable-casual-shirt/12442560/buy</t>
  </si>
  <si>
    <t>https://www.myntra.com/tshirts/kook-n-keech-marvel/kook-n-keech-marvel-men-rust-orange-printed-round-neck-pure-cotton-t-shirt/10553954/buy</t>
  </si>
  <si>
    <t>kook n keech marvel men rust orange printed round neck pure cotton t shirt</t>
  </si>
  <si>
    <t>https://www.myntra.com/kurtas/vishudh/vishudh-women-blue-printed-straight-kurta/12992868/buy</t>
  </si>
  <si>
    <t>vishudh women blue printed straight kurta</t>
  </si>
  <si>
    <t>https://www.myntra.com/kurtas/vishudh/vishudh-women-olive-ethnic-motifs-printed-cotton-kurta/14398170/buy</t>
  </si>
  <si>
    <t>vishudh women olive ethnic motifs printed cotton kurta</t>
  </si>
  <si>
    <t>https://www.myntra.com/bra/floret/floret-pack-of-2-full-coverage-bras/762440/buy</t>
  </si>
  <si>
    <t>floret pack of 2 full coverage bras</t>
  </si>
  <si>
    <t>30B, 32B, 34B, 36B, 38B, 40B, 42B, 44B</t>
  </si>
  <si>
    <t>https://www.myntra.com/bra/zivame/zivame-black-solid-underwired-lightly-padded-balconette-bra-zi1134coreblack/6608557/buy</t>
  </si>
  <si>
    <t>zivame black solid underwired lightly padded balconette bra zi1134coreblack</t>
  </si>
  <si>
    <t>30B, 34B, 36C</t>
  </si>
  <si>
    <t>https://www.myntra.com/dresses/sangria/sangria-women-navy-blue--red-printed-cotton-maxi-dress/13437236/buy</t>
  </si>
  <si>
    <t>sangria women navy blue  red printed cotton maxi dress</t>
  </si>
  <si>
    <t>https://www.myntra.com/jeans/herenow/herenow-women-black-skinny-fit-mid-rise-cropped-slash-knee-stretchable-jeans/2477930/buy</t>
  </si>
  <si>
    <t>herenow women black skinny fit mid rise cropped slash knee stretchable jeans</t>
  </si>
  <si>
    <t>https://www.myntra.com/tops/sassafras/sassafras-peach-coloured-floral-schiffli-embroidery-sweetheart-neck-puff-sleeve-pure-cotton-top/14087582/buy</t>
  </si>
  <si>
    <t>sassafras peach coloured floral schiffli embroidery sweetheart neck puff sleeve pure cotton top</t>
  </si>
  <si>
    <t>https://www.myntra.com/tshirts/mast--harbour/mast--harbour-women-pack-of-2-cotton-t-shirts/17524610/buy</t>
  </si>
  <si>
    <t>https://www.myntra.com/jeans/tokyo-talkies/tokyo-talkies-women-white-relaxed-fit-mid-rise-clean-look-stretchable-jeans/11114184/buy</t>
  </si>
  <si>
    <t>tokyo talkies women white relaxed fit mid rise clean look stretchable jeans</t>
  </si>
  <si>
    <t>https://www.myntra.com/dresses/kassually/kassually-beige--black-animal-print-fit--flare-dress/13840090/buy</t>
  </si>
  <si>
    <t>kassually beige  black animal print fit  flare dress</t>
  </si>
  <si>
    <t>https://www.myntra.com/trousers/shae-by-sassafras/shae-by-sassafras-women-blue--white-regular-fit-printed-cropped-trousers/11636326/buy</t>
  </si>
  <si>
    <t>shae by sassafras women blue  white regular fit printed cropped trousers</t>
  </si>
  <si>
    <t>https://www.myntra.com/jeans/wrogn/wrogn-men-blue-skinny-fit-mid-rise-clean-look-stretchable-cropped-jeans/11359056/buy</t>
  </si>
  <si>
    <t>wrogn men blue skinny fit mid rise clean look stretchable cropped jeans</t>
  </si>
  <si>
    <t>https://www.myntra.com/trousers/mast--harbour/mast--harbour-men-beige-linen-blend-casual-trousers/1735988/buy</t>
  </si>
  <si>
    <t>mast  harbour men beige linen blend casual trousers</t>
  </si>
  <si>
    <t>https://www.myntra.com/shirts/campus-sutra/campus-sutra-men-black--off-white-standard-regular-fit-checked-casual-shirt/10017039/buy</t>
  </si>
  <si>
    <t>campus sutra men black  off white standard regular fit checked casual shirt</t>
  </si>
  <si>
    <t>https://www.myntra.com/tshirts/mast--harbour/mast--harbour-men-green-solid-round-neck-t-shirt/2232085/buy</t>
  </si>
  <si>
    <t>mast  harbour men green solid round neck t shirt</t>
  </si>
  <si>
    <t>https://www.myntra.com/kurta-sets/indo-era/indo-era-women-black--golden-foil-print-kurta-with-palazzos--dupatta/12040840/buy</t>
  </si>
  <si>
    <t>indo era women black  golden foil print kurta with palazzos  dupatta</t>
  </si>
  <si>
    <t>https://www.myntra.com/kurta-sets/khushal-k/khushal-k-women-peach-coloured-yoke-design-kurta-with-palazzos/13956290/buy</t>
  </si>
  <si>
    <t>khushal k women peach coloured yoke design kurta with palazzos</t>
  </si>
  <si>
    <t>https://www.myntra.com/briefs/c9-airwear/c9-airwear-women-pack-of-3-assorted-hipster-briefs-p1174pack6-/14789518/buy</t>
  </si>
  <si>
    <t xml:space="preserve">c9 airwear women pack of 3 assorted hipster briefs p1174pack6 </t>
  </si>
  <si>
    <t>https://www.myntra.com/kurta-sets/sangria/sangria-women-navy-blue--off-white-printed-kurta-with-trousers/10560942/buy</t>
  </si>
  <si>
    <t>https://www.myntra.com/tshirts/hrx-by-hrithik-roshan/hrx-by-hrithik-roshan-women-red-training-t-shirt/7695774/buy</t>
  </si>
  <si>
    <t>hrx by hrithik roshan women red training t shirt</t>
  </si>
  <si>
    <t>https://www.myntra.com/tops/la-zoire/la-zoire-women-navy-blue-solid-top/7269103/buy</t>
  </si>
  <si>
    <t>la zoire women navy blue solid top</t>
  </si>
  <si>
    <t>https://www.myntra.com/dresses/dressberry/dressberry-women-black-checked-a-line-dress/7485870/buy</t>
  </si>
  <si>
    <t>dressberry women black checked a line dress</t>
  </si>
  <si>
    <t>https://www.myntra.com/tshirts/mast--harbour/mast--harbour-women-pack-of-2-printed-regular-fit-t-shirts/17524906/buy</t>
  </si>
  <si>
    <t>mast  harbour women pack of 2 printed regular fit t shirts</t>
  </si>
  <si>
    <t>https://www.myntra.com/tops/roadster/roadster-womenn-mauve-cotton-schiffli-embroidered-sweetheart-neck-regular-top/13399332/buy</t>
  </si>
  <si>
    <t>roadster womenn mauve cotton schiffli embroidered sweetheart neck regular top</t>
  </si>
  <si>
    <t>https://www.myntra.com/tshirts/roadster/roadster-women-blue--white-colourblocked-round-neck-cropped-boxy-t-shirt/11697400/buy</t>
  </si>
  <si>
    <t>roadster women blue  white colourblocked round neck cropped boxy t shirt</t>
  </si>
  <si>
    <t>https://www.myntra.com/tshirts/kook-n-keech-marvel/kook-n-keech-marvel-women-red-printed-round-neck-pure-cotton-t-shirt/8972487/buy</t>
  </si>
  <si>
    <t>kook n keech marvel women red printed round neck pure cotton t shirt</t>
  </si>
  <si>
    <t>https://www.myntra.com/jeans/wrogn/wrogn-men-blue-slim-fit-mid-rise-clean-look-stretchable-jeans/6832299/buy</t>
  </si>
  <si>
    <t>https://www.myntra.com/jeans/highlander/highlander-men-navy-blue-tapered-fit-mid-rise-clean-look-stretchable-jeans/12836256/buy</t>
  </si>
  <si>
    <t>highlander men navy blue tapered fit mid rise clean look stretchable jeans</t>
  </si>
  <si>
    <t>https://www.myntra.com/socks/supersox/supersox-men-pack-of-3-solid-half-terry-cushion-sneaker-length-socks/10928636/buy</t>
  </si>
  <si>
    <t>Supersox</t>
  </si>
  <si>
    <t>supersox men pack of 3 solid half terry cushion sneaker length socks</t>
  </si>
  <si>
    <t>https://www.myntra.com/sweatshirts/campus-sutra/campus-sutra-men-beige-solid-hooded-sweatshirt/10885120/buy</t>
  </si>
  <si>
    <t>campus sutra men beige solid hooded sweatshirt</t>
  </si>
  <si>
    <t>https://www.myntra.com/shirts/roadster/roadster-men-navy--white-printed-sustainable-casual-shirt/1725285/buy</t>
  </si>
  <si>
    <t>roadster men navy  white printed sustainable casual shirt</t>
  </si>
  <si>
    <t>https://www.myntra.com/shirts/roadster/roadster-men-navy-blue-regular-fit-solid-sustainable-casual-shirt/11896046/buy</t>
  </si>
  <si>
    <t>roadster men navy blue regular fit solid sustainable casual shirt</t>
  </si>
  <si>
    <t>https://www.myntra.com/bra/zivame/zivame-black--black-solid-non-wired-lightly-padded-t-shirt-bra/7782990/buy</t>
  </si>
  <si>
    <t>zivame black  black solid non wired lightly padded t shirt bra</t>
  </si>
  <si>
    <t>32B, 32C, 32D, 32DD, 34B, 34C, 34D, 34DD, 36B, 36C, 36D, 36DD, 38B, 38C, 38D</t>
  </si>
  <si>
    <t>https://www.myntra.com/lounge-pants/max/max-women-grey--maroon-printed-lounge-pants/13984240/buy</t>
  </si>
  <si>
    <t>max women grey  maroon printed lounge pants</t>
  </si>
  <si>
    <t>https://www.myntra.com/kurta-sets/sangria/sangria-women-black-solid-straight-fit-kurta-set/8349007/buy</t>
  </si>
  <si>
    <t>sangria women black solid straight fit kurta set</t>
  </si>
  <si>
    <t>https://www.myntra.com/dresses/athena/athena-fuchsia-pink-double-breasted-street-style-blazer-dress/13904130/buy</t>
  </si>
  <si>
    <t>athena fuchsia pink double breasted street style blazer dress</t>
  </si>
  <si>
    <t>https://www.myntra.com/dresses/mokshi/mokshi-mustard-yellow--golden-ethnic-motifs-printed-asymmetric-maxi-dress/13512712/buy</t>
  </si>
  <si>
    <t>mokshi mustard yellow  golden ethnic motifs printed asymmetric maxi dress</t>
  </si>
  <si>
    <t>https://www.myntra.com/shorts/roadster/roadster-women-black-solid-regular-fit-denim-shorts/11489640/buy</t>
  </si>
  <si>
    <t>roadster women black solid regular fit denim shorts</t>
  </si>
  <si>
    <t>https://www.myntra.com/jeans/roadster/the-roadster-lifestyle-co-men-black-premium-clean-look-skinny-fit-mid-rise-stretchable-jeans/9270801/buy</t>
  </si>
  <si>
    <t>the roadster lifestyle co men black premium clean look skinny fit mid rise stretchable jeans</t>
  </si>
  <si>
    <t>https://www.myntra.com/tshirts/nike/nike-men-black--white-printed-standard-fit-as-m-nsw-futura-cotton-pure-cotton-t-shirt/10139275/buy</t>
  </si>
  <si>
    <t>nike men black  white printed standard fit as m nsw futura cotton pure cotton t shirt</t>
  </si>
  <si>
    <t>https://www.myntra.com/shirts/roadster/roadster-men-olive-green-casual-shirt/9713947/buy</t>
  </si>
  <si>
    <t>roadster men olive green casual shirt</t>
  </si>
  <si>
    <t>https://www.myntra.com/tshirts/maniac/maniac-men-white-black-slim-fit-colourblocked-hood-pure-cotton-t-shirt/11218092/buy</t>
  </si>
  <si>
    <t>maniac men white black slim fit colourblocked hood pure cotton t shirt</t>
  </si>
  <si>
    <t>https://www.myntra.com/shirts/roadster/the-roadster-lifestyle-co-men-maroon--navy-blue-regular-fit-checked-casual-sustainable-shirt/9680391/buy</t>
  </si>
  <si>
    <t>the roadster lifestyle co men maroon  navy blue regular fit checked casual sustainable shirt</t>
  </si>
  <si>
    <t>https://www.myntra.com/tshirts/ether/ether-men-white-solid-round-neck-pure-cotton-t-shirt-with-contrast-tipping/8363133/buy</t>
  </si>
  <si>
    <t>ether men white solid round neck pure cotton t shirt with contrast tipping</t>
  </si>
  <si>
    <t>https://www.myntra.com/kurtas/anouk/anouk-off-white--pink-ethnic-motifs-printed-flared-sleeves-kaftan-kurta/13238394/buy</t>
  </si>
  <si>
    <t>anouk off white  pink ethnic motifs printed flared sleeves kaftan kurta</t>
  </si>
  <si>
    <t>https://www.myntra.com/dresses/vishudh/vishudh-women-red-solid-a-line-dress/7556600/buy</t>
  </si>
  <si>
    <t>vishudh women red solid a line dress</t>
  </si>
  <si>
    <t>https://www.myntra.com/lehenga-choli/satrani/satrani-beige--maroon-printed-unstitched-lehenga--blouse-with-dupatta/11671564/buy</t>
  </si>
  <si>
    <t>satrani beige  maroon printed unstitched lehenga  blouse with dupatta</t>
  </si>
  <si>
    <t>https://www.myntra.com/bra/abelino/abelino-grey-self-design-non-wired-heavily-padded-push-up-bra-leogreyskin/13498724/buy</t>
  </si>
  <si>
    <t>abelino grey self design non wired heavily padded push up bra leogreyskin</t>
  </si>
  <si>
    <t>https://www.myntra.com/jeans/herenow/herenow-women-blue-skinny-fit-mid-rise-clean-look-stretchable-cropped-jeans/6030521/buy</t>
  </si>
  <si>
    <t>herenow women blue skinny fit mid rise clean look stretchable cropped jeans</t>
  </si>
  <si>
    <t>https://www.myntra.com/kurtas/sangria/sangria-women-black--beige-printed-straight-kurta/11174320/buy</t>
  </si>
  <si>
    <t>sangria women black  beige printed straight kurta</t>
  </si>
  <si>
    <t>https://www.myntra.com/jeggings/kassually/kassually-women-black-solid-high-rise-skinny-fit-tregging/10619264/buy</t>
  </si>
  <si>
    <t>kassually women black solid high rise skinny fit tregging</t>
  </si>
  <si>
    <t>https://www.myntra.com/tshirts/mast--harbour/mast--harbour-women-pack-of-2-printed-cotton-t-shirts/17524900/buy</t>
  </si>
  <si>
    <t>mast  harbour women pack of 2 printed cotton t shirts</t>
  </si>
  <si>
    <t>https://www.myntra.com/jeans/dressberry/dressberry-women-blue-skinny-fit-mid-rise-clean-look-stretchable-jeans/10671384/buy</t>
  </si>
  <si>
    <t>https://www.myntra.com/tshirts/roadster/the-roadster-lifestyle-co-women-pink-solid-round-neck-pure-cotton-t-shirt/10778642/buy</t>
  </si>
  <si>
    <t>https://www.myntra.com/tights/softrose/softrose-pack-of-2-tights/1164597/buy</t>
  </si>
  <si>
    <t>softrose pack of 2 tights</t>
  </si>
  <si>
    <t>https://www.myntra.com/tshirts/ether/ether-charcoal-grey-melange-lightweight-t-shirt/1217448/buy</t>
  </si>
  <si>
    <t>ether charcoal grey melange lightweight t shirt</t>
  </si>
  <si>
    <t>https://www.myntra.com/tshirts/chemistry/chemistry-women-black-printed-round-neck-pure-cotton-t-shirt/8227387/buy</t>
  </si>
  <si>
    <t>chemistry women black printed round neck pure cotton t shirt</t>
  </si>
  <si>
    <t>https://www.myntra.com/tops/vishudh/vishudh-brown-checked-peplum-top/14370128/buy</t>
  </si>
  <si>
    <t>vishudh brown checked peplum top</t>
  </si>
  <si>
    <t>https://www.myntra.com/jeans/roadster/roadster-men-blue-slim-tapered-fit-mid-rise-clean-look-stretchable-jeans/12358294/buy</t>
  </si>
  <si>
    <t>https://www.myntra.com/jeans/urbano-fashion/urbano-fashion-men-black-slim-fit-mid-rise-clean-look-acid-wash-stretchable-jogger-jeans/11968942/buy</t>
  </si>
  <si>
    <t>urbano fashion men black slim fit mid rise clean look acid wash stretchable jogger jeans</t>
  </si>
  <si>
    <t>https://www.myntra.com/trousers/highlander/highlander-men-blue-slim-fit-checked-regular-trousers/10359317/buy</t>
  </si>
  <si>
    <t>highlander men blue slim fit checked regular trousers</t>
  </si>
  <si>
    <t>https://www.myntra.com/shirts/herenow/herenow-men-teal-blue--cream-coloured-slim-fit-tropical-printed-casual-shirt/11302044/buy</t>
  </si>
  <si>
    <t>herenow men teal blue  cream coloured slim fit tropical printed casual shirt</t>
  </si>
  <si>
    <t>https://www.myntra.com/kurta-sets/anouk/anouk-men-black--charcoal-grey-woven-design-kurta-with-churidar/10354097/buy</t>
  </si>
  <si>
    <t>anouk men black  charcoal grey woven design kurta with churidar</t>
  </si>
  <si>
    <t>https://www.myntra.com/briefs/jockey/jockey-men-navy-blue-solid-pure-cotton-basic-briefs/15847858/buy</t>
  </si>
  <si>
    <t>jockey men navy blue solid pure cotton basic briefs</t>
  </si>
  <si>
    <t>https://www.myntra.com/tshirts/mast--harbour/mast--harbour-men-navy-blue--white-conversational-printed-polo-collar-pure-cotton-t-shirt/11896592/buy</t>
  </si>
  <si>
    <t>mast  harbour men navy blue  white conversational printed polo collar pure cotton t shirt</t>
  </si>
  <si>
    <t>https://www.myntra.com/shirts/roadster/the-roadster-lifestyle-co-men-burgundy--black-striped-pure-cotton-sustainable-casual-shirt/9951943/buy</t>
  </si>
  <si>
    <t>the roadster lifestyle co men burgundy  black striped pure cotton sustainable casual shirt</t>
  </si>
  <si>
    <t>https://www.myntra.com/kurtas/herenow/herenow-women-white--blue-printed-straight-kurta/12530368/buy</t>
  </si>
  <si>
    <t>herenow women white  blue printed straight kurta</t>
  </si>
  <si>
    <t>https://www.myntra.com/kurta-sets/kalini/kalini-women-coral-floral-printed-empire-gotta-patti-pure-cotton-kurta-with-trousers--with-dupatta/16505378/buy</t>
  </si>
  <si>
    <t>kalini women coral floral printed empire gotta patti pure cotton kurta with trousers  with dupatta</t>
  </si>
  <si>
    <t>Rs. 2500 OFF</t>
  </si>
  <si>
    <t>M, L, XL, XXL, 4XL, 5XL, 6XL, 7XL</t>
  </si>
  <si>
    <t>https://www.myntra.com/night-suits/i-like-me/i-like-me-women-olive-green--white-printed-night-suit/12921156/buy</t>
  </si>
  <si>
    <t>i like me women olive green  white printed night suit</t>
  </si>
  <si>
    <t>https://www.myntra.com/briefs/enamor/enamor-women-pack-of-3-assorted-low-waist-bikini-cotton--briefs-cr01/12176802/buy</t>
  </si>
  <si>
    <t>enamor women pack of 3 assorted low waist bikini cotton  briefs cr01</t>
  </si>
  <si>
    <t>https://www.myntra.com/bra/sztori/sztori-plus-size-burgundy-solid-non-wired-non-padded-everyday-bra-sz-bra-708d/10304955/buy</t>
  </si>
  <si>
    <t>sztori plus size burgundy solid non wired non padded everyday bra sz bra 708d</t>
  </si>
  <si>
    <t>Rs. 510 OFF</t>
  </si>
  <si>
    <t>https://www.myntra.com/bra/dressberry/dressberry-navy-blue-solid-non-wired-lightly-padded-everyday-bra-db-sprt-multi-01b1/10931648/buy</t>
  </si>
  <si>
    <t>dressberry navy blue solid non wired lightly padded everyday bra db sprt multi 01b1</t>
  </si>
  <si>
    <t>https://www.myntra.com/sarees/sangria/sangria-women-purple-solid-georgette-saree-with-embellished-belt/14464238/buy</t>
  </si>
  <si>
    <t>sangria women purple solid georgette saree with embellished belt</t>
  </si>
  <si>
    <t>https://www.myntra.com/kurtas/herenow/herenow-women-teal-blue--yellow-printed-straight-kurta/12037956/buy</t>
  </si>
  <si>
    <t>herenow women teal blue  yellow printed straight kurta</t>
  </si>
  <si>
    <t>https://www.myntra.com/tops/harpa/harpa-women-rose-self-design-top/13594078/buy</t>
  </si>
  <si>
    <t>harpa women rose self design top</t>
  </si>
  <si>
    <t>https://www.myntra.com/tshirts/roadster/roadster-women-pack-of-2-printed-cotton-t-shirt/17385186/buy</t>
  </si>
  <si>
    <t>https://www.myntra.com/tshirts/roadster/roadster-women-rust-brown--black-pack-of-2-printed-round-neck-regular-fit-t-shirts/17383110/buy</t>
  </si>
  <si>
    <t>roadster women rust brown  black pack of 2 printed round neck regular fit t shirts</t>
  </si>
  <si>
    <t>https://www.myntra.com/tops/purys/purys-cream-coloured-floral-square-neck-shirt-style-top/12490556/buy</t>
  </si>
  <si>
    <t>purys cream coloured floral square neck shirt style top</t>
  </si>
  <si>
    <t>https://www.myntra.com/tshirts/roadster/roadster-women-pack-of-2-pure-cotton-printed-t-shirts/17383678/buy</t>
  </si>
  <si>
    <t>roadster women pack of 2 pure cotton printed t shirts</t>
  </si>
  <si>
    <t>https://www.myntra.com/jeans/mast--harbour/mast--harbour-women-blue-skinny-fit-high-rise-clean-look-stretchable-cropped-jeans/12310144/buy</t>
  </si>
  <si>
    <t>mast  harbour women blue skinny fit high rise clean look stretchable cropped jeans</t>
  </si>
  <si>
    <t>https://www.myntra.com/tshirts/mast--harbour/mast--harbour-women-navy-blue--white-striped-round-neck-t-shirt/2490936/buy</t>
  </si>
  <si>
    <t>mast  harbour women navy blue  white striped round neck t shirt</t>
  </si>
  <si>
    <t>https://www.myntra.com/briefs/xyxx/xyxx-men-pack-of-3-assorted-solid-intellisoft-antimicrobial-basic-briefs-xybrf3pckn491/13978304/buy</t>
  </si>
  <si>
    <t>xyxx men pack of 3 assorted solid intellisoft antimicrobial basic briefs xybrf3pckn491</t>
  </si>
  <si>
    <t>Rs. 72 OFF</t>
  </si>
  <si>
    <t>https://www.myntra.com/shirts/locomotive/locomotive-men-green--off-white-slim-fit-printed-casual-shirt/13919956/buy</t>
  </si>
  <si>
    <t>locomotive men green  off white slim fit printed casual shirt</t>
  </si>
  <si>
    <t>https://www.myntra.com/sweatshirts/campus-sutra/campus-sutra-men-navy-blue--grey-colourblocked-hooded-sweatshirt/10405887/buy</t>
  </si>
  <si>
    <t>campus sutra men navy blue  grey colourblocked hooded sweatshirt</t>
  </si>
  <si>
    <t>https://www.myntra.com/kurtas/ahika/ahika-women-green--beige-printed-straight-kurta/11547700/buy</t>
  </si>
  <si>
    <t>https://www.myntra.com/briefs/dollar-missy/dollar-missy-women-pack-of-10-briefs-201s-oe/2190889/buy</t>
  </si>
  <si>
    <t>dollar missy women pack of 10 briefs 201s oe</t>
  </si>
  <si>
    <t>https://www.myntra.com/bra/clovia/clovia-cotton-rich-non-padded-front-open-plunge-bra/1794930/buy</t>
  </si>
  <si>
    <t>clovia cotton rich non padded front open plunge bra</t>
  </si>
  <si>
    <t>https://www.myntra.com/kurtas/extra-love-by-libas/extra-love-by-libas-plus-size-women-navy-blue--beige-ethnic-motifs-keyhole-neck-kurta/12729004/buy</t>
  </si>
  <si>
    <t>EXTRA LOVE BY LIBAS</t>
  </si>
  <si>
    <t>extra love by libas plus size women navy blue  beige ethnic motifs keyhole neck kurta</t>
  </si>
  <si>
    <t>3XL, 4XL, 5XL, 6XL</t>
  </si>
  <si>
    <t>https://www.myntra.com/tops/carlton-london/carlton-london-pink--black-snake-print-top/11524104/buy</t>
  </si>
  <si>
    <t>carlton london pink  black snake print top</t>
  </si>
  <si>
    <t>https://www.myntra.com/shirts/roadster/roadster-women-lavender-solid-casual-shirt/14615028/buy</t>
  </si>
  <si>
    <t>roadster women lavender solid casual shirt</t>
  </si>
  <si>
    <t>https://www.myntra.com/tshirts/roadster/roadster-women-dusty-pink--maroon-pack-of-2-typography-print-pure-cotton-t-shirts/17382916/buy</t>
  </si>
  <si>
    <t>roadster women dusty pink  maroon pack of 2 typography print pure cotton t shirts</t>
  </si>
  <si>
    <t>https://www.myntra.com/dresses/mast--harbour/mast--harbour-red--white-floral-print-a-line-dress/12204476/buy</t>
  </si>
  <si>
    <t>mast  harbour red  white floral print a line dress</t>
  </si>
  <si>
    <t>https://www.myntra.com/tops/campus-sutra/campus-sutra-women-maroon-printed-top/4323238/buy</t>
  </si>
  <si>
    <t>campus sutra women maroon printed top</t>
  </si>
  <si>
    <t>https://www.myntra.com/tops/dressberry/dressberry-women-navy-blue-colourblocked-top/9044831/buy</t>
  </si>
  <si>
    <t>dressberry women navy blue colourblocked top</t>
  </si>
  <si>
    <t>https://www.myntra.com/tshirts/roadster/roadster-women-pack-of-2-pure-cotton-t-shirts/17384026/buy</t>
  </si>
  <si>
    <t>https://www.myntra.com/shorts/arise/arise-men-navy-blue--white-colourblocked-regular-fit-shorts/9194197/buy</t>
  </si>
  <si>
    <t>arise men navy blue  white colourblocked regular fit shorts</t>
  </si>
  <si>
    <t>https://www.myntra.com/trousers/roadster/roadster-men-olive-green-trousers/13859370/buy</t>
  </si>
  <si>
    <t>roadster men olive green trousers</t>
  </si>
  <si>
    <t>https://www.myntra.com/jackets/hrx-by-hrithik-roshan/hrx-by-hrithik-roshan-men-navy-blue-solid-hooded-sporty-jacket/9445461/buy</t>
  </si>
  <si>
    <t>hrx by hrithik roshan men navy blue solid hooded sporty jacket</t>
  </si>
  <si>
    <t>https://www.myntra.com/tshirts/wrogn/wrogn-men-mustard-yellow-printed-round-neck-t-shirt/11363336/buy</t>
  </si>
  <si>
    <t>wrogn men mustard yellow printed round neck t shirt</t>
  </si>
  <si>
    <t>https://www.myntra.com/kurtas/herenow/herenow-women-yellow--white-leheriya-print-straight-kurta/12652070/buy</t>
  </si>
  <si>
    <t>herenow women yellow  white leheriya print straight kurta</t>
  </si>
  <si>
    <t>https://www.myntra.com/dresses/anouk/anouk-women-blue-striped-a-line-dress/12134596/buy</t>
  </si>
  <si>
    <t>anouk women blue striped a line dress</t>
  </si>
  <si>
    <t>https://www.myntra.com/tops/dressberry/dressberry-mustard-yellow-self-striped-fitted-top/11272632/buy</t>
  </si>
  <si>
    <t>dressberry mustard yellow self striped fitted top</t>
  </si>
  <si>
    <t>https://www.myntra.com/shirts/roadster/roadster-women-blue--black-regular-fit-polka-dot-print-casual-shirt/13298958/buy</t>
  </si>
  <si>
    <t>roadster women blue  black regular fit polka dot print casual shirt</t>
  </si>
  <si>
    <t>https://www.myntra.com/kurta-sets/anouk/anouk-men-green--black-self-design-kurta-with-pyjamas/9365921/buy</t>
  </si>
  <si>
    <t>anouk men green  black self design kurta with pyjamas</t>
  </si>
  <si>
    <t>https://www.myntra.com/socks/wrogn/-wrogn-men-pack-of-3-patterned-ankle-length-socks/12402754/buy</t>
  </si>
  <si>
    <t>https://www.myntra.com/boxers/jockey/jockey-men-pack-of-2-printed-pure-cotton-boxers-8222-0205/11036954/buy</t>
  </si>
  <si>
    <t>jockey men pack of 2 printed pure cotton boxers 8222 0205</t>
  </si>
  <si>
    <t>https://www.myntra.com/boxers/levis/levis-men-pack-of-2-pure-cotton-checked-boxers/18028832/buy</t>
  </si>
  <si>
    <t>https://www.myntra.com/tshirts/hrx-by-hrithik-roshan/hrx-by-hrithik-roshan-men-navy-blue-solid-running-regular-fit-round-neck-t-shirt/10106299/buy</t>
  </si>
  <si>
    <t>hrx by hrithik roshan men navy blue solid running regular fit round neck t shirt</t>
  </si>
  <si>
    <t>https://www.myntra.com/tshirts/campus-sutra/campus-sutra-men-grey--black-colourblocked-polo-collar-t-shirt/11582844/buy</t>
  </si>
  <si>
    <t>campus sutra men grey  black colourblocked polo collar t shirt</t>
  </si>
  <si>
    <t>https://www.myntra.com/sweatshirts/hrx-by-hrithik-roshan/hrx-by-hrithik-roshan-men-red-solid-hooded-sweatshirt/4881811/buy</t>
  </si>
  <si>
    <t>hrx by hrithik roshan men red solid hooded sweatshirt</t>
  </si>
  <si>
    <t>https://www.myntra.com/shirts/mast--harbour/mast--harbour-men-sea-green-regular-fit-printed-casual-shirt/11222202/buy</t>
  </si>
  <si>
    <t>mast  harbour men sea green regular fit printed casual shirt</t>
  </si>
  <si>
    <t>https://www.myntra.com/shirts/wrogn/wrogn-men-teal-blue--beige-slim-fit-checked-casual-shirt/11361498/buy</t>
  </si>
  <si>
    <t>wrogn men teal blue  beige slim fit checked casual shirt</t>
  </si>
  <si>
    <t>https://www.myntra.com/tshirts/moda-rapido/moda-rapido-men-maroon-solid-round-neck-t-shirt/11659408/buy</t>
  </si>
  <si>
    <t>moda rapido men maroon solid round neck t shirt</t>
  </si>
  <si>
    <t>https://www.myntra.com/kurtas/sangria/sangria-women-blue--golden-printed-straight-kurta/11536856/buy</t>
  </si>
  <si>
    <t>sangria women blue  golden printed straight kurta</t>
  </si>
  <si>
    <t>https://www.myntra.com/dresses/vishudh/vishudh-women-cream-coloured-striped-fit--flare-midi-dress/14914832/buy</t>
  </si>
  <si>
    <t>vishudh women cream coloured striped fit  flare midi dress</t>
  </si>
  <si>
    <t>https://www.myntra.com/kurta-sets/vishudh/vishudh-women-maroon--blue-printed-kurta-with-palazzos/8662567/buy</t>
  </si>
  <si>
    <t>vishudh women maroon  blue printed kurta with palazzos</t>
  </si>
  <si>
    <t>https://www.myntra.com/dresses/vishudh/vishudh-women-taupe--black-printed--maxi-dress/11156780/buy</t>
  </si>
  <si>
    <t>vishudh women taupe  black printed  maxi dress</t>
  </si>
  <si>
    <t>https://www.myntra.com/jeans/wrogn/wrogn-men-blue-slim-fit-mid-rise-clean-look-stretchable-jeans/8424613/buy</t>
  </si>
  <si>
    <t>https://www.myntra.com/jeans/herenow/herenow-men-blue-slim-fit-mid-rise-knee-slash-stretchable-cropped-jeans/7287290/buy</t>
  </si>
  <si>
    <t>herenow men blue slim fit mid rise knee slash stretchable cropped jeans</t>
  </si>
  <si>
    <t>https://www.myntra.com/trousers/mast--harbour/mast--harbour-men-black-skinny-fit-solid-chinos/2286532/buy</t>
  </si>
  <si>
    <t>mast  harbour men black skinny fit solid chinos</t>
  </si>
  <si>
    <t>28/29, 28/31, 28/33, 30/31, 30/33, 30/29, 32/33, 32/29, 32/31, 34/29, 34/31, 34/33, 36/29, 36/31, 36/33</t>
  </si>
  <si>
    <t>https://www.myntra.com/jeans/roadster/roadster-men-blue-skinny-fit-mid-rise-clean-look-premium-stretchable-jeans/2129895/buy</t>
  </si>
  <si>
    <t>roadster men blue skinny fit mid rise clean look premium stretchable jeans</t>
  </si>
  <si>
    <t>https://www.myntra.com/jeans/roadster/the-roadster-lifestyle-co-men-navy-blue-slim-fit-mid-rise-clean-look-stretchable-jeans/10092083/buy</t>
  </si>
  <si>
    <t>the roadster lifestyle co men navy blue slim fit mid rise clean look stretchable jeans</t>
  </si>
  <si>
    <t>https://www.myntra.com/jeans/roadster/roadster-men-blue-skinny-fit-mid-rise-clean-look-stretchable-jeans/11260004/buy</t>
  </si>
  <si>
    <t>https://www.myntra.com/sweatshirts/mast--harbour/mast--harbour-men-orange-solid-hooded-sweatshirt/10136765/buy</t>
  </si>
  <si>
    <t>mast  harbour men orange solid hooded sweatshirt</t>
  </si>
  <si>
    <t>https://www.myntra.com/tshirts/roadster/roadster-men-black--rust-brown-printed-round-neck-pure-cotton-t-shirt/12003928/buy</t>
  </si>
  <si>
    <t>roadster men black  rust brown printed round neck pure cotton t shirt</t>
  </si>
  <si>
    <t>https://www.myntra.com/kurtas/herenow/herenow-women-pink-solid-pintuck-pleated-straight-kurta/14430938/buy</t>
  </si>
  <si>
    <t>herenow women pink solid pintuck pleated straight kurta</t>
  </si>
  <si>
    <t>https://www.myntra.com/bra/triumph/triumph-minimizer-21-wireless-non-padded-comfortable-high-support-big-cup-bra/363048/buy</t>
  </si>
  <si>
    <t>Triumph</t>
  </si>
  <si>
    <t>triumph minimizer 21 wireless non padded comfortable high support big cup bra</t>
  </si>
  <si>
    <t>34C, 34D, 34E, 36C, 36D, 36E, 38C, 38D, 38E, 40C, 40D, 40E, 42D, 42E, 44D, 44E</t>
  </si>
  <si>
    <t>https://www.myntra.com/stockings/lebami/lebami-black-stockings/432861/buy</t>
  </si>
  <si>
    <t>lebami black stockings</t>
  </si>
  <si>
    <t>https://www.myntra.com/kurtas/moda-rapido/moda-rapido-women-blue--off-white-printed-straight-kurta/13165352/buy</t>
  </si>
  <si>
    <t>moda rapido women blue  off white printed straight kurta</t>
  </si>
  <si>
    <t>https://www.myntra.com/kurta-sets/herenow/herenow-women-sea-green--pink-printed-a-line-kurta-with-palazzos/12652066/buy</t>
  </si>
  <si>
    <t>herenow women sea green  pink printed a line kurta with palazzos</t>
  </si>
  <si>
    <t>https://www.myntra.com/sweaters/roadster/the-roadster-lifestyle-co-women-black--yellow-striped-sweater/9479027/buy</t>
  </si>
  <si>
    <t>the roadster lifestyle co women black  yellow striped sweater</t>
  </si>
  <si>
    <t>https://www.myntra.com/tshirts/roadster/roadster-women-pack-of-2-pure-cotton-printed-t-shirts/17383658/buy</t>
  </si>
  <si>
    <t>https://www.myntra.com/jackets/sassafras/sassafras-women-black-solid-quilted-jacket/11064276/buy</t>
  </si>
  <si>
    <t>sassafras women black solid quilted jacket</t>
  </si>
  <si>
    <t>https://www.myntra.com/trousers/black-coffee/black-coffee-grey-formal-trousers/1778107/buy</t>
  </si>
  <si>
    <t>https://www.myntra.com/kurta-sets/deyann/deyann-men-maroon--cream-coloured-self-design-kurta-with-pyjamas/6518652/buy</t>
  </si>
  <si>
    <t>deyann men maroon  cream coloured self design kurta with pyjamas</t>
  </si>
  <si>
    <t>https://www.myntra.com/kurta-sets/sojanya/sojanya-men-maroon--beige-self-design-kurta-with-churidar--nehru-jacket/6518469/buy</t>
  </si>
  <si>
    <t>sojanya men maroon  beige self design kurta with churidar  nehru jacket</t>
  </si>
  <si>
    <t>https://www.myntra.com/tshirts/roadster/roadster-men-red--black-printed-round-neck-t-shirt/12003946/buy</t>
  </si>
  <si>
    <t>roadster men red  black printed round neck t shirt</t>
  </si>
  <si>
    <t>https://www.myntra.com/shirts/highlander/highlander-men-green-slim-fit-casual-shirt/12296850/buy</t>
  </si>
  <si>
    <t>highlander men green slim fit casual shirt</t>
  </si>
  <si>
    <t>https://www.myntra.com/tights/hrx-by-hrithik-roshan/hrx-by-hrithik-roshan-women-black-solid-active-cropped-tights/11567762/buy</t>
  </si>
  <si>
    <t>hrx by hrithik roshan women black solid active cropped tights</t>
  </si>
  <si>
    <t>https://www.myntra.com/trousers/tokyo-talkies/tokyo-talkies-women-black--white-straight-fit-striped-peg-trousers/12009562/buy</t>
  </si>
  <si>
    <t>tokyo talkies women black  white straight fit striped peg trousers</t>
  </si>
  <si>
    <t>https://www.myntra.com/tops/kassually/kassually-black--red-floral-georgette-cinched-waist-top/15158324/buy</t>
  </si>
  <si>
    <t>kassually black  red floral georgette cinched waist top</t>
  </si>
  <si>
    <t>https://www.myntra.com/jeans/roadster/roadster-women-blue-skinny-fit-mid-rise-clean-look-stretchable-jeans/2322618/buy</t>
  </si>
  <si>
    <t>https://www.myntra.com/dresses/tokyo-talkies/tokyo-talkies-women-printed-off-white-fit-and-flare-dress/11011138/buy</t>
  </si>
  <si>
    <t>tokyo talkies women printed off white fit and flare dress</t>
  </si>
  <si>
    <t>https://www.myntra.com/tops/dressberry/dressberry-women-pink-crinkled-solid-top/11005646/buy</t>
  </si>
  <si>
    <t>dressberry women pink crinkled solid top</t>
  </si>
  <si>
    <t>https://www.myntra.com/jeans/vero-moda/vero-moda-women-blue-skinny-fit-mid-rise-clean-look-stretchable-cropped-jeans/8410371/buy</t>
  </si>
  <si>
    <t>Vero Moda</t>
  </si>
  <si>
    <t>vero moda women blue skinny fit mid rise clean look stretchable cropped jeans</t>
  </si>
  <si>
    <t>26, 27, 28, 29, 30, 31, 32, 33, 34</t>
  </si>
  <si>
    <t>https://www.myntra.com/jackets/hrx-by-hrithik-roshan/hrx-by-hrithik-roshan-women-green-solid-training-sporty-jacket/9965743/buy</t>
  </si>
  <si>
    <t>hrx by hrithik roshan women green solid training sporty jacket</t>
  </si>
  <si>
    <t>https://www.myntra.com/jeans/locomotive/locomotive-men-grey-slim-fit-mid-rise-clean-look-stretchable-jeans/8064683/buy</t>
  </si>
  <si>
    <t>locomotive men grey slim fit mid rise clean look stretchable jeans</t>
  </si>
  <si>
    <t>https://www.myntra.com/jeans/highlander/highlander-by-rohit-sharma-men-blue-slim-mid-rise-clean-look-stretchable-cropped-jeans/2948544/buy</t>
  </si>
  <si>
    <t>highlander by rohit sharma men blue slim mid rise clean look stretchable cropped jeans</t>
  </si>
  <si>
    <t>https://www.myntra.com/trunk/jockey/jockey-men-pack-of-4-solid-charcoal-grey-modern-fit-trunks/11475050/buy</t>
  </si>
  <si>
    <t>jockey men pack of 4 solid charcoal grey modern fit trunks</t>
  </si>
  <si>
    <t>https://www.myntra.com/trunk/jockey/jockey-men-pack-of-2-solid-charcoal-grey-modern-fit-trunks-8008-0205/11036410/buy</t>
  </si>
  <si>
    <t>jockey men pack of 2 solid charcoal grey modern fit trunks 8008 0205</t>
  </si>
  <si>
    <t>https://www.myntra.com/tshirts/herenow/herenow-men-olive-green--white-striped-round-neck-pure-cotton-t-shirt/13920600/buy</t>
  </si>
  <si>
    <t>herenow men olive green  white striped round neck pure cotton t shirt</t>
  </si>
  <si>
    <t>https://www.myntra.com/sarees/sangria/sangria-pink-solid-net-ruffled-saree/14343210/buy</t>
  </si>
  <si>
    <t>sangria pink solid net ruffled saree</t>
  </si>
  <si>
    <t>https://www.myntra.com/kurta-sets/panit/panit-women-grey--pink-solid-kurta-with-trousers--dupatta/12779830/buy</t>
  </si>
  <si>
    <t>PANIT</t>
  </si>
  <si>
    <t>panit women grey  pink solid kurta with trousers  dupatta</t>
  </si>
  <si>
    <t>https://www.myntra.com/palazzos/vishudh/vishudh-women-grey--off-white-printed-straight-palazzos/12822762/buy</t>
  </si>
  <si>
    <t>vishudh women grey  off white printed straight palazzos</t>
  </si>
  <si>
    <t>https://www.myntra.com/kurtas/sangria/sangria-women-black--off-white-woven-design-straight-kurta/9371675/buy</t>
  </si>
  <si>
    <t>sangria women black  off white woven design straight kurta</t>
  </si>
  <si>
    <t>https://www.myntra.com/jeans/moda-rapido/moda-rapido-women-black-regular-fit-mid-rise-clean-look-jeans/13103850/buy</t>
  </si>
  <si>
    <t>moda rapido women black regular fit mid rise clean look jeans</t>
  </si>
  <si>
    <t>https://www.myntra.com/tops/pluss/pluss-women-peach-coloured-self-design-blouson-top/6521608/buy</t>
  </si>
  <si>
    <t>pluss women peach coloured self design blouson top</t>
  </si>
  <si>
    <t>https://www.myntra.com/tshirts/roadster/roadster-women-rust-brown--maroon-pack-of-2-printed-round-neck-regular-fit-t-shirts/17382872/buy</t>
  </si>
  <si>
    <t>roadster women rust brown  maroon pack of 2 printed round neck regular fit t shirts</t>
  </si>
  <si>
    <t>https://www.myntra.com/dresses/street-9/street-9-fuchsia-square-neck-fit-and-flare-dress/13930098/buy</t>
  </si>
  <si>
    <t>street 9 fuchsia square neck fit and flare dress</t>
  </si>
  <si>
    <t>https://www.myntra.com/dresses/vishudh/vishudh-women-black-checked-fit-and-flare-dress/8662565/buy</t>
  </si>
  <si>
    <t>vishudh women black checked fit and flare dress</t>
  </si>
  <si>
    <t>https://www.myntra.com/tshirts/roadster/roadster-women-teal-blue-solid-round-neck-pure-cotton-t-shirt/11296110/buy</t>
  </si>
  <si>
    <t>roadster women teal blue solid round neck pure cotton t shirt</t>
  </si>
  <si>
    <t>https://www.myntra.com/trousers/mast--harbour/mast--harbour-men-black-slim-fit-solid-chinos/6967858/buy</t>
  </si>
  <si>
    <t>mast  harbour men black slim fit solid chinos</t>
  </si>
  <si>
    <t>28/33, 28/31, 28/29, 30/29, 30/33, 30/31, 32/33, 32/31, 32/29, 34/31, 34/29, 34/33, 36/33, 36/31, 36/29</t>
  </si>
  <si>
    <t>https://www.myntra.com/jeans/roadster/roadster-men-grey-skinny-fit-mid-rise-clean-look-stretchable-jeans/9949745/buy</t>
  </si>
  <si>
    <t>https://www.myntra.com/track-pants/hrx-by-hrithik-roshan/hrx-by-hrithik-roshan-men-grey-solid-sports-track-pants/2486076/buy</t>
  </si>
  <si>
    <t>hrx by hrithik roshan men grey solid sports track pants</t>
  </si>
  <si>
    <t>https://www.myntra.com/shorts/hrx-by-hrithik-roshan/-hrx-by-hrithik-roshan-men-grey-rapid-dry-lightweight-dolphin-running-shorts/8851933/buy</t>
  </si>
  <si>
    <t xml:space="preserve"> hrx by hrithik roshan men grey rapid dry lightweight dolphin running shorts</t>
  </si>
  <si>
    <t>https://www.myntra.com/track-pants/hrx-by-hrithik-roshan/hrx-by-hrithik-roshan-men-pack-of-2-black--green-melange-solid-joggers/16324246/buy</t>
  </si>
  <si>
    <t>hrx by hrithik roshan men pack of 2 black  green melange solid joggers</t>
  </si>
  <si>
    <t>https://www.myntra.com/shirts/invictus/invictus-men-easy-care-white--navy-blue--floral-printed-formal-shirt/13340222/buy</t>
  </si>
  <si>
    <t>invictus men easy care white  navy blue  floral printed formal shirt</t>
  </si>
  <si>
    <t>https://www.myntra.com/kurtas/napra/napra-women-pink-floral-printed-a-line-kurta/10665240/buy</t>
  </si>
  <si>
    <t>Napra</t>
  </si>
  <si>
    <t>napra women pink floral printed a line kurta</t>
  </si>
  <si>
    <t>https://www.myntra.com/dresses/anouk/anouk-navy-blue--off-white-colourblocked-fit-and-flare-dress/11199456/buy</t>
  </si>
  <si>
    <t>anouk navy blue  off white colourblocked fit and flare dress</t>
  </si>
  <si>
    <t>https://www.myntra.com/kurta-sets/ishin/ishin-women-red-bandhani-printed-kurta-with-palazzos/12509542/buy</t>
  </si>
  <si>
    <t>ishin women red bandhani printed kurta with palazzos</t>
  </si>
  <si>
    <t>https://www.myntra.com/track-pants/hrx-by-hrithik-roshan/hrx-by-hrithik-roshan-women-medieval-blue-solid-loose-fit-bio-wash-yoga--sustainable-joggers/12167198/buy</t>
  </si>
  <si>
    <t>hrx by hrithik roshan women medieval blue solid loose fit bio wash yoga  sustainable joggers</t>
  </si>
  <si>
    <t>https://www.myntra.com/tshirts/roadster/roadster-women-pack-of-two-solid-round-neck-t-shirts/2353140/buy</t>
  </si>
  <si>
    <t>roadster women pack of two solid round neck t shirts</t>
  </si>
  <si>
    <t>https://www.myntra.com/tshirts/ether/ether-women-white--black-striped-round-neck-pure-cotton-t-shirt/11752168/buy</t>
  </si>
  <si>
    <t>ether women white  black striped round neck pure cotton t shirt</t>
  </si>
  <si>
    <t>https://www.myntra.com/tshirts/herenow/herenow-men-teal-blue-printed-pure-cotton-t-shirt/13920490/buy</t>
  </si>
  <si>
    <t>herenow men teal blue printed pure cotton t shirt</t>
  </si>
  <si>
    <t>https://www.myntra.com/sarees/ishin/ishin-yellow--red-poly-chiffon-woven-design-saree/2708032/buy</t>
  </si>
  <si>
    <t>ishin yellow  red poly chiffon woven design saree</t>
  </si>
  <si>
    <t>https://www.myntra.com/kurta-sets/anubhutee/anubhutee-women-grey--off-white-foil-print-kurta-with-palazzos/10942368/buy</t>
  </si>
  <si>
    <t>anubhutee women grey  off white foil print kurta with palazzos</t>
  </si>
  <si>
    <t>https://www.myntra.com/nightdress/zebu/zebu-blue--white-printed-nightdress-wlpvnprtsblxl/10525896/buy</t>
  </si>
  <si>
    <t>zebu</t>
  </si>
  <si>
    <t>zebu blue  white printed nightdress wlpvnprtsblxl</t>
  </si>
  <si>
    <t>https://www.myntra.com/dresses/pluss/pluss-yellow-floral-printed-fit-and-flare-dress/8915445/buy</t>
  </si>
  <si>
    <t>pluss yellow floral printed fit and flare dress</t>
  </si>
  <si>
    <t>https://www.myntra.com/tops/all-about-you/all-about-you-beige--rust-brown-floral-print-blouson-top/12259162/buy</t>
  </si>
  <si>
    <t>all about you beige  rust brown floral print blouson top</t>
  </si>
  <si>
    <t>https://www.myntra.com/dresses/tokyo-talkies/tokyo-talkies-women-solid-blue-maxi-dress/10932038/buy</t>
  </si>
  <si>
    <t>tokyo talkies women solid blue maxi dress</t>
  </si>
  <si>
    <t>https://www.myntra.com/tshirts/roadster/roadster-women-navy-blue-solid-round-neck-pure-cotton-t-shirt/10778634/buy</t>
  </si>
  <si>
    <t>roadster women navy blue solid round neck pure cotton t shirt</t>
  </si>
  <si>
    <t>https://www.myntra.com/tops/scorpius/scorpius-black-high-neck-sleeveless-fitted-top/13186780/buy</t>
  </si>
  <si>
    <t>scorpius black high neck sleeveless fitted top</t>
  </si>
  <si>
    <t>https://www.myntra.com/shorts/belle-fille/belle-fille-women-multicoloured-printed-shorts/744398/buy</t>
  </si>
  <si>
    <t>belle fille women multicoloured printed shorts</t>
  </si>
  <si>
    <t>26, 28, 30, 32, 36</t>
  </si>
  <si>
    <t>https://www.myntra.com/jeans/roadster/roadster-men-blue-skinny-fit-mid-rise-clean-look-stretchable-jeans/11691166/buy</t>
  </si>
  <si>
    <t>https://www.myntra.com/lounge-pants/vimal/vimal-men-set-of-2-grey-and-black-solid-lounge-pants/12708350/buy</t>
  </si>
  <si>
    <t>vimal men set of 2 grey and black solid lounge pants</t>
  </si>
  <si>
    <t>https://www.myntra.com/lounge-pants/vimal/vimal-men-pack-of-2-grey-melange--black-solid-lounge-pants/11805450/buy</t>
  </si>
  <si>
    <t>vimal men pack of 2 grey melange  black solid lounge pants</t>
  </si>
  <si>
    <t>https://www.myntra.com/lounge-tshirts/us-polo-assn/us-polo-assn-men-pack-of-2-blue--white-printed-lounge-t-shirt/11805390/buy</t>
  </si>
  <si>
    <t>us polo assn men pack of 2 blue  white printed lounge t shirt</t>
  </si>
  <si>
    <t>https://www.myntra.com/trunk/jockey/jockey-men-black-solid-modern-trunks-fp03-0105/11443782/buy</t>
  </si>
  <si>
    <t>jockey men black solid modern trunks fp03 0105</t>
  </si>
  <si>
    <t>https://www.myntra.com/shirts/locomotive/locomotive-men-pink-slim-fit-printed-casual-shirt/13919954/buy</t>
  </si>
  <si>
    <t>locomotive men pink slim fit printed casual shirt</t>
  </si>
  <si>
    <t>https://www.myntra.com/shirts/moda-rapido/moda-rapido-men-white--black-slim-fit-striped-casual-shirt/9259213/buy</t>
  </si>
  <si>
    <t>moda rapido men white  black slim fit striped casual shirt</t>
  </si>
  <si>
    <t>https://www.myntra.com/jackets/roadster/roadster-men-navy-blue-solid-tailored-jacket-with-detachable-hood/10617864/buy</t>
  </si>
  <si>
    <t>roadster men navy blue solid tailored jacket with detachable hood</t>
  </si>
  <si>
    <t>https://www.myntra.com/tshirts/highlander/highlander-men-maroon--black-colourblocked-slim-fit-pure-cotton-t-shirt/1777737/buy</t>
  </si>
  <si>
    <t>highlander men maroon  black colourblocked slim fit pure cotton t shirt</t>
  </si>
  <si>
    <t>https://www.myntra.com/kurtas/herenow/herenow-women-green-self-striped-pure-cotton-straight-kurta/13404402/buy</t>
  </si>
  <si>
    <t>herenow women green self striped pure cotton straight kurta</t>
  </si>
  <si>
    <t>https://www.myntra.com/leggings/go-colors/go-colors-women-black-solid-skinny-fit-shimmer-ankle-length-leggings/4891833/buy</t>
  </si>
  <si>
    <t>go colors women black solid skinny fit shimmer ankle length leggings</t>
  </si>
  <si>
    <t>https://www.myntra.com/bra/dressberry/dressberry-pink-full-coverage-underwired-lightly-padded-everyday-bra-12460860/14062384/buy</t>
  </si>
  <si>
    <t>dressberry pink full coverage underwired lightly padded everyday bra 12460860</t>
  </si>
  <si>
    <t>https://www.myntra.com/kurtas/moda-rapido/moda-rapido-women-grey-printed-a-line-kurta/1889305/buy</t>
  </si>
  <si>
    <t>moda rapido women grey printed a line kurta</t>
  </si>
  <si>
    <t>https://www.myntra.com/track-pants/sassafras/sassafras-women-peach-coloured-side-striped-wide-leg-track-pants/12222128/buy</t>
  </si>
  <si>
    <t>sassafras women peach coloured side striped wide leg track pants</t>
  </si>
  <si>
    <t>https://www.myntra.com/jeans/dressberry/dressberry-women-black-skinny-fit-mid-rise-mildly-distressed-stretchable-ankle-length-jeans/10098543/buy</t>
  </si>
  <si>
    <t>dressberry women black skinny fit mid rise mildly distressed stretchable ankle length jeans</t>
  </si>
  <si>
    <t>https://www.myntra.com/dresses/taavi/taavi-green-bagru-hand-block-print-a-line-sustainable-pure-cotton-dress-with-pleats--pockets/8862011/buy</t>
  </si>
  <si>
    <t>taavi green bagru hand block print a line sustainable pure cotton dress with pleats  pockets</t>
  </si>
  <si>
    <t>https://www.myntra.com/tops/scorpius/scorpius-women-pack-of-2-tops/9340035/buy</t>
  </si>
  <si>
    <t>https://www.myntra.com/jackets/sassafras/sassafras-women-khaki-solid-tailored-jacket/12737844/buy</t>
  </si>
  <si>
    <t>sassafras women khaki solid tailored jacket</t>
  </si>
  <si>
    <t>https://www.myntra.com/jackets/tokyo-talkies/tokyo-talkies-women-blue-solid-denim-jacket/10698740/buy</t>
  </si>
  <si>
    <t>https://www.myntra.com/tops/her-by-invictus/her-by-invictus-women-brown--white-printed-top/11735670/buy</t>
  </si>
  <si>
    <t>her by invictus women brown  white printed top</t>
  </si>
  <si>
    <t>https://www.myntra.com/tshirts/roadster/roadster-women-stunning-rose-geometric-drop-shoulder-sleeves-tshirt/12193160/buy</t>
  </si>
  <si>
    <t>roadster women stunning rose geometric drop shoulder sleeves tshirt</t>
  </si>
  <si>
    <t>https://www.myntra.com/trousers/roadster/roadster-men-black-slim-fit-sustainable-chinos/12180610/buy</t>
  </si>
  <si>
    <t>roadster men black slim fit sustainable chinos</t>
  </si>
  <si>
    <t>https://www.myntra.com/kurtas/taavi/taavi-men-indigo-hand-block-printed-straight-sustainable-kurta-with-roll-up-sleeves/9304675/buy</t>
  </si>
  <si>
    <t>https://www.myntra.com/socks/navysport/navysport-men-pack-of-3-black-solid-ankle-length-socks/14015758/buy</t>
  </si>
  <si>
    <t>NAVYSPORT</t>
  </si>
  <si>
    <t>navysport men pack of 3 black solid ankle length socks</t>
  </si>
  <si>
    <t>https://www.myntra.com/tshirts/roadster/roadster-men-white--navy-blue-striped-t-shirt/2475075/buy</t>
  </si>
  <si>
    <t>roadster men white  navy blue striped t shirt</t>
  </si>
  <si>
    <t>https://www.myntra.com/tshirts/herenow/herenow-men-maroon-pure-cotton-solid-round-neck-pure-cotton-t-shirt/12816836/buy</t>
  </si>
  <si>
    <t>herenow men maroon pure cotton solid round neck pure cotton t shirt</t>
  </si>
  <si>
    <t>https://www.myntra.com/shirts/roadster/roadster-men-sea-green-regular-fit-solid-sustainable-casual-shirt/11903972/buy</t>
  </si>
  <si>
    <t>roadster men sea green regular fit solid sustainable casual shirt</t>
  </si>
  <si>
    <t>https://www.myntra.com/tops/sangria/sangria-pink--blue-geometric-printed-bell-sleeves-pure-cotton-a-line-top/13258046/buy</t>
  </si>
  <si>
    <t>sangria pink  blue geometric printed bell sleeves pure cotton a line top</t>
  </si>
  <si>
    <t>https://www.myntra.com/track-pants/tokyo-talkies/tokyo-talkies-women-pink-solid-regular-fit-track-pants/14063000/buy</t>
  </si>
  <si>
    <t>tokyo talkies women pink solid regular fit track pants</t>
  </si>
  <si>
    <t>https://www.myntra.com/shirts/mayra/mayra-women-blue-regular-fit-denim-casual-shirt/7208072/buy</t>
  </si>
  <si>
    <t>mayra women blue regular fit denim casual shirt</t>
  </si>
  <si>
    <t>https://www.myntra.com/jeans/high-star/high-star-women-blue-bootcut-high-rise-clean-look-stretchable-jeans/13646316/buy</t>
  </si>
  <si>
    <t>high star women blue bootcut high rise clean look stretchable jeans</t>
  </si>
  <si>
    <t>https://www.myntra.com/tops/kassually/kassually-red-v-neck-puff-sleeves-wrap-crop-top/13670892/buy</t>
  </si>
  <si>
    <t>kassually red v neck puff sleeves wrap crop top</t>
  </si>
  <si>
    <t>https://www.myntra.com/tshirts/roadster/the-roadster-lifestyle-co-women-mustard-yellow-solid-round-neck-pure-cotton-t-shirt/10778618/buy</t>
  </si>
  <si>
    <t>https://www.myntra.com/trousers/roadster/roadster-men-blue-regular-fit-self-design-regular-trousers/13859140/buy</t>
  </si>
  <si>
    <t>roadster men blue regular fit self design regular trousers</t>
  </si>
  <si>
    <t>https://www.myntra.com/track-pants/mast--harbour/mast--harbour-men-black-solid-joggers/10624000/buy</t>
  </si>
  <si>
    <t>mast  harbour men black solid joggers</t>
  </si>
  <si>
    <t>https://www.myntra.com/shorts/wrogn/wrogn-men-navy-blue-solid-regular-fit-shorts/8684727/buy</t>
  </si>
  <si>
    <t>wrogn men navy blue solid regular fit shorts</t>
  </si>
  <si>
    <t>https://www.myntra.com/trousers/highlander/highlander-men-khaki-slim-fit-solid-chinos/5387864/buy</t>
  </si>
  <si>
    <t>highlander men khaki slim fit solid chinos</t>
  </si>
  <si>
    <t>https://www.myntra.com/tshirts/ether/ether-men-multicoloured-striped-polo-collar-pure-cotton-t-shirt/8458523/buy</t>
  </si>
  <si>
    <t>ether men multicoloured striped polo collar pure cotton t shirt</t>
  </si>
  <si>
    <t>https://www.myntra.com/shirts/ether/ether-men-maroon--white-regular-fit-striped-casual-shirt/10463370/buy</t>
  </si>
  <si>
    <t>ether men maroon  white regular fit striped casual shirt</t>
  </si>
  <si>
    <t>https://www.myntra.com/kurtas/libas/libas-women-blue-printed-straight-kurta/10356525/buy</t>
  </si>
  <si>
    <t>libas women blue printed straight kurta</t>
  </si>
  <si>
    <t>https://www.myntra.com/dresses/jaipur-kurti/jaipur-kurti-women-off-white--black-checked-empire-dress/4440644/buy</t>
  </si>
  <si>
    <t>jaipur kurti women off white  black checked empire dress</t>
  </si>
  <si>
    <t>https://www.myntra.com/kurtas/janasya/janasya-women-beige-printed-anarkali-kurta/7655498/buy</t>
  </si>
  <si>
    <t>janasya women beige printed anarkali kurta</t>
  </si>
  <si>
    <t>https://www.myntra.com/kurta-sets/sangria/sangria-women-magenta-pure-cotton-solid-kurta-with-palazzos/13321280/buy</t>
  </si>
  <si>
    <t>sangria women magenta pure cotton solid kurta with palazzos</t>
  </si>
  <si>
    <t>https://www.myntra.com/kurta-sets/yufta/yufta-women-green-solid-kurta-with-palazzos--dupatta/6930175/buy</t>
  </si>
  <si>
    <t>yufta women green solid kurta with palazzos  dupatta</t>
  </si>
  <si>
    <t>https://www.myntra.com/kurta-sets/sangria/sangria-women-wine-coloured--golden-khari-printed-kurta-with-palazzos/12104560/buy</t>
  </si>
  <si>
    <t>sangria women wine coloured  golden khari printed kurta with palazzos</t>
  </si>
  <si>
    <t>https://www.myntra.com/sarees/mitera/mitera-green-silk-blend-ethnic-motifs-woven-designed-banarasi-saree/15029072/buy</t>
  </si>
  <si>
    <t>mitera green silk blend ethnic motifs woven designed banarasi saree</t>
  </si>
  <si>
    <t>https://www.myntra.com/kurta-sets/herenow/herenow-women-off-white--pink-ethnic-motif-print-kurta-with-palazzos/12652084/buy</t>
  </si>
  <si>
    <t>herenow women off white  pink ethnic motif print kurta with palazzos</t>
  </si>
  <si>
    <t>https://www.myntra.com/trousers/dressberry/dressberry-women-green-solid-regular-trousers/10440562/buy</t>
  </si>
  <si>
    <t>dressberry women green solid regular trousers</t>
  </si>
  <si>
    <t>https://www.myntra.com/dresses/mast--harbour/mast--harbour-navy-blue--white-pleated-floral-printed-a-line-dress/12204514/buy</t>
  </si>
  <si>
    <t>mast  harbour navy blue  white pleated floral printed a line dress</t>
  </si>
  <si>
    <t>https://www.myntra.com/dresses/msfq/msfq-red-floral-printed-fit-and-flare-dress/8370873/buy</t>
  </si>
  <si>
    <t>MsFQ</t>
  </si>
  <si>
    <t>msfq red floral printed fit and flare dress</t>
  </si>
  <si>
    <t>https://www.myntra.com/jeans/roadster/roadster-women-stunning-blue-high-rise-straight-fit-stretchable-jeans/11541854/buy</t>
  </si>
  <si>
    <t>roadster women stunning blue high rise straight fit stretchable jeans</t>
  </si>
  <si>
    <t>https://www.myntra.com/dresses/sassafras/sassafras-off-white--pink-floral-printed-semi-sheer-wrap-dress/11364328/buy</t>
  </si>
  <si>
    <t>sassafras off white  pink floral printed semi sheer wrap dress</t>
  </si>
  <si>
    <t>https://www.myntra.com/tops/roadster/the-roadster-lifestyle-co-women-pink--grey-printed-round-neck-top/11092674/buy</t>
  </si>
  <si>
    <t>the roadster lifestyle co women pink  grey printed round neck top</t>
  </si>
  <si>
    <t>https://www.myntra.com/dresses/the-vanca/the-vanca-women-red--off-white-printed-maxi-dress/11101160/buy</t>
  </si>
  <si>
    <t>The Vanca</t>
  </si>
  <si>
    <t>the vanca women red  off white printed maxi dress</t>
  </si>
  <si>
    <t>https://www.myntra.com/sarees/aamna/aamna-yellow-solid-pure-cotton-saree/9742777/buy</t>
  </si>
  <si>
    <t>aamna</t>
  </si>
  <si>
    <t>aamna yellow solid pure cotton saree</t>
  </si>
  <si>
    <t>https://www.myntra.com/nightdress/klamotten/klamotten-maroon-baby-doll-nightdress-xx77/711768/buy</t>
  </si>
  <si>
    <t>Klamotten</t>
  </si>
  <si>
    <t>klamotten maroon baby doll nightdress xx77</t>
  </si>
  <si>
    <t>https://www.myntra.com/kurtas/jaipur-kurti/jaipur-kurti-women-off-white--yellow-ikat-printed-straight-kurta/11053846/buy</t>
  </si>
  <si>
    <t>jaipur kurti women off white  yellow ikat printed straight kurta</t>
  </si>
  <si>
    <t>https://www.myntra.com/tshirts/herenow/herenow-women-black-solid-round-neck-pure-cotton-t-shirt/9706891/buy</t>
  </si>
  <si>
    <t>herenow women black solid round neck pure cotton t shirt</t>
  </si>
  <si>
    <t>https://www.myntra.com/tshirts/roadster/roadster-women-mustard-yellow--mauve-pink-pack-of-2-typography-print-round-neck-t-shirts/17383654/buy</t>
  </si>
  <si>
    <t>roadster women mustard yellow  mauve pink pack of 2 typography print round neck t shirts</t>
  </si>
  <si>
    <t>https://www.myntra.com/dresses/dressberry/dressberry-women-pink-printed-maxi-dress/8282197/buy</t>
  </si>
  <si>
    <t>dressberry women pink printed maxi dress</t>
  </si>
  <si>
    <t>https://www.myntra.com/jumpsuit/tokyo-talkies/tokyo-talkies-women-navy-blue-solid-basic-jumpsuit/10923656/buy</t>
  </si>
  <si>
    <t>tokyo talkies women navy blue solid basic jumpsuit</t>
  </si>
  <si>
    <t>https://www.myntra.com/dresses/street-9/street-9-women-red-self-design-fit-and-flare-dress/13115184/buy</t>
  </si>
  <si>
    <t>street 9 women red self design fit and flare dress</t>
  </si>
  <si>
    <t>https://www.myntra.com/dresses/vishudh/vishudh-women-olive-green-solid-maxi-dress/7720823/buy</t>
  </si>
  <si>
    <t>vishudh women olive green solid maxi dress</t>
  </si>
  <si>
    <t>https://www.myntra.com/jeans/wrogn/wrogn-men-blue-slim-fit-mildly-distressed-light-fade-stretchable-jeans/5556621/buy</t>
  </si>
  <si>
    <t>wrogn men blue slim fit mildly distressed light fade stretchable jeans</t>
  </si>
  <si>
    <t>https://www.myntra.com/jeans/herenow/herenow-men-black-regular-fit-mid-rise-clean-look-jeans/11739122/buy</t>
  </si>
  <si>
    <t>herenow men black regular fit mid rise clean look jeans</t>
  </si>
  <si>
    <t>https://www.myntra.com/kurtas/house-of-pataudi/house-of-pataudi-men-yellow-chikankari-embroidered-straight-kurta/8704511/buy</t>
  </si>
  <si>
    <t>house of pataudi men yellow chikankari embroidered straight kurta</t>
  </si>
  <si>
    <t>https://www.myntra.com/kurta-sets/kisah/kisah-men-peach--mauve-jacquard-banarasi-kurta-with-churidar--nehru-jacket/6611884/buy</t>
  </si>
  <si>
    <t>KISAH</t>
  </si>
  <si>
    <t>kisah men peach  mauve jacquard banarasi kurta with churidar  nehru jacket</t>
  </si>
  <si>
    <t>https://www.myntra.com/tshirts/roadster/roadster-men-black--charcoal-grey-striped-polo-collar-pure-cotton-t-shirt/11533940/buy</t>
  </si>
  <si>
    <t>roadster men black  charcoal grey striped polo collar pure cotton t shirt</t>
  </si>
  <si>
    <t>https://www.myntra.com/kurtas/anouk/anouk-men-beige-solid-straight-kurta/11201650/buy</t>
  </si>
  <si>
    <t>anouk men beige solid straight kurta</t>
  </si>
  <si>
    <t>https://www.myntra.com/tshirts/wrogn/wrogn-men-navy-blue-solid-round-neck-t-shirt-with-printed-detail/11364034/buy</t>
  </si>
  <si>
    <t>wrogn men navy blue solid round neck t shirt with printed detail</t>
  </si>
  <si>
    <t>https://www.myntra.com/briefs/van-heusen/van-heusen-women-pack-of-2-assorted-solid-antibacterial-bikini-briefs-11110/10779740/buy</t>
  </si>
  <si>
    <t>van heusen women pack of 2 assorted solid antibacterial bikini briefs 11110</t>
  </si>
  <si>
    <t>https://www.myntra.com/thermal-tops/kanvin/kanvin-nude-coloured-thermal-top/1605551/buy</t>
  </si>
  <si>
    <t>kanvin nude coloured thermal top</t>
  </si>
  <si>
    <t>https://www.myntra.com/dresses/herenow/herenow-women-red-printed-fit--flare-dress/2372706/buy</t>
  </si>
  <si>
    <t>herenow women red printed fit  flare dress</t>
  </si>
  <si>
    <t>https://www.myntra.com/jeans/moda-rapido/moda-rapido-women-black-straight-fit-high-rise-anti-viral-wash-stretchable-jeans/12545672/buy</t>
  </si>
  <si>
    <t>moda rapido women black straight fit high rise anti viral wash stretchable jeans</t>
  </si>
  <si>
    <t>https://www.myntra.com/shirts/roadster/roadster-women-green--mustard-yellow-abstract-printed-casual-shirt-with-cuban-collar/11526630/buy</t>
  </si>
  <si>
    <t>roadster women green  mustard yellow abstract printed casual shirt with cuban collar</t>
  </si>
  <si>
    <t>https://www.myntra.com/tops/dressberry/dressberry-black--pink-floral-v-neck-top/11003408/buy</t>
  </si>
  <si>
    <t>dressberry black  pink floral v neck top</t>
  </si>
  <si>
    <t>https://www.myntra.com/trousers/sassafras/sassafras-women-navy-blue-parallel-trousers/10856154/buy</t>
  </si>
  <si>
    <t>https://www.myntra.com/dresses/vishudh/vishudh-women-grey-printed-a-line-ethnic-dress/13243454/buy</t>
  </si>
  <si>
    <t>vishudh women grey printed a line ethnic dress</t>
  </si>
  <si>
    <t>https://www.myntra.com/dresses/athena/athena-women-burgundy-solid-fit-and-flare-dress/10976572/buy</t>
  </si>
  <si>
    <t>athena women burgundy solid fit and flare dress</t>
  </si>
  <si>
    <t>https://www.myntra.com/jumpsuit/uptownie-lite/uptownie-lite-women-burgundy-solid-basic-jumpsuit-with-belt/11234652/buy</t>
  </si>
  <si>
    <t>uptownie lite women burgundy solid basic jumpsuit with belt</t>
  </si>
  <si>
    <t>https://www.myntra.com/jeggings/roadster/roadster-women-blue-super-skinny-fit-washed-treggings/11489648/buy</t>
  </si>
  <si>
    <t>roadster women blue super skinny fit washed treggings</t>
  </si>
  <si>
    <t>https://www.myntra.com/jeans/wrogn/wrogn-men-navy-slim-fit-stretchable-jeans/1729296/buy</t>
  </si>
  <si>
    <t>wrogn men navy slim fit stretchable jeans</t>
  </si>
  <si>
    <t>https://www.myntra.com/jeans/roadster/the-roadster-lifestyle-co-men-black-slim-fit-mid-rise-clean-look-stretchable-jeans/10046827/buy</t>
  </si>
  <si>
    <t>the roadster lifestyle co men black slim fit mid rise clean look stretchable jeans</t>
  </si>
  <si>
    <t>https://www.myntra.com/shorts/highlander/highlander-men-grey-checked-slim-fit-regular-shorts/10285701/buy</t>
  </si>
  <si>
    <t>https://www.myntra.com/sweatshirts/allen-solly-sport/allen-solly-sport-men-black-printed-hooded-sweatshirt/10556632/buy</t>
  </si>
  <si>
    <t>Allen Solly Sport</t>
  </si>
  <si>
    <t>allen solly sport men black printed hooded sweatshirt</t>
  </si>
  <si>
    <t>https://www.myntra.com/tshirts/mast--harbour/mast--harbour-men-teal-blue-solid-round-neck-t-shirt/12115852/buy</t>
  </si>
  <si>
    <t>mast  harbour men teal blue solid round neck t shirt</t>
  </si>
  <si>
    <t>https://www.myntra.com/kurta-sets/sangria/sangria-women-teal-blue-solid-pure-cotton-kurta-with-palazzos/13321330/buy</t>
  </si>
  <si>
    <t>sangria women teal blue solid pure cotton kurta with palazzos</t>
  </si>
  <si>
    <t>https://www.myntra.com/night-suits/boston-club/boston-club-women-black--white-printed-night-suit/13567622/buy</t>
  </si>
  <si>
    <t>boston club women black  white printed night suit</t>
  </si>
  <si>
    <t>https://www.myntra.com/dresses/berrylush/berrylush-women-red-solid-fit-and-flare-dress/10730200/buy</t>
  </si>
  <si>
    <t>berrylush women red solid fit and flare dress</t>
  </si>
  <si>
    <t>https://www.myntra.com/tops/mast--harbour/mast--harbour-women-white--teal-blue-printed-a-line-sustainable-top/11188656/buy</t>
  </si>
  <si>
    <t>mast  harbour women white  teal blue printed a line sustainable top</t>
  </si>
  <si>
    <t>https://www.myntra.com/tshirts/mast--harbour/mast--harbour-women-pack-of-2-printed-cotton-regular-fit-t-shirts/17524878/buy</t>
  </si>
  <si>
    <t>https://www.myntra.com/tshirts/roadster/-roadster-women-pack-of-2-t-shirts/17381602/buy</t>
  </si>
  <si>
    <t xml:space="preserve"> roadster women pack of 2 t shirts</t>
  </si>
  <si>
    <t>https://www.myntra.com/jeans/tokyo-talkies/tokyo-talkies-women-black-skinny-fit-mid-rise-clean-look-stretchable-jeans/9440729/buy</t>
  </si>
  <si>
    <t>https://www.myntra.com/shorts/arise/arise-men-grey-solid-regular-fit-shorts/5345800/buy</t>
  </si>
  <si>
    <t>https://www.myntra.com/tshirts/bushirt/bushirt-men-maroon-solid-round-neck-pure-cotton-t-shirt/11616676/buy</t>
  </si>
  <si>
    <t>bushirt men maroon solid round neck pure cotton t shirt</t>
  </si>
  <si>
    <t>https://www.myntra.com/tshirts/roadster/roadster-men-green-and-black-printed-round-neck-pure-cotton-t-shirt/11533262/buy</t>
  </si>
  <si>
    <t>roadster men green and black printed round neck pure cotton t shirt</t>
  </si>
  <si>
    <t>https://www.myntra.com/tshirts/roadster/roadster-men-navy-blue-striped-pure-cotton-round-neck-t-shirt/12907346/buy</t>
  </si>
  <si>
    <t>roadster men navy blue striped pure cotton round neck t shirt</t>
  </si>
  <si>
    <t>https://www.myntra.com/sarees/tikhi-imli/tikhi-imli-off-white--maroon-poly-georgette-printed-saree/10483962/buy</t>
  </si>
  <si>
    <t>tikhi imli off white  maroon poly georgette printed saree</t>
  </si>
  <si>
    <t>https://www.myntra.com/bra/jockey/jockey-pink-solid-non-wired-non-padded-everyday-bra-ss12-0105/11863078/buy</t>
  </si>
  <si>
    <t>jockey pink solid non wired non padded everyday bra ss12 0105</t>
  </si>
  <si>
    <t>https://www.myntra.com/camisoles/zivame/zivame-women-black-solid-kurta-slip-camisole-zi60agcore0blak/11506002/buy</t>
  </si>
  <si>
    <t>zivame women black solid kurta slip camisole zi60agcore0blak</t>
  </si>
  <si>
    <t>https://www.myntra.com/kurta-sets/jaipur-kurti/jaipur-kurti-women-green-solid-kurta-with-trousers/10555132/buy</t>
  </si>
  <si>
    <t>jaipur kurti women green solid kurta with trousers</t>
  </si>
  <si>
    <t>https://www.myntra.com/shorts/dressberry/dressberry-women-blue-solid-regular-fit-denim-shorts/11995128/buy</t>
  </si>
  <si>
    <t>dressberry women blue solid regular fit denim shorts</t>
  </si>
  <si>
    <t>https://www.myntra.com/trousers/sassafras/sassafras-women-blue-flared-solid-denim-culottes/9552651/buy</t>
  </si>
  <si>
    <t>sassafras women blue flared solid denim culottes</t>
  </si>
  <si>
    <t>https://www.myntra.com/dresses/uf/uf-black--white-striped-crepe-maxi-dress/15736874/buy</t>
  </si>
  <si>
    <t>uf black  white striped crepe maxi dress</t>
  </si>
  <si>
    <t>https://www.myntra.com/jeans/wrogn/wrogn-men-black-slim-fit-mid-rise-clean-look-stretchable-jeans/11359076/buy</t>
  </si>
  <si>
    <t>https://www.myntra.com/jeans/locomotive/locomotive-men-blue-tapered-fit-mid-rise-low-distress-stretchable-jeans/11964012/buy</t>
  </si>
  <si>
    <t>locomotive men blue tapered fit mid rise low distress stretchable jeans</t>
  </si>
  <si>
    <t>https://www.myntra.com/trousers/wrogn/wrogn-men-grey-slim-fit-chinos/10238673/buy</t>
  </si>
  <si>
    <t>wrogn men grey slim fit chinos</t>
  </si>
  <si>
    <t>https://www.myntra.com/jeans/highlander/highlander-men-blue-tapered-fit-mid-rise-mildly-distressed-stretchable-jeans/10503274/buy</t>
  </si>
  <si>
    <t>highlander men blue tapered fit mid rise mildly distressed stretchable jeans</t>
  </si>
  <si>
    <t>https://www.myntra.com/jeans/ivoc/ivoc-men-black-jogger-mid-rise-clean-look-joggers/10038815/buy</t>
  </si>
  <si>
    <t>ivoc men black jogger mid rise clean look joggers</t>
  </si>
  <si>
    <t>Rs. 1013 OFF</t>
  </si>
  <si>
    <t>https://www.myntra.com/kurtas/anouk/anouk-men-red-woven-design-straight-kurta/12135124/buy</t>
  </si>
  <si>
    <t>anouk men red woven design straight kurta</t>
  </si>
  <si>
    <t>https://www.myntra.com/tshirts/kook-n-keech/kook-n-keech-men-pink--black-printed-round-neck-pure-cotton-t-shirt/11029188/buy</t>
  </si>
  <si>
    <t>kook n keech men pink  black printed round neck pure cotton t shirt</t>
  </si>
  <si>
    <t>https://www.myntra.com/shirts/locomotive/locomotive-men-black-slim-fit-striped-casual-shirt/13845206/buy</t>
  </si>
  <si>
    <t>locomotive men black slim fit striped casual shirt</t>
  </si>
  <si>
    <t>https://www.myntra.com/shirts/roadster/roadster-men-blue--white-regular-fit-checked-casual-shirt/7288230/buy</t>
  </si>
  <si>
    <t>roadster men blue  white regular fit checked casual shirt</t>
  </si>
  <si>
    <t>39, 40, 42, 44, 46, 48</t>
  </si>
  <si>
    <t>https://www.myntra.com/kurtas/anouk/anouk-women-pink--cream-coloured-striped-pure-cotton-straight-kurta/13238336/buy</t>
  </si>
  <si>
    <t>anouk women pink  cream coloured striped pure cotton straight kurta</t>
  </si>
  <si>
    <t>https://www.myntra.com/kurta-sets/yuris/yuris-women-blue-floral-printed-pure-cotton-kurta-with-trousers--with-dupatta/16649052/buy</t>
  </si>
  <si>
    <t>yuris women blue floral printed pure cotton kurta with trousers  with dupatta</t>
  </si>
  <si>
    <t>https://www.myntra.com/tops/athena/athena-women-grey-solid-crop-top/11701614/buy</t>
  </si>
  <si>
    <t>athena women grey solid crop top</t>
  </si>
  <si>
    <t>https://www.myntra.com/jeans/tokyo-talkies/tokyo-talkies-women-blue-skinny-fit-mid-rise-clean-look-stretchable-jeans/9656695/buy</t>
  </si>
  <si>
    <t>tokyo talkies women blue skinny fit mid rise clean look stretchable jeans</t>
  </si>
  <si>
    <t>https://www.myntra.com/dresses/berrylush/berrylush-women-yellow--white-floral-print-fit-and-flare-dress/10312547/buy</t>
  </si>
  <si>
    <t>berrylush women yellow  white floral print fit and flare dress</t>
  </si>
  <si>
    <t>https://www.myntra.com/tshirts/mast--harbour/mast--harbour-women-mustard-yellow-solid-round-neck-t-shirt/11700106/buy</t>
  </si>
  <si>
    <t>mast  harbour women mustard yellow solid round neck t shirt</t>
  </si>
  <si>
    <t>https://www.myntra.com/tshirts/mast--harbour/mast--harbour-women-green-floral-printed-round-neck-pure-cotton-t-shirt/12253620/buy</t>
  </si>
  <si>
    <t>mast  harbour women green floral printed round neck pure cotton t shirt</t>
  </si>
  <si>
    <t>https://www.myntra.com/trousers/herenow/herenow-men-grey-slim-fit-joggers/9717015/buy</t>
  </si>
  <si>
    <t>herenow men grey slim fit joggers</t>
  </si>
  <si>
    <t>https://www.myntra.com/track-pants/kook-n-keech/kook-n-keech-navy-blue-solid-slim-fit-joggers/1826123/buy</t>
  </si>
  <si>
    <t>kook n keech navy blue solid slim fit joggers</t>
  </si>
  <si>
    <t>https://www.myntra.com/socks/mast--harbour/mast--harbour-men-pack-of-3-colorblocked-shoeliners/2147572/buy</t>
  </si>
  <si>
    <t>mast  harbour men pack of 3 colorblocked shoeliners</t>
  </si>
  <si>
    <t>https://www.myntra.com/thermal-set/armisto/armisto-men-grey-melange-solid-quilted-thermal-set/11233438/buy</t>
  </si>
  <si>
    <t>ARMISTO</t>
  </si>
  <si>
    <t>thermal-set</t>
  </si>
  <si>
    <t>armisto men grey melange solid quilted thermal set</t>
  </si>
  <si>
    <t>https://www.myntra.com/boxers/levis/levis-men-pack-of-2-pure-cotton-checked-boxers/18028886/buy</t>
  </si>
  <si>
    <t>https://www.myntra.com/tshirts/wrogn/wrogn-men-teal-blue--black-slim-fit-striped-round-neck-pure-cotton-t-shirt/11363306/buy</t>
  </si>
  <si>
    <t>wrogn men teal blue  black slim fit striped round neck pure cotton t shirt</t>
  </si>
  <si>
    <t>https://www.myntra.com/shirts/highlander/highlander-men-navy-blue--taupe-slim-fit-checked-casual-shirt/6743831/buy</t>
  </si>
  <si>
    <t>highlander men navy blue  taupe slim fit checked casual shirt</t>
  </si>
  <si>
    <t>https://www.myntra.com/shirts/invictus/invictus-men-white-slim-fit-printed-casual-shirt/2314024/buy</t>
  </si>
  <si>
    <t>invictus men white slim fit printed casual shirt</t>
  </si>
  <si>
    <t>https://www.myntra.com/bra/zivame/zivame-peach-coloured-solid-non-wired-non-padded-minimizer-bra-zi0ncesp07z/11506018/buy</t>
  </si>
  <si>
    <t>zivame peach coloured solid non wired non padded minimizer bra zi0ncesp07z</t>
  </si>
  <si>
    <t>32DD, 32E, 32F, 34D, 34DD, 34E, 34F, 36C, 36D, 36DD, 36E, 36F, 38B, 38C, 38D, 38DD, 38E, 38F, 40C, 40D, 40DD, 40E, 42C, 42D, 42DD, 42E</t>
  </si>
  <si>
    <t>https://www.myntra.com/tops/chemistry/chemistry-black--red-floral-printed-top-with-ruffled-sleeves/13187266/buy</t>
  </si>
  <si>
    <t>chemistry black  red floral printed top with ruffled sleeves</t>
  </si>
  <si>
    <t>https://www.myntra.com/trousers/juniper/juniper-women-gold-toned-urban-slim-slim-fit-cigarette-trousers/11918488/buy</t>
  </si>
  <si>
    <t>juniper women gold toned urban slim slim fit cigarette trousers</t>
  </si>
  <si>
    <t>https://www.myntra.com/dresses/chemistry/chemistry-maroon-fit-and-flare-dress-with-waist-tie-ups/13186644/buy</t>
  </si>
  <si>
    <t>chemistry maroon fit and flare dress with waist tie ups</t>
  </si>
  <si>
    <t>https://www.myntra.com/dresses/vishudh/vishudh-women-navy-blue-printed-fit-and-flare-dress/7009991/buy</t>
  </si>
  <si>
    <t>vishudh women navy blue printed fit and flare dress</t>
  </si>
  <si>
    <t>https://www.myntra.com/boxers/us-polo-assn/us-polo-assn-men-pack-of-2-navy-blue-printed-boxers-9167251/11786120/buy</t>
  </si>
  <si>
    <t>us polo assn men pack of 2 navy blue printed boxers 9167251</t>
  </si>
  <si>
    <t>M, S, L, XXL, XL</t>
  </si>
  <si>
    <t>https://www.myntra.com/boxers/us-polo-assn/us-polo-assn-men-navy-blue-printed----pure-cotton-boxers-i664-195-pr/9167251/buy</t>
  </si>
  <si>
    <t>us polo assn men navy blue printed    pure cotton boxers i664 195 pr</t>
  </si>
  <si>
    <t>https://www.myntra.com/tshirts/wrogn/wrogn-men-white--maroon-slim-fit-colourblocked-round-neck-pure-cotton-t-shirt/9768155/buy</t>
  </si>
  <si>
    <t>wrogn men white  maroon slim fit colourblocked round neck pure cotton t shirt</t>
  </si>
  <si>
    <t>https://www.myntra.com/tshirts/mast--harbour/mast--harbour-men-white-striped-round-neck-pure-cotton-t-shirt/2232092/buy</t>
  </si>
  <si>
    <t>mast  harbour men white striped round neck pure cotton t shirt</t>
  </si>
  <si>
    <t>https://www.myntra.com/dresses/myshka/myshka-women-teal-blue--grey-printed-a-line-dress/9825443/buy</t>
  </si>
  <si>
    <t>myshka women teal blue  grey printed a line dress</t>
  </si>
  <si>
    <t>https://www.myntra.com/kurta-sets/yuris/yuris-women-navy-blue--beige-printed-kurta-with-palazzos--dupatta/13027850/buy</t>
  </si>
  <si>
    <t>yuris women navy blue  beige printed kurta with palazzos  dupatta</t>
  </si>
  <si>
    <t>https://www.myntra.com/nightdress/etc/etc-pink--purple-printed-nightdress/12441842/buy</t>
  </si>
  <si>
    <t>etc pink  purple printed nightdress</t>
  </si>
  <si>
    <t>https://www.myntra.com/tshirts/roadster/roadster-women-pack-of-2-solid-t-shirts/17381500/buy</t>
  </si>
  <si>
    <t>https://www.myntra.com/dresses/berrylush/berrylush-women-black--red-floral-printed-fit-and-flare-dress/10730190/buy</t>
  </si>
  <si>
    <t>berrylush women black  red floral printed fit and flare dress</t>
  </si>
  <si>
    <t>https://www.myntra.com/tshirts/roadster/roadster-women-pack-of-2-printed-t-shirts/17381774/buy</t>
  </si>
  <si>
    <t>https://www.myntra.com/shorts/zastraa/zastraa-women-black-striped-regular-fit-regular-shorts/6631985/buy</t>
  </si>
  <si>
    <t>zastraa women black striped regular fit regular shorts</t>
  </si>
  <si>
    <t>https://www.myntra.com/trousers/mast--harbour/mast--harbour-women-olive-green-regular-fit-solid-peg-trousers/2334882/buy</t>
  </si>
  <si>
    <t>mast  harbour women olive green regular fit solid peg trousers</t>
  </si>
  <si>
    <t>https://www.myntra.com/shorts/wisstler/wisstler-women-navy-blue-printed-regular-fit-casual-shorts/2516733/buy</t>
  </si>
  <si>
    <t>wisstler women navy blue printed regular fit casual shorts</t>
  </si>
  <si>
    <t>https://www.myntra.com/shirts/highlander/highlander-men-white--blue-slim-fit-striped-casual-shirt/10004125/buy</t>
  </si>
  <si>
    <t>highlander men white  blue slim fit striped casual shirt</t>
  </si>
  <si>
    <t>https://www.myntra.com/shirts/herenow/herenow-men-maroon--off-white-slim-fit-checked-casual-shirt/12082896/buy</t>
  </si>
  <si>
    <t>herenow men maroon  off white slim fit checked casual shirt</t>
  </si>
  <si>
    <t>https://www.myntra.com/tshirts/hrx-by-hrithik-roshan/hrx-by-hrithik-roshan-peach-coloured-placement-print-rapid-dry-training-t-shirt/12643910/buy</t>
  </si>
  <si>
    <t>hrx by hrithik roshan peach coloured placement print rapid dry training t shirt</t>
  </si>
  <si>
    <t>https://www.myntra.com/skirts/sassafras/sassafras-women-burgundy-solid-knee-length-a-line-pure-cotton-skirt/7687331/buy</t>
  </si>
  <si>
    <t>sassafras women burgundy solid knee length a line pure cotton skirt</t>
  </si>
  <si>
    <t>https://www.myntra.com/jeans/sassafras/sassafras-women-navy-blue-pure-cotton-relaxed-fit-high-rise-highly-distressed-jeans/13000546/buy</t>
  </si>
  <si>
    <t>sassafras women navy blue pure cotton relaxed fit high rise highly distressed jeans</t>
  </si>
  <si>
    <t>https://www.myntra.com/tops/friskers/friskers-women-black-solid-tank-pure-cotton-top/8159649/buy</t>
  </si>
  <si>
    <t>friskers women black solid tank pure cotton top</t>
  </si>
  <si>
    <t>24% OFF</t>
  </si>
  <si>
    <t>https://www.myntra.com/tshirts/roadster/roadster-women-mustard-yellow-solid-round-neck-t-shirt-with-embroidered-detail/12193844/buy</t>
  </si>
  <si>
    <t>roadster women mustard yellow solid round neck t shirt with embroidered detail</t>
  </si>
  <si>
    <t>https://www.myntra.com/tshirts/mast--harbour/mast--harbour-women-pink--white-striped-round-neck-t-shirt/2490911/buy</t>
  </si>
  <si>
    <t>mast  harbour women pink  white striped round neck t shirt</t>
  </si>
  <si>
    <t>https://www.myntra.com/jeans/herenow/herenow-men-black-slim-fit-mid-rise-clean-look-stretchable-jeans/9211679/buy</t>
  </si>
  <si>
    <t>herenow men black slim fit mid rise clean look stretchable jeans</t>
  </si>
  <si>
    <t>https://www.myntra.com/briefs/jockey/jockey-men-pack-of-2-printed-briefs-ny01-0105-nyc08/11638838/buy</t>
  </si>
  <si>
    <t>jockey men pack of 2 printed briefs ny01 0105 nyc08</t>
  </si>
  <si>
    <t>https://www.myntra.com/briefs/jockey/jockey-men-grey-melange-printed-briefs-ny01-0105-nyc08/10906450/buy</t>
  </si>
  <si>
    <t>jockey men grey melange printed briefs ny01 0105 nyc08</t>
  </si>
  <si>
    <t>https://www.myntra.com/tshirts/hrx-by-hrithik-roshan/hrx-by-hrithik-roshan-men-navy-blue-solid-bio-wash-yoga-tshirt/11999460/buy</t>
  </si>
  <si>
    <t>hrx by hrithik roshan men navy blue solid bio wash yoga tshirt</t>
  </si>
  <si>
    <t>https://www.myntra.com/shirts/jainish/jainish-men-blue-classic-slim-fit-solid-formal-shirt/10683656/buy</t>
  </si>
  <si>
    <t>jainish men blue classic slim fit solid formal shirt</t>
  </si>
  <si>
    <t>https://www.myntra.com/shirts/roadster/roadster-men-navy-blue-solid-regular-fit-casual-sustainable-shirt/11896098/buy</t>
  </si>
  <si>
    <t>roadster men navy blue solid regular fit casual sustainable shirt</t>
  </si>
  <si>
    <t>https://www.myntra.com/tshirts/roadster/the-roadster-lifestyle-co-men-olive-green-dyed-round-neck-pure-cotton-t-shirt/10938504/buy</t>
  </si>
  <si>
    <t>the roadster lifestyle co men olive green dyed round neck pure cotton t shirt</t>
  </si>
  <si>
    <t>https://www.myntra.com/kurta-sets/anouk/anouk-women-yellow-floral-yoke-design-regular-thread-work-pure-cotton-kurta-with-trousers/13995712/buy</t>
  </si>
  <si>
    <t>anouk women yellow floral yoke design regular thread work pure cotton kurta with trousers</t>
  </si>
  <si>
    <t>https://www.myntra.com/dresses/anouk/anouk-checked-off-white--black-pure-cotton-fit-and-flare-dress/10776004/buy</t>
  </si>
  <si>
    <t>anouk checked off white  black pure cotton fit and flare dress</t>
  </si>
  <si>
    <t>https://www.myntra.com/kurta-sets/biba/biba-women-pink--blue-pure-cotton-printed-kurti-with-skirt--dupatta/13446204/buy</t>
  </si>
  <si>
    <t>Biba</t>
  </si>
  <si>
    <t>biba women pink  blue pure cotton printed kurti with skirt  dupatta</t>
  </si>
  <si>
    <t>https://www.myntra.com/kurtas/herenow/herenow-women-black--blue-printed-a-line-kurta/13007404/buy</t>
  </si>
  <si>
    <t>herenow women black  blue printed a line kurta</t>
  </si>
  <si>
    <t>https://www.myntra.com/jackets/herenow/herenow-women-blue-washed-cropped-denim-jacket/10616534/buy</t>
  </si>
  <si>
    <t>herenow women blue washed cropped denim jacket</t>
  </si>
  <si>
    <t>https://www.myntra.com/jeans/roadster/roadster-women-navy-blue-flared-fit-high-rise-clean-look-stretchable-jeans/12278640/buy</t>
  </si>
  <si>
    <t>roadster women navy blue flared fit high rise clean look stretchable jeans</t>
  </si>
  <si>
    <t>https://www.myntra.com/dresses/pluss/pluss-women-black--white-printed-shirt-dress/9435433/buy</t>
  </si>
  <si>
    <t>pluss women black  white printed shirt dress</t>
  </si>
  <si>
    <t>https://www.myntra.com/jeans/roadster/roadster-men-blue-slim-fit-mid-rise-clean-look-stretchable-jeans/10064569/buy</t>
  </si>
  <si>
    <t>https://www.myntra.com/shorts/arise/arise-men-navy-blue-solid-regular-fit-regular-shorts/9194177/buy</t>
  </si>
  <si>
    <t>arise men navy blue solid regular fit regular shorts</t>
  </si>
  <si>
    <t>https://www.myntra.com/socks/mast--harbour/mast--harbour-men-set-of-3-socks/1616320/buy</t>
  </si>
  <si>
    <t>https://www.myntra.com/tshirts/roadster/roadster-men-mustard-yellow-solid-polo-collar-t-shirt/12121326/buy</t>
  </si>
  <si>
    <t>roadster men mustard yellow solid polo collar t shirt</t>
  </si>
  <si>
    <t>https://www.myntra.com/sweatshirts/mast--harbour/mast--harbour-men-peach-coloured-pure-cotton-solid-sweatshirt/12147860/buy</t>
  </si>
  <si>
    <t>mast  harbour men peach coloured pure cotton solid sweatshirt</t>
  </si>
  <si>
    <t>https://www.myntra.com/tshirts/roadster/roadster-white-solid-drop-shoulder-t-shirt-with-asymetric-hem/6546304/buy</t>
  </si>
  <si>
    <t>roadster white solid drop shoulder t shirt with asymetric hem</t>
  </si>
  <si>
    <t>https://www.myntra.com/night-suits/anubhutee/anubhutee-women-red--white-printed-pure-cotton-night-suit/13918438/buy</t>
  </si>
  <si>
    <t>anubhutee women red  white printed pure cotton night suit</t>
  </si>
  <si>
    <t>https://www.myntra.com/jeggings/sztori/sztori-plus-size-women-black-solid-treggings/8935247/buy</t>
  </si>
  <si>
    <t>sztori plus size women black solid treggings</t>
  </si>
  <si>
    <t>32, 34, 36, 38, 40, 42, 44</t>
  </si>
  <si>
    <t>https://www.myntra.com/tshirts/perfkt-u/perfkt-u-women-purple-self-design-round-neck-t-shirt/11938408/buy</t>
  </si>
  <si>
    <t>PERFKT-U</t>
  </si>
  <si>
    <t>perfkt u women purple self design round neck t shirt</t>
  </si>
  <si>
    <t>https://www.myntra.com/dresses/vishudh/vishudh-women-navy-blue-printed-fit-and-flare-dress/13481980/buy</t>
  </si>
  <si>
    <t>https://www.myntra.com/jeans/roadster/roadster-women-blue-skinny-fit-high-rise-mildly-distressed-stretchable-jeans/8810373/buy</t>
  </si>
  <si>
    <t>roadster women blue skinny fit high rise mildly distressed stretchable jeans</t>
  </si>
  <si>
    <t>https://www.myntra.com/jeans/wrogn/wrogn-men-blue-slim-fit-mid-rise-clean-look-stretchable-jeans/6832243/buy</t>
  </si>
  <si>
    <t>https://www.myntra.com/kurta-sets/kisah/kisah-men-green--white-solid-kurta-with-churidar/11159934/buy</t>
  </si>
  <si>
    <t>kisah men green  white solid kurta with churidar</t>
  </si>
  <si>
    <t>38, 40, 42, 44, 46, 50, 48, 52</t>
  </si>
  <si>
    <t>https://www.myntra.com/boxers/levis/levis-men-pack-of-2-pure-cotton-checked-boxers/18028822/buy</t>
  </si>
  <si>
    <t>https://www.myntra.com/shirts/ether/ether-men-green-regular-fit-solid-casual-shirt/9398763/buy</t>
  </si>
  <si>
    <t>ether men green regular fit solid casual shirt</t>
  </si>
  <si>
    <t>https://www.myntra.com/tshirts/austin-wood/austin-wood-men-grey--navy-blue-striped-polo-collar-t-shirt/11885532/buy</t>
  </si>
  <si>
    <t>Austin wood</t>
  </si>
  <si>
    <t>austin wood men grey  navy blue striped polo collar t shirt</t>
  </si>
  <si>
    <t>https://www.myntra.com/sarees/kalini/kalini-black--red-floral-printed-saree/16423342/buy</t>
  </si>
  <si>
    <t>kalini black  red floral printed saree</t>
  </si>
  <si>
    <t>https://www.myntra.com/kurtas/varanga/varanga-women-yellow--white-printed-straight-kurta/9051143/buy</t>
  </si>
  <si>
    <t>varanga women yellow  white printed straight kurta</t>
  </si>
  <si>
    <t>https://www.myntra.com/sarees/tikhi-imli/tikhi-imli-maroon-embellished-satin-one-minute-saree/10483994/buy</t>
  </si>
  <si>
    <t>tikhi imli maroon embellished satin one minute saree</t>
  </si>
  <si>
    <t>https://www.myntra.com/bra/prettycat/prettycat-beige-solid-non-wired-lightly-padded-stick-on-bra-pc-br-new-df/10180153/buy</t>
  </si>
  <si>
    <t>prettycat beige solid non wired lightly padded stick on bra pc br new df</t>
  </si>
  <si>
    <t>30B, 30C, 32B, 32C, 34B, 34C, 36B, 36C</t>
  </si>
  <si>
    <t>https://www.myntra.com/kurtas/moda-rapido/moda-rapido-women-black--white-printed-anarkali-kurta/12013388/buy</t>
  </si>
  <si>
    <t>moda rapido women black  white printed anarkali kurta</t>
  </si>
  <si>
    <t>https://www.myntra.com/dresses/tokyo-talkies/tokyo-talkies-women-burgundy-solid-a-line-dress/13689952/buy</t>
  </si>
  <si>
    <t>tokyo talkies women burgundy solid a line dress</t>
  </si>
  <si>
    <t>https://www.myntra.com/sweatshirts/kook-n-keech-disney/kook-n-keech-disney-women-red--white-mickey-mouse-printed-sweatshirt/11954526/buy</t>
  </si>
  <si>
    <t>kook n keech disney women red  white mickey mouse printed sweatshirt</t>
  </si>
  <si>
    <t>https://www.myntra.com/jackets/roadster/roadster-women-maroon-solid-hooded-parka-jacket/5453182/buy</t>
  </si>
  <si>
    <t>roadster women maroon solid hooded parka jacket</t>
  </si>
  <si>
    <t>https://www.myntra.com/tshirts/roadster/roadster-women-mustard-yellow-solid-round-neck-pure-cotton-t-shirt/11296168/buy</t>
  </si>
  <si>
    <t>https://www.myntra.com/trousers/vishudh/vishudh-women-black-regular-fit-checked-regular-trousers/12822698/buy</t>
  </si>
  <si>
    <t>vishudh women black regular fit checked regular trousers</t>
  </si>
  <si>
    <t>https://www.myntra.com/tshirts/hrx-by-hrithik-roshan/hrx-by-hrithik-roshan-men-navy-printed-bio-wash-yoga-pure-cotton-t-shirt/11999550/buy</t>
  </si>
  <si>
    <t>https://www.myntra.com/sweatshirts/mast--harbour/mast--harbour-men-pink--white-printed-sweatshirt/10136683/buy</t>
  </si>
  <si>
    <t>mast  harbour men pink  white printed sweatshirt</t>
  </si>
  <si>
    <t>https://www.myntra.com/jackets/leather-retail/leather-retail-men-black-solid-lightweight-biker-jacket/12635720/buy</t>
  </si>
  <si>
    <t>Leather Retail</t>
  </si>
  <si>
    <t>leather retail men black solid lightweight biker jacket</t>
  </si>
  <si>
    <t>Rs. 1400 OFF</t>
  </si>
  <si>
    <t>https://www.myntra.com/tshirts/roadster/roadster-men-maroon-solid-round-neck-t-shirt/11545658/buy</t>
  </si>
  <si>
    <t>roadster men maroon solid round neck t shirt</t>
  </si>
  <si>
    <t>https://www.myntra.com/tshirts/ether/ether-men-blue--white-striped-round-neck-pure-cotton-t-shirt/1839565/buy</t>
  </si>
  <si>
    <t>ether men blue  white striped round neck pure cotton t shirt</t>
  </si>
  <si>
    <t>https://www.myntra.com/kurtas/vishudh/vishudh-women-navy-blue--yellow-striped-straight-kurta/12822774/buy</t>
  </si>
  <si>
    <t>vishudh women navy blue  yellow striped straight kurta</t>
  </si>
  <si>
    <t>https://www.myntra.com/dresses/tokyo-talkies/tokyo-talkies-women-black--white-printed-fit-and-flare-dress/2340111/buy</t>
  </si>
  <si>
    <t>tokyo talkies women black  white printed fit and flare dress</t>
  </si>
  <si>
    <t>https://www.myntra.com/dresses/berrylush/berrylush-women-red--black-floral-printed-fit-and-flare-dress/12386008/buy</t>
  </si>
  <si>
    <t>berrylush women red  black floral printed fit and flare dress</t>
  </si>
  <si>
    <t>https://www.myntra.com/dresses/mast--harbour/mast--harbour-women-maroon-solid-a-line-dress/11255866/buy</t>
  </si>
  <si>
    <t>mast  harbour women maroon solid a line dress</t>
  </si>
  <si>
    <t>https://www.myntra.com/tshirts/roadster/roadster-women-peach-coloured-printed-round-neck-pure-cotton-t-shirt/10964510/buy</t>
  </si>
  <si>
    <t>roadster women peach coloured printed round neck pure cotton t shirt</t>
  </si>
  <si>
    <t>https://www.myntra.com/jeans/highlander/highlander-men-blue-tapered-fit-mid-rise-clean-look-stretchable-jeans/12837724/buy</t>
  </si>
  <si>
    <t>https://www.myntra.com/socks/mast--harbour/mast--harbour-men-pack-of-3-patterned-ankle-length-socks/2510285/buy</t>
  </si>
  <si>
    <t>mast  harbour men pack of 3 patterned ankle length socks</t>
  </si>
  <si>
    <t>https://www.myntra.com/tshirts/hrx-by-hrithik-roshan/hrx-by-hrithik-roshan-men-navy-printed-bio-wash-yoga-tshirt/11999454/buy</t>
  </si>
  <si>
    <t>https://www.myntra.com/shirts/mast--harbour/mast--harbour-men-multicoloured-regular-fit-checked-casual-shirt/11007592/buy</t>
  </si>
  <si>
    <t>mast  harbour men multicoloured regular fit checked casual shirt</t>
  </si>
  <si>
    <t>https://www.myntra.com/tshirts/roadster/roadster-men-black-grid-printed-round-neck-pure-cotton-t-shirt/2475824/buy</t>
  </si>
  <si>
    <t>roadster men black grid printed round neck pure cotton t shirt</t>
  </si>
  <si>
    <t>https://www.myntra.com/kurtas/vishudh/vishudh-women-red-striped-a-line-kurta/10556824/buy</t>
  </si>
  <si>
    <t>vishudh women red striped a line kurta</t>
  </si>
  <si>
    <t>https://www.myntra.com/sarees/mitera/mitera-mustard-yellow--navy-blue-silk-blend-woven-design-banarasi-saree/11455132/buy</t>
  </si>
  <si>
    <t>mitera mustard yellow  navy blue silk blend woven design banarasi saree</t>
  </si>
  <si>
    <t>https://www.myntra.com/night-suits/disney-by-dressberry/disney-by-dressberry-women-white-cartoon-character-sleep-staple-night-suit/12185296/buy</t>
  </si>
  <si>
    <t>Disney by DressBerry</t>
  </si>
  <si>
    <t>disney by dressberry women white cartoon character sleep staple night suit</t>
  </si>
  <si>
    <t>https://www.myntra.com/trousers/shae-by-sassafras/shae-by-sassafras-women-navy-blue--off-white-ikat-printed-cropped-trousers/11636396/buy</t>
  </si>
  <si>
    <t>shae by sassafras women navy blue  off white ikat printed cropped trousers</t>
  </si>
  <si>
    <t>https://www.myntra.com/track-pants/highlander/highlander-men-navy-blue-solid-slim-fit-track-pants/14067770/buy</t>
  </si>
  <si>
    <t>https://www.myntra.com/trousers/wrogn/wrogn-men-navy-blue-slim-fit-chinos/10238675/buy</t>
  </si>
  <si>
    <t>https://www.myntra.com/jeans/roadster/the-roadster-lifestyle-co-men-black-slim-fit-low-rise-clean-look-stretchable-jeans/10046837/buy</t>
  </si>
  <si>
    <t>the roadster lifestyle co men black slim fit low rise clean look stretchable jeans</t>
  </si>
  <si>
    <t>https://www.myntra.com/trunk/roadster/roadster-men-pack-of-2-solid-trunks-rdst-trn1-2pp-bm/14393658/buy</t>
  </si>
  <si>
    <t>roadster men pack of 2 solid trunks rdst trn1 2pp bm</t>
  </si>
  <si>
    <t>https://www.myntra.com/innerwear-vests/van-heusen/van-heusen-white-solid-pack-of-2--innerwear-vest-10075/10548230/buy</t>
  </si>
  <si>
    <t>van heusen white solid pack of 2  innerwear vest 10075</t>
  </si>
  <si>
    <t>https://www.myntra.com/tshirts/herenow/herenow-men-black-pure-cotton-solid-round-neck-t-shirt/12816784/buy</t>
  </si>
  <si>
    <t>herenow men black pure cotton solid round neck t shirt</t>
  </si>
  <si>
    <t>https://www.myntra.com/briefs/bodycare/bodycare-women-pack-of-6-hipster-briefs-e26cd/7541684/buy</t>
  </si>
  <si>
    <t>Bodycare</t>
  </si>
  <si>
    <t>bodycare women pack of 6 hipster briefs e26cd</t>
  </si>
  <si>
    <t>https://www.myntra.com/trousers/jaipur-kurti/jaipur-kurti-women-navy-solid-trousers/2039874/buy</t>
  </si>
  <si>
    <t>jaipur kurti women navy solid trousers</t>
  </si>
  <si>
    <t>https://www.myntra.com/sweaters/herenow/herenow-women-mustard-yellow-self-design-sweater/10620342/buy</t>
  </si>
  <si>
    <t>herenow women mustard yellow self design sweater</t>
  </si>
  <si>
    <t>https://www.myntra.com/tshirts/perfkt-u/perfkt-u-women-white-solid-turtle-neck-t-shirt/10867778/buy</t>
  </si>
  <si>
    <t>perfkt u women white solid turtle neck t shirt</t>
  </si>
  <si>
    <t>https://www.myntra.com/tops/mast--harbour/mast--harbour-women-black-solid-top/2495152/buy</t>
  </si>
  <si>
    <t>https://www.myntra.com/tops/mayra/mayra-women-yellow-embroidered-a-line-top/4441307/buy</t>
  </si>
  <si>
    <t>mayra women yellow embroidered a line top</t>
  </si>
  <si>
    <t>https://www.myntra.com/tshirts/roadster/roadster-women-pack-of-2-pure-cotton-colourblocked-t-shirts-/17381840/buy</t>
  </si>
  <si>
    <t xml:space="preserve">roadster women pack of 2 pure cotton colourblocked t shirts </t>
  </si>
  <si>
    <t>https://www.myntra.com/dresses/dressberry/dressberry-women-black-floral-printed-fit-and-flare-dress/10440518/buy</t>
  </si>
  <si>
    <t>dressberry women black floral printed fit and flare dress</t>
  </si>
  <si>
    <t>https://www.myntra.com/dresses/trend-arrest/trend-arrest-maroon-textured-maxi-dress/12013340/buy</t>
  </si>
  <si>
    <t>trend arrest maroon textured maxi dress</t>
  </si>
  <si>
    <t>https://www.myntra.com/tshirts/roadster/roadster-women-peach-coloured-solid-round-neck-pure-cotton-t-shirt/11296060/buy</t>
  </si>
  <si>
    <t>roadster women peach coloured solid round neck pure cotton t shirt</t>
  </si>
  <si>
    <t>https://www.myntra.com/tshirts/roadster/roadster-women-black--white-printed-round-neck-t-shirt/11404306/buy</t>
  </si>
  <si>
    <t>https://www.myntra.com/trousers/wrogn/wrogn-men-olive-green-joggers/10410370/buy</t>
  </si>
  <si>
    <t>https://www.myntra.com/jeans/wrogn/wrogn-men-blue-skinny-fit-mid-rise-clean-look-stretchable-jeans/11359000/buy</t>
  </si>
  <si>
    <t>https://www.myntra.com/socks/mast--harbour/mast--harbour-men-pack-of-3-striped-ankle-length-socks/2510284/buy</t>
  </si>
  <si>
    <t>mast  harbour men pack of 3 striped ankle length socks</t>
  </si>
  <si>
    <t>https://www.myntra.com/trunk/levis/levis-men-pack-of-2-solid-pure-cotton--trunks-bb-100ca-2pk-style-010-352/9261321/buy</t>
  </si>
  <si>
    <t>levis men pack of 2 solid pure cotton  trunks bb 100ca 2pk style 010 352</t>
  </si>
  <si>
    <t>https://www.myntra.com/tshirts/wrogn/wrogn-men-black--white-colourblocked-round-neck-t-shirt/6833052/buy</t>
  </si>
  <si>
    <t>wrogn men black  white colourblocked round neck t shirt</t>
  </si>
  <si>
    <t>https://www.myntra.com/shirts/highlander/highlander-men-coral-pink--white-slim-fit-striped-casual-shirt/12425538/buy</t>
  </si>
  <si>
    <t>highlander men coral pink  white slim fit striped casual shirt</t>
  </si>
  <si>
    <t>https://www.myntra.com/shirts/mast--harbour/mast--harbour-men-black--white-regular-fit-printed-casual-shirt/10550766/buy</t>
  </si>
  <si>
    <t>mast  harbour men black  white regular fit printed casual shirt</t>
  </si>
  <si>
    <t>https://www.myntra.com/tshirts/friskers/friskers-men-white-solid-round-neck-pure-cotton-t-shirt/8907331/buy</t>
  </si>
  <si>
    <t>friskers men white solid round neck pure cotton t shirt</t>
  </si>
  <si>
    <t>https://www.myntra.com/sarees/ishin/ishin-green-poly-georgette-floral-print-saree/1486200/buy</t>
  </si>
  <si>
    <t>ishin green poly georgette floral print saree</t>
  </si>
  <si>
    <t>https://www.myntra.com/kurtas/kalini/kalini-women-white--pink-floral-printed-flared-sleeves-floral-anarkali-kurta/16505396/buy</t>
  </si>
  <si>
    <t>kalini women white  pink floral printed flared sleeves floral anarkali kurta</t>
  </si>
  <si>
    <t>https://www.myntra.com/bra/prettycat/prettycat-blue--pink-printed-underwired-heavily-padded-push-up-bra-pc-br-fo-cld-30b/12399682/buy</t>
  </si>
  <si>
    <t>prettycat blue  pink printed underwired heavily padded push up bra pc br fo cld 30b</t>
  </si>
  <si>
    <t>30B, 32B, 34B, 36B</t>
  </si>
  <si>
    <t>https://www.myntra.com/dresses/athena/athena-maroon--yellow-embroidered-maxi-dress/11633876/buy</t>
  </si>
  <si>
    <t>athena maroon  yellow embroidered maxi dress</t>
  </si>
  <si>
    <t>https://www.myntra.com/shorts/tokyo-talkies/tokyo-talkies-women-blue-solid-regular-fit-regular-shorts/14063006/buy</t>
  </si>
  <si>
    <t>tokyo talkies women blue solid regular fit regular shorts</t>
  </si>
  <si>
    <t>https://www.myntra.com/tshirts/mast--harbour/mast--harbour-women-white-solid-round-neck-t-shirt-with-chest-pocket/11711918/buy</t>
  </si>
  <si>
    <t>mast  harbour women white solid round neck t shirt with chest pocket</t>
  </si>
  <si>
    <t>https://www.myntra.com/sweaters/hm/hm-women-white-jumper/16457834/buy</t>
  </si>
  <si>
    <t>hm women white jumper</t>
  </si>
  <si>
    <t>https://www.myntra.com/tshirts/adidas/adidas-men-navy-blue-classic-3-stripes-solid-round-neck-sustainable-t-shirt/8843127/buy</t>
  </si>
  <si>
    <t>adidas men navy blue classic 3 stripes solid round neck sustainable t shirt</t>
  </si>
  <si>
    <t>https://www.myntra.com/kurtas/varanga/varanga-women-mustard-yellow-yoke-design-straight-kurta/11676500/buy</t>
  </si>
  <si>
    <t>varanga women mustard yellow yoke design straight kurta</t>
  </si>
  <si>
    <t>https://www.myntra.com/sarees/mitera/mitera-blue-woven-design-kanjeevaram-saree/11245026/buy</t>
  </si>
  <si>
    <t>mitera blue woven design kanjeevaram saree</t>
  </si>
  <si>
    <t>https://www.myntra.com/dresses/inddus/inddus-sea-green--red-floral-printed-maxi-dress/10715888/buy</t>
  </si>
  <si>
    <t>inddus sea green  red floral printed maxi dress</t>
  </si>
  <si>
    <t>https://www.myntra.com/tshirts/roadster/roadster-women-pack-of-2-pure-cotton-printed-t-shirts/17383672/buy</t>
  </si>
  <si>
    <t>https://www.myntra.com/dresses/uf/uf-women-pink-solid-maxi-dress/11099572/buy</t>
  </si>
  <si>
    <t>uf women pink solid maxi dress</t>
  </si>
  <si>
    <t>https://www.myntra.com/jackets/tokyo-talkies/tokyo-talkies-women-black-solid-jacket/10841102/buy</t>
  </si>
  <si>
    <t>tokyo talkies women black solid jacket</t>
  </si>
  <si>
    <t>https://www.myntra.com/dresses/deebaco/deebaco-blue-polka-dress-with-ruffled-shrug/14646862/buy</t>
  </si>
  <si>
    <t>deebaco blue polka dress with ruffled shrug</t>
  </si>
  <si>
    <t>https://www.myntra.com/tshirts/bewakoof/bewakoof-women-red-chibi-friends-printed-cotton-pure-cotton-t-shirt/13818948/buy</t>
  </si>
  <si>
    <t>bewakoof women red chibi friends printed cotton pure cotton t shirt</t>
  </si>
  <si>
    <t>Rs. 80 OFF</t>
  </si>
  <si>
    <t>https://www.myntra.com/tops/campus-sutra/campus-sutra-women-green-printed-top/11737802/buy</t>
  </si>
  <si>
    <t>campus sutra women green printed top</t>
  </si>
  <si>
    <t>https://www.myntra.com/tops/mayra/mayra-women-green-solid-half-zipper-top/4441327/buy</t>
  </si>
  <si>
    <t>mayra women green solid half zipper top</t>
  </si>
  <si>
    <t>https://www.myntra.com/tshirts/roadster/roadster-women-green--burgundy-pack-of-2-printed-round-neck-pure-cotton-t-shirts/17383360/buy</t>
  </si>
  <si>
    <t>roadster women green  burgundy pack of 2 printed round neck pure cotton t shirts</t>
  </si>
  <si>
    <t>https://www.myntra.com/jeans/roadster/the-roadster-lifestyle-co-men-black-skinny-fit-mid-rise-clean-look-stretchable-jeans/9270733/buy</t>
  </si>
  <si>
    <t>https://www.myntra.com/jeans/roadster/the-roadster-lifestyle-co-men-blue-skinny-fit-mid-rise-clean-look-stretchable-jeans/10046889/buy</t>
  </si>
  <si>
    <t>https://www.myntra.com/trunk/dollar-bigboss/dollar-bigboss-men-pack-of-5-trunks-mdtr-03-po5-2/1724803/buy</t>
  </si>
  <si>
    <t>dollar bigboss men pack of 5 trunks mdtr 03 po5 2</t>
  </si>
  <si>
    <t>https://www.myntra.com/socks/wrogn/wrogn-men-pack-of-3-striped-shoe-liners/13825536/buy</t>
  </si>
  <si>
    <t>wrogn men pack of 3 striped shoe liners</t>
  </si>
  <si>
    <t>https://www.myntra.com/thermal-set/armisto/armisto-men-grey-quilted-thermal-set/13007340/buy</t>
  </si>
  <si>
    <t>armisto men grey quilted thermal set</t>
  </si>
  <si>
    <t>https://www.myntra.com/lounge-pants/us-polo-assn/us-polo-assn-men-grey-chambray-solid-lounge-pants-i658-002-pl/10861812/buy</t>
  </si>
  <si>
    <t>us polo assn men grey chambray solid lounge pants i658 002 pl</t>
  </si>
  <si>
    <t>https://www.myntra.com/socks/jockey/jockey-men-pack-of-3-white-solid-ankle-length-socks/11443948/buy</t>
  </si>
  <si>
    <t>jockey men pack of 3 white solid ankle length socks</t>
  </si>
  <si>
    <t>https://www.myntra.com/thermal-bottoms/wedze-by-decathlon/wedze-by-decathlon-men-black-solid-base-layer-ski-bottoms-100/15341342/buy</t>
  </si>
  <si>
    <t>wedze by decathlon men black solid base layer ski bottoms 100</t>
  </si>
  <si>
    <t>https://www.myntra.com/lounge-pants/us-polo-assn/us-polo-assn-men-grey-chambray-solid-lounge-pants/11785974/buy</t>
  </si>
  <si>
    <t>us polo assn men grey chambray solid lounge pants</t>
  </si>
  <si>
    <t>https://www.myntra.com/tshirts/ether/ether-men-green--white-self-design-slim-fit-polo-collar-pure-cotton-t-shirt/11900244/buy</t>
  </si>
  <si>
    <t>ether men green  white self design slim fit polo collar pure cotton t shirt</t>
  </si>
  <si>
    <t>https://www.myntra.com/shirts/roadster/roadster-men-black--khaki-regular-fit-printed-sustainable-casual-shirt/11895966/buy</t>
  </si>
  <si>
    <t>roadster men black  khaki regular fit printed sustainable casual shirt</t>
  </si>
  <si>
    <t>https://www.myntra.com/tshirts/roadster/roadster-men-green-printed-round-neck-pure-cotton-t-shirt/11545010/buy</t>
  </si>
  <si>
    <t>roadster men green printed round neck pure cotton t shirt</t>
  </si>
  <si>
    <t>https://www.myntra.com/kurtas/anouk/anouk-women-black-yoke-design-keyhole-neck-kurta/13238444/buy</t>
  </si>
  <si>
    <t>anouk women black yoke design keyhole neck kurta</t>
  </si>
  <si>
    <t>https://www.myntra.com/nightdress/masha/masha-green-satin-kaftan-maxi-nightdress-nt-233-1111/2177649/buy</t>
  </si>
  <si>
    <t>masha green satin kaftan maxi nightdress nt 233 1111</t>
  </si>
  <si>
    <t>L</t>
  </si>
  <si>
    <t>https://www.myntra.com/kurtas/moda-rapido/moda-rapido-women-navy-blue--golden-embroidered-yoke-design-straight-kurta/12529812/buy</t>
  </si>
  <si>
    <t>moda rapido women navy blue  golden embroidered yoke design straight kurta</t>
  </si>
  <si>
    <t>https://www.myntra.com/tops/dressberry/dressberry-women-deep-burgundy-solid-puff-sleeves-top/11002798/buy</t>
  </si>
  <si>
    <t>dressberry women deep burgundy solid puff sleeves top</t>
  </si>
  <si>
    <t>https://www.myntra.com/jeans/tokyo-talkies/tokyo-talkies-women-blue-flared-high-rise-clean-look-jeans/12758196/buy</t>
  </si>
  <si>
    <t>tokyo talkies women blue flared high rise clean look jeans</t>
  </si>
  <si>
    <t>https://www.myntra.com/jeans/mast--harbour/mast--harbour-women-blue-boyfriend-fit-mid-rise-clean-look-stretchable-frayed-hem-jeans-/11284552/buy</t>
  </si>
  <si>
    <t xml:space="preserve">mast  harbour women blue boyfriend fit mid rise clean look stretchable frayed hem jeans </t>
  </si>
  <si>
    <t>https://www.myntra.com/jeans/roadster/the-roadster-lifestyle-co-men-blue-skinny-fit-mid-rise-clean-look-stretchable-jeans/10064463/buy</t>
  </si>
  <si>
    <t>https://www.myntra.com/jeans/locomotive/locomotive-men-blue-tapered-fit-mid-rise-clean-look-stretchable-jeans/11196174/buy</t>
  </si>
  <si>
    <t>https://www.myntra.com/jeans/roadster/roadster-men-blue-regular-fit-mid-rise-clean-look-stretchable-jeans/8275741/buy</t>
  </si>
  <si>
    <t>roadster men blue regular fit mid rise clean look stretchable jeans</t>
  </si>
  <si>
    <t>https://www.myntra.com/jeans/highlander/highlander-men-grey-tapered-fit-mid-rise-clean-look-stretchable-jeans/12425530/buy</t>
  </si>
  <si>
    <t>https://www.myntra.com/briefs/one8-by-virat-kohli/one8-by-virat-kohli-men-pack-of-2-solid-briefs/10794290/buy</t>
  </si>
  <si>
    <t>one8 by virat kohli men pack of 2 solid briefs</t>
  </si>
  <si>
    <t>Rs. 82 OFF</t>
  </si>
  <si>
    <t>https://www.myntra.com/socks/roadster/roadster-men-set-of-2-above-ankle-length-socks/1422318/buy</t>
  </si>
  <si>
    <t>roadster men set of 2 above ankle length socks</t>
  </si>
  <si>
    <t>https://www.myntra.com/tshirts/hrx-by-hrithik-roshan/hrx-by-hrithik-roshan-outdoor-men-grey-melange-solid-rapid-dry-regular-fit-t-shirt/8692237/buy</t>
  </si>
  <si>
    <t>hrx by hrithik roshan outdoor men grey melange solid rapid dry regular fit t shirt</t>
  </si>
  <si>
    <t>https://www.myntra.com/tshirts/hrx-by-hrithik-roshan/hrx-by-hrithik-roshan-men-blue-solid-rapid-dry-training-t-shirts/8692235/buy</t>
  </si>
  <si>
    <t>hrx by hrithik roshan men blue solid rapid dry training t shirts</t>
  </si>
  <si>
    <t>https://www.myntra.com/sweatshirts/hm/hm-men-green-solid-relaxed-fit-hoodie/15746196/buy</t>
  </si>
  <si>
    <t>hm men green solid relaxed fit hoodie</t>
  </si>
  <si>
    <t>https://www.myntra.com/kurta-sets/anouk/anouk-women-navy-blue--beige-printed-kurta-with-palazzos/12134678/buy</t>
  </si>
  <si>
    <t>anouk women navy blue  beige printed kurta with palazzos</t>
  </si>
  <si>
    <t>https://www.myntra.com/kurta-sets/yuris/yuris-women-red--golden-pure-cotton-ethnic-motif-foil-print-kurta-with-trousers--dupatta/13791256/buy</t>
  </si>
  <si>
    <t>yuris women red  golden pure cotton ethnic motif foil print kurta with trousers  dupatta</t>
  </si>
  <si>
    <t>https://www.myntra.com/kurta-sets/vishudh/vishudh-women-mauve-regular-kurta-with-sharara--with-dupatta/7572958/buy</t>
  </si>
  <si>
    <t>vishudh women mauve regular kurta with sharara  with dupatta</t>
  </si>
  <si>
    <t>https://www.myntra.com/night-suits/masha/masha-women-maroon-printed-night-suit/12992914/buy</t>
  </si>
  <si>
    <t>masha women maroon printed night suit</t>
  </si>
  <si>
    <t>https://www.myntra.com/dresses/anouk/anouk-red--green-a-line-dress/13995710/buy</t>
  </si>
  <si>
    <t>anouk red  green a line dress</t>
  </si>
  <si>
    <t>https://www.myntra.com/skirts/roadster/roadster-women-blue-washed-denim-straight-skirt/11118508/buy</t>
  </si>
  <si>
    <t>roadster women blue washed denim straight skirt</t>
  </si>
  <si>
    <t>https://www.myntra.com/dresses/athena/athena-black-embellished-slit-sleeves-maxi-dress/10813300/buy</t>
  </si>
  <si>
    <t>athena black embellished slit sleeves maxi dress</t>
  </si>
  <si>
    <t>https://www.myntra.com/dresses/vishudh/vishudh-cream-coloured-v-neck-maxi-dress/7572959/buy</t>
  </si>
  <si>
    <t>vishudh cream coloured v neck maxi dress</t>
  </si>
  <si>
    <t>https://www.myntra.com/tshirts/roadster/roadster-women-lavender-high-neck-longline-cotton-pure-cotton-t-shirt/12193858/buy</t>
  </si>
  <si>
    <t>roadster women lavender high neck longline cotton pure cotton t shirt</t>
  </si>
  <si>
    <t>https://www.myntra.com/tshirts/mast--harbour/mast--harbour-women-coral-pink-printed-round-neck-t-shirt/8325345/buy</t>
  </si>
  <si>
    <t>mast  harbour women coral pink printed round neck t shirt</t>
  </si>
  <si>
    <t>https://www.myntra.com/jeans/herenow/herenow-men-black-slim-fit-low-rise-clean-look-stretchable-jeans/8806289/buy</t>
  </si>
  <si>
    <t>herenow men black slim fit low rise clean look stretchable jeans</t>
  </si>
  <si>
    <t>https://www.myntra.com/shirts/flying-machine/flying-machine-men-navy-blue-comfort-slim-fit-solid-casual-shirt/2474396/buy</t>
  </si>
  <si>
    <t>flying machine men navy blue comfort slim fit solid casual shirt</t>
  </si>
  <si>
    <t>https://www.myntra.com/shirts/roadster/the-roadster-lifestyle-co-men-blue-regular-fit-solid-casual-denim-shirt/9951439/buy</t>
  </si>
  <si>
    <t>the roadster lifestyle co men blue regular fit solid casual denim shirt</t>
  </si>
  <si>
    <t>https://www.myntra.com/shirts/wrogn/wrogn-men-blue--grey-slim-fit-checked-casual-shirt/6832717/buy</t>
  </si>
  <si>
    <t>wrogn men blue  grey slim fit checked casual shirt</t>
  </si>
  <si>
    <t>https://www.myntra.com/tshirts/kook-n-keech-marvel/kook-n-keech-marvel-men-black-printed-round-neck-pure-cotton-t-shirt/8972437/buy</t>
  </si>
  <si>
    <t>kook n keech marvel men black printed round neck pure cotton t shirt</t>
  </si>
  <si>
    <t>https://www.myntra.com/kurtas/w/w-women-orange--white-printed-a-line-kurta/11369676/buy</t>
  </si>
  <si>
    <t>w women orange  white printed a line kurta</t>
  </si>
  <si>
    <t>https://www.myntra.com/bra/enamor/enamor-grey-non-wired-lightly-padded-medium-coverage-everyday-tshirt-bra-f023-/7094678/buy</t>
  </si>
  <si>
    <t xml:space="preserve">enamor grey non wired lightly padded medium coverage everyday tshirt bra f023 </t>
  </si>
  <si>
    <t>https://www.myntra.com/briefs/leading-lady/leading-lady-women-pack-of-6-printed-bikini-briefs/1445598/buy</t>
  </si>
  <si>
    <t>leading lady women pack of 6 printed bikini briefs</t>
  </si>
  <si>
    <t>https://www.myntra.com/bra/fashionrack/fashionrack-beige-solid-non-wired-lightly-padded-bandeau-bra-1769/9941521/buy</t>
  </si>
  <si>
    <t>fashionrack beige solid non wired lightly padded bandeau bra 1769</t>
  </si>
  <si>
    <t>30C, 30D, 32B, 32C, 34B, 34C, 36B</t>
  </si>
  <si>
    <t>https://www.myntra.com/jeans/herenow/herenow-women-blue-mid-rise-flared-clean-look-stretchable-jeans/9072691/buy</t>
  </si>
  <si>
    <t>herenow women blue mid rise flared clean look stretchable jeans</t>
  </si>
  <si>
    <t>https://www.myntra.com/tshirts/roadster/roadster-women-set-of-2-pure-cotton-t-shirts/17381538/buy</t>
  </si>
  <si>
    <t>https://www.myntra.com/tshirts/roadster/roadster-women-pack-of-2-solid-t-shirts/17383900/buy</t>
  </si>
  <si>
    <t>https://www.myntra.com/dresses/sera/sera-women-blue-floral-print-fit--flare-midi-dress/1923979/buy</t>
  </si>
  <si>
    <t>sera women blue floral print fit  flare midi dress</t>
  </si>
  <si>
    <t>https://www.myntra.com/jeans/sassafras/sassafras-women-maroon-regular-fit-mid-rise-clean-look-stretchable-bell-bottom-jeans/12221978/buy</t>
  </si>
  <si>
    <t>sassafras women maroon regular fit mid rise clean look stretchable bell bottom jeans</t>
  </si>
  <si>
    <t>https://www.myntra.com/tshirts/ether/ether-women-mustard-yellow-printed-round-neck-pure-cotton-t-shirt/10984922/buy</t>
  </si>
  <si>
    <t>ether women mustard yellow printed round neck pure cotton t shirt</t>
  </si>
  <si>
    <t>https://www.myntra.com/jeans/roadster/roadster-greenturn-men-grey-skinny-fit-mid-rise-clean-look-stretchable-sustainable-jeans/11274438/buy</t>
  </si>
  <si>
    <t>roadster greenturn men grey skinny fit mid rise clean look stretchable sustainable jeans</t>
  </si>
  <si>
    <t>https://www.myntra.com/jeans/highlander/highlander-men-blue-tapered-fit-mid-rise-clean-look-stretchable-jeans/7438760/buy</t>
  </si>
  <si>
    <t>https://www.myntra.com/tshirts/roadster/roadster-men-green-solid-polo-collar-pure-cotton-t-shirt/2303688/buy</t>
  </si>
  <si>
    <t>roadster men green solid polo collar pure cotton t shirt</t>
  </si>
  <si>
    <t>https://www.myntra.com/tshirts/herenow/herenow-men-navy-blue-printed-round-neck-t-shirt/12062138/buy</t>
  </si>
  <si>
    <t>herenow men navy blue printed round neck t shirt</t>
  </si>
  <si>
    <t>https://www.myntra.com/kurtas/sangria/sangria-women-pink--off-white-neon-geometric-printed-straight-kurta-/8350441/buy</t>
  </si>
  <si>
    <t xml:space="preserve">sangria women pink  off white neon geometric printed straight kurta </t>
  </si>
  <si>
    <t>https://www.myntra.com/briefs/leading-lady/leading-lady-women-pack-of-5-assorted-hipsters-m-dp-100dc-5-nb-mr-rn-bur-blk-3xl/9783653/buy</t>
  </si>
  <si>
    <t>leading lady women pack of 5 assorted hipsters m dp 100dc 5 nb mr rn bur blk 3xl</t>
  </si>
  <si>
    <t>https://www.myntra.com/bra/enamor/enamor-skin-non-wired-non-padded-high-coverage-everyday-tshirt-bra-a025-/12723156/buy</t>
  </si>
  <si>
    <t xml:space="preserve">enamor skin non wired non padded high coverage everyday tshirt bra a025 </t>
  </si>
  <si>
    <t>https://www.myntra.com/bra/enamor/enamor-pink-grey-printed-non-wired-removable-pads-high-coverage-medium-impact-sports-bra-sb08/13370858/buy</t>
  </si>
  <si>
    <t>enamor pink grey printed non wired removable pads high coverage medium impact sports bra sb08</t>
  </si>
  <si>
    <t>https://www.myntra.com/jeans/herenow/herenow-women-black-skinny-fit-mid-rise-clean-look-stretchable-cropped-jeans/2428569/buy</t>
  </si>
  <si>
    <t>herenow women black skinny fit mid rise clean look stretchable cropped jeans</t>
  </si>
  <si>
    <t>https://www.myntra.com/kurtas/sangria/sangria-women-yellow--orange-printed-straight-kurta/12163546/buy</t>
  </si>
  <si>
    <t>sangria women yellow  orange printed straight kurta</t>
  </si>
  <si>
    <t>https://www.myntra.com/tshirts/roadster/roadster-women-white--maroon-pack-of-2-typography-print-pure-cotton-regular-fit-t-shirts/17382894/buy</t>
  </si>
  <si>
    <t>roadster women white  maroon pack of 2 typography print pure cotton regular fit t shirts</t>
  </si>
  <si>
    <t>https://www.myntra.com/jeans/dressberry/dressberry-women-blue-skinny-fit-mid-rise-clean-look-stretchable-cropped-jeans/10365189/buy</t>
  </si>
  <si>
    <t>https://www.myntra.com/jeans/tokyo-talkies/tokyo-talkies-women-black-bootcut-mid-rise-clean-look-jeans/10641934/buy</t>
  </si>
  <si>
    <t>tokyo talkies women black bootcut mid rise clean look jeans</t>
  </si>
  <si>
    <t>https://www.myntra.com/tshirts/ether/ether-women-black-printed-round-neck-pure-cotton-t-shirt/11037596/buy</t>
  </si>
  <si>
    <t>https://www.myntra.com/tops/mast--harbour/mast--harbour-women-yellow-printed-top/2464263/buy</t>
  </si>
  <si>
    <t>mast  harbour women yellow printed top</t>
  </si>
  <si>
    <t>https://www.myntra.com/jeans/roadster/roadster-men-blue-slim-tapered-fit-mid-rise-clean-look-stretchable-jeans/11274580/buy</t>
  </si>
  <si>
    <t>https://www.myntra.com/track-pants/hrx-by-hrithik-roshan/hrx-by-hrithik-roshan-men-grey-melange-solid-track-pants/6395435/buy</t>
  </si>
  <si>
    <t>hrx by hrithik roshan men grey melange solid track pants</t>
  </si>
  <si>
    <t>https://www.myntra.com/kurtas/sojanya/sojanya-men-blue-dobby-checked-straight-kurta/11422522/buy</t>
  </si>
  <si>
    <t>sojanya men blue dobby checked straight kurta</t>
  </si>
  <si>
    <t>https://www.myntra.com/shirts/highlander/highlander-men-green-slim-fit-striped-casual-shirt/14441230/buy</t>
  </si>
  <si>
    <t>highlander men green slim fit striped casual shirt</t>
  </si>
  <si>
    <t>https://www.myntra.com/kurtas/fashion-depth/fashion-depth-women-green--yellow-floral-yoke-design-thread-work-straight-kurta/15090310/buy</t>
  </si>
  <si>
    <t>FASHION DEPTH</t>
  </si>
  <si>
    <t>fashion depth women green  yellow floral yoke design thread work straight kurta</t>
  </si>
  <si>
    <t>https://www.myntra.com/night-suits/etc/etc-women-black--white-striped-night-suit/12441888/buy</t>
  </si>
  <si>
    <t>etc women black  white striped night suit</t>
  </si>
  <si>
    <t>https://www.myntra.com/night-suits/drape-in-vogue/drape-in-vogue-women-navy-blue--white-printed-night-suit/11316804/buy</t>
  </si>
  <si>
    <t>drape in vogue women navy blue  white printed night suit</t>
  </si>
  <si>
    <t>https://www.myntra.com/kurtas/sangria/sangria-women-beige--maroon-printed-straight-kurta/11174022/buy</t>
  </si>
  <si>
    <t>sangria women beige  maroon printed straight kurta</t>
  </si>
  <si>
    <t>https://www.myntra.com/dresses/herenow/herenow-women-red--pink-floral-print-a-line-dress/12625340/buy</t>
  </si>
  <si>
    <t>herenow women red  pink floral print a line dress</t>
  </si>
  <si>
    <t>https://www.myntra.com/tops/herenow/herenow-black-pure-cotton-top/7989991/buy</t>
  </si>
  <si>
    <t>herenow black pure cotton top</t>
  </si>
  <si>
    <t>https://www.myntra.com/kurta-sets/sangria/sangria-women-white--coral-orange-pure-cotton-checked-kurta-with-palazzos/13437294/buy</t>
  </si>
  <si>
    <t>sangria women white  coral orange pure cotton checked kurta with palazzos</t>
  </si>
  <si>
    <t>https://www.myntra.com/palazzos/sangria/sangria-women-off-white-solid-regular-cropped-palazzo/8420367/buy</t>
  </si>
  <si>
    <t>sangria women off white solid regular cropped palazzo</t>
  </si>
  <si>
    <t>https://www.myntra.com/tops/mast--harbour/mast--harbour-women-maroon--off-white-printed-top/9446365/buy</t>
  </si>
  <si>
    <t>mast  harbour women maroon  off white printed top</t>
  </si>
  <si>
    <t>https://www.myntra.com/sweatshirts/tokyo-talkies/tokyo-talkies-women-black--red-colourblocked-sweatshirt/10710902/buy</t>
  </si>
  <si>
    <t>tokyo talkies women black  red colourblocked sweatshirt</t>
  </si>
  <si>
    <t>https://www.myntra.com/dresses/momtobe/momtobe-black--brown-abstract-printed-cotton-maternity-maxi-dress/12739508/buy</t>
  </si>
  <si>
    <t>momtobe black  brown abstract printed cotton maternity maxi dress</t>
  </si>
  <si>
    <t>https://www.myntra.com/tshirts/dressberry/dressberry-women-pack-of-2-t-shirts/17477808/buy</t>
  </si>
  <si>
    <t>https://www.myntra.com/jeans/dressberry/dressberry-women-blue-skinny-fit-mid-rise-slash-knee-stretchable-jeans/5669789/buy</t>
  </si>
  <si>
    <t>https://www.myntra.com/shorts/roadster/roadster-women-white-solid-regular-fit-denim-shorts/11489692/buy</t>
  </si>
  <si>
    <t>roadster women white solid regular fit denim shorts</t>
  </si>
  <si>
    <t>https://www.myntra.com/jumpsuit/miss-chase/miss-chase-burgundy-solid-stylised-neck-party-jumpsuit/10807960/buy</t>
  </si>
  <si>
    <t>miss chase burgundy solid stylised neck party jumpsuit</t>
  </si>
  <si>
    <t>https://www.myntra.com/tshirts/roadster/the-roadster-lifestyle-co-women-maroon--white-colourblocked-round-neck-pure-cotton-t-shirt/10958462/buy</t>
  </si>
  <si>
    <t>the roadster lifestyle co women maroon  white colourblocked round neck pure cotton t shirt</t>
  </si>
  <si>
    <t>https://www.myntra.com/tshirts/roadster/roadster-women-white-solid-round-neck-t-shirt/11296064/buy</t>
  </si>
  <si>
    <t>https://www.myntra.com/trousers/invictus/invictus-men-grey-slim-fit-checked-formal-trousers/7149886/buy</t>
  </si>
  <si>
    <t>invictus men grey slim fit checked formal trousers</t>
  </si>
  <si>
    <t>https://www.myntra.com/jeans/roadster/roadster-men-navy-blue-solid-skinny-fit-light-fade-stretchable-jeans/13249762/buy</t>
  </si>
  <si>
    <t>roadster men navy blue solid skinny fit light fade stretchable jeans</t>
  </si>
  <si>
    <t>https://www.myntra.com/kurtas/cross-court/cross-court-men-white--grey-woven-design-straight-kurta/3003560/buy</t>
  </si>
  <si>
    <t>cross court men white  grey woven design straight kurta</t>
  </si>
  <si>
    <t>https://www.myntra.com/kurtas/sojanya/sojanya-men-orange-dobby-self-checked-straight-kurta/11422524/buy</t>
  </si>
  <si>
    <t>sojanya men orange dobby self checked straight kurta</t>
  </si>
  <si>
    <t>https://www.myntra.com/briefs/jockey/jockey-pack-of-2-men-deep-navy-square-cut-briefs/15209178/buy</t>
  </si>
  <si>
    <t>jockey pack of 2 men deep navy square cut briefs</t>
  </si>
  <si>
    <t>https://www.myntra.com/shirts/roadster/roadster-men-grey-printed-cotton-sustainable-casual-shirt/8894455/buy</t>
  </si>
  <si>
    <t>roadster men grey printed cotton sustainable casual shirt</t>
  </si>
  <si>
    <t>https://www.myntra.com/shirts/mast--harbour/mast--harbour-men-black-slim-fit-casual-shirt/2518731/buy</t>
  </si>
  <si>
    <t>mast  harbour men black slim fit casual shirt</t>
  </si>
  <si>
    <t>https://www.myntra.com/tshirts/mast--harbour/mast--harbour-men-pink--white-printed-round-neck-pure-cotton-t-shirt/10250037/buy</t>
  </si>
  <si>
    <t>mast  harbour men pink  white printed round neck pure cotton t shirt</t>
  </si>
  <si>
    <t>https://www.myntra.com/tshirts/roadster/the-roadster-lifestyle-co-men-mauve-dyed-round-neck-pure-cotton-t-shirt/10938486/buy</t>
  </si>
  <si>
    <t>the roadster lifestyle co men mauve dyed round neck pure cotton t shirt</t>
  </si>
  <si>
    <t>https://www.myntra.com/kurtas/vishudh/vishudh-women-green-embroidered-asymmtric-a-line-kurta/7265327/buy</t>
  </si>
  <si>
    <t>vishudh women green embroidered asymmtric a line kurta</t>
  </si>
  <si>
    <t>https://www.myntra.com/kurta-sets/sangria/sangria-women-off-white--black-checked-kurta-with-palazzos/11536962/buy</t>
  </si>
  <si>
    <t>sangria women off white  black checked kurta with palazzos</t>
  </si>
  <si>
    <t>https://www.myntra.com/kurta-sets/khushal-k/khushal-k-women-pink-regular-gotta-patti-kurta-with-palazzos--with-dupatta/10606988/buy</t>
  </si>
  <si>
    <t>khushal k women pink regular gotta patti kurta with palazzos  with dupatta</t>
  </si>
  <si>
    <t>https://www.myntra.com/night-suits/dressberry/dressberry-women-green-solid-satin-nightsuit/12185332/buy</t>
  </si>
  <si>
    <t>dressberry women green solid satin nightsuit</t>
  </si>
  <si>
    <t>https://www.myntra.com/kurtas/herenow/herenow-women-off-white--red-printed-straight-kurta/12530322/buy</t>
  </si>
  <si>
    <t>herenow women off white  red printed straight kurta</t>
  </si>
  <si>
    <t>https://www.myntra.com/track-pants/tokyo-talkies/tokyo-talkies-women-fuchsia-pink-solid-casual-track-pants/14154084/buy</t>
  </si>
  <si>
    <t>tokyo talkies women fuchsia pink solid casual track pants</t>
  </si>
  <si>
    <t>https://www.myntra.com/dresses/dressberry/dressberry-women-off-white--black-checked-a-line-dress/10440636/buy</t>
  </si>
  <si>
    <t>dressberry women off white  black checked a line dress</t>
  </si>
  <si>
    <t>https://www.myntra.com/dresses/marie-claire/marie-claire-women-burgundy-solid-a-line-dress/9540491/buy</t>
  </si>
  <si>
    <t>marie claire women burgundy solid a line dress</t>
  </si>
  <si>
    <t>https://www.myntra.com/tshirts/chemistry/chemistry-women-black--pink-floral-printed-polo-collar-t-shirt/10868554/buy</t>
  </si>
  <si>
    <t>chemistry women black  pink floral printed polo collar t shirt</t>
  </si>
  <si>
    <t>https://www.myntra.com/tshirts/roadster/roadster-women-pack-of-2-pure-cotton-t-shirts/17384030/buy</t>
  </si>
  <si>
    <t>https://www.myntra.com/jeans/wrogn/wrogn-men-black-jogger-fit-mid-rise-clean-look-stretchable-jeans/10685164/buy</t>
  </si>
  <si>
    <t>wrogn men black jogger fit mid rise clean look stretchable jeans</t>
  </si>
  <si>
    <t>https://www.myntra.com/kurtas/taavi/taavi-men-maroon--black-checked-handloom-woven-legacy-sustainable-kurta-with-mandarin-collar/11407268/buy</t>
  </si>
  <si>
    <t>taavi men maroon  black checked handloom woven legacy sustainable kurta with mandarin collar</t>
  </si>
  <si>
    <t>https://www.myntra.com/boxers/levis/levis-men-pack-of-2-pure-cotton-checked-boxers/18028824/buy</t>
  </si>
  <si>
    <t>https://www.myntra.com/briefs/levis/levis-men-pack-of-4-briefs-12142366-1-12142388/18030814/buy</t>
  </si>
  <si>
    <t>levis men pack of 4 briefs 12142366 1 12142388</t>
  </si>
  <si>
    <t>https://www.myntra.com/shirts/roadster/roadster-men-black--brown-regular-fit-checked-sustainable-casual-shirt/11896070/buy</t>
  </si>
  <si>
    <t>roadster men black  brown regular fit checked sustainable casual shirt</t>
  </si>
  <si>
    <t>https://www.myntra.com/tshirts/roadster/roadster-men-pack-of-6-pure-cotton-t-shirts/7851879/buy</t>
  </si>
  <si>
    <t>roadster men pack of 6 pure cotton t shirts</t>
  </si>
  <si>
    <t>https://www.myntra.com/kurtas/sangria/sangria-women-mustard-brown--pink-pure-cotton-printed-straight-kurta/8350193/buy</t>
  </si>
  <si>
    <t>sangria women mustard brown  pink pure cotton printed straight kurta</t>
  </si>
  <si>
    <t>https://www.myntra.com/kurtas/moda-rapido/moda-rapido-women-maroon-solid-a-line-kurta/7637859/buy</t>
  </si>
  <si>
    <t>moda rapido women maroon solid a line kurta</t>
  </si>
  <si>
    <t>https://www.myntra.com/dresses/anouk/anouk-women-blue-printed-fit-and-flare-dress/12134544/buy</t>
  </si>
  <si>
    <t>anouk women blue printed fit and flare dress</t>
  </si>
  <si>
    <t>https://www.myntra.com/sarees/mitera/mitera-turquoise-blue-woven-design-kanjeevaram-saree/11244992/buy</t>
  </si>
  <si>
    <t>mitera turquoise blue woven design kanjeevaram saree</t>
  </si>
  <si>
    <t>https://www.myntra.com/kurta-sets/nayo/nayo-women-mauve-printed-straight-kurta-plazzo--sequence-net-dupatta/14224416/buy</t>
  </si>
  <si>
    <t>nayo women mauve printed straight kurta plazzo  sequence net dupatta</t>
  </si>
  <si>
    <t>https://www.myntra.com/kurtas/herenow/herenow-women-yellow--black-printed-straight-kurta/12851418/buy</t>
  </si>
  <si>
    <t>herenow women yellow  black printed straight kurta</t>
  </si>
  <si>
    <t>https://www.myntra.com/kurta-sets/sangria/sangria-women-beige--green-printed-kurta-with-trousers--dupatta/9731893/buy</t>
  </si>
  <si>
    <t>sangria women beige  green printed kurta with trousers  dupatta</t>
  </si>
  <si>
    <t>https://www.myntra.com/skirts/sassafras/sassafras-blue-denim-midi-a-line-pure-cotton-skirt/7687291/buy</t>
  </si>
  <si>
    <t>sassafras blue denim midi a line pure cotton skirt</t>
  </si>
  <si>
    <t>https://www.myntra.com/trousers/solognac-by-decathlon/solognac-by-decathlon-men-grey-regular-fit-solid-regular-trousers/12965808/buy</t>
  </si>
  <si>
    <t>solognac by decathlon men grey regular fit solid regular trousers</t>
  </si>
  <si>
    <t>https://www.myntra.com/jeans/roadster/roadster-men-blue-slim-fit-mid-rise-mildly-distressed-stretchable-jeans/11259992/buy</t>
  </si>
  <si>
    <t>https://www.myntra.com/jeans/roadster/roadster-men-blue-slim-fit-light-fade-stretchable-jeans/13249742/buy</t>
  </si>
  <si>
    <t>roadster men blue slim fit light fade stretchable jeans</t>
  </si>
  <si>
    <t>https://www.myntra.com/socks/balenzia/balenzia-men-pack-of-5-assorted-socks/10382757/buy</t>
  </si>
  <si>
    <t>Balenzia</t>
  </si>
  <si>
    <t>balenzia men pack of 5 assorted socks</t>
  </si>
  <si>
    <t>https://www.myntra.com/shirts/ether/ether-men-navy-blue--white-regular-fit-striped-casual-shirt/11781626/buy</t>
  </si>
  <si>
    <t>ether men navy blue  white regular fit striped casual shirt</t>
  </si>
  <si>
    <t>https://www.myntra.com/tshirts/bushirt/bushirt-pack-of-2-solid-pure-cotton-t-shirts/10669746/buy</t>
  </si>
  <si>
    <t>https://www.myntra.com/tshirts/mast--harbour/mast--harbour-men-brown-self-design-round-neck-t-shirt/3082388/buy</t>
  </si>
  <si>
    <t>mast  harbour men brown self design round neck t shirt</t>
  </si>
  <si>
    <t>https://www.myntra.com/tshirts/roadster/roadster-men-rust-brown--black-printed-round-neck-t-shirt/12003948/buy</t>
  </si>
  <si>
    <t>roadster men rust brown  black printed round neck t shirt</t>
  </si>
  <si>
    <t>https://www.myntra.com/kurta-sets/indo-era/indo-era-floral-pure-cotton-kurta-set/15258520/buy</t>
  </si>
  <si>
    <t>indo era floral pure cotton kurta set</t>
  </si>
  <si>
    <t>https://www.myntra.com/dupatta/dupatta-bazaar/dupatta-bazaar-silver-toned-solid-dupatta/12889032/buy</t>
  </si>
  <si>
    <t>dupatta bazaar silver toned solid dupatta</t>
  </si>
  <si>
    <t>https://www.myntra.com/night-suits/masha/masha-women-grey-printed-night-suit/11966630/buy</t>
  </si>
  <si>
    <t>masha women grey printed night suit</t>
  </si>
  <si>
    <t>https://www.myntra.com/lounge-shorts/enamor/enamor-women-beige-solid-lounge-shorts/12302822/buy</t>
  </si>
  <si>
    <t>enamor women beige solid lounge shorts</t>
  </si>
  <si>
    <t>https://www.myntra.com/briefs/leading-lady/leading-lady-women-pack-of-3-assorted-hipster-briefs-leena-3-blk-pr-s/12512204/buy</t>
  </si>
  <si>
    <t>leading lady women pack of 3 assorted hipster briefs leena 3 blk pr s</t>
  </si>
  <si>
    <t>https://www.myntra.com/kurtas/herenow/herenow-women-black--red-floral-print-straight-kurta/8004797/buy</t>
  </si>
  <si>
    <t>herenow women black  red floral print straight kurta</t>
  </si>
  <si>
    <t>https://www.myntra.com/kurta-sets/sangria/sangria-women-mustard-yellow--red-pure-cotton-printed-kurta-with-palazzos/13437288/buy</t>
  </si>
  <si>
    <t>sangria women mustard yellow  red pure cotton printed kurta with palazzos</t>
  </si>
  <si>
    <t>https://www.myntra.com/kurta-sets/sangria/sangria-women-pink--white-pure-cotton-printed-straight-kurta/13437232/buy</t>
  </si>
  <si>
    <t>sangria women pink  white pure cotton printed straight kurta</t>
  </si>
  <si>
    <t>https://www.myntra.com/tshirts/powerpuff-girls-by-kook-n-keech/powerpuff-girls-by-kook-n-keech-women-pink--blue-printed-dyed-effect-cropped-boxy-t-shirt/10926076/buy</t>
  </si>
  <si>
    <t>Powerpuff Girls by Kook N Keech</t>
  </si>
  <si>
    <t>powerpuff girls by kook n keech women pink  blue printed dyed effect cropped boxy t shirt</t>
  </si>
  <si>
    <t>https://www.myntra.com/skirts/sassafras/sassafras-black-corduroy-a-line-pure-cotton-skirt/12288160/buy</t>
  </si>
  <si>
    <t>sassafras black corduroy a line pure cotton skirt</t>
  </si>
  <si>
    <t>https://www.myntra.com/tshirts/roadster/roadster-women-set-of-2-printed-pure-cotton-t-shirts/17385144/buy</t>
  </si>
  <si>
    <t>https://www.myntra.com/dresses/tokyo-talkies/tokyo-talkies-women-rust-red--orange-printed-a-line-dress/10519498/buy</t>
  </si>
  <si>
    <t>tokyo talkies women rust red  orange printed a line dress</t>
  </si>
  <si>
    <t>https://www.myntra.com/jeans/wrogn/wrogn-men-blue-slim-fit-mid-rise-clean-look-stretchable-jeans/6832319/buy</t>
  </si>
  <si>
    <t>https://www.myntra.com/trousers/highlander/highlander-men-navy-blue-tapered-fit-trousers/13275686/buy</t>
  </si>
  <si>
    <t>highlander men navy blue tapered fit trousers</t>
  </si>
  <si>
    <t>https://www.myntra.com/jeans/harvard/harvard-men-black-regular-fit-mid-rise-clean-look-stretchable-jeans/12771324/buy</t>
  </si>
  <si>
    <t>harvard men black regular fit mid rise clean look stretchable jeans</t>
  </si>
  <si>
    <t>https://www.myntra.com/shorts/hrx-by-hrithik-roshan/hrx-by-hrithik-roshan-men-red--rapid-dry-lightweight-dolphin-running-shorts/8851923/buy</t>
  </si>
  <si>
    <t>hrx by hrithik roshan men red  rapid dry lightweight dolphin running shorts</t>
  </si>
  <si>
    <t>https://www.myntra.com/tshirts/hrx-by-hrithik-roshan/hrx-by-hrithik-roshan-men-green-solid-bio-wash-yoga-pure-cotton-t-shirt/11999658/buy</t>
  </si>
  <si>
    <t>hrx by hrithik roshan men green solid bio wash yoga pure cotton t shirt</t>
  </si>
  <si>
    <t>https://www.myntra.com/tshirts/us-polo-assn/u-s-polo-assn-men-purple-embroidered-polo-collar-slim-fit-t-shirt/15551432/buy</t>
  </si>
  <si>
    <t>u s polo assn men purple embroidered polo collar slim fit t shirt</t>
  </si>
  <si>
    <t>https://www.myntra.com/kurtas/herenow/herenow-women-magenta-pure-cotton-pintuck-detail-solid-straight-kurta/13404386/buy</t>
  </si>
  <si>
    <t>herenow women magenta pure cotton pintuck detail solid straight kurta</t>
  </si>
  <si>
    <t>https://www.myntra.com/sarees/tikhi-imli/tikhi-imli-maroon--green-tie--dye-saree/14988488/buy</t>
  </si>
  <si>
    <t>tikhi imli maroon  green tie  dye saree</t>
  </si>
  <si>
    <t>https://www.myntra.com/kurtas/varanga/varanga-women-magenta--golden-zari-embroidered-yoke-design-straight-kurta/11299814/buy</t>
  </si>
  <si>
    <t>varanga women magenta  golden zari embroidered yoke design straight kurta</t>
  </si>
  <si>
    <t>https://www.myntra.com/kurta-sets/yuris/yuris-women-green--red-printed-kurta-with-trousers--dupatta/13338042/buy</t>
  </si>
  <si>
    <t>yuris women green  red printed kurta with trousers  dupatta</t>
  </si>
  <si>
    <t>https://www.myntra.com/night-suits/drape-in-vogue/drape-in-vogue-women-navy-blue--white-printed-night-suit/11316858/buy</t>
  </si>
  <si>
    <t>https://www.myntra.com/bra/hrx-by-hrithik-roshan/hrx-by-hrithik-roshan-rose-dawn-solid-high-support-rapid-dry-running-sports-bra-wkr-1405/11158176/buy</t>
  </si>
  <si>
    <t>hrx by hrithik roshan rose dawn solid high support rapid dry running sports bra wkr 1405</t>
  </si>
  <si>
    <t>https://www.myntra.com/briefs/c9-airwear/c9-airwear-women-pack-of-3-assorted-hipster-briefs-p1174pack4/14789508/buy</t>
  </si>
  <si>
    <t>c9 airwear women pack of 3 assorted hipster briefs p1174pack4</t>
  </si>
  <si>
    <t>https://www.myntra.com/tshirts/hrx-by-hrithik-roshan/hrx-by-hrithik-roshan-women-black-solid-bio-wash-running-pure-cotton-t-shirt/11999876/buy</t>
  </si>
  <si>
    <t>hrx by hrithik roshan women black solid bio wash running pure cotton t shirt</t>
  </si>
  <si>
    <t>https://www.myntra.com/tops/tokyo-talkies/tokyo-talkies-women-off-white-solid-cinched-waist-top/12289122/buy</t>
  </si>
  <si>
    <t>tokyo talkies women off white solid cinched waist top</t>
  </si>
  <si>
    <t>https://www.myntra.com/tops/ether/ether-pink-polyester-boxy-top/1297703/buy</t>
  </si>
  <si>
    <t>ether pink polyester boxy top</t>
  </si>
  <si>
    <t>https://www.myntra.com/shrug/sassafras/sassafras-mustard-yellow--pink-floral-print-open-front-shrug/8643141/buy</t>
  </si>
  <si>
    <t>sassafras mustard yellow  pink floral print open front shrug</t>
  </si>
  <si>
    <t>https://www.myntra.com/tshirts/roadster/roadster-women-pack-of-2-t-shirts/17382156/buy</t>
  </si>
  <si>
    <t>https://www.myntra.com/jeans/roadster/roadster-women-navy-blue-skinny-fit-mid-rise-clean-look-stretchable-jeans/4656865/buy</t>
  </si>
  <si>
    <t>roadster women navy blue skinny fit mid rise clean look stretchable jeans</t>
  </si>
  <si>
    <t>https://www.myntra.com/dresses/anouk/anouk-women-printed-red-a-line-dress/10775360/buy</t>
  </si>
  <si>
    <t>anouk women printed red a line dress</t>
  </si>
  <si>
    <t>https://www.myntra.com/tops/tokyo-talkies/tokyo-talkies-women-green-solid-top/9920745/buy</t>
  </si>
  <si>
    <t>https://www.myntra.com/jeans/roadster/roadster-men-blue-skinny-fit-mid-rise-clean-look-stretchable-jeans/11274536/buy</t>
  </si>
  <si>
    <t>https://www.myntra.com/blazers/hangup/hangup-men-black-solid-bandhgala-blazer/11812240/buy</t>
  </si>
  <si>
    <t>hangup men black solid bandhgala blazer</t>
  </si>
  <si>
    <t>36, 38, 40, 42, 44, 46</t>
  </si>
  <si>
    <t>https://www.myntra.com/innerwear-vests/levis/levis-men-pack-of-2-pure-cotton--innerwear-vests-014-vest/12032832/buy</t>
  </si>
  <si>
    <t>levis men pack of 2 pure cotton  innerwear vests 014 vest</t>
  </si>
  <si>
    <t>https://www.myntra.com/lounge-pants/us-polo-assn/us-polo-assn-men-blue-chambray-solid-lounge-pants-i658-901-pl/10861800/buy</t>
  </si>
  <si>
    <t>us polo assn men blue chambray solid lounge pants i658 901 pl</t>
  </si>
  <si>
    <t>https://www.myntra.com/kurtas/w/w-women-taupe--golden-zari-woven-design-straight-kurta/13078228/buy</t>
  </si>
  <si>
    <t>w women taupe  golden zari woven design straight kurta</t>
  </si>
  <si>
    <t>https://www.myntra.com/bra/floret/floret-pack-of-2-solid-non-wired-non-padded-minimizer-bras-t3033/11169934/buy</t>
  </si>
  <si>
    <t>floret pack of 2 solid non wired non padded minimizer bras t3033</t>
  </si>
  <si>
    <t>30C, 32C, 34C, 36C, 38C, 40C</t>
  </si>
  <si>
    <t>https://www.myntra.com/tops/mish/mish-women-charcoal-grey-solid-satin-finish-top/10961438/buy</t>
  </si>
  <si>
    <t>mish women charcoal grey solid satin finish top</t>
  </si>
  <si>
    <t>https://www.myntra.com/jeans/sassafras/sassafras-women-blue-jogger-high-rise-clean-look-cropped-jeans/13633452/buy</t>
  </si>
  <si>
    <t>sassafras women blue jogger high rise clean look cropped jeans</t>
  </si>
  <si>
    <t>https://www.myntra.com/tops/mast--harbour/mast--harbour-women-navy-blue-printed-top/8325337/buy</t>
  </si>
  <si>
    <t>mast  harbour women navy blue printed top</t>
  </si>
  <si>
    <t>https://www.myntra.com/tshirts/roadster/roadster-women-lavender--white-printed-round-neck-pure-cotton-t-shirt/12193750/buy</t>
  </si>
  <si>
    <t>roadster women lavender  white printed round neck pure cotton t shirt</t>
  </si>
  <si>
    <t>https://www.myntra.com/jeans/roadster/roadster-men-charcoal-grey-slim-tapered-fit-mid-rise-low-distress-stretchable-jeans/11274728/buy</t>
  </si>
  <si>
    <t>roadster men charcoal grey slim tapered fit mid rise low distress stretchable jeans</t>
  </si>
  <si>
    <t>https://www.myntra.com/shorts/highlander/highlander-men-blue-washed-slim-fit-regular-shorts/11539222/buy</t>
  </si>
  <si>
    <t>highlander men blue washed slim fit regular shorts</t>
  </si>
  <si>
    <t>https://www.myntra.com/briefs/jockey/jockey-men-pack-of-2-purple-solid-briefs-9867853-2/11638634/buy</t>
  </si>
  <si>
    <t>jockey men pack of 2 purple solid briefs 9867853 2</t>
  </si>
  <si>
    <t>https://www.myntra.com/briefs/jockey/jockey-international-collection-men-purple-solid-briefs-ic27/9867853/buy</t>
  </si>
  <si>
    <t>jockey international collection men purple solid briefs ic27</t>
  </si>
  <si>
    <t>https://www.myntra.com/shirts/highlander/highlander-men-grey-slim-fit-cotton-linen-casual-shirt/13683920/buy</t>
  </si>
  <si>
    <t>highlander men grey slim fit cotton linen casual shirt</t>
  </si>
  <si>
    <t>https://www.myntra.com/tshirts/bewakoof/bewakoof-men-black-batman-outline-logo-printed-round-neck-pure-cotton-t-shirt/13552826/buy</t>
  </si>
  <si>
    <t>bewakoof men black batman outline logo printed round neck pure cotton t shirt</t>
  </si>
  <si>
    <t>https://www.myntra.com/dresses/anayna/anayna-green--beige-floral-print-cotton-maternity-a-line-dress/12786746/buy</t>
  </si>
  <si>
    <t>anayna green  beige floral print cotton maternity a line dress</t>
  </si>
  <si>
    <t>https://www.myntra.com/kurtas/yash-gallery/yash-gallery-women-black--white-printed-anarkali-kurta/11926142/buy</t>
  </si>
  <si>
    <t>yash gallery women black  white printed anarkali kurta</t>
  </si>
  <si>
    <t>https://www.myntra.com/dresses/her-by-invictus/her-by-invictus-women-navy-blue-striped-shirt-dress/12220392/buy</t>
  </si>
  <si>
    <t>her by invictus women navy blue striped shirt dress</t>
  </si>
  <si>
    <t>https://www.myntra.com/dresses/uf/uf-women-white-crepe-colourblocked-lace-fit--flare-dress/1737452/buy</t>
  </si>
  <si>
    <t>uf women white crepe colourblocked lace fit  flare dress</t>
  </si>
  <si>
    <t>https://www.myntra.com/tops/mast--harbour/mast--harbour-green-crochet-top/1328700/buy</t>
  </si>
  <si>
    <t>mast  harbour green crochet top</t>
  </si>
  <si>
    <t>https://www.myntra.com/tshirts/roadster/roadster-women-mauve-pink--dusty-pink-pack-of-2-typography-print-pure-cotton-t-shirts/17383650/buy</t>
  </si>
  <si>
    <t>roadster women mauve pink  dusty pink pack of 2 typography print pure cotton t shirts</t>
  </si>
  <si>
    <t>https://www.myntra.com/tshirts/roadster/roadster-women-pack-of-2-pure-cotton-solid-t-shirts/17381898/buy</t>
  </si>
  <si>
    <t>https://www.myntra.com/jeans/highlander/highlander-men-white-slim-fit-mid-rise-clean-look-jeans/13401054/buy</t>
  </si>
  <si>
    <t>highlander men white slim fit mid rise clean look jeans</t>
  </si>
  <si>
    <t>https://www.myntra.com/trousers/hubberholme/hubberholme-men-green-slim-fit-solid-regular-trousers/11713416/buy</t>
  </si>
  <si>
    <t>hubberholme men green slim fit solid regular trousers</t>
  </si>
  <si>
    <t>https://www.myntra.com/kurtas/anouk/anouk-men-navy-blue--grey-printed-straight-fusion-kurta/12135086/buy</t>
  </si>
  <si>
    <t>anouk men navy blue  grey printed straight fusion kurta</t>
  </si>
  <si>
    <t>https://www.myntra.com/briefs/one8-by-virat-kohli/one8-by-virat-kohli-men-pack-of-3-solid-briefs/10794374/buy</t>
  </si>
  <si>
    <t>Rs. 183 OFF</t>
  </si>
  <si>
    <t>https://www.myntra.com/briefs/us-polo-assn/us-polo-assn-men-white-solid-comfort-fit-bikini-briefs-i650-001-pl-s/9918325/buy</t>
  </si>
  <si>
    <t>us polo assn men white solid comfort fit bikini briefs i650 001 pl s</t>
  </si>
  <si>
    <t>https://www.myntra.com/boxers/levis/levis-men-pack-of-2-grey--blue-solid-pure-cotton-boxers/17804206/buy</t>
  </si>
  <si>
    <t>levis men pack of 2 grey  blue solid pure cotton boxers</t>
  </si>
  <si>
    <t>https://www.myntra.com/tshirts/hrx-by-hrithik-roshan/hrx-by-hrithik-roshan-men-pack-of-2-t-shirt/16323426/buy</t>
  </si>
  <si>
    <t>hrx by hrithik roshan men pack of 2 t shirt</t>
  </si>
  <si>
    <t>https://www.myntra.com/tshirts/ether/ether-pack-of-2-cotton-lycra-t-shirts/11900250/buy</t>
  </si>
  <si>
    <t>ether pack of 2 cotton lycra t shirts</t>
  </si>
  <si>
    <t>https://www.myntra.com/tshirts/wrogn/wrogn-men-white-solid-polo-collar-t-shirt/11363506/buy</t>
  </si>
  <si>
    <t>wrogn men white solid polo collar t shirt</t>
  </si>
  <si>
    <t>https://www.myntra.com/shirts/invictus/invictus-men-green--navy-blue-slim-fit-checked-formal-shirt/10887794/buy</t>
  </si>
  <si>
    <t>invictus men green  navy blue slim fit checked formal shirt</t>
  </si>
  <si>
    <t>https://www.myntra.com/kurtas/anouk/anouk-women-charcoal-grey-printed-straight-kurta/10777466/buy</t>
  </si>
  <si>
    <t>anouk women charcoal grey printed straight kurta</t>
  </si>
  <si>
    <t>https://www.myntra.com/kurta-sets/anubhutee/anubhutee-women-mustard-yellow-yoke-design-kurta-with-palazzos/12289996/buy</t>
  </si>
  <si>
    <t>anubhutee women mustard yellow yoke design kurta with palazzos</t>
  </si>
  <si>
    <t>https://www.myntra.com/skirts/pluss/pluss-burgundy-accordion-pleated-a-line-skirt/12529352/buy</t>
  </si>
  <si>
    <t>pluss burgundy accordion pleated a line skirt</t>
  </si>
  <si>
    <t>https://www.myntra.com/tshirts/dressberry/dressberry-women-pink-boxy-fit-solid-round-neck-pure-cotton-t-shirt/12487482/buy</t>
  </si>
  <si>
    <t>dressberry women pink boxy fit solid round neck pure cotton t shirt</t>
  </si>
  <si>
    <t>https://www.myntra.com/tshirts/roadster/roadster-women-blue-solid-sleeveless-polo-collar-pure-cotton-t-shirt/13321522/buy</t>
  </si>
  <si>
    <t>roadster women blue solid sleeveless polo collar pure cotton t shirt</t>
  </si>
  <si>
    <t>https://www.myntra.com/jeans/wrogn/wrogn-men-blue-skinny-fit-mid-rise-clean-look-stretchable-jeans/6832257/buy</t>
  </si>
  <si>
    <t>https://www.myntra.com/track-pants/mast--harbour/mast--harbour-men-olive-green-solid-joggers/11191348/buy</t>
  </si>
  <si>
    <t>mast  harbour men olive green solid joggers</t>
  </si>
  <si>
    <t>https://www.myntra.com/kurtas/anouk/anouk-men-red-solid-kurta/13238904/buy</t>
  </si>
  <si>
    <t>anouk men red solid kurta</t>
  </si>
  <si>
    <t>https://www.myntra.com/shirts/highlander/highlander-men-pink-slim-fit-solid-casual-shirt/10659102/buy</t>
  </si>
  <si>
    <t>highlander men pink slim fit solid casual shirt</t>
  </si>
  <si>
    <t>https://www.myntra.com/kurtas/ziyaa/ziyaa-women-grey-solid-straight-kurta/3451948/buy</t>
  </si>
  <si>
    <t>ziyaa women grey solid straight kurta</t>
  </si>
  <si>
    <t>https://www.myntra.com/bra/clovia/clovia-blue-solid-cotton-non-padded-full-cup-bra-br1953p08/11161994/buy</t>
  </si>
  <si>
    <t>clovia blue solid cotton non padded full cup bra br1953p08</t>
  </si>
  <si>
    <t>https://www.myntra.com/kurtas/sangria/sangria-women-black-kalamkari-print-straight-fit-kurta-/8350227/buy</t>
  </si>
  <si>
    <t xml:space="preserve">sangria women black kalamkari print straight fit kurta </t>
  </si>
  <si>
    <t>https://www.myntra.com/shorts/popnetic/popnetic-women-khaki-solid-regular-fit-pure-cotton-shorts/13287868/buy</t>
  </si>
  <si>
    <t>popnetic women khaki solid regular fit pure cotton shorts</t>
  </si>
  <si>
    <t>https://www.myntra.com/tops/la-zoire/la-zoire-women-black--white-polka-dot-printed-top/1969381/buy</t>
  </si>
  <si>
    <t>la zoire women black  white polka dot printed top</t>
  </si>
  <si>
    <t>https://www.myntra.com/sweatshirts/hrx-by-hrithik-roshan/hrx-by-hrithik-roshan-women-black-athleisure-sweatshirts/6848994/buy</t>
  </si>
  <si>
    <t>hrx by hrithik roshan women black athleisure sweatshirts</t>
  </si>
  <si>
    <t>https://www.myntra.com/jeggings/roadster/the-roadster-lifestyle-co-women-navy-blue-washed-super-skinny-fit-jeggings/10365289/buy</t>
  </si>
  <si>
    <t>the roadster lifestyle co women navy blue washed super skinny fit jeggings</t>
  </si>
  <si>
    <t>https://www.myntra.com/tops/tokyo-talkies/tokyo-talkies-women-black-printed-top/11932614/buy</t>
  </si>
  <si>
    <t>tokyo talkies women black printed top</t>
  </si>
  <si>
    <t>https://www.myntra.com/dresses/sera/sera-women-navy-blue-printed-maxi-dress/2526525/buy</t>
  </si>
  <si>
    <t>sera women navy blue printed maxi dress</t>
  </si>
  <si>
    <t>https://www.myntra.com/trousers/roadster/roadster-men-brown-regular-fit-solid-chinos/13859442/buy</t>
  </si>
  <si>
    <t>roadster men brown regular fit solid chinos</t>
  </si>
  <si>
    <t>https://www.myntra.com/shorts/highlander/highlander-men-navy-blue-solid-slim-fit-regular-shorts/13858432/buy</t>
  </si>
  <si>
    <t>https://www.myntra.com/trousers/invictus/invictus-men-white--black-slim-fit-self-design-formal-trousers/2173628/buy</t>
  </si>
  <si>
    <t>invictus men white  black slim fit self design formal trousers</t>
  </si>
  <si>
    <t>https://www.myntra.com/innerwear-vests/dollar/dollar-lehar-men-pack-of-5-white-solid-innerwear-vests-mlhve-01-po5/12807314/buy</t>
  </si>
  <si>
    <t>Dollar</t>
  </si>
  <si>
    <t>dollar lehar men pack of 5 white solid innerwear vests mlhve 01 po5</t>
  </si>
  <si>
    <t>https://www.myntra.com/socks/mast--harbour/mast--harbour-men-set-of-3-above-ankle-length-socks/1422476/buy</t>
  </si>
  <si>
    <t>mast  harbour men set of 3 above ankle length socks</t>
  </si>
  <si>
    <t>https://www.myntra.com/tshirts/nike/nike-men-black-as-legend-20-ss-t-shirt/1110027/buy</t>
  </si>
  <si>
    <t>nike men black as legend 20 ss t shirt</t>
  </si>
  <si>
    <t>https://www.myntra.com/tshirts/hrx-by-hrithik-roshan/hrx-by-hrithik-roshan-men-navy-blue-advanced-rapid-dry-sleeveless-t-shirt/2314417/buy</t>
  </si>
  <si>
    <t>hrx by hrithik roshan men navy blue advanced rapid dry sleeveless t shirt</t>
  </si>
  <si>
    <t>https://www.myntra.com/tshirts/us-polo-assn/us-polo-assn-men-white-solid-polo-collar-pure-cotton-t-shirt/11359686/buy</t>
  </si>
  <si>
    <t>us polo assn men white solid polo collar pure cotton t shirt</t>
  </si>
  <si>
    <t>https://www.myntra.com/jackets/locomotive/locomotive-men-grey-solid-padded-jacket/12970018/buy</t>
  </si>
  <si>
    <t>locomotive men grey solid padded jacket</t>
  </si>
  <si>
    <t>https://www.myntra.com/tshirts/mast--harbour/mast--harbour-men-charcoal-grey-solid-round-neck-t-shirt/11700038/buy</t>
  </si>
  <si>
    <t>mast  harbour men charcoal grey solid round neck t shirt</t>
  </si>
  <si>
    <t>https://www.myntra.com/tshirts/mast--harbour/mast--harbour-men-white-solid-round-neck-t-shirt/12009454/buy</t>
  </si>
  <si>
    <t>mast  harbour men white solid round neck t shirt</t>
  </si>
  <si>
    <t>https://www.myntra.com/kurtas/vishudh/vishudh-women-sea-green-solid-straight-kurta/7427218/buy</t>
  </si>
  <si>
    <t>vishudh women sea green solid straight kurta</t>
  </si>
  <si>
    <t>https://www.myntra.com/kurtas/sangria/sangria-women-maroon--beige-printed-straight-kurta/8420491/buy</t>
  </si>
  <si>
    <t>sangria women maroon  beige printed straight kurta</t>
  </si>
  <si>
    <t>https://www.myntra.com/tops/roadster/roadster-women-black-ribbed-pure-cotton-top/11401662/buy</t>
  </si>
  <si>
    <t>roadster women black ribbed pure cotton top</t>
  </si>
  <si>
    <t>https://www.myntra.com/shrug/sera/sera-women-multicoloured--printed-tie-up-shrug/14021452/buy</t>
  </si>
  <si>
    <t>sera women multicoloured  printed tie up shrug</t>
  </si>
  <si>
    <t>https://www.myntra.com/dresses/vishudh/vishudh-women-green-printed-a-line-dress/13634866/buy</t>
  </si>
  <si>
    <t>vishudh women green printed a line dress</t>
  </si>
  <si>
    <t>https://www.myntra.com/sweaters/roadster/the-roadster-lifestyle-co-women-mustard-yellow--teal-green-self-design-pullover-sweater/9478503/buy</t>
  </si>
  <si>
    <t>the roadster lifestyle co women mustard yellow  teal green self design pullover sweater</t>
  </si>
  <si>
    <t>https://www.myntra.com/dresses/tokyo-talkies/tokyo-talkies-women-black--white-checked-shirt-dress/10336543/buy</t>
  </si>
  <si>
    <t>tokyo talkies women black  white checked shirt dress</t>
  </si>
  <si>
    <t>https://www.myntra.com/jackets/sassafras/sassafras-women-olive-green-solid-bomber-jacket/7687306/buy</t>
  </si>
  <si>
    <t>sassafras women olive green solid bomber jacket</t>
  </si>
  <si>
    <t>https://www.myntra.com/jackets/tokyo-talkies/tokyo-talkies-women-white-solid-denim-jacket/10573158/buy</t>
  </si>
  <si>
    <t>tokyo talkies women white solid denim jacket</t>
  </si>
  <si>
    <t>https://www.myntra.com/tops/mast--harbour/mast--harbour-women-blue-solid-pure-cotton-top/8325407/buy</t>
  </si>
  <si>
    <t>mast  harbour women blue solid pure cotton top</t>
  </si>
  <si>
    <t>https://www.myntra.com/jeans/wrogn/wrogn-men-blue-skinny-fit-mid-rise-clean-look-stretchable-jeans/10187471/buy</t>
  </si>
  <si>
    <t>https://www.myntra.com/kurta-sets/sojanya/sojanya-men-off-white--maroon-self-design-kurta-with-churidar--nehru-jacket/6518415/buy</t>
  </si>
  <si>
    <t>sojanya men off white  maroon self design kurta with churidar  nehru jacket</t>
  </si>
  <si>
    <t>https://www.myntra.com/trunk/dollar-bigboss/dollar-bigboss-pack-of-3-trunks-mdtr-07-po3-4/1724813/buy</t>
  </si>
  <si>
    <t>dollar bigboss pack of 3 trunks mdtr 07 po3 4</t>
  </si>
  <si>
    <t>https://www.myntra.com/briefs/levis/levis-men-pack-of-3-assorted-solid-briefs/18030426/buy</t>
  </si>
  <si>
    <t>levis men pack of 3 assorted solid briefs</t>
  </si>
  <si>
    <t>https://www.myntra.com/jackets/hrx-by-hrithik-roshan/hrx-by-hrithik-roshan-men-black-solid-hooded-sporty-jacket/9297747/buy</t>
  </si>
  <si>
    <t>hrx by hrithik roshan men black solid hooded sporty jacket</t>
  </si>
  <si>
    <t>https://www.myntra.com/tshirts/hrx-by-hrithik-roshan/hrx-by-hrithik-roshan-men-navy-printed-bio-wash-yoga-pure-cotton-t-shirt/11999492/buy</t>
  </si>
  <si>
    <t>https://www.myntra.com/tshirts/mast--harbour/mast--harbour-men-blue-colourblocked-polo-collar-pure-cotton-t-shirt/2263555/buy</t>
  </si>
  <si>
    <t>mast  harbour men blue colourblocked polo collar pure cotton t shirt</t>
  </si>
  <si>
    <t>https://www.myntra.com/tshirts/wrogn/wrogn-men-mustard-yellow-slim-fit-cotton-pure-cotton-t-shirt/11363524/buy</t>
  </si>
  <si>
    <t>wrogn men mustard yellow slim fit cotton pure cotton t shirt</t>
  </si>
  <si>
    <t>https://www.myntra.com/sweaters/wrogn/wrogn-men-black-solid-pullover-sweater/10914084/buy</t>
  </si>
  <si>
    <t>wrogn men black solid pullover sweater</t>
  </si>
  <si>
    <t>https://www.myntra.com/shirts/locomotive/locomotive-men-black-slim-fit-solid-casual-shirt/5509110/buy</t>
  </si>
  <si>
    <t>locomotive men black slim fit solid casual shirt</t>
  </si>
  <si>
    <t>https://www.myntra.com/tshirts/roadster/roadster-men-black--charcoal-grey-colourblocked-round-neck-t-shirt/8807157/buy</t>
  </si>
  <si>
    <t>roadster men black  charcoal grey colourblocked round neck t shirt</t>
  </si>
  <si>
    <t>https://www.myntra.com/tshirts/roadster/the-roadster-lifestyle-co-men-white--navy-blue-striped-round-neck-pure-cotton-t-shirt/10940616/buy</t>
  </si>
  <si>
    <t>the roadster lifestyle co men white  navy blue striped round neck pure cotton t shirt</t>
  </si>
  <si>
    <t>https://www.myntra.com/kurtas/herenow/herenow-women-pinstripes--side-slits-straight-cotton-kurta/2397224/buy</t>
  </si>
  <si>
    <t>herenow women pinstripes  side slits straight cotton kurta</t>
  </si>
  <si>
    <t>https://www.myntra.com/kurtas/herenow/herenow-women-black--red-printed-a-line-kurta/6738046/buy</t>
  </si>
  <si>
    <t>herenow women black  red printed a line kurta</t>
  </si>
  <si>
    <t>https://www.myntra.com/shorts/dressberry/dressberry-women-black-solid-regular-fit-denim-shorts/11264144/buy</t>
  </si>
  <si>
    <t>dressberry women black solid regular fit denim shorts</t>
  </si>
  <si>
    <t>https://www.myntra.com/tops/berrylush/berrylush-women-red--white-printed-wrap-top/12382154/buy</t>
  </si>
  <si>
    <t>berrylush women red  white printed wrap top</t>
  </si>
  <si>
    <t>https://www.myntra.com/sweaters/roadster/roadster-women-rust-red-open-knit-pullover-sweater/11990814/buy</t>
  </si>
  <si>
    <t>roadster women rust red open knit pullover sweater</t>
  </si>
  <si>
    <t>https://www.myntra.com/tops/roadster/roadster-women-black-solid-pure-cotton-top/2312853/buy</t>
  </si>
  <si>
    <t>https://www.myntra.com/tops/harpa/harpa-black-blouson-crop-top/1744646/buy</t>
  </si>
  <si>
    <t>harpa black blouson crop top</t>
  </si>
  <si>
    <t>https://www.myntra.com/trousers/hrx-by-hrithik-roshan/hrx-by-hrithik-roshan-men-navy-blue-outdoor-trousers/11357282/buy</t>
  </si>
  <si>
    <t>hrx by hrithik roshan men navy blue outdoor trousers</t>
  </si>
  <si>
    <t>https://www.myntra.com/kurtas/anouk/anouk-men-blue--white-striped-straight-kurta/10803170/buy</t>
  </si>
  <si>
    <t>anouk men blue  white striped straight kurta</t>
  </si>
  <si>
    <t>https://www.myntra.com/tshirts/sztori/sztori-plus-size-men-black-solid-round-neck-pure-cotton-t-shirt/11008426/buy</t>
  </si>
  <si>
    <t>sztori plus size men black solid round neck pure cotton t shirt</t>
  </si>
  <si>
    <t>XXL, 3XL, 4XL, 5XL, 6XL</t>
  </si>
  <si>
    <t>https://www.myntra.com/shirts/highlander/highlander-men-mustard-brown--navy-blue-slim-fit-yarn-dyed-checked-casual-shirt/10955520/buy</t>
  </si>
  <si>
    <t>highlander men mustard brown  navy blue slim fit yarn dyed checked casual shirt</t>
  </si>
  <si>
    <t>https://www.myntra.com/shirts/mast--harbour/mast--harbour-men-olive-green--white-regular-fit-printed-casual-shirt/12934524/buy</t>
  </si>
  <si>
    <t>mast  harbour men olive green  white regular fit printed casual shirt</t>
  </si>
  <si>
    <t>https://www.myntra.com/tshirts/kook-n-keech/kook-n-keech-men-black-printed-longline-t-shirt/2388034/buy</t>
  </si>
  <si>
    <t>kook n keech men black printed longline t shirt</t>
  </si>
  <si>
    <t>https://www.myntra.com/tshirts/bushirt/bushirt-men-black-solid-round-neck-pure-cotton-t-shirt/10335569/buy</t>
  </si>
  <si>
    <t>bushirt men black solid round neck pure cotton t shirt</t>
  </si>
  <si>
    <t>https://www.myntra.com/kurta-sets/anouk/anouk-women-navy-blue-embroidered-kurta-with-trousers-and-red-dupatta/13789760/buy</t>
  </si>
  <si>
    <t>anouk women navy blue embroidered kurta with trousers and red dupatta</t>
  </si>
  <si>
    <t>https://www.myntra.com/kurtas/herenow/herenow-women-red-solid-straight-kurta/12524776/buy</t>
  </si>
  <si>
    <t>herenow women red solid straight kurta</t>
  </si>
  <si>
    <t>https://www.myntra.com/tops/20dresses/20dresses-dusty-pink--blue-floral-crop-wrap-top/12290170/buy</t>
  </si>
  <si>
    <t>20dresses dusty pink  blue floral crop wrap top</t>
  </si>
  <si>
    <t>https://www.myntra.com/tshirts/roadster/roadster-women-pack-of-2-printed-cotton-t-shirt/17385634/buy</t>
  </si>
  <si>
    <t>https://www.myntra.com/sweatshirts/roadster/the-roadster-lifestyle-co-women-black--grey-melange-colourblocked-sweatshirt/10462968/buy</t>
  </si>
  <si>
    <t>the roadster lifestyle co women black  grey melange colourblocked sweatshirt</t>
  </si>
  <si>
    <t>https://www.myntra.com/jeans/levis/levis-men-blue-skinny-fit-heavy-fade-low-rise-stretchable-jeans/14852116/buy</t>
  </si>
  <si>
    <t>levis men blue skinny fit heavy fade low rise stretchable jeans</t>
  </si>
  <si>
    <t>https://www.myntra.com/trunk/levis/levis-men-pack-of-2-solid-trunks/18031068/buy</t>
  </si>
  <si>
    <t>levis men pack of 2 solid trunks</t>
  </si>
  <si>
    <t>https://www.myntra.com/tshirts/hrx-by-hrithik-roshan/hrx-by-hrithik-roshan-men-red-solid-lifestyle-regular-fit-tshirt/10106215/buy</t>
  </si>
  <si>
    <t>hrx by hrithik roshan men red solid lifestyle regular fit tshirt</t>
  </si>
  <si>
    <t>https://www.myntra.com/shirts/wrogn/wrogn-men-blue-slim-fit-faded-denim-casual-shirt/6832562/buy</t>
  </si>
  <si>
    <t>wrogn men blue slim fit faded denim casual shirt</t>
  </si>
  <si>
    <t>https://www.myntra.com/sarees/mitera/mitera-navy-blue-silk-blend-woven-design-banarasi-saree/10430788/buy</t>
  </si>
  <si>
    <t>mitera navy blue silk blend woven design banarasi saree</t>
  </si>
  <si>
    <t>https://www.myntra.com/sarees/mitera/mitera-mustard-orange-silk-blend-woven-design-banarasi-saree/10430778/buy</t>
  </si>
  <si>
    <t>mitera mustard orange silk blend woven design banarasi saree</t>
  </si>
  <si>
    <t>https://www.myntra.com/kurta-sets/yuris/yuris-women-maroon--beige-ethnic-motifs-print-kurta-with-palazzos--dupatta/13791192/buy</t>
  </si>
  <si>
    <t>yuris women maroon  beige ethnic motifs print kurta with palazzos  dupatta</t>
  </si>
  <si>
    <t>https://www.myntra.com/dresses/pluss/pluss-trendy-purple-and-off-white-dyed-ruched-dress/14141204/buy</t>
  </si>
  <si>
    <t>pluss trendy purple and off white dyed ruched dress</t>
  </si>
  <si>
    <t>https://www.myntra.com/tops/tokyo-talkies/tokyo-talkies-navy-blue--white-striped-crop-top/12289164/buy</t>
  </si>
  <si>
    <t>tokyo talkies navy blue  white striped crop top</t>
  </si>
  <si>
    <t>https://www.myntra.com/tops/dressberry/dressberry-attractive-red-floral-volume-play-top/10162667/buy</t>
  </si>
  <si>
    <t>dressberry attractive red floral volume play top</t>
  </si>
  <si>
    <t>https://www.myntra.com/dresses/berrylush/berrylush-women-brown-floral-printed-wrap-dress/9039283/buy</t>
  </si>
  <si>
    <t>berrylush women brown floral printed wrap dress</t>
  </si>
  <si>
    <t>https://www.myntra.com/dresses/dressberry/dressberry-women-blue-solid-denim-pinafore-dress/11265850/buy</t>
  </si>
  <si>
    <t>dressberry women blue solid denim pinafore dress</t>
  </si>
  <si>
    <t>https://www.myntra.com/dresses/dressberry/dressberry-women-blue-solid-denim-maxi-dress/2529711/buy</t>
  </si>
  <si>
    <t>dressberry women blue solid denim maxi dress</t>
  </si>
  <si>
    <t>https://www.myntra.com/tshirts/kook-n-keech/kook-n-keech-women-black-printed-round-neck-pure-cotton-t-shirt/2414687/buy</t>
  </si>
  <si>
    <t>kook n keech women black printed round neck pure cotton t shirt</t>
  </si>
  <si>
    <t>https://www.myntra.com/track-pants/highlander/highlander-men-black--white-printed-slim-fit-track-pants/13658880/buy</t>
  </si>
  <si>
    <t>highlander men black  white printed slim fit track pants</t>
  </si>
  <si>
    <t>https://www.myntra.com/socks/wrogn/wrogn-men-pack-of-3-patterned-above-ankle-length-socks/12402728/buy</t>
  </si>
  <si>
    <t>wrogn men pack of 3 patterned above ankle length socks</t>
  </si>
  <si>
    <t>https://www.myntra.com/tshirts/byford-by-pantaloons/byford-by-pantaloons-men-blue-solid-polo-collar-pure-cotton-t-shirt/11806886/buy</t>
  </si>
  <si>
    <t>BYFORD by Pantaloons</t>
  </si>
  <si>
    <t>byford by pantaloons men blue solid polo collar pure cotton t shirt</t>
  </si>
  <si>
    <t>https://www.myntra.com/saree-blouse/salwar-studio/salwar-studio-women-black-cotton-lycra-saree-blouse-for-women/5556553/buy</t>
  </si>
  <si>
    <t>SALWAR STUDIO</t>
  </si>
  <si>
    <t>saree-blouse</t>
  </si>
  <si>
    <t>salwar studio women black cotton lycra saree blouse for women</t>
  </si>
  <si>
    <t>https://www.myntra.com/tops/qomn/qomn-navy-blue-geometric-printed-pure-cotton-regular-top/14182598/buy</t>
  </si>
  <si>
    <t>QOMN</t>
  </si>
  <si>
    <t>qomn navy blue geometric printed pure cotton regular top</t>
  </si>
  <si>
    <t>Rs. 450 OFF</t>
  </si>
  <si>
    <t>https://www.myntra.com/camisoles/dollar-missy/dollar-missy-pack-of-3-camisoles/2109507/buy</t>
  </si>
  <si>
    <t>dollar missy pack of 3 camisoles</t>
  </si>
  <si>
    <t>https://www.myntra.com/kurtas/sangria/sangria-women-white--yellow-floral-printed-straight-kurta/11174510/buy</t>
  </si>
  <si>
    <t>sangria women white  yellow floral printed straight kurta</t>
  </si>
  <si>
    <t>https://www.myntra.com/tops/herenow/herenow-navy-blue-a-line-top-with-bell-sleeves/10163701/buy</t>
  </si>
  <si>
    <t>herenow navy blue a line top with bell sleeves</t>
  </si>
  <si>
    <t>https://www.myntra.com/tops/sangria/sangria-women-blue-self-design-shirt-style-pure-cotton-top/9370845/buy</t>
  </si>
  <si>
    <t>sangria women blue self design shirt style pure cotton top</t>
  </si>
  <si>
    <t>https://www.myntra.com/tops/style-quotient/style-quotient-white-lace-detail-a-line-top/11223680/buy</t>
  </si>
  <si>
    <t>style quotient white lace detail a line top</t>
  </si>
  <si>
    <t>https://www.myntra.com/dungarees/dressberry/dressberry-women-blue-solid-denim-dungarees/11264046/buy</t>
  </si>
  <si>
    <t>dressberry women blue solid denim dungarees</t>
  </si>
  <si>
    <t>https://www.myntra.com/dresses/scorpius/scorpius-white-lace-layered-maxi-dress/11970452/buy</t>
  </si>
  <si>
    <t>scorpius white lace layered maxi dress</t>
  </si>
  <si>
    <t>https://www.myntra.com/jackets/hrx-by-hrithik-roshan/hrx-by-hrithik-roshan-women-black-solid-bomber/4453374/buy</t>
  </si>
  <si>
    <t>hrx by hrithik roshan women black solid bomber</t>
  </si>
  <si>
    <t>https://www.myntra.com/tshirts/mast--harbour/mast--harbour-women-pack-of-2-tshirts/17523414/buy</t>
  </si>
  <si>
    <t>https://www.myntra.com/trousers/herenow/herenow-men-grey-slim-fit-chinos/9089117/buy</t>
  </si>
  <si>
    <t>herenow men grey slim fit chinos</t>
  </si>
  <si>
    <t>https://www.myntra.com/jeans/wrogn/wrogn-men-black-jogger-mid-rise-clean-look-stretchable-jeans/10187381/buy</t>
  </si>
  <si>
    <t>wrogn men black jogger mid rise clean look stretchable jeans</t>
  </si>
  <si>
    <t>https://www.myntra.com/shorts/roadster/roadster-men-olive-green-printed-chino-shorts/2387569/buy</t>
  </si>
  <si>
    <t>roadster men olive green printed chino shorts</t>
  </si>
  <si>
    <t>https://www.myntra.com/kurta-sets/hangup/hangup-men-blue--white-printed-kurta-with-pyjamas--nehru-jacket/11102990/buy</t>
  </si>
  <si>
    <t>hangup men blue  white printed kurta with pyjamas  nehru jacket</t>
  </si>
  <si>
    <t>https://www.myntra.com/innerwear-vests/jockey/jockey-men-navy-blue--grey-printed-gym-vest-9928-0105/11444786/buy</t>
  </si>
  <si>
    <t>jockey men navy blue  grey printed gym vest 9928 0105</t>
  </si>
  <si>
    <t>https://www.myntra.com/tshirts/hrx-by-hrithik-roshan/hrx-by-hrithik-roshan-men-orange-solid-lifestyle-crew-neck-pure-cotton-t-shirt/8479025/buy</t>
  </si>
  <si>
    <t>hrx by hrithik roshan men orange solid lifestyle crew neck pure cotton t shirt</t>
  </si>
  <si>
    <t>https://www.myntra.com/shirts/roadster/roadster-men-navy-blue--red-regular-fit-checked-casual-shirt/11327044/buy</t>
  </si>
  <si>
    <t>roadster men navy blue  red regular fit checked casual shirt</t>
  </si>
  <si>
    <t>https://www.myntra.com/dupatta/taavi/taavi-women-white-block-print-legacy-pure-cotton-dupatta/7538231/buy</t>
  </si>
  <si>
    <t>https://www.myntra.com/kurtas/inddus/inddus-women-off-white--golden-checked-anarkali-kurta/9539303/buy</t>
  </si>
  <si>
    <t>inddus women off white  golden checked anarkali kurta</t>
  </si>
  <si>
    <t>https://www.myntra.com/night-suits/etc/etc-women-red--magenta-floral-printed-night-suit/13631268/buy</t>
  </si>
  <si>
    <t>etc women red  magenta floral printed night suit</t>
  </si>
  <si>
    <t>https://www.myntra.com/jeans/dressberry/dressberry-women-blue-skinny-fit-mid-rise-clean-look--stretchable-ankle-length-jeans/10671380/buy</t>
  </si>
  <si>
    <t>https://www.myntra.com/jeans/wrogn/wrogn-men-grey-slim-fit-mid-rise-clean-look-stretchable-jeans/10187429/buy</t>
  </si>
  <si>
    <t>wrogn men grey slim fit mid rise clean look stretchable jeans</t>
  </si>
  <si>
    <t>https://www.myntra.com/jeans/kook-n-keech/kook-n-keech-men-black-super-skinny-fit-mid-rise-mildly-distressed-stretchable-jeans/1885253/buy</t>
  </si>
  <si>
    <t>kook n keech men black super skinny fit mid rise mildly distressed stretchable jeans</t>
  </si>
  <si>
    <t>https://www.myntra.com/jeans/harvard/harvard-men-black-slim-fit-mid-rise-clean-look-stretchable-jeans/11901402/buy</t>
  </si>
  <si>
    <t>https://www.myntra.com/trunk/levis/levis-men-assorted-solid-trunks-018-trunk-asst-p1/14461444/buy</t>
  </si>
  <si>
    <t>levis men assorted solid trunks 018 trunk asst p1</t>
  </si>
  <si>
    <t>https://www.myntra.com/tshirts/minions-by-kook-n-keech/minions-by-kook-n-keech-men-black--white-colourblocked-round-neck-longline-pure-cotton-t-shirt/8923771/buy</t>
  </si>
  <si>
    <t>minions by kook n keech men black  white colourblocked round neck longline pure cotton t shirt</t>
  </si>
  <si>
    <t>https://www.myntra.com/shirts/roadster/roadster-men-olive-green--black-regular-fit-checked-sustainable-casual-shirt/12056204/buy</t>
  </si>
  <si>
    <t>roadster men olive green  black regular fit checked sustainable casual shirt</t>
  </si>
  <si>
    <t>https://www.myntra.com/shirts/roadster/roadster-men-navy-blue--green-regular-fit-checked-casual-sustainable-shirt/11896306/buy</t>
  </si>
  <si>
    <t>https://www.myntra.com/kurta-sets/anouk/anouk-women-red-embroidered-kurta-with-palazzos/13791612/buy</t>
  </si>
  <si>
    <t>anouk women red embroidered kurta with palazzos</t>
  </si>
  <si>
    <t>https://www.myntra.com/sarees/saree-mall/saree-mall-ethnic-motifs-saree-with-sleek-border/13988178/buy</t>
  </si>
  <si>
    <t>saree mall ethnic motifs saree with sleek border</t>
  </si>
  <si>
    <t>https://www.myntra.com/kurta-sets/anouk/anouk-women-green-solid-embroidery-detail-kurta-with-trousers--dupatta/13237954/buy</t>
  </si>
  <si>
    <t>anouk women green solid embroidery detail kurta with trousers  dupatta</t>
  </si>
  <si>
    <t>https://www.myntra.com/bra/floret/floret-women-pack-of-2-full-coverage-bras-t3033black-black40b/2486241/buy</t>
  </si>
  <si>
    <t>floret women pack of 2 full coverage bras t3033black black40b</t>
  </si>
  <si>
    <t>https://www.myntra.com/track-pants/dressberry/dressberry-women-olive-green-solid-cropped-joggers/11003398/buy</t>
  </si>
  <si>
    <t>dressberry women olive green solid cropped joggers</t>
  </si>
  <si>
    <t>https://www.myntra.com/tops/kassually/kassually-orange-self-design-sweetheart-neck-empire-front-knot-crop-top/13670868/buy</t>
  </si>
  <si>
    <t>kassually orange self design sweetheart neck empire front knot crop top</t>
  </si>
  <si>
    <t>https://www.myntra.com/dresses/sassafras/sassafras-women-navy-blue-solid-sheath-dress/10856174/buy</t>
  </si>
  <si>
    <t>sassafras women navy blue solid sheath dress</t>
  </si>
  <si>
    <t>https://www.myntra.com/tops/stylestone/stylestone-blue-denim-shirt-style-top/1978691/buy</t>
  </si>
  <si>
    <t>stylestone blue denim shirt style top</t>
  </si>
  <si>
    <t>https://www.myntra.com/jackets/tokyo-talkies/tokyo-talkies-women-green-solid-padded-jacket/13178044/buy</t>
  </si>
  <si>
    <t>tokyo talkies women green solid padded jacket</t>
  </si>
  <si>
    <t>https://www.myntra.com/tshirts/ether/ether-women-peach-coloured-solid-round-neck-t-shirt/2202034/buy</t>
  </si>
  <si>
    <t>ether women peach coloured solid round neck t shirt</t>
  </si>
  <si>
    <t>https://www.myntra.com/tops/roadster/roadster-women-grey-solid-top-with-striped-sleeve/8339531/buy</t>
  </si>
  <si>
    <t>roadster women grey solid top with striped sleeve</t>
  </si>
  <si>
    <t>https://www.myntra.com/jeans/locomotive/locomotive-men-brown-slim-fit-mid-rise-clean-look-stretchable-jeans/7942417/buy</t>
  </si>
  <si>
    <t>locomotive men brown slim fit mid rise clean look stretchable jeans</t>
  </si>
  <si>
    <t>https://www.myntra.com/trousers/highlander/highlander-men-white-slim-fit-mid-rise-clean-look-stretchable-jeans/11156762/buy</t>
  </si>
  <si>
    <t>https://www.myntra.com/jeans/roadster/roadster-men-navy-blue-skinny-fit-mid-rise-clean-look-stretchable-jeans/6544941/buy</t>
  </si>
  <si>
    <t>https://www.myntra.com/socks/mast--harbour/mast--harbour-men-pack-of-4-striped-ankle-length-socks/9451673/buy</t>
  </si>
  <si>
    <t>mast  harbour men pack of 4 striped ankle length socks</t>
  </si>
  <si>
    <t>https://www.myntra.com/briefs/levis/levis-men-pack-of-3-assorted-solid-briefs/18030424/buy</t>
  </si>
  <si>
    <t>https://www.myntra.com/shirts/kook-n-keech-marvel/kook-n-keech-marvel-men-white-printed-casual-shirt/1879748/buy</t>
  </si>
  <si>
    <t>kook n keech marvel men white printed casual shirt</t>
  </si>
  <si>
    <t>https://www.myntra.com/kurta-sets/prakhya/prakhya-women-pink-floral-printed-kurta-with-palazzos--with-dupatta/14514382/buy</t>
  </si>
  <si>
    <t>prakhya women pink floral printed kurta with palazzos  with dupatta</t>
  </si>
  <si>
    <t>https://www.myntra.com/kurta-sets/varanga/varanga-women-magenta-pink--gold-coloured-embroidered-kurta-with-trousers--dupatta/12450322/buy</t>
  </si>
  <si>
    <t>varanga women magenta pink  gold coloured embroidered kurta with trousers  dupatta</t>
  </si>
  <si>
    <t>https://www.myntra.com/bra/rosaline-by-zivame/rosaline-by-zivame-pink-lace-non-wired-non-padded-t-shirt-bra/3451656/buy</t>
  </si>
  <si>
    <t>rosaline by zivame pink lace non wired non padded t shirt bra</t>
  </si>
  <si>
    <t>https://www.myntra.com/dresses/herenow/herenow-women-white--black-printed-a-line-dress/2483479/buy</t>
  </si>
  <si>
    <t>herenow women white  black printed a line dress</t>
  </si>
  <si>
    <t>https://www.myntra.com/tshirts/kook-n-keech-disney/kook-n-keech-disney-women-red-mickey-mouse-print-round-neck-t-shirt/1916569/buy</t>
  </si>
  <si>
    <t>kook n keech disney women red mickey mouse print round neck t shirt</t>
  </si>
  <si>
    <t>https://www.myntra.com/dresses/ether/ether-women-black-printed-gathered-dress/1755933/buy</t>
  </si>
  <si>
    <t>ether women black printed gathered dress</t>
  </si>
  <si>
    <t>https://www.myntra.com/tshirts/besiva/besiva-women-black-solid-round-neck-t-shirt/10237777/buy</t>
  </si>
  <si>
    <t>Besiva</t>
  </si>
  <si>
    <t>besiva women black solid round neck t shirt</t>
  </si>
  <si>
    <t>https://www.myntra.com/track-pants/tokyo-talkies/tokyo-talkies-women-fuchsia-pink-solid-slim-fit-casual-track-pants/14154090/buy</t>
  </si>
  <si>
    <t>tokyo talkies women fuchsia pink solid slim fit casual track pants</t>
  </si>
  <si>
    <t>https://www.myntra.com/jeans/roadster/roadster-greenturn-men-blue-skinny-fit-mid-rise-clean-look-save-water-stretchable-sustainable-jeans/11274466/buy</t>
  </si>
  <si>
    <t>roadster greenturn men blue skinny fit mid rise clean look save water stretchable sustainable jeans</t>
  </si>
  <si>
    <t>https://www.myntra.com/jeans/harvard/harvard-men-black-skinny-fit-mid-rise-clean-look-stretchable-jeans/10415072/buy</t>
  </si>
  <si>
    <t>https://www.myntra.com/kurta-sets/benstoke/benstoke-men-maroon-solid-kurta-with-pyjamas/12222402/buy</t>
  </si>
  <si>
    <t>benstoke men maroon solid kurta with pyjamas</t>
  </si>
  <si>
    <t>https://www.myntra.com/tshirts/ether/ether-men-turquoise-blue-solid-round-neck-t-shirt/11752140/buy</t>
  </si>
  <si>
    <t>ether men turquoise blue solid round neck t shirt</t>
  </si>
  <si>
    <t>https://www.myntra.com/kurta-sets/sangria/sangria-women-green--white-printed-kurta-with-trousers/12414890/buy</t>
  </si>
  <si>
    <t>sangria women green  white printed kurta with trousers</t>
  </si>
  <si>
    <t>https://www.myntra.com/bath-robe/elevanto/elevanto-women-maroon-solid-bath-robe/11938902/buy</t>
  </si>
  <si>
    <t>elevanto women maroon solid bath robe</t>
  </si>
  <si>
    <t>https://www.myntra.com/dresses/sangria/sangria-women-blue--white-floral-print-a-line-dress-with-belt/11174394/buy</t>
  </si>
  <si>
    <t>sangria women blue  white floral print a line dress with belt</t>
  </si>
  <si>
    <t>https://www.myntra.com/tops/scorpius/scorpius-women-pack-of-2-red-tops/9341537/buy</t>
  </si>
  <si>
    <t>scorpius women pack of 2 red tops</t>
  </si>
  <si>
    <t>https://www.myntra.com/sweatshirts/roadster/the-roadster-lifestyle-co-women-black-solid-lightweight-front-open-sweatshirt/9478141/buy</t>
  </si>
  <si>
    <t>the roadster lifestyle co women black solid lightweight front open sweatshirt</t>
  </si>
  <si>
    <t>https://www.myntra.com/shorts/hm/hm-men-grey-regular-fit-sweatshirt-shorts/14232422/buy</t>
  </si>
  <si>
    <t>hm men grey regular fit sweatshirt shorts</t>
  </si>
  <si>
    <t>https://www.myntra.com/shorts/arise/arise-men-grey-solid-regular-fit-regular-shorts/10737426/buy</t>
  </si>
  <si>
    <t>arise men grey solid regular fit regular shorts</t>
  </si>
  <si>
    <t>https://www.myntra.com/trousers/ether/ether-men-white-solid-trousers/1284724/buy</t>
  </si>
  <si>
    <t>ether men white solid trousers</t>
  </si>
  <si>
    <t>https://www.myntra.com/innerwear-vests/jockey/jockey-men-grey-innerwear-vest-fp04-0105-/1999072/buy</t>
  </si>
  <si>
    <t xml:space="preserve">jockey men grey innerwear vest fp04 0105 </t>
  </si>
  <si>
    <t>https://www.myntra.com/tshirts/hrx-by-hrithik-roshan/hrx-by-hrithik-roshan-men-navy-blue--black-printed-training-t-shirt/10106187/buy</t>
  </si>
  <si>
    <t>hrx by hrithik roshan men navy blue  black printed training t shirt</t>
  </si>
  <si>
    <t>https://www.myntra.com/shirts/highlander/highlander-men-rust--black-slim-fit-floral-printed-casual-shirt/14950386/buy</t>
  </si>
  <si>
    <t>highlander men rust  black slim fit floral printed casual shirt</t>
  </si>
  <si>
    <t>https://www.myntra.com/shirts/invictus/invictus-black-printed-slim-fit-formal-shirt/1086730/buy</t>
  </si>
  <si>
    <t>invictus black printed slim fit formal shirt</t>
  </si>
  <si>
    <t>https://www.myntra.com/shirts/roadster/roadster-men-navy-blue-regular-fit-solid-sustainable-casual-shirt/10275287/buy</t>
  </si>
  <si>
    <t>https://www.myntra.com/sweaters/roadster/the-roadster-lifestyle-co-men-black--teal-blue-jacquard-checked-pullover/15654428/buy</t>
  </si>
  <si>
    <t>the roadster lifestyle co men black  teal blue jacquard checked pullover</t>
  </si>
  <si>
    <t>https://www.myntra.com/dresses/sangria/sangria-green--off-white-ethnic-motifs-printed-cotton-a-line-dress/12105068/buy</t>
  </si>
  <si>
    <t>sangria green  off white ethnic motifs printed cotton a line dress</t>
  </si>
  <si>
    <t>https://www.myntra.com/tops/herenow/herenow-women-blue-printed-cold-shoulder-top/2038137/buy</t>
  </si>
  <si>
    <t>herenow women blue printed cold shoulder top</t>
  </si>
  <si>
    <t>https://www.myntra.com/dresses/pluss/pluss-women-blue-solid-denim-shirt-dress/8427205/buy</t>
  </si>
  <si>
    <t>pluss women blue solid denim shirt dress</t>
  </si>
  <si>
    <t>https://www.myntra.com/dresses/kook-n-keech/kook-n-keech-women-black-printed-t-shirt-dress/2414605/buy</t>
  </si>
  <si>
    <t>kook n keech women black printed t shirt dress</t>
  </si>
  <si>
    <t>https://www.myntra.com/jeans/tokyo-talkies/tokyo-talkies-women-black-super-skinny-fit-mid-rise-clean-look-stretchable-jeans/8002221/buy</t>
  </si>
  <si>
    <t>https://www.myntra.com/track-pants/hrx-by-hrithik-roshan/hrx-by-hrithik-roshan-men-black-slim-fit-solid-rapid-dry-active-running-joggers/10389849/buy</t>
  </si>
  <si>
    <t>hrx by hrithik roshan men black slim fit solid rapid dry active running joggers</t>
  </si>
  <si>
    <t>https://www.myntra.com/sweaters/roadster/roadster-men-green-solid-sweater/10215627/buy</t>
  </si>
  <si>
    <t>roadster men green solid sweater</t>
  </si>
  <si>
    <t>https://www.myntra.com/tshirts/roadster/roadster-men-beige-solid-round-neck-t-shirt/11632494/buy</t>
  </si>
  <si>
    <t>roadster men beige solid round neck t shirt</t>
  </si>
  <si>
    <t>https://www.myntra.com/tshirts/herenow/herenow-men-charcoal-grey-printed-round-neck-t-shirt/12816788/buy</t>
  </si>
  <si>
    <t>herenow men charcoal grey printed round neck t shirt</t>
  </si>
  <si>
    <t>https://www.myntra.com/tshirts/mast--harbour/mast--harbour-men-navy-blue-printed-round-neck-t-shirt/11017726/buy</t>
  </si>
  <si>
    <t>https://www.myntra.com/sarees/pavechas/pavechas-mustard-orange--black-pure-cotton-printed-venkatgiri-saree/9876215/buy</t>
  </si>
  <si>
    <t>Pavechas</t>
  </si>
  <si>
    <t>pavechas mustard orange  black pure cotton printed venkatgiri saree</t>
  </si>
  <si>
    <t>https://www.myntra.com/bra/jockey/jockey-purple-solid-non-wired-non-padded-slim-fit-everyday-bra-1615-0105/11863044/buy</t>
  </si>
  <si>
    <t>jockey purple solid non wired non padded slim fit everyday bra 1615 0105</t>
  </si>
  <si>
    <t>https://www.myntra.com/tops/herenow/herenow-women-burgundy-solid-a-line-top/2176930/buy</t>
  </si>
  <si>
    <t>herenow women burgundy solid a line top</t>
  </si>
  <si>
    <t>https://www.myntra.com/palazzos/sangria/sangria-women-grey--navy-blue-printed-straight-palazzos/11174826/buy</t>
  </si>
  <si>
    <t>sangria women grey  navy blue printed straight palazzos</t>
  </si>
  <si>
    <t>https://www.myntra.com/sweatshirts/hrx-by-hrithik-roshan/hrx-by-hrithik-roshan-women-white-self-design-sweatshirt/9445943/buy</t>
  </si>
  <si>
    <t>hrx by hrithik roshan women white self design sweatshirt</t>
  </si>
  <si>
    <t>https://www.myntra.com/trousers/vishudh/vishudh-women-black--white-slim-fit-checked-regular-trousers/11262470/buy</t>
  </si>
  <si>
    <t>vishudh women black  white slim fit checked regular trousers</t>
  </si>
  <si>
    <t>https://www.myntra.com/jeggings/roadster/roadster-women-blue-super-skinny-fit-washed-cropped-jeggings/10967618/buy</t>
  </si>
  <si>
    <t>roadster women blue super skinny fit washed cropped jeggings</t>
  </si>
  <si>
    <t>https://www.myntra.com/shrug/indibelle/indibelle-women-multicoloured-printed-open-front-shrug/12458046/buy</t>
  </si>
  <si>
    <t>Indibelle</t>
  </si>
  <si>
    <t>indibelle women multicoloured printed open front shrug</t>
  </si>
  <si>
    <t>https://www.myntra.com/jeans/roadster/roadster-women-navy-blue-bootcut-mid-rise-clean-look-jeans/11531858/buy</t>
  </si>
  <si>
    <t>roadster women navy blue bootcut mid rise clean look jeans</t>
  </si>
  <si>
    <t>https://www.myntra.com/tshirts/roadster/roadster-women-rust-red--white-colourblocked-round-neck-crop-pure-cotton-t-shirt/11697412/buy</t>
  </si>
  <si>
    <t>roadster women rust red  white colourblocked round neck crop pure cotton t shirt</t>
  </si>
  <si>
    <t>https://www.myntra.com/tshirts/hm/hm-women-beige-solid-wide-cotton-pure-cotton-t-shirt/15545828/buy</t>
  </si>
  <si>
    <t>hm women beige solid wide cotton pure cotton t shirt</t>
  </si>
  <si>
    <t>https://www.myntra.com/jeans/roadster/roadster-men-charcoal-grey-slim-fit-mid-rise-clean-look-stretchable-jeans/10064489/buy</t>
  </si>
  <si>
    <t>roadster men charcoal grey slim fit mid rise clean look stretchable jeans</t>
  </si>
  <si>
    <t>https://www.myntra.com/jeans/roadster/roadster-men-navy-blue-skinny-fit-mid-rise-clean-look-stretchable-jeans/11274470/buy</t>
  </si>
  <si>
    <t>https://www.myntra.com/kurtas/anouk/anouk-men-navy-blue--off-white-printed-straight-kurta/11200612/buy</t>
  </si>
  <si>
    <t>anouk men navy blue  off white printed straight kurta</t>
  </si>
  <si>
    <t>https://www.myntra.com/kurtas/anouk/anouk-men-sea-green--blue-printed-fusion-straight-kurta/10354539/buy</t>
  </si>
  <si>
    <t>anouk men sea green  blue printed fusion straight kurta</t>
  </si>
  <si>
    <t>https://www.myntra.com/kurta-sets/deyann/deyann-men-blue-solid-kurta-with-churidar--nehru-jacket/9108351/buy</t>
  </si>
  <si>
    <t>deyann men blue solid kurta with churidar  nehru jacket</t>
  </si>
  <si>
    <t>https://www.myntra.com/shirts/highlander/highlander-men-white-and-black-slim-fit-striped-casual-shirt/11899516/buy</t>
  </si>
  <si>
    <t>highlander men white and black slim fit striped casual shirt</t>
  </si>
  <si>
    <t>https://www.myntra.com/tshirts/wrogn/wrogn-men-navy-blue-solid-round-neck-pure-cotton-t-shirt/11363816/buy</t>
  </si>
  <si>
    <t>wrogn men navy blue solid round neck pure cotton t shirt</t>
  </si>
  <si>
    <t>https://www.myntra.com/shirts/anouk/anouk-men-navy-blue--beige-regular-fit-printed-casual-shirt/10356893/buy</t>
  </si>
  <si>
    <t>anouk men navy blue  beige regular fit printed casual shirt</t>
  </si>
  <si>
    <t>https://www.myntra.com/shirts/roadster/roadster-men-grey-regular-fit-printed-sustainable-casual-shirt/10944582/buy</t>
  </si>
  <si>
    <t>https://www.myntra.com/shirts/mast--harbour/mast--harbour-men-burgundy--navy-blue-checked-casual-shirt/10168965/buy</t>
  </si>
  <si>
    <t>mast  harbour men burgundy  navy blue checked casual shirt</t>
  </si>
  <si>
    <t>https://www.myntra.com/shirts/highlander/highlander-men-navy--grey-slim-fit-checked-casual-shirt/2144289/buy</t>
  </si>
  <si>
    <t>highlander men navy  grey slim fit checked casual shirt</t>
  </si>
  <si>
    <t>https://www.myntra.com/kurtas/varanga/varanga-women-teal-blue-yoke-design-a-line-kurta/11117482/buy</t>
  </si>
  <si>
    <t>varanga women teal blue yoke design a line kurta</t>
  </si>
  <si>
    <t>https://www.myntra.com/kurta-sets/ishin/ishin-women-red-yoke-design-kurta-with-sharara--dupatta/13494300/buy</t>
  </si>
  <si>
    <t>ishin women red yoke design kurta with sharara  dupatta</t>
  </si>
  <si>
    <t>https://www.myntra.com/sweatshirts/roadster/roadster-women-black-printed-detail-hooded-sweatshirt/11991508/buy</t>
  </si>
  <si>
    <t>roadster women black printed detail hooded sweatshirt</t>
  </si>
  <si>
    <t>https://www.myntra.com/jeans/levis/levis-women-blue-711-skinny-fit-mid-rise-clean-look-stretchable-jeans/13617010/buy</t>
  </si>
  <si>
    <t>levis women blue 711 skinny fit mid rise clean look stretchable jeans</t>
  </si>
  <si>
    <t>26, 27, 28, 30, 32, 34</t>
  </si>
  <si>
    <t>https://www.myntra.com/tshirts/chemistry/chemistry-women-black-solid-v-neck-t-shirt/12645760/buy</t>
  </si>
  <si>
    <t>chemistry women black solid v neck t shirt</t>
  </si>
  <si>
    <t>https://www.myntra.com/jeans/locomotive/locomotive-men-navy-blue-slim-fit-mid-rise-mildly-distressed-stretchable-jeans/7630889/buy</t>
  </si>
  <si>
    <t>locomotive men navy blue slim fit mid rise mildly distressed stretchable jeans</t>
  </si>
  <si>
    <t>https://www.myntra.com/jeans/roadster/roadster-men-blue-skinny-fit-mid-rise-low-distress-stretchable-jeans/11274416/buy</t>
  </si>
  <si>
    <t>https://www.myntra.com/boxers/us-polo-assn/us-polo-assn-men-green-printed----pure-cotton-boxers-i663-179/9167269/buy</t>
  </si>
  <si>
    <t>us polo assn men green printed    pure cotton boxers i663 179</t>
  </si>
  <si>
    <t>https://www.myntra.com/briefs/pepe-jeans/pepe-jeans-men-pack-of-3-printed-briefs/17973292/buy</t>
  </si>
  <si>
    <t>pepe jeans men pack of 3 printed briefs</t>
  </si>
  <si>
    <t>https://www.myntra.com/socks/peter-england/peter-england-men-set-of-3-ankle-length-assorted-socks/7224670/buy</t>
  </si>
  <si>
    <t>peter england men set of 3 ankle length assorted socks</t>
  </si>
  <si>
    <t>https://www.myntra.com/boxers/us-polo-assn/us-polo-assn-men-pack-of-2-green-printed-boxers/11786138/buy</t>
  </si>
  <si>
    <t>us polo assn men pack of 2 green printed boxers</t>
  </si>
  <si>
    <t>https://www.myntra.com/shirts/highlander/highlander-men-white--navy-blue-slim-fit-printed-casual-shirt/11876030/buy</t>
  </si>
  <si>
    <t>https://www.myntra.com/sweatshirts/kook-n-keech/kook-n-keech-men-black-printed-hooded-sweatshirt/1395989/buy</t>
  </si>
  <si>
    <t>kook n keech men black printed hooded sweatshirt</t>
  </si>
  <si>
    <t>https://www.myntra.com/tshirts/highlander/highlander-men-white-solid-round-neck-t-shirt/1847924/buy</t>
  </si>
  <si>
    <t>highlander men white solid round neck t shirt</t>
  </si>
  <si>
    <t>https://www.myntra.com/tshirts/highlander/highlander-men-black--white-slim-fit-colourblocked-round-neck-pure-cotton-t-shirt/1923232/buy</t>
  </si>
  <si>
    <t>highlander men black  white slim fit colourblocked round neck pure cotton t shirt</t>
  </si>
  <si>
    <t>https://www.myntra.com/tshirts/kook-n-keech/kook-n-keech-men-white--black-colourblocked-round-neck-pure-cotton-t-shirt/11029220/buy</t>
  </si>
  <si>
    <t>kook n keech men white  black colourblocked round neck pure cotton t shirt</t>
  </si>
  <si>
    <t>https://www.myntra.com/briefs/jockey/jockey-women-pink-low-rise-boy-shorts-ss04-0105/1929826/buy</t>
  </si>
  <si>
    <t>jockey women pink low rise boy shorts ss04 0105</t>
  </si>
  <si>
    <t>https://www.myntra.com/briefs/jockey/jockey-women-pack-of-2-solid-low-rise-boy-shorts-ss04-0105/11810300/buy</t>
  </si>
  <si>
    <t>jockey women pack of 2 solid low rise boy shorts ss04 0105</t>
  </si>
  <si>
    <t>https://www.myntra.com/tops/sztori/sztori-plus-size-women-navy-blue--off-white-striped-top/7432570/buy</t>
  </si>
  <si>
    <t>sztori plus size women navy blue  off white striped top</t>
  </si>
  <si>
    <t>L, XL, XXL, 3XL, 4XL, 5XL, 6XL</t>
  </si>
  <si>
    <t>https://www.myntra.com/sweatshirts/roadster/the-roadster-lifestyle-co-women-rust-orange-solid-sweatshirt/10462964/buy</t>
  </si>
  <si>
    <t>the roadster lifestyle co women rust orange solid sweatshirt</t>
  </si>
  <si>
    <t>https://www.myntra.com/tops/sassafras/sassafras-women-black-solid-one--shoulder-fitted-top/11514704/buy</t>
  </si>
  <si>
    <t>sassafras women black solid one  shoulder fitted top</t>
  </si>
  <si>
    <t>https://www.myntra.com/tshirts/roadster/roadster-women-mustard-yellow--maroon-pack-of-2-typography-print-round-neck-t-shirts/17383266/buy</t>
  </si>
  <si>
    <t>roadster women mustard yellow  maroon pack of 2 typography print round neck t shirts</t>
  </si>
  <si>
    <t>https://www.myntra.com/trousers/hubberholme/hubberholme-men-off-white-slim-fit-chinos/13931936/buy</t>
  </si>
  <si>
    <t>hubberholme men off white slim fit chinos</t>
  </si>
  <si>
    <t>https://www.myntra.com/tshirts/hrx-by-hrithik-roshan/hrx-by-hrithik-roshan-men-charcoal-grey-melange-solid-yoga-seamless-high-neck-t-shirt/10105997/buy</t>
  </si>
  <si>
    <t>hrx by hrithik roshan men charcoal grey melange solid yoga seamless high neck t shirt</t>
  </si>
  <si>
    <t>https://www.myntra.com/tshirts/domyos-by-decathlon/domyos-by-decathlon-men-grey-yoga-t-shirt/14514654/buy</t>
  </si>
  <si>
    <t>domyos by decathlon men grey yoga t shirt</t>
  </si>
  <si>
    <t>https://www.myntra.com/kurtas/ahika/ahika-women-rust-brown--beige-floral-printed-floral-kurta/14038160/buy</t>
  </si>
  <si>
    <t>ahika women rust brown  beige floral printed floral kurta</t>
  </si>
  <si>
    <t>https://www.myntra.com/kurtas/vishudh/vishudh-women-charcoal-grey-printed-straight-kurta/6603450/buy</t>
  </si>
  <si>
    <t>vishudh women charcoal grey printed straight kurta</t>
  </si>
  <si>
    <t>https://www.myntra.com/kurta-sets/anouk/anouk-women-green-embroidered-kurta-with-trousers-with-mirror-work/13789756/buy</t>
  </si>
  <si>
    <t>anouk women green embroidered kurta with trousers with mirror work</t>
  </si>
  <si>
    <t>https://www.myntra.com/kurta-sets/bhama-couture/bhama-couture-women-red-solid-kurta-with-palazzos/9816649/buy</t>
  </si>
  <si>
    <t>bhama couture women red solid kurta with palazzos</t>
  </si>
  <si>
    <t>https://www.myntra.com/night-suits/zeyo/zeyo-women-navy-blue--white-star-printed-night-suit/13033708/buy</t>
  </si>
  <si>
    <t>Zeyo</t>
  </si>
  <si>
    <t>zeyo women navy blue  white star printed night suit</t>
  </si>
  <si>
    <t>https://www.myntra.com/dresses/tokyo-talkies/tokyo-talkies-women-red-solid-maxi-dress/2299710/buy</t>
  </si>
  <si>
    <t>tokyo talkies women red solid maxi dress</t>
  </si>
  <si>
    <t>https://www.myntra.com/jeans/miss-chase/miss-chase-women-blue-skinny-fit-high-rise-clean-look-stretchable-jeans/10196225/buy</t>
  </si>
  <si>
    <t>miss chase women blue skinny fit high rise clean look stretchable jeans</t>
  </si>
  <si>
    <t>https://www.myntra.com/tshirts/roadster/roadster-women-blue-solid-pure-cotton-t-shirt/13601516/buy</t>
  </si>
  <si>
    <t>roadster women blue solid pure cotton t shirt</t>
  </si>
  <si>
    <t>https://www.myntra.com/shorts/nyamba-by-decathlon/nyamba-by-decathlon-men-blue-mid-rise-training-or-gym-sports-shorts/14491142/buy</t>
  </si>
  <si>
    <t>nyamba by decathlon men blue mid rise training or gym sports shorts</t>
  </si>
  <si>
    <t>https://www.myntra.com/jeans/wrogn/wrogn-men-white-slim-fit-mid-rise-clean-look-stretchable-jeans/8673405/buy</t>
  </si>
  <si>
    <t>https://www.myntra.com/track-pants/highlander/highlander-men-grey-melange-solid-track-pants/16269612/buy</t>
  </si>
  <si>
    <t>highlander men grey melange solid track pants</t>
  </si>
  <si>
    <t>https://www.myntra.com/shorts/highlander/highlander-men-blue-solid-slim-fit-denim-shorts/13985384/buy</t>
  </si>
  <si>
    <t>highlander men blue solid slim fit denim shorts</t>
  </si>
  <si>
    <t>https://www.myntra.com/kurtas/sojanya/sojanya-men-purple-dobby-checked-straight-kurta/11422670/buy</t>
  </si>
  <si>
    <t>sojanya men purple dobby checked straight kurta</t>
  </si>
  <si>
    <t>https://www.myntra.com/churidar/jompers/jompers-men-white-solid-churidar-/11421778/buy</t>
  </si>
  <si>
    <t>churidar</t>
  </si>
  <si>
    <t xml:space="preserve">jompers men white solid churidar </t>
  </si>
  <si>
    <t>https://www.myntra.com/briefs/levis/levis-men-pack-of-3-assorted-solid-briefs/18030430/buy</t>
  </si>
  <si>
    <t>https://www.myntra.com/tshirts/campus-sutra/campus-sutra-men-grey-solid-high-neck-t-shirt/11691510/buy</t>
  </si>
  <si>
    <t>campus sutra men grey solid high neck t shirt</t>
  </si>
  <si>
    <t>https://www.myntra.com/sweatshirts/quechua-by-decathlon/quechua-by-decathlon-men-navy-blue-self-designed-fleece-sweatshirt/15128272/buy</t>
  </si>
  <si>
    <t>quechua by decathlon men navy blue self designed fleece sweatshirt</t>
  </si>
  <si>
    <t>https://www.myntra.com/tshirts/austin-wood/austin-wood-men-navy-blue-striped-polo-collar-t-shirt/11096494/buy</t>
  </si>
  <si>
    <t>austin wood men navy blue striped polo collar t shirt</t>
  </si>
  <si>
    <t>https://www.myntra.com/jackets/campus-sutra/campus-sutra-men-black-solid-denim-jacket-jacket/11140514/buy</t>
  </si>
  <si>
    <t>campus sutra men black solid denim jacket jacket</t>
  </si>
  <si>
    <t>https://www.myntra.com/jackets/wrogn/wrogn-men-maroon-solid-bomber-jacket/6832146/buy</t>
  </si>
  <si>
    <t>wrogn men maroon solid bomber jacket</t>
  </si>
  <si>
    <t>https://www.myntra.com/tshirts/roadster/the-roadster-lifestyle-co-men-beige-solid-round-neck-t-shirt/11126638/buy</t>
  </si>
  <si>
    <t>the roadster lifestyle co men beige solid round neck t shirt</t>
  </si>
  <si>
    <t>https://www.myntra.com/tshirts/herenow/herenow-men-mustard-yellow-solid-round-neck-pure-cotton-t-shirt-with-printed-detailing/12817316/buy</t>
  </si>
  <si>
    <t>herenow men mustard yellow solid round neck pure cotton t shirt with printed detailing</t>
  </si>
  <si>
    <t>https://www.myntra.com/tshirts/wrogn/wrogn-men-navy-blue-and-white-typography-printed-round-neck-t-shirt/11363338/buy</t>
  </si>
  <si>
    <t>wrogn men navy blue and white typography printed round neck t shirt</t>
  </si>
  <si>
    <t>https://www.myntra.com/sarees/mitera/mitera-pink--navy-blue-silk-blend-woven-design-kanjeevaram-saree/11117260/buy</t>
  </si>
  <si>
    <t>mitera pink  navy blue silk blend woven design kanjeevaram saree</t>
  </si>
  <si>
    <t>https://www.myntra.com/bra/clovia/clovia-cotton-rich-non-padded-non-wired-t-shirt-bra/10096239/buy</t>
  </si>
  <si>
    <t>clovia cotton rich non padded non wired t shirt bra</t>
  </si>
  <si>
    <t>32B, 32C, 32D, 34B, 34C, 34D, 36B, 36C, 36D, 38B, 38C, 38D, 40B, 40C, 42B, 42C, 44B</t>
  </si>
  <si>
    <t>https://www.myntra.com/tops/herenow/herenow-women-classic-white-solid-baby-tee/12969680/buy</t>
  </si>
  <si>
    <t>herenow women classic white solid baby tee</t>
  </si>
  <si>
    <t>https://www.myntra.com/dresses/street-9/street-9-women-blue-solid-denim-sheath-dress/6604930/buy</t>
  </si>
  <si>
    <t>street 9 women blue solid denim sheath dress</t>
  </si>
  <si>
    <t>https://www.myntra.com/trousers/street-9/street-9-women-mustard-yellow-regular-fit-solid-cargos/12277588/buy</t>
  </si>
  <si>
    <t>street 9 women mustard yellow regular fit solid cargos</t>
  </si>
  <si>
    <t>https://www.myntra.com/dresses/all-about-you/all-about-you-cream-coloured--green-floral-printed-a-line-dress/13205038/buy</t>
  </si>
  <si>
    <t>all about you cream coloured  green floral printed a line dress</t>
  </si>
  <si>
    <t>https://www.myntra.com/tshirts/roadster/the-roadster-lifestyle-co-women-olive-grey-solid-polo-collar-pure-cotton-t-shirt/10970306/buy</t>
  </si>
  <si>
    <t>the roadster lifestyle co women olive grey solid polo collar pure cotton t shirt</t>
  </si>
  <si>
    <t>https://www.myntra.com/tops/roadster/roadster-women-elegant-lavender-solid-volume-play-top/12194288/buy</t>
  </si>
  <si>
    <t>roadster women elegant lavender solid volume play top</t>
  </si>
  <si>
    <t>https://www.myntra.com/track-pants/highlander/highlander-men-black--white-solid-slim-fit-track-pants/13842378/buy</t>
  </si>
  <si>
    <t>highlander men black  white solid slim fit track pants</t>
  </si>
  <si>
    <t>https://www.myntra.com/jeans/roadster/roadster-men-blue-skinny-fit-mid-rise-clean-look-stretchable-jeans/8903747/buy</t>
  </si>
  <si>
    <t>https://www.myntra.com/trousers/roadster/roadster-men-green-regular-fit-solid-chinos/13859366/buy</t>
  </si>
  <si>
    <t>roadster men green regular fit solid chinos</t>
  </si>
  <si>
    <t>https://www.myntra.com/kurtas/taavi/taavi-men-mustard-orange--green-bagru-printed-sustainable-straight-kurta-with-roll-up-sleeves/10384139/buy</t>
  </si>
  <si>
    <t>taavi men mustard orange  green bagru printed sustainable straight kurta with roll up sleeves</t>
  </si>
  <si>
    <t>https://www.myntra.com/briefs/jockey/jockey-zone-men-pack-of-2-grey-bold-briefs-us14-0205/11036512/buy</t>
  </si>
  <si>
    <t>jockey zone men pack of 2 grey bold briefs us14 0205</t>
  </si>
  <si>
    <t>https://www.myntra.com/briefs/jockey/jockey-men-pack-of-4-charcoal-grey-briefs-us14-0205/11639104/buy</t>
  </si>
  <si>
    <t>jockey men pack of 4 charcoal grey briefs us14 0205</t>
  </si>
  <si>
    <t>https://www.myntra.com/briefs/us-polo-assn/us-polo-assn-men-assorted-solid-briefs-i005-615-p1-s/10353595/buy</t>
  </si>
  <si>
    <t>us polo assn men assorted solid briefs i005 615 p1 s</t>
  </si>
  <si>
    <t>https://www.myntra.com/briefs/levis/levis-men-pack-of-3-assorted-solid-briefs/18030432/buy</t>
  </si>
  <si>
    <t>https://www.myntra.com/briefs/levis/levis-men-pack-of-3-assorted-solid-briefs/18030422/buy</t>
  </si>
  <si>
    <t>https://www.myntra.com/sweatshirts/hrx-by-hrithik-roshan/hrx-by-hrithik-roshan-men-green--grey-melange-colourblocked-sweatshirt/9445655/buy</t>
  </si>
  <si>
    <t>hrx by hrithik roshan men green  grey melange colourblocked sweatshirt</t>
  </si>
  <si>
    <t>https://www.myntra.com/shirts/roadster/roadster-men-blue-regular-fit-faded-casual-denim-sustainable-shirt/11327704/buy</t>
  </si>
  <si>
    <t>roadster men blue regular fit faded casual denim sustainable shirt</t>
  </si>
  <si>
    <t>https://www.myntra.com/tshirts/ether/ether-men-navy-blue-solid-henley-neck-pure-cotton-t-shirt/11900294/buy</t>
  </si>
  <si>
    <t>ether men navy blue solid henley neck pure cotton t shirt</t>
  </si>
  <si>
    <t>https://www.myntra.com/dupatta/taavi/taavi-women-indigo-hand-block-printed-sustainable-pure-cotton-dupatta/10375033/buy</t>
  </si>
  <si>
    <t>taavi women indigo hand block printed sustainable pure cotton dupatta</t>
  </si>
  <si>
    <t>https://www.myntra.com/briefs/jockey/jockey-women-pink-solid-bikini-1802-0105/11068144/buy</t>
  </si>
  <si>
    <t>jockey women pink solid bikini 1802 0105</t>
  </si>
  <si>
    <t>https://www.myntra.com/briefs/jockey/jockey-women-pack-of-2-bikini-briefs/13563608/buy</t>
  </si>
  <si>
    <t>https://www.myntra.com/briefs/jockey/jockey-women-pack-of-2-pink-solid-hipster-briefs/11538100/buy</t>
  </si>
  <si>
    <t>jockey women pack of 2 pink solid hipster briefs</t>
  </si>
  <si>
    <t>https://www.myntra.com/pyjamas/clovia/clovia-women-black-solid-lounge-pants-lb0173p13xl/9299455/buy</t>
  </si>
  <si>
    <t>clovia women black solid lounge pants lb0173p13xl</t>
  </si>
  <si>
    <t>https://www.myntra.com/kurtas/herenow/herenow-women-maroon--off-white-printed-straight-kurta/9077165/buy</t>
  </si>
  <si>
    <t>herenow women maroon  off white printed straight kurta</t>
  </si>
  <si>
    <t>https://www.myntra.com/jackets/herenow/herenow-women-maroon-padded-jacket/6788972/buy</t>
  </si>
  <si>
    <t>herenow women maroon padded jacket</t>
  </si>
  <si>
    <t>https://www.myntra.com/tops/mast--harbour/mast--harbour-women-off-white-floral-printed-top/2495141/buy</t>
  </si>
  <si>
    <t>mast  harbour women off white floral printed top</t>
  </si>
  <si>
    <t>https://www.myntra.com/tshirts/roadster/roadster-women-pack-of-2-printed-pure-cotton-t-shirt/17385734/buy</t>
  </si>
  <si>
    <t>https://www.myntra.com/trousers/tokyo-talkies/tokyo-talkies-women-black-regular-fit-solid-parallel-trousers/12225738/buy</t>
  </si>
  <si>
    <t>tokyo talkies women black regular fit solid parallel trousers</t>
  </si>
  <si>
    <t>https://www.myntra.com/jeans/roadster/the-roadster-lifestyle-co-women-blue-skinny-fit-mid-rise-mildly-distressed-stretchable-cropped-jeans/9018035/buy</t>
  </si>
  <si>
    <t>https://www.myntra.com/dresses/mish/mish-teal-green-satin-maxi-dress/13214462/buy</t>
  </si>
  <si>
    <t>mish teal green satin maxi dress</t>
  </si>
  <si>
    <t>https://www.myntra.com/tracksuits/laabha/laabha-women-navy-blue--red-striped-detail-tracksuit/13000836/buy</t>
  </si>
  <si>
    <t>Laabha</t>
  </si>
  <si>
    <t>laabha women navy blue  red striped detail tracksuit</t>
  </si>
  <si>
    <t>https://www.myntra.com/jeans/highlander/highlander-men-black-tapered-fit-mid-rise-clean-look-jeans/13815356/buy</t>
  </si>
  <si>
    <t>highlander men black tapered fit mid rise clean look jeans</t>
  </si>
  <si>
    <t>https://www.myntra.com/trousers/highlander/highlander-men-blue-tapered-fit-chinos/13570668/buy</t>
  </si>
  <si>
    <t>highlander men blue tapered fit chinos</t>
  </si>
  <si>
    <t>https://www.myntra.com/kurta-sets/deyann/deyann-men-navy-blue--brown-printed-kurta-with-patiala/11658912/buy</t>
  </si>
  <si>
    <t>deyann men navy blue  brown printed kurta with patiala</t>
  </si>
  <si>
    <t>https://www.myntra.com/innerwear-vests/jockey/jockey-men-white-solid-innerwear-vest/11444386/buy</t>
  </si>
  <si>
    <t>jockey men white solid innerwear vest</t>
  </si>
  <si>
    <t>https://www.myntra.com/trunk/damensch/damensch-men-deo-soft-deodorizing-micro-modal-solid-trunks-dam-1-t-pack-3-mix/9599049/buy</t>
  </si>
  <si>
    <t>damensch men deo soft deodorizing micro modal solid trunks dam 1 t pack 3 mix</t>
  </si>
  <si>
    <t>https://www.myntra.com/innerwear-vests/jockey/jockey-men-pack-of-2-white-solid-innerwear-vest/11638806/buy</t>
  </si>
  <si>
    <t>jockey men pack of 2 white solid innerwear vest</t>
  </si>
  <si>
    <t>https://www.myntra.com/tshirts/mast--harbour/mast--harbour-men-orange-solid-polo-collar-pure-cotton-t-shirt/11607342/buy</t>
  </si>
  <si>
    <t>mast  harbour men orange solid polo collar pure cotton t shirt</t>
  </si>
  <si>
    <t>https://www.myntra.com/tshirts/roadster/roadster-men-mustard-yellow--navy-blue-striped-round-neck-pure-cotton-t-shirt/10920052/buy</t>
  </si>
  <si>
    <t>roadster men mustard yellow  navy blue striped round neck pure cotton t shirt</t>
  </si>
  <si>
    <t>https://www.myntra.com/kurtas/anubhutee/anubhutee-women-teal-blue--golden-foil-print-straight-kurta/10668612/buy</t>
  </si>
  <si>
    <t>anubhutee women teal blue  golden foil print straight kurta</t>
  </si>
  <si>
    <t>https://www.myntra.com/palazzos/aasi/aasi-women-white-wide-leg-printed-palazzos/8090821/buy</t>
  </si>
  <si>
    <t>aasi women white wide leg printed palazzos</t>
  </si>
  <si>
    <t>https://www.myntra.com/bra/triumph/triumph-doreen-wireless-non-padded-full-coverage-support-big-cup-classics-bra/363049/buy</t>
  </si>
  <si>
    <t>triumph doreen wireless non padded full coverage support big cup classics bra</t>
  </si>
  <si>
    <t>34C, 34D, 34E, 36C, 36D, 36E, 36F, 38C, 38D, 38E, 38F, 38G, 40C, 40D, 40E, 40F, 40G, 42D, 42E, 42F, 42G, 44D, 44E, 44F, 44G</t>
  </si>
  <si>
    <t>https://www.myntra.com/jeans/herenow/herenow-women-black-mid-rise-skinny-fit-slash-knee-stretchable-jeans/1972842/buy</t>
  </si>
  <si>
    <t>herenow women black mid rise skinny fit slash knee stretchable jeans</t>
  </si>
  <si>
    <t>https://www.myntra.com/dresses/miss-chase/miss-chase-women-navy-blue-colourblocked-t-shirt-dress/6687788/buy</t>
  </si>
  <si>
    <t>miss chase women navy blue colourblocked t shirt dress</t>
  </si>
  <si>
    <t>https://www.myntra.com/sweaters/roadster/roadster-women-teal-blue-self-design-sweater/1949962/buy</t>
  </si>
  <si>
    <t>roadster women teal blue self design sweater</t>
  </si>
  <si>
    <t>https://www.myntra.com/dresses/tokyo-talkies/tokyo-talkies-women-black--off-white-checked-shirt-dress/10847890/buy</t>
  </si>
  <si>
    <t>tokyo talkies women black  off white checked shirt dress</t>
  </si>
  <si>
    <t>https://www.myntra.com/dungarees/zastraa/zastraa-women-black-solid-dungaree/10606456/buy</t>
  </si>
  <si>
    <t>zastraa women black solid dungaree</t>
  </si>
  <si>
    <t>https://www.myntra.com/tshirts/roadster/roadster-women-black-typography-printed-cotton-t-shirt/12193832/buy</t>
  </si>
  <si>
    <t>roadster women black typography printed cotton t shirt</t>
  </si>
  <si>
    <t>https://www.myntra.com/tshirts/sassafras/sassafras-women-mustard-yellow-ribbed-round-neck-t-shirt/12221948/buy</t>
  </si>
  <si>
    <t>sassafras women mustard yellow ribbed round neck t shirt</t>
  </si>
  <si>
    <t>https://www.myntra.com/jeans/levis/levis-men-black-512-slim-tapered-fit-stretchable-jeans/15038450/buy</t>
  </si>
  <si>
    <t>https://www.myntra.com/trousers/forclaz-by-decathlon/forclaz-by-decathlon-men-grey-convertible-cargo-travel-trouser/13167772/buy</t>
  </si>
  <si>
    <t>forclaz by decathlon men grey convertible cargo travel trouser</t>
  </si>
  <si>
    <t>9% OFF</t>
  </si>
  <si>
    <t>27, 29, 31, 32, 34, 36, 39, 41, 43</t>
  </si>
  <si>
    <t>https://www.myntra.com/jeans/wrogn/wrogn-men-blue-jogger-mid-rise-clean-look-stretchable-jeans/2338465/buy</t>
  </si>
  <si>
    <t>https://www.myntra.com/jeans/wrogn/wrogn-men-blue-slim-fit-mid-rise-low-distressed-stretchable-jeans/6832376/buy</t>
  </si>
  <si>
    <t>wrogn men blue slim fit mid rise low distressed stretchable jeans</t>
  </si>
  <si>
    <t>https://www.myntra.com/jeans/roadster/roadster-men-blue-regular-fit-mid-rise-clean-look-stretchable-jeans/8275663/buy</t>
  </si>
  <si>
    <t>https://www.myntra.com/track-pants/hrx-by-hrithik-roshan/hrx-by-hrithik-roshan-men-grey-solid-training-anti-microbial-slim-fit-track-pants/10106139/buy</t>
  </si>
  <si>
    <t>hrx by hrithik roshan men grey solid training anti microbial slim fit track pants</t>
  </si>
  <si>
    <t>https://www.myntra.com/briefs/jockey/jockey-men-black-solid-modern-briefs-us17-0105/9867745/buy</t>
  </si>
  <si>
    <t>jockey men black solid modern briefs us17 0105</t>
  </si>
  <si>
    <t>https://www.myntra.com/briefs/jockey/jockey-men-pack-of-2-black-solid-briefs-9867745-2/11638544/buy</t>
  </si>
  <si>
    <t>jockey men pack of 2 black solid briefs 9867745 2</t>
  </si>
  <si>
    <t>https://www.myntra.com/shirts/roadster/roadster-men-navy-blue--red-regular-fit-checked-casual-shirt/8889631/buy</t>
  </si>
  <si>
    <t>https://www.myntra.com/dresses/herenow/herenow-women-maroon-floral-printed-fit--flare-dress/4321458/buy</t>
  </si>
  <si>
    <t>herenow women maroon floral printed fit  flare dress</t>
  </si>
  <si>
    <t>https://www.myntra.com/bra/zivame/zivame-purple-solid-non-wired-lightly-padded-t-shirt-bra-zi1302/11505972/buy</t>
  </si>
  <si>
    <t>zivame purple solid non wired lightly padded t shirt bra zi1302</t>
  </si>
  <si>
    <t>32DD, 32E, 32F, 34DD, 34E, 34F, 36C, 36D, 36DD, 36E, 36F, 38C, 38D, 38DD, 38E, 40C, 40D, 40DD</t>
  </si>
  <si>
    <t>https://www.myntra.com/night-suits/etc/etc-women-yellow--blue-floral-print-night-suit/12441754/buy</t>
  </si>
  <si>
    <t>etc women yellow  blue floral print night suit</t>
  </si>
  <si>
    <t>https://www.myntra.com/lounge-shorts/espresso/espresso-women-black-solid-lounge-shorts-esp-4012/9004967/buy</t>
  </si>
  <si>
    <t>Espresso</t>
  </si>
  <si>
    <t>espresso women black solid lounge shorts esp 4012</t>
  </si>
  <si>
    <t>https://www.myntra.com/kurtas/sangria/sangria-women-beige--black-printed-straight-kurta/11173980/buy</t>
  </si>
  <si>
    <t>sangria women beige  black printed straight kurta</t>
  </si>
  <si>
    <t>https://www.myntra.com/kurtas/herenow/herenow-women-green--black-ethnic-block-printed-straight-kurta/12524806/buy</t>
  </si>
  <si>
    <t>herenow women green  black ethnic block printed straight kurta</t>
  </si>
  <si>
    <t>https://www.myntra.com/jeggings/roadster/the-roadster-lifestyle-co-women-blue-washed-super-skinny-fit-cropped-jeggings-with-side-stripes/13430662/buy</t>
  </si>
  <si>
    <t>the roadster lifestyle co women blue washed super skinny fit cropped jeggings with side stripes</t>
  </si>
  <si>
    <t>https://www.myntra.com/tops/dressberry/dressberry-women-olive-green-crinkled-solid-top/11005692/buy</t>
  </si>
  <si>
    <t>dressberry women olive green crinkled solid top</t>
  </si>
  <si>
    <t>https://www.myntra.com/tops/sassafras/sassafras-women-green--beige-floral-printed-a-line-top/11364274/buy</t>
  </si>
  <si>
    <t>sassafras women green  beige floral printed a line top</t>
  </si>
  <si>
    <t>https://www.myntra.com/jackets/roadster/roadster-women-black-solid-lightweight-packable-jacket/11818282/buy</t>
  </si>
  <si>
    <t>roadster women black solid lightweight packable jacket</t>
  </si>
  <si>
    <t>https://www.myntra.com/tops/roadster/roadster-dusty-pink-ruched-sleeves-top/12194214/buy</t>
  </si>
  <si>
    <t>roadster dusty pink ruched sleeves top</t>
  </si>
  <si>
    <t>https://www.myntra.com/trousers/wrogn/wrogn-men-grey-slim-fit-chinos/11560472/buy</t>
  </si>
  <si>
    <t>https://www.myntra.com/jeans/roadster/roadster-men-grey-skinny-fit-mid-rise-clean-look-stretchable-jeans/6775099/buy</t>
  </si>
  <si>
    <t>https://www.myntra.com/boxers/levis/levis-men-pack-of-2-pure-cotton-checked-boxers/18028858/buy</t>
  </si>
  <si>
    <t>https://www.myntra.com/tshirts/hrx-by-hrithik-roshan/hrx-by-hrithik-roshan-men-olive-green-printed-training-t-shirt/10106195/buy</t>
  </si>
  <si>
    <t>hrx by hrithik roshan men olive green printed training t shirt</t>
  </si>
  <si>
    <t>https://www.myntra.com/shirts/herenow/herenow-men-navy-blue--white-slim-fit-printed-casual-shirt/12654918/buy</t>
  </si>
  <si>
    <t>herenow men navy blue  white slim fit printed casual shirt</t>
  </si>
  <si>
    <t>https://www.myntra.com/sarees/inddus/inddus-pink-printed-ruffle-saree/7079944/buy</t>
  </si>
  <si>
    <t>inddus pink printed ruffle saree</t>
  </si>
  <si>
    <t>https://www.myntra.com/bra/hrx-by-hrithik-roshan/hrx-by-hrithik-roshan-navy-blue-bra/11245668/buy</t>
  </si>
  <si>
    <t>hrx by hrithik roshan navy blue bra</t>
  </si>
  <si>
    <t>https://www.myntra.com/trousers/sangria/sangria-women-white--golden-regular-fit-polka-dots-printed-cropped-trousers/12163940/buy</t>
  </si>
  <si>
    <t>sangria women white  golden regular fit polka dots printed cropped trousers</t>
  </si>
  <si>
    <t>https://www.myntra.com/shirts/chemistry/chemistry-women-black-regular-fit-solid-casual-shirt/10868192/buy</t>
  </si>
  <si>
    <t>chemistry women black regular fit solid casual shirt</t>
  </si>
  <si>
    <t>https://www.myntra.com/shorts/roadster/the-roadster-lifestyle-co-women-blue-solid-regular-fit-denim-shorts/11118500/buy</t>
  </si>
  <si>
    <t>https://www.myntra.com/tshirts/mast--harbour/mast--harbour-women-pack-of-2-printed-pure-cotton-t-shirts/17525208/buy</t>
  </si>
  <si>
    <t>mast  harbour women pack of 2 printed pure cotton t shirts</t>
  </si>
  <si>
    <t>https://www.myntra.com/dresses/shae-by-sassafras/shae-by-sassafras-women-off-white--mustard-yellow-ikat-print-a-line-dress/11636208/buy</t>
  </si>
  <si>
    <t>shae by sassafras women off white  mustard yellow ikat print a line dress</t>
  </si>
  <si>
    <t>https://www.myntra.com/jeans/us-polo-assn-denim-co/us-polo-assn-denim-co-men-white-slim-fit-mid-rise-clean-look-stretchable-jeans/2200590/buy</t>
  </si>
  <si>
    <t>U.S. Polo Assn. Denim Co.</t>
  </si>
  <si>
    <t>us polo assn denim co men white slim fit mid rise clean look stretchable jeans</t>
  </si>
  <si>
    <t>https://www.myntra.com/trousers/dennison/dennison-men-blue-tapered-fit-trousers/9181045/buy</t>
  </si>
  <si>
    <t>dennison men blue tapered fit trousers</t>
  </si>
  <si>
    <t>https://www.myntra.com/track-pants/mast--harbour/mast--harbour-black-solid-joggers/6863013/buy</t>
  </si>
  <si>
    <t>mast  harbour black solid joggers</t>
  </si>
  <si>
    <t>https://www.myntra.com/sarees/kalini/kalini-navy-blue--pink-art-silk-printed-mysore-silk-saree/11435726/buy</t>
  </si>
  <si>
    <t>kalini navy blue  pink art silk printed mysore silk saree</t>
  </si>
  <si>
    <t>https://www.myntra.com/dresses/sassafras/sassafras-women-peach-coloured--golden-printed-a-line-dress/10691454/buy</t>
  </si>
  <si>
    <t>sassafras women peach coloured  golden printed a line dress</t>
  </si>
  <si>
    <t>https://www.myntra.com/kurtas/mbe/mbe-women-maroon-solid-tiered-anarkali-kurta/9063647/buy</t>
  </si>
  <si>
    <t>MBE</t>
  </si>
  <si>
    <t>mbe women maroon solid tiered anarkali kurta</t>
  </si>
  <si>
    <t>https://www.myntra.com/bra/zivame/zivame-brown-maternity-bra-half-coverage/14810388/buy</t>
  </si>
  <si>
    <t>zivame brown maternity bra half coverage</t>
  </si>
  <si>
    <t>32B, 32C, 32D, 32DD, 32E, 34B, 34C, 34D, 34DD, 34E, 36B, 36C, 36D, 36DD, 36E, 38B, 38C, 38D, 38DD, 38E, 40C, 40D, 40DD, 40E, 42DD, 42E</t>
  </si>
  <si>
    <t>https://www.myntra.com/trousers/tokyo-talkies/tokyo-talkies-women-beige-regular-fit-solid-regular-trousers/12026420/buy</t>
  </si>
  <si>
    <t>tokyo talkies women beige regular fit solid regular trousers</t>
  </si>
  <si>
    <t>https://www.myntra.com/dresses/dressberry/dressberry-women-blue-solid-denim-shirt-dress/6826883/buy</t>
  </si>
  <si>
    <t>dressberry women blue solid denim shirt dress</t>
  </si>
  <si>
    <t>https://www.myntra.com/tshirts/roadster/roadster-women-red-colourblocked-round-neck-t-shirt/11893832/buy</t>
  </si>
  <si>
    <t>roadster women red colourblocked round neck t shirt</t>
  </si>
  <si>
    <t>https://www.myntra.com/jeans/roadster/the-roadster-lifestyle-co-men-blue-super-skinny-fit-mid-rise-clean-look-stretchable-jeans/10092093/buy</t>
  </si>
  <si>
    <t>the roadster lifestyle co men blue super skinny fit mid rise clean look stretchable jeans</t>
  </si>
  <si>
    <t>https://www.myntra.com/jackets/hrx-by-hrithik-roshan/hrx-active-by-hrithik-roshan-men-black-solid-sporty-jacket/2030818/buy</t>
  </si>
  <si>
    <t>hrx active by hrithik roshan men black solid sporty jacket</t>
  </si>
  <si>
    <t>https://www.myntra.com/tshirts/maniac/maniac-men-white--black-colourblocked-hood-slim-fit-t-shirt/11332294/buy</t>
  </si>
  <si>
    <t>maniac men white  black colourblocked hood slim fit t shirt</t>
  </si>
  <si>
    <t>https://www.myntra.com/shirts/wrogn/wrogn-men-black-slim-fit-striped-casual-shirt/2296336/buy</t>
  </si>
  <si>
    <t>wrogn men black slim fit striped casual shirt</t>
  </si>
  <si>
    <t>https://www.myntra.com/dresses/ahalyaa/ahalyaa-women-green-solid-maxi-dress-/7100025/buy</t>
  </si>
  <si>
    <t xml:space="preserve">ahalyaa women green solid maxi dress </t>
  </si>
  <si>
    <t>Rs. 1331 OFF</t>
  </si>
  <si>
    <t>https://www.myntra.com/dresses/aurelia/aurelia-green--golden-embroidered-detail-shimmer-a-line-dress/13529882/buy</t>
  </si>
  <si>
    <t>AURELIA</t>
  </si>
  <si>
    <t>aurelia green  golden embroidered detail shimmer a line dress</t>
  </si>
  <si>
    <t>https://www.myntra.com/kurta-sets/ishin/ishin-women-teal-blue--goldenn-foil-printed-sequinned-kurta-with-palazzos/12124544/buy</t>
  </si>
  <si>
    <t>ishin women teal blue  goldenn foil printed sequinned kurta with palazzos</t>
  </si>
  <si>
    <t>https://www.myntra.com/night-suits/etc/etc-women-yellow--white-checked-night-suit/12441776/buy</t>
  </si>
  <si>
    <t>etc women yellow  white checked night suit</t>
  </si>
  <si>
    <t>https://www.myntra.com/bra/prettycat/prettycat-beige-solid-underwired-lightly-padded-push-up-bra-pcbr20304736b/2461539/buy</t>
  </si>
  <si>
    <t>prettycat beige solid underwired lightly padded push up bra pcbr20304736b</t>
  </si>
  <si>
    <t>https://www.myntra.com/tops/pluss/pluss-women-black--yellow-floral-printed-top/13382042/buy</t>
  </si>
  <si>
    <t>pluss women black  yellow floral printed top</t>
  </si>
  <si>
    <t>https://www.myntra.com/kurtas/sangria/sangria-women-red-printed-a-line-kurta/8349785/buy</t>
  </si>
  <si>
    <t>https://www.myntra.com/jeans/herenow/herenow-women-black-bootcut-mid-rise-clean-look-stretchable-jeans/10095221/buy</t>
  </si>
  <si>
    <t>herenow women black bootcut mid rise clean look stretchable jeans</t>
  </si>
  <si>
    <t>https://www.myntra.com/jumpsuit/msfq/msfq-multicoloured-printed-basic-jumpsuit/9073231/buy</t>
  </si>
  <si>
    <t>msfq multicoloured printed basic jumpsuit</t>
  </si>
  <si>
    <t>https://www.myntra.com/jeans/roadster/roadster-men-black-slim-fit-mid-rise-clean-look-jeans/2157915/buy</t>
  </si>
  <si>
    <t>roadster men black slim fit mid rise clean look jeans</t>
  </si>
  <si>
    <t>https://www.myntra.com/jeans/wrogn/wrogn-men-black-skinny-fit-mid-rise-clean-look-stretchable-jeans/10187345/buy</t>
  </si>
  <si>
    <t>https://www.myntra.com/trousers/mast--harbour/mast--harbour-men-grey-sustainable-cargos/10343505/buy</t>
  </si>
  <si>
    <t>mast  harbour men grey sustainable cargos</t>
  </si>
  <si>
    <t>https://www.myntra.com/trousers/wrogn/wrogn-men-brown-slim-fit-chinos/11362736/buy</t>
  </si>
  <si>
    <t>wrogn men brown slim fit chinos</t>
  </si>
  <si>
    <t>https://www.myntra.com/track-pants/wrogn/wrogn-men-black-slim-fit-solid-joggers/11361968/buy</t>
  </si>
  <si>
    <t>wrogn men black slim fit solid joggers</t>
  </si>
  <si>
    <t>https://www.myntra.com/trousers/roadster/roadster-men-off-white-sustainable-chinos/2167367/buy</t>
  </si>
  <si>
    <t>roadster men off white sustainable chinos</t>
  </si>
  <si>
    <t>https://www.myntra.com/track-pants/herenow/herenow-men-grey--black-checked-joggers/5395416/buy</t>
  </si>
  <si>
    <t>herenow men grey  black checked joggers</t>
  </si>
  <si>
    <t>https://www.myntra.com/trunk/damensch/damensch-men-deo-soft-deodorizing-micro-modal-printed-trunks-dam-prin-t-ds-hg-pack-2-mix/12158062/buy</t>
  </si>
  <si>
    <t>damensch men deo soft deodorizing micro modal printed trunks dam prin t ds hg pack 2 mix</t>
  </si>
  <si>
    <t>https://www.myntra.com/shirts/roadster/roadster-men-olive-green-regular-fit-solid-sustainable-casual-shirt/11896032/buy</t>
  </si>
  <si>
    <t>https://www.myntra.com/sweatshirts/hm/hm-men-black-solid-long-sleeved-jersey-top/11468934/buy</t>
  </si>
  <si>
    <t>hm men black solid long sleeved jersey top</t>
  </si>
  <si>
    <t>https://www.myntra.com/dresses/vishudh/vishudh-women-mustard-self-design-a-line-dress/14078786/buy</t>
  </si>
  <si>
    <t>vishudh women mustard self design a line dress</t>
  </si>
  <si>
    <t>https://www.myntra.com/dresses/sangria/sangria-white-floral-printed-fit-and-flare-dress/9371587/buy</t>
  </si>
  <si>
    <t>sangria white floral printed fit and flare dress</t>
  </si>
  <si>
    <t>https://www.myntra.com/kurta-sets/ziyaa/ziyaa-women-black-ethnic-motifs-printed-layered-kurta-with-trousers/14507212/buy</t>
  </si>
  <si>
    <t>ziyaa women black ethnic motifs printed layered kurta with trousers</t>
  </si>
  <si>
    <t>https://www.myntra.com/kurta-sets/mokshi/mokshi-women-blue--white-pure-cotton-checked-kurta-with-palazzos--dupatta/13703704/buy</t>
  </si>
  <si>
    <t>mokshi women blue  white pure cotton checked kurta with palazzos  dupatta</t>
  </si>
  <si>
    <t>https://www.myntra.com/kurta-sets/sangria/sangria-women-burgundy-woven-design-kurta-with-palazzos/8420299/buy</t>
  </si>
  <si>
    <t>sangria women burgundy woven design kurta with palazzos</t>
  </si>
  <si>
    <t>https://www.myntra.com/shrug/mayra/mayra-women-white-self-design-open-front-shrug/11012468/buy</t>
  </si>
  <si>
    <t>mayra women white self design open front shrug</t>
  </si>
  <si>
    <t>https://www.myntra.com/tshirts/all-about-you/all-about-you-women-pink--golden-printed-v-neck-t-shirt/12259246/buy</t>
  </si>
  <si>
    <t>all about you women pink  golden printed v neck t shirt</t>
  </si>
  <si>
    <t>https://www.myntra.com/dresses/tokyo-talkies/tokyo-talkies-women-burgundy-solid-sheath-dress/13842512/buy</t>
  </si>
  <si>
    <t>tokyo talkies women burgundy solid sheath dress</t>
  </si>
  <si>
    <t>https://www.myntra.com/tops/roadster/the-roadster-lifestyle-co-women-mustard-yellow-solid-knitted-top-with-side-stripe/10856420/buy</t>
  </si>
  <si>
    <t>the roadster lifestyle co women mustard yellow solid knitted top with side stripe</t>
  </si>
  <si>
    <t>https://www.myntra.com/tshirts/roadster/roadster-women-pack-of-2-cotton-t-shirts/17382710/buy</t>
  </si>
  <si>
    <t>https://www.myntra.com/sweatshirts/roadster/roadster-women-green-solid-greenturn-hooded-sweatshirt/12335306/buy</t>
  </si>
  <si>
    <t>roadster women green solid greenturn hooded sweatshirt</t>
  </si>
  <si>
    <t>https://www.myntra.com/jeans/roadster/the-roadster-lifestyle-co-men-blue-slim-fit-mid-rise-clean-look-stretchable-jeans/8962427/buy</t>
  </si>
  <si>
    <t>https://www.myntra.com/jeans/roadster/roadster-men-navy-blue-skinny-fit-mid-rise-clean-look-stretchable-jeans/11274582/buy</t>
  </si>
  <si>
    <t>https://www.myntra.com/track-pants/herenow/herenow-men-navy-joggers/5395412/buy</t>
  </si>
  <si>
    <t>herenow men navy joggers</t>
  </si>
  <si>
    <t>https://www.myntra.com/trousers/highlander/highlander-men-off-white--grey-slim-fit-checked-regular-trousers/10004147/buy</t>
  </si>
  <si>
    <t>highlander men off white  grey slim fit checked regular trousers</t>
  </si>
  <si>
    <t>https://www.myntra.com/trunk/us-polo-assn/us-polo-assn-men-grey-solid-cotton-trunks-i015-031-p1/14191396/buy</t>
  </si>
  <si>
    <t>us polo assn men grey solid cotton trunks i015 031 p1</t>
  </si>
  <si>
    <t>https://www.myntra.com/tshirts/dexter-by-kook-n-keech/dexter-by-kook-n-keech-men-black-solid-round-neck-pure-cotton-t-shirt/10283351/buy</t>
  </si>
  <si>
    <t>dexter by kook n keech men black solid round neck pure cotton t shirt</t>
  </si>
  <si>
    <t>https://www.myntra.com/shirts/herenow/herenow-men-burgundy-casual-shirt/4328866/buy</t>
  </si>
  <si>
    <t>herenow men burgundy casual shirt</t>
  </si>
  <si>
    <t>https://www.myntra.com/kurtas/ishin/ishin-women-red-embroidered-anarkali-kurta/13511632/buy</t>
  </si>
  <si>
    <t>ishin women red embroidered anarkali kurta</t>
  </si>
  <si>
    <t>https://www.myntra.com/kurtas/anouk/anouk-women-blue--white-ethnic-motifs-printed-kurta/14663970/buy</t>
  </si>
  <si>
    <t>anouk women blue  white ethnic motifs printed kurta</t>
  </si>
  <si>
    <t>https://www.myntra.com/bra/clovia/clovia-beige-solid-non-wired-lightly-padded-t-shirt-bra/11773518/buy</t>
  </si>
  <si>
    <t>clovia beige solid non wired lightly padded t shirt bra</t>
  </si>
  <si>
    <t>https://www.myntra.com/dresses/sangria/sangria-pink--white-floral-printed-cotton-a-line-dress/13437268/buy</t>
  </si>
  <si>
    <t>sangria pink  white floral printed cotton a line dress</t>
  </si>
  <si>
    <t>https://www.myntra.com/kurta-sets/sangria/sangria-women-mustard-yellow--black-ethnic-motif-printed-kurta-with-trousers/13437286/buy</t>
  </si>
  <si>
    <t>sangria women mustard yellow  black ethnic motif printed kurta with trousers</t>
  </si>
  <si>
    <t>https://www.myntra.com/dresses/sangria/sangria-teal-blue-ethnic-motifs-embroidered-ethnic-empire-midi-dress/9369705/buy</t>
  </si>
  <si>
    <t>sangria teal blue ethnic motifs embroidered ethnic empire midi dress</t>
  </si>
  <si>
    <t>https://www.myntra.com/shorts/hrx-by-hrithik-roshan/hrx-by-hrithik-roshan-women-grey-solid-regular-fit-rapid-dry-running-shorts/8328113/buy</t>
  </si>
  <si>
    <t>hrx by hrithik roshan women grey solid regular fit rapid dry running shorts</t>
  </si>
  <si>
    <t>https://www.myntra.com/tops/veni-vidi-vici/veni-vidi-vici-women-burgundy-solid-cold-shoulder-crop-fitted-top/5151616/buy</t>
  </si>
  <si>
    <t>veni vidi vici women burgundy solid cold shoulder crop fitted top</t>
  </si>
  <si>
    <t>https://www.myntra.com/tops/chemistry/chemistry-green-styled-back-top/11193684/buy</t>
  </si>
  <si>
    <t>chemistry green styled back top</t>
  </si>
  <si>
    <t>https://www.myntra.com/dresses/berrylush/berrylush-green-floral-print-maxi-dress/11513186/buy</t>
  </si>
  <si>
    <t>berrylush green floral print maxi dress</t>
  </si>
  <si>
    <t>https://www.myntra.com/jeans/roadster/roadster-men-blue-skinny-fit-mid-rise-clean-look-stretchable-jeans/10064471/buy</t>
  </si>
  <si>
    <t>https://www.myntra.com/kurtas/taavi/taavi-men-maroon-kalamkari-block-printed-straight-sustainable-kurta-with-roll-up-sleeves/10184943/buy</t>
  </si>
  <si>
    <t>taavi men maroon kalamkari block printed straight sustainable kurta with roll up sleeves</t>
  </si>
  <si>
    <t>https://www.myntra.com/lounge-pants/vimal/vimal-men-pack-of-2-navy-blue--charcoal-grey-solid-lounge-pants/11807558/buy</t>
  </si>
  <si>
    <t>https://www.myntra.com/lounge-pants/vimal/vimal-men-set-of-2-grey-and-navy-blue-solid-lounge-pants/12708352/buy</t>
  </si>
  <si>
    <t>vimal men set of 2 grey and navy blue solid lounge pants</t>
  </si>
  <si>
    <t>https://www.myntra.com/tshirts/wrogn/wrogn-men-rust-orange-slim-fit-printed-round-neck-pure-cotton-t-shirt/10188589/buy</t>
  </si>
  <si>
    <t>wrogn men rust orange slim fit printed round neck pure cotton t shirt</t>
  </si>
  <si>
    <t>https://www.myntra.com/briefs/clovia/clovia-women-black-solid-high-rise-maternity-hipster-briefs-pn1368p13/8669773/buy</t>
  </si>
  <si>
    <t>clovia women black solid high rise maternity hipster briefs pn1368p13</t>
  </si>
  <si>
    <t>https://www.myntra.com/tshirts/roadster/roadster-women-mustard-yellow--green-pack-of-2-printed-round-neck-t-shirts/17383382/buy</t>
  </si>
  <si>
    <t>roadster women mustard yellow  green pack of 2 printed round neck t shirts</t>
  </si>
  <si>
    <t>https://www.myntra.com/jeans/herenow/herenow-men-blue-skinny-fit-mid-rise-mildly-distressed-stretchable-jeans/10405247/buy</t>
  </si>
  <si>
    <t>herenow men blue skinny fit mid rise mildly distressed stretchable jeans</t>
  </si>
  <si>
    <t>https://www.myntra.com/lounge-pants/us-polo-assn/us-polo-assn-men-black-printed-lounge-pants-y9i506-125-rr/10248043/buy</t>
  </si>
  <si>
    <t>us polo assn men black printed lounge pants y9i506 125 rr</t>
  </si>
  <si>
    <t>https://www.myntra.com/lounge-pants/us-polo-assn/us-polo-assn-men-red-and-black-printed-lounge-pants/11786030/buy</t>
  </si>
  <si>
    <t>us polo assn men red and black printed lounge pants</t>
  </si>
  <si>
    <t>https://www.myntra.com/shirts/highlander/highlander-men-grey--black-slim-fit-striped-casual-shirt/13842374/buy</t>
  </si>
  <si>
    <t>highlander men grey  black slim fit striped casual shirt</t>
  </si>
  <si>
    <t>https://www.myntra.com/sweatshirts/mast--harbour/mast--harbour-men-navy-blue-solid-hooded-sweatshirt/10136771/buy</t>
  </si>
  <si>
    <t>mast  harbour men navy blue solid hooded sweatshirt</t>
  </si>
  <si>
    <t>https://www.myntra.com/sarees/mitera/mitera-maroon--gold-toned-silk-blend-woven-design-kanjeevaram-saree/11244990/buy</t>
  </si>
  <si>
    <t>https://www.myntra.com/kurta-sets/varanga/varanga-women-blue-woven-design-kurta-with-trousers/14069940/buy</t>
  </si>
  <si>
    <t>varanga women blue woven design kurta with trousers</t>
  </si>
  <si>
    <t>https://www.myntra.com/kurta-sets/khushal-k/khushal-k-women-green--pink-printed-pure-cotton-kurta-with-palazzos--dupatta/17048604/buy</t>
  </si>
  <si>
    <t>khushal k women green  pink printed pure cotton kurta with palazzos  dupatta</t>
  </si>
  <si>
    <t>https://www.myntra.com/tops/her-by-invictus/her-by-invictus-women-black--rust-brown-striped-top/10494132/buy</t>
  </si>
  <si>
    <t>her by invictus women black  rust brown striped top</t>
  </si>
  <si>
    <t>https://www.myntra.com/jeggings/roadster/roadster-women-navy-blue-super-skinny-fit-washed-treggings/11489576/buy</t>
  </si>
  <si>
    <t>Rs. 1000 OFF</t>
  </si>
  <si>
    <t>https://www.myntra.com/tshirts/roadster/roadster-women-pack-of-2-pure-cotton-t-shirts/12193678/buy</t>
  </si>
  <si>
    <t>https://www.myntra.com/tshirts/mast--harbour/mast--harbour-women-pink--white-striped-v-neck-t-shirt/2490947/buy</t>
  </si>
  <si>
    <t>mast  harbour women pink  white striped v neck t shirt</t>
  </si>
  <si>
    <t>https://www.myntra.com/shorts/ether/ether-men-black-solid-regular-fit-regular-shorts/11421902/buy</t>
  </si>
  <si>
    <t>ether men black solid regular fit regular shorts</t>
  </si>
  <si>
    <t>https://www.myntra.com/track-pants/hrx-by-hrithik-roshan/hrx-by-hrithik-roshan-lifestyle-men-grey-melange-melange-track-pant/14703708/buy</t>
  </si>
  <si>
    <t>hrx by hrithik roshan lifestyle men grey melange melange track pant</t>
  </si>
  <si>
    <t>https://www.myntra.com/kurta-sets/deyann/deyann-men-cream-coloured--maroon-self-design-kurta-with-churidar/6518647/buy</t>
  </si>
  <si>
    <t>deyann men cream coloured  maroon self design kurta with churidar</t>
  </si>
  <si>
    <t>https://www.myntra.com/briefs/levis/levis-men-pack-of-2-assorted-pure-cotton-solid-briefs-011/14447770/buy</t>
  </si>
  <si>
    <t>levis men pack of 2 assorted pure cotton solid briefs 011</t>
  </si>
  <si>
    <t>https://www.myntra.com/tshirts/huetrap/huetrap-men-blue-printed-scoop-neck-t-shirt/7645136/buy</t>
  </si>
  <si>
    <t>huetrap men blue printed scoop neck t shirt</t>
  </si>
  <si>
    <t>https://www.myntra.com/kurtas/shae-by-sassafras/shae-by-sassafras-women-black--golden-velvet-finish-zari-yoke-design-straight-kurta/12541948/buy</t>
  </si>
  <si>
    <t>shae by sassafras women black  golden velvet finish zari yoke design straight kurta</t>
  </si>
  <si>
    <t>https://www.myntra.com/dresses/anubhutee/anubhutee-red--white-bandhani-printed-pure-cotton-angrakha-a-line-dress/13503126/buy</t>
  </si>
  <si>
    <t>anubhutee red  white bandhani printed pure cotton angrakha a line dress</t>
  </si>
  <si>
    <t>https://www.myntra.com/bra/clovia/clovia-women-navy-blue-solid-non-wired-non-padded-t-shirt-bra-br0184p0840c/7823723/buy</t>
  </si>
  <si>
    <t>clovia women navy blue solid non wired non padded t shirt bra br0184p0840c</t>
  </si>
  <si>
    <t>32B, 32C, 32D, 34B, 34C, 34D, 36B, 36C, 36D, 38B, 38C, 40B, 40C, 42B, 42C</t>
  </si>
  <si>
    <t>https://www.myntra.com/palazzos/sangria/sangria-women-black-solid-flared-palazzos/10562074/buy</t>
  </si>
  <si>
    <t>sangria women black solid flared palazzos</t>
  </si>
  <si>
    <t>https://www.myntra.com/track-pants/hrx-by-hrithik-roshan/hrx-by-hrithik-roshan-women-withered-rose-solid-tapered-fit-bio-wash-yoga--sustainable-joggers/12167280/buy</t>
  </si>
  <si>
    <t>hrx by hrithik roshan women withered rose solid tapered fit bio wash yoga  sustainable joggers</t>
  </si>
  <si>
    <t>https://www.myntra.com/shirts/roadster/roadster-women-blue-solid-casual-shirt/14615076/buy</t>
  </si>
  <si>
    <t>roadster women blue solid casual shirt</t>
  </si>
  <si>
    <t>https://www.myntra.com/tops/scorpius/scorpious-women-pack-of-two-tops/9339585/buy</t>
  </si>
  <si>
    <t>https://www.myntra.com/jeans/code-61/code-61-women-black-skinny-fit-high-rise-clean-look-stretchable-jeans/11738534/buy</t>
  </si>
  <si>
    <t>Code 61</t>
  </si>
  <si>
    <t>code 61 women black skinny fit high rise clean look stretchable jeans</t>
  </si>
  <si>
    <t>https://www.myntra.com/tshirts/roadster/the-roadster-lifestyle-co-women-navy-blue-striped-mandarin-collar-pure-cotton-t-shirt/10144367/buy</t>
  </si>
  <si>
    <t>the roadster lifestyle co women navy blue striped mandarin collar pure cotton t shirt</t>
  </si>
  <si>
    <t>https://www.myntra.com/sweatshirts/roadster/roadster-women-rust-orange-solid-hooded-sweatshirt/11991108/buy</t>
  </si>
  <si>
    <t>roadster women rust orange solid hooded sweatshirt</t>
  </si>
  <si>
    <t>https://www.myntra.com/trunk/xyxx/xyxx-men-pack-of-3-solid-ultra-soft-antimicrobial-micro-modal-trunks-xytrnk3pckn509/13682892/buy</t>
  </si>
  <si>
    <t>xyxx men pack of 3 solid ultra soft antimicrobial micro modal trunks xytrnk3pckn509</t>
  </si>
  <si>
    <t>https://www.myntra.com/sweatshirts/quechua-by-decathlon/quechua-by-decathlon-men-black-solid-mountain-walking-sweatshirt/12941942/buy</t>
  </si>
  <si>
    <t>quechua by decathlon men black solid mountain walking sweatshirt</t>
  </si>
  <si>
    <t>https://www.myntra.com/shirts/roadster/roadster-men-grey--pink-regular-fit-checked-casual-shirt/11326740/buy</t>
  </si>
  <si>
    <t>roadster men grey  pink regular fit checked casual shirt</t>
  </si>
  <si>
    <t>https://www.myntra.com/shirts/herenow/herenow-men-maroon--white-regular-fit-striped-casual-shirt/11692210/buy</t>
  </si>
  <si>
    <t>herenow men maroon  white regular fit striped casual shirt</t>
  </si>
  <si>
    <t>https://www.myntra.com/shirts/wrogn/wrogn-men-navy--maroon-slim-fit-checked-casual-shirt/1823135/buy</t>
  </si>
  <si>
    <t>https://www.myntra.com/tshirts/ether/ether-men-white--maroon-striped-round-neck-t-shirt/11752182/buy</t>
  </si>
  <si>
    <t>ether men white  maroon striped round neck t shirt</t>
  </si>
  <si>
    <t>https://www.myntra.com/tunics/vishudh/vishudh-women-black--off-white-checked-tunics/13191588/buy</t>
  </si>
  <si>
    <t>vishudh women black  off white checked tunics</t>
  </si>
  <si>
    <t>https://www.myntra.com/kurtas/vishudh/vishudh-women-yellow-bandhani-printed-keyhole-neck-kurta/14370138/buy</t>
  </si>
  <si>
    <t>vishudh women yellow bandhani printed keyhole neck kurta</t>
  </si>
  <si>
    <t>https://www.myntra.com/kurta-sets/anouk/anouk-women-grey--black-printed-pure-cotton-top-with-palazzos/13237968/buy</t>
  </si>
  <si>
    <t>anouk women grey  black printed pure cotton top with palazzos</t>
  </si>
  <si>
    <t>https://www.myntra.com/night-suits/claura/claura-women-maroon-night-suit/8212009/buy</t>
  </si>
  <si>
    <t>claura women maroon night suit</t>
  </si>
  <si>
    <t>https://www.myntra.com/dresses/ether/ether-women-black-solid-t-shirt-dress/11466132/buy</t>
  </si>
  <si>
    <t>ether women black solid t shirt dress</t>
  </si>
  <si>
    <t>https://www.myntra.com/tshirts/mast--harbour/mast--harbour-women-pack-of-2-printed-pure-cotton-t-shirts/17525206/buy</t>
  </si>
  <si>
    <t>https://www.myntra.com/jeans/roadster/the-roadster-lifestyle-co-women-blue-skinny-fit-mid-rise-clean-look-stretchable-cropped-jeans/9205403/buy</t>
  </si>
  <si>
    <t>https://www.myntra.com/tops/chemistry/chemistry-peach-coloured-self-design-top/2426461/buy</t>
  </si>
  <si>
    <t>chemistry peach coloured self design top</t>
  </si>
  <si>
    <t>https://www.myntra.com/tops/scorpius/scorpious-women-pack-of-shrug--top/9338217/buy</t>
  </si>
  <si>
    <t>https://www.myntra.com/tops/roadster/roadster-olive-green-checked-pure-cotton-sustainable-top/7206980/buy</t>
  </si>
  <si>
    <t>roadster olive green checked pure cotton sustainable top</t>
  </si>
  <si>
    <t>https://www.myntra.com/sweatshirts/hm/hm-women-black-sweatshirt/15198584/buy</t>
  </si>
  <si>
    <t>hm women black sweatshirt</t>
  </si>
  <si>
    <t>https://www.myntra.com/jeans/moda-rapido/moda-rapido-men-black-skinny-fit-mid-rise-clean-look-stretchable-jeans/2304347/buy</t>
  </si>
  <si>
    <t>moda rapido men black skinny fit mid rise clean look stretchable jeans</t>
  </si>
  <si>
    <t>https://www.myntra.com/kurtas/anouk/anouk-men-blue-solid-straight-kurta/12135192/buy</t>
  </si>
  <si>
    <t>anouk men blue solid straight kurta</t>
  </si>
  <si>
    <t>https://www.myntra.com/tshirts/bewakoof/bewakoof-men-turquoise-blue-solid-round-neck-pure-cotton-t-shirt/13819040/buy</t>
  </si>
  <si>
    <t>bewakoof men turquoise blue solid round neck pure cotton t shirt</t>
  </si>
  <si>
    <t>Rs. 35 OFF</t>
  </si>
  <si>
    <t>https://www.myntra.com/kurtas/stylum/stylum-women-burgundy-ethnic-motifs-printed-anarkali-kurta/15570020/buy</t>
  </si>
  <si>
    <t>stylum women burgundy ethnic motifs printed anarkali kurta</t>
  </si>
  <si>
    <t>https://www.myntra.com/leggings/go-colors/go-colors-women-grey-solid-ankle-length-leggings/8756547/buy</t>
  </si>
  <si>
    <t>go colors women grey solid ankle length leggings</t>
  </si>
  <si>
    <t>https://www.myntra.com/bra/friskers/friskers-blue-printed-underwired-heavily-padded-push-up-bra-o-691-05-40c/7575242/buy</t>
  </si>
  <si>
    <t>friskers blue printed underwired heavily padded push up bra o 691 05 40c</t>
  </si>
  <si>
    <t>32B, 32C, 34B, 34C, 36B, 36C, 38B, 38C, 40B, 40C</t>
  </si>
  <si>
    <t>https://www.myntra.com/kurtas/sangria/sangria-women-yellow--pink-printed-straight-kurta/10561344/buy</t>
  </si>
  <si>
    <t>sangria women yellow  pink printed straight kurta</t>
  </si>
  <si>
    <t>https://www.myntra.com/tops/sztori/sztori-plus-size-green-top/7030741/buy</t>
  </si>
  <si>
    <t>sztori plus size green top</t>
  </si>
  <si>
    <t>https://www.myntra.com/track-pants/harvard/harvard-women-black-solid-cropped-joggers/12374410/buy</t>
  </si>
  <si>
    <t>harvard women black solid cropped joggers</t>
  </si>
  <si>
    <t>https://www.myntra.com/tops/marie-claire/marie-claire-red-square-neck-smocked-top/11550408/buy</t>
  </si>
  <si>
    <t>marie claire red square neck smocked top</t>
  </si>
  <si>
    <t>https://www.myntra.com/dresses/berrylush/berrylush-yellow-floral-crepe-ditsy-floral-printed-wrap-dress/14327572/buy</t>
  </si>
  <si>
    <t>berrylush yellow floral crepe ditsy floral printed wrap dress</t>
  </si>
  <si>
    <t>https://www.myntra.com/dresses/la-zoire/la-zoire-women-black-solid-maxi-dress/2337100/buy</t>
  </si>
  <si>
    <t>la zoire women black solid maxi dress</t>
  </si>
  <si>
    <t>https://www.myntra.com/shorts/tokyo-talkies/tokyo-talkies-women-grey-mid-rise-regular-shorts/14695606/buy</t>
  </si>
  <si>
    <t>tokyo talkies women grey mid rise regular shorts</t>
  </si>
  <si>
    <t>https://www.myntra.com/tshirts/mast--harbour/mast--harbour-women-white-printed-round-neck-t-shirt/7140526/buy</t>
  </si>
  <si>
    <t>https://www.myntra.com/tshirts/roadster/roadster-women-pack-of-2-t-shirts/2353142/buy</t>
  </si>
  <si>
    <t>https://www.myntra.com/track-pants/hrx-by-hrithik-roshan/hrx-by-hrithik-roshan-men-medieval-blue-solid-regular-fit-rapid-dry-training-joggers/12404238/buy</t>
  </si>
  <si>
    <t>hrx by hrithik roshan men medieval blue solid regular fit rapid dry training joggers</t>
  </si>
  <si>
    <t>https://www.myntra.com/jeans/wrogn/wrogn-men-grey-slim-fit-mid-rise-clean-look-stretchable-jeans/11359016/buy</t>
  </si>
  <si>
    <t>https://www.myntra.com/track-pants/harvard/harvard-men-grey-melange-straight-fit-solid-joggers-with-printed-detail/11109652/buy</t>
  </si>
  <si>
    <t>harvard men grey melange straight fit solid joggers with printed detail</t>
  </si>
  <si>
    <t>https://www.myntra.com/socks/mast--harbour/mast--harbour-men-set-of-2-grey-melange-above-ankle-length-socks/1422480/buy</t>
  </si>
  <si>
    <t>mast  harbour men set of 2 grey melange above ankle length socks</t>
  </si>
  <si>
    <t>https://www.myntra.com/shirts/roadster/the-roadster-lifestyle-co-men-olive-green--black-regular-fit-checked-sustainable-casual-shirt/10398419/buy</t>
  </si>
  <si>
    <t>the roadster lifestyle co men olive green  black regular fit checked sustainable casual shirt</t>
  </si>
  <si>
    <t>https://www.myntra.com/shirts/mast--harbour/mast--harbour-men-blue-off--white-checked-pure-cotton-casual-shirt/9869597/buy</t>
  </si>
  <si>
    <t>mast  harbour men blue off  white checked pure cotton casual shirt</t>
  </si>
  <si>
    <t>https://www.myntra.com/kurta-sets/indo-era/indo-era-women-beige--navy-blue-yoke-design-kurta-set-with-dupatta/11905786/buy</t>
  </si>
  <si>
    <t>indo era women beige  navy blue yoke design kurta set with dupatta</t>
  </si>
  <si>
    <t>https://www.myntra.com/kurta-sets/indo-era/indo-era-women-black--golden-ethnic-motifs-yoke-design-kurta-with-palazzos--with-dupatta/14323728/buy</t>
  </si>
  <si>
    <t>indo era women black  golden ethnic motifs yoke design kurta with palazzos  with dupatta</t>
  </si>
  <si>
    <t>https://www.myntra.com/bra/zelocity-by-zivame/zelocity-by-zivame-rose-solid-non-wired-lightly-padded-sports-bra-zc4220fashpurpl/9791069/buy</t>
  </si>
  <si>
    <t>Zelocity by Zivame</t>
  </si>
  <si>
    <t>zelocity by zivame rose solid non wired lightly padded sports bra zc4220fashpurpl</t>
  </si>
  <si>
    <t>32B, 32C, 32D, 34B, 34C, 34D, 34DD, 34E, 36B, 36C, 36D, 36DD, 38B, 38C, 38D</t>
  </si>
  <si>
    <t>https://www.myntra.com/jeans/herenow/herenow-women-blue-flared-mid-rise-clean-look-stretchable-jeans/10166763/buy</t>
  </si>
  <si>
    <t>herenow women blue flared mid rise clean look stretchable jeans</t>
  </si>
  <si>
    <t>https://www.myntra.com/tops/cation/cation-women-multicoloured-printed-top/1911757/buy</t>
  </si>
  <si>
    <t>cation women multicoloured printed top</t>
  </si>
  <si>
    <t>https://www.myntra.com/shirts/tokyo-talkies/tokyo-talkies-women-black--white-regular-fit-striped-casual-shirt/12054678/buy</t>
  </si>
  <si>
    <t>tokyo talkies women black  white regular fit striped casual shirt</t>
  </si>
  <si>
    <t>https://www.myntra.com/tops/tokyo-talkies/tokyo-talkies-women-white-solid-peplum-top/10051315/buy</t>
  </si>
  <si>
    <t>tokyo talkies women white solid peplum top</t>
  </si>
  <si>
    <t>https://www.myntra.com/tshirts/dressberry/dressberry-women-pack-of-2-t-shirts/17477802/buy</t>
  </si>
  <si>
    <t>https://www.myntra.com/shrug/cation/cation-black-printed-open-front-shrug/6750252/buy</t>
  </si>
  <si>
    <t>cation black printed open front shrug</t>
  </si>
  <si>
    <t>https://www.myntra.com/jeans/dressberry/dressberry-women-blue-skinny-fit-mid-rise-clean-look-cropped-stretchable-jeans/10365199/buy</t>
  </si>
  <si>
    <t>dressberry women blue skinny fit mid rise clean look cropped stretchable jeans</t>
  </si>
  <si>
    <t>https://www.myntra.com/tshirts/roadster/roadster-women-red-solid-round-neck-t-shirt/11296146/buy</t>
  </si>
  <si>
    <t>roadster women red solid round neck t shirt</t>
  </si>
  <si>
    <t>https://www.myntra.com/track-pants/herenow/herenow-men-black--grey-printed-track-pants/5395400/buy</t>
  </si>
  <si>
    <t>herenow men black  grey printed track pants</t>
  </si>
  <si>
    <t>https://www.myntra.com/trousers/highlander/highlander-men-pink-slim-fit-solid-chinos/14121288/buy</t>
  </si>
  <si>
    <t>highlander men pink slim fit solid chinos</t>
  </si>
  <si>
    <t>https://www.myntra.com/kurtas/sangria/sangria-women-navy-blue--rust-red-pure-cotton-abstract-printed-mirror-work-detail-kurta/8351299/buy</t>
  </si>
  <si>
    <t>sangria women navy blue  rust red pure cotton abstract printed mirror work detail kurta</t>
  </si>
  <si>
    <t>https://www.myntra.com/sarees/inddus/inddus-purple-embellished-sequinned-net-saree/12386528/buy</t>
  </si>
  <si>
    <t>inddus purple embellished sequinned net saree</t>
  </si>
  <si>
    <t>https://www.myntra.com/sarees/vastranand/vastranand-yellow--maroon-printed-bandhani-saree/13348348/buy</t>
  </si>
  <si>
    <t>vastranand yellow  maroon printed bandhani saree</t>
  </si>
  <si>
    <t>https://www.myntra.com/shapewear/da-intimo/da-intimo-women-black-tummy-tucker-shapewear-dia170/8225817/buy</t>
  </si>
  <si>
    <t>Da Intimo</t>
  </si>
  <si>
    <t>da intimo women black tummy tucker shapewear dia170</t>
  </si>
  <si>
    <t>Rs. 249 OFF</t>
  </si>
  <si>
    <t>https://www.myntra.com/briefs/enamor/enamor-women-pack-of-2-hipster-briefs-mr17/2295698/buy</t>
  </si>
  <si>
    <t>enamor women pack of 2 hipster briefs mr17</t>
  </si>
  <si>
    <t>https://www.myntra.com/dresses/herenow/herenow-women-pink-ethnic-print-fit-and-flare-dress/2038144/buy</t>
  </si>
  <si>
    <t>herenow women pink ethnic print fit and flare dress</t>
  </si>
  <si>
    <t>https://www.myntra.com/kurtas/sangria/sangria-women-teal-green--silver-ethnic-print-anarkali-kurta/8349477/buy</t>
  </si>
  <si>
    <t>sangria women teal green  silver ethnic print anarkali kurta</t>
  </si>
  <si>
    <t>https://www.myntra.com/dresses/herenow/herenow-navy-blue--white-floral-printed-off-shoulder-maxi-dress/10197145/buy</t>
  </si>
  <si>
    <t>herenow navy blue  white floral printed off shoulder maxi dress</t>
  </si>
  <si>
    <t>https://www.myntra.com/track-pants/hrx-by-hrithik-roshan/hrx-by-hrithik-roshan-women-navy-melange-solid-regular-fit-running-track-pants/11640588/buy</t>
  </si>
  <si>
    <t>hrx by hrithik roshan women navy melange solid regular fit running track pants</t>
  </si>
  <si>
    <t>https://www.myntra.com/sweaters/roadster/the-roadster-lifestyle-co-women-off-white-solid-pullover-sweater/9478817/buy</t>
  </si>
  <si>
    <t>the roadster lifestyle co women off white solid pullover sweater</t>
  </si>
  <si>
    <t>https://www.myntra.com/jumpsuit/sassafras/sassafras-dusty-pink-solid-basic-jumpsuit/9070121/buy</t>
  </si>
  <si>
    <t>sassafras dusty pink solid basic jumpsuit</t>
  </si>
  <si>
    <t>https://www.myntra.com/tops/scorpius/scorpius-women-pack-of-2-tops/9341283/buy</t>
  </si>
  <si>
    <t>https://www.myntra.com/dresses/marie-claire/marie-claire-women-blue-floral-print-fit--flare-dress/1639356/buy</t>
  </si>
  <si>
    <t>marie claire women blue floral print fit  flare dress</t>
  </si>
  <si>
    <t>https://www.myntra.com/tshirts/roadster/roadster-women-grey-melange-geo-printed-t-shirt/8330967/buy</t>
  </si>
  <si>
    <t>roadster women grey melange geo printed t shirt</t>
  </si>
  <si>
    <t>https://www.myntra.com/tshirts/mast--harbour/mast--harbour-women-green-striped-round-neck-t-shirt/2490937/buy</t>
  </si>
  <si>
    <t>https://www.myntra.com/trousers/roadster/roadster-men-olive-green-solid-mid-rise-casual-chinos-trousers/2363500/buy</t>
  </si>
  <si>
    <t>roadster men olive green solid mid rise casual chinos trousers</t>
  </si>
  <si>
    <t>https://www.myntra.com/jeans/mast--harbour/mast--harbour-men-navy-blue-skinny-fit-mid-rise-clean-look-stretchable-jeans/12983720/buy</t>
  </si>
  <si>
    <t>https://www.myntra.com/jeans/mast--harbour/mast--harbour-men-black-skinny-fit-mid-rise-clean-look-stretchable-jeans/12983738/buy</t>
  </si>
  <si>
    <t>https://www.myntra.com/boxers/urban-dog/urban-dog-men-assorted-printed----pure-cotton-boxers-udbx153/9963247/buy</t>
  </si>
  <si>
    <t>Urban Dog</t>
  </si>
  <si>
    <t>urban dog men assorted printed    pure cotton boxers udbx153</t>
  </si>
  <si>
    <t>https://www.myntra.com/lounge-tshirts/hm/hm-men-black-sustainable-t-shirt-relaxed-fit/11655366/buy</t>
  </si>
  <si>
    <t>hm men black sustainable t shirt relaxed fit</t>
  </si>
  <si>
    <t>https://www.myntra.com/boxers/levis/levis-men-pack-of-2-pure-cotton-checked-boxers/18028876/buy</t>
  </si>
  <si>
    <t>https://www.myntra.com/tshirts/mast--harbour/mast--harbour-men-mustard-brown--black-striped-round-neck-t-shirt/11700110/buy</t>
  </si>
  <si>
    <t>mast  harbour men mustard brown  black striped round neck t shirt</t>
  </si>
  <si>
    <t>https://www.myntra.com/kurtas/inddus/inddus-women-teal-blue--golden-woven-design-a-line-kurta/10370671/buy</t>
  </si>
  <si>
    <t>inddus women teal blue  golden woven design a line kurta</t>
  </si>
  <si>
    <t>https://www.myntra.com/sarees/mitera/mitera-burgundy--gold-toned-art-silk-woven-design-banarasi-saree/10474702/buy</t>
  </si>
  <si>
    <t>mitera burgundy  gold toned art silk woven design banarasi saree</t>
  </si>
  <si>
    <t>https://www.myntra.com/kurta-sets/anubhutee/anubhutee-women-grey--pink-printed-kurta-with-trousers/11531496/buy</t>
  </si>
  <si>
    <t>anubhutee women grey  pink printed kurta with trousers</t>
  </si>
  <si>
    <t>https://www.myntra.com/kurta-sets/yufta/yufta-women-teal-blue--golden-printed-kurta-with-trousers/13883606/buy</t>
  </si>
  <si>
    <t>yufta women teal blue  golden printed kurta with trousers</t>
  </si>
  <si>
    <t>https://www.myntra.com/track-pants/pluss/pluss-women-white--pink-dyed-joggers/12831974/buy</t>
  </si>
  <si>
    <t>pluss women white  pink dyed joggers</t>
  </si>
  <si>
    <t>https://www.myntra.com/skirts/herenow/herenow-black--green-floral-printed-pleated-maxi-flared-skirt/10490160/buy</t>
  </si>
  <si>
    <t>herenow black  green floral printed pleated maxi flared skirt</t>
  </si>
  <si>
    <t>https://www.myntra.com/kurta-sets/sangria/sangria-women-maroon--mustard-yellow-printed-kurta-with-trousers--dupatta/8420261/buy</t>
  </si>
  <si>
    <t>sangria women maroon  mustard yellow printed kurta with trousers  dupatta</t>
  </si>
  <si>
    <t>https://www.myntra.com/track-pants/harvard/harvard-women-black-solid-slim-fit-cropped-joggers-with-side-taping/12374402/buy</t>
  </si>
  <si>
    <t>harvard women black solid slim fit cropped joggers with side taping</t>
  </si>
  <si>
    <t>https://www.myntra.com/tops/scorpius/scorpius-women-pack-of-2-solid-tops/9340725/buy</t>
  </si>
  <si>
    <t>https://www.myntra.com/jumpsuit/dressberry/dressberry-black-solid-culotte-jumpsuit/2330759/buy</t>
  </si>
  <si>
    <t>dressberry black solid culotte jumpsuit</t>
  </si>
  <si>
    <t>https://www.myntra.com/tshirts/besiva/besiva-women-black-solid-v-neck-t-shirt/10237779/buy</t>
  </si>
  <si>
    <t>besiva women black solid v neck t shirt</t>
  </si>
  <si>
    <t>https://www.myntra.com/track-pants/highlander/highlander-men-black--green-solid-slim-fit-track-pants/13899952/buy</t>
  </si>
  <si>
    <t>highlander men black  green solid slim fit track pants</t>
  </si>
  <si>
    <t>https://www.myntra.com/kurtas/bene-kleed/bene-kleed-men-peach-coloured-solid-straight-kurta/9476079/buy</t>
  </si>
  <si>
    <t>bene kleed men peach coloured solid straight kurta</t>
  </si>
  <si>
    <t>https://www.myntra.com/briefs/pepe-jeans/pepe-jeans-men-pack-of-4--solid-briefs/17801294/buy</t>
  </si>
  <si>
    <t>pepe jeans men pack of 4  solid briefs</t>
  </si>
  <si>
    <t>https://www.myntra.com/tshirts/kryptic/kryptic-men-grey-melange--black-checked-polo-pure-cotton-t-shirt/10180691/buy</t>
  </si>
  <si>
    <t>kryptic men grey melange  black checked polo pure cotton t shirt</t>
  </si>
  <si>
    <t>https://www.myntra.com/tshirts/mast--harbour/mast--harbour-men-pink--navy-blue-printed-polo-collar-pure-cotton-t-shirt/11780474/buy</t>
  </si>
  <si>
    <t>mast  harbour men pink  navy blue printed polo collar pure cotton t shirt</t>
  </si>
  <si>
    <t>https://www.myntra.com/shirts/highlander/highlander-men-grey-solid-slim-fit-solid-casual-shirt/10659104/buy</t>
  </si>
  <si>
    <t>highlander men grey solid slim fit solid casual shirt</t>
  </si>
  <si>
    <t>https://www.myntra.com/shirts/highlander/highlander-men-navy-blue-slim-fit-printed-casual-shirt/10341665/buy</t>
  </si>
  <si>
    <t>https://www.myntra.com/shirts/roadster/roadster-men-black--red-checked-pure-cotton-sustainable-casual-shirt/12056224/buy</t>
  </si>
  <si>
    <t>roadster men black  red checked pure cotton sustainable casual shirt</t>
  </si>
  <si>
    <t>https://www.myntra.com/shirts/highlander/highlander-men-blue-slim-fit-faded-denim-casual-shirt/7324874/buy</t>
  </si>
  <si>
    <t>highlander men blue slim fit faded denim casual shirt</t>
  </si>
  <si>
    <t>https://www.myntra.com/tshirts/hypernation/hypernation-white-slim-fit-pure-cotton-t-shirt/1308791/buy</t>
  </si>
  <si>
    <t>hypernation white slim fit pure cotton t shirt</t>
  </si>
  <si>
    <t>https://www.myntra.com/kurtas/herenow/herenow-women-mustard-yellow-solid-straight-kurta/12524790/buy</t>
  </si>
  <si>
    <t>herenow women mustard yellow solid straight kurta</t>
  </si>
  <si>
    <t>https://www.myntra.com/tunics/vishudh/vishudh-womens-white--red-embroidered-tunic/11331964/buy</t>
  </si>
  <si>
    <t>vishudh womens white  red embroidered tunic</t>
  </si>
  <si>
    <t>https://www.myntra.com/kurtas/moda-rapido/moda-rapido-women-mustard-yellow-printed-straight-kurta/1839678/buy</t>
  </si>
  <si>
    <t>moda rapido women mustard yellow printed straight kurta</t>
  </si>
  <si>
    <t>https://www.myntra.com/kurtas/sangria/sangria-women-pink-woven-design-a-line-fusion-kurta/8802667/buy</t>
  </si>
  <si>
    <t>sangria women pink woven design a line fusion kurta</t>
  </si>
  <si>
    <t>https://www.myntra.com/tunics/herenow/herenow-grey-embroidered-asymmetric-hem-tunic/12010832/buy</t>
  </si>
  <si>
    <t>herenow grey embroidered asymmetric hem tunic</t>
  </si>
  <si>
    <t>https://www.myntra.com/kurtas/herenow/herenow-women-lavender-pure-cotton-solid-a-line-kurta/13498312/buy</t>
  </si>
  <si>
    <t>herenow women lavender pure cotton solid a line kurta</t>
  </si>
  <si>
    <t>https://www.myntra.com/tshirts/hrx-by-hrithik-roshan/hrx-by-hrithik-roshan-women-green-printed-bio-wash-yoga-tshirts/11999804/buy</t>
  </si>
  <si>
    <t>hrx by hrithik roshan women green printed bio wash yoga tshirts</t>
  </si>
  <si>
    <t>https://www.myntra.com/tops/tokyo-talkies/tokyo-talkies-women-navy-blue-printed-empire-top/6707873/buy</t>
  </si>
  <si>
    <t>tokyo talkies women navy blue printed empire top</t>
  </si>
  <si>
    <t>https://www.myntra.com/tops/harvard/harvard-women-black--grey-striped-regular-top/10409547/buy</t>
  </si>
  <si>
    <t>harvard women black  grey striped regular top</t>
  </si>
  <si>
    <t>https://www.myntra.com/dresses/sztori/sztori-plus-size-women-navy-blue-solid-midi-a-line-dress/7030643/buy</t>
  </si>
  <si>
    <t>sztori plus size women navy blue solid midi a line dress</t>
  </si>
  <si>
    <t>https://www.myntra.com/tops/scorpius/scorpius-women-pack-of-2-tops/9341507/buy</t>
  </si>
  <si>
    <t>https://www.myntra.com/jumpsuit/dressberry/dressberry-women-tranquil-teal-solid-twist--knotted-jumpsuit/2188947/buy</t>
  </si>
  <si>
    <t>dressberry women tranquil teal solid twist  knotted jumpsuit</t>
  </si>
  <si>
    <t>https://www.myntra.com/tshirts/roadster/roadster-women-white--black-pure-cotton-printed-round-neck-t-shirt/13127032/buy</t>
  </si>
  <si>
    <t>roadster women white  black pure cotton printed round neck t shirt</t>
  </si>
  <si>
    <t>https://www.myntra.com/trousers/invictus/invictus-men-black--blue-slim-fit-checked-formal-trousers/2314239/buy</t>
  </si>
  <si>
    <t>invictus men black  blue slim fit checked formal trousers</t>
  </si>
  <si>
    <t>https://www.myntra.com/track-pants/maniac/maniac-men-navy-blue-solid-joggers/11198090/buy</t>
  </si>
  <si>
    <t>maniac men navy blue solid joggers</t>
  </si>
  <si>
    <t>https://www.myntra.com/tshirts/wrogn/wrogn-men-blue-printed-round-neck-pure-cotton-t-shirt/2001974/buy</t>
  </si>
  <si>
    <t>wrogn men blue printed round neck pure cotton t shirt</t>
  </si>
  <si>
    <t>https://www.myntra.com/kurtas/herenow/herenow-women-maroon--white-printed-straight-kurta/12530344/buy</t>
  </si>
  <si>
    <t>herenow women maroon  white printed straight kurta</t>
  </si>
  <si>
    <t>https://www.myntra.com/kurtas/herenow/herenow-women-blue--white-striped-straight-kurta/12530356/buy</t>
  </si>
  <si>
    <t>herenow women blue  white striped straight kurta</t>
  </si>
  <si>
    <t>https://www.myntra.com/tops/vishudh/vishudh-women-peach-coloured-embroidered-a-line-top/11114230/buy</t>
  </si>
  <si>
    <t>vishudh women peach coloured embroidered a line top</t>
  </si>
  <si>
    <t>https://www.myntra.com/kurtas/vishudh/vishudh-women-navy-blue--silver-toned-printed-straight-kurta/5617751/buy</t>
  </si>
  <si>
    <t>vishudh women navy blue  silver toned printed straight kurta</t>
  </si>
  <si>
    <t>https://www.myntra.com/kurta-sets/yuris/yuris-blue--red-printed-kurta-with-palazzo--dupatta/13221602/buy</t>
  </si>
  <si>
    <t>yuris blue  red printed kurta with palazzo  dupatta</t>
  </si>
  <si>
    <t>https://www.myntra.com/night-suits/etc/etc-women-green--white-floral-print-night-suit/12441822/buy</t>
  </si>
  <si>
    <t>etc women green  white floral print night suit</t>
  </si>
  <si>
    <t>https://www.myntra.com/bra/fashionrack/fashionrack-beige-non-wired-lightly-padded-bandeau-bra-1950/9920479/buy</t>
  </si>
  <si>
    <t>fashionrack beige non wired lightly padded bandeau bra 1950</t>
  </si>
  <si>
    <t>https://www.myntra.com/kurta-sets/sangria/sangria-women-mustard-yellow--red-pure-cotton-printed-kurta-with-palazzos--dupatta/13437280/buy</t>
  </si>
  <si>
    <t>sangria women mustard yellow  red pure cotton printed kurta with palazzos  dupatta</t>
  </si>
  <si>
    <t>https://www.myntra.com/tshirts/dillinger/dillinger-women-blue-printed-round-neck-pure-cotton-t-shirt/10426068/buy</t>
  </si>
  <si>
    <t>dillinger women blue printed round neck pure cotton t shirt</t>
  </si>
  <si>
    <t>https://www.myntra.com/trousers/sassafras/sassafras-women-pink--mustard-yellow-printed-parallel-trousers/10308603/buy</t>
  </si>
  <si>
    <t>sassafras women pink  mustard yellow printed parallel trousers</t>
  </si>
  <si>
    <t>https://www.myntra.com/track-pants/mast--harbour/mast--harbour-women-olive-green-solid-track-pants/12332492/buy</t>
  </si>
  <si>
    <t>mast  harbour women olive green solid track pants</t>
  </si>
  <si>
    <t>Rs. 1200 OFF</t>
  </si>
  <si>
    <t>https://www.myntra.com/trousers/vishudh/vishudh-women-burgundy--green-tapered-fit-striped-cigarette-trousers/13661758/buy</t>
  </si>
  <si>
    <t>vishudh women burgundy  green tapered fit striped cigarette trousers</t>
  </si>
  <si>
    <t>https://www.myntra.com/tops/tokyo-talkies/tokyo-talkies-women-olive-green-solid-a-line-top/8195041/buy</t>
  </si>
  <si>
    <t>tokyo talkies women olive green solid a line top</t>
  </si>
  <si>
    <t>https://www.myntra.com/jeans/roadster/roadster-men-blue-skinny-fit-stretchable-jeans/14637930/buy</t>
  </si>
  <si>
    <t>roadster men blue skinny fit stretchable jeans</t>
  </si>
  <si>
    <t>https://www.myntra.com/trousers/highlander/highlander-men-green-tapered-fit-solid-regular-trousers/13266540/buy</t>
  </si>
  <si>
    <t>highlander men green tapered fit solid regular trousers</t>
  </si>
  <si>
    <t>https://www.myntra.com/track-pants/maniac/maniac-men-black-solid-slim-fit-joggers/9436575/buy</t>
  </si>
  <si>
    <t>https://www.myntra.com/lounge-pants/us-polo-assn/us-polo-assn-men-blue-checked-lounge-pants-i659-bn0-ch/10861808/buy</t>
  </si>
  <si>
    <t>us polo assn men blue checked lounge pants i659 bn0 ch</t>
  </si>
  <si>
    <t>https://www.myntra.com/shirts/roadster/roadster-men-olive-green--red-regular-fit-checked-casual-sustainable-shirt/12056232/buy</t>
  </si>
  <si>
    <t>roadster men olive green  red regular fit checked casual sustainable shirt</t>
  </si>
  <si>
    <t>https://www.myntra.com/shirts/english-navy/english-navy-men-mauve-slim-fit-solid-formal-shirt/8571067/buy</t>
  </si>
  <si>
    <t>english navy men mauve slim fit solid formal shirt</t>
  </si>
  <si>
    <t>https://www.myntra.com/trousers/tokyo-talkies/tokyo-talkies-women-beige--off-white-regular-fit-striped-regular-trousers/11977322/buy</t>
  </si>
  <si>
    <t>tokyo talkies women beige  off white regular fit striped regular trousers</t>
  </si>
  <si>
    <t>https://www.myntra.com/tshirts/roadster/roadster-women-pack-of-2-solid-pure-cotton-t-shirts/17383934/buy</t>
  </si>
  <si>
    <t>https://www.myntra.com/tops/dressberry/dressberry-women-black-solid-empire-top/2521911/buy</t>
  </si>
  <si>
    <t>dressberry women black solid empire top</t>
  </si>
  <si>
    <t>https://www.myntra.com/trousers/jaipur-attire/jaipur-attire-women-white-pleated-cigarette-trousers/15204104/buy</t>
  </si>
  <si>
    <t>JAIPUR ATTIRE</t>
  </si>
  <si>
    <t>jaipur attire women white pleated cigarette trousers</t>
  </si>
  <si>
    <t>https://www.myntra.com/shirts/mast--harbour/mast--harbour-women-off-white-regular-fit-printed-casual-shirt/8352839/buy</t>
  </si>
  <si>
    <t>mast  harbour women off white regular fit printed casual shirt</t>
  </si>
  <si>
    <t>https://www.myntra.com/jeans/roadster/the-roadster-lifestyle-co-women-blue-super-skinny-fit-mid-rise-clean-look-stretchable-jeans/11132224/buy</t>
  </si>
  <si>
    <t>the roadster lifestyle co women blue super skinny fit mid rise clean look stretchable jeans</t>
  </si>
  <si>
    <t>https://www.myntra.com/jeans/campus-sutra/campus-sutra-men-blue-slim-fit-mid-rise-clean-look-jeans/11793372/buy</t>
  </si>
  <si>
    <t>campus sutra men blue slim fit mid rise clean look jeans</t>
  </si>
  <si>
    <t>https://www.myntra.com/jeans/roadster/the-roadster-lifestyle-co-men-blue-skinny-fit-mid-rise-clean-look-stretchable-acid-wash-jeans/8962421/buy</t>
  </si>
  <si>
    <t>the roadster lifestyle co men blue skinny fit mid rise clean look stretchable acid wash jeans</t>
  </si>
  <si>
    <t>https://www.myntra.com/jeans/harvard/harvard-men-black-regular-fit-mid-rise-mildly-distressed-stretchable-jeans/12771392/buy</t>
  </si>
  <si>
    <t>harvard men black regular fit mid rise mildly distressed stretchable jeans</t>
  </si>
  <si>
    <t>https://www.myntra.com/trousers/highlander/highlander-men-green-slim-fit-solid-regular-trousers/13188736/buy</t>
  </si>
  <si>
    <t>highlander men green slim fit solid regular trousers</t>
  </si>
  <si>
    <t>https://www.myntra.com/kurtas/house-of-pataudi/house-of-pataudi-men-olive-green-solid-straight-kurta/9973939/buy</t>
  </si>
  <si>
    <t>house of pataudi men olive green solid straight kurta</t>
  </si>
  <si>
    <t>https://www.myntra.com/shirts/roadster/roadster-men-teal-blue--red-regular-fit-checked-casual-shirt/11326766/buy</t>
  </si>
  <si>
    <t>roadster men teal blue  red regular fit checked casual shirt</t>
  </si>
  <si>
    <t>https://www.myntra.com/shirts/roadster/roadster-men-teal-blue--black-regular-fit-checked-sustainable-casual-shirt/11326992/buy</t>
  </si>
  <si>
    <t>roadster men teal blue  black regular fit checked sustainable casual shirt</t>
  </si>
  <si>
    <t>https://www.myntra.com/tshirts/mast--harbour/mast--harbour-men-white-striped-detail-round-neck-t-shirt/11896612/buy</t>
  </si>
  <si>
    <t>mast  harbour men white striped detail round neck t shirt</t>
  </si>
  <si>
    <t>https://www.myntra.com/sarees/sangria/sangria-black-organza-printed-saree/13833200/buy</t>
  </si>
  <si>
    <t>sangria black organza printed saree</t>
  </si>
  <si>
    <t>https://www.myntra.com/sarees/inddus/inddus-burgundy-solid-ruffle-saree/7079948/buy</t>
  </si>
  <si>
    <t>inddus burgundy solid ruffle saree</t>
  </si>
  <si>
    <t>https://www.myntra.com/kurtas/sangria/sangria-women-green--rust-red-floral-print-straight-kurta/13994486/buy</t>
  </si>
  <si>
    <t>sangria women green  rust red floral print straight kurta</t>
  </si>
  <si>
    <t>https://www.myntra.com/kurtas/herenow/herenow-women-white--red-ethnic-motifs-printed-floral-kurta/14172592/buy</t>
  </si>
  <si>
    <t>herenow women white  red ethnic motifs printed floral kurta</t>
  </si>
  <si>
    <t>https://www.myntra.com/kurta-sets/sangria/sangria-women-off-white--golden-printed-kurta-with-palazzos--dupatta/8349143/buy</t>
  </si>
  <si>
    <t>sangria women off white  golden printed kurta with palazzos  dupatta</t>
  </si>
  <si>
    <t>https://www.myntra.com/tops/tokyo-talkies/tokyo-talkies-women-black--white-solid-crop-top/12340612/buy</t>
  </si>
  <si>
    <t>tokyo talkies women black  white solid crop top</t>
  </si>
  <si>
    <t>https://www.myntra.com/shirts/roadster/roadster-women-navy-blue--red-boxy-checked-casual-shirt/10962020/buy</t>
  </si>
  <si>
    <t>roadster women navy blue  red boxy checked casual shirt</t>
  </si>
  <si>
    <t>https://www.myntra.com/dresses/athena/athena-teal-sheath-dress/13584062/buy</t>
  </si>
  <si>
    <t>athena teal sheath dress</t>
  </si>
  <si>
    <t>https://www.myntra.com/skirts/zivame/zivame-beige-straight-layering-skirt/12434920/buy</t>
  </si>
  <si>
    <t>zivame beige straight layering skirt</t>
  </si>
  <si>
    <t>https://www.myntra.com/track-pants/highlander/highlander-men-black-solid-slim-fit-track-pants/13858430/buy</t>
  </si>
  <si>
    <t>https://www.myntra.com/jeans/wrogn/wrogn-men-blue-jogger-fit-mid-rise-clean-look-stretchable-jeans/8676109/buy</t>
  </si>
  <si>
    <t>wrogn men blue jogger fit mid rise clean look stretchable jeans</t>
  </si>
  <si>
    <t>https://www.myntra.com/trousers/roadster/roadster-men-grey-slim-fit-printed-joggers/2145326/buy</t>
  </si>
  <si>
    <t>roadster men grey slim fit printed joggers</t>
  </si>
  <si>
    <t>https://www.myntra.com/trunk/jockey/jockey-men-grey-melange-solid-trunks-us20-0105/11863564/buy</t>
  </si>
  <si>
    <t>jockey men grey melange solid trunks us20 0105</t>
  </si>
  <si>
    <t>https://www.myntra.com/tshirts/wrogn-active/wrogn-active-men-black-self-design-round-neck-t-shirt/11551938/buy</t>
  </si>
  <si>
    <t>wrogn active men black self design round neck t shirt</t>
  </si>
  <si>
    <t>https://www.myntra.com/shirts/roadster/roadster-men-white--black-regular-fit-abstract-printed-casual-sustainable-shirt/10944542/buy</t>
  </si>
  <si>
    <t>roadster men white  black regular fit abstract printed casual sustainable shirt</t>
  </si>
  <si>
    <t>https://www.myntra.com/shirts/wrogn/wrogn-men-navy-blue--grey-slim-fit-checked-casual-shirt/10187639/buy</t>
  </si>
  <si>
    <t>wrogn men navy blue  grey slim fit checked casual shirt</t>
  </si>
  <si>
    <t>https://www.myntra.com/tshirts/wrogn/wrogn-men-blue-solid-round-neck-t-shirt/11363862/buy</t>
  </si>
  <si>
    <t>wrogn men blue solid round neck t shirt</t>
  </si>
  <si>
    <t>https://www.myntra.com/palazzos/vishudh/vishudh-women-navy-blue-checked-straight-palazzos/10074615/buy</t>
  </si>
  <si>
    <t>vishudh women navy blue checked straight palazzos</t>
  </si>
  <si>
    <t>https://www.myntra.com/kurtis/anouk/anouk-navy-blue-printed-kurti/7764105/buy</t>
  </si>
  <si>
    <t>anouk navy blue printed kurti</t>
  </si>
  <si>
    <t>https://www.myntra.com/bra/rosaline-by-zivame/rosaline-by-zivame-navy-blue-everyday-bra---full-coverage/10167087/buy</t>
  </si>
  <si>
    <t>rosaline by zivame navy blue everyday bra   full coverage</t>
  </si>
  <si>
    <t>https://www.myntra.com/jeggings/amydus/amydus-women-white--blue-camouflage-printed-tummy-shaper-treggings/12468766/buy</t>
  </si>
  <si>
    <t>Amydus</t>
  </si>
  <si>
    <t>amydus women white  blue camouflage printed tummy shaper treggings</t>
  </si>
  <si>
    <t>38, 40, 42, 44, 46, 48, 49</t>
  </si>
  <si>
    <t>https://www.myntra.com/jeans/mast--harbour/mast--harbour-women-grey-skinny-fit-mid-rise-clean-look-stretchable-cropped-jeans/11255840/buy</t>
  </si>
  <si>
    <t>mast  harbour women grey skinny fit mid rise clean look stretchable cropped jeans</t>
  </si>
  <si>
    <t>https://www.myntra.com/trousers/tokyo-talkies/tokyo-talkies-women-brown-flared-solid-regular-trousers/12111112/buy</t>
  </si>
  <si>
    <t>tokyo talkies women brown flared solid regular trousers</t>
  </si>
  <si>
    <t>https://www.myntra.com/tshirts/roadster/the-roadster-lifestyle-co-women-navy-blue-pure-cotton-printed-boxy-fit-round-neck-crop-t-shirt/13270060/buy</t>
  </si>
  <si>
    <t>the roadster lifestyle co women navy blue pure cotton printed boxy fit round neck crop t shirt</t>
  </si>
  <si>
    <t>https://www.myntra.com/jeans/wrogn/wrogn-men-black-skinny-fit-mid-rise-clean-look-stretchable-jeans/8673339/buy</t>
  </si>
  <si>
    <t>https://www.myntra.com/jeans/roadster/roadster-men-blue-skinny-fit-mid-rise-clean-look-stretchable-jeans/12358244/buy</t>
  </si>
  <si>
    <t>https://www.myntra.com/kurtas/jompers/jompers-men-maroon-woven-design-straight-kurta/10208613/buy</t>
  </si>
  <si>
    <t>jompers men maroon woven design straight kurta</t>
  </si>
  <si>
    <t>https://www.myntra.com/tshirts/wrogn/wrogn-men-navy-blue-slim-fit-printed-round-neck-pure-cotton-t-shirt/10188639/buy</t>
  </si>
  <si>
    <t>wrogn men navy blue slim fit printed round neck pure cotton t shirt</t>
  </si>
  <si>
    <t>https://www.myntra.com/tshirts/portblair/portblair-men-white-embroidered-detail-polo-collar-t-shirt/11984734/buy</t>
  </si>
  <si>
    <t>PORTBLAIR</t>
  </si>
  <si>
    <t>portblair men white embroidered detail polo collar t shirt</t>
  </si>
  <si>
    <t>https://www.myntra.com/shirts/roadster/roadster-men-burgundy--grey-regular-fit-checked-sustainable-casual-shirt/12056188/buy</t>
  </si>
  <si>
    <t>roadster men burgundy  grey regular fit checked sustainable casual shirt</t>
  </si>
  <si>
    <t>https://www.myntra.com/sarees/saree-mall/saree-mall-ethnic-motifs-linen-blend-saree-with-woven-design-border/14192620/buy</t>
  </si>
  <si>
    <t>saree mall ethnic motifs linen blend saree with woven design border</t>
  </si>
  <si>
    <t>https://www.myntra.com/kurta-sets/libas/libas-women-white-printed-kurti-with-sharara--dupatta/14046632/buy</t>
  </si>
  <si>
    <t>libas women white printed kurti with sharara  dupatta</t>
  </si>
  <si>
    <t>https://www.myntra.com/kurta-sets/yuris/yuris-women-taupe--rust-printed-kurta-with-palazzos--dupatta/13027860/buy</t>
  </si>
  <si>
    <t>yuris women taupe  rust printed kurta with palazzos  dupatta</t>
  </si>
  <si>
    <t>https://www.myntra.com/bra/sztori/sztori-plus-size-grey-melange-solid-non-wired-non-padded-everyday-bra-sz-bra-708f/10304989/buy</t>
  </si>
  <si>
    <t>sztori plus size grey melange solid non wired non padded everyday bra sz bra 708f</t>
  </si>
  <si>
    <t>https://www.myntra.com/bra/floret/floret-pack-of-2-solid-non-wired-heavily-padded-push-up-bra-t3010nude-black40b/2486223/buy</t>
  </si>
  <si>
    <t>floret pack of 2 solid non wired heavily padded push up bra t3010nude black40b</t>
  </si>
  <si>
    <t>https://www.myntra.com/bra/zivame/zivame-brown-solid-underwired-lightly-padded-everyday-bra-zi1295fash0nude/7557260/buy</t>
  </si>
  <si>
    <t>zivame brown solid underwired lightly padded everyday bra zi1295fash0nude</t>
  </si>
  <si>
    <t>32E, 34DD, 34E, 34F, 36D, 36DD, 36E, 36F, 38D, 38DD, 38E, 40C, 40D, 40DD, 40E</t>
  </si>
  <si>
    <t>https://www.myntra.com/jeans/moda-rapido/moda-rapido-women-black-bootcut-mid-rise-clean-look-stretchable-jeans/13103862/buy</t>
  </si>
  <si>
    <t>moda rapido women black bootcut mid rise clean look stretchable jeans</t>
  </si>
  <si>
    <t>https://www.myntra.com/jeggings/roadster/roadster-women-blue-solid-mid-rise-skinny-fit-denim-jeggings/10967568/buy</t>
  </si>
  <si>
    <t>roadster women blue solid mid rise skinny fit denim jeggings</t>
  </si>
  <si>
    <t>https://www.myntra.com/trousers/sassafras/sassafras-women-lavender-twill-weave-tapered-fit-high-rise-pure-cotton-trousers/12222042/buy</t>
  </si>
  <si>
    <t>sassafras women lavender twill weave tapered fit high rise pure cotton trousers</t>
  </si>
  <si>
    <t>https://www.myntra.com/jumpsuit/tokyo-talkies/tokyo-talkies-women-green-solid-jumpsuit/14025478/buy</t>
  </si>
  <si>
    <t>tokyo talkies women green solid jumpsuit</t>
  </si>
  <si>
    <t>https://www.myntra.com/tshirts/roadster/roadster-women-blue-solid-round-neck-pure-cotton-t-shirt-with-embroidery/13322066/buy</t>
  </si>
  <si>
    <t>roadster women blue solid round neck pure cotton t shirt with embroidery</t>
  </si>
  <si>
    <t>https://www.myntra.com/trousers/invictus/invictus-men-black-slim-fit-flat-front-trousers/1570773/buy</t>
  </si>
  <si>
    <t>invictus men black slim fit flat front trousers</t>
  </si>
  <si>
    <t>https://www.myntra.com/jeans/highlander/highlander-men-grey-slim-fit-mid-rise-clean-look-stretchable-crop-jeans/11093680/buy</t>
  </si>
  <si>
    <t>highlander men grey slim fit mid rise clean look stretchable crop jeans</t>
  </si>
  <si>
    <t>https://www.myntra.com/jeans/highlander/highlander-men-blue-slim-fit-mid-rise-clean-look-stretchable-jeans/3077233/buy</t>
  </si>
  <si>
    <t>https://www.myntra.com/jeans/roadster/roadster-men-blue-skinny-fit-mid-rise-clean-look-stretchable-jeans/10764372/buy</t>
  </si>
  <si>
    <t>https://www.myntra.com/shorts/roadster/roadster-men-teal-blue-solid-regular-fit-chino-shorts/11160634/buy</t>
  </si>
  <si>
    <t>roadster men teal blue solid regular fit chino shorts</t>
  </si>
  <si>
    <t>https://www.myntra.com/kurtas/sojanya/sojanya-men-pink-dobby-self-checked-straight-kurta/11422648/buy</t>
  </si>
  <si>
    <t>sojanya men pink dobby self checked straight kurta</t>
  </si>
  <si>
    <t>https://www.myntra.com/kurta-sets/anouk/anouk-men-navy--black-solid-layered-kurta-with-dhoti-pants/9367405/buy</t>
  </si>
  <si>
    <t>anouk men navy  black solid layered kurta with dhoti pants</t>
  </si>
  <si>
    <t>https://www.myntra.com/tshirts/nike/nike-men-black-solid-nsw-ce-matchup-polo-collar-t-shirt/11290262/buy</t>
  </si>
  <si>
    <t>nike men black solid nsw ce matchup polo collar t shirt</t>
  </si>
  <si>
    <t>https://www.myntra.com/tshirts/wrogn/wrogn-men-pink--beige-printed-slim-fit-round-neck-pure-cotton-t-shirt/12423650/buy</t>
  </si>
  <si>
    <t>wrogn men pink  beige printed slim fit round neck pure cotton t shirt</t>
  </si>
  <si>
    <t>https://www.myntra.com/shirts/highlander/highlander-men-black--grey-slim-fit-checked-casual-shirt/9930089/buy</t>
  </si>
  <si>
    <t>highlander men black  grey slim fit checked casual shirt</t>
  </si>
  <si>
    <t>https://www.myntra.com/tshirts/jack--jones/jack--jones-core-men-red-slim-fit-cotton-pure-cotton-t-shirt/11368346/buy</t>
  </si>
  <si>
    <t>jack  jones core men red slim fit cotton pure cotton t shirt</t>
  </si>
  <si>
    <t>https://www.myntra.com/dress-material/saree-mall/saree-mall-olive-green-solid-semi-stitched-dress-material/8387601/buy</t>
  </si>
  <si>
    <t>dress-material</t>
  </si>
  <si>
    <t>saree mall olive green solid semi stitched dress material</t>
  </si>
  <si>
    <t>https://www.myntra.com/kurta-sets/varanga/varanga-women-sea-green--gold-toned-embroidered-kurta-with-trousers--dupatta/13647632/buy</t>
  </si>
  <si>
    <t>varanga women sea green  gold toned embroidered kurta with trousers  dupatta</t>
  </si>
  <si>
    <t>https://www.myntra.com/bra/clovia/clovia-cotton-non-padded-wirefree-bra-with-demi-cups---green/1519495/buy</t>
  </si>
  <si>
    <t>clovia cotton non padded wirefree bra with demi cups   green</t>
  </si>
  <si>
    <t>https://www.myntra.com/tops/herenow/herenow-blue--off-white-lightweight-high-slit-longline-shirt-style-top/2061328/buy</t>
  </si>
  <si>
    <t>herenow blue  off white lightweight high slit longline shirt style top</t>
  </si>
  <si>
    <t>https://www.myntra.com/jeans/herenow/herenow-women-pink-skinny-fit-high-rise-clean-look-stretchable-jeans/12022794/buy</t>
  </si>
  <si>
    <t>herenow women pink skinny fit high rise clean look stretchable jeans</t>
  </si>
  <si>
    <t>https://www.myntra.com/tops/roadster/roadster-women-black-ribbed-pure-cotton-top/11401678/buy</t>
  </si>
  <si>
    <t>https://www.myntra.com/tops/scorpius/scorpius-women-pack-of-2-solid-tops/9340569/buy</t>
  </si>
  <si>
    <t>https://www.myntra.com/track-pants/hrx-by-hrithik-roshan/hrx-by-hrithik-roshan-women-navy-solid-34th-length-yoga-track-pants/8905311/buy</t>
  </si>
  <si>
    <t>hrx by hrithik roshan women navy solid 34th length yoga track pants</t>
  </si>
  <si>
    <t>https://www.myntra.com/dresses/just-wow/just-wow-green-self-design-fit-and-flare-dress/12094938/buy</t>
  </si>
  <si>
    <t>Just Wow</t>
  </si>
  <si>
    <t>just wow green self design fit and flare dress</t>
  </si>
  <si>
    <t>https://www.myntra.com/tshirts/roadster/roadster-women-rust-red-solid-round-neck-t-shirt/11296048/buy</t>
  </si>
  <si>
    <t>roadster women rust red solid round neck t shirt</t>
  </si>
  <si>
    <t>https://www.myntra.com/jeans/harvard/harvard-men-blue-jogger-mid-rise-clean-look-stretchable-jeans/13292114/buy</t>
  </si>
  <si>
    <t>harvard men blue jogger mid rise clean look stretchable jeans</t>
  </si>
  <si>
    <t>https://www.myntra.com/jeans/roadster/roadster-men-navy-blue-low-distress-light-fade-stretchable-jeans/13249794/buy</t>
  </si>
  <si>
    <t>roadster men navy blue low distress light fade stretchable jeans</t>
  </si>
  <si>
    <t>https://www.myntra.com/jeans/roadster/roadster-men-navy-blue-slim-fit-mid-rise-clean-look-stretchable-jeans/10064521/buy</t>
  </si>
  <si>
    <t>https://www.myntra.com/jeans/roadster/the-roadster-lifestyle-co-men-blue-skinny-fit-mid-rise-clean-look-stretchable-jeans/10092067/buy</t>
  </si>
  <si>
    <t>https://www.myntra.com/trunk/one8-by-virat-kohli/one8-by-virat-kohli-men-navy-solid-trunks-206bx/10513044/buy</t>
  </si>
  <si>
    <t>one8 by virat kohli men navy solid trunks 206bx</t>
  </si>
  <si>
    <t>Rs. 9 OFF</t>
  </si>
  <si>
    <t>https://www.myntra.com/tshirts/highlander/highlander-men-black-checked-polo-collar-t-shirt/10144529/buy</t>
  </si>
  <si>
    <t>highlander men black checked polo collar t shirt</t>
  </si>
  <si>
    <t>https://www.myntra.com/shirts/locomotive/locomotive-men-blue--coral-pink-slim-fit-striped-casual-shirt/13840392/buy</t>
  </si>
  <si>
    <t>locomotive men blue  coral pink slim fit striped casual shirt</t>
  </si>
  <si>
    <t>https://www.myntra.com/sarees/inddus/inddus-magenta-solid-poly-georgette-saree/10986232/buy</t>
  </si>
  <si>
    <t>inddus magenta solid poly georgette saree</t>
  </si>
  <si>
    <t>https://www.myntra.com/kurta-sets/anouk/anouk-women-pink-ethnic-motifs-embroidered-kurta-with-trousers--with-dupatta/14224108/buy</t>
  </si>
  <si>
    <t>anouk women pink ethnic motifs embroidered kurta with trousers  with dupatta</t>
  </si>
  <si>
    <t>https://www.myntra.com/bra/prettysecrets/prettysecrets-maroon-solid-non-wired-lightly-padded-plunge-bra-b0005/1910056/buy</t>
  </si>
  <si>
    <t>PrettySecrets</t>
  </si>
  <si>
    <t>prettysecrets maroon solid non wired lightly padded plunge bra b0005</t>
  </si>
  <si>
    <t>https://www.myntra.com/tops/dressberry/dressberry-red--blue-embroidered-a-line-top/11005624/buy</t>
  </si>
  <si>
    <t>dressberry red  blue embroidered a line top</t>
  </si>
  <si>
    <t>https://www.myntra.com/dresses/mast--harbour/mast--harbour-women-maroon-printed-a-line-dress/2308193/buy</t>
  </si>
  <si>
    <t>mast  harbour women maroon printed a line dress</t>
  </si>
  <si>
    <t>https://www.myntra.com/tops/scorpius/scorpious-women-pack-of-shrug--top/9338345/buy</t>
  </si>
  <si>
    <t>https://www.myntra.com/tops/antheaa/antheaa-lavender-accordion-pleat-a-line-top/11537354/buy</t>
  </si>
  <si>
    <t>antheaa lavender accordion pleat a line top</t>
  </si>
  <si>
    <t>https://www.myntra.com/tshirts/mast--harbour/mast--harbour-women-white--blue-striped-round-neck-t-shirt/12204780/buy</t>
  </si>
  <si>
    <t>mast  harbour women white  blue striped round neck t shirt</t>
  </si>
  <si>
    <t>https://www.myntra.com/tshirts/roadster/roadster-women-teal-blue-solid-round-neck-t-shirt/8342011/buy</t>
  </si>
  <si>
    <t>roadster women teal blue solid round neck t shirt</t>
  </si>
  <si>
    <t>https://www.myntra.com/tshirts/roadster/roadster-women-mustard-yellow-solid-round-neck-t-shirt/11296162/buy</t>
  </si>
  <si>
    <t>https://www.myntra.com/tshirts/roadster/roadster-women-black-solid-round-neck-t-shirt/11296128/buy</t>
  </si>
  <si>
    <t>https://www.myntra.com/tshirts/roadster/roadster-women-dusty-pink--maroon-pack-of-2-typography-print-regular-fit-t-shirts/17383262/buy</t>
  </si>
  <si>
    <t>roadster women dusty pink  maroon pack of 2 typography print regular fit t shirts</t>
  </si>
  <si>
    <t>https://www.myntra.com/jeans/roadster/roadster-greenturn-men-blue-skinny-fit-mid-rise-clean-look-save-water-stretchable-sustainable-jeans/11274452/buy</t>
  </si>
  <si>
    <t>https://www.myntra.com/shirts/invictus/invictus-white-printed-slim-fit-formal-shirt/1086723/buy</t>
  </si>
  <si>
    <t>invictus white printed slim fit formal shirt</t>
  </si>
  <si>
    <t>https://www.myntra.com/tshirts/kook-n-keech-marvel/kook-n-keech-marvel-women-white--blue-captain-america-printed-round-neck-pure-cotton-t-shirt/10926752/buy</t>
  </si>
  <si>
    <t>kook n keech marvel women white  blue captain america printed round neck pure cotton t shirt</t>
  </si>
  <si>
    <t>https://www.myntra.com/tshirts/roadster/roadster-women-pack-of-2-pure-cotton-drop-shoulder-sleeves-t-shirts/17381630/buy</t>
  </si>
  <si>
    <t>roadster women pack of 2 pure cotton drop shoulder sleeves t shirts</t>
  </si>
  <si>
    <t>https://www.myntra.com/tshirts/roadster/the-roadster-lifestyle-co-women-mustard-yellow-solid-longline-t-shirt/13270222/buy</t>
  </si>
  <si>
    <t>the roadster lifestyle co women mustard yellow solid longline t shirt</t>
  </si>
  <si>
    <t xml:space="preserve"> 40 % OFF</t>
  </si>
  <si>
    <t>https://www.myntra.com/dresses/harvard/harvard-women-pink-anti-microbial-solid-t-shirt-dress/12151964/buy</t>
  </si>
  <si>
    <t>harvard women pink anti microbial solid t shirt dress</t>
  </si>
  <si>
    <t>https://www.myntra.com/track-pants/kook-n-keech/kook-n-keech-men-navy-solid-joggers/4446330/buy</t>
  </si>
  <si>
    <t>kook n keech men navy solid joggers</t>
  </si>
  <si>
    <t>https://www.myntra.com/track-pants/highlander/highlander-men-olive-green-solid-slim-fit-track-pants/14441202/buy</t>
  </si>
  <si>
    <t>highlander men olive green solid slim fit track pants</t>
  </si>
  <si>
    <t>https://www.myntra.com/tshirts/mast--harbour/mast--harbour-men-peach-coloured-solid-polo-collar-t-shirt/8826215/buy</t>
  </si>
  <si>
    <t>mast  harbour men peach coloured solid polo collar t shirt</t>
  </si>
  <si>
    <t>https://www.myntra.com/shirts/locomotive/locomotive-men-navy-blue-slim-fit-solid-casual-shirt/10143661/buy</t>
  </si>
  <si>
    <t>locomotive men navy blue slim fit solid casual shirt</t>
  </si>
  <si>
    <t>https://www.myntra.com/shirts/wrogn/wrogn-men-navy-slim-fit-printed-casual-shirt/1700781/buy</t>
  </si>
  <si>
    <t>https://www.myntra.com/dresses/ahalyaa/ahalyaa-grey--pink-floral-printed-layered-maxi-dress/10200203/buy</t>
  </si>
  <si>
    <t>ahalyaa grey  pink floral printed layered maxi dress</t>
  </si>
  <si>
    <t>https://www.myntra.com/kurtas/max/max-women-navy-blue-ethnic-motifs-printed-thread-work-kurta/15119228/buy</t>
  </si>
  <si>
    <t>max women navy blue ethnic motifs printed thread work kurta</t>
  </si>
  <si>
    <t>https://www.myntra.com/tops/veni-vidi-vici/veni-vidi-vici-women-black-solid-crop-top/10054519/buy</t>
  </si>
  <si>
    <t>veni vidi vici women black solid crop top</t>
  </si>
  <si>
    <t>https://www.myntra.com/dresses/tokyo-talkies/tokyo-talkies-women-blue-denim-pinafore-dress/10932034/buy</t>
  </si>
  <si>
    <t>tokyo talkies women blue denim pinafore dress</t>
  </si>
  <si>
    <t>https://www.myntra.com/jeans/chemistry/chemistry-women-black-flared-mid-rise-clean-look-jeans/10867938/buy</t>
  </si>
  <si>
    <t>chemistry women black flared mid rise clean look jeans</t>
  </si>
  <si>
    <t>https://www.myntra.com/jackets/tokyo-talkies/tokyo-talkies-women-blue-solid-denim-jacket/10742380/buy</t>
  </si>
  <si>
    <t>https://www.myntra.com/tshirts/roadster/roadster-women-white-v-neck-t-shirt/1866532/buy</t>
  </si>
  <si>
    <t>roadster women white v neck t shirt</t>
  </si>
  <si>
    <t>https://www.myntra.com/tops/tokyo-talkies/tokyo-talkies-women-teal-floral-printed-a-line-top/10025137/buy</t>
  </si>
  <si>
    <t>tokyo talkies women teal floral printed a line top</t>
  </si>
  <si>
    <t>https://www.myntra.com/tshirts/roadster/roadster-women-pack-of-2-pure-cotton-t-shirts/17382166/buy</t>
  </si>
  <si>
    <t>https://www.myntra.com/jeans/roadster/roadster-men-blue-skinny-fit-mid-rise-clean-look-stretchable-jeans/11274538/buy</t>
  </si>
  <si>
    <t>https://www.myntra.com/trousers/highlander/highlander-men-grey-slim-fit-solid-joggers/5387862/buy</t>
  </si>
  <si>
    <t>highlander men grey slim fit solid joggers</t>
  </si>
  <si>
    <t>https://www.myntra.com/lounge-tshirts/us-polo-assn/us-polo-assn-men-white--navy-blue-printed-athleisure-t-shirt/9168531/buy</t>
  </si>
  <si>
    <t>us polo assn men white  navy blue printed athleisure t shirt</t>
  </si>
  <si>
    <t>https://www.myntra.com/lounge-tshirts/us-polo-assn/us-polo-assn-men-white--navy-blue-printed-athleisure-t-shirt/11785978/buy</t>
  </si>
  <si>
    <t>https://www.myntra.com/tshirts/justice-league/justice-league-men-blue-printed-round-neck-t-shirt/5634534/buy</t>
  </si>
  <si>
    <t>justice league men blue printed round neck t shirt</t>
  </si>
  <si>
    <t>https://www.myntra.com/shirts/roadster/roadster-men-green-regular-fit-solid-sustainable-casual-shirt/12919564/buy</t>
  </si>
  <si>
    <t>roadster men green regular fit solid sustainable casual shirt</t>
  </si>
  <si>
    <t>https://www.myntra.com/sweatshirts/campus-sutra/campus-sutra-men-navy-blue-solid-hooded-sweatshirt/10605186/buy</t>
  </si>
  <si>
    <t>https://www.myntra.com/shirts/wrogn/wrogn-men-blue-slim-fit-solid-casual-shirt/2338548/buy</t>
  </si>
  <si>
    <t>wrogn men blue slim fit solid casual shirt</t>
  </si>
  <si>
    <t>https://www.myntra.com/tshirts/hm/hm-men-white-solid-2-pack-vest-tops-regular-fit/12696206/buy</t>
  </si>
  <si>
    <t>hm men white solid 2 pack vest tops regular fit</t>
  </si>
  <si>
    <t>https://www.myntra.com/kurta-sets/anouk/anouk-women-white-ethnic-motifs-embroidered-panelled-pure-cotton-kurta-with-trousers/13237918/buy</t>
  </si>
  <si>
    <t>anouk women white ethnic motifs embroidered panelled pure cotton kurta with trousers</t>
  </si>
  <si>
    <t>https://www.myntra.com/trousers/jaipur-kurti/jaipur-kurti-women-pink-solid-regular-trousers/2039876/buy</t>
  </si>
  <si>
    <t>jaipur kurti women pink solid regular trousers</t>
  </si>
  <si>
    <t>https://www.myntra.com/kurtas/extra-love-by-libas/extra-love-by-libas-plus-size-women-pink-embroidered-mirror-work-kurta/12663858/buy</t>
  </si>
  <si>
    <t>extra love by libas plus size women pink embroidered mirror work kurta</t>
  </si>
  <si>
    <t>https://www.myntra.com/dresses/pluss/pluss-women-mustard-yellow-printed-fit-and-flare-dress/9295345/buy</t>
  </si>
  <si>
    <t>pluss women mustard yellow printed fit and flare dress</t>
  </si>
  <si>
    <t>https://www.myntra.com/dresses/moda-rapido/moda-rapido-what-a-re-leaf-tassel-dress/10216863/buy</t>
  </si>
  <si>
    <t>moda rapido what a re leaf tassel dress</t>
  </si>
  <si>
    <t>https://www.myntra.com/tops/kassually/kassually-women-black-sheer-ruffled-shirt-style-top/10658926/buy</t>
  </si>
  <si>
    <t>kassually women black sheer ruffled shirt style top</t>
  </si>
  <si>
    <t>https://www.myntra.com/tops/roadster/the-roadster-lifestyle-co-blue--black-polka-dot-print-top/13298956/buy</t>
  </si>
  <si>
    <t>the roadster lifestyle co blue  black polka dot print top</t>
  </si>
  <si>
    <t>https://www.myntra.com/trousers/sassafras/sassafras-women-navy-blue-regular-fit-solid-trousers/10856280/buy</t>
  </si>
  <si>
    <t>sassafras women navy blue regular fit solid trousers</t>
  </si>
  <si>
    <t>https://www.myntra.com/dresses/style-quotient/style-quotient-women-blue--white-striped-empire-dress/5294229/buy</t>
  </si>
  <si>
    <t>style quotient women blue  white striped empire dress</t>
  </si>
  <si>
    <t>https://www.myntra.com/tops/scorpius/scorpius-women-pack-of-2-solid-tops/9341449/buy</t>
  </si>
  <si>
    <t>https://www.myntra.com/tops/dressberry/dressberry-blue-self-design-high-low-chambray-pure-cotton-top/10162047/buy</t>
  </si>
  <si>
    <t>dressberry blue self design high low chambray pure cotton top</t>
  </si>
  <si>
    <t>https://www.myntra.com/jumpsuit/sassafras/sassafras-women-maroon-solid-basic-jumpsuit/10833302/buy</t>
  </si>
  <si>
    <t>sassafras women maroon solid basic jumpsuit</t>
  </si>
  <si>
    <t>https://www.myntra.com/jackets/bhama-couture/bhama-couture-women-navy-blue-washed-denim-jacket/8394647/buy</t>
  </si>
  <si>
    <t>bhama couture women navy blue washed denim jacket</t>
  </si>
  <si>
    <t>https://www.myntra.com/tshirts/ether/ether-women-red-printed-round-neck-pure-cotton-t-shirt/11037656/buy</t>
  </si>
  <si>
    <t>ether women red printed round neck pure cotton t shirt</t>
  </si>
  <si>
    <t>https://www.myntra.com/jeans/wrogn/wrogn-men-white-slim-fit-mid-rise-clean-look-stretchable-jeans/2477111/buy</t>
  </si>
  <si>
    <t>https://www.myntra.com/jeans/john-pride/john-pride-plus-size-men-black-regular-fit-mid-rise-clean-look-jeans/4446820/buy</t>
  </si>
  <si>
    <t>John Pride</t>
  </si>
  <si>
    <t>john pride plus size men black regular fit mid rise clean look jeans</t>
  </si>
  <si>
    <t>https://www.myntra.com/track-pants/maniac/maniac-men-charcoal-grey-solid-joggers/10236761/buy</t>
  </si>
  <si>
    <t>maniac men charcoal grey solid joggers</t>
  </si>
  <si>
    <t>https://www.myntra.com/tshirts/puma/puma-men-black--gold-toned-printed-t-shirt/16265466/buy</t>
  </si>
  <si>
    <t>puma men black  gold toned printed t shirt</t>
  </si>
  <si>
    <t>https://www.myntra.com/jackets/puma/puma-men-black-solid-sporty-jacket/8217415/buy</t>
  </si>
  <si>
    <t>puma men black solid sporty jacket</t>
  </si>
  <si>
    <t>https://www.myntra.com/bra/c9-airwear/c9-airwear-women-grey-solid-non-wired-non-padded-racerback-sports-bra-pz2227grey/7739997/buy</t>
  </si>
  <si>
    <t>c9 airwear women grey solid non wired non padded racerback sports bra pz2227grey</t>
  </si>
  <si>
    <t>https://www.myntra.com/jeggings/roadster/the-roadster-lifestyle-co-women-blue-washed-denim-jeggings/10967624/buy</t>
  </si>
  <si>
    <t>the roadster lifestyle co women blue washed denim jeggings</t>
  </si>
  <si>
    <t>https://www.myntra.com/dresses/vishudh/vishudh-women-navy-blue-checked-empire-dress/13527020/buy</t>
  </si>
  <si>
    <t>vishudh women navy blue checked empire dress</t>
  </si>
  <si>
    <t>https://www.myntra.com/dresses/taavi/taavi-women-indigo-hand-block-printed-fit--flare-sustainable-dress-with-gathers/9254649/buy</t>
  </si>
  <si>
    <t>taavi women indigo hand block printed fit  flare sustainable dress with gathers</t>
  </si>
  <si>
    <t>https://www.myntra.com/jeans/roadster/roadster-women-black-skinny-fit-mid-rise-clean-look-stretchable-jeans/8300831/buy</t>
  </si>
  <si>
    <t>roadster women black skinny fit mid rise clean look stretchable jeans</t>
  </si>
  <si>
    <t>https://www.myntra.com/tops/scorpius/scorpius-women-pack-of-2-solid-pure-cotton-tops/9341703/buy</t>
  </si>
  <si>
    <t>https://www.myntra.com/dresses/berrylush/berrylush-maroon-v-neck-maxi-dress/7417312/buy</t>
  </si>
  <si>
    <t>berrylush maroon v neck maxi dress</t>
  </si>
  <si>
    <t>https://www.myntra.com/tshirts/roadster/the-roadster-lifestyle-co-women-maroon-printed-round-neck-pure-cotton-t-shirt/10301011/buy</t>
  </si>
  <si>
    <t>the roadster lifestyle co women maroon printed round neck pure cotton t shirt</t>
  </si>
  <si>
    <t>https://www.myntra.com/trousers/vishudh/vishudh-women-maroon--off-white-regular-fit-striped-regular-trousers/12822672/buy</t>
  </si>
  <si>
    <t>vishudh women maroon  off white regular fit striped regular trousers</t>
  </si>
  <si>
    <t>https://www.myntra.com/tshirts/roadster/roadster-women-rust-brown--maroon-pack-of-2-printed-round-neck-regular-sleeves-t-shirts/17383254/buy</t>
  </si>
  <si>
    <t>roadster women rust brown  maroon pack of 2 printed round neck regular sleeves t shirts</t>
  </si>
  <si>
    <t>https://www.myntra.com/trousers/fablestreet/fablestreet-women-black-straight-fit-formal-trousers/10242711/buy</t>
  </si>
  <si>
    <t>FableStreet</t>
  </si>
  <si>
    <t>fablestreet women black straight fit formal trousers</t>
  </si>
  <si>
    <t>https://www.myntra.com/trousers/roadster/roadster-men-grey-regular-fit-solid-chinos/11354726/buy</t>
  </si>
  <si>
    <t>roadster men grey regular fit solid chinos</t>
  </si>
  <si>
    <t>https://www.myntra.com/boxers/urban-scottish/urban-scottish-men-pack-of-2-multicoloured-printed--pure-cotton-boxers-usbx1908/9966833/buy</t>
  </si>
  <si>
    <t>urban scottish men pack of 2 multicoloured printed  pure cotton boxers usbx1908</t>
  </si>
  <si>
    <t>https://www.myntra.com/shirts/roadster/roadster-men-olive-green--black-regular-fit-printed-sustainable-casual-shirt/11326188/buy</t>
  </si>
  <si>
    <t>roadster men olive green  black regular fit printed sustainable casual shirt</t>
  </si>
  <si>
    <t>https://www.myntra.com/shirts/mast--harbour/mast--harbour-men-black-regular-fit-solid-casual-shirt/11195044/buy</t>
  </si>
  <si>
    <t>mast  harbour men black regular fit solid casual shirt</t>
  </si>
  <si>
    <t>https://www.myntra.com/tshirts/roadster/roadster-men-black--beige-printed-round-neck-pure-cotton-t-shirt/11544718/buy</t>
  </si>
  <si>
    <t>roadster men black  beige printed round neck pure cotton t shirt</t>
  </si>
  <si>
    <t>https://www.myntra.com/palazzos/varanga/varanga-women-pink--yellow-printed-flared-palazzos/12317118/buy</t>
  </si>
  <si>
    <t>varanga women pink  yellow printed flared palazzos</t>
  </si>
  <si>
    <t>https://www.myntra.com/dresses/sangria/maroon-printed-fit-and-flare-dress/8420407/buy</t>
  </si>
  <si>
    <t>maroon printed fit and flare dress</t>
  </si>
  <si>
    <t>https://www.myntra.com/kurta-sets/anouk/anouk-women-pink-printed-kurti-with-dhoti-pants/12337070/buy</t>
  </si>
  <si>
    <t>anouk women pink printed kurti with dhoti pants</t>
  </si>
  <si>
    <t>https://www.myntra.com/kurta-sets/varanga/varanga-women-pink-sequinned-yoke-design-kurta-with-trousers--dupatta/13957048/buy</t>
  </si>
  <si>
    <t>varanga women pink sequinned yoke design kurta with trousers  dupatta</t>
  </si>
  <si>
    <t>https://www.myntra.com/bra/jockey/jockey-women-maroon-solid-non-wired-non-padded-t-shirt-cami-bra-ss12-0105/9314637/buy</t>
  </si>
  <si>
    <t>jockey women maroon solid non wired non padded t shirt cami bra ss12 0105</t>
  </si>
  <si>
    <t>https://www.myntra.com/bra/prettycat/prettycat-black-solid-underwired-heavily-padded-push-up-bra-pc-br-3046/6521972/buy</t>
  </si>
  <si>
    <t>prettycat black solid underwired heavily padded push up bra pc br 3046</t>
  </si>
  <si>
    <t>https://www.myntra.com/briefs/dressberry/dressberry-women-pack-of-3-pure-cotton-solid-briefs-db-solid-bik-new-001/14917720/buy</t>
  </si>
  <si>
    <t>dressberry women pack of 3 pure cotton solid briefs db solid bik new 001</t>
  </si>
  <si>
    <t>https://www.myntra.com/dresses/herenow/herenow-women-stylish-black-floral-noughties-spaghetti-dress/11430020/buy</t>
  </si>
  <si>
    <t>herenow women stylish black floral noughties spaghetti dress</t>
  </si>
  <si>
    <t>https://www.myntra.com/sweaters/roadster/roadster-women-burgundy-solid-pullover/12562910/buy</t>
  </si>
  <si>
    <t>roadster women burgundy solid pullover</t>
  </si>
  <si>
    <t>https://www.myntra.com/shirts/roadster/roadster-women-ecovero-blue-regular-fit-solid-casual-shirt-with-gather-detail/13398934/buy</t>
  </si>
  <si>
    <t>roadster women ecovero blue regular fit solid casual shirt with gather detail</t>
  </si>
  <si>
    <t>https://www.myntra.com/tshirts/dillinger/dillinger-women-maroon-printed-round-neck-oversized-pure-cotton-t-shirt/10877220/buy</t>
  </si>
  <si>
    <t>dillinger women maroon printed round neck oversized pure cotton t shirt</t>
  </si>
  <si>
    <t>https://www.myntra.com/jeans/roadster/roadster-women-black-skinny-fit-mid-rise-clean-look-stretchable-jeans/7713803/buy</t>
  </si>
  <si>
    <t>https://www.myntra.com/tops/mayra/mayra-women-pink-self-design-top/10632192/buy</t>
  </si>
  <si>
    <t>mayra women pink self design top</t>
  </si>
  <si>
    <t>https://www.myntra.com/shirts/la-zoire/la-zoire-women-green-regular-fit-solid-casual-shirt/8841549/buy</t>
  </si>
  <si>
    <t>la zoire women green regular fit solid casual shirt</t>
  </si>
  <si>
    <t>https://www.myntra.com/jeans/roadster/roadster-women-blue-skinny-fit-mid-rise-clean-look-stretchable-jeans/12278670/buy</t>
  </si>
  <si>
    <t>https://www.myntra.com/dresses/tokyo-talkies/tokyo-talkies-women-burgundy-solid-a-line-dress/12094324/buy</t>
  </si>
  <si>
    <t>https://www.myntra.com/tops/scorpius/scorpius-women-pack-of-2-solid-tops/9341445/buy</t>
  </si>
  <si>
    <t>https://www.myntra.com/jeans/high-star/high-star-women-grey-slim-fit-high-rise-clean-look-stretchable-jeans/9042987/buy</t>
  </si>
  <si>
    <t>high star women grey slim fit high rise clean look stretchable jeans</t>
  </si>
  <si>
    <t>https://www.myntra.com/tshirts/mast--harbour/mast--harbour-women-white--yellow-printed-cropped-t-shirt/11143566/buy</t>
  </si>
  <si>
    <t>mast  harbour women white  yellow printed cropped t shirt</t>
  </si>
  <si>
    <t>https://www.myntra.com/shorts/highlander/highlander-men-grey-slim-fit-mid-rise-regular-shorts/14645988/buy</t>
  </si>
  <si>
    <t>highlander men grey slim fit mid rise regular shorts</t>
  </si>
  <si>
    <t>https://www.myntra.com/trousers/roadster/roadster-men-black-cargos/11160544/buy</t>
  </si>
  <si>
    <t>roadster men black cargos</t>
  </si>
  <si>
    <t>https://www.myntra.com/jeans/herenow/herenow-men-blue-slim-fit-mid-rise-clean-look-stretchable-jeans/12242822/buy</t>
  </si>
  <si>
    <t>herenow men blue slim fit mid rise clean look stretchable jeans</t>
  </si>
  <si>
    <t>https://www.myntra.com/innerwear-vests/levis/levis-men-pack-of-2-solid--innerwear-vests-015-vest/12032810/buy</t>
  </si>
  <si>
    <t>levis men pack of 2 solid  innerwear vests 015 vest</t>
  </si>
  <si>
    <t>https://www.myntra.com/trunk/one8-by-virat-kohli/one8-by-virat-kohli-pack-of-2-men-white--grey-melange-solid-trunks-10526812-1-10526816-1/11217410/buy</t>
  </si>
  <si>
    <t>one8 by virat kohli pack of 2 men white  grey melange solid trunks 10526812 1 10526816 1</t>
  </si>
  <si>
    <t>Rs. 104 OFF</t>
  </si>
  <si>
    <t>https://www.myntra.com/boxers/levis/levis-men-pack-of-2-pure-cotton-checked-boxers/18028834/buy</t>
  </si>
  <si>
    <t>https://www.myntra.com/boxers/levis/levis-men-pack-of-2-pure-cotton-checked-boxers/18028704/buy</t>
  </si>
  <si>
    <t>https://www.myntra.com/shirts/roadster/the-roadster-lifestyle-co-men-rust-brown--black-regular-fit-checked-casual-shirt/10398499/buy</t>
  </si>
  <si>
    <t>the roadster lifestyle co men rust brown  black regular fit checked casual shirt</t>
  </si>
  <si>
    <t>https://www.myntra.com/tshirts/roadster/roadster-time-travlr-men-charcoal-grey-sleveless-pure-cotton-t-shirt-with-raw-edges/2498501/buy</t>
  </si>
  <si>
    <t>roadster time travlr men charcoal grey sleveless pure cotton t shirt with raw edges</t>
  </si>
  <si>
    <t>https://www.myntra.com/dresses/berrylush/berrylush-maroon-floral-printed-maxi-dress/13429552/buy</t>
  </si>
  <si>
    <t>berrylush maroon floral printed maxi dress</t>
  </si>
  <si>
    <t>https://www.myntra.com/shapewear/zivame/zivame-red-mermaid-saree-shapewear-zi3023corezired/7340671/buy</t>
  </si>
  <si>
    <t>zivame red mermaid saree shapewear zi3023corezired</t>
  </si>
  <si>
    <t>https://www.myntra.com/jeans/tokyo-talkies/tokyo-talkies-women-black-super-skinny-fit-mid-rise-clean-look-stretchable-jeans/9801597/buy</t>
  </si>
  <si>
    <t>https://www.myntra.com/dresses/berrylush/berrylush-brown--white-floral-printed-two-piece-maxi-dress/12209542/buy</t>
  </si>
  <si>
    <t>berrylush brown  white floral printed two piece maxi dress</t>
  </si>
  <si>
    <t>https://www.myntra.com/jackets/chemistry-edition/chemistry-edition-women-olive-green-solid-longline-denim-jacket/9855315/buy</t>
  </si>
  <si>
    <t>Chemistry Edition</t>
  </si>
  <si>
    <t>chemistry edition women olive green solid longline denim jacket</t>
  </si>
  <si>
    <t>https://www.myntra.com/tshirts/tokyo-talkies/tokyo-talkies-women-pink-t-shirt/14350744/buy</t>
  </si>
  <si>
    <t>tokyo talkies women pink t shirt</t>
  </si>
  <si>
    <t>https://www.myntra.com/leggings/bitterlime/bitterlime-pack-of-2-leggings/383104/buy</t>
  </si>
  <si>
    <t>bitterlime pack of 2 leggings</t>
  </si>
  <si>
    <t>https://www.myntra.com/trousers/w/w-women-black-parallel-trousers/7736676/buy</t>
  </si>
  <si>
    <t>w women black parallel trousers</t>
  </si>
  <si>
    <t>29, 31, 33</t>
  </si>
  <si>
    <t>https://www.myntra.com/trousers/wrogn/wrogn-men-olive-green-slim-fit-solid-chinos/11560466/buy</t>
  </si>
  <si>
    <t>wrogn men olive green slim fit solid chinos</t>
  </si>
  <si>
    <t>https://www.myntra.com/jeans/roadster-fast-and-furious/roadster-fast-and-furious-men-blue-slim-fit-mid-rise-mildly-distressed-stretchable-jeans/4451384/buy</t>
  </si>
  <si>
    <t>roadster fast and furious men blue slim fit mid rise mildly distressed stretchable jeans</t>
  </si>
  <si>
    <t>https://www.myntra.com/kurtas/house-of-pataudi/house-of-pataudi-men-blue-dyed-straight-kurta/9973947/buy</t>
  </si>
  <si>
    <t>house of pataudi men blue dyed straight kurta</t>
  </si>
  <si>
    <t>https://www.myntra.com/shirts/wrogn/wrogn-men-black--grey-slim-fit-printed-casual-shirt/11361484/buy</t>
  </si>
  <si>
    <t>wrogn men black  grey slim fit printed casual shirt</t>
  </si>
  <si>
    <t>https://www.myntra.com/shirts/roadster/roadster-men-green-regular-fit--blotch-checked-sustainable-casual-shirt/8237079/buy</t>
  </si>
  <si>
    <t>roadster men green regular fit  blotch checked sustainable casual shirt</t>
  </si>
  <si>
    <t>https://www.myntra.com/jackets/wrogn/wrogn-men-olive-green--navy-blue-solid-bomber/6832172/buy</t>
  </si>
  <si>
    <t>wrogn men olive green  navy blue solid bomber</t>
  </si>
  <si>
    <t>https://www.myntra.com/tshirts/roadster/roadster-men-black--white-printed-round-neck-pure-cotton-t-shirt/11544670/buy</t>
  </si>
  <si>
    <t>roadster men black  white printed round neck pure cotton t shirt</t>
  </si>
  <si>
    <t>https://www.myntra.com/shirts/english-navy/english-navy-men-purple-slim-fit-solid-formal-shirt/7204998/buy</t>
  </si>
  <si>
    <t>english navy men purple slim fit solid formal shirt</t>
  </si>
  <si>
    <t>https://www.myntra.com/kurta-sets/yuris/yuris-women-peach-coloured--gold-toned-printed-kurta-with-trousers--dupatta/13104792/buy</t>
  </si>
  <si>
    <t>yuris women peach coloured  gold toned printed kurta with trousers  dupatta</t>
  </si>
  <si>
    <t>https://www.myntra.com/shapewear/secrets-by-zerokaata/secrets-by-zerokaata-women-nude-coloured-solid-tummy-tucker-shapewear/13549768/buy</t>
  </si>
  <si>
    <t>SECRETS BY ZEROKAATA</t>
  </si>
  <si>
    <t>secrets by zerokaata women nude coloured solid tummy tucker shapewear</t>
  </si>
  <si>
    <t>https://www.myntra.com/bra/dressberry/dressberry-white--black-striped-t-shirt-bra---full-coverage-underwired-lightly-padded/14650998/buy</t>
  </si>
  <si>
    <t>dressberry white  black striped t shirt bra   full coverage underwired lightly padded</t>
  </si>
  <si>
    <t>https://www.myntra.com/night-suits/claura/claura-women-navy-blue--white-striped-night-suit/11248370/buy</t>
  </si>
  <si>
    <t>claura women navy blue  white striped night suit</t>
  </si>
  <si>
    <t>https://www.myntra.com/lounge-pants/drape-in-vogue/drape-in-vogue-women-maroon--off-white-printed-relaxed-fit-lounge-pants/12041150/buy</t>
  </si>
  <si>
    <t>drape in vogue women maroon  off white printed relaxed fit lounge pants</t>
  </si>
  <si>
    <t>https://www.myntra.com/kurtas/herenow/herenow-women-grey--white-striped-straight-kurta/12851402/buy</t>
  </si>
  <si>
    <t>herenow women grey  white striped straight kurta</t>
  </si>
  <si>
    <t>https://www.myntra.com/dresses/pluss/pluss-women-black-solid-t-shirt-dress/12529366/buy</t>
  </si>
  <si>
    <t>pluss women black solid t shirt dress</t>
  </si>
  <si>
    <t>https://www.myntra.com/tshirts/kook-n-keech/kook-n-keech-women-white--black-striped-round-neck-t-shirt/8912611/buy</t>
  </si>
  <si>
    <t>kook n keech women white  black striped round neck t shirt</t>
  </si>
  <si>
    <t>https://www.myntra.com/tshirts/mast--harbour/mast--harbour-women-pack-of-2-printed-pure-cotton-t-shirts/17525200/buy</t>
  </si>
  <si>
    <t>https://www.myntra.com/dresses/nayo/nayo-blue-tropical-fit-and-flare-cotton-dress/14224386/buy</t>
  </si>
  <si>
    <t>nayo blue tropical fit and flare cotton dress</t>
  </si>
  <si>
    <t>https://www.myntra.com/jeans/roadster/the-roadster-lifestyle-co-women-blue-boyfriend-fit-mid-rise-mildly-distressed-jeans/11045894/buy</t>
  </si>
  <si>
    <t>the roadster lifestyle co women blue boyfriend fit mid rise mildly distressed jeans</t>
  </si>
  <si>
    <t>https://www.myntra.com/jeans/mast--harbour/mast--harbour-women-blue-regular-fit-high-rise-clean-look-stretchable-cropped-jeans/11284704/buy</t>
  </si>
  <si>
    <t>mast  harbour women blue regular fit high rise clean look stretchable cropped jeans</t>
  </si>
  <si>
    <t>https://www.myntra.com/jeans/roadster/roadster-women-black-regular-fit-high-rise-stretchable-antiviral-protective-finish-jeans/7713850/buy</t>
  </si>
  <si>
    <t>roadster women black regular fit high rise stretchable antiviral protective finish jeans</t>
  </si>
  <si>
    <t>https://www.myntra.com/tshirts/dressberry/dressberry-women-blue-printed-round-neck-t-shirt/11271958/buy</t>
  </si>
  <si>
    <t>dressberry women blue printed round neck t shirt</t>
  </si>
  <si>
    <t>https://www.myntra.com/tops/roadster/roadster-women-white-ribbed-pure-cotton-top/11401690/buy</t>
  </si>
  <si>
    <t>roadster women white ribbed pure cotton top</t>
  </si>
  <si>
    <t>https://www.myntra.com/jeans/wrogn/wrogn-men-black-slim-fit-mid-rise-clean-look-stretchable-jeans/10685154/buy</t>
  </si>
  <si>
    <t>https://www.myntra.com/kurtas/anouk/anouk-men-teal-blue-solid-straight-kurta/12135140/buy</t>
  </si>
  <si>
    <t>anouk men teal blue solid straight kurta</t>
  </si>
  <si>
    <t>https://www.myntra.com/kurtas/anouk/anouk-men-maroon--black-striped-straight-kurta/10354073/buy</t>
  </si>
  <si>
    <t>anouk men maroon  black striped straight kurta</t>
  </si>
  <si>
    <t>S, M, L, XL, 3XL</t>
  </si>
  <si>
    <t>https://www.myntra.com/boxers/us-polo-assn/us-polo-assn-men-dark-navy-blue-solid-pure-cotton-boxers-y9i108-656-pl-s/10248035/buy</t>
  </si>
  <si>
    <t>us polo assn men dark navy blue solid pure cotton boxers y9i108 656 pl s</t>
  </si>
  <si>
    <t>https://www.myntra.com/tshirts/inesis-by-decathlon/inesis-by-decathlon-men-orange-golf-polo-collar-t-shirt/14515068/buy</t>
  </si>
  <si>
    <t>Inesis By Decathlon</t>
  </si>
  <si>
    <t>inesis by decathlon men orange golf polo collar t shirt</t>
  </si>
  <si>
    <t>https://www.myntra.com/tshirts/maniac/maniac-men-black--purple-printed-round-neck-pure-cotton-t-shirt/11526918/buy</t>
  </si>
  <si>
    <t>maniac men black  purple printed round neck pure cotton t shirt</t>
  </si>
  <si>
    <t>https://www.myntra.com/tshirts/hrx-by-hrithik-roshan/hrx-by-hrithik-roshan-men-black-printed-bio-wash-yoga-pure-cotton-t-shirt/11999464/buy</t>
  </si>
  <si>
    <t>hrx by hrithik roshan men black printed bio wash yoga pure cotton t shirt</t>
  </si>
  <si>
    <t>https://www.myntra.com/tshirts/wrogn/wrogn-men-sea-green-solid-polo-collar-t-shirt/11363912/buy</t>
  </si>
  <si>
    <t>wrogn men sea green solid polo collar t shirt</t>
  </si>
  <si>
    <t>https://www.myntra.com/dresses/myshka/myshka-women-navy-blue--pink-floral-print-a-line-dress/9825419/buy</t>
  </si>
  <si>
    <t>myshka women navy blue  pink floral print a line dress</t>
  </si>
  <si>
    <t>https://www.myntra.com/sarees/ishin/ishin-black--gold-toned-cotton-traditional-saree/902394/buy</t>
  </si>
  <si>
    <t>ishin black  gold toned cotton traditional saree</t>
  </si>
  <si>
    <t>https://www.myntra.com/shapewear/laceandme/laceandme-grey-magic-wire-tummy-shaper-3291/2252778/buy</t>
  </si>
  <si>
    <t>laceandme grey magic wire tummy shaper 3291</t>
  </si>
  <si>
    <t>https://www.myntra.com/bra/sztori/sztori-plus-size-maroon-solid-non-wired-non-padded-everyday-bra-sz-bra-708h/10304965/buy</t>
  </si>
  <si>
    <t>sztori plus size maroon solid non wired non padded everyday bra sz bra 708h</t>
  </si>
  <si>
    <t>https://www.myntra.com/shorts/hrx-by-hrithik-roshan/hrx-by-hrithik-roshan-women-burgundy-solid-regular-fit-lifestyle-sports-shorts/10568630/buy</t>
  </si>
  <si>
    <t>hrx by hrithik roshan women burgundy solid regular fit lifestyle sports shorts</t>
  </si>
  <si>
    <t>https://www.myntra.com/tops/tokyo-talkies/tokyo-talkies-women-green-solid-top/10015983/buy</t>
  </si>
  <si>
    <t>https://www.myntra.com/tshirts/roadster/roadster-women-pack-of-2-cotton-t-shirts/17382706/buy</t>
  </si>
  <si>
    <t>https://www.myntra.com/tshirts/mast--harbour/mast--harbour-women-pack-of-2-printed-pure-cotton-t-shirts/17525204/buy</t>
  </si>
  <si>
    <t>https://www.myntra.com/dresses/uf/uf-women-red--white-floral-print-maxi-dress/10852624/buy</t>
  </si>
  <si>
    <t>uf women red  white floral print maxi dress</t>
  </si>
  <si>
    <t>https://www.myntra.com/tops/bhama-couture/bhama-couture-pink-embroidered-empire-pure-cotton-top/9717171/buy</t>
  </si>
  <si>
    <t>bhama couture pink embroidered empire pure cotton top</t>
  </si>
  <si>
    <t>https://www.myntra.com/jumpsuit/cottinfab/cottinfab-women-mustard-yellow-solid-basic-jumpsuit/10053761/buy</t>
  </si>
  <si>
    <t>cottinfab women mustard yellow solid basic jumpsuit</t>
  </si>
  <si>
    <t>https://www.myntra.com/tops/dressberry/dressberry-women-olive-green-solid-knitted-regular-top-with-puffed-sleeves/11271830/buy</t>
  </si>
  <si>
    <t>dressberry women olive green solid knitted regular top with puffed sleeves</t>
  </si>
  <si>
    <t>https://www.myntra.com/tshirts/roadster/roadster-women-pack-of-2-solid-pure-cotton-v-neck-pure-cotton-t-shirts/12670626/buy</t>
  </si>
  <si>
    <t>roadster women pack of 2 solid pure cotton v neck pure cotton t shirts</t>
  </si>
  <si>
    <t>https://www.myntra.com/trousers/black-coffee/black-coffee-olive-green-sharp-fit-formal-trousers/1813852/buy</t>
  </si>
  <si>
    <t>black coffee olive green sharp fit formal trousers</t>
  </si>
  <si>
    <t>https://www.myntra.com/trunk/pepe-jeans/pepe-jeans-men-white-solid-fashion-trunk-8904311301899/8937239/buy</t>
  </si>
  <si>
    <t>pepe jeans men white solid fashion trunk 8904311301899</t>
  </si>
  <si>
    <t>https://www.myntra.com/boxers/levis/levis-men-pack-of-2-solid--pure-cotton-boxers-028/12027374/buy</t>
  </si>
  <si>
    <t>levis men pack of 2 solid  pure cotton boxers 028</t>
  </si>
  <si>
    <t>https://www.myntra.com/trunk/pepe-jeans/pepe-jeans-men-pack-of-2-white-solid-trunks-8937239-2/11787084/buy</t>
  </si>
  <si>
    <t>pepe jeans men pack of 2 white solid trunks 8937239 2</t>
  </si>
  <si>
    <t>https://www.myntra.com/shirts/roadster/roadster-men-blue-denim-sustainable-shirt/12164202/buy</t>
  </si>
  <si>
    <t>roadster men blue denim sustainable shirt</t>
  </si>
  <si>
    <t>https://www.myntra.com/shirts/roadster/roadster-men-blue-slim-fit-solid-casual-shirt/2349396/buy</t>
  </si>
  <si>
    <t>roadster men blue slim fit solid casual shirt</t>
  </si>
  <si>
    <t>https://www.myntra.com/shirts/wrogn/wrogn-men-navy-blue-slim-fit-checked-casual-shirt/2338766/buy</t>
  </si>
  <si>
    <t>wrogn men navy blue slim fit checked casual shirt</t>
  </si>
  <si>
    <t>https://www.myntra.com/tshirts/ether/ether-men-black-printed-round-neck-t-shirt/11037626/buy</t>
  </si>
  <si>
    <t>ether men black printed round neck t shirt</t>
  </si>
  <si>
    <t>https://www.myntra.com/kurtas/sangria/sangria-women-white--black-printed-straight-kurta/9043539/buy</t>
  </si>
  <si>
    <t>sangria women white  black printed straight kurta</t>
  </si>
  <si>
    <t>https://www.myntra.com/sarees/rajesh-silk-mills/rajesh-silk-mills-black--red-solid-saree/9863623/buy</t>
  </si>
  <si>
    <t>Rajesh Silk Mills</t>
  </si>
  <si>
    <t>rajesh silk mills black  red solid saree</t>
  </si>
  <si>
    <t>https://www.myntra.com/kurta-sets/sangria/sangria-women-black--red-pure-cotton-geometric-printed-kurta-with-trousers/13437292/buy</t>
  </si>
  <si>
    <t>sangria women black  red pure cotton geometric printed kurta with trousers</t>
  </si>
  <si>
    <t>https://www.myntra.com/tshirts/nike/nike-women-black-standard-fit-dry-leg-crew-dri-fit-t-shirt/9084181/buy</t>
  </si>
  <si>
    <t>nike women black standard fit dry leg crew dri fit t shirt</t>
  </si>
  <si>
    <t>https://www.myntra.com/track-pants/hrx-by-hrithik-roshan/hrx-by-hrithik-roshan-lifestyle-women-jet-black-bio-wash-typography-track-pants/14703676/buy</t>
  </si>
  <si>
    <t>hrx by hrithik roshan lifestyle women jet black bio wash typography track pants</t>
  </si>
  <si>
    <t>https://www.myntra.com/tops/la-zoire/la-zoire-maroon-top-with-bell-sleeves/8841533/buy</t>
  </si>
  <si>
    <t>la zoire maroon top with bell sleeves</t>
  </si>
  <si>
    <t>https://www.myntra.com/jeans/roadster/roadster-women-blue-super-skinny-fit-high-rise-clean-look-stretchable-jeans/11541838/buy</t>
  </si>
  <si>
    <t>roadster women blue super skinny fit high rise clean look stretchable jeans</t>
  </si>
  <si>
    <t>https://www.myntra.com/jeggings/sassafras/sassafras-women-black-slim-fit-solid-zip-hem-cropped-treggings/12541550/buy</t>
  </si>
  <si>
    <t>sassafras women black slim fit solid zip hem cropped treggings</t>
  </si>
  <si>
    <t>https://www.myntra.com/tops/scorpius/scorpius-women-pack-of-2-pure-cotton-tops/9341485/buy</t>
  </si>
  <si>
    <t>https://www.myntra.com/jumpsuit/dressberry/dressberry-women-olive-green--mustard-yellow-striped-basic-jumpsuit/10440682/buy</t>
  </si>
  <si>
    <t>dressberry women olive green  mustard yellow striped basic jumpsuit</t>
  </si>
  <si>
    <t>https://www.myntra.com/trousers/roadster/roadster-men-teal-blue-slim-fit-solid-chinos/11354674/buy</t>
  </si>
  <si>
    <t>roadster men teal blue slim fit solid chinos</t>
  </si>
  <si>
    <t>https://www.myntra.com/jeans/roadster/roadster-men-blue-skinny-fit-mid-rise-clean-look-stretchable-jeans/10046881/buy</t>
  </si>
  <si>
    <t>https://www.myntra.com/jeans/roadster/the-roadster-lifestyle-co-men-grey-slim-tapered-fit-mid-rise-clean-look-stretchable-jeans/8962343/buy</t>
  </si>
  <si>
    <t>the roadster lifestyle co men grey slim tapered fit mid rise clean look stretchable jeans</t>
  </si>
  <si>
    <t>https://www.myntra.com/jeans/rodamo/rodamo-men-black-slim-fit-mid-rise-clean-look-jeans/1573560/buy</t>
  </si>
  <si>
    <t>Rodamo</t>
  </si>
  <si>
    <t>rodamo men black slim fit mid rise clean look jeans</t>
  </si>
  <si>
    <t>https://www.myntra.com/kurta-sets/anouk/anouk-men-green--off-white-solid-kurta-with-dhoti-pants/9367463/buy</t>
  </si>
  <si>
    <t>anouk men green  off white solid kurta with dhoti pants</t>
  </si>
  <si>
    <t>https://www.myntra.com/briefs/pepe-jeans/pepe-jeans-men-navy-blue-solid-hipster-briefs-8904311300830/8936555/buy</t>
  </si>
  <si>
    <t>pepe jeans men navy blue solid hipster briefs 8904311300830</t>
  </si>
  <si>
    <t>https://www.myntra.com/tshirts/herenow/herenow-men-red-pure-cotton-solid-round-neck-t-shirt/14021712/buy</t>
  </si>
  <si>
    <t>herenow men red pure cotton solid round neck t shirt</t>
  </si>
  <si>
    <t>https://www.myntra.com/tshirts/wrogn/wrogn-men-blue-printed-round-neck-t-shirt/2478313/buy</t>
  </si>
  <si>
    <t>wrogn men blue printed round neck t shirt</t>
  </si>
  <si>
    <t>https://www.myntra.com/dresses/biba/biba-white-floral-printed-cotton-tiered-maxi-dress/11432036/buy</t>
  </si>
  <si>
    <t>biba white floral printed cotton tiered maxi dress</t>
  </si>
  <si>
    <t>https://www.myntra.com/bra/zivame/zivame-beige-solid-underwired-lightly-padded-balconette-bra-zi1133core0nude/6608564/buy</t>
  </si>
  <si>
    <t>zivame beige solid underwired lightly padded balconette bra zi1133core0nude</t>
  </si>
  <si>
    <t>30B, 30C, 32B, 32C, 32D, 34C, 34D, 36B, 36C, 36D, 38B, 38C, 38D</t>
  </si>
  <si>
    <t>https://www.myntra.com/jeans/moda-rapido/moda-rapido-women-ankle-length-boyfriend-fit-highly-distressed-blue-jeans/1858343/buy</t>
  </si>
  <si>
    <t>moda rapido women ankle length boyfriend fit highly distressed blue jeans</t>
  </si>
  <si>
    <t>https://www.myntra.com/jeggings/amydus/amydus-women-multicoloured-quirky-comic-printed-tummy-shaper-treggings/12545378/buy</t>
  </si>
  <si>
    <t>amydus women multicoloured quirky comic printed tummy shaper treggings</t>
  </si>
  <si>
    <t>https://www.myntra.com/tshirts/dexter-by-kook-n-keech/dexter-by-kook-n-keech-women-mustard-yellow-graphic-printed-drop-shoulder-t-shirt/10926164/buy</t>
  </si>
  <si>
    <t>dexter by kook n keech women mustard yellow graphic printed drop shoulder t shirt</t>
  </si>
  <si>
    <t>https://www.myntra.com/sweaters/roadster/roadster-women-maroon--navy-colourblocked-pullover/1949995/buy</t>
  </si>
  <si>
    <t>roadster women maroon  navy colourblocked pullover</t>
  </si>
  <si>
    <t>https://www.myntra.com/tshirts/dressberry/dressberry-women-pack-of-2-solid-t-shirts/17476992/buy</t>
  </si>
  <si>
    <t>dressberry women pack of 2 solid t shirts</t>
  </si>
  <si>
    <t>https://www.myntra.com/skirts/sassafras/sassafras-blue-accordian-pleat-flared-skirt/10308589/buy</t>
  </si>
  <si>
    <t>sassafras blue accordian pleat flared skirt</t>
  </si>
  <si>
    <t>https://www.myntra.com/tops/dressberry/dressberry-women-deep-burgundy-solid-bell-sleeves-top/2521912/buy</t>
  </si>
  <si>
    <t>dressberry women deep burgundy solid bell sleeves top</t>
  </si>
  <si>
    <t>https://www.myntra.com/tops/kassually/kassually-lavender-self-design-sweetheart-neck-empire-front-knot-crop-top/13670856/buy</t>
  </si>
  <si>
    <t>kassually lavender self design sweetheart neck empire front knot crop top</t>
  </si>
  <si>
    <t>https://www.myntra.com/sweatshirts/belle-fille/belle-fille-navy-hooded-sweatshirt/1010448/buy</t>
  </si>
  <si>
    <t>belle fille navy hooded sweatshirt</t>
  </si>
  <si>
    <t>https://www.myntra.com/tops/marie-claire/marie-claire-women-blue-self-design-top/8635059/buy</t>
  </si>
  <si>
    <t>marie claire women blue self design top</t>
  </si>
  <si>
    <t>https://www.myntra.com/jeans/high-star/high-star-women-white-slim-fit-high-rise-clean-look-stretchable-jeans/7289174/buy</t>
  </si>
  <si>
    <t>high star women white slim fit high rise clean look stretchable jeans</t>
  </si>
  <si>
    <t>https://www.myntra.com/jumpsuit/tokyo-talkies/tokyo-talkies-women-green-solid-capri-jumpsuit/12693276/buy</t>
  </si>
  <si>
    <t>tokyo talkies women green solid capri jumpsuit</t>
  </si>
  <si>
    <t>https://www.myntra.com/tshirts/kook-n-keech/kook-n-keech-women-charcoal-grey-round-neck-t-shirt/1714762/buy</t>
  </si>
  <si>
    <t>kook n keech women charcoal grey round neck t shirt</t>
  </si>
  <si>
    <t>https://www.myntra.com/jeans/roadster/roadster-men-blue-skinny-fit-mid-rise-acid-wash-clean-look-stretchable-jeans/11274760/buy</t>
  </si>
  <si>
    <t>https://www.myntra.com/jeans/locomotive/locomotive-men-black-skinny-fit-mid-rise-clean-look-stretchable-jeans/9541603/buy</t>
  </si>
  <si>
    <t>https://www.myntra.com/shirts/highlander/highlander-men-khaki--navy-blue-slim-fit-checked-casual-shirt/11044450/buy</t>
  </si>
  <si>
    <t>highlander men khaki  navy blue slim fit checked casual shirt</t>
  </si>
  <si>
    <t>https://www.myntra.com/shirts/highlander/highlander-men-grey-slim-fit-faded-denim-casual-shirt/12085984/buy</t>
  </si>
  <si>
    <t>highlander men grey slim fit faded denim casual shirt</t>
  </si>
  <si>
    <t>https://www.myntra.com/kurtas/anouk/anouk-women-teal--rust-ethnic-motifs-printed-straight-kurta/13238668/buy</t>
  </si>
  <si>
    <t>anouk women teal  rust ethnic motifs printed straight kurta</t>
  </si>
  <si>
    <t>https://www.myntra.com/dresses/vishudh/vishudh-women-maroon-checked-fit-and-flare-dress/13243430/buy</t>
  </si>
  <si>
    <t>vishudh women maroon checked fit and flare dress</t>
  </si>
  <si>
    <t>https://www.myntra.com/bra/prettycat/prettycat-black-solid-non-wired-lightly-padded-bralette-bra/4670939/buy</t>
  </si>
  <si>
    <t>prettycat black solid non wired lightly padded bralette bra</t>
  </si>
  <si>
    <t>https://www.myntra.com/tshirts/dillinger/dillinger-women-navy-blue-solid-round-neck-pure-cotton-t-shirt/10426090/buy</t>
  </si>
  <si>
    <t>dillinger women navy blue solid round neck pure cotton t shirt</t>
  </si>
  <si>
    <t>https://www.myntra.com/dresses/her-by-invictus/her-by-invictus-women-green--black-printed-sheath-dress-with-waist-tie-up/10821314/buy</t>
  </si>
  <si>
    <t>her by invictus women green  black printed sheath dress with waist tie up</t>
  </si>
  <si>
    <t>https://www.myntra.com/shirts/roadster/roadster-women-black-regular-fit-solid-casual-shirt/9656255/buy</t>
  </si>
  <si>
    <t>roadster women black regular fit solid casual shirt</t>
  </si>
  <si>
    <t>https://www.myntra.com/tshirts/roadster/roadster-women-green--dusty-pink-pack-of-2-printed-round-neck-pure-cotton-t-shirts/17383378/buy</t>
  </si>
  <si>
    <t>roadster women green  dusty pink pack of 2 printed round neck pure cotton t shirts</t>
  </si>
  <si>
    <t>https://www.myntra.com/jeans/roadster/roadster-women-blue-flared-high-rise-clean-look-jeans/13710342/buy</t>
  </si>
  <si>
    <t>roadster women blue flared high rise clean look jeans</t>
  </si>
  <si>
    <t>https://www.myntra.com/jackets/street-9/street-9-women-black-solid-lightweight-bomber-jacket/13738586/buy</t>
  </si>
  <si>
    <t>street 9 women black solid lightweight bomber jacket</t>
  </si>
  <si>
    <t>https://www.myntra.com/sweatshirts/kook-n-keech-star-wars/kook-n-keech-star-wars-women-black-printed-hooded-sweatshirt/6838371/buy</t>
  </si>
  <si>
    <t>Kook N Keech Star Wars</t>
  </si>
  <si>
    <t>kook n keech star wars women black printed hooded sweatshirt</t>
  </si>
  <si>
    <t>https://www.myntra.com/tshirts/mast--harbour/mast--harbour-women-peach-coloured-solid-round-neck-t-shirt/2464261/buy</t>
  </si>
  <si>
    <t>mast  harbour women peach coloured solid round neck t shirt</t>
  </si>
  <si>
    <t>https://www.myntra.com/dresses/house-of-kkarma/house-of-kkarma-black-floral-printed-fit-and-flare-dress/12809668/buy</t>
  </si>
  <si>
    <t>HOUSE OF KKARMA</t>
  </si>
  <si>
    <t>house of kkarma black floral printed fit and flare dress</t>
  </si>
  <si>
    <t>https://www.myntra.com/trousers/vishudh/vishudh-women-green--pink-striped-peg-trousers/13666806/buy</t>
  </si>
  <si>
    <t>vishudh women green  pink striped peg trousers</t>
  </si>
  <si>
    <t>https://www.myntra.com/tshirts/sassafras/sassafras-women-black-solid-high-neck-crop-t-shirt/10604596/buy</t>
  </si>
  <si>
    <t>sassafras women black solid high neck crop t shirt</t>
  </si>
  <si>
    <t>https://www.myntra.com/jeans/roadster/roadster-men-navy-blue-skinny-fit-mid-rise-clean-look-stretchable-jeans/11274754/buy</t>
  </si>
  <si>
    <t>https://www.myntra.com/socks/mast--harbour/mast--harbour-men-set-of-3-grey-melange-above-ankle-length-socks/1422479/buy</t>
  </si>
  <si>
    <t>mast  harbour men set of 3 grey melange above ankle length socks</t>
  </si>
  <si>
    <t>https://www.myntra.com/lounge-shorts/us-polo-assn/us-polo-assn-men-navy-blue-solid-lounge-shorts/11446240/buy</t>
  </si>
  <si>
    <t>us polo assn men navy blue solid lounge shorts</t>
  </si>
  <si>
    <t>https://www.myntra.com/shirts/wrogn/wrogn-men-maroon-slim-fit-striped-casual-shirt/2338737/buy</t>
  </si>
  <si>
    <t>wrogn men maroon slim fit striped casual shirt</t>
  </si>
  <si>
    <t>https://www.myntra.com/dresses/anayna/anayna-red--off-white-ethnic-motifs-printed-maternity-a-line-dress/12786742/buy</t>
  </si>
  <si>
    <t>anayna red  off white ethnic motifs printed maternity a line dress</t>
  </si>
  <si>
    <t>https://www.myntra.com/kurta-sets/yuris/yuris-women-red-ethnic-motifs-printed-pure-cotton-kurta-with-trousers--with-dupatta/14390990/buy</t>
  </si>
  <si>
    <t>yuris women red ethnic motifs printed pure cotton kurta with trousers  with dupatta</t>
  </si>
  <si>
    <t>https://www.myntra.com/dresses/vishudh/vishudh-white--navy-blue-floral-layered-ethnic-a-line-maxi-dress-with-jacket/7286686/buy</t>
  </si>
  <si>
    <t>vishudh white  navy blue floral layered ethnic a line maxi dress with jacket</t>
  </si>
  <si>
    <t>https://www.myntra.com/trousers/mish/mish-women-mauve-comfort-flared-cropped-parallel-trousers/10704788/buy</t>
  </si>
  <si>
    <t>mish women mauve comfort flared cropped parallel trousers</t>
  </si>
  <si>
    <t>https://www.myntra.com/tops/taavi/taavi-black--maroon-woven-design-ikat-shirt-style-sustainable-pure-cotton-top/8340315/buy</t>
  </si>
  <si>
    <t>taavi black  maroon woven design ikat shirt style sustainable pure cotton top</t>
  </si>
  <si>
    <t>https://www.myntra.com/dresses/mayra/mayra-women-red-floral-print-maxi-dress/10512764/buy</t>
  </si>
  <si>
    <t>mayra women red floral print maxi dress</t>
  </si>
  <si>
    <t>https://www.myntra.com/jumpsuit/miss-chase/miss-chase-women-black-solid-sequin-panel-basic-jumpsuit/11435322/buy</t>
  </si>
  <si>
    <t>miss chase women black solid sequin panel basic jumpsuit</t>
  </si>
  <si>
    <t>https://www.myntra.com/tshirts/mast--harbour/mast--harbour-women-navy-blue-striped-t-shirt/1745120/buy</t>
  </si>
  <si>
    <t>mast  harbour women navy blue striped t shirt</t>
  </si>
  <si>
    <t>https://www.myntra.com/track-pants/nike/nike-men-black-french-terry-nsw-club-solid-joggers/10271357/buy</t>
  </si>
  <si>
    <t>nike men black french terry nsw club solid joggers</t>
  </si>
  <si>
    <t>XXS, S, M, L, XL, XXL</t>
  </si>
  <si>
    <t>https://www.myntra.com/jeans/herenow/herenow-men-black-slim-fit-mid-rise-mildly-distressed-stretchable-jeans/10895696/buy</t>
  </si>
  <si>
    <t>herenow men black slim fit mid rise mildly distressed stretchable jeans</t>
  </si>
  <si>
    <t>https://www.myntra.com/track-pants/hrx-by-hrithik-roshan/hrx-by-hrithik-roshan-men-jet-black-solid-slim-fit-rapid-dry-antimicrobial-training-joggers/13040578/buy</t>
  </si>
  <si>
    <t>hrx by hrithik roshan men jet black solid slim fit rapid dry antimicrobial training joggers</t>
  </si>
  <si>
    <t>https://www.myntra.com/jeans/roadster/the-roadster-lifestyle-co-men-blue-skinny-fit-mid-rise-clean-look-stretchable-jeans/10671336/buy</t>
  </si>
  <si>
    <t>https://www.myntra.com/trousers/roadster/roadster-men-pink-regular-fit-solid-trousers/13859578/buy</t>
  </si>
  <si>
    <t>roadster men pink regular fit solid trousers</t>
  </si>
  <si>
    <t>https://www.myntra.com/sweatshirts/hrx-by-hrithik-roshan/hrx-by-hrithik-roshan-men-charcoal-solid-rapid-dry-hooded-training-sweatshirt/9445829/buy</t>
  </si>
  <si>
    <t>hrx by hrithik roshan men charcoal solid rapid dry hooded training sweatshirt</t>
  </si>
  <si>
    <t>https://www.myntra.com/tracksuits/nike/nike-sportswear-men-black-solid-as-m-nsw-ce-trk-suit-wvn-basic-loose-fit-tracksuit/10139165/buy</t>
  </si>
  <si>
    <t>nike sportswear men black solid as m nsw ce trk suit wvn basic loose fit tracksuit</t>
  </si>
  <si>
    <t>https://www.myntra.com/shirts/herenow/herenow-men-navy-blue-slim-fit-printed-casual-shirt/12738214/buy</t>
  </si>
  <si>
    <t>herenow men navy blue slim fit printed casual shirt</t>
  </si>
  <si>
    <t>https://www.myntra.com/shirts/us-polo-assn/us-polo-assn-men-orange-casual-shirt/10708244/buy</t>
  </si>
  <si>
    <t>us polo assn men orange casual shirt</t>
  </si>
  <si>
    <t>https://www.myntra.com/tshirts/campus-sutra/campus-sutra-men-red-colourblocked-polo-collar-t-shirt/11582800/buy</t>
  </si>
  <si>
    <t>campus sutra men red colourblocked polo collar t shirt</t>
  </si>
  <si>
    <t>https://www.myntra.com/kurtas/vishudh/vishudh-women-off-white--coral-pink-embroidered-a-line-kurta/13481942/buy</t>
  </si>
  <si>
    <t>vishudh women off white  coral pink embroidered a line kurta</t>
  </si>
  <si>
    <t>https://www.myntra.com/kurtas/yash-gallery/yash-gallery-women-black-printed-a-line-kurta/10089303/buy</t>
  </si>
  <si>
    <t>yash gallery women black printed a line kurta</t>
  </si>
  <si>
    <t>https://www.myntra.com/sarees/inddus/inddus-blue--pink-organza-floral-printed-saree/12386522/buy</t>
  </si>
  <si>
    <t>inddus blue  pink organza floral printed saree</t>
  </si>
  <si>
    <t>https://www.myntra.com/lounge-pants/enamor/enamor-women-grey-melange-relaxed-fit-lounge-joggers/11532800/buy</t>
  </si>
  <si>
    <t>enamor women grey melange relaxed fit lounge joggers</t>
  </si>
  <si>
    <t>https://www.myntra.com/night-suits/prakrti/prakrti-women-white--blue-printed-all-over-floral-printed-cotton-night-suit-set/12317064/buy</t>
  </si>
  <si>
    <t>Prakrti</t>
  </si>
  <si>
    <t>prakrti women white  blue printed all over floral printed cotton night suit set</t>
  </si>
  <si>
    <t>https://www.myntra.com/kurtas/sangria/sangria-women-green--off-white-bandhani-printed-straight-kurta/11755142/buy</t>
  </si>
  <si>
    <t>sangria women green  off white bandhani printed straight kurta</t>
  </si>
  <si>
    <t>https://www.myntra.com/dresses/tokyo-talkies/tokyo-talkies-women-black-solid-sheath-dress/13178048/buy</t>
  </si>
  <si>
    <t>https://www.myntra.com/shorts/athena/athena-women-rose-solid-regular-fit-shorts/12035328/buy</t>
  </si>
  <si>
    <t>athena women rose solid regular fit shorts</t>
  </si>
  <si>
    <t>https://www.myntra.com/tshirts/roadster/roadster-women-pack-of-2-pure-cotton-solid-t-shirts/17383884/buy</t>
  </si>
  <si>
    <t>https://www.myntra.com/sweatshirts/roadster/roadster-women-lavender-solid-sweatshirt/11991404/buy</t>
  </si>
  <si>
    <t>https://www.myntra.com/tshirts/dressberry/dressberry-women-pack-of-2-t-shirts/17477792/buy</t>
  </si>
  <si>
    <t>https://www.myntra.com/sweaters/roadster/the-roadster-lifestyle-co-women-navy-blue--off-white-self-design-sweater/9478609/buy</t>
  </si>
  <si>
    <t>the roadster lifestyle co women navy blue  off white self design sweater</t>
  </si>
  <si>
    <t>https://www.myntra.com/dresses/tokyo-talkies/tokyo-talkies-women-maroon-maxi-dress/10085983/buy</t>
  </si>
  <si>
    <t>tokyo talkies women maroon maxi dress</t>
  </si>
  <si>
    <t>https://www.myntra.com/tshirts/roadster/roadster-women-teal-green--pink-printed-round-neck-pure-cotton-t-shirt/12193446/buy</t>
  </si>
  <si>
    <t>roadster women teal green  pink printed round neck pure cotton t shirt</t>
  </si>
  <si>
    <t>https://www.myntra.com/tshirts/ether/ether-women-yellow-solid-round-neck-t-shirt/11037342/buy</t>
  </si>
  <si>
    <t>ether women yellow solid round neck t shirt</t>
  </si>
  <si>
    <t>https://www.myntra.com/track-pants/hrx-by-hrithik-roshan/hrx-by-hrithik-roshan-men-navy-active-track-pants/1847683/buy</t>
  </si>
  <si>
    <t>hrx by hrithik roshan men navy active track pants</t>
  </si>
  <si>
    <t>https://www.myntra.com/trousers/invictus/invictus-men-charcoal-grey-slim-fit-checked-formal-trousers/7149892/buy</t>
  </si>
  <si>
    <t>invictus men charcoal grey slim fit checked formal trousers</t>
  </si>
  <si>
    <t>https://www.myntra.com/track-pants/wrogn/wrogn-black-solid-slim-fit-joggers/11361914/buy</t>
  </si>
  <si>
    <t>wrogn black solid slim fit joggers</t>
  </si>
  <si>
    <t>https://www.myntra.com/lounge-tshirts/jockey/jockey-men-pack-of-2-teal-blue-round-neck-lounge-t-shirts/11638818/buy</t>
  </si>
  <si>
    <t>jockey men pack of 2 teal blue round neck lounge t shirts</t>
  </si>
  <si>
    <t>https://www.myntra.com/tshirts/wrogn-active/wrogn-active-men-charcoal-grey-t-shirt-with-raglan-sleeves/11551930/buy</t>
  </si>
  <si>
    <t>wrogn active men charcoal grey t shirt with raglan sleeves</t>
  </si>
  <si>
    <t>https://www.myntra.com/tshirts/jockey/jockey-men-teal-blue-solid-round-neck-t-shirt/11444480/buy</t>
  </si>
  <si>
    <t>jockey men teal blue solid round neck t shirt</t>
  </si>
  <si>
    <t>https://www.myntra.com/tshirts/us-polo-assn/us-polo-assn-men-green--white-striped-polo-collar-pure-cotton-t-shirt/11359590/buy</t>
  </si>
  <si>
    <t>us polo assn men green  white striped polo collar pure cotton t shirt</t>
  </si>
  <si>
    <t>https://www.myntra.com/kurtas/herenow/herenow-women-mustard-yellow-yoke-design-straight-kurta/10324013/buy</t>
  </si>
  <si>
    <t>herenow women mustard yellow yoke design straight kurta</t>
  </si>
  <si>
    <t>https://www.myntra.com/briefs/dressberry/dressberry-women-pack-of-3-solid-bikini-briefs-db-solid-bik-new-012/14917690/buy</t>
  </si>
  <si>
    <t>dressberry women pack of 3 solid bikini briefs db solid bik new 012</t>
  </si>
  <si>
    <t>https://www.myntra.com/tshirts/dressberry/dressberry-women-pack-of-2-t-shirts/17477796/buy</t>
  </si>
  <si>
    <t>https://www.myntra.com/dresses/mast--harbour/mast--harbour-mustard-yellow-choker-neck-jumper-dress/10322893/buy</t>
  </si>
  <si>
    <t>mast  harbour mustard yellow choker neck jumper dress</t>
  </si>
  <si>
    <t>https://www.myntra.com/jackets/roadster/roadster-women-teal-solid-padded-jacket/5388172/buy</t>
  </si>
  <si>
    <t>roadster women teal solid padded jacket</t>
  </si>
  <si>
    <t>https://www.myntra.com/tshirts/roadster/roadster-women-grey-melange-solid-round-neck-crop-pure-cotton-t-shirt/11697386/buy</t>
  </si>
  <si>
    <t>roadster women grey melange solid round neck crop pure cotton t shirt</t>
  </si>
  <si>
    <t>https://www.myntra.com/tops/roadster/roadster-women-mustard-yellow-solid-pure-cotton-top/8593791/buy</t>
  </si>
  <si>
    <t>roadster women mustard yellow solid pure cotton top</t>
  </si>
  <si>
    <t>https://www.myntra.com/tops/mayra/mayra-women-brown-printed-blouson-top/7256687/buy</t>
  </si>
  <si>
    <t>mayra women brown printed blouson top</t>
  </si>
  <si>
    <t>https://www.myntra.com/tops/mayra/mayra-women-yellow-printed-blouson-top/7437276/buy</t>
  </si>
  <si>
    <t>mayra women yellow printed blouson top</t>
  </si>
  <si>
    <t>https://www.myntra.com/trousers/hm/hm-men-black-twill-trousers-slim-fit/10373911/buy</t>
  </si>
  <si>
    <t>hm men black twill trousers slim fit</t>
  </si>
  <si>
    <t>27/30, 28/30, 29/30, 30/30, 31/32, 31/30, 32/30, 33/30, 34/30, 36/32, 36/30</t>
  </si>
  <si>
    <t>https://www.myntra.com/jeans/moda-rapido/moda-rapido-men-blue-ankle-skinny-fit-mid-rise-mildly-distressed-stretchable-jeans/1822305/buy</t>
  </si>
  <si>
    <t>moda rapido men blue ankle skinny fit mid rise mildly distressed stretchable jeans</t>
  </si>
  <si>
    <t xml:space="preserve">average ifs to fill null value </t>
  </si>
  <si>
    <t>Dupliacte</t>
  </si>
  <si>
    <t>B. Data Analysis</t>
  </si>
  <si>
    <t>C. Data Retrieval and Lookup</t>
  </si>
  <si>
    <t>SIZE OPTION</t>
  </si>
  <si>
    <t>orignal data</t>
  </si>
  <si>
    <t>question 1</t>
  </si>
  <si>
    <t>Overall Average</t>
  </si>
  <si>
    <t>Count no. of products with size "m")</t>
  </si>
  <si>
    <t>Column1</t>
  </si>
  <si>
    <t xml:space="preserve">clean data first </t>
  </si>
  <si>
    <t xml:space="preserve">Discount offer &gt;50% </t>
  </si>
  <si>
    <t>Product Brand</t>
  </si>
  <si>
    <t>Price</t>
  </si>
  <si>
    <t>Rating</t>
  </si>
  <si>
    <t>DiscountPrice</t>
  </si>
  <si>
    <t>Index+Match</t>
  </si>
  <si>
    <t>Answer</t>
  </si>
  <si>
    <t xml:space="preserve">Q4. HIGH 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</si>
</sst>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0" xfId="0" applyNumberFormat="1"/>
    <xf numFmtId="0" fontId="0" fillId="8" borderId="0" xfId="0" applyFill="1"/>
    <xf numFmtId="0" fontId="0" fillId="9" borderId="0" xfId="0" applyFill="1"/>
    <xf numFmtId="9" fontId="0" fillId="0" borderId="0" xfId="0" applyNumberFormat="1"/>
    <xf numFmtId="0" fontId="2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3" formatCode="0%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23EAE-72F1-4217-82E5-DBAFD4917E1E}" name="Table1" displayName="Table1" ref="A1:M5000" totalsRowShown="0" headerRowDxfId="23" dataDxfId="21" headerRowBorderDxfId="22" tableBorderDxfId="20" totalsRowBorderDxfId="19">
  <autoFilter ref="A1:M5000" xr:uid="{CAA23EAE-72F1-4217-82E5-DBAFD4917E1E}"/>
  <tableColumns count="13">
    <tableColumn id="1" xr3:uid="{93C60099-EACB-42E7-9619-BFF5095AE654}" name="URL" dataDxfId="18"/>
    <tableColumn id="2" xr3:uid="{807538AA-FA38-48FA-9E3B-BC55FC288139}" name="Product_id" dataDxfId="17"/>
    <tableColumn id="3" xr3:uid="{9178C7E7-903C-43C3-A1E8-A573DAD3EEBB}" name="BrandName" dataDxfId="16"/>
    <tableColumn id="4" xr3:uid="{AA4F10EC-A74B-4C34-B40D-916593F949DB}" name="Category" dataDxfId="15"/>
    <tableColumn id="5" xr3:uid="{FBB7B537-0C84-4456-8DE6-7FB2D4A420DE}" name="Individual_category" dataDxfId="14"/>
    <tableColumn id="6" xr3:uid="{A8650552-FD3B-459C-B767-AAC37F8AF71B}" name="category_by_Gender" dataDxfId="13"/>
    <tableColumn id="7" xr3:uid="{8044BADD-74A5-4C2F-8A7C-AE35D5C2ACC0}" name="Description" dataDxfId="12"/>
    <tableColumn id="8" xr3:uid="{D457114D-C866-4311-A31F-72ED1F9725E1}" name="DiscountPrice (in Rs)" dataDxfId="11"/>
    <tableColumn id="9" xr3:uid="{DA404259-7F71-4BDA-A7B8-34655D400CBF}" name="OriginalPrice (in Rs)" dataDxfId="10"/>
    <tableColumn id="10" xr3:uid="{CB17D3E8-B146-46BA-B730-19CE15934455}" name="DiscountOffer" dataDxfId="9"/>
    <tableColumn id="11" xr3:uid="{DDA6F29C-981E-4754-8582-F899B75DD0F0}" name="SizeOption" dataDxfId="8"/>
    <tableColumn id="12" xr3:uid="{946278FC-74AB-4E51-AF19-DEC74EFF39E5}" name="Ratings" dataDxfId="7"/>
    <tableColumn id="13" xr3:uid="{C3A1F419-E040-4CBF-8809-AB650D4EAC98}" name="Review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815FB1-1362-467C-94E5-5643A35A24F3}" name="Table2" displayName="Table2" ref="P1:U5000" totalsRowShown="0">
  <autoFilter ref="P1:U5000" xr:uid="{A2815FB1-1362-467C-94E5-5643A35A24F3}"/>
  <tableColumns count="6">
    <tableColumn id="1" xr3:uid="{375707BA-AAF5-4C6E-9C2B-95089F852EF1}" name="clean data first ">
      <calculatedColumnFormula>TRIM(SUBSTITUTE(SUBSTITUTE(SUBSTITUTE(SUBSTITUTE(J2,"OFF",""),"Rs.",""),"Hurry*",""),",",""))</calculatedColumnFormula>
    </tableColumn>
    <tableColumn id="2" xr3:uid="{3EC3C999-2BAA-44CD-9769-D675D89A872E}" name="Column1" dataDxfId="5">
      <calculatedColumnFormula>IF(P2="","",IF(ISNUMBER(SEARCH("%",P2)),P2,P2/I2)*100%)</calculatedColumnFormula>
    </tableColumn>
    <tableColumn id="5" xr3:uid="{75755712-C134-494F-8839-4A43DD309C74}" name="orignal data" dataDxfId="4">
      <calculatedColumnFormula>IF(P2="","",I2-(I2*Q2))</calculatedColumnFormula>
    </tableColumn>
    <tableColumn id="3" xr3:uid="{4E2BFCAC-6EAA-4C67-8ED7-D585EC1207E6}" name="average ifs to fill null value " dataDxfId="3">
      <calculatedColumnFormula>IF(R2="",AVERAGEIF(Table1[Category],Table1[[#This Row],[Category]],Table2[orignal data]),Table2[[#This Row],[orignal data]])</calculatedColumnFormula>
    </tableColumn>
    <tableColumn id="4" xr3:uid="{19E6B333-20A8-4F94-A391-B6BF4C4BECA6}" name="Dupliacte" dataDxfId="2">
      <calculatedColumnFormula>IF(COUNTIF($B$2:$B$5000,B2)&gt;1,"DUPLICATE","UNIQUE")</calculatedColumnFormula>
    </tableColumn>
    <tableColumn id="6" xr3:uid="{8B812CC2-1268-4FBE-9029-9467FA3509FD}" name="SIZE OPTION" dataDxfId="1">
      <calculatedColumnFormula>IF(ISBLANK(Table1[[#This Row],[SizeOption]]),"NOT AVAILABLE",Table1[[#This Row],[SizeOption]])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12B-2441-4655-8CB4-4D3343D03947}">
  <dimension ref="A1:AH5000"/>
  <sheetViews>
    <sheetView tabSelected="1" topLeftCell="I1" workbookViewId="0">
      <selection activeCell="Q2" sqref="Q2"/>
    </sheetView>
  </sheetViews>
  <sheetFormatPr defaultRowHeight="15" x14ac:dyDescent="0.25"/>
  <cols>
    <col min="2" max="2" width="12.85546875" bestFit="1" customWidth="1"/>
    <col min="3" max="3" width="30.7109375" bestFit="1" customWidth="1"/>
    <col min="4" max="4" width="24.140625" bestFit="1" customWidth="1"/>
    <col min="5" max="5" width="21" bestFit="1" customWidth="1"/>
    <col min="6" max="6" width="22" bestFit="1" customWidth="1"/>
    <col min="7" max="7" width="99.42578125" bestFit="1" customWidth="1"/>
    <col min="8" max="8" width="21.7109375" bestFit="1" customWidth="1"/>
    <col min="9" max="9" width="21" bestFit="1" customWidth="1"/>
    <col min="10" max="10" width="15.85546875" bestFit="1" customWidth="1"/>
    <col min="11" max="11" width="34.28515625" customWidth="1"/>
    <col min="12" max="12" width="9.7109375" bestFit="1" customWidth="1"/>
    <col min="13" max="13" width="10.7109375" bestFit="1" customWidth="1"/>
    <col min="15" max="15" width="10.28515625" bestFit="1" customWidth="1"/>
    <col min="16" max="16" width="16.85546875" bestFit="1" customWidth="1"/>
    <col min="17" max="17" width="12" style="12" bestFit="1" customWidth="1"/>
    <col min="18" max="18" width="13.7109375" bestFit="1" customWidth="1"/>
    <col min="19" max="19" width="28.140625" bestFit="1" customWidth="1"/>
    <col min="20" max="20" width="11.7109375" bestFit="1" customWidth="1"/>
    <col min="21" max="21" width="23.5703125" customWidth="1"/>
    <col min="23" max="23" width="10.28515625" bestFit="1" customWidth="1"/>
    <col min="24" max="24" width="33.5703125" bestFit="1" customWidth="1"/>
    <col min="25" max="25" width="33.5703125" customWidth="1"/>
    <col min="26" max="26" width="22" bestFit="1" customWidth="1"/>
    <col min="27" max="27" width="33.5703125" bestFit="1" customWidth="1"/>
    <col min="28" max="28" width="22.28515625" customWidth="1"/>
    <col min="31" max="31" width="25" customWidth="1"/>
    <col min="32" max="32" width="18.140625" customWidth="1"/>
    <col min="33" max="33" width="22.28515625" customWidth="1"/>
    <col min="34" max="34" width="27.28515625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19" t="s">
        <v>10174</v>
      </c>
      <c r="P1" t="s">
        <v>10178</v>
      </c>
      <c r="Q1" s="12" t="s">
        <v>10177</v>
      </c>
      <c r="R1" t="s">
        <v>10173</v>
      </c>
      <c r="S1" t="s">
        <v>10168</v>
      </c>
      <c r="T1" t="s">
        <v>10169</v>
      </c>
      <c r="U1" t="s">
        <v>10172</v>
      </c>
      <c r="W1" s="19" t="s">
        <v>10170</v>
      </c>
      <c r="X1" s="5" t="s">
        <v>10175</v>
      </c>
      <c r="Y1" s="7" t="s">
        <v>10186</v>
      </c>
      <c r="Z1" s="19" t="s">
        <v>10171</v>
      </c>
      <c r="AA1" s="20">
        <v>11226634</v>
      </c>
      <c r="AB1" s="10" t="s">
        <v>10180</v>
      </c>
      <c r="AC1" s="18">
        <v>6744434</v>
      </c>
      <c r="AD1" s="18"/>
      <c r="AE1" s="13" t="s">
        <v>10183</v>
      </c>
      <c r="AF1" s="14" t="s">
        <v>10185</v>
      </c>
      <c r="AG1" s="18">
        <v>11226634</v>
      </c>
      <c r="AH1" s="17" t="s">
        <v>3</v>
      </c>
    </row>
    <row r="2" spans="1:34" x14ac:dyDescent="0.25">
      <c r="A2" s="1" t="s">
        <v>13</v>
      </c>
      <c r="B2" s="1">
        <v>2296012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824</v>
      </c>
      <c r="I2" s="1">
        <v>1499</v>
      </c>
      <c r="J2" s="1" t="s">
        <v>19</v>
      </c>
      <c r="K2" s="1" t="s">
        <v>20</v>
      </c>
      <c r="L2" s="1">
        <v>3.9</v>
      </c>
      <c r="M2" s="1">
        <v>999</v>
      </c>
      <c r="O2" s="19"/>
      <c r="P2" t="str">
        <f>TRIM(SUBSTITUTE(SUBSTITUTE(SUBSTITUTE(SUBSTITUTE(J2,"OFF",""),"Rs.",""),"Hurry*",""),",",""))</f>
        <v>45%</v>
      </c>
      <c r="Q2" s="12">
        <f>IF(P2="","",IF(ISNUMBER(SEARCH("%",P2)),P2,P2/I2)*100%)</f>
        <v>0.45</v>
      </c>
      <c r="R2" s="9">
        <f t="shared" ref="R2:R65" si="0">IF(P2="","",I2-(I2*Q2))</f>
        <v>824.44999999999993</v>
      </c>
      <c r="S2" s="9">
        <f>IF(R2="",AVERAGEIF(Table1[Category],Table1[[#This Row],[Category]],Table2[orignal data]),Table2[[#This Row],[orignal data]])</f>
        <v>824.44999999999993</v>
      </c>
      <c r="T2" t="str">
        <f t="shared" ref="T2:T65" si="1">IF(COUNTIF($B$2:$B$5000,B2)&gt;1,"DUPLICATE","UNIQUE")</f>
        <v>UNIQUE</v>
      </c>
      <c r="U2" t="str">
        <f>IF(ISBLANK(Table1[[#This Row],[SizeOption]]),"NOT AVAILABLE",Table1[[#This Row],[SizeOption]])</f>
        <v>28, 30, 32, 34, 36</v>
      </c>
      <c r="W2" s="19"/>
      <c r="X2" s="8">
        <f>AVERAGEIFS(I2:I5000,L2:L5000,"&gt;4")</f>
        <v>1621.5491297024143</v>
      </c>
      <c r="Y2" t="str">
        <f>IF(Table2[[#This Row],[Column1]]&gt;50%,"HIGH DISCOUNT","LOW DISCOUNT")</f>
        <v>LOW DISCOUNT</v>
      </c>
      <c r="Z2" s="19"/>
      <c r="AA2" s="20"/>
      <c r="AB2" s="11" t="str">
        <f>_xlfn.XLOOKUP(AA1,Table1[Product_id],Table1[BrandName])</f>
        <v>Maniac</v>
      </c>
      <c r="AC2" s="18"/>
      <c r="AD2" s="18"/>
      <c r="AE2" s="15" t="s">
        <v>10184</v>
      </c>
      <c r="AF2" s="14">
        <f>INDEX(Table2[[average ifs to fill null value ]],MATCH(AC1,Table1[Product_id],0))</f>
        <v>599.6</v>
      </c>
      <c r="AG2" s="18"/>
      <c r="AH2" t="str" cm="1">
        <f t="array" ref="AH2">_xlfn.XLOOKUP(AG1,Table1[Product_id],_xlfn.XLOOKUP(AH1,Table1[[#Headers],[BrandName]:[Category]],Table1[[BrandName]:[Category]]))</f>
        <v>Sports Wear</v>
      </c>
    </row>
    <row r="3" spans="1:34" ht="15.75" customHeight="1" x14ac:dyDescent="0.25">
      <c r="A3" s="2" t="s">
        <v>21</v>
      </c>
      <c r="B3" s="2">
        <v>13780156</v>
      </c>
      <c r="C3" s="2" t="s">
        <v>22</v>
      </c>
      <c r="D3" s="2" t="s">
        <v>15</v>
      </c>
      <c r="E3" s="2" t="s">
        <v>23</v>
      </c>
      <c r="F3" s="2" t="s">
        <v>17</v>
      </c>
      <c r="G3" s="2" t="s">
        <v>24</v>
      </c>
      <c r="H3">
        <v>517</v>
      </c>
      <c r="I3" s="2">
        <v>1149</v>
      </c>
      <c r="J3" s="2" t="s">
        <v>25</v>
      </c>
      <c r="K3" s="2" t="s">
        <v>26</v>
      </c>
      <c r="L3" s="2">
        <v>4</v>
      </c>
      <c r="M3" s="2">
        <v>999</v>
      </c>
      <c r="O3" s="19"/>
      <c r="P3" t="str">
        <f t="shared" ref="P3:P66" si="2">TRIM(SUBSTITUTE(SUBSTITUTE(SUBSTITUTE(SUBSTITUTE(J3,"OFF",""),"Rs.",""),"Hurry*",""),",",""))</f>
        <v>55%</v>
      </c>
      <c r="Q3" s="12">
        <f t="shared" ref="Q2:Q65" si="3">IF(P3="","",IF(ISNUMBER(SEARCH("%",P3)),P3,P3/I3)*100%)</f>
        <v>0.55000000000000004</v>
      </c>
      <c r="R3" s="9">
        <f t="shared" si="0"/>
        <v>517.04999999999995</v>
      </c>
      <c r="S3" s="9">
        <f>IF(R3="",AVERAGEIF(Table1[Category],Table1[[#This Row],[Category]],Table2[orignal data]),Table2[[#This Row],[orignal data]])</f>
        <v>517.04999999999995</v>
      </c>
      <c r="T3" t="str">
        <f t="shared" si="1"/>
        <v>UNIQUE</v>
      </c>
      <c r="U3" t="str">
        <f>IF(ISBLANK(Table1[[#This Row],[SizeOption]]),"NOT AVAILABLE",Table1[[#This Row],[SizeOption]])</f>
        <v>S, M, L, XL</v>
      </c>
      <c r="W3" s="19"/>
      <c r="Y3" t="str">
        <f>IF(Table2[[#This Row],[Column1]]&gt;50%,"HIGH DISCOUNT","LOW DISCOUNT")</f>
        <v>HIGH DISCOUNT</v>
      </c>
      <c r="Z3" s="19"/>
      <c r="AA3" s="20"/>
      <c r="AC3" s="18"/>
      <c r="AD3" s="18"/>
      <c r="AE3" s="16"/>
      <c r="AF3" s="16"/>
      <c r="AG3" s="18"/>
    </row>
    <row r="4" spans="1:34" x14ac:dyDescent="0.25">
      <c r="A4" s="1" t="s">
        <v>27</v>
      </c>
      <c r="B4" s="1">
        <v>11895958</v>
      </c>
      <c r="C4" s="1" t="s">
        <v>14</v>
      </c>
      <c r="D4" s="1" t="s">
        <v>28</v>
      </c>
      <c r="E4" s="1" t="s">
        <v>29</v>
      </c>
      <c r="F4" s="1" t="s">
        <v>17</v>
      </c>
      <c r="G4" s="1" t="s">
        <v>30</v>
      </c>
      <c r="H4">
        <v>629</v>
      </c>
      <c r="I4" s="1">
        <v>1399</v>
      </c>
      <c r="J4" s="1" t="s">
        <v>25</v>
      </c>
      <c r="K4" s="1" t="s">
        <v>31</v>
      </c>
      <c r="L4" s="1">
        <v>4.3</v>
      </c>
      <c r="M4" s="1">
        <v>999</v>
      </c>
      <c r="O4" s="19"/>
      <c r="P4" t="str">
        <f t="shared" si="2"/>
        <v>55%</v>
      </c>
      <c r="Q4" s="12">
        <f t="shared" si="3"/>
        <v>0.55000000000000004</v>
      </c>
      <c r="R4" s="9">
        <f t="shared" si="0"/>
        <v>629.54999999999995</v>
      </c>
      <c r="S4" s="9">
        <f>IF(R4="",AVERAGEIF(Table1[Category],Table1[[#This Row],[Category]],Table2[orignal data]),Table2[[#This Row],[orignal data]])</f>
        <v>629.54999999999995</v>
      </c>
      <c r="T4" t="str">
        <f t="shared" si="1"/>
        <v>UNIQUE</v>
      </c>
      <c r="U4" t="str">
        <f>IF(ISBLANK(Table1[[#This Row],[SizeOption]]),"NOT AVAILABLE",Table1[[#This Row],[SizeOption]])</f>
        <v>38, 40, 42, 44, 46, 48</v>
      </c>
      <c r="W4" s="19"/>
      <c r="X4" s="6" t="s">
        <v>10179</v>
      </c>
      <c r="Y4" t="str">
        <f>IF(Table2[[#This Row],[Column1]]&gt;50%,"HIGH DISCOUNT","LOW DISCOUNT")</f>
        <v>HIGH DISCOUNT</v>
      </c>
      <c r="Z4" s="19"/>
      <c r="AA4" s="20"/>
      <c r="AB4" s="10" t="s">
        <v>10181</v>
      </c>
      <c r="AC4" s="18"/>
      <c r="AD4" s="18"/>
      <c r="AF4" s="16"/>
      <c r="AG4" s="18"/>
    </row>
    <row r="5" spans="1:34" x14ac:dyDescent="0.25">
      <c r="A5" s="2" t="s">
        <v>32</v>
      </c>
      <c r="B5" s="2">
        <v>4335679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>
        <v>893</v>
      </c>
      <c r="I5" s="2">
        <v>1295</v>
      </c>
      <c r="J5" s="2" t="s">
        <v>38</v>
      </c>
      <c r="K5" s="2" t="s">
        <v>39</v>
      </c>
      <c r="L5" s="2">
        <v>4.2</v>
      </c>
      <c r="M5" s="2">
        <v>999</v>
      </c>
      <c r="O5" s="19"/>
      <c r="P5" t="str">
        <f t="shared" si="2"/>
        <v>31%</v>
      </c>
      <c r="Q5" s="12">
        <f t="shared" si="3"/>
        <v>0.31</v>
      </c>
      <c r="R5" s="9">
        <f t="shared" si="0"/>
        <v>893.55</v>
      </c>
      <c r="S5" s="9">
        <f>IF(R5="",AVERAGEIF(Table1[Category],Table1[[#This Row],[Category]],Table2[orignal data]),Table2[[#This Row],[orignal data]])</f>
        <v>893.55</v>
      </c>
      <c r="T5" t="str">
        <f t="shared" si="1"/>
        <v>UNIQUE</v>
      </c>
      <c r="U5" t="str">
        <f>IF(ISBLANK(Table1[[#This Row],[SizeOption]]),"NOT AVAILABLE",Table1[[#This Row],[SizeOption]])</f>
        <v>S, M, L, XL, XXL</v>
      </c>
      <c r="W5" s="19"/>
      <c r="X5" s="8">
        <f>COUNTIF(Table2[Column1],"&gt;50%")</f>
        <v>2715</v>
      </c>
      <c r="Y5" t="str">
        <f>IF(Table2[[#This Row],[Column1]]&gt;50%,"HIGH DISCOUNT","LOW DISCOUNT")</f>
        <v>LOW DISCOUNT</v>
      </c>
      <c r="Z5" s="19"/>
      <c r="AA5" s="20"/>
      <c r="AB5" s="11">
        <f>_xlfn.XLOOKUP(AA1,Table1[Product_id],Table1[OriginalPrice (in Rs)])</f>
        <v>1199</v>
      </c>
      <c r="AC5" s="18"/>
      <c r="AD5" s="18"/>
      <c r="AG5" s="18"/>
    </row>
    <row r="6" spans="1:34" x14ac:dyDescent="0.25">
      <c r="A6" s="1" t="s">
        <v>40</v>
      </c>
      <c r="B6" s="1">
        <v>11690882</v>
      </c>
      <c r="C6" s="1" t="s">
        <v>14</v>
      </c>
      <c r="D6" s="1" t="s">
        <v>41</v>
      </c>
      <c r="E6" s="1" t="s">
        <v>42</v>
      </c>
      <c r="F6" s="1" t="s">
        <v>36</v>
      </c>
      <c r="G6" s="1" t="s">
        <v>43</v>
      </c>
      <c r="I6" s="1">
        <v>599</v>
      </c>
      <c r="J6" s="1" t="s">
        <v>44</v>
      </c>
      <c r="K6" s="1" t="s">
        <v>45</v>
      </c>
      <c r="L6" s="1">
        <v>4.2</v>
      </c>
      <c r="M6" s="1">
        <v>999</v>
      </c>
      <c r="O6" s="19"/>
      <c r="P6" t="str">
        <f t="shared" si="2"/>
        <v>35%</v>
      </c>
      <c r="Q6" s="12">
        <f t="shared" si="3"/>
        <v>0.35</v>
      </c>
      <c r="R6" s="9">
        <f t="shared" si="0"/>
        <v>389.35</v>
      </c>
      <c r="S6" s="9">
        <f>IF(R6="",AVERAGEIF(Table1[Category],Table1[[#This Row],[Category]],Table2[orignal data]),Table2[[#This Row],[orignal data]])</f>
        <v>389.35</v>
      </c>
      <c r="T6" t="str">
        <f t="shared" si="1"/>
        <v>UNIQUE</v>
      </c>
      <c r="U6" t="str">
        <f>IF(ISBLANK(Table1[[#This Row],[SizeOption]]),"NOT AVAILABLE",Table1[[#This Row],[SizeOption]])</f>
        <v>XS, S, M, L, XL</v>
      </c>
      <c r="Y6" t="str">
        <f>IF(Table2[[#This Row],[Column1]]&gt;50%,"HIGH DISCOUNT","LOW DISCOUNT")</f>
        <v>LOW DISCOUNT</v>
      </c>
      <c r="AA6" s="20"/>
      <c r="AC6" s="18"/>
      <c r="AD6" s="18"/>
      <c r="AG6" s="18"/>
    </row>
    <row r="7" spans="1:34" x14ac:dyDescent="0.25">
      <c r="A7" s="2" t="s">
        <v>46</v>
      </c>
      <c r="B7" s="2">
        <v>2490950</v>
      </c>
      <c r="C7" s="2" t="s">
        <v>47</v>
      </c>
      <c r="D7" s="2" t="s">
        <v>41</v>
      </c>
      <c r="E7" s="2" t="s">
        <v>48</v>
      </c>
      <c r="F7" s="2" t="s">
        <v>36</v>
      </c>
      <c r="G7" s="2" t="s">
        <v>49</v>
      </c>
      <c r="I7" s="2">
        <v>599</v>
      </c>
      <c r="J7" s="2" t="s">
        <v>50</v>
      </c>
      <c r="K7" s="2" t="s">
        <v>45</v>
      </c>
      <c r="L7" s="2">
        <v>4.4000000000000004</v>
      </c>
      <c r="M7" s="2">
        <v>999</v>
      </c>
      <c r="O7" s="19"/>
      <c r="P7" t="str">
        <f t="shared" si="2"/>
        <v>40%</v>
      </c>
      <c r="Q7" s="12">
        <f t="shared" si="3"/>
        <v>0.4</v>
      </c>
      <c r="R7" s="9">
        <f t="shared" si="0"/>
        <v>359.4</v>
      </c>
      <c r="S7" s="9">
        <f>IF(R7="",AVERAGEIF(Table1[Category],Table1[[#This Row],[Category]],Table2[orignal data]),Table2[[#This Row],[orignal data]])</f>
        <v>359.4</v>
      </c>
      <c r="T7" t="str">
        <f t="shared" si="1"/>
        <v>UNIQUE</v>
      </c>
      <c r="U7" t="str">
        <f>IF(ISBLANK(Table1[[#This Row],[SizeOption]]),"NOT AVAILABLE",Table1[[#This Row],[SizeOption]])</f>
        <v>XS, S, M, L, XL</v>
      </c>
      <c r="X7" s="7" t="s">
        <v>10176</v>
      </c>
      <c r="Y7" t="str">
        <f>IF(Table2[[#This Row],[Column1]]&gt;50%,"HIGH DISCOUNT","LOW DISCOUNT")</f>
        <v>LOW DISCOUNT</v>
      </c>
      <c r="AA7" s="20"/>
      <c r="AB7" s="10" t="s">
        <v>10182</v>
      </c>
      <c r="AC7" s="18"/>
      <c r="AD7" s="18"/>
      <c r="AG7" s="18"/>
    </row>
    <row r="8" spans="1:34" x14ac:dyDescent="0.25">
      <c r="A8" s="1" t="s">
        <v>51</v>
      </c>
      <c r="B8" s="1">
        <v>6744434</v>
      </c>
      <c r="C8" s="1" t="s">
        <v>52</v>
      </c>
      <c r="D8" s="1" t="s">
        <v>15</v>
      </c>
      <c r="E8" s="1" t="s">
        <v>53</v>
      </c>
      <c r="F8" s="1" t="s">
        <v>17</v>
      </c>
      <c r="G8" s="1" t="s">
        <v>54</v>
      </c>
      <c r="H8">
        <v>599</v>
      </c>
      <c r="I8" s="1">
        <v>1499</v>
      </c>
      <c r="J8" s="1" t="s">
        <v>55</v>
      </c>
      <c r="K8" s="1" t="s">
        <v>56</v>
      </c>
      <c r="L8" s="1">
        <v>3.9</v>
      </c>
      <c r="M8" s="1">
        <v>998</v>
      </c>
      <c r="P8" t="str">
        <f t="shared" si="2"/>
        <v>60%</v>
      </c>
      <c r="Q8" s="12">
        <f t="shared" si="3"/>
        <v>0.6</v>
      </c>
      <c r="R8" s="9">
        <f t="shared" si="0"/>
        <v>599.6</v>
      </c>
      <c r="S8" s="9">
        <f>IF(R8="",AVERAGEIF(Table1[Category],Table1[[#This Row],[Category]],Table2[orignal data]),Table2[[#This Row],[orignal data]])</f>
        <v>599.6</v>
      </c>
      <c r="T8" t="str">
        <f t="shared" si="1"/>
        <v>UNIQUE</v>
      </c>
      <c r="U8" t="str">
        <f>IF(ISBLANK(Table1[[#This Row],[SizeOption]]),"NOT AVAILABLE",Table1[[#This Row],[SizeOption]])</f>
        <v>30, 32, 34, 36</v>
      </c>
      <c r="X8" s="8">
        <f>COUNTIF(Table2[SIZE OPTION],"*M*")</f>
        <v>3344</v>
      </c>
      <c r="Y8" t="str">
        <f>IF(Table2[[#This Row],[Column1]]&gt;50%,"HIGH DISCOUNT","LOW DISCOUNT")</f>
        <v>HIGH DISCOUNT</v>
      </c>
      <c r="AA8" s="20"/>
      <c r="AB8" s="11">
        <f>VLOOKUP(AA1,Table1[[#All],[Product_id]:[Ratings]],11,0)</f>
        <v>3.9</v>
      </c>
      <c r="AC8" s="18"/>
      <c r="AD8" s="18"/>
      <c r="AG8" s="18"/>
    </row>
    <row r="9" spans="1:34" x14ac:dyDescent="0.25">
      <c r="A9" s="2" t="s">
        <v>57</v>
      </c>
      <c r="B9" s="2">
        <v>8439415</v>
      </c>
      <c r="C9" s="2" t="s">
        <v>58</v>
      </c>
      <c r="D9" s="2" t="s">
        <v>41</v>
      </c>
      <c r="E9" s="2" t="s">
        <v>48</v>
      </c>
      <c r="F9" s="2" t="s">
        <v>36</v>
      </c>
      <c r="G9" s="2" t="s">
        <v>59</v>
      </c>
      <c r="I9" s="2">
        <v>1395</v>
      </c>
      <c r="J9" s="2" t="s">
        <v>60</v>
      </c>
      <c r="K9" s="2" t="s">
        <v>26</v>
      </c>
      <c r="L9" s="2">
        <v>3.7</v>
      </c>
      <c r="M9" s="2">
        <v>998</v>
      </c>
      <c r="P9" t="str">
        <f t="shared" si="2"/>
        <v>58%</v>
      </c>
      <c r="Q9" s="12">
        <f t="shared" si="3"/>
        <v>0.57999999999999996</v>
      </c>
      <c r="R9" s="9">
        <f t="shared" si="0"/>
        <v>585.90000000000009</v>
      </c>
      <c r="S9" s="9">
        <f>IF(R9="",AVERAGEIF(Table1[Category],Table1[[#This Row],[Category]],Table2[orignal data]),Table2[[#This Row],[orignal data]])</f>
        <v>585.90000000000009</v>
      </c>
      <c r="T9" t="str">
        <f t="shared" si="1"/>
        <v>UNIQUE</v>
      </c>
      <c r="U9" t="str">
        <f>IF(ISBLANK(Table1[[#This Row],[SizeOption]]),"NOT AVAILABLE",Table1[[#This Row],[SizeOption]])</f>
        <v>S, M, L, XL</v>
      </c>
      <c r="Y9" t="str">
        <f>IF(Table2[[#This Row],[Column1]]&gt;50%,"HIGH DISCOUNT","LOW DISCOUNT")</f>
        <v>HIGH DISCOUNT</v>
      </c>
    </row>
    <row r="10" spans="1:34" x14ac:dyDescent="0.25">
      <c r="A10" s="1" t="s">
        <v>61</v>
      </c>
      <c r="B10" s="1">
        <v>17381394</v>
      </c>
      <c r="C10" s="1" t="s">
        <v>14</v>
      </c>
      <c r="D10" s="1" t="s">
        <v>41</v>
      </c>
      <c r="E10" s="1" t="s">
        <v>42</v>
      </c>
      <c r="F10" s="1" t="s">
        <v>36</v>
      </c>
      <c r="G10" s="1" t="s">
        <v>62</v>
      </c>
      <c r="I10" s="1">
        <v>1098</v>
      </c>
      <c r="J10" s="1"/>
      <c r="K10" s="1" t="s">
        <v>45</v>
      </c>
      <c r="L10" s="1">
        <v>4.3</v>
      </c>
      <c r="M10" s="1">
        <v>997</v>
      </c>
      <c r="P10" t="str">
        <f t="shared" si="2"/>
        <v/>
      </c>
      <c r="Q10" s="12" t="str">
        <f t="shared" si="3"/>
        <v/>
      </c>
      <c r="R10" s="9" t="str">
        <f t="shared" si="0"/>
        <v/>
      </c>
      <c r="S10" s="9">
        <f>IF(R10="",AVERAGEIF(Table1[Category],Table1[[#This Row],[Category]],Table2[orignal data]),Table2[[#This Row],[orignal data]])</f>
        <v>715.78890751086249</v>
      </c>
      <c r="T10" t="str">
        <f t="shared" si="1"/>
        <v>UNIQUE</v>
      </c>
      <c r="U10" t="str">
        <f>IF(ISBLANK(Table1[[#This Row],[SizeOption]]),"NOT AVAILABLE",Table1[[#This Row],[SizeOption]])</f>
        <v>XS, S, M, L, XL</v>
      </c>
      <c r="Y10" t="str">
        <f>IF(Table2[[#This Row],[Column1]]&gt;50%,"HIGH DISCOUNT","LOW DISCOUNT")</f>
        <v>HIGH DISCOUNT</v>
      </c>
    </row>
    <row r="11" spans="1:34" x14ac:dyDescent="0.25">
      <c r="A11" s="2" t="s">
        <v>63</v>
      </c>
      <c r="B11" s="2">
        <v>2359257</v>
      </c>
      <c r="C11" s="2" t="s">
        <v>64</v>
      </c>
      <c r="D11" s="2" t="s">
        <v>15</v>
      </c>
      <c r="E11" s="2" t="s">
        <v>16</v>
      </c>
      <c r="F11" s="2" t="s">
        <v>17</v>
      </c>
      <c r="G11" s="2" t="s">
        <v>65</v>
      </c>
      <c r="I11" s="2">
        <v>2749</v>
      </c>
      <c r="J11" s="2"/>
      <c r="K11" s="2" t="s">
        <v>20</v>
      </c>
      <c r="L11" s="2">
        <v>3.5</v>
      </c>
      <c r="M11" s="2">
        <v>996</v>
      </c>
      <c r="P11" t="str">
        <f t="shared" si="2"/>
        <v/>
      </c>
      <c r="Q11" s="12" t="str">
        <f t="shared" si="3"/>
        <v/>
      </c>
      <c r="R11" s="9" t="str">
        <f t="shared" si="0"/>
        <v/>
      </c>
      <c r="S11" s="9">
        <f>IF(R11="",AVERAGEIF(Table1[Category],Table1[[#This Row],[Category]],Table2[orignal data]),Table2[[#This Row],[orignal data]])</f>
        <v>892.27590339892538</v>
      </c>
      <c r="T11" t="str">
        <f t="shared" si="1"/>
        <v>UNIQUE</v>
      </c>
      <c r="U11" t="str">
        <f>IF(ISBLANK(Table1[[#This Row],[SizeOption]]),"NOT AVAILABLE",Table1[[#This Row],[SizeOption]])</f>
        <v>28, 30, 32, 34, 36</v>
      </c>
      <c r="Y11" t="str">
        <f>IF(Table2[[#This Row],[Column1]]&gt;50%,"HIGH DISCOUNT","LOW DISCOUNT")</f>
        <v>HIGH DISCOUNT</v>
      </c>
    </row>
    <row r="12" spans="1:34" x14ac:dyDescent="0.25">
      <c r="A12" s="1" t="s">
        <v>66</v>
      </c>
      <c r="B12" s="1">
        <v>7695793</v>
      </c>
      <c r="C12" s="1" t="s">
        <v>67</v>
      </c>
      <c r="D12" s="1" t="s">
        <v>68</v>
      </c>
      <c r="E12" s="1" t="s">
        <v>69</v>
      </c>
      <c r="F12" s="1" t="s">
        <v>17</v>
      </c>
      <c r="G12" s="1" t="s">
        <v>70</v>
      </c>
      <c r="H12">
        <v>1214</v>
      </c>
      <c r="I12" s="1">
        <v>2699</v>
      </c>
      <c r="J12" s="1" t="s">
        <v>25</v>
      </c>
      <c r="K12" s="1" t="s">
        <v>39</v>
      </c>
      <c r="L12" s="1">
        <v>4.4000000000000004</v>
      </c>
      <c r="M12" s="1">
        <v>996</v>
      </c>
      <c r="P12" t="str">
        <f t="shared" si="2"/>
        <v>55%</v>
      </c>
      <c r="Q12" s="12">
        <f t="shared" si="3"/>
        <v>0.55000000000000004</v>
      </c>
      <c r="R12" s="9">
        <f t="shared" si="0"/>
        <v>1214.55</v>
      </c>
      <c r="S12" s="9">
        <f>IF(R12="",AVERAGEIF(Table1[Category],Table1[[#This Row],[Category]],Table2[orignal data]),Table2[[#This Row],[orignal data]])</f>
        <v>1214.55</v>
      </c>
      <c r="T12" t="str">
        <f t="shared" si="1"/>
        <v>UNIQUE</v>
      </c>
      <c r="U12" t="str">
        <f>IF(ISBLANK(Table1[[#This Row],[SizeOption]]),"NOT AVAILABLE",Table1[[#This Row],[SizeOption]])</f>
        <v>S, M, L, XL, XXL</v>
      </c>
      <c r="Y12" t="str">
        <f>IF(Table2[[#This Row],[Column1]]&gt;50%,"HIGH DISCOUNT","LOW DISCOUNT")</f>
        <v>HIGH DISCOUNT</v>
      </c>
    </row>
    <row r="13" spans="1:34" x14ac:dyDescent="0.25">
      <c r="A13" s="2" t="s">
        <v>71</v>
      </c>
      <c r="B13" s="2">
        <v>10307375</v>
      </c>
      <c r="C13" s="2" t="s">
        <v>14</v>
      </c>
      <c r="D13" s="2" t="s">
        <v>28</v>
      </c>
      <c r="E13" s="2" t="s">
        <v>42</v>
      </c>
      <c r="F13" s="2" t="s">
        <v>17</v>
      </c>
      <c r="G13" s="2" t="s">
        <v>72</v>
      </c>
      <c r="I13" s="2">
        <v>699</v>
      </c>
      <c r="J13" s="2"/>
      <c r="K13" s="2" t="s">
        <v>73</v>
      </c>
      <c r="L13" s="2">
        <v>4.0999999999999996</v>
      </c>
      <c r="M13" s="2">
        <v>996</v>
      </c>
      <c r="P13" t="str">
        <f t="shared" si="2"/>
        <v/>
      </c>
      <c r="Q13" s="12" t="str">
        <f t="shared" si="3"/>
        <v/>
      </c>
      <c r="R13" s="9" t="str">
        <f t="shared" si="0"/>
        <v/>
      </c>
      <c r="S13" s="9">
        <f>IF(R13="",AVERAGEIF(Table1[Category],Table1[[#This Row],[Category]],Table2[orignal data]),Table2[[#This Row],[orignal data]])</f>
        <v>671.7823941958867</v>
      </c>
      <c r="T13" t="str">
        <f t="shared" si="1"/>
        <v>UNIQUE</v>
      </c>
      <c r="U13" t="str">
        <f>IF(ISBLANK(Table1[[#This Row],[SizeOption]]),"NOT AVAILABLE",Table1[[#This Row],[SizeOption]])</f>
        <v>XS, S, M, L, XL, XXL, 3XL, 4XL</v>
      </c>
      <c r="Y13" t="str">
        <f>IF(Table2[[#This Row],[Column1]]&gt;50%,"HIGH DISCOUNT","LOW DISCOUNT")</f>
        <v>HIGH DISCOUNT</v>
      </c>
    </row>
    <row r="14" spans="1:34" x14ac:dyDescent="0.25">
      <c r="A14" s="1" t="s">
        <v>74</v>
      </c>
      <c r="B14" s="1">
        <v>12873874</v>
      </c>
      <c r="C14" s="1" t="s">
        <v>75</v>
      </c>
      <c r="D14" s="1" t="s">
        <v>76</v>
      </c>
      <c r="E14" s="1" t="s">
        <v>77</v>
      </c>
      <c r="F14" s="1" t="s">
        <v>36</v>
      </c>
      <c r="G14" s="1" t="s">
        <v>78</v>
      </c>
      <c r="H14">
        <v>1019</v>
      </c>
      <c r="I14" s="1">
        <v>3399</v>
      </c>
      <c r="J14" s="1" t="s">
        <v>79</v>
      </c>
      <c r="K14" s="1" t="s">
        <v>39</v>
      </c>
      <c r="L14" s="1">
        <v>4.2</v>
      </c>
      <c r="M14" s="1">
        <v>996</v>
      </c>
      <c r="P14" t="str">
        <f t="shared" si="2"/>
        <v>70%</v>
      </c>
      <c r="Q14" s="12">
        <f t="shared" si="3"/>
        <v>0.7</v>
      </c>
      <c r="R14" s="9">
        <f t="shared" si="0"/>
        <v>1019.7000000000003</v>
      </c>
      <c r="S14" s="9">
        <f>IF(R14="",AVERAGEIF(Table1[Category],Table1[[#This Row],[Category]],Table2[orignal data]),Table2[[#This Row],[orignal data]])</f>
        <v>1019.7000000000003</v>
      </c>
      <c r="T14" t="str">
        <f t="shared" si="1"/>
        <v>UNIQUE</v>
      </c>
      <c r="U14" t="str">
        <f>IF(ISBLANK(Table1[[#This Row],[SizeOption]]),"NOT AVAILABLE",Table1[[#This Row],[SizeOption]])</f>
        <v>S, M, L, XL, XXL</v>
      </c>
      <c r="Y14" t="str">
        <f>IF(Table2[[#This Row],[Column1]]&gt;50%,"HIGH DISCOUNT","LOW DISCOUNT")</f>
        <v>HIGH DISCOUNT</v>
      </c>
    </row>
    <row r="15" spans="1:34" x14ac:dyDescent="0.25">
      <c r="A15" s="2" t="s">
        <v>80</v>
      </c>
      <c r="B15" s="2">
        <v>11634538</v>
      </c>
      <c r="C15" s="2" t="s">
        <v>81</v>
      </c>
      <c r="D15" s="2" t="s">
        <v>41</v>
      </c>
      <c r="E15" s="2" t="s">
        <v>82</v>
      </c>
      <c r="F15" s="2" t="s">
        <v>36</v>
      </c>
      <c r="G15" s="2" t="s">
        <v>83</v>
      </c>
      <c r="I15" s="2">
        <v>2499</v>
      </c>
      <c r="J15" s="2" t="s">
        <v>84</v>
      </c>
      <c r="K15" s="2" t="s">
        <v>45</v>
      </c>
      <c r="L15" s="2">
        <v>4.3</v>
      </c>
      <c r="M15" s="2">
        <v>996</v>
      </c>
      <c r="P15" t="str">
        <f t="shared" si="2"/>
        <v>50%</v>
      </c>
      <c r="Q15" s="12">
        <f t="shared" si="3"/>
        <v>0.5</v>
      </c>
      <c r="R15" s="9">
        <f t="shared" si="0"/>
        <v>1249.5</v>
      </c>
      <c r="S15" s="9">
        <f>IF(R15="",AVERAGEIF(Table1[Category],Table1[[#This Row],[Category]],Table2[orignal data]),Table2[[#This Row],[orignal data]])</f>
        <v>1249.5</v>
      </c>
      <c r="T15" t="str">
        <f t="shared" si="1"/>
        <v>UNIQUE</v>
      </c>
      <c r="U15" t="str">
        <f>IF(ISBLANK(Table1[[#This Row],[SizeOption]]),"NOT AVAILABLE",Table1[[#This Row],[SizeOption]])</f>
        <v>XS, S, M, L, XL</v>
      </c>
      <c r="Y15" t="str">
        <f>IF(Table2[[#This Row],[Column1]]&gt;50%,"HIGH DISCOUNT","LOW DISCOUNT")</f>
        <v>LOW DISCOUNT</v>
      </c>
    </row>
    <row r="16" spans="1:34" x14ac:dyDescent="0.25">
      <c r="A16" s="1" t="s">
        <v>85</v>
      </c>
      <c r="B16" s="1">
        <v>2312181</v>
      </c>
      <c r="C16" s="1" t="s">
        <v>14</v>
      </c>
      <c r="D16" s="1" t="s">
        <v>41</v>
      </c>
      <c r="E16" s="1" t="s">
        <v>42</v>
      </c>
      <c r="F16" s="1" t="s">
        <v>36</v>
      </c>
      <c r="G16" s="1" t="s">
        <v>86</v>
      </c>
      <c r="I16" s="1">
        <v>799</v>
      </c>
      <c r="J16" s="1" t="s">
        <v>55</v>
      </c>
      <c r="K16" s="1" t="s">
        <v>45</v>
      </c>
      <c r="L16" s="1">
        <v>4</v>
      </c>
      <c r="M16" s="1">
        <v>996</v>
      </c>
      <c r="P16" t="str">
        <f t="shared" si="2"/>
        <v>60%</v>
      </c>
      <c r="Q16" s="12">
        <f t="shared" si="3"/>
        <v>0.6</v>
      </c>
      <c r="R16" s="9">
        <f t="shared" si="0"/>
        <v>319.60000000000002</v>
      </c>
      <c r="S16" s="9">
        <f>IF(R16="",AVERAGEIF(Table1[Category],Table1[[#This Row],[Category]],Table2[orignal data]),Table2[[#This Row],[orignal data]])</f>
        <v>319.60000000000002</v>
      </c>
      <c r="T16" t="str">
        <f t="shared" si="1"/>
        <v>UNIQUE</v>
      </c>
      <c r="U16" t="str">
        <f>IF(ISBLANK(Table1[[#This Row],[SizeOption]]),"NOT AVAILABLE",Table1[[#This Row],[SizeOption]])</f>
        <v>XS, S, M, L, XL</v>
      </c>
      <c r="Y16" t="str">
        <f>IF(Table2[[#This Row],[Column1]]&gt;50%,"HIGH DISCOUNT","LOW DISCOUNT")</f>
        <v>HIGH DISCOUNT</v>
      </c>
    </row>
    <row r="17" spans="1:25" x14ac:dyDescent="0.25">
      <c r="A17" s="2" t="s">
        <v>87</v>
      </c>
      <c r="B17" s="2">
        <v>13842386</v>
      </c>
      <c r="C17" s="2" t="s">
        <v>52</v>
      </c>
      <c r="D17" s="2" t="s">
        <v>28</v>
      </c>
      <c r="E17" s="2" t="s">
        <v>29</v>
      </c>
      <c r="F17" s="2" t="s">
        <v>17</v>
      </c>
      <c r="G17" s="2" t="s">
        <v>88</v>
      </c>
      <c r="H17">
        <v>516</v>
      </c>
      <c r="I17" s="2">
        <v>1099</v>
      </c>
      <c r="J17" s="2" t="s">
        <v>89</v>
      </c>
      <c r="K17" s="2" t="s">
        <v>90</v>
      </c>
      <c r="L17" s="2">
        <v>4.2</v>
      </c>
      <c r="M17" s="2">
        <v>995</v>
      </c>
      <c r="P17" t="str">
        <f t="shared" si="2"/>
        <v>53%</v>
      </c>
      <c r="Q17" s="12">
        <f t="shared" si="3"/>
        <v>0.53</v>
      </c>
      <c r="R17" s="9">
        <f t="shared" si="0"/>
        <v>516.53</v>
      </c>
      <c r="S17" s="9">
        <f>IF(R17="",AVERAGEIF(Table1[Category],Table1[[#This Row],[Category]],Table2[orignal data]),Table2[[#This Row],[orignal data]])</f>
        <v>516.53</v>
      </c>
      <c r="T17" t="str">
        <f t="shared" si="1"/>
        <v>UNIQUE</v>
      </c>
      <c r="U17" t="str">
        <f>IF(ISBLANK(Table1[[#This Row],[SizeOption]]),"NOT AVAILABLE",Table1[[#This Row],[SizeOption]])</f>
        <v>39, 40, 42, 44</v>
      </c>
      <c r="Y17" t="str">
        <f>IF(Table2[[#This Row],[Column1]]&gt;50%,"HIGH DISCOUNT","LOW DISCOUNT")</f>
        <v>HIGH DISCOUNT</v>
      </c>
    </row>
    <row r="18" spans="1:25" x14ac:dyDescent="0.25">
      <c r="A18" s="1" t="s">
        <v>91</v>
      </c>
      <c r="B18" s="1">
        <v>10473520</v>
      </c>
      <c r="C18" s="1" t="s">
        <v>92</v>
      </c>
      <c r="D18" s="1" t="s">
        <v>76</v>
      </c>
      <c r="E18" s="1" t="s">
        <v>93</v>
      </c>
      <c r="F18" s="1" t="s">
        <v>36</v>
      </c>
      <c r="G18" s="1" t="s">
        <v>94</v>
      </c>
      <c r="H18">
        <v>696</v>
      </c>
      <c r="I18" s="1">
        <v>1699</v>
      </c>
      <c r="J18" s="1" t="s">
        <v>95</v>
      </c>
      <c r="K18" s="1" t="s">
        <v>39</v>
      </c>
      <c r="L18" s="1">
        <v>4.2</v>
      </c>
      <c r="M18" s="1">
        <v>995</v>
      </c>
      <c r="P18" t="str">
        <f t="shared" si="2"/>
        <v>59%</v>
      </c>
      <c r="Q18" s="12">
        <f t="shared" si="3"/>
        <v>0.59</v>
      </c>
      <c r="R18" s="9">
        <f t="shared" si="0"/>
        <v>696.59</v>
      </c>
      <c r="S18" s="9">
        <f>IF(R18="",AVERAGEIF(Table1[Category],Table1[[#This Row],[Category]],Table2[orignal data]),Table2[[#This Row],[orignal data]])</f>
        <v>696.59</v>
      </c>
      <c r="T18" t="str">
        <f t="shared" si="1"/>
        <v>UNIQUE</v>
      </c>
      <c r="U18" t="str">
        <f>IF(ISBLANK(Table1[[#This Row],[SizeOption]]),"NOT AVAILABLE",Table1[[#This Row],[SizeOption]])</f>
        <v>S, M, L, XL, XXL</v>
      </c>
      <c r="Y18" t="str">
        <f>IF(Table2[[#This Row],[Column1]]&gt;50%,"HIGH DISCOUNT","LOW DISCOUNT")</f>
        <v>HIGH DISCOUNT</v>
      </c>
    </row>
    <row r="19" spans="1:25" x14ac:dyDescent="0.25">
      <c r="A19" s="2" t="s">
        <v>96</v>
      </c>
      <c r="B19" s="2">
        <v>10561392</v>
      </c>
      <c r="C19" s="2" t="s">
        <v>97</v>
      </c>
      <c r="D19" s="2" t="s">
        <v>98</v>
      </c>
      <c r="E19" s="2" t="s">
        <v>77</v>
      </c>
      <c r="F19" s="2" t="s">
        <v>36</v>
      </c>
      <c r="G19" s="2" t="s">
        <v>99</v>
      </c>
      <c r="I19" s="2">
        <v>3999</v>
      </c>
      <c r="J19" s="2"/>
      <c r="K19" s="2" t="s">
        <v>100</v>
      </c>
      <c r="L19" s="2">
        <v>4.3</v>
      </c>
      <c r="M19" s="2">
        <v>995</v>
      </c>
      <c r="P19" t="str">
        <f t="shared" si="2"/>
        <v/>
      </c>
      <c r="Q19" s="12" t="str">
        <f t="shared" si="3"/>
        <v/>
      </c>
      <c r="R19" s="9" t="str">
        <f t="shared" si="0"/>
        <v/>
      </c>
      <c r="S19" s="9">
        <f>IF(R19="",AVERAGEIF(Table1[Category],Table1[[#This Row],[Category]],Table2[orignal data]),Table2[[#This Row],[orignal data]])</f>
        <v>680.92918566775427</v>
      </c>
      <c r="T19" t="str">
        <f t="shared" si="1"/>
        <v>UNIQUE</v>
      </c>
      <c r="U19" t="str">
        <f>IF(ISBLANK(Table1[[#This Row],[SizeOption]]),"NOT AVAILABLE",Table1[[#This Row],[SizeOption]])</f>
        <v>XS, S, M, L, XL, XXL, 3XL</v>
      </c>
      <c r="Y19" t="str">
        <f>IF(Table2[[#This Row],[Column1]]&gt;50%,"HIGH DISCOUNT","LOW DISCOUNT")</f>
        <v>HIGH DISCOUNT</v>
      </c>
    </row>
    <row r="20" spans="1:25" x14ac:dyDescent="0.25">
      <c r="A20" s="1" t="s">
        <v>101</v>
      </c>
      <c r="B20" s="1">
        <v>12391750</v>
      </c>
      <c r="C20" s="1" t="s">
        <v>102</v>
      </c>
      <c r="D20" s="1" t="s">
        <v>41</v>
      </c>
      <c r="E20" s="1" t="s">
        <v>53</v>
      </c>
      <c r="F20" s="1" t="s">
        <v>36</v>
      </c>
      <c r="G20" s="1" t="s">
        <v>103</v>
      </c>
      <c r="I20" s="1">
        <v>2149</v>
      </c>
      <c r="J20" s="1" t="s">
        <v>104</v>
      </c>
      <c r="K20" s="1" t="s">
        <v>105</v>
      </c>
      <c r="L20" s="1">
        <v>4.0999999999999996</v>
      </c>
      <c r="M20" s="1">
        <v>995</v>
      </c>
      <c r="P20" t="str">
        <f t="shared" si="2"/>
        <v>61%</v>
      </c>
      <c r="Q20" s="12">
        <f t="shared" si="3"/>
        <v>0.61</v>
      </c>
      <c r="R20" s="9">
        <f t="shared" si="0"/>
        <v>838.11000000000013</v>
      </c>
      <c r="S20" s="9">
        <f>IF(R20="",AVERAGEIF(Table1[Category],Table1[[#This Row],[Category]],Table2[orignal data]),Table2[[#This Row],[orignal data]])</f>
        <v>838.11000000000013</v>
      </c>
      <c r="T20" t="str">
        <f t="shared" si="1"/>
        <v>UNIQUE</v>
      </c>
      <c r="U20" t="str">
        <f>IF(ISBLANK(Table1[[#This Row],[SizeOption]]),"NOT AVAILABLE",Table1[[#This Row],[SizeOption]])</f>
        <v>28, 30, 32, 34</v>
      </c>
      <c r="Y20" t="str">
        <f>IF(Table2[[#This Row],[Column1]]&gt;50%,"HIGH DISCOUNT","LOW DISCOUNT")</f>
        <v>HIGH DISCOUNT</v>
      </c>
    </row>
    <row r="21" spans="1:25" x14ac:dyDescent="0.25">
      <c r="A21" s="2" t="s">
        <v>106</v>
      </c>
      <c r="B21" s="2">
        <v>2522986</v>
      </c>
      <c r="C21" s="2" t="s">
        <v>107</v>
      </c>
      <c r="D21" s="2" t="s">
        <v>41</v>
      </c>
      <c r="E21" s="2" t="s">
        <v>42</v>
      </c>
      <c r="F21" s="2" t="s">
        <v>36</v>
      </c>
      <c r="G21" s="2" t="s">
        <v>108</v>
      </c>
      <c r="I21" s="2">
        <v>999</v>
      </c>
      <c r="J21" s="2" t="s">
        <v>109</v>
      </c>
      <c r="K21" s="2" t="s">
        <v>45</v>
      </c>
      <c r="L21" s="2">
        <v>4.3</v>
      </c>
      <c r="M21" s="2">
        <v>995</v>
      </c>
      <c r="P21" t="str">
        <f t="shared" si="2"/>
        <v>75%</v>
      </c>
      <c r="Q21" s="12">
        <f t="shared" si="3"/>
        <v>0.75</v>
      </c>
      <c r="R21" s="9">
        <f t="shared" si="0"/>
        <v>249.75</v>
      </c>
      <c r="S21" s="9">
        <f>IF(R21="",AVERAGEIF(Table1[Category],Table1[[#This Row],[Category]],Table2[orignal data]),Table2[[#This Row],[orignal data]])</f>
        <v>249.75</v>
      </c>
      <c r="T21" t="str">
        <f t="shared" si="1"/>
        <v>UNIQUE</v>
      </c>
      <c r="U21" t="str">
        <f>IF(ISBLANK(Table1[[#This Row],[SizeOption]]),"NOT AVAILABLE",Table1[[#This Row],[SizeOption]])</f>
        <v>XS, S, M, L, XL</v>
      </c>
      <c r="Y21" t="str">
        <f>IF(Table2[[#This Row],[Column1]]&gt;50%,"HIGH DISCOUNT","LOW DISCOUNT")</f>
        <v>HIGH DISCOUNT</v>
      </c>
    </row>
    <row r="22" spans="1:25" x14ac:dyDescent="0.25">
      <c r="A22" s="1" t="s">
        <v>110</v>
      </c>
      <c r="B22" s="1">
        <v>17385142</v>
      </c>
      <c r="C22" s="1" t="s">
        <v>14</v>
      </c>
      <c r="D22" s="1" t="s">
        <v>41</v>
      </c>
      <c r="E22" s="1" t="s">
        <v>42</v>
      </c>
      <c r="F22" s="1" t="s">
        <v>36</v>
      </c>
      <c r="G22" s="1" t="s">
        <v>111</v>
      </c>
      <c r="I22" s="1">
        <v>1298</v>
      </c>
      <c r="J22" s="1"/>
      <c r="K22" s="1" t="s">
        <v>45</v>
      </c>
      <c r="L22" s="1">
        <v>4.4000000000000004</v>
      </c>
      <c r="M22" s="1">
        <v>994</v>
      </c>
      <c r="P22" t="str">
        <f t="shared" si="2"/>
        <v/>
      </c>
      <c r="Q22" s="12" t="str">
        <f t="shared" si="3"/>
        <v/>
      </c>
      <c r="R22" s="9" t="str">
        <f t="shared" si="0"/>
        <v/>
      </c>
      <c r="S22" s="9">
        <f>IF(R22="",AVERAGEIF(Table1[Category],Table1[[#This Row],[Category]],Table2[orignal data]),Table2[[#This Row],[orignal data]])</f>
        <v>715.78890751086249</v>
      </c>
      <c r="T22" t="str">
        <f t="shared" si="1"/>
        <v>UNIQUE</v>
      </c>
      <c r="U22" t="str">
        <f>IF(ISBLANK(Table1[[#This Row],[SizeOption]]),"NOT AVAILABLE",Table1[[#This Row],[SizeOption]])</f>
        <v>XS, S, M, L, XL</v>
      </c>
      <c r="Y22" t="str">
        <f>IF(Table2[[#This Row],[Column1]]&gt;50%,"HIGH DISCOUNT","LOW DISCOUNT")</f>
        <v>HIGH DISCOUNT</v>
      </c>
    </row>
    <row r="23" spans="1:25" x14ac:dyDescent="0.25">
      <c r="A23" s="2" t="s">
        <v>112</v>
      </c>
      <c r="B23" s="2">
        <v>12153330</v>
      </c>
      <c r="C23" s="2" t="s">
        <v>113</v>
      </c>
      <c r="D23" s="2" t="s">
        <v>76</v>
      </c>
      <c r="E23" s="2" t="s">
        <v>93</v>
      </c>
      <c r="F23" s="2" t="s">
        <v>36</v>
      </c>
      <c r="G23" s="2" t="s">
        <v>114</v>
      </c>
      <c r="H23">
        <v>719</v>
      </c>
      <c r="I23" s="2">
        <v>1599</v>
      </c>
      <c r="J23" s="2" t="s">
        <v>25</v>
      </c>
      <c r="K23" s="2" t="s">
        <v>115</v>
      </c>
      <c r="L23" s="2">
        <v>3.8</v>
      </c>
      <c r="M23" s="2">
        <v>993</v>
      </c>
      <c r="P23" t="str">
        <f t="shared" si="2"/>
        <v>55%</v>
      </c>
      <c r="Q23" s="12">
        <f t="shared" si="3"/>
        <v>0.55000000000000004</v>
      </c>
      <c r="R23" s="9">
        <f t="shared" si="0"/>
        <v>719.55</v>
      </c>
      <c r="S23" s="9">
        <f>IF(R23="",AVERAGEIF(Table1[Category],Table1[[#This Row],[Category]],Table2[orignal data]),Table2[[#This Row],[orignal data]])</f>
        <v>719.55</v>
      </c>
      <c r="T23" t="str">
        <f t="shared" si="1"/>
        <v>UNIQUE</v>
      </c>
      <c r="U23" t="str">
        <f>IF(ISBLANK(Table1[[#This Row],[SizeOption]]),"NOT AVAILABLE",Table1[[#This Row],[SizeOption]])</f>
        <v>XS, S, M, L, XL, XXL</v>
      </c>
      <c r="Y23" t="str">
        <f>IF(Table2[[#This Row],[Column1]]&gt;50%,"HIGH DISCOUNT","LOW DISCOUNT")</f>
        <v>HIGH DISCOUNT</v>
      </c>
    </row>
    <row r="24" spans="1:25" x14ac:dyDescent="0.25">
      <c r="A24" s="1" t="s">
        <v>116</v>
      </c>
      <c r="B24" s="1">
        <v>1864573</v>
      </c>
      <c r="C24" s="1" t="s">
        <v>117</v>
      </c>
      <c r="D24" s="1" t="s">
        <v>34</v>
      </c>
      <c r="E24" s="1" t="s">
        <v>118</v>
      </c>
      <c r="F24" s="1" t="s">
        <v>36</v>
      </c>
      <c r="G24" s="1" t="s">
        <v>119</v>
      </c>
      <c r="I24" s="1">
        <v>849</v>
      </c>
      <c r="J24" s="1"/>
      <c r="K24" s="1" t="s">
        <v>26</v>
      </c>
      <c r="L24" s="1">
        <v>4.2</v>
      </c>
      <c r="M24" s="1">
        <v>993</v>
      </c>
      <c r="P24" t="str">
        <f t="shared" si="2"/>
        <v/>
      </c>
      <c r="Q24" s="12" t="str">
        <f t="shared" si="3"/>
        <v/>
      </c>
      <c r="R24" s="9" t="str">
        <f t="shared" si="0"/>
        <v/>
      </c>
      <c r="S24" s="9">
        <f>IF(R24="",AVERAGEIF(Table1[Category],Table1[[#This Row],[Category]],Table2[orignal data]),Table2[[#This Row],[orignal data]])</f>
        <v>608.88518518518481</v>
      </c>
      <c r="T24" t="str">
        <f t="shared" si="1"/>
        <v>UNIQUE</v>
      </c>
      <c r="U24" t="str">
        <f>IF(ISBLANK(Table1[[#This Row],[SizeOption]]),"NOT AVAILABLE",Table1[[#This Row],[SizeOption]])</f>
        <v>S, M, L, XL</v>
      </c>
      <c r="Y24" t="str">
        <f>IF(Table2[[#This Row],[Column1]]&gt;50%,"HIGH DISCOUNT","LOW DISCOUNT")</f>
        <v>HIGH DISCOUNT</v>
      </c>
    </row>
    <row r="25" spans="1:25" x14ac:dyDescent="0.25">
      <c r="A25" s="2" t="s">
        <v>120</v>
      </c>
      <c r="B25" s="2">
        <v>13205276</v>
      </c>
      <c r="C25" s="2" t="s">
        <v>121</v>
      </c>
      <c r="D25" s="2" t="s">
        <v>41</v>
      </c>
      <c r="E25" s="2" t="s">
        <v>29</v>
      </c>
      <c r="F25" s="2" t="s">
        <v>36</v>
      </c>
      <c r="G25" s="2" t="s">
        <v>122</v>
      </c>
      <c r="I25" s="2">
        <v>1499</v>
      </c>
      <c r="J25" s="2" t="s">
        <v>84</v>
      </c>
      <c r="K25" s="2" t="s">
        <v>45</v>
      </c>
      <c r="L25" s="2">
        <v>4.2</v>
      </c>
      <c r="M25" s="2">
        <v>993</v>
      </c>
      <c r="P25" t="str">
        <f t="shared" si="2"/>
        <v>50%</v>
      </c>
      <c r="Q25" s="12">
        <f t="shared" si="3"/>
        <v>0.5</v>
      </c>
      <c r="R25" s="9">
        <f t="shared" si="0"/>
        <v>749.5</v>
      </c>
      <c r="S25" s="9">
        <f>IF(R25="",AVERAGEIF(Table1[Category],Table1[[#This Row],[Category]],Table2[orignal data]),Table2[[#This Row],[orignal data]])</f>
        <v>749.5</v>
      </c>
      <c r="T25" t="str">
        <f t="shared" si="1"/>
        <v>UNIQUE</v>
      </c>
      <c r="U25" t="str">
        <f>IF(ISBLANK(Table1[[#This Row],[SizeOption]]),"NOT AVAILABLE",Table1[[#This Row],[SizeOption]])</f>
        <v>XS, S, M, L, XL</v>
      </c>
      <c r="Y25" t="str">
        <f>IF(Table2[[#This Row],[Column1]]&gt;50%,"HIGH DISCOUNT","LOW DISCOUNT")</f>
        <v>LOW DISCOUNT</v>
      </c>
    </row>
    <row r="26" spans="1:25" x14ac:dyDescent="0.25">
      <c r="A26" s="1" t="s">
        <v>123</v>
      </c>
      <c r="B26" s="1">
        <v>11535928</v>
      </c>
      <c r="C26" s="1" t="s">
        <v>124</v>
      </c>
      <c r="D26" s="1" t="s">
        <v>41</v>
      </c>
      <c r="E26" s="1" t="s">
        <v>48</v>
      </c>
      <c r="F26" s="1" t="s">
        <v>36</v>
      </c>
      <c r="G26" s="1" t="s">
        <v>125</v>
      </c>
      <c r="I26" s="1">
        <v>1299</v>
      </c>
      <c r="J26" s="1" t="s">
        <v>126</v>
      </c>
      <c r="K26" s="1" t="s">
        <v>115</v>
      </c>
      <c r="L26" s="1">
        <v>4.3</v>
      </c>
      <c r="M26" s="1">
        <v>992</v>
      </c>
      <c r="P26" t="str">
        <f t="shared" si="2"/>
        <v>62%</v>
      </c>
      <c r="Q26" s="12">
        <f t="shared" si="3"/>
        <v>0.62</v>
      </c>
      <c r="R26" s="9">
        <f t="shared" si="0"/>
        <v>493.62</v>
      </c>
      <c r="S26" s="9">
        <f>IF(R26="",AVERAGEIF(Table1[Category],Table1[[#This Row],[Category]],Table2[orignal data]),Table2[[#This Row],[orignal data]])</f>
        <v>493.62</v>
      </c>
      <c r="T26" t="str">
        <f t="shared" si="1"/>
        <v>UNIQUE</v>
      </c>
      <c r="U26" t="str">
        <f>IF(ISBLANK(Table1[[#This Row],[SizeOption]]),"NOT AVAILABLE",Table1[[#This Row],[SizeOption]])</f>
        <v>XS, S, M, L, XL, XXL</v>
      </c>
      <c r="Y26" t="str">
        <f>IF(Table2[[#This Row],[Column1]]&gt;50%,"HIGH DISCOUNT","LOW DISCOUNT")</f>
        <v>HIGH DISCOUNT</v>
      </c>
    </row>
    <row r="27" spans="1:25" x14ac:dyDescent="0.25">
      <c r="A27" s="2" t="s">
        <v>127</v>
      </c>
      <c r="B27" s="2">
        <v>6552977</v>
      </c>
      <c r="C27" s="2" t="s">
        <v>128</v>
      </c>
      <c r="D27" s="2" t="s">
        <v>41</v>
      </c>
      <c r="E27" s="2" t="s">
        <v>48</v>
      </c>
      <c r="F27" s="2" t="s">
        <v>36</v>
      </c>
      <c r="G27" s="2" t="s">
        <v>129</v>
      </c>
      <c r="I27" s="2">
        <v>1299</v>
      </c>
      <c r="J27" s="2" t="s">
        <v>130</v>
      </c>
      <c r="K27" s="2" t="s">
        <v>26</v>
      </c>
      <c r="L27" s="2">
        <v>4.2</v>
      </c>
      <c r="M27" s="2">
        <v>991</v>
      </c>
      <c r="P27" t="str">
        <f t="shared" si="2"/>
        <v>57%</v>
      </c>
      <c r="Q27" s="12">
        <f t="shared" si="3"/>
        <v>0.56999999999999995</v>
      </c>
      <c r="R27" s="9">
        <f t="shared" si="0"/>
        <v>558.57000000000005</v>
      </c>
      <c r="S27" s="9">
        <f>IF(R27="",AVERAGEIF(Table1[Category],Table1[[#This Row],[Category]],Table2[orignal data]),Table2[[#This Row],[orignal data]])</f>
        <v>558.57000000000005</v>
      </c>
      <c r="T27" t="str">
        <f t="shared" si="1"/>
        <v>UNIQUE</v>
      </c>
      <c r="U27" t="str">
        <f>IF(ISBLANK(Table1[[#This Row],[SizeOption]]),"NOT AVAILABLE",Table1[[#This Row],[SizeOption]])</f>
        <v>S, M, L, XL</v>
      </c>
      <c r="Y27" t="str">
        <f>IF(Table2[[#This Row],[Column1]]&gt;50%,"HIGH DISCOUNT","LOW DISCOUNT")</f>
        <v>HIGH DISCOUNT</v>
      </c>
    </row>
    <row r="28" spans="1:25" x14ac:dyDescent="0.25">
      <c r="A28" s="1" t="s">
        <v>131</v>
      </c>
      <c r="B28" s="1">
        <v>9476129</v>
      </c>
      <c r="C28" s="1" t="s">
        <v>132</v>
      </c>
      <c r="D28" s="1" t="s">
        <v>41</v>
      </c>
      <c r="E28" s="1" t="s">
        <v>53</v>
      </c>
      <c r="F28" s="1" t="s">
        <v>36</v>
      </c>
      <c r="G28" s="1" t="s">
        <v>133</v>
      </c>
      <c r="I28" s="1">
        <v>2699</v>
      </c>
      <c r="J28" s="1" t="s">
        <v>79</v>
      </c>
      <c r="K28" s="1" t="s">
        <v>134</v>
      </c>
      <c r="L28" s="1">
        <v>4.0999999999999996</v>
      </c>
      <c r="M28" s="1">
        <v>991</v>
      </c>
      <c r="P28" t="str">
        <f t="shared" si="2"/>
        <v>70%</v>
      </c>
      <c r="Q28" s="12">
        <f t="shared" si="3"/>
        <v>0.7</v>
      </c>
      <c r="R28" s="9">
        <f t="shared" si="0"/>
        <v>809.7</v>
      </c>
      <c r="S28" s="9">
        <f>IF(R28="",AVERAGEIF(Table1[Category],Table1[[#This Row],[Category]],Table2[orignal data]),Table2[[#This Row],[orignal data]])</f>
        <v>809.7</v>
      </c>
      <c r="T28" t="str">
        <f t="shared" si="1"/>
        <v>UNIQUE</v>
      </c>
      <c r="U28" t="str">
        <f>IF(ISBLANK(Table1[[#This Row],[SizeOption]]),"NOT AVAILABLE",Table1[[#This Row],[SizeOption]])</f>
        <v>26, 28, 30, 32, 34, 36</v>
      </c>
      <c r="Y28" t="str">
        <f>IF(Table2[[#This Row],[Column1]]&gt;50%,"HIGH DISCOUNT","LOW DISCOUNT")</f>
        <v>HIGH DISCOUNT</v>
      </c>
    </row>
    <row r="29" spans="1:25" x14ac:dyDescent="0.25">
      <c r="A29" s="2" t="s">
        <v>135</v>
      </c>
      <c r="B29" s="2">
        <v>2017530</v>
      </c>
      <c r="C29" s="2" t="s">
        <v>136</v>
      </c>
      <c r="D29" s="2" t="s">
        <v>41</v>
      </c>
      <c r="E29" s="2" t="s">
        <v>137</v>
      </c>
      <c r="F29" s="2" t="s">
        <v>36</v>
      </c>
      <c r="G29" s="2" t="s">
        <v>138</v>
      </c>
      <c r="I29" s="2">
        <v>899</v>
      </c>
      <c r="J29" s="2" t="s">
        <v>104</v>
      </c>
      <c r="K29" s="2" t="s">
        <v>134</v>
      </c>
      <c r="L29" s="2">
        <v>4</v>
      </c>
      <c r="M29" s="2">
        <v>991</v>
      </c>
      <c r="P29" t="str">
        <f t="shared" si="2"/>
        <v>61%</v>
      </c>
      <c r="Q29" s="12">
        <f t="shared" si="3"/>
        <v>0.61</v>
      </c>
      <c r="R29" s="9">
        <f t="shared" si="0"/>
        <v>350.61</v>
      </c>
      <c r="S29" s="9">
        <f>IF(R29="",AVERAGEIF(Table1[Category],Table1[[#This Row],[Category]],Table2[orignal data]),Table2[[#This Row],[orignal data]])</f>
        <v>350.61</v>
      </c>
      <c r="T29" t="str">
        <f t="shared" si="1"/>
        <v>UNIQUE</v>
      </c>
      <c r="U29" t="str">
        <f>IF(ISBLANK(Table1[[#This Row],[SizeOption]]),"NOT AVAILABLE",Table1[[#This Row],[SizeOption]])</f>
        <v>26, 28, 30, 32, 34, 36</v>
      </c>
      <c r="Y29" t="str">
        <f>IF(Table2[[#This Row],[Column1]]&gt;50%,"HIGH DISCOUNT","LOW DISCOUNT")</f>
        <v>HIGH DISCOUNT</v>
      </c>
    </row>
    <row r="30" spans="1:25" x14ac:dyDescent="0.25">
      <c r="A30" s="1" t="s">
        <v>139</v>
      </c>
      <c r="B30" s="1">
        <v>11173948</v>
      </c>
      <c r="C30" s="1" t="s">
        <v>97</v>
      </c>
      <c r="D30" s="1" t="s">
        <v>98</v>
      </c>
      <c r="E30" s="1" t="s">
        <v>93</v>
      </c>
      <c r="F30" s="1" t="s">
        <v>36</v>
      </c>
      <c r="G30" s="1" t="s">
        <v>140</v>
      </c>
      <c r="H30">
        <v>359</v>
      </c>
      <c r="I30" s="1">
        <v>899</v>
      </c>
      <c r="J30" s="1" t="s">
        <v>141</v>
      </c>
      <c r="K30" s="1" t="s">
        <v>100</v>
      </c>
      <c r="L30" s="1">
        <v>4</v>
      </c>
      <c r="M30" s="1">
        <v>990</v>
      </c>
      <c r="P30" t="str">
        <f t="shared" si="2"/>
        <v>60%</v>
      </c>
      <c r="Q30" s="12">
        <f t="shared" si="3"/>
        <v>0.6</v>
      </c>
      <c r="R30" s="9">
        <f t="shared" si="0"/>
        <v>359.6</v>
      </c>
      <c r="S30" s="9">
        <f>IF(R30="",AVERAGEIF(Table1[Category],Table1[[#This Row],[Category]],Table2[orignal data]),Table2[[#This Row],[orignal data]])</f>
        <v>359.6</v>
      </c>
      <c r="T30" t="str">
        <f t="shared" si="1"/>
        <v>UNIQUE</v>
      </c>
      <c r="U30" t="str">
        <f>IF(ISBLANK(Table1[[#This Row],[SizeOption]]),"NOT AVAILABLE",Table1[[#This Row],[SizeOption]])</f>
        <v>XS, S, M, L, XL, XXL, 3XL</v>
      </c>
      <c r="Y30" t="str">
        <f>IF(Table2[[#This Row],[Column1]]&gt;50%,"HIGH DISCOUNT","LOW DISCOUNT")</f>
        <v>HIGH DISCOUNT</v>
      </c>
    </row>
    <row r="31" spans="1:25" x14ac:dyDescent="0.25">
      <c r="A31" s="2" t="s">
        <v>142</v>
      </c>
      <c r="B31" s="2">
        <v>11118428</v>
      </c>
      <c r="C31" s="2" t="s">
        <v>14</v>
      </c>
      <c r="D31" s="2" t="s">
        <v>41</v>
      </c>
      <c r="E31" s="2" t="s">
        <v>137</v>
      </c>
      <c r="F31" s="2" t="s">
        <v>36</v>
      </c>
      <c r="G31" s="2" t="s">
        <v>143</v>
      </c>
      <c r="I31" s="2">
        <v>1199</v>
      </c>
      <c r="J31" s="2" t="s">
        <v>25</v>
      </c>
      <c r="K31" s="2" t="s">
        <v>134</v>
      </c>
      <c r="L31" s="2">
        <v>4.3</v>
      </c>
      <c r="M31" s="2">
        <v>990</v>
      </c>
      <c r="P31" t="str">
        <f t="shared" si="2"/>
        <v>55%</v>
      </c>
      <c r="Q31" s="12">
        <f t="shared" si="3"/>
        <v>0.55000000000000004</v>
      </c>
      <c r="R31" s="9">
        <f t="shared" si="0"/>
        <v>539.54999999999995</v>
      </c>
      <c r="S31" s="9">
        <f>IF(R31="",AVERAGEIF(Table1[Category],Table1[[#This Row],[Category]],Table2[orignal data]),Table2[[#This Row],[orignal data]])</f>
        <v>539.54999999999995</v>
      </c>
      <c r="T31" t="str">
        <f t="shared" si="1"/>
        <v>UNIQUE</v>
      </c>
      <c r="U31" t="str">
        <f>IF(ISBLANK(Table1[[#This Row],[SizeOption]]),"NOT AVAILABLE",Table1[[#This Row],[SizeOption]])</f>
        <v>26, 28, 30, 32, 34, 36</v>
      </c>
      <c r="Y31" t="str">
        <f>IF(Table2[[#This Row],[Column1]]&gt;50%,"HIGH DISCOUNT","LOW DISCOUNT")</f>
        <v>HIGH DISCOUNT</v>
      </c>
    </row>
    <row r="32" spans="1:25" x14ac:dyDescent="0.25">
      <c r="A32" s="1" t="s">
        <v>144</v>
      </c>
      <c r="B32" s="1">
        <v>17383362</v>
      </c>
      <c r="C32" s="1" t="s">
        <v>14</v>
      </c>
      <c r="D32" s="1" t="s">
        <v>41</v>
      </c>
      <c r="E32" s="1" t="s">
        <v>42</v>
      </c>
      <c r="F32" s="1" t="s">
        <v>36</v>
      </c>
      <c r="G32" s="1" t="s">
        <v>145</v>
      </c>
      <c r="I32" s="1">
        <v>1598</v>
      </c>
      <c r="J32" s="1" t="s">
        <v>84</v>
      </c>
      <c r="K32" s="1" t="s">
        <v>146</v>
      </c>
      <c r="L32" s="1">
        <v>4.2</v>
      </c>
      <c r="M32" s="1">
        <v>990</v>
      </c>
      <c r="P32" t="str">
        <f t="shared" si="2"/>
        <v>50%</v>
      </c>
      <c r="Q32" s="12">
        <f t="shared" si="3"/>
        <v>0.5</v>
      </c>
      <c r="R32" s="9">
        <f t="shared" si="0"/>
        <v>799</v>
      </c>
      <c r="S32" s="9">
        <f>IF(R32="",AVERAGEIF(Table1[Category],Table1[[#This Row],[Category]],Table2[orignal data]),Table2[[#This Row],[orignal data]])</f>
        <v>799</v>
      </c>
      <c r="T32" t="str">
        <f t="shared" si="1"/>
        <v>UNIQUE</v>
      </c>
      <c r="U32" t="str">
        <f>IF(ISBLANK(Table1[[#This Row],[SizeOption]]),"NOT AVAILABLE",Table1[[#This Row],[SizeOption]])</f>
        <v>L, M, S, XS, XL</v>
      </c>
      <c r="Y32" t="str">
        <f>IF(Table2[[#This Row],[Column1]]&gt;50%,"HIGH DISCOUNT","LOW DISCOUNT")</f>
        <v>LOW DISCOUNT</v>
      </c>
    </row>
    <row r="33" spans="1:25" x14ac:dyDescent="0.25">
      <c r="A33" s="2" t="s">
        <v>147</v>
      </c>
      <c r="B33" s="2">
        <v>9971493</v>
      </c>
      <c r="C33" s="2" t="s">
        <v>92</v>
      </c>
      <c r="D33" s="2" t="s">
        <v>41</v>
      </c>
      <c r="E33" s="2" t="s">
        <v>148</v>
      </c>
      <c r="F33" s="2" t="s">
        <v>36</v>
      </c>
      <c r="G33" s="2" t="s">
        <v>149</v>
      </c>
      <c r="I33" s="2">
        <v>2349</v>
      </c>
      <c r="J33" s="2" t="s">
        <v>150</v>
      </c>
      <c r="K33" s="2" t="s">
        <v>39</v>
      </c>
      <c r="L33" s="2">
        <v>4.4000000000000004</v>
      </c>
      <c r="M33" s="2">
        <v>990</v>
      </c>
      <c r="P33" t="str">
        <f t="shared" si="2"/>
        <v>65%</v>
      </c>
      <c r="Q33" s="12">
        <f t="shared" si="3"/>
        <v>0.65</v>
      </c>
      <c r="R33" s="9">
        <f t="shared" si="0"/>
        <v>822.14999999999986</v>
      </c>
      <c r="S33" s="9">
        <f>IF(R33="",AVERAGEIF(Table1[Category],Table1[[#This Row],[Category]],Table2[orignal data]),Table2[[#This Row],[orignal data]])</f>
        <v>822.14999999999986</v>
      </c>
      <c r="T33" t="str">
        <f t="shared" si="1"/>
        <v>UNIQUE</v>
      </c>
      <c r="U33" t="str">
        <f>IF(ISBLANK(Table1[[#This Row],[SizeOption]]),"NOT AVAILABLE",Table1[[#This Row],[SizeOption]])</f>
        <v>S, M, L, XL, XXL</v>
      </c>
      <c r="Y33" t="str">
        <f>IF(Table2[[#This Row],[Column1]]&gt;50%,"HIGH DISCOUNT","LOW DISCOUNT")</f>
        <v>HIGH DISCOUNT</v>
      </c>
    </row>
    <row r="34" spans="1:25" x14ac:dyDescent="0.25">
      <c r="A34" s="1" t="s">
        <v>151</v>
      </c>
      <c r="B34" s="1">
        <v>7846797</v>
      </c>
      <c r="C34" s="1" t="s">
        <v>152</v>
      </c>
      <c r="D34" s="1" t="s">
        <v>41</v>
      </c>
      <c r="E34" s="1" t="s">
        <v>82</v>
      </c>
      <c r="F34" s="1" t="s">
        <v>36</v>
      </c>
      <c r="G34" s="1" t="s">
        <v>153</v>
      </c>
      <c r="I34" s="1">
        <v>2449</v>
      </c>
      <c r="J34" s="1" t="s">
        <v>150</v>
      </c>
      <c r="K34" s="1" t="s">
        <v>39</v>
      </c>
      <c r="L34" s="1">
        <v>4.3</v>
      </c>
      <c r="M34" s="1">
        <v>990</v>
      </c>
      <c r="P34" t="str">
        <f t="shared" si="2"/>
        <v>65%</v>
      </c>
      <c r="Q34" s="12">
        <f t="shared" si="3"/>
        <v>0.65</v>
      </c>
      <c r="R34" s="9">
        <f t="shared" si="0"/>
        <v>857.14999999999986</v>
      </c>
      <c r="S34" s="9">
        <f>IF(R34="",AVERAGEIF(Table1[Category],Table1[[#This Row],[Category]],Table2[orignal data]),Table2[[#This Row],[orignal data]])</f>
        <v>857.14999999999986</v>
      </c>
      <c r="T34" t="str">
        <f t="shared" si="1"/>
        <v>UNIQUE</v>
      </c>
      <c r="U34" t="str">
        <f>IF(ISBLANK(Table1[[#This Row],[SizeOption]]),"NOT AVAILABLE",Table1[[#This Row],[SizeOption]])</f>
        <v>S, M, L, XL, XXL</v>
      </c>
      <c r="Y34" t="str">
        <f>IF(Table2[[#This Row],[Column1]]&gt;50%,"HIGH DISCOUNT","LOW DISCOUNT")</f>
        <v>HIGH DISCOUNT</v>
      </c>
    </row>
    <row r="35" spans="1:25" x14ac:dyDescent="0.25">
      <c r="A35" s="2" t="s">
        <v>154</v>
      </c>
      <c r="B35" s="2">
        <v>10771696</v>
      </c>
      <c r="C35" s="2" t="s">
        <v>155</v>
      </c>
      <c r="D35" s="2" t="s">
        <v>41</v>
      </c>
      <c r="E35" s="2" t="s">
        <v>82</v>
      </c>
      <c r="F35" s="2" t="s">
        <v>36</v>
      </c>
      <c r="G35" s="2" t="s">
        <v>156</v>
      </c>
      <c r="I35" s="2">
        <v>2959</v>
      </c>
      <c r="J35" s="2" t="s">
        <v>25</v>
      </c>
      <c r="K35" s="2" t="s">
        <v>45</v>
      </c>
      <c r="L35" s="2">
        <v>4.3</v>
      </c>
      <c r="M35" s="2">
        <v>990</v>
      </c>
      <c r="P35" t="str">
        <f t="shared" si="2"/>
        <v>55%</v>
      </c>
      <c r="Q35" s="12">
        <f t="shared" si="3"/>
        <v>0.55000000000000004</v>
      </c>
      <c r="R35" s="9">
        <f t="shared" si="0"/>
        <v>1331.55</v>
      </c>
      <c r="S35" s="9">
        <f>IF(R35="",AVERAGEIF(Table1[Category],Table1[[#This Row],[Category]],Table2[orignal data]),Table2[[#This Row],[orignal data]])</f>
        <v>1331.55</v>
      </c>
      <c r="T35" t="str">
        <f t="shared" si="1"/>
        <v>UNIQUE</v>
      </c>
      <c r="U35" t="str">
        <f>IF(ISBLANK(Table1[[#This Row],[SizeOption]]),"NOT AVAILABLE",Table1[[#This Row],[SizeOption]])</f>
        <v>XS, S, M, L, XL</v>
      </c>
      <c r="Y35" t="str">
        <f>IF(Table2[[#This Row],[Column1]]&gt;50%,"HIGH DISCOUNT","LOW DISCOUNT")</f>
        <v>HIGH DISCOUNT</v>
      </c>
    </row>
    <row r="36" spans="1:25" x14ac:dyDescent="0.25">
      <c r="A36" s="1" t="s">
        <v>157</v>
      </c>
      <c r="B36" s="1">
        <v>10969948</v>
      </c>
      <c r="C36" s="1" t="s">
        <v>14</v>
      </c>
      <c r="D36" s="1" t="s">
        <v>41</v>
      </c>
      <c r="E36" s="1" t="s">
        <v>42</v>
      </c>
      <c r="F36" s="1" t="s">
        <v>36</v>
      </c>
      <c r="G36" s="1" t="s">
        <v>158</v>
      </c>
      <c r="I36" s="1">
        <v>899</v>
      </c>
      <c r="J36" s="1" t="s">
        <v>55</v>
      </c>
      <c r="K36" s="1" t="s">
        <v>45</v>
      </c>
      <c r="L36" s="1">
        <v>4.0999999999999996</v>
      </c>
      <c r="M36" s="1">
        <v>990</v>
      </c>
      <c r="P36" t="str">
        <f t="shared" si="2"/>
        <v>60%</v>
      </c>
      <c r="Q36" s="12">
        <f t="shared" si="3"/>
        <v>0.6</v>
      </c>
      <c r="R36" s="9">
        <f t="shared" si="0"/>
        <v>359.6</v>
      </c>
      <c r="S36" s="9">
        <f>IF(R36="",AVERAGEIF(Table1[Category],Table1[[#This Row],[Category]],Table2[orignal data]),Table2[[#This Row],[orignal data]])</f>
        <v>359.6</v>
      </c>
      <c r="T36" t="str">
        <f t="shared" si="1"/>
        <v>UNIQUE</v>
      </c>
      <c r="U36" t="str">
        <f>IF(ISBLANK(Table1[[#This Row],[SizeOption]]),"NOT AVAILABLE",Table1[[#This Row],[SizeOption]])</f>
        <v>XS, S, M, L, XL</v>
      </c>
      <c r="Y36" t="str">
        <f>IF(Table2[[#This Row],[Column1]]&gt;50%,"HIGH DISCOUNT","LOW DISCOUNT")</f>
        <v>HIGH DISCOUNT</v>
      </c>
    </row>
    <row r="37" spans="1:25" x14ac:dyDescent="0.25">
      <c r="A37" s="2" t="s">
        <v>159</v>
      </c>
      <c r="B37" s="2">
        <v>11938872</v>
      </c>
      <c r="C37" s="2" t="s">
        <v>160</v>
      </c>
      <c r="D37" s="2" t="s">
        <v>34</v>
      </c>
      <c r="E37" s="2" t="s">
        <v>161</v>
      </c>
      <c r="F37" s="2" t="s">
        <v>36</v>
      </c>
      <c r="G37" s="2" t="s">
        <v>162</v>
      </c>
      <c r="H37">
        <v>489</v>
      </c>
      <c r="I37" s="2">
        <v>999</v>
      </c>
      <c r="J37" s="2" t="s">
        <v>163</v>
      </c>
      <c r="K37" s="2" t="s">
        <v>164</v>
      </c>
      <c r="L37" s="2">
        <v>4.2</v>
      </c>
      <c r="M37" s="2">
        <v>989</v>
      </c>
      <c r="P37" t="str">
        <f t="shared" si="2"/>
        <v>51%</v>
      </c>
      <c r="Q37" s="12">
        <f t="shared" si="3"/>
        <v>0.51</v>
      </c>
      <c r="R37" s="9">
        <f t="shared" si="0"/>
        <v>489.51</v>
      </c>
      <c r="S37" s="9">
        <f>IF(R37="",AVERAGEIF(Table1[Category],Table1[[#This Row],[Category]],Table2[orignal data]),Table2[[#This Row],[orignal data]])</f>
        <v>489.51</v>
      </c>
      <c r="T37" t="str">
        <f t="shared" si="1"/>
        <v>UNIQUE</v>
      </c>
      <c r="U37" t="str">
        <f>IF(ISBLANK(Table1[[#This Row],[SizeOption]]),"NOT AVAILABLE",Table1[[#This Row],[SizeOption]])</f>
        <v>Onesize</v>
      </c>
      <c r="Y37" t="str">
        <f>IF(Table2[[#This Row],[Column1]]&gt;50%,"HIGH DISCOUNT","LOW DISCOUNT")</f>
        <v>HIGH DISCOUNT</v>
      </c>
    </row>
    <row r="38" spans="1:25" x14ac:dyDescent="0.25">
      <c r="A38" s="1" t="s">
        <v>165</v>
      </c>
      <c r="B38" s="1">
        <v>14154054</v>
      </c>
      <c r="C38" s="1" t="s">
        <v>102</v>
      </c>
      <c r="D38" s="1" t="s">
        <v>41</v>
      </c>
      <c r="E38" s="1" t="s">
        <v>23</v>
      </c>
      <c r="F38" s="1" t="s">
        <v>36</v>
      </c>
      <c r="G38" s="1" t="s">
        <v>166</v>
      </c>
      <c r="I38" s="1">
        <v>1199</v>
      </c>
      <c r="J38" s="1" t="s">
        <v>167</v>
      </c>
      <c r="K38" s="1" t="s">
        <v>26</v>
      </c>
      <c r="L38" s="1">
        <v>4.3</v>
      </c>
      <c r="M38" s="1">
        <v>989</v>
      </c>
      <c r="P38" t="str">
        <f t="shared" si="2"/>
        <v>49%</v>
      </c>
      <c r="Q38" s="12">
        <f t="shared" si="3"/>
        <v>0.49</v>
      </c>
      <c r="R38" s="9">
        <f t="shared" si="0"/>
        <v>611.49</v>
      </c>
      <c r="S38" s="9">
        <f>IF(R38="",AVERAGEIF(Table1[Category],Table1[[#This Row],[Category]],Table2[orignal data]),Table2[[#This Row],[orignal data]])</f>
        <v>611.49</v>
      </c>
      <c r="T38" t="str">
        <f t="shared" si="1"/>
        <v>UNIQUE</v>
      </c>
      <c r="U38" t="str">
        <f>IF(ISBLANK(Table1[[#This Row],[SizeOption]]),"NOT AVAILABLE",Table1[[#This Row],[SizeOption]])</f>
        <v>S, M, L, XL</v>
      </c>
      <c r="Y38" t="str">
        <f>IF(Table2[[#This Row],[Column1]]&gt;50%,"HIGH DISCOUNT","LOW DISCOUNT")</f>
        <v>LOW DISCOUNT</v>
      </c>
    </row>
    <row r="39" spans="1:25" x14ac:dyDescent="0.25">
      <c r="A39" s="2" t="s">
        <v>168</v>
      </c>
      <c r="B39" s="2">
        <v>2477061</v>
      </c>
      <c r="C39" s="2" t="s">
        <v>169</v>
      </c>
      <c r="D39" s="2" t="s">
        <v>15</v>
      </c>
      <c r="E39" s="2" t="s">
        <v>16</v>
      </c>
      <c r="F39" s="2" t="s">
        <v>17</v>
      </c>
      <c r="G39" s="2" t="s">
        <v>170</v>
      </c>
      <c r="H39">
        <v>1539</v>
      </c>
      <c r="I39" s="2">
        <v>2799</v>
      </c>
      <c r="J39" s="2" t="s">
        <v>19</v>
      </c>
      <c r="K39" s="2" t="s">
        <v>171</v>
      </c>
      <c r="L39" s="2">
        <v>4</v>
      </c>
      <c r="M39" s="2">
        <v>988</v>
      </c>
      <c r="P39" t="str">
        <f t="shared" si="2"/>
        <v>45%</v>
      </c>
      <c r="Q39" s="12">
        <f t="shared" si="3"/>
        <v>0.45</v>
      </c>
      <c r="R39" s="9">
        <f t="shared" si="0"/>
        <v>1539.45</v>
      </c>
      <c r="S39" s="9">
        <f>IF(R39="",AVERAGEIF(Table1[Category],Table1[[#This Row],[Category]],Table2[orignal data]),Table2[[#This Row],[orignal data]])</f>
        <v>1539.45</v>
      </c>
      <c r="T39" t="str">
        <f t="shared" si="1"/>
        <v>UNIQUE</v>
      </c>
      <c r="U39" t="str">
        <f>IF(ISBLANK(Table1[[#This Row],[SizeOption]]),"NOT AVAILABLE",Table1[[#This Row],[SizeOption]])</f>
        <v>28, 30, 32, 34, 36, 38</v>
      </c>
      <c r="Y39" t="str">
        <f>IF(Table2[[#This Row],[Column1]]&gt;50%,"HIGH DISCOUNT","LOW DISCOUNT")</f>
        <v>LOW DISCOUNT</v>
      </c>
    </row>
    <row r="40" spans="1:25" x14ac:dyDescent="0.25">
      <c r="A40" s="1" t="s">
        <v>172</v>
      </c>
      <c r="B40" s="1">
        <v>10187401</v>
      </c>
      <c r="C40" s="1" t="s">
        <v>169</v>
      </c>
      <c r="D40" s="1" t="s">
        <v>15</v>
      </c>
      <c r="E40" s="1" t="s">
        <v>16</v>
      </c>
      <c r="F40" s="1" t="s">
        <v>17</v>
      </c>
      <c r="G40" s="1" t="s">
        <v>173</v>
      </c>
      <c r="H40">
        <v>1429</v>
      </c>
      <c r="I40" s="1">
        <v>2599</v>
      </c>
      <c r="J40" s="1" t="s">
        <v>19</v>
      </c>
      <c r="K40" s="1" t="s">
        <v>171</v>
      </c>
      <c r="L40" s="1">
        <v>4.0999999999999996</v>
      </c>
      <c r="M40" s="1">
        <v>988</v>
      </c>
      <c r="P40" t="str">
        <f t="shared" si="2"/>
        <v>45%</v>
      </c>
      <c r="Q40" s="12">
        <f t="shared" si="3"/>
        <v>0.45</v>
      </c>
      <c r="R40" s="9">
        <f t="shared" si="0"/>
        <v>1429.45</v>
      </c>
      <c r="S40" s="9">
        <f>IF(R40="",AVERAGEIF(Table1[Category],Table1[[#This Row],[Category]],Table2[orignal data]),Table2[[#This Row],[orignal data]])</f>
        <v>1429.45</v>
      </c>
      <c r="T40" t="str">
        <f t="shared" si="1"/>
        <v>UNIQUE</v>
      </c>
      <c r="U40" t="str">
        <f>IF(ISBLANK(Table1[[#This Row],[SizeOption]]),"NOT AVAILABLE",Table1[[#This Row],[SizeOption]])</f>
        <v>28, 30, 32, 34, 36, 38</v>
      </c>
      <c r="Y40" t="str">
        <f>IF(Table2[[#This Row],[Column1]]&gt;50%,"HIGH DISCOUNT","LOW DISCOUNT")</f>
        <v>LOW DISCOUNT</v>
      </c>
    </row>
    <row r="41" spans="1:25" x14ac:dyDescent="0.25">
      <c r="A41" s="2" t="s">
        <v>174</v>
      </c>
      <c r="B41" s="2">
        <v>6791064</v>
      </c>
      <c r="C41" s="2" t="s">
        <v>67</v>
      </c>
      <c r="D41" s="2" t="s">
        <v>68</v>
      </c>
      <c r="E41" s="2" t="s">
        <v>23</v>
      </c>
      <c r="F41" s="2" t="s">
        <v>17</v>
      </c>
      <c r="G41" s="2" t="s">
        <v>175</v>
      </c>
      <c r="H41">
        <v>759</v>
      </c>
      <c r="I41" s="2">
        <v>1899</v>
      </c>
      <c r="J41" s="2" t="s">
        <v>55</v>
      </c>
      <c r="K41" s="2" t="s">
        <v>39</v>
      </c>
      <c r="L41" s="2">
        <v>4</v>
      </c>
      <c r="M41" s="2">
        <v>988</v>
      </c>
      <c r="P41" t="str">
        <f t="shared" si="2"/>
        <v>60%</v>
      </c>
      <c r="Q41" s="12">
        <f t="shared" si="3"/>
        <v>0.6</v>
      </c>
      <c r="R41" s="9">
        <f t="shared" si="0"/>
        <v>759.60000000000014</v>
      </c>
      <c r="S41" s="9">
        <f>IF(R41="",AVERAGEIF(Table1[Category],Table1[[#This Row],[Category]],Table2[orignal data]),Table2[[#This Row],[orignal data]])</f>
        <v>759.60000000000014</v>
      </c>
      <c r="T41" t="str">
        <f t="shared" si="1"/>
        <v>UNIQUE</v>
      </c>
      <c r="U41" t="str">
        <f>IF(ISBLANK(Table1[[#This Row],[SizeOption]]),"NOT AVAILABLE",Table1[[#This Row],[SizeOption]])</f>
        <v>S, M, L, XL, XXL</v>
      </c>
      <c r="Y41" t="str">
        <f>IF(Table2[[#This Row],[Column1]]&gt;50%,"HIGH DISCOUNT","LOW DISCOUNT")</f>
        <v>HIGH DISCOUNT</v>
      </c>
    </row>
    <row r="42" spans="1:25" x14ac:dyDescent="0.25">
      <c r="A42" s="1" t="s">
        <v>176</v>
      </c>
      <c r="B42" s="1">
        <v>12918912</v>
      </c>
      <c r="C42" s="1" t="s">
        <v>14</v>
      </c>
      <c r="D42" s="1" t="s">
        <v>28</v>
      </c>
      <c r="E42" s="1" t="s">
        <v>29</v>
      </c>
      <c r="F42" s="1" t="s">
        <v>17</v>
      </c>
      <c r="G42" s="1" t="s">
        <v>177</v>
      </c>
      <c r="H42">
        <v>599</v>
      </c>
      <c r="I42" s="1">
        <v>1199</v>
      </c>
      <c r="J42" s="1" t="s">
        <v>84</v>
      </c>
      <c r="K42" s="1" t="s">
        <v>31</v>
      </c>
      <c r="L42" s="1">
        <v>4.3</v>
      </c>
      <c r="M42" s="1">
        <v>988</v>
      </c>
      <c r="P42" t="str">
        <f t="shared" si="2"/>
        <v>50%</v>
      </c>
      <c r="Q42" s="12">
        <f t="shared" si="3"/>
        <v>0.5</v>
      </c>
      <c r="R42" s="9">
        <f t="shared" si="0"/>
        <v>599.5</v>
      </c>
      <c r="S42" s="9">
        <f>IF(R42="",AVERAGEIF(Table1[Category],Table1[[#This Row],[Category]],Table2[orignal data]),Table2[[#This Row],[orignal data]])</f>
        <v>599.5</v>
      </c>
      <c r="T42" t="str">
        <f t="shared" si="1"/>
        <v>UNIQUE</v>
      </c>
      <c r="U42" t="str">
        <f>IF(ISBLANK(Table1[[#This Row],[SizeOption]]),"NOT AVAILABLE",Table1[[#This Row],[SizeOption]])</f>
        <v>38, 40, 42, 44, 46, 48</v>
      </c>
      <c r="Y42" t="str">
        <f>IF(Table2[[#This Row],[Column1]]&gt;50%,"HIGH DISCOUNT","LOW DISCOUNT")</f>
        <v>LOW DISCOUNT</v>
      </c>
    </row>
    <row r="43" spans="1:25" x14ac:dyDescent="0.25">
      <c r="A43" s="2" t="s">
        <v>178</v>
      </c>
      <c r="B43" s="2">
        <v>11245584</v>
      </c>
      <c r="C43" s="2" t="s">
        <v>67</v>
      </c>
      <c r="D43" s="2" t="s">
        <v>68</v>
      </c>
      <c r="E43" s="2" t="s">
        <v>69</v>
      </c>
      <c r="F43" s="2" t="s">
        <v>36</v>
      </c>
      <c r="G43" s="2" t="s">
        <v>179</v>
      </c>
      <c r="H43">
        <v>594</v>
      </c>
      <c r="I43" s="2">
        <v>1699</v>
      </c>
      <c r="J43" s="2" t="s">
        <v>150</v>
      </c>
      <c r="K43" s="2" t="s">
        <v>115</v>
      </c>
      <c r="L43" s="2">
        <v>4</v>
      </c>
      <c r="M43" s="2">
        <v>988</v>
      </c>
      <c r="P43" t="str">
        <f t="shared" si="2"/>
        <v>65%</v>
      </c>
      <c r="Q43" s="12">
        <f t="shared" si="3"/>
        <v>0.65</v>
      </c>
      <c r="R43" s="9">
        <f t="shared" si="0"/>
        <v>594.64999999999986</v>
      </c>
      <c r="S43" s="9">
        <f>IF(R43="",AVERAGEIF(Table1[Category],Table1[[#This Row],[Category]],Table2[orignal data]),Table2[[#This Row],[orignal data]])</f>
        <v>594.64999999999986</v>
      </c>
      <c r="T43" t="str">
        <f t="shared" si="1"/>
        <v>UNIQUE</v>
      </c>
      <c r="U43" t="str">
        <f>IF(ISBLANK(Table1[[#This Row],[SizeOption]]),"NOT AVAILABLE",Table1[[#This Row],[SizeOption]])</f>
        <v>XS, S, M, L, XL, XXL</v>
      </c>
      <c r="Y43" t="str">
        <f>IF(Table2[[#This Row],[Column1]]&gt;50%,"HIGH DISCOUNT","LOW DISCOUNT")</f>
        <v>HIGH DISCOUNT</v>
      </c>
    </row>
    <row r="44" spans="1:25" x14ac:dyDescent="0.25">
      <c r="A44" s="1" t="s">
        <v>180</v>
      </c>
      <c r="B44" s="1">
        <v>8643285</v>
      </c>
      <c r="C44" s="1" t="s">
        <v>181</v>
      </c>
      <c r="D44" s="1" t="s">
        <v>41</v>
      </c>
      <c r="E44" s="1" t="s">
        <v>53</v>
      </c>
      <c r="F44" s="1" t="s">
        <v>36</v>
      </c>
      <c r="G44" s="1" t="s">
        <v>182</v>
      </c>
      <c r="I44" s="1">
        <v>1599</v>
      </c>
      <c r="J44" s="1" t="s">
        <v>84</v>
      </c>
      <c r="K44" s="1" t="s">
        <v>134</v>
      </c>
      <c r="L44" s="1">
        <v>3.6</v>
      </c>
      <c r="M44" s="1">
        <v>988</v>
      </c>
      <c r="P44" t="str">
        <f t="shared" si="2"/>
        <v>50%</v>
      </c>
      <c r="Q44" s="12">
        <f t="shared" si="3"/>
        <v>0.5</v>
      </c>
      <c r="R44" s="9">
        <f t="shared" si="0"/>
        <v>799.5</v>
      </c>
      <c r="S44" s="9">
        <f>IF(R44="",AVERAGEIF(Table1[Category],Table1[[#This Row],[Category]],Table2[orignal data]),Table2[[#This Row],[orignal data]])</f>
        <v>799.5</v>
      </c>
      <c r="T44" t="str">
        <f t="shared" si="1"/>
        <v>UNIQUE</v>
      </c>
      <c r="U44" t="str">
        <f>IF(ISBLANK(Table1[[#This Row],[SizeOption]]),"NOT AVAILABLE",Table1[[#This Row],[SizeOption]])</f>
        <v>26, 28, 30, 32, 34, 36</v>
      </c>
      <c r="Y44" t="str">
        <f>IF(Table2[[#This Row],[Column1]]&gt;50%,"HIGH DISCOUNT","LOW DISCOUNT")</f>
        <v>LOW DISCOUNT</v>
      </c>
    </row>
    <row r="45" spans="1:25" x14ac:dyDescent="0.25">
      <c r="A45" s="2" t="s">
        <v>183</v>
      </c>
      <c r="B45" s="2">
        <v>9451341</v>
      </c>
      <c r="C45" s="2" t="s">
        <v>184</v>
      </c>
      <c r="D45" s="2" t="s">
        <v>41</v>
      </c>
      <c r="E45" s="2" t="s">
        <v>48</v>
      </c>
      <c r="F45" s="2" t="s">
        <v>36</v>
      </c>
      <c r="G45" s="2" t="s">
        <v>185</v>
      </c>
      <c r="I45" s="2">
        <v>1699</v>
      </c>
      <c r="J45" s="2" t="s">
        <v>186</v>
      </c>
      <c r="K45" s="2" t="s">
        <v>39</v>
      </c>
      <c r="L45" s="2">
        <v>4.2</v>
      </c>
      <c r="M45" s="2">
        <v>988</v>
      </c>
      <c r="P45" t="str">
        <f t="shared" si="2"/>
        <v>30%</v>
      </c>
      <c r="Q45" s="12">
        <f t="shared" si="3"/>
        <v>0.3</v>
      </c>
      <c r="R45" s="9">
        <f t="shared" si="0"/>
        <v>1189.3</v>
      </c>
      <c r="S45" s="9">
        <f>IF(R45="",AVERAGEIF(Table1[Category],Table1[[#This Row],[Category]],Table2[orignal data]),Table2[[#This Row],[orignal data]])</f>
        <v>1189.3</v>
      </c>
      <c r="T45" t="str">
        <f t="shared" si="1"/>
        <v>UNIQUE</v>
      </c>
      <c r="U45" t="str">
        <f>IF(ISBLANK(Table1[[#This Row],[SizeOption]]),"NOT AVAILABLE",Table1[[#This Row],[SizeOption]])</f>
        <v>S, M, L, XL, XXL</v>
      </c>
      <c r="Y45" t="str">
        <f>IF(Table2[[#This Row],[Column1]]&gt;50%,"HIGH DISCOUNT","LOW DISCOUNT")</f>
        <v>LOW DISCOUNT</v>
      </c>
    </row>
    <row r="46" spans="1:25" x14ac:dyDescent="0.25">
      <c r="A46" s="1" t="s">
        <v>187</v>
      </c>
      <c r="B46" s="1">
        <v>7526008</v>
      </c>
      <c r="C46" s="1" t="s">
        <v>188</v>
      </c>
      <c r="D46" s="1" t="s">
        <v>41</v>
      </c>
      <c r="E46" s="1" t="s">
        <v>189</v>
      </c>
      <c r="F46" s="1" t="s">
        <v>36</v>
      </c>
      <c r="G46" s="1" t="s">
        <v>190</v>
      </c>
      <c r="I46" s="1">
        <v>1999</v>
      </c>
      <c r="J46" s="1" t="s">
        <v>25</v>
      </c>
      <c r="K46" s="1" t="s">
        <v>26</v>
      </c>
      <c r="L46" s="1">
        <v>4.2</v>
      </c>
      <c r="M46" s="1">
        <v>988</v>
      </c>
      <c r="P46" t="str">
        <f t="shared" si="2"/>
        <v>55%</v>
      </c>
      <c r="Q46" s="12">
        <f t="shared" si="3"/>
        <v>0.55000000000000004</v>
      </c>
      <c r="R46" s="9">
        <f t="shared" si="0"/>
        <v>899.55</v>
      </c>
      <c r="S46" s="9">
        <f>IF(R46="",AVERAGEIF(Table1[Category],Table1[[#This Row],[Category]],Table2[orignal data]),Table2[[#This Row],[orignal data]])</f>
        <v>899.55</v>
      </c>
      <c r="T46" t="str">
        <f t="shared" si="1"/>
        <v>UNIQUE</v>
      </c>
      <c r="U46" t="str">
        <f>IF(ISBLANK(Table1[[#This Row],[SizeOption]]),"NOT AVAILABLE",Table1[[#This Row],[SizeOption]])</f>
        <v>S, M, L, XL</v>
      </c>
      <c r="Y46" t="str">
        <f>IF(Table2[[#This Row],[Column1]]&gt;50%,"HIGH DISCOUNT","LOW DISCOUNT")</f>
        <v>HIGH DISCOUNT</v>
      </c>
    </row>
    <row r="47" spans="1:25" x14ac:dyDescent="0.25">
      <c r="A47" s="2" t="s">
        <v>191</v>
      </c>
      <c r="B47" s="2">
        <v>11235516</v>
      </c>
      <c r="C47" s="2" t="s">
        <v>58</v>
      </c>
      <c r="D47" s="2" t="s">
        <v>41</v>
      </c>
      <c r="E47" s="2" t="s">
        <v>48</v>
      </c>
      <c r="F47" s="2" t="s">
        <v>36</v>
      </c>
      <c r="G47" s="2" t="s">
        <v>192</v>
      </c>
      <c r="I47" s="2">
        <v>995</v>
      </c>
      <c r="J47" s="2" t="s">
        <v>60</v>
      </c>
      <c r="K47" s="2" t="s">
        <v>26</v>
      </c>
      <c r="L47" s="2">
        <v>4.0999999999999996</v>
      </c>
      <c r="M47" s="2">
        <v>988</v>
      </c>
      <c r="P47" t="str">
        <f t="shared" si="2"/>
        <v>58%</v>
      </c>
      <c r="Q47" s="12">
        <f t="shared" si="3"/>
        <v>0.57999999999999996</v>
      </c>
      <c r="R47" s="9">
        <f t="shared" si="0"/>
        <v>417.90000000000009</v>
      </c>
      <c r="S47" s="9">
        <f>IF(R47="",AVERAGEIF(Table1[Category],Table1[[#This Row],[Category]],Table2[orignal data]),Table2[[#This Row],[orignal data]])</f>
        <v>417.90000000000009</v>
      </c>
      <c r="T47" t="str">
        <f t="shared" si="1"/>
        <v>UNIQUE</v>
      </c>
      <c r="U47" t="str">
        <f>IF(ISBLANK(Table1[[#This Row],[SizeOption]]),"NOT AVAILABLE",Table1[[#This Row],[SizeOption]])</f>
        <v>S, M, L, XL</v>
      </c>
      <c r="Y47" t="str">
        <f>IF(Table2[[#This Row],[Column1]]&gt;50%,"HIGH DISCOUNT","LOW DISCOUNT")</f>
        <v>HIGH DISCOUNT</v>
      </c>
    </row>
    <row r="48" spans="1:25" x14ac:dyDescent="0.25">
      <c r="A48" s="1" t="s">
        <v>193</v>
      </c>
      <c r="B48" s="1">
        <v>10064541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194</v>
      </c>
      <c r="H48">
        <v>799</v>
      </c>
      <c r="I48" s="1">
        <v>1999</v>
      </c>
      <c r="J48" s="1" t="s">
        <v>55</v>
      </c>
      <c r="K48" s="1" t="s">
        <v>195</v>
      </c>
      <c r="L48" s="1">
        <v>3.8</v>
      </c>
      <c r="M48" s="1">
        <v>987</v>
      </c>
      <c r="P48" t="str">
        <f t="shared" si="2"/>
        <v>60%</v>
      </c>
      <c r="Q48" s="12">
        <f t="shared" si="3"/>
        <v>0.6</v>
      </c>
      <c r="R48" s="9">
        <f t="shared" si="0"/>
        <v>799.60000000000014</v>
      </c>
      <c r="S48" s="9">
        <f>IF(R48="",AVERAGEIF(Table1[Category],Table1[[#This Row],[Category]],Table2[orignal data]),Table2[[#This Row],[orignal data]])</f>
        <v>799.60000000000014</v>
      </c>
      <c r="T48" t="str">
        <f t="shared" si="1"/>
        <v>UNIQUE</v>
      </c>
      <c r="U48" t="str">
        <f>IF(ISBLANK(Table1[[#This Row],[SizeOption]]),"NOT AVAILABLE",Table1[[#This Row],[SizeOption]])</f>
        <v>28, 30, 32, 34, 36, 38, 40</v>
      </c>
      <c r="Y48" t="str">
        <f>IF(Table2[[#This Row],[Column1]]&gt;50%,"HIGH DISCOUNT","LOW DISCOUNT")</f>
        <v>HIGH DISCOUNT</v>
      </c>
    </row>
    <row r="49" spans="1:25" x14ac:dyDescent="0.25">
      <c r="A49" s="2" t="s">
        <v>196</v>
      </c>
      <c r="B49" s="2">
        <v>976816</v>
      </c>
      <c r="C49" s="2" t="s">
        <v>67</v>
      </c>
      <c r="D49" s="2" t="s">
        <v>197</v>
      </c>
      <c r="E49" s="2" t="s">
        <v>198</v>
      </c>
      <c r="F49" s="2" t="s">
        <v>17</v>
      </c>
      <c r="G49" s="2" t="s">
        <v>199</v>
      </c>
      <c r="H49">
        <v>359</v>
      </c>
      <c r="I49" s="2">
        <v>599</v>
      </c>
      <c r="J49" s="2" t="s">
        <v>50</v>
      </c>
      <c r="K49" s="2" t="s">
        <v>164</v>
      </c>
      <c r="L49" s="2">
        <v>4.5</v>
      </c>
      <c r="M49" s="2">
        <v>987</v>
      </c>
      <c r="P49" t="str">
        <f t="shared" si="2"/>
        <v>40%</v>
      </c>
      <c r="Q49" s="12">
        <f t="shared" si="3"/>
        <v>0.4</v>
      </c>
      <c r="R49" s="9">
        <f t="shared" si="0"/>
        <v>359.4</v>
      </c>
      <c r="S49" s="9">
        <f>IF(R49="",AVERAGEIF(Table1[Category],Table1[[#This Row],[Category]],Table2[orignal data]),Table2[[#This Row],[orignal data]])</f>
        <v>359.4</v>
      </c>
      <c r="T49" t="str">
        <f t="shared" si="1"/>
        <v>UNIQUE</v>
      </c>
      <c r="U49" t="str">
        <f>IF(ISBLANK(Table1[[#This Row],[SizeOption]]),"NOT AVAILABLE",Table1[[#This Row],[SizeOption]])</f>
        <v>Onesize</v>
      </c>
      <c r="Y49" t="str">
        <f>IF(Table2[[#This Row],[Column1]]&gt;50%,"HIGH DISCOUNT","LOW DISCOUNT")</f>
        <v>LOW DISCOUNT</v>
      </c>
    </row>
    <row r="50" spans="1:25" x14ac:dyDescent="0.25">
      <c r="A50" s="1" t="s">
        <v>200</v>
      </c>
      <c r="B50" s="1">
        <v>11269190</v>
      </c>
      <c r="C50" s="1" t="s">
        <v>201</v>
      </c>
      <c r="D50" s="1" t="s">
        <v>28</v>
      </c>
      <c r="E50" s="1" t="s">
        <v>42</v>
      </c>
      <c r="F50" s="1" t="s">
        <v>17</v>
      </c>
      <c r="G50" s="1" t="s">
        <v>202</v>
      </c>
      <c r="H50">
        <v>479</v>
      </c>
      <c r="I50" s="1">
        <v>1199</v>
      </c>
      <c r="J50" s="1" t="s">
        <v>55</v>
      </c>
      <c r="K50" s="1" t="s">
        <v>26</v>
      </c>
      <c r="L50" s="1">
        <v>4.2</v>
      </c>
      <c r="M50" s="1">
        <v>987</v>
      </c>
      <c r="P50" t="str">
        <f t="shared" si="2"/>
        <v>60%</v>
      </c>
      <c r="Q50" s="12">
        <f t="shared" si="3"/>
        <v>0.6</v>
      </c>
      <c r="R50" s="9">
        <f t="shared" si="0"/>
        <v>479.6</v>
      </c>
      <c r="S50" s="9">
        <f>IF(R50="",AVERAGEIF(Table1[Category],Table1[[#This Row],[Category]],Table2[orignal data]),Table2[[#This Row],[orignal data]])</f>
        <v>479.6</v>
      </c>
      <c r="T50" t="str">
        <f t="shared" si="1"/>
        <v>UNIQUE</v>
      </c>
      <c r="U50" t="str">
        <f>IF(ISBLANK(Table1[[#This Row],[SizeOption]]),"NOT AVAILABLE",Table1[[#This Row],[SizeOption]])</f>
        <v>S, M, L, XL</v>
      </c>
      <c r="Y50" t="str">
        <f>IF(Table2[[#This Row],[Column1]]&gt;50%,"HIGH DISCOUNT","LOW DISCOUNT")</f>
        <v>HIGH DISCOUNT</v>
      </c>
    </row>
    <row r="51" spans="1:25" x14ac:dyDescent="0.25">
      <c r="A51" s="2" t="s">
        <v>203</v>
      </c>
      <c r="B51" s="2">
        <v>10266495</v>
      </c>
      <c r="C51" s="2" t="s">
        <v>201</v>
      </c>
      <c r="D51" s="2" t="s">
        <v>28</v>
      </c>
      <c r="E51" s="2" t="s">
        <v>42</v>
      </c>
      <c r="F51" s="2" t="s">
        <v>17</v>
      </c>
      <c r="G51" s="2" t="s">
        <v>204</v>
      </c>
      <c r="H51">
        <v>399</v>
      </c>
      <c r="I51" s="2">
        <v>999</v>
      </c>
      <c r="J51" s="2" t="s">
        <v>55</v>
      </c>
      <c r="K51" s="2" t="s">
        <v>26</v>
      </c>
      <c r="L51" s="2">
        <v>4</v>
      </c>
      <c r="M51" s="2">
        <v>987</v>
      </c>
      <c r="P51" t="str">
        <f t="shared" si="2"/>
        <v>60%</v>
      </c>
      <c r="Q51" s="12">
        <f t="shared" si="3"/>
        <v>0.6</v>
      </c>
      <c r="R51" s="9">
        <f t="shared" si="0"/>
        <v>399.6</v>
      </c>
      <c r="S51" s="9">
        <f>IF(R51="",AVERAGEIF(Table1[Category],Table1[[#This Row],[Category]],Table2[orignal data]),Table2[[#This Row],[orignal data]])</f>
        <v>399.6</v>
      </c>
      <c r="T51" t="str">
        <f t="shared" si="1"/>
        <v>UNIQUE</v>
      </c>
      <c r="U51" t="str">
        <f>IF(ISBLANK(Table1[[#This Row],[SizeOption]]),"NOT AVAILABLE",Table1[[#This Row],[SizeOption]])</f>
        <v>S, M, L, XL</v>
      </c>
      <c r="Y51" t="str">
        <f>IF(Table2[[#This Row],[Column1]]&gt;50%,"HIGH DISCOUNT","LOW DISCOUNT")</f>
        <v>HIGH DISCOUNT</v>
      </c>
    </row>
    <row r="52" spans="1:25" x14ac:dyDescent="0.25">
      <c r="A52" s="1" t="s">
        <v>205</v>
      </c>
      <c r="B52" s="1">
        <v>8986005</v>
      </c>
      <c r="C52" s="1" t="s">
        <v>206</v>
      </c>
      <c r="D52" s="1" t="s">
        <v>41</v>
      </c>
      <c r="E52" s="1" t="s">
        <v>48</v>
      </c>
      <c r="F52" s="1" t="s">
        <v>36</v>
      </c>
      <c r="G52" s="1" t="s">
        <v>207</v>
      </c>
      <c r="I52" s="1">
        <v>1199</v>
      </c>
      <c r="J52" s="1" t="s">
        <v>208</v>
      </c>
      <c r="K52" s="1" t="s">
        <v>26</v>
      </c>
      <c r="L52" s="1">
        <v>4</v>
      </c>
      <c r="M52" s="1">
        <v>987</v>
      </c>
      <c r="P52" t="str">
        <f t="shared" si="2"/>
        <v>52%</v>
      </c>
      <c r="Q52" s="12">
        <f t="shared" si="3"/>
        <v>0.52</v>
      </c>
      <c r="R52" s="9">
        <f t="shared" si="0"/>
        <v>575.52</v>
      </c>
      <c r="S52" s="9">
        <f>IF(R52="",AVERAGEIF(Table1[Category],Table1[[#This Row],[Category]],Table2[orignal data]),Table2[[#This Row],[orignal data]])</f>
        <v>575.52</v>
      </c>
      <c r="T52" t="str">
        <f t="shared" si="1"/>
        <v>UNIQUE</v>
      </c>
      <c r="U52" t="str">
        <f>IF(ISBLANK(Table1[[#This Row],[SizeOption]]),"NOT AVAILABLE",Table1[[#This Row],[SizeOption]])</f>
        <v>S, M, L, XL</v>
      </c>
      <c r="Y52" t="str">
        <f>IF(Table2[[#This Row],[Column1]]&gt;50%,"HIGH DISCOUNT","LOW DISCOUNT")</f>
        <v>HIGH DISCOUNT</v>
      </c>
    </row>
    <row r="53" spans="1:25" x14ac:dyDescent="0.25">
      <c r="A53" s="2" t="s">
        <v>209</v>
      </c>
      <c r="B53" s="2">
        <v>10604500</v>
      </c>
      <c r="C53" s="2" t="s">
        <v>181</v>
      </c>
      <c r="D53" s="2" t="s">
        <v>41</v>
      </c>
      <c r="E53" s="2" t="s">
        <v>189</v>
      </c>
      <c r="F53" s="2" t="s">
        <v>36</v>
      </c>
      <c r="G53" s="2" t="s">
        <v>210</v>
      </c>
      <c r="I53" s="2">
        <v>1799</v>
      </c>
      <c r="J53" s="2" t="s">
        <v>150</v>
      </c>
      <c r="K53" s="2" t="s">
        <v>115</v>
      </c>
      <c r="L53" s="2">
        <v>4.3</v>
      </c>
      <c r="M53" s="2">
        <v>987</v>
      </c>
      <c r="P53" t="str">
        <f t="shared" si="2"/>
        <v>65%</v>
      </c>
      <c r="Q53" s="12">
        <f t="shared" si="3"/>
        <v>0.65</v>
      </c>
      <c r="R53" s="9">
        <f t="shared" si="0"/>
        <v>629.64999999999986</v>
      </c>
      <c r="S53" s="9">
        <f>IF(R53="",AVERAGEIF(Table1[Category],Table1[[#This Row],[Category]],Table2[orignal data]),Table2[[#This Row],[orignal data]])</f>
        <v>629.64999999999986</v>
      </c>
      <c r="T53" t="str">
        <f t="shared" si="1"/>
        <v>UNIQUE</v>
      </c>
      <c r="U53" t="str">
        <f>IF(ISBLANK(Table1[[#This Row],[SizeOption]]),"NOT AVAILABLE",Table1[[#This Row],[SizeOption]])</f>
        <v>XS, S, M, L, XL, XXL</v>
      </c>
      <c r="Y53" t="str">
        <f>IF(Table2[[#This Row],[Column1]]&gt;50%,"HIGH DISCOUNT","LOW DISCOUNT")</f>
        <v>HIGH DISCOUNT</v>
      </c>
    </row>
    <row r="54" spans="1:25" x14ac:dyDescent="0.25">
      <c r="A54" s="1" t="s">
        <v>211</v>
      </c>
      <c r="B54" s="1">
        <v>11045880</v>
      </c>
      <c r="C54" s="1" t="s">
        <v>14</v>
      </c>
      <c r="D54" s="1" t="s">
        <v>41</v>
      </c>
      <c r="E54" s="1" t="s">
        <v>16</v>
      </c>
      <c r="F54" s="1" t="s">
        <v>36</v>
      </c>
      <c r="G54" s="1" t="s">
        <v>212</v>
      </c>
      <c r="I54" s="1">
        <v>2499</v>
      </c>
      <c r="J54" s="1" t="s">
        <v>109</v>
      </c>
      <c r="K54" s="1" t="s">
        <v>134</v>
      </c>
      <c r="L54" s="1">
        <v>3.7</v>
      </c>
      <c r="M54" s="1">
        <v>987</v>
      </c>
      <c r="P54" t="str">
        <f t="shared" si="2"/>
        <v>75%</v>
      </c>
      <c r="Q54" s="12">
        <f t="shared" si="3"/>
        <v>0.75</v>
      </c>
      <c r="R54" s="9">
        <f t="shared" si="0"/>
        <v>624.75</v>
      </c>
      <c r="S54" s="9">
        <f>IF(R54="",AVERAGEIF(Table1[Category],Table1[[#This Row],[Category]],Table2[orignal data]),Table2[[#This Row],[orignal data]])</f>
        <v>624.75</v>
      </c>
      <c r="T54" t="str">
        <f t="shared" si="1"/>
        <v>UNIQUE</v>
      </c>
      <c r="U54" t="str">
        <f>IF(ISBLANK(Table1[[#This Row],[SizeOption]]),"NOT AVAILABLE",Table1[[#This Row],[SizeOption]])</f>
        <v>26, 28, 30, 32, 34, 36</v>
      </c>
      <c r="Y54" t="str">
        <f>IF(Table2[[#This Row],[Column1]]&gt;50%,"HIGH DISCOUNT","LOW DISCOUNT")</f>
        <v>HIGH DISCOUNT</v>
      </c>
    </row>
    <row r="55" spans="1:25" x14ac:dyDescent="0.25">
      <c r="A55" s="2" t="s">
        <v>213</v>
      </c>
      <c r="B55" s="2">
        <v>8912653</v>
      </c>
      <c r="C55" s="2" t="s">
        <v>214</v>
      </c>
      <c r="D55" s="2" t="s">
        <v>41</v>
      </c>
      <c r="E55" s="2" t="s">
        <v>42</v>
      </c>
      <c r="F55" s="2" t="s">
        <v>36</v>
      </c>
      <c r="G55" s="2" t="s">
        <v>215</v>
      </c>
      <c r="I55" s="2">
        <v>899</v>
      </c>
      <c r="J55" s="2" t="s">
        <v>150</v>
      </c>
      <c r="K55" s="2" t="s">
        <v>45</v>
      </c>
      <c r="L55" s="2">
        <v>3.9</v>
      </c>
      <c r="M55" s="2">
        <v>987</v>
      </c>
      <c r="P55" t="str">
        <f t="shared" si="2"/>
        <v>65%</v>
      </c>
      <c r="Q55" s="12">
        <f t="shared" si="3"/>
        <v>0.65</v>
      </c>
      <c r="R55" s="9">
        <f t="shared" si="0"/>
        <v>314.64999999999998</v>
      </c>
      <c r="S55" s="9">
        <f>IF(R55="",AVERAGEIF(Table1[Category],Table1[[#This Row],[Category]],Table2[orignal data]),Table2[[#This Row],[orignal data]])</f>
        <v>314.64999999999998</v>
      </c>
      <c r="T55" t="str">
        <f t="shared" si="1"/>
        <v>UNIQUE</v>
      </c>
      <c r="U55" t="str">
        <f>IF(ISBLANK(Table1[[#This Row],[SizeOption]]),"NOT AVAILABLE",Table1[[#This Row],[SizeOption]])</f>
        <v>XS, S, M, L, XL</v>
      </c>
      <c r="Y55" t="str">
        <f>IF(Table2[[#This Row],[Column1]]&gt;50%,"HIGH DISCOUNT","LOW DISCOUNT")</f>
        <v>HIGH DISCOUNT</v>
      </c>
    </row>
    <row r="56" spans="1:25" x14ac:dyDescent="0.25">
      <c r="A56" s="1" t="s">
        <v>216</v>
      </c>
      <c r="B56" s="1">
        <v>10064487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217</v>
      </c>
      <c r="H56">
        <v>989</v>
      </c>
      <c r="I56" s="1">
        <v>2199</v>
      </c>
      <c r="J56" s="1" t="s">
        <v>25</v>
      </c>
      <c r="K56" s="1" t="s">
        <v>20</v>
      </c>
      <c r="L56" s="1">
        <v>3.7</v>
      </c>
      <c r="M56" s="1">
        <v>986</v>
      </c>
      <c r="P56" t="str">
        <f t="shared" si="2"/>
        <v>55%</v>
      </c>
      <c r="Q56" s="12">
        <f t="shared" si="3"/>
        <v>0.55000000000000004</v>
      </c>
      <c r="R56" s="9">
        <f t="shared" si="0"/>
        <v>989.55</v>
      </c>
      <c r="S56" s="9">
        <f>IF(R56="",AVERAGEIF(Table1[Category],Table1[[#This Row],[Category]],Table2[orignal data]),Table2[[#This Row],[orignal data]])</f>
        <v>989.55</v>
      </c>
      <c r="T56" t="str">
        <f t="shared" si="1"/>
        <v>UNIQUE</v>
      </c>
      <c r="U56" t="str">
        <f>IF(ISBLANK(Table1[[#This Row],[SizeOption]]),"NOT AVAILABLE",Table1[[#This Row],[SizeOption]])</f>
        <v>28, 30, 32, 34, 36</v>
      </c>
      <c r="Y56" t="str">
        <f>IF(Table2[[#This Row],[Column1]]&gt;50%,"HIGH DISCOUNT","LOW DISCOUNT")</f>
        <v>HIGH DISCOUNT</v>
      </c>
    </row>
    <row r="57" spans="1:25" x14ac:dyDescent="0.25">
      <c r="A57" s="2" t="s">
        <v>218</v>
      </c>
      <c r="B57" s="2">
        <v>2888727</v>
      </c>
      <c r="C57" s="2" t="s">
        <v>52</v>
      </c>
      <c r="D57" s="2" t="s">
        <v>28</v>
      </c>
      <c r="E57" s="2" t="s">
        <v>29</v>
      </c>
      <c r="F57" s="2" t="s">
        <v>17</v>
      </c>
      <c r="G57" s="2" t="s">
        <v>219</v>
      </c>
      <c r="H57">
        <v>587</v>
      </c>
      <c r="I57" s="2">
        <v>1249</v>
      </c>
      <c r="J57" s="2" t="s">
        <v>89</v>
      </c>
      <c r="K57" s="2" t="s">
        <v>90</v>
      </c>
      <c r="L57" s="2">
        <v>4.0999999999999996</v>
      </c>
      <c r="M57" s="2">
        <v>986</v>
      </c>
      <c r="P57" t="str">
        <f t="shared" si="2"/>
        <v>53%</v>
      </c>
      <c r="Q57" s="12">
        <f t="shared" si="3"/>
        <v>0.53</v>
      </c>
      <c r="R57" s="9">
        <f t="shared" si="0"/>
        <v>587.03</v>
      </c>
      <c r="S57" s="9">
        <f>IF(R57="",AVERAGEIF(Table1[Category],Table1[[#This Row],[Category]],Table2[orignal data]),Table2[[#This Row],[orignal data]])</f>
        <v>587.03</v>
      </c>
      <c r="T57" t="str">
        <f t="shared" si="1"/>
        <v>UNIQUE</v>
      </c>
      <c r="U57" t="str">
        <f>IF(ISBLANK(Table1[[#This Row],[SizeOption]]),"NOT AVAILABLE",Table1[[#This Row],[SizeOption]])</f>
        <v>39, 40, 42, 44</v>
      </c>
      <c r="Y57" t="str">
        <f>IF(Table2[[#This Row],[Column1]]&gt;50%,"HIGH DISCOUNT","LOW DISCOUNT")</f>
        <v>HIGH DISCOUNT</v>
      </c>
    </row>
    <row r="58" spans="1:25" x14ac:dyDescent="0.25">
      <c r="A58" s="1" t="s">
        <v>220</v>
      </c>
      <c r="B58" s="1">
        <v>12150560</v>
      </c>
      <c r="C58" s="1" t="s">
        <v>221</v>
      </c>
      <c r="D58" s="1" t="s">
        <v>98</v>
      </c>
      <c r="E58" s="1" t="s">
        <v>48</v>
      </c>
      <c r="F58" s="1" t="s">
        <v>36</v>
      </c>
      <c r="G58" s="1" t="s">
        <v>222</v>
      </c>
      <c r="H58">
        <v>559</v>
      </c>
      <c r="I58" s="1">
        <v>1599</v>
      </c>
      <c r="J58" s="1" t="s">
        <v>150</v>
      </c>
      <c r="K58" s="1" t="s">
        <v>223</v>
      </c>
      <c r="L58" s="1">
        <v>4.4000000000000004</v>
      </c>
      <c r="M58" s="1">
        <v>986</v>
      </c>
      <c r="P58" t="str">
        <f t="shared" si="2"/>
        <v>65%</v>
      </c>
      <c r="Q58" s="12">
        <f t="shared" si="3"/>
        <v>0.65</v>
      </c>
      <c r="R58" s="9">
        <f t="shared" si="0"/>
        <v>559.64999999999986</v>
      </c>
      <c r="S58" s="9">
        <f>IF(R58="",AVERAGEIF(Table1[Category],Table1[[#This Row],[Category]],Table2[orignal data]),Table2[[#This Row],[orignal data]])</f>
        <v>559.64999999999986</v>
      </c>
      <c r="T58" t="str">
        <f t="shared" si="1"/>
        <v>UNIQUE</v>
      </c>
      <c r="U58" t="str">
        <f>IF(ISBLANK(Table1[[#This Row],[SizeOption]]),"NOT AVAILABLE",Table1[[#This Row],[SizeOption]])</f>
        <v>S, M, L, XL, XXL, 3XL, 4XL</v>
      </c>
      <c r="Y58" t="str">
        <f>IF(Table2[[#This Row],[Column1]]&gt;50%,"HIGH DISCOUNT","LOW DISCOUNT")</f>
        <v>HIGH DISCOUNT</v>
      </c>
    </row>
    <row r="59" spans="1:25" x14ac:dyDescent="0.25">
      <c r="A59" s="2" t="s">
        <v>224</v>
      </c>
      <c r="B59" s="2">
        <v>2337104</v>
      </c>
      <c r="C59" s="2" t="s">
        <v>225</v>
      </c>
      <c r="D59" s="2" t="s">
        <v>41</v>
      </c>
      <c r="E59" s="2" t="s">
        <v>148</v>
      </c>
      <c r="F59" s="2" t="s">
        <v>36</v>
      </c>
      <c r="G59" s="2" t="s">
        <v>226</v>
      </c>
      <c r="I59" s="2">
        <v>2599</v>
      </c>
      <c r="J59" s="2" t="s">
        <v>126</v>
      </c>
      <c r="K59" s="2" t="s">
        <v>26</v>
      </c>
      <c r="L59" s="2">
        <v>4.3</v>
      </c>
      <c r="M59" s="2">
        <v>986</v>
      </c>
      <c r="P59" t="str">
        <f t="shared" si="2"/>
        <v>62%</v>
      </c>
      <c r="Q59" s="12">
        <f t="shared" si="3"/>
        <v>0.62</v>
      </c>
      <c r="R59" s="9">
        <f t="shared" si="0"/>
        <v>987.62000000000012</v>
      </c>
      <c r="S59" s="9">
        <f>IF(R59="",AVERAGEIF(Table1[Category],Table1[[#This Row],[Category]],Table2[orignal data]),Table2[[#This Row],[orignal data]])</f>
        <v>987.62000000000012</v>
      </c>
      <c r="T59" t="str">
        <f t="shared" si="1"/>
        <v>UNIQUE</v>
      </c>
      <c r="U59" t="str">
        <f>IF(ISBLANK(Table1[[#This Row],[SizeOption]]),"NOT AVAILABLE",Table1[[#This Row],[SizeOption]])</f>
        <v>S, M, L, XL</v>
      </c>
      <c r="Y59" t="str">
        <f>IF(Table2[[#This Row],[Column1]]&gt;50%,"HIGH DISCOUNT","LOW DISCOUNT")</f>
        <v>HIGH DISCOUNT</v>
      </c>
    </row>
    <row r="60" spans="1:25" x14ac:dyDescent="0.25">
      <c r="A60" s="1" t="s">
        <v>227</v>
      </c>
      <c r="B60" s="1">
        <v>12027772</v>
      </c>
      <c r="C60" s="1" t="s">
        <v>52</v>
      </c>
      <c r="D60" s="1" t="s">
        <v>28</v>
      </c>
      <c r="E60" s="1" t="s">
        <v>29</v>
      </c>
      <c r="F60" s="1" t="s">
        <v>17</v>
      </c>
      <c r="G60" s="1" t="s">
        <v>228</v>
      </c>
      <c r="H60">
        <v>493</v>
      </c>
      <c r="I60" s="1">
        <v>1049</v>
      </c>
      <c r="J60" s="1" t="s">
        <v>89</v>
      </c>
      <c r="K60" s="1" t="s">
        <v>90</v>
      </c>
      <c r="L60" s="1">
        <v>4.2</v>
      </c>
      <c r="M60" s="1">
        <v>985</v>
      </c>
      <c r="P60" t="str">
        <f t="shared" si="2"/>
        <v>53%</v>
      </c>
      <c r="Q60" s="12">
        <f t="shared" si="3"/>
        <v>0.53</v>
      </c>
      <c r="R60" s="9">
        <f t="shared" si="0"/>
        <v>493.03</v>
      </c>
      <c r="S60" s="9">
        <f>IF(R60="",AVERAGEIF(Table1[Category],Table1[[#This Row],[Category]],Table2[orignal data]),Table2[[#This Row],[orignal data]])</f>
        <v>493.03</v>
      </c>
      <c r="T60" t="str">
        <f t="shared" si="1"/>
        <v>UNIQUE</v>
      </c>
      <c r="U60" t="str">
        <f>IF(ISBLANK(Table1[[#This Row],[SizeOption]]),"NOT AVAILABLE",Table1[[#This Row],[SizeOption]])</f>
        <v>39, 40, 42, 44</v>
      </c>
      <c r="Y60" t="str">
        <f>IF(Table2[[#This Row],[Column1]]&gt;50%,"HIGH DISCOUNT","LOW DISCOUNT")</f>
        <v>HIGH DISCOUNT</v>
      </c>
    </row>
    <row r="61" spans="1:25" x14ac:dyDescent="0.25">
      <c r="A61" s="2" t="s">
        <v>229</v>
      </c>
      <c r="B61" s="2">
        <v>2429098</v>
      </c>
      <c r="C61" s="2" t="s">
        <v>52</v>
      </c>
      <c r="D61" s="2" t="s">
        <v>28</v>
      </c>
      <c r="E61" s="2" t="s">
        <v>29</v>
      </c>
      <c r="F61" s="2" t="s">
        <v>17</v>
      </c>
      <c r="G61" s="2" t="s">
        <v>230</v>
      </c>
      <c r="H61">
        <v>699</v>
      </c>
      <c r="I61" s="2">
        <v>999</v>
      </c>
      <c r="J61" s="2" t="s">
        <v>186</v>
      </c>
      <c r="K61" s="2" t="s">
        <v>90</v>
      </c>
      <c r="L61" s="2">
        <v>4</v>
      </c>
      <c r="M61" s="2">
        <v>985</v>
      </c>
      <c r="P61" t="str">
        <f t="shared" si="2"/>
        <v>30%</v>
      </c>
      <c r="Q61" s="12">
        <f t="shared" si="3"/>
        <v>0.3</v>
      </c>
      <c r="R61" s="9">
        <f t="shared" si="0"/>
        <v>699.3</v>
      </c>
      <c r="S61" s="9">
        <f>IF(R61="",AVERAGEIF(Table1[Category],Table1[[#This Row],[Category]],Table2[orignal data]),Table2[[#This Row],[orignal data]])</f>
        <v>699.3</v>
      </c>
      <c r="T61" t="str">
        <f t="shared" si="1"/>
        <v>UNIQUE</v>
      </c>
      <c r="U61" t="str">
        <f>IF(ISBLANK(Table1[[#This Row],[SizeOption]]),"NOT AVAILABLE",Table1[[#This Row],[SizeOption]])</f>
        <v>39, 40, 42, 44</v>
      </c>
      <c r="Y61" t="str">
        <f>IF(Table2[[#This Row],[Column1]]&gt;50%,"HIGH DISCOUNT","LOW DISCOUNT")</f>
        <v>LOW DISCOUNT</v>
      </c>
    </row>
    <row r="62" spans="1:25" x14ac:dyDescent="0.25">
      <c r="A62" s="1" t="s">
        <v>231</v>
      </c>
      <c r="B62" s="1">
        <v>11530828</v>
      </c>
      <c r="C62" s="1" t="s">
        <v>232</v>
      </c>
      <c r="D62" s="1" t="s">
        <v>76</v>
      </c>
      <c r="E62" s="1" t="s">
        <v>93</v>
      </c>
      <c r="F62" s="1" t="s">
        <v>36</v>
      </c>
      <c r="G62" s="1" t="s">
        <v>233</v>
      </c>
      <c r="H62">
        <v>581</v>
      </c>
      <c r="I62" s="1">
        <v>1660</v>
      </c>
      <c r="J62" s="1" t="s">
        <v>150</v>
      </c>
      <c r="K62" s="1" t="s">
        <v>234</v>
      </c>
      <c r="L62" s="1">
        <v>4.3</v>
      </c>
      <c r="M62" s="1">
        <v>985</v>
      </c>
      <c r="P62" t="str">
        <f t="shared" si="2"/>
        <v>65%</v>
      </c>
      <c r="Q62" s="12">
        <f t="shared" si="3"/>
        <v>0.65</v>
      </c>
      <c r="R62" s="9">
        <f t="shared" si="0"/>
        <v>581</v>
      </c>
      <c r="S62" s="9">
        <f>IF(R62="",AVERAGEIF(Table1[Category],Table1[[#This Row],[Category]],Table2[orignal data]),Table2[[#This Row],[orignal data]])</f>
        <v>581</v>
      </c>
      <c r="T62" t="str">
        <f t="shared" si="1"/>
        <v>UNIQUE</v>
      </c>
      <c r="U62" t="str">
        <f>IF(ISBLANK(Table1[[#This Row],[SizeOption]]),"NOT AVAILABLE",Table1[[#This Row],[SizeOption]])</f>
        <v>S, M, L, XL, XXL, 3XL</v>
      </c>
      <c r="Y62" t="str">
        <f>IF(Table2[[#This Row],[Column1]]&gt;50%,"HIGH DISCOUNT","LOW DISCOUNT")</f>
        <v>HIGH DISCOUNT</v>
      </c>
    </row>
    <row r="63" spans="1:25" x14ac:dyDescent="0.25">
      <c r="A63" s="2" t="s">
        <v>235</v>
      </c>
      <c r="B63" s="2">
        <v>130968</v>
      </c>
      <c r="C63" s="2" t="s">
        <v>117</v>
      </c>
      <c r="D63" s="2" t="s">
        <v>34</v>
      </c>
      <c r="E63" s="2" t="s">
        <v>118</v>
      </c>
      <c r="F63" s="2" t="s">
        <v>36</v>
      </c>
      <c r="G63" s="2" t="s">
        <v>236</v>
      </c>
      <c r="I63" s="2">
        <v>779</v>
      </c>
      <c r="J63" s="2"/>
      <c r="K63" s="2" t="s">
        <v>237</v>
      </c>
      <c r="L63" s="2">
        <v>4.4000000000000004</v>
      </c>
      <c r="M63" s="2">
        <v>985</v>
      </c>
      <c r="P63" t="str">
        <f t="shared" si="2"/>
        <v/>
      </c>
      <c r="Q63" s="12" t="str">
        <f t="shared" si="3"/>
        <v/>
      </c>
      <c r="R63" s="9" t="str">
        <f t="shared" si="0"/>
        <v/>
      </c>
      <c r="S63" s="9">
        <f>IF(R63="",AVERAGEIF(Table1[Category],Table1[[#This Row],[Category]],Table2[orignal data]),Table2[[#This Row],[orignal data]])</f>
        <v>608.88518518518481</v>
      </c>
      <c r="T63" t="str">
        <f t="shared" si="1"/>
        <v>UNIQUE</v>
      </c>
      <c r="U63" t="str">
        <f>IF(ISBLANK(Table1[[#This Row],[SizeOption]]),"NOT AVAILABLE",Table1[[#This Row],[SizeOption]])</f>
        <v>34B, 34C, 34D, 36B, 36C, 36D, 38B, 38C, 38D, 40B, 40C, 40D, 42B, 42C, 42D</v>
      </c>
      <c r="Y63" t="str">
        <f>IF(Table2[[#This Row],[Column1]]&gt;50%,"HIGH DISCOUNT","LOW DISCOUNT")</f>
        <v>HIGH DISCOUNT</v>
      </c>
    </row>
    <row r="64" spans="1:25" x14ac:dyDescent="0.25">
      <c r="A64" s="1" t="s">
        <v>238</v>
      </c>
      <c r="B64" s="1">
        <v>8350055</v>
      </c>
      <c r="C64" s="1" t="s">
        <v>97</v>
      </c>
      <c r="D64" s="1" t="s">
        <v>98</v>
      </c>
      <c r="E64" s="1" t="s">
        <v>77</v>
      </c>
      <c r="F64" s="1" t="s">
        <v>36</v>
      </c>
      <c r="G64" s="1" t="s">
        <v>239</v>
      </c>
      <c r="H64">
        <v>2924</v>
      </c>
      <c r="I64" s="1">
        <v>4499</v>
      </c>
      <c r="J64" s="1" t="s">
        <v>44</v>
      </c>
      <c r="K64" s="1" t="s">
        <v>100</v>
      </c>
      <c r="L64" s="1">
        <v>4</v>
      </c>
      <c r="M64" s="1">
        <v>985</v>
      </c>
      <c r="P64" t="str">
        <f t="shared" si="2"/>
        <v>35%</v>
      </c>
      <c r="Q64" s="12">
        <f t="shared" si="3"/>
        <v>0.35</v>
      </c>
      <c r="R64" s="9">
        <f t="shared" si="0"/>
        <v>2924.3500000000004</v>
      </c>
      <c r="S64" s="9">
        <f>IF(R64="",AVERAGEIF(Table1[Category],Table1[[#This Row],[Category]],Table2[orignal data]),Table2[[#This Row],[orignal data]])</f>
        <v>2924.3500000000004</v>
      </c>
      <c r="T64" t="str">
        <f t="shared" si="1"/>
        <v>UNIQUE</v>
      </c>
      <c r="U64" t="str">
        <f>IF(ISBLANK(Table1[[#This Row],[SizeOption]]),"NOT AVAILABLE",Table1[[#This Row],[SizeOption]])</f>
        <v>XS, S, M, L, XL, XXL, 3XL</v>
      </c>
      <c r="Y64" t="str">
        <f>IF(Table2[[#This Row],[Column1]]&gt;50%,"HIGH DISCOUNT","LOW DISCOUNT")</f>
        <v>LOW DISCOUNT</v>
      </c>
    </row>
    <row r="65" spans="1:25" x14ac:dyDescent="0.25">
      <c r="A65" s="2" t="s">
        <v>240</v>
      </c>
      <c r="B65" s="2">
        <v>10856472</v>
      </c>
      <c r="C65" s="2" t="s">
        <v>14</v>
      </c>
      <c r="D65" s="2" t="s">
        <v>41</v>
      </c>
      <c r="E65" s="2" t="s">
        <v>48</v>
      </c>
      <c r="F65" s="2" t="s">
        <v>36</v>
      </c>
      <c r="G65" s="2" t="s">
        <v>241</v>
      </c>
      <c r="I65" s="2">
        <v>1499</v>
      </c>
      <c r="J65" s="2" t="s">
        <v>55</v>
      </c>
      <c r="K65" s="2" t="s">
        <v>45</v>
      </c>
      <c r="L65" s="2">
        <v>4</v>
      </c>
      <c r="M65" s="2">
        <v>985</v>
      </c>
      <c r="P65" t="str">
        <f t="shared" si="2"/>
        <v>60%</v>
      </c>
      <c r="Q65" s="12">
        <f t="shared" si="3"/>
        <v>0.6</v>
      </c>
      <c r="R65" s="9">
        <f t="shared" si="0"/>
        <v>599.6</v>
      </c>
      <c r="S65" s="9">
        <f>IF(R65="",AVERAGEIF(Table1[Category],Table1[[#This Row],[Category]],Table2[orignal data]),Table2[[#This Row],[orignal data]])</f>
        <v>599.6</v>
      </c>
      <c r="T65" t="str">
        <f t="shared" si="1"/>
        <v>UNIQUE</v>
      </c>
      <c r="U65" t="str">
        <f>IF(ISBLANK(Table1[[#This Row],[SizeOption]]),"NOT AVAILABLE",Table1[[#This Row],[SizeOption]])</f>
        <v>XS, S, M, L, XL</v>
      </c>
      <c r="Y65" t="str">
        <f>IF(Table2[[#This Row],[Column1]]&gt;50%,"HIGH DISCOUNT","LOW DISCOUNT")</f>
        <v>HIGH DISCOUNT</v>
      </c>
    </row>
    <row r="66" spans="1:25" x14ac:dyDescent="0.25">
      <c r="A66" s="1" t="s">
        <v>242</v>
      </c>
      <c r="B66" s="1">
        <v>6687412</v>
      </c>
      <c r="C66" s="1" t="s">
        <v>14</v>
      </c>
      <c r="D66" s="1" t="s">
        <v>28</v>
      </c>
      <c r="E66" s="1" t="s">
        <v>29</v>
      </c>
      <c r="F66" s="1" t="s">
        <v>17</v>
      </c>
      <c r="G66" s="1" t="s">
        <v>243</v>
      </c>
      <c r="I66" s="1">
        <v>999</v>
      </c>
      <c r="J66" s="1"/>
      <c r="K66" s="1" t="s">
        <v>31</v>
      </c>
      <c r="L66" s="1">
        <v>4</v>
      </c>
      <c r="M66" s="1">
        <v>984</v>
      </c>
      <c r="P66" t="str">
        <f t="shared" si="2"/>
        <v/>
      </c>
      <c r="Q66" s="12" t="str">
        <f t="shared" ref="Q66:Q129" si="4">IF(P66="","",IF(ISNUMBER(SEARCH("%",P66)),P66,P66/I66)*100%)</f>
        <v/>
      </c>
      <c r="R66" s="9" t="str">
        <f t="shared" ref="R66:R129" si="5">IF(P66="","",I66-(I66*Q66))</f>
        <v/>
      </c>
      <c r="S66" s="9">
        <f>IF(R66="",AVERAGEIF(Table1[Category],Table1[[#This Row],[Category]],Table2[orignal data]),Table2[[#This Row],[orignal data]])</f>
        <v>671.7823941958867</v>
      </c>
      <c r="T66" t="str">
        <f t="shared" ref="T66:T129" si="6">IF(COUNTIF($B$2:$B$5000,B66)&gt;1,"DUPLICATE","UNIQUE")</f>
        <v>UNIQUE</v>
      </c>
      <c r="U66" t="str">
        <f>IF(ISBLANK(Table1[[#This Row],[SizeOption]]),"NOT AVAILABLE",Table1[[#This Row],[SizeOption]])</f>
        <v>38, 40, 42, 44, 46, 48</v>
      </c>
      <c r="Y66" t="str">
        <f>IF(Table2[[#This Row],[Column1]]&gt;50%,"HIGH DISCOUNT","LOW DISCOUNT")</f>
        <v>HIGH DISCOUNT</v>
      </c>
    </row>
    <row r="67" spans="1:25" x14ac:dyDescent="0.25">
      <c r="A67" s="2" t="s">
        <v>244</v>
      </c>
      <c r="B67" s="2">
        <v>11174094</v>
      </c>
      <c r="C67" s="2" t="s">
        <v>97</v>
      </c>
      <c r="D67" s="2" t="s">
        <v>76</v>
      </c>
      <c r="E67" s="2" t="s">
        <v>148</v>
      </c>
      <c r="F67" s="2" t="s">
        <v>36</v>
      </c>
      <c r="G67" s="2" t="s">
        <v>245</v>
      </c>
      <c r="H67">
        <v>799</v>
      </c>
      <c r="I67" s="2">
        <v>1999</v>
      </c>
      <c r="J67" s="2" t="s">
        <v>55</v>
      </c>
      <c r="K67" s="2" t="s">
        <v>100</v>
      </c>
      <c r="L67" s="2">
        <v>4.3</v>
      </c>
      <c r="M67" s="2">
        <v>984</v>
      </c>
      <c r="P67" t="str">
        <f t="shared" ref="P67:P130" si="7">TRIM(SUBSTITUTE(SUBSTITUTE(SUBSTITUTE(SUBSTITUTE(J67,"OFF",""),"Rs.",""),"Hurry*",""),",",""))</f>
        <v>60%</v>
      </c>
      <c r="Q67" s="12">
        <f t="shared" si="4"/>
        <v>0.6</v>
      </c>
      <c r="R67" s="9">
        <f t="shared" si="5"/>
        <v>799.60000000000014</v>
      </c>
      <c r="S67" s="9">
        <f>IF(R67="",AVERAGEIF(Table1[Category],Table1[[#This Row],[Category]],Table2[orignal data]),Table2[[#This Row],[orignal data]])</f>
        <v>799.60000000000014</v>
      </c>
      <c r="T67" t="str">
        <f t="shared" si="6"/>
        <v>UNIQUE</v>
      </c>
      <c r="U67" t="str">
        <f>IF(ISBLANK(Table1[[#This Row],[SizeOption]]),"NOT AVAILABLE",Table1[[#This Row],[SizeOption]])</f>
        <v>XS, S, M, L, XL, XXL, 3XL</v>
      </c>
      <c r="Y67" t="str">
        <f>IF(Table2[[#This Row],[Column1]]&gt;50%,"HIGH DISCOUNT","LOW DISCOUNT")</f>
        <v>HIGH DISCOUNT</v>
      </c>
    </row>
    <row r="68" spans="1:25" x14ac:dyDescent="0.25">
      <c r="A68" s="1" t="s">
        <v>246</v>
      </c>
      <c r="B68" s="1">
        <v>13141478</v>
      </c>
      <c r="C68" s="1" t="s">
        <v>247</v>
      </c>
      <c r="D68" s="1" t="s">
        <v>76</v>
      </c>
      <c r="E68" s="1" t="s">
        <v>77</v>
      </c>
      <c r="F68" s="1" t="s">
        <v>36</v>
      </c>
      <c r="G68" s="1" t="s">
        <v>248</v>
      </c>
      <c r="H68">
        <v>1429</v>
      </c>
      <c r="I68" s="1">
        <v>2599</v>
      </c>
      <c r="J68" s="1" t="s">
        <v>19</v>
      </c>
      <c r="K68" s="1" t="s">
        <v>100</v>
      </c>
      <c r="L68" s="1">
        <v>4.2</v>
      </c>
      <c r="M68" s="1">
        <v>984</v>
      </c>
      <c r="P68" t="str">
        <f t="shared" si="7"/>
        <v>45%</v>
      </c>
      <c r="Q68" s="12">
        <f t="shared" si="4"/>
        <v>0.45</v>
      </c>
      <c r="R68" s="9">
        <f t="shared" si="5"/>
        <v>1429.45</v>
      </c>
      <c r="S68" s="9">
        <f>IF(R68="",AVERAGEIF(Table1[Category],Table1[[#This Row],[Category]],Table2[orignal data]),Table2[[#This Row],[orignal data]])</f>
        <v>1429.45</v>
      </c>
      <c r="T68" t="str">
        <f t="shared" si="6"/>
        <v>UNIQUE</v>
      </c>
      <c r="U68" t="str">
        <f>IF(ISBLANK(Table1[[#This Row],[SizeOption]]),"NOT AVAILABLE",Table1[[#This Row],[SizeOption]])</f>
        <v>XS, S, M, L, XL, XXL, 3XL</v>
      </c>
      <c r="Y68" t="str">
        <f>IF(Table2[[#This Row],[Column1]]&gt;50%,"HIGH DISCOUNT","LOW DISCOUNT")</f>
        <v>LOW DISCOUNT</v>
      </c>
    </row>
    <row r="69" spans="1:25" x14ac:dyDescent="0.25">
      <c r="A69" s="2" t="s">
        <v>249</v>
      </c>
      <c r="B69" s="2">
        <v>2439141</v>
      </c>
      <c r="C69" s="2" t="s">
        <v>14</v>
      </c>
      <c r="D69" s="2" t="s">
        <v>41</v>
      </c>
      <c r="E69" s="2" t="s">
        <v>42</v>
      </c>
      <c r="F69" s="2" t="s">
        <v>36</v>
      </c>
      <c r="G69" s="2" t="s">
        <v>250</v>
      </c>
      <c r="I69" s="2">
        <v>599</v>
      </c>
      <c r="J69" s="2" t="s">
        <v>55</v>
      </c>
      <c r="K69" s="2" t="s">
        <v>45</v>
      </c>
      <c r="L69" s="2">
        <v>4.2</v>
      </c>
      <c r="M69" s="2">
        <v>984</v>
      </c>
      <c r="P69" t="str">
        <f t="shared" si="7"/>
        <v>60%</v>
      </c>
      <c r="Q69" s="12">
        <f t="shared" si="4"/>
        <v>0.6</v>
      </c>
      <c r="R69" s="9">
        <f t="shared" si="5"/>
        <v>239.60000000000002</v>
      </c>
      <c r="S69" s="9">
        <f>IF(R69="",AVERAGEIF(Table1[Category],Table1[[#This Row],[Category]],Table2[orignal data]),Table2[[#This Row],[orignal data]])</f>
        <v>239.60000000000002</v>
      </c>
      <c r="T69" t="str">
        <f t="shared" si="6"/>
        <v>UNIQUE</v>
      </c>
      <c r="U69" t="str">
        <f>IF(ISBLANK(Table1[[#This Row],[SizeOption]]),"NOT AVAILABLE",Table1[[#This Row],[SizeOption]])</f>
        <v>XS, S, M, L, XL</v>
      </c>
      <c r="Y69" t="str">
        <f>IF(Table2[[#This Row],[Column1]]&gt;50%,"HIGH DISCOUNT","LOW DISCOUNT")</f>
        <v>HIGH DISCOUNT</v>
      </c>
    </row>
    <row r="70" spans="1:25" x14ac:dyDescent="0.25">
      <c r="A70" s="1" t="s">
        <v>251</v>
      </c>
      <c r="B70" s="1">
        <v>11903990</v>
      </c>
      <c r="C70" s="1" t="s">
        <v>14</v>
      </c>
      <c r="D70" s="1" t="s">
        <v>28</v>
      </c>
      <c r="E70" s="1" t="s">
        <v>29</v>
      </c>
      <c r="F70" s="1" t="s">
        <v>17</v>
      </c>
      <c r="G70" s="1" t="s">
        <v>252</v>
      </c>
      <c r="H70">
        <v>659</v>
      </c>
      <c r="I70" s="1">
        <v>1199</v>
      </c>
      <c r="J70" s="1" t="s">
        <v>19</v>
      </c>
      <c r="K70" s="1" t="s">
        <v>253</v>
      </c>
      <c r="L70" s="1">
        <v>4.2</v>
      </c>
      <c r="M70" s="1">
        <v>983</v>
      </c>
      <c r="P70" t="str">
        <f t="shared" si="7"/>
        <v>45%</v>
      </c>
      <c r="Q70" s="12">
        <f t="shared" si="4"/>
        <v>0.45</v>
      </c>
      <c r="R70" s="9">
        <f t="shared" si="5"/>
        <v>659.44999999999993</v>
      </c>
      <c r="S70" s="9">
        <f>IF(R70="",AVERAGEIF(Table1[Category],Table1[[#This Row],[Category]],Table2[orignal data]),Table2[[#This Row],[orignal data]])</f>
        <v>659.44999999999993</v>
      </c>
      <c r="T70" t="str">
        <f t="shared" si="6"/>
        <v>UNIQUE</v>
      </c>
      <c r="U70" t="str">
        <f>IF(ISBLANK(Table1[[#This Row],[SizeOption]]),"NOT AVAILABLE",Table1[[#This Row],[SizeOption]])</f>
        <v>38, 40, 42, 44</v>
      </c>
      <c r="Y70" t="str">
        <f>IF(Table2[[#This Row],[Column1]]&gt;50%,"HIGH DISCOUNT","LOW DISCOUNT")</f>
        <v>LOW DISCOUNT</v>
      </c>
    </row>
    <row r="71" spans="1:25" x14ac:dyDescent="0.25">
      <c r="A71" s="2" t="s">
        <v>254</v>
      </c>
      <c r="B71" s="2">
        <v>12337118</v>
      </c>
      <c r="C71" s="2" t="s">
        <v>113</v>
      </c>
      <c r="D71" s="2" t="s">
        <v>76</v>
      </c>
      <c r="E71" s="2" t="s">
        <v>77</v>
      </c>
      <c r="F71" s="2" t="s">
        <v>36</v>
      </c>
      <c r="G71" s="2" t="s">
        <v>255</v>
      </c>
      <c r="H71">
        <v>774</v>
      </c>
      <c r="I71" s="2">
        <v>3099</v>
      </c>
      <c r="J71" s="2" t="s">
        <v>109</v>
      </c>
      <c r="K71" s="2" t="s">
        <v>115</v>
      </c>
      <c r="L71" s="2">
        <v>4.2</v>
      </c>
      <c r="M71" s="2">
        <v>983</v>
      </c>
      <c r="P71" t="str">
        <f t="shared" si="7"/>
        <v>75%</v>
      </c>
      <c r="Q71" s="12">
        <f t="shared" si="4"/>
        <v>0.75</v>
      </c>
      <c r="R71" s="9">
        <f t="shared" si="5"/>
        <v>774.75</v>
      </c>
      <c r="S71" s="9">
        <f>IF(R71="",AVERAGEIF(Table1[Category],Table1[[#This Row],[Category]],Table2[orignal data]),Table2[[#This Row],[orignal data]])</f>
        <v>774.75</v>
      </c>
      <c r="T71" t="str">
        <f t="shared" si="6"/>
        <v>UNIQUE</v>
      </c>
      <c r="U71" t="str">
        <f>IF(ISBLANK(Table1[[#This Row],[SizeOption]]),"NOT AVAILABLE",Table1[[#This Row],[SizeOption]])</f>
        <v>XS, S, M, L, XL, XXL</v>
      </c>
      <c r="Y71" t="str">
        <f>IF(Table2[[#This Row],[Column1]]&gt;50%,"HIGH DISCOUNT","LOW DISCOUNT")</f>
        <v>HIGH DISCOUNT</v>
      </c>
    </row>
    <row r="72" spans="1:25" x14ac:dyDescent="0.25">
      <c r="A72" s="1" t="s">
        <v>256</v>
      </c>
      <c r="B72" s="1">
        <v>12650884</v>
      </c>
      <c r="C72" s="1" t="s">
        <v>64</v>
      </c>
      <c r="D72" s="1" t="s">
        <v>98</v>
      </c>
      <c r="E72" s="1" t="s">
        <v>48</v>
      </c>
      <c r="F72" s="1" t="s">
        <v>36</v>
      </c>
      <c r="G72" s="1" t="s">
        <v>257</v>
      </c>
      <c r="H72">
        <v>719</v>
      </c>
      <c r="I72" s="1">
        <v>1799</v>
      </c>
      <c r="J72" s="1" t="s">
        <v>141</v>
      </c>
      <c r="K72" s="1" t="s">
        <v>115</v>
      </c>
      <c r="L72" s="1">
        <v>4.2</v>
      </c>
      <c r="M72" s="1">
        <v>983</v>
      </c>
      <c r="P72" t="str">
        <f t="shared" si="7"/>
        <v>60%</v>
      </c>
      <c r="Q72" s="12">
        <f t="shared" si="4"/>
        <v>0.6</v>
      </c>
      <c r="R72" s="9">
        <f t="shared" si="5"/>
        <v>719.60000000000014</v>
      </c>
      <c r="S72" s="9">
        <f>IF(R72="",AVERAGEIF(Table1[Category],Table1[[#This Row],[Category]],Table2[orignal data]),Table2[[#This Row],[orignal data]])</f>
        <v>719.60000000000014</v>
      </c>
      <c r="T72" t="str">
        <f t="shared" si="6"/>
        <v>UNIQUE</v>
      </c>
      <c r="U72" t="str">
        <f>IF(ISBLANK(Table1[[#This Row],[SizeOption]]),"NOT AVAILABLE",Table1[[#This Row],[SizeOption]])</f>
        <v>XS, S, M, L, XL, XXL</v>
      </c>
      <c r="Y72" t="str">
        <f>IF(Table2[[#This Row],[Column1]]&gt;50%,"HIGH DISCOUNT","LOW DISCOUNT")</f>
        <v>HIGH DISCOUNT</v>
      </c>
    </row>
    <row r="73" spans="1:25" x14ac:dyDescent="0.25">
      <c r="A73" s="2" t="s">
        <v>258</v>
      </c>
      <c r="B73" s="2">
        <v>8350425</v>
      </c>
      <c r="C73" s="2" t="s">
        <v>97</v>
      </c>
      <c r="D73" s="2" t="s">
        <v>98</v>
      </c>
      <c r="E73" s="2" t="s">
        <v>93</v>
      </c>
      <c r="F73" s="2" t="s">
        <v>36</v>
      </c>
      <c r="G73" s="2" t="s">
        <v>259</v>
      </c>
      <c r="H73">
        <v>999</v>
      </c>
      <c r="I73" s="2">
        <v>3999</v>
      </c>
      <c r="J73" s="2" t="s">
        <v>109</v>
      </c>
      <c r="K73" s="2" t="s">
        <v>100</v>
      </c>
      <c r="L73" s="2">
        <v>4.2</v>
      </c>
      <c r="M73" s="2">
        <v>983</v>
      </c>
      <c r="P73" t="str">
        <f t="shared" si="7"/>
        <v>75%</v>
      </c>
      <c r="Q73" s="12">
        <f t="shared" si="4"/>
        <v>0.75</v>
      </c>
      <c r="R73" s="9">
        <f t="shared" si="5"/>
        <v>999.75</v>
      </c>
      <c r="S73" s="9">
        <f>IF(R73="",AVERAGEIF(Table1[Category],Table1[[#This Row],[Category]],Table2[orignal data]),Table2[[#This Row],[orignal data]])</f>
        <v>999.75</v>
      </c>
      <c r="T73" t="str">
        <f t="shared" si="6"/>
        <v>UNIQUE</v>
      </c>
      <c r="U73" t="str">
        <f>IF(ISBLANK(Table1[[#This Row],[SizeOption]]),"NOT AVAILABLE",Table1[[#This Row],[SizeOption]])</f>
        <v>XS, S, M, L, XL, XXL, 3XL</v>
      </c>
      <c r="Y73" t="str">
        <f>IF(Table2[[#This Row],[Column1]]&gt;50%,"HIGH DISCOUNT","LOW DISCOUNT")</f>
        <v>HIGH DISCOUNT</v>
      </c>
    </row>
    <row r="74" spans="1:25" x14ac:dyDescent="0.25">
      <c r="A74" s="1" t="s">
        <v>260</v>
      </c>
      <c r="B74" s="1">
        <v>17381750</v>
      </c>
      <c r="C74" s="1" t="s">
        <v>14</v>
      </c>
      <c r="D74" s="1" t="s">
        <v>41</v>
      </c>
      <c r="E74" s="1" t="s">
        <v>42</v>
      </c>
      <c r="F74" s="1" t="s">
        <v>36</v>
      </c>
      <c r="G74" s="1" t="s">
        <v>261</v>
      </c>
      <c r="I74" s="1">
        <v>1998</v>
      </c>
      <c r="J74" s="1"/>
      <c r="K74" s="1" t="s">
        <v>45</v>
      </c>
      <c r="L74" s="1">
        <v>4.2</v>
      </c>
      <c r="M74" s="1">
        <v>983</v>
      </c>
      <c r="P74" t="str">
        <f t="shared" si="7"/>
        <v/>
      </c>
      <c r="Q74" s="12" t="str">
        <f t="shared" si="4"/>
        <v/>
      </c>
      <c r="R74" s="9" t="str">
        <f t="shared" si="5"/>
        <v/>
      </c>
      <c r="S74" s="9">
        <f>IF(R74="",AVERAGEIF(Table1[Category],Table1[[#This Row],[Category]],Table2[orignal data]),Table2[[#This Row],[orignal data]])</f>
        <v>715.78890751086249</v>
      </c>
      <c r="T74" t="str">
        <f t="shared" si="6"/>
        <v>UNIQUE</v>
      </c>
      <c r="U74" t="str">
        <f>IF(ISBLANK(Table1[[#This Row],[SizeOption]]),"NOT AVAILABLE",Table1[[#This Row],[SizeOption]])</f>
        <v>XS, S, M, L, XL</v>
      </c>
      <c r="Y74" t="str">
        <f>IF(Table2[[#This Row],[Column1]]&gt;50%,"HIGH DISCOUNT","LOW DISCOUNT")</f>
        <v>HIGH DISCOUNT</v>
      </c>
    </row>
    <row r="75" spans="1:25" x14ac:dyDescent="0.25">
      <c r="A75" s="2" t="s">
        <v>262</v>
      </c>
      <c r="B75" s="2">
        <v>6832275</v>
      </c>
      <c r="C75" s="2" t="s">
        <v>169</v>
      </c>
      <c r="D75" s="2" t="s">
        <v>15</v>
      </c>
      <c r="E75" s="2" t="s">
        <v>16</v>
      </c>
      <c r="F75" s="2" t="s">
        <v>17</v>
      </c>
      <c r="G75" s="2" t="s">
        <v>263</v>
      </c>
      <c r="H75">
        <v>1539</v>
      </c>
      <c r="I75" s="2">
        <v>2799</v>
      </c>
      <c r="J75" s="2" t="s">
        <v>19</v>
      </c>
      <c r="K75" s="2" t="s">
        <v>171</v>
      </c>
      <c r="L75" s="2">
        <v>3.9</v>
      </c>
      <c r="M75" s="2">
        <v>982</v>
      </c>
      <c r="P75" t="str">
        <f t="shared" si="7"/>
        <v>45%</v>
      </c>
      <c r="Q75" s="12">
        <f t="shared" si="4"/>
        <v>0.45</v>
      </c>
      <c r="R75" s="9">
        <f t="shared" si="5"/>
        <v>1539.45</v>
      </c>
      <c r="S75" s="9">
        <f>IF(R75="",AVERAGEIF(Table1[Category],Table1[[#This Row],[Category]],Table2[orignal data]),Table2[[#This Row],[orignal data]])</f>
        <v>1539.45</v>
      </c>
      <c r="T75" t="str">
        <f t="shared" si="6"/>
        <v>UNIQUE</v>
      </c>
      <c r="U75" t="str">
        <f>IF(ISBLANK(Table1[[#This Row],[SizeOption]]),"NOT AVAILABLE",Table1[[#This Row],[SizeOption]])</f>
        <v>28, 30, 32, 34, 36, 38</v>
      </c>
      <c r="Y75" t="str">
        <f>IF(Table2[[#This Row],[Column1]]&gt;50%,"HIGH DISCOUNT","LOW DISCOUNT")</f>
        <v>LOW DISCOUNT</v>
      </c>
    </row>
    <row r="76" spans="1:25" x14ac:dyDescent="0.25">
      <c r="A76" s="1" t="s">
        <v>264</v>
      </c>
      <c r="B76" s="1">
        <v>7256007</v>
      </c>
      <c r="C76" s="1" t="s">
        <v>14</v>
      </c>
      <c r="D76" s="1" t="s">
        <v>28</v>
      </c>
      <c r="E76" s="1" t="s">
        <v>29</v>
      </c>
      <c r="F76" s="1" t="s">
        <v>17</v>
      </c>
      <c r="G76" s="1" t="s">
        <v>265</v>
      </c>
      <c r="I76" s="1">
        <v>524</v>
      </c>
      <c r="J76" s="1"/>
      <c r="K76" s="1" t="s">
        <v>253</v>
      </c>
      <c r="L76" s="1">
        <v>4.0999999999999996</v>
      </c>
      <c r="M76" s="1">
        <v>982</v>
      </c>
      <c r="P76" t="str">
        <f t="shared" si="7"/>
        <v/>
      </c>
      <c r="Q76" s="12" t="str">
        <f t="shared" si="4"/>
        <v/>
      </c>
      <c r="R76" s="9" t="str">
        <f t="shared" si="5"/>
        <v/>
      </c>
      <c r="S76" s="9">
        <f>IF(R76="",AVERAGEIF(Table1[Category],Table1[[#This Row],[Category]],Table2[orignal data]),Table2[[#This Row],[orignal data]])</f>
        <v>671.7823941958867</v>
      </c>
      <c r="T76" t="str">
        <f t="shared" si="6"/>
        <v>UNIQUE</v>
      </c>
      <c r="U76" t="str">
        <f>IF(ISBLANK(Table1[[#This Row],[SizeOption]]),"NOT AVAILABLE",Table1[[#This Row],[SizeOption]])</f>
        <v>38, 40, 42, 44</v>
      </c>
      <c r="Y76" t="str">
        <f>IF(Table2[[#This Row],[Column1]]&gt;50%,"HIGH DISCOUNT","LOW DISCOUNT")</f>
        <v>HIGH DISCOUNT</v>
      </c>
    </row>
    <row r="77" spans="1:25" x14ac:dyDescent="0.25">
      <c r="A77" s="2" t="s">
        <v>266</v>
      </c>
      <c r="B77" s="2">
        <v>13035312</v>
      </c>
      <c r="C77" s="2" t="s">
        <v>102</v>
      </c>
      <c r="D77" s="2" t="s">
        <v>41</v>
      </c>
      <c r="E77" s="2" t="s">
        <v>53</v>
      </c>
      <c r="F77" s="2" t="s">
        <v>36</v>
      </c>
      <c r="G77" s="2" t="s">
        <v>267</v>
      </c>
      <c r="I77" s="2">
        <v>1549</v>
      </c>
      <c r="J77" s="2" t="s">
        <v>60</v>
      </c>
      <c r="K77" s="2" t="s">
        <v>105</v>
      </c>
      <c r="L77" s="2">
        <v>4</v>
      </c>
      <c r="M77" s="2">
        <v>982</v>
      </c>
      <c r="P77" t="str">
        <f t="shared" si="7"/>
        <v>58%</v>
      </c>
      <c r="Q77" s="12">
        <f t="shared" si="4"/>
        <v>0.57999999999999996</v>
      </c>
      <c r="R77" s="9">
        <f t="shared" si="5"/>
        <v>650.58000000000004</v>
      </c>
      <c r="S77" s="9">
        <f>IF(R77="",AVERAGEIF(Table1[Category],Table1[[#This Row],[Category]],Table2[orignal data]),Table2[[#This Row],[orignal data]])</f>
        <v>650.58000000000004</v>
      </c>
      <c r="T77" t="str">
        <f t="shared" si="6"/>
        <v>UNIQUE</v>
      </c>
      <c r="U77" t="str">
        <f>IF(ISBLANK(Table1[[#This Row],[SizeOption]]),"NOT AVAILABLE",Table1[[#This Row],[SizeOption]])</f>
        <v>28, 30, 32, 34</v>
      </c>
      <c r="Y77" t="str">
        <f>IF(Table2[[#This Row],[Column1]]&gt;50%,"HIGH DISCOUNT","LOW DISCOUNT")</f>
        <v>HIGH DISCOUNT</v>
      </c>
    </row>
    <row r="78" spans="1:25" x14ac:dyDescent="0.25">
      <c r="A78" s="1" t="s">
        <v>268</v>
      </c>
      <c r="B78" s="1">
        <v>11045892</v>
      </c>
      <c r="C78" s="1" t="s">
        <v>14</v>
      </c>
      <c r="D78" s="1" t="s">
        <v>41</v>
      </c>
      <c r="E78" s="1" t="s">
        <v>16</v>
      </c>
      <c r="F78" s="1" t="s">
        <v>36</v>
      </c>
      <c r="G78" s="1" t="s">
        <v>269</v>
      </c>
      <c r="I78" s="1">
        <v>2699</v>
      </c>
      <c r="J78" s="1" t="s">
        <v>109</v>
      </c>
      <c r="K78" s="1" t="s">
        <v>134</v>
      </c>
      <c r="L78" s="1">
        <v>3.8</v>
      </c>
      <c r="M78" s="1">
        <v>982</v>
      </c>
      <c r="P78" t="str">
        <f t="shared" si="7"/>
        <v>75%</v>
      </c>
      <c r="Q78" s="12">
        <f t="shared" si="4"/>
        <v>0.75</v>
      </c>
      <c r="R78" s="9">
        <f t="shared" si="5"/>
        <v>674.75</v>
      </c>
      <c r="S78" s="9">
        <f>IF(R78="",AVERAGEIF(Table1[Category],Table1[[#This Row],[Category]],Table2[orignal data]),Table2[[#This Row],[orignal data]])</f>
        <v>674.75</v>
      </c>
      <c r="T78" t="str">
        <f t="shared" si="6"/>
        <v>UNIQUE</v>
      </c>
      <c r="U78" t="str">
        <f>IF(ISBLANK(Table1[[#This Row],[SizeOption]]),"NOT AVAILABLE",Table1[[#This Row],[SizeOption]])</f>
        <v>26, 28, 30, 32, 34, 36</v>
      </c>
      <c r="Y78" t="str">
        <f>IF(Table2[[#This Row],[Column1]]&gt;50%,"HIGH DISCOUNT","LOW DISCOUNT")</f>
        <v>HIGH DISCOUNT</v>
      </c>
    </row>
    <row r="79" spans="1:25" x14ac:dyDescent="0.25">
      <c r="A79" s="2" t="s">
        <v>270</v>
      </c>
      <c r="B79" s="2">
        <v>11157486</v>
      </c>
      <c r="C79" s="2" t="s">
        <v>271</v>
      </c>
      <c r="D79" s="2" t="s">
        <v>41</v>
      </c>
      <c r="E79" s="2" t="s">
        <v>48</v>
      </c>
      <c r="F79" s="2" t="s">
        <v>36</v>
      </c>
      <c r="G79" s="2" t="s">
        <v>272</v>
      </c>
      <c r="I79" s="2">
        <v>999</v>
      </c>
      <c r="J79" s="2" t="s">
        <v>273</v>
      </c>
      <c r="K79" s="2" t="s">
        <v>45</v>
      </c>
      <c r="L79" s="2">
        <v>4.4000000000000004</v>
      </c>
      <c r="M79" s="2">
        <v>982</v>
      </c>
      <c r="P79" t="str">
        <f t="shared" si="7"/>
        <v>45 %</v>
      </c>
      <c r="Q79" s="12">
        <f t="shared" si="4"/>
        <v>0.45</v>
      </c>
      <c r="R79" s="9">
        <f t="shared" si="5"/>
        <v>549.45000000000005</v>
      </c>
      <c r="S79" s="9">
        <f>IF(R79="",AVERAGEIF(Table1[Category],Table1[[#This Row],[Category]],Table2[orignal data]),Table2[[#This Row],[orignal data]])</f>
        <v>549.45000000000005</v>
      </c>
      <c r="T79" t="str">
        <f t="shared" si="6"/>
        <v>UNIQUE</v>
      </c>
      <c r="U79" t="str">
        <f>IF(ISBLANK(Table1[[#This Row],[SizeOption]]),"NOT AVAILABLE",Table1[[#This Row],[SizeOption]])</f>
        <v>XS, S, M, L, XL</v>
      </c>
      <c r="Y79" t="str">
        <f>IF(Table2[[#This Row],[Column1]]&gt;50%,"HIGH DISCOUNT","LOW DISCOUNT")</f>
        <v>LOW DISCOUNT</v>
      </c>
    </row>
    <row r="80" spans="1:25" x14ac:dyDescent="0.25">
      <c r="A80" s="1" t="s">
        <v>274</v>
      </c>
      <c r="B80" s="1">
        <v>11363302</v>
      </c>
      <c r="C80" s="1" t="s">
        <v>169</v>
      </c>
      <c r="D80" s="1" t="s">
        <v>28</v>
      </c>
      <c r="E80" s="1" t="s">
        <v>42</v>
      </c>
      <c r="F80" s="1" t="s">
        <v>17</v>
      </c>
      <c r="G80" s="1" t="s">
        <v>275</v>
      </c>
      <c r="H80">
        <v>649</v>
      </c>
      <c r="I80" s="1">
        <v>1299</v>
      </c>
      <c r="J80" s="1" t="s">
        <v>84</v>
      </c>
      <c r="K80" s="1" t="s">
        <v>39</v>
      </c>
      <c r="L80" s="1">
        <v>4.3</v>
      </c>
      <c r="M80" s="1">
        <v>981</v>
      </c>
      <c r="P80" t="str">
        <f t="shared" si="7"/>
        <v>50%</v>
      </c>
      <c r="Q80" s="12">
        <f t="shared" si="4"/>
        <v>0.5</v>
      </c>
      <c r="R80" s="9">
        <f t="shared" si="5"/>
        <v>649.5</v>
      </c>
      <c r="S80" s="9">
        <f>IF(R80="",AVERAGEIF(Table1[Category],Table1[[#This Row],[Category]],Table2[orignal data]),Table2[[#This Row],[orignal data]])</f>
        <v>649.5</v>
      </c>
      <c r="T80" t="str">
        <f t="shared" si="6"/>
        <v>UNIQUE</v>
      </c>
      <c r="U80" t="str">
        <f>IF(ISBLANK(Table1[[#This Row],[SizeOption]]),"NOT AVAILABLE",Table1[[#This Row],[SizeOption]])</f>
        <v>S, M, L, XL, XXL</v>
      </c>
      <c r="Y80" t="str">
        <f>IF(Table2[[#This Row],[Column1]]&gt;50%,"HIGH DISCOUNT","LOW DISCOUNT")</f>
        <v>LOW DISCOUNT</v>
      </c>
    </row>
    <row r="81" spans="1:25" x14ac:dyDescent="0.25">
      <c r="A81" s="2" t="s">
        <v>276</v>
      </c>
      <c r="B81" s="2">
        <v>12412864</v>
      </c>
      <c r="C81" s="2" t="s">
        <v>277</v>
      </c>
      <c r="D81" s="2" t="s">
        <v>76</v>
      </c>
      <c r="E81" s="2" t="s">
        <v>93</v>
      </c>
      <c r="F81" s="2" t="s">
        <v>36</v>
      </c>
      <c r="G81" s="2" t="s">
        <v>278</v>
      </c>
      <c r="H81">
        <v>579</v>
      </c>
      <c r="I81" s="2">
        <v>1999</v>
      </c>
      <c r="J81" s="2" t="s">
        <v>279</v>
      </c>
      <c r="K81" s="2" t="s">
        <v>39</v>
      </c>
      <c r="L81" s="2">
        <v>4.3</v>
      </c>
      <c r="M81" s="2">
        <v>981</v>
      </c>
      <c r="P81" t="str">
        <f t="shared" si="7"/>
        <v>71%</v>
      </c>
      <c r="Q81" s="12">
        <f t="shared" si="4"/>
        <v>0.71</v>
      </c>
      <c r="R81" s="9">
        <f t="shared" si="5"/>
        <v>579.71</v>
      </c>
      <c r="S81" s="9">
        <f>IF(R81="",AVERAGEIF(Table1[Category],Table1[[#This Row],[Category]],Table2[orignal data]),Table2[[#This Row],[orignal data]])</f>
        <v>579.71</v>
      </c>
      <c r="T81" t="str">
        <f t="shared" si="6"/>
        <v>UNIQUE</v>
      </c>
      <c r="U81" t="str">
        <f>IF(ISBLANK(Table1[[#This Row],[SizeOption]]),"NOT AVAILABLE",Table1[[#This Row],[SizeOption]])</f>
        <v>S, M, L, XL, XXL</v>
      </c>
      <c r="Y81" t="str">
        <f>IF(Table2[[#This Row],[Column1]]&gt;50%,"HIGH DISCOUNT","LOW DISCOUNT")</f>
        <v>HIGH DISCOUNT</v>
      </c>
    </row>
    <row r="82" spans="1:25" x14ac:dyDescent="0.25">
      <c r="A82" s="1" t="s">
        <v>280</v>
      </c>
      <c r="B82" s="1">
        <v>7569310</v>
      </c>
      <c r="C82" s="1" t="s">
        <v>33</v>
      </c>
      <c r="D82" s="1" t="s">
        <v>34</v>
      </c>
      <c r="E82" s="1" t="s">
        <v>35</v>
      </c>
      <c r="F82" s="1" t="s">
        <v>36</v>
      </c>
      <c r="G82" s="1" t="s">
        <v>281</v>
      </c>
      <c r="H82">
        <v>746</v>
      </c>
      <c r="I82" s="1">
        <v>995</v>
      </c>
      <c r="J82" s="1" t="s">
        <v>282</v>
      </c>
      <c r="K82" s="1" t="s">
        <v>39</v>
      </c>
      <c r="L82" s="1">
        <v>3.9</v>
      </c>
      <c r="M82" s="1">
        <v>981</v>
      </c>
      <c r="P82" t="str">
        <f t="shared" si="7"/>
        <v>25%</v>
      </c>
      <c r="Q82" s="12">
        <f t="shared" si="4"/>
        <v>0.25</v>
      </c>
      <c r="R82" s="9">
        <f t="shared" si="5"/>
        <v>746.25</v>
      </c>
      <c r="S82" s="9">
        <f>IF(R82="",AVERAGEIF(Table1[Category],Table1[[#This Row],[Category]],Table2[orignal data]),Table2[[#This Row],[orignal data]])</f>
        <v>746.25</v>
      </c>
      <c r="T82" t="str">
        <f t="shared" si="6"/>
        <v>UNIQUE</v>
      </c>
      <c r="U82" t="str">
        <f>IF(ISBLANK(Table1[[#This Row],[SizeOption]]),"NOT AVAILABLE",Table1[[#This Row],[SizeOption]])</f>
        <v>S, M, L, XL, XXL</v>
      </c>
      <c r="Y82" t="str">
        <f>IF(Table2[[#This Row],[Column1]]&gt;50%,"HIGH DISCOUNT","LOW DISCOUNT")</f>
        <v>LOW DISCOUNT</v>
      </c>
    </row>
    <row r="83" spans="1:25" x14ac:dyDescent="0.25">
      <c r="A83" s="2" t="s">
        <v>283</v>
      </c>
      <c r="B83" s="2">
        <v>7102379</v>
      </c>
      <c r="C83" s="2" t="s">
        <v>64</v>
      </c>
      <c r="D83" s="2" t="s">
        <v>98</v>
      </c>
      <c r="E83" s="2" t="s">
        <v>48</v>
      </c>
      <c r="F83" s="2" t="s">
        <v>36</v>
      </c>
      <c r="G83" s="2" t="s">
        <v>284</v>
      </c>
      <c r="H83">
        <v>629</v>
      </c>
      <c r="I83" s="2">
        <v>1399</v>
      </c>
      <c r="J83" s="2" t="s">
        <v>25</v>
      </c>
      <c r="K83" s="2" t="s">
        <v>100</v>
      </c>
      <c r="L83" s="2">
        <v>4.2</v>
      </c>
      <c r="M83" s="2">
        <v>981</v>
      </c>
      <c r="P83" t="str">
        <f t="shared" si="7"/>
        <v>55%</v>
      </c>
      <c r="Q83" s="12">
        <f t="shared" si="4"/>
        <v>0.55000000000000004</v>
      </c>
      <c r="R83" s="9">
        <f t="shared" si="5"/>
        <v>629.54999999999995</v>
      </c>
      <c r="S83" s="9">
        <f>IF(R83="",AVERAGEIF(Table1[Category],Table1[[#This Row],[Category]],Table2[orignal data]),Table2[[#This Row],[orignal data]])</f>
        <v>629.54999999999995</v>
      </c>
      <c r="T83" t="str">
        <f t="shared" si="6"/>
        <v>UNIQUE</v>
      </c>
      <c r="U83" t="str">
        <f>IF(ISBLANK(Table1[[#This Row],[SizeOption]]),"NOT AVAILABLE",Table1[[#This Row],[SizeOption]])</f>
        <v>XS, S, M, L, XL, XXL, 3XL</v>
      </c>
      <c r="Y83" t="str">
        <f>IF(Table2[[#This Row],[Column1]]&gt;50%,"HIGH DISCOUNT","LOW DISCOUNT")</f>
        <v>HIGH DISCOUNT</v>
      </c>
    </row>
    <row r="84" spans="1:25" x14ac:dyDescent="0.25">
      <c r="A84" s="1" t="s">
        <v>285</v>
      </c>
      <c r="B84" s="1">
        <v>9240973</v>
      </c>
      <c r="C84" s="1" t="s">
        <v>184</v>
      </c>
      <c r="D84" s="1" t="s">
        <v>41</v>
      </c>
      <c r="E84" s="1" t="s">
        <v>48</v>
      </c>
      <c r="F84" s="1" t="s">
        <v>36</v>
      </c>
      <c r="G84" s="1" t="s">
        <v>286</v>
      </c>
      <c r="I84" s="1">
        <v>1599</v>
      </c>
      <c r="J84" s="1" t="s">
        <v>44</v>
      </c>
      <c r="K84" s="1" t="s">
        <v>39</v>
      </c>
      <c r="L84" s="1">
        <v>4.2</v>
      </c>
      <c r="M84" s="1">
        <v>981</v>
      </c>
      <c r="P84" t="str">
        <f t="shared" si="7"/>
        <v>35%</v>
      </c>
      <c r="Q84" s="12">
        <f t="shared" si="4"/>
        <v>0.35</v>
      </c>
      <c r="R84" s="9">
        <f t="shared" si="5"/>
        <v>1039.3499999999999</v>
      </c>
      <c r="S84" s="9">
        <f>IF(R84="",AVERAGEIF(Table1[Category],Table1[[#This Row],[Category]],Table2[orignal data]),Table2[[#This Row],[orignal data]])</f>
        <v>1039.3499999999999</v>
      </c>
      <c r="T84" t="str">
        <f t="shared" si="6"/>
        <v>UNIQUE</v>
      </c>
      <c r="U84" t="str">
        <f>IF(ISBLANK(Table1[[#This Row],[SizeOption]]),"NOT AVAILABLE",Table1[[#This Row],[SizeOption]])</f>
        <v>S, M, L, XL, XXL</v>
      </c>
      <c r="Y84" t="str">
        <f>IF(Table2[[#This Row],[Column1]]&gt;50%,"HIGH DISCOUNT","LOW DISCOUNT")</f>
        <v>LOW DISCOUNT</v>
      </c>
    </row>
    <row r="85" spans="1:25" x14ac:dyDescent="0.25">
      <c r="A85" s="2" t="s">
        <v>287</v>
      </c>
      <c r="B85" s="2">
        <v>12222046</v>
      </c>
      <c r="C85" s="2" t="s">
        <v>181</v>
      </c>
      <c r="D85" s="2" t="s">
        <v>41</v>
      </c>
      <c r="E85" s="2" t="s">
        <v>189</v>
      </c>
      <c r="F85" s="2" t="s">
        <v>36</v>
      </c>
      <c r="G85" s="2" t="s">
        <v>288</v>
      </c>
      <c r="I85" s="2">
        <v>1799</v>
      </c>
      <c r="J85" s="2" t="s">
        <v>55</v>
      </c>
      <c r="K85" s="2" t="s">
        <v>115</v>
      </c>
      <c r="L85" s="2">
        <v>4.5</v>
      </c>
      <c r="M85" s="2">
        <v>981</v>
      </c>
      <c r="P85" t="str">
        <f t="shared" si="7"/>
        <v>60%</v>
      </c>
      <c r="Q85" s="12">
        <f t="shared" si="4"/>
        <v>0.6</v>
      </c>
      <c r="R85" s="9">
        <f t="shared" si="5"/>
        <v>719.60000000000014</v>
      </c>
      <c r="S85" s="9">
        <f>IF(R85="",AVERAGEIF(Table1[Category],Table1[[#This Row],[Category]],Table2[orignal data]),Table2[[#This Row],[orignal data]])</f>
        <v>719.60000000000014</v>
      </c>
      <c r="T85" t="str">
        <f t="shared" si="6"/>
        <v>UNIQUE</v>
      </c>
      <c r="U85" t="str">
        <f>IF(ISBLANK(Table1[[#This Row],[SizeOption]]),"NOT AVAILABLE",Table1[[#This Row],[SizeOption]])</f>
        <v>XS, S, M, L, XL, XXL</v>
      </c>
      <c r="Y85" t="str">
        <f>IF(Table2[[#This Row],[Column1]]&gt;50%,"HIGH DISCOUNT","LOW DISCOUNT")</f>
        <v>HIGH DISCOUNT</v>
      </c>
    </row>
    <row r="86" spans="1:25" x14ac:dyDescent="0.25">
      <c r="A86" s="1" t="s">
        <v>289</v>
      </c>
      <c r="B86" s="1">
        <v>7772505</v>
      </c>
      <c r="C86" s="1" t="s">
        <v>290</v>
      </c>
      <c r="D86" s="1" t="s">
        <v>41</v>
      </c>
      <c r="E86" s="1" t="s">
        <v>189</v>
      </c>
      <c r="F86" s="1" t="s">
        <v>36</v>
      </c>
      <c r="G86" s="1" t="s">
        <v>291</v>
      </c>
      <c r="I86" s="1">
        <v>1999</v>
      </c>
      <c r="J86" s="1" t="s">
        <v>84</v>
      </c>
      <c r="K86" s="1" t="s">
        <v>45</v>
      </c>
      <c r="L86" s="1">
        <v>4.3</v>
      </c>
      <c r="M86" s="1">
        <v>981</v>
      </c>
      <c r="P86" t="str">
        <f t="shared" si="7"/>
        <v>50%</v>
      </c>
      <c r="Q86" s="12">
        <f t="shared" si="4"/>
        <v>0.5</v>
      </c>
      <c r="R86" s="9">
        <f t="shared" si="5"/>
        <v>999.5</v>
      </c>
      <c r="S86" s="9">
        <f>IF(R86="",AVERAGEIF(Table1[Category],Table1[[#This Row],[Category]],Table2[orignal data]),Table2[[#This Row],[orignal data]])</f>
        <v>999.5</v>
      </c>
      <c r="T86" t="str">
        <f t="shared" si="6"/>
        <v>UNIQUE</v>
      </c>
      <c r="U86" t="str">
        <f>IF(ISBLANK(Table1[[#This Row],[SizeOption]]),"NOT AVAILABLE",Table1[[#This Row],[SizeOption]])</f>
        <v>XS, S, M, L, XL</v>
      </c>
      <c r="Y86" t="str">
        <f>IF(Table2[[#This Row],[Column1]]&gt;50%,"HIGH DISCOUNT","LOW DISCOUNT")</f>
        <v>LOW DISCOUNT</v>
      </c>
    </row>
    <row r="87" spans="1:25" x14ac:dyDescent="0.25">
      <c r="A87" s="2" t="s">
        <v>292</v>
      </c>
      <c r="B87" s="2">
        <v>11711920</v>
      </c>
      <c r="C87" s="2" t="s">
        <v>47</v>
      </c>
      <c r="D87" s="2" t="s">
        <v>41</v>
      </c>
      <c r="E87" s="2" t="s">
        <v>42</v>
      </c>
      <c r="F87" s="2" t="s">
        <v>36</v>
      </c>
      <c r="G87" s="2" t="s">
        <v>293</v>
      </c>
      <c r="I87" s="2">
        <v>799</v>
      </c>
      <c r="J87" s="2" t="s">
        <v>55</v>
      </c>
      <c r="K87" s="2" t="s">
        <v>45</v>
      </c>
      <c r="L87" s="2">
        <v>4.3</v>
      </c>
      <c r="M87" s="2">
        <v>981</v>
      </c>
      <c r="P87" t="str">
        <f t="shared" si="7"/>
        <v>60%</v>
      </c>
      <c r="Q87" s="12">
        <f t="shared" si="4"/>
        <v>0.6</v>
      </c>
      <c r="R87" s="9">
        <f t="shared" si="5"/>
        <v>319.60000000000002</v>
      </c>
      <c r="S87" s="9">
        <f>IF(R87="",AVERAGEIF(Table1[Category],Table1[[#This Row],[Category]],Table2[orignal data]),Table2[[#This Row],[orignal data]])</f>
        <v>319.60000000000002</v>
      </c>
      <c r="T87" t="str">
        <f t="shared" si="6"/>
        <v>UNIQUE</v>
      </c>
      <c r="U87" t="str">
        <f>IF(ISBLANK(Table1[[#This Row],[SizeOption]]),"NOT AVAILABLE",Table1[[#This Row],[SizeOption]])</f>
        <v>XS, S, M, L, XL</v>
      </c>
      <c r="Y87" t="str">
        <f>IF(Table2[[#This Row],[Column1]]&gt;50%,"HIGH DISCOUNT","LOW DISCOUNT")</f>
        <v>HIGH DISCOUNT</v>
      </c>
    </row>
    <row r="88" spans="1:25" x14ac:dyDescent="0.25">
      <c r="A88" s="1" t="s">
        <v>294</v>
      </c>
      <c r="B88" s="1">
        <v>9262959</v>
      </c>
      <c r="C88" s="1" t="s">
        <v>295</v>
      </c>
      <c r="D88" s="1" t="s">
        <v>197</v>
      </c>
      <c r="E88" s="1" t="s">
        <v>296</v>
      </c>
      <c r="F88" s="1" t="s">
        <v>17</v>
      </c>
      <c r="G88" s="1" t="s">
        <v>297</v>
      </c>
      <c r="I88" s="1">
        <v>339</v>
      </c>
      <c r="J88" s="1"/>
      <c r="K88" s="1" t="s">
        <v>26</v>
      </c>
      <c r="L88" s="1">
        <v>4.3</v>
      </c>
      <c r="M88" s="1">
        <v>980</v>
      </c>
      <c r="P88" t="str">
        <f t="shared" si="7"/>
        <v/>
      </c>
      <c r="Q88" s="12" t="str">
        <f t="shared" si="4"/>
        <v/>
      </c>
      <c r="R88" s="9" t="str">
        <f t="shared" si="5"/>
        <v/>
      </c>
      <c r="S88" s="9">
        <f>IF(R88="",AVERAGEIF(Table1[Category],Table1[[#This Row],[Category]],Table2[orignal data]),Table2[[#This Row],[orignal data]])</f>
        <v>552.70900000000006</v>
      </c>
      <c r="T88" t="str">
        <f t="shared" si="6"/>
        <v>UNIQUE</v>
      </c>
      <c r="U88" t="str">
        <f>IF(ISBLANK(Table1[[#This Row],[SizeOption]]),"NOT AVAILABLE",Table1[[#This Row],[SizeOption]])</f>
        <v>S, M, L, XL</v>
      </c>
      <c r="Y88" t="str">
        <f>IF(Table2[[#This Row],[Column1]]&gt;50%,"HIGH DISCOUNT","LOW DISCOUNT")</f>
        <v>HIGH DISCOUNT</v>
      </c>
    </row>
    <row r="89" spans="1:25" x14ac:dyDescent="0.25">
      <c r="A89" s="2" t="s">
        <v>298</v>
      </c>
      <c r="B89" s="2">
        <v>2888743</v>
      </c>
      <c r="C89" s="2" t="s">
        <v>52</v>
      </c>
      <c r="D89" s="2" t="s">
        <v>28</v>
      </c>
      <c r="E89" s="2" t="s">
        <v>29</v>
      </c>
      <c r="F89" s="2" t="s">
        <v>17</v>
      </c>
      <c r="G89" s="2" t="s">
        <v>299</v>
      </c>
      <c r="H89">
        <v>562</v>
      </c>
      <c r="I89" s="2">
        <v>1249</v>
      </c>
      <c r="J89" s="2" t="s">
        <v>25</v>
      </c>
      <c r="K89" s="2" t="s">
        <v>90</v>
      </c>
      <c r="L89" s="2">
        <v>4</v>
      </c>
      <c r="M89" s="2">
        <v>980</v>
      </c>
      <c r="P89" t="str">
        <f t="shared" si="7"/>
        <v>55%</v>
      </c>
      <c r="Q89" s="12">
        <f t="shared" si="4"/>
        <v>0.55000000000000004</v>
      </c>
      <c r="R89" s="9">
        <f t="shared" si="5"/>
        <v>562.04999999999995</v>
      </c>
      <c r="S89" s="9">
        <f>IF(R89="",AVERAGEIF(Table1[Category],Table1[[#This Row],[Category]],Table2[orignal data]),Table2[[#This Row],[orignal data]])</f>
        <v>562.04999999999995</v>
      </c>
      <c r="T89" t="str">
        <f t="shared" si="6"/>
        <v>UNIQUE</v>
      </c>
      <c r="U89" t="str">
        <f>IF(ISBLANK(Table1[[#This Row],[SizeOption]]),"NOT AVAILABLE",Table1[[#This Row],[SizeOption]])</f>
        <v>39, 40, 42, 44</v>
      </c>
      <c r="Y89" t="str">
        <f>IF(Table2[[#This Row],[Column1]]&gt;50%,"HIGH DISCOUNT","LOW DISCOUNT")</f>
        <v>HIGH DISCOUNT</v>
      </c>
    </row>
    <row r="90" spans="1:25" x14ac:dyDescent="0.25">
      <c r="A90" s="1" t="s">
        <v>300</v>
      </c>
      <c r="B90" s="1">
        <v>13021502</v>
      </c>
      <c r="C90" s="1" t="s">
        <v>75</v>
      </c>
      <c r="D90" s="1" t="s">
        <v>76</v>
      </c>
      <c r="E90" s="1" t="s">
        <v>77</v>
      </c>
      <c r="F90" s="1" t="s">
        <v>36</v>
      </c>
      <c r="G90" s="1" t="s">
        <v>301</v>
      </c>
      <c r="H90">
        <v>1597</v>
      </c>
      <c r="I90" s="1">
        <v>3399</v>
      </c>
      <c r="J90" s="1" t="s">
        <v>89</v>
      </c>
      <c r="K90" s="1" t="s">
        <v>39</v>
      </c>
      <c r="L90" s="1">
        <v>3.9</v>
      </c>
      <c r="M90" s="1">
        <v>980</v>
      </c>
      <c r="P90" t="str">
        <f t="shared" si="7"/>
        <v>53%</v>
      </c>
      <c r="Q90" s="12">
        <f t="shared" si="4"/>
        <v>0.53</v>
      </c>
      <c r="R90" s="9">
        <f t="shared" si="5"/>
        <v>1597.53</v>
      </c>
      <c r="S90" s="9">
        <f>IF(R90="",AVERAGEIF(Table1[Category],Table1[[#This Row],[Category]],Table2[orignal data]),Table2[[#This Row],[orignal data]])</f>
        <v>1597.53</v>
      </c>
      <c r="T90" t="str">
        <f t="shared" si="6"/>
        <v>UNIQUE</v>
      </c>
      <c r="U90" t="str">
        <f>IF(ISBLANK(Table1[[#This Row],[SizeOption]]),"NOT AVAILABLE",Table1[[#This Row],[SizeOption]])</f>
        <v>S, M, L, XL, XXL</v>
      </c>
      <c r="Y90" t="str">
        <f>IF(Table2[[#This Row],[Column1]]&gt;50%,"HIGH DISCOUNT","LOW DISCOUNT")</f>
        <v>HIGH DISCOUNT</v>
      </c>
    </row>
    <row r="91" spans="1:25" x14ac:dyDescent="0.25">
      <c r="A91" s="2" t="s">
        <v>302</v>
      </c>
      <c r="B91" s="2">
        <v>8025483</v>
      </c>
      <c r="C91" s="2" t="s">
        <v>303</v>
      </c>
      <c r="D91" s="2" t="s">
        <v>34</v>
      </c>
      <c r="E91" s="2" t="s">
        <v>296</v>
      </c>
      <c r="F91" s="2" t="s">
        <v>36</v>
      </c>
      <c r="G91" s="2" t="s">
        <v>304</v>
      </c>
      <c r="H91">
        <v>1080</v>
      </c>
      <c r="I91" s="2">
        <v>1800</v>
      </c>
      <c r="J91" s="2" t="s">
        <v>50</v>
      </c>
      <c r="K91" s="2" t="s">
        <v>115</v>
      </c>
      <c r="L91" s="2">
        <v>4.4000000000000004</v>
      </c>
      <c r="M91" s="2">
        <v>980</v>
      </c>
      <c r="P91" t="str">
        <f t="shared" si="7"/>
        <v>40%</v>
      </c>
      <c r="Q91" s="12">
        <f t="shared" si="4"/>
        <v>0.4</v>
      </c>
      <c r="R91" s="9">
        <f t="shared" si="5"/>
        <v>1080</v>
      </c>
      <c r="S91" s="9">
        <f>IF(R91="",AVERAGEIF(Table1[Category],Table1[[#This Row],[Category]],Table2[orignal data]),Table2[[#This Row],[orignal data]])</f>
        <v>1080</v>
      </c>
      <c r="T91" t="str">
        <f t="shared" si="6"/>
        <v>UNIQUE</v>
      </c>
      <c r="U91" t="str">
        <f>IF(ISBLANK(Table1[[#This Row],[SizeOption]]),"NOT AVAILABLE",Table1[[#This Row],[SizeOption]])</f>
        <v>XS, S, M, L, XL, XXL</v>
      </c>
      <c r="Y91" t="str">
        <f>IF(Table2[[#This Row],[Column1]]&gt;50%,"HIGH DISCOUNT","LOW DISCOUNT")</f>
        <v>LOW DISCOUNT</v>
      </c>
    </row>
    <row r="92" spans="1:25" x14ac:dyDescent="0.25">
      <c r="A92" s="1" t="s">
        <v>305</v>
      </c>
      <c r="B92" s="1">
        <v>9901951</v>
      </c>
      <c r="C92" s="1" t="s">
        <v>14</v>
      </c>
      <c r="D92" s="1" t="s">
        <v>41</v>
      </c>
      <c r="E92" s="1" t="s">
        <v>306</v>
      </c>
      <c r="F92" s="1" t="s">
        <v>36</v>
      </c>
      <c r="G92" s="1" t="s">
        <v>307</v>
      </c>
      <c r="I92" s="1">
        <v>1199</v>
      </c>
      <c r="J92" s="1" t="s">
        <v>79</v>
      </c>
      <c r="K92" s="1" t="s">
        <v>45</v>
      </c>
      <c r="L92" s="1">
        <v>4.3</v>
      </c>
      <c r="M92" s="1">
        <v>980</v>
      </c>
      <c r="P92" t="str">
        <f t="shared" si="7"/>
        <v>70%</v>
      </c>
      <c r="Q92" s="12">
        <f t="shared" si="4"/>
        <v>0.7</v>
      </c>
      <c r="R92" s="9">
        <f t="shared" si="5"/>
        <v>359.70000000000005</v>
      </c>
      <c r="S92" s="9">
        <f>IF(R92="",AVERAGEIF(Table1[Category],Table1[[#This Row],[Category]],Table2[orignal data]),Table2[[#This Row],[orignal data]])</f>
        <v>359.70000000000005</v>
      </c>
      <c r="T92" t="str">
        <f t="shared" si="6"/>
        <v>UNIQUE</v>
      </c>
      <c r="U92" t="str">
        <f>IF(ISBLANK(Table1[[#This Row],[SizeOption]]),"NOT AVAILABLE",Table1[[#This Row],[SizeOption]])</f>
        <v>XS, S, M, L, XL</v>
      </c>
      <c r="Y92" t="str">
        <f>IF(Table2[[#This Row],[Column1]]&gt;50%,"HIGH DISCOUNT","LOW DISCOUNT")</f>
        <v>HIGH DISCOUNT</v>
      </c>
    </row>
    <row r="93" spans="1:25" x14ac:dyDescent="0.25">
      <c r="A93" s="2" t="s">
        <v>308</v>
      </c>
      <c r="B93" s="2">
        <v>11709228</v>
      </c>
      <c r="C93" s="2" t="s">
        <v>309</v>
      </c>
      <c r="D93" s="2" t="s">
        <v>41</v>
      </c>
      <c r="E93" s="2" t="s">
        <v>48</v>
      </c>
      <c r="F93" s="2" t="s">
        <v>36</v>
      </c>
      <c r="G93" s="2" t="s">
        <v>310</v>
      </c>
      <c r="I93" s="2">
        <v>1299</v>
      </c>
      <c r="J93" s="2" t="s">
        <v>186</v>
      </c>
      <c r="K93" s="2" t="s">
        <v>311</v>
      </c>
      <c r="L93" s="2">
        <v>4.4000000000000004</v>
      </c>
      <c r="M93" s="2">
        <v>980</v>
      </c>
      <c r="P93" t="str">
        <f t="shared" si="7"/>
        <v>30%</v>
      </c>
      <c r="Q93" s="12">
        <f t="shared" si="4"/>
        <v>0.3</v>
      </c>
      <c r="R93" s="9">
        <f t="shared" si="5"/>
        <v>909.3</v>
      </c>
      <c r="S93" s="9">
        <f>IF(R93="",AVERAGEIF(Table1[Category],Table1[[#This Row],[Category]],Table2[orignal data]),Table2[[#This Row],[orignal data]])</f>
        <v>909.3</v>
      </c>
      <c r="T93" t="str">
        <f t="shared" si="6"/>
        <v>UNIQUE</v>
      </c>
      <c r="U93" t="str">
        <f>IF(ISBLANK(Table1[[#This Row],[SizeOption]]),"NOT AVAILABLE",Table1[[#This Row],[SizeOption]])</f>
        <v>XS, S, M, L</v>
      </c>
      <c r="Y93" t="str">
        <f>IF(Table2[[#This Row],[Column1]]&gt;50%,"HIGH DISCOUNT","LOW DISCOUNT")</f>
        <v>LOW DISCOUNT</v>
      </c>
    </row>
    <row r="94" spans="1:25" x14ac:dyDescent="0.25">
      <c r="A94" s="1" t="s">
        <v>312</v>
      </c>
      <c r="B94" s="1">
        <v>11541522</v>
      </c>
      <c r="C94" s="1" t="s">
        <v>14</v>
      </c>
      <c r="D94" s="1" t="s">
        <v>41</v>
      </c>
      <c r="E94" s="1" t="s">
        <v>16</v>
      </c>
      <c r="F94" s="1" t="s">
        <v>36</v>
      </c>
      <c r="G94" s="1" t="s">
        <v>313</v>
      </c>
      <c r="I94" s="1">
        <v>1699</v>
      </c>
      <c r="J94" s="1" t="s">
        <v>25</v>
      </c>
      <c r="K94" s="1" t="s">
        <v>134</v>
      </c>
      <c r="L94" s="1">
        <v>4.0999999999999996</v>
      </c>
      <c r="M94" s="1">
        <v>980</v>
      </c>
      <c r="P94" t="str">
        <f t="shared" si="7"/>
        <v>55%</v>
      </c>
      <c r="Q94" s="12">
        <f t="shared" si="4"/>
        <v>0.55000000000000004</v>
      </c>
      <c r="R94" s="9">
        <f t="shared" si="5"/>
        <v>764.55</v>
      </c>
      <c r="S94" s="9">
        <f>IF(R94="",AVERAGEIF(Table1[Category],Table1[[#This Row],[Category]],Table2[orignal data]),Table2[[#This Row],[orignal data]])</f>
        <v>764.55</v>
      </c>
      <c r="T94" t="str">
        <f t="shared" si="6"/>
        <v>UNIQUE</v>
      </c>
      <c r="U94" t="str">
        <f>IF(ISBLANK(Table1[[#This Row],[SizeOption]]),"NOT AVAILABLE",Table1[[#This Row],[SizeOption]])</f>
        <v>26, 28, 30, 32, 34, 36</v>
      </c>
      <c r="Y94" t="str">
        <f>IF(Table2[[#This Row],[Column1]]&gt;50%,"HIGH DISCOUNT","LOW DISCOUNT")</f>
        <v>HIGH DISCOUNT</v>
      </c>
    </row>
    <row r="95" spans="1:25" x14ac:dyDescent="0.25">
      <c r="A95" s="2" t="s">
        <v>314</v>
      </c>
      <c r="B95" s="2">
        <v>10106025</v>
      </c>
      <c r="C95" s="2" t="s">
        <v>67</v>
      </c>
      <c r="D95" s="2" t="s">
        <v>68</v>
      </c>
      <c r="E95" s="2" t="s">
        <v>42</v>
      </c>
      <c r="F95" s="2" t="s">
        <v>17</v>
      </c>
      <c r="G95" s="2" t="s">
        <v>315</v>
      </c>
      <c r="H95">
        <v>359</v>
      </c>
      <c r="I95" s="2">
        <v>899</v>
      </c>
      <c r="J95" s="2" t="s">
        <v>55</v>
      </c>
      <c r="K95" s="2" t="s">
        <v>39</v>
      </c>
      <c r="L95" s="2">
        <v>4.3</v>
      </c>
      <c r="M95" s="2">
        <v>979</v>
      </c>
      <c r="P95" t="str">
        <f t="shared" si="7"/>
        <v>60%</v>
      </c>
      <c r="Q95" s="12">
        <f t="shared" si="4"/>
        <v>0.6</v>
      </c>
      <c r="R95" s="9">
        <f t="shared" si="5"/>
        <v>359.6</v>
      </c>
      <c r="S95" s="9">
        <f>IF(R95="",AVERAGEIF(Table1[Category],Table1[[#This Row],[Category]],Table2[orignal data]),Table2[[#This Row],[orignal data]])</f>
        <v>359.6</v>
      </c>
      <c r="T95" t="str">
        <f t="shared" si="6"/>
        <v>UNIQUE</v>
      </c>
      <c r="U95" t="str">
        <f>IF(ISBLANK(Table1[[#This Row],[SizeOption]]),"NOT AVAILABLE",Table1[[#This Row],[SizeOption]])</f>
        <v>S, M, L, XL, XXL</v>
      </c>
      <c r="Y95" t="str">
        <f>IF(Table2[[#This Row],[Column1]]&gt;50%,"HIGH DISCOUNT","LOW DISCOUNT")</f>
        <v>HIGH DISCOUNT</v>
      </c>
    </row>
    <row r="96" spans="1:25" x14ac:dyDescent="0.25">
      <c r="A96" s="1" t="s">
        <v>316</v>
      </c>
      <c r="B96" s="1">
        <v>2347572</v>
      </c>
      <c r="C96" s="1" t="s">
        <v>52</v>
      </c>
      <c r="D96" s="1" t="s">
        <v>28</v>
      </c>
      <c r="E96" s="1" t="s">
        <v>29</v>
      </c>
      <c r="F96" s="1" t="s">
        <v>17</v>
      </c>
      <c r="G96" s="1" t="s">
        <v>317</v>
      </c>
      <c r="H96">
        <v>610</v>
      </c>
      <c r="I96" s="1">
        <v>1299</v>
      </c>
      <c r="J96" s="1" t="s">
        <v>89</v>
      </c>
      <c r="K96" s="1" t="s">
        <v>90</v>
      </c>
      <c r="L96" s="1">
        <v>3.8</v>
      </c>
      <c r="M96" s="1">
        <v>979</v>
      </c>
      <c r="P96" t="str">
        <f t="shared" si="7"/>
        <v>53%</v>
      </c>
      <c r="Q96" s="12">
        <f t="shared" si="4"/>
        <v>0.53</v>
      </c>
      <c r="R96" s="9">
        <f t="shared" si="5"/>
        <v>610.53</v>
      </c>
      <c r="S96" s="9">
        <f>IF(R96="",AVERAGEIF(Table1[Category],Table1[[#This Row],[Category]],Table2[orignal data]),Table2[[#This Row],[orignal data]])</f>
        <v>610.53</v>
      </c>
      <c r="T96" t="str">
        <f t="shared" si="6"/>
        <v>UNIQUE</v>
      </c>
      <c r="U96" t="str">
        <f>IF(ISBLANK(Table1[[#This Row],[SizeOption]]),"NOT AVAILABLE",Table1[[#This Row],[SizeOption]])</f>
        <v>39, 40, 42, 44</v>
      </c>
      <c r="Y96" t="str">
        <f>IF(Table2[[#This Row],[Column1]]&gt;50%,"HIGH DISCOUNT","LOW DISCOUNT")</f>
        <v>HIGH DISCOUNT</v>
      </c>
    </row>
    <row r="97" spans="1:25" x14ac:dyDescent="0.25">
      <c r="A97" s="2" t="s">
        <v>318</v>
      </c>
      <c r="B97" s="2">
        <v>11263958</v>
      </c>
      <c r="C97" s="2" t="s">
        <v>319</v>
      </c>
      <c r="D97" s="2" t="s">
        <v>76</v>
      </c>
      <c r="E97" s="2" t="s">
        <v>320</v>
      </c>
      <c r="F97" s="2" t="s">
        <v>36</v>
      </c>
      <c r="G97" s="2" t="s">
        <v>321</v>
      </c>
      <c r="H97">
        <v>899</v>
      </c>
      <c r="I97" s="2">
        <v>1998</v>
      </c>
      <c r="J97" s="2" t="s">
        <v>25</v>
      </c>
      <c r="K97" s="2" t="s">
        <v>164</v>
      </c>
      <c r="L97" s="2">
        <v>4</v>
      </c>
      <c r="M97" s="2">
        <v>979</v>
      </c>
      <c r="P97" t="str">
        <f t="shared" si="7"/>
        <v>55%</v>
      </c>
      <c r="Q97" s="12">
        <f t="shared" si="4"/>
        <v>0.55000000000000004</v>
      </c>
      <c r="R97" s="9">
        <f t="shared" si="5"/>
        <v>899.09999999999991</v>
      </c>
      <c r="S97" s="9">
        <f>IF(R97="",AVERAGEIF(Table1[Category],Table1[[#This Row],[Category]],Table2[orignal data]),Table2[[#This Row],[orignal data]])</f>
        <v>899.09999999999991</v>
      </c>
      <c r="T97" t="str">
        <f t="shared" si="6"/>
        <v>UNIQUE</v>
      </c>
      <c r="U97" t="str">
        <f>IF(ISBLANK(Table1[[#This Row],[SizeOption]]),"NOT AVAILABLE",Table1[[#This Row],[SizeOption]])</f>
        <v>Onesize</v>
      </c>
      <c r="Y97" t="str">
        <f>IF(Table2[[#This Row],[Column1]]&gt;50%,"HIGH DISCOUNT","LOW DISCOUNT")</f>
        <v>HIGH DISCOUNT</v>
      </c>
    </row>
    <row r="98" spans="1:25" x14ac:dyDescent="0.25">
      <c r="A98" s="1" t="s">
        <v>322</v>
      </c>
      <c r="B98" s="1">
        <v>7695835</v>
      </c>
      <c r="C98" s="1" t="s">
        <v>67</v>
      </c>
      <c r="D98" s="1" t="s">
        <v>68</v>
      </c>
      <c r="E98" s="1" t="s">
        <v>69</v>
      </c>
      <c r="F98" s="1" t="s">
        <v>36</v>
      </c>
      <c r="G98" s="1" t="s">
        <v>323</v>
      </c>
      <c r="I98" s="1">
        <v>1699</v>
      </c>
      <c r="J98" s="1"/>
      <c r="K98" s="1" t="s">
        <v>115</v>
      </c>
      <c r="L98" s="1">
        <v>4.3</v>
      </c>
      <c r="M98" s="1">
        <v>979</v>
      </c>
      <c r="P98" t="str">
        <f t="shared" si="7"/>
        <v/>
      </c>
      <c r="Q98" s="12" t="str">
        <f t="shared" si="4"/>
        <v/>
      </c>
      <c r="R98" s="9" t="str">
        <f t="shared" si="5"/>
        <v/>
      </c>
      <c r="S98" s="9">
        <f>IF(R98="",AVERAGEIF(Table1[Category],Table1[[#This Row],[Category]],Table2[orignal data]),Table2[[#This Row],[orignal data]])</f>
        <v>734.32085365853686</v>
      </c>
      <c r="T98" t="str">
        <f t="shared" si="6"/>
        <v>UNIQUE</v>
      </c>
      <c r="U98" t="str">
        <f>IF(ISBLANK(Table1[[#This Row],[SizeOption]]),"NOT AVAILABLE",Table1[[#This Row],[SizeOption]])</f>
        <v>XS, S, M, L, XL, XXL</v>
      </c>
      <c r="Y98" t="str">
        <f>IF(Table2[[#This Row],[Column1]]&gt;50%,"HIGH DISCOUNT","LOW DISCOUNT")</f>
        <v>HIGH DISCOUNT</v>
      </c>
    </row>
    <row r="99" spans="1:25" x14ac:dyDescent="0.25">
      <c r="A99" s="2" t="s">
        <v>324</v>
      </c>
      <c r="B99" s="2">
        <v>596473</v>
      </c>
      <c r="C99" s="2" t="s">
        <v>325</v>
      </c>
      <c r="D99" s="2" t="s">
        <v>41</v>
      </c>
      <c r="E99" s="2" t="s">
        <v>306</v>
      </c>
      <c r="F99" s="2" t="s">
        <v>36</v>
      </c>
      <c r="G99" s="2" t="s">
        <v>326</v>
      </c>
      <c r="I99" s="2">
        <v>1595</v>
      </c>
      <c r="J99" s="2" t="s">
        <v>55</v>
      </c>
      <c r="K99" s="2" t="s">
        <v>39</v>
      </c>
      <c r="L99" s="2">
        <v>3.6</v>
      </c>
      <c r="M99" s="2">
        <v>978</v>
      </c>
      <c r="P99" t="str">
        <f t="shared" si="7"/>
        <v>60%</v>
      </c>
      <c r="Q99" s="12">
        <f t="shared" si="4"/>
        <v>0.6</v>
      </c>
      <c r="R99" s="9">
        <f t="shared" si="5"/>
        <v>638</v>
      </c>
      <c r="S99" s="9">
        <f>IF(R99="",AVERAGEIF(Table1[Category],Table1[[#This Row],[Category]],Table2[orignal data]),Table2[[#This Row],[orignal data]])</f>
        <v>638</v>
      </c>
      <c r="T99" t="str">
        <f t="shared" si="6"/>
        <v>UNIQUE</v>
      </c>
      <c r="U99" t="str">
        <f>IF(ISBLANK(Table1[[#This Row],[SizeOption]]),"NOT AVAILABLE",Table1[[#This Row],[SizeOption]])</f>
        <v>S, M, L, XL, XXL</v>
      </c>
      <c r="Y99" t="str">
        <f>IF(Table2[[#This Row],[Column1]]&gt;50%,"HIGH DISCOUNT","LOW DISCOUNT")</f>
        <v>HIGH DISCOUNT</v>
      </c>
    </row>
    <row r="100" spans="1:25" x14ac:dyDescent="0.25">
      <c r="A100" s="1" t="s">
        <v>327</v>
      </c>
      <c r="B100" s="1">
        <v>8801149</v>
      </c>
      <c r="C100" s="1" t="s">
        <v>14</v>
      </c>
      <c r="D100" s="1" t="s">
        <v>41</v>
      </c>
      <c r="E100" s="1" t="s">
        <v>16</v>
      </c>
      <c r="F100" s="1" t="s">
        <v>36</v>
      </c>
      <c r="G100" s="1" t="s">
        <v>328</v>
      </c>
      <c r="I100" s="1">
        <v>1999</v>
      </c>
      <c r="J100" s="1" t="s">
        <v>55</v>
      </c>
      <c r="K100" s="1" t="s">
        <v>134</v>
      </c>
      <c r="L100" s="1">
        <v>4.2</v>
      </c>
      <c r="M100" s="1">
        <v>978</v>
      </c>
      <c r="P100" t="str">
        <f t="shared" si="7"/>
        <v>60%</v>
      </c>
      <c r="Q100" s="12">
        <f t="shared" si="4"/>
        <v>0.6</v>
      </c>
      <c r="R100" s="9">
        <f t="shared" si="5"/>
        <v>799.60000000000014</v>
      </c>
      <c r="S100" s="9">
        <f>IF(R100="",AVERAGEIF(Table1[Category],Table1[[#This Row],[Category]],Table2[orignal data]),Table2[[#This Row],[orignal data]])</f>
        <v>799.60000000000014</v>
      </c>
      <c r="T100" t="str">
        <f t="shared" si="6"/>
        <v>UNIQUE</v>
      </c>
      <c r="U100" t="str">
        <f>IF(ISBLANK(Table1[[#This Row],[SizeOption]]),"NOT AVAILABLE",Table1[[#This Row],[SizeOption]])</f>
        <v>26, 28, 30, 32, 34, 36</v>
      </c>
      <c r="Y100" t="str">
        <f>IF(Table2[[#This Row],[Column1]]&gt;50%,"HIGH DISCOUNT","LOW DISCOUNT")</f>
        <v>HIGH DISCOUNT</v>
      </c>
    </row>
    <row r="101" spans="1:25" x14ac:dyDescent="0.25">
      <c r="A101" s="2" t="s">
        <v>329</v>
      </c>
      <c r="B101" s="2">
        <v>12193806</v>
      </c>
      <c r="C101" s="2" t="s">
        <v>14</v>
      </c>
      <c r="D101" s="2" t="s">
        <v>41</v>
      </c>
      <c r="E101" s="2" t="s">
        <v>42</v>
      </c>
      <c r="F101" s="2" t="s">
        <v>36</v>
      </c>
      <c r="G101" s="2" t="s">
        <v>330</v>
      </c>
      <c r="I101" s="2">
        <v>599</v>
      </c>
      <c r="J101" s="2" t="s">
        <v>84</v>
      </c>
      <c r="K101" s="2" t="s">
        <v>45</v>
      </c>
      <c r="L101" s="2">
        <v>4.3</v>
      </c>
      <c r="M101" s="2">
        <v>978</v>
      </c>
      <c r="P101" t="str">
        <f t="shared" si="7"/>
        <v>50%</v>
      </c>
      <c r="Q101" s="12">
        <f t="shared" si="4"/>
        <v>0.5</v>
      </c>
      <c r="R101" s="9">
        <f t="shared" si="5"/>
        <v>299.5</v>
      </c>
      <c r="S101" s="9">
        <f>IF(R101="",AVERAGEIF(Table1[Category],Table1[[#This Row],[Category]],Table2[orignal data]),Table2[[#This Row],[orignal data]])</f>
        <v>299.5</v>
      </c>
      <c r="T101" t="str">
        <f t="shared" si="6"/>
        <v>UNIQUE</v>
      </c>
      <c r="U101" t="str">
        <f>IF(ISBLANK(Table1[[#This Row],[SizeOption]]),"NOT AVAILABLE",Table1[[#This Row],[SizeOption]])</f>
        <v>XS, S, M, L, XL</v>
      </c>
      <c r="Y101" t="str">
        <f>IF(Table2[[#This Row],[Column1]]&gt;50%,"HIGH DISCOUNT","LOW DISCOUNT")</f>
        <v>LOW DISCOUNT</v>
      </c>
    </row>
    <row r="102" spans="1:25" x14ac:dyDescent="0.25">
      <c r="A102" s="1" t="s">
        <v>331</v>
      </c>
      <c r="B102" s="1">
        <v>2522852</v>
      </c>
      <c r="C102" s="1" t="s">
        <v>107</v>
      </c>
      <c r="D102" s="1" t="s">
        <v>41</v>
      </c>
      <c r="E102" s="1" t="s">
        <v>42</v>
      </c>
      <c r="F102" s="1" t="s">
        <v>36</v>
      </c>
      <c r="G102" s="1" t="s">
        <v>332</v>
      </c>
      <c r="I102" s="1">
        <v>899</v>
      </c>
      <c r="J102" s="1" t="s">
        <v>25</v>
      </c>
      <c r="K102" s="1" t="s">
        <v>45</v>
      </c>
      <c r="L102" s="1">
        <v>4.2</v>
      </c>
      <c r="M102" s="1">
        <v>978</v>
      </c>
      <c r="P102" t="str">
        <f t="shared" si="7"/>
        <v>55%</v>
      </c>
      <c r="Q102" s="12">
        <f t="shared" si="4"/>
        <v>0.55000000000000004</v>
      </c>
      <c r="R102" s="9">
        <f t="shared" si="5"/>
        <v>404.54999999999995</v>
      </c>
      <c r="S102" s="9">
        <f>IF(R102="",AVERAGEIF(Table1[Category],Table1[[#This Row],[Category]],Table2[orignal data]),Table2[[#This Row],[orignal data]])</f>
        <v>404.54999999999995</v>
      </c>
      <c r="T102" t="str">
        <f t="shared" si="6"/>
        <v>UNIQUE</v>
      </c>
      <c r="U102" t="str">
        <f>IF(ISBLANK(Table1[[#This Row],[SizeOption]]),"NOT AVAILABLE",Table1[[#This Row],[SizeOption]])</f>
        <v>XS, S, M, L, XL</v>
      </c>
      <c r="Y102" t="str">
        <f>IF(Table2[[#This Row],[Column1]]&gt;50%,"HIGH DISCOUNT","LOW DISCOUNT")</f>
        <v>HIGH DISCOUNT</v>
      </c>
    </row>
    <row r="103" spans="1:25" x14ac:dyDescent="0.25">
      <c r="A103" s="2" t="s">
        <v>333</v>
      </c>
      <c r="B103" s="2">
        <v>1700734</v>
      </c>
      <c r="C103" s="2" t="s">
        <v>169</v>
      </c>
      <c r="D103" s="2" t="s">
        <v>15</v>
      </c>
      <c r="E103" s="2" t="s">
        <v>16</v>
      </c>
      <c r="F103" s="2" t="s">
        <v>17</v>
      </c>
      <c r="G103" s="2" t="s">
        <v>334</v>
      </c>
      <c r="H103">
        <v>1449</v>
      </c>
      <c r="I103" s="2">
        <v>2899</v>
      </c>
      <c r="J103" s="2" t="s">
        <v>84</v>
      </c>
      <c r="K103" s="2" t="s">
        <v>171</v>
      </c>
      <c r="L103" s="2">
        <v>4.2</v>
      </c>
      <c r="M103" s="2">
        <v>977</v>
      </c>
      <c r="P103" t="str">
        <f t="shared" si="7"/>
        <v>50%</v>
      </c>
      <c r="Q103" s="12">
        <f t="shared" si="4"/>
        <v>0.5</v>
      </c>
      <c r="R103" s="9">
        <f t="shared" si="5"/>
        <v>1449.5</v>
      </c>
      <c r="S103" s="9">
        <f>IF(R103="",AVERAGEIF(Table1[Category],Table1[[#This Row],[Category]],Table2[orignal data]),Table2[[#This Row],[orignal data]])</f>
        <v>1449.5</v>
      </c>
      <c r="T103" t="str">
        <f t="shared" si="6"/>
        <v>UNIQUE</v>
      </c>
      <c r="U103" t="str">
        <f>IF(ISBLANK(Table1[[#This Row],[SizeOption]]),"NOT AVAILABLE",Table1[[#This Row],[SizeOption]])</f>
        <v>28, 30, 32, 34, 36, 38</v>
      </c>
      <c r="Y103" t="str">
        <f>IF(Table2[[#This Row],[Column1]]&gt;50%,"HIGH DISCOUNT","LOW DISCOUNT")</f>
        <v>LOW DISCOUNT</v>
      </c>
    </row>
    <row r="104" spans="1:25" x14ac:dyDescent="0.25">
      <c r="A104" s="1" t="s">
        <v>335</v>
      </c>
      <c r="B104" s="1">
        <v>10740976</v>
      </c>
      <c r="C104" s="1" t="s">
        <v>14</v>
      </c>
      <c r="D104" s="1" t="s">
        <v>28</v>
      </c>
      <c r="E104" s="1" t="s">
        <v>29</v>
      </c>
      <c r="F104" s="1" t="s">
        <v>17</v>
      </c>
      <c r="G104" s="1" t="s">
        <v>336</v>
      </c>
      <c r="H104">
        <v>714</v>
      </c>
      <c r="I104" s="1">
        <v>1299</v>
      </c>
      <c r="J104" s="1" t="s">
        <v>19</v>
      </c>
      <c r="K104" s="1" t="s">
        <v>253</v>
      </c>
      <c r="L104" s="1">
        <v>4.0999999999999996</v>
      </c>
      <c r="M104" s="1">
        <v>977</v>
      </c>
      <c r="P104" t="str">
        <f t="shared" si="7"/>
        <v>45%</v>
      </c>
      <c r="Q104" s="12">
        <f t="shared" si="4"/>
        <v>0.45</v>
      </c>
      <c r="R104" s="9">
        <f t="shared" si="5"/>
        <v>714.44999999999993</v>
      </c>
      <c r="S104" s="9">
        <f>IF(R104="",AVERAGEIF(Table1[Category],Table1[[#This Row],[Category]],Table2[orignal data]),Table2[[#This Row],[orignal data]])</f>
        <v>714.44999999999993</v>
      </c>
      <c r="T104" t="str">
        <f t="shared" si="6"/>
        <v>UNIQUE</v>
      </c>
      <c r="U104" t="str">
        <f>IF(ISBLANK(Table1[[#This Row],[SizeOption]]),"NOT AVAILABLE",Table1[[#This Row],[SizeOption]])</f>
        <v>38, 40, 42, 44</v>
      </c>
      <c r="Y104" t="str">
        <f>IF(Table2[[#This Row],[Column1]]&gt;50%,"HIGH DISCOUNT","LOW DISCOUNT")</f>
        <v>LOW DISCOUNT</v>
      </c>
    </row>
    <row r="105" spans="1:25" x14ac:dyDescent="0.25">
      <c r="A105" s="2" t="s">
        <v>337</v>
      </c>
      <c r="B105" s="2">
        <v>11326046</v>
      </c>
      <c r="C105" s="2" t="s">
        <v>14</v>
      </c>
      <c r="D105" s="2" t="s">
        <v>28</v>
      </c>
      <c r="E105" s="2" t="s">
        <v>29</v>
      </c>
      <c r="F105" s="2" t="s">
        <v>17</v>
      </c>
      <c r="G105" s="2" t="s">
        <v>338</v>
      </c>
      <c r="I105" s="2">
        <v>1299</v>
      </c>
      <c r="J105" s="2"/>
      <c r="K105" s="2" t="s">
        <v>31</v>
      </c>
      <c r="L105" s="2">
        <v>4.0999999999999996</v>
      </c>
      <c r="M105" s="2">
        <v>977</v>
      </c>
      <c r="P105" t="str">
        <f t="shared" si="7"/>
        <v/>
      </c>
      <c r="Q105" s="12" t="str">
        <f t="shared" si="4"/>
        <v/>
      </c>
      <c r="R105" s="9" t="str">
        <f t="shared" si="5"/>
        <v/>
      </c>
      <c r="S105" s="9">
        <f>IF(R105="",AVERAGEIF(Table1[Category],Table1[[#This Row],[Category]],Table2[orignal data]),Table2[[#This Row],[orignal data]])</f>
        <v>671.7823941958867</v>
      </c>
      <c r="T105" t="str">
        <f t="shared" si="6"/>
        <v>UNIQUE</v>
      </c>
      <c r="U105" t="str">
        <f>IF(ISBLANK(Table1[[#This Row],[SizeOption]]),"NOT AVAILABLE",Table1[[#This Row],[SizeOption]])</f>
        <v>38, 40, 42, 44, 46, 48</v>
      </c>
      <c r="Y105" t="str">
        <f>IF(Table2[[#This Row],[Column1]]&gt;50%,"HIGH DISCOUNT","LOW DISCOUNT")</f>
        <v>HIGH DISCOUNT</v>
      </c>
    </row>
    <row r="106" spans="1:25" x14ac:dyDescent="0.25">
      <c r="A106" s="1" t="s">
        <v>339</v>
      </c>
      <c r="B106" s="1">
        <v>2000035</v>
      </c>
      <c r="C106" s="1" t="s">
        <v>201</v>
      </c>
      <c r="D106" s="1" t="s">
        <v>76</v>
      </c>
      <c r="E106" s="1" t="s">
        <v>93</v>
      </c>
      <c r="F106" s="1" t="s">
        <v>36</v>
      </c>
      <c r="G106" s="1" t="s">
        <v>340</v>
      </c>
      <c r="H106">
        <v>719</v>
      </c>
      <c r="I106" s="1">
        <v>1799</v>
      </c>
      <c r="J106" s="1" t="s">
        <v>55</v>
      </c>
      <c r="K106" s="1" t="s">
        <v>100</v>
      </c>
      <c r="L106" s="1">
        <v>4.3</v>
      </c>
      <c r="M106" s="1">
        <v>977</v>
      </c>
      <c r="P106" t="str">
        <f t="shared" si="7"/>
        <v>60%</v>
      </c>
      <c r="Q106" s="12">
        <f t="shared" si="4"/>
        <v>0.6</v>
      </c>
      <c r="R106" s="9">
        <f t="shared" si="5"/>
        <v>719.60000000000014</v>
      </c>
      <c r="S106" s="9">
        <f>IF(R106="",AVERAGEIF(Table1[Category],Table1[[#This Row],[Category]],Table2[orignal data]),Table2[[#This Row],[orignal data]])</f>
        <v>719.60000000000014</v>
      </c>
      <c r="T106" t="str">
        <f t="shared" si="6"/>
        <v>UNIQUE</v>
      </c>
      <c r="U106" t="str">
        <f>IF(ISBLANK(Table1[[#This Row],[SizeOption]]),"NOT AVAILABLE",Table1[[#This Row],[SizeOption]])</f>
        <v>XS, S, M, L, XL, XXL, 3XL</v>
      </c>
      <c r="Y106" t="str">
        <f>IF(Table2[[#This Row],[Column1]]&gt;50%,"HIGH DISCOUNT","LOW DISCOUNT")</f>
        <v>HIGH DISCOUNT</v>
      </c>
    </row>
    <row r="107" spans="1:25" x14ac:dyDescent="0.25">
      <c r="A107" s="2" t="s">
        <v>341</v>
      </c>
      <c r="B107" s="2">
        <v>9673749</v>
      </c>
      <c r="C107" s="2" t="s">
        <v>92</v>
      </c>
      <c r="D107" s="2" t="s">
        <v>76</v>
      </c>
      <c r="E107" s="2" t="s">
        <v>77</v>
      </c>
      <c r="F107" s="2" t="s">
        <v>36</v>
      </c>
      <c r="G107" s="2" t="s">
        <v>342</v>
      </c>
      <c r="H107">
        <v>1112</v>
      </c>
      <c r="I107" s="2">
        <v>2649</v>
      </c>
      <c r="J107" s="2" t="s">
        <v>60</v>
      </c>
      <c r="K107" s="2" t="s">
        <v>39</v>
      </c>
      <c r="L107" s="2">
        <v>4.3</v>
      </c>
      <c r="M107" s="2">
        <v>977</v>
      </c>
      <c r="P107" t="str">
        <f t="shared" si="7"/>
        <v>58%</v>
      </c>
      <c r="Q107" s="12">
        <f t="shared" si="4"/>
        <v>0.57999999999999996</v>
      </c>
      <c r="R107" s="9">
        <f t="shared" si="5"/>
        <v>1112.5800000000002</v>
      </c>
      <c r="S107" s="9">
        <f>IF(R107="",AVERAGEIF(Table1[Category],Table1[[#This Row],[Category]],Table2[orignal data]),Table2[[#This Row],[orignal data]])</f>
        <v>1112.5800000000002</v>
      </c>
      <c r="T107" t="str">
        <f t="shared" si="6"/>
        <v>UNIQUE</v>
      </c>
      <c r="U107" t="str">
        <f>IF(ISBLANK(Table1[[#This Row],[SizeOption]]),"NOT AVAILABLE",Table1[[#This Row],[SizeOption]])</f>
        <v>S, M, L, XL, XXL</v>
      </c>
      <c r="Y107" t="str">
        <f>IF(Table2[[#This Row],[Column1]]&gt;50%,"HIGH DISCOUNT","LOW DISCOUNT")</f>
        <v>HIGH DISCOUNT</v>
      </c>
    </row>
    <row r="108" spans="1:25" x14ac:dyDescent="0.25">
      <c r="A108" s="1" t="s">
        <v>343</v>
      </c>
      <c r="B108" s="1">
        <v>10297291</v>
      </c>
      <c r="C108" s="1" t="s">
        <v>64</v>
      </c>
      <c r="D108" s="1" t="s">
        <v>98</v>
      </c>
      <c r="E108" s="1" t="s">
        <v>42</v>
      </c>
      <c r="F108" s="1" t="s">
        <v>36</v>
      </c>
      <c r="G108" s="1" t="s">
        <v>344</v>
      </c>
      <c r="H108">
        <v>402</v>
      </c>
      <c r="I108" s="1">
        <v>1149</v>
      </c>
      <c r="J108" s="1" t="s">
        <v>150</v>
      </c>
      <c r="K108" s="1" t="s">
        <v>100</v>
      </c>
      <c r="L108" s="1">
        <v>4.0999999999999996</v>
      </c>
      <c r="M108" s="1">
        <v>977</v>
      </c>
      <c r="P108" t="str">
        <f t="shared" si="7"/>
        <v>65%</v>
      </c>
      <c r="Q108" s="12">
        <f t="shared" si="4"/>
        <v>0.65</v>
      </c>
      <c r="R108" s="9">
        <f t="shared" si="5"/>
        <v>402.15</v>
      </c>
      <c r="S108" s="9">
        <f>IF(R108="",AVERAGEIF(Table1[Category],Table1[[#This Row],[Category]],Table2[orignal data]),Table2[[#This Row],[orignal data]])</f>
        <v>402.15</v>
      </c>
      <c r="T108" t="str">
        <f t="shared" si="6"/>
        <v>UNIQUE</v>
      </c>
      <c r="U108" t="str">
        <f>IF(ISBLANK(Table1[[#This Row],[SizeOption]]),"NOT AVAILABLE",Table1[[#This Row],[SizeOption]])</f>
        <v>XS, S, M, L, XL, XXL, 3XL</v>
      </c>
      <c r="Y108" t="str">
        <f>IF(Table2[[#This Row],[Column1]]&gt;50%,"HIGH DISCOUNT","LOW DISCOUNT")</f>
        <v>HIGH DISCOUNT</v>
      </c>
    </row>
    <row r="109" spans="1:25" x14ac:dyDescent="0.25">
      <c r="A109" s="2" t="s">
        <v>345</v>
      </c>
      <c r="B109" s="2">
        <v>11900306</v>
      </c>
      <c r="C109" s="2" t="s">
        <v>346</v>
      </c>
      <c r="D109" s="2" t="s">
        <v>41</v>
      </c>
      <c r="E109" s="2" t="s">
        <v>42</v>
      </c>
      <c r="F109" s="2" t="s">
        <v>36</v>
      </c>
      <c r="G109" s="2" t="s">
        <v>347</v>
      </c>
      <c r="I109" s="2">
        <v>699</v>
      </c>
      <c r="J109" s="2" t="s">
        <v>55</v>
      </c>
      <c r="K109" s="2" t="s">
        <v>45</v>
      </c>
      <c r="L109" s="2">
        <v>4.3</v>
      </c>
      <c r="M109" s="2">
        <v>977</v>
      </c>
      <c r="P109" t="str">
        <f t="shared" si="7"/>
        <v>60%</v>
      </c>
      <c r="Q109" s="12">
        <f t="shared" si="4"/>
        <v>0.6</v>
      </c>
      <c r="R109" s="9">
        <f t="shared" si="5"/>
        <v>279.60000000000002</v>
      </c>
      <c r="S109" s="9">
        <f>IF(R109="",AVERAGEIF(Table1[Category],Table1[[#This Row],[Category]],Table2[orignal data]),Table2[[#This Row],[orignal data]])</f>
        <v>279.60000000000002</v>
      </c>
      <c r="T109" t="str">
        <f t="shared" si="6"/>
        <v>UNIQUE</v>
      </c>
      <c r="U109" t="str">
        <f>IF(ISBLANK(Table1[[#This Row],[SizeOption]]),"NOT AVAILABLE",Table1[[#This Row],[SizeOption]])</f>
        <v>XS, S, M, L, XL</v>
      </c>
      <c r="Y109" t="str">
        <f>IF(Table2[[#This Row],[Column1]]&gt;50%,"HIGH DISCOUNT","LOW DISCOUNT")</f>
        <v>HIGH DISCOUNT</v>
      </c>
    </row>
    <row r="110" spans="1:25" x14ac:dyDescent="0.25">
      <c r="A110" s="1" t="s">
        <v>348</v>
      </c>
      <c r="B110" s="1">
        <v>11036420</v>
      </c>
      <c r="C110" s="1" t="s">
        <v>349</v>
      </c>
      <c r="D110" s="1" t="s">
        <v>197</v>
      </c>
      <c r="E110" s="1" t="s">
        <v>350</v>
      </c>
      <c r="F110" s="1" t="s">
        <v>17</v>
      </c>
      <c r="G110" s="1" t="s">
        <v>351</v>
      </c>
      <c r="I110" s="1">
        <v>599</v>
      </c>
      <c r="J110" s="1"/>
      <c r="K110" s="1" t="s">
        <v>352</v>
      </c>
      <c r="L110" s="1">
        <v>4.5999999999999996</v>
      </c>
      <c r="M110" s="1">
        <v>976</v>
      </c>
      <c r="P110" t="str">
        <f t="shared" si="7"/>
        <v/>
      </c>
      <c r="Q110" s="12" t="str">
        <f t="shared" si="4"/>
        <v/>
      </c>
      <c r="R110" s="9" t="str">
        <f t="shared" si="5"/>
        <v/>
      </c>
      <c r="S110" s="9">
        <f>IF(R110="",AVERAGEIF(Table1[Category],Table1[[#This Row],[Category]],Table2[orignal data]),Table2[[#This Row],[orignal data]])</f>
        <v>552.70900000000006</v>
      </c>
      <c r="T110" t="str">
        <f t="shared" si="6"/>
        <v>UNIQUE</v>
      </c>
      <c r="U110" t="str">
        <f>IF(ISBLANK(Table1[[#This Row],[SizeOption]]),"NOT AVAILABLE",Table1[[#This Row],[SizeOption]])</f>
        <v>S, M, L</v>
      </c>
      <c r="Y110" t="str">
        <f>IF(Table2[[#This Row],[Column1]]&gt;50%,"HIGH DISCOUNT","LOW DISCOUNT")</f>
        <v>HIGH DISCOUNT</v>
      </c>
    </row>
    <row r="111" spans="1:25" x14ac:dyDescent="0.25">
      <c r="A111" s="2" t="s">
        <v>353</v>
      </c>
      <c r="B111" s="2">
        <v>11638588</v>
      </c>
      <c r="C111" s="2" t="s">
        <v>349</v>
      </c>
      <c r="D111" s="2" t="s">
        <v>197</v>
      </c>
      <c r="E111" s="2" t="s">
        <v>350</v>
      </c>
      <c r="F111" s="2" t="s">
        <v>17</v>
      </c>
      <c r="G111" s="2" t="s">
        <v>354</v>
      </c>
      <c r="I111" s="2">
        <v>1198</v>
      </c>
      <c r="J111" s="2"/>
      <c r="K111" s="2" t="s">
        <v>352</v>
      </c>
      <c r="L111" s="2">
        <v>4.5999999999999996</v>
      </c>
      <c r="M111" s="2">
        <v>976</v>
      </c>
      <c r="P111" t="str">
        <f t="shared" si="7"/>
        <v/>
      </c>
      <c r="Q111" s="12" t="str">
        <f t="shared" si="4"/>
        <v/>
      </c>
      <c r="R111" s="9" t="str">
        <f t="shared" si="5"/>
        <v/>
      </c>
      <c r="S111" s="9">
        <f>IF(R111="",AVERAGEIF(Table1[Category],Table1[[#This Row],[Category]],Table2[orignal data]),Table2[[#This Row],[orignal data]])</f>
        <v>552.70900000000006</v>
      </c>
      <c r="T111" t="str">
        <f t="shared" si="6"/>
        <v>UNIQUE</v>
      </c>
      <c r="U111" t="str">
        <f>IF(ISBLANK(Table1[[#This Row],[SizeOption]]),"NOT AVAILABLE",Table1[[#This Row],[SizeOption]])</f>
        <v>S, M, L</v>
      </c>
      <c r="Y111" t="str">
        <f>IF(Table2[[#This Row],[Column1]]&gt;50%,"HIGH DISCOUNT","LOW DISCOUNT")</f>
        <v>HIGH DISCOUNT</v>
      </c>
    </row>
    <row r="112" spans="1:25" x14ac:dyDescent="0.25">
      <c r="A112" s="1" t="s">
        <v>355</v>
      </c>
      <c r="B112" s="1">
        <v>11640010</v>
      </c>
      <c r="C112" s="1" t="s">
        <v>67</v>
      </c>
      <c r="D112" s="1" t="s">
        <v>68</v>
      </c>
      <c r="E112" s="1" t="s">
        <v>42</v>
      </c>
      <c r="F112" s="1" t="s">
        <v>17</v>
      </c>
      <c r="G112" s="1" t="s">
        <v>356</v>
      </c>
      <c r="H112">
        <v>659</v>
      </c>
      <c r="I112" s="1">
        <v>1099</v>
      </c>
      <c r="J112" s="1" t="s">
        <v>50</v>
      </c>
      <c r="K112" s="1" t="s">
        <v>39</v>
      </c>
      <c r="L112" s="1">
        <v>4.3</v>
      </c>
      <c r="M112" s="1">
        <v>976</v>
      </c>
      <c r="P112" t="str">
        <f t="shared" si="7"/>
        <v>40%</v>
      </c>
      <c r="Q112" s="12">
        <f t="shared" si="4"/>
        <v>0.4</v>
      </c>
      <c r="R112" s="9">
        <f t="shared" si="5"/>
        <v>659.4</v>
      </c>
      <c r="S112" s="9">
        <f>IF(R112="",AVERAGEIF(Table1[Category],Table1[[#This Row],[Category]],Table2[orignal data]),Table2[[#This Row],[orignal data]])</f>
        <v>659.4</v>
      </c>
      <c r="T112" t="str">
        <f t="shared" si="6"/>
        <v>UNIQUE</v>
      </c>
      <c r="U112" t="str">
        <f>IF(ISBLANK(Table1[[#This Row],[SizeOption]]),"NOT AVAILABLE",Table1[[#This Row],[SizeOption]])</f>
        <v>S, M, L, XL, XXL</v>
      </c>
      <c r="Y112" t="str">
        <f>IF(Table2[[#This Row],[Column1]]&gt;50%,"HIGH DISCOUNT","LOW DISCOUNT")</f>
        <v>LOW DISCOUNT</v>
      </c>
    </row>
    <row r="113" spans="1:25" x14ac:dyDescent="0.25">
      <c r="A113" s="2" t="s">
        <v>357</v>
      </c>
      <c r="B113" s="2">
        <v>2303687</v>
      </c>
      <c r="C113" s="2" t="s">
        <v>14</v>
      </c>
      <c r="D113" s="2" t="s">
        <v>28</v>
      </c>
      <c r="E113" s="2" t="s">
        <v>42</v>
      </c>
      <c r="F113" s="2" t="s">
        <v>17</v>
      </c>
      <c r="G113" s="2" t="s">
        <v>358</v>
      </c>
      <c r="H113">
        <v>714</v>
      </c>
      <c r="I113" s="2">
        <v>1299</v>
      </c>
      <c r="J113" s="2" t="s">
        <v>19</v>
      </c>
      <c r="K113" s="2" t="s">
        <v>73</v>
      </c>
      <c r="L113" s="2">
        <v>4.2</v>
      </c>
      <c r="M113" s="2">
        <v>976</v>
      </c>
      <c r="P113" t="str">
        <f t="shared" si="7"/>
        <v>45%</v>
      </c>
      <c r="Q113" s="12">
        <f t="shared" si="4"/>
        <v>0.45</v>
      </c>
      <c r="R113" s="9">
        <f t="shared" si="5"/>
        <v>714.44999999999993</v>
      </c>
      <c r="S113" s="9">
        <f>IF(R113="",AVERAGEIF(Table1[Category],Table1[[#This Row],[Category]],Table2[orignal data]),Table2[[#This Row],[orignal data]])</f>
        <v>714.44999999999993</v>
      </c>
      <c r="T113" t="str">
        <f t="shared" si="6"/>
        <v>UNIQUE</v>
      </c>
      <c r="U113" t="str">
        <f>IF(ISBLANK(Table1[[#This Row],[SizeOption]]),"NOT AVAILABLE",Table1[[#This Row],[SizeOption]])</f>
        <v>XS, S, M, L, XL, XXL, 3XL, 4XL</v>
      </c>
      <c r="Y113" t="str">
        <f>IF(Table2[[#This Row],[Column1]]&gt;50%,"HIGH DISCOUNT","LOW DISCOUNT")</f>
        <v>LOW DISCOUNT</v>
      </c>
    </row>
    <row r="114" spans="1:25" x14ac:dyDescent="0.25">
      <c r="A114" s="1" t="s">
        <v>359</v>
      </c>
      <c r="B114" s="1">
        <v>10316399</v>
      </c>
      <c r="C114" s="1" t="s">
        <v>64</v>
      </c>
      <c r="D114" s="1" t="s">
        <v>28</v>
      </c>
      <c r="E114" s="1" t="s">
        <v>29</v>
      </c>
      <c r="F114" s="1" t="s">
        <v>17</v>
      </c>
      <c r="G114" s="1" t="s">
        <v>360</v>
      </c>
      <c r="H114">
        <v>699</v>
      </c>
      <c r="I114" s="1">
        <v>1999</v>
      </c>
      <c r="J114" s="1" t="s">
        <v>150</v>
      </c>
      <c r="K114" s="1" t="s">
        <v>361</v>
      </c>
      <c r="L114" s="1">
        <v>4.2</v>
      </c>
      <c r="M114" s="1">
        <v>976</v>
      </c>
      <c r="P114" t="str">
        <f t="shared" si="7"/>
        <v>65%</v>
      </c>
      <c r="Q114" s="12">
        <f t="shared" si="4"/>
        <v>0.65</v>
      </c>
      <c r="R114" s="9">
        <f t="shared" si="5"/>
        <v>699.64999999999986</v>
      </c>
      <c r="S114" s="9">
        <f>IF(R114="",AVERAGEIF(Table1[Category],Table1[[#This Row],[Category]],Table2[orignal data]),Table2[[#This Row],[orignal data]])</f>
        <v>699.64999999999986</v>
      </c>
      <c r="T114" t="str">
        <f t="shared" si="6"/>
        <v>UNIQUE</v>
      </c>
      <c r="U114" t="str">
        <f>IF(ISBLANK(Table1[[#This Row],[SizeOption]]),"NOT AVAILABLE",Table1[[#This Row],[SizeOption]])</f>
        <v>38, 40, 42, 44, 46</v>
      </c>
      <c r="Y114" t="str">
        <f>IF(Table2[[#This Row],[Column1]]&gt;50%,"HIGH DISCOUNT","LOW DISCOUNT")</f>
        <v>HIGH DISCOUNT</v>
      </c>
    </row>
    <row r="115" spans="1:25" x14ac:dyDescent="0.25">
      <c r="A115" s="2" t="s">
        <v>362</v>
      </c>
      <c r="B115" s="2">
        <v>12116006</v>
      </c>
      <c r="C115" s="2" t="s">
        <v>47</v>
      </c>
      <c r="D115" s="2" t="s">
        <v>28</v>
      </c>
      <c r="E115" s="2" t="s">
        <v>42</v>
      </c>
      <c r="F115" s="2" t="s">
        <v>17</v>
      </c>
      <c r="G115" s="2" t="s">
        <v>363</v>
      </c>
      <c r="H115">
        <v>494</v>
      </c>
      <c r="I115" s="2">
        <v>899</v>
      </c>
      <c r="J115" s="2" t="s">
        <v>19</v>
      </c>
      <c r="K115" s="2" t="s">
        <v>26</v>
      </c>
      <c r="L115" s="2">
        <v>4.3</v>
      </c>
      <c r="M115" s="2">
        <v>976</v>
      </c>
      <c r="P115" t="str">
        <f t="shared" si="7"/>
        <v>45%</v>
      </c>
      <c r="Q115" s="12">
        <f t="shared" si="4"/>
        <v>0.45</v>
      </c>
      <c r="R115" s="9">
        <f t="shared" si="5"/>
        <v>494.45</v>
      </c>
      <c r="S115" s="9">
        <f>IF(R115="",AVERAGEIF(Table1[Category],Table1[[#This Row],[Category]],Table2[orignal data]),Table2[[#This Row],[orignal data]])</f>
        <v>494.45</v>
      </c>
      <c r="T115" t="str">
        <f t="shared" si="6"/>
        <v>UNIQUE</v>
      </c>
      <c r="U115" t="str">
        <f>IF(ISBLANK(Table1[[#This Row],[SizeOption]]),"NOT AVAILABLE",Table1[[#This Row],[SizeOption]])</f>
        <v>S, M, L, XL</v>
      </c>
      <c r="Y115" t="str">
        <f>IF(Table2[[#This Row],[Column1]]&gt;50%,"HIGH DISCOUNT","LOW DISCOUNT")</f>
        <v>LOW DISCOUNT</v>
      </c>
    </row>
    <row r="116" spans="1:25" x14ac:dyDescent="0.25">
      <c r="A116" s="1" t="s">
        <v>364</v>
      </c>
      <c r="B116" s="1">
        <v>6613296</v>
      </c>
      <c r="C116" s="1" t="s">
        <v>113</v>
      </c>
      <c r="D116" s="1" t="s">
        <v>76</v>
      </c>
      <c r="E116" s="1" t="s">
        <v>365</v>
      </c>
      <c r="F116" s="1" t="s">
        <v>36</v>
      </c>
      <c r="G116" s="1" t="s">
        <v>366</v>
      </c>
      <c r="H116">
        <v>494</v>
      </c>
      <c r="I116" s="1">
        <v>899</v>
      </c>
      <c r="J116" s="1" t="s">
        <v>19</v>
      </c>
      <c r="K116" s="1" t="s">
        <v>115</v>
      </c>
      <c r="L116" s="1">
        <v>3.6</v>
      </c>
      <c r="M116" s="1">
        <v>976</v>
      </c>
      <c r="P116" t="str">
        <f t="shared" si="7"/>
        <v>45%</v>
      </c>
      <c r="Q116" s="12">
        <f t="shared" si="4"/>
        <v>0.45</v>
      </c>
      <c r="R116" s="9">
        <f t="shared" si="5"/>
        <v>494.45</v>
      </c>
      <c r="S116" s="9">
        <f>IF(R116="",AVERAGEIF(Table1[Category],Table1[[#This Row],[Category]],Table2[orignal data]),Table2[[#This Row],[orignal data]])</f>
        <v>494.45</v>
      </c>
      <c r="T116" t="str">
        <f t="shared" si="6"/>
        <v>UNIQUE</v>
      </c>
      <c r="U116" t="str">
        <f>IF(ISBLANK(Table1[[#This Row],[SizeOption]]),"NOT AVAILABLE",Table1[[#This Row],[SizeOption]])</f>
        <v>XS, S, M, L, XL, XXL</v>
      </c>
      <c r="Y116" t="str">
        <f>IF(Table2[[#This Row],[Column1]]&gt;50%,"HIGH DISCOUNT","LOW DISCOUNT")</f>
        <v>LOW DISCOUNT</v>
      </c>
    </row>
    <row r="117" spans="1:25" x14ac:dyDescent="0.25">
      <c r="A117" s="2" t="s">
        <v>367</v>
      </c>
      <c r="B117" s="2">
        <v>11489602</v>
      </c>
      <c r="C117" s="2" t="s">
        <v>14</v>
      </c>
      <c r="D117" s="2" t="s">
        <v>41</v>
      </c>
      <c r="E117" s="2" t="s">
        <v>368</v>
      </c>
      <c r="F117" s="2" t="s">
        <v>36</v>
      </c>
      <c r="G117" s="2" t="s">
        <v>369</v>
      </c>
      <c r="I117" s="2">
        <v>1299</v>
      </c>
      <c r="J117" s="2" t="s">
        <v>25</v>
      </c>
      <c r="K117" s="2" t="s">
        <v>134</v>
      </c>
      <c r="L117" s="2">
        <v>4.2</v>
      </c>
      <c r="M117" s="2">
        <v>976</v>
      </c>
      <c r="P117" t="str">
        <f t="shared" si="7"/>
        <v>55%</v>
      </c>
      <c r="Q117" s="12">
        <f t="shared" si="4"/>
        <v>0.55000000000000004</v>
      </c>
      <c r="R117" s="9">
        <f t="shared" si="5"/>
        <v>584.54999999999995</v>
      </c>
      <c r="S117" s="9">
        <f>IF(R117="",AVERAGEIF(Table1[Category],Table1[[#This Row],[Category]],Table2[orignal data]),Table2[[#This Row],[orignal data]])</f>
        <v>584.54999999999995</v>
      </c>
      <c r="T117" t="str">
        <f t="shared" si="6"/>
        <v>UNIQUE</v>
      </c>
      <c r="U117" t="str">
        <f>IF(ISBLANK(Table1[[#This Row],[SizeOption]]),"NOT AVAILABLE",Table1[[#This Row],[SizeOption]])</f>
        <v>26, 28, 30, 32, 34, 36</v>
      </c>
      <c r="Y117" t="str">
        <f>IF(Table2[[#This Row],[Column1]]&gt;50%,"HIGH DISCOUNT","LOW DISCOUNT")</f>
        <v>HIGH DISCOUNT</v>
      </c>
    </row>
    <row r="118" spans="1:25" x14ac:dyDescent="0.25">
      <c r="A118" s="1" t="s">
        <v>370</v>
      </c>
      <c r="B118" s="1">
        <v>10162419</v>
      </c>
      <c r="C118" s="1" t="s">
        <v>107</v>
      </c>
      <c r="D118" s="1" t="s">
        <v>41</v>
      </c>
      <c r="E118" s="1" t="s">
        <v>48</v>
      </c>
      <c r="F118" s="1" t="s">
        <v>36</v>
      </c>
      <c r="G118" s="1" t="s">
        <v>371</v>
      </c>
      <c r="I118" s="1">
        <v>1299</v>
      </c>
      <c r="J118" s="1" t="s">
        <v>19</v>
      </c>
      <c r="K118" s="1" t="s">
        <v>45</v>
      </c>
      <c r="L118" s="1">
        <v>4.2</v>
      </c>
      <c r="M118" s="1">
        <v>976</v>
      </c>
      <c r="P118" t="str">
        <f t="shared" si="7"/>
        <v>45%</v>
      </c>
      <c r="Q118" s="12">
        <f t="shared" si="4"/>
        <v>0.45</v>
      </c>
      <c r="R118" s="9">
        <f t="shared" si="5"/>
        <v>714.44999999999993</v>
      </c>
      <c r="S118" s="9">
        <f>IF(R118="",AVERAGEIF(Table1[Category],Table1[[#This Row],[Category]],Table2[orignal data]),Table2[[#This Row],[orignal data]])</f>
        <v>714.44999999999993</v>
      </c>
      <c r="T118" t="str">
        <f t="shared" si="6"/>
        <v>UNIQUE</v>
      </c>
      <c r="U118" t="str">
        <f>IF(ISBLANK(Table1[[#This Row],[SizeOption]]),"NOT AVAILABLE",Table1[[#This Row],[SizeOption]])</f>
        <v>XS, S, M, L, XL</v>
      </c>
      <c r="Y118" t="str">
        <f>IF(Table2[[#This Row],[Column1]]&gt;50%,"HIGH DISCOUNT","LOW DISCOUNT")</f>
        <v>LOW DISCOUNT</v>
      </c>
    </row>
    <row r="119" spans="1:25" x14ac:dyDescent="0.25">
      <c r="A119" s="2" t="s">
        <v>372</v>
      </c>
      <c r="B119" s="2">
        <v>11364360</v>
      </c>
      <c r="C119" s="2" t="s">
        <v>181</v>
      </c>
      <c r="D119" s="2" t="s">
        <v>41</v>
      </c>
      <c r="E119" s="2" t="s">
        <v>148</v>
      </c>
      <c r="F119" s="2" t="s">
        <v>36</v>
      </c>
      <c r="G119" s="2" t="s">
        <v>373</v>
      </c>
      <c r="I119" s="2">
        <v>2499</v>
      </c>
      <c r="J119" s="2" t="s">
        <v>84</v>
      </c>
      <c r="K119" s="2" t="s">
        <v>115</v>
      </c>
      <c r="L119" s="2">
        <v>4.4000000000000004</v>
      </c>
      <c r="M119" s="2">
        <v>976</v>
      </c>
      <c r="P119" t="str">
        <f t="shared" si="7"/>
        <v>50%</v>
      </c>
      <c r="Q119" s="12">
        <f t="shared" si="4"/>
        <v>0.5</v>
      </c>
      <c r="R119" s="9">
        <f t="shared" si="5"/>
        <v>1249.5</v>
      </c>
      <c r="S119" s="9">
        <f>IF(R119="",AVERAGEIF(Table1[Category],Table1[[#This Row],[Category]],Table2[orignal data]),Table2[[#This Row],[orignal data]])</f>
        <v>1249.5</v>
      </c>
      <c r="T119" t="str">
        <f t="shared" si="6"/>
        <v>UNIQUE</v>
      </c>
      <c r="U119" t="str">
        <f>IF(ISBLANK(Table1[[#This Row],[SizeOption]]),"NOT AVAILABLE",Table1[[#This Row],[SizeOption]])</f>
        <v>XS, S, M, L, XL, XXL</v>
      </c>
      <c r="Y119" t="str">
        <f>IF(Table2[[#This Row],[Column1]]&gt;50%,"HIGH DISCOUNT","LOW DISCOUNT")</f>
        <v>LOW DISCOUNT</v>
      </c>
    </row>
    <row r="120" spans="1:25" x14ac:dyDescent="0.25">
      <c r="A120" s="1" t="s">
        <v>374</v>
      </c>
      <c r="B120" s="1">
        <v>12524810</v>
      </c>
      <c r="C120" s="1" t="s">
        <v>64</v>
      </c>
      <c r="D120" s="1" t="s">
        <v>98</v>
      </c>
      <c r="E120" s="1" t="s">
        <v>93</v>
      </c>
      <c r="F120" s="1" t="s">
        <v>36</v>
      </c>
      <c r="G120" s="1" t="s">
        <v>375</v>
      </c>
      <c r="H120">
        <v>519</v>
      </c>
      <c r="I120" s="1">
        <v>1299</v>
      </c>
      <c r="J120" s="1" t="s">
        <v>141</v>
      </c>
      <c r="K120" s="1" t="s">
        <v>100</v>
      </c>
      <c r="L120" s="1">
        <v>4.3</v>
      </c>
      <c r="M120" s="1">
        <v>975</v>
      </c>
      <c r="P120" t="str">
        <f t="shared" si="7"/>
        <v>60%</v>
      </c>
      <c r="Q120" s="12">
        <f t="shared" si="4"/>
        <v>0.6</v>
      </c>
      <c r="R120" s="9">
        <f t="shared" si="5"/>
        <v>519.6</v>
      </c>
      <c r="S120" s="9">
        <f>IF(R120="",AVERAGEIF(Table1[Category],Table1[[#This Row],[Category]],Table2[orignal data]),Table2[[#This Row],[orignal data]])</f>
        <v>519.6</v>
      </c>
      <c r="T120" t="str">
        <f t="shared" si="6"/>
        <v>UNIQUE</v>
      </c>
      <c r="U120" t="str">
        <f>IF(ISBLANK(Table1[[#This Row],[SizeOption]]),"NOT AVAILABLE",Table1[[#This Row],[SizeOption]])</f>
        <v>XS, S, M, L, XL, XXL, 3XL</v>
      </c>
      <c r="Y120" t="str">
        <f>IF(Table2[[#This Row],[Column1]]&gt;50%,"HIGH DISCOUNT","LOW DISCOUNT")</f>
        <v>HIGH DISCOUNT</v>
      </c>
    </row>
    <row r="121" spans="1:25" x14ac:dyDescent="0.25">
      <c r="A121" s="2" t="s">
        <v>376</v>
      </c>
      <c r="B121" s="2">
        <v>10317827</v>
      </c>
      <c r="C121" s="2" t="s">
        <v>377</v>
      </c>
      <c r="D121" s="2" t="s">
        <v>98</v>
      </c>
      <c r="E121" s="2" t="s">
        <v>93</v>
      </c>
      <c r="F121" s="2" t="s">
        <v>36</v>
      </c>
      <c r="G121" s="2" t="s">
        <v>378</v>
      </c>
      <c r="H121">
        <v>717</v>
      </c>
      <c r="I121" s="2">
        <v>1749</v>
      </c>
      <c r="J121" s="2" t="s">
        <v>95</v>
      </c>
      <c r="K121" s="2" t="s">
        <v>115</v>
      </c>
      <c r="L121" s="2">
        <v>4.0999999999999996</v>
      </c>
      <c r="M121" s="2">
        <v>975</v>
      </c>
      <c r="P121" t="str">
        <f t="shared" si="7"/>
        <v>59%</v>
      </c>
      <c r="Q121" s="12">
        <f t="shared" si="4"/>
        <v>0.59</v>
      </c>
      <c r="R121" s="9">
        <f t="shared" si="5"/>
        <v>717.09000000000015</v>
      </c>
      <c r="S121" s="9">
        <f>IF(R121="",AVERAGEIF(Table1[Category],Table1[[#This Row],[Category]],Table2[orignal data]),Table2[[#This Row],[orignal data]])</f>
        <v>717.09000000000015</v>
      </c>
      <c r="T121" t="str">
        <f t="shared" si="6"/>
        <v>UNIQUE</v>
      </c>
      <c r="U121" t="str">
        <f>IF(ISBLANK(Table1[[#This Row],[SizeOption]]),"NOT AVAILABLE",Table1[[#This Row],[SizeOption]])</f>
        <v>XS, S, M, L, XL, XXL</v>
      </c>
      <c r="Y121" t="str">
        <f>IF(Table2[[#This Row],[Column1]]&gt;50%,"HIGH DISCOUNT","LOW DISCOUNT")</f>
        <v>HIGH DISCOUNT</v>
      </c>
    </row>
    <row r="122" spans="1:25" x14ac:dyDescent="0.25">
      <c r="A122" s="1" t="s">
        <v>379</v>
      </c>
      <c r="B122" s="1">
        <v>17382690</v>
      </c>
      <c r="C122" s="1" t="s">
        <v>14</v>
      </c>
      <c r="D122" s="1" t="s">
        <v>41</v>
      </c>
      <c r="E122" s="1" t="s">
        <v>42</v>
      </c>
      <c r="F122" s="1" t="s">
        <v>36</v>
      </c>
      <c r="G122" s="1" t="s">
        <v>380</v>
      </c>
      <c r="I122" s="1">
        <v>1598</v>
      </c>
      <c r="J122" s="1" t="s">
        <v>84</v>
      </c>
      <c r="K122" s="1" t="s">
        <v>45</v>
      </c>
      <c r="L122" s="1">
        <v>4.3</v>
      </c>
      <c r="M122" s="1">
        <v>975</v>
      </c>
      <c r="P122" t="str">
        <f t="shared" si="7"/>
        <v>50%</v>
      </c>
      <c r="Q122" s="12">
        <f t="shared" si="4"/>
        <v>0.5</v>
      </c>
      <c r="R122" s="9">
        <f t="shared" si="5"/>
        <v>799</v>
      </c>
      <c r="S122" s="9">
        <f>IF(R122="",AVERAGEIF(Table1[Category],Table1[[#This Row],[Category]],Table2[orignal data]),Table2[[#This Row],[orignal data]])</f>
        <v>799</v>
      </c>
      <c r="T122" t="str">
        <f t="shared" si="6"/>
        <v>UNIQUE</v>
      </c>
      <c r="U122" t="str">
        <f>IF(ISBLANK(Table1[[#This Row],[SizeOption]]),"NOT AVAILABLE",Table1[[#This Row],[SizeOption]])</f>
        <v>XS, S, M, L, XL</v>
      </c>
      <c r="Y122" t="str">
        <f>IF(Table2[[#This Row],[Column1]]&gt;50%,"HIGH DISCOUNT","LOW DISCOUNT")</f>
        <v>LOW DISCOUNT</v>
      </c>
    </row>
    <row r="123" spans="1:25" x14ac:dyDescent="0.25">
      <c r="A123" s="2" t="s">
        <v>381</v>
      </c>
      <c r="B123" s="2">
        <v>6625378</v>
      </c>
      <c r="C123" s="2" t="s">
        <v>102</v>
      </c>
      <c r="D123" s="2" t="s">
        <v>41</v>
      </c>
      <c r="E123" s="2" t="s">
        <v>148</v>
      </c>
      <c r="F123" s="2" t="s">
        <v>36</v>
      </c>
      <c r="G123" s="2" t="s">
        <v>382</v>
      </c>
      <c r="I123" s="2">
        <v>2449</v>
      </c>
      <c r="J123" s="2" t="s">
        <v>130</v>
      </c>
      <c r="K123" s="2" t="s">
        <v>26</v>
      </c>
      <c r="L123" s="2">
        <v>4.2</v>
      </c>
      <c r="M123" s="2">
        <v>975</v>
      </c>
      <c r="P123" t="str">
        <f t="shared" si="7"/>
        <v>57%</v>
      </c>
      <c r="Q123" s="12">
        <f t="shared" si="4"/>
        <v>0.56999999999999995</v>
      </c>
      <c r="R123" s="9">
        <f t="shared" si="5"/>
        <v>1053.0700000000002</v>
      </c>
      <c r="S123" s="9">
        <f>IF(R123="",AVERAGEIF(Table1[Category],Table1[[#This Row],[Category]],Table2[orignal data]),Table2[[#This Row],[orignal data]])</f>
        <v>1053.0700000000002</v>
      </c>
      <c r="T123" t="str">
        <f t="shared" si="6"/>
        <v>UNIQUE</v>
      </c>
      <c r="U123" t="str">
        <f>IF(ISBLANK(Table1[[#This Row],[SizeOption]]),"NOT AVAILABLE",Table1[[#This Row],[SizeOption]])</f>
        <v>S, M, L, XL</v>
      </c>
      <c r="Y123" t="str">
        <f>IF(Table2[[#This Row],[Column1]]&gt;50%,"HIGH DISCOUNT","LOW DISCOUNT")</f>
        <v>HIGH DISCOUNT</v>
      </c>
    </row>
    <row r="124" spans="1:25" x14ac:dyDescent="0.25">
      <c r="A124" s="1" t="s">
        <v>383</v>
      </c>
      <c r="B124" s="1">
        <v>2344421</v>
      </c>
      <c r="C124" s="1" t="s">
        <v>201</v>
      </c>
      <c r="D124" s="1" t="s">
        <v>15</v>
      </c>
      <c r="E124" s="1" t="s">
        <v>16</v>
      </c>
      <c r="F124" s="1" t="s">
        <v>17</v>
      </c>
      <c r="G124" s="1" t="s">
        <v>384</v>
      </c>
      <c r="H124">
        <v>799</v>
      </c>
      <c r="I124" s="1">
        <v>1999</v>
      </c>
      <c r="J124" s="1" t="s">
        <v>55</v>
      </c>
      <c r="K124" s="1" t="s">
        <v>20</v>
      </c>
      <c r="L124" s="1">
        <v>3.8</v>
      </c>
      <c r="M124" s="1">
        <v>974</v>
      </c>
      <c r="P124" t="str">
        <f t="shared" si="7"/>
        <v>60%</v>
      </c>
      <c r="Q124" s="12">
        <f t="shared" si="4"/>
        <v>0.6</v>
      </c>
      <c r="R124" s="9">
        <f t="shared" si="5"/>
        <v>799.60000000000014</v>
      </c>
      <c r="S124" s="9">
        <f>IF(R124="",AVERAGEIF(Table1[Category],Table1[[#This Row],[Category]],Table2[orignal data]),Table2[[#This Row],[orignal data]])</f>
        <v>799.60000000000014</v>
      </c>
      <c r="T124" t="str">
        <f t="shared" si="6"/>
        <v>UNIQUE</v>
      </c>
      <c r="U124" t="str">
        <f>IF(ISBLANK(Table1[[#This Row],[SizeOption]]),"NOT AVAILABLE",Table1[[#This Row],[SizeOption]])</f>
        <v>28, 30, 32, 34, 36</v>
      </c>
      <c r="Y124" t="str">
        <f>IF(Table2[[#This Row],[Column1]]&gt;50%,"HIGH DISCOUNT","LOW DISCOUNT")</f>
        <v>HIGH DISCOUNT</v>
      </c>
    </row>
    <row r="125" spans="1:25" x14ac:dyDescent="0.25">
      <c r="A125" s="2" t="s">
        <v>385</v>
      </c>
      <c r="B125" s="2">
        <v>2478316</v>
      </c>
      <c r="C125" s="2" t="s">
        <v>169</v>
      </c>
      <c r="D125" s="2" t="s">
        <v>28</v>
      </c>
      <c r="E125" s="2" t="s">
        <v>42</v>
      </c>
      <c r="F125" s="2" t="s">
        <v>17</v>
      </c>
      <c r="G125" s="2" t="s">
        <v>386</v>
      </c>
      <c r="H125">
        <v>749</v>
      </c>
      <c r="I125" s="2">
        <v>1499</v>
      </c>
      <c r="J125" s="2" t="s">
        <v>84</v>
      </c>
      <c r="K125" s="2" t="s">
        <v>39</v>
      </c>
      <c r="L125" s="2">
        <v>4.0999999999999996</v>
      </c>
      <c r="M125" s="2">
        <v>974</v>
      </c>
      <c r="P125" t="str">
        <f t="shared" si="7"/>
        <v>50%</v>
      </c>
      <c r="Q125" s="12">
        <f t="shared" si="4"/>
        <v>0.5</v>
      </c>
      <c r="R125" s="9">
        <f t="shared" si="5"/>
        <v>749.5</v>
      </c>
      <c r="S125" s="9">
        <f>IF(R125="",AVERAGEIF(Table1[Category],Table1[[#This Row],[Category]],Table2[orignal data]),Table2[[#This Row],[orignal data]])</f>
        <v>749.5</v>
      </c>
      <c r="T125" t="str">
        <f t="shared" si="6"/>
        <v>UNIQUE</v>
      </c>
      <c r="U125" t="str">
        <f>IF(ISBLANK(Table1[[#This Row],[SizeOption]]),"NOT AVAILABLE",Table1[[#This Row],[SizeOption]])</f>
        <v>S, M, L, XL, XXL</v>
      </c>
      <c r="Y125" t="str">
        <f>IF(Table2[[#This Row],[Column1]]&gt;50%,"HIGH DISCOUNT","LOW DISCOUNT")</f>
        <v>LOW DISCOUNT</v>
      </c>
    </row>
    <row r="126" spans="1:25" x14ac:dyDescent="0.25">
      <c r="A126" s="1" t="s">
        <v>387</v>
      </c>
      <c r="B126" s="1">
        <v>11535126</v>
      </c>
      <c r="C126" s="1" t="s">
        <v>75</v>
      </c>
      <c r="D126" s="1" t="s">
        <v>76</v>
      </c>
      <c r="E126" s="1" t="s">
        <v>93</v>
      </c>
      <c r="F126" s="1" t="s">
        <v>36</v>
      </c>
      <c r="G126" s="1" t="s">
        <v>388</v>
      </c>
      <c r="H126">
        <v>539</v>
      </c>
      <c r="I126" s="1">
        <v>1799</v>
      </c>
      <c r="J126" s="1" t="s">
        <v>79</v>
      </c>
      <c r="K126" s="1" t="s">
        <v>39</v>
      </c>
      <c r="L126" s="1">
        <v>4.0999999999999996</v>
      </c>
      <c r="M126" s="1">
        <v>974</v>
      </c>
      <c r="P126" t="str">
        <f t="shared" si="7"/>
        <v>70%</v>
      </c>
      <c r="Q126" s="12">
        <f t="shared" si="4"/>
        <v>0.7</v>
      </c>
      <c r="R126" s="9">
        <f t="shared" si="5"/>
        <v>539.70000000000005</v>
      </c>
      <c r="S126" s="9">
        <f>IF(R126="",AVERAGEIF(Table1[Category],Table1[[#This Row],[Category]],Table2[orignal data]),Table2[[#This Row],[orignal data]])</f>
        <v>539.70000000000005</v>
      </c>
      <c r="T126" t="str">
        <f t="shared" si="6"/>
        <v>UNIQUE</v>
      </c>
      <c r="U126" t="str">
        <f>IF(ISBLANK(Table1[[#This Row],[SizeOption]]),"NOT AVAILABLE",Table1[[#This Row],[SizeOption]])</f>
        <v>S, M, L, XL, XXL</v>
      </c>
      <c r="Y126" t="str">
        <f>IF(Table2[[#This Row],[Column1]]&gt;50%,"HIGH DISCOUNT","LOW DISCOUNT")</f>
        <v>HIGH DISCOUNT</v>
      </c>
    </row>
    <row r="127" spans="1:25" x14ac:dyDescent="0.25">
      <c r="A127" s="2" t="s">
        <v>389</v>
      </c>
      <c r="B127" s="2">
        <v>10939758</v>
      </c>
      <c r="C127" s="2" t="s">
        <v>107</v>
      </c>
      <c r="D127" s="2" t="s">
        <v>34</v>
      </c>
      <c r="E127" s="2" t="s">
        <v>118</v>
      </c>
      <c r="F127" s="2" t="s">
        <v>36</v>
      </c>
      <c r="G127" s="2" t="s">
        <v>390</v>
      </c>
      <c r="H127">
        <v>194</v>
      </c>
      <c r="I127" s="2">
        <v>649</v>
      </c>
      <c r="J127" s="2" t="s">
        <v>79</v>
      </c>
      <c r="K127" s="2" t="s">
        <v>391</v>
      </c>
      <c r="L127" s="2">
        <v>4.0999999999999996</v>
      </c>
      <c r="M127" s="2">
        <v>974</v>
      </c>
      <c r="P127" t="str">
        <f t="shared" si="7"/>
        <v>70%</v>
      </c>
      <c r="Q127" s="12">
        <f t="shared" si="4"/>
        <v>0.7</v>
      </c>
      <c r="R127" s="9">
        <f t="shared" si="5"/>
        <v>194.70000000000005</v>
      </c>
      <c r="S127" s="9">
        <f>IF(R127="",AVERAGEIF(Table1[Category],Table1[[#This Row],[Category]],Table2[orignal data]),Table2[[#This Row],[orignal data]])</f>
        <v>194.70000000000005</v>
      </c>
      <c r="T127" t="str">
        <f t="shared" si="6"/>
        <v>UNIQUE</v>
      </c>
      <c r="U127" t="str">
        <f>IF(ISBLANK(Table1[[#This Row],[SizeOption]]),"NOT AVAILABLE",Table1[[#This Row],[SizeOption]])</f>
        <v>32B, 32C, 34B, 34C, 34D, 36B, 36C, 36D, 38B, 38C</v>
      </c>
      <c r="Y127" t="str">
        <f>IF(Table2[[#This Row],[Column1]]&gt;50%,"HIGH DISCOUNT","LOW DISCOUNT")</f>
        <v>HIGH DISCOUNT</v>
      </c>
    </row>
    <row r="128" spans="1:25" x14ac:dyDescent="0.25">
      <c r="A128" s="1" t="s">
        <v>392</v>
      </c>
      <c r="B128" s="1">
        <v>7140521</v>
      </c>
      <c r="C128" s="1" t="s">
        <v>47</v>
      </c>
      <c r="D128" s="1" t="s">
        <v>41</v>
      </c>
      <c r="E128" s="1" t="s">
        <v>42</v>
      </c>
      <c r="F128" s="1" t="s">
        <v>36</v>
      </c>
      <c r="G128" s="1" t="s">
        <v>393</v>
      </c>
      <c r="I128" s="1">
        <v>799</v>
      </c>
      <c r="J128" s="1" t="s">
        <v>25</v>
      </c>
      <c r="K128" s="1" t="s">
        <v>45</v>
      </c>
      <c r="L128" s="1">
        <v>4.2</v>
      </c>
      <c r="M128" s="1">
        <v>974</v>
      </c>
      <c r="P128" t="str">
        <f t="shared" si="7"/>
        <v>55%</v>
      </c>
      <c r="Q128" s="12">
        <f t="shared" si="4"/>
        <v>0.55000000000000004</v>
      </c>
      <c r="R128" s="9">
        <f t="shared" si="5"/>
        <v>359.54999999999995</v>
      </c>
      <c r="S128" s="9">
        <f>IF(R128="",AVERAGEIF(Table1[Category],Table1[[#This Row],[Category]],Table2[orignal data]),Table2[[#This Row],[orignal data]])</f>
        <v>359.54999999999995</v>
      </c>
      <c r="T128" t="str">
        <f t="shared" si="6"/>
        <v>UNIQUE</v>
      </c>
      <c r="U128" t="str">
        <f>IF(ISBLANK(Table1[[#This Row],[SizeOption]]),"NOT AVAILABLE",Table1[[#This Row],[SizeOption]])</f>
        <v>XS, S, M, L, XL</v>
      </c>
      <c r="Y128" t="str">
        <f>IF(Table2[[#This Row],[Column1]]&gt;50%,"HIGH DISCOUNT","LOW DISCOUNT")</f>
        <v>HIGH DISCOUNT</v>
      </c>
    </row>
    <row r="129" spans="1:25" x14ac:dyDescent="0.25">
      <c r="A129" s="2" t="s">
        <v>394</v>
      </c>
      <c r="B129" s="2">
        <v>10365147</v>
      </c>
      <c r="C129" s="2" t="s">
        <v>107</v>
      </c>
      <c r="D129" s="2" t="s">
        <v>41</v>
      </c>
      <c r="E129" s="2" t="s">
        <v>16</v>
      </c>
      <c r="F129" s="2" t="s">
        <v>36</v>
      </c>
      <c r="G129" s="2" t="s">
        <v>395</v>
      </c>
      <c r="I129" s="2">
        <v>1899</v>
      </c>
      <c r="J129" s="2"/>
      <c r="K129" s="2" t="s">
        <v>134</v>
      </c>
      <c r="L129" s="2">
        <v>4.0999999999999996</v>
      </c>
      <c r="M129" s="2">
        <v>974</v>
      </c>
      <c r="P129" t="str">
        <f t="shared" si="7"/>
        <v/>
      </c>
      <c r="Q129" s="12" t="str">
        <f t="shared" si="4"/>
        <v/>
      </c>
      <c r="R129" s="9" t="str">
        <f t="shared" si="5"/>
        <v/>
      </c>
      <c r="S129" s="9">
        <f>IF(R129="",AVERAGEIF(Table1[Category],Table1[[#This Row],[Category]],Table2[orignal data]),Table2[[#This Row],[orignal data]])</f>
        <v>715.78890751086249</v>
      </c>
      <c r="T129" t="str">
        <f t="shared" si="6"/>
        <v>UNIQUE</v>
      </c>
      <c r="U129" t="str">
        <f>IF(ISBLANK(Table1[[#This Row],[SizeOption]]),"NOT AVAILABLE",Table1[[#This Row],[SizeOption]])</f>
        <v>26, 28, 30, 32, 34, 36</v>
      </c>
      <c r="Y129" t="str">
        <f>IF(Table2[[#This Row],[Column1]]&gt;50%,"HIGH DISCOUNT","LOW DISCOUNT")</f>
        <v>HIGH DISCOUNT</v>
      </c>
    </row>
    <row r="130" spans="1:25" x14ac:dyDescent="0.25">
      <c r="A130" s="1" t="s">
        <v>396</v>
      </c>
      <c r="B130" s="1">
        <v>10054351</v>
      </c>
      <c r="C130" s="1" t="s">
        <v>397</v>
      </c>
      <c r="D130" s="1" t="s">
        <v>76</v>
      </c>
      <c r="E130" s="1" t="s">
        <v>93</v>
      </c>
      <c r="F130" s="1" t="s">
        <v>36</v>
      </c>
      <c r="G130" s="1" t="s">
        <v>398</v>
      </c>
      <c r="H130">
        <v>659</v>
      </c>
      <c r="I130" s="1">
        <v>1199</v>
      </c>
      <c r="J130" s="1" t="s">
        <v>19</v>
      </c>
      <c r="K130" s="1" t="s">
        <v>234</v>
      </c>
      <c r="L130" s="1">
        <v>4.2</v>
      </c>
      <c r="M130" s="1">
        <v>973</v>
      </c>
      <c r="P130" t="str">
        <f t="shared" si="7"/>
        <v>45%</v>
      </c>
      <c r="Q130" s="12">
        <f t="shared" ref="Q130:Q193" si="8">IF(P130="","",IF(ISNUMBER(SEARCH("%",P130)),P130,P130/I130)*100%)</f>
        <v>0.45</v>
      </c>
      <c r="R130" s="9">
        <f t="shared" ref="R130:R193" si="9">IF(P130="","",I130-(I130*Q130))</f>
        <v>659.44999999999993</v>
      </c>
      <c r="S130" s="9">
        <f>IF(R130="",AVERAGEIF(Table1[Category],Table1[[#This Row],[Category]],Table2[orignal data]),Table2[[#This Row],[orignal data]])</f>
        <v>659.44999999999993</v>
      </c>
      <c r="T130" t="str">
        <f t="shared" ref="T130:T193" si="10">IF(COUNTIF($B$2:$B$5000,B130)&gt;1,"DUPLICATE","UNIQUE")</f>
        <v>UNIQUE</v>
      </c>
      <c r="U130" t="str">
        <f>IF(ISBLANK(Table1[[#This Row],[SizeOption]]),"NOT AVAILABLE",Table1[[#This Row],[SizeOption]])</f>
        <v>S, M, L, XL, XXL, 3XL</v>
      </c>
      <c r="Y130" t="str">
        <f>IF(Table2[[#This Row],[Column1]]&gt;50%,"HIGH DISCOUNT","LOW DISCOUNT")</f>
        <v>LOW DISCOUNT</v>
      </c>
    </row>
    <row r="131" spans="1:25" x14ac:dyDescent="0.25">
      <c r="A131" s="2" t="s">
        <v>399</v>
      </c>
      <c r="B131" s="2">
        <v>10960692</v>
      </c>
      <c r="C131" s="2" t="s">
        <v>113</v>
      </c>
      <c r="D131" s="2" t="s">
        <v>76</v>
      </c>
      <c r="E131" s="2" t="s">
        <v>93</v>
      </c>
      <c r="F131" s="2" t="s">
        <v>36</v>
      </c>
      <c r="G131" s="2" t="s">
        <v>400</v>
      </c>
      <c r="H131">
        <v>674</v>
      </c>
      <c r="I131" s="2">
        <v>1499</v>
      </c>
      <c r="J131" s="2" t="s">
        <v>25</v>
      </c>
      <c r="K131" s="2" t="s">
        <v>73</v>
      </c>
      <c r="L131" s="2">
        <v>3.8</v>
      </c>
      <c r="M131" s="2">
        <v>973</v>
      </c>
      <c r="P131" t="str">
        <f t="shared" ref="P131:P194" si="11">TRIM(SUBSTITUTE(SUBSTITUTE(SUBSTITUTE(SUBSTITUTE(J131,"OFF",""),"Rs.",""),"Hurry*",""),",",""))</f>
        <v>55%</v>
      </c>
      <c r="Q131" s="12">
        <f t="shared" si="8"/>
        <v>0.55000000000000004</v>
      </c>
      <c r="R131" s="9">
        <f t="shared" si="9"/>
        <v>674.55</v>
      </c>
      <c r="S131" s="9">
        <f>IF(R131="",AVERAGEIF(Table1[Category],Table1[[#This Row],[Category]],Table2[orignal data]),Table2[[#This Row],[orignal data]])</f>
        <v>674.55</v>
      </c>
      <c r="T131" t="str">
        <f t="shared" si="10"/>
        <v>UNIQUE</v>
      </c>
      <c r="U131" t="str">
        <f>IF(ISBLANK(Table1[[#This Row],[SizeOption]]),"NOT AVAILABLE",Table1[[#This Row],[SizeOption]])</f>
        <v>XS, S, M, L, XL, XXL, 3XL, 4XL</v>
      </c>
      <c r="Y131" t="str">
        <f>IF(Table2[[#This Row],[Column1]]&gt;50%,"HIGH DISCOUNT","LOW DISCOUNT")</f>
        <v>HIGH DISCOUNT</v>
      </c>
    </row>
    <row r="132" spans="1:25" x14ac:dyDescent="0.25">
      <c r="A132" s="1" t="s">
        <v>401</v>
      </c>
      <c r="B132" s="1">
        <v>13581338</v>
      </c>
      <c r="C132" s="1" t="s">
        <v>75</v>
      </c>
      <c r="D132" s="1" t="s">
        <v>76</v>
      </c>
      <c r="E132" s="1" t="s">
        <v>77</v>
      </c>
      <c r="F132" s="1" t="s">
        <v>36</v>
      </c>
      <c r="G132" s="1" t="s">
        <v>402</v>
      </c>
      <c r="H132">
        <v>849</v>
      </c>
      <c r="I132" s="1">
        <v>2499</v>
      </c>
      <c r="J132" s="1" t="s">
        <v>403</v>
      </c>
      <c r="K132" s="1" t="s">
        <v>39</v>
      </c>
      <c r="L132" s="1">
        <v>4.0999999999999996</v>
      </c>
      <c r="M132" s="1">
        <v>973</v>
      </c>
      <c r="P132" t="str">
        <f t="shared" si="11"/>
        <v>66%</v>
      </c>
      <c r="Q132" s="12">
        <f t="shared" si="8"/>
        <v>0.66</v>
      </c>
      <c r="R132" s="9">
        <f t="shared" si="9"/>
        <v>849.65999999999985</v>
      </c>
      <c r="S132" s="9">
        <f>IF(R132="",AVERAGEIF(Table1[Category],Table1[[#This Row],[Category]],Table2[orignal data]),Table2[[#This Row],[orignal data]])</f>
        <v>849.65999999999985</v>
      </c>
      <c r="T132" t="str">
        <f t="shared" si="10"/>
        <v>UNIQUE</v>
      </c>
      <c r="U132" t="str">
        <f>IF(ISBLANK(Table1[[#This Row],[SizeOption]]),"NOT AVAILABLE",Table1[[#This Row],[SizeOption]])</f>
        <v>S, M, L, XL, XXL</v>
      </c>
      <c r="Y132" t="str">
        <f>IF(Table2[[#This Row],[Column1]]&gt;50%,"HIGH DISCOUNT","LOW DISCOUNT")</f>
        <v>HIGH DISCOUNT</v>
      </c>
    </row>
    <row r="133" spans="1:25" x14ac:dyDescent="0.25">
      <c r="A133" s="2" t="s">
        <v>404</v>
      </c>
      <c r="B133" s="2">
        <v>7487820</v>
      </c>
      <c r="C133" s="2" t="s">
        <v>405</v>
      </c>
      <c r="D133" s="2" t="s">
        <v>34</v>
      </c>
      <c r="E133" s="2" t="s">
        <v>406</v>
      </c>
      <c r="F133" s="2" t="s">
        <v>36</v>
      </c>
      <c r="G133" s="2" t="s">
        <v>407</v>
      </c>
      <c r="H133">
        <v>991</v>
      </c>
      <c r="I133" s="2">
        <v>1599</v>
      </c>
      <c r="J133" s="2" t="s">
        <v>408</v>
      </c>
      <c r="K133" s="2" t="s">
        <v>26</v>
      </c>
      <c r="L133" s="2">
        <v>4.3</v>
      </c>
      <c r="M133" s="2">
        <v>973</v>
      </c>
      <c r="P133" t="str">
        <f t="shared" si="11"/>
        <v>38%</v>
      </c>
      <c r="Q133" s="12">
        <f t="shared" si="8"/>
        <v>0.38</v>
      </c>
      <c r="R133" s="9">
        <f t="shared" si="9"/>
        <v>991.38</v>
      </c>
      <c r="S133" s="9">
        <f>IF(R133="",AVERAGEIF(Table1[Category],Table1[[#This Row],[Category]],Table2[orignal data]),Table2[[#This Row],[orignal data]])</f>
        <v>991.38</v>
      </c>
      <c r="T133" t="str">
        <f t="shared" si="10"/>
        <v>UNIQUE</v>
      </c>
      <c r="U133" t="str">
        <f>IF(ISBLANK(Table1[[#This Row],[SizeOption]]),"NOT AVAILABLE",Table1[[#This Row],[SizeOption]])</f>
        <v>S, M, L, XL</v>
      </c>
      <c r="Y133" t="str">
        <f>IF(Table2[[#This Row],[Column1]]&gt;50%,"HIGH DISCOUNT","LOW DISCOUNT")</f>
        <v>LOW DISCOUNT</v>
      </c>
    </row>
    <row r="134" spans="1:25" x14ac:dyDescent="0.25">
      <c r="A134" s="1" t="s">
        <v>409</v>
      </c>
      <c r="B134" s="1">
        <v>782799</v>
      </c>
      <c r="C134" s="1" t="s">
        <v>410</v>
      </c>
      <c r="D134" s="1" t="s">
        <v>34</v>
      </c>
      <c r="E134" s="1" t="s">
        <v>296</v>
      </c>
      <c r="F134" s="1" t="s">
        <v>36</v>
      </c>
      <c r="G134" s="1" t="s">
        <v>411</v>
      </c>
      <c r="H134">
        <v>485</v>
      </c>
      <c r="I134" s="1">
        <v>607</v>
      </c>
      <c r="J134" s="1" t="s">
        <v>412</v>
      </c>
      <c r="K134" s="1" t="s">
        <v>39</v>
      </c>
      <c r="L134" s="1">
        <v>3.8</v>
      </c>
      <c r="M134" s="1">
        <v>973</v>
      </c>
      <c r="P134" t="str">
        <f t="shared" si="11"/>
        <v>20%</v>
      </c>
      <c r="Q134" s="12">
        <f t="shared" si="8"/>
        <v>0.2</v>
      </c>
      <c r="R134" s="9">
        <f t="shared" si="9"/>
        <v>485.6</v>
      </c>
      <c r="S134" s="9">
        <f>IF(R134="",AVERAGEIF(Table1[Category],Table1[[#This Row],[Category]],Table2[orignal data]),Table2[[#This Row],[orignal data]])</f>
        <v>485.6</v>
      </c>
      <c r="T134" t="str">
        <f t="shared" si="10"/>
        <v>UNIQUE</v>
      </c>
      <c r="U134" t="str">
        <f>IF(ISBLANK(Table1[[#This Row],[SizeOption]]),"NOT AVAILABLE",Table1[[#This Row],[SizeOption]])</f>
        <v>S, M, L, XL, XXL</v>
      </c>
      <c r="Y134" t="str">
        <f>IF(Table2[[#This Row],[Column1]]&gt;50%,"HIGH DISCOUNT","LOW DISCOUNT")</f>
        <v>LOW DISCOUNT</v>
      </c>
    </row>
    <row r="135" spans="1:25" x14ac:dyDescent="0.25">
      <c r="A135" s="2" t="s">
        <v>413</v>
      </c>
      <c r="B135" s="2">
        <v>14225120</v>
      </c>
      <c r="C135" s="2" t="s">
        <v>414</v>
      </c>
      <c r="D135" s="2" t="s">
        <v>68</v>
      </c>
      <c r="E135" s="2" t="s">
        <v>69</v>
      </c>
      <c r="F135" s="2" t="s">
        <v>36</v>
      </c>
      <c r="G135" s="2" t="s">
        <v>415</v>
      </c>
      <c r="H135">
        <v>539</v>
      </c>
      <c r="I135" s="2">
        <v>1499</v>
      </c>
      <c r="J135" s="2" t="s">
        <v>416</v>
      </c>
      <c r="K135" s="2" t="s">
        <v>39</v>
      </c>
      <c r="L135" s="2">
        <v>4</v>
      </c>
      <c r="M135" s="2">
        <v>973</v>
      </c>
      <c r="P135" t="str">
        <f t="shared" si="11"/>
        <v>64%</v>
      </c>
      <c r="Q135" s="12">
        <f t="shared" si="8"/>
        <v>0.64</v>
      </c>
      <c r="R135" s="9">
        <f t="shared" si="9"/>
        <v>539.64</v>
      </c>
      <c r="S135" s="9">
        <f>IF(R135="",AVERAGEIF(Table1[Category],Table1[[#This Row],[Category]],Table2[orignal data]),Table2[[#This Row],[orignal data]])</f>
        <v>539.64</v>
      </c>
      <c r="T135" t="str">
        <f t="shared" si="10"/>
        <v>UNIQUE</v>
      </c>
      <c r="U135" t="str">
        <f>IF(ISBLANK(Table1[[#This Row],[SizeOption]]),"NOT AVAILABLE",Table1[[#This Row],[SizeOption]])</f>
        <v>S, M, L, XL, XXL</v>
      </c>
      <c r="Y135" t="str">
        <f>IF(Table2[[#This Row],[Column1]]&gt;50%,"HIGH DISCOUNT","LOW DISCOUNT")</f>
        <v>HIGH DISCOUNT</v>
      </c>
    </row>
    <row r="136" spans="1:25" x14ac:dyDescent="0.25">
      <c r="A136" s="1" t="s">
        <v>417</v>
      </c>
      <c r="B136" s="1">
        <v>8475747</v>
      </c>
      <c r="C136" s="1" t="s">
        <v>67</v>
      </c>
      <c r="D136" s="1" t="s">
        <v>68</v>
      </c>
      <c r="E136" s="1" t="s">
        <v>69</v>
      </c>
      <c r="F136" s="1" t="s">
        <v>36</v>
      </c>
      <c r="G136" s="1" t="s">
        <v>418</v>
      </c>
      <c r="H136">
        <v>764</v>
      </c>
      <c r="I136" s="1">
        <v>1699</v>
      </c>
      <c r="J136" s="1" t="s">
        <v>25</v>
      </c>
      <c r="K136" s="1" t="s">
        <v>115</v>
      </c>
      <c r="L136" s="1">
        <v>4</v>
      </c>
      <c r="M136" s="1">
        <v>973</v>
      </c>
      <c r="P136" t="str">
        <f t="shared" si="11"/>
        <v>55%</v>
      </c>
      <c r="Q136" s="12">
        <f t="shared" si="8"/>
        <v>0.55000000000000004</v>
      </c>
      <c r="R136" s="9">
        <f t="shared" si="9"/>
        <v>764.55</v>
      </c>
      <c r="S136" s="9">
        <f>IF(R136="",AVERAGEIF(Table1[Category],Table1[[#This Row],[Category]],Table2[orignal data]),Table2[[#This Row],[orignal data]])</f>
        <v>764.55</v>
      </c>
      <c r="T136" t="str">
        <f t="shared" si="10"/>
        <v>UNIQUE</v>
      </c>
      <c r="U136" t="str">
        <f>IF(ISBLANK(Table1[[#This Row],[SizeOption]]),"NOT AVAILABLE",Table1[[#This Row],[SizeOption]])</f>
        <v>XS, S, M, L, XL, XXL</v>
      </c>
      <c r="Y136" t="str">
        <f>IF(Table2[[#This Row],[Column1]]&gt;50%,"HIGH DISCOUNT","LOW DISCOUNT")</f>
        <v>HIGH DISCOUNT</v>
      </c>
    </row>
    <row r="137" spans="1:25" x14ac:dyDescent="0.25">
      <c r="A137" s="2" t="s">
        <v>419</v>
      </c>
      <c r="B137" s="2">
        <v>10891012</v>
      </c>
      <c r="C137" s="2" t="s">
        <v>420</v>
      </c>
      <c r="D137" s="2" t="s">
        <v>68</v>
      </c>
      <c r="E137" s="2" t="s">
        <v>42</v>
      </c>
      <c r="F137" s="2" t="s">
        <v>17</v>
      </c>
      <c r="G137" s="2" t="s">
        <v>421</v>
      </c>
      <c r="H137">
        <v>515</v>
      </c>
      <c r="I137" s="2">
        <v>1199</v>
      </c>
      <c r="J137" s="2" t="s">
        <v>130</v>
      </c>
      <c r="K137" s="2" t="s">
        <v>26</v>
      </c>
      <c r="L137" s="2">
        <v>4</v>
      </c>
      <c r="M137" s="2">
        <v>972</v>
      </c>
      <c r="P137" t="str">
        <f t="shared" si="11"/>
        <v>57%</v>
      </c>
      <c r="Q137" s="12">
        <f t="shared" si="8"/>
        <v>0.56999999999999995</v>
      </c>
      <c r="R137" s="9">
        <f t="shared" si="9"/>
        <v>515.57000000000005</v>
      </c>
      <c r="S137" s="9">
        <f>IF(R137="",AVERAGEIF(Table1[Category],Table1[[#This Row],[Category]],Table2[orignal data]),Table2[[#This Row],[orignal data]])</f>
        <v>515.57000000000005</v>
      </c>
      <c r="T137" t="str">
        <f t="shared" si="10"/>
        <v>UNIQUE</v>
      </c>
      <c r="U137" t="str">
        <f>IF(ISBLANK(Table1[[#This Row],[SizeOption]]),"NOT AVAILABLE",Table1[[#This Row],[SizeOption]])</f>
        <v>S, M, L, XL</v>
      </c>
      <c r="Y137" t="str">
        <f>IF(Table2[[#This Row],[Column1]]&gt;50%,"HIGH DISCOUNT","LOW DISCOUNT")</f>
        <v>HIGH DISCOUNT</v>
      </c>
    </row>
    <row r="138" spans="1:25" x14ac:dyDescent="0.25">
      <c r="A138" s="1" t="s">
        <v>422</v>
      </c>
      <c r="B138" s="1">
        <v>4453300</v>
      </c>
      <c r="C138" s="1" t="s">
        <v>67</v>
      </c>
      <c r="D138" s="1" t="s">
        <v>68</v>
      </c>
      <c r="E138" s="1" t="s">
        <v>189</v>
      </c>
      <c r="F138" s="1" t="s">
        <v>17</v>
      </c>
      <c r="G138" s="1" t="s">
        <v>423</v>
      </c>
      <c r="H138">
        <v>1329</v>
      </c>
      <c r="I138" s="1">
        <v>3799</v>
      </c>
      <c r="J138" s="1" t="s">
        <v>150</v>
      </c>
      <c r="K138" s="1" t="s">
        <v>39</v>
      </c>
      <c r="L138" s="1">
        <v>4.3</v>
      </c>
      <c r="M138" s="1">
        <v>972</v>
      </c>
      <c r="P138" t="str">
        <f t="shared" si="11"/>
        <v>65%</v>
      </c>
      <c r="Q138" s="12">
        <f t="shared" si="8"/>
        <v>0.65</v>
      </c>
      <c r="R138" s="9">
        <f t="shared" si="9"/>
        <v>1329.65</v>
      </c>
      <c r="S138" s="9">
        <f>IF(R138="",AVERAGEIF(Table1[Category],Table1[[#This Row],[Category]],Table2[orignal data]),Table2[[#This Row],[orignal data]])</f>
        <v>1329.65</v>
      </c>
      <c r="T138" t="str">
        <f t="shared" si="10"/>
        <v>UNIQUE</v>
      </c>
      <c r="U138" t="str">
        <f>IF(ISBLANK(Table1[[#This Row],[SizeOption]]),"NOT AVAILABLE",Table1[[#This Row],[SizeOption]])</f>
        <v>S, M, L, XL, XXL</v>
      </c>
      <c r="Y138" t="str">
        <f>IF(Table2[[#This Row],[Column1]]&gt;50%,"HIGH DISCOUNT","LOW DISCOUNT")</f>
        <v>HIGH DISCOUNT</v>
      </c>
    </row>
    <row r="139" spans="1:25" x14ac:dyDescent="0.25">
      <c r="A139" s="2" t="s">
        <v>424</v>
      </c>
      <c r="B139" s="2">
        <v>15241816</v>
      </c>
      <c r="C139" s="2" t="s">
        <v>277</v>
      </c>
      <c r="D139" s="2" t="s">
        <v>76</v>
      </c>
      <c r="E139" s="2" t="s">
        <v>93</v>
      </c>
      <c r="F139" s="2" t="s">
        <v>36</v>
      </c>
      <c r="G139" s="2" t="s">
        <v>425</v>
      </c>
      <c r="H139">
        <v>979</v>
      </c>
      <c r="I139" s="2">
        <v>2799</v>
      </c>
      <c r="J139" s="2" t="s">
        <v>150</v>
      </c>
      <c r="K139" s="2" t="s">
        <v>39</v>
      </c>
      <c r="L139" s="2">
        <v>4.0999999999999996</v>
      </c>
      <c r="M139" s="2">
        <v>972</v>
      </c>
      <c r="P139" t="str">
        <f t="shared" si="11"/>
        <v>65%</v>
      </c>
      <c r="Q139" s="12">
        <f t="shared" si="8"/>
        <v>0.65</v>
      </c>
      <c r="R139" s="9">
        <f t="shared" si="9"/>
        <v>979.64999999999986</v>
      </c>
      <c r="S139" s="9">
        <f>IF(R139="",AVERAGEIF(Table1[Category],Table1[[#This Row],[Category]],Table2[orignal data]),Table2[[#This Row],[orignal data]])</f>
        <v>979.64999999999986</v>
      </c>
      <c r="T139" t="str">
        <f t="shared" si="10"/>
        <v>UNIQUE</v>
      </c>
      <c r="U139" t="str">
        <f>IF(ISBLANK(Table1[[#This Row],[SizeOption]]),"NOT AVAILABLE",Table1[[#This Row],[SizeOption]])</f>
        <v>S, M, L, XL, XXL</v>
      </c>
      <c r="Y139" t="str">
        <f>IF(Table2[[#This Row],[Column1]]&gt;50%,"HIGH DISCOUNT","LOW DISCOUNT")</f>
        <v>HIGH DISCOUNT</v>
      </c>
    </row>
    <row r="140" spans="1:25" x14ac:dyDescent="0.25">
      <c r="A140" s="1" t="s">
        <v>426</v>
      </c>
      <c r="B140" s="1">
        <v>12277596</v>
      </c>
      <c r="C140" s="1" t="s">
        <v>290</v>
      </c>
      <c r="D140" s="1" t="s">
        <v>41</v>
      </c>
      <c r="E140" s="1" t="s">
        <v>53</v>
      </c>
      <c r="F140" s="1" t="s">
        <v>36</v>
      </c>
      <c r="G140" s="1" t="s">
        <v>427</v>
      </c>
      <c r="I140" s="1">
        <v>1799</v>
      </c>
      <c r="J140" s="1" t="s">
        <v>84</v>
      </c>
      <c r="K140" s="1" t="s">
        <v>428</v>
      </c>
      <c r="L140" s="1">
        <v>4.3</v>
      </c>
      <c r="M140" s="1">
        <v>972</v>
      </c>
      <c r="P140" t="str">
        <f t="shared" si="11"/>
        <v>50%</v>
      </c>
      <c r="Q140" s="12">
        <f t="shared" si="8"/>
        <v>0.5</v>
      </c>
      <c r="R140" s="9">
        <f t="shared" si="9"/>
        <v>899.5</v>
      </c>
      <c r="S140" s="9">
        <f>IF(R140="",AVERAGEIF(Table1[Category],Table1[[#This Row],[Category]],Table2[orignal data]),Table2[[#This Row],[orignal data]])</f>
        <v>899.5</v>
      </c>
      <c r="T140" t="str">
        <f t="shared" si="10"/>
        <v>UNIQUE</v>
      </c>
      <c r="U140" t="str">
        <f>IF(ISBLANK(Table1[[#This Row],[SizeOption]]),"NOT AVAILABLE",Table1[[#This Row],[SizeOption]])</f>
        <v>26, 28, 30, 32, 34</v>
      </c>
      <c r="Y140" t="str">
        <f>IF(Table2[[#This Row],[Column1]]&gt;50%,"HIGH DISCOUNT","LOW DISCOUNT")</f>
        <v>LOW DISCOUNT</v>
      </c>
    </row>
    <row r="141" spans="1:25" x14ac:dyDescent="0.25">
      <c r="A141" s="2" t="s">
        <v>429</v>
      </c>
      <c r="B141" s="2">
        <v>2371017</v>
      </c>
      <c r="C141" s="2" t="s">
        <v>430</v>
      </c>
      <c r="D141" s="2" t="s">
        <v>41</v>
      </c>
      <c r="E141" s="2" t="s">
        <v>29</v>
      </c>
      <c r="F141" s="2" t="s">
        <v>36</v>
      </c>
      <c r="G141" s="2" t="s">
        <v>431</v>
      </c>
      <c r="I141" s="2">
        <v>1799</v>
      </c>
      <c r="J141" s="2" t="s">
        <v>55</v>
      </c>
      <c r="K141" s="2" t="s">
        <v>45</v>
      </c>
      <c r="L141" s="2">
        <v>4.4000000000000004</v>
      </c>
      <c r="M141" s="2">
        <v>972</v>
      </c>
      <c r="P141" t="str">
        <f t="shared" si="11"/>
        <v>60%</v>
      </c>
      <c r="Q141" s="12">
        <f t="shared" si="8"/>
        <v>0.6</v>
      </c>
      <c r="R141" s="9">
        <f t="shared" si="9"/>
        <v>719.60000000000014</v>
      </c>
      <c r="S141" s="9">
        <f>IF(R141="",AVERAGEIF(Table1[Category],Table1[[#This Row],[Category]],Table2[orignal data]),Table2[[#This Row],[orignal data]])</f>
        <v>719.60000000000014</v>
      </c>
      <c r="T141" t="str">
        <f t="shared" si="10"/>
        <v>UNIQUE</v>
      </c>
      <c r="U141" t="str">
        <f>IF(ISBLANK(Table1[[#This Row],[SizeOption]]),"NOT AVAILABLE",Table1[[#This Row],[SizeOption]])</f>
        <v>XS, S, M, L, XL</v>
      </c>
      <c r="Y141" t="str">
        <f>IF(Table2[[#This Row],[Column1]]&gt;50%,"HIGH DISCOUNT","LOW DISCOUNT")</f>
        <v>HIGH DISCOUNT</v>
      </c>
    </row>
    <row r="142" spans="1:25" x14ac:dyDescent="0.25">
      <c r="A142" s="1" t="s">
        <v>432</v>
      </c>
      <c r="B142" s="1">
        <v>11542062</v>
      </c>
      <c r="C142" s="1" t="s">
        <v>14</v>
      </c>
      <c r="D142" s="1" t="s">
        <v>41</v>
      </c>
      <c r="E142" s="1" t="s">
        <v>16</v>
      </c>
      <c r="F142" s="1" t="s">
        <v>36</v>
      </c>
      <c r="G142" s="1" t="s">
        <v>433</v>
      </c>
      <c r="I142" s="1">
        <v>2999</v>
      </c>
      <c r="J142" s="1" t="s">
        <v>25</v>
      </c>
      <c r="K142" s="1" t="s">
        <v>134</v>
      </c>
      <c r="L142" s="1">
        <v>4.3</v>
      </c>
      <c r="M142" s="1">
        <v>972</v>
      </c>
      <c r="P142" t="str">
        <f t="shared" si="11"/>
        <v>55%</v>
      </c>
      <c r="Q142" s="12">
        <f t="shared" si="8"/>
        <v>0.55000000000000004</v>
      </c>
      <c r="R142" s="9">
        <f t="shared" si="9"/>
        <v>1349.55</v>
      </c>
      <c r="S142" s="9">
        <f>IF(R142="",AVERAGEIF(Table1[Category],Table1[[#This Row],[Category]],Table2[orignal data]),Table2[[#This Row],[orignal data]])</f>
        <v>1349.55</v>
      </c>
      <c r="T142" t="str">
        <f t="shared" si="10"/>
        <v>UNIQUE</v>
      </c>
      <c r="U142" t="str">
        <f>IF(ISBLANK(Table1[[#This Row],[SizeOption]]),"NOT AVAILABLE",Table1[[#This Row],[SizeOption]])</f>
        <v>26, 28, 30, 32, 34, 36</v>
      </c>
      <c r="Y142" t="str">
        <f>IF(Table2[[#This Row],[Column1]]&gt;50%,"HIGH DISCOUNT","LOW DISCOUNT")</f>
        <v>HIGH DISCOUNT</v>
      </c>
    </row>
    <row r="143" spans="1:25" x14ac:dyDescent="0.25">
      <c r="A143" s="2" t="s">
        <v>434</v>
      </c>
      <c r="B143" s="2">
        <v>8353077</v>
      </c>
      <c r="C143" s="2" t="s">
        <v>14</v>
      </c>
      <c r="D143" s="2" t="s">
        <v>41</v>
      </c>
      <c r="E143" s="2" t="s">
        <v>42</v>
      </c>
      <c r="F143" s="2" t="s">
        <v>36</v>
      </c>
      <c r="G143" s="2" t="s">
        <v>435</v>
      </c>
      <c r="I143" s="2">
        <v>799</v>
      </c>
      <c r="J143" s="2" t="s">
        <v>84</v>
      </c>
      <c r="K143" s="2" t="s">
        <v>45</v>
      </c>
      <c r="L143" s="2">
        <v>4.3</v>
      </c>
      <c r="M143" s="2">
        <v>972</v>
      </c>
      <c r="P143" t="str">
        <f t="shared" si="11"/>
        <v>50%</v>
      </c>
      <c r="Q143" s="12">
        <f t="shared" si="8"/>
        <v>0.5</v>
      </c>
      <c r="R143" s="9">
        <f t="shared" si="9"/>
        <v>399.5</v>
      </c>
      <c r="S143" s="9">
        <f>IF(R143="",AVERAGEIF(Table1[Category],Table1[[#This Row],[Category]],Table2[orignal data]),Table2[[#This Row],[orignal data]])</f>
        <v>399.5</v>
      </c>
      <c r="T143" t="str">
        <f t="shared" si="10"/>
        <v>UNIQUE</v>
      </c>
      <c r="U143" t="str">
        <f>IF(ISBLANK(Table1[[#This Row],[SizeOption]]),"NOT AVAILABLE",Table1[[#This Row],[SizeOption]])</f>
        <v>XS, S, M, L, XL</v>
      </c>
      <c r="Y143" t="str">
        <f>IF(Table2[[#This Row],[Column1]]&gt;50%,"HIGH DISCOUNT","LOW DISCOUNT")</f>
        <v>LOW DISCOUNT</v>
      </c>
    </row>
    <row r="144" spans="1:25" x14ac:dyDescent="0.25">
      <c r="A144" s="1" t="s">
        <v>436</v>
      </c>
      <c r="B144" s="1">
        <v>1753425</v>
      </c>
      <c r="C144" s="1" t="s">
        <v>14</v>
      </c>
      <c r="D144" s="1" t="s">
        <v>41</v>
      </c>
      <c r="E144" s="1" t="s">
        <v>42</v>
      </c>
      <c r="F144" s="1" t="s">
        <v>36</v>
      </c>
      <c r="G144" s="1" t="s">
        <v>437</v>
      </c>
      <c r="I144" s="1">
        <v>799</v>
      </c>
      <c r="J144" s="1" t="s">
        <v>84</v>
      </c>
      <c r="K144" s="1" t="s">
        <v>45</v>
      </c>
      <c r="L144" s="1">
        <v>4</v>
      </c>
      <c r="M144" s="1">
        <v>972</v>
      </c>
      <c r="P144" t="str">
        <f t="shared" si="11"/>
        <v>50%</v>
      </c>
      <c r="Q144" s="12">
        <f t="shared" si="8"/>
        <v>0.5</v>
      </c>
      <c r="R144" s="9">
        <f t="shared" si="9"/>
        <v>399.5</v>
      </c>
      <c r="S144" s="9">
        <f>IF(R144="",AVERAGEIF(Table1[Category],Table1[[#This Row],[Category]],Table2[orignal data]),Table2[[#This Row],[orignal data]])</f>
        <v>399.5</v>
      </c>
      <c r="T144" t="str">
        <f t="shared" si="10"/>
        <v>UNIQUE</v>
      </c>
      <c r="U144" t="str">
        <f>IF(ISBLANK(Table1[[#This Row],[SizeOption]]),"NOT AVAILABLE",Table1[[#This Row],[SizeOption]])</f>
        <v>XS, S, M, L, XL</v>
      </c>
      <c r="Y144" t="str">
        <f>IF(Table2[[#This Row],[Column1]]&gt;50%,"HIGH DISCOUNT","LOW DISCOUNT")</f>
        <v>LOW DISCOUNT</v>
      </c>
    </row>
    <row r="145" spans="1:25" x14ac:dyDescent="0.25">
      <c r="A145" s="2" t="s">
        <v>438</v>
      </c>
      <c r="B145" s="2">
        <v>12816474</v>
      </c>
      <c r="C145" s="2" t="s">
        <v>64</v>
      </c>
      <c r="D145" s="2" t="s">
        <v>28</v>
      </c>
      <c r="E145" s="2" t="s">
        <v>42</v>
      </c>
      <c r="F145" s="2" t="s">
        <v>17</v>
      </c>
      <c r="G145" s="2" t="s">
        <v>439</v>
      </c>
      <c r="H145">
        <v>239</v>
      </c>
      <c r="I145" s="2">
        <v>599</v>
      </c>
      <c r="J145" s="2" t="s">
        <v>55</v>
      </c>
      <c r="K145" s="2" t="s">
        <v>26</v>
      </c>
      <c r="L145" s="2">
        <v>3.8</v>
      </c>
      <c r="M145" s="2">
        <v>971</v>
      </c>
      <c r="P145" t="str">
        <f t="shared" si="11"/>
        <v>60%</v>
      </c>
      <c r="Q145" s="12">
        <f t="shared" si="8"/>
        <v>0.6</v>
      </c>
      <c r="R145" s="9">
        <f t="shared" si="9"/>
        <v>239.60000000000002</v>
      </c>
      <c r="S145" s="9">
        <f>IF(R145="",AVERAGEIF(Table1[Category],Table1[[#This Row],[Category]],Table2[orignal data]),Table2[[#This Row],[orignal data]])</f>
        <v>239.60000000000002</v>
      </c>
      <c r="T145" t="str">
        <f t="shared" si="10"/>
        <v>UNIQUE</v>
      </c>
      <c r="U145" t="str">
        <f>IF(ISBLANK(Table1[[#This Row],[SizeOption]]),"NOT AVAILABLE",Table1[[#This Row],[SizeOption]])</f>
        <v>S, M, L, XL</v>
      </c>
      <c r="Y145" t="str">
        <f>IF(Table2[[#This Row],[Column1]]&gt;50%,"HIGH DISCOUNT","LOW DISCOUNT")</f>
        <v>HIGH DISCOUNT</v>
      </c>
    </row>
    <row r="146" spans="1:25" x14ac:dyDescent="0.25">
      <c r="A146" s="1" t="s">
        <v>440</v>
      </c>
      <c r="B146" s="1">
        <v>12817380</v>
      </c>
      <c r="C146" s="1" t="s">
        <v>64</v>
      </c>
      <c r="D146" s="1" t="s">
        <v>28</v>
      </c>
      <c r="E146" s="1" t="s">
        <v>42</v>
      </c>
      <c r="F146" s="1" t="s">
        <v>17</v>
      </c>
      <c r="G146" s="1" t="s">
        <v>441</v>
      </c>
      <c r="H146">
        <v>329</v>
      </c>
      <c r="I146" s="1">
        <v>599</v>
      </c>
      <c r="J146" s="1" t="s">
        <v>19</v>
      </c>
      <c r="K146" s="1" t="s">
        <v>26</v>
      </c>
      <c r="L146" s="1">
        <v>4.3</v>
      </c>
      <c r="M146" s="1">
        <v>971</v>
      </c>
      <c r="P146" t="str">
        <f t="shared" si="11"/>
        <v>45%</v>
      </c>
      <c r="Q146" s="12">
        <f t="shared" si="8"/>
        <v>0.45</v>
      </c>
      <c r="R146" s="9">
        <f t="shared" si="9"/>
        <v>329.45</v>
      </c>
      <c r="S146" s="9">
        <f>IF(R146="",AVERAGEIF(Table1[Category],Table1[[#This Row],[Category]],Table2[orignal data]),Table2[[#This Row],[orignal data]])</f>
        <v>329.45</v>
      </c>
      <c r="T146" t="str">
        <f t="shared" si="10"/>
        <v>UNIQUE</v>
      </c>
      <c r="U146" t="str">
        <f>IF(ISBLANK(Table1[[#This Row],[SizeOption]]),"NOT AVAILABLE",Table1[[#This Row],[SizeOption]])</f>
        <v>S, M, L, XL</v>
      </c>
      <c r="Y146" t="str">
        <f>IF(Table2[[#This Row],[Column1]]&gt;50%,"HIGH DISCOUNT","LOW DISCOUNT")</f>
        <v>LOW DISCOUNT</v>
      </c>
    </row>
    <row r="147" spans="1:25" x14ac:dyDescent="0.25">
      <c r="A147" s="2" t="s">
        <v>442</v>
      </c>
      <c r="B147" s="2">
        <v>8860565</v>
      </c>
      <c r="C147" s="2" t="s">
        <v>97</v>
      </c>
      <c r="D147" s="2" t="s">
        <v>76</v>
      </c>
      <c r="E147" s="2" t="s">
        <v>48</v>
      </c>
      <c r="F147" s="2" t="s">
        <v>36</v>
      </c>
      <c r="G147" s="2" t="s">
        <v>443</v>
      </c>
      <c r="H147">
        <v>849</v>
      </c>
      <c r="I147" s="2">
        <v>1699</v>
      </c>
      <c r="J147" s="2" t="s">
        <v>84</v>
      </c>
      <c r="K147" s="2" t="s">
        <v>100</v>
      </c>
      <c r="L147" s="2">
        <v>4.3</v>
      </c>
      <c r="M147" s="2">
        <v>971</v>
      </c>
      <c r="P147" t="str">
        <f t="shared" si="11"/>
        <v>50%</v>
      </c>
      <c r="Q147" s="12">
        <f t="shared" si="8"/>
        <v>0.5</v>
      </c>
      <c r="R147" s="9">
        <f t="shared" si="9"/>
        <v>849.5</v>
      </c>
      <c r="S147" s="9">
        <f>IF(R147="",AVERAGEIF(Table1[Category],Table1[[#This Row],[Category]],Table2[orignal data]),Table2[[#This Row],[orignal data]])</f>
        <v>849.5</v>
      </c>
      <c r="T147" t="str">
        <f t="shared" si="10"/>
        <v>UNIQUE</v>
      </c>
      <c r="U147" t="str">
        <f>IF(ISBLANK(Table1[[#This Row],[SizeOption]]),"NOT AVAILABLE",Table1[[#This Row],[SizeOption]])</f>
        <v>XS, S, M, L, XL, XXL, 3XL</v>
      </c>
      <c r="Y147" t="str">
        <f>IF(Table2[[#This Row],[Column1]]&gt;50%,"HIGH DISCOUNT","LOW DISCOUNT")</f>
        <v>LOW DISCOUNT</v>
      </c>
    </row>
    <row r="148" spans="1:25" x14ac:dyDescent="0.25">
      <c r="A148" s="1" t="s">
        <v>444</v>
      </c>
      <c r="B148" s="1">
        <v>17381456</v>
      </c>
      <c r="C148" s="1" t="s">
        <v>14</v>
      </c>
      <c r="D148" s="1" t="s">
        <v>41</v>
      </c>
      <c r="E148" s="1" t="s">
        <v>42</v>
      </c>
      <c r="F148" s="1" t="s">
        <v>36</v>
      </c>
      <c r="G148" s="1" t="s">
        <v>62</v>
      </c>
      <c r="I148" s="1">
        <v>1198</v>
      </c>
      <c r="J148" s="1" t="s">
        <v>84</v>
      </c>
      <c r="K148" s="1" t="s">
        <v>45</v>
      </c>
      <c r="L148" s="1">
        <v>4.3</v>
      </c>
      <c r="M148" s="1">
        <v>971</v>
      </c>
      <c r="P148" t="str">
        <f t="shared" si="11"/>
        <v>50%</v>
      </c>
      <c r="Q148" s="12">
        <f t="shared" si="8"/>
        <v>0.5</v>
      </c>
      <c r="R148" s="9">
        <f t="shared" si="9"/>
        <v>599</v>
      </c>
      <c r="S148" s="9">
        <f>IF(R148="",AVERAGEIF(Table1[Category],Table1[[#This Row],[Category]],Table2[orignal data]),Table2[[#This Row],[orignal data]])</f>
        <v>599</v>
      </c>
      <c r="T148" t="str">
        <f t="shared" si="10"/>
        <v>UNIQUE</v>
      </c>
      <c r="U148" t="str">
        <f>IF(ISBLANK(Table1[[#This Row],[SizeOption]]),"NOT AVAILABLE",Table1[[#This Row],[SizeOption]])</f>
        <v>XS, S, M, L, XL</v>
      </c>
      <c r="Y148" t="str">
        <f>IF(Table2[[#This Row],[Column1]]&gt;50%,"HIGH DISCOUNT","LOW DISCOUNT")</f>
        <v>LOW DISCOUNT</v>
      </c>
    </row>
    <row r="149" spans="1:25" x14ac:dyDescent="0.25">
      <c r="A149" s="2" t="s">
        <v>445</v>
      </c>
      <c r="B149" s="2">
        <v>17383018</v>
      </c>
      <c r="C149" s="2" t="s">
        <v>14</v>
      </c>
      <c r="D149" s="2" t="s">
        <v>41</v>
      </c>
      <c r="E149" s="2" t="s">
        <v>42</v>
      </c>
      <c r="F149" s="2" t="s">
        <v>36</v>
      </c>
      <c r="G149" s="2" t="s">
        <v>446</v>
      </c>
      <c r="I149" s="2">
        <v>1498</v>
      </c>
      <c r="J149" s="2" t="s">
        <v>84</v>
      </c>
      <c r="K149" s="2" t="s">
        <v>447</v>
      </c>
      <c r="L149" s="2">
        <v>4.3</v>
      </c>
      <c r="M149" s="2">
        <v>971</v>
      </c>
      <c r="P149" t="str">
        <f t="shared" si="11"/>
        <v>50%</v>
      </c>
      <c r="Q149" s="12">
        <f t="shared" si="8"/>
        <v>0.5</v>
      </c>
      <c r="R149" s="9">
        <f t="shared" si="9"/>
        <v>749</v>
      </c>
      <c r="S149" s="9">
        <f>IF(R149="",AVERAGEIF(Table1[Category],Table1[[#This Row],[Category]],Table2[orignal data]),Table2[[#This Row],[orignal data]])</f>
        <v>749</v>
      </c>
      <c r="T149" t="str">
        <f t="shared" si="10"/>
        <v>UNIQUE</v>
      </c>
      <c r="U149" t="str">
        <f>IF(ISBLANK(Table1[[#This Row],[SizeOption]]),"NOT AVAILABLE",Table1[[#This Row],[SizeOption]])</f>
        <v>M, S, XS, XL, L</v>
      </c>
      <c r="Y149" t="str">
        <f>IF(Table2[[#This Row],[Column1]]&gt;50%,"HIGH DISCOUNT","LOW DISCOUNT")</f>
        <v>LOW DISCOUNT</v>
      </c>
    </row>
    <row r="150" spans="1:25" x14ac:dyDescent="0.25">
      <c r="A150" s="1" t="s">
        <v>448</v>
      </c>
      <c r="B150" s="1">
        <v>10856446</v>
      </c>
      <c r="C150" s="1" t="s">
        <v>14</v>
      </c>
      <c r="D150" s="1" t="s">
        <v>41</v>
      </c>
      <c r="E150" s="1" t="s">
        <v>48</v>
      </c>
      <c r="F150" s="1" t="s">
        <v>36</v>
      </c>
      <c r="G150" s="1" t="s">
        <v>449</v>
      </c>
      <c r="I150" s="1">
        <v>1499</v>
      </c>
      <c r="J150" s="1" t="s">
        <v>55</v>
      </c>
      <c r="K150" s="1" t="s">
        <v>45</v>
      </c>
      <c r="L150" s="1">
        <v>4</v>
      </c>
      <c r="M150" s="1">
        <v>971</v>
      </c>
      <c r="P150" t="str">
        <f t="shared" si="11"/>
        <v>60%</v>
      </c>
      <c r="Q150" s="12">
        <f t="shared" si="8"/>
        <v>0.6</v>
      </c>
      <c r="R150" s="9">
        <f t="shared" si="9"/>
        <v>599.6</v>
      </c>
      <c r="S150" s="9">
        <f>IF(R150="",AVERAGEIF(Table1[Category],Table1[[#This Row],[Category]],Table2[orignal data]),Table2[[#This Row],[orignal data]])</f>
        <v>599.6</v>
      </c>
      <c r="T150" t="str">
        <f t="shared" si="10"/>
        <v>UNIQUE</v>
      </c>
      <c r="U150" t="str">
        <f>IF(ISBLANK(Table1[[#This Row],[SizeOption]]),"NOT AVAILABLE",Table1[[#This Row],[SizeOption]])</f>
        <v>XS, S, M, L, XL</v>
      </c>
      <c r="Y150" t="str">
        <f>IF(Table2[[#This Row],[Column1]]&gt;50%,"HIGH DISCOUNT","LOW DISCOUNT")</f>
        <v>HIGH DISCOUNT</v>
      </c>
    </row>
    <row r="151" spans="1:25" x14ac:dyDescent="0.25">
      <c r="A151" s="2" t="s">
        <v>450</v>
      </c>
      <c r="B151" s="2">
        <v>2472860</v>
      </c>
      <c r="C151" s="2" t="s">
        <v>113</v>
      </c>
      <c r="D151" s="2" t="s">
        <v>76</v>
      </c>
      <c r="E151" s="2" t="s">
        <v>93</v>
      </c>
      <c r="F151" s="2" t="s">
        <v>36</v>
      </c>
      <c r="G151" s="2" t="s">
        <v>451</v>
      </c>
      <c r="H151">
        <v>809</v>
      </c>
      <c r="I151" s="2">
        <v>1799</v>
      </c>
      <c r="J151" s="2" t="s">
        <v>25</v>
      </c>
      <c r="K151" s="2" t="s">
        <v>115</v>
      </c>
      <c r="L151" s="2">
        <v>3.7</v>
      </c>
      <c r="M151" s="2">
        <v>970</v>
      </c>
      <c r="P151" t="str">
        <f t="shared" si="11"/>
        <v>55%</v>
      </c>
      <c r="Q151" s="12">
        <f t="shared" si="8"/>
        <v>0.55000000000000004</v>
      </c>
      <c r="R151" s="9">
        <f t="shared" si="9"/>
        <v>809.55</v>
      </c>
      <c r="S151" s="9">
        <f>IF(R151="",AVERAGEIF(Table1[Category],Table1[[#This Row],[Category]],Table2[orignal data]),Table2[[#This Row],[orignal data]])</f>
        <v>809.55</v>
      </c>
      <c r="T151" t="str">
        <f t="shared" si="10"/>
        <v>UNIQUE</v>
      </c>
      <c r="U151" t="str">
        <f>IF(ISBLANK(Table1[[#This Row],[SizeOption]]),"NOT AVAILABLE",Table1[[#This Row],[SizeOption]])</f>
        <v>XS, S, M, L, XL, XXL</v>
      </c>
      <c r="Y151" t="str">
        <f>IF(Table2[[#This Row],[Column1]]&gt;50%,"HIGH DISCOUNT","LOW DISCOUNT")</f>
        <v>HIGH DISCOUNT</v>
      </c>
    </row>
    <row r="152" spans="1:25" x14ac:dyDescent="0.25">
      <c r="A152" s="1" t="s">
        <v>452</v>
      </c>
      <c r="B152" s="1">
        <v>13249520</v>
      </c>
      <c r="C152" s="1" t="s">
        <v>97</v>
      </c>
      <c r="D152" s="1" t="s">
        <v>98</v>
      </c>
      <c r="E152" s="1" t="s">
        <v>148</v>
      </c>
      <c r="F152" s="1" t="s">
        <v>36</v>
      </c>
      <c r="G152" s="1" t="s">
        <v>453</v>
      </c>
      <c r="H152">
        <v>519</v>
      </c>
      <c r="I152" s="1">
        <v>1299</v>
      </c>
      <c r="J152" s="1" t="s">
        <v>141</v>
      </c>
      <c r="K152" s="1" t="s">
        <v>100</v>
      </c>
      <c r="L152" s="1">
        <v>4</v>
      </c>
      <c r="M152" s="1">
        <v>970</v>
      </c>
      <c r="P152" t="str">
        <f t="shared" si="11"/>
        <v>60%</v>
      </c>
      <c r="Q152" s="12">
        <f t="shared" si="8"/>
        <v>0.6</v>
      </c>
      <c r="R152" s="9">
        <f t="shared" si="9"/>
        <v>519.6</v>
      </c>
      <c r="S152" s="9">
        <f>IF(R152="",AVERAGEIF(Table1[Category],Table1[[#This Row],[Category]],Table2[orignal data]),Table2[[#This Row],[orignal data]])</f>
        <v>519.6</v>
      </c>
      <c r="T152" t="str">
        <f t="shared" si="10"/>
        <v>UNIQUE</v>
      </c>
      <c r="U152" t="str">
        <f>IF(ISBLANK(Table1[[#This Row],[SizeOption]]),"NOT AVAILABLE",Table1[[#This Row],[SizeOption]])</f>
        <v>XS, S, M, L, XL, XXL, 3XL</v>
      </c>
      <c r="Y152" t="str">
        <f>IF(Table2[[#This Row],[Column1]]&gt;50%,"HIGH DISCOUNT","LOW DISCOUNT")</f>
        <v>HIGH DISCOUNT</v>
      </c>
    </row>
    <row r="153" spans="1:25" x14ac:dyDescent="0.25">
      <c r="A153" s="2" t="s">
        <v>454</v>
      </c>
      <c r="B153" s="2">
        <v>2167359</v>
      </c>
      <c r="C153" s="2" t="s">
        <v>14</v>
      </c>
      <c r="D153" s="2" t="s">
        <v>15</v>
      </c>
      <c r="E153" s="2" t="s">
        <v>53</v>
      </c>
      <c r="F153" s="2" t="s">
        <v>17</v>
      </c>
      <c r="G153" s="2" t="s">
        <v>455</v>
      </c>
      <c r="H153">
        <v>899</v>
      </c>
      <c r="I153" s="2">
        <v>1999</v>
      </c>
      <c r="J153" s="2" t="s">
        <v>25</v>
      </c>
      <c r="K153" s="2" t="s">
        <v>20</v>
      </c>
      <c r="L153" s="2">
        <v>4.2</v>
      </c>
      <c r="M153" s="2">
        <v>969</v>
      </c>
      <c r="P153" t="str">
        <f t="shared" si="11"/>
        <v>55%</v>
      </c>
      <c r="Q153" s="12">
        <f t="shared" si="8"/>
        <v>0.55000000000000004</v>
      </c>
      <c r="R153" s="9">
        <f t="shared" si="9"/>
        <v>899.55</v>
      </c>
      <c r="S153" s="9">
        <f>IF(R153="",AVERAGEIF(Table1[Category],Table1[[#This Row],[Category]],Table2[orignal data]),Table2[[#This Row],[orignal data]])</f>
        <v>899.55</v>
      </c>
      <c r="T153" t="str">
        <f t="shared" si="10"/>
        <v>UNIQUE</v>
      </c>
      <c r="U153" t="str">
        <f>IF(ISBLANK(Table1[[#This Row],[SizeOption]]),"NOT AVAILABLE",Table1[[#This Row],[SizeOption]])</f>
        <v>28, 30, 32, 34, 36</v>
      </c>
      <c r="Y153" t="str">
        <f>IF(Table2[[#This Row],[Column1]]&gt;50%,"HIGH DISCOUNT","LOW DISCOUNT")</f>
        <v>HIGH DISCOUNT</v>
      </c>
    </row>
    <row r="154" spans="1:25" x14ac:dyDescent="0.25">
      <c r="A154" s="1" t="s">
        <v>456</v>
      </c>
      <c r="B154" s="1">
        <v>2338881</v>
      </c>
      <c r="C154" s="1" t="s">
        <v>169</v>
      </c>
      <c r="D154" s="1" t="s">
        <v>28</v>
      </c>
      <c r="E154" s="1" t="s">
        <v>42</v>
      </c>
      <c r="F154" s="1" t="s">
        <v>17</v>
      </c>
      <c r="G154" s="1" t="s">
        <v>457</v>
      </c>
      <c r="H154">
        <v>399</v>
      </c>
      <c r="I154" s="1">
        <v>799</v>
      </c>
      <c r="J154" s="1" t="s">
        <v>84</v>
      </c>
      <c r="K154" s="1" t="s">
        <v>39</v>
      </c>
      <c r="L154" s="1">
        <v>4.3</v>
      </c>
      <c r="M154" s="1">
        <v>969</v>
      </c>
      <c r="P154" t="str">
        <f t="shared" si="11"/>
        <v>50%</v>
      </c>
      <c r="Q154" s="12">
        <f t="shared" si="8"/>
        <v>0.5</v>
      </c>
      <c r="R154" s="9">
        <f t="shared" si="9"/>
        <v>399.5</v>
      </c>
      <c r="S154" s="9">
        <f>IF(R154="",AVERAGEIF(Table1[Category],Table1[[#This Row],[Category]],Table2[orignal data]),Table2[[#This Row],[orignal data]])</f>
        <v>399.5</v>
      </c>
      <c r="T154" t="str">
        <f t="shared" si="10"/>
        <v>UNIQUE</v>
      </c>
      <c r="U154" t="str">
        <f>IF(ISBLANK(Table1[[#This Row],[SizeOption]]),"NOT AVAILABLE",Table1[[#This Row],[SizeOption]])</f>
        <v>S, M, L, XL, XXL</v>
      </c>
      <c r="Y154" t="str">
        <f>IF(Table2[[#This Row],[Column1]]&gt;50%,"HIGH DISCOUNT","LOW DISCOUNT")</f>
        <v>LOW DISCOUNT</v>
      </c>
    </row>
    <row r="155" spans="1:25" x14ac:dyDescent="0.25">
      <c r="A155" s="2" t="s">
        <v>458</v>
      </c>
      <c r="B155" s="2">
        <v>10188591</v>
      </c>
      <c r="C155" s="2" t="s">
        <v>169</v>
      </c>
      <c r="D155" s="2" t="s">
        <v>28</v>
      </c>
      <c r="E155" s="2" t="s">
        <v>42</v>
      </c>
      <c r="F155" s="2" t="s">
        <v>17</v>
      </c>
      <c r="G155" s="2" t="s">
        <v>459</v>
      </c>
      <c r="H155">
        <v>449</v>
      </c>
      <c r="I155" s="2">
        <v>899</v>
      </c>
      <c r="J155" s="2" t="s">
        <v>84</v>
      </c>
      <c r="K155" s="2" t="s">
        <v>39</v>
      </c>
      <c r="L155" s="2">
        <v>4.3</v>
      </c>
      <c r="M155" s="2">
        <v>969</v>
      </c>
      <c r="P155" t="str">
        <f t="shared" si="11"/>
        <v>50%</v>
      </c>
      <c r="Q155" s="12">
        <f t="shared" si="8"/>
        <v>0.5</v>
      </c>
      <c r="R155" s="9">
        <f t="shared" si="9"/>
        <v>449.5</v>
      </c>
      <c r="S155" s="9">
        <f>IF(R155="",AVERAGEIF(Table1[Category],Table1[[#This Row],[Category]],Table2[orignal data]),Table2[[#This Row],[orignal data]])</f>
        <v>449.5</v>
      </c>
      <c r="T155" t="str">
        <f t="shared" si="10"/>
        <v>UNIQUE</v>
      </c>
      <c r="U155" t="str">
        <f>IF(ISBLANK(Table1[[#This Row],[SizeOption]]),"NOT AVAILABLE",Table1[[#This Row],[SizeOption]])</f>
        <v>S, M, L, XL, XXL</v>
      </c>
      <c r="Y155" t="str">
        <f>IF(Table2[[#This Row],[Column1]]&gt;50%,"HIGH DISCOUNT","LOW DISCOUNT")</f>
        <v>LOW DISCOUNT</v>
      </c>
    </row>
    <row r="156" spans="1:25" x14ac:dyDescent="0.25">
      <c r="A156" s="1" t="s">
        <v>460</v>
      </c>
      <c r="B156" s="1">
        <v>1829161</v>
      </c>
      <c r="C156" s="1" t="s">
        <v>461</v>
      </c>
      <c r="D156" s="1" t="s">
        <v>41</v>
      </c>
      <c r="E156" s="1" t="s">
        <v>148</v>
      </c>
      <c r="F156" s="1" t="s">
        <v>36</v>
      </c>
      <c r="G156" s="1" t="s">
        <v>462</v>
      </c>
      <c r="I156" s="1">
        <v>1299</v>
      </c>
      <c r="J156" s="1" t="s">
        <v>84</v>
      </c>
      <c r="K156" s="1" t="s">
        <v>26</v>
      </c>
      <c r="L156" s="1">
        <v>3.7</v>
      </c>
      <c r="M156" s="1">
        <v>969</v>
      </c>
      <c r="P156" t="str">
        <f t="shared" si="11"/>
        <v>50%</v>
      </c>
      <c r="Q156" s="12">
        <f t="shared" si="8"/>
        <v>0.5</v>
      </c>
      <c r="R156" s="9">
        <f t="shared" si="9"/>
        <v>649.5</v>
      </c>
      <c r="S156" s="9">
        <f>IF(R156="",AVERAGEIF(Table1[Category],Table1[[#This Row],[Category]],Table2[orignal data]),Table2[[#This Row],[orignal data]])</f>
        <v>649.5</v>
      </c>
      <c r="T156" t="str">
        <f t="shared" si="10"/>
        <v>UNIQUE</v>
      </c>
      <c r="U156" t="str">
        <f>IF(ISBLANK(Table1[[#This Row],[SizeOption]]),"NOT AVAILABLE",Table1[[#This Row],[SizeOption]])</f>
        <v>S, M, L, XL</v>
      </c>
      <c r="Y156" t="str">
        <f>IF(Table2[[#This Row],[Column1]]&gt;50%,"HIGH DISCOUNT","LOW DISCOUNT")</f>
        <v>LOW DISCOUNT</v>
      </c>
    </row>
    <row r="157" spans="1:25" x14ac:dyDescent="0.25">
      <c r="A157" s="2" t="s">
        <v>463</v>
      </c>
      <c r="B157" s="2">
        <v>11363214</v>
      </c>
      <c r="C157" s="2" t="s">
        <v>169</v>
      </c>
      <c r="D157" s="2" t="s">
        <v>28</v>
      </c>
      <c r="E157" s="2" t="s">
        <v>42</v>
      </c>
      <c r="F157" s="2" t="s">
        <v>17</v>
      </c>
      <c r="G157" s="2" t="s">
        <v>464</v>
      </c>
      <c r="H157">
        <v>384</v>
      </c>
      <c r="I157" s="2">
        <v>699</v>
      </c>
      <c r="J157" s="2" t="s">
        <v>19</v>
      </c>
      <c r="K157" s="2" t="s">
        <v>39</v>
      </c>
      <c r="L157" s="2">
        <v>4.5</v>
      </c>
      <c r="M157" s="2">
        <v>968</v>
      </c>
      <c r="P157" t="str">
        <f t="shared" si="11"/>
        <v>45%</v>
      </c>
      <c r="Q157" s="12">
        <f t="shared" si="8"/>
        <v>0.45</v>
      </c>
      <c r="R157" s="9">
        <f t="shared" si="9"/>
        <v>384.45</v>
      </c>
      <c r="S157" s="9">
        <f>IF(R157="",AVERAGEIF(Table1[Category],Table1[[#This Row],[Category]],Table2[orignal data]),Table2[[#This Row],[orignal data]])</f>
        <v>384.45</v>
      </c>
      <c r="T157" t="str">
        <f t="shared" si="10"/>
        <v>UNIQUE</v>
      </c>
      <c r="U157" t="str">
        <f>IF(ISBLANK(Table1[[#This Row],[SizeOption]]),"NOT AVAILABLE",Table1[[#This Row],[SizeOption]])</f>
        <v>S, M, L, XL, XXL</v>
      </c>
      <c r="Y157" t="str">
        <f>IF(Table2[[#This Row],[Column1]]&gt;50%,"HIGH DISCOUNT","LOW DISCOUNT")</f>
        <v>LOW DISCOUNT</v>
      </c>
    </row>
    <row r="158" spans="1:25" x14ac:dyDescent="0.25">
      <c r="A158" s="1" t="s">
        <v>465</v>
      </c>
      <c r="B158" s="1">
        <v>7340681</v>
      </c>
      <c r="C158" s="1" t="s">
        <v>33</v>
      </c>
      <c r="D158" s="1" t="s">
        <v>34</v>
      </c>
      <c r="E158" s="1" t="s">
        <v>35</v>
      </c>
      <c r="F158" s="1" t="s">
        <v>36</v>
      </c>
      <c r="G158" s="1" t="s">
        <v>466</v>
      </c>
      <c r="H158">
        <v>893</v>
      </c>
      <c r="I158" s="1">
        <v>1295</v>
      </c>
      <c r="J158" s="1" t="s">
        <v>467</v>
      </c>
      <c r="K158" s="1" t="s">
        <v>39</v>
      </c>
      <c r="L158" s="1">
        <v>4.2</v>
      </c>
      <c r="M158" s="1">
        <v>968</v>
      </c>
      <c r="P158" t="str">
        <f t="shared" si="11"/>
        <v>31%</v>
      </c>
      <c r="Q158" s="12">
        <f t="shared" si="8"/>
        <v>0.31</v>
      </c>
      <c r="R158" s="9">
        <f t="shared" si="9"/>
        <v>893.55</v>
      </c>
      <c r="S158" s="9">
        <f>IF(R158="",AVERAGEIF(Table1[Category],Table1[[#This Row],[Category]],Table2[orignal data]),Table2[[#This Row],[orignal data]])</f>
        <v>893.55</v>
      </c>
      <c r="T158" t="str">
        <f t="shared" si="10"/>
        <v>UNIQUE</v>
      </c>
      <c r="U158" t="str">
        <f>IF(ISBLANK(Table1[[#This Row],[SizeOption]]),"NOT AVAILABLE",Table1[[#This Row],[SizeOption]])</f>
        <v>S, M, L, XL, XXL</v>
      </c>
      <c r="Y158" t="str">
        <f>IF(Table2[[#This Row],[Column1]]&gt;50%,"HIGH DISCOUNT","LOW DISCOUNT")</f>
        <v>LOW DISCOUNT</v>
      </c>
    </row>
    <row r="159" spans="1:25" x14ac:dyDescent="0.25">
      <c r="A159" s="2" t="s">
        <v>468</v>
      </c>
      <c r="B159" s="2">
        <v>11938894</v>
      </c>
      <c r="C159" s="2" t="s">
        <v>160</v>
      </c>
      <c r="D159" s="2" t="s">
        <v>34</v>
      </c>
      <c r="E159" s="2" t="s">
        <v>161</v>
      </c>
      <c r="F159" s="2" t="s">
        <v>36</v>
      </c>
      <c r="G159" s="2" t="s">
        <v>469</v>
      </c>
      <c r="H159">
        <v>489</v>
      </c>
      <c r="I159" s="2">
        <v>999</v>
      </c>
      <c r="J159" s="2" t="s">
        <v>163</v>
      </c>
      <c r="K159" s="2" t="s">
        <v>164</v>
      </c>
      <c r="L159" s="2">
        <v>4.0999999999999996</v>
      </c>
      <c r="M159" s="2">
        <v>968</v>
      </c>
      <c r="P159" t="str">
        <f t="shared" si="11"/>
        <v>51%</v>
      </c>
      <c r="Q159" s="12">
        <f t="shared" si="8"/>
        <v>0.51</v>
      </c>
      <c r="R159" s="9">
        <f t="shared" si="9"/>
        <v>489.51</v>
      </c>
      <c r="S159" s="9">
        <f>IF(R159="",AVERAGEIF(Table1[Category],Table1[[#This Row],[Category]],Table2[orignal data]),Table2[[#This Row],[orignal data]])</f>
        <v>489.51</v>
      </c>
      <c r="T159" t="str">
        <f t="shared" si="10"/>
        <v>UNIQUE</v>
      </c>
      <c r="U159" t="str">
        <f>IF(ISBLANK(Table1[[#This Row],[SizeOption]]),"NOT AVAILABLE",Table1[[#This Row],[SizeOption]])</f>
        <v>Onesize</v>
      </c>
      <c r="Y159" t="str">
        <f>IF(Table2[[#This Row],[Column1]]&gt;50%,"HIGH DISCOUNT","LOW DISCOUNT")</f>
        <v>HIGH DISCOUNT</v>
      </c>
    </row>
    <row r="160" spans="1:25" x14ac:dyDescent="0.25">
      <c r="A160" s="1" t="s">
        <v>470</v>
      </c>
      <c r="B160" s="1">
        <v>2332166</v>
      </c>
      <c r="C160" s="1" t="s">
        <v>67</v>
      </c>
      <c r="D160" s="1" t="s">
        <v>68</v>
      </c>
      <c r="E160" s="1" t="s">
        <v>23</v>
      </c>
      <c r="F160" s="1" t="s">
        <v>36</v>
      </c>
      <c r="G160" s="1" t="s">
        <v>471</v>
      </c>
      <c r="H160">
        <v>899</v>
      </c>
      <c r="I160" s="1">
        <v>1499</v>
      </c>
      <c r="J160" s="1" t="s">
        <v>50</v>
      </c>
      <c r="K160" s="1" t="s">
        <v>115</v>
      </c>
      <c r="L160" s="1">
        <v>4.3</v>
      </c>
      <c r="M160" s="1">
        <v>968</v>
      </c>
      <c r="P160" t="str">
        <f t="shared" si="11"/>
        <v>40%</v>
      </c>
      <c r="Q160" s="12">
        <f t="shared" si="8"/>
        <v>0.4</v>
      </c>
      <c r="R160" s="9">
        <f t="shared" si="9"/>
        <v>899.4</v>
      </c>
      <c r="S160" s="9">
        <f>IF(R160="",AVERAGEIF(Table1[Category],Table1[[#This Row],[Category]],Table2[orignal data]),Table2[[#This Row],[orignal data]])</f>
        <v>899.4</v>
      </c>
      <c r="T160" t="str">
        <f t="shared" si="10"/>
        <v>UNIQUE</v>
      </c>
      <c r="U160" t="str">
        <f>IF(ISBLANK(Table1[[#This Row],[SizeOption]]),"NOT AVAILABLE",Table1[[#This Row],[SizeOption]])</f>
        <v>XS, S, M, L, XL, XXL</v>
      </c>
      <c r="Y160" t="str">
        <f>IF(Table2[[#This Row],[Column1]]&gt;50%,"HIGH DISCOUNT","LOW DISCOUNT")</f>
        <v>LOW DISCOUNT</v>
      </c>
    </row>
    <row r="161" spans="1:25" x14ac:dyDescent="0.25">
      <c r="A161" s="2" t="s">
        <v>472</v>
      </c>
      <c r="B161" s="2">
        <v>11199262</v>
      </c>
      <c r="C161" s="2" t="s">
        <v>113</v>
      </c>
      <c r="D161" s="2" t="s">
        <v>41</v>
      </c>
      <c r="E161" s="2" t="s">
        <v>148</v>
      </c>
      <c r="F161" s="2" t="s">
        <v>36</v>
      </c>
      <c r="G161" s="2" t="s">
        <v>473</v>
      </c>
      <c r="I161" s="2">
        <v>1699</v>
      </c>
      <c r="J161" s="2" t="s">
        <v>25</v>
      </c>
      <c r="K161" s="2" t="s">
        <v>115</v>
      </c>
      <c r="L161" s="2">
        <v>4.3</v>
      </c>
      <c r="M161" s="2">
        <v>968</v>
      </c>
      <c r="P161" t="str">
        <f t="shared" si="11"/>
        <v>55%</v>
      </c>
      <c r="Q161" s="12">
        <f t="shared" si="8"/>
        <v>0.55000000000000004</v>
      </c>
      <c r="R161" s="9">
        <f t="shared" si="9"/>
        <v>764.55</v>
      </c>
      <c r="S161" s="9">
        <f>IF(R161="",AVERAGEIF(Table1[Category],Table1[[#This Row],[Category]],Table2[orignal data]),Table2[[#This Row],[orignal data]])</f>
        <v>764.55</v>
      </c>
      <c r="T161" t="str">
        <f t="shared" si="10"/>
        <v>UNIQUE</v>
      </c>
      <c r="U161" t="str">
        <f>IF(ISBLANK(Table1[[#This Row],[SizeOption]]),"NOT AVAILABLE",Table1[[#This Row],[SizeOption]])</f>
        <v>XS, S, M, L, XL, XXL</v>
      </c>
      <c r="Y161" t="str">
        <f>IF(Table2[[#This Row],[Column1]]&gt;50%,"HIGH DISCOUNT","LOW DISCOUNT")</f>
        <v>HIGH DISCOUNT</v>
      </c>
    </row>
    <row r="162" spans="1:25" x14ac:dyDescent="0.25">
      <c r="A162" s="1" t="s">
        <v>474</v>
      </c>
      <c r="B162" s="1">
        <v>11544142</v>
      </c>
      <c r="C162" s="1" t="s">
        <v>92</v>
      </c>
      <c r="D162" s="1" t="s">
        <v>41</v>
      </c>
      <c r="E162" s="1" t="s">
        <v>148</v>
      </c>
      <c r="F162" s="1" t="s">
        <v>36</v>
      </c>
      <c r="G162" s="1" t="s">
        <v>475</v>
      </c>
      <c r="I162" s="1">
        <v>2299</v>
      </c>
      <c r="J162" s="1" t="s">
        <v>476</v>
      </c>
      <c r="K162" s="1" t="s">
        <v>39</v>
      </c>
      <c r="L162" s="1">
        <v>4.3</v>
      </c>
      <c r="M162" s="1">
        <v>968</v>
      </c>
      <c r="P162" t="str">
        <f t="shared" si="11"/>
        <v>63%</v>
      </c>
      <c r="Q162" s="12">
        <f t="shared" si="8"/>
        <v>0.63</v>
      </c>
      <c r="R162" s="9">
        <f t="shared" si="9"/>
        <v>850.62999999999988</v>
      </c>
      <c r="S162" s="9">
        <f>IF(R162="",AVERAGEIF(Table1[Category],Table1[[#This Row],[Category]],Table2[orignal data]),Table2[[#This Row],[orignal data]])</f>
        <v>850.62999999999988</v>
      </c>
      <c r="T162" t="str">
        <f t="shared" si="10"/>
        <v>UNIQUE</v>
      </c>
      <c r="U162" t="str">
        <f>IF(ISBLANK(Table1[[#This Row],[SizeOption]]),"NOT AVAILABLE",Table1[[#This Row],[SizeOption]])</f>
        <v>S, M, L, XL, XXL</v>
      </c>
      <c r="Y162" t="str">
        <f>IF(Table2[[#This Row],[Column1]]&gt;50%,"HIGH DISCOUNT","LOW DISCOUNT")</f>
        <v>HIGH DISCOUNT</v>
      </c>
    </row>
    <row r="163" spans="1:25" x14ac:dyDescent="0.25">
      <c r="A163" s="2" t="s">
        <v>477</v>
      </c>
      <c r="B163" s="2">
        <v>8788237</v>
      </c>
      <c r="C163" s="2" t="s">
        <v>14</v>
      </c>
      <c r="D163" s="2" t="s">
        <v>15</v>
      </c>
      <c r="E163" s="2" t="s">
        <v>16</v>
      </c>
      <c r="F163" s="2" t="s">
        <v>17</v>
      </c>
      <c r="G163" s="2" t="s">
        <v>478</v>
      </c>
      <c r="H163">
        <v>1349</v>
      </c>
      <c r="I163" s="2">
        <v>2699</v>
      </c>
      <c r="J163" s="2" t="s">
        <v>84</v>
      </c>
      <c r="K163" s="2" t="s">
        <v>195</v>
      </c>
      <c r="L163" s="2">
        <v>3.6</v>
      </c>
      <c r="M163" s="2">
        <v>967</v>
      </c>
      <c r="P163" t="str">
        <f t="shared" si="11"/>
        <v>50%</v>
      </c>
      <c r="Q163" s="12">
        <f t="shared" si="8"/>
        <v>0.5</v>
      </c>
      <c r="R163" s="9">
        <f t="shared" si="9"/>
        <v>1349.5</v>
      </c>
      <c r="S163" s="9">
        <f>IF(R163="",AVERAGEIF(Table1[Category],Table1[[#This Row],[Category]],Table2[orignal data]),Table2[[#This Row],[orignal data]])</f>
        <v>1349.5</v>
      </c>
      <c r="T163" t="str">
        <f t="shared" si="10"/>
        <v>UNIQUE</v>
      </c>
      <c r="U163" t="str">
        <f>IF(ISBLANK(Table1[[#This Row],[SizeOption]]),"NOT AVAILABLE",Table1[[#This Row],[SizeOption]])</f>
        <v>28, 30, 32, 34, 36, 38, 40</v>
      </c>
      <c r="Y163" t="str">
        <f>IF(Table2[[#This Row],[Column1]]&gt;50%,"HIGH DISCOUNT","LOW DISCOUNT")</f>
        <v>LOW DISCOUNT</v>
      </c>
    </row>
    <row r="164" spans="1:25" x14ac:dyDescent="0.25">
      <c r="A164" s="1" t="s">
        <v>479</v>
      </c>
      <c r="B164" s="1">
        <v>7224693</v>
      </c>
      <c r="C164" s="1" t="s">
        <v>480</v>
      </c>
      <c r="D164" s="1" t="s">
        <v>197</v>
      </c>
      <c r="E164" s="1" t="s">
        <v>198</v>
      </c>
      <c r="F164" s="1" t="s">
        <v>17</v>
      </c>
      <c r="G164" s="1" t="s">
        <v>481</v>
      </c>
      <c r="I164" s="1">
        <v>399</v>
      </c>
      <c r="J164" s="1"/>
      <c r="K164" s="1" t="s">
        <v>164</v>
      </c>
      <c r="L164" s="1">
        <v>4.5</v>
      </c>
      <c r="M164" s="1">
        <v>967</v>
      </c>
      <c r="P164" t="str">
        <f t="shared" si="11"/>
        <v/>
      </c>
      <c r="Q164" s="12" t="str">
        <f t="shared" si="8"/>
        <v/>
      </c>
      <c r="R164" s="9" t="str">
        <f t="shared" si="9"/>
        <v/>
      </c>
      <c r="S164" s="9">
        <f>IF(R164="",AVERAGEIF(Table1[Category],Table1[[#This Row],[Category]],Table2[orignal data]),Table2[[#This Row],[orignal data]])</f>
        <v>552.70900000000006</v>
      </c>
      <c r="T164" t="str">
        <f t="shared" si="10"/>
        <v>UNIQUE</v>
      </c>
      <c r="U164" t="str">
        <f>IF(ISBLANK(Table1[[#This Row],[SizeOption]]),"NOT AVAILABLE",Table1[[#This Row],[SizeOption]])</f>
        <v>Onesize</v>
      </c>
      <c r="Y164" t="str">
        <f>IF(Table2[[#This Row],[Column1]]&gt;50%,"HIGH DISCOUNT","LOW DISCOUNT")</f>
        <v>HIGH DISCOUNT</v>
      </c>
    </row>
    <row r="165" spans="1:25" x14ac:dyDescent="0.25">
      <c r="A165" s="2" t="s">
        <v>482</v>
      </c>
      <c r="B165" s="2">
        <v>1729348</v>
      </c>
      <c r="C165" s="2" t="s">
        <v>169</v>
      </c>
      <c r="D165" s="2" t="s">
        <v>28</v>
      </c>
      <c r="E165" s="2" t="s">
        <v>29</v>
      </c>
      <c r="F165" s="2" t="s">
        <v>17</v>
      </c>
      <c r="G165" s="2" t="s">
        <v>483</v>
      </c>
      <c r="H165">
        <v>1099</v>
      </c>
      <c r="I165" s="2">
        <v>2199</v>
      </c>
      <c r="J165" s="2" t="s">
        <v>84</v>
      </c>
      <c r="K165" s="2" t="s">
        <v>484</v>
      </c>
      <c r="L165" s="2">
        <v>4.0999999999999996</v>
      </c>
      <c r="M165" s="2">
        <v>967</v>
      </c>
      <c r="P165" t="str">
        <f t="shared" si="11"/>
        <v>50%</v>
      </c>
      <c r="Q165" s="12">
        <f t="shared" si="8"/>
        <v>0.5</v>
      </c>
      <c r="R165" s="9">
        <f t="shared" si="9"/>
        <v>1099.5</v>
      </c>
      <c r="S165" s="9">
        <f>IF(R165="",AVERAGEIF(Table1[Category],Table1[[#This Row],[Category]],Table2[orignal data]),Table2[[#This Row],[orignal data]])</f>
        <v>1099.5</v>
      </c>
      <c r="T165" t="str">
        <f t="shared" si="10"/>
        <v>UNIQUE</v>
      </c>
      <c r="U165" t="str">
        <f>IF(ISBLANK(Table1[[#This Row],[SizeOption]]),"NOT AVAILABLE",Table1[[#This Row],[SizeOption]])</f>
        <v>39, 40, 42, 44, 46</v>
      </c>
      <c r="Y165" t="str">
        <f>IF(Table2[[#This Row],[Column1]]&gt;50%,"HIGH DISCOUNT","LOW DISCOUNT")</f>
        <v>LOW DISCOUNT</v>
      </c>
    </row>
    <row r="166" spans="1:25" x14ac:dyDescent="0.25">
      <c r="A166" s="1" t="s">
        <v>485</v>
      </c>
      <c r="B166" s="1">
        <v>11531248</v>
      </c>
      <c r="C166" s="1" t="s">
        <v>75</v>
      </c>
      <c r="D166" s="1" t="s">
        <v>76</v>
      </c>
      <c r="E166" s="1" t="s">
        <v>77</v>
      </c>
      <c r="F166" s="1" t="s">
        <v>36</v>
      </c>
      <c r="G166" s="1" t="s">
        <v>486</v>
      </c>
      <c r="H166">
        <v>883</v>
      </c>
      <c r="I166" s="1">
        <v>2599</v>
      </c>
      <c r="J166" s="1" t="s">
        <v>403</v>
      </c>
      <c r="K166" s="1" t="s">
        <v>39</v>
      </c>
      <c r="L166" s="1">
        <v>4.3</v>
      </c>
      <c r="M166" s="1">
        <v>967</v>
      </c>
      <c r="P166" t="str">
        <f t="shared" si="11"/>
        <v>66%</v>
      </c>
      <c r="Q166" s="12">
        <f t="shared" si="8"/>
        <v>0.66</v>
      </c>
      <c r="R166" s="9">
        <f t="shared" si="9"/>
        <v>883.65999999999985</v>
      </c>
      <c r="S166" s="9">
        <f>IF(R166="",AVERAGEIF(Table1[Category],Table1[[#This Row],[Category]],Table2[orignal data]),Table2[[#This Row],[orignal data]])</f>
        <v>883.65999999999985</v>
      </c>
      <c r="T166" t="str">
        <f t="shared" si="10"/>
        <v>UNIQUE</v>
      </c>
      <c r="U166" t="str">
        <f>IF(ISBLANK(Table1[[#This Row],[SizeOption]]),"NOT AVAILABLE",Table1[[#This Row],[SizeOption]])</f>
        <v>S, M, L, XL, XXL</v>
      </c>
      <c r="Y166" t="str">
        <f>IF(Table2[[#This Row],[Column1]]&gt;50%,"HIGH DISCOUNT","LOW DISCOUNT")</f>
        <v>HIGH DISCOUNT</v>
      </c>
    </row>
    <row r="167" spans="1:25" x14ac:dyDescent="0.25">
      <c r="A167" s="2" t="s">
        <v>487</v>
      </c>
      <c r="B167" s="2">
        <v>11293698</v>
      </c>
      <c r="C167" s="2" t="s">
        <v>107</v>
      </c>
      <c r="D167" s="2" t="s">
        <v>41</v>
      </c>
      <c r="E167" s="2" t="s">
        <v>16</v>
      </c>
      <c r="F167" s="2" t="s">
        <v>36</v>
      </c>
      <c r="G167" s="2" t="s">
        <v>488</v>
      </c>
      <c r="I167" s="2">
        <v>1699</v>
      </c>
      <c r="J167" s="2" t="s">
        <v>55</v>
      </c>
      <c r="K167" s="2" t="s">
        <v>134</v>
      </c>
      <c r="L167" s="2">
        <v>3.9</v>
      </c>
      <c r="M167" s="2">
        <v>967</v>
      </c>
      <c r="P167" t="str">
        <f t="shared" si="11"/>
        <v>60%</v>
      </c>
      <c r="Q167" s="12">
        <f t="shared" si="8"/>
        <v>0.6</v>
      </c>
      <c r="R167" s="9">
        <f t="shared" si="9"/>
        <v>679.6</v>
      </c>
      <c r="S167" s="9">
        <f>IF(R167="",AVERAGEIF(Table1[Category],Table1[[#This Row],[Category]],Table2[orignal data]),Table2[[#This Row],[orignal data]])</f>
        <v>679.6</v>
      </c>
      <c r="T167" t="str">
        <f t="shared" si="10"/>
        <v>UNIQUE</v>
      </c>
      <c r="U167" t="str">
        <f>IF(ISBLANK(Table1[[#This Row],[SizeOption]]),"NOT AVAILABLE",Table1[[#This Row],[SizeOption]])</f>
        <v>26, 28, 30, 32, 34, 36</v>
      </c>
      <c r="Y167" t="str">
        <f>IF(Table2[[#This Row],[Column1]]&gt;50%,"HIGH DISCOUNT","LOW DISCOUNT")</f>
        <v>HIGH DISCOUNT</v>
      </c>
    </row>
    <row r="168" spans="1:25" x14ac:dyDescent="0.25">
      <c r="A168" s="1" t="s">
        <v>489</v>
      </c>
      <c r="B168" s="1">
        <v>16324984</v>
      </c>
      <c r="C168" s="1" t="s">
        <v>490</v>
      </c>
      <c r="D168" s="1" t="s">
        <v>28</v>
      </c>
      <c r="E168" s="1" t="s">
        <v>306</v>
      </c>
      <c r="F168" s="1" t="s">
        <v>17</v>
      </c>
      <c r="G168" s="1" t="s">
        <v>491</v>
      </c>
      <c r="I168" s="1">
        <v>799</v>
      </c>
      <c r="J168" s="1"/>
      <c r="K168" s="1" t="s">
        <v>115</v>
      </c>
      <c r="L168" s="1">
        <v>4.3</v>
      </c>
      <c r="M168" s="1">
        <v>966</v>
      </c>
      <c r="P168" t="str">
        <f t="shared" si="11"/>
        <v/>
      </c>
      <c r="Q168" s="12" t="str">
        <f t="shared" si="8"/>
        <v/>
      </c>
      <c r="R168" s="9" t="str">
        <f t="shared" si="9"/>
        <v/>
      </c>
      <c r="S168" s="9">
        <f>IF(R168="",AVERAGEIF(Table1[Category],Table1[[#This Row],[Category]],Table2[orignal data]),Table2[[#This Row],[orignal data]])</f>
        <v>671.7823941958867</v>
      </c>
      <c r="T168" t="str">
        <f t="shared" si="10"/>
        <v>UNIQUE</v>
      </c>
      <c r="U168" t="str">
        <f>IF(ISBLANK(Table1[[#This Row],[SizeOption]]),"NOT AVAILABLE",Table1[[#This Row],[SizeOption]])</f>
        <v>XS, S, M, L, XL, XXL</v>
      </c>
      <c r="Y168" t="str">
        <f>IF(Table2[[#This Row],[Column1]]&gt;50%,"HIGH DISCOUNT","LOW DISCOUNT")</f>
        <v>HIGH DISCOUNT</v>
      </c>
    </row>
    <row r="169" spans="1:25" x14ac:dyDescent="0.25">
      <c r="A169" s="2" t="s">
        <v>492</v>
      </c>
      <c r="B169" s="2">
        <v>10106159</v>
      </c>
      <c r="C169" s="2" t="s">
        <v>67</v>
      </c>
      <c r="D169" s="2" t="s">
        <v>68</v>
      </c>
      <c r="E169" s="2" t="s">
        <v>69</v>
      </c>
      <c r="F169" s="2" t="s">
        <v>36</v>
      </c>
      <c r="G169" s="2" t="s">
        <v>493</v>
      </c>
      <c r="I169" s="2">
        <v>1799</v>
      </c>
      <c r="J169" s="2"/>
      <c r="K169" s="2" t="s">
        <v>115</v>
      </c>
      <c r="L169" s="2">
        <v>4.2</v>
      </c>
      <c r="M169" s="2">
        <v>966</v>
      </c>
      <c r="P169" t="str">
        <f t="shared" si="11"/>
        <v/>
      </c>
      <c r="Q169" s="12" t="str">
        <f t="shared" si="8"/>
        <v/>
      </c>
      <c r="R169" s="9" t="str">
        <f t="shared" si="9"/>
        <v/>
      </c>
      <c r="S169" s="9">
        <f>IF(R169="",AVERAGEIF(Table1[Category],Table1[[#This Row],[Category]],Table2[orignal data]),Table2[[#This Row],[orignal data]])</f>
        <v>734.32085365853686</v>
      </c>
      <c r="T169" t="str">
        <f t="shared" si="10"/>
        <v>UNIQUE</v>
      </c>
      <c r="U169" t="str">
        <f>IF(ISBLANK(Table1[[#This Row],[SizeOption]]),"NOT AVAILABLE",Table1[[#This Row],[SizeOption]])</f>
        <v>XS, S, M, L, XL, XXL</v>
      </c>
      <c r="Y169" t="str">
        <f>IF(Table2[[#This Row],[Column1]]&gt;50%,"HIGH DISCOUNT","LOW DISCOUNT")</f>
        <v>HIGH DISCOUNT</v>
      </c>
    </row>
    <row r="170" spans="1:25" x14ac:dyDescent="0.25">
      <c r="A170" s="1" t="s">
        <v>494</v>
      </c>
      <c r="B170" s="1">
        <v>13532760</v>
      </c>
      <c r="C170" s="1" t="s">
        <v>206</v>
      </c>
      <c r="D170" s="1" t="s">
        <v>41</v>
      </c>
      <c r="E170" s="1" t="s">
        <v>48</v>
      </c>
      <c r="F170" s="1" t="s">
        <v>36</v>
      </c>
      <c r="G170" s="1" t="s">
        <v>495</v>
      </c>
      <c r="I170" s="1">
        <v>1399</v>
      </c>
      <c r="J170" s="1" t="s">
        <v>84</v>
      </c>
      <c r="K170" s="1" t="s">
        <v>311</v>
      </c>
      <c r="L170" s="1">
        <v>3.9</v>
      </c>
      <c r="M170" s="1">
        <v>966</v>
      </c>
      <c r="P170" t="str">
        <f t="shared" si="11"/>
        <v>50%</v>
      </c>
      <c r="Q170" s="12">
        <f t="shared" si="8"/>
        <v>0.5</v>
      </c>
      <c r="R170" s="9">
        <f t="shared" si="9"/>
        <v>699.5</v>
      </c>
      <c r="S170" s="9">
        <f>IF(R170="",AVERAGEIF(Table1[Category],Table1[[#This Row],[Category]],Table2[orignal data]),Table2[[#This Row],[orignal data]])</f>
        <v>699.5</v>
      </c>
      <c r="T170" t="str">
        <f t="shared" si="10"/>
        <v>UNIQUE</v>
      </c>
      <c r="U170" t="str">
        <f>IF(ISBLANK(Table1[[#This Row],[SizeOption]]),"NOT AVAILABLE",Table1[[#This Row],[SizeOption]])</f>
        <v>XS, S, M, L</v>
      </c>
      <c r="Y170" t="str">
        <f>IF(Table2[[#This Row],[Column1]]&gt;50%,"HIGH DISCOUNT","LOW DISCOUNT")</f>
        <v>LOW DISCOUNT</v>
      </c>
    </row>
    <row r="171" spans="1:25" x14ac:dyDescent="0.25">
      <c r="A171" s="2" t="s">
        <v>496</v>
      </c>
      <c r="B171" s="2">
        <v>17383440</v>
      </c>
      <c r="C171" s="2" t="s">
        <v>14</v>
      </c>
      <c r="D171" s="2" t="s">
        <v>41</v>
      </c>
      <c r="E171" s="2" t="s">
        <v>42</v>
      </c>
      <c r="F171" s="2" t="s">
        <v>36</v>
      </c>
      <c r="G171" s="2" t="s">
        <v>497</v>
      </c>
      <c r="I171" s="2">
        <v>1598</v>
      </c>
      <c r="J171" s="2" t="s">
        <v>84</v>
      </c>
      <c r="K171" s="2" t="s">
        <v>146</v>
      </c>
      <c r="L171" s="2">
        <v>4.3</v>
      </c>
      <c r="M171" s="2">
        <v>966</v>
      </c>
      <c r="P171" t="str">
        <f t="shared" si="11"/>
        <v>50%</v>
      </c>
      <c r="Q171" s="12">
        <f t="shared" si="8"/>
        <v>0.5</v>
      </c>
      <c r="R171" s="9">
        <f t="shared" si="9"/>
        <v>799</v>
      </c>
      <c r="S171" s="9">
        <f>IF(R171="",AVERAGEIF(Table1[Category],Table1[[#This Row],[Category]],Table2[orignal data]),Table2[[#This Row],[orignal data]])</f>
        <v>799</v>
      </c>
      <c r="T171" t="str">
        <f t="shared" si="10"/>
        <v>UNIQUE</v>
      </c>
      <c r="U171" t="str">
        <f>IF(ISBLANK(Table1[[#This Row],[SizeOption]]),"NOT AVAILABLE",Table1[[#This Row],[SizeOption]])</f>
        <v>L, M, S, XS, XL</v>
      </c>
      <c r="Y171" t="str">
        <f>IF(Table2[[#This Row],[Column1]]&gt;50%,"HIGH DISCOUNT","LOW DISCOUNT")</f>
        <v>LOW DISCOUNT</v>
      </c>
    </row>
    <row r="172" spans="1:25" x14ac:dyDescent="0.25">
      <c r="A172" s="1" t="s">
        <v>498</v>
      </c>
      <c r="B172" s="1">
        <v>12974208</v>
      </c>
      <c r="C172" s="1" t="s">
        <v>499</v>
      </c>
      <c r="D172" s="1" t="s">
        <v>41</v>
      </c>
      <c r="E172" s="1" t="s">
        <v>148</v>
      </c>
      <c r="F172" s="1" t="s">
        <v>36</v>
      </c>
      <c r="G172" s="1" t="s">
        <v>500</v>
      </c>
      <c r="I172" s="1">
        <v>2799</v>
      </c>
      <c r="J172" s="1" t="s">
        <v>84</v>
      </c>
      <c r="K172" s="1" t="s">
        <v>115</v>
      </c>
      <c r="L172" s="1">
        <v>4.2</v>
      </c>
      <c r="M172" s="1">
        <v>966</v>
      </c>
      <c r="P172" t="str">
        <f t="shared" si="11"/>
        <v>50%</v>
      </c>
      <c r="Q172" s="12">
        <f t="shared" si="8"/>
        <v>0.5</v>
      </c>
      <c r="R172" s="9">
        <f t="shared" si="9"/>
        <v>1399.5</v>
      </c>
      <c r="S172" s="9">
        <f>IF(R172="",AVERAGEIF(Table1[Category],Table1[[#This Row],[Category]],Table2[orignal data]),Table2[[#This Row],[orignal data]])</f>
        <v>1399.5</v>
      </c>
      <c r="T172" t="str">
        <f t="shared" si="10"/>
        <v>UNIQUE</v>
      </c>
      <c r="U172" t="str">
        <f>IF(ISBLANK(Table1[[#This Row],[SizeOption]]),"NOT AVAILABLE",Table1[[#This Row],[SizeOption]])</f>
        <v>XS, S, M, L, XL, XXL</v>
      </c>
      <c r="Y172" t="str">
        <f>IF(Table2[[#This Row],[Column1]]&gt;50%,"HIGH DISCOUNT","LOW DISCOUNT")</f>
        <v>LOW DISCOUNT</v>
      </c>
    </row>
    <row r="173" spans="1:25" x14ac:dyDescent="0.25">
      <c r="A173" s="2" t="s">
        <v>501</v>
      </c>
      <c r="B173" s="2">
        <v>11296016</v>
      </c>
      <c r="C173" s="2" t="s">
        <v>14</v>
      </c>
      <c r="D173" s="2" t="s">
        <v>41</v>
      </c>
      <c r="E173" s="2" t="s">
        <v>42</v>
      </c>
      <c r="F173" s="2" t="s">
        <v>36</v>
      </c>
      <c r="G173" s="2" t="s">
        <v>502</v>
      </c>
      <c r="I173" s="2">
        <v>799</v>
      </c>
      <c r="J173" s="2" t="s">
        <v>25</v>
      </c>
      <c r="K173" s="2" t="s">
        <v>45</v>
      </c>
      <c r="L173" s="2">
        <v>4</v>
      </c>
      <c r="M173" s="2">
        <v>966</v>
      </c>
      <c r="P173" t="str">
        <f t="shared" si="11"/>
        <v>55%</v>
      </c>
      <c r="Q173" s="12">
        <f t="shared" si="8"/>
        <v>0.55000000000000004</v>
      </c>
      <c r="R173" s="9">
        <f t="shared" si="9"/>
        <v>359.54999999999995</v>
      </c>
      <c r="S173" s="9">
        <f>IF(R173="",AVERAGEIF(Table1[Category],Table1[[#This Row],[Category]],Table2[orignal data]),Table2[[#This Row],[orignal data]])</f>
        <v>359.54999999999995</v>
      </c>
      <c r="T173" t="str">
        <f t="shared" si="10"/>
        <v>UNIQUE</v>
      </c>
      <c r="U173" t="str">
        <f>IF(ISBLANK(Table1[[#This Row],[SizeOption]]),"NOT AVAILABLE",Table1[[#This Row],[SizeOption]])</f>
        <v>XS, S, M, L, XL</v>
      </c>
      <c r="Y173" t="str">
        <f>IF(Table2[[#This Row],[Column1]]&gt;50%,"HIGH DISCOUNT","LOW DISCOUNT")</f>
        <v>HIGH DISCOUNT</v>
      </c>
    </row>
    <row r="174" spans="1:25" x14ac:dyDescent="0.25">
      <c r="A174" s="1" t="s">
        <v>503</v>
      </c>
      <c r="B174" s="1">
        <v>9768169</v>
      </c>
      <c r="C174" s="1" t="s">
        <v>169</v>
      </c>
      <c r="D174" s="1" t="s">
        <v>28</v>
      </c>
      <c r="E174" s="1" t="s">
        <v>42</v>
      </c>
      <c r="F174" s="1" t="s">
        <v>17</v>
      </c>
      <c r="G174" s="1" t="s">
        <v>504</v>
      </c>
      <c r="H174">
        <v>649</v>
      </c>
      <c r="I174" s="1">
        <v>1299</v>
      </c>
      <c r="J174" s="1" t="s">
        <v>84</v>
      </c>
      <c r="K174" s="1" t="s">
        <v>39</v>
      </c>
      <c r="L174" s="1">
        <v>3.8</v>
      </c>
      <c r="M174" s="1">
        <v>965</v>
      </c>
      <c r="P174" t="str">
        <f t="shared" si="11"/>
        <v>50%</v>
      </c>
      <c r="Q174" s="12">
        <f t="shared" si="8"/>
        <v>0.5</v>
      </c>
      <c r="R174" s="9">
        <f t="shared" si="9"/>
        <v>649.5</v>
      </c>
      <c r="S174" s="9">
        <f>IF(R174="",AVERAGEIF(Table1[Category],Table1[[#This Row],[Category]],Table2[orignal data]),Table2[[#This Row],[orignal data]])</f>
        <v>649.5</v>
      </c>
      <c r="T174" t="str">
        <f t="shared" si="10"/>
        <v>UNIQUE</v>
      </c>
      <c r="U174" t="str">
        <f>IF(ISBLANK(Table1[[#This Row],[SizeOption]]),"NOT AVAILABLE",Table1[[#This Row],[SizeOption]])</f>
        <v>S, M, L, XL, XXL</v>
      </c>
      <c r="Y174" t="str">
        <f>IF(Table2[[#This Row],[Column1]]&gt;50%,"HIGH DISCOUNT","LOW DISCOUNT")</f>
        <v>LOW DISCOUNT</v>
      </c>
    </row>
    <row r="175" spans="1:25" x14ac:dyDescent="0.25">
      <c r="A175" s="2" t="s">
        <v>505</v>
      </c>
      <c r="B175" s="2">
        <v>13983654</v>
      </c>
      <c r="C175" s="2" t="s">
        <v>107</v>
      </c>
      <c r="D175" s="2" t="s">
        <v>34</v>
      </c>
      <c r="E175" s="2" t="s">
        <v>118</v>
      </c>
      <c r="F175" s="2" t="s">
        <v>36</v>
      </c>
      <c r="G175" s="2" t="s">
        <v>506</v>
      </c>
      <c r="H175">
        <v>164</v>
      </c>
      <c r="I175" s="2">
        <v>549</v>
      </c>
      <c r="J175" s="2" t="s">
        <v>79</v>
      </c>
      <c r="K175" s="2" t="s">
        <v>26</v>
      </c>
      <c r="L175" s="2">
        <v>4.4000000000000004</v>
      </c>
      <c r="M175" s="2">
        <v>965</v>
      </c>
      <c r="P175" t="str">
        <f t="shared" si="11"/>
        <v>70%</v>
      </c>
      <c r="Q175" s="12">
        <f t="shared" si="8"/>
        <v>0.7</v>
      </c>
      <c r="R175" s="9">
        <f t="shared" si="9"/>
        <v>164.70000000000005</v>
      </c>
      <c r="S175" s="9">
        <f>IF(R175="",AVERAGEIF(Table1[Category],Table1[[#This Row],[Category]],Table2[orignal data]),Table2[[#This Row],[orignal data]])</f>
        <v>164.70000000000005</v>
      </c>
      <c r="T175" t="str">
        <f t="shared" si="10"/>
        <v>UNIQUE</v>
      </c>
      <c r="U175" t="str">
        <f>IF(ISBLANK(Table1[[#This Row],[SizeOption]]),"NOT AVAILABLE",Table1[[#This Row],[SizeOption]])</f>
        <v>S, M, L, XL</v>
      </c>
      <c r="Y175" t="str">
        <f>IF(Table2[[#This Row],[Column1]]&gt;50%,"HIGH DISCOUNT","LOW DISCOUNT")</f>
        <v>HIGH DISCOUNT</v>
      </c>
    </row>
    <row r="176" spans="1:25" x14ac:dyDescent="0.25">
      <c r="A176" s="1" t="s">
        <v>507</v>
      </c>
      <c r="B176" s="1">
        <v>5678795</v>
      </c>
      <c r="C176" s="1" t="s">
        <v>33</v>
      </c>
      <c r="D176" s="1" t="s">
        <v>34</v>
      </c>
      <c r="E176" s="1" t="s">
        <v>118</v>
      </c>
      <c r="F176" s="1" t="s">
        <v>36</v>
      </c>
      <c r="G176" s="1" t="s">
        <v>508</v>
      </c>
      <c r="H176">
        <v>396</v>
      </c>
      <c r="I176" s="1">
        <v>695</v>
      </c>
      <c r="J176" s="1" t="s">
        <v>509</v>
      </c>
      <c r="K176" s="1" t="s">
        <v>510</v>
      </c>
      <c r="L176" s="1">
        <v>4.0999999999999996</v>
      </c>
      <c r="M176" s="1">
        <v>965</v>
      </c>
      <c r="P176" t="str">
        <f t="shared" si="11"/>
        <v>43%</v>
      </c>
      <c r="Q176" s="12">
        <f t="shared" si="8"/>
        <v>0.43</v>
      </c>
      <c r="R176" s="9">
        <f t="shared" si="9"/>
        <v>396.15</v>
      </c>
      <c r="S176" s="9">
        <f>IF(R176="",AVERAGEIF(Table1[Category],Table1[[#This Row],[Category]],Table2[orignal data]),Table2[[#This Row],[orignal data]])</f>
        <v>396.15</v>
      </c>
      <c r="T176" t="str">
        <f t="shared" si="10"/>
        <v>UNIQUE</v>
      </c>
      <c r="U176" t="str">
        <f>IF(ISBLANK(Table1[[#This Row],[SizeOption]]),"NOT AVAILABLE",Table1[[#This Row],[SizeOption]])</f>
        <v>32B, 32C, 32D, 34B, 34C, 34D, 36B, 36C, 36D, 38B, 38C</v>
      </c>
      <c r="Y176" t="str">
        <f>IF(Table2[[#This Row],[Column1]]&gt;50%,"HIGH DISCOUNT","LOW DISCOUNT")</f>
        <v>LOW DISCOUNT</v>
      </c>
    </row>
    <row r="177" spans="1:25" x14ac:dyDescent="0.25">
      <c r="A177" s="2" t="s">
        <v>511</v>
      </c>
      <c r="B177" s="2">
        <v>12670196</v>
      </c>
      <c r="C177" s="2" t="s">
        <v>124</v>
      </c>
      <c r="D177" s="2" t="s">
        <v>41</v>
      </c>
      <c r="E177" s="2" t="s">
        <v>368</v>
      </c>
      <c r="F177" s="2" t="s">
        <v>36</v>
      </c>
      <c r="G177" s="2" t="s">
        <v>512</v>
      </c>
      <c r="I177" s="2">
        <v>1199</v>
      </c>
      <c r="J177" s="2" t="s">
        <v>130</v>
      </c>
      <c r="K177" s="2" t="s">
        <v>428</v>
      </c>
      <c r="L177" s="2">
        <v>4.3</v>
      </c>
      <c r="M177" s="2">
        <v>965</v>
      </c>
      <c r="P177" t="str">
        <f t="shared" si="11"/>
        <v>57%</v>
      </c>
      <c r="Q177" s="12">
        <f t="shared" si="8"/>
        <v>0.56999999999999995</v>
      </c>
      <c r="R177" s="9">
        <f t="shared" si="9"/>
        <v>515.57000000000005</v>
      </c>
      <c r="S177" s="9">
        <f>IF(R177="",AVERAGEIF(Table1[Category],Table1[[#This Row],[Category]],Table2[orignal data]),Table2[[#This Row],[orignal data]])</f>
        <v>515.57000000000005</v>
      </c>
      <c r="T177" t="str">
        <f t="shared" si="10"/>
        <v>UNIQUE</v>
      </c>
      <c r="U177" t="str">
        <f>IF(ISBLANK(Table1[[#This Row],[SizeOption]]),"NOT AVAILABLE",Table1[[#This Row],[SizeOption]])</f>
        <v>26, 28, 30, 32, 34</v>
      </c>
      <c r="Y177" t="str">
        <f>IF(Table2[[#This Row],[Column1]]&gt;50%,"HIGH DISCOUNT","LOW DISCOUNT")</f>
        <v>HIGH DISCOUNT</v>
      </c>
    </row>
    <row r="178" spans="1:25" x14ac:dyDescent="0.25">
      <c r="A178" s="1" t="s">
        <v>513</v>
      </c>
      <c r="B178" s="1">
        <v>17382832</v>
      </c>
      <c r="C178" s="1" t="s">
        <v>14</v>
      </c>
      <c r="D178" s="1" t="s">
        <v>41</v>
      </c>
      <c r="E178" s="1" t="s">
        <v>42</v>
      </c>
      <c r="F178" s="1" t="s">
        <v>36</v>
      </c>
      <c r="G178" s="1" t="s">
        <v>380</v>
      </c>
      <c r="I178" s="1">
        <v>1598</v>
      </c>
      <c r="J178" s="1" t="s">
        <v>84</v>
      </c>
      <c r="K178" s="1" t="s">
        <v>146</v>
      </c>
      <c r="L178" s="1">
        <v>4.2</v>
      </c>
      <c r="M178" s="1">
        <v>965</v>
      </c>
      <c r="P178" t="str">
        <f t="shared" si="11"/>
        <v>50%</v>
      </c>
      <c r="Q178" s="12">
        <f t="shared" si="8"/>
        <v>0.5</v>
      </c>
      <c r="R178" s="9">
        <f t="shared" si="9"/>
        <v>799</v>
      </c>
      <c r="S178" s="9">
        <f>IF(R178="",AVERAGEIF(Table1[Category],Table1[[#This Row],[Category]],Table2[orignal data]),Table2[[#This Row],[orignal data]])</f>
        <v>799</v>
      </c>
      <c r="T178" t="str">
        <f t="shared" si="10"/>
        <v>UNIQUE</v>
      </c>
      <c r="U178" t="str">
        <f>IF(ISBLANK(Table1[[#This Row],[SizeOption]]),"NOT AVAILABLE",Table1[[#This Row],[SizeOption]])</f>
        <v>L, M, S, XS, XL</v>
      </c>
      <c r="Y178" t="str">
        <f>IF(Table2[[#This Row],[Column1]]&gt;50%,"HIGH DISCOUNT","LOW DISCOUNT")</f>
        <v>LOW DISCOUNT</v>
      </c>
    </row>
    <row r="179" spans="1:25" x14ac:dyDescent="0.25">
      <c r="A179" s="2" t="s">
        <v>514</v>
      </c>
      <c r="B179" s="2">
        <v>12956584</v>
      </c>
      <c r="C179" s="2" t="s">
        <v>81</v>
      </c>
      <c r="D179" s="2" t="s">
        <v>41</v>
      </c>
      <c r="E179" s="2" t="s">
        <v>148</v>
      </c>
      <c r="F179" s="2" t="s">
        <v>36</v>
      </c>
      <c r="G179" s="2" t="s">
        <v>515</v>
      </c>
      <c r="I179" s="2">
        <v>1999</v>
      </c>
      <c r="J179" s="2" t="s">
        <v>25</v>
      </c>
      <c r="K179" s="2" t="s">
        <v>115</v>
      </c>
      <c r="L179" s="2">
        <v>4.3</v>
      </c>
      <c r="M179" s="2">
        <v>965</v>
      </c>
      <c r="P179" t="str">
        <f t="shared" si="11"/>
        <v>55%</v>
      </c>
      <c r="Q179" s="12">
        <f t="shared" si="8"/>
        <v>0.55000000000000004</v>
      </c>
      <c r="R179" s="9">
        <f t="shared" si="9"/>
        <v>899.55</v>
      </c>
      <c r="S179" s="9">
        <f>IF(R179="",AVERAGEIF(Table1[Category],Table1[[#This Row],[Category]],Table2[orignal data]),Table2[[#This Row],[orignal data]])</f>
        <v>899.55</v>
      </c>
      <c r="T179" t="str">
        <f t="shared" si="10"/>
        <v>UNIQUE</v>
      </c>
      <c r="U179" t="str">
        <f>IF(ISBLANK(Table1[[#This Row],[SizeOption]]),"NOT AVAILABLE",Table1[[#This Row],[SizeOption]])</f>
        <v>XS, S, M, L, XL, XXL</v>
      </c>
      <c r="Y179" t="str">
        <f>IF(Table2[[#This Row],[Column1]]&gt;50%,"HIGH DISCOUNT","LOW DISCOUNT")</f>
        <v>HIGH DISCOUNT</v>
      </c>
    </row>
    <row r="180" spans="1:25" x14ac:dyDescent="0.25">
      <c r="A180" s="1" t="s">
        <v>516</v>
      </c>
      <c r="B180" s="1">
        <v>8613927</v>
      </c>
      <c r="C180" s="1" t="s">
        <v>517</v>
      </c>
      <c r="D180" s="1" t="s">
        <v>197</v>
      </c>
      <c r="E180" s="1" t="s">
        <v>518</v>
      </c>
      <c r="F180" s="1" t="s">
        <v>17</v>
      </c>
      <c r="G180" s="1" t="s">
        <v>519</v>
      </c>
      <c r="H180">
        <v>489</v>
      </c>
      <c r="I180" s="1">
        <v>999</v>
      </c>
      <c r="J180" s="1" t="s">
        <v>163</v>
      </c>
      <c r="K180" s="1" t="s">
        <v>26</v>
      </c>
      <c r="L180" s="1">
        <v>4</v>
      </c>
      <c r="M180" s="1">
        <v>964</v>
      </c>
      <c r="P180" t="str">
        <f t="shared" si="11"/>
        <v>51%</v>
      </c>
      <c r="Q180" s="12">
        <f t="shared" si="8"/>
        <v>0.51</v>
      </c>
      <c r="R180" s="9">
        <f t="shared" si="9"/>
        <v>489.51</v>
      </c>
      <c r="S180" s="9">
        <f>IF(R180="",AVERAGEIF(Table1[Category],Table1[[#This Row],[Category]],Table2[orignal data]),Table2[[#This Row],[orignal data]])</f>
        <v>489.51</v>
      </c>
      <c r="T180" t="str">
        <f t="shared" si="10"/>
        <v>UNIQUE</v>
      </c>
      <c r="U180" t="str">
        <f>IF(ISBLANK(Table1[[#This Row],[SizeOption]]),"NOT AVAILABLE",Table1[[#This Row],[SizeOption]])</f>
        <v>S, M, L, XL</v>
      </c>
      <c r="Y180" t="str">
        <f>IF(Table2[[#This Row],[Column1]]&gt;50%,"HIGH DISCOUNT","LOW DISCOUNT")</f>
        <v>HIGH DISCOUNT</v>
      </c>
    </row>
    <row r="181" spans="1:25" x14ac:dyDescent="0.25">
      <c r="A181" s="2" t="s">
        <v>520</v>
      </c>
      <c r="B181" s="2">
        <v>10416940</v>
      </c>
      <c r="C181" s="2" t="s">
        <v>113</v>
      </c>
      <c r="D181" s="2" t="s">
        <v>76</v>
      </c>
      <c r="E181" s="2" t="s">
        <v>93</v>
      </c>
      <c r="F181" s="2" t="s">
        <v>36</v>
      </c>
      <c r="G181" s="2" t="s">
        <v>521</v>
      </c>
      <c r="H181">
        <v>879</v>
      </c>
      <c r="I181" s="2">
        <v>2199</v>
      </c>
      <c r="J181" s="2" t="s">
        <v>55</v>
      </c>
      <c r="K181" s="2" t="s">
        <v>115</v>
      </c>
      <c r="L181" s="2">
        <v>4.2</v>
      </c>
      <c r="M181" s="2">
        <v>964</v>
      </c>
      <c r="P181" t="str">
        <f t="shared" si="11"/>
        <v>60%</v>
      </c>
      <c r="Q181" s="12">
        <f t="shared" si="8"/>
        <v>0.6</v>
      </c>
      <c r="R181" s="9">
        <f t="shared" si="9"/>
        <v>879.60000000000014</v>
      </c>
      <c r="S181" s="9">
        <f>IF(R181="",AVERAGEIF(Table1[Category],Table1[[#This Row],[Category]],Table2[orignal data]),Table2[[#This Row],[orignal data]])</f>
        <v>879.60000000000014</v>
      </c>
      <c r="T181" t="str">
        <f t="shared" si="10"/>
        <v>UNIQUE</v>
      </c>
      <c r="U181" t="str">
        <f>IF(ISBLANK(Table1[[#This Row],[SizeOption]]),"NOT AVAILABLE",Table1[[#This Row],[SizeOption]])</f>
        <v>XS, S, M, L, XL, XXL</v>
      </c>
      <c r="Y181" t="str">
        <f>IF(Table2[[#This Row],[Column1]]&gt;50%,"HIGH DISCOUNT","LOW DISCOUNT")</f>
        <v>HIGH DISCOUNT</v>
      </c>
    </row>
    <row r="182" spans="1:25" x14ac:dyDescent="0.25">
      <c r="A182" s="1" t="s">
        <v>522</v>
      </c>
      <c r="B182" s="1">
        <v>8475729</v>
      </c>
      <c r="C182" s="1" t="s">
        <v>67</v>
      </c>
      <c r="D182" s="1" t="s">
        <v>34</v>
      </c>
      <c r="E182" s="1" t="s">
        <v>118</v>
      </c>
      <c r="F182" s="1" t="s">
        <v>36</v>
      </c>
      <c r="G182" s="1" t="s">
        <v>523</v>
      </c>
      <c r="I182" s="1">
        <v>1499</v>
      </c>
      <c r="J182" s="1"/>
      <c r="K182" s="1" t="s">
        <v>26</v>
      </c>
      <c r="L182" s="1">
        <v>3.9</v>
      </c>
      <c r="M182" s="1">
        <v>964</v>
      </c>
      <c r="P182" t="str">
        <f t="shared" si="11"/>
        <v/>
      </c>
      <c r="Q182" s="12" t="str">
        <f t="shared" si="8"/>
        <v/>
      </c>
      <c r="R182" s="9" t="str">
        <f t="shared" si="9"/>
        <v/>
      </c>
      <c r="S182" s="9">
        <f>IF(R182="",AVERAGEIF(Table1[Category],Table1[[#This Row],[Category]],Table2[orignal data]),Table2[[#This Row],[orignal data]])</f>
        <v>608.88518518518481</v>
      </c>
      <c r="T182" t="str">
        <f t="shared" si="10"/>
        <v>UNIQUE</v>
      </c>
      <c r="U182" t="str">
        <f>IF(ISBLANK(Table1[[#This Row],[SizeOption]]),"NOT AVAILABLE",Table1[[#This Row],[SizeOption]])</f>
        <v>S, M, L, XL</v>
      </c>
      <c r="Y182" t="str">
        <f>IF(Table2[[#This Row],[Column1]]&gt;50%,"HIGH DISCOUNT","LOW DISCOUNT")</f>
        <v>HIGH DISCOUNT</v>
      </c>
    </row>
    <row r="183" spans="1:25" x14ac:dyDescent="0.25">
      <c r="A183" s="2" t="s">
        <v>524</v>
      </c>
      <c r="B183" s="2">
        <v>9697407</v>
      </c>
      <c r="C183" s="2" t="s">
        <v>14</v>
      </c>
      <c r="D183" s="2" t="s">
        <v>41</v>
      </c>
      <c r="E183" s="2" t="s">
        <v>42</v>
      </c>
      <c r="F183" s="2" t="s">
        <v>36</v>
      </c>
      <c r="G183" s="2" t="s">
        <v>525</v>
      </c>
      <c r="I183" s="2">
        <v>599</v>
      </c>
      <c r="J183" s="2" t="s">
        <v>25</v>
      </c>
      <c r="K183" s="2" t="s">
        <v>45</v>
      </c>
      <c r="L183" s="2">
        <v>4.3</v>
      </c>
      <c r="M183" s="2">
        <v>964</v>
      </c>
      <c r="P183" t="str">
        <f t="shared" si="11"/>
        <v>55%</v>
      </c>
      <c r="Q183" s="12">
        <f t="shared" si="8"/>
        <v>0.55000000000000004</v>
      </c>
      <c r="R183" s="9">
        <f t="shared" si="9"/>
        <v>269.54999999999995</v>
      </c>
      <c r="S183" s="9">
        <f>IF(R183="",AVERAGEIF(Table1[Category],Table1[[#This Row],[Category]],Table2[orignal data]),Table2[[#This Row],[orignal data]])</f>
        <v>269.54999999999995</v>
      </c>
      <c r="T183" t="str">
        <f t="shared" si="10"/>
        <v>UNIQUE</v>
      </c>
      <c r="U183" t="str">
        <f>IF(ISBLANK(Table1[[#This Row],[SizeOption]]),"NOT AVAILABLE",Table1[[#This Row],[SizeOption]])</f>
        <v>XS, S, M, L, XL</v>
      </c>
      <c r="Y183" t="str">
        <f>IF(Table2[[#This Row],[Column1]]&gt;50%,"HIGH DISCOUNT","LOW DISCOUNT")</f>
        <v>HIGH DISCOUNT</v>
      </c>
    </row>
    <row r="184" spans="1:25" x14ac:dyDescent="0.25">
      <c r="A184" s="1" t="s">
        <v>526</v>
      </c>
      <c r="B184" s="1">
        <v>10968574</v>
      </c>
      <c r="C184" s="1" t="s">
        <v>14</v>
      </c>
      <c r="D184" s="1" t="s">
        <v>41</v>
      </c>
      <c r="E184" s="1" t="s">
        <v>42</v>
      </c>
      <c r="F184" s="1" t="s">
        <v>36</v>
      </c>
      <c r="G184" s="1" t="s">
        <v>527</v>
      </c>
      <c r="I184" s="1">
        <v>999</v>
      </c>
      <c r="J184" s="1" t="s">
        <v>528</v>
      </c>
      <c r="K184" s="1" t="s">
        <v>45</v>
      </c>
      <c r="L184" s="1">
        <v>4.2</v>
      </c>
      <c r="M184" s="1">
        <v>964</v>
      </c>
      <c r="P184" t="str">
        <f t="shared" si="11"/>
        <v>500</v>
      </c>
      <c r="Q184" s="12">
        <f t="shared" si="8"/>
        <v>0.50050050050050054</v>
      </c>
      <c r="R184" s="9">
        <f t="shared" si="9"/>
        <v>498.99999999999994</v>
      </c>
      <c r="S184" s="9">
        <f>IF(R184="",AVERAGEIF(Table1[Category],Table1[[#This Row],[Category]],Table2[orignal data]),Table2[[#This Row],[orignal data]])</f>
        <v>498.99999999999994</v>
      </c>
      <c r="T184" t="str">
        <f t="shared" si="10"/>
        <v>UNIQUE</v>
      </c>
      <c r="U184" t="str">
        <f>IF(ISBLANK(Table1[[#This Row],[SizeOption]]),"NOT AVAILABLE",Table1[[#This Row],[SizeOption]])</f>
        <v>XS, S, M, L, XL</v>
      </c>
      <c r="Y184" t="str">
        <f>IF(Table2[[#This Row],[Column1]]&gt;50%,"HIGH DISCOUNT","LOW DISCOUNT")</f>
        <v>HIGH DISCOUNT</v>
      </c>
    </row>
    <row r="185" spans="1:25" x14ac:dyDescent="0.25">
      <c r="A185" s="2" t="s">
        <v>529</v>
      </c>
      <c r="B185" s="2">
        <v>5125964</v>
      </c>
      <c r="C185" s="2" t="s">
        <v>52</v>
      </c>
      <c r="D185" s="2" t="s">
        <v>15</v>
      </c>
      <c r="E185" s="2" t="s">
        <v>53</v>
      </c>
      <c r="F185" s="2" t="s">
        <v>17</v>
      </c>
      <c r="G185" s="2" t="s">
        <v>530</v>
      </c>
      <c r="H185">
        <v>643</v>
      </c>
      <c r="I185" s="2">
        <v>1649</v>
      </c>
      <c r="J185" s="2" t="s">
        <v>104</v>
      </c>
      <c r="K185" s="2" t="s">
        <v>56</v>
      </c>
      <c r="L185" s="2">
        <v>4.2</v>
      </c>
      <c r="M185" s="2">
        <v>963</v>
      </c>
      <c r="P185" t="str">
        <f t="shared" si="11"/>
        <v>61%</v>
      </c>
      <c r="Q185" s="12">
        <f t="shared" si="8"/>
        <v>0.61</v>
      </c>
      <c r="R185" s="9">
        <f t="shared" si="9"/>
        <v>643.11</v>
      </c>
      <c r="S185" s="9">
        <f>IF(R185="",AVERAGEIF(Table1[Category],Table1[[#This Row],[Category]],Table2[orignal data]),Table2[[#This Row],[orignal data]])</f>
        <v>643.11</v>
      </c>
      <c r="T185" t="str">
        <f t="shared" si="10"/>
        <v>UNIQUE</v>
      </c>
      <c r="U185" t="str">
        <f>IF(ISBLANK(Table1[[#This Row],[SizeOption]]),"NOT AVAILABLE",Table1[[#This Row],[SizeOption]])</f>
        <v>30, 32, 34, 36</v>
      </c>
      <c r="Y185" t="str">
        <f>IF(Table2[[#This Row],[Column1]]&gt;50%,"HIGH DISCOUNT","LOW DISCOUNT")</f>
        <v>HIGH DISCOUNT</v>
      </c>
    </row>
    <row r="186" spans="1:25" x14ac:dyDescent="0.25">
      <c r="A186" s="1" t="s">
        <v>531</v>
      </c>
      <c r="B186" s="1">
        <v>9791977</v>
      </c>
      <c r="C186" s="1" t="s">
        <v>532</v>
      </c>
      <c r="D186" s="1" t="s">
        <v>76</v>
      </c>
      <c r="E186" s="1" t="s">
        <v>533</v>
      </c>
      <c r="F186" s="1" t="s">
        <v>36</v>
      </c>
      <c r="G186" s="1" t="s">
        <v>534</v>
      </c>
      <c r="H186">
        <v>729</v>
      </c>
      <c r="I186" s="1">
        <v>999</v>
      </c>
      <c r="J186" s="1" t="s">
        <v>535</v>
      </c>
      <c r="K186" s="1" t="s">
        <v>195</v>
      </c>
      <c r="L186" s="1">
        <v>4.0999999999999996</v>
      </c>
      <c r="M186" s="1">
        <v>963</v>
      </c>
      <c r="P186" t="str">
        <f t="shared" si="11"/>
        <v>27%</v>
      </c>
      <c r="Q186" s="12">
        <f t="shared" si="8"/>
        <v>0.27</v>
      </c>
      <c r="R186" s="9">
        <f t="shared" si="9"/>
        <v>729.27</v>
      </c>
      <c r="S186" s="9">
        <f>IF(R186="",AVERAGEIF(Table1[Category],Table1[[#This Row],[Category]],Table2[orignal data]),Table2[[#This Row],[orignal data]])</f>
        <v>729.27</v>
      </c>
      <c r="T186" t="str">
        <f t="shared" si="10"/>
        <v>UNIQUE</v>
      </c>
      <c r="U186" t="str">
        <f>IF(ISBLANK(Table1[[#This Row],[SizeOption]]),"NOT AVAILABLE",Table1[[#This Row],[SizeOption]])</f>
        <v>28, 30, 32, 34, 36, 38, 40</v>
      </c>
      <c r="Y186" t="str">
        <f>IF(Table2[[#This Row],[Column1]]&gt;50%,"HIGH DISCOUNT","LOW DISCOUNT")</f>
        <v>LOW DISCOUNT</v>
      </c>
    </row>
    <row r="187" spans="1:25" x14ac:dyDescent="0.25">
      <c r="A187" s="2" t="s">
        <v>536</v>
      </c>
      <c r="B187" s="2">
        <v>2325411</v>
      </c>
      <c r="C187" s="2" t="s">
        <v>346</v>
      </c>
      <c r="D187" s="2" t="s">
        <v>41</v>
      </c>
      <c r="E187" s="2" t="s">
        <v>16</v>
      </c>
      <c r="F187" s="2" t="s">
        <v>36</v>
      </c>
      <c r="G187" s="2" t="s">
        <v>537</v>
      </c>
      <c r="I187" s="2">
        <v>1899</v>
      </c>
      <c r="J187" s="2" t="s">
        <v>25</v>
      </c>
      <c r="K187" s="2" t="s">
        <v>134</v>
      </c>
      <c r="L187" s="2">
        <v>3.6</v>
      </c>
      <c r="M187" s="2">
        <v>963</v>
      </c>
      <c r="P187" t="str">
        <f t="shared" si="11"/>
        <v>55%</v>
      </c>
      <c r="Q187" s="12">
        <f t="shared" si="8"/>
        <v>0.55000000000000004</v>
      </c>
      <c r="R187" s="9">
        <f t="shared" si="9"/>
        <v>854.55</v>
      </c>
      <c r="S187" s="9">
        <f>IF(R187="",AVERAGEIF(Table1[Category],Table1[[#This Row],[Category]],Table2[orignal data]),Table2[[#This Row],[orignal data]])</f>
        <v>854.55</v>
      </c>
      <c r="T187" t="str">
        <f t="shared" si="10"/>
        <v>UNIQUE</v>
      </c>
      <c r="U187" t="str">
        <f>IF(ISBLANK(Table1[[#This Row],[SizeOption]]),"NOT AVAILABLE",Table1[[#This Row],[SizeOption]])</f>
        <v>26, 28, 30, 32, 34, 36</v>
      </c>
      <c r="Y187" t="str">
        <f>IF(Table2[[#This Row],[Column1]]&gt;50%,"HIGH DISCOUNT","LOW DISCOUNT")</f>
        <v>HIGH DISCOUNT</v>
      </c>
    </row>
    <row r="188" spans="1:25" x14ac:dyDescent="0.25">
      <c r="A188" s="1" t="s">
        <v>538</v>
      </c>
      <c r="B188" s="1">
        <v>12222138</v>
      </c>
      <c r="C188" s="1" t="s">
        <v>181</v>
      </c>
      <c r="D188" s="1" t="s">
        <v>41</v>
      </c>
      <c r="E188" s="1" t="s">
        <v>53</v>
      </c>
      <c r="F188" s="1" t="s">
        <v>36</v>
      </c>
      <c r="G188" s="1" t="s">
        <v>539</v>
      </c>
      <c r="I188" s="1">
        <v>1999</v>
      </c>
      <c r="J188" s="1" t="s">
        <v>104</v>
      </c>
      <c r="K188" s="1" t="s">
        <v>134</v>
      </c>
      <c r="L188" s="1">
        <v>3.9</v>
      </c>
      <c r="M188" s="1">
        <v>963</v>
      </c>
      <c r="P188" t="str">
        <f t="shared" si="11"/>
        <v>61%</v>
      </c>
      <c r="Q188" s="12">
        <f t="shared" si="8"/>
        <v>0.61</v>
      </c>
      <c r="R188" s="9">
        <f t="shared" si="9"/>
        <v>779.61000000000013</v>
      </c>
      <c r="S188" s="9">
        <f>IF(R188="",AVERAGEIF(Table1[Category],Table1[[#This Row],[Category]],Table2[orignal data]),Table2[[#This Row],[orignal data]])</f>
        <v>779.61000000000013</v>
      </c>
      <c r="T188" t="str">
        <f t="shared" si="10"/>
        <v>UNIQUE</v>
      </c>
      <c r="U188" t="str">
        <f>IF(ISBLANK(Table1[[#This Row],[SizeOption]]),"NOT AVAILABLE",Table1[[#This Row],[SizeOption]])</f>
        <v>26, 28, 30, 32, 34, 36</v>
      </c>
      <c r="Y188" t="str">
        <f>IF(Table2[[#This Row],[Column1]]&gt;50%,"HIGH DISCOUNT","LOW DISCOUNT")</f>
        <v>HIGH DISCOUNT</v>
      </c>
    </row>
    <row r="189" spans="1:25" x14ac:dyDescent="0.25">
      <c r="A189" s="2" t="s">
        <v>540</v>
      </c>
      <c r="B189" s="2">
        <v>13452040</v>
      </c>
      <c r="C189" s="2" t="s">
        <v>541</v>
      </c>
      <c r="D189" s="2" t="s">
        <v>76</v>
      </c>
      <c r="E189" s="2" t="s">
        <v>93</v>
      </c>
      <c r="F189" s="2" t="s">
        <v>36</v>
      </c>
      <c r="G189" s="2" t="s">
        <v>542</v>
      </c>
      <c r="H189">
        <v>824</v>
      </c>
      <c r="I189" s="2">
        <v>2499</v>
      </c>
      <c r="J189" s="2" t="s">
        <v>543</v>
      </c>
      <c r="K189" s="2" t="s">
        <v>39</v>
      </c>
      <c r="L189" s="2">
        <v>3.7</v>
      </c>
      <c r="M189" s="2">
        <v>962</v>
      </c>
      <c r="P189" t="str">
        <f t="shared" si="11"/>
        <v>67%</v>
      </c>
      <c r="Q189" s="12">
        <f t="shared" si="8"/>
        <v>0.67</v>
      </c>
      <c r="R189" s="9">
        <f t="shared" si="9"/>
        <v>824.66999999999985</v>
      </c>
      <c r="S189" s="9">
        <f>IF(R189="",AVERAGEIF(Table1[Category],Table1[[#This Row],[Category]],Table2[orignal data]),Table2[[#This Row],[orignal data]])</f>
        <v>824.66999999999985</v>
      </c>
      <c r="T189" t="str">
        <f t="shared" si="10"/>
        <v>UNIQUE</v>
      </c>
      <c r="U189" t="str">
        <f>IF(ISBLANK(Table1[[#This Row],[SizeOption]]),"NOT AVAILABLE",Table1[[#This Row],[SizeOption]])</f>
        <v>S, M, L, XL, XXL</v>
      </c>
      <c r="Y189" t="str">
        <f>IF(Table2[[#This Row],[Column1]]&gt;50%,"HIGH DISCOUNT","LOW DISCOUNT")</f>
        <v>HIGH DISCOUNT</v>
      </c>
    </row>
    <row r="190" spans="1:25" x14ac:dyDescent="0.25">
      <c r="A190" s="1" t="s">
        <v>544</v>
      </c>
      <c r="B190" s="1">
        <v>13901198</v>
      </c>
      <c r="C190" s="1" t="s">
        <v>545</v>
      </c>
      <c r="D190" s="1" t="s">
        <v>76</v>
      </c>
      <c r="E190" s="1" t="s">
        <v>320</v>
      </c>
      <c r="F190" s="1" t="s">
        <v>36</v>
      </c>
      <c r="G190" s="1" t="s">
        <v>546</v>
      </c>
      <c r="H190">
        <v>1294</v>
      </c>
      <c r="I190" s="1">
        <v>3699</v>
      </c>
      <c r="J190" s="1" t="s">
        <v>150</v>
      </c>
      <c r="K190" s="1" t="s">
        <v>164</v>
      </c>
      <c r="L190" s="1">
        <v>4.2</v>
      </c>
      <c r="M190" s="1">
        <v>962</v>
      </c>
      <c r="P190" t="str">
        <f t="shared" si="11"/>
        <v>65%</v>
      </c>
      <c r="Q190" s="12">
        <f t="shared" si="8"/>
        <v>0.65</v>
      </c>
      <c r="R190" s="9">
        <f t="shared" si="9"/>
        <v>1294.6500000000001</v>
      </c>
      <c r="S190" s="9">
        <f>IF(R190="",AVERAGEIF(Table1[Category],Table1[[#This Row],[Category]],Table2[orignal data]),Table2[[#This Row],[orignal data]])</f>
        <v>1294.6500000000001</v>
      </c>
      <c r="T190" t="str">
        <f t="shared" si="10"/>
        <v>UNIQUE</v>
      </c>
      <c r="U190" t="str">
        <f>IF(ISBLANK(Table1[[#This Row],[SizeOption]]),"NOT AVAILABLE",Table1[[#This Row],[SizeOption]])</f>
        <v>Onesize</v>
      </c>
      <c r="Y190" t="str">
        <f>IF(Table2[[#This Row],[Column1]]&gt;50%,"HIGH DISCOUNT","LOW DISCOUNT")</f>
        <v>HIGH DISCOUNT</v>
      </c>
    </row>
    <row r="191" spans="1:25" x14ac:dyDescent="0.25">
      <c r="A191" s="2" t="s">
        <v>547</v>
      </c>
      <c r="B191" s="2">
        <v>10939766</v>
      </c>
      <c r="C191" s="2" t="s">
        <v>107</v>
      </c>
      <c r="D191" s="2" t="s">
        <v>34</v>
      </c>
      <c r="E191" s="2" t="s">
        <v>118</v>
      </c>
      <c r="F191" s="2" t="s">
        <v>36</v>
      </c>
      <c r="G191" s="2" t="s">
        <v>548</v>
      </c>
      <c r="H191">
        <v>244</v>
      </c>
      <c r="I191" s="2">
        <v>699</v>
      </c>
      <c r="J191" s="2" t="s">
        <v>150</v>
      </c>
      <c r="K191" s="2" t="s">
        <v>549</v>
      </c>
      <c r="L191" s="2">
        <v>4.2</v>
      </c>
      <c r="M191" s="2">
        <v>962</v>
      </c>
      <c r="P191" t="str">
        <f t="shared" si="11"/>
        <v>65%</v>
      </c>
      <c r="Q191" s="12">
        <f t="shared" si="8"/>
        <v>0.65</v>
      </c>
      <c r="R191" s="9">
        <f t="shared" si="9"/>
        <v>244.64999999999998</v>
      </c>
      <c r="S191" s="9">
        <f>IF(R191="",AVERAGEIF(Table1[Category],Table1[[#This Row],[Category]],Table2[orignal data]),Table2[[#This Row],[orignal data]])</f>
        <v>244.64999999999998</v>
      </c>
      <c r="T191" t="str">
        <f t="shared" si="10"/>
        <v>UNIQUE</v>
      </c>
      <c r="U191" t="str">
        <f>IF(ISBLANK(Table1[[#This Row],[SizeOption]]),"NOT AVAILABLE",Table1[[#This Row],[SizeOption]])</f>
        <v>32B, 32C, 34B, 34C, 34D, 36B, 36C, 36D, 38B, 38C, 38D</v>
      </c>
      <c r="Y191" t="str">
        <f>IF(Table2[[#This Row],[Column1]]&gt;50%,"HIGH DISCOUNT","LOW DISCOUNT")</f>
        <v>HIGH DISCOUNT</v>
      </c>
    </row>
    <row r="192" spans="1:25" x14ac:dyDescent="0.25">
      <c r="A192" s="1" t="s">
        <v>550</v>
      </c>
      <c r="B192" s="1">
        <v>7739835</v>
      </c>
      <c r="C192" s="1" t="s">
        <v>551</v>
      </c>
      <c r="D192" s="1" t="s">
        <v>34</v>
      </c>
      <c r="E192" s="1" t="s">
        <v>552</v>
      </c>
      <c r="F192" s="1" t="s">
        <v>36</v>
      </c>
      <c r="G192" s="1" t="s">
        <v>553</v>
      </c>
      <c r="H192">
        <v>447</v>
      </c>
      <c r="I192" s="1">
        <v>699</v>
      </c>
      <c r="J192" s="1" t="s">
        <v>554</v>
      </c>
      <c r="K192" s="1" t="s">
        <v>164</v>
      </c>
      <c r="L192" s="1">
        <v>4.2</v>
      </c>
      <c r="M192" s="1">
        <v>962</v>
      </c>
      <c r="P192" t="str">
        <f t="shared" si="11"/>
        <v>36%</v>
      </c>
      <c r="Q192" s="12">
        <f t="shared" si="8"/>
        <v>0.36</v>
      </c>
      <c r="R192" s="9">
        <f t="shared" si="9"/>
        <v>447.36</v>
      </c>
      <c r="S192" s="9">
        <f>IF(R192="",AVERAGEIF(Table1[Category],Table1[[#This Row],[Category]],Table2[orignal data]),Table2[[#This Row],[orignal data]])</f>
        <v>447.36</v>
      </c>
      <c r="T192" t="str">
        <f t="shared" si="10"/>
        <v>UNIQUE</v>
      </c>
      <c r="U192" t="str">
        <f>IF(ISBLANK(Table1[[#This Row],[SizeOption]]),"NOT AVAILABLE",Table1[[#This Row],[SizeOption]])</f>
        <v>Onesize</v>
      </c>
      <c r="Y192" t="str">
        <f>IF(Table2[[#This Row],[Column1]]&gt;50%,"HIGH DISCOUNT","LOW DISCOUNT")</f>
        <v>LOW DISCOUNT</v>
      </c>
    </row>
    <row r="193" spans="1:25" x14ac:dyDescent="0.25">
      <c r="A193" s="2" t="s">
        <v>555</v>
      </c>
      <c r="B193" s="2">
        <v>10374655</v>
      </c>
      <c r="C193" s="2" t="s">
        <v>184</v>
      </c>
      <c r="D193" s="2" t="s">
        <v>41</v>
      </c>
      <c r="E193" s="2" t="s">
        <v>48</v>
      </c>
      <c r="F193" s="2" t="s">
        <v>36</v>
      </c>
      <c r="G193" s="2" t="s">
        <v>556</v>
      </c>
      <c r="I193" s="2">
        <v>1299</v>
      </c>
      <c r="J193" s="2" t="s">
        <v>186</v>
      </c>
      <c r="K193" s="2" t="s">
        <v>39</v>
      </c>
      <c r="L193" s="2">
        <v>4.0999999999999996</v>
      </c>
      <c r="M193" s="2">
        <v>962</v>
      </c>
      <c r="P193" t="str">
        <f t="shared" si="11"/>
        <v>30%</v>
      </c>
      <c r="Q193" s="12">
        <f t="shared" si="8"/>
        <v>0.3</v>
      </c>
      <c r="R193" s="9">
        <f t="shared" si="9"/>
        <v>909.3</v>
      </c>
      <c r="S193" s="9">
        <f>IF(R193="",AVERAGEIF(Table1[Category],Table1[[#This Row],[Category]],Table2[orignal data]),Table2[[#This Row],[orignal data]])</f>
        <v>909.3</v>
      </c>
      <c r="T193" t="str">
        <f t="shared" si="10"/>
        <v>UNIQUE</v>
      </c>
      <c r="U193" t="str">
        <f>IF(ISBLANK(Table1[[#This Row],[SizeOption]]),"NOT AVAILABLE",Table1[[#This Row],[SizeOption]])</f>
        <v>S, M, L, XL, XXL</v>
      </c>
      <c r="Y193" t="str">
        <f>IF(Table2[[#This Row],[Column1]]&gt;50%,"HIGH DISCOUNT","LOW DISCOUNT")</f>
        <v>LOW DISCOUNT</v>
      </c>
    </row>
    <row r="194" spans="1:25" x14ac:dyDescent="0.25">
      <c r="A194" s="1" t="s">
        <v>557</v>
      </c>
      <c r="B194" s="1">
        <v>11425620</v>
      </c>
      <c r="C194" s="1" t="s">
        <v>558</v>
      </c>
      <c r="D194" s="1" t="s">
        <v>41</v>
      </c>
      <c r="E194" s="1" t="s">
        <v>148</v>
      </c>
      <c r="F194" s="1" t="s">
        <v>36</v>
      </c>
      <c r="G194" s="1" t="s">
        <v>559</v>
      </c>
      <c r="I194" s="1">
        <v>2999</v>
      </c>
      <c r="J194" s="1" t="s">
        <v>50</v>
      </c>
      <c r="K194" s="1" t="s">
        <v>115</v>
      </c>
      <c r="L194" s="1">
        <v>4.3</v>
      </c>
      <c r="M194" s="1">
        <v>962</v>
      </c>
      <c r="P194" t="str">
        <f t="shared" si="11"/>
        <v>40%</v>
      </c>
      <c r="Q194" s="12">
        <f t="shared" ref="Q194:Q257" si="12">IF(P194="","",IF(ISNUMBER(SEARCH("%",P194)),P194,P194/I194)*100%)</f>
        <v>0.4</v>
      </c>
      <c r="R194" s="9">
        <f t="shared" ref="R194:R257" si="13">IF(P194="","",I194-(I194*Q194))</f>
        <v>1799.3999999999999</v>
      </c>
      <c r="S194" s="9">
        <f>IF(R194="",AVERAGEIF(Table1[Category],Table1[[#This Row],[Category]],Table2[orignal data]),Table2[[#This Row],[orignal data]])</f>
        <v>1799.3999999999999</v>
      </c>
      <c r="T194" t="str">
        <f t="shared" ref="T194:T257" si="14">IF(COUNTIF($B$2:$B$5000,B194)&gt;1,"DUPLICATE","UNIQUE")</f>
        <v>UNIQUE</v>
      </c>
      <c r="U194" t="str">
        <f>IF(ISBLANK(Table1[[#This Row],[SizeOption]]),"NOT AVAILABLE",Table1[[#This Row],[SizeOption]])</f>
        <v>XS, S, M, L, XL, XXL</v>
      </c>
      <c r="Y194" t="str">
        <f>IF(Table2[[#This Row],[Column1]]&gt;50%,"HIGH DISCOUNT","LOW DISCOUNT")</f>
        <v>LOW DISCOUNT</v>
      </c>
    </row>
    <row r="195" spans="1:25" x14ac:dyDescent="0.25">
      <c r="A195" s="2" t="s">
        <v>560</v>
      </c>
      <c r="B195" s="2">
        <v>2133029</v>
      </c>
      <c r="C195" s="2" t="s">
        <v>64</v>
      </c>
      <c r="D195" s="2" t="s">
        <v>15</v>
      </c>
      <c r="E195" s="2" t="s">
        <v>16</v>
      </c>
      <c r="F195" s="2" t="s">
        <v>17</v>
      </c>
      <c r="G195" s="2" t="s">
        <v>561</v>
      </c>
      <c r="H195">
        <v>1034</v>
      </c>
      <c r="I195" s="2">
        <v>2299</v>
      </c>
      <c r="J195" s="2" t="s">
        <v>25</v>
      </c>
      <c r="K195" s="2" t="s">
        <v>20</v>
      </c>
      <c r="L195" s="2">
        <v>3.7</v>
      </c>
      <c r="M195" s="2">
        <v>961</v>
      </c>
      <c r="P195" t="str">
        <f t="shared" ref="P195:P258" si="15">TRIM(SUBSTITUTE(SUBSTITUTE(SUBSTITUTE(SUBSTITUTE(J195,"OFF",""),"Rs.",""),"Hurry*",""),",",""))</f>
        <v>55%</v>
      </c>
      <c r="Q195" s="12">
        <f t="shared" si="12"/>
        <v>0.55000000000000004</v>
      </c>
      <c r="R195" s="9">
        <f t="shared" si="13"/>
        <v>1034.55</v>
      </c>
      <c r="S195" s="9">
        <f>IF(R195="",AVERAGEIF(Table1[Category],Table1[[#This Row],[Category]],Table2[orignal data]),Table2[[#This Row],[orignal data]])</f>
        <v>1034.55</v>
      </c>
      <c r="T195" t="str">
        <f t="shared" si="14"/>
        <v>UNIQUE</v>
      </c>
      <c r="U195" t="str">
        <f>IF(ISBLANK(Table1[[#This Row],[SizeOption]]),"NOT AVAILABLE",Table1[[#This Row],[SizeOption]])</f>
        <v>28, 30, 32, 34, 36</v>
      </c>
      <c r="Y195" t="str">
        <f>IF(Table2[[#This Row],[Column1]]&gt;50%,"HIGH DISCOUNT","LOW DISCOUNT")</f>
        <v>HIGH DISCOUNT</v>
      </c>
    </row>
    <row r="196" spans="1:25" x14ac:dyDescent="0.25">
      <c r="A196" s="1" t="s">
        <v>562</v>
      </c>
      <c r="B196" s="1">
        <v>13676446</v>
      </c>
      <c r="C196" s="1" t="s">
        <v>563</v>
      </c>
      <c r="D196" s="1" t="s">
        <v>197</v>
      </c>
      <c r="E196" s="1" t="s">
        <v>518</v>
      </c>
      <c r="F196" s="1" t="s">
        <v>17</v>
      </c>
      <c r="G196" s="1" t="s">
        <v>564</v>
      </c>
      <c r="H196">
        <v>988</v>
      </c>
      <c r="I196" s="1">
        <v>1798</v>
      </c>
      <c r="J196" s="1" t="s">
        <v>19</v>
      </c>
      <c r="K196" s="1" t="s">
        <v>39</v>
      </c>
      <c r="L196" s="1">
        <v>4.0999999999999996</v>
      </c>
      <c r="M196" s="1">
        <v>961</v>
      </c>
      <c r="P196" t="str">
        <f t="shared" si="15"/>
        <v>45%</v>
      </c>
      <c r="Q196" s="12">
        <f t="shared" si="12"/>
        <v>0.45</v>
      </c>
      <c r="R196" s="9">
        <f t="shared" si="13"/>
        <v>988.9</v>
      </c>
      <c r="S196" s="9">
        <f>IF(R196="",AVERAGEIF(Table1[Category],Table1[[#This Row],[Category]],Table2[orignal data]),Table2[[#This Row],[orignal data]])</f>
        <v>988.9</v>
      </c>
      <c r="T196" t="str">
        <f t="shared" si="14"/>
        <v>UNIQUE</v>
      </c>
      <c r="U196" t="str">
        <f>IF(ISBLANK(Table1[[#This Row],[SizeOption]]),"NOT AVAILABLE",Table1[[#This Row],[SizeOption]])</f>
        <v>S, M, L, XL, XXL</v>
      </c>
      <c r="Y196" t="str">
        <f>IF(Table2[[#This Row],[Column1]]&gt;50%,"HIGH DISCOUNT","LOW DISCOUNT")</f>
        <v>LOW DISCOUNT</v>
      </c>
    </row>
    <row r="197" spans="1:25" x14ac:dyDescent="0.25">
      <c r="A197" s="2" t="s">
        <v>565</v>
      </c>
      <c r="B197" s="2">
        <v>6833068</v>
      </c>
      <c r="C197" s="2" t="s">
        <v>169</v>
      </c>
      <c r="D197" s="2" t="s">
        <v>28</v>
      </c>
      <c r="E197" s="2" t="s">
        <v>42</v>
      </c>
      <c r="F197" s="2" t="s">
        <v>17</v>
      </c>
      <c r="G197" s="2" t="s">
        <v>566</v>
      </c>
      <c r="H197">
        <v>959</v>
      </c>
      <c r="I197" s="2">
        <v>1599</v>
      </c>
      <c r="J197" s="2" t="s">
        <v>50</v>
      </c>
      <c r="K197" s="2" t="s">
        <v>39</v>
      </c>
      <c r="L197" s="2">
        <v>4.0999999999999996</v>
      </c>
      <c r="M197" s="2">
        <v>961</v>
      </c>
      <c r="P197" t="str">
        <f t="shared" si="15"/>
        <v>40%</v>
      </c>
      <c r="Q197" s="12">
        <f t="shared" si="12"/>
        <v>0.4</v>
      </c>
      <c r="R197" s="9">
        <f t="shared" si="13"/>
        <v>959.4</v>
      </c>
      <c r="S197" s="9">
        <f>IF(R197="",AVERAGEIF(Table1[Category],Table1[[#This Row],[Category]],Table2[orignal data]),Table2[[#This Row],[orignal data]])</f>
        <v>959.4</v>
      </c>
      <c r="T197" t="str">
        <f t="shared" si="14"/>
        <v>UNIQUE</v>
      </c>
      <c r="U197" t="str">
        <f>IF(ISBLANK(Table1[[#This Row],[SizeOption]]),"NOT AVAILABLE",Table1[[#This Row],[SizeOption]])</f>
        <v>S, M, L, XL, XXL</v>
      </c>
      <c r="Y197" t="str">
        <f>IF(Table2[[#This Row],[Column1]]&gt;50%,"HIGH DISCOUNT","LOW DISCOUNT")</f>
        <v>LOW DISCOUNT</v>
      </c>
    </row>
    <row r="198" spans="1:25" x14ac:dyDescent="0.25">
      <c r="A198" s="1" t="s">
        <v>567</v>
      </c>
      <c r="B198" s="1">
        <v>10574802</v>
      </c>
      <c r="C198" s="1" t="s">
        <v>14</v>
      </c>
      <c r="D198" s="1" t="s">
        <v>28</v>
      </c>
      <c r="E198" s="1" t="s">
        <v>42</v>
      </c>
      <c r="F198" s="1" t="s">
        <v>17</v>
      </c>
      <c r="G198" s="1" t="s">
        <v>568</v>
      </c>
      <c r="H198">
        <v>449</v>
      </c>
      <c r="I198" s="1">
        <v>899</v>
      </c>
      <c r="J198" s="1" t="s">
        <v>84</v>
      </c>
      <c r="K198" s="1" t="s">
        <v>45</v>
      </c>
      <c r="L198" s="1">
        <v>4.0999999999999996</v>
      </c>
      <c r="M198" s="1">
        <v>961</v>
      </c>
      <c r="P198" t="str">
        <f t="shared" si="15"/>
        <v>50%</v>
      </c>
      <c r="Q198" s="12">
        <f t="shared" si="12"/>
        <v>0.5</v>
      </c>
      <c r="R198" s="9">
        <f t="shared" si="13"/>
        <v>449.5</v>
      </c>
      <c r="S198" s="9">
        <f>IF(R198="",AVERAGEIF(Table1[Category],Table1[[#This Row],[Category]],Table2[orignal data]),Table2[[#This Row],[orignal data]])</f>
        <v>449.5</v>
      </c>
      <c r="T198" t="str">
        <f t="shared" si="14"/>
        <v>UNIQUE</v>
      </c>
      <c r="U198" t="str">
        <f>IF(ISBLANK(Table1[[#This Row],[SizeOption]]),"NOT AVAILABLE",Table1[[#This Row],[SizeOption]])</f>
        <v>XS, S, M, L, XL</v>
      </c>
      <c r="Y198" t="str">
        <f>IF(Table2[[#This Row],[Column1]]&gt;50%,"HIGH DISCOUNT","LOW DISCOUNT")</f>
        <v>LOW DISCOUNT</v>
      </c>
    </row>
    <row r="199" spans="1:25" x14ac:dyDescent="0.25">
      <c r="A199" s="2" t="s">
        <v>569</v>
      </c>
      <c r="B199" s="2">
        <v>13152598</v>
      </c>
      <c r="C199" s="2" t="s">
        <v>570</v>
      </c>
      <c r="D199" s="2" t="s">
        <v>34</v>
      </c>
      <c r="E199" s="2" t="s">
        <v>406</v>
      </c>
      <c r="F199" s="2" t="s">
        <v>36</v>
      </c>
      <c r="G199" s="2" t="s">
        <v>571</v>
      </c>
      <c r="H199">
        <v>959</v>
      </c>
      <c r="I199" s="2">
        <v>1599</v>
      </c>
      <c r="J199" s="2" t="s">
        <v>50</v>
      </c>
      <c r="K199" s="2" t="s">
        <v>39</v>
      </c>
      <c r="L199" s="2">
        <v>4.5</v>
      </c>
      <c r="M199" s="2">
        <v>961</v>
      </c>
      <c r="P199" t="str">
        <f t="shared" si="15"/>
        <v>40%</v>
      </c>
      <c r="Q199" s="12">
        <f t="shared" si="12"/>
        <v>0.4</v>
      </c>
      <c r="R199" s="9">
        <f t="shared" si="13"/>
        <v>959.4</v>
      </c>
      <c r="S199" s="9">
        <f>IF(R199="",AVERAGEIF(Table1[Category],Table1[[#This Row],[Category]],Table2[orignal data]),Table2[[#This Row],[orignal data]])</f>
        <v>959.4</v>
      </c>
      <c r="T199" t="str">
        <f t="shared" si="14"/>
        <v>UNIQUE</v>
      </c>
      <c r="U199" t="str">
        <f>IF(ISBLANK(Table1[[#This Row],[SizeOption]]),"NOT AVAILABLE",Table1[[#This Row],[SizeOption]])</f>
        <v>S, M, L, XL, XXL</v>
      </c>
      <c r="Y199" t="str">
        <f>IF(Table2[[#This Row],[Column1]]&gt;50%,"HIGH DISCOUNT","LOW DISCOUNT")</f>
        <v>LOW DISCOUNT</v>
      </c>
    </row>
    <row r="200" spans="1:25" x14ac:dyDescent="0.25">
      <c r="A200" s="1" t="s">
        <v>572</v>
      </c>
      <c r="B200" s="1">
        <v>1382567</v>
      </c>
      <c r="C200" s="1" t="s">
        <v>573</v>
      </c>
      <c r="D200" s="1" t="s">
        <v>41</v>
      </c>
      <c r="E200" s="1" t="s">
        <v>29</v>
      </c>
      <c r="F200" s="1" t="s">
        <v>36</v>
      </c>
      <c r="G200" s="1" t="s">
        <v>574</v>
      </c>
      <c r="I200" s="1">
        <v>1599</v>
      </c>
      <c r="J200" s="1" t="s">
        <v>60</v>
      </c>
      <c r="K200" s="1" t="s">
        <v>45</v>
      </c>
      <c r="L200" s="1">
        <v>4.2</v>
      </c>
      <c r="M200" s="1">
        <v>961</v>
      </c>
      <c r="P200" t="str">
        <f t="shared" si="15"/>
        <v>58%</v>
      </c>
      <c r="Q200" s="12">
        <f t="shared" si="12"/>
        <v>0.57999999999999996</v>
      </c>
      <c r="R200" s="9">
        <f t="shared" si="13"/>
        <v>671.58</v>
      </c>
      <c r="S200" s="9">
        <f>IF(R200="",AVERAGEIF(Table1[Category],Table1[[#This Row],[Category]],Table2[orignal data]),Table2[[#This Row],[orignal data]])</f>
        <v>671.58</v>
      </c>
      <c r="T200" t="str">
        <f t="shared" si="14"/>
        <v>UNIQUE</v>
      </c>
      <c r="U200" t="str">
        <f>IF(ISBLANK(Table1[[#This Row],[SizeOption]]),"NOT AVAILABLE",Table1[[#This Row],[SizeOption]])</f>
        <v>XS, S, M, L, XL</v>
      </c>
      <c r="Y200" t="str">
        <f>IF(Table2[[#This Row],[Column1]]&gt;50%,"HIGH DISCOUNT","LOW DISCOUNT")</f>
        <v>HIGH DISCOUNT</v>
      </c>
    </row>
    <row r="201" spans="1:25" x14ac:dyDescent="0.25">
      <c r="A201" s="2" t="s">
        <v>575</v>
      </c>
      <c r="B201" s="2">
        <v>8325391</v>
      </c>
      <c r="C201" s="2" t="s">
        <v>47</v>
      </c>
      <c r="D201" s="2" t="s">
        <v>41</v>
      </c>
      <c r="E201" s="2" t="s">
        <v>42</v>
      </c>
      <c r="F201" s="2" t="s">
        <v>36</v>
      </c>
      <c r="G201" s="2" t="s">
        <v>576</v>
      </c>
      <c r="I201" s="2">
        <v>899</v>
      </c>
      <c r="J201" s="2" t="s">
        <v>577</v>
      </c>
      <c r="K201" s="2" t="s">
        <v>45</v>
      </c>
      <c r="L201" s="2">
        <v>4.3</v>
      </c>
      <c r="M201" s="2">
        <v>961</v>
      </c>
      <c r="P201" t="str">
        <f t="shared" si="15"/>
        <v>400</v>
      </c>
      <c r="Q201" s="12">
        <f t="shared" si="12"/>
        <v>0.44493882091212456</v>
      </c>
      <c r="R201" s="9">
        <f t="shared" si="13"/>
        <v>499</v>
      </c>
      <c r="S201" s="9">
        <f>IF(R201="",AVERAGEIF(Table1[Category],Table1[[#This Row],[Category]],Table2[orignal data]),Table2[[#This Row],[orignal data]])</f>
        <v>499</v>
      </c>
      <c r="T201" t="str">
        <f t="shared" si="14"/>
        <v>UNIQUE</v>
      </c>
      <c r="U201" t="str">
        <f>IF(ISBLANK(Table1[[#This Row],[SizeOption]]),"NOT AVAILABLE",Table1[[#This Row],[SizeOption]])</f>
        <v>XS, S, M, L, XL</v>
      </c>
      <c r="Y201" t="str">
        <f>IF(Table2[[#This Row],[Column1]]&gt;50%,"HIGH DISCOUNT","LOW DISCOUNT")</f>
        <v>LOW DISCOUNT</v>
      </c>
    </row>
    <row r="202" spans="1:25" x14ac:dyDescent="0.25">
      <c r="A202" s="1" t="s">
        <v>578</v>
      </c>
      <c r="B202" s="1">
        <v>10967486</v>
      </c>
      <c r="C202" s="1" t="s">
        <v>14</v>
      </c>
      <c r="D202" s="1" t="s">
        <v>41</v>
      </c>
      <c r="E202" s="1" t="s">
        <v>579</v>
      </c>
      <c r="F202" s="1" t="s">
        <v>36</v>
      </c>
      <c r="G202" s="1" t="s">
        <v>580</v>
      </c>
      <c r="I202" s="1">
        <v>1499</v>
      </c>
      <c r="J202" s="1" t="s">
        <v>84</v>
      </c>
      <c r="K202" s="1" t="s">
        <v>134</v>
      </c>
      <c r="L202" s="1">
        <v>4.0999999999999996</v>
      </c>
      <c r="M202" s="1">
        <v>960</v>
      </c>
      <c r="P202" t="str">
        <f t="shared" si="15"/>
        <v>50%</v>
      </c>
      <c r="Q202" s="12">
        <f t="shared" si="12"/>
        <v>0.5</v>
      </c>
      <c r="R202" s="9">
        <f t="shared" si="13"/>
        <v>749.5</v>
      </c>
      <c r="S202" s="9">
        <f>IF(R202="",AVERAGEIF(Table1[Category],Table1[[#This Row],[Category]],Table2[orignal data]),Table2[[#This Row],[orignal data]])</f>
        <v>749.5</v>
      </c>
      <c r="T202" t="str">
        <f t="shared" si="14"/>
        <v>UNIQUE</v>
      </c>
      <c r="U202" t="str">
        <f>IF(ISBLANK(Table1[[#This Row],[SizeOption]]),"NOT AVAILABLE",Table1[[#This Row],[SizeOption]])</f>
        <v>26, 28, 30, 32, 34, 36</v>
      </c>
      <c r="Y202" t="str">
        <f>IF(Table2[[#This Row],[Column1]]&gt;50%,"HIGH DISCOUNT","LOW DISCOUNT")</f>
        <v>LOW DISCOUNT</v>
      </c>
    </row>
    <row r="203" spans="1:25" x14ac:dyDescent="0.25">
      <c r="A203" s="2" t="s">
        <v>581</v>
      </c>
      <c r="B203" s="2">
        <v>9838337</v>
      </c>
      <c r="C203" s="2" t="s">
        <v>22</v>
      </c>
      <c r="D203" s="2" t="s">
        <v>15</v>
      </c>
      <c r="E203" s="2" t="s">
        <v>16</v>
      </c>
      <c r="F203" s="2" t="s">
        <v>17</v>
      </c>
      <c r="G203" s="2" t="s">
        <v>582</v>
      </c>
      <c r="H203">
        <v>874</v>
      </c>
      <c r="I203" s="2">
        <v>2499</v>
      </c>
      <c r="J203" s="2" t="s">
        <v>150</v>
      </c>
      <c r="K203" s="2" t="s">
        <v>56</v>
      </c>
      <c r="L203" s="2">
        <v>3.7</v>
      </c>
      <c r="M203" s="2">
        <v>959</v>
      </c>
      <c r="P203" t="str">
        <f t="shared" si="15"/>
        <v>65%</v>
      </c>
      <c r="Q203" s="12">
        <f t="shared" si="12"/>
        <v>0.65</v>
      </c>
      <c r="R203" s="9">
        <f t="shared" si="13"/>
        <v>874.64999999999986</v>
      </c>
      <c r="S203" s="9">
        <f>IF(R203="",AVERAGEIF(Table1[Category],Table1[[#This Row],[Category]],Table2[orignal data]),Table2[[#This Row],[orignal data]])</f>
        <v>874.64999999999986</v>
      </c>
      <c r="T203" t="str">
        <f t="shared" si="14"/>
        <v>UNIQUE</v>
      </c>
      <c r="U203" t="str">
        <f>IF(ISBLANK(Table1[[#This Row],[SizeOption]]),"NOT AVAILABLE",Table1[[#This Row],[SizeOption]])</f>
        <v>30, 32, 34, 36</v>
      </c>
      <c r="Y203" t="str">
        <f>IF(Table2[[#This Row],[Column1]]&gt;50%,"HIGH DISCOUNT","LOW DISCOUNT")</f>
        <v>HIGH DISCOUNT</v>
      </c>
    </row>
    <row r="204" spans="1:25" x14ac:dyDescent="0.25">
      <c r="A204" s="1" t="s">
        <v>583</v>
      </c>
      <c r="B204" s="1">
        <v>10064539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584</v>
      </c>
      <c r="H204">
        <v>899</v>
      </c>
      <c r="I204" s="1">
        <v>1999</v>
      </c>
      <c r="J204" s="1" t="s">
        <v>25</v>
      </c>
      <c r="K204" s="1" t="s">
        <v>20</v>
      </c>
      <c r="L204" s="1">
        <v>3.8</v>
      </c>
      <c r="M204" s="1">
        <v>959</v>
      </c>
      <c r="P204" t="str">
        <f t="shared" si="15"/>
        <v>55%</v>
      </c>
      <c r="Q204" s="12">
        <f t="shared" si="12"/>
        <v>0.55000000000000004</v>
      </c>
      <c r="R204" s="9">
        <f t="shared" si="13"/>
        <v>899.55</v>
      </c>
      <c r="S204" s="9">
        <f>IF(R204="",AVERAGEIF(Table1[Category],Table1[[#This Row],[Category]],Table2[orignal data]),Table2[[#This Row],[orignal data]])</f>
        <v>899.55</v>
      </c>
      <c r="T204" t="str">
        <f t="shared" si="14"/>
        <v>UNIQUE</v>
      </c>
      <c r="U204" t="str">
        <f>IF(ISBLANK(Table1[[#This Row],[SizeOption]]),"NOT AVAILABLE",Table1[[#This Row],[SizeOption]])</f>
        <v>28, 30, 32, 34, 36</v>
      </c>
      <c r="Y204" t="str">
        <f>IF(Table2[[#This Row],[Column1]]&gt;50%,"HIGH DISCOUNT","LOW DISCOUNT")</f>
        <v>HIGH DISCOUNT</v>
      </c>
    </row>
    <row r="205" spans="1:25" x14ac:dyDescent="0.25">
      <c r="A205" s="2" t="s">
        <v>585</v>
      </c>
      <c r="B205" s="2">
        <v>11361424</v>
      </c>
      <c r="C205" s="2" t="s">
        <v>169</v>
      </c>
      <c r="D205" s="2" t="s">
        <v>28</v>
      </c>
      <c r="E205" s="2" t="s">
        <v>29</v>
      </c>
      <c r="F205" s="2" t="s">
        <v>17</v>
      </c>
      <c r="G205" s="2" t="s">
        <v>586</v>
      </c>
      <c r="H205">
        <v>1319</v>
      </c>
      <c r="I205" s="2">
        <v>2399</v>
      </c>
      <c r="J205" s="2" t="s">
        <v>19</v>
      </c>
      <c r="K205" s="2" t="s">
        <v>484</v>
      </c>
      <c r="L205" s="2">
        <v>4.3</v>
      </c>
      <c r="M205" s="2">
        <v>959</v>
      </c>
      <c r="P205" t="str">
        <f t="shared" si="15"/>
        <v>45%</v>
      </c>
      <c r="Q205" s="12">
        <f t="shared" si="12"/>
        <v>0.45</v>
      </c>
      <c r="R205" s="9">
        <f t="shared" si="13"/>
        <v>1319.45</v>
      </c>
      <c r="S205" s="9">
        <f>IF(R205="",AVERAGEIF(Table1[Category],Table1[[#This Row],[Category]],Table2[orignal data]),Table2[[#This Row],[orignal data]])</f>
        <v>1319.45</v>
      </c>
      <c r="T205" t="str">
        <f t="shared" si="14"/>
        <v>UNIQUE</v>
      </c>
      <c r="U205" t="str">
        <f>IF(ISBLANK(Table1[[#This Row],[SizeOption]]),"NOT AVAILABLE",Table1[[#This Row],[SizeOption]])</f>
        <v>39, 40, 42, 44, 46</v>
      </c>
      <c r="Y205" t="str">
        <f>IF(Table2[[#This Row],[Column1]]&gt;50%,"HIGH DISCOUNT","LOW DISCOUNT")</f>
        <v>LOW DISCOUNT</v>
      </c>
    </row>
    <row r="206" spans="1:25" x14ac:dyDescent="0.25">
      <c r="A206" s="1" t="s">
        <v>587</v>
      </c>
      <c r="B206" s="1">
        <v>11897388</v>
      </c>
      <c r="C206" s="1" t="s">
        <v>92</v>
      </c>
      <c r="D206" s="1" t="s">
        <v>76</v>
      </c>
      <c r="E206" s="1" t="s">
        <v>93</v>
      </c>
      <c r="F206" s="1" t="s">
        <v>36</v>
      </c>
      <c r="G206" s="1" t="s">
        <v>588</v>
      </c>
      <c r="H206">
        <v>649</v>
      </c>
      <c r="I206" s="1">
        <v>3249</v>
      </c>
      <c r="J206" s="1" t="s">
        <v>589</v>
      </c>
      <c r="K206" s="1" t="s">
        <v>39</v>
      </c>
      <c r="L206" s="1">
        <v>4.2</v>
      </c>
      <c r="M206" s="1">
        <v>959</v>
      </c>
      <c r="P206" t="str">
        <f t="shared" si="15"/>
        <v>80%</v>
      </c>
      <c r="Q206" s="12">
        <f t="shared" si="12"/>
        <v>0.8</v>
      </c>
      <c r="R206" s="9">
        <f t="shared" si="13"/>
        <v>649.79999999999973</v>
      </c>
      <c r="S206" s="9">
        <f>IF(R206="",AVERAGEIF(Table1[Category],Table1[[#This Row],[Category]],Table2[orignal data]),Table2[[#This Row],[orignal data]])</f>
        <v>649.79999999999973</v>
      </c>
      <c r="T206" t="str">
        <f t="shared" si="14"/>
        <v>UNIQUE</v>
      </c>
      <c r="U206" t="str">
        <f>IF(ISBLANK(Table1[[#This Row],[SizeOption]]),"NOT AVAILABLE",Table1[[#This Row],[SizeOption]])</f>
        <v>S, M, L, XL, XXL</v>
      </c>
      <c r="Y206" t="str">
        <f>IF(Table2[[#This Row],[Column1]]&gt;50%,"HIGH DISCOUNT","LOW DISCOUNT")</f>
        <v>HIGH DISCOUNT</v>
      </c>
    </row>
    <row r="207" spans="1:25" x14ac:dyDescent="0.25">
      <c r="A207" s="2" t="s">
        <v>590</v>
      </c>
      <c r="B207" s="2">
        <v>4891840</v>
      </c>
      <c r="C207" s="2" t="s">
        <v>591</v>
      </c>
      <c r="D207" s="2" t="s">
        <v>76</v>
      </c>
      <c r="E207" s="2" t="s">
        <v>592</v>
      </c>
      <c r="F207" s="2" t="s">
        <v>36</v>
      </c>
      <c r="G207" s="2" t="s">
        <v>593</v>
      </c>
      <c r="I207" s="2">
        <v>699</v>
      </c>
      <c r="J207" s="2"/>
      <c r="K207" s="2" t="s">
        <v>26</v>
      </c>
      <c r="L207" s="2">
        <v>4.5</v>
      </c>
      <c r="M207" s="2">
        <v>959</v>
      </c>
      <c r="P207" t="str">
        <f t="shared" si="15"/>
        <v/>
      </c>
      <c r="Q207" s="12" t="str">
        <f t="shared" si="12"/>
        <v/>
      </c>
      <c r="R207" s="9" t="str">
        <f t="shared" si="13"/>
        <v/>
      </c>
      <c r="S207" s="9">
        <f>IF(R207="",AVERAGEIF(Table1[Category],Table1[[#This Row],[Category]],Table2[orignal data]),Table2[[#This Row],[orignal data]])</f>
        <v>1045.2418648648661</v>
      </c>
      <c r="T207" t="str">
        <f t="shared" si="14"/>
        <v>UNIQUE</v>
      </c>
      <c r="U207" t="str">
        <f>IF(ISBLANK(Table1[[#This Row],[SizeOption]]),"NOT AVAILABLE",Table1[[#This Row],[SizeOption]])</f>
        <v>S, M, L, XL</v>
      </c>
      <c r="Y207" t="str">
        <f>IF(Table2[[#This Row],[Column1]]&gt;50%,"HIGH DISCOUNT","LOW DISCOUNT")</f>
        <v>HIGH DISCOUNT</v>
      </c>
    </row>
    <row r="208" spans="1:25" x14ac:dyDescent="0.25">
      <c r="A208" s="1" t="s">
        <v>594</v>
      </c>
      <c r="B208" s="1">
        <v>8861985</v>
      </c>
      <c r="C208" s="1" t="s">
        <v>225</v>
      </c>
      <c r="D208" s="1" t="s">
        <v>41</v>
      </c>
      <c r="E208" s="1" t="s">
        <v>48</v>
      </c>
      <c r="F208" s="1" t="s">
        <v>36</v>
      </c>
      <c r="G208" s="1" t="s">
        <v>595</v>
      </c>
      <c r="I208" s="1">
        <v>1499</v>
      </c>
      <c r="J208" s="1" t="s">
        <v>55</v>
      </c>
      <c r="K208" s="1" t="s">
        <v>26</v>
      </c>
      <c r="L208" s="1">
        <v>4.4000000000000004</v>
      </c>
      <c r="M208" s="1">
        <v>959</v>
      </c>
      <c r="P208" t="str">
        <f t="shared" si="15"/>
        <v>60%</v>
      </c>
      <c r="Q208" s="12">
        <f t="shared" si="12"/>
        <v>0.6</v>
      </c>
      <c r="R208" s="9">
        <f t="shared" si="13"/>
        <v>599.6</v>
      </c>
      <c r="S208" s="9">
        <f>IF(R208="",AVERAGEIF(Table1[Category],Table1[[#This Row],[Category]],Table2[orignal data]),Table2[[#This Row],[orignal data]])</f>
        <v>599.6</v>
      </c>
      <c r="T208" t="str">
        <f t="shared" si="14"/>
        <v>UNIQUE</v>
      </c>
      <c r="U208" t="str">
        <f>IF(ISBLANK(Table1[[#This Row],[SizeOption]]),"NOT AVAILABLE",Table1[[#This Row],[SizeOption]])</f>
        <v>S, M, L, XL</v>
      </c>
      <c r="Y208" t="str">
        <f>IF(Table2[[#This Row],[Column1]]&gt;50%,"HIGH DISCOUNT","LOW DISCOUNT")</f>
        <v>HIGH DISCOUNT</v>
      </c>
    </row>
    <row r="209" spans="1:25" x14ac:dyDescent="0.25">
      <c r="A209" s="2" t="s">
        <v>596</v>
      </c>
      <c r="B209" s="2">
        <v>1729302</v>
      </c>
      <c r="C209" s="2" t="s">
        <v>169</v>
      </c>
      <c r="D209" s="2" t="s">
        <v>15</v>
      </c>
      <c r="E209" s="2" t="s">
        <v>16</v>
      </c>
      <c r="F209" s="2" t="s">
        <v>17</v>
      </c>
      <c r="G209" s="2" t="s">
        <v>597</v>
      </c>
      <c r="H209">
        <v>1649</v>
      </c>
      <c r="I209" s="2">
        <v>2999</v>
      </c>
      <c r="J209" s="2" t="s">
        <v>19</v>
      </c>
      <c r="K209" s="2" t="s">
        <v>171</v>
      </c>
      <c r="L209" s="2">
        <v>4.0999999999999996</v>
      </c>
      <c r="M209" s="2">
        <v>958</v>
      </c>
      <c r="P209" t="str">
        <f t="shared" si="15"/>
        <v>45%</v>
      </c>
      <c r="Q209" s="12">
        <f t="shared" si="12"/>
        <v>0.45</v>
      </c>
      <c r="R209" s="9">
        <f t="shared" si="13"/>
        <v>1649.45</v>
      </c>
      <c r="S209" s="9">
        <f>IF(R209="",AVERAGEIF(Table1[Category],Table1[[#This Row],[Category]],Table2[orignal data]),Table2[[#This Row],[orignal data]])</f>
        <v>1649.45</v>
      </c>
      <c r="T209" t="str">
        <f t="shared" si="14"/>
        <v>UNIQUE</v>
      </c>
      <c r="U209" t="str">
        <f>IF(ISBLANK(Table1[[#This Row],[SizeOption]]),"NOT AVAILABLE",Table1[[#This Row],[SizeOption]])</f>
        <v>28, 30, 32, 34, 36, 38</v>
      </c>
      <c r="Y209" t="str">
        <f>IF(Table2[[#This Row],[Column1]]&gt;50%,"HIGH DISCOUNT","LOW DISCOUNT")</f>
        <v>LOW DISCOUNT</v>
      </c>
    </row>
    <row r="210" spans="1:25" x14ac:dyDescent="0.25">
      <c r="A210" s="1" t="s">
        <v>598</v>
      </c>
      <c r="B210" s="1">
        <v>2095982</v>
      </c>
      <c r="C210" s="1" t="s">
        <v>430</v>
      </c>
      <c r="D210" s="1" t="s">
        <v>28</v>
      </c>
      <c r="E210" s="1" t="s">
        <v>42</v>
      </c>
      <c r="F210" s="1" t="s">
        <v>17</v>
      </c>
      <c r="G210" s="1" t="s">
        <v>599</v>
      </c>
      <c r="H210">
        <v>439</v>
      </c>
      <c r="I210" s="1">
        <v>1099</v>
      </c>
      <c r="J210" s="1" t="s">
        <v>55</v>
      </c>
      <c r="K210" s="1" t="s">
        <v>39</v>
      </c>
      <c r="L210" s="1">
        <v>3.7</v>
      </c>
      <c r="M210" s="1">
        <v>958</v>
      </c>
      <c r="P210" t="str">
        <f t="shared" si="15"/>
        <v>60%</v>
      </c>
      <c r="Q210" s="12">
        <f t="shared" si="12"/>
        <v>0.6</v>
      </c>
      <c r="R210" s="9">
        <f t="shared" si="13"/>
        <v>439.6</v>
      </c>
      <c r="S210" s="9">
        <f>IF(R210="",AVERAGEIF(Table1[Category],Table1[[#This Row],[Category]],Table2[orignal data]),Table2[[#This Row],[orignal data]])</f>
        <v>439.6</v>
      </c>
      <c r="T210" t="str">
        <f t="shared" si="14"/>
        <v>UNIQUE</v>
      </c>
      <c r="U210" t="str">
        <f>IF(ISBLANK(Table1[[#This Row],[SizeOption]]),"NOT AVAILABLE",Table1[[#This Row],[SizeOption]])</f>
        <v>S, M, L, XL, XXL</v>
      </c>
      <c r="Y210" t="str">
        <f>IF(Table2[[#This Row],[Column1]]&gt;50%,"HIGH DISCOUNT","LOW DISCOUNT")</f>
        <v>HIGH DISCOUNT</v>
      </c>
    </row>
    <row r="211" spans="1:25" x14ac:dyDescent="0.25">
      <c r="A211" s="2" t="s">
        <v>600</v>
      </c>
      <c r="B211" s="2">
        <v>2041659</v>
      </c>
      <c r="C211" s="2" t="s">
        <v>52</v>
      </c>
      <c r="D211" s="2" t="s">
        <v>28</v>
      </c>
      <c r="E211" s="2" t="s">
        <v>29</v>
      </c>
      <c r="F211" s="2" t="s">
        <v>17</v>
      </c>
      <c r="G211" s="2" t="s">
        <v>601</v>
      </c>
      <c r="H211">
        <v>571</v>
      </c>
      <c r="I211" s="2">
        <v>1099</v>
      </c>
      <c r="J211" s="2" t="s">
        <v>602</v>
      </c>
      <c r="K211" s="2" t="s">
        <v>90</v>
      </c>
      <c r="L211" s="2">
        <v>4.0999999999999996</v>
      </c>
      <c r="M211" s="2">
        <v>958</v>
      </c>
      <c r="P211" t="str">
        <f t="shared" si="15"/>
        <v>48%</v>
      </c>
      <c r="Q211" s="12">
        <f t="shared" si="12"/>
        <v>0.48</v>
      </c>
      <c r="R211" s="9">
        <f t="shared" si="13"/>
        <v>571.48</v>
      </c>
      <c r="S211" s="9">
        <f>IF(R211="",AVERAGEIF(Table1[Category],Table1[[#This Row],[Category]],Table2[orignal data]),Table2[[#This Row],[orignal data]])</f>
        <v>571.48</v>
      </c>
      <c r="T211" t="str">
        <f t="shared" si="14"/>
        <v>UNIQUE</v>
      </c>
      <c r="U211" t="str">
        <f>IF(ISBLANK(Table1[[#This Row],[SizeOption]]),"NOT AVAILABLE",Table1[[#This Row],[SizeOption]])</f>
        <v>39, 40, 42, 44</v>
      </c>
      <c r="Y211" t="str">
        <f>IF(Table2[[#This Row],[Column1]]&gt;50%,"HIGH DISCOUNT","LOW DISCOUNT")</f>
        <v>LOW DISCOUNT</v>
      </c>
    </row>
    <row r="212" spans="1:25" x14ac:dyDescent="0.25">
      <c r="A212" s="1" t="s">
        <v>603</v>
      </c>
      <c r="B212" s="1">
        <v>5126313</v>
      </c>
      <c r="C212" s="1" t="s">
        <v>604</v>
      </c>
      <c r="D212" s="1" t="s">
        <v>28</v>
      </c>
      <c r="E212" s="1" t="s">
        <v>29</v>
      </c>
      <c r="F212" s="1" t="s">
        <v>17</v>
      </c>
      <c r="G212" s="1" t="s">
        <v>605</v>
      </c>
      <c r="H212">
        <v>597</v>
      </c>
      <c r="I212" s="1">
        <v>1299</v>
      </c>
      <c r="J212" s="1" t="s">
        <v>606</v>
      </c>
      <c r="K212" s="1" t="s">
        <v>607</v>
      </c>
      <c r="L212" s="1">
        <v>3.9</v>
      </c>
      <c r="M212" s="1">
        <v>958</v>
      </c>
      <c r="P212" t="str">
        <f t="shared" si="15"/>
        <v>54%</v>
      </c>
      <c r="Q212" s="12">
        <f t="shared" si="12"/>
        <v>0.54</v>
      </c>
      <c r="R212" s="9">
        <f t="shared" si="13"/>
        <v>597.54</v>
      </c>
      <c r="S212" s="9">
        <f>IF(R212="",AVERAGEIF(Table1[Category],Table1[[#This Row],[Category]],Table2[orignal data]),Table2[[#This Row],[orignal data]])</f>
        <v>597.54</v>
      </c>
      <c r="T212" t="str">
        <f t="shared" si="14"/>
        <v>UNIQUE</v>
      </c>
      <c r="U212" t="str">
        <f>IF(ISBLANK(Table1[[#This Row],[SizeOption]]),"NOT AVAILABLE",Table1[[#This Row],[SizeOption]])</f>
        <v>36, 38, 40, 42, 44</v>
      </c>
      <c r="Y212" t="str">
        <f>IF(Table2[[#This Row],[Column1]]&gt;50%,"HIGH DISCOUNT","LOW DISCOUNT")</f>
        <v>HIGH DISCOUNT</v>
      </c>
    </row>
    <row r="213" spans="1:25" x14ac:dyDescent="0.25">
      <c r="A213" s="2" t="s">
        <v>608</v>
      </c>
      <c r="B213" s="2">
        <v>11895996</v>
      </c>
      <c r="C213" s="2" t="s">
        <v>14</v>
      </c>
      <c r="D213" s="2" t="s">
        <v>28</v>
      </c>
      <c r="E213" s="2" t="s">
        <v>29</v>
      </c>
      <c r="F213" s="2" t="s">
        <v>17</v>
      </c>
      <c r="G213" s="2" t="s">
        <v>609</v>
      </c>
      <c r="H213">
        <v>549</v>
      </c>
      <c r="I213" s="2">
        <v>999</v>
      </c>
      <c r="J213" s="2" t="s">
        <v>19</v>
      </c>
      <c r="K213" s="2" t="s">
        <v>253</v>
      </c>
      <c r="L213" s="2">
        <v>4.2</v>
      </c>
      <c r="M213" s="2">
        <v>958</v>
      </c>
      <c r="P213" t="str">
        <f t="shared" si="15"/>
        <v>45%</v>
      </c>
      <c r="Q213" s="12">
        <f t="shared" si="12"/>
        <v>0.45</v>
      </c>
      <c r="R213" s="9">
        <f t="shared" si="13"/>
        <v>549.45000000000005</v>
      </c>
      <c r="S213" s="9">
        <f>IF(R213="",AVERAGEIF(Table1[Category],Table1[[#This Row],[Category]],Table2[orignal data]),Table2[[#This Row],[orignal data]])</f>
        <v>549.45000000000005</v>
      </c>
      <c r="T213" t="str">
        <f t="shared" si="14"/>
        <v>UNIQUE</v>
      </c>
      <c r="U213" t="str">
        <f>IF(ISBLANK(Table1[[#This Row],[SizeOption]]),"NOT AVAILABLE",Table1[[#This Row],[SizeOption]])</f>
        <v>38, 40, 42, 44</v>
      </c>
      <c r="Y213" t="str">
        <f>IF(Table2[[#This Row],[Column1]]&gt;50%,"HIGH DISCOUNT","LOW DISCOUNT")</f>
        <v>LOW DISCOUNT</v>
      </c>
    </row>
    <row r="214" spans="1:25" x14ac:dyDescent="0.25">
      <c r="A214" s="1" t="s">
        <v>610</v>
      </c>
      <c r="B214" s="1">
        <v>12851400</v>
      </c>
      <c r="C214" s="1" t="s">
        <v>64</v>
      </c>
      <c r="D214" s="1" t="s">
        <v>98</v>
      </c>
      <c r="E214" s="1" t="s">
        <v>93</v>
      </c>
      <c r="F214" s="1" t="s">
        <v>36</v>
      </c>
      <c r="G214" s="1" t="s">
        <v>611</v>
      </c>
      <c r="H214">
        <v>629</v>
      </c>
      <c r="I214" s="1">
        <v>1399</v>
      </c>
      <c r="J214" s="1" t="s">
        <v>25</v>
      </c>
      <c r="K214" s="1" t="s">
        <v>100</v>
      </c>
      <c r="L214" s="1">
        <v>4.2</v>
      </c>
      <c r="M214" s="1">
        <v>958</v>
      </c>
      <c r="P214" t="str">
        <f t="shared" si="15"/>
        <v>55%</v>
      </c>
      <c r="Q214" s="12">
        <f t="shared" si="12"/>
        <v>0.55000000000000004</v>
      </c>
      <c r="R214" s="9">
        <f t="shared" si="13"/>
        <v>629.54999999999995</v>
      </c>
      <c r="S214" s="9">
        <f>IF(R214="",AVERAGEIF(Table1[Category],Table1[[#This Row],[Category]],Table2[orignal data]),Table2[[#This Row],[orignal data]])</f>
        <v>629.54999999999995</v>
      </c>
      <c r="T214" t="str">
        <f t="shared" si="14"/>
        <v>UNIQUE</v>
      </c>
      <c r="U214" t="str">
        <f>IF(ISBLANK(Table1[[#This Row],[SizeOption]]),"NOT AVAILABLE",Table1[[#This Row],[SizeOption]])</f>
        <v>XS, S, M, L, XL, XXL, 3XL</v>
      </c>
      <c r="Y214" t="str">
        <f>IF(Table2[[#This Row],[Column1]]&gt;50%,"HIGH DISCOUNT","LOW DISCOUNT")</f>
        <v>HIGH DISCOUNT</v>
      </c>
    </row>
    <row r="215" spans="1:25" x14ac:dyDescent="0.25">
      <c r="A215" s="2" t="s">
        <v>612</v>
      </c>
      <c r="B215" s="2">
        <v>14094532</v>
      </c>
      <c r="C215" s="2" t="s">
        <v>613</v>
      </c>
      <c r="D215" s="2" t="s">
        <v>28</v>
      </c>
      <c r="E215" s="2" t="s">
        <v>29</v>
      </c>
      <c r="F215" s="2" t="s">
        <v>17</v>
      </c>
      <c r="G215" s="2" t="s">
        <v>614</v>
      </c>
      <c r="H215">
        <v>684</v>
      </c>
      <c r="I215" s="2">
        <v>1849</v>
      </c>
      <c r="J215" s="2" t="s">
        <v>476</v>
      </c>
      <c r="K215" s="2" t="s">
        <v>361</v>
      </c>
      <c r="L215" s="2">
        <v>4.2</v>
      </c>
      <c r="M215" s="2">
        <v>957</v>
      </c>
      <c r="P215" t="str">
        <f t="shared" si="15"/>
        <v>63%</v>
      </c>
      <c r="Q215" s="12">
        <f t="shared" si="12"/>
        <v>0.63</v>
      </c>
      <c r="R215" s="9">
        <f t="shared" si="13"/>
        <v>684.12999999999988</v>
      </c>
      <c r="S215" s="9">
        <f>IF(R215="",AVERAGEIF(Table1[Category],Table1[[#This Row],[Category]],Table2[orignal data]),Table2[[#This Row],[orignal data]])</f>
        <v>684.12999999999988</v>
      </c>
      <c r="T215" t="str">
        <f t="shared" si="14"/>
        <v>UNIQUE</v>
      </c>
      <c r="U215" t="str">
        <f>IF(ISBLANK(Table1[[#This Row],[SizeOption]]),"NOT AVAILABLE",Table1[[#This Row],[SizeOption]])</f>
        <v>38, 40, 42, 44, 46</v>
      </c>
      <c r="Y215" t="str">
        <f>IF(Table2[[#This Row],[Column1]]&gt;50%,"HIGH DISCOUNT","LOW DISCOUNT")</f>
        <v>HIGH DISCOUNT</v>
      </c>
    </row>
    <row r="216" spans="1:25" x14ac:dyDescent="0.25">
      <c r="A216" s="1" t="s">
        <v>615</v>
      </c>
      <c r="B216" s="1">
        <v>2444567</v>
      </c>
      <c r="C216" s="1" t="s">
        <v>47</v>
      </c>
      <c r="D216" s="1" t="s">
        <v>28</v>
      </c>
      <c r="E216" s="1" t="s">
        <v>29</v>
      </c>
      <c r="F216" s="1" t="s">
        <v>17</v>
      </c>
      <c r="G216" s="1" t="s">
        <v>616</v>
      </c>
      <c r="H216">
        <v>1099</v>
      </c>
      <c r="I216" s="1">
        <v>2199</v>
      </c>
      <c r="J216" s="1" t="s">
        <v>84</v>
      </c>
      <c r="K216" s="1" t="s">
        <v>253</v>
      </c>
      <c r="L216" s="1">
        <v>3.9</v>
      </c>
      <c r="M216" s="1">
        <v>957</v>
      </c>
      <c r="P216" t="str">
        <f t="shared" si="15"/>
        <v>50%</v>
      </c>
      <c r="Q216" s="12">
        <f t="shared" si="12"/>
        <v>0.5</v>
      </c>
      <c r="R216" s="9">
        <f t="shared" si="13"/>
        <v>1099.5</v>
      </c>
      <c r="S216" s="9">
        <f>IF(R216="",AVERAGEIF(Table1[Category],Table1[[#This Row],[Category]],Table2[orignal data]),Table2[[#This Row],[orignal data]])</f>
        <v>1099.5</v>
      </c>
      <c r="T216" t="str">
        <f t="shared" si="14"/>
        <v>UNIQUE</v>
      </c>
      <c r="U216" t="str">
        <f>IF(ISBLANK(Table1[[#This Row],[SizeOption]]),"NOT AVAILABLE",Table1[[#This Row],[SizeOption]])</f>
        <v>38, 40, 42, 44</v>
      </c>
      <c r="Y216" t="str">
        <f>IF(Table2[[#This Row],[Column1]]&gt;50%,"HIGH DISCOUNT","LOW DISCOUNT")</f>
        <v>LOW DISCOUNT</v>
      </c>
    </row>
    <row r="217" spans="1:25" x14ac:dyDescent="0.25">
      <c r="A217" s="2" t="s">
        <v>617</v>
      </c>
      <c r="B217" s="2">
        <v>12123128</v>
      </c>
      <c r="C217" s="2" t="s">
        <v>14</v>
      </c>
      <c r="D217" s="2" t="s">
        <v>28</v>
      </c>
      <c r="E217" s="2" t="s">
        <v>42</v>
      </c>
      <c r="F217" s="2" t="s">
        <v>17</v>
      </c>
      <c r="G217" s="2" t="s">
        <v>618</v>
      </c>
      <c r="H217">
        <v>494</v>
      </c>
      <c r="I217" s="2">
        <v>899</v>
      </c>
      <c r="J217" s="2" t="s">
        <v>19</v>
      </c>
      <c r="K217" s="2" t="s">
        <v>73</v>
      </c>
      <c r="L217" s="2">
        <v>4.2</v>
      </c>
      <c r="M217" s="2">
        <v>957</v>
      </c>
      <c r="P217" t="str">
        <f t="shared" si="15"/>
        <v>45%</v>
      </c>
      <c r="Q217" s="12">
        <f t="shared" si="12"/>
        <v>0.45</v>
      </c>
      <c r="R217" s="9">
        <f t="shared" si="13"/>
        <v>494.45</v>
      </c>
      <c r="S217" s="9">
        <f>IF(R217="",AVERAGEIF(Table1[Category],Table1[[#This Row],[Category]],Table2[orignal data]),Table2[[#This Row],[orignal data]])</f>
        <v>494.45</v>
      </c>
      <c r="T217" t="str">
        <f t="shared" si="14"/>
        <v>UNIQUE</v>
      </c>
      <c r="U217" t="str">
        <f>IF(ISBLANK(Table1[[#This Row],[SizeOption]]),"NOT AVAILABLE",Table1[[#This Row],[SizeOption]])</f>
        <v>XS, S, M, L, XL, XXL, 3XL, 4XL</v>
      </c>
      <c r="Y217" t="str">
        <f>IF(Table2[[#This Row],[Column1]]&gt;50%,"HIGH DISCOUNT","LOW DISCOUNT")</f>
        <v>LOW DISCOUNT</v>
      </c>
    </row>
    <row r="218" spans="1:25" x14ac:dyDescent="0.25">
      <c r="A218" s="1" t="s">
        <v>619</v>
      </c>
      <c r="B218" s="1">
        <v>12441728</v>
      </c>
      <c r="C218" s="1" t="s">
        <v>620</v>
      </c>
      <c r="D218" s="1" t="s">
        <v>34</v>
      </c>
      <c r="E218" s="1" t="s">
        <v>406</v>
      </c>
      <c r="F218" s="1" t="s">
        <v>36</v>
      </c>
      <c r="G218" s="1" t="s">
        <v>621</v>
      </c>
      <c r="H218">
        <v>854</v>
      </c>
      <c r="I218" s="1">
        <v>1899</v>
      </c>
      <c r="J218" s="1" t="s">
        <v>25</v>
      </c>
      <c r="K218" s="1" t="s">
        <v>26</v>
      </c>
      <c r="L218" s="1">
        <v>4.3</v>
      </c>
      <c r="M218" s="1">
        <v>957</v>
      </c>
      <c r="P218" t="str">
        <f t="shared" si="15"/>
        <v>55%</v>
      </c>
      <c r="Q218" s="12">
        <f t="shared" si="12"/>
        <v>0.55000000000000004</v>
      </c>
      <c r="R218" s="9">
        <f t="shared" si="13"/>
        <v>854.55</v>
      </c>
      <c r="S218" s="9">
        <f>IF(R218="",AVERAGEIF(Table1[Category],Table1[[#This Row],[Category]],Table2[orignal data]),Table2[[#This Row],[orignal data]])</f>
        <v>854.55</v>
      </c>
      <c r="T218" t="str">
        <f t="shared" si="14"/>
        <v>UNIQUE</v>
      </c>
      <c r="U218" t="str">
        <f>IF(ISBLANK(Table1[[#This Row],[SizeOption]]),"NOT AVAILABLE",Table1[[#This Row],[SizeOption]])</f>
        <v>S, M, L, XL</v>
      </c>
      <c r="Y218" t="str">
        <f>IF(Table2[[#This Row],[Column1]]&gt;50%,"HIGH DISCOUNT","LOW DISCOUNT")</f>
        <v>HIGH DISCOUNT</v>
      </c>
    </row>
    <row r="219" spans="1:25" x14ac:dyDescent="0.25">
      <c r="A219" s="2" t="s">
        <v>622</v>
      </c>
      <c r="B219" s="2">
        <v>9299469</v>
      </c>
      <c r="C219" s="2" t="s">
        <v>623</v>
      </c>
      <c r="D219" s="2" t="s">
        <v>34</v>
      </c>
      <c r="E219" s="2" t="s">
        <v>518</v>
      </c>
      <c r="F219" s="2" t="s">
        <v>36</v>
      </c>
      <c r="G219" s="2" t="s">
        <v>624</v>
      </c>
      <c r="H219">
        <v>413</v>
      </c>
      <c r="I219" s="2">
        <v>899</v>
      </c>
      <c r="J219" s="2" t="s">
        <v>606</v>
      </c>
      <c r="K219" s="2" t="s">
        <v>39</v>
      </c>
      <c r="L219" s="2">
        <v>4</v>
      </c>
      <c r="M219" s="2">
        <v>957</v>
      </c>
      <c r="P219" t="str">
        <f t="shared" si="15"/>
        <v>54%</v>
      </c>
      <c r="Q219" s="12">
        <f t="shared" si="12"/>
        <v>0.54</v>
      </c>
      <c r="R219" s="9">
        <f t="shared" si="13"/>
        <v>413.53999999999996</v>
      </c>
      <c r="S219" s="9">
        <f>IF(R219="",AVERAGEIF(Table1[Category],Table1[[#This Row],[Category]],Table2[orignal data]),Table2[[#This Row],[orignal data]])</f>
        <v>413.53999999999996</v>
      </c>
      <c r="T219" t="str">
        <f t="shared" si="14"/>
        <v>UNIQUE</v>
      </c>
      <c r="U219" t="str">
        <f>IF(ISBLANK(Table1[[#This Row],[SizeOption]]),"NOT AVAILABLE",Table1[[#This Row],[SizeOption]])</f>
        <v>S, M, L, XL, XXL</v>
      </c>
      <c r="Y219" t="str">
        <f>IF(Table2[[#This Row],[Column1]]&gt;50%,"HIGH DISCOUNT","LOW DISCOUNT")</f>
        <v>HIGH DISCOUNT</v>
      </c>
    </row>
    <row r="220" spans="1:25" x14ac:dyDescent="0.25">
      <c r="A220" s="1" t="s">
        <v>625</v>
      </c>
      <c r="B220" s="1">
        <v>9435685</v>
      </c>
      <c r="C220" s="1" t="s">
        <v>64</v>
      </c>
      <c r="D220" s="1" t="s">
        <v>98</v>
      </c>
      <c r="E220" s="1" t="s">
        <v>42</v>
      </c>
      <c r="F220" s="1" t="s">
        <v>36</v>
      </c>
      <c r="G220" s="1" t="s">
        <v>626</v>
      </c>
      <c r="H220">
        <v>419</v>
      </c>
      <c r="I220" s="1">
        <v>1199</v>
      </c>
      <c r="J220" s="1" t="s">
        <v>150</v>
      </c>
      <c r="K220" s="1" t="s">
        <v>100</v>
      </c>
      <c r="L220" s="1">
        <v>4.0999999999999996</v>
      </c>
      <c r="M220" s="1">
        <v>957</v>
      </c>
      <c r="P220" t="str">
        <f t="shared" si="15"/>
        <v>65%</v>
      </c>
      <c r="Q220" s="12">
        <f t="shared" si="12"/>
        <v>0.65</v>
      </c>
      <c r="R220" s="9">
        <f t="shared" si="13"/>
        <v>419.65</v>
      </c>
      <c r="S220" s="9">
        <f>IF(R220="",AVERAGEIF(Table1[Category],Table1[[#This Row],[Category]],Table2[orignal data]),Table2[[#This Row],[orignal data]])</f>
        <v>419.65</v>
      </c>
      <c r="T220" t="str">
        <f t="shared" si="14"/>
        <v>UNIQUE</v>
      </c>
      <c r="U220" t="str">
        <f>IF(ISBLANK(Table1[[#This Row],[SizeOption]]),"NOT AVAILABLE",Table1[[#This Row],[SizeOption]])</f>
        <v>XS, S, M, L, XL, XXL, 3XL</v>
      </c>
      <c r="Y220" t="str">
        <f>IF(Table2[[#This Row],[Column1]]&gt;50%,"HIGH DISCOUNT","LOW DISCOUNT")</f>
        <v>HIGH DISCOUNT</v>
      </c>
    </row>
    <row r="221" spans="1:25" x14ac:dyDescent="0.25">
      <c r="A221" s="2" t="s">
        <v>627</v>
      </c>
      <c r="B221" s="2">
        <v>7119163</v>
      </c>
      <c r="C221" s="2" t="s">
        <v>64</v>
      </c>
      <c r="D221" s="2" t="s">
        <v>98</v>
      </c>
      <c r="E221" s="2" t="s">
        <v>93</v>
      </c>
      <c r="F221" s="2" t="s">
        <v>36</v>
      </c>
      <c r="G221" s="2" t="s">
        <v>628</v>
      </c>
      <c r="H221">
        <v>799</v>
      </c>
      <c r="I221" s="2">
        <v>1999</v>
      </c>
      <c r="J221" s="2" t="s">
        <v>141</v>
      </c>
      <c r="K221" s="2" t="s">
        <v>100</v>
      </c>
      <c r="L221" s="2">
        <v>4.0999999999999996</v>
      </c>
      <c r="M221" s="2">
        <v>957</v>
      </c>
      <c r="P221" t="str">
        <f t="shared" si="15"/>
        <v>60%</v>
      </c>
      <c r="Q221" s="12">
        <f t="shared" si="12"/>
        <v>0.6</v>
      </c>
      <c r="R221" s="9">
        <f t="shared" si="13"/>
        <v>799.60000000000014</v>
      </c>
      <c r="S221" s="9">
        <f>IF(R221="",AVERAGEIF(Table1[Category],Table1[[#This Row],[Category]],Table2[orignal data]),Table2[[#This Row],[orignal data]])</f>
        <v>799.60000000000014</v>
      </c>
      <c r="T221" t="str">
        <f t="shared" si="14"/>
        <v>UNIQUE</v>
      </c>
      <c r="U221" t="str">
        <f>IF(ISBLANK(Table1[[#This Row],[SizeOption]]),"NOT AVAILABLE",Table1[[#This Row],[SizeOption]])</f>
        <v>XS, S, M, L, XL, XXL, 3XL</v>
      </c>
      <c r="Y221" t="str">
        <f>IF(Table2[[#This Row],[Column1]]&gt;50%,"HIGH DISCOUNT","LOW DISCOUNT")</f>
        <v>HIGH DISCOUNT</v>
      </c>
    </row>
    <row r="222" spans="1:25" x14ac:dyDescent="0.25">
      <c r="A222" s="1" t="s">
        <v>629</v>
      </c>
      <c r="B222" s="1">
        <v>7269182</v>
      </c>
      <c r="C222" s="1" t="s">
        <v>225</v>
      </c>
      <c r="D222" s="1" t="s">
        <v>41</v>
      </c>
      <c r="E222" s="1" t="s">
        <v>48</v>
      </c>
      <c r="F222" s="1" t="s">
        <v>36</v>
      </c>
      <c r="G222" s="1" t="s">
        <v>630</v>
      </c>
      <c r="I222" s="1">
        <v>1499</v>
      </c>
      <c r="J222" s="1" t="s">
        <v>126</v>
      </c>
      <c r="K222" s="1" t="s">
        <v>26</v>
      </c>
      <c r="L222" s="1">
        <v>4.3</v>
      </c>
      <c r="M222" s="1">
        <v>957</v>
      </c>
      <c r="P222" t="str">
        <f t="shared" si="15"/>
        <v>62%</v>
      </c>
      <c r="Q222" s="12">
        <f t="shared" si="12"/>
        <v>0.62</v>
      </c>
      <c r="R222" s="9">
        <f t="shared" si="13"/>
        <v>569.62</v>
      </c>
      <c r="S222" s="9">
        <f>IF(R222="",AVERAGEIF(Table1[Category],Table1[[#This Row],[Category]],Table2[orignal data]),Table2[[#This Row],[orignal data]])</f>
        <v>569.62</v>
      </c>
      <c r="T222" t="str">
        <f t="shared" si="14"/>
        <v>UNIQUE</v>
      </c>
      <c r="U222" t="str">
        <f>IF(ISBLANK(Table1[[#This Row],[SizeOption]]),"NOT AVAILABLE",Table1[[#This Row],[SizeOption]])</f>
        <v>S, M, L, XL</v>
      </c>
      <c r="Y222" t="str">
        <f>IF(Table2[[#This Row],[Column1]]&gt;50%,"HIGH DISCOUNT","LOW DISCOUNT")</f>
        <v>HIGH DISCOUNT</v>
      </c>
    </row>
    <row r="223" spans="1:25" x14ac:dyDescent="0.25">
      <c r="A223" s="2" t="s">
        <v>631</v>
      </c>
      <c r="B223" s="2">
        <v>11976820</v>
      </c>
      <c r="C223" s="2" t="s">
        <v>14</v>
      </c>
      <c r="D223" s="2" t="s">
        <v>41</v>
      </c>
      <c r="E223" s="2" t="s">
        <v>42</v>
      </c>
      <c r="F223" s="2" t="s">
        <v>36</v>
      </c>
      <c r="G223" s="2" t="s">
        <v>632</v>
      </c>
      <c r="I223" s="2">
        <v>599</v>
      </c>
      <c r="J223" s="2" t="s">
        <v>50</v>
      </c>
      <c r="K223" s="2" t="s">
        <v>45</v>
      </c>
      <c r="L223" s="2">
        <v>4.3</v>
      </c>
      <c r="M223" s="2">
        <v>957</v>
      </c>
      <c r="P223" t="str">
        <f t="shared" si="15"/>
        <v>40%</v>
      </c>
      <c r="Q223" s="12">
        <f t="shared" si="12"/>
        <v>0.4</v>
      </c>
      <c r="R223" s="9">
        <f t="shared" si="13"/>
        <v>359.4</v>
      </c>
      <c r="S223" s="9">
        <f>IF(R223="",AVERAGEIF(Table1[Category],Table1[[#This Row],[Category]],Table2[orignal data]),Table2[[#This Row],[orignal data]])</f>
        <v>359.4</v>
      </c>
      <c r="T223" t="str">
        <f t="shared" si="14"/>
        <v>UNIQUE</v>
      </c>
      <c r="U223" t="str">
        <f>IF(ISBLANK(Table1[[#This Row],[SizeOption]]),"NOT AVAILABLE",Table1[[#This Row],[SizeOption]])</f>
        <v>XS, S, M, L, XL</v>
      </c>
      <c r="Y223" t="str">
        <f>IF(Table2[[#This Row],[Column1]]&gt;50%,"HIGH DISCOUNT","LOW DISCOUNT")</f>
        <v>LOW DISCOUNT</v>
      </c>
    </row>
    <row r="224" spans="1:25" x14ac:dyDescent="0.25">
      <c r="A224" s="1" t="s">
        <v>633</v>
      </c>
      <c r="B224" s="1">
        <v>17385112</v>
      </c>
      <c r="C224" s="1" t="s">
        <v>14</v>
      </c>
      <c r="D224" s="1" t="s">
        <v>41</v>
      </c>
      <c r="E224" s="1" t="s">
        <v>42</v>
      </c>
      <c r="F224" s="1" t="s">
        <v>36</v>
      </c>
      <c r="G224" s="1" t="s">
        <v>111</v>
      </c>
      <c r="I224" s="1">
        <v>1398</v>
      </c>
      <c r="J224" s="1" t="s">
        <v>84</v>
      </c>
      <c r="K224" s="1" t="s">
        <v>45</v>
      </c>
      <c r="L224" s="1">
        <v>4.4000000000000004</v>
      </c>
      <c r="M224" s="1">
        <v>956</v>
      </c>
      <c r="P224" t="str">
        <f t="shared" si="15"/>
        <v>50%</v>
      </c>
      <c r="Q224" s="12">
        <f t="shared" si="12"/>
        <v>0.5</v>
      </c>
      <c r="R224" s="9">
        <f t="shared" si="13"/>
        <v>699</v>
      </c>
      <c r="S224" s="9">
        <f>IF(R224="",AVERAGEIF(Table1[Category],Table1[[#This Row],[Category]],Table2[orignal data]),Table2[[#This Row],[orignal data]])</f>
        <v>699</v>
      </c>
      <c r="T224" t="str">
        <f t="shared" si="14"/>
        <v>UNIQUE</v>
      </c>
      <c r="U224" t="str">
        <f>IF(ISBLANK(Table1[[#This Row],[SizeOption]]),"NOT AVAILABLE",Table1[[#This Row],[SizeOption]])</f>
        <v>XS, S, M, L, XL</v>
      </c>
      <c r="Y224" t="str">
        <f>IF(Table2[[#This Row],[Column1]]&gt;50%,"HIGH DISCOUNT","LOW DISCOUNT")</f>
        <v>LOW DISCOUNT</v>
      </c>
    </row>
    <row r="225" spans="1:25" x14ac:dyDescent="0.25">
      <c r="A225" s="2" t="s">
        <v>634</v>
      </c>
      <c r="B225" s="2">
        <v>8643125</v>
      </c>
      <c r="C225" s="2" t="s">
        <v>181</v>
      </c>
      <c r="D225" s="2" t="s">
        <v>41</v>
      </c>
      <c r="E225" s="2" t="s">
        <v>148</v>
      </c>
      <c r="F225" s="2" t="s">
        <v>36</v>
      </c>
      <c r="G225" s="2" t="s">
        <v>635</v>
      </c>
      <c r="I225" s="2">
        <v>1699</v>
      </c>
      <c r="J225" s="2" t="s">
        <v>163</v>
      </c>
      <c r="K225" s="2" t="s">
        <v>115</v>
      </c>
      <c r="L225" s="2">
        <v>4.4000000000000004</v>
      </c>
      <c r="M225" s="2">
        <v>956</v>
      </c>
      <c r="P225" t="str">
        <f t="shared" si="15"/>
        <v>51%</v>
      </c>
      <c r="Q225" s="12">
        <f t="shared" si="12"/>
        <v>0.51</v>
      </c>
      <c r="R225" s="9">
        <f t="shared" si="13"/>
        <v>832.51</v>
      </c>
      <c r="S225" s="9">
        <f>IF(R225="",AVERAGEIF(Table1[Category],Table1[[#This Row],[Category]],Table2[orignal data]),Table2[[#This Row],[orignal data]])</f>
        <v>832.51</v>
      </c>
      <c r="T225" t="str">
        <f t="shared" si="14"/>
        <v>UNIQUE</v>
      </c>
      <c r="U225" t="str">
        <f>IF(ISBLANK(Table1[[#This Row],[SizeOption]]),"NOT AVAILABLE",Table1[[#This Row],[SizeOption]])</f>
        <v>XS, S, M, L, XL, XXL</v>
      </c>
      <c r="Y225" t="str">
        <f>IF(Table2[[#This Row],[Column1]]&gt;50%,"HIGH DISCOUNT","LOW DISCOUNT")</f>
        <v>HIGH DISCOUNT</v>
      </c>
    </row>
    <row r="226" spans="1:25" x14ac:dyDescent="0.25">
      <c r="A226" s="1" t="s">
        <v>636</v>
      </c>
      <c r="B226" s="1">
        <v>2339796</v>
      </c>
      <c r="C226" s="1" t="s">
        <v>169</v>
      </c>
      <c r="D226" s="1" t="s">
        <v>15</v>
      </c>
      <c r="E226" s="1" t="s">
        <v>53</v>
      </c>
      <c r="F226" s="1" t="s">
        <v>17</v>
      </c>
      <c r="G226" s="1" t="s">
        <v>637</v>
      </c>
      <c r="H226">
        <v>1799</v>
      </c>
      <c r="I226" s="1">
        <v>2999</v>
      </c>
      <c r="J226" s="1" t="s">
        <v>50</v>
      </c>
      <c r="K226" s="1" t="s">
        <v>171</v>
      </c>
      <c r="L226" s="1">
        <v>4.2</v>
      </c>
      <c r="M226" s="1">
        <v>955</v>
      </c>
      <c r="P226" t="str">
        <f t="shared" si="15"/>
        <v>40%</v>
      </c>
      <c r="Q226" s="12">
        <f t="shared" si="12"/>
        <v>0.4</v>
      </c>
      <c r="R226" s="9">
        <f t="shared" si="13"/>
        <v>1799.3999999999999</v>
      </c>
      <c r="S226" s="9">
        <f>IF(R226="",AVERAGEIF(Table1[Category],Table1[[#This Row],[Category]],Table2[orignal data]),Table2[[#This Row],[orignal data]])</f>
        <v>1799.3999999999999</v>
      </c>
      <c r="T226" t="str">
        <f t="shared" si="14"/>
        <v>UNIQUE</v>
      </c>
      <c r="U226" t="str">
        <f>IF(ISBLANK(Table1[[#This Row],[SizeOption]]),"NOT AVAILABLE",Table1[[#This Row],[SizeOption]])</f>
        <v>28, 30, 32, 34, 36, 38</v>
      </c>
      <c r="Y226" t="str">
        <f>IF(Table2[[#This Row],[Column1]]&gt;50%,"HIGH DISCOUNT","LOW DISCOUNT")</f>
        <v>LOW DISCOUNT</v>
      </c>
    </row>
    <row r="227" spans="1:25" x14ac:dyDescent="0.25">
      <c r="A227" s="2" t="s">
        <v>638</v>
      </c>
      <c r="B227" s="2">
        <v>4451362</v>
      </c>
      <c r="C227" s="2" t="s">
        <v>639</v>
      </c>
      <c r="D227" s="2" t="s">
        <v>15</v>
      </c>
      <c r="E227" s="2" t="s">
        <v>16</v>
      </c>
      <c r="F227" s="2" t="s">
        <v>17</v>
      </c>
      <c r="G227" s="2" t="s">
        <v>640</v>
      </c>
      <c r="H227">
        <v>679</v>
      </c>
      <c r="I227" s="2">
        <v>1699</v>
      </c>
      <c r="J227" s="2" t="s">
        <v>55</v>
      </c>
      <c r="K227" s="2" t="s">
        <v>20</v>
      </c>
      <c r="L227" s="2">
        <v>3.8</v>
      </c>
      <c r="M227" s="2">
        <v>955</v>
      </c>
      <c r="P227" t="str">
        <f t="shared" si="15"/>
        <v>60%</v>
      </c>
      <c r="Q227" s="12">
        <f t="shared" si="12"/>
        <v>0.6</v>
      </c>
      <c r="R227" s="9">
        <f t="shared" si="13"/>
        <v>679.6</v>
      </c>
      <c r="S227" s="9">
        <f>IF(R227="",AVERAGEIF(Table1[Category],Table1[[#This Row],[Category]],Table2[orignal data]),Table2[[#This Row],[orignal data]])</f>
        <v>679.6</v>
      </c>
      <c r="T227" t="str">
        <f t="shared" si="14"/>
        <v>UNIQUE</v>
      </c>
      <c r="U227" t="str">
        <f>IF(ISBLANK(Table1[[#This Row],[SizeOption]]),"NOT AVAILABLE",Table1[[#This Row],[SizeOption]])</f>
        <v>28, 30, 32, 34, 36</v>
      </c>
      <c r="Y227" t="str">
        <f>IF(Table2[[#This Row],[Column1]]&gt;50%,"HIGH DISCOUNT","LOW DISCOUNT")</f>
        <v>HIGH DISCOUNT</v>
      </c>
    </row>
    <row r="228" spans="1:25" x14ac:dyDescent="0.25">
      <c r="A228" s="1" t="s">
        <v>641</v>
      </c>
      <c r="B228" s="1">
        <v>12545646</v>
      </c>
      <c r="C228" s="1" t="s">
        <v>64</v>
      </c>
      <c r="D228" s="1" t="s">
        <v>98</v>
      </c>
      <c r="E228" s="1" t="s">
        <v>16</v>
      </c>
      <c r="F228" s="1" t="s">
        <v>36</v>
      </c>
      <c r="G228" s="1" t="s">
        <v>642</v>
      </c>
      <c r="H228">
        <v>629</v>
      </c>
      <c r="I228" s="1">
        <v>1799</v>
      </c>
      <c r="J228" s="1" t="s">
        <v>150</v>
      </c>
      <c r="K228" s="1" t="s">
        <v>643</v>
      </c>
      <c r="L228" s="1">
        <v>4</v>
      </c>
      <c r="M228" s="1">
        <v>955</v>
      </c>
      <c r="P228" t="str">
        <f t="shared" si="15"/>
        <v>65%</v>
      </c>
      <c r="Q228" s="12">
        <f t="shared" si="12"/>
        <v>0.65</v>
      </c>
      <c r="R228" s="9">
        <f t="shared" si="13"/>
        <v>629.64999999999986</v>
      </c>
      <c r="S228" s="9">
        <f>IF(R228="",AVERAGEIF(Table1[Category],Table1[[#This Row],[Category]],Table2[orignal data]),Table2[[#This Row],[orignal data]])</f>
        <v>629.64999999999986</v>
      </c>
      <c r="T228" t="str">
        <f t="shared" si="14"/>
        <v>UNIQUE</v>
      </c>
      <c r="U228" t="str">
        <f>IF(ISBLANK(Table1[[#This Row],[SizeOption]]),"NOT AVAILABLE",Table1[[#This Row],[SizeOption]])</f>
        <v>26, 28, 30, 32, 34, 36, 38, 40</v>
      </c>
      <c r="Y228" t="str">
        <f>IF(Table2[[#This Row],[Column1]]&gt;50%,"HIGH DISCOUNT","LOW DISCOUNT")</f>
        <v>HIGH DISCOUNT</v>
      </c>
    </row>
    <row r="229" spans="1:25" x14ac:dyDescent="0.25">
      <c r="A229" s="2" t="s">
        <v>644</v>
      </c>
      <c r="B229" s="2">
        <v>8195049</v>
      </c>
      <c r="C229" s="2" t="s">
        <v>102</v>
      </c>
      <c r="D229" s="2" t="s">
        <v>41</v>
      </c>
      <c r="E229" s="2" t="s">
        <v>16</v>
      </c>
      <c r="F229" s="2" t="s">
        <v>36</v>
      </c>
      <c r="G229" s="2" t="s">
        <v>645</v>
      </c>
      <c r="I229" s="2">
        <v>1899</v>
      </c>
      <c r="J229" s="2" t="s">
        <v>208</v>
      </c>
      <c r="K229" s="2" t="s">
        <v>428</v>
      </c>
      <c r="L229" s="2">
        <v>4.0999999999999996</v>
      </c>
      <c r="M229" s="2">
        <v>955</v>
      </c>
      <c r="P229" t="str">
        <f t="shared" si="15"/>
        <v>52%</v>
      </c>
      <c r="Q229" s="12">
        <f t="shared" si="12"/>
        <v>0.52</v>
      </c>
      <c r="R229" s="9">
        <f t="shared" si="13"/>
        <v>911.52</v>
      </c>
      <c r="S229" s="9">
        <f>IF(R229="",AVERAGEIF(Table1[Category],Table1[[#This Row],[Category]],Table2[orignal data]),Table2[[#This Row],[orignal data]])</f>
        <v>911.52</v>
      </c>
      <c r="T229" t="str">
        <f t="shared" si="14"/>
        <v>UNIQUE</v>
      </c>
      <c r="U229" t="str">
        <f>IF(ISBLANK(Table1[[#This Row],[SizeOption]]),"NOT AVAILABLE",Table1[[#This Row],[SizeOption]])</f>
        <v>26, 28, 30, 32, 34</v>
      </c>
      <c r="Y229" t="str">
        <f>IF(Table2[[#This Row],[Column1]]&gt;50%,"HIGH DISCOUNT","LOW DISCOUNT")</f>
        <v>HIGH DISCOUNT</v>
      </c>
    </row>
    <row r="230" spans="1:25" x14ac:dyDescent="0.25">
      <c r="A230" s="1" t="s">
        <v>646</v>
      </c>
      <c r="B230" s="1">
        <v>8349547</v>
      </c>
      <c r="C230" s="1" t="s">
        <v>97</v>
      </c>
      <c r="D230" s="1" t="s">
        <v>76</v>
      </c>
      <c r="E230" s="1" t="s">
        <v>48</v>
      </c>
      <c r="F230" s="1" t="s">
        <v>36</v>
      </c>
      <c r="G230" s="1" t="s">
        <v>647</v>
      </c>
      <c r="H230">
        <v>1199</v>
      </c>
      <c r="I230" s="1">
        <v>1999</v>
      </c>
      <c r="J230" s="1" t="s">
        <v>50</v>
      </c>
      <c r="K230" s="1" t="s">
        <v>100</v>
      </c>
      <c r="L230" s="1">
        <v>4.2</v>
      </c>
      <c r="M230" s="1">
        <v>954</v>
      </c>
      <c r="P230" t="str">
        <f t="shared" si="15"/>
        <v>40%</v>
      </c>
      <c r="Q230" s="12">
        <f t="shared" si="12"/>
        <v>0.4</v>
      </c>
      <c r="R230" s="9">
        <f t="shared" si="13"/>
        <v>1199.4000000000001</v>
      </c>
      <c r="S230" s="9">
        <f>IF(R230="",AVERAGEIF(Table1[Category],Table1[[#This Row],[Category]],Table2[orignal data]),Table2[[#This Row],[orignal data]])</f>
        <v>1199.4000000000001</v>
      </c>
      <c r="T230" t="str">
        <f t="shared" si="14"/>
        <v>UNIQUE</v>
      </c>
      <c r="U230" t="str">
        <f>IF(ISBLANK(Table1[[#This Row],[SizeOption]]),"NOT AVAILABLE",Table1[[#This Row],[SizeOption]])</f>
        <v>XS, S, M, L, XL, XXL, 3XL</v>
      </c>
      <c r="Y230" t="str">
        <f>IF(Table2[[#This Row],[Column1]]&gt;50%,"HIGH DISCOUNT","LOW DISCOUNT")</f>
        <v>LOW DISCOUNT</v>
      </c>
    </row>
    <row r="231" spans="1:25" x14ac:dyDescent="0.25">
      <c r="A231" s="2" t="s">
        <v>648</v>
      </c>
      <c r="B231" s="2">
        <v>12134814</v>
      </c>
      <c r="C231" s="2" t="s">
        <v>113</v>
      </c>
      <c r="D231" s="2" t="s">
        <v>76</v>
      </c>
      <c r="E231" s="2" t="s">
        <v>77</v>
      </c>
      <c r="F231" s="2" t="s">
        <v>36</v>
      </c>
      <c r="G231" s="2" t="s">
        <v>649</v>
      </c>
      <c r="H231">
        <v>1124</v>
      </c>
      <c r="I231" s="2">
        <v>2499</v>
      </c>
      <c r="J231" s="2" t="s">
        <v>25</v>
      </c>
      <c r="K231" s="2" t="s">
        <v>115</v>
      </c>
      <c r="L231" s="2">
        <v>4</v>
      </c>
      <c r="M231" s="2">
        <v>954</v>
      </c>
      <c r="P231" t="str">
        <f t="shared" si="15"/>
        <v>55%</v>
      </c>
      <c r="Q231" s="12">
        <f t="shared" si="12"/>
        <v>0.55000000000000004</v>
      </c>
      <c r="R231" s="9">
        <f t="shared" si="13"/>
        <v>1124.55</v>
      </c>
      <c r="S231" s="9">
        <f>IF(R231="",AVERAGEIF(Table1[Category],Table1[[#This Row],[Category]],Table2[orignal data]),Table2[[#This Row],[orignal data]])</f>
        <v>1124.55</v>
      </c>
      <c r="T231" t="str">
        <f t="shared" si="14"/>
        <v>UNIQUE</v>
      </c>
      <c r="U231" t="str">
        <f>IF(ISBLANK(Table1[[#This Row],[SizeOption]]),"NOT AVAILABLE",Table1[[#This Row],[SizeOption]])</f>
        <v>XS, S, M, L, XL, XXL</v>
      </c>
      <c r="Y231" t="str">
        <f>IF(Table2[[#This Row],[Column1]]&gt;50%,"HIGH DISCOUNT","LOW DISCOUNT")</f>
        <v>HIGH DISCOUNT</v>
      </c>
    </row>
    <row r="232" spans="1:25" x14ac:dyDescent="0.25">
      <c r="A232" s="1" t="s">
        <v>650</v>
      </c>
      <c r="B232" s="1">
        <v>11759370</v>
      </c>
      <c r="C232" s="1" t="s">
        <v>64</v>
      </c>
      <c r="D232" s="1" t="s">
        <v>98</v>
      </c>
      <c r="E232" s="1" t="s">
        <v>42</v>
      </c>
      <c r="F232" s="1" t="s">
        <v>36</v>
      </c>
      <c r="G232" s="1" t="s">
        <v>651</v>
      </c>
      <c r="H232">
        <v>254</v>
      </c>
      <c r="I232" s="1">
        <v>849</v>
      </c>
      <c r="J232" s="1" t="s">
        <v>79</v>
      </c>
      <c r="K232" s="1" t="s">
        <v>100</v>
      </c>
      <c r="L232" s="1">
        <v>4.4000000000000004</v>
      </c>
      <c r="M232" s="1">
        <v>954</v>
      </c>
      <c r="P232" t="str">
        <f t="shared" si="15"/>
        <v>70%</v>
      </c>
      <c r="Q232" s="12">
        <f t="shared" si="12"/>
        <v>0.7</v>
      </c>
      <c r="R232" s="9">
        <f t="shared" si="13"/>
        <v>254.70000000000005</v>
      </c>
      <c r="S232" s="9">
        <f>IF(R232="",AVERAGEIF(Table1[Category],Table1[[#This Row],[Category]],Table2[orignal data]),Table2[[#This Row],[orignal data]])</f>
        <v>254.70000000000005</v>
      </c>
      <c r="T232" t="str">
        <f t="shared" si="14"/>
        <v>UNIQUE</v>
      </c>
      <c r="U232" t="str">
        <f>IF(ISBLANK(Table1[[#This Row],[SizeOption]]),"NOT AVAILABLE",Table1[[#This Row],[SizeOption]])</f>
        <v>XS, S, M, L, XL, XXL, 3XL</v>
      </c>
      <c r="Y232" t="str">
        <f>IF(Table2[[#This Row],[Column1]]&gt;50%,"HIGH DISCOUNT","LOW DISCOUNT")</f>
        <v>HIGH DISCOUNT</v>
      </c>
    </row>
    <row r="233" spans="1:25" x14ac:dyDescent="0.25">
      <c r="A233" s="2" t="s">
        <v>652</v>
      </c>
      <c r="B233" s="2">
        <v>1923230</v>
      </c>
      <c r="C233" s="2" t="s">
        <v>52</v>
      </c>
      <c r="D233" s="2" t="s">
        <v>28</v>
      </c>
      <c r="E233" s="2" t="s">
        <v>42</v>
      </c>
      <c r="F233" s="2" t="s">
        <v>17</v>
      </c>
      <c r="G233" s="2" t="s">
        <v>653</v>
      </c>
      <c r="H233">
        <v>398</v>
      </c>
      <c r="I233" s="2">
        <v>699</v>
      </c>
      <c r="J233" s="2" t="s">
        <v>509</v>
      </c>
      <c r="K233" s="2" t="s">
        <v>26</v>
      </c>
      <c r="L233" s="2">
        <v>4.0999999999999996</v>
      </c>
      <c r="M233" s="2">
        <v>953</v>
      </c>
      <c r="P233" t="str">
        <f t="shared" si="15"/>
        <v>43%</v>
      </c>
      <c r="Q233" s="12">
        <f t="shared" si="12"/>
        <v>0.43</v>
      </c>
      <c r="R233" s="9">
        <f t="shared" si="13"/>
        <v>398.43</v>
      </c>
      <c r="S233" s="9">
        <f>IF(R233="",AVERAGEIF(Table1[Category],Table1[[#This Row],[Category]],Table2[orignal data]),Table2[[#This Row],[orignal data]])</f>
        <v>398.43</v>
      </c>
      <c r="T233" t="str">
        <f t="shared" si="14"/>
        <v>UNIQUE</v>
      </c>
      <c r="U233" t="str">
        <f>IF(ISBLANK(Table1[[#This Row],[SizeOption]]),"NOT AVAILABLE",Table1[[#This Row],[SizeOption]])</f>
        <v>S, M, L, XL</v>
      </c>
      <c r="Y233" t="str">
        <f>IF(Table2[[#This Row],[Column1]]&gt;50%,"HIGH DISCOUNT","LOW DISCOUNT")</f>
        <v>LOW DISCOUNT</v>
      </c>
    </row>
    <row r="234" spans="1:25" x14ac:dyDescent="0.25">
      <c r="A234" s="1" t="s">
        <v>654</v>
      </c>
      <c r="B234" s="1">
        <v>3082389</v>
      </c>
      <c r="C234" s="1" t="s">
        <v>47</v>
      </c>
      <c r="D234" s="1" t="s">
        <v>28</v>
      </c>
      <c r="E234" s="1" t="s">
        <v>42</v>
      </c>
      <c r="F234" s="1" t="s">
        <v>17</v>
      </c>
      <c r="G234" s="1" t="s">
        <v>655</v>
      </c>
      <c r="H234">
        <v>359</v>
      </c>
      <c r="I234" s="1">
        <v>799</v>
      </c>
      <c r="J234" s="1" t="s">
        <v>25</v>
      </c>
      <c r="K234" s="1" t="s">
        <v>26</v>
      </c>
      <c r="L234" s="1">
        <v>4.0999999999999996</v>
      </c>
      <c r="M234" s="1">
        <v>953</v>
      </c>
      <c r="P234" t="str">
        <f t="shared" si="15"/>
        <v>55%</v>
      </c>
      <c r="Q234" s="12">
        <f t="shared" si="12"/>
        <v>0.55000000000000004</v>
      </c>
      <c r="R234" s="9">
        <f t="shared" si="13"/>
        <v>359.54999999999995</v>
      </c>
      <c r="S234" s="9">
        <f>IF(R234="",AVERAGEIF(Table1[Category],Table1[[#This Row],[Category]],Table2[orignal data]),Table2[[#This Row],[orignal data]])</f>
        <v>359.54999999999995</v>
      </c>
      <c r="T234" t="str">
        <f t="shared" si="14"/>
        <v>UNIQUE</v>
      </c>
      <c r="U234" t="str">
        <f>IF(ISBLANK(Table1[[#This Row],[SizeOption]]),"NOT AVAILABLE",Table1[[#This Row],[SizeOption]])</f>
        <v>S, M, L, XL</v>
      </c>
      <c r="Y234" t="str">
        <f>IF(Table2[[#This Row],[Column1]]&gt;50%,"HIGH DISCOUNT","LOW DISCOUNT")</f>
        <v>HIGH DISCOUNT</v>
      </c>
    </row>
    <row r="235" spans="1:25" x14ac:dyDescent="0.25">
      <c r="A235" s="2" t="s">
        <v>656</v>
      </c>
      <c r="B235" s="2">
        <v>17381526</v>
      </c>
      <c r="C235" s="2" t="s">
        <v>14</v>
      </c>
      <c r="D235" s="2" t="s">
        <v>41</v>
      </c>
      <c r="E235" s="2" t="s">
        <v>42</v>
      </c>
      <c r="F235" s="2" t="s">
        <v>36</v>
      </c>
      <c r="G235" s="2" t="s">
        <v>657</v>
      </c>
      <c r="I235" s="2">
        <v>1198</v>
      </c>
      <c r="J235" s="2" t="s">
        <v>84</v>
      </c>
      <c r="K235" s="2" t="s">
        <v>45</v>
      </c>
      <c r="L235" s="2">
        <v>4.3</v>
      </c>
      <c r="M235" s="2">
        <v>953</v>
      </c>
      <c r="P235" t="str">
        <f t="shared" si="15"/>
        <v>50%</v>
      </c>
      <c r="Q235" s="12">
        <f t="shared" si="12"/>
        <v>0.5</v>
      </c>
      <c r="R235" s="9">
        <f t="shared" si="13"/>
        <v>599</v>
      </c>
      <c r="S235" s="9">
        <f>IF(R235="",AVERAGEIF(Table1[Category],Table1[[#This Row],[Category]],Table2[orignal data]),Table2[[#This Row],[orignal data]])</f>
        <v>599</v>
      </c>
      <c r="T235" t="str">
        <f t="shared" si="14"/>
        <v>UNIQUE</v>
      </c>
      <c r="U235" t="str">
        <f>IF(ISBLANK(Table1[[#This Row],[SizeOption]]),"NOT AVAILABLE",Table1[[#This Row],[SizeOption]])</f>
        <v>XS, S, M, L, XL</v>
      </c>
      <c r="Y235" t="str">
        <f>IF(Table2[[#This Row],[Column1]]&gt;50%,"HIGH DISCOUNT","LOW DISCOUNT")</f>
        <v>LOW DISCOUNT</v>
      </c>
    </row>
    <row r="236" spans="1:25" x14ac:dyDescent="0.25">
      <c r="A236" s="1" t="s">
        <v>658</v>
      </c>
      <c r="B236" s="1">
        <v>6722273</v>
      </c>
      <c r="C236" s="1" t="s">
        <v>659</v>
      </c>
      <c r="D236" s="1" t="s">
        <v>41</v>
      </c>
      <c r="E236" s="1" t="s">
        <v>16</v>
      </c>
      <c r="F236" s="1" t="s">
        <v>36</v>
      </c>
      <c r="G236" s="1" t="s">
        <v>660</v>
      </c>
      <c r="I236" s="1">
        <v>1999</v>
      </c>
      <c r="J236" s="1" t="s">
        <v>150</v>
      </c>
      <c r="K236" s="1" t="s">
        <v>134</v>
      </c>
      <c r="L236" s="1">
        <v>4.0999999999999996</v>
      </c>
      <c r="M236" s="1">
        <v>953</v>
      </c>
      <c r="P236" t="str">
        <f t="shared" si="15"/>
        <v>65%</v>
      </c>
      <c r="Q236" s="12">
        <f t="shared" si="12"/>
        <v>0.65</v>
      </c>
      <c r="R236" s="9">
        <f t="shared" si="13"/>
        <v>699.64999999999986</v>
      </c>
      <c r="S236" s="9">
        <f>IF(R236="",AVERAGEIF(Table1[Category],Table1[[#This Row],[Category]],Table2[orignal data]),Table2[[#This Row],[orignal data]])</f>
        <v>699.64999999999986</v>
      </c>
      <c r="T236" t="str">
        <f t="shared" si="14"/>
        <v>UNIQUE</v>
      </c>
      <c r="U236" t="str">
        <f>IF(ISBLANK(Table1[[#This Row],[SizeOption]]),"NOT AVAILABLE",Table1[[#This Row],[SizeOption]])</f>
        <v>26, 28, 30, 32, 34, 36</v>
      </c>
      <c r="Y236" t="str">
        <f>IF(Table2[[#This Row],[Column1]]&gt;50%,"HIGH DISCOUNT","LOW DISCOUNT")</f>
        <v>HIGH DISCOUNT</v>
      </c>
    </row>
    <row r="237" spans="1:25" x14ac:dyDescent="0.25">
      <c r="A237" s="2" t="s">
        <v>661</v>
      </c>
      <c r="B237" s="2">
        <v>2315624</v>
      </c>
      <c r="C237" s="2" t="s">
        <v>14</v>
      </c>
      <c r="D237" s="2" t="s">
        <v>15</v>
      </c>
      <c r="E237" s="2" t="s">
        <v>16</v>
      </c>
      <c r="F237" s="2" t="s">
        <v>17</v>
      </c>
      <c r="G237" s="2" t="s">
        <v>662</v>
      </c>
      <c r="H237">
        <v>1349</v>
      </c>
      <c r="I237" s="2">
        <v>2699</v>
      </c>
      <c r="J237" s="2" t="s">
        <v>84</v>
      </c>
      <c r="K237" s="2" t="s">
        <v>20</v>
      </c>
      <c r="L237" s="2">
        <v>3.9</v>
      </c>
      <c r="M237" s="2">
        <v>952</v>
      </c>
      <c r="P237" t="str">
        <f t="shared" si="15"/>
        <v>50%</v>
      </c>
      <c r="Q237" s="12">
        <f t="shared" si="12"/>
        <v>0.5</v>
      </c>
      <c r="R237" s="9">
        <f t="shared" si="13"/>
        <v>1349.5</v>
      </c>
      <c r="S237" s="9">
        <f>IF(R237="",AVERAGEIF(Table1[Category],Table1[[#This Row],[Category]],Table2[orignal data]),Table2[[#This Row],[orignal data]])</f>
        <v>1349.5</v>
      </c>
      <c r="T237" t="str">
        <f t="shared" si="14"/>
        <v>UNIQUE</v>
      </c>
      <c r="U237" t="str">
        <f>IF(ISBLANK(Table1[[#This Row],[SizeOption]]),"NOT AVAILABLE",Table1[[#This Row],[SizeOption]])</f>
        <v>28, 30, 32, 34, 36</v>
      </c>
      <c r="Y237" t="str">
        <f>IF(Table2[[#This Row],[Column1]]&gt;50%,"HIGH DISCOUNT","LOW DISCOUNT")</f>
        <v>LOW DISCOUNT</v>
      </c>
    </row>
    <row r="238" spans="1:25" x14ac:dyDescent="0.25">
      <c r="A238" s="1" t="s">
        <v>663</v>
      </c>
      <c r="B238" s="1">
        <v>9329675</v>
      </c>
      <c r="C238" s="1" t="s">
        <v>14</v>
      </c>
      <c r="D238" s="1" t="s">
        <v>28</v>
      </c>
      <c r="E238" s="1" t="s">
        <v>42</v>
      </c>
      <c r="F238" s="1" t="s">
        <v>17</v>
      </c>
      <c r="G238" s="1" t="s">
        <v>664</v>
      </c>
      <c r="H238">
        <v>649</v>
      </c>
      <c r="I238" s="1">
        <v>1299</v>
      </c>
      <c r="J238" s="1" t="s">
        <v>84</v>
      </c>
      <c r="K238" s="1" t="s">
        <v>45</v>
      </c>
      <c r="L238" s="1">
        <v>4.0999999999999996</v>
      </c>
      <c r="M238" s="1">
        <v>952</v>
      </c>
      <c r="P238" t="str">
        <f t="shared" si="15"/>
        <v>50%</v>
      </c>
      <c r="Q238" s="12">
        <f t="shared" si="12"/>
        <v>0.5</v>
      </c>
      <c r="R238" s="9">
        <f t="shared" si="13"/>
        <v>649.5</v>
      </c>
      <c r="S238" s="9">
        <f>IF(R238="",AVERAGEIF(Table1[Category],Table1[[#This Row],[Category]],Table2[orignal data]),Table2[[#This Row],[orignal data]])</f>
        <v>649.5</v>
      </c>
      <c r="T238" t="str">
        <f t="shared" si="14"/>
        <v>UNIQUE</v>
      </c>
      <c r="U238" t="str">
        <f>IF(ISBLANK(Table1[[#This Row],[SizeOption]]),"NOT AVAILABLE",Table1[[#This Row],[SizeOption]])</f>
        <v>XS, S, M, L, XL</v>
      </c>
      <c r="Y238" t="str">
        <f>IF(Table2[[#This Row],[Column1]]&gt;50%,"HIGH DISCOUNT","LOW DISCOUNT")</f>
        <v>LOW DISCOUNT</v>
      </c>
    </row>
    <row r="239" spans="1:25" x14ac:dyDescent="0.25">
      <c r="A239" s="2" t="s">
        <v>665</v>
      </c>
      <c r="B239" s="2">
        <v>8301975</v>
      </c>
      <c r="C239" s="2" t="s">
        <v>47</v>
      </c>
      <c r="D239" s="2" t="s">
        <v>28</v>
      </c>
      <c r="E239" s="2" t="s">
        <v>42</v>
      </c>
      <c r="F239" s="2" t="s">
        <v>17</v>
      </c>
      <c r="G239" s="2" t="s">
        <v>666</v>
      </c>
      <c r="H239">
        <v>359</v>
      </c>
      <c r="I239" s="2">
        <v>899</v>
      </c>
      <c r="J239" s="2" t="s">
        <v>55</v>
      </c>
      <c r="K239" s="2" t="s">
        <v>26</v>
      </c>
      <c r="L239" s="2">
        <v>4.0999999999999996</v>
      </c>
      <c r="M239" s="2">
        <v>952</v>
      </c>
      <c r="P239" t="str">
        <f t="shared" si="15"/>
        <v>60%</v>
      </c>
      <c r="Q239" s="12">
        <f t="shared" si="12"/>
        <v>0.6</v>
      </c>
      <c r="R239" s="9">
        <f t="shared" si="13"/>
        <v>359.6</v>
      </c>
      <c r="S239" s="9">
        <f>IF(R239="",AVERAGEIF(Table1[Category],Table1[[#This Row],[Category]],Table2[orignal data]),Table2[[#This Row],[orignal data]])</f>
        <v>359.6</v>
      </c>
      <c r="T239" t="str">
        <f t="shared" si="14"/>
        <v>UNIQUE</v>
      </c>
      <c r="U239" t="str">
        <f>IF(ISBLANK(Table1[[#This Row],[SizeOption]]),"NOT AVAILABLE",Table1[[#This Row],[SizeOption]])</f>
        <v>S, M, L, XL</v>
      </c>
      <c r="Y239" t="str">
        <f>IF(Table2[[#This Row],[Column1]]&gt;50%,"HIGH DISCOUNT","LOW DISCOUNT")</f>
        <v>HIGH DISCOUNT</v>
      </c>
    </row>
    <row r="240" spans="1:25" x14ac:dyDescent="0.25">
      <c r="A240" s="1" t="s">
        <v>667</v>
      </c>
      <c r="B240" s="1">
        <v>8349037</v>
      </c>
      <c r="C240" s="1" t="s">
        <v>97</v>
      </c>
      <c r="D240" s="1" t="s">
        <v>76</v>
      </c>
      <c r="E240" s="1" t="s">
        <v>77</v>
      </c>
      <c r="F240" s="1" t="s">
        <v>36</v>
      </c>
      <c r="G240" s="1" t="s">
        <v>668</v>
      </c>
      <c r="H240">
        <v>1189</v>
      </c>
      <c r="I240" s="1">
        <v>3399</v>
      </c>
      <c r="J240" s="1" t="s">
        <v>150</v>
      </c>
      <c r="K240" s="1" t="s">
        <v>100</v>
      </c>
      <c r="L240" s="1">
        <v>3.9</v>
      </c>
      <c r="M240" s="1">
        <v>952</v>
      </c>
      <c r="P240" t="str">
        <f t="shared" si="15"/>
        <v>65%</v>
      </c>
      <c r="Q240" s="12">
        <f t="shared" si="12"/>
        <v>0.65</v>
      </c>
      <c r="R240" s="9">
        <f t="shared" si="13"/>
        <v>1189.6500000000001</v>
      </c>
      <c r="S240" s="9">
        <f>IF(R240="",AVERAGEIF(Table1[Category],Table1[[#This Row],[Category]],Table2[orignal data]),Table2[[#This Row],[orignal data]])</f>
        <v>1189.6500000000001</v>
      </c>
      <c r="T240" t="str">
        <f t="shared" si="14"/>
        <v>UNIQUE</v>
      </c>
      <c r="U240" t="str">
        <f>IF(ISBLANK(Table1[[#This Row],[SizeOption]]),"NOT AVAILABLE",Table1[[#This Row],[SizeOption]])</f>
        <v>XS, S, M, L, XL, XXL, 3XL</v>
      </c>
      <c r="Y240" t="str">
        <f>IF(Table2[[#This Row],[Column1]]&gt;50%,"HIGH DISCOUNT","LOW DISCOUNT")</f>
        <v>HIGH DISCOUNT</v>
      </c>
    </row>
    <row r="241" spans="1:25" x14ac:dyDescent="0.25">
      <c r="A241" s="2" t="s">
        <v>669</v>
      </c>
      <c r="B241" s="2">
        <v>13769676</v>
      </c>
      <c r="C241" s="2" t="s">
        <v>277</v>
      </c>
      <c r="D241" s="2" t="s">
        <v>76</v>
      </c>
      <c r="E241" s="2" t="s">
        <v>77</v>
      </c>
      <c r="F241" s="2" t="s">
        <v>36</v>
      </c>
      <c r="G241" s="2" t="s">
        <v>670</v>
      </c>
      <c r="H241">
        <v>1379</v>
      </c>
      <c r="I241" s="2">
        <v>4599</v>
      </c>
      <c r="J241" s="2" t="s">
        <v>79</v>
      </c>
      <c r="K241" s="2" t="s">
        <v>39</v>
      </c>
      <c r="L241" s="2">
        <v>3.9</v>
      </c>
      <c r="M241" s="2">
        <v>952</v>
      </c>
      <c r="P241" t="str">
        <f t="shared" si="15"/>
        <v>70%</v>
      </c>
      <c r="Q241" s="12">
        <f t="shared" si="12"/>
        <v>0.7</v>
      </c>
      <c r="R241" s="9">
        <f t="shared" si="13"/>
        <v>1379.7000000000003</v>
      </c>
      <c r="S241" s="9">
        <f>IF(R241="",AVERAGEIF(Table1[Category],Table1[[#This Row],[Category]],Table2[orignal data]),Table2[[#This Row],[orignal data]])</f>
        <v>1379.7000000000003</v>
      </c>
      <c r="T241" t="str">
        <f t="shared" si="14"/>
        <v>UNIQUE</v>
      </c>
      <c r="U241" t="str">
        <f>IF(ISBLANK(Table1[[#This Row],[SizeOption]]),"NOT AVAILABLE",Table1[[#This Row],[SizeOption]])</f>
        <v>S, M, L, XL, XXL</v>
      </c>
      <c r="Y241" t="str">
        <f>IF(Table2[[#This Row],[Column1]]&gt;50%,"HIGH DISCOUNT","LOW DISCOUNT")</f>
        <v>HIGH DISCOUNT</v>
      </c>
    </row>
    <row r="242" spans="1:25" x14ac:dyDescent="0.25">
      <c r="A242" s="1" t="s">
        <v>671</v>
      </c>
      <c r="B242" s="1">
        <v>9038197</v>
      </c>
      <c r="C242" s="1" t="s">
        <v>67</v>
      </c>
      <c r="D242" s="1" t="s">
        <v>68</v>
      </c>
      <c r="E242" s="1" t="s">
        <v>42</v>
      </c>
      <c r="F242" s="1" t="s">
        <v>36</v>
      </c>
      <c r="G242" s="1" t="s">
        <v>672</v>
      </c>
      <c r="H242">
        <v>449</v>
      </c>
      <c r="I242" s="1">
        <v>999</v>
      </c>
      <c r="J242" s="1" t="s">
        <v>25</v>
      </c>
      <c r="K242" s="1" t="s">
        <v>45</v>
      </c>
      <c r="L242" s="1">
        <v>4.4000000000000004</v>
      </c>
      <c r="M242" s="1">
        <v>952</v>
      </c>
      <c r="P242" t="str">
        <f t="shared" si="15"/>
        <v>55%</v>
      </c>
      <c r="Q242" s="12">
        <f t="shared" si="12"/>
        <v>0.55000000000000004</v>
      </c>
      <c r="R242" s="9">
        <f t="shared" si="13"/>
        <v>449.54999999999995</v>
      </c>
      <c r="S242" s="9">
        <f>IF(R242="",AVERAGEIF(Table1[Category],Table1[[#This Row],[Category]],Table2[orignal data]),Table2[[#This Row],[orignal data]])</f>
        <v>449.54999999999995</v>
      </c>
      <c r="T242" t="str">
        <f t="shared" si="14"/>
        <v>UNIQUE</v>
      </c>
      <c r="U242" t="str">
        <f>IF(ISBLANK(Table1[[#This Row],[SizeOption]]),"NOT AVAILABLE",Table1[[#This Row],[SizeOption]])</f>
        <v>XS, S, M, L, XL</v>
      </c>
      <c r="Y242" t="str">
        <f>IF(Table2[[#This Row],[Column1]]&gt;50%,"HIGH DISCOUNT","LOW DISCOUNT")</f>
        <v>HIGH DISCOUNT</v>
      </c>
    </row>
    <row r="243" spans="1:25" x14ac:dyDescent="0.25">
      <c r="A243" s="2" t="s">
        <v>673</v>
      </c>
      <c r="B243" s="2">
        <v>11264146</v>
      </c>
      <c r="C243" s="2" t="s">
        <v>107</v>
      </c>
      <c r="D243" s="2" t="s">
        <v>41</v>
      </c>
      <c r="E243" s="2" t="s">
        <v>137</v>
      </c>
      <c r="F243" s="2" t="s">
        <v>36</v>
      </c>
      <c r="G243" s="2" t="s">
        <v>674</v>
      </c>
      <c r="I243" s="2">
        <v>1299</v>
      </c>
      <c r="J243" s="2" t="s">
        <v>25</v>
      </c>
      <c r="K243" s="2" t="s">
        <v>134</v>
      </c>
      <c r="L243" s="2">
        <v>4.4000000000000004</v>
      </c>
      <c r="M243" s="2">
        <v>952</v>
      </c>
      <c r="P243" t="str">
        <f t="shared" si="15"/>
        <v>55%</v>
      </c>
      <c r="Q243" s="12">
        <f t="shared" si="12"/>
        <v>0.55000000000000004</v>
      </c>
      <c r="R243" s="9">
        <f t="shared" si="13"/>
        <v>584.54999999999995</v>
      </c>
      <c r="S243" s="9">
        <f>IF(R243="",AVERAGEIF(Table1[Category],Table1[[#This Row],[Category]],Table2[orignal data]),Table2[[#This Row],[orignal data]])</f>
        <v>584.54999999999995</v>
      </c>
      <c r="T243" t="str">
        <f t="shared" si="14"/>
        <v>UNIQUE</v>
      </c>
      <c r="U243" t="str">
        <f>IF(ISBLANK(Table1[[#This Row],[SizeOption]]),"NOT AVAILABLE",Table1[[#This Row],[SizeOption]])</f>
        <v>26, 28, 30, 32, 34, 36</v>
      </c>
      <c r="Y243" t="str">
        <f>IF(Table2[[#This Row],[Column1]]&gt;50%,"HIGH DISCOUNT","LOW DISCOUNT")</f>
        <v>HIGH DISCOUNT</v>
      </c>
    </row>
    <row r="244" spans="1:25" x14ac:dyDescent="0.25">
      <c r="A244" s="1" t="s">
        <v>675</v>
      </c>
      <c r="B244" s="1">
        <v>9340227</v>
      </c>
      <c r="C244" s="1" t="s">
        <v>676</v>
      </c>
      <c r="D244" s="1" t="s">
        <v>41</v>
      </c>
      <c r="E244" s="1" t="s">
        <v>48</v>
      </c>
      <c r="F244" s="1" t="s">
        <v>36</v>
      </c>
      <c r="G244" s="1" t="s">
        <v>677</v>
      </c>
      <c r="I244" s="1">
        <v>1998</v>
      </c>
      <c r="J244" s="1" t="s">
        <v>84</v>
      </c>
      <c r="K244" s="1" t="s">
        <v>26</v>
      </c>
      <c r="L244" s="1">
        <v>4.0999999999999996</v>
      </c>
      <c r="M244" s="1">
        <v>952</v>
      </c>
      <c r="P244" t="str">
        <f t="shared" si="15"/>
        <v>50%</v>
      </c>
      <c r="Q244" s="12">
        <f t="shared" si="12"/>
        <v>0.5</v>
      </c>
      <c r="R244" s="9">
        <f t="shared" si="13"/>
        <v>999</v>
      </c>
      <c r="S244" s="9">
        <f>IF(R244="",AVERAGEIF(Table1[Category],Table1[[#This Row],[Category]],Table2[orignal data]),Table2[[#This Row],[orignal data]])</f>
        <v>999</v>
      </c>
      <c r="T244" t="str">
        <f t="shared" si="14"/>
        <v>UNIQUE</v>
      </c>
      <c r="U244" t="str">
        <f>IF(ISBLANK(Table1[[#This Row],[SizeOption]]),"NOT AVAILABLE",Table1[[#This Row],[SizeOption]])</f>
        <v>S, M, L, XL</v>
      </c>
      <c r="Y244" t="str">
        <f>IF(Table2[[#This Row],[Column1]]&gt;50%,"HIGH DISCOUNT","LOW DISCOUNT")</f>
        <v>LOW DISCOUNT</v>
      </c>
    </row>
    <row r="245" spans="1:25" x14ac:dyDescent="0.25">
      <c r="A245" s="2" t="s">
        <v>678</v>
      </c>
      <c r="B245" s="2">
        <v>8610407</v>
      </c>
      <c r="C245" s="2" t="s">
        <v>346</v>
      </c>
      <c r="D245" s="2" t="s">
        <v>41</v>
      </c>
      <c r="E245" s="2" t="s">
        <v>42</v>
      </c>
      <c r="F245" s="2" t="s">
        <v>36</v>
      </c>
      <c r="G245" s="2" t="s">
        <v>679</v>
      </c>
      <c r="I245" s="2">
        <v>799</v>
      </c>
      <c r="J245" s="2" t="s">
        <v>680</v>
      </c>
      <c r="K245" s="2" t="s">
        <v>45</v>
      </c>
      <c r="L245" s="2">
        <v>4.3</v>
      </c>
      <c r="M245" s="2">
        <v>952</v>
      </c>
      <c r="P245" t="str">
        <f t="shared" si="15"/>
        <v>300</v>
      </c>
      <c r="Q245" s="12">
        <f t="shared" si="12"/>
        <v>0.37546933667083854</v>
      </c>
      <c r="R245" s="9">
        <f t="shared" si="13"/>
        <v>499</v>
      </c>
      <c r="S245" s="9">
        <f>IF(R245="",AVERAGEIF(Table1[Category],Table1[[#This Row],[Category]],Table2[orignal data]),Table2[[#This Row],[orignal data]])</f>
        <v>499</v>
      </c>
      <c r="T245" t="str">
        <f t="shared" si="14"/>
        <v>UNIQUE</v>
      </c>
      <c r="U245" t="str">
        <f>IF(ISBLANK(Table1[[#This Row],[SizeOption]]),"NOT AVAILABLE",Table1[[#This Row],[SizeOption]])</f>
        <v>XS, S, M, L, XL</v>
      </c>
      <c r="Y245" t="str">
        <f>IF(Table2[[#This Row],[Column1]]&gt;50%,"HIGH DISCOUNT","LOW DISCOUNT")</f>
        <v>LOW DISCOUNT</v>
      </c>
    </row>
    <row r="246" spans="1:25" x14ac:dyDescent="0.25">
      <c r="A246" s="1" t="s">
        <v>681</v>
      </c>
      <c r="B246" s="1">
        <v>2163307</v>
      </c>
      <c r="C246" s="1" t="s">
        <v>64</v>
      </c>
      <c r="D246" s="1" t="s">
        <v>76</v>
      </c>
      <c r="E246" s="1" t="s">
        <v>48</v>
      </c>
      <c r="F246" s="1" t="s">
        <v>36</v>
      </c>
      <c r="G246" s="1" t="s">
        <v>682</v>
      </c>
      <c r="H246">
        <v>769</v>
      </c>
      <c r="I246" s="1">
        <v>1399</v>
      </c>
      <c r="J246" s="1" t="s">
        <v>19</v>
      </c>
      <c r="K246" s="1" t="s">
        <v>115</v>
      </c>
      <c r="L246" s="1">
        <v>4.0999999999999996</v>
      </c>
      <c r="M246" s="1">
        <v>951</v>
      </c>
      <c r="P246" t="str">
        <f t="shared" si="15"/>
        <v>45%</v>
      </c>
      <c r="Q246" s="12">
        <f t="shared" si="12"/>
        <v>0.45</v>
      </c>
      <c r="R246" s="9">
        <f t="shared" si="13"/>
        <v>769.44999999999993</v>
      </c>
      <c r="S246" s="9">
        <f>IF(R246="",AVERAGEIF(Table1[Category],Table1[[#This Row],[Category]],Table2[orignal data]),Table2[[#This Row],[orignal data]])</f>
        <v>769.44999999999993</v>
      </c>
      <c r="T246" t="str">
        <f t="shared" si="14"/>
        <v>UNIQUE</v>
      </c>
      <c r="U246" t="str">
        <f>IF(ISBLANK(Table1[[#This Row],[SizeOption]]),"NOT AVAILABLE",Table1[[#This Row],[SizeOption]])</f>
        <v>XS, S, M, L, XL, XXL</v>
      </c>
      <c r="Y246" t="str">
        <f>IF(Table2[[#This Row],[Column1]]&gt;50%,"HIGH DISCOUNT","LOW DISCOUNT")</f>
        <v>LOW DISCOUNT</v>
      </c>
    </row>
    <row r="247" spans="1:25" x14ac:dyDescent="0.25">
      <c r="A247" s="2" t="s">
        <v>683</v>
      </c>
      <c r="B247" s="2">
        <v>10016755</v>
      </c>
      <c r="C247" s="2" t="s">
        <v>92</v>
      </c>
      <c r="D247" s="2" t="s">
        <v>76</v>
      </c>
      <c r="E247" s="2" t="s">
        <v>148</v>
      </c>
      <c r="F247" s="2" t="s">
        <v>36</v>
      </c>
      <c r="G247" s="2" t="s">
        <v>684</v>
      </c>
      <c r="H247">
        <v>799</v>
      </c>
      <c r="I247" s="2">
        <v>1949</v>
      </c>
      <c r="J247" s="2" t="s">
        <v>95</v>
      </c>
      <c r="K247" s="2" t="s">
        <v>39</v>
      </c>
      <c r="L247" s="2">
        <v>4.3</v>
      </c>
      <c r="M247" s="2">
        <v>951</v>
      </c>
      <c r="P247" t="str">
        <f t="shared" si="15"/>
        <v>59%</v>
      </c>
      <c r="Q247" s="12">
        <f t="shared" si="12"/>
        <v>0.59</v>
      </c>
      <c r="R247" s="9">
        <f t="shared" si="13"/>
        <v>799.09000000000015</v>
      </c>
      <c r="S247" s="9">
        <f>IF(R247="",AVERAGEIF(Table1[Category],Table1[[#This Row],[Category]],Table2[orignal data]),Table2[[#This Row],[orignal data]])</f>
        <v>799.09000000000015</v>
      </c>
      <c r="T247" t="str">
        <f t="shared" si="14"/>
        <v>UNIQUE</v>
      </c>
      <c r="U247" t="str">
        <f>IF(ISBLANK(Table1[[#This Row],[SizeOption]]),"NOT AVAILABLE",Table1[[#This Row],[SizeOption]])</f>
        <v>S, M, L, XL, XXL</v>
      </c>
      <c r="Y247" t="str">
        <f>IF(Table2[[#This Row],[Column1]]&gt;50%,"HIGH DISCOUNT","LOW DISCOUNT")</f>
        <v>HIGH DISCOUNT</v>
      </c>
    </row>
    <row r="248" spans="1:25" x14ac:dyDescent="0.25">
      <c r="A248" s="1" t="s">
        <v>685</v>
      </c>
      <c r="B248" s="1">
        <v>6825084</v>
      </c>
      <c r="C248" s="1" t="s">
        <v>623</v>
      </c>
      <c r="D248" s="1" t="s">
        <v>34</v>
      </c>
      <c r="E248" s="1" t="s">
        <v>296</v>
      </c>
      <c r="F248" s="1" t="s">
        <v>36</v>
      </c>
      <c r="G248" s="1" t="s">
        <v>686</v>
      </c>
      <c r="H248">
        <v>179</v>
      </c>
      <c r="I248" s="1">
        <v>499</v>
      </c>
      <c r="J248" s="1" t="s">
        <v>416</v>
      </c>
      <c r="K248" s="1" t="s">
        <v>26</v>
      </c>
      <c r="L248" s="1">
        <v>4.3</v>
      </c>
      <c r="M248" s="1">
        <v>951</v>
      </c>
      <c r="P248" t="str">
        <f t="shared" si="15"/>
        <v>64%</v>
      </c>
      <c r="Q248" s="12">
        <f t="shared" si="12"/>
        <v>0.64</v>
      </c>
      <c r="R248" s="9">
        <f t="shared" si="13"/>
        <v>179.64</v>
      </c>
      <c r="S248" s="9">
        <f>IF(R248="",AVERAGEIF(Table1[Category],Table1[[#This Row],[Category]],Table2[orignal data]),Table2[[#This Row],[orignal data]])</f>
        <v>179.64</v>
      </c>
      <c r="T248" t="str">
        <f t="shared" si="14"/>
        <v>UNIQUE</v>
      </c>
      <c r="U248" t="str">
        <f>IF(ISBLANK(Table1[[#This Row],[SizeOption]]),"NOT AVAILABLE",Table1[[#This Row],[SizeOption]])</f>
        <v>S, M, L, XL</v>
      </c>
      <c r="Y248" t="str">
        <f>IF(Table2[[#This Row],[Column1]]&gt;50%,"HIGH DISCOUNT","LOW DISCOUNT")</f>
        <v>HIGH DISCOUNT</v>
      </c>
    </row>
    <row r="249" spans="1:25" x14ac:dyDescent="0.25">
      <c r="A249" s="2" t="s">
        <v>687</v>
      </c>
      <c r="B249" s="2">
        <v>9440745</v>
      </c>
      <c r="C249" s="2" t="s">
        <v>102</v>
      </c>
      <c r="D249" s="2" t="s">
        <v>41</v>
      </c>
      <c r="E249" s="2" t="s">
        <v>16</v>
      </c>
      <c r="F249" s="2" t="s">
        <v>36</v>
      </c>
      <c r="G249" s="2" t="s">
        <v>688</v>
      </c>
      <c r="I249" s="2">
        <v>1899</v>
      </c>
      <c r="J249" s="2" t="s">
        <v>60</v>
      </c>
      <c r="K249" s="2" t="s">
        <v>428</v>
      </c>
      <c r="L249" s="2">
        <v>3.9</v>
      </c>
      <c r="M249" s="2">
        <v>951</v>
      </c>
      <c r="P249" t="str">
        <f t="shared" si="15"/>
        <v>58%</v>
      </c>
      <c r="Q249" s="12">
        <f t="shared" si="12"/>
        <v>0.57999999999999996</v>
      </c>
      <c r="R249" s="9">
        <f t="shared" si="13"/>
        <v>797.58000000000015</v>
      </c>
      <c r="S249" s="9">
        <f>IF(R249="",AVERAGEIF(Table1[Category],Table1[[#This Row],[Category]],Table2[orignal data]),Table2[[#This Row],[orignal data]])</f>
        <v>797.58000000000015</v>
      </c>
      <c r="T249" t="str">
        <f t="shared" si="14"/>
        <v>UNIQUE</v>
      </c>
      <c r="U249" t="str">
        <f>IF(ISBLANK(Table1[[#This Row],[SizeOption]]),"NOT AVAILABLE",Table1[[#This Row],[SizeOption]])</f>
        <v>26, 28, 30, 32, 34</v>
      </c>
      <c r="Y249" t="str">
        <f>IF(Table2[[#This Row],[Column1]]&gt;50%,"HIGH DISCOUNT","LOW DISCOUNT")</f>
        <v>HIGH DISCOUNT</v>
      </c>
    </row>
    <row r="250" spans="1:25" x14ac:dyDescent="0.25">
      <c r="A250" s="1" t="s">
        <v>689</v>
      </c>
      <c r="B250" s="1">
        <v>10939124</v>
      </c>
      <c r="C250" s="1" t="s">
        <v>14</v>
      </c>
      <c r="D250" s="1" t="s">
        <v>28</v>
      </c>
      <c r="E250" s="1" t="s">
        <v>42</v>
      </c>
      <c r="F250" s="1" t="s">
        <v>17</v>
      </c>
      <c r="G250" s="1" t="s">
        <v>690</v>
      </c>
      <c r="H250">
        <v>399</v>
      </c>
      <c r="I250" s="1">
        <v>799</v>
      </c>
      <c r="J250" s="1" t="s">
        <v>84</v>
      </c>
      <c r="K250" s="1" t="s">
        <v>45</v>
      </c>
      <c r="L250" s="1">
        <v>4.2</v>
      </c>
      <c r="M250" s="1">
        <v>950</v>
      </c>
      <c r="P250" t="str">
        <f t="shared" si="15"/>
        <v>50%</v>
      </c>
      <c r="Q250" s="12">
        <f t="shared" si="12"/>
        <v>0.5</v>
      </c>
      <c r="R250" s="9">
        <f t="shared" si="13"/>
        <v>399.5</v>
      </c>
      <c r="S250" s="9">
        <f>IF(R250="",AVERAGEIF(Table1[Category],Table1[[#This Row],[Category]],Table2[orignal data]),Table2[[#This Row],[orignal data]])</f>
        <v>399.5</v>
      </c>
      <c r="T250" t="str">
        <f t="shared" si="14"/>
        <v>UNIQUE</v>
      </c>
      <c r="U250" t="str">
        <f>IF(ISBLANK(Table1[[#This Row],[SizeOption]]),"NOT AVAILABLE",Table1[[#This Row],[SizeOption]])</f>
        <v>XS, S, M, L, XL</v>
      </c>
      <c r="Y250" t="str">
        <f>IF(Table2[[#This Row],[Column1]]&gt;50%,"HIGH DISCOUNT","LOW DISCOUNT")</f>
        <v>LOW DISCOUNT</v>
      </c>
    </row>
    <row r="251" spans="1:25" x14ac:dyDescent="0.25">
      <c r="A251" s="2" t="s">
        <v>691</v>
      </c>
      <c r="B251" s="2">
        <v>4450322</v>
      </c>
      <c r="C251" s="2" t="s">
        <v>64</v>
      </c>
      <c r="D251" s="2" t="s">
        <v>98</v>
      </c>
      <c r="E251" s="2" t="s">
        <v>93</v>
      </c>
      <c r="F251" s="2" t="s">
        <v>36</v>
      </c>
      <c r="G251" s="2" t="s">
        <v>692</v>
      </c>
      <c r="H251">
        <v>419</v>
      </c>
      <c r="I251" s="2">
        <v>1399</v>
      </c>
      <c r="J251" s="2" t="s">
        <v>79</v>
      </c>
      <c r="K251" s="2" t="s">
        <v>234</v>
      </c>
      <c r="L251" s="2">
        <v>4.3</v>
      </c>
      <c r="M251" s="2">
        <v>950</v>
      </c>
      <c r="P251" t="str">
        <f t="shared" si="15"/>
        <v>70%</v>
      </c>
      <c r="Q251" s="12">
        <f t="shared" si="12"/>
        <v>0.7</v>
      </c>
      <c r="R251" s="9">
        <f t="shared" si="13"/>
        <v>419.70000000000005</v>
      </c>
      <c r="S251" s="9">
        <f>IF(R251="",AVERAGEIF(Table1[Category],Table1[[#This Row],[Category]],Table2[orignal data]),Table2[[#This Row],[orignal data]])</f>
        <v>419.70000000000005</v>
      </c>
      <c r="T251" t="str">
        <f t="shared" si="14"/>
        <v>UNIQUE</v>
      </c>
      <c r="U251" t="str">
        <f>IF(ISBLANK(Table1[[#This Row],[SizeOption]]),"NOT AVAILABLE",Table1[[#This Row],[SizeOption]])</f>
        <v>S, M, L, XL, XXL, 3XL</v>
      </c>
      <c r="Y251" t="str">
        <f>IF(Table2[[#This Row],[Column1]]&gt;50%,"HIGH DISCOUNT","LOW DISCOUNT")</f>
        <v>HIGH DISCOUNT</v>
      </c>
    </row>
    <row r="252" spans="1:25" x14ac:dyDescent="0.25">
      <c r="A252" s="1" t="s">
        <v>693</v>
      </c>
      <c r="B252" s="1">
        <v>12050580</v>
      </c>
      <c r="C252" s="1" t="s">
        <v>64</v>
      </c>
      <c r="D252" s="1" t="s">
        <v>98</v>
      </c>
      <c r="E252" s="1" t="s">
        <v>93</v>
      </c>
      <c r="F252" s="1" t="s">
        <v>36</v>
      </c>
      <c r="G252" s="1" t="s">
        <v>694</v>
      </c>
      <c r="H252">
        <v>599</v>
      </c>
      <c r="I252" s="1">
        <v>1499</v>
      </c>
      <c r="J252" s="1" t="s">
        <v>141</v>
      </c>
      <c r="K252" s="1" t="s">
        <v>100</v>
      </c>
      <c r="L252" s="1">
        <v>4.2</v>
      </c>
      <c r="M252" s="1">
        <v>950</v>
      </c>
      <c r="P252" t="str">
        <f t="shared" si="15"/>
        <v>60%</v>
      </c>
      <c r="Q252" s="12">
        <f t="shared" si="12"/>
        <v>0.6</v>
      </c>
      <c r="R252" s="9">
        <f t="shared" si="13"/>
        <v>599.6</v>
      </c>
      <c r="S252" s="9">
        <f>IF(R252="",AVERAGEIF(Table1[Category],Table1[[#This Row],[Category]],Table2[orignal data]),Table2[[#This Row],[orignal data]])</f>
        <v>599.6</v>
      </c>
      <c r="T252" t="str">
        <f t="shared" si="14"/>
        <v>UNIQUE</v>
      </c>
      <c r="U252" t="str">
        <f>IF(ISBLANK(Table1[[#This Row],[SizeOption]]),"NOT AVAILABLE",Table1[[#This Row],[SizeOption]])</f>
        <v>XS, S, M, L, XL, XXL, 3XL</v>
      </c>
      <c r="Y252" t="str">
        <f>IF(Table2[[#This Row],[Column1]]&gt;50%,"HIGH DISCOUNT","LOW DISCOUNT")</f>
        <v>HIGH DISCOUNT</v>
      </c>
    </row>
    <row r="253" spans="1:25" x14ac:dyDescent="0.25">
      <c r="A253" s="2" t="s">
        <v>695</v>
      </c>
      <c r="B253" s="2">
        <v>17382176</v>
      </c>
      <c r="C253" s="2" t="s">
        <v>14</v>
      </c>
      <c r="D253" s="2" t="s">
        <v>41</v>
      </c>
      <c r="E253" s="2" t="s">
        <v>42</v>
      </c>
      <c r="F253" s="2" t="s">
        <v>36</v>
      </c>
      <c r="G253" s="2" t="s">
        <v>696</v>
      </c>
      <c r="I253" s="2">
        <v>1598</v>
      </c>
      <c r="J253" s="2" t="s">
        <v>84</v>
      </c>
      <c r="K253" s="2" t="s">
        <v>45</v>
      </c>
      <c r="L253" s="2">
        <v>4</v>
      </c>
      <c r="M253" s="2">
        <v>950</v>
      </c>
      <c r="P253" t="str">
        <f t="shared" si="15"/>
        <v>50%</v>
      </c>
      <c r="Q253" s="12">
        <f t="shared" si="12"/>
        <v>0.5</v>
      </c>
      <c r="R253" s="9">
        <f t="shared" si="13"/>
        <v>799</v>
      </c>
      <c r="S253" s="9">
        <f>IF(R253="",AVERAGEIF(Table1[Category],Table1[[#This Row],[Category]],Table2[orignal data]),Table2[[#This Row],[orignal data]])</f>
        <v>799</v>
      </c>
      <c r="T253" t="str">
        <f t="shared" si="14"/>
        <v>UNIQUE</v>
      </c>
      <c r="U253" t="str">
        <f>IF(ISBLANK(Table1[[#This Row],[SizeOption]]),"NOT AVAILABLE",Table1[[#This Row],[SizeOption]])</f>
        <v>XS, S, M, L, XL</v>
      </c>
      <c r="Y253" t="str">
        <f>IF(Table2[[#This Row],[Column1]]&gt;50%,"HIGH DISCOUNT","LOW DISCOUNT")</f>
        <v>LOW DISCOUNT</v>
      </c>
    </row>
    <row r="254" spans="1:25" x14ac:dyDescent="0.25">
      <c r="A254" s="1" t="s">
        <v>697</v>
      </c>
      <c r="B254" s="1">
        <v>12181732</v>
      </c>
      <c r="C254" s="1" t="s">
        <v>420</v>
      </c>
      <c r="D254" s="1" t="s">
        <v>41</v>
      </c>
      <c r="E254" s="1" t="s">
        <v>148</v>
      </c>
      <c r="F254" s="1" t="s">
        <v>36</v>
      </c>
      <c r="G254" s="1" t="s">
        <v>698</v>
      </c>
      <c r="I254" s="1">
        <v>1699</v>
      </c>
      <c r="J254" s="1" t="s">
        <v>25</v>
      </c>
      <c r="K254" s="1" t="s">
        <v>26</v>
      </c>
      <c r="L254" s="1">
        <v>3.9</v>
      </c>
      <c r="M254" s="1">
        <v>950</v>
      </c>
      <c r="P254" t="str">
        <f t="shared" si="15"/>
        <v>55%</v>
      </c>
      <c r="Q254" s="12">
        <f t="shared" si="12"/>
        <v>0.55000000000000004</v>
      </c>
      <c r="R254" s="9">
        <f t="shared" si="13"/>
        <v>764.55</v>
      </c>
      <c r="S254" s="9">
        <f>IF(R254="",AVERAGEIF(Table1[Category],Table1[[#This Row],[Category]],Table2[orignal data]),Table2[[#This Row],[orignal data]])</f>
        <v>764.55</v>
      </c>
      <c r="T254" t="str">
        <f t="shared" si="14"/>
        <v>UNIQUE</v>
      </c>
      <c r="U254" t="str">
        <f>IF(ISBLANK(Table1[[#This Row],[SizeOption]]),"NOT AVAILABLE",Table1[[#This Row],[SizeOption]])</f>
        <v>S, M, L, XL</v>
      </c>
      <c r="Y254" t="str">
        <f>IF(Table2[[#This Row],[Column1]]&gt;50%,"HIGH DISCOUNT","LOW DISCOUNT")</f>
        <v>HIGH DISCOUNT</v>
      </c>
    </row>
    <row r="255" spans="1:25" x14ac:dyDescent="0.25">
      <c r="A255" s="2" t="s">
        <v>699</v>
      </c>
      <c r="B255" s="2">
        <v>10696608</v>
      </c>
      <c r="C255" s="2" t="s">
        <v>700</v>
      </c>
      <c r="D255" s="2" t="s">
        <v>41</v>
      </c>
      <c r="E255" s="2" t="s">
        <v>16</v>
      </c>
      <c r="F255" s="2" t="s">
        <v>36</v>
      </c>
      <c r="G255" s="2" t="s">
        <v>701</v>
      </c>
      <c r="I255" s="2">
        <v>2399</v>
      </c>
      <c r="J255" s="2" t="s">
        <v>55</v>
      </c>
      <c r="K255" s="2" t="s">
        <v>428</v>
      </c>
      <c r="L255" s="2">
        <v>4.3</v>
      </c>
      <c r="M255" s="2">
        <v>950</v>
      </c>
      <c r="P255" t="str">
        <f t="shared" si="15"/>
        <v>60%</v>
      </c>
      <c r="Q255" s="12">
        <f t="shared" si="12"/>
        <v>0.6</v>
      </c>
      <c r="R255" s="9">
        <f t="shared" si="13"/>
        <v>959.60000000000014</v>
      </c>
      <c r="S255" s="9">
        <f>IF(R255="",AVERAGEIF(Table1[Category],Table1[[#This Row],[Category]],Table2[orignal data]),Table2[[#This Row],[orignal data]])</f>
        <v>959.60000000000014</v>
      </c>
      <c r="T255" t="str">
        <f t="shared" si="14"/>
        <v>UNIQUE</v>
      </c>
      <c r="U255" t="str">
        <f>IF(ISBLANK(Table1[[#This Row],[SizeOption]]),"NOT AVAILABLE",Table1[[#This Row],[SizeOption]])</f>
        <v>26, 28, 30, 32, 34</v>
      </c>
      <c r="Y255" t="str">
        <f>IF(Table2[[#This Row],[Column1]]&gt;50%,"HIGH DISCOUNT","LOW DISCOUNT")</f>
        <v>HIGH DISCOUNT</v>
      </c>
    </row>
    <row r="256" spans="1:25" x14ac:dyDescent="0.25">
      <c r="A256" s="1" t="s">
        <v>702</v>
      </c>
      <c r="B256" s="1">
        <v>17381612</v>
      </c>
      <c r="C256" s="1" t="s">
        <v>14</v>
      </c>
      <c r="D256" s="1" t="s">
        <v>41</v>
      </c>
      <c r="E256" s="1" t="s">
        <v>42</v>
      </c>
      <c r="F256" s="1" t="s">
        <v>36</v>
      </c>
      <c r="G256" s="1" t="s">
        <v>380</v>
      </c>
      <c r="I256" s="1">
        <v>1798</v>
      </c>
      <c r="J256" s="1"/>
      <c r="K256" s="1" t="s">
        <v>703</v>
      </c>
      <c r="L256" s="1">
        <v>4</v>
      </c>
      <c r="M256" s="1">
        <v>950</v>
      </c>
      <c r="P256" t="str">
        <f t="shared" si="15"/>
        <v/>
      </c>
      <c r="Q256" s="12" t="str">
        <f t="shared" si="12"/>
        <v/>
      </c>
      <c r="R256" s="9" t="str">
        <f t="shared" si="13"/>
        <v/>
      </c>
      <c r="S256" s="9">
        <f>IF(R256="",AVERAGEIF(Table1[Category],Table1[[#This Row],[Category]],Table2[orignal data]),Table2[[#This Row],[orignal data]])</f>
        <v>715.78890751086249</v>
      </c>
      <c r="T256" t="str">
        <f t="shared" si="14"/>
        <v>UNIQUE</v>
      </c>
      <c r="U256" t="str">
        <f>IF(ISBLANK(Table1[[#This Row],[SizeOption]]),"NOT AVAILABLE",Table1[[#This Row],[SizeOption]])</f>
        <v>S, XS, XL, L, M</v>
      </c>
      <c r="Y256" t="str">
        <f>IF(Table2[[#This Row],[Column1]]&gt;50%,"HIGH DISCOUNT","LOW DISCOUNT")</f>
        <v>HIGH DISCOUNT</v>
      </c>
    </row>
    <row r="257" spans="1:25" x14ac:dyDescent="0.25">
      <c r="A257" s="2" t="s">
        <v>704</v>
      </c>
      <c r="B257" s="2">
        <v>8962443</v>
      </c>
      <c r="C257" s="2" t="s">
        <v>14</v>
      </c>
      <c r="D257" s="2" t="s">
        <v>15</v>
      </c>
      <c r="E257" s="2" t="s">
        <v>16</v>
      </c>
      <c r="F257" s="2" t="s">
        <v>17</v>
      </c>
      <c r="G257" s="2" t="s">
        <v>705</v>
      </c>
      <c r="I257" s="2">
        <v>1799</v>
      </c>
      <c r="J257" s="2"/>
      <c r="K257" s="2" t="s">
        <v>134</v>
      </c>
      <c r="L257" s="2">
        <v>3.6</v>
      </c>
      <c r="M257" s="2">
        <v>949</v>
      </c>
      <c r="P257" t="str">
        <f t="shared" si="15"/>
        <v/>
      </c>
      <c r="Q257" s="12" t="str">
        <f t="shared" si="12"/>
        <v/>
      </c>
      <c r="R257" s="9" t="str">
        <f t="shared" si="13"/>
        <v/>
      </c>
      <c r="S257" s="9">
        <f>IF(R257="",AVERAGEIF(Table1[Category],Table1[[#This Row],[Category]],Table2[orignal data]),Table2[[#This Row],[orignal data]])</f>
        <v>892.27590339892538</v>
      </c>
      <c r="T257" t="str">
        <f t="shared" si="14"/>
        <v>UNIQUE</v>
      </c>
      <c r="U257" t="str">
        <f>IF(ISBLANK(Table1[[#This Row],[SizeOption]]),"NOT AVAILABLE",Table1[[#This Row],[SizeOption]])</f>
        <v>26, 28, 30, 32, 34, 36</v>
      </c>
      <c r="Y257" t="str">
        <f>IF(Table2[[#This Row],[Column1]]&gt;50%,"HIGH DISCOUNT","LOW DISCOUNT")</f>
        <v>HIGH DISCOUNT</v>
      </c>
    </row>
    <row r="258" spans="1:25" x14ac:dyDescent="0.25">
      <c r="A258" s="1" t="s">
        <v>706</v>
      </c>
      <c r="B258" s="1">
        <v>11964926</v>
      </c>
      <c r="C258" s="1" t="s">
        <v>52</v>
      </c>
      <c r="D258" s="1" t="s">
        <v>28</v>
      </c>
      <c r="E258" s="1" t="s">
        <v>29</v>
      </c>
      <c r="F258" s="1" t="s">
        <v>17</v>
      </c>
      <c r="G258" s="1" t="s">
        <v>707</v>
      </c>
      <c r="H258">
        <v>479</v>
      </c>
      <c r="I258" s="1">
        <v>1199</v>
      </c>
      <c r="J258" s="1" t="s">
        <v>55</v>
      </c>
      <c r="K258" s="1" t="s">
        <v>90</v>
      </c>
      <c r="L258" s="1">
        <v>4.0999999999999996</v>
      </c>
      <c r="M258" s="1">
        <v>949</v>
      </c>
      <c r="P258" t="str">
        <f t="shared" si="15"/>
        <v>60%</v>
      </c>
      <c r="Q258" s="12">
        <f t="shared" ref="Q258:Q321" si="16">IF(P258="","",IF(ISNUMBER(SEARCH("%",P258)),P258,P258/I258)*100%)</f>
        <v>0.6</v>
      </c>
      <c r="R258" s="9">
        <f t="shared" ref="R258:R321" si="17">IF(P258="","",I258-(I258*Q258))</f>
        <v>479.6</v>
      </c>
      <c r="S258" s="9">
        <f>IF(R258="",AVERAGEIF(Table1[Category],Table1[[#This Row],[Category]],Table2[orignal data]),Table2[[#This Row],[orignal data]])</f>
        <v>479.6</v>
      </c>
      <c r="T258" t="str">
        <f t="shared" ref="T258:T321" si="18">IF(COUNTIF($B$2:$B$5000,B258)&gt;1,"DUPLICATE","UNIQUE")</f>
        <v>UNIQUE</v>
      </c>
      <c r="U258" t="str">
        <f>IF(ISBLANK(Table1[[#This Row],[SizeOption]]),"NOT AVAILABLE",Table1[[#This Row],[SizeOption]])</f>
        <v>39, 40, 42, 44</v>
      </c>
      <c r="Y258" t="str">
        <f>IF(Table2[[#This Row],[Column1]]&gt;50%,"HIGH DISCOUNT","LOW DISCOUNT")</f>
        <v>HIGH DISCOUNT</v>
      </c>
    </row>
    <row r="259" spans="1:25" x14ac:dyDescent="0.25">
      <c r="A259" s="2" t="s">
        <v>708</v>
      </c>
      <c r="B259" s="2">
        <v>9149689</v>
      </c>
      <c r="C259" s="2" t="s">
        <v>152</v>
      </c>
      <c r="D259" s="2" t="s">
        <v>76</v>
      </c>
      <c r="E259" s="2" t="s">
        <v>148</v>
      </c>
      <c r="F259" s="2" t="s">
        <v>36</v>
      </c>
      <c r="G259" s="2" t="s">
        <v>709</v>
      </c>
      <c r="H259">
        <v>1479</v>
      </c>
      <c r="I259" s="2">
        <v>3699</v>
      </c>
      <c r="J259" s="2" t="s">
        <v>55</v>
      </c>
      <c r="K259" s="2" t="s">
        <v>39</v>
      </c>
      <c r="L259" s="2">
        <v>4.4000000000000004</v>
      </c>
      <c r="M259" s="2">
        <v>949</v>
      </c>
      <c r="P259" t="str">
        <f t="shared" ref="P259:P322" si="19">TRIM(SUBSTITUTE(SUBSTITUTE(SUBSTITUTE(SUBSTITUTE(J259,"OFF",""),"Rs.",""),"Hurry*",""),",",""))</f>
        <v>60%</v>
      </c>
      <c r="Q259" s="12">
        <f t="shared" si="16"/>
        <v>0.6</v>
      </c>
      <c r="R259" s="9">
        <f t="shared" si="17"/>
        <v>1479.6</v>
      </c>
      <c r="S259" s="9">
        <f>IF(R259="",AVERAGEIF(Table1[Category],Table1[[#This Row],[Category]],Table2[orignal data]),Table2[[#This Row],[orignal data]])</f>
        <v>1479.6</v>
      </c>
      <c r="T259" t="str">
        <f t="shared" si="18"/>
        <v>UNIQUE</v>
      </c>
      <c r="U259" t="str">
        <f>IF(ISBLANK(Table1[[#This Row],[SizeOption]]),"NOT AVAILABLE",Table1[[#This Row],[SizeOption]])</f>
        <v>S, M, L, XL, XXL</v>
      </c>
      <c r="Y259" t="str">
        <f>IF(Table2[[#This Row],[Column1]]&gt;50%,"HIGH DISCOUNT","LOW DISCOUNT")</f>
        <v>HIGH DISCOUNT</v>
      </c>
    </row>
    <row r="260" spans="1:25" x14ac:dyDescent="0.25">
      <c r="A260" s="1" t="s">
        <v>710</v>
      </c>
      <c r="B260" s="1">
        <v>10733250</v>
      </c>
      <c r="C260" s="1" t="s">
        <v>81</v>
      </c>
      <c r="D260" s="1" t="s">
        <v>41</v>
      </c>
      <c r="E260" s="1" t="s">
        <v>48</v>
      </c>
      <c r="F260" s="1" t="s">
        <v>36</v>
      </c>
      <c r="G260" s="1" t="s">
        <v>711</v>
      </c>
      <c r="I260" s="1">
        <v>1295</v>
      </c>
      <c r="J260" s="1" t="s">
        <v>130</v>
      </c>
      <c r="K260" s="1" t="s">
        <v>115</v>
      </c>
      <c r="L260" s="1">
        <v>4.3</v>
      </c>
      <c r="M260" s="1">
        <v>949</v>
      </c>
      <c r="P260" t="str">
        <f t="shared" si="19"/>
        <v>57%</v>
      </c>
      <c r="Q260" s="12">
        <f t="shared" si="16"/>
        <v>0.56999999999999995</v>
      </c>
      <c r="R260" s="9">
        <f t="shared" si="17"/>
        <v>556.85</v>
      </c>
      <c r="S260" s="9">
        <f>IF(R260="",AVERAGEIF(Table1[Category],Table1[[#This Row],[Category]],Table2[orignal data]),Table2[[#This Row],[orignal data]])</f>
        <v>556.85</v>
      </c>
      <c r="T260" t="str">
        <f t="shared" si="18"/>
        <v>UNIQUE</v>
      </c>
      <c r="U260" t="str">
        <f>IF(ISBLANK(Table1[[#This Row],[SizeOption]]),"NOT AVAILABLE",Table1[[#This Row],[SizeOption]])</f>
        <v>XS, S, M, L, XL, XXL</v>
      </c>
      <c r="Y260" t="str">
        <f>IF(Table2[[#This Row],[Column1]]&gt;50%,"HIGH DISCOUNT","LOW DISCOUNT")</f>
        <v>HIGH DISCOUNT</v>
      </c>
    </row>
    <row r="261" spans="1:25" x14ac:dyDescent="0.25">
      <c r="A261" s="2" t="s">
        <v>712</v>
      </c>
      <c r="B261" s="2">
        <v>12983800</v>
      </c>
      <c r="C261" s="2" t="s">
        <v>47</v>
      </c>
      <c r="D261" s="2" t="s">
        <v>15</v>
      </c>
      <c r="E261" s="2" t="s">
        <v>16</v>
      </c>
      <c r="F261" s="2" t="s">
        <v>17</v>
      </c>
      <c r="G261" s="2" t="s">
        <v>713</v>
      </c>
      <c r="H261">
        <v>719</v>
      </c>
      <c r="I261" s="2">
        <v>1799</v>
      </c>
      <c r="J261" s="2" t="s">
        <v>55</v>
      </c>
      <c r="K261" s="2" t="s">
        <v>20</v>
      </c>
      <c r="L261" s="2">
        <v>3.4</v>
      </c>
      <c r="M261" s="2">
        <v>948</v>
      </c>
      <c r="P261" t="str">
        <f t="shared" si="19"/>
        <v>60%</v>
      </c>
      <c r="Q261" s="12">
        <f t="shared" si="16"/>
        <v>0.6</v>
      </c>
      <c r="R261" s="9">
        <f t="shared" si="17"/>
        <v>719.60000000000014</v>
      </c>
      <c r="S261" s="9">
        <f>IF(R261="",AVERAGEIF(Table1[Category],Table1[[#This Row],[Category]],Table2[orignal data]),Table2[[#This Row],[orignal data]])</f>
        <v>719.60000000000014</v>
      </c>
      <c r="T261" t="str">
        <f t="shared" si="18"/>
        <v>UNIQUE</v>
      </c>
      <c r="U261" t="str">
        <f>IF(ISBLANK(Table1[[#This Row],[SizeOption]]),"NOT AVAILABLE",Table1[[#This Row],[SizeOption]])</f>
        <v>28, 30, 32, 34, 36</v>
      </c>
      <c r="Y261" t="str">
        <f>IF(Table2[[#This Row],[Column1]]&gt;50%,"HIGH DISCOUNT","LOW DISCOUNT")</f>
        <v>HIGH DISCOUNT</v>
      </c>
    </row>
    <row r="262" spans="1:25" x14ac:dyDescent="0.25">
      <c r="A262" s="1" t="s">
        <v>714</v>
      </c>
      <c r="B262" s="1">
        <v>10343471</v>
      </c>
      <c r="C262" s="1" t="s">
        <v>47</v>
      </c>
      <c r="D262" s="1" t="s">
        <v>28</v>
      </c>
      <c r="E262" s="1" t="s">
        <v>29</v>
      </c>
      <c r="F262" s="1" t="s">
        <v>17</v>
      </c>
      <c r="G262" s="1" t="s">
        <v>715</v>
      </c>
      <c r="H262">
        <v>919</v>
      </c>
      <c r="I262" s="1">
        <v>2299</v>
      </c>
      <c r="J262" s="1" t="s">
        <v>55</v>
      </c>
      <c r="K262" s="1" t="s">
        <v>253</v>
      </c>
      <c r="L262" s="1">
        <v>4.2</v>
      </c>
      <c r="M262" s="1">
        <v>948</v>
      </c>
      <c r="P262" t="str">
        <f t="shared" si="19"/>
        <v>60%</v>
      </c>
      <c r="Q262" s="12">
        <f t="shared" si="16"/>
        <v>0.6</v>
      </c>
      <c r="R262" s="9">
        <f t="shared" si="17"/>
        <v>919.60000000000014</v>
      </c>
      <c r="S262" s="9">
        <f>IF(R262="",AVERAGEIF(Table1[Category],Table1[[#This Row],[Category]],Table2[orignal data]),Table2[[#This Row],[orignal data]])</f>
        <v>919.60000000000014</v>
      </c>
      <c r="T262" t="str">
        <f t="shared" si="18"/>
        <v>UNIQUE</v>
      </c>
      <c r="U262" t="str">
        <f>IF(ISBLANK(Table1[[#This Row],[SizeOption]]),"NOT AVAILABLE",Table1[[#This Row],[SizeOption]])</f>
        <v>38, 40, 42, 44</v>
      </c>
      <c r="Y262" t="str">
        <f>IF(Table2[[#This Row],[Column1]]&gt;50%,"HIGH DISCOUNT","LOW DISCOUNT")</f>
        <v>HIGH DISCOUNT</v>
      </c>
    </row>
    <row r="263" spans="1:25" x14ac:dyDescent="0.25">
      <c r="A263" s="2" t="s">
        <v>716</v>
      </c>
      <c r="B263" s="2">
        <v>10940564</v>
      </c>
      <c r="C263" s="2" t="s">
        <v>14</v>
      </c>
      <c r="D263" s="2" t="s">
        <v>28</v>
      </c>
      <c r="E263" s="2" t="s">
        <v>42</v>
      </c>
      <c r="F263" s="2" t="s">
        <v>17</v>
      </c>
      <c r="G263" s="2" t="s">
        <v>717</v>
      </c>
      <c r="H263">
        <v>384</v>
      </c>
      <c r="I263" s="2">
        <v>699</v>
      </c>
      <c r="J263" s="2" t="s">
        <v>19</v>
      </c>
      <c r="K263" s="2" t="s">
        <v>26</v>
      </c>
      <c r="L263" s="2">
        <v>4.3</v>
      </c>
      <c r="M263" s="2">
        <v>948</v>
      </c>
      <c r="P263" t="str">
        <f t="shared" si="19"/>
        <v>45%</v>
      </c>
      <c r="Q263" s="12">
        <f t="shared" si="16"/>
        <v>0.45</v>
      </c>
      <c r="R263" s="9">
        <f t="shared" si="17"/>
        <v>384.45</v>
      </c>
      <c r="S263" s="9">
        <f>IF(R263="",AVERAGEIF(Table1[Category],Table1[[#This Row],[Category]],Table2[orignal data]),Table2[[#This Row],[orignal data]])</f>
        <v>384.45</v>
      </c>
      <c r="T263" t="str">
        <f t="shared" si="18"/>
        <v>UNIQUE</v>
      </c>
      <c r="U263" t="str">
        <f>IF(ISBLANK(Table1[[#This Row],[SizeOption]]),"NOT AVAILABLE",Table1[[#This Row],[SizeOption]])</f>
        <v>S, M, L, XL</v>
      </c>
      <c r="Y263" t="str">
        <f>IF(Table2[[#This Row],[Column1]]&gt;50%,"HIGH DISCOUNT","LOW DISCOUNT")</f>
        <v>LOW DISCOUNT</v>
      </c>
    </row>
    <row r="264" spans="1:25" x14ac:dyDescent="0.25">
      <c r="A264" s="1" t="s">
        <v>718</v>
      </c>
      <c r="B264" s="1">
        <v>8349519</v>
      </c>
      <c r="C264" s="1" t="s">
        <v>97</v>
      </c>
      <c r="D264" s="1" t="s">
        <v>76</v>
      </c>
      <c r="E264" s="1" t="s">
        <v>48</v>
      </c>
      <c r="F264" s="1" t="s">
        <v>36</v>
      </c>
      <c r="G264" s="1" t="s">
        <v>719</v>
      </c>
      <c r="H264">
        <v>649</v>
      </c>
      <c r="I264" s="1">
        <v>1299</v>
      </c>
      <c r="J264" s="1" t="s">
        <v>84</v>
      </c>
      <c r="K264" s="1" t="s">
        <v>100</v>
      </c>
      <c r="L264" s="1">
        <v>4.4000000000000004</v>
      </c>
      <c r="M264" s="1">
        <v>948</v>
      </c>
      <c r="P264" t="str">
        <f t="shared" si="19"/>
        <v>50%</v>
      </c>
      <c r="Q264" s="12">
        <f t="shared" si="16"/>
        <v>0.5</v>
      </c>
      <c r="R264" s="9">
        <f t="shared" si="17"/>
        <v>649.5</v>
      </c>
      <c r="S264" s="9">
        <f>IF(R264="",AVERAGEIF(Table1[Category],Table1[[#This Row],[Category]],Table2[orignal data]),Table2[[#This Row],[orignal data]])</f>
        <v>649.5</v>
      </c>
      <c r="T264" t="str">
        <f t="shared" si="18"/>
        <v>UNIQUE</v>
      </c>
      <c r="U264" t="str">
        <f>IF(ISBLANK(Table1[[#This Row],[SizeOption]]),"NOT AVAILABLE",Table1[[#This Row],[SizeOption]])</f>
        <v>XS, S, M, L, XL, XXL, 3XL</v>
      </c>
      <c r="Y264" t="str">
        <f>IF(Table2[[#This Row],[Column1]]&gt;50%,"HIGH DISCOUNT","LOW DISCOUNT")</f>
        <v>LOW DISCOUNT</v>
      </c>
    </row>
    <row r="265" spans="1:25" x14ac:dyDescent="0.25">
      <c r="A265" s="2" t="s">
        <v>720</v>
      </c>
      <c r="B265" s="2">
        <v>11174384</v>
      </c>
      <c r="C265" s="2" t="s">
        <v>97</v>
      </c>
      <c r="D265" s="2" t="s">
        <v>76</v>
      </c>
      <c r="E265" s="2" t="s">
        <v>93</v>
      </c>
      <c r="F265" s="2" t="s">
        <v>36</v>
      </c>
      <c r="G265" s="2" t="s">
        <v>721</v>
      </c>
      <c r="H265">
        <v>454</v>
      </c>
      <c r="I265" s="2">
        <v>1299</v>
      </c>
      <c r="J265" s="2" t="s">
        <v>150</v>
      </c>
      <c r="K265" s="2" t="s">
        <v>100</v>
      </c>
      <c r="L265" s="2">
        <v>4.2</v>
      </c>
      <c r="M265" s="2">
        <v>948</v>
      </c>
      <c r="P265" t="str">
        <f t="shared" si="19"/>
        <v>65%</v>
      </c>
      <c r="Q265" s="12">
        <f t="shared" si="16"/>
        <v>0.65</v>
      </c>
      <c r="R265" s="9">
        <f t="shared" si="17"/>
        <v>454.65</v>
      </c>
      <c r="S265" s="9">
        <f>IF(R265="",AVERAGEIF(Table1[Category],Table1[[#This Row],[Category]],Table2[orignal data]),Table2[[#This Row],[orignal data]])</f>
        <v>454.65</v>
      </c>
      <c r="T265" t="str">
        <f t="shared" si="18"/>
        <v>UNIQUE</v>
      </c>
      <c r="U265" t="str">
        <f>IF(ISBLANK(Table1[[#This Row],[SizeOption]]),"NOT AVAILABLE",Table1[[#This Row],[SizeOption]])</f>
        <v>XS, S, M, L, XL, XXL, 3XL</v>
      </c>
      <c r="Y265" t="str">
        <f>IF(Table2[[#This Row],[Column1]]&gt;50%,"HIGH DISCOUNT","LOW DISCOUNT")</f>
        <v>HIGH DISCOUNT</v>
      </c>
    </row>
    <row r="266" spans="1:25" x14ac:dyDescent="0.25">
      <c r="A266" s="1" t="s">
        <v>722</v>
      </c>
      <c r="B266" s="1">
        <v>8002531</v>
      </c>
      <c r="C266" s="1" t="s">
        <v>64</v>
      </c>
      <c r="D266" s="1" t="s">
        <v>98</v>
      </c>
      <c r="E266" s="1" t="s">
        <v>148</v>
      </c>
      <c r="F266" s="1" t="s">
        <v>36</v>
      </c>
      <c r="G266" s="1" t="s">
        <v>723</v>
      </c>
      <c r="H266">
        <v>1079</v>
      </c>
      <c r="I266" s="1">
        <v>2399</v>
      </c>
      <c r="J266" s="1" t="s">
        <v>25</v>
      </c>
      <c r="K266" s="1" t="s">
        <v>115</v>
      </c>
      <c r="L266" s="1">
        <v>4.0999999999999996</v>
      </c>
      <c r="M266" s="1">
        <v>948</v>
      </c>
      <c r="P266" t="str">
        <f t="shared" si="19"/>
        <v>55%</v>
      </c>
      <c r="Q266" s="12">
        <f t="shared" si="16"/>
        <v>0.55000000000000004</v>
      </c>
      <c r="R266" s="9">
        <f t="shared" si="17"/>
        <v>1079.55</v>
      </c>
      <c r="S266" s="9">
        <f>IF(R266="",AVERAGEIF(Table1[Category],Table1[[#This Row],[Category]],Table2[orignal data]),Table2[[#This Row],[orignal data]])</f>
        <v>1079.55</v>
      </c>
      <c r="T266" t="str">
        <f t="shared" si="18"/>
        <v>UNIQUE</v>
      </c>
      <c r="U266" t="str">
        <f>IF(ISBLANK(Table1[[#This Row],[SizeOption]]),"NOT AVAILABLE",Table1[[#This Row],[SizeOption]])</f>
        <v>XS, S, M, L, XL, XXL</v>
      </c>
      <c r="Y266" t="str">
        <f>IF(Table2[[#This Row],[Column1]]&gt;50%,"HIGH DISCOUNT","LOW DISCOUNT")</f>
        <v>HIGH DISCOUNT</v>
      </c>
    </row>
    <row r="267" spans="1:25" x14ac:dyDescent="0.25">
      <c r="A267" s="2" t="s">
        <v>724</v>
      </c>
      <c r="B267" s="2">
        <v>11541582</v>
      </c>
      <c r="C267" s="2" t="s">
        <v>14</v>
      </c>
      <c r="D267" s="2" t="s">
        <v>41</v>
      </c>
      <c r="E267" s="2" t="s">
        <v>16</v>
      </c>
      <c r="F267" s="2" t="s">
        <v>36</v>
      </c>
      <c r="G267" s="2" t="s">
        <v>725</v>
      </c>
      <c r="I267" s="2">
        <v>1699</v>
      </c>
      <c r="J267" s="2" t="s">
        <v>84</v>
      </c>
      <c r="K267" s="2" t="s">
        <v>134</v>
      </c>
      <c r="L267" s="2">
        <v>4.2</v>
      </c>
      <c r="M267" s="2">
        <v>948</v>
      </c>
      <c r="P267" t="str">
        <f t="shared" si="19"/>
        <v>50%</v>
      </c>
      <c r="Q267" s="12">
        <f t="shared" si="16"/>
        <v>0.5</v>
      </c>
      <c r="R267" s="9">
        <f t="shared" si="17"/>
        <v>849.5</v>
      </c>
      <c r="S267" s="9">
        <f>IF(R267="",AVERAGEIF(Table1[Category],Table1[[#This Row],[Category]],Table2[orignal data]),Table2[[#This Row],[orignal data]])</f>
        <v>849.5</v>
      </c>
      <c r="T267" t="str">
        <f t="shared" si="18"/>
        <v>UNIQUE</v>
      </c>
      <c r="U267" t="str">
        <f>IF(ISBLANK(Table1[[#This Row],[SizeOption]]),"NOT AVAILABLE",Table1[[#This Row],[SizeOption]])</f>
        <v>26, 28, 30, 32, 34, 36</v>
      </c>
      <c r="Y267" t="str">
        <f>IF(Table2[[#This Row],[Column1]]&gt;50%,"HIGH DISCOUNT","LOW DISCOUNT")</f>
        <v>LOW DISCOUNT</v>
      </c>
    </row>
    <row r="268" spans="1:25" x14ac:dyDescent="0.25">
      <c r="A268" s="1" t="s">
        <v>726</v>
      </c>
      <c r="B268" s="1">
        <v>8195047</v>
      </c>
      <c r="C268" s="1" t="s">
        <v>102</v>
      </c>
      <c r="D268" s="1" t="s">
        <v>41</v>
      </c>
      <c r="E268" s="1" t="s">
        <v>48</v>
      </c>
      <c r="F268" s="1" t="s">
        <v>36</v>
      </c>
      <c r="G268" s="1" t="s">
        <v>727</v>
      </c>
      <c r="I268" s="1">
        <v>949</v>
      </c>
      <c r="J268" s="1" t="s">
        <v>126</v>
      </c>
      <c r="K268" s="1" t="s">
        <v>26</v>
      </c>
      <c r="L268" s="1">
        <v>4.0999999999999996</v>
      </c>
      <c r="M268" s="1">
        <v>948</v>
      </c>
      <c r="P268" t="str">
        <f t="shared" si="19"/>
        <v>62%</v>
      </c>
      <c r="Q268" s="12">
        <f t="shared" si="16"/>
        <v>0.62</v>
      </c>
      <c r="R268" s="9">
        <f t="shared" si="17"/>
        <v>360.62</v>
      </c>
      <c r="S268" s="9">
        <f>IF(R268="",AVERAGEIF(Table1[Category],Table1[[#This Row],[Category]],Table2[orignal data]),Table2[[#This Row],[orignal data]])</f>
        <v>360.62</v>
      </c>
      <c r="T268" t="str">
        <f t="shared" si="18"/>
        <v>UNIQUE</v>
      </c>
      <c r="U268" t="str">
        <f>IF(ISBLANK(Table1[[#This Row],[SizeOption]]),"NOT AVAILABLE",Table1[[#This Row],[SizeOption]])</f>
        <v>S, M, L, XL</v>
      </c>
      <c r="Y268" t="str">
        <f>IF(Table2[[#This Row],[Column1]]&gt;50%,"HIGH DISCOUNT","LOW DISCOUNT")</f>
        <v>HIGH DISCOUNT</v>
      </c>
    </row>
    <row r="269" spans="1:25" x14ac:dyDescent="0.25">
      <c r="A269" s="2" t="s">
        <v>728</v>
      </c>
      <c r="B269" s="2">
        <v>10481292</v>
      </c>
      <c r="C269" s="2" t="s">
        <v>729</v>
      </c>
      <c r="D269" s="2" t="s">
        <v>28</v>
      </c>
      <c r="E269" s="2" t="s">
        <v>42</v>
      </c>
      <c r="F269" s="2" t="s">
        <v>17</v>
      </c>
      <c r="G269" s="2" t="s">
        <v>730</v>
      </c>
      <c r="H269">
        <v>857</v>
      </c>
      <c r="I269" s="2">
        <v>2765</v>
      </c>
      <c r="J269" s="2" t="s">
        <v>731</v>
      </c>
      <c r="K269" s="2" t="s">
        <v>732</v>
      </c>
      <c r="L269" s="2">
        <v>4.3</v>
      </c>
      <c r="M269" s="2">
        <v>947</v>
      </c>
      <c r="P269" t="str">
        <f t="shared" si="19"/>
        <v>69%</v>
      </c>
      <c r="Q269" s="12">
        <f t="shared" si="16"/>
        <v>0.69</v>
      </c>
      <c r="R269" s="9">
        <f t="shared" si="17"/>
        <v>857.15000000000009</v>
      </c>
      <c r="S269" s="9">
        <f>IF(R269="",AVERAGEIF(Table1[Category],Table1[[#This Row],[Category]],Table2[orignal data]),Table2[[#This Row],[orignal data]])</f>
        <v>857.15000000000009</v>
      </c>
      <c r="T269" t="str">
        <f t="shared" si="18"/>
        <v>UNIQUE</v>
      </c>
      <c r="U269" t="str">
        <f>IF(ISBLANK(Table1[[#This Row],[SizeOption]]),"NOT AVAILABLE",Table1[[#This Row],[SizeOption]])</f>
        <v>S, M, L, XL, XXL, 3XL, 4XL, 5XL</v>
      </c>
      <c r="Y269" t="str">
        <f>IF(Table2[[#This Row],[Column1]]&gt;50%,"HIGH DISCOUNT","LOW DISCOUNT")</f>
        <v>HIGH DISCOUNT</v>
      </c>
    </row>
    <row r="270" spans="1:25" x14ac:dyDescent="0.25">
      <c r="A270" s="1" t="s">
        <v>733</v>
      </c>
      <c r="B270" s="1">
        <v>9753225</v>
      </c>
      <c r="C270" s="1" t="s">
        <v>545</v>
      </c>
      <c r="D270" s="1" t="s">
        <v>76</v>
      </c>
      <c r="E270" s="1" t="s">
        <v>320</v>
      </c>
      <c r="F270" s="1" t="s">
        <v>36</v>
      </c>
      <c r="G270" s="1" t="s">
        <v>734</v>
      </c>
      <c r="H270">
        <v>620</v>
      </c>
      <c r="I270" s="1">
        <v>2299</v>
      </c>
      <c r="J270" s="1" t="s">
        <v>735</v>
      </c>
      <c r="K270" s="1" t="s">
        <v>164</v>
      </c>
      <c r="L270" s="1">
        <v>3.9</v>
      </c>
      <c r="M270" s="1">
        <v>947</v>
      </c>
      <c r="P270" t="str">
        <f t="shared" si="19"/>
        <v>73%</v>
      </c>
      <c r="Q270" s="12">
        <f t="shared" si="16"/>
        <v>0.73</v>
      </c>
      <c r="R270" s="9">
        <f t="shared" si="17"/>
        <v>620.73</v>
      </c>
      <c r="S270" s="9">
        <f>IF(R270="",AVERAGEIF(Table1[Category],Table1[[#This Row],[Category]],Table2[orignal data]),Table2[[#This Row],[orignal data]])</f>
        <v>620.73</v>
      </c>
      <c r="T270" t="str">
        <f t="shared" si="18"/>
        <v>UNIQUE</v>
      </c>
      <c r="U270" t="str">
        <f>IF(ISBLANK(Table1[[#This Row],[SizeOption]]),"NOT AVAILABLE",Table1[[#This Row],[SizeOption]])</f>
        <v>Onesize</v>
      </c>
      <c r="Y270" t="str">
        <f>IF(Table2[[#This Row],[Column1]]&gt;50%,"HIGH DISCOUNT","LOW DISCOUNT")</f>
        <v>HIGH DISCOUNT</v>
      </c>
    </row>
    <row r="271" spans="1:25" x14ac:dyDescent="0.25">
      <c r="A271" s="2" t="s">
        <v>736</v>
      </c>
      <c r="B271" s="2">
        <v>2077137</v>
      </c>
      <c r="C271" s="2" t="s">
        <v>64</v>
      </c>
      <c r="D271" s="2" t="s">
        <v>98</v>
      </c>
      <c r="E271" s="2" t="s">
        <v>48</v>
      </c>
      <c r="F271" s="2" t="s">
        <v>36</v>
      </c>
      <c r="G271" s="2" t="s">
        <v>737</v>
      </c>
      <c r="H271">
        <v>419</v>
      </c>
      <c r="I271" s="2">
        <v>1399</v>
      </c>
      <c r="J271" s="2" t="s">
        <v>79</v>
      </c>
      <c r="K271" s="2" t="s">
        <v>39</v>
      </c>
      <c r="L271" s="2">
        <v>4</v>
      </c>
      <c r="M271" s="2">
        <v>947</v>
      </c>
      <c r="P271" t="str">
        <f t="shared" si="19"/>
        <v>70%</v>
      </c>
      <c r="Q271" s="12">
        <f t="shared" si="16"/>
        <v>0.7</v>
      </c>
      <c r="R271" s="9">
        <f t="shared" si="17"/>
        <v>419.70000000000005</v>
      </c>
      <c r="S271" s="9">
        <f>IF(R271="",AVERAGEIF(Table1[Category],Table1[[#This Row],[Category]],Table2[orignal data]),Table2[[#This Row],[orignal data]])</f>
        <v>419.70000000000005</v>
      </c>
      <c r="T271" t="str">
        <f t="shared" si="18"/>
        <v>UNIQUE</v>
      </c>
      <c r="U271" t="str">
        <f>IF(ISBLANK(Table1[[#This Row],[SizeOption]]),"NOT AVAILABLE",Table1[[#This Row],[SizeOption]])</f>
        <v>S, M, L, XL, XXL</v>
      </c>
      <c r="Y271" t="str">
        <f>IF(Table2[[#This Row],[Column1]]&gt;50%,"HIGH DISCOUNT","LOW DISCOUNT")</f>
        <v>HIGH DISCOUNT</v>
      </c>
    </row>
    <row r="272" spans="1:25" x14ac:dyDescent="0.25">
      <c r="A272" s="1" t="s">
        <v>738</v>
      </c>
      <c r="B272" s="1">
        <v>13205026</v>
      </c>
      <c r="C272" s="1" t="s">
        <v>121</v>
      </c>
      <c r="D272" s="1" t="s">
        <v>41</v>
      </c>
      <c r="E272" s="1" t="s">
        <v>29</v>
      </c>
      <c r="F272" s="1" t="s">
        <v>36</v>
      </c>
      <c r="G272" s="1" t="s">
        <v>739</v>
      </c>
      <c r="I272" s="1">
        <v>1499</v>
      </c>
      <c r="J272" s="1" t="s">
        <v>44</v>
      </c>
      <c r="K272" s="1" t="s">
        <v>45</v>
      </c>
      <c r="L272" s="1">
        <v>4.3</v>
      </c>
      <c r="M272" s="1">
        <v>947</v>
      </c>
      <c r="P272" t="str">
        <f t="shared" si="19"/>
        <v>35%</v>
      </c>
      <c r="Q272" s="12">
        <f t="shared" si="16"/>
        <v>0.35</v>
      </c>
      <c r="R272" s="9">
        <f t="shared" si="17"/>
        <v>974.35</v>
      </c>
      <c r="S272" s="9">
        <f>IF(R272="",AVERAGEIF(Table1[Category],Table1[[#This Row],[Category]],Table2[orignal data]),Table2[[#This Row],[orignal data]])</f>
        <v>974.35</v>
      </c>
      <c r="T272" t="str">
        <f t="shared" si="18"/>
        <v>UNIQUE</v>
      </c>
      <c r="U272" t="str">
        <f>IF(ISBLANK(Table1[[#This Row],[SizeOption]]),"NOT AVAILABLE",Table1[[#This Row],[SizeOption]])</f>
        <v>XS, S, M, L, XL</v>
      </c>
      <c r="Y272" t="str">
        <f>IF(Table2[[#This Row],[Column1]]&gt;50%,"HIGH DISCOUNT","LOW DISCOUNT")</f>
        <v>LOW DISCOUNT</v>
      </c>
    </row>
    <row r="273" spans="1:25" x14ac:dyDescent="0.25">
      <c r="A273" s="2" t="s">
        <v>740</v>
      </c>
      <c r="B273" s="2">
        <v>17383352</v>
      </c>
      <c r="C273" s="2" t="s">
        <v>14</v>
      </c>
      <c r="D273" s="2" t="s">
        <v>41</v>
      </c>
      <c r="E273" s="2" t="s">
        <v>42</v>
      </c>
      <c r="F273" s="2" t="s">
        <v>36</v>
      </c>
      <c r="G273" s="2" t="s">
        <v>741</v>
      </c>
      <c r="I273" s="2">
        <v>1598</v>
      </c>
      <c r="J273" s="2" t="s">
        <v>84</v>
      </c>
      <c r="K273" s="2" t="s">
        <v>146</v>
      </c>
      <c r="L273" s="2">
        <v>4.3</v>
      </c>
      <c r="M273" s="2">
        <v>947</v>
      </c>
      <c r="P273" t="str">
        <f t="shared" si="19"/>
        <v>50%</v>
      </c>
      <c r="Q273" s="12">
        <f t="shared" si="16"/>
        <v>0.5</v>
      </c>
      <c r="R273" s="9">
        <f t="shared" si="17"/>
        <v>799</v>
      </c>
      <c r="S273" s="9">
        <f>IF(R273="",AVERAGEIF(Table1[Category],Table1[[#This Row],[Category]],Table2[orignal data]),Table2[[#This Row],[orignal data]])</f>
        <v>799</v>
      </c>
      <c r="T273" t="str">
        <f t="shared" si="18"/>
        <v>UNIQUE</v>
      </c>
      <c r="U273" t="str">
        <f>IF(ISBLANK(Table1[[#This Row],[SizeOption]]),"NOT AVAILABLE",Table1[[#This Row],[SizeOption]])</f>
        <v>L, M, S, XS, XL</v>
      </c>
      <c r="Y273" t="str">
        <f>IF(Table2[[#This Row],[Column1]]&gt;50%,"HIGH DISCOUNT","LOW DISCOUNT")</f>
        <v>LOW DISCOUNT</v>
      </c>
    </row>
    <row r="274" spans="1:25" x14ac:dyDescent="0.25">
      <c r="A274" s="1" t="s">
        <v>742</v>
      </c>
      <c r="B274" s="1">
        <v>10051297</v>
      </c>
      <c r="C274" s="1" t="s">
        <v>102</v>
      </c>
      <c r="D274" s="1" t="s">
        <v>41</v>
      </c>
      <c r="E274" s="1" t="s">
        <v>82</v>
      </c>
      <c r="F274" s="1" t="s">
        <v>36</v>
      </c>
      <c r="G274" s="1" t="s">
        <v>743</v>
      </c>
      <c r="I274" s="1">
        <v>1749</v>
      </c>
      <c r="J274" s="1" t="s">
        <v>60</v>
      </c>
      <c r="K274" s="1" t="s">
        <v>26</v>
      </c>
      <c r="L274" s="1">
        <v>4.3</v>
      </c>
      <c r="M274" s="1">
        <v>947</v>
      </c>
      <c r="P274" t="str">
        <f t="shared" si="19"/>
        <v>58%</v>
      </c>
      <c r="Q274" s="12">
        <f t="shared" si="16"/>
        <v>0.57999999999999996</v>
      </c>
      <c r="R274" s="9">
        <f t="shared" si="17"/>
        <v>734.58</v>
      </c>
      <c r="S274" s="9">
        <f>IF(R274="",AVERAGEIF(Table1[Category],Table1[[#This Row],[Category]],Table2[orignal data]),Table2[[#This Row],[orignal data]])</f>
        <v>734.58</v>
      </c>
      <c r="T274" t="str">
        <f t="shared" si="18"/>
        <v>UNIQUE</v>
      </c>
      <c r="U274" t="str">
        <f>IF(ISBLANK(Table1[[#This Row],[SizeOption]]),"NOT AVAILABLE",Table1[[#This Row],[SizeOption]])</f>
        <v>S, M, L, XL</v>
      </c>
      <c r="Y274" t="str">
        <f>IF(Table2[[#This Row],[Column1]]&gt;50%,"HIGH DISCOUNT","LOW DISCOUNT")</f>
        <v>HIGH DISCOUNT</v>
      </c>
    </row>
    <row r="275" spans="1:25" x14ac:dyDescent="0.25">
      <c r="A275" s="2" t="s">
        <v>744</v>
      </c>
      <c r="B275" s="2">
        <v>12178112</v>
      </c>
      <c r="C275" s="2" t="s">
        <v>14</v>
      </c>
      <c r="D275" s="2" t="s">
        <v>41</v>
      </c>
      <c r="E275" s="2" t="s">
        <v>189</v>
      </c>
      <c r="F275" s="2" t="s">
        <v>36</v>
      </c>
      <c r="G275" s="2" t="s">
        <v>745</v>
      </c>
      <c r="I275" s="2">
        <v>2299</v>
      </c>
      <c r="J275" s="2" t="s">
        <v>25</v>
      </c>
      <c r="K275" s="2" t="s">
        <v>45</v>
      </c>
      <c r="L275" s="2">
        <v>4.4000000000000004</v>
      </c>
      <c r="M275" s="2">
        <v>947</v>
      </c>
      <c r="P275" t="str">
        <f t="shared" si="19"/>
        <v>55%</v>
      </c>
      <c r="Q275" s="12">
        <f t="shared" si="16"/>
        <v>0.55000000000000004</v>
      </c>
      <c r="R275" s="9">
        <f t="shared" si="17"/>
        <v>1034.55</v>
      </c>
      <c r="S275" s="9">
        <f>IF(R275="",AVERAGEIF(Table1[Category],Table1[[#This Row],[Category]],Table2[orignal data]),Table2[[#This Row],[orignal data]])</f>
        <v>1034.55</v>
      </c>
      <c r="T275" t="str">
        <f t="shared" si="18"/>
        <v>UNIQUE</v>
      </c>
      <c r="U275" t="str">
        <f>IF(ISBLANK(Table1[[#This Row],[SizeOption]]),"NOT AVAILABLE",Table1[[#This Row],[SizeOption]])</f>
        <v>XS, S, M, L, XL</v>
      </c>
      <c r="Y275" t="str">
        <f>IF(Table2[[#This Row],[Column1]]&gt;50%,"HIGH DISCOUNT","LOW DISCOUNT")</f>
        <v>HIGH DISCOUNT</v>
      </c>
    </row>
    <row r="276" spans="1:25" x14ac:dyDescent="0.25">
      <c r="A276" s="1" t="s">
        <v>746</v>
      </c>
      <c r="B276" s="1">
        <v>12032616</v>
      </c>
      <c r="C276" s="1" t="s">
        <v>295</v>
      </c>
      <c r="D276" s="1" t="s">
        <v>197</v>
      </c>
      <c r="E276" s="1" t="s">
        <v>350</v>
      </c>
      <c r="F276" s="1" t="s">
        <v>17</v>
      </c>
      <c r="G276" s="1" t="s">
        <v>747</v>
      </c>
      <c r="I276" s="1">
        <v>289</v>
      </c>
      <c r="J276" s="1"/>
      <c r="K276" s="1" t="s">
        <v>26</v>
      </c>
      <c r="L276" s="1">
        <v>4.3</v>
      </c>
      <c r="M276" s="1">
        <v>946</v>
      </c>
      <c r="P276" t="str">
        <f t="shared" si="19"/>
        <v/>
      </c>
      <c r="Q276" s="12" t="str">
        <f t="shared" si="16"/>
        <v/>
      </c>
      <c r="R276" s="9" t="str">
        <f t="shared" si="17"/>
        <v/>
      </c>
      <c r="S276" s="9">
        <f>IF(R276="",AVERAGEIF(Table1[Category],Table1[[#This Row],[Category]],Table2[orignal data]),Table2[[#This Row],[orignal data]])</f>
        <v>552.70900000000006</v>
      </c>
      <c r="T276" t="str">
        <f t="shared" si="18"/>
        <v>UNIQUE</v>
      </c>
      <c r="U276" t="str">
        <f>IF(ISBLANK(Table1[[#This Row],[SizeOption]]),"NOT AVAILABLE",Table1[[#This Row],[SizeOption]])</f>
        <v>S, M, L, XL</v>
      </c>
      <c r="Y276" t="str">
        <f>IF(Table2[[#This Row],[Column1]]&gt;50%,"HIGH DISCOUNT","LOW DISCOUNT")</f>
        <v>HIGH DISCOUNT</v>
      </c>
    </row>
    <row r="277" spans="1:25" x14ac:dyDescent="0.25">
      <c r="A277" s="2" t="s">
        <v>748</v>
      </c>
      <c r="B277" s="2">
        <v>2190876</v>
      </c>
      <c r="C277" s="2" t="s">
        <v>303</v>
      </c>
      <c r="D277" s="2" t="s">
        <v>34</v>
      </c>
      <c r="E277" s="2" t="s">
        <v>296</v>
      </c>
      <c r="F277" s="2" t="s">
        <v>36</v>
      </c>
      <c r="G277" s="2" t="s">
        <v>749</v>
      </c>
      <c r="H277">
        <v>720</v>
      </c>
      <c r="I277" s="2">
        <v>960</v>
      </c>
      <c r="J277" s="2" t="s">
        <v>282</v>
      </c>
      <c r="K277" s="2" t="s">
        <v>115</v>
      </c>
      <c r="L277" s="2">
        <v>4.2</v>
      </c>
      <c r="M277" s="2">
        <v>946</v>
      </c>
      <c r="P277" t="str">
        <f t="shared" si="19"/>
        <v>25%</v>
      </c>
      <c r="Q277" s="12">
        <f t="shared" si="16"/>
        <v>0.25</v>
      </c>
      <c r="R277" s="9">
        <f t="shared" si="17"/>
        <v>720</v>
      </c>
      <c r="S277" s="9">
        <f>IF(R277="",AVERAGEIF(Table1[Category],Table1[[#This Row],[Category]],Table2[orignal data]),Table2[[#This Row],[orignal data]])</f>
        <v>720</v>
      </c>
      <c r="T277" t="str">
        <f t="shared" si="18"/>
        <v>UNIQUE</v>
      </c>
      <c r="U277" t="str">
        <f>IF(ISBLANK(Table1[[#This Row],[SizeOption]]),"NOT AVAILABLE",Table1[[#This Row],[SizeOption]])</f>
        <v>XS, S, M, L, XL, XXL</v>
      </c>
      <c r="Y277" t="str">
        <f>IF(Table2[[#This Row],[Column1]]&gt;50%,"HIGH DISCOUNT","LOW DISCOUNT")</f>
        <v>LOW DISCOUNT</v>
      </c>
    </row>
    <row r="278" spans="1:25" x14ac:dyDescent="0.25">
      <c r="A278" s="1" t="s">
        <v>750</v>
      </c>
      <c r="B278" s="1">
        <v>11541504</v>
      </c>
      <c r="C278" s="1" t="s">
        <v>14</v>
      </c>
      <c r="D278" s="1" t="s">
        <v>41</v>
      </c>
      <c r="E278" s="1" t="s">
        <v>16</v>
      </c>
      <c r="F278" s="1" t="s">
        <v>36</v>
      </c>
      <c r="G278" s="1" t="s">
        <v>751</v>
      </c>
      <c r="I278" s="1">
        <v>1499</v>
      </c>
      <c r="J278" s="1" t="s">
        <v>19</v>
      </c>
      <c r="K278" s="1" t="s">
        <v>134</v>
      </c>
      <c r="L278" s="1">
        <v>4.2</v>
      </c>
      <c r="M278" s="1">
        <v>946</v>
      </c>
      <c r="P278" t="str">
        <f t="shared" si="19"/>
        <v>45%</v>
      </c>
      <c r="Q278" s="12">
        <f t="shared" si="16"/>
        <v>0.45</v>
      </c>
      <c r="R278" s="9">
        <f t="shared" si="17"/>
        <v>824.44999999999993</v>
      </c>
      <c r="S278" s="9">
        <f>IF(R278="",AVERAGEIF(Table1[Category],Table1[[#This Row],[Category]],Table2[orignal data]),Table2[[#This Row],[orignal data]])</f>
        <v>824.44999999999993</v>
      </c>
      <c r="T278" t="str">
        <f t="shared" si="18"/>
        <v>UNIQUE</v>
      </c>
      <c r="U278" t="str">
        <f>IF(ISBLANK(Table1[[#This Row],[SizeOption]]),"NOT AVAILABLE",Table1[[#This Row],[SizeOption]])</f>
        <v>26, 28, 30, 32, 34, 36</v>
      </c>
      <c r="Y278" t="str">
        <f>IF(Table2[[#This Row],[Column1]]&gt;50%,"HIGH DISCOUNT","LOW DISCOUNT")</f>
        <v>LOW DISCOUNT</v>
      </c>
    </row>
    <row r="279" spans="1:25" x14ac:dyDescent="0.25">
      <c r="A279" s="2" t="s">
        <v>752</v>
      </c>
      <c r="B279" s="2">
        <v>7772555</v>
      </c>
      <c r="C279" s="2" t="s">
        <v>290</v>
      </c>
      <c r="D279" s="2" t="s">
        <v>41</v>
      </c>
      <c r="E279" s="2" t="s">
        <v>189</v>
      </c>
      <c r="F279" s="2" t="s">
        <v>36</v>
      </c>
      <c r="G279" s="2" t="s">
        <v>753</v>
      </c>
      <c r="I279" s="2">
        <v>1899</v>
      </c>
      <c r="J279" s="2" t="s">
        <v>84</v>
      </c>
      <c r="K279" s="2" t="s">
        <v>45</v>
      </c>
      <c r="L279" s="2">
        <v>4</v>
      </c>
      <c r="M279" s="2">
        <v>946</v>
      </c>
      <c r="P279" t="str">
        <f t="shared" si="19"/>
        <v>50%</v>
      </c>
      <c r="Q279" s="12">
        <f t="shared" si="16"/>
        <v>0.5</v>
      </c>
      <c r="R279" s="9">
        <f t="shared" si="17"/>
        <v>949.5</v>
      </c>
      <c r="S279" s="9">
        <f>IF(R279="",AVERAGEIF(Table1[Category],Table1[[#This Row],[Category]],Table2[orignal data]),Table2[[#This Row],[orignal data]])</f>
        <v>949.5</v>
      </c>
      <c r="T279" t="str">
        <f t="shared" si="18"/>
        <v>UNIQUE</v>
      </c>
      <c r="U279" t="str">
        <f>IF(ISBLANK(Table1[[#This Row],[SizeOption]]),"NOT AVAILABLE",Table1[[#This Row],[SizeOption]])</f>
        <v>XS, S, M, L, XL</v>
      </c>
      <c r="Y279" t="str">
        <f>IF(Table2[[#This Row],[Column1]]&gt;50%,"HIGH DISCOUNT","LOW DISCOUNT")</f>
        <v>LOW DISCOUNT</v>
      </c>
    </row>
    <row r="280" spans="1:25" x14ac:dyDescent="0.25">
      <c r="A280" s="1" t="s">
        <v>754</v>
      </c>
      <c r="B280" s="1">
        <v>11711888</v>
      </c>
      <c r="C280" s="1" t="s">
        <v>47</v>
      </c>
      <c r="D280" s="1" t="s">
        <v>41</v>
      </c>
      <c r="E280" s="1" t="s">
        <v>42</v>
      </c>
      <c r="F280" s="1" t="s">
        <v>36</v>
      </c>
      <c r="G280" s="1" t="s">
        <v>755</v>
      </c>
      <c r="I280" s="1">
        <v>799</v>
      </c>
      <c r="J280" s="1" t="s">
        <v>55</v>
      </c>
      <c r="K280" s="1" t="s">
        <v>45</v>
      </c>
      <c r="L280" s="1">
        <v>4.3</v>
      </c>
      <c r="M280" s="1">
        <v>946</v>
      </c>
      <c r="P280" t="str">
        <f t="shared" si="19"/>
        <v>60%</v>
      </c>
      <c r="Q280" s="12">
        <f t="shared" si="16"/>
        <v>0.6</v>
      </c>
      <c r="R280" s="9">
        <f t="shared" si="17"/>
        <v>319.60000000000002</v>
      </c>
      <c r="S280" s="9">
        <f>IF(R280="",AVERAGEIF(Table1[Category],Table1[[#This Row],[Category]],Table2[orignal data]),Table2[[#This Row],[orignal data]])</f>
        <v>319.60000000000002</v>
      </c>
      <c r="T280" t="str">
        <f t="shared" si="18"/>
        <v>UNIQUE</v>
      </c>
      <c r="U280" t="str">
        <f>IF(ISBLANK(Table1[[#This Row],[SizeOption]]),"NOT AVAILABLE",Table1[[#This Row],[SizeOption]])</f>
        <v>XS, S, M, L, XL</v>
      </c>
      <c r="Y280" t="str">
        <f>IF(Table2[[#This Row],[Column1]]&gt;50%,"HIGH DISCOUNT","LOW DISCOUNT")</f>
        <v>HIGH DISCOUNT</v>
      </c>
    </row>
    <row r="281" spans="1:25" x14ac:dyDescent="0.25">
      <c r="A281" s="2" t="s">
        <v>756</v>
      </c>
      <c r="B281" s="2">
        <v>12009564</v>
      </c>
      <c r="C281" s="2" t="s">
        <v>102</v>
      </c>
      <c r="D281" s="2" t="s">
        <v>41</v>
      </c>
      <c r="E281" s="2" t="s">
        <v>48</v>
      </c>
      <c r="F281" s="2" t="s">
        <v>36</v>
      </c>
      <c r="G281" s="2" t="s">
        <v>757</v>
      </c>
      <c r="I281" s="2">
        <v>799</v>
      </c>
      <c r="J281" s="2" t="s">
        <v>758</v>
      </c>
      <c r="K281" s="2" t="s">
        <v>26</v>
      </c>
      <c r="L281" s="2">
        <v>4.4000000000000004</v>
      </c>
      <c r="M281" s="2">
        <v>946</v>
      </c>
      <c r="P281" t="str">
        <f t="shared" si="19"/>
        <v>47%</v>
      </c>
      <c r="Q281" s="12">
        <f t="shared" si="16"/>
        <v>0.47</v>
      </c>
      <c r="R281" s="9">
        <f t="shared" si="17"/>
        <v>423.47</v>
      </c>
      <c r="S281" s="9">
        <f>IF(R281="",AVERAGEIF(Table1[Category],Table1[[#This Row],[Category]],Table2[orignal data]),Table2[[#This Row],[orignal data]])</f>
        <v>423.47</v>
      </c>
      <c r="T281" t="str">
        <f t="shared" si="18"/>
        <v>UNIQUE</v>
      </c>
      <c r="U281" t="str">
        <f>IF(ISBLANK(Table1[[#This Row],[SizeOption]]),"NOT AVAILABLE",Table1[[#This Row],[SizeOption]])</f>
        <v>S, M, L, XL</v>
      </c>
      <c r="Y281" t="str">
        <f>IF(Table2[[#This Row],[Column1]]&gt;50%,"HIGH DISCOUNT","LOW DISCOUNT")</f>
        <v>LOW DISCOUNT</v>
      </c>
    </row>
    <row r="282" spans="1:25" x14ac:dyDescent="0.25">
      <c r="A282" s="1" t="s">
        <v>759</v>
      </c>
      <c r="B282" s="1">
        <v>11326694</v>
      </c>
      <c r="C282" s="1" t="s">
        <v>14</v>
      </c>
      <c r="D282" s="1" t="s">
        <v>28</v>
      </c>
      <c r="E282" s="1" t="s">
        <v>29</v>
      </c>
      <c r="F282" s="1" t="s">
        <v>17</v>
      </c>
      <c r="G282" s="1" t="s">
        <v>760</v>
      </c>
      <c r="H282">
        <v>779</v>
      </c>
      <c r="I282" s="1">
        <v>1299</v>
      </c>
      <c r="J282" s="1" t="s">
        <v>50</v>
      </c>
      <c r="K282" s="1" t="s">
        <v>253</v>
      </c>
      <c r="L282" s="1">
        <v>4.3</v>
      </c>
      <c r="M282" s="1">
        <v>945</v>
      </c>
      <c r="P282" t="str">
        <f t="shared" si="19"/>
        <v>40%</v>
      </c>
      <c r="Q282" s="12">
        <f t="shared" si="16"/>
        <v>0.4</v>
      </c>
      <c r="R282" s="9">
        <f t="shared" si="17"/>
        <v>779.4</v>
      </c>
      <c r="S282" s="9">
        <f>IF(R282="",AVERAGEIF(Table1[Category],Table1[[#This Row],[Category]],Table2[orignal data]),Table2[[#This Row],[orignal data]])</f>
        <v>779.4</v>
      </c>
      <c r="T282" t="str">
        <f t="shared" si="18"/>
        <v>UNIQUE</v>
      </c>
      <c r="U282" t="str">
        <f>IF(ISBLANK(Table1[[#This Row],[SizeOption]]),"NOT AVAILABLE",Table1[[#This Row],[SizeOption]])</f>
        <v>38, 40, 42, 44</v>
      </c>
      <c r="Y282" t="str">
        <f>IF(Table2[[#This Row],[Column1]]&gt;50%,"HIGH DISCOUNT","LOW DISCOUNT")</f>
        <v>LOW DISCOUNT</v>
      </c>
    </row>
    <row r="283" spans="1:25" x14ac:dyDescent="0.25">
      <c r="A283" s="2" t="s">
        <v>761</v>
      </c>
      <c r="B283" s="2">
        <v>1908862</v>
      </c>
      <c r="C283" s="2" t="s">
        <v>762</v>
      </c>
      <c r="D283" s="2" t="s">
        <v>34</v>
      </c>
      <c r="E283" s="2" t="s">
        <v>118</v>
      </c>
      <c r="F283" s="2" t="s">
        <v>36</v>
      </c>
      <c r="G283" s="2" t="s">
        <v>763</v>
      </c>
      <c r="H283">
        <v>853</v>
      </c>
      <c r="I283" s="2">
        <v>898</v>
      </c>
      <c r="J283" s="2" t="s">
        <v>764</v>
      </c>
      <c r="K283" s="2" t="s">
        <v>765</v>
      </c>
      <c r="L283" s="2">
        <v>4.0999999999999996</v>
      </c>
      <c r="M283" s="2">
        <v>945</v>
      </c>
      <c r="P283" t="str">
        <f t="shared" si="19"/>
        <v>5%</v>
      </c>
      <c r="Q283" s="12">
        <f t="shared" si="16"/>
        <v>0.05</v>
      </c>
      <c r="R283" s="9">
        <f t="shared" si="17"/>
        <v>853.1</v>
      </c>
      <c r="S283" s="9">
        <f>IF(R283="",AVERAGEIF(Table1[Category],Table1[[#This Row],[Category]],Table2[orignal data]),Table2[[#This Row],[orignal data]])</f>
        <v>853.1</v>
      </c>
      <c r="T283" t="str">
        <f t="shared" si="18"/>
        <v>UNIQUE</v>
      </c>
      <c r="U283" t="str">
        <f>IF(ISBLANK(Table1[[#This Row],[SizeOption]]),"NOT AVAILABLE",Table1[[#This Row],[SizeOption]])</f>
        <v>30B, 32B, 34B, 36B, 38B, 40B</v>
      </c>
      <c r="Y283" t="str">
        <f>IF(Table2[[#This Row],[Column1]]&gt;50%,"HIGH DISCOUNT","LOW DISCOUNT")</f>
        <v>LOW DISCOUNT</v>
      </c>
    </row>
    <row r="284" spans="1:25" x14ac:dyDescent="0.25">
      <c r="A284" s="1" t="s">
        <v>766</v>
      </c>
      <c r="B284" s="1">
        <v>11431386</v>
      </c>
      <c r="C284" s="1" t="s">
        <v>346</v>
      </c>
      <c r="D284" s="1" t="s">
        <v>41</v>
      </c>
      <c r="E284" s="1" t="s">
        <v>42</v>
      </c>
      <c r="F284" s="1" t="s">
        <v>36</v>
      </c>
      <c r="G284" s="1" t="s">
        <v>767</v>
      </c>
      <c r="I284" s="1">
        <v>1099</v>
      </c>
      <c r="J284" s="1" t="s">
        <v>150</v>
      </c>
      <c r="K284" s="1" t="s">
        <v>45</v>
      </c>
      <c r="L284" s="1">
        <v>4.2</v>
      </c>
      <c r="M284" s="1">
        <v>945</v>
      </c>
      <c r="P284" t="str">
        <f t="shared" si="19"/>
        <v>65%</v>
      </c>
      <c r="Q284" s="12">
        <f t="shared" si="16"/>
        <v>0.65</v>
      </c>
      <c r="R284" s="9">
        <f t="shared" si="17"/>
        <v>384.65</v>
      </c>
      <c r="S284" s="9">
        <f>IF(R284="",AVERAGEIF(Table1[Category],Table1[[#This Row],[Category]],Table2[orignal data]),Table2[[#This Row],[orignal data]])</f>
        <v>384.65</v>
      </c>
      <c r="T284" t="str">
        <f t="shared" si="18"/>
        <v>UNIQUE</v>
      </c>
      <c r="U284" t="str">
        <f>IF(ISBLANK(Table1[[#This Row],[SizeOption]]),"NOT AVAILABLE",Table1[[#This Row],[SizeOption]])</f>
        <v>XS, S, M, L, XL</v>
      </c>
      <c r="Y284" t="str">
        <f>IF(Table2[[#This Row],[Column1]]&gt;50%,"HIGH DISCOUNT","LOW DISCOUNT")</f>
        <v>HIGH DISCOUNT</v>
      </c>
    </row>
    <row r="285" spans="1:25" x14ac:dyDescent="0.25">
      <c r="A285" s="2" t="s">
        <v>768</v>
      </c>
      <c r="B285" s="2">
        <v>10679170</v>
      </c>
      <c r="C285" s="2" t="s">
        <v>14</v>
      </c>
      <c r="D285" s="2" t="s">
        <v>28</v>
      </c>
      <c r="E285" s="2" t="s">
        <v>189</v>
      </c>
      <c r="F285" s="2" t="s">
        <v>17</v>
      </c>
      <c r="G285" s="2" t="s">
        <v>769</v>
      </c>
      <c r="H285">
        <v>1759</v>
      </c>
      <c r="I285" s="2">
        <v>4399</v>
      </c>
      <c r="J285" s="2" t="s">
        <v>55</v>
      </c>
      <c r="K285" s="2" t="s">
        <v>234</v>
      </c>
      <c r="L285" s="2">
        <v>4.0999999999999996</v>
      </c>
      <c r="M285" s="2">
        <v>944</v>
      </c>
      <c r="P285" t="str">
        <f t="shared" si="19"/>
        <v>60%</v>
      </c>
      <c r="Q285" s="12">
        <f t="shared" si="16"/>
        <v>0.6</v>
      </c>
      <c r="R285" s="9">
        <f t="shared" si="17"/>
        <v>1759.6</v>
      </c>
      <c r="S285" s="9">
        <f>IF(R285="",AVERAGEIF(Table1[Category],Table1[[#This Row],[Category]],Table2[orignal data]),Table2[[#This Row],[orignal data]])</f>
        <v>1759.6</v>
      </c>
      <c r="T285" t="str">
        <f t="shared" si="18"/>
        <v>UNIQUE</v>
      </c>
      <c r="U285" t="str">
        <f>IF(ISBLANK(Table1[[#This Row],[SizeOption]]),"NOT AVAILABLE",Table1[[#This Row],[SizeOption]])</f>
        <v>S, M, L, XL, XXL, 3XL</v>
      </c>
      <c r="Y285" t="str">
        <f>IF(Table2[[#This Row],[Column1]]&gt;50%,"HIGH DISCOUNT","LOW DISCOUNT")</f>
        <v>HIGH DISCOUNT</v>
      </c>
    </row>
    <row r="286" spans="1:25" x14ac:dyDescent="0.25">
      <c r="A286" s="1" t="s">
        <v>770</v>
      </c>
      <c r="B286" s="1">
        <v>1996724</v>
      </c>
      <c r="C286" s="1" t="s">
        <v>14</v>
      </c>
      <c r="D286" s="1" t="s">
        <v>28</v>
      </c>
      <c r="E286" s="1" t="s">
        <v>42</v>
      </c>
      <c r="F286" s="1" t="s">
        <v>17</v>
      </c>
      <c r="G286" s="1" t="s">
        <v>771</v>
      </c>
      <c r="I286" s="1">
        <v>699</v>
      </c>
      <c r="J286" s="1"/>
      <c r="K286" s="1" t="s">
        <v>26</v>
      </c>
      <c r="L286" s="1">
        <v>4.2</v>
      </c>
      <c r="M286" s="1">
        <v>944</v>
      </c>
      <c r="P286" t="str">
        <f t="shared" si="19"/>
        <v/>
      </c>
      <c r="Q286" s="12" t="str">
        <f t="shared" si="16"/>
        <v/>
      </c>
      <c r="R286" s="9" t="str">
        <f t="shared" si="17"/>
        <v/>
      </c>
      <c r="S286" s="9">
        <f>IF(R286="",AVERAGEIF(Table1[Category],Table1[[#This Row],[Category]],Table2[orignal data]),Table2[[#This Row],[orignal data]])</f>
        <v>671.7823941958867</v>
      </c>
      <c r="T286" t="str">
        <f t="shared" si="18"/>
        <v>UNIQUE</v>
      </c>
      <c r="U286" t="str">
        <f>IF(ISBLANK(Table1[[#This Row],[SizeOption]]),"NOT AVAILABLE",Table1[[#This Row],[SizeOption]])</f>
        <v>S, M, L, XL</v>
      </c>
      <c r="Y286" t="str">
        <f>IF(Table2[[#This Row],[Column1]]&gt;50%,"HIGH DISCOUNT","LOW DISCOUNT")</f>
        <v>HIGH DISCOUNT</v>
      </c>
    </row>
    <row r="287" spans="1:25" x14ac:dyDescent="0.25">
      <c r="A287" s="2" t="s">
        <v>772</v>
      </c>
      <c r="B287" s="2">
        <v>11011466</v>
      </c>
      <c r="C287" s="2" t="s">
        <v>58</v>
      </c>
      <c r="D287" s="2" t="s">
        <v>41</v>
      </c>
      <c r="E287" s="2" t="s">
        <v>148</v>
      </c>
      <c r="F287" s="2" t="s">
        <v>36</v>
      </c>
      <c r="G287" s="2" t="s">
        <v>773</v>
      </c>
      <c r="I287" s="2">
        <v>1495</v>
      </c>
      <c r="J287" s="2" t="s">
        <v>60</v>
      </c>
      <c r="K287" s="2" t="s">
        <v>26</v>
      </c>
      <c r="L287" s="2">
        <v>4.3</v>
      </c>
      <c r="M287" s="2">
        <v>944</v>
      </c>
      <c r="P287" t="str">
        <f t="shared" si="19"/>
        <v>58%</v>
      </c>
      <c r="Q287" s="12">
        <f t="shared" si="16"/>
        <v>0.57999999999999996</v>
      </c>
      <c r="R287" s="9">
        <f t="shared" si="17"/>
        <v>627.90000000000009</v>
      </c>
      <c r="S287" s="9">
        <f>IF(R287="",AVERAGEIF(Table1[Category],Table1[[#This Row],[Category]],Table2[orignal data]),Table2[[#This Row],[orignal data]])</f>
        <v>627.90000000000009</v>
      </c>
      <c r="T287" t="str">
        <f t="shared" si="18"/>
        <v>UNIQUE</v>
      </c>
      <c r="U287" t="str">
        <f>IF(ISBLANK(Table1[[#This Row],[SizeOption]]),"NOT AVAILABLE",Table1[[#This Row],[SizeOption]])</f>
        <v>S, M, L, XL</v>
      </c>
      <c r="Y287" t="str">
        <f>IF(Table2[[#This Row],[Column1]]&gt;50%,"HIGH DISCOUNT","LOW DISCOUNT")</f>
        <v>HIGH DISCOUNT</v>
      </c>
    </row>
    <row r="288" spans="1:25" x14ac:dyDescent="0.25">
      <c r="A288" s="1" t="s">
        <v>774</v>
      </c>
      <c r="B288" s="1">
        <v>9740129</v>
      </c>
      <c r="C288" s="1" t="s">
        <v>14</v>
      </c>
      <c r="D288" s="1" t="s">
        <v>41</v>
      </c>
      <c r="E288" s="1" t="s">
        <v>42</v>
      </c>
      <c r="F288" s="1" t="s">
        <v>36</v>
      </c>
      <c r="G288" s="1" t="s">
        <v>775</v>
      </c>
      <c r="I288" s="1">
        <v>599</v>
      </c>
      <c r="J288" s="1" t="s">
        <v>84</v>
      </c>
      <c r="K288" s="1" t="s">
        <v>45</v>
      </c>
      <c r="L288" s="1">
        <v>4.0999999999999996</v>
      </c>
      <c r="M288" s="1">
        <v>944</v>
      </c>
      <c r="P288" t="str">
        <f t="shared" si="19"/>
        <v>50%</v>
      </c>
      <c r="Q288" s="12">
        <f t="shared" si="16"/>
        <v>0.5</v>
      </c>
      <c r="R288" s="9">
        <f t="shared" si="17"/>
        <v>299.5</v>
      </c>
      <c r="S288" s="9">
        <f>IF(R288="",AVERAGEIF(Table1[Category],Table1[[#This Row],[Category]],Table2[orignal data]),Table2[[#This Row],[orignal data]])</f>
        <v>299.5</v>
      </c>
      <c r="T288" t="str">
        <f t="shared" si="18"/>
        <v>UNIQUE</v>
      </c>
      <c r="U288" t="str">
        <f>IF(ISBLANK(Table1[[#This Row],[SizeOption]]),"NOT AVAILABLE",Table1[[#This Row],[SizeOption]])</f>
        <v>XS, S, M, L, XL</v>
      </c>
      <c r="Y288" t="str">
        <f>IF(Table2[[#This Row],[Column1]]&gt;50%,"HIGH DISCOUNT","LOW DISCOUNT")</f>
        <v>LOW DISCOUNT</v>
      </c>
    </row>
    <row r="289" spans="1:25" x14ac:dyDescent="0.25">
      <c r="A289" s="2" t="s">
        <v>776</v>
      </c>
      <c r="B289" s="2">
        <v>2308268</v>
      </c>
      <c r="C289" s="2" t="s">
        <v>14</v>
      </c>
      <c r="D289" s="2" t="s">
        <v>28</v>
      </c>
      <c r="E289" s="2" t="s">
        <v>42</v>
      </c>
      <c r="F289" s="2" t="s">
        <v>17</v>
      </c>
      <c r="G289" s="2" t="s">
        <v>777</v>
      </c>
      <c r="H289">
        <v>299</v>
      </c>
      <c r="I289" s="2">
        <v>599</v>
      </c>
      <c r="J289" s="2" t="s">
        <v>84</v>
      </c>
      <c r="K289" s="2" t="s">
        <v>73</v>
      </c>
      <c r="L289" s="2">
        <v>4</v>
      </c>
      <c r="M289" s="2">
        <v>943</v>
      </c>
      <c r="P289" t="str">
        <f t="shared" si="19"/>
        <v>50%</v>
      </c>
      <c r="Q289" s="12">
        <f t="shared" si="16"/>
        <v>0.5</v>
      </c>
      <c r="R289" s="9">
        <f t="shared" si="17"/>
        <v>299.5</v>
      </c>
      <c r="S289" s="9">
        <f>IF(R289="",AVERAGEIF(Table1[Category],Table1[[#This Row],[Category]],Table2[orignal data]),Table2[[#This Row],[orignal data]])</f>
        <v>299.5</v>
      </c>
      <c r="T289" t="str">
        <f t="shared" si="18"/>
        <v>UNIQUE</v>
      </c>
      <c r="U289" t="str">
        <f>IF(ISBLANK(Table1[[#This Row],[SizeOption]]),"NOT AVAILABLE",Table1[[#This Row],[SizeOption]])</f>
        <v>XS, S, M, L, XL, XXL, 3XL, 4XL</v>
      </c>
      <c r="Y289" t="str">
        <f>IF(Table2[[#This Row],[Column1]]&gt;50%,"HIGH DISCOUNT","LOW DISCOUNT")</f>
        <v>LOW DISCOUNT</v>
      </c>
    </row>
    <row r="290" spans="1:25" x14ac:dyDescent="0.25">
      <c r="A290" s="1" t="s">
        <v>778</v>
      </c>
      <c r="B290" s="1">
        <v>13038032</v>
      </c>
      <c r="C290" s="1" t="s">
        <v>779</v>
      </c>
      <c r="D290" s="1" t="s">
        <v>34</v>
      </c>
      <c r="E290" s="1" t="s">
        <v>296</v>
      </c>
      <c r="F290" s="1" t="s">
        <v>36</v>
      </c>
      <c r="G290" s="1" t="s">
        <v>780</v>
      </c>
      <c r="I290" s="1">
        <v>729</v>
      </c>
      <c r="J290" s="1"/>
      <c r="K290" s="1" t="s">
        <v>39</v>
      </c>
      <c r="L290" s="1">
        <v>4.3</v>
      </c>
      <c r="M290" s="1">
        <v>943</v>
      </c>
      <c r="P290" t="str">
        <f t="shared" si="19"/>
        <v/>
      </c>
      <c r="Q290" s="12" t="str">
        <f t="shared" si="16"/>
        <v/>
      </c>
      <c r="R290" s="9" t="str">
        <f t="shared" si="17"/>
        <v/>
      </c>
      <c r="S290" s="9">
        <f>IF(R290="",AVERAGEIF(Table1[Category],Table1[[#This Row],[Category]],Table2[orignal data]),Table2[[#This Row],[orignal data]])</f>
        <v>608.88518518518481</v>
      </c>
      <c r="T290" t="str">
        <f t="shared" si="18"/>
        <v>UNIQUE</v>
      </c>
      <c r="U290" t="str">
        <f>IF(ISBLANK(Table1[[#This Row],[SizeOption]]),"NOT AVAILABLE",Table1[[#This Row],[SizeOption]])</f>
        <v>S, M, L, XL, XXL</v>
      </c>
      <c r="Y290" t="str">
        <f>IF(Table2[[#This Row],[Column1]]&gt;50%,"HIGH DISCOUNT","LOW DISCOUNT")</f>
        <v>HIGH DISCOUNT</v>
      </c>
    </row>
    <row r="291" spans="1:25" x14ac:dyDescent="0.25">
      <c r="A291" s="2" t="s">
        <v>781</v>
      </c>
      <c r="B291" s="2">
        <v>3452046</v>
      </c>
      <c r="C291" s="2" t="s">
        <v>461</v>
      </c>
      <c r="D291" s="2" t="s">
        <v>41</v>
      </c>
      <c r="E291" s="2" t="s">
        <v>82</v>
      </c>
      <c r="F291" s="2" t="s">
        <v>36</v>
      </c>
      <c r="G291" s="2" t="s">
        <v>782</v>
      </c>
      <c r="I291" s="2">
        <v>1494</v>
      </c>
      <c r="J291" s="2" t="s">
        <v>84</v>
      </c>
      <c r="K291" s="2" t="s">
        <v>26</v>
      </c>
      <c r="L291" s="2">
        <v>4.2</v>
      </c>
      <c r="M291" s="2">
        <v>943</v>
      </c>
      <c r="P291" t="str">
        <f t="shared" si="19"/>
        <v>50%</v>
      </c>
      <c r="Q291" s="12">
        <f t="shared" si="16"/>
        <v>0.5</v>
      </c>
      <c r="R291" s="9">
        <f t="shared" si="17"/>
        <v>747</v>
      </c>
      <c r="S291" s="9">
        <f>IF(R291="",AVERAGEIF(Table1[Category],Table1[[#This Row],[Category]],Table2[orignal data]),Table2[[#This Row],[orignal data]])</f>
        <v>747</v>
      </c>
      <c r="T291" t="str">
        <f t="shared" si="18"/>
        <v>UNIQUE</v>
      </c>
      <c r="U291" t="str">
        <f>IF(ISBLANK(Table1[[#This Row],[SizeOption]]),"NOT AVAILABLE",Table1[[#This Row],[SizeOption]])</f>
        <v>S, M, L, XL</v>
      </c>
      <c r="Y291" t="str">
        <f>IF(Table2[[#This Row],[Column1]]&gt;50%,"HIGH DISCOUNT","LOW DISCOUNT")</f>
        <v>LOW DISCOUNT</v>
      </c>
    </row>
    <row r="292" spans="1:25" x14ac:dyDescent="0.25">
      <c r="A292" s="1" t="s">
        <v>783</v>
      </c>
      <c r="B292" s="1">
        <v>14180702</v>
      </c>
      <c r="C292" s="1" t="s">
        <v>784</v>
      </c>
      <c r="D292" s="1" t="s">
        <v>28</v>
      </c>
      <c r="E292" s="1" t="s">
        <v>189</v>
      </c>
      <c r="F292" s="1" t="s">
        <v>17</v>
      </c>
      <c r="G292" s="1" t="s">
        <v>785</v>
      </c>
      <c r="H292">
        <v>1104</v>
      </c>
      <c r="I292" s="1">
        <v>1299</v>
      </c>
      <c r="J292" s="1" t="s">
        <v>786</v>
      </c>
      <c r="K292" s="1" t="s">
        <v>39</v>
      </c>
      <c r="L292" s="1">
        <v>4</v>
      </c>
      <c r="M292" s="1">
        <v>942</v>
      </c>
      <c r="P292" t="str">
        <f t="shared" si="19"/>
        <v>15%</v>
      </c>
      <c r="Q292" s="12">
        <f t="shared" si="16"/>
        <v>0.15</v>
      </c>
      <c r="R292" s="9">
        <f t="shared" si="17"/>
        <v>1104.1500000000001</v>
      </c>
      <c r="S292" s="9">
        <f>IF(R292="",AVERAGEIF(Table1[Category],Table1[[#This Row],[Category]],Table2[orignal data]),Table2[[#This Row],[orignal data]])</f>
        <v>1104.1500000000001</v>
      </c>
      <c r="T292" t="str">
        <f t="shared" si="18"/>
        <v>UNIQUE</v>
      </c>
      <c r="U292" t="str">
        <f>IF(ISBLANK(Table1[[#This Row],[SizeOption]]),"NOT AVAILABLE",Table1[[#This Row],[SizeOption]])</f>
        <v>S, M, L, XL, XXL</v>
      </c>
      <c r="Y292" t="str">
        <f>IF(Table2[[#This Row],[Column1]]&gt;50%,"HIGH DISCOUNT","LOW DISCOUNT")</f>
        <v>LOW DISCOUNT</v>
      </c>
    </row>
    <row r="293" spans="1:25" x14ac:dyDescent="0.25">
      <c r="A293" s="2" t="s">
        <v>787</v>
      </c>
      <c r="B293" s="2">
        <v>2306179</v>
      </c>
      <c r="C293" s="2" t="s">
        <v>14</v>
      </c>
      <c r="D293" s="2" t="s">
        <v>28</v>
      </c>
      <c r="E293" s="2" t="s">
        <v>42</v>
      </c>
      <c r="F293" s="2" t="s">
        <v>17</v>
      </c>
      <c r="G293" s="2" t="s">
        <v>788</v>
      </c>
      <c r="H293">
        <v>389</v>
      </c>
      <c r="I293" s="2">
        <v>599</v>
      </c>
      <c r="J293" s="2" t="s">
        <v>44</v>
      </c>
      <c r="K293" s="2" t="s">
        <v>45</v>
      </c>
      <c r="L293" s="2">
        <v>4</v>
      </c>
      <c r="M293" s="2">
        <v>942</v>
      </c>
      <c r="P293" t="str">
        <f t="shared" si="19"/>
        <v>35%</v>
      </c>
      <c r="Q293" s="12">
        <f t="shared" si="16"/>
        <v>0.35</v>
      </c>
      <c r="R293" s="9">
        <f t="shared" si="17"/>
        <v>389.35</v>
      </c>
      <c r="S293" s="9">
        <f>IF(R293="",AVERAGEIF(Table1[Category],Table1[[#This Row],[Category]],Table2[orignal data]),Table2[[#This Row],[orignal data]])</f>
        <v>389.35</v>
      </c>
      <c r="T293" t="str">
        <f t="shared" si="18"/>
        <v>UNIQUE</v>
      </c>
      <c r="U293" t="str">
        <f>IF(ISBLANK(Table1[[#This Row],[SizeOption]]),"NOT AVAILABLE",Table1[[#This Row],[SizeOption]])</f>
        <v>XS, S, M, L, XL</v>
      </c>
      <c r="Y293" t="str">
        <f>IF(Table2[[#This Row],[Column1]]&gt;50%,"HIGH DISCOUNT","LOW DISCOUNT")</f>
        <v>LOW DISCOUNT</v>
      </c>
    </row>
    <row r="294" spans="1:25" x14ac:dyDescent="0.25">
      <c r="A294" s="1" t="s">
        <v>789</v>
      </c>
      <c r="B294" s="1">
        <v>5842092</v>
      </c>
      <c r="C294" s="1" t="s">
        <v>67</v>
      </c>
      <c r="D294" s="1" t="s">
        <v>68</v>
      </c>
      <c r="E294" s="1" t="s">
        <v>69</v>
      </c>
      <c r="F294" s="1" t="s">
        <v>36</v>
      </c>
      <c r="G294" s="1" t="s">
        <v>790</v>
      </c>
      <c r="H294">
        <v>599</v>
      </c>
      <c r="I294" s="1">
        <v>1199</v>
      </c>
      <c r="J294" s="1" t="s">
        <v>84</v>
      </c>
      <c r="K294" s="1" t="s">
        <v>115</v>
      </c>
      <c r="L294" s="1">
        <v>4.0999999999999996</v>
      </c>
      <c r="M294" s="1">
        <v>942</v>
      </c>
      <c r="P294" t="str">
        <f t="shared" si="19"/>
        <v>50%</v>
      </c>
      <c r="Q294" s="12">
        <f t="shared" si="16"/>
        <v>0.5</v>
      </c>
      <c r="R294" s="9">
        <f t="shared" si="17"/>
        <v>599.5</v>
      </c>
      <c r="S294" s="9">
        <f>IF(R294="",AVERAGEIF(Table1[Category],Table1[[#This Row],[Category]],Table2[orignal data]),Table2[[#This Row],[orignal data]])</f>
        <v>599.5</v>
      </c>
      <c r="T294" t="str">
        <f t="shared" si="18"/>
        <v>UNIQUE</v>
      </c>
      <c r="U294" t="str">
        <f>IF(ISBLANK(Table1[[#This Row],[SizeOption]]),"NOT AVAILABLE",Table1[[#This Row],[SizeOption]])</f>
        <v>XS, S, M, L, XL, XXL</v>
      </c>
      <c r="Y294" t="str">
        <f>IF(Table2[[#This Row],[Column1]]&gt;50%,"HIGH DISCOUNT","LOW DISCOUNT")</f>
        <v>LOW DISCOUNT</v>
      </c>
    </row>
    <row r="295" spans="1:25" x14ac:dyDescent="0.25">
      <c r="A295" s="2" t="s">
        <v>791</v>
      </c>
      <c r="B295" s="2">
        <v>10778646</v>
      </c>
      <c r="C295" s="2" t="s">
        <v>14</v>
      </c>
      <c r="D295" s="2" t="s">
        <v>41</v>
      </c>
      <c r="E295" s="2" t="s">
        <v>42</v>
      </c>
      <c r="F295" s="2" t="s">
        <v>36</v>
      </c>
      <c r="G295" s="2" t="s">
        <v>792</v>
      </c>
      <c r="I295" s="2">
        <v>599</v>
      </c>
      <c r="J295" s="2" t="s">
        <v>25</v>
      </c>
      <c r="K295" s="2" t="s">
        <v>45</v>
      </c>
      <c r="L295" s="2">
        <v>4.3</v>
      </c>
      <c r="M295" s="2">
        <v>942</v>
      </c>
      <c r="P295" t="str">
        <f t="shared" si="19"/>
        <v>55%</v>
      </c>
      <c r="Q295" s="12">
        <f t="shared" si="16"/>
        <v>0.55000000000000004</v>
      </c>
      <c r="R295" s="9">
        <f t="shared" si="17"/>
        <v>269.54999999999995</v>
      </c>
      <c r="S295" s="9">
        <f>IF(R295="",AVERAGEIF(Table1[Category],Table1[[#This Row],[Category]],Table2[orignal data]),Table2[[#This Row],[orignal data]])</f>
        <v>269.54999999999995</v>
      </c>
      <c r="T295" t="str">
        <f t="shared" si="18"/>
        <v>UNIQUE</v>
      </c>
      <c r="U295" t="str">
        <f>IF(ISBLANK(Table1[[#This Row],[SizeOption]]),"NOT AVAILABLE",Table1[[#This Row],[SizeOption]])</f>
        <v>XS, S, M, L, XL</v>
      </c>
      <c r="Y295" t="str">
        <f>IF(Table2[[#This Row],[Column1]]&gt;50%,"HIGH DISCOUNT","LOW DISCOUNT")</f>
        <v>HIGH DISCOUNT</v>
      </c>
    </row>
    <row r="296" spans="1:25" x14ac:dyDescent="0.25">
      <c r="A296" s="1" t="s">
        <v>793</v>
      </c>
      <c r="B296" s="1">
        <v>11354536</v>
      </c>
      <c r="C296" s="1" t="s">
        <v>794</v>
      </c>
      <c r="D296" s="1" t="s">
        <v>197</v>
      </c>
      <c r="E296" s="1" t="s">
        <v>296</v>
      </c>
      <c r="F296" s="1" t="s">
        <v>17</v>
      </c>
      <c r="G296" s="1" t="s">
        <v>795</v>
      </c>
      <c r="H296">
        <v>492</v>
      </c>
      <c r="I296" s="1">
        <v>518</v>
      </c>
      <c r="J296" s="1" t="s">
        <v>764</v>
      </c>
      <c r="K296" s="1" t="s">
        <v>352</v>
      </c>
      <c r="L296" s="1">
        <v>4.3</v>
      </c>
      <c r="M296" s="1">
        <v>941</v>
      </c>
      <c r="P296" t="str">
        <f t="shared" si="19"/>
        <v>5%</v>
      </c>
      <c r="Q296" s="12">
        <f t="shared" si="16"/>
        <v>0.05</v>
      </c>
      <c r="R296" s="9">
        <f t="shared" si="17"/>
        <v>492.1</v>
      </c>
      <c r="S296" s="9">
        <f>IF(R296="",AVERAGEIF(Table1[Category],Table1[[#This Row],[Category]],Table2[orignal data]),Table2[[#This Row],[orignal data]])</f>
        <v>492.1</v>
      </c>
      <c r="T296" t="str">
        <f t="shared" si="18"/>
        <v>UNIQUE</v>
      </c>
      <c r="U296" t="str">
        <f>IF(ISBLANK(Table1[[#This Row],[SizeOption]]),"NOT AVAILABLE",Table1[[#This Row],[SizeOption]])</f>
        <v>S, M, L</v>
      </c>
      <c r="Y296" t="str">
        <f>IF(Table2[[#This Row],[Column1]]&gt;50%,"HIGH DISCOUNT","LOW DISCOUNT")</f>
        <v>LOW DISCOUNT</v>
      </c>
    </row>
    <row r="297" spans="1:25" x14ac:dyDescent="0.25">
      <c r="A297" s="2" t="s">
        <v>796</v>
      </c>
      <c r="B297" s="2">
        <v>12015554</v>
      </c>
      <c r="C297" s="2" t="s">
        <v>797</v>
      </c>
      <c r="D297" s="2" t="s">
        <v>76</v>
      </c>
      <c r="E297" s="2" t="s">
        <v>93</v>
      </c>
      <c r="F297" s="2" t="s">
        <v>36</v>
      </c>
      <c r="G297" s="2" t="s">
        <v>798</v>
      </c>
      <c r="H297">
        <v>1639</v>
      </c>
      <c r="I297" s="2">
        <v>3999</v>
      </c>
      <c r="J297" s="2" t="s">
        <v>95</v>
      </c>
      <c r="K297" s="2" t="s">
        <v>39</v>
      </c>
      <c r="L297" s="2">
        <v>4.5</v>
      </c>
      <c r="M297" s="2">
        <v>941</v>
      </c>
      <c r="P297" t="str">
        <f t="shared" si="19"/>
        <v>59%</v>
      </c>
      <c r="Q297" s="12">
        <f t="shared" si="16"/>
        <v>0.59</v>
      </c>
      <c r="R297" s="9">
        <f t="shared" si="17"/>
        <v>1639.5900000000001</v>
      </c>
      <c r="S297" s="9">
        <f>IF(R297="",AVERAGEIF(Table1[Category],Table1[[#This Row],[Category]],Table2[orignal data]),Table2[[#This Row],[orignal data]])</f>
        <v>1639.5900000000001</v>
      </c>
      <c r="T297" t="str">
        <f t="shared" si="18"/>
        <v>UNIQUE</v>
      </c>
      <c r="U297" t="str">
        <f>IF(ISBLANK(Table1[[#This Row],[SizeOption]]),"NOT AVAILABLE",Table1[[#This Row],[SizeOption]])</f>
        <v>S, M, L, XL, XXL</v>
      </c>
      <c r="Y297" t="str">
        <f>IF(Table2[[#This Row],[Column1]]&gt;50%,"HIGH DISCOUNT","LOW DISCOUNT")</f>
        <v>HIGH DISCOUNT</v>
      </c>
    </row>
    <row r="298" spans="1:25" x14ac:dyDescent="0.25">
      <c r="A298" s="1" t="s">
        <v>799</v>
      </c>
      <c r="B298" s="1">
        <v>12762116</v>
      </c>
      <c r="C298" s="1" t="s">
        <v>800</v>
      </c>
      <c r="D298" s="1" t="s">
        <v>41</v>
      </c>
      <c r="E298" s="1" t="s">
        <v>148</v>
      </c>
      <c r="F298" s="1" t="s">
        <v>36</v>
      </c>
      <c r="G298" s="1" t="s">
        <v>801</v>
      </c>
      <c r="I298" s="1">
        <v>1699</v>
      </c>
      <c r="J298" s="1" t="s">
        <v>95</v>
      </c>
      <c r="K298" s="1" t="s">
        <v>39</v>
      </c>
      <c r="L298" s="1">
        <v>4</v>
      </c>
      <c r="M298" s="1">
        <v>941</v>
      </c>
      <c r="P298" t="str">
        <f t="shared" si="19"/>
        <v>59%</v>
      </c>
      <c r="Q298" s="12">
        <f t="shared" si="16"/>
        <v>0.59</v>
      </c>
      <c r="R298" s="9">
        <f t="shared" si="17"/>
        <v>696.59</v>
      </c>
      <c r="S298" s="9">
        <f>IF(R298="",AVERAGEIF(Table1[Category],Table1[[#This Row],[Category]],Table2[orignal data]),Table2[[#This Row],[orignal data]])</f>
        <v>696.59</v>
      </c>
      <c r="T298" t="str">
        <f t="shared" si="18"/>
        <v>UNIQUE</v>
      </c>
      <c r="U298" t="str">
        <f>IF(ISBLANK(Table1[[#This Row],[SizeOption]]),"NOT AVAILABLE",Table1[[#This Row],[SizeOption]])</f>
        <v>S, M, L, XL, XXL</v>
      </c>
      <c r="Y298" t="str">
        <f>IF(Table2[[#This Row],[Column1]]&gt;50%,"HIGH DISCOUNT","LOW DISCOUNT")</f>
        <v>HIGH DISCOUNT</v>
      </c>
    </row>
    <row r="299" spans="1:25" x14ac:dyDescent="0.25">
      <c r="A299" s="2" t="s">
        <v>802</v>
      </c>
      <c r="B299" s="2">
        <v>10728896</v>
      </c>
      <c r="C299" s="2" t="s">
        <v>700</v>
      </c>
      <c r="D299" s="2" t="s">
        <v>41</v>
      </c>
      <c r="E299" s="2" t="s">
        <v>16</v>
      </c>
      <c r="F299" s="2" t="s">
        <v>36</v>
      </c>
      <c r="G299" s="2" t="s">
        <v>803</v>
      </c>
      <c r="I299" s="2">
        <v>2399</v>
      </c>
      <c r="J299" s="2" t="s">
        <v>84</v>
      </c>
      <c r="K299" s="2" t="s">
        <v>428</v>
      </c>
      <c r="L299" s="2">
        <v>4.2</v>
      </c>
      <c r="M299" s="2">
        <v>941</v>
      </c>
      <c r="P299" t="str">
        <f t="shared" si="19"/>
        <v>50%</v>
      </c>
      <c r="Q299" s="12">
        <f t="shared" si="16"/>
        <v>0.5</v>
      </c>
      <c r="R299" s="9">
        <f t="shared" si="17"/>
        <v>1199.5</v>
      </c>
      <c r="S299" s="9">
        <f>IF(R299="",AVERAGEIF(Table1[Category],Table1[[#This Row],[Category]],Table2[orignal data]),Table2[[#This Row],[orignal data]])</f>
        <v>1199.5</v>
      </c>
      <c r="T299" t="str">
        <f t="shared" si="18"/>
        <v>UNIQUE</v>
      </c>
      <c r="U299" t="str">
        <f>IF(ISBLANK(Table1[[#This Row],[SizeOption]]),"NOT AVAILABLE",Table1[[#This Row],[SizeOption]])</f>
        <v>26, 28, 30, 32, 34</v>
      </c>
      <c r="Y299" t="str">
        <f>IF(Table2[[#This Row],[Column1]]&gt;50%,"HIGH DISCOUNT","LOW DISCOUNT")</f>
        <v>LOW DISCOUNT</v>
      </c>
    </row>
    <row r="300" spans="1:25" x14ac:dyDescent="0.25">
      <c r="A300" s="1" t="s">
        <v>804</v>
      </c>
      <c r="B300" s="1">
        <v>10617882</v>
      </c>
      <c r="C300" s="1" t="s">
        <v>14</v>
      </c>
      <c r="D300" s="1" t="s">
        <v>28</v>
      </c>
      <c r="E300" s="1" t="s">
        <v>189</v>
      </c>
      <c r="F300" s="1" t="s">
        <v>17</v>
      </c>
      <c r="G300" s="1" t="s">
        <v>805</v>
      </c>
      <c r="I300" s="1">
        <v>1349</v>
      </c>
      <c r="J300" s="1"/>
      <c r="K300" s="1" t="s">
        <v>234</v>
      </c>
      <c r="L300" s="1">
        <v>4</v>
      </c>
      <c r="M300" s="1">
        <v>940</v>
      </c>
      <c r="P300" t="str">
        <f t="shared" si="19"/>
        <v/>
      </c>
      <c r="Q300" s="12" t="str">
        <f t="shared" si="16"/>
        <v/>
      </c>
      <c r="R300" s="9" t="str">
        <f t="shared" si="17"/>
        <v/>
      </c>
      <c r="S300" s="9">
        <f>IF(R300="",AVERAGEIF(Table1[Category],Table1[[#This Row],[Category]],Table2[orignal data]),Table2[[#This Row],[orignal data]])</f>
        <v>671.7823941958867</v>
      </c>
      <c r="T300" t="str">
        <f t="shared" si="18"/>
        <v>UNIQUE</v>
      </c>
      <c r="U300" t="str">
        <f>IF(ISBLANK(Table1[[#This Row],[SizeOption]]),"NOT AVAILABLE",Table1[[#This Row],[SizeOption]])</f>
        <v>S, M, L, XL, XXL, 3XL</v>
      </c>
      <c r="Y300" t="str">
        <f>IF(Table2[[#This Row],[Column1]]&gt;50%,"HIGH DISCOUNT","LOW DISCOUNT")</f>
        <v>HIGH DISCOUNT</v>
      </c>
    </row>
    <row r="301" spans="1:25" x14ac:dyDescent="0.25">
      <c r="A301" s="2" t="s">
        <v>806</v>
      </c>
      <c r="B301" s="2">
        <v>2521064</v>
      </c>
      <c r="C301" s="2" t="s">
        <v>107</v>
      </c>
      <c r="D301" s="2" t="s">
        <v>41</v>
      </c>
      <c r="E301" s="2" t="s">
        <v>148</v>
      </c>
      <c r="F301" s="2" t="s">
        <v>36</v>
      </c>
      <c r="G301" s="2" t="s">
        <v>807</v>
      </c>
      <c r="I301" s="2">
        <v>1999</v>
      </c>
      <c r="J301" s="2" t="s">
        <v>55</v>
      </c>
      <c r="K301" s="2" t="s">
        <v>45</v>
      </c>
      <c r="L301" s="2">
        <v>4.2</v>
      </c>
      <c r="M301" s="2">
        <v>940</v>
      </c>
      <c r="P301" t="str">
        <f t="shared" si="19"/>
        <v>60%</v>
      </c>
      <c r="Q301" s="12">
        <f t="shared" si="16"/>
        <v>0.6</v>
      </c>
      <c r="R301" s="9">
        <f t="shared" si="17"/>
        <v>799.60000000000014</v>
      </c>
      <c r="S301" s="9">
        <f>IF(R301="",AVERAGEIF(Table1[Category],Table1[[#This Row],[Category]],Table2[orignal data]),Table2[[#This Row],[orignal data]])</f>
        <v>799.60000000000014</v>
      </c>
      <c r="T301" t="str">
        <f t="shared" si="18"/>
        <v>UNIQUE</v>
      </c>
      <c r="U301" t="str">
        <f>IF(ISBLANK(Table1[[#This Row],[SizeOption]]),"NOT AVAILABLE",Table1[[#This Row],[SizeOption]])</f>
        <v>XS, S, M, L, XL</v>
      </c>
      <c r="Y301" t="str">
        <f>IF(Table2[[#This Row],[Column1]]&gt;50%,"HIGH DISCOUNT","LOW DISCOUNT")</f>
        <v>HIGH DISCOUNT</v>
      </c>
    </row>
    <row r="302" spans="1:25" x14ac:dyDescent="0.25">
      <c r="A302" s="1" t="s">
        <v>808</v>
      </c>
      <c r="B302" s="1">
        <v>2414666</v>
      </c>
      <c r="C302" s="1" t="s">
        <v>430</v>
      </c>
      <c r="D302" s="1" t="s">
        <v>41</v>
      </c>
      <c r="E302" s="1" t="s">
        <v>42</v>
      </c>
      <c r="F302" s="1" t="s">
        <v>36</v>
      </c>
      <c r="G302" s="1" t="s">
        <v>809</v>
      </c>
      <c r="I302" s="1">
        <v>799</v>
      </c>
      <c r="J302" s="1" t="s">
        <v>19</v>
      </c>
      <c r="K302" s="1" t="s">
        <v>45</v>
      </c>
      <c r="L302" s="1">
        <v>4.0999999999999996</v>
      </c>
      <c r="M302" s="1">
        <v>940</v>
      </c>
      <c r="P302" t="str">
        <f t="shared" si="19"/>
        <v>45%</v>
      </c>
      <c r="Q302" s="12">
        <f t="shared" si="16"/>
        <v>0.45</v>
      </c>
      <c r="R302" s="9">
        <f t="shared" si="17"/>
        <v>439.45</v>
      </c>
      <c r="S302" s="9">
        <f>IF(R302="",AVERAGEIF(Table1[Category],Table1[[#This Row],[Category]],Table2[orignal data]),Table2[[#This Row],[orignal data]])</f>
        <v>439.45</v>
      </c>
      <c r="T302" t="str">
        <f t="shared" si="18"/>
        <v>UNIQUE</v>
      </c>
      <c r="U302" t="str">
        <f>IF(ISBLANK(Table1[[#This Row],[SizeOption]]),"NOT AVAILABLE",Table1[[#This Row],[SizeOption]])</f>
        <v>XS, S, M, L, XL</v>
      </c>
      <c r="Y302" t="str">
        <f>IF(Table2[[#This Row],[Column1]]&gt;50%,"HIGH DISCOUNT","LOW DISCOUNT")</f>
        <v>LOW DISCOUNT</v>
      </c>
    </row>
    <row r="303" spans="1:25" x14ac:dyDescent="0.25">
      <c r="A303" s="2" t="s">
        <v>810</v>
      </c>
      <c r="B303" s="2">
        <v>13453596</v>
      </c>
      <c r="C303" s="2" t="s">
        <v>102</v>
      </c>
      <c r="D303" s="2" t="s">
        <v>41</v>
      </c>
      <c r="E303" s="2" t="s">
        <v>48</v>
      </c>
      <c r="F303" s="2" t="s">
        <v>36</v>
      </c>
      <c r="G303" s="2" t="s">
        <v>811</v>
      </c>
      <c r="I303" s="2">
        <v>849</v>
      </c>
      <c r="J303" s="2" t="s">
        <v>95</v>
      </c>
      <c r="K303" s="2" t="s">
        <v>26</v>
      </c>
      <c r="L303" s="2">
        <v>4.3</v>
      </c>
      <c r="M303" s="2">
        <v>940</v>
      </c>
      <c r="P303" t="str">
        <f t="shared" si="19"/>
        <v>59%</v>
      </c>
      <c r="Q303" s="12">
        <f t="shared" si="16"/>
        <v>0.59</v>
      </c>
      <c r="R303" s="9">
        <f t="shared" si="17"/>
        <v>348.09000000000003</v>
      </c>
      <c r="S303" s="9">
        <f>IF(R303="",AVERAGEIF(Table1[Category],Table1[[#This Row],[Category]],Table2[orignal data]),Table2[[#This Row],[orignal data]])</f>
        <v>348.09000000000003</v>
      </c>
      <c r="T303" t="str">
        <f t="shared" si="18"/>
        <v>UNIQUE</v>
      </c>
      <c r="U303" t="str">
        <f>IF(ISBLANK(Table1[[#This Row],[SizeOption]]),"NOT AVAILABLE",Table1[[#This Row],[SizeOption]])</f>
        <v>S, M, L, XL</v>
      </c>
      <c r="Y303" t="str">
        <f>IF(Table2[[#This Row],[Column1]]&gt;50%,"HIGH DISCOUNT","LOW DISCOUNT")</f>
        <v>HIGH DISCOUNT</v>
      </c>
    </row>
    <row r="304" spans="1:25" x14ac:dyDescent="0.25">
      <c r="A304" s="1" t="s">
        <v>812</v>
      </c>
      <c r="B304" s="1">
        <v>14014788</v>
      </c>
      <c r="C304" s="1" t="s">
        <v>52</v>
      </c>
      <c r="D304" s="1" t="s">
        <v>15</v>
      </c>
      <c r="E304" s="1" t="s">
        <v>23</v>
      </c>
      <c r="F304" s="1" t="s">
        <v>17</v>
      </c>
      <c r="G304" s="1" t="s">
        <v>813</v>
      </c>
      <c r="H304">
        <v>512</v>
      </c>
      <c r="I304" s="1">
        <v>899</v>
      </c>
      <c r="J304" s="1" t="s">
        <v>509</v>
      </c>
      <c r="K304" s="1" t="s">
        <v>26</v>
      </c>
      <c r="L304" s="1">
        <v>4</v>
      </c>
      <c r="M304" s="1">
        <v>939</v>
      </c>
      <c r="P304" t="str">
        <f t="shared" si="19"/>
        <v>43%</v>
      </c>
      <c r="Q304" s="12">
        <f t="shared" si="16"/>
        <v>0.43</v>
      </c>
      <c r="R304" s="9">
        <f t="shared" si="17"/>
        <v>512.43000000000006</v>
      </c>
      <c r="S304" s="9">
        <f>IF(R304="",AVERAGEIF(Table1[Category],Table1[[#This Row],[Category]],Table2[orignal data]),Table2[[#This Row],[orignal data]])</f>
        <v>512.43000000000006</v>
      </c>
      <c r="T304" t="str">
        <f t="shared" si="18"/>
        <v>UNIQUE</v>
      </c>
      <c r="U304" t="str">
        <f>IF(ISBLANK(Table1[[#This Row],[SizeOption]]),"NOT AVAILABLE",Table1[[#This Row],[SizeOption]])</f>
        <v>S, M, L, XL</v>
      </c>
      <c r="Y304" t="str">
        <f>IF(Table2[[#This Row],[Column1]]&gt;50%,"HIGH DISCOUNT","LOW DISCOUNT")</f>
        <v>LOW DISCOUNT</v>
      </c>
    </row>
    <row r="305" spans="1:25" x14ac:dyDescent="0.25">
      <c r="A305" s="2" t="s">
        <v>814</v>
      </c>
      <c r="B305" s="2">
        <v>15228444</v>
      </c>
      <c r="C305" s="2" t="s">
        <v>52</v>
      </c>
      <c r="D305" s="2" t="s">
        <v>15</v>
      </c>
      <c r="E305" s="2" t="s">
        <v>16</v>
      </c>
      <c r="F305" s="2" t="s">
        <v>17</v>
      </c>
      <c r="G305" s="2" t="s">
        <v>815</v>
      </c>
      <c r="H305">
        <v>657</v>
      </c>
      <c r="I305" s="2">
        <v>1399</v>
      </c>
      <c r="J305" s="2" t="s">
        <v>89</v>
      </c>
      <c r="K305" s="2" t="s">
        <v>816</v>
      </c>
      <c r="L305" s="2">
        <v>3.8</v>
      </c>
      <c r="M305" s="2">
        <v>939</v>
      </c>
      <c r="P305" t="str">
        <f t="shared" si="19"/>
        <v>53%</v>
      </c>
      <c r="Q305" s="12">
        <f t="shared" si="16"/>
        <v>0.53</v>
      </c>
      <c r="R305" s="9">
        <f t="shared" si="17"/>
        <v>657.53</v>
      </c>
      <c r="S305" s="9">
        <f>IF(R305="",AVERAGEIF(Table1[Category],Table1[[#This Row],[Category]],Table2[orignal data]),Table2[[#This Row],[orignal data]])</f>
        <v>657.53</v>
      </c>
      <c r="T305" t="str">
        <f t="shared" si="18"/>
        <v>UNIQUE</v>
      </c>
      <c r="U305" t="str">
        <f>IF(ISBLANK(Table1[[#This Row],[SizeOption]]),"NOT AVAILABLE",Table1[[#This Row],[SizeOption]])</f>
        <v>30, 32, 34, 36, 38</v>
      </c>
      <c r="Y305" t="str">
        <f>IF(Table2[[#This Row],[Column1]]&gt;50%,"HIGH DISCOUNT","LOW DISCOUNT")</f>
        <v>HIGH DISCOUNT</v>
      </c>
    </row>
    <row r="306" spans="1:25" x14ac:dyDescent="0.25">
      <c r="A306" s="1" t="s">
        <v>817</v>
      </c>
      <c r="B306" s="1">
        <v>11012510</v>
      </c>
      <c r="C306" s="1" t="s">
        <v>58</v>
      </c>
      <c r="D306" s="1" t="s">
        <v>41</v>
      </c>
      <c r="E306" s="1" t="s">
        <v>818</v>
      </c>
      <c r="F306" s="1" t="s">
        <v>36</v>
      </c>
      <c r="G306" s="1" t="s">
        <v>819</v>
      </c>
      <c r="I306" s="1">
        <v>1195</v>
      </c>
      <c r="J306" s="1" t="s">
        <v>60</v>
      </c>
      <c r="K306" s="1" t="s">
        <v>26</v>
      </c>
      <c r="L306" s="1">
        <v>4.2</v>
      </c>
      <c r="M306" s="1">
        <v>939</v>
      </c>
      <c r="P306" t="str">
        <f t="shared" si="19"/>
        <v>58%</v>
      </c>
      <c r="Q306" s="12">
        <f t="shared" si="16"/>
        <v>0.57999999999999996</v>
      </c>
      <c r="R306" s="9">
        <f t="shared" si="17"/>
        <v>501.90000000000009</v>
      </c>
      <c r="S306" s="9">
        <f>IF(R306="",AVERAGEIF(Table1[Category],Table1[[#This Row],[Category]],Table2[orignal data]),Table2[[#This Row],[orignal data]])</f>
        <v>501.90000000000009</v>
      </c>
      <c r="T306" t="str">
        <f t="shared" si="18"/>
        <v>UNIQUE</v>
      </c>
      <c r="U306" t="str">
        <f>IF(ISBLANK(Table1[[#This Row],[SizeOption]]),"NOT AVAILABLE",Table1[[#This Row],[SizeOption]])</f>
        <v>S, M, L, XL</v>
      </c>
      <c r="Y306" t="str">
        <f>IF(Table2[[#This Row],[Column1]]&gt;50%,"HIGH DISCOUNT","LOW DISCOUNT")</f>
        <v>HIGH DISCOUNT</v>
      </c>
    </row>
    <row r="307" spans="1:25" x14ac:dyDescent="0.25">
      <c r="A307" s="2" t="s">
        <v>820</v>
      </c>
      <c r="B307" s="2">
        <v>1802098</v>
      </c>
      <c r="C307" s="2" t="s">
        <v>346</v>
      </c>
      <c r="D307" s="2" t="s">
        <v>41</v>
      </c>
      <c r="E307" s="2" t="s">
        <v>16</v>
      </c>
      <c r="F307" s="2" t="s">
        <v>36</v>
      </c>
      <c r="G307" s="2" t="s">
        <v>821</v>
      </c>
      <c r="I307" s="2">
        <v>1499</v>
      </c>
      <c r="J307" s="2" t="s">
        <v>25</v>
      </c>
      <c r="K307" s="2" t="s">
        <v>134</v>
      </c>
      <c r="L307" s="2">
        <v>3.8</v>
      </c>
      <c r="M307" s="2">
        <v>939</v>
      </c>
      <c r="P307" t="str">
        <f t="shared" si="19"/>
        <v>55%</v>
      </c>
      <c r="Q307" s="12">
        <f t="shared" si="16"/>
        <v>0.55000000000000004</v>
      </c>
      <c r="R307" s="9">
        <f t="shared" si="17"/>
        <v>674.55</v>
      </c>
      <c r="S307" s="9">
        <f>IF(R307="",AVERAGEIF(Table1[Category],Table1[[#This Row],[Category]],Table2[orignal data]),Table2[[#This Row],[orignal data]])</f>
        <v>674.55</v>
      </c>
      <c r="T307" t="str">
        <f t="shared" si="18"/>
        <v>UNIQUE</v>
      </c>
      <c r="U307" t="str">
        <f>IF(ISBLANK(Table1[[#This Row],[SizeOption]]),"NOT AVAILABLE",Table1[[#This Row],[SizeOption]])</f>
        <v>26, 28, 30, 32, 34, 36</v>
      </c>
      <c r="Y307" t="str">
        <f>IF(Table2[[#This Row],[Column1]]&gt;50%,"HIGH DISCOUNT","LOW DISCOUNT")</f>
        <v>HIGH DISCOUNT</v>
      </c>
    </row>
    <row r="308" spans="1:25" x14ac:dyDescent="0.25">
      <c r="A308" s="1" t="s">
        <v>822</v>
      </c>
      <c r="B308" s="1">
        <v>10845288</v>
      </c>
      <c r="C308" s="1" t="s">
        <v>102</v>
      </c>
      <c r="D308" s="1" t="s">
        <v>41</v>
      </c>
      <c r="E308" s="1" t="s">
        <v>148</v>
      </c>
      <c r="F308" s="1" t="s">
        <v>36</v>
      </c>
      <c r="G308" s="1" t="s">
        <v>823</v>
      </c>
      <c r="I308" s="1">
        <v>2199</v>
      </c>
      <c r="J308" s="1" t="s">
        <v>104</v>
      </c>
      <c r="K308" s="1" t="s">
        <v>26</v>
      </c>
      <c r="L308" s="1">
        <v>4.3</v>
      </c>
      <c r="M308" s="1">
        <v>939</v>
      </c>
      <c r="P308" t="str">
        <f t="shared" si="19"/>
        <v>61%</v>
      </c>
      <c r="Q308" s="12">
        <f t="shared" si="16"/>
        <v>0.61</v>
      </c>
      <c r="R308" s="9">
        <f t="shared" si="17"/>
        <v>857.61000000000013</v>
      </c>
      <c r="S308" s="9">
        <f>IF(R308="",AVERAGEIF(Table1[Category],Table1[[#This Row],[Category]],Table2[orignal data]),Table2[[#This Row],[orignal data]])</f>
        <v>857.61000000000013</v>
      </c>
      <c r="T308" t="str">
        <f t="shared" si="18"/>
        <v>UNIQUE</v>
      </c>
      <c r="U308" t="str">
        <f>IF(ISBLANK(Table1[[#This Row],[SizeOption]]),"NOT AVAILABLE",Table1[[#This Row],[SizeOption]])</f>
        <v>S, M, L, XL</v>
      </c>
      <c r="Y308" t="str">
        <f>IF(Table2[[#This Row],[Column1]]&gt;50%,"HIGH DISCOUNT","LOW DISCOUNT")</f>
        <v>HIGH DISCOUNT</v>
      </c>
    </row>
    <row r="309" spans="1:25" x14ac:dyDescent="0.25">
      <c r="A309" s="2" t="s">
        <v>824</v>
      </c>
      <c r="B309" s="2">
        <v>13709578</v>
      </c>
      <c r="C309" s="2" t="s">
        <v>81</v>
      </c>
      <c r="D309" s="2" t="s">
        <v>41</v>
      </c>
      <c r="E309" s="2" t="s">
        <v>148</v>
      </c>
      <c r="F309" s="2" t="s">
        <v>36</v>
      </c>
      <c r="G309" s="2" t="s">
        <v>825</v>
      </c>
      <c r="I309" s="2">
        <v>2699</v>
      </c>
      <c r="J309" s="2" t="s">
        <v>186</v>
      </c>
      <c r="K309" s="2" t="s">
        <v>115</v>
      </c>
      <c r="L309" s="2">
        <v>4.3</v>
      </c>
      <c r="M309" s="2">
        <v>939</v>
      </c>
      <c r="P309" t="str">
        <f t="shared" si="19"/>
        <v>30%</v>
      </c>
      <c r="Q309" s="12">
        <f t="shared" si="16"/>
        <v>0.3</v>
      </c>
      <c r="R309" s="9">
        <f t="shared" si="17"/>
        <v>1889.3000000000002</v>
      </c>
      <c r="S309" s="9">
        <f>IF(R309="",AVERAGEIF(Table1[Category],Table1[[#This Row],[Category]],Table2[orignal data]),Table2[[#This Row],[orignal data]])</f>
        <v>1889.3000000000002</v>
      </c>
      <c r="T309" t="str">
        <f t="shared" si="18"/>
        <v>UNIQUE</v>
      </c>
      <c r="U309" t="str">
        <f>IF(ISBLANK(Table1[[#This Row],[SizeOption]]),"NOT AVAILABLE",Table1[[#This Row],[SizeOption]])</f>
        <v>XS, S, M, L, XL, XXL</v>
      </c>
      <c r="Y309" t="str">
        <f>IF(Table2[[#This Row],[Column1]]&gt;50%,"HIGH DISCOUNT","LOW DISCOUNT")</f>
        <v>LOW DISCOUNT</v>
      </c>
    </row>
    <row r="310" spans="1:25" x14ac:dyDescent="0.25">
      <c r="A310" s="1" t="s">
        <v>826</v>
      </c>
      <c r="B310" s="1">
        <v>8903777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827</v>
      </c>
      <c r="I310" s="1">
        <v>2699</v>
      </c>
      <c r="J310" s="1"/>
      <c r="K310" s="1" t="s">
        <v>195</v>
      </c>
      <c r="L310" s="1">
        <v>3.4</v>
      </c>
      <c r="M310" s="1">
        <v>938</v>
      </c>
      <c r="P310" t="str">
        <f t="shared" si="19"/>
        <v/>
      </c>
      <c r="Q310" s="12" t="str">
        <f t="shared" si="16"/>
        <v/>
      </c>
      <c r="R310" s="9" t="str">
        <f t="shared" si="17"/>
        <v/>
      </c>
      <c r="S310" s="9">
        <f>IF(R310="",AVERAGEIF(Table1[Category],Table1[[#This Row],[Category]],Table2[orignal data]),Table2[[#This Row],[orignal data]])</f>
        <v>892.27590339892538</v>
      </c>
      <c r="T310" t="str">
        <f t="shared" si="18"/>
        <v>UNIQUE</v>
      </c>
      <c r="U310" t="str">
        <f>IF(ISBLANK(Table1[[#This Row],[SizeOption]]),"NOT AVAILABLE",Table1[[#This Row],[SizeOption]])</f>
        <v>28, 30, 32, 34, 36, 38, 40</v>
      </c>
      <c r="Y310" t="str">
        <f>IF(Table2[[#This Row],[Column1]]&gt;50%,"HIGH DISCOUNT","LOW DISCOUNT")</f>
        <v>HIGH DISCOUNT</v>
      </c>
    </row>
    <row r="311" spans="1:25" x14ac:dyDescent="0.25">
      <c r="A311" s="2" t="s">
        <v>828</v>
      </c>
      <c r="B311" s="2">
        <v>5125962</v>
      </c>
      <c r="C311" s="2" t="s">
        <v>52</v>
      </c>
      <c r="D311" s="2" t="s">
        <v>15</v>
      </c>
      <c r="E311" s="2" t="s">
        <v>53</v>
      </c>
      <c r="F311" s="2" t="s">
        <v>17</v>
      </c>
      <c r="G311" s="2" t="s">
        <v>829</v>
      </c>
      <c r="H311">
        <v>704</v>
      </c>
      <c r="I311" s="2">
        <v>1499</v>
      </c>
      <c r="J311" s="2" t="s">
        <v>89</v>
      </c>
      <c r="K311" s="2" t="s">
        <v>56</v>
      </c>
      <c r="L311" s="2">
        <v>4</v>
      </c>
      <c r="M311" s="2">
        <v>938</v>
      </c>
      <c r="P311" t="str">
        <f t="shared" si="19"/>
        <v>53%</v>
      </c>
      <c r="Q311" s="12">
        <f t="shared" si="16"/>
        <v>0.53</v>
      </c>
      <c r="R311" s="9">
        <f t="shared" si="17"/>
        <v>704.53</v>
      </c>
      <c r="S311" s="9">
        <f>IF(R311="",AVERAGEIF(Table1[Category],Table1[[#This Row],[Category]],Table2[orignal data]),Table2[[#This Row],[orignal data]])</f>
        <v>704.53</v>
      </c>
      <c r="T311" t="str">
        <f t="shared" si="18"/>
        <v>UNIQUE</v>
      </c>
      <c r="U311" t="str">
        <f>IF(ISBLANK(Table1[[#This Row],[SizeOption]]),"NOT AVAILABLE",Table1[[#This Row],[SizeOption]])</f>
        <v>30, 32, 34, 36</v>
      </c>
      <c r="Y311" t="str">
        <f>IF(Table2[[#This Row],[Column1]]&gt;50%,"HIGH DISCOUNT","LOW DISCOUNT")</f>
        <v>HIGH DISCOUNT</v>
      </c>
    </row>
    <row r="312" spans="1:25" x14ac:dyDescent="0.25">
      <c r="A312" s="1" t="s">
        <v>830</v>
      </c>
      <c r="B312" s="1">
        <v>15193768</v>
      </c>
      <c r="C312" s="1" t="s">
        <v>490</v>
      </c>
      <c r="D312" s="1" t="s">
        <v>28</v>
      </c>
      <c r="E312" s="1" t="s">
        <v>306</v>
      </c>
      <c r="F312" s="1" t="s">
        <v>17</v>
      </c>
      <c r="G312" s="1" t="s">
        <v>831</v>
      </c>
      <c r="I312" s="1">
        <v>1499</v>
      </c>
      <c r="J312" s="1"/>
      <c r="K312" s="1" t="s">
        <v>115</v>
      </c>
      <c r="L312" s="1">
        <v>4.3</v>
      </c>
      <c r="M312" s="1">
        <v>938</v>
      </c>
      <c r="P312" t="str">
        <f t="shared" si="19"/>
        <v/>
      </c>
      <c r="Q312" s="12" t="str">
        <f t="shared" si="16"/>
        <v/>
      </c>
      <c r="R312" s="9" t="str">
        <f t="shared" si="17"/>
        <v/>
      </c>
      <c r="S312" s="9">
        <f>IF(R312="",AVERAGEIF(Table1[Category],Table1[[#This Row],[Category]],Table2[orignal data]),Table2[[#This Row],[orignal data]])</f>
        <v>671.7823941958867</v>
      </c>
      <c r="T312" t="str">
        <f t="shared" si="18"/>
        <v>UNIQUE</v>
      </c>
      <c r="U312" t="str">
        <f>IF(ISBLANK(Table1[[#This Row],[SizeOption]]),"NOT AVAILABLE",Table1[[#This Row],[SizeOption]])</f>
        <v>XS, S, M, L, XL, XXL</v>
      </c>
      <c r="Y312" t="str">
        <f>IF(Table2[[#This Row],[Column1]]&gt;50%,"HIGH DISCOUNT","LOW DISCOUNT")</f>
        <v>HIGH DISCOUNT</v>
      </c>
    </row>
    <row r="313" spans="1:25" x14ac:dyDescent="0.25">
      <c r="A313" s="2" t="s">
        <v>832</v>
      </c>
      <c r="B313" s="2">
        <v>2388302</v>
      </c>
      <c r="C313" s="2" t="s">
        <v>14</v>
      </c>
      <c r="D313" s="2" t="s">
        <v>28</v>
      </c>
      <c r="E313" s="2" t="s">
        <v>42</v>
      </c>
      <c r="F313" s="2" t="s">
        <v>17</v>
      </c>
      <c r="G313" s="2" t="s">
        <v>833</v>
      </c>
      <c r="I313" s="2">
        <v>899</v>
      </c>
      <c r="J313" s="2"/>
      <c r="K313" s="2" t="s">
        <v>73</v>
      </c>
      <c r="L313" s="2">
        <v>4.2</v>
      </c>
      <c r="M313" s="2">
        <v>938</v>
      </c>
      <c r="P313" t="str">
        <f t="shared" si="19"/>
        <v/>
      </c>
      <c r="Q313" s="12" t="str">
        <f t="shared" si="16"/>
        <v/>
      </c>
      <c r="R313" s="9" t="str">
        <f t="shared" si="17"/>
        <v/>
      </c>
      <c r="S313" s="9">
        <f>IF(R313="",AVERAGEIF(Table1[Category],Table1[[#This Row],[Category]],Table2[orignal data]),Table2[[#This Row],[orignal data]])</f>
        <v>671.7823941958867</v>
      </c>
      <c r="T313" t="str">
        <f t="shared" si="18"/>
        <v>UNIQUE</v>
      </c>
      <c r="U313" t="str">
        <f>IF(ISBLANK(Table1[[#This Row],[SizeOption]]),"NOT AVAILABLE",Table1[[#This Row],[SizeOption]])</f>
        <v>XS, S, M, L, XL, XXL, 3XL, 4XL</v>
      </c>
      <c r="Y313" t="str">
        <f>IF(Table2[[#This Row],[Column1]]&gt;50%,"HIGH DISCOUNT","LOW DISCOUNT")</f>
        <v>HIGH DISCOUNT</v>
      </c>
    </row>
    <row r="314" spans="1:25" x14ac:dyDescent="0.25">
      <c r="A314" s="1" t="s">
        <v>834</v>
      </c>
      <c r="B314" s="1">
        <v>11173950</v>
      </c>
      <c r="C314" s="1" t="s">
        <v>97</v>
      </c>
      <c r="D314" s="1" t="s">
        <v>76</v>
      </c>
      <c r="E314" s="1" t="s">
        <v>93</v>
      </c>
      <c r="F314" s="1" t="s">
        <v>36</v>
      </c>
      <c r="G314" s="1" t="s">
        <v>835</v>
      </c>
      <c r="H314">
        <v>549</v>
      </c>
      <c r="I314" s="1">
        <v>1099</v>
      </c>
      <c r="J314" s="1" t="s">
        <v>84</v>
      </c>
      <c r="K314" s="1" t="s">
        <v>100</v>
      </c>
      <c r="L314" s="1">
        <v>4.3</v>
      </c>
      <c r="M314" s="1">
        <v>938</v>
      </c>
      <c r="P314" t="str">
        <f t="shared" si="19"/>
        <v>50%</v>
      </c>
      <c r="Q314" s="12">
        <f t="shared" si="16"/>
        <v>0.5</v>
      </c>
      <c r="R314" s="9">
        <f t="shared" si="17"/>
        <v>549.5</v>
      </c>
      <c r="S314" s="9">
        <f>IF(R314="",AVERAGEIF(Table1[Category],Table1[[#This Row],[Category]],Table2[orignal data]),Table2[[#This Row],[orignal data]])</f>
        <v>549.5</v>
      </c>
      <c r="T314" t="str">
        <f t="shared" si="18"/>
        <v>UNIQUE</v>
      </c>
      <c r="U314" t="str">
        <f>IF(ISBLANK(Table1[[#This Row],[SizeOption]]),"NOT AVAILABLE",Table1[[#This Row],[SizeOption]])</f>
        <v>XS, S, M, L, XL, XXL, 3XL</v>
      </c>
      <c r="Y314" t="str">
        <f>IF(Table2[[#This Row],[Column1]]&gt;50%,"HIGH DISCOUNT","LOW DISCOUNT")</f>
        <v>LOW DISCOUNT</v>
      </c>
    </row>
    <row r="315" spans="1:25" x14ac:dyDescent="0.25">
      <c r="A315" s="2" t="s">
        <v>836</v>
      </c>
      <c r="B315" s="2">
        <v>14675114</v>
      </c>
      <c r="C315" s="2" t="s">
        <v>837</v>
      </c>
      <c r="D315" s="2" t="s">
        <v>76</v>
      </c>
      <c r="E315" s="2" t="s">
        <v>320</v>
      </c>
      <c r="F315" s="2" t="s">
        <v>36</v>
      </c>
      <c r="G315" s="2" t="s">
        <v>838</v>
      </c>
      <c r="H315">
        <v>639</v>
      </c>
      <c r="I315" s="2">
        <v>1999</v>
      </c>
      <c r="J315" s="2" t="s">
        <v>839</v>
      </c>
      <c r="K315" s="2" t="s">
        <v>164</v>
      </c>
      <c r="L315" s="2">
        <v>4</v>
      </c>
      <c r="M315" s="2">
        <v>938</v>
      </c>
      <c r="P315" t="str">
        <f t="shared" si="19"/>
        <v>68%</v>
      </c>
      <c r="Q315" s="12">
        <f t="shared" si="16"/>
        <v>0.68</v>
      </c>
      <c r="R315" s="9">
        <f t="shared" si="17"/>
        <v>639.67999999999984</v>
      </c>
      <c r="S315" s="9">
        <f>IF(R315="",AVERAGEIF(Table1[Category],Table1[[#This Row],[Category]],Table2[orignal data]),Table2[[#This Row],[orignal data]])</f>
        <v>639.67999999999984</v>
      </c>
      <c r="T315" t="str">
        <f t="shared" si="18"/>
        <v>UNIQUE</v>
      </c>
      <c r="U315" t="str">
        <f>IF(ISBLANK(Table1[[#This Row],[SizeOption]]),"NOT AVAILABLE",Table1[[#This Row],[SizeOption]])</f>
        <v>Onesize</v>
      </c>
      <c r="Y315" t="str">
        <f>IF(Table2[[#This Row],[Column1]]&gt;50%,"HIGH DISCOUNT","LOW DISCOUNT")</f>
        <v>HIGH DISCOUNT</v>
      </c>
    </row>
    <row r="316" spans="1:25" x14ac:dyDescent="0.25">
      <c r="A316" s="1" t="s">
        <v>840</v>
      </c>
      <c r="B316" s="1">
        <v>1718905</v>
      </c>
      <c r="C316" s="1" t="s">
        <v>841</v>
      </c>
      <c r="D316" s="1" t="s">
        <v>41</v>
      </c>
      <c r="E316" s="1" t="s">
        <v>29</v>
      </c>
      <c r="F316" s="1" t="s">
        <v>36</v>
      </c>
      <c r="G316" s="1" t="s">
        <v>842</v>
      </c>
      <c r="I316" s="1">
        <v>1599</v>
      </c>
      <c r="J316" s="1" t="s">
        <v>25</v>
      </c>
      <c r="K316" s="1" t="s">
        <v>26</v>
      </c>
      <c r="L316" s="1">
        <v>4.2</v>
      </c>
      <c r="M316" s="1">
        <v>938</v>
      </c>
      <c r="P316" t="str">
        <f t="shared" si="19"/>
        <v>55%</v>
      </c>
      <c r="Q316" s="12">
        <f t="shared" si="16"/>
        <v>0.55000000000000004</v>
      </c>
      <c r="R316" s="9">
        <f t="shared" si="17"/>
        <v>719.55</v>
      </c>
      <c r="S316" s="9">
        <f>IF(R316="",AVERAGEIF(Table1[Category],Table1[[#This Row],[Category]],Table2[orignal data]),Table2[[#This Row],[orignal data]])</f>
        <v>719.55</v>
      </c>
      <c r="T316" t="str">
        <f t="shared" si="18"/>
        <v>UNIQUE</v>
      </c>
      <c r="U316" t="str">
        <f>IF(ISBLANK(Table1[[#This Row],[SizeOption]]),"NOT AVAILABLE",Table1[[#This Row],[SizeOption]])</f>
        <v>S, M, L, XL</v>
      </c>
      <c r="Y316" t="str">
        <f>IF(Table2[[#This Row],[Column1]]&gt;50%,"HIGH DISCOUNT","LOW DISCOUNT")</f>
        <v>HIGH DISCOUNT</v>
      </c>
    </row>
    <row r="317" spans="1:25" x14ac:dyDescent="0.25">
      <c r="A317" s="2" t="s">
        <v>843</v>
      </c>
      <c r="B317" s="2">
        <v>10961164</v>
      </c>
      <c r="C317" s="2" t="s">
        <v>152</v>
      </c>
      <c r="D317" s="2" t="s">
        <v>41</v>
      </c>
      <c r="E317" s="2" t="s">
        <v>82</v>
      </c>
      <c r="F317" s="2" t="s">
        <v>36</v>
      </c>
      <c r="G317" s="2" t="s">
        <v>844</v>
      </c>
      <c r="I317" s="2">
        <v>2449</v>
      </c>
      <c r="J317" s="2" t="s">
        <v>55</v>
      </c>
      <c r="K317" s="2" t="s">
        <v>39</v>
      </c>
      <c r="L317" s="2">
        <v>4.0999999999999996</v>
      </c>
      <c r="M317" s="2">
        <v>938</v>
      </c>
      <c r="P317" t="str">
        <f t="shared" si="19"/>
        <v>60%</v>
      </c>
      <c r="Q317" s="12">
        <f t="shared" si="16"/>
        <v>0.6</v>
      </c>
      <c r="R317" s="9">
        <f t="shared" si="17"/>
        <v>979.60000000000014</v>
      </c>
      <c r="S317" s="9">
        <f>IF(R317="",AVERAGEIF(Table1[Category],Table1[[#This Row],[Category]],Table2[orignal data]),Table2[[#This Row],[orignal data]])</f>
        <v>979.60000000000014</v>
      </c>
      <c r="T317" t="str">
        <f t="shared" si="18"/>
        <v>UNIQUE</v>
      </c>
      <c r="U317" t="str">
        <f>IF(ISBLANK(Table1[[#This Row],[SizeOption]]),"NOT AVAILABLE",Table1[[#This Row],[SizeOption]])</f>
        <v>S, M, L, XL, XXL</v>
      </c>
      <c r="Y317" t="str">
        <f>IF(Table2[[#This Row],[Column1]]&gt;50%,"HIGH DISCOUNT","LOW DISCOUNT")</f>
        <v>HIGH DISCOUNT</v>
      </c>
    </row>
    <row r="318" spans="1:25" x14ac:dyDescent="0.25">
      <c r="A318" s="1" t="s">
        <v>845</v>
      </c>
      <c r="B318" s="1">
        <v>7255260</v>
      </c>
      <c r="C318" s="1" t="s">
        <v>47</v>
      </c>
      <c r="D318" s="1" t="s">
        <v>15</v>
      </c>
      <c r="E318" s="1" t="s">
        <v>16</v>
      </c>
      <c r="F318" s="1" t="s">
        <v>17</v>
      </c>
      <c r="G318" s="1" t="s">
        <v>846</v>
      </c>
      <c r="H318">
        <v>719</v>
      </c>
      <c r="I318" s="1">
        <v>1799</v>
      </c>
      <c r="J318" s="1" t="s">
        <v>55</v>
      </c>
      <c r="K318" s="1" t="s">
        <v>20</v>
      </c>
      <c r="L318" s="1">
        <v>3.9</v>
      </c>
      <c r="M318" s="1">
        <v>937</v>
      </c>
      <c r="P318" t="str">
        <f t="shared" si="19"/>
        <v>60%</v>
      </c>
      <c r="Q318" s="12">
        <f t="shared" si="16"/>
        <v>0.6</v>
      </c>
      <c r="R318" s="9">
        <f t="shared" si="17"/>
        <v>719.60000000000014</v>
      </c>
      <c r="S318" s="9">
        <f>IF(R318="",AVERAGEIF(Table1[Category],Table1[[#This Row],[Category]],Table2[orignal data]),Table2[[#This Row],[orignal data]])</f>
        <v>719.60000000000014</v>
      </c>
      <c r="T318" t="str">
        <f t="shared" si="18"/>
        <v>UNIQUE</v>
      </c>
      <c r="U318" t="str">
        <f>IF(ISBLANK(Table1[[#This Row],[SizeOption]]),"NOT AVAILABLE",Table1[[#This Row],[SizeOption]])</f>
        <v>28, 30, 32, 34, 36</v>
      </c>
      <c r="Y318" t="str">
        <f>IF(Table2[[#This Row],[Column1]]&gt;50%,"HIGH DISCOUNT","LOW DISCOUNT")</f>
        <v>HIGH DISCOUNT</v>
      </c>
    </row>
    <row r="319" spans="1:25" x14ac:dyDescent="0.25">
      <c r="A319" s="2" t="s">
        <v>847</v>
      </c>
      <c r="B319" s="2">
        <v>11404294</v>
      </c>
      <c r="C319" s="2" t="s">
        <v>14</v>
      </c>
      <c r="D319" s="2" t="s">
        <v>41</v>
      </c>
      <c r="E319" s="2" t="s">
        <v>42</v>
      </c>
      <c r="F319" s="2" t="s">
        <v>36</v>
      </c>
      <c r="G319" s="2" t="s">
        <v>848</v>
      </c>
      <c r="I319" s="2">
        <v>599</v>
      </c>
      <c r="J319" s="2" t="s">
        <v>84</v>
      </c>
      <c r="K319" s="2" t="s">
        <v>45</v>
      </c>
      <c r="L319" s="2">
        <v>4.3</v>
      </c>
      <c r="M319" s="2">
        <v>937</v>
      </c>
      <c r="P319" t="str">
        <f t="shared" si="19"/>
        <v>50%</v>
      </c>
      <c r="Q319" s="12">
        <f t="shared" si="16"/>
        <v>0.5</v>
      </c>
      <c r="R319" s="9">
        <f t="shared" si="17"/>
        <v>299.5</v>
      </c>
      <c r="S319" s="9">
        <f>IF(R319="",AVERAGEIF(Table1[Category],Table1[[#This Row],[Category]],Table2[orignal data]),Table2[[#This Row],[orignal data]])</f>
        <v>299.5</v>
      </c>
      <c r="T319" t="str">
        <f t="shared" si="18"/>
        <v>UNIQUE</v>
      </c>
      <c r="U319" t="str">
        <f>IF(ISBLANK(Table1[[#This Row],[SizeOption]]),"NOT AVAILABLE",Table1[[#This Row],[SizeOption]])</f>
        <v>XS, S, M, L, XL</v>
      </c>
      <c r="Y319" t="str">
        <f>IF(Table2[[#This Row],[Column1]]&gt;50%,"HIGH DISCOUNT","LOW DISCOUNT")</f>
        <v>LOW DISCOUNT</v>
      </c>
    </row>
    <row r="320" spans="1:25" x14ac:dyDescent="0.25">
      <c r="A320" s="1" t="s">
        <v>849</v>
      </c>
      <c r="B320" s="1">
        <v>1866650</v>
      </c>
      <c r="C320" s="1" t="s">
        <v>67</v>
      </c>
      <c r="D320" s="1" t="s">
        <v>15</v>
      </c>
      <c r="E320" s="1" t="s">
        <v>23</v>
      </c>
      <c r="F320" s="1" t="s">
        <v>17</v>
      </c>
      <c r="G320" s="1" t="s">
        <v>850</v>
      </c>
      <c r="H320">
        <v>599</v>
      </c>
      <c r="I320" s="1">
        <v>1499</v>
      </c>
      <c r="J320" s="1" t="s">
        <v>55</v>
      </c>
      <c r="K320" s="1" t="s">
        <v>39</v>
      </c>
      <c r="L320" s="1">
        <v>4</v>
      </c>
      <c r="M320" s="1">
        <v>936</v>
      </c>
      <c r="P320" t="str">
        <f t="shared" si="19"/>
        <v>60%</v>
      </c>
      <c r="Q320" s="12">
        <f t="shared" si="16"/>
        <v>0.6</v>
      </c>
      <c r="R320" s="9">
        <f t="shared" si="17"/>
        <v>599.6</v>
      </c>
      <c r="S320" s="9">
        <f>IF(R320="",AVERAGEIF(Table1[Category],Table1[[#This Row],[Category]],Table2[orignal data]),Table2[[#This Row],[orignal data]])</f>
        <v>599.6</v>
      </c>
      <c r="T320" t="str">
        <f t="shared" si="18"/>
        <v>UNIQUE</v>
      </c>
      <c r="U320" t="str">
        <f>IF(ISBLANK(Table1[[#This Row],[SizeOption]]),"NOT AVAILABLE",Table1[[#This Row],[SizeOption]])</f>
        <v>S, M, L, XL, XXL</v>
      </c>
      <c r="Y320" t="str">
        <f>IF(Table2[[#This Row],[Column1]]&gt;50%,"HIGH DISCOUNT","LOW DISCOUNT")</f>
        <v>HIGH DISCOUNT</v>
      </c>
    </row>
    <row r="321" spans="1:25" x14ac:dyDescent="0.25">
      <c r="A321" s="2" t="s">
        <v>851</v>
      </c>
      <c r="B321" s="2">
        <v>1987411</v>
      </c>
      <c r="C321" s="2" t="s">
        <v>67</v>
      </c>
      <c r="D321" s="2" t="s">
        <v>68</v>
      </c>
      <c r="E321" s="2" t="s">
        <v>42</v>
      </c>
      <c r="F321" s="2" t="s">
        <v>17</v>
      </c>
      <c r="G321" s="2" t="s">
        <v>852</v>
      </c>
      <c r="H321">
        <v>279</v>
      </c>
      <c r="I321" s="2">
        <v>699</v>
      </c>
      <c r="J321" s="2" t="s">
        <v>55</v>
      </c>
      <c r="K321" s="2" t="s">
        <v>39</v>
      </c>
      <c r="L321" s="2">
        <v>4.0999999999999996</v>
      </c>
      <c r="M321" s="2">
        <v>936</v>
      </c>
      <c r="P321" t="str">
        <f t="shared" si="19"/>
        <v>60%</v>
      </c>
      <c r="Q321" s="12">
        <f t="shared" si="16"/>
        <v>0.6</v>
      </c>
      <c r="R321" s="9">
        <f t="shared" si="17"/>
        <v>279.60000000000002</v>
      </c>
      <c r="S321" s="9">
        <f>IF(R321="",AVERAGEIF(Table1[Category],Table1[[#This Row],[Category]],Table2[orignal data]),Table2[[#This Row],[orignal data]])</f>
        <v>279.60000000000002</v>
      </c>
      <c r="T321" t="str">
        <f t="shared" si="18"/>
        <v>UNIQUE</v>
      </c>
      <c r="U321" t="str">
        <f>IF(ISBLANK(Table1[[#This Row],[SizeOption]]),"NOT AVAILABLE",Table1[[#This Row],[SizeOption]])</f>
        <v>S, M, L, XL, XXL</v>
      </c>
      <c r="Y321" t="str">
        <f>IF(Table2[[#This Row],[Column1]]&gt;50%,"HIGH DISCOUNT","LOW DISCOUNT")</f>
        <v>HIGH DISCOUNT</v>
      </c>
    </row>
    <row r="322" spans="1:25" x14ac:dyDescent="0.25">
      <c r="A322" s="1" t="s">
        <v>853</v>
      </c>
      <c r="B322" s="1">
        <v>11044440</v>
      </c>
      <c r="C322" s="1" t="s">
        <v>52</v>
      </c>
      <c r="D322" s="1" t="s">
        <v>28</v>
      </c>
      <c r="E322" s="1" t="s">
        <v>29</v>
      </c>
      <c r="F322" s="1" t="s">
        <v>17</v>
      </c>
      <c r="G322" s="1" t="s">
        <v>854</v>
      </c>
      <c r="H322">
        <v>683</v>
      </c>
      <c r="I322" s="1">
        <v>1199</v>
      </c>
      <c r="J322" s="1" t="s">
        <v>509</v>
      </c>
      <c r="K322" s="1" t="s">
        <v>90</v>
      </c>
      <c r="L322" s="1">
        <v>4.0999999999999996</v>
      </c>
      <c r="M322" s="1">
        <v>936</v>
      </c>
      <c r="P322" t="str">
        <f t="shared" si="19"/>
        <v>43%</v>
      </c>
      <c r="Q322" s="12">
        <f t="shared" ref="Q322:Q385" si="20">IF(P322="","",IF(ISNUMBER(SEARCH("%",P322)),P322,P322/I322)*100%)</f>
        <v>0.43</v>
      </c>
      <c r="R322" s="9">
        <f t="shared" ref="R322:R385" si="21">IF(P322="","",I322-(I322*Q322))</f>
        <v>683.43000000000006</v>
      </c>
      <c r="S322" s="9">
        <f>IF(R322="",AVERAGEIF(Table1[Category],Table1[[#This Row],[Category]],Table2[orignal data]),Table2[[#This Row],[orignal data]])</f>
        <v>683.43000000000006</v>
      </c>
      <c r="T322" t="str">
        <f t="shared" ref="T322:T385" si="22">IF(COUNTIF($B$2:$B$5000,B322)&gt;1,"DUPLICATE","UNIQUE")</f>
        <v>UNIQUE</v>
      </c>
      <c r="U322" t="str">
        <f>IF(ISBLANK(Table1[[#This Row],[SizeOption]]),"NOT AVAILABLE",Table1[[#This Row],[SizeOption]])</f>
        <v>39, 40, 42, 44</v>
      </c>
      <c r="Y322" t="str">
        <f>IF(Table2[[#This Row],[Column1]]&gt;50%,"HIGH DISCOUNT","LOW DISCOUNT")</f>
        <v>LOW DISCOUNT</v>
      </c>
    </row>
    <row r="323" spans="1:25" x14ac:dyDescent="0.25">
      <c r="A323" s="2" t="s">
        <v>855</v>
      </c>
      <c r="B323" s="2">
        <v>10397849</v>
      </c>
      <c r="C323" s="2" t="s">
        <v>14</v>
      </c>
      <c r="D323" s="2" t="s">
        <v>28</v>
      </c>
      <c r="E323" s="2" t="s">
        <v>29</v>
      </c>
      <c r="F323" s="2" t="s">
        <v>17</v>
      </c>
      <c r="G323" s="2" t="s">
        <v>856</v>
      </c>
      <c r="H323">
        <v>749</v>
      </c>
      <c r="I323" s="2">
        <v>1499</v>
      </c>
      <c r="J323" s="2" t="s">
        <v>84</v>
      </c>
      <c r="K323" s="2" t="s">
        <v>253</v>
      </c>
      <c r="L323" s="2">
        <v>4.4000000000000004</v>
      </c>
      <c r="M323" s="2">
        <v>936</v>
      </c>
      <c r="P323" t="str">
        <f t="shared" ref="P323:P386" si="23">TRIM(SUBSTITUTE(SUBSTITUTE(SUBSTITUTE(SUBSTITUTE(J323,"OFF",""),"Rs.",""),"Hurry*",""),",",""))</f>
        <v>50%</v>
      </c>
      <c r="Q323" s="12">
        <f t="shared" si="20"/>
        <v>0.5</v>
      </c>
      <c r="R323" s="9">
        <f t="shared" si="21"/>
        <v>749.5</v>
      </c>
      <c r="S323" s="9">
        <f>IF(R323="",AVERAGEIF(Table1[Category],Table1[[#This Row],[Category]],Table2[orignal data]),Table2[[#This Row],[orignal data]])</f>
        <v>749.5</v>
      </c>
      <c r="T323" t="str">
        <f t="shared" si="22"/>
        <v>UNIQUE</v>
      </c>
      <c r="U323" t="str">
        <f>IF(ISBLANK(Table1[[#This Row],[SizeOption]]),"NOT AVAILABLE",Table1[[#This Row],[SizeOption]])</f>
        <v>38, 40, 42, 44</v>
      </c>
      <c r="Y323" t="str">
        <f>IF(Table2[[#This Row],[Column1]]&gt;50%,"HIGH DISCOUNT","LOW DISCOUNT")</f>
        <v>LOW DISCOUNT</v>
      </c>
    </row>
    <row r="324" spans="1:25" x14ac:dyDescent="0.25">
      <c r="A324" s="1" t="s">
        <v>857</v>
      </c>
      <c r="B324" s="1">
        <v>9705197</v>
      </c>
      <c r="C324" s="1" t="s">
        <v>201</v>
      </c>
      <c r="D324" s="1" t="s">
        <v>98</v>
      </c>
      <c r="E324" s="1" t="s">
        <v>42</v>
      </c>
      <c r="F324" s="1" t="s">
        <v>36</v>
      </c>
      <c r="G324" s="1" t="s">
        <v>858</v>
      </c>
      <c r="H324">
        <v>254</v>
      </c>
      <c r="I324" s="1">
        <v>849</v>
      </c>
      <c r="J324" s="1" t="s">
        <v>79</v>
      </c>
      <c r="K324" s="1" t="s">
        <v>100</v>
      </c>
      <c r="L324" s="1">
        <v>3.8</v>
      </c>
      <c r="M324" s="1">
        <v>936</v>
      </c>
      <c r="P324" t="str">
        <f t="shared" si="23"/>
        <v>70%</v>
      </c>
      <c r="Q324" s="12">
        <f t="shared" si="20"/>
        <v>0.7</v>
      </c>
      <c r="R324" s="9">
        <f t="shared" si="21"/>
        <v>254.70000000000005</v>
      </c>
      <c r="S324" s="9">
        <f>IF(R324="",AVERAGEIF(Table1[Category],Table1[[#This Row],[Category]],Table2[orignal data]),Table2[[#This Row],[orignal data]])</f>
        <v>254.70000000000005</v>
      </c>
      <c r="T324" t="str">
        <f t="shared" si="22"/>
        <v>UNIQUE</v>
      </c>
      <c r="U324" t="str">
        <f>IF(ISBLANK(Table1[[#This Row],[SizeOption]]),"NOT AVAILABLE",Table1[[#This Row],[SizeOption]])</f>
        <v>XS, S, M, L, XL, XXL, 3XL</v>
      </c>
      <c r="Y324" t="str">
        <f>IF(Table2[[#This Row],[Column1]]&gt;50%,"HIGH DISCOUNT","LOW DISCOUNT")</f>
        <v>HIGH DISCOUNT</v>
      </c>
    </row>
    <row r="325" spans="1:25" x14ac:dyDescent="0.25">
      <c r="A325" s="2" t="s">
        <v>859</v>
      </c>
      <c r="B325" s="2">
        <v>10463330</v>
      </c>
      <c r="C325" s="2" t="s">
        <v>128</v>
      </c>
      <c r="D325" s="2" t="s">
        <v>41</v>
      </c>
      <c r="E325" s="2" t="s">
        <v>53</v>
      </c>
      <c r="F325" s="2" t="s">
        <v>36</v>
      </c>
      <c r="G325" s="2" t="s">
        <v>860</v>
      </c>
      <c r="I325" s="2">
        <v>1899</v>
      </c>
      <c r="J325" s="2" t="s">
        <v>25</v>
      </c>
      <c r="K325" s="2" t="s">
        <v>105</v>
      </c>
      <c r="L325" s="2">
        <v>4.0999999999999996</v>
      </c>
      <c r="M325" s="2">
        <v>936</v>
      </c>
      <c r="P325" t="str">
        <f t="shared" si="23"/>
        <v>55%</v>
      </c>
      <c r="Q325" s="12">
        <f t="shared" si="20"/>
        <v>0.55000000000000004</v>
      </c>
      <c r="R325" s="9">
        <f t="shared" si="21"/>
        <v>854.55</v>
      </c>
      <c r="S325" s="9">
        <f>IF(R325="",AVERAGEIF(Table1[Category],Table1[[#This Row],[Category]],Table2[orignal data]),Table2[[#This Row],[orignal data]])</f>
        <v>854.55</v>
      </c>
      <c r="T325" t="str">
        <f t="shared" si="22"/>
        <v>UNIQUE</v>
      </c>
      <c r="U325" t="str">
        <f>IF(ISBLANK(Table1[[#This Row],[SizeOption]]),"NOT AVAILABLE",Table1[[#This Row],[SizeOption]])</f>
        <v>28, 30, 32, 34</v>
      </c>
      <c r="Y325" t="str">
        <f>IF(Table2[[#This Row],[Column1]]&gt;50%,"HIGH DISCOUNT","LOW DISCOUNT")</f>
        <v>HIGH DISCOUNT</v>
      </c>
    </row>
    <row r="326" spans="1:25" x14ac:dyDescent="0.25">
      <c r="A326" s="1" t="s">
        <v>861</v>
      </c>
      <c r="B326" s="1">
        <v>12181796</v>
      </c>
      <c r="C326" s="1" t="s">
        <v>420</v>
      </c>
      <c r="D326" s="1" t="s">
        <v>41</v>
      </c>
      <c r="E326" s="1" t="s">
        <v>189</v>
      </c>
      <c r="F326" s="1" t="s">
        <v>36</v>
      </c>
      <c r="G326" s="1" t="s">
        <v>862</v>
      </c>
      <c r="I326" s="1">
        <v>3499</v>
      </c>
      <c r="J326" s="1" t="s">
        <v>55</v>
      </c>
      <c r="K326" s="1" t="s">
        <v>26</v>
      </c>
      <c r="L326" s="1">
        <v>3.9</v>
      </c>
      <c r="M326" s="1">
        <v>936</v>
      </c>
      <c r="P326" t="str">
        <f t="shared" si="23"/>
        <v>60%</v>
      </c>
      <c r="Q326" s="12">
        <f t="shared" si="20"/>
        <v>0.6</v>
      </c>
      <c r="R326" s="9">
        <f t="shared" si="21"/>
        <v>1399.6</v>
      </c>
      <c r="S326" s="9">
        <f>IF(R326="",AVERAGEIF(Table1[Category],Table1[[#This Row],[Category]],Table2[orignal data]),Table2[[#This Row],[orignal data]])</f>
        <v>1399.6</v>
      </c>
      <c r="T326" t="str">
        <f t="shared" si="22"/>
        <v>UNIQUE</v>
      </c>
      <c r="U326" t="str">
        <f>IF(ISBLANK(Table1[[#This Row],[SizeOption]]),"NOT AVAILABLE",Table1[[#This Row],[SizeOption]])</f>
        <v>S, M, L, XL</v>
      </c>
      <c r="Y326" t="str">
        <f>IF(Table2[[#This Row],[Column1]]&gt;50%,"HIGH DISCOUNT","LOW DISCOUNT")</f>
        <v>HIGH DISCOUNT</v>
      </c>
    </row>
    <row r="327" spans="1:25" x14ac:dyDescent="0.25">
      <c r="A327" s="2" t="s">
        <v>863</v>
      </c>
      <c r="B327" s="2">
        <v>8325439</v>
      </c>
      <c r="C327" s="2" t="s">
        <v>47</v>
      </c>
      <c r="D327" s="2" t="s">
        <v>41</v>
      </c>
      <c r="E327" s="2" t="s">
        <v>42</v>
      </c>
      <c r="F327" s="2" t="s">
        <v>36</v>
      </c>
      <c r="G327" s="2" t="s">
        <v>393</v>
      </c>
      <c r="I327" s="2">
        <v>799</v>
      </c>
      <c r="J327" s="2" t="s">
        <v>680</v>
      </c>
      <c r="K327" s="2" t="s">
        <v>45</v>
      </c>
      <c r="L327" s="2">
        <v>4.2</v>
      </c>
      <c r="M327" s="2">
        <v>936</v>
      </c>
      <c r="P327" t="str">
        <f t="shared" si="23"/>
        <v>300</v>
      </c>
      <c r="Q327" s="12">
        <f t="shared" si="20"/>
        <v>0.37546933667083854</v>
      </c>
      <c r="R327" s="9">
        <f t="shared" si="21"/>
        <v>499</v>
      </c>
      <c r="S327" s="9">
        <f>IF(R327="",AVERAGEIF(Table1[Category],Table1[[#This Row],[Category]],Table2[orignal data]),Table2[[#This Row],[orignal data]])</f>
        <v>499</v>
      </c>
      <c r="T327" t="str">
        <f t="shared" si="22"/>
        <v>UNIQUE</v>
      </c>
      <c r="U327" t="str">
        <f>IF(ISBLANK(Table1[[#This Row],[SizeOption]]),"NOT AVAILABLE",Table1[[#This Row],[SizeOption]])</f>
        <v>XS, S, M, L, XL</v>
      </c>
      <c r="Y327" t="str">
        <f>IF(Table2[[#This Row],[Column1]]&gt;50%,"HIGH DISCOUNT","LOW DISCOUNT")</f>
        <v>LOW DISCOUNT</v>
      </c>
    </row>
    <row r="328" spans="1:25" x14ac:dyDescent="0.25">
      <c r="A328" s="1" t="s">
        <v>864</v>
      </c>
      <c r="B328" s="1">
        <v>12509638</v>
      </c>
      <c r="C328" s="1" t="s">
        <v>865</v>
      </c>
      <c r="D328" s="1" t="s">
        <v>76</v>
      </c>
      <c r="E328" s="1" t="s">
        <v>77</v>
      </c>
      <c r="F328" s="1" t="s">
        <v>36</v>
      </c>
      <c r="G328" s="1" t="s">
        <v>866</v>
      </c>
      <c r="H328">
        <v>1519</v>
      </c>
      <c r="I328" s="1">
        <v>3799</v>
      </c>
      <c r="J328" s="1" t="s">
        <v>55</v>
      </c>
      <c r="K328" s="1" t="s">
        <v>39</v>
      </c>
      <c r="L328" s="1">
        <v>4.4000000000000004</v>
      </c>
      <c r="M328" s="1">
        <v>935</v>
      </c>
      <c r="P328" t="str">
        <f t="shared" si="23"/>
        <v>60%</v>
      </c>
      <c r="Q328" s="12">
        <f t="shared" si="20"/>
        <v>0.6</v>
      </c>
      <c r="R328" s="9">
        <f t="shared" si="21"/>
        <v>1519.6</v>
      </c>
      <c r="S328" s="9">
        <f>IF(R328="",AVERAGEIF(Table1[Category],Table1[[#This Row],[Category]],Table2[orignal data]),Table2[[#This Row],[orignal data]])</f>
        <v>1519.6</v>
      </c>
      <c r="T328" t="str">
        <f t="shared" si="22"/>
        <v>UNIQUE</v>
      </c>
      <c r="U328" t="str">
        <f>IF(ISBLANK(Table1[[#This Row],[SizeOption]]),"NOT AVAILABLE",Table1[[#This Row],[SizeOption]])</f>
        <v>S, M, L, XL, XXL</v>
      </c>
      <c r="Y328" t="str">
        <f>IF(Table2[[#This Row],[Column1]]&gt;50%,"HIGH DISCOUNT","LOW DISCOUNT")</f>
        <v>HIGH DISCOUNT</v>
      </c>
    </row>
    <row r="329" spans="1:25" x14ac:dyDescent="0.25">
      <c r="A329" s="2" t="s">
        <v>867</v>
      </c>
      <c r="B329" s="2">
        <v>9371627</v>
      </c>
      <c r="C329" s="2" t="s">
        <v>97</v>
      </c>
      <c r="D329" s="2" t="s">
        <v>98</v>
      </c>
      <c r="E329" s="2" t="s">
        <v>93</v>
      </c>
      <c r="F329" s="2" t="s">
        <v>36</v>
      </c>
      <c r="G329" s="2" t="s">
        <v>868</v>
      </c>
      <c r="H329">
        <v>389</v>
      </c>
      <c r="I329" s="2">
        <v>1299</v>
      </c>
      <c r="J329" s="2" t="s">
        <v>79</v>
      </c>
      <c r="K329" s="2" t="s">
        <v>100</v>
      </c>
      <c r="L329" s="2">
        <v>4.2</v>
      </c>
      <c r="M329" s="2">
        <v>935</v>
      </c>
      <c r="P329" t="str">
        <f t="shared" si="23"/>
        <v>70%</v>
      </c>
      <c r="Q329" s="12">
        <f t="shared" si="20"/>
        <v>0.7</v>
      </c>
      <c r="R329" s="9">
        <f t="shared" si="21"/>
        <v>389.70000000000005</v>
      </c>
      <c r="S329" s="9">
        <f>IF(R329="",AVERAGEIF(Table1[Category],Table1[[#This Row],[Category]],Table2[orignal data]),Table2[[#This Row],[orignal data]])</f>
        <v>389.70000000000005</v>
      </c>
      <c r="T329" t="str">
        <f t="shared" si="22"/>
        <v>UNIQUE</v>
      </c>
      <c r="U329" t="str">
        <f>IF(ISBLANK(Table1[[#This Row],[SizeOption]]),"NOT AVAILABLE",Table1[[#This Row],[SizeOption]])</f>
        <v>XS, S, M, L, XL, XXL, 3XL</v>
      </c>
      <c r="Y329" t="str">
        <f>IF(Table2[[#This Row],[Column1]]&gt;50%,"HIGH DISCOUNT","LOW DISCOUNT")</f>
        <v>HIGH DISCOUNT</v>
      </c>
    </row>
    <row r="330" spans="1:25" x14ac:dyDescent="0.25">
      <c r="A330" s="1" t="s">
        <v>869</v>
      </c>
      <c r="B330" s="1">
        <v>13437322</v>
      </c>
      <c r="C330" s="1" t="s">
        <v>97</v>
      </c>
      <c r="D330" s="1" t="s">
        <v>98</v>
      </c>
      <c r="E330" s="1" t="s">
        <v>93</v>
      </c>
      <c r="F330" s="1" t="s">
        <v>36</v>
      </c>
      <c r="G330" s="1" t="s">
        <v>870</v>
      </c>
      <c r="H330">
        <v>519</v>
      </c>
      <c r="I330" s="1">
        <v>1299</v>
      </c>
      <c r="J330" s="1" t="s">
        <v>55</v>
      </c>
      <c r="K330" s="1" t="s">
        <v>100</v>
      </c>
      <c r="L330" s="1">
        <v>4.0999999999999996</v>
      </c>
      <c r="M330" s="1">
        <v>935</v>
      </c>
      <c r="P330" t="str">
        <f t="shared" si="23"/>
        <v>60%</v>
      </c>
      <c r="Q330" s="12">
        <f t="shared" si="20"/>
        <v>0.6</v>
      </c>
      <c r="R330" s="9">
        <f t="shared" si="21"/>
        <v>519.6</v>
      </c>
      <c r="S330" s="9">
        <f>IF(R330="",AVERAGEIF(Table1[Category],Table1[[#This Row],[Category]],Table2[orignal data]),Table2[[#This Row],[orignal data]])</f>
        <v>519.6</v>
      </c>
      <c r="T330" t="str">
        <f t="shared" si="22"/>
        <v>UNIQUE</v>
      </c>
      <c r="U330" t="str">
        <f>IF(ISBLANK(Table1[[#This Row],[SizeOption]]),"NOT AVAILABLE",Table1[[#This Row],[SizeOption]])</f>
        <v>XS, S, M, L, XL, XXL, 3XL</v>
      </c>
      <c r="Y330" t="str">
        <f>IF(Table2[[#This Row],[Column1]]&gt;50%,"HIGH DISCOUNT","LOW DISCOUNT")</f>
        <v>HIGH DISCOUNT</v>
      </c>
    </row>
    <row r="331" spans="1:25" x14ac:dyDescent="0.25">
      <c r="A331" s="2" t="s">
        <v>871</v>
      </c>
      <c r="B331" s="2">
        <v>10641868</v>
      </c>
      <c r="C331" s="2" t="s">
        <v>102</v>
      </c>
      <c r="D331" s="2" t="s">
        <v>41</v>
      </c>
      <c r="E331" s="2" t="s">
        <v>16</v>
      </c>
      <c r="F331" s="2" t="s">
        <v>36</v>
      </c>
      <c r="G331" s="2" t="s">
        <v>872</v>
      </c>
      <c r="I331" s="2">
        <v>1899</v>
      </c>
      <c r="J331" s="2" t="s">
        <v>130</v>
      </c>
      <c r="K331" s="2" t="s">
        <v>428</v>
      </c>
      <c r="L331" s="2">
        <v>3.9</v>
      </c>
      <c r="M331" s="2">
        <v>935</v>
      </c>
      <c r="P331" t="str">
        <f t="shared" si="23"/>
        <v>57%</v>
      </c>
      <c r="Q331" s="12">
        <f t="shared" si="20"/>
        <v>0.56999999999999995</v>
      </c>
      <c r="R331" s="9">
        <f t="shared" si="21"/>
        <v>816.57000000000016</v>
      </c>
      <c r="S331" s="9">
        <f>IF(R331="",AVERAGEIF(Table1[Category],Table1[[#This Row],[Category]],Table2[orignal data]),Table2[[#This Row],[orignal data]])</f>
        <v>816.57000000000016</v>
      </c>
      <c r="T331" t="str">
        <f t="shared" si="22"/>
        <v>UNIQUE</v>
      </c>
      <c r="U331" t="str">
        <f>IF(ISBLANK(Table1[[#This Row],[SizeOption]]),"NOT AVAILABLE",Table1[[#This Row],[SizeOption]])</f>
        <v>26, 28, 30, 32, 34</v>
      </c>
      <c r="Y331" t="str">
        <f>IF(Table2[[#This Row],[Column1]]&gt;50%,"HIGH DISCOUNT","LOW DISCOUNT")</f>
        <v>HIGH DISCOUNT</v>
      </c>
    </row>
    <row r="332" spans="1:25" x14ac:dyDescent="0.25">
      <c r="A332" s="1" t="s">
        <v>873</v>
      </c>
      <c r="B332" s="1">
        <v>17381768</v>
      </c>
      <c r="C332" s="1" t="s">
        <v>14</v>
      </c>
      <c r="D332" s="1" t="s">
        <v>41</v>
      </c>
      <c r="E332" s="1" t="s">
        <v>42</v>
      </c>
      <c r="F332" s="1" t="s">
        <v>36</v>
      </c>
      <c r="G332" s="1" t="s">
        <v>874</v>
      </c>
      <c r="I332" s="1">
        <v>1998</v>
      </c>
      <c r="J332" s="1"/>
      <c r="K332" s="1" t="s">
        <v>45</v>
      </c>
      <c r="L332" s="1">
        <v>4.3</v>
      </c>
      <c r="M332" s="1">
        <v>935</v>
      </c>
      <c r="P332" t="str">
        <f t="shared" si="23"/>
        <v/>
      </c>
      <c r="Q332" s="12" t="str">
        <f t="shared" si="20"/>
        <v/>
      </c>
      <c r="R332" s="9" t="str">
        <f t="shared" si="21"/>
        <v/>
      </c>
      <c r="S332" s="9">
        <f>IF(R332="",AVERAGEIF(Table1[Category],Table1[[#This Row],[Category]],Table2[orignal data]),Table2[[#This Row],[orignal data]])</f>
        <v>715.78890751086249</v>
      </c>
      <c r="T332" t="str">
        <f t="shared" si="22"/>
        <v>UNIQUE</v>
      </c>
      <c r="U332" t="str">
        <f>IF(ISBLANK(Table1[[#This Row],[SizeOption]]),"NOT AVAILABLE",Table1[[#This Row],[SizeOption]])</f>
        <v>XS, S, M, L, XL</v>
      </c>
      <c r="Y332" t="str">
        <f>IF(Table2[[#This Row],[Column1]]&gt;50%,"HIGH DISCOUNT","LOW DISCOUNT")</f>
        <v>HIGH DISCOUNT</v>
      </c>
    </row>
    <row r="333" spans="1:25" x14ac:dyDescent="0.25">
      <c r="A333" s="2" t="s">
        <v>875</v>
      </c>
      <c r="B333" s="2">
        <v>10986390</v>
      </c>
      <c r="C333" s="2" t="s">
        <v>47</v>
      </c>
      <c r="D333" s="2" t="s">
        <v>197</v>
      </c>
      <c r="E333" s="2" t="s">
        <v>198</v>
      </c>
      <c r="F333" s="2" t="s">
        <v>17</v>
      </c>
      <c r="G333" s="2" t="s">
        <v>876</v>
      </c>
      <c r="H333">
        <v>381</v>
      </c>
      <c r="I333" s="2">
        <v>449</v>
      </c>
      <c r="J333" s="2" t="s">
        <v>786</v>
      </c>
      <c r="K333" s="2" t="s">
        <v>164</v>
      </c>
      <c r="L333" s="2">
        <v>4.3</v>
      </c>
      <c r="M333" s="2">
        <v>934</v>
      </c>
      <c r="P333" t="str">
        <f t="shared" si="23"/>
        <v>15%</v>
      </c>
      <c r="Q333" s="12">
        <f t="shared" si="20"/>
        <v>0.15</v>
      </c>
      <c r="R333" s="9">
        <f t="shared" si="21"/>
        <v>381.65</v>
      </c>
      <c r="S333" s="9">
        <f>IF(R333="",AVERAGEIF(Table1[Category],Table1[[#This Row],[Category]],Table2[orignal data]),Table2[[#This Row],[orignal data]])</f>
        <v>381.65</v>
      </c>
      <c r="T333" t="str">
        <f t="shared" si="22"/>
        <v>UNIQUE</v>
      </c>
      <c r="U333" t="str">
        <f>IF(ISBLANK(Table1[[#This Row],[SizeOption]]),"NOT AVAILABLE",Table1[[#This Row],[SizeOption]])</f>
        <v>Onesize</v>
      </c>
      <c r="Y333" t="str">
        <f>IF(Table2[[#This Row],[Column1]]&gt;50%,"HIGH DISCOUNT","LOW DISCOUNT")</f>
        <v>LOW DISCOUNT</v>
      </c>
    </row>
    <row r="334" spans="1:25" x14ac:dyDescent="0.25">
      <c r="A334" s="1" t="s">
        <v>877</v>
      </c>
      <c r="B334" s="1">
        <v>8714027</v>
      </c>
      <c r="C334" s="1" t="s">
        <v>47</v>
      </c>
      <c r="D334" s="1" t="s">
        <v>28</v>
      </c>
      <c r="E334" s="1" t="s">
        <v>29</v>
      </c>
      <c r="F334" s="1" t="s">
        <v>17</v>
      </c>
      <c r="G334" s="1" t="s">
        <v>878</v>
      </c>
      <c r="H334">
        <v>899</v>
      </c>
      <c r="I334" s="1">
        <v>1799</v>
      </c>
      <c r="J334" s="1" t="s">
        <v>84</v>
      </c>
      <c r="K334" s="1" t="s">
        <v>253</v>
      </c>
      <c r="L334" s="1">
        <v>4.0999999999999996</v>
      </c>
      <c r="M334" s="1">
        <v>934</v>
      </c>
      <c r="P334" t="str">
        <f t="shared" si="23"/>
        <v>50%</v>
      </c>
      <c r="Q334" s="12">
        <f t="shared" si="20"/>
        <v>0.5</v>
      </c>
      <c r="R334" s="9">
        <f t="shared" si="21"/>
        <v>899.5</v>
      </c>
      <c r="S334" s="9">
        <f>IF(R334="",AVERAGEIF(Table1[Category],Table1[[#This Row],[Category]],Table2[orignal data]),Table2[[#This Row],[orignal data]])</f>
        <v>899.5</v>
      </c>
      <c r="T334" t="str">
        <f t="shared" si="22"/>
        <v>UNIQUE</v>
      </c>
      <c r="U334" t="str">
        <f>IF(ISBLANK(Table1[[#This Row],[SizeOption]]),"NOT AVAILABLE",Table1[[#This Row],[SizeOption]])</f>
        <v>38, 40, 42, 44</v>
      </c>
      <c r="Y334" t="str">
        <f>IF(Table2[[#This Row],[Column1]]&gt;50%,"HIGH DISCOUNT","LOW DISCOUNT")</f>
        <v>LOW DISCOUNT</v>
      </c>
    </row>
    <row r="335" spans="1:25" x14ac:dyDescent="0.25">
      <c r="A335" s="2" t="s">
        <v>879</v>
      </c>
      <c r="B335" s="2">
        <v>6832181</v>
      </c>
      <c r="C335" s="2" t="s">
        <v>169</v>
      </c>
      <c r="D335" s="2" t="s">
        <v>28</v>
      </c>
      <c r="E335" s="2" t="s">
        <v>189</v>
      </c>
      <c r="F335" s="2" t="s">
        <v>17</v>
      </c>
      <c r="G335" s="2" t="s">
        <v>880</v>
      </c>
      <c r="H335">
        <v>1799</v>
      </c>
      <c r="I335" s="2">
        <v>4499</v>
      </c>
      <c r="J335" s="2" t="s">
        <v>55</v>
      </c>
      <c r="K335" s="2" t="s">
        <v>881</v>
      </c>
      <c r="L335" s="2">
        <v>4.3</v>
      </c>
      <c r="M335" s="2">
        <v>934</v>
      </c>
      <c r="P335" t="str">
        <f t="shared" si="23"/>
        <v>60%</v>
      </c>
      <c r="Q335" s="12">
        <f t="shared" si="20"/>
        <v>0.6</v>
      </c>
      <c r="R335" s="9">
        <f t="shared" si="21"/>
        <v>1799.6</v>
      </c>
      <c r="S335" s="9">
        <f>IF(R335="",AVERAGEIF(Table1[Category],Table1[[#This Row],[Category]],Table2[orignal data]),Table2[[#This Row],[orignal data]])</f>
        <v>1799.6</v>
      </c>
      <c r="T335" t="str">
        <f t="shared" si="22"/>
        <v>UNIQUE</v>
      </c>
      <c r="U335" t="str">
        <f>IF(ISBLANK(Table1[[#This Row],[SizeOption]]),"NOT AVAILABLE",Table1[[#This Row],[SizeOption]])</f>
        <v>M, L, XL, XXL</v>
      </c>
      <c r="Y335" t="str">
        <f>IF(Table2[[#This Row],[Column1]]&gt;50%,"HIGH DISCOUNT","LOW DISCOUNT")</f>
        <v>HIGH DISCOUNT</v>
      </c>
    </row>
    <row r="336" spans="1:25" x14ac:dyDescent="0.25">
      <c r="A336" s="1" t="s">
        <v>882</v>
      </c>
      <c r="B336" s="1">
        <v>9200201</v>
      </c>
      <c r="C336" s="1" t="s">
        <v>113</v>
      </c>
      <c r="D336" s="1" t="s">
        <v>76</v>
      </c>
      <c r="E336" s="1" t="s">
        <v>93</v>
      </c>
      <c r="F336" s="1" t="s">
        <v>36</v>
      </c>
      <c r="G336" s="1" t="s">
        <v>883</v>
      </c>
      <c r="H336">
        <v>559</v>
      </c>
      <c r="I336" s="1">
        <v>1599</v>
      </c>
      <c r="J336" s="1" t="s">
        <v>150</v>
      </c>
      <c r="K336" s="1" t="s">
        <v>45</v>
      </c>
      <c r="L336" s="1">
        <v>4.0999999999999996</v>
      </c>
      <c r="M336" s="1">
        <v>934</v>
      </c>
      <c r="P336" t="str">
        <f t="shared" si="23"/>
        <v>65%</v>
      </c>
      <c r="Q336" s="12">
        <f t="shared" si="20"/>
        <v>0.65</v>
      </c>
      <c r="R336" s="9">
        <f t="shared" si="21"/>
        <v>559.64999999999986</v>
      </c>
      <c r="S336" s="9">
        <f>IF(R336="",AVERAGEIF(Table1[Category],Table1[[#This Row],[Category]],Table2[orignal data]),Table2[[#This Row],[orignal data]])</f>
        <v>559.64999999999986</v>
      </c>
      <c r="T336" t="str">
        <f t="shared" si="22"/>
        <v>UNIQUE</v>
      </c>
      <c r="U336" t="str">
        <f>IF(ISBLANK(Table1[[#This Row],[SizeOption]]),"NOT AVAILABLE",Table1[[#This Row],[SizeOption]])</f>
        <v>XS, S, M, L, XL</v>
      </c>
      <c r="Y336" t="str">
        <f>IF(Table2[[#This Row],[Column1]]&gt;50%,"HIGH DISCOUNT","LOW DISCOUNT")</f>
        <v>HIGH DISCOUNT</v>
      </c>
    </row>
    <row r="337" spans="1:25" x14ac:dyDescent="0.25">
      <c r="A337" s="2" t="s">
        <v>884</v>
      </c>
      <c r="B337" s="2">
        <v>17523596</v>
      </c>
      <c r="C337" s="2" t="s">
        <v>47</v>
      </c>
      <c r="D337" s="2" t="s">
        <v>41</v>
      </c>
      <c r="E337" s="2" t="s">
        <v>42</v>
      </c>
      <c r="F337" s="2" t="s">
        <v>36</v>
      </c>
      <c r="G337" s="2" t="s">
        <v>885</v>
      </c>
      <c r="I337" s="2">
        <v>1398</v>
      </c>
      <c r="J337" s="2" t="s">
        <v>84</v>
      </c>
      <c r="K337" s="2" t="s">
        <v>45</v>
      </c>
      <c r="L337" s="2">
        <v>4.3</v>
      </c>
      <c r="M337" s="2">
        <v>934</v>
      </c>
      <c r="P337" t="str">
        <f t="shared" si="23"/>
        <v>50%</v>
      </c>
      <c r="Q337" s="12">
        <f t="shared" si="20"/>
        <v>0.5</v>
      </c>
      <c r="R337" s="9">
        <f t="shared" si="21"/>
        <v>699</v>
      </c>
      <c r="S337" s="9">
        <f>IF(R337="",AVERAGEIF(Table1[Category],Table1[[#This Row],[Category]],Table2[orignal data]),Table2[[#This Row],[orignal data]])</f>
        <v>699</v>
      </c>
      <c r="T337" t="str">
        <f t="shared" si="22"/>
        <v>UNIQUE</v>
      </c>
      <c r="U337" t="str">
        <f>IF(ISBLANK(Table1[[#This Row],[SizeOption]]),"NOT AVAILABLE",Table1[[#This Row],[SizeOption]])</f>
        <v>XS, S, M, L, XL</v>
      </c>
      <c r="Y337" t="str">
        <f>IF(Table2[[#This Row],[Column1]]&gt;50%,"HIGH DISCOUNT","LOW DISCOUNT")</f>
        <v>LOW DISCOUNT</v>
      </c>
    </row>
    <row r="338" spans="1:25" x14ac:dyDescent="0.25">
      <c r="A338" s="1" t="s">
        <v>886</v>
      </c>
      <c r="B338" s="1">
        <v>11109396</v>
      </c>
      <c r="C338" s="1" t="s">
        <v>887</v>
      </c>
      <c r="D338" s="1" t="s">
        <v>41</v>
      </c>
      <c r="E338" s="1" t="s">
        <v>148</v>
      </c>
      <c r="F338" s="1" t="s">
        <v>36</v>
      </c>
      <c r="G338" s="1" t="s">
        <v>888</v>
      </c>
      <c r="I338" s="1">
        <v>1599</v>
      </c>
      <c r="J338" s="1" t="s">
        <v>889</v>
      </c>
      <c r="K338" s="1" t="s">
        <v>26</v>
      </c>
      <c r="L338" s="1">
        <v>4.4000000000000004</v>
      </c>
      <c r="M338" s="1">
        <v>934</v>
      </c>
      <c r="P338" t="str">
        <f t="shared" si="23"/>
        <v>17%</v>
      </c>
      <c r="Q338" s="12">
        <f t="shared" si="20"/>
        <v>0.17</v>
      </c>
      <c r="R338" s="9">
        <f t="shared" si="21"/>
        <v>1327.17</v>
      </c>
      <c r="S338" s="9">
        <f>IF(R338="",AVERAGEIF(Table1[Category],Table1[[#This Row],[Category]],Table2[orignal data]),Table2[[#This Row],[orignal data]])</f>
        <v>1327.17</v>
      </c>
      <c r="T338" t="str">
        <f t="shared" si="22"/>
        <v>UNIQUE</v>
      </c>
      <c r="U338" t="str">
        <f>IF(ISBLANK(Table1[[#This Row],[SizeOption]]),"NOT AVAILABLE",Table1[[#This Row],[SizeOption]])</f>
        <v>S, M, L, XL</v>
      </c>
      <c r="Y338" t="str">
        <f>IF(Table2[[#This Row],[Column1]]&gt;50%,"HIGH DISCOUNT","LOW DISCOUNT")</f>
        <v>LOW DISCOUNT</v>
      </c>
    </row>
    <row r="339" spans="1:25" x14ac:dyDescent="0.25">
      <c r="A339" s="2" t="s">
        <v>890</v>
      </c>
      <c r="B339" s="2">
        <v>2248879</v>
      </c>
      <c r="C339" s="2" t="s">
        <v>14</v>
      </c>
      <c r="D339" s="2" t="s">
        <v>28</v>
      </c>
      <c r="E339" s="2" t="s">
        <v>29</v>
      </c>
      <c r="F339" s="2" t="s">
        <v>17</v>
      </c>
      <c r="G339" s="2" t="s">
        <v>891</v>
      </c>
      <c r="H339">
        <v>824</v>
      </c>
      <c r="I339" s="2">
        <v>1499</v>
      </c>
      <c r="J339" s="2" t="s">
        <v>19</v>
      </c>
      <c r="K339" s="2" t="s">
        <v>31</v>
      </c>
      <c r="L339" s="2">
        <v>4</v>
      </c>
      <c r="M339" s="2">
        <v>933</v>
      </c>
      <c r="P339" t="str">
        <f t="shared" si="23"/>
        <v>45%</v>
      </c>
      <c r="Q339" s="12">
        <f t="shared" si="20"/>
        <v>0.45</v>
      </c>
      <c r="R339" s="9">
        <f t="shared" si="21"/>
        <v>824.44999999999993</v>
      </c>
      <c r="S339" s="9">
        <f>IF(R339="",AVERAGEIF(Table1[Category],Table1[[#This Row],[Category]],Table2[orignal data]),Table2[[#This Row],[orignal data]])</f>
        <v>824.44999999999993</v>
      </c>
      <c r="T339" t="str">
        <f t="shared" si="22"/>
        <v>UNIQUE</v>
      </c>
      <c r="U339" t="str">
        <f>IF(ISBLANK(Table1[[#This Row],[SizeOption]]),"NOT AVAILABLE",Table1[[#This Row],[SizeOption]])</f>
        <v>38, 40, 42, 44, 46, 48</v>
      </c>
      <c r="Y339" t="str">
        <f>IF(Table2[[#This Row],[Column1]]&gt;50%,"HIGH DISCOUNT","LOW DISCOUNT")</f>
        <v>LOW DISCOUNT</v>
      </c>
    </row>
    <row r="340" spans="1:25" x14ac:dyDescent="0.25">
      <c r="A340" s="1" t="s">
        <v>892</v>
      </c>
      <c r="B340" s="1">
        <v>8426381</v>
      </c>
      <c r="C340" s="1" t="s">
        <v>169</v>
      </c>
      <c r="D340" s="1" t="s">
        <v>28</v>
      </c>
      <c r="E340" s="1" t="s">
        <v>42</v>
      </c>
      <c r="F340" s="1" t="s">
        <v>17</v>
      </c>
      <c r="G340" s="1" t="s">
        <v>893</v>
      </c>
      <c r="H340">
        <v>499</v>
      </c>
      <c r="I340" s="1">
        <v>999</v>
      </c>
      <c r="J340" s="1" t="s">
        <v>84</v>
      </c>
      <c r="K340" s="1" t="s">
        <v>39</v>
      </c>
      <c r="L340" s="1">
        <v>3.8</v>
      </c>
      <c r="M340" s="1">
        <v>933</v>
      </c>
      <c r="P340" t="str">
        <f t="shared" si="23"/>
        <v>50%</v>
      </c>
      <c r="Q340" s="12">
        <f t="shared" si="20"/>
        <v>0.5</v>
      </c>
      <c r="R340" s="9">
        <f t="shared" si="21"/>
        <v>499.5</v>
      </c>
      <c r="S340" s="9">
        <f>IF(R340="",AVERAGEIF(Table1[Category],Table1[[#This Row],[Category]],Table2[orignal data]),Table2[[#This Row],[orignal data]])</f>
        <v>499.5</v>
      </c>
      <c r="T340" t="str">
        <f t="shared" si="22"/>
        <v>UNIQUE</v>
      </c>
      <c r="U340" t="str">
        <f>IF(ISBLANK(Table1[[#This Row],[SizeOption]]),"NOT AVAILABLE",Table1[[#This Row],[SizeOption]])</f>
        <v>S, M, L, XL, XXL</v>
      </c>
      <c r="Y340" t="str">
        <f>IF(Table2[[#This Row],[Column1]]&gt;50%,"HIGH DISCOUNT","LOW DISCOUNT")</f>
        <v>LOW DISCOUNT</v>
      </c>
    </row>
    <row r="341" spans="1:25" x14ac:dyDescent="0.25">
      <c r="A341" s="2" t="s">
        <v>894</v>
      </c>
      <c r="B341" s="2">
        <v>15034244</v>
      </c>
      <c r="C341" s="2" t="s">
        <v>349</v>
      </c>
      <c r="D341" s="2" t="s">
        <v>34</v>
      </c>
      <c r="E341" s="2" t="s">
        <v>296</v>
      </c>
      <c r="F341" s="2" t="s">
        <v>36</v>
      </c>
      <c r="G341" s="2" t="s">
        <v>895</v>
      </c>
      <c r="I341" s="2">
        <v>549</v>
      </c>
      <c r="J341" s="2"/>
      <c r="K341" s="2" t="s">
        <v>352</v>
      </c>
      <c r="L341" s="2">
        <v>4.4000000000000004</v>
      </c>
      <c r="M341" s="2">
        <v>933</v>
      </c>
      <c r="P341" t="str">
        <f t="shared" si="23"/>
        <v/>
      </c>
      <c r="Q341" s="12" t="str">
        <f t="shared" si="20"/>
        <v/>
      </c>
      <c r="R341" s="9" t="str">
        <f t="shared" si="21"/>
        <v/>
      </c>
      <c r="S341" s="9">
        <f>IF(R341="",AVERAGEIF(Table1[Category],Table1[[#This Row],[Category]],Table2[orignal data]),Table2[[#This Row],[orignal data]])</f>
        <v>608.88518518518481</v>
      </c>
      <c r="T341" t="str">
        <f t="shared" si="22"/>
        <v>UNIQUE</v>
      </c>
      <c r="U341" t="str">
        <f>IF(ISBLANK(Table1[[#This Row],[SizeOption]]),"NOT AVAILABLE",Table1[[#This Row],[SizeOption]])</f>
        <v>S, M, L</v>
      </c>
      <c r="Y341" t="str">
        <f>IF(Table2[[#This Row],[Column1]]&gt;50%,"HIGH DISCOUNT","LOW DISCOUNT")</f>
        <v>HIGH DISCOUNT</v>
      </c>
    </row>
    <row r="342" spans="1:25" x14ac:dyDescent="0.25">
      <c r="A342" s="1" t="s">
        <v>896</v>
      </c>
      <c r="B342" s="1">
        <v>1741886</v>
      </c>
      <c r="C342" s="1" t="s">
        <v>346</v>
      </c>
      <c r="D342" s="1" t="s">
        <v>41</v>
      </c>
      <c r="E342" s="1" t="s">
        <v>53</v>
      </c>
      <c r="F342" s="1" t="s">
        <v>36</v>
      </c>
      <c r="G342" s="1" t="s">
        <v>897</v>
      </c>
      <c r="I342" s="1">
        <v>1999</v>
      </c>
      <c r="J342" s="1" t="s">
        <v>25</v>
      </c>
      <c r="K342" s="1" t="s">
        <v>134</v>
      </c>
      <c r="L342" s="1">
        <v>3.8</v>
      </c>
      <c r="M342" s="1">
        <v>933</v>
      </c>
      <c r="P342" t="str">
        <f t="shared" si="23"/>
        <v>55%</v>
      </c>
      <c r="Q342" s="12">
        <f t="shared" si="20"/>
        <v>0.55000000000000004</v>
      </c>
      <c r="R342" s="9">
        <f t="shared" si="21"/>
        <v>899.55</v>
      </c>
      <c r="S342" s="9">
        <f>IF(R342="",AVERAGEIF(Table1[Category],Table1[[#This Row],[Category]],Table2[orignal data]),Table2[[#This Row],[orignal data]])</f>
        <v>899.55</v>
      </c>
      <c r="T342" t="str">
        <f t="shared" si="22"/>
        <v>UNIQUE</v>
      </c>
      <c r="U342" t="str">
        <f>IF(ISBLANK(Table1[[#This Row],[SizeOption]]),"NOT AVAILABLE",Table1[[#This Row],[SizeOption]])</f>
        <v>26, 28, 30, 32, 34, 36</v>
      </c>
      <c r="Y342" t="str">
        <f>IF(Table2[[#This Row],[Column1]]&gt;50%,"HIGH DISCOUNT","LOW DISCOUNT")</f>
        <v>HIGH DISCOUNT</v>
      </c>
    </row>
    <row r="343" spans="1:25" x14ac:dyDescent="0.25">
      <c r="A343" s="2" t="s">
        <v>898</v>
      </c>
      <c r="B343" s="2">
        <v>8325255</v>
      </c>
      <c r="C343" s="2" t="s">
        <v>47</v>
      </c>
      <c r="D343" s="2" t="s">
        <v>41</v>
      </c>
      <c r="E343" s="2" t="s">
        <v>48</v>
      </c>
      <c r="F343" s="2" t="s">
        <v>36</v>
      </c>
      <c r="G343" s="2" t="s">
        <v>899</v>
      </c>
      <c r="I343" s="2">
        <v>899</v>
      </c>
      <c r="J343" s="2" t="s">
        <v>55</v>
      </c>
      <c r="K343" s="2" t="s">
        <v>45</v>
      </c>
      <c r="L343" s="2">
        <v>4.2</v>
      </c>
      <c r="M343" s="2">
        <v>933</v>
      </c>
      <c r="P343" t="str">
        <f t="shared" si="23"/>
        <v>60%</v>
      </c>
      <c r="Q343" s="12">
        <f t="shared" si="20"/>
        <v>0.6</v>
      </c>
      <c r="R343" s="9">
        <f t="shared" si="21"/>
        <v>359.6</v>
      </c>
      <c r="S343" s="9">
        <f>IF(R343="",AVERAGEIF(Table1[Category],Table1[[#This Row],[Category]],Table2[orignal data]),Table2[[#This Row],[orignal data]])</f>
        <v>359.6</v>
      </c>
      <c r="T343" t="str">
        <f t="shared" si="22"/>
        <v>UNIQUE</v>
      </c>
      <c r="U343" t="str">
        <f>IF(ISBLANK(Table1[[#This Row],[SizeOption]]),"NOT AVAILABLE",Table1[[#This Row],[SizeOption]])</f>
        <v>XS, S, M, L, XL</v>
      </c>
      <c r="Y343" t="str">
        <f>IF(Table2[[#This Row],[Column1]]&gt;50%,"HIGH DISCOUNT","LOW DISCOUNT")</f>
        <v>HIGH DISCOUNT</v>
      </c>
    </row>
    <row r="344" spans="1:25" x14ac:dyDescent="0.25">
      <c r="A344" s="1" t="s">
        <v>900</v>
      </c>
      <c r="B344" s="1">
        <v>10064565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901</v>
      </c>
      <c r="H344">
        <v>719</v>
      </c>
      <c r="I344" s="1">
        <v>1799</v>
      </c>
      <c r="J344" s="1" t="s">
        <v>55</v>
      </c>
      <c r="K344" s="1" t="s">
        <v>20</v>
      </c>
      <c r="L344" s="1">
        <v>3.8</v>
      </c>
      <c r="M344" s="1">
        <v>932</v>
      </c>
      <c r="P344" t="str">
        <f t="shared" si="23"/>
        <v>60%</v>
      </c>
      <c r="Q344" s="12">
        <f t="shared" si="20"/>
        <v>0.6</v>
      </c>
      <c r="R344" s="9">
        <f t="shared" si="21"/>
        <v>719.60000000000014</v>
      </c>
      <c r="S344" s="9">
        <f>IF(R344="",AVERAGEIF(Table1[Category],Table1[[#This Row],[Category]],Table2[orignal data]),Table2[[#This Row],[orignal data]])</f>
        <v>719.60000000000014</v>
      </c>
      <c r="T344" t="str">
        <f t="shared" si="22"/>
        <v>UNIQUE</v>
      </c>
      <c r="U344" t="str">
        <f>IF(ISBLANK(Table1[[#This Row],[SizeOption]]),"NOT AVAILABLE",Table1[[#This Row],[SizeOption]])</f>
        <v>28, 30, 32, 34, 36</v>
      </c>
      <c r="Y344" t="str">
        <f>IF(Table2[[#This Row],[Column1]]&gt;50%,"HIGH DISCOUNT","LOW DISCOUNT")</f>
        <v>HIGH DISCOUNT</v>
      </c>
    </row>
    <row r="345" spans="1:25" x14ac:dyDescent="0.25">
      <c r="A345" s="2" t="s">
        <v>902</v>
      </c>
      <c r="B345" s="2">
        <v>6611361</v>
      </c>
      <c r="C345" s="2" t="s">
        <v>113</v>
      </c>
      <c r="D345" s="2" t="s">
        <v>76</v>
      </c>
      <c r="E345" s="2" t="s">
        <v>77</v>
      </c>
      <c r="F345" s="2" t="s">
        <v>36</v>
      </c>
      <c r="G345" s="2" t="s">
        <v>903</v>
      </c>
      <c r="H345">
        <v>1199</v>
      </c>
      <c r="I345" s="2">
        <v>2999</v>
      </c>
      <c r="J345" s="2" t="s">
        <v>55</v>
      </c>
      <c r="K345" s="2" t="s">
        <v>115</v>
      </c>
      <c r="L345" s="2">
        <v>4.0999999999999996</v>
      </c>
      <c r="M345" s="2">
        <v>932</v>
      </c>
      <c r="P345" t="str">
        <f t="shared" si="23"/>
        <v>60%</v>
      </c>
      <c r="Q345" s="12">
        <f t="shared" si="20"/>
        <v>0.6</v>
      </c>
      <c r="R345" s="9">
        <f t="shared" si="21"/>
        <v>1199.6000000000001</v>
      </c>
      <c r="S345" s="9">
        <f>IF(R345="",AVERAGEIF(Table1[Category],Table1[[#This Row],[Category]],Table2[orignal data]),Table2[[#This Row],[orignal data]])</f>
        <v>1199.6000000000001</v>
      </c>
      <c r="T345" t="str">
        <f t="shared" si="22"/>
        <v>UNIQUE</v>
      </c>
      <c r="U345" t="str">
        <f>IF(ISBLANK(Table1[[#This Row],[SizeOption]]),"NOT AVAILABLE",Table1[[#This Row],[SizeOption]])</f>
        <v>XS, S, M, L, XL, XXL</v>
      </c>
      <c r="Y345" t="str">
        <f>IF(Table2[[#This Row],[Column1]]&gt;50%,"HIGH DISCOUNT","LOW DISCOUNT")</f>
        <v>HIGH DISCOUNT</v>
      </c>
    </row>
    <row r="346" spans="1:25" x14ac:dyDescent="0.25">
      <c r="A346" s="1" t="s">
        <v>904</v>
      </c>
      <c r="B346" s="1">
        <v>11357430</v>
      </c>
      <c r="C346" s="1" t="s">
        <v>67</v>
      </c>
      <c r="D346" s="1" t="s">
        <v>68</v>
      </c>
      <c r="E346" s="1" t="s">
        <v>137</v>
      </c>
      <c r="F346" s="1" t="s">
        <v>36</v>
      </c>
      <c r="G346" s="1" t="s">
        <v>905</v>
      </c>
      <c r="H346">
        <v>599</v>
      </c>
      <c r="I346" s="1">
        <v>1499</v>
      </c>
      <c r="J346" s="1" t="s">
        <v>55</v>
      </c>
      <c r="K346" s="1" t="s">
        <v>134</v>
      </c>
      <c r="L346" s="1">
        <v>4.3</v>
      </c>
      <c r="M346" s="1">
        <v>932</v>
      </c>
      <c r="P346" t="str">
        <f t="shared" si="23"/>
        <v>60%</v>
      </c>
      <c r="Q346" s="12">
        <f t="shared" si="20"/>
        <v>0.6</v>
      </c>
      <c r="R346" s="9">
        <f t="shared" si="21"/>
        <v>599.6</v>
      </c>
      <c r="S346" s="9">
        <f>IF(R346="",AVERAGEIF(Table1[Category],Table1[[#This Row],[Category]],Table2[orignal data]),Table2[[#This Row],[orignal data]])</f>
        <v>599.6</v>
      </c>
      <c r="T346" t="str">
        <f t="shared" si="22"/>
        <v>UNIQUE</v>
      </c>
      <c r="U346" t="str">
        <f>IF(ISBLANK(Table1[[#This Row],[SizeOption]]),"NOT AVAILABLE",Table1[[#This Row],[SizeOption]])</f>
        <v>26, 28, 30, 32, 34, 36</v>
      </c>
      <c r="Y346" t="str">
        <f>IF(Table2[[#This Row],[Column1]]&gt;50%,"HIGH DISCOUNT","LOW DISCOUNT")</f>
        <v>HIGH DISCOUNT</v>
      </c>
    </row>
    <row r="347" spans="1:25" x14ac:dyDescent="0.25">
      <c r="A347" s="2" t="s">
        <v>906</v>
      </c>
      <c r="B347" s="2">
        <v>1979350</v>
      </c>
      <c r="C347" s="2" t="s">
        <v>52</v>
      </c>
      <c r="D347" s="2" t="s">
        <v>15</v>
      </c>
      <c r="E347" s="2" t="s">
        <v>53</v>
      </c>
      <c r="F347" s="2" t="s">
        <v>17</v>
      </c>
      <c r="G347" s="2" t="s">
        <v>907</v>
      </c>
      <c r="H347">
        <v>769</v>
      </c>
      <c r="I347" s="2">
        <v>999</v>
      </c>
      <c r="J347" s="2" t="s">
        <v>908</v>
      </c>
      <c r="K347" s="2" t="s">
        <v>56</v>
      </c>
      <c r="L347" s="2">
        <v>4</v>
      </c>
      <c r="M347" s="2">
        <v>931</v>
      </c>
      <c r="P347" t="str">
        <f t="shared" si="23"/>
        <v>23%</v>
      </c>
      <c r="Q347" s="12">
        <f t="shared" si="20"/>
        <v>0.23</v>
      </c>
      <c r="R347" s="9">
        <f t="shared" si="21"/>
        <v>769.23</v>
      </c>
      <c r="S347" s="9">
        <f>IF(R347="",AVERAGEIF(Table1[Category],Table1[[#This Row],[Category]],Table2[orignal data]),Table2[[#This Row],[orignal data]])</f>
        <v>769.23</v>
      </c>
      <c r="T347" t="str">
        <f t="shared" si="22"/>
        <v>UNIQUE</v>
      </c>
      <c r="U347" t="str">
        <f>IF(ISBLANK(Table1[[#This Row],[SizeOption]]),"NOT AVAILABLE",Table1[[#This Row],[SizeOption]])</f>
        <v>30, 32, 34, 36</v>
      </c>
      <c r="Y347" t="str">
        <f>IF(Table2[[#This Row],[Column1]]&gt;50%,"HIGH DISCOUNT","LOW DISCOUNT")</f>
        <v>LOW DISCOUNT</v>
      </c>
    </row>
    <row r="348" spans="1:25" x14ac:dyDescent="0.25">
      <c r="A348" s="1" t="s">
        <v>909</v>
      </c>
      <c r="B348" s="1">
        <v>9168717</v>
      </c>
      <c r="C348" s="1" t="s">
        <v>794</v>
      </c>
      <c r="D348" s="1" t="s">
        <v>197</v>
      </c>
      <c r="E348" s="1" t="s">
        <v>350</v>
      </c>
      <c r="F348" s="1" t="s">
        <v>17</v>
      </c>
      <c r="G348" s="1" t="s">
        <v>910</v>
      </c>
      <c r="I348" s="1">
        <v>369</v>
      </c>
      <c r="J348" s="1"/>
      <c r="K348" s="1" t="s">
        <v>352</v>
      </c>
      <c r="L348" s="1">
        <v>4.5</v>
      </c>
      <c r="M348" s="1">
        <v>931</v>
      </c>
      <c r="P348" t="str">
        <f t="shared" si="23"/>
        <v/>
      </c>
      <c r="Q348" s="12" t="str">
        <f t="shared" si="20"/>
        <v/>
      </c>
      <c r="R348" s="9" t="str">
        <f t="shared" si="21"/>
        <v/>
      </c>
      <c r="S348" s="9">
        <f>IF(R348="",AVERAGEIF(Table1[Category],Table1[[#This Row],[Category]],Table2[orignal data]),Table2[[#This Row],[orignal data]])</f>
        <v>552.70900000000006</v>
      </c>
      <c r="T348" t="str">
        <f t="shared" si="22"/>
        <v>UNIQUE</v>
      </c>
      <c r="U348" t="str">
        <f>IF(ISBLANK(Table1[[#This Row],[SizeOption]]),"NOT AVAILABLE",Table1[[#This Row],[SizeOption]])</f>
        <v>S, M, L</v>
      </c>
      <c r="Y348" t="str">
        <f>IF(Table2[[#This Row],[Column1]]&gt;50%,"HIGH DISCOUNT","LOW DISCOUNT")</f>
        <v>HIGH DISCOUNT</v>
      </c>
    </row>
    <row r="349" spans="1:25" x14ac:dyDescent="0.25">
      <c r="A349" s="2" t="s">
        <v>911</v>
      </c>
      <c r="B349" s="2">
        <v>8943339</v>
      </c>
      <c r="C349" s="2" t="s">
        <v>64</v>
      </c>
      <c r="D349" s="2" t="s">
        <v>28</v>
      </c>
      <c r="E349" s="2" t="s">
        <v>29</v>
      </c>
      <c r="F349" s="2" t="s">
        <v>17</v>
      </c>
      <c r="G349" s="2" t="s">
        <v>912</v>
      </c>
      <c r="H349">
        <v>664</v>
      </c>
      <c r="I349" s="2">
        <v>1899</v>
      </c>
      <c r="J349" s="2" t="s">
        <v>150</v>
      </c>
      <c r="K349" s="2" t="s">
        <v>361</v>
      </c>
      <c r="L349" s="2">
        <v>4.0999999999999996</v>
      </c>
      <c r="M349" s="2">
        <v>931</v>
      </c>
      <c r="P349" t="str">
        <f t="shared" si="23"/>
        <v>65%</v>
      </c>
      <c r="Q349" s="12">
        <f t="shared" si="20"/>
        <v>0.65</v>
      </c>
      <c r="R349" s="9">
        <f t="shared" si="21"/>
        <v>664.64999999999986</v>
      </c>
      <c r="S349" s="9">
        <f>IF(R349="",AVERAGEIF(Table1[Category],Table1[[#This Row],[Category]],Table2[orignal data]),Table2[[#This Row],[orignal data]])</f>
        <v>664.64999999999986</v>
      </c>
      <c r="T349" t="str">
        <f t="shared" si="22"/>
        <v>UNIQUE</v>
      </c>
      <c r="U349" t="str">
        <f>IF(ISBLANK(Table1[[#This Row],[SizeOption]]),"NOT AVAILABLE",Table1[[#This Row],[SizeOption]])</f>
        <v>38, 40, 42, 44, 46</v>
      </c>
      <c r="Y349" t="str">
        <f>IF(Table2[[#This Row],[Column1]]&gt;50%,"HIGH DISCOUNT","LOW DISCOUNT")</f>
        <v>HIGH DISCOUNT</v>
      </c>
    </row>
    <row r="350" spans="1:25" x14ac:dyDescent="0.25">
      <c r="A350" s="1" t="s">
        <v>913</v>
      </c>
      <c r="B350" s="1">
        <v>10275261</v>
      </c>
      <c r="C350" s="1" t="s">
        <v>14</v>
      </c>
      <c r="D350" s="1" t="s">
        <v>28</v>
      </c>
      <c r="E350" s="1" t="s">
        <v>29</v>
      </c>
      <c r="F350" s="1" t="s">
        <v>17</v>
      </c>
      <c r="G350" s="1" t="s">
        <v>914</v>
      </c>
      <c r="H350">
        <v>899</v>
      </c>
      <c r="I350" s="1">
        <v>1999</v>
      </c>
      <c r="J350" s="1" t="s">
        <v>25</v>
      </c>
      <c r="K350" s="1" t="s">
        <v>253</v>
      </c>
      <c r="L350" s="1">
        <v>4.0999999999999996</v>
      </c>
      <c r="M350" s="1">
        <v>931</v>
      </c>
      <c r="P350" t="str">
        <f t="shared" si="23"/>
        <v>55%</v>
      </c>
      <c r="Q350" s="12">
        <f t="shared" si="20"/>
        <v>0.55000000000000004</v>
      </c>
      <c r="R350" s="9">
        <f t="shared" si="21"/>
        <v>899.55</v>
      </c>
      <c r="S350" s="9">
        <f>IF(R350="",AVERAGEIF(Table1[Category],Table1[[#This Row],[Category]],Table2[orignal data]),Table2[[#This Row],[orignal data]])</f>
        <v>899.55</v>
      </c>
      <c r="T350" t="str">
        <f t="shared" si="22"/>
        <v>UNIQUE</v>
      </c>
      <c r="U350" t="str">
        <f>IF(ISBLANK(Table1[[#This Row],[SizeOption]]),"NOT AVAILABLE",Table1[[#This Row],[SizeOption]])</f>
        <v>38, 40, 42, 44</v>
      </c>
      <c r="Y350" t="str">
        <f>IF(Table2[[#This Row],[Column1]]&gt;50%,"HIGH DISCOUNT","LOW DISCOUNT")</f>
        <v>HIGH DISCOUNT</v>
      </c>
    </row>
    <row r="351" spans="1:25" x14ac:dyDescent="0.25">
      <c r="A351" s="2" t="s">
        <v>915</v>
      </c>
      <c r="B351" s="2">
        <v>13843034</v>
      </c>
      <c r="C351" s="2" t="s">
        <v>181</v>
      </c>
      <c r="D351" s="2" t="s">
        <v>41</v>
      </c>
      <c r="E351" s="2" t="s">
        <v>48</v>
      </c>
      <c r="F351" s="2" t="s">
        <v>36</v>
      </c>
      <c r="G351" s="2" t="s">
        <v>916</v>
      </c>
      <c r="I351" s="2">
        <v>999</v>
      </c>
      <c r="J351" s="2" t="s">
        <v>208</v>
      </c>
      <c r="K351" s="2" t="s">
        <v>45</v>
      </c>
      <c r="L351" s="2">
        <v>4.4000000000000004</v>
      </c>
      <c r="M351" s="2">
        <v>931</v>
      </c>
      <c r="P351" t="str">
        <f t="shared" si="23"/>
        <v>52%</v>
      </c>
      <c r="Q351" s="12">
        <f t="shared" si="20"/>
        <v>0.52</v>
      </c>
      <c r="R351" s="9">
        <f t="shared" si="21"/>
        <v>479.52</v>
      </c>
      <c r="S351" s="9">
        <f>IF(R351="",AVERAGEIF(Table1[Category],Table1[[#This Row],[Category]],Table2[orignal data]),Table2[[#This Row],[orignal data]])</f>
        <v>479.52</v>
      </c>
      <c r="T351" t="str">
        <f t="shared" si="22"/>
        <v>UNIQUE</v>
      </c>
      <c r="U351" t="str">
        <f>IF(ISBLANK(Table1[[#This Row],[SizeOption]]),"NOT AVAILABLE",Table1[[#This Row],[SizeOption]])</f>
        <v>XS, S, M, L, XL</v>
      </c>
      <c r="Y351" t="str">
        <f>IF(Table2[[#This Row],[Column1]]&gt;50%,"HIGH DISCOUNT","LOW DISCOUNT")</f>
        <v>HIGH DISCOUNT</v>
      </c>
    </row>
    <row r="352" spans="1:25" x14ac:dyDescent="0.25">
      <c r="A352" s="1" t="s">
        <v>917</v>
      </c>
      <c r="B352" s="1">
        <v>10064543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918</v>
      </c>
      <c r="H352">
        <v>799</v>
      </c>
      <c r="I352" s="1">
        <v>1999</v>
      </c>
      <c r="J352" s="1" t="s">
        <v>55</v>
      </c>
      <c r="K352" s="1" t="s">
        <v>195</v>
      </c>
      <c r="L352" s="1">
        <v>3.8</v>
      </c>
      <c r="M352" s="1">
        <v>930</v>
      </c>
      <c r="P352" t="str">
        <f t="shared" si="23"/>
        <v>60%</v>
      </c>
      <c r="Q352" s="12">
        <f t="shared" si="20"/>
        <v>0.6</v>
      </c>
      <c r="R352" s="9">
        <f t="shared" si="21"/>
        <v>799.60000000000014</v>
      </c>
      <c r="S352" s="9">
        <f>IF(R352="",AVERAGEIF(Table1[Category],Table1[[#This Row],[Category]],Table2[orignal data]),Table2[[#This Row],[orignal data]])</f>
        <v>799.60000000000014</v>
      </c>
      <c r="T352" t="str">
        <f t="shared" si="22"/>
        <v>UNIQUE</v>
      </c>
      <c r="U352" t="str">
        <f>IF(ISBLANK(Table1[[#This Row],[SizeOption]]),"NOT AVAILABLE",Table1[[#This Row],[SizeOption]])</f>
        <v>28, 30, 32, 34, 36, 38, 40</v>
      </c>
      <c r="Y352" t="str">
        <f>IF(Table2[[#This Row],[Column1]]&gt;50%,"HIGH DISCOUNT","LOW DISCOUNT")</f>
        <v>HIGH DISCOUNT</v>
      </c>
    </row>
    <row r="353" spans="1:25" x14ac:dyDescent="0.25">
      <c r="A353" s="2" t="s">
        <v>919</v>
      </c>
      <c r="B353" s="2">
        <v>13859292</v>
      </c>
      <c r="C353" s="2" t="s">
        <v>14</v>
      </c>
      <c r="D353" s="2" t="s">
        <v>15</v>
      </c>
      <c r="E353" s="2" t="s">
        <v>53</v>
      </c>
      <c r="F353" s="2" t="s">
        <v>17</v>
      </c>
      <c r="G353" s="2" t="s">
        <v>920</v>
      </c>
      <c r="H353">
        <v>584</v>
      </c>
      <c r="I353" s="2">
        <v>1299</v>
      </c>
      <c r="J353" s="2" t="s">
        <v>25</v>
      </c>
      <c r="K353" s="2" t="s">
        <v>20</v>
      </c>
      <c r="L353" s="2">
        <v>4</v>
      </c>
      <c r="M353" s="2">
        <v>930</v>
      </c>
      <c r="P353" t="str">
        <f t="shared" si="23"/>
        <v>55%</v>
      </c>
      <c r="Q353" s="12">
        <f t="shared" si="20"/>
        <v>0.55000000000000004</v>
      </c>
      <c r="R353" s="9">
        <f t="shared" si="21"/>
        <v>584.54999999999995</v>
      </c>
      <c r="S353" s="9">
        <f>IF(R353="",AVERAGEIF(Table1[Category],Table1[[#This Row],[Category]],Table2[orignal data]),Table2[[#This Row],[orignal data]])</f>
        <v>584.54999999999995</v>
      </c>
      <c r="T353" t="str">
        <f t="shared" si="22"/>
        <v>UNIQUE</v>
      </c>
      <c r="U353" t="str">
        <f>IF(ISBLANK(Table1[[#This Row],[SizeOption]]),"NOT AVAILABLE",Table1[[#This Row],[SizeOption]])</f>
        <v>28, 30, 32, 34, 36</v>
      </c>
      <c r="Y353" t="str">
        <f>IF(Table2[[#This Row],[Column1]]&gt;50%,"HIGH DISCOUNT","LOW DISCOUNT")</f>
        <v>HIGH DISCOUNT</v>
      </c>
    </row>
    <row r="354" spans="1:25" x14ac:dyDescent="0.25">
      <c r="A354" s="1" t="s">
        <v>921</v>
      </c>
      <c r="B354" s="1">
        <v>11444888</v>
      </c>
      <c r="C354" s="1" t="s">
        <v>349</v>
      </c>
      <c r="D354" s="1" t="s">
        <v>197</v>
      </c>
      <c r="E354" s="1" t="s">
        <v>350</v>
      </c>
      <c r="F354" s="1" t="s">
        <v>17</v>
      </c>
      <c r="G354" s="1" t="s">
        <v>922</v>
      </c>
      <c r="I354" s="1">
        <v>429</v>
      </c>
      <c r="J354" s="1"/>
      <c r="K354" s="1" t="s">
        <v>352</v>
      </c>
      <c r="L354" s="1">
        <v>4.3</v>
      </c>
      <c r="M354" s="1">
        <v>930</v>
      </c>
      <c r="P354" t="str">
        <f t="shared" si="23"/>
        <v/>
      </c>
      <c r="Q354" s="12" t="str">
        <f t="shared" si="20"/>
        <v/>
      </c>
      <c r="R354" s="9" t="str">
        <f t="shared" si="21"/>
        <v/>
      </c>
      <c r="S354" s="9">
        <f>IF(R354="",AVERAGEIF(Table1[Category],Table1[[#This Row],[Category]],Table2[orignal data]),Table2[[#This Row],[orignal data]])</f>
        <v>552.70900000000006</v>
      </c>
      <c r="T354" t="str">
        <f t="shared" si="22"/>
        <v>UNIQUE</v>
      </c>
      <c r="U354" t="str">
        <f>IF(ISBLANK(Table1[[#This Row],[SizeOption]]),"NOT AVAILABLE",Table1[[#This Row],[SizeOption]])</f>
        <v>S, M, L</v>
      </c>
      <c r="Y354" t="str">
        <f>IF(Table2[[#This Row],[Column1]]&gt;50%,"HIGH DISCOUNT","LOW DISCOUNT")</f>
        <v>HIGH DISCOUNT</v>
      </c>
    </row>
    <row r="355" spans="1:25" x14ac:dyDescent="0.25">
      <c r="A355" s="2" t="s">
        <v>923</v>
      </c>
      <c r="B355" s="2">
        <v>12631330</v>
      </c>
      <c r="C355" s="2" t="s">
        <v>924</v>
      </c>
      <c r="D355" s="2" t="s">
        <v>76</v>
      </c>
      <c r="E355" s="2" t="s">
        <v>320</v>
      </c>
      <c r="F355" s="2" t="s">
        <v>36</v>
      </c>
      <c r="G355" s="2" t="s">
        <v>925</v>
      </c>
      <c r="H355">
        <v>2479</v>
      </c>
      <c r="I355" s="2">
        <v>6199</v>
      </c>
      <c r="J355" s="2" t="s">
        <v>55</v>
      </c>
      <c r="K355" s="2" t="s">
        <v>164</v>
      </c>
      <c r="L355" s="2">
        <v>4.2</v>
      </c>
      <c r="M355" s="2">
        <v>930</v>
      </c>
      <c r="P355" t="str">
        <f t="shared" si="23"/>
        <v>60%</v>
      </c>
      <c r="Q355" s="12">
        <f t="shared" si="20"/>
        <v>0.6</v>
      </c>
      <c r="R355" s="9">
        <f t="shared" si="21"/>
        <v>2479.6000000000004</v>
      </c>
      <c r="S355" s="9">
        <f>IF(R355="",AVERAGEIF(Table1[Category],Table1[[#This Row],[Category]],Table2[orignal data]),Table2[[#This Row],[orignal data]])</f>
        <v>2479.6000000000004</v>
      </c>
      <c r="T355" t="str">
        <f t="shared" si="22"/>
        <v>UNIQUE</v>
      </c>
      <c r="U355" t="str">
        <f>IF(ISBLANK(Table1[[#This Row],[SizeOption]]),"NOT AVAILABLE",Table1[[#This Row],[SizeOption]])</f>
        <v>Onesize</v>
      </c>
      <c r="Y355" t="str">
        <f>IF(Table2[[#This Row],[Column1]]&gt;50%,"HIGH DISCOUNT","LOW DISCOUNT")</f>
        <v>HIGH DISCOUNT</v>
      </c>
    </row>
    <row r="356" spans="1:25" x14ac:dyDescent="0.25">
      <c r="A356" s="1" t="s">
        <v>926</v>
      </c>
      <c r="B356" s="1">
        <v>9371507</v>
      </c>
      <c r="C356" s="1" t="s">
        <v>97</v>
      </c>
      <c r="D356" s="1" t="s">
        <v>98</v>
      </c>
      <c r="E356" s="1" t="s">
        <v>93</v>
      </c>
      <c r="F356" s="1" t="s">
        <v>36</v>
      </c>
      <c r="G356" s="1" t="s">
        <v>927</v>
      </c>
      <c r="H356">
        <v>599</v>
      </c>
      <c r="I356" s="1">
        <v>1499</v>
      </c>
      <c r="J356" s="1" t="s">
        <v>55</v>
      </c>
      <c r="K356" s="1" t="s">
        <v>115</v>
      </c>
      <c r="L356" s="1">
        <v>3.7</v>
      </c>
      <c r="M356" s="1">
        <v>930</v>
      </c>
      <c r="P356" t="str">
        <f t="shared" si="23"/>
        <v>60%</v>
      </c>
      <c r="Q356" s="12">
        <f t="shared" si="20"/>
        <v>0.6</v>
      </c>
      <c r="R356" s="9">
        <f t="shared" si="21"/>
        <v>599.6</v>
      </c>
      <c r="S356" s="9">
        <f>IF(R356="",AVERAGEIF(Table1[Category],Table1[[#This Row],[Category]],Table2[orignal data]),Table2[[#This Row],[orignal data]])</f>
        <v>599.6</v>
      </c>
      <c r="T356" t="str">
        <f t="shared" si="22"/>
        <v>UNIQUE</v>
      </c>
      <c r="U356" t="str">
        <f>IF(ISBLANK(Table1[[#This Row],[SizeOption]]),"NOT AVAILABLE",Table1[[#This Row],[SizeOption]])</f>
        <v>XS, S, M, L, XL, XXL</v>
      </c>
      <c r="Y356" t="str">
        <f>IF(Table2[[#This Row],[Column1]]&gt;50%,"HIGH DISCOUNT","LOW DISCOUNT")</f>
        <v>HIGH DISCOUNT</v>
      </c>
    </row>
    <row r="357" spans="1:25" x14ac:dyDescent="0.25">
      <c r="A357" s="2" t="s">
        <v>928</v>
      </c>
      <c r="B357" s="2">
        <v>12033996</v>
      </c>
      <c r="C357" s="2" t="s">
        <v>102</v>
      </c>
      <c r="D357" s="2" t="s">
        <v>41</v>
      </c>
      <c r="E357" s="2" t="s">
        <v>82</v>
      </c>
      <c r="F357" s="2" t="s">
        <v>36</v>
      </c>
      <c r="G357" s="2" t="s">
        <v>929</v>
      </c>
      <c r="I357" s="2">
        <v>2149</v>
      </c>
      <c r="J357" s="2" t="s">
        <v>602</v>
      </c>
      <c r="K357" s="2" t="s">
        <v>26</v>
      </c>
      <c r="L357" s="2">
        <v>4.3</v>
      </c>
      <c r="M357" s="2">
        <v>930</v>
      </c>
      <c r="P357" t="str">
        <f t="shared" si="23"/>
        <v>48%</v>
      </c>
      <c r="Q357" s="12">
        <f t="shared" si="20"/>
        <v>0.48</v>
      </c>
      <c r="R357" s="9">
        <f t="shared" si="21"/>
        <v>1117.48</v>
      </c>
      <c r="S357" s="9">
        <f>IF(R357="",AVERAGEIF(Table1[Category],Table1[[#This Row],[Category]],Table2[orignal data]),Table2[[#This Row],[orignal data]])</f>
        <v>1117.48</v>
      </c>
      <c r="T357" t="str">
        <f t="shared" si="22"/>
        <v>UNIQUE</v>
      </c>
      <c r="U357" t="str">
        <f>IF(ISBLANK(Table1[[#This Row],[SizeOption]]),"NOT AVAILABLE",Table1[[#This Row],[SizeOption]])</f>
        <v>S, M, L, XL</v>
      </c>
      <c r="Y357" t="str">
        <f>IF(Table2[[#This Row],[Column1]]&gt;50%,"HIGH DISCOUNT","LOW DISCOUNT")</f>
        <v>LOW DISCOUNT</v>
      </c>
    </row>
    <row r="358" spans="1:25" x14ac:dyDescent="0.25">
      <c r="A358" s="1" t="s">
        <v>930</v>
      </c>
      <c r="B358" s="1">
        <v>8964507</v>
      </c>
      <c r="C358" s="1" t="s">
        <v>14</v>
      </c>
      <c r="D358" s="1" t="s">
        <v>41</v>
      </c>
      <c r="E358" s="1" t="s">
        <v>48</v>
      </c>
      <c r="F358" s="1" t="s">
        <v>36</v>
      </c>
      <c r="G358" s="1" t="s">
        <v>931</v>
      </c>
      <c r="I358" s="1">
        <v>999</v>
      </c>
      <c r="J358" s="1" t="s">
        <v>528</v>
      </c>
      <c r="K358" s="1" t="s">
        <v>45</v>
      </c>
      <c r="L358" s="1">
        <v>4.3</v>
      </c>
      <c r="M358" s="1">
        <v>930</v>
      </c>
      <c r="P358" t="str">
        <f t="shared" si="23"/>
        <v>500</v>
      </c>
      <c r="Q358" s="12">
        <f t="shared" si="20"/>
        <v>0.50050050050050054</v>
      </c>
      <c r="R358" s="9">
        <f t="shared" si="21"/>
        <v>498.99999999999994</v>
      </c>
      <c r="S358" s="9">
        <f>IF(R358="",AVERAGEIF(Table1[Category],Table1[[#This Row],[Category]],Table2[orignal data]),Table2[[#This Row],[orignal data]])</f>
        <v>498.99999999999994</v>
      </c>
      <c r="T358" t="str">
        <f t="shared" si="22"/>
        <v>UNIQUE</v>
      </c>
      <c r="U358" t="str">
        <f>IF(ISBLANK(Table1[[#This Row],[SizeOption]]),"NOT AVAILABLE",Table1[[#This Row],[SizeOption]])</f>
        <v>XS, S, M, L, XL</v>
      </c>
      <c r="Y358" t="str">
        <f>IF(Table2[[#This Row],[Column1]]&gt;50%,"HIGH DISCOUNT","LOW DISCOUNT")</f>
        <v>HIGH DISCOUNT</v>
      </c>
    </row>
    <row r="359" spans="1:25" x14ac:dyDescent="0.25">
      <c r="A359" s="2" t="s">
        <v>932</v>
      </c>
      <c r="B359" s="2">
        <v>11201226</v>
      </c>
      <c r="C359" s="2" t="s">
        <v>14</v>
      </c>
      <c r="D359" s="2" t="s">
        <v>15</v>
      </c>
      <c r="E359" s="2" t="s">
        <v>53</v>
      </c>
      <c r="F359" s="2" t="s">
        <v>17</v>
      </c>
      <c r="G359" s="2" t="s">
        <v>933</v>
      </c>
      <c r="I359" s="2">
        <v>2099</v>
      </c>
      <c r="J359" s="2"/>
      <c r="K359" s="2" t="s">
        <v>195</v>
      </c>
      <c r="L359" s="2">
        <v>4.0999999999999996</v>
      </c>
      <c r="M359" s="2">
        <v>929</v>
      </c>
      <c r="P359" t="str">
        <f t="shared" si="23"/>
        <v/>
      </c>
      <c r="Q359" s="12" t="str">
        <f t="shared" si="20"/>
        <v/>
      </c>
      <c r="R359" s="9" t="str">
        <f t="shared" si="21"/>
        <v/>
      </c>
      <c r="S359" s="9">
        <f>IF(R359="",AVERAGEIF(Table1[Category],Table1[[#This Row],[Category]],Table2[orignal data]),Table2[[#This Row],[orignal data]])</f>
        <v>892.27590339892538</v>
      </c>
      <c r="T359" t="str">
        <f t="shared" si="22"/>
        <v>UNIQUE</v>
      </c>
      <c r="U359" t="str">
        <f>IF(ISBLANK(Table1[[#This Row],[SizeOption]]),"NOT AVAILABLE",Table1[[#This Row],[SizeOption]])</f>
        <v>28, 30, 32, 34, 36, 38, 40</v>
      </c>
      <c r="Y359" t="str">
        <f>IF(Table2[[#This Row],[Column1]]&gt;50%,"HIGH DISCOUNT","LOW DISCOUNT")</f>
        <v>HIGH DISCOUNT</v>
      </c>
    </row>
    <row r="360" spans="1:25" x14ac:dyDescent="0.25">
      <c r="A360" s="1" t="s">
        <v>934</v>
      </c>
      <c r="B360" s="1">
        <v>2453736</v>
      </c>
      <c r="C360" s="1" t="s">
        <v>935</v>
      </c>
      <c r="D360" s="1" t="s">
        <v>76</v>
      </c>
      <c r="E360" s="1" t="s">
        <v>93</v>
      </c>
      <c r="F360" s="1" t="s">
        <v>17</v>
      </c>
      <c r="G360" s="1" t="s">
        <v>936</v>
      </c>
      <c r="H360">
        <v>874</v>
      </c>
      <c r="I360" s="1">
        <v>2499</v>
      </c>
      <c r="J360" s="1" t="s">
        <v>150</v>
      </c>
      <c r="K360" s="1" t="s">
        <v>881</v>
      </c>
      <c r="L360" s="1">
        <v>4</v>
      </c>
      <c r="M360" s="1">
        <v>929</v>
      </c>
      <c r="P360" t="str">
        <f t="shared" si="23"/>
        <v>65%</v>
      </c>
      <c r="Q360" s="12">
        <f t="shared" si="20"/>
        <v>0.65</v>
      </c>
      <c r="R360" s="9">
        <f t="shared" si="21"/>
        <v>874.64999999999986</v>
      </c>
      <c r="S360" s="9">
        <f>IF(R360="",AVERAGEIF(Table1[Category],Table1[[#This Row],[Category]],Table2[orignal data]),Table2[[#This Row],[orignal data]])</f>
        <v>874.64999999999986</v>
      </c>
      <c r="T360" t="str">
        <f t="shared" si="22"/>
        <v>UNIQUE</v>
      </c>
      <c r="U360" t="str">
        <f>IF(ISBLANK(Table1[[#This Row],[SizeOption]]),"NOT AVAILABLE",Table1[[#This Row],[SizeOption]])</f>
        <v>M, L, XL, XXL</v>
      </c>
      <c r="Y360" t="str">
        <f>IF(Table2[[#This Row],[Column1]]&gt;50%,"HIGH DISCOUNT","LOW DISCOUNT")</f>
        <v>HIGH DISCOUNT</v>
      </c>
    </row>
    <row r="361" spans="1:25" x14ac:dyDescent="0.25">
      <c r="A361" s="2" t="s">
        <v>937</v>
      </c>
      <c r="B361" s="2">
        <v>12446096</v>
      </c>
      <c r="C361" s="2" t="s">
        <v>938</v>
      </c>
      <c r="D361" s="2" t="s">
        <v>197</v>
      </c>
      <c r="E361" s="2" t="s">
        <v>939</v>
      </c>
      <c r="F361" s="2" t="s">
        <v>17</v>
      </c>
      <c r="G361" s="2" t="s">
        <v>940</v>
      </c>
      <c r="H361">
        <v>674</v>
      </c>
      <c r="I361" s="2">
        <v>1499</v>
      </c>
      <c r="J361" s="2" t="s">
        <v>25</v>
      </c>
      <c r="K361" s="2" t="s">
        <v>39</v>
      </c>
      <c r="L361" s="2">
        <v>4.4000000000000004</v>
      </c>
      <c r="M361" s="2">
        <v>929</v>
      </c>
      <c r="P361" t="str">
        <f t="shared" si="23"/>
        <v>55%</v>
      </c>
      <c r="Q361" s="12">
        <f t="shared" si="20"/>
        <v>0.55000000000000004</v>
      </c>
      <c r="R361" s="9">
        <f t="shared" si="21"/>
        <v>674.55</v>
      </c>
      <c r="S361" s="9">
        <f>IF(R361="",AVERAGEIF(Table1[Category],Table1[[#This Row],[Category]],Table2[orignal data]),Table2[[#This Row],[orignal data]])</f>
        <v>674.55</v>
      </c>
      <c r="T361" t="str">
        <f t="shared" si="22"/>
        <v>UNIQUE</v>
      </c>
      <c r="U361" t="str">
        <f>IF(ISBLANK(Table1[[#This Row],[SizeOption]]),"NOT AVAILABLE",Table1[[#This Row],[SizeOption]])</f>
        <v>S, M, L, XL, XXL</v>
      </c>
      <c r="Y361" t="str">
        <f>IF(Table2[[#This Row],[Column1]]&gt;50%,"HIGH DISCOUNT","LOW DISCOUNT")</f>
        <v>HIGH DISCOUNT</v>
      </c>
    </row>
    <row r="362" spans="1:25" x14ac:dyDescent="0.25">
      <c r="A362" s="1" t="s">
        <v>941</v>
      </c>
      <c r="B362" s="1">
        <v>2303707</v>
      </c>
      <c r="C362" s="1" t="s">
        <v>14</v>
      </c>
      <c r="D362" s="1" t="s">
        <v>28</v>
      </c>
      <c r="E362" s="1" t="s">
        <v>42</v>
      </c>
      <c r="F362" s="1" t="s">
        <v>17</v>
      </c>
      <c r="G362" s="1" t="s">
        <v>942</v>
      </c>
      <c r="I362" s="1">
        <v>1299</v>
      </c>
      <c r="J362" s="1"/>
      <c r="K362" s="1" t="s">
        <v>73</v>
      </c>
      <c r="L362" s="1">
        <v>3.7</v>
      </c>
      <c r="M362" s="1">
        <v>929</v>
      </c>
      <c r="P362" t="str">
        <f t="shared" si="23"/>
        <v/>
      </c>
      <c r="Q362" s="12" t="str">
        <f t="shared" si="20"/>
        <v/>
      </c>
      <c r="R362" s="9" t="str">
        <f t="shared" si="21"/>
        <v/>
      </c>
      <c r="S362" s="9">
        <f>IF(R362="",AVERAGEIF(Table1[Category],Table1[[#This Row],[Category]],Table2[orignal data]),Table2[[#This Row],[orignal data]])</f>
        <v>671.7823941958867</v>
      </c>
      <c r="T362" t="str">
        <f t="shared" si="22"/>
        <v>UNIQUE</v>
      </c>
      <c r="U362" t="str">
        <f>IF(ISBLANK(Table1[[#This Row],[SizeOption]]),"NOT AVAILABLE",Table1[[#This Row],[SizeOption]])</f>
        <v>XS, S, M, L, XL, XXL, 3XL, 4XL</v>
      </c>
      <c r="Y362" t="str">
        <f>IF(Table2[[#This Row],[Column1]]&gt;50%,"HIGH DISCOUNT","LOW DISCOUNT")</f>
        <v>HIGH DISCOUNT</v>
      </c>
    </row>
    <row r="363" spans="1:25" x14ac:dyDescent="0.25">
      <c r="A363" s="2" t="s">
        <v>943</v>
      </c>
      <c r="B363" s="2">
        <v>10424670</v>
      </c>
      <c r="C363" s="2" t="s">
        <v>14</v>
      </c>
      <c r="D363" s="2" t="s">
        <v>28</v>
      </c>
      <c r="E363" s="2" t="s">
        <v>42</v>
      </c>
      <c r="F363" s="2" t="s">
        <v>17</v>
      </c>
      <c r="G363" s="2" t="s">
        <v>944</v>
      </c>
      <c r="I363" s="2">
        <v>899</v>
      </c>
      <c r="J363" s="2"/>
      <c r="K363" s="2" t="s">
        <v>73</v>
      </c>
      <c r="L363" s="2">
        <v>4.2</v>
      </c>
      <c r="M363" s="2">
        <v>929</v>
      </c>
      <c r="P363" t="str">
        <f t="shared" si="23"/>
        <v/>
      </c>
      <c r="Q363" s="12" t="str">
        <f t="shared" si="20"/>
        <v/>
      </c>
      <c r="R363" s="9" t="str">
        <f t="shared" si="21"/>
        <v/>
      </c>
      <c r="S363" s="9">
        <f>IF(R363="",AVERAGEIF(Table1[Category],Table1[[#This Row],[Category]],Table2[orignal data]),Table2[[#This Row],[orignal data]])</f>
        <v>671.7823941958867</v>
      </c>
      <c r="T363" t="str">
        <f t="shared" si="22"/>
        <v>UNIQUE</v>
      </c>
      <c r="U363" t="str">
        <f>IF(ISBLANK(Table1[[#This Row],[SizeOption]]),"NOT AVAILABLE",Table1[[#This Row],[SizeOption]])</f>
        <v>XS, S, M, L, XL, XXL, 3XL, 4XL</v>
      </c>
      <c r="Y363" t="str">
        <f>IF(Table2[[#This Row],[Column1]]&gt;50%,"HIGH DISCOUNT","LOW DISCOUNT")</f>
        <v>HIGH DISCOUNT</v>
      </c>
    </row>
    <row r="364" spans="1:25" x14ac:dyDescent="0.25">
      <c r="A364" s="1" t="s">
        <v>945</v>
      </c>
      <c r="B364" s="1">
        <v>17381472</v>
      </c>
      <c r="C364" s="1" t="s">
        <v>14</v>
      </c>
      <c r="D364" s="1" t="s">
        <v>41</v>
      </c>
      <c r="E364" s="1" t="s">
        <v>42</v>
      </c>
      <c r="F364" s="1" t="s">
        <v>36</v>
      </c>
      <c r="G364" s="1" t="s">
        <v>696</v>
      </c>
      <c r="I364" s="1">
        <v>1198</v>
      </c>
      <c r="J364" s="1" t="s">
        <v>84</v>
      </c>
      <c r="K364" s="1" t="s">
        <v>45</v>
      </c>
      <c r="L364" s="1">
        <v>4.2</v>
      </c>
      <c r="M364" s="1">
        <v>929</v>
      </c>
      <c r="P364" t="str">
        <f t="shared" si="23"/>
        <v>50%</v>
      </c>
      <c r="Q364" s="12">
        <f t="shared" si="20"/>
        <v>0.5</v>
      </c>
      <c r="R364" s="9">
        <f t="shared" si="21"/>
        <v>599</v>
      </c>
      <c r="S364" s="9">
        <f>IF(R364="",AVERAGEIF(Table1[Category],Table1[[#This Row],[Category]],Table2[orignal data]),Table2[[#This Row],[orignal data]])</f>
        <v>599</v>
      </c>
      <c r="T364" t="str">
        <f t="shared" si="22"/>
        <v>UNIQUE</v>
      </c>
      <c r="U364" t="str">
        <f>IF(ISBLANK(Table1[[#This Row],[SizeOption]]),"NOT AVAILABLE",Table1[[#This Row],[SizeOption]])</f>
        <v>XS, S, M, L, XL</v>
      </c>
      <c r="Y364" t="str">
        <f>IF(Table2[[#This Row],[Column1]]&gt;50%,"HIGH DISCOUNT","LOW DISCOUNT")</f>
        <v>LOW DISCOUNT</v>
      </c>
    </row>
    <row r="365" spans="1:25" x14ac:dyDescent="0.25">
      <c r="A365" s="2" t="s">
        <v>946</v>
      </c>
      <c r="B365" s="2">
        <v>12708354</v>
      </c>
      <c r="C365" s="2" t="s">
        <v>563</v>
      </c>
      <c r="D365" s="2" t="s">
        <v>197</v>
      </c>
      <c r="E365" s="2" t="s">
        <v>518</v>
      </c>
      <c r="F365" s="2" t="s">
        <v>17</v>
      </c>
      <c r="G365" s="2" t="s">
        <v>947</v>
      </c>
      <c r="H365">
        <v>881</v>
      </c>
      <c r="I365" s="2">
        <v>1798</v>
      </c>
      <c r="J365" s="2" t="s">
        <v>163</v>
      </c>
      <c r="K365" s="2" t="s">
        <v>39</v>
      </c>
      <c r="L365" s="2">
        <v>4.0999999999999996</v>
      </c>
      <c r="M365" s="2">
        <v>928</v>
      </c>
      <c r="P365" t="str">
        <f t="shared" si="23"/>
        <v>51%</v>
      </c>
      <c r="Q365" s="12">
        <f t="shared" si="20"/>
        <v>0.51</v>
      </c>
      <c r="R365" s="9">
        <f t="shared" si="21"/>
        <v>881.02</v>
      </c>
      <c r="S365" s="9">
        <f>IF(R365="",AVERAGEIF(Table1[Category],Table1[[#This Row],[Category]],Table2[orignal data]),Table2[[#This Row],[orignal data]])</f>
        <v>881.02</v>
      </c>
      <c r="T365" t="str">
        <f t="shared" si="22"/>
        <v>UNIQUE</v>
      </c>
      <c r="U365" t="str">
        <f>IF(ISBLANK(Table1[[#This Row],[SizeOption]]),"NOT AVAILABLE",Table1[[#This Row],[SizeOption]])</f>
        <v>S, M, L, XL, XXL</v>
      </c>
      <c r="Y365" t="str">
        <f>IF(Table2[[#This Row],[Column1]]&gt;50%,"HIGH DISCOUNT","LOW DISCOUNT")</f>
        <v>HIGH DISCOUNT</v>
      </c>
    </row>
    <row r="366" spans="1:25" x14ac:dyDescent="0.25">
      <c r="A366" s="1" t="s">
        <v>948</v>
      </c>
      <c r="B366" s="1">
        <v>8974413</v>
      </c>
      <c r="C366" s="1" t="s">
        <v>949</v>
      </c>
      <c r="D366" s="1" t="s">
        <v>76</v>
      </c>
      <c r="E366" s="1" t="s">
        <v>77</v>
      </c>
      <c r="F366" s="1" t="s">
        <v>36</v>
      </c>
      <c r="G366" s="1" t="s">
        <v>950</v>
      </c>
      <c r="H366">
        <v>1644</v>
      </c>
      <c r="I366" s="1">
        <v>4699</v>
      </c>
      <c r="J366" s="1" t="s">
        <v>150</v>
      </c>
      <c r="K366" s="1" t="s">
        <v>100</v>
      </c>
      <c r="L366" s="1">
        <v>4.3</v>
      </c>
      <c r="M366" s="1">
        <v>928</v>
      </c>
      <c r="P366" t="str">
        <f t="shared" si="23"/>
        <v>65%</v>
      </c>
      <c r="Q366" s="12">
        <f t="shared" si="20"/>
        <v>0.65</v>
      </c>
      <c r="R366" s="9">
        <f t="shared" si="21"/>
        <v>1644.65</v>
      </c>
      <c r="S366" s="9">
        <f>IF(R366="",AVERAGEIF(Table1[Category],Table1[[#This Row],[Category]],Table2[orignal data]),Table2[[#This Row],[orignal data]])</f>
        <v>1644.65</v>
      </c>
      <c r="T366" t="str">
        <f t="shared" si="22"/>
        <v>UNIQUE</v>
      </c>
      <c r="U366" t="str">
        <f>IF(ISBLANK(Table1[[#This Row],[SizeOption]]),"NOT AVAILABLE",Table1[[#This Row],[SizeOption]])</f>
        <v>XS, S, M, L, XL, XXL, 3XL</v>
      </c>
      <c r="Y366" t="str">
        <f>IF(Table2[[#This Row],[Column1]]&gt;50%,"HIGH DISCOUNT","LOW DISCOUNT")</f>
        <v>HIGH DISCOUNT</v>
      </c>
    </row>
    <row r="367" spans="1:25" x14ac:dyDescent="0.25">
      <c r="A367" s="2" t="s">
        <v>951</v>
      </c>
      <c r="B367" s="2">
        <v>8935419</v>
      </c>
      <c r="C367" s="2" t="s">
        <v>952</v>
      </c>
      <c r="D367" s="2" t="s">
        <v>41</v>
      </c>
      <c r="E367" s="2" t="s">
        <v>48</v>
      </c>
      <c r="F367" s="2" t="s">
        <v>36</v>
      </c>
      <c r="G367" s="2" t="s">
        <v>953</v>
      </c>
      <c r="I367" s="2">
        <v>1649</v>
      </c>
      <c r="J367" s="2" t="s">
        <v>55</v>
      </c>
      <c r="K367" s="2" t="s">
        <v>45</v>
      </c>
      <c r="L367" s="2">
        <v>4.2</v>
      </c>
      <c r="M367" s="2">
        <v>928</v>
      </c>
      <c r="P367" t="str">
        <f t="shared" si="23"/>
        <v>60%</v>
      </c>
      <c r="Q367" s="12">
        <f t="shared" si="20"/>
        <v>0.6</v>
      </c>
      <c r="R367" s="9">
        <f t="shared" si="21"/>
        <v>659.6</v>
      </c>
      <c r="S367" s="9">
        <f>IF(R367="",AVERAGEIF(Table1[Category],Table1[[#This Row],[Category]],Table2[orignal data]),Table2[[#This Row],[orignal data]])</f>
        <v>659.6</v>
      </c>
      <c r="T367" t="str">
        <f t="shared" si="22"/>
        <v>UNIQUE</v>
      </c>
      <c r="U367" t="str">
        <f>IF(ISBLANK(Table1[[#This Row],[SizeOption]]),"NOT AVAILABLE",Table1[[#This Row],[SizeOption]])</f>
        <v>XS, S, M, L, XL</v>
      </c>
      <c r="Y367" t="str">
        <f>IF(Table2[[#This Row],[Column1]]&gt;50%,"HIGH DISCOUNT","LOW DISCOUNT")</f>
        <v>HIGH DISCOUNT</v>
      </c>
    </row>
    <row r="368" spans="1:25" x14ac:dyDescent="0.25">
      <c r="A368" s="1" t="s">
        <v>954</v>
      </c>
      <c r="B368" s="1">
        <v>13077152</v>
      </c>
      <c r="C368" s="1" t="s">
        <v>47</v>
      </c>
      <c r="D368" s="1" t="s">
        <v>15</v>
      </c>
      <c r="E368" s="1" t="s">
        <v>16</v>
      </c>
      <c r="F368" s="1" t="s">
        <v>17</v>
      </c>
      <c r="G368" s="1" t="s">
        <v>955</v>
      </c>
      <c r="H368">
        <v>599</v>
      </c>
      <c r="I368" s="1">
        <v>1499</v>
      </c>
      <c r="J368" s="1" t="s">
        <v>55</v>
      </c>
      <c r="K368" s="1" t="s">
        <v>20</v>
      </c>
      <c r="L368" s="1">
        <v>3.8</v>
      </c>
      <c r="M368" s="1">
        <v>927</v>
      </c>
      <c r="P368" t="str">
        <f t="shared" si="23"/>
        <v>60%</v>
      </c>
      <c r="Q368" s="12">
        <f t="shared" si="20"/>
        <v>0.6</v>
      </c>
      <c r="R368" s="9">
        <f t="shared" si="21"/>
        <v>599.6</v>
      </c>
      <c r="S368" s="9">
        <f>IF(R368="",AVERAGEIF(Table1[Category],Table1[[#This Row],[Category]],Table2[orignal data]),Table2[[#This Row],[orignal data]])</f>
        <v>599.6</v>
      </c>
      <c r="T368" t="str">
        <f t="shared" si="22"/>
        <v>UNIQUE</v>
      </c>
      <c r="U368" t="str">
        <f>IF(ISBLANK(Table1[[#This Row],[SizeOption]]),"NOT AVAILABLE",Table1[[#This Row],[SizeOption]])</f>
        <v>28, 30, 32, 34, 36</v>
      </c>
      <c r="Y368" t="str">
        <f>IF(Table2[[#This Row],[Column1]]&gt;50%,"HIGH DISCOUNT","LOW DISCOUNT")</f>
        <v>HIGH DISCOUNT</v>
      </c>
    </row>
    <row r="369" spans="1:25" x14ac:dyDescent="0.25">
      <c r="A369" s="2" t="s">
        <v>956</v>
      </c>
      <c r="B369" s="2">
        <v>13861878</v>
      </c>
      <c r="C369" s="2" t="s">
        <v>52</v>
      </c>
      <c r="D369" s="2" t="s">
        <v>28</v>
      </c>
      <c r="E369" s="2" t="s">
        <v>29</v>
      </c>
      <c r="F369" s="2" t="s">
        <v>17</v>
      </c>
      <c r="G369" s="2" t="s">
        <v>957</v>
      </c>
      <c r="H369">
        <v>516</v>
      </c>
      <c r="I369" s="2">
        <v>1099</v>
      </c>
      <c r="J369" s="2" t="s">
        <v>89</v>
      </c>
      <c r="K369" s="2" t="s">
        <v>90</v>
      </c>
      <c r="L369" s="2">
        <v>4.3</v>
      </c>
      <c r="M369" s="2">
        <v>927</v>
      </c>
      <c r="P369" t="str">
        <f t="shared" si="23"/>
        <v>53%</v>
      </c>
      <c r="Q369" s="12">
        <f t="shared" si="20"/>
        <v>0.53</v>
      </c>
      <c r="R369" s="9">
        <f t="shared" si="21"/>
        <v>516.53</v>
      </c>
      <c r="S369" s="9">
        <f>IF(R369="",AVERAGEIF(Table1[Category],Table1[[#This Row],[Category]],Table2[orignal data]),Table2[[#This Row],[orignal data]])</f>
        <v>516.53</v>
      </c>
      <c r="T369" t="str">
        <f t="shared" si="22"/>
        <v>UNIQUE</v>
      </c>
      <c r="U369" t="str">
        <f>IF(ISBLANK(Table1[[#This Row],[SizeOption]]),"NOT AVAILABLE",Table1[[#This Row],[SizeOption]])</f>
        <v>39, 40, 42, 44</v>
      </c>
      <c r="Y369" t="str">
        <f>IF(Table2[[#This Row],[Column1]]&gt;50%,"HIGH DISCOUNT","LOW DISCOUNT")</f>
        <v>HIGH DISCOUNT</v>
      </c>
    </row>
    <row r="370" spans="1:25" x14ac:dyDescent="0.25">
      <c r="A370" s="1" t="s">
        <v>958</v>
      </c>
      <c r="B370" s="1">
        <v>14205782</v>
      </c>
      <c r="C370" s="1" t="s">
        <v>52</v>
      </c>
      <c r="D370" s="1" t="s">
        <v>28</v>
      </c>
      <c r="E370" s="1" t="s">
        <v>29</v>
      </c>
      <c r="F370" s="1" t="s">
        <v>17</v>
      </c>
      <c r="G370" s="1" t="s">
        <v>959</v>
      </c>
      <c r="H370">
        <v>563</v>
      </c>
      <c r="I370" s="1">
        <v>1199</v>
      </c>
      <c r="J370" s="1" t="s">
        <v>89</v>
      </c>
      <c r="K370" s="1" t="s">
        <v>90</v>
      </c>
      <c r="L370" s="1">
        <v>3.8</v>
      </c>
      <c r="M370" s="1">
        <v>927</v>
      </c>
      <c r="P370" t="str">
        <f t="shared" si="23"/>
        <v>53%</v>
      </c>
      <c r="Q370" s="12">
        <f t="shared" si="20"/>
        <v>0.53</v>
      </c>
      <c r="R370" s="9">
        <f t="shared" si="21"/>
        <v>563.53</v>
      </c>
      <c r="S370" s="9">
        <f>IF(R370="",AVERAGEIF(Table1[Category],Table1[[#This Row],[Category]],Table2[orignal data]),Table2[[#This Row],[orignal data]])</f>
        <v>563.53</v>
      </c>
      <c r="T370" t="str">
        <f t="shared" si="22"/>
        <v>UNIQUE</v>
      </c>
      <c r="U370" t="str">
        <f>IF(ISBLANK(Table1[[#This Row],[SizeOption]]),"NOT AVAILABLE",Table1[[#This Row],[SizeOption]])</f>
        <v>39, 40, 42, 44</v>
      </c>
      <c r="Y370" t="str">
        <f>IF(Table2[[#This Row],[Column1]]&gt;50%,"HIGH DISCOUNT","LOW DISCOUNT")</f>
        <v>HIGH DISCOUNT</v>
      </c>
    </row>
    <row r="371" spans="1:25" x14ac:dyDescent="0.25">
      <c r="A371" s="2" t="s">
        <v>960</v>
      </c>
      <c r="B371" s="2">
        <v>11883168</v>
      </c>
      <c r="C371" s="2" t="s">
        <v>107</v>
      </c>
      <c r="D371" s="2" t="s">
        <v>34</v>
      </c>
      <c r="E371" s="2" t="s">
        <v>118</v>
      </c>
      <c r="F371" s="2" t="s">
        <v>36</v>
      </c>
      <c r="G371" s="2" t="s">
        <v>961</v>
      </c>
      <c r="H371">
        <v>909</v>
      </c>
      <c r="I371" s="2">
        <v>1399</v>
      </c>
      <c r="J371" s="2" t="s">
        <v>44</v>
      </c>
      <c r="K371" s="2" t="s">
        <v>549</v>
      </c>
      <c r="L371" s="2">
        <v>4.4000000000000004</v>
      </c>
      <c r="M371" s="2">
        <v>927</v>
      </c>
      <c r="P371" t="str">
        <f t="shared" si="23"/>
        <v>35%</v>
      </c>
      <c r="Q371" s="12">
        <f t="shared" si="20"/>
        <v>0.35</v>
      </c>
      <c r="R371" s="9">
        <f t="shared" si="21"/>
        <v>909.35</v>
      </c>
      <c r="S371" s="9">
        <f>IF(R371="",AVERAGEIF(Table1[Category],Table1[[#This Row],[Category]],Table2[orignal data]),Table2[[#This Row],[orignal data]])</f>
        <v>909.35</v>
      </c>
      <c r="T371" t="str">
        <f t="shared" si="22"/>
        <v>UNIQUE</v>
      </c>
      <c r="U371" t="str">
        <f>IF(ISBLANK(Table1[[#This Row],[SizeOption]]),"NOT AVAILABLE",Table1[[#This Row],[SizeOption]])</f>
        <v>32B, 32C, 34B, 34C, 34D, 36B, 36C, 36D, 38B, 38C, 38D</v>
      </c>
      <c r="Y371" t="str">
        <f>IF(Table2[[#This Row],[Column1]]&gt;50%,"HIGH DISCOUNT","LOW DISCOUNT")</f>
        <v>LOW DISCOUNT</v>
      </c>
    </row>
    <row r="372" spans="1:25" x14ac:dyDescent="0.25">
      <c r="A372" s="1" t="s">
        <v>962</v>
      </c>
      <c r="B372" s="1">
        <v>11037088</v>
      </c>
      <c r="C372" s="1" t="s">
        <v>67</v>
      </c>
      <c r="D372" s="1" t="s">
        <v>68</v>
      </c>
      <c r="E372" s="1" t="s">
        <v>42</v>
      </c>
      <c r="F372" s="1" t="s">
        <v>36</v>
      </c>
      <c r="G372" s="1" t="s">
        <v>963</v>
      </c>
      <c r="H372">
        <v>404</v>
      </c>
      <c r="I372" s="1">
        <v>899</v>
      </c>
      <c r="J372" s="1" t="s">
        <v>25</v>
      </c>
      <c r="K372" s="1" t="s">
        <v>45</v>
      </c>
      <c r="L372" s="1">
        <v>4.3</v>
      </c>
      <c r="M372" s="1">
        <v>927</v>
      </c>
      <c r="P372" t="str">
        <f t="shared" si="23"/>
        <v>55%</v>
      </c>
      <c r="Q372" s="12">
        <f t="shared" si="20"/>
        <v>0.55000000000000004</v>
      </c>
      <c r="R372" s="9">
        <f t="shared" si="21"/>
        <v>404.54999999999995</v>
      </c>
      <c r="S372" s="9">
        <f>IF(R372="",AVERAGEIF(Table1[Category],Table1[[#This Row],[Category]],Table2[orignal data]),Table2[[#This Row],[orignal data]])</f>
        <v>404.54999999999995</v>
      </c>
      <c r="T372" t="str">
        <f t="shared" si="22"/>
        <v>UNIQUE</v>
      </c>
      <c r="U372" t="str">
        <f>IF(ISBLANK(Table1[[#This Row],[SizeOption]]),"NOT AVAILABLE",Table1[[#This Row],[SizeOption]])</f>
        <v>XS, S, M, L, XL</v>
      </c>
      <c r="Y372" t="str">
        <f>IF(Table2[[#This Row],[Column1]]&gt;50%,"HIGH DISCOUNT","LOW DISCOUNT")</f>
        <v>HIGH DISCOUNT</v>
      </c>
    </row>
    <row r="373" spans="1:25" x14ac:dyDescent="0.25">
      <c r="A373" s="2" t="s">
        <v>964</v>
      </c>
      <c r="B373" s="2">
        <v>12876318</v>
      </c>
      <c r="C373" s="2" t="s">
        <v>102</v>
      </c>
      <c r="D373" s="2" t="s">
        <v>41</v>
      </c>
      <c r="E373" s="2" t="s">
        <v>16</v>
      </c>
      <c r="F373" s="2" t="s">
        <v>36</v>
      </c>
      <c r="G373" s="2" t="s">
        <v>965</v>
      </c>
      <c r="I373" s="2">
        <v>1699</v>
      </c>
      <c r="J373" s="2" t="s">
        <v>60</v>
      </c>
      <c r="K373" s="2" t="s">
        <v>428</v>
      </c>
      <c r="L373" s="2">
        <v>4.3</v>
      </c>
      <c r="M373" s="2">
        <v>927</v>
      </c>
      <c r="P373" t="str">
        <f t="shared" si="23"/>
        <v>58%</v>
      </c>
      <c r="Q373" s="12">
        <f t="shared" si="20"/>
        <v>0.57999999999999996</v>
      </c>
      <c r="R373" s="9">
        <f t="shared" si="21"/>
        <v>713.58</v>
      </c>
      <c r="S373" s="9">
        <f>IF(R373="",AVERAGEIF(Table1[Category],Table1[[#This Row],[Category]],Table2[orignal data]),Table2[[#This Row],[orignal data]])</f>
        <v>713.58</v>
      </c>
      <c r="T373" t="str">
        <f t="shared" si="22"/>
        <v>UNIQUE</v>
      </c>
      <c r="U373" t="str">
        <f>IF(ISBLANK(Table1[[#This Row],[SizeOption]]),"NOT AVAILABLE",Table1[[#This Row],[SizeOption]])</f>
        <v>26, 28, 30, 32, 34</v>
      </c>
      <c r="Y373" t="str">
        <f>IF(Table2[[#This Row],[Column1]]&gt;50%,"HIGH DISCOUNT","LOW DISCOUNT")</f>
        <v>HIGH DISCOUNT</v>
      </c>
    </row>
    <row r="374" spans="1:25" x14ac:dyDescent="0.25">
      <c r="A374" s="1" t="s">
        <v>966</v>
      </c>
      <c r="B374" s="1">
        <v>10463770</v>
      </c>
      <c r="C374" s="1" t="s">
        <v>107</v>
      </c>
      <c r="D374" s="1" t="s">
        <v>41</v>
      </c>
      <c r="E374" s="1" t="s">
        <v>148</v>
      </c>
      <c r="F374" s="1" t="s">
        <v>36</v>
      </c>
      <c r="G374" s="1" t="s">
        <v>967</v>
      </c>
      <c r="I374" s="1">
        <v>1999</v>
      </c>
      <c r="J374" s="1" t="s">
        <v>84</v>
      </c>
      <c r="K374" s="1" t="s">
        <v>45</v>
      </c>
      <c r="L374" s="1">
        <v>4.3</v>
      </c>
      <c r="M374" s="1">
        <v>927</v>
      </c>
      <c r="P374" t="str">
        <f t="shared" si="23"/>
        <v>50%</v>
      </c>
      <c r="Q374" s="12">
        <f t="shared" si="20"/>
        <v>0.5</v>
      </c>
      <c r="R374" s="9">
        <f t="shared" si="21"/>
        <v>999.5</v>
      </c>
      <c r="S374" s="9">
        <f>IF(R374="",AVERAGEIF(Table1[Category],Table1[[#This Row],[Category]],Table2[orignal data]),Table2[[#This Row],[orignal data]])</f>
        <v>999.5</v>
      </c>
      <c r="T374" t="str">
        <f t="shared" si="22"/>
        <v>UNIQUE</v>
      </c>
      <c r="U374" t="str">
        <f>IF(ISBLANK(Table1[[#This Row],[SizeOption]]),"NOT AVAILABLE",Table1[[#This Row],[SizeOption]])</f>
        <v>XS, S, M, L, XL</v>
      </c>
      <c r="Y374" t="str">
        <f>IF(Table2[[#This Row],[Column1]]&gt;50%,"HIGH DISCOUNT","LOW DISCOUNT")</f>
        <v>LOW DISCOUNT</v>
      </c>
    </row>
    <row r="375" spans="1:25" x14ac:dyDescent="0.25">
      <c r="A375" s="2" t="s">
        <v>968</v>
      </c>
      <c r="B375" s="2">
        <v>2290042</v>
      </c>
      <c r="C375" s="2" t="s">
        <v>52</v>
      </c>
      <c r="D375" s="2" t="s">
        <v>15</v>
      </c>
      <c r="E375" s="2" t="s">
        <v>53</v>
      </c>
      <c r="F375" s="2" t="s">
        <v>17</v>
      </c>
      <c r="G375" s="2" t="s">
        <v>969</v>
      </c>
      <c r="H375">
        <v>604</v>
      </c>
      <c r="I375" s="2">
        <v>1549</v>
      </c>
      <c r="J375" s="2" t="s">
        <v>104</v>
      </c>
      <c r="K375" s="2" t="s">
        <v>56</v>
      </c>
      <c r="L375" s="2">
        <v>4</v>
      </c>
      <c r="M375" s="2">
        <v>926</v>
      </c>
      <c r="P375" t="str">
        <f t="shared" si="23"/>
        <v>61%</v>
      </c>
      <c r="Q375" s="12">
        <f t="shared" si="20"/>
        <v>0.61</v>
      </c>
      <c r="R375" s="9">
        <f t="shared" si="21"/>
        <v>604.11</v>
      </c>
      <c r="S375" s="9">
        <f>IF(R375="",AVERAGEIF(Table1[Category],Table1[[#This Row],[Category]],Table2[orignal data]),Table2[[#This Row],[orignal data]])</f>
        <v>604.11</v>
      </c>
      <c r="T375" t="str">
        <f t="shared" si="22"/>
        <v>UNIQUE</v>
      </c>
      <c r="U375" t="str">
        <f>IF(ISBLANK(Table1[[#This Row],[SizeOption]]),"NOT AVAILABLE",Table1[[#This Row],[SizeOption]])</f>
        <v>30, 32, 34, 36</v>
      </c>
      <c r="Y375" t="str">
        <f>IF(Table2[[#This Row],[Column1]]&gt;50%,"HIGH DISCOUNT","LOW DISCOUNT")</f>
        <v>HIGH DISCOUNT</v>
      </c>
    </row>
    <row r="376" spans="1:25" x14ac:dyDescent="0.25">
      <c r="A376" s="1" t="s">
        <v>970</v>
      </c>
      <c r="B376" s="1">
        <v>8106703</v>
      </c>
      <c r="C376" s="1" t="s">
        <v>52</v>
      </c>
      <c r="D376" s="1" t="s">
        <v>15</v>
      </c>
      <c r="E376" s="1" t="s">
        <v>53</v>
      </c>
      <c r="F376" s="1" t="s">
        <v>17</v>
      </c>
      <c r="G376" s="1" t="s">
        <v>971</v>
      </c>
      <c r="H376">
        <v>554</v>
      </c>
      <c r="I376" s="1">
        <v>1499</v>
      </c>
      <c r="J376" s="1" t="s">
        <v>476</v>
      </c>
      <c r="K376" s="1" t="s">
        <v>56</v>
      </c>
      <c r="L376" s="1">
        <v>3.8</v>
      </c>
      <c r="M376" s="1">
        <v>926</v>
      </c>
      <c r="P376" t="str">
        <f t="shared" si="23"/>
        <v>63%</v>
      </c>
      <c r="Q376" s="12">
        <f t="shared" si="20"/>
        <v>0.63</v>
      </c>
      <c r="R376" s="9">
        <f t="shared" si="21"/>
        <v>554.63</v>
      </c>
      <c r="S376" s="9">
        <f>IF(R376="",AVERAGEIF(Table1[Category],Table1[[#This Row],[Category]],Table2[orignal data]),Table2[[#This Row],[orignal data]])</f>
        <v>554.63</v>
      </c>
      <c r="T376" t="str">
        <f t="shared" si="22"/>
        <v>UNIQUE</v>
      </c>
      <c r="U376" t="str">
        <f>IF(ISBLANK(Table1[[#This Row],[SizeOption]]),"NOT AVAILABLE",Table1[[#This Row],[SizeOption]])</f>
        <v>30, 32, 34, 36</v>
      </c>
      <c r="Y376" t="str">
        <f>IF(Table2[[#This Row],[Column1]]&gt;50%,"HIGH DISCOUNT","LOW DISCOUNT")</f>
        <v>HIGH DISCOUNT</v>
      </c>
    </row>
    <row r="377" spans="1:25" x14ac:dyDescent="0.25">
      <c r="A377" s="2" t="s">
        <v>972</v>
      </c>
      <c r="B377" s="2">
        <v>10852560</v>
      </c>
      <c r="C377" s="2" t="s">
        <v>973</v>
      </c>
      <c r="D377" s="2" t="s">
        <v>197</v>
      </c>
      <c r="E377" s="2" t="s">
        <v>518</v>
      </c>
      <c r="F377" s="2" t="s">
        <v>17</v>
      </c>
      <c r="G377" s="2" t="s">
        <v>974</v>
      </c>
      <c r="H377">
        <v>629</v>
      </c>
      <c r="I377" s="2">
        <v>769</v>
      </c>
      <c r="J377" s="2" t="s">
        <v>975</v>
      </c>
      <c r="K377" s="2" t="s">
        <v>26</v>
      </c>
      <c r="L377" s="2">
        <v>4.0999999999999996</v>
      </c>
      <c r="M377" s="2">
        <v>926</v>
      </c>
      <c r="P377" t="str">
        <f t="shared" si="23"/>
        <v>140</v>
      </c>
      <c r="Q377" s="12">
        <f t="shared" si="20"/>
        <v>0.18205461638491546</v>
      </c>
      <c r="R377" s="9">
        <f t="shared" si="21"/>
        <v>629</v>
      </c>
      <c r="S377" s="9">
        <f>IF(R377="",AVERAGEIF(Table1[Category],Table1[[#This Row],[Category]],Table2[orignal data]),Table2[[#This Row],[orignal data]])</f>
        <v>629</v>
      </c>
      <c r="T377" t="str">
        <f t="shared" si="22"/>
        <v>UNIQUE</v>
      </c>
      <c r="U377" t="str">
        <f>IF(ISBLANK(Table1[[#This Row],[SizeOption]]),"NOT AVAILABLE",Table1[[#This Row],[SizeOption]])</f>
        <v>S, M, L, XL</v>
      </c>
      <c r="Y377" t="str">
        <f>IF(Table2[[#This Row],[Column1]]&gt;50%,"HIGH DISCOUNT","LOW DISCOUNT")</f>
        <v>LOW DISCOUNT</v>
      </c>
    </row>
    <row r="378" spans="1:25" x14ac:dyDescent="0.25">
      <c r="A378" s="1" t="s">
        <v>976</v>
      </c>
      <c r="B378" s="1">
        <v>8301909</v>
      </c>
      <c r="C378" s="1" t="s">
        <v>47</v>
      </c>
      <c r="D378" s="1" t="s">
        <v>28</v>
      </c>
      <c r="E378" s="1" t="s">
        <v>42</v>
      </c>
      <c r="F378" s="1" t="s">
        <v>17</v>
      </c>
      <c r="G378" s="1" t="s">
        <v>977</v>
      </c>
      <c r="H378">
        <v>449</v>
      </c>
      <c r="I378" s="1">
        <v>899</v>
      </c>
      <c r="J378" s="1" t="s">
        <v>84</v>
      </c>
      <c r="K378" s="1" t="s">
        <v>26</v>
      </c>
      <c r="L378" s="1">
        <v>4.2</v>
      </c>
      <c r="M378" s="1">
        <v>926</v>
      </c>
      <c r="P378" t="str">
        <f t="shared" si="23"/>
        <v>50%</v>
      </c>
      <c r="Q378" s="12">
        <f t="shared" si="20"/>
        <v>0.5</v>
      </c>
      <c r="R378" s="9">
        <f t="shared" si="21"/>
        <v>449.5</v>
      </c>
      <c r="S378" s="9">
        <f>IF(R378="",AVERAGEIF(Table1[Category],Table1[[#This Row],[Category]],Table2[orignal data]),Table2[[#This Row],[orignal data]])</f>
        <v>449.5</v>
      </c>
      <c r="T378" t="str">
        <f t="shared" si="22"/>
        <v>UNIQUE</v>
      </c>
      <c r="U378" t="str">
        <f>IF(ISBLANK(Table1[[#This Row],[SizeOption]]),"NOT AVAILABLE",Table1[[#This Row],[SizeOption]])</f>
        <v>S, M, L, XL</v>
      </c>
      <c r="Y378" t="str">
        <f>IF(Table2[[#This Row],[Column1]]&gt;50%,"HIGH DISCOUNT","LOW DISCOUNT")</f>
        <v>LOW DISCOUNT</v>
      </c>
    </row>
    <row r="379" spans="1:25" x14ac:dyDescent="0.25">
      <c r="A379" s="2" t="s">
        <v>978</v>
      </c>
      <c r="B379" s="2">
        <v>8829435</v>
      </c>
      <c r="C379" s="2" t="s">
        <v>14</v>
      </c>
      <c r="D379" s="2" t="s">
        <v>28</v>
      </c>
      <c r="E379" s="2" t="s">
        <v>42</v>
      </c>
      <c r="F379" s="2" t="s">
        <v>17</v>
      </c>
      <c r="G379" s="2" t="s">
        <v>979</v>
      </c>
      <c r="H379">
        <v>449</v>
      </c>
      <c r="I379" s="2">
        <v>899</v>
      </c>
      <c r="J379" s="2" t="s">
        <v>84</v>
      </c>
      <c r="K379" s="2" t="s">
        <v>73</v>
      </c>
      <c r="L379" s="2">
        <v>4.3</v>
      </c>
      <c r="M379" s="2">
        <v>926</v>
      </c>
      <c r="P379" t="str">
        <f t="shared" si="23"/>
        <v>50%</v>
      </c>
      <c r="Q379" s="12">
        <f t="shared" si="20"/>
        <v>0.5</v>
      </c>
      <c r="R379" s="9">
        <f t="shared" si="21"/>
        <v>449.5</v>
      </c>
      <c r="S379" s="9">
        <f>IF(R379="",AVERAGEIF(Table1[Category],Table1[[#This Row],[Category]],Table2[orignal data]),Table2[[#This Row],[orignal data]])</f>
        <v>449.5</v>
      </c>
      <c r="T379" t="str">
        <f t="shared" si="22"/>
        <v>UNIQUE</v>
      </c>
      <c r="U379" t="str">
        <f>IF(ISBLANK(Table1[[#This Row],[SizeOption]]),"NOT AVAILABLE",Table1[[#This Row],[SizeOption]])</f>
        <v>XS, S, M, L, XL, XXL, 3XL, 4XL</v>
      </c>
      <c r="Y379" t="str">
        <f>IF(Table2[[#This Row],[Column1]]&gt;50%,"HIGH DISCOUNT","LOW DISCOUNT")</f>
        <v>LOW DISCOUNT</v>
      </c>
    </row>
    <row r="380" spans="1:25" x14ac:dyDescent="0.25">
      <c r="A380" s="1" t="s">
        <v>980</v>
      </c>
      <c r="B380" s="1">
        <v>12048344</v>
      </c>
      <c r="C380" s="1" t="s">
        <v>924</v>
      </c>
      <c r="D380" s="1" t="s">
        <v>76</v>
      </c>
      <c r="E380" s="1" t="s">
        <v>320</v>
      </c>
      <c r="F380" s="1" t="s">
        <v>36</v>
      </c>
      <c r="G380" s="1" t="s">
        <v>981</v>
      </c>
      <c r="H380">
        <v>2589</v>
      </c>
      <c r="I380" s="1">
        <v>6999</v>
      </c>
      <c r="J380" s="1" t="s">
        <v>476</v>
      </c>
      <c r="K380" s="1" t="s">
        <v>164</v>
      </c>
      <c r="L380" s="1">
        <v>4.4000000000000004</v>
      </c>
      <c r="M380" s="1">
        <v>926</v>
      </c>
      <c r="P380" t="str">
        <f t="shared" si="23"/>
        <v>63%</v>
      </c>
      <c r="Q380" s="12">
        <f t="shared" si="20"/>
        <v>0.63</v>
      </c>
      <c r="R380" s="9">
        <f t="shared" si="21"/>
        <v>2589.63</v>
      </c>
      <c r="S380" s="9">
        <f>IF(R380="",AVERAGEIF(Table1[Category],Table1[[#This Row],[Category]],Table2[orignal data]),Table2[[#This Row],[orignal data]])</f>
        <v>2589.63</v>
      </c>
      <c r="T380" t="str">
        <f t="shared" si="22"/>
        <v>UNIQUE</v>
      </c>
      <c r="U380" t="str">
        <f>IF(ISBLANK(Table1[[#This Row],[SizeOption]]),"NOT AVAILABLE",Table1[[#This Row],[SizeOption]])</f>
        <v>Onesize</v>
      </c>
      <c r="Y380" t="str">
        <f>IF(Table2[[#This Row],[Column1]]&gt;50%,"HIGH DISCOUNT","LOW DISCOUNT")</f>
        <v>HIGH DISCOUNT</v>
      </c>
    </row>
    <row r="381" spans="1:25" x14ac:dyDescent="0.25">
      <c r="A381" s="2" t="s">
        <v>982</v>
      </c>
      <c r="B381" s="2">
        <v>2190882</v>
      </c>
      <c r="C381" s="2" t="s">
        <v>303</v>
      </c>
      <c r="D381" s="2" t="s">
        <v>34</v>
      </c>
      <c r="E381" s="2" t="s">
        <v>296</v>
      </c>
      <c r="F381" s="2" t="s">
        <v>36</v>
      </c>
      <c r="G381" s="2" t="s">
        <v>983</v>
      </c>
      <c r="H381">
        <v>686</v>
      </c>
      <c r="I381" s="2">
        <v>915</v>
      </c>
      <c r="J381" s="2" t="s">
        <v>282</v>
      </c>
      <c r="K381" s="2" t="s">
        <v>115</v>
      </c>
      <c r="L381" s="2">
        <v>4</v>
      </c>
      <c r="M381" s="2">
        <v>926</v>
      </c>
      <c r="P381" t="str">
        <f t="shared" si="23"/>
        <v>25%</v>
      </c>
      <c r="Q381" s="12">
        <f t="shared" si="20"/>
        <v>0.25</v>
      </c>
      <c r="R381" s="9">
        <f t="shared" si="21"/>
        <v>686.25</v>
      </c>
      <c r="S381" s="9">
        <f>IF(R381="",AVERAGEIF(Table1[Category],Table1[[#This Row],[Category]],Table2[orignal data]),Table2[[#This Row],[orignal data]])</f>
        <v>686.25</v>
      </c>
      <c r="T381" t="str">
        <f t="shared" si="22"/>
        <v>UNIQUE</v>
      </c>
      <c r="U381" t="str">
        <f>IF(ISBLANK(Table1[[#This Row],[SizeOption]]),"NOT AVAILABLE",Table1[[#This Row],[SizeOption]])</f>
        <v>XS, S, M, L, XL, XXL</v>
      </c>
      <c r="Y381" t="str">
        <f>IF(Table2[[#This Row],[Column1]]&gt;50%,"HIGH DISCOUNT","LOW DISCOUNT")</f>
        <v>LOW DISCOUNT</v>
      </c>
    </row>
    <row r="382" spans="1:25" x14ac:dyDescent="0.25">
      <c r="A382" s="1" t="s">
        <v>984</v>
      </c>
      <c r="B382" s="1">
        <v>11489668</v>
      </c>
      <c r="C382" s="1" t="s">
        <v>14</v>
      </c>
      <c r="D382" s="1" t="s">
        <v>41</v>
      </c>
      <c r="E382" s="1" t="s">
        <v>579</v>
      </c>
      <c r="F382" s="1" t="s">
        <v>36</v>
      </c>
      <c r="G382" s="1" t="s">
        <v>985</v>
      </c>
      <c r="I382" s="1">
        <v>1299</v>
      </c>
      <c r="J382" s="1" t="s">
        <v>19</v>
      </c>
      <c r="K382" s="1" t="s">
        <v>134</v>
      </c>
      <c r="L382" s="1">
        <v>4.3</v>
      </c>
      <c r="M382" s="1">
        <v>926</v>
      </c>
      <c r="P382" t="str">
        <f t="shared" si="23"/>
        <v>45%</v>
      </c>
      <c r="Q382" s="12">
        <f t="shared" si="20"/>
        <v>0.45</v>
      </c>
      <c r="R382" s="9">
        <f t="shared" si="21"/>
        <v>714.44999999999993</v>
      </c>
      <c r="S382" s="9">
        <f>IF(R382="",AVERAGEIF(Table1[Category],Table1[[#This Row],[Category]],Table2[orignal data]),Table2[[#This Row],[orignal data]])</f>
        <v>714.44999999999993</v>
      </c>
      <c r="T382" t="str">
        <f t="shared" si="22"/>
        <v>UNIQUE</v>
      </c>
      <c r="U382" t="str">
        <f>IF(ISBLANK(Table1[[#This Row],[SizeOption]]),"NOT AVAILABLE",Table1[[#This Row],[SizeOption]])</f>
        <v>26, 28, 30, 32, 34, 36</v>
      </c>
      <c r="Y382" t="str">
        <f>IF(Table2[[#This Row],[Column1]]&gt;50%,"HIGH DISCOUNT","LOW DISCOUNT")</f>
        <v>LOW DISCOUNT</v>
      </c>
    </row>
    <row r="383" spans="1:25" x14ac:dyDescent="0.25">
      <c r="A383" s="2" t="s">
        <v>986</v>
      </c>
      <c r="B383" s="2">
        <v>2368774</v>
      </c>
      <c r="C383" s="2" t="s">
        <v>14</v>
      </c>
      <c r="D383" s="2" t="s">
        <v>41</v>
      </c>
      <c r="E383" s="2" t="s">
        <v>148</v>
      </c>
      <c r="F383" s="2" t="s">
        <v>36</v>
      </c>
      <c r="G383" s="2" t="s">
        <v>987</v>
      </c>
      <c r="I383" s="2">
        <v>1399</v>
      </c>
      <c r="J383" s="2" t="s">
        <v>55</v>
      </c>
      <c r="K383" s="2" t="s">
        <v>115</v>
      </c>
      <c r="L383" s="2">
        <v>3.9</v>
      </c>
      <c r="M383" s="2">
        <v>926</v>
      </c>
      <c r="P383" t="str">
        <f t="shared" si="23"/>
        <v>60%</v>
      </c>
      <c r="Q383" s="12">
        <f t="shared" si="20"/>
        <v>0.6</v>
      </c>
      <c r="R383" s="9">
        <f t="shared" si="21"/>
        <v>559.6</v>
      </c>
      <c r="S383" s="9">
        <f>IF(R383="",AVERAGEIF(Table1[Category],Table1[[#This Row],[Category]],Table2[orignal data]),Table2[[#This Row],[orignal data]])</f>
        <v>559.6</v>
      </c>
      <c r="T383" t="str">
        <f t="shared" si="22"/>
        <v>UNIQUE</v>
      </c>
      <c r="U383" t="str">
        <f>IF(ISBLANK(Table1[[#This Row],[SizeOption]]),"NOT AVAILABLE",Table1[[#This Row],[SizeOption]])</f>
        <v>XS, S, M, L, XL, XXL</v>
      </c>
      <c r="Y383" t="str">
        <f>IF(Table2[[#This Row],[Column1]]&gt;50%,"HIGH DISCOUNT","LOW DISCOUNT")</f>
        <v>HIGH DISCOUNT</v>
      </c>
    </row>
    <row r="384" spans="1:25" x14ac:dyDescent="0.25">
      <c r="A384" s="1" t="s">
        <v>988</v>
      </c>
      <c r="B384" s="1">
        <v>12212310</v>
      </c>
      <c r="C384" s="1" t="s">
        <v>67</v>
      </c>
      <c r="D384" s="1" t="s">
        <v>15</v>
      </c>
      <c r="E384" s="1" t="s">
        <v>137</v>
      </c>
      <c r="F384" s="1" t="s">
        <v>17</v>
      </c>
      <c r="G384" s="1" t="s">
        <v>989</v>
      </c>
      <c r="H384">
        <v>679</v>
      </c>
      <c r="I384" s="1">
        <v>1699</v>
      </c>
      <c r="J384" s="1" t="s">
        <v>55</v>
      </c>
      <c r="K384" s="1" t="s">
        <v>20</v>
      </c>
      <c r="L384" s="1">
        <v>4.3</v>
      </c>
      <c r="M384" s="1">
        <v>925</v>
      </c>
      <c r="P384" t="str">
        <f t="shared" si="23"/>
        <v>60%</v>
      </c>
      <c r="Q384" s="12">
        <f t="shared" si="20"/>
        <v>0.6</v>
      </c>
      <c r="R384" s="9">
        <f t="shared" si="21"/>
        <v>679.6</v>
      </c>
      <c r="S384" s="9">
        <f>IF(R384="",AVERAGEIF(Table1[Category],Table1[[#This Row],[Category]],Table2[orignal data]),Table2[[#This Row],[orignal data]])</f>
        <v>679.6</v>
      </c>
      <c r="T384" t="str">
        <f t="shared" si="22"/>
        <v>UNIQUE</v>
      </c>
      <c r="U384" t="str">
        <f>IF(ISBLANK(Table1[[#This Row],[SizeOption]]),"NOT AVAILABLE",Table1[[#This Row],[SizeOption]])</f>
        <v>28, 30, 32, 34, 36</v>
      </c>
      <c r="Y384" t="str">
        <f>IF(Table2[[#This Row],[Column1]]&gt;50%,"HIGH DISCOUNT","LOW DISCOUNT")</f>
        <v>HIGH DISCOUNT</v>
      </c>
    </row>
    <row r="385" spans="1:25" x14ac:dyDescent="0.25">
      <c r="A385" s="2" t="s">
        <v>990</v>
      </c>
      <c r="B385" s="2">
        <v>9168503</v>
      </c>
      <c r="C385" s="2" t="s">
        <v>794</v>
      </c>
      <c r="D385" s="2" t="s">
        <v>197</v>
      </c>
      <c r="E385" s="2" t="s">
        <v>939</v>
      </c>
      <c r="F385" s="2" t="s">
        <v>17</v>
      </c>
      <c r="G385" s="2" t="s">
        <v>991</v>
      </c>
      <c r="I385" s="2">
        <v>599</v>
      </c>
      <c r="J385" s="2"/>
      <c r="K385" s="2" t="s">
        <v>352</v>
      </c>
      <c r="L385" s="2">
        <v>3.9</v>
      </c>
      <c r="M385" s="2">
        <v>925</v>
      </c>
      <c r="P385" t="str">
        <f t="shared" si="23"/>
        <v/>
      </c>
      <c r="Q385" s="12" t="str">
        <f t="shared" si="20"/>
        <v/>
      </c>
      <c r="R385" s="9" t="str">
        <f t="shared" si="21"/>
        <v/>
      </c>
      <c r="S385" s="9">
        <f>IF(R385="",AVERAGEIF(Table1[Category],Table1[[#This Row],[Category]],Table2[orignal data]),Table2[[#This Row],[orignal data]])</f>
        <v>552.70900000000006</v>
      </c>
      <c r="T385" t="str">
        <f t="shared" si="22"/>
        <v>UNIQUE</v>
      </c>
      <c r="U385" t="str">
        <f>IF(ISBLANK(Table1[[#This Row],[SizeOption]]),"NOT AVAILABLE",Table1[[#This Row],[SizeOption]])</f>
        <v>S, M, L</v>
      </c>
      <c r="Y385" t="str">
        <f>IF(Table2[[#This Row],[Column1]]&gt;50%,"HIGH DISCOUNT","LOW DISCOUNT")</f>
        <v>HIGH DISCOUNT</v>
      </c>
    </row>
    <row r="386" spans="1:25" x14ac:dyDescent="0.25">
      <c r="A386" s="1" t="s">
        <v>992</v>
      </c>
      <c r="B386" s="1">
        <v>10803222</v>
      </c>
      <c r="C386" s="1" t="s">
        <v>113</v>
      </c>
      <c r="D386" s="1" t="s">
        <v>28</v>
      </c>
      <c r="E386" s="1" t="s">
        <v>93</v>
      </c>
      <c r="F386" s="1" t="s">
        <v>17</v>
      </c>
      <c r="G386" s="1" t="s">
        <v>993</v>
      </c>
      <c r="H386">
        <v>599</v>
      </c>
      <c r="I386" s="1">
        <v>1499</v>
      </c>
      <c r="J386" s="1" t="s">
        <v>55</v>
      </c>
      <c r="K386" s="1" t="s">
        <v>39</v>
      </c>
      <c r="L386" s="1">
        <v>3.8</v>
      </c>
      <c r="M386" s="1">
        <v>925</v>
      </c>
      <c r="P386" t="str">
        <f t="shared" si="23"/>
        <v>60%</v>
      </c>
      <c r="Q386" s="12">
        <f t="shared" ref="Q386:Q449" si="24">IF(P386="","",IF(ISNUMBER(SEARCH("%",P386)),P386,P386/I386)*100%)</f>
        <v>0.6</v>
      </c>
      <c r="R386" s="9">
        <f t="shared" ref="R386:R449" si="25">IF(P386="","",I386-(I386*Q386))</f>
        <v>599.6</v>
      </c>
      <c r="S386" s="9">
        <f>IF(R386="",AVERAGEIF(Table1[Category],Table1[[#This Row],[Category]],Table2[orignal data]),Table2[[#This Row],[orignal data]])</f>
        <v>599.6</v>
      </c>
      <c r="T386" t="str">
        <f t="shared" ref="T386:T449" si="26">IF(COUNTIF($B$2:$B$5000,B386)&gt;1,"DUPLICATE","UNIQUE")</f>
        <v>UNIQUE</v>
      </c>
      <c r="U386" t="str">
        <f>IF(ISBLANK(Table1[[#This Row],[SizeOption]]),"NOT AVAILABLE",Table1[[#This Row],[SizeOption]])</f>
        <v>S, M, L, XL, XXL</v>
      </c>
      <c r="Y386" t="str">
        <f>IF(Table2[[#This Row],[Column1]]&gt;50%,"HIGH DISCOUNT","LOW DISCOUNT")</f>
        <v>HIGH DISCOUNT</v>
      </c>
    </row>
    <row r="387" spans="1:25" x14ac:dyDescent="0.25">
      <c r="A387" s="2" t="s">
        <v>994</v>
      </c>
      <c r="B387" s="2">
        <v>2444566</v>
      </c>
      <c r="C387" s="2" t="s">
        <v>47</v>
      </c>
      <c r="D387" s="2" t="s">
        <v>28</v>
      </c>
      <c r="E387" s="2" t="s">
        <v>29</v>
      </c>
      <c r="F387" s="2" t="s">
        <v>17</v>
      </c>
      <c r="G387" s="2" t="s">
        <v>995</v>
      </c>
      <c r="H387">
        <v>1209</v>
      </c>
      <c r="I387" s="2">
        <v>2199</v>
      </c>
      <c r="J387" s="2" t="s">
        <v>19</v>
      </c>
      <c r="K387" s="2" t="s">
        <v>253</v>
      </c>
      <c r="L387" s="2">
        <v>3.6</v>
      </c>
      <c r="M387" s="2">
        <v>925</v>
      </c>
      <c r="P387" t="str">
        <f t="shared" ref="P387:P450" si="27">TRIM(SUBSTITUTE(SUBSTITUTE(SUBSTITUTE(SUBSTITUTE(J387,"OFF",""),"Rs.",""),"Hurry*",""),",",""))</f>
        <v>45%</v>
      </c>
      <c r="Q387" s="12">
        <f t="shared" si="24"/>
        <v>0.45</v>
      </c>
      <c r="R387" s="9">
        <f t="shared" si="25"/>
        <v>1209.4499999999998</v>
      </c>
      <c r="S387" s="9">
        <f>IF(R387="",AVERAGEIF(Table1[Category],Table1[[#This Row],[Category]],Table2[orignal data]),Table2[[#This Row],[orignal data]])</f>
        <v>1209.4499999999998</v>
      </c>
      <c r="T387" t="str">
        <f t="shared" si="26"/>
        <v>UNIQUE</v>
      </c>
      <c r="U387" t="str">
        <f>IF(ISBLANK(Table1[[#This Row],[SizeOption]]),"NOT AVAILABLE",Table1[[#This Row],[SizeOption]])</f>
        <v>38, 40, 42, 44</v>
      </c>
      <c r="Y387" t="str">
        <f>IF(Table2[[#This Row],[Column1]]&gt;50%,"HIGH DISCOUNT","LOW DISCOUNT")</f>
        <v>LOW DISCOUNT</v>
      </c>
    </row>
    <row r="388" spans="1:25" x14ac:dyDescent="0.25">
      <c r="A388" s="1" t="s">
        <v>996</v>
      </c>
      <c r="B388" s="1">
        <v>11735666</v>
      </c>
      <c r="C388" s="1" t="s">
        <v>184</v>
      </c>
      <c r="D388" s="1" t="s">
        <v>41</v>
      </c>
      <c r="E388" s="1" t="s">
        <v>48</v>
      </c>
      <c r="F388" s="1" t="s">
        <v>36</v>
      </c>
      <c r="G388" s="1" t="s">
        <v>997</v>
      </c>
      <c r="I388" s="1">
        <v>699</v>
      </c>
      <c r="J388" s="1" t="s">
        <v>84</v>
      </c>
      <c r="K388" s="1" t="s">
        <v>39</v>
      </c>
      <c r="L388" s="1">
        <v>4.3</v>
      </c>
      <c r="M388" s="1">
        <v>925</v>
      </c>
      <c r="P388" t="str">
        <f t="shared" si="27"/>
        <v>50%</v>
      </c>
      <c r="Q388" s="12">
        <f t="shared" si="24"/>
        <v>0.5</v>
      </c>
      <c r="R388" s="9">
        <f t="shared" si="25"/>
        <v>349.5</v>
      </c>
      <c r="S388" s="9">
        <f>IF(R388="",AVERAGEIF(Table1[Category],Table1[[#This Row],[Category]],Table2[orignal data]),Table2[[#This Row],[orignal data]])</f>
        <v>349.5</v>
      </c>
      <c r="T388" t="str">
        <f t="shared" si="26"/>
        <v>UNIQUE</v>
      </c>
      <c r="U388" t="str">
        <f>IF(ISBLANK(Table1[[#This Row],[SizeOption]]),"NOT AVAILABLE",Table1[[#This Row],[SizeOption]])</f>
        <v>S, M, L, XL, XXL</v>
      </c>
      <c r="Y388" t="str">
        <f>IF(Table2[[#This Row],[Column1]]&gt;50%,"HIGH DISCOUNT","LOW DISCOUNT")</f>
        <v>LOW DISCOUNT</v>
      </c>
    </row>
    <row r="389" spans="1:25" x14ac:dyDescent="0.25">
      <c r="A389" s="2" t="s">
        <v>998</v>
      </c>
      <c r="B389" s="2">
        <v>13377766</v>
      </c>
      <c r="C389" s="2" t="s">
        <v>206</v>
      </c>
      <c r="D389" s="2" t="s">
        <v>41</v>
      </c>
      <c r="E389" s="2" t="s">
        <v>48</v>
      </c>
      <c r="F389" s="2" t="s">
        <v>36</v>
      </c>
      <c r="G389" s="2" t="s">
        <v>999</v>
      </c>
      <c r="I389" s="2">
        <v>999</v>
      </c>
      <c r="J389" s="2" t="s">
        <v>758</v>
      </c>
      <c r="K389" s="2" t="s">
        <v>45</v>
      </c>
      <c r="L389" s="2">
        <v>4.2</v>
      </c>
      <c r="M389" s="2">
        <v>925</v>
      </c>
      <c r="P389" t="str">
        <f t="shared" si="27"/>
        <v>47%</v>
      </c>
      <c r="Q389" s="12">
        <f t="shared" si="24"/>
        <v>0.47</v>
      </c>
      <c r="R389" s="9">
        <f t="shared" si="25"/>
        <v>529.47</v>
      </c>
      <c r="S389" s="9">
        <f>IF(R389="",AVERAGEIF(Table1[Category],Table1[[#This Row],[Category]],Table2[orignal data]),Table2[[#This Row],[orignal data]])</f>
        <v>529.47</v>
      </c>
      <c r="T389" t="str">
        <f t="shared" si="26"/>
        <v>UNIQUE</v>
      </c>
      <c r="U389" t="str">
        <f>IF(ISBLANK(Table1[[#This Row],[SizeOption]]),"NOT AVAILABLE",Table1[[#This Row],[SizeOption]])</f>
        <v>XS, S, M, L, XL</v>
      </c>
      <c r="Y389" t="str">
        <f>IF(Table2[[#This Row],[Column1]]&gt;50%,"HIGH DISCOUNT","LOW DISCOUNT")</f>
        <v>LOW DISCOUNT</v>
      </c>
    </row>
    <row r="390" spans="1:25" x14ac:dyDescent="0.25">
      <c r="A390" s="1" t="s">
        <v>1000</v>
      </c>
      <c r="B390" s="1">
        <v>1912701</v>
      </c>
      <c r="C390" s="1" t="s">
        <v>67</v>
      </c>
      <c r="D390" s="1" t="s">
        <v>15</v>
      </c>
      <c r="E390" s="1" t="s">
        <v>23</v>
      </c>
      <c r="F390" s="1" t="s">
        <v>17</v>
      </c>
      <c r="G390" s="1" t="s">
        <v>1001</v>
      </c>
      <c r="H390">
        <v>1104</v>
      </c>
      <c r="I390" s="1">
        <v>1699</v>
      </c>
      <c r="J390" s="1" t="s">
        <v>44</v>
      </c>
      <c r="K390" s="1" t="s">
        <v>39</v>
      </c>
      <c r="L390" s="1">
        <v>3.9</v>
      </c>
      <c r="M390" s="1">
        <v>924</v>
      </c>
      <c r="P390" t="str">
        <f t="shared" si="27"/>
        <v>35%</v>
      </c>
      <c r="Q390" s="12">
        <f t="shared" si="24"/>
        <v>0.35</v>
      </c>
      <c r="R390" s="9">
        <f t="shared" si="25"/>
        <v>1104.3499999999999</v>
      </c>
      <c r="S390" s="9">
        <f>IF(R390="",AVERAGEIF(Table1[Category],Table1[[#This Row],[Category]],Table2[orignal data]),Table2[[#This Row],[orignal data]])</f>
        <v>1104.3499999999999</v>
      </c>
      <c r="T390" t="str">
        <f t="shared" si="26"/>
        <v>UNIQUE</v>
      </c>
      <c r="U390" t="str">
        <f>IF(ISBLANK(Table1[[#This Row],[SizeOption]]),"NOT AVAILABLE",Table1[[#This Row],[SizeOption]])</f>
        <v>S, M, L, XL, XXL</v>
      </c>
      <c r="Y390" t="str">
        <f>IF(Table2[[#This Row],[Column1]]&gt;50%,"HIGH DISCOUNT","LOW DISCOUNT")</f>
        <v>LOW DISCOUNT</v>
      </c>
    </row>
    <row r="391" spans="1:25" x14ac:dyDescent="0.25">
      <c r="A391" s="2" t="s">
        <v>1002</v>
      </c>
      <c r="B391" s="2">
        <v>13819100</v>
      </c>
      <c r="C391" s="2" t="s">
        <v>1003</v>
      </c>
      <c r="D391" s="2" t="s">
        <v>28</v>
      </c>
      <c r="E391" s="2" t="s">
        <v>42</v>
      </c>
      <c r="F391" s="2" t="s">
        <v>17</v>
      </c>
      <c r="G391" s="2" t="s">
        <v>1004</v>
      </c>
      <c r="H391">
        <v>449</v>
      </c>
      <c r="I391" s="2">
        <v>499</v>
      </c>
      <c r="J391" s="2" t="s">
        <v>1005</v>
      </c>
      <c r="K391" s="2" t="s">
        <v>234</v>
      </c>
      <c r="L391" s="2">
        <v>4.0999999999999996</v>
      </c>
      <c r="M391" s="2">
        <v>924</v>
      </c>
      <c r="P391" t="str">
        <f t="shared" si="27"/>
        <v>10%</v>
      </c>
      <c r="Q391" s="12">
        <f t="shared" si="24"/>
        <v>0.1</v>
      </c>
      <c r="R391" s="9">
        <f t="shared" si="25"/>
        <v>449.1</v>
      </c>
      <c r="S391" s="9">
        <f>IF(R391="",AVERAGEIF(Table1[Category],Table1[[#This Row],[Category]],Table2[orignal data]),Table2[[#This Row],[orignal data]])</f>
        <v>449.1</v>
      </c>
      <c r="T391" t="str">
        <f t="shared" si="26"/>
        <v>UNIQUE</v>
      </c>
      <c r="U391" t="str">
        <f>IF(ISBLANK(Table1[[#This Row],[SizeOption]]),"NOT AVAILABLE",Table1[[#This Row],[SizeOption]])</f>
        <v>S, M, L, XL, XXL, 3XL</v>
      </c>
      <c r="Y391" t="str">
        <f>IF(Table2[[#This Row],[Column1]]&gt;50%,"HIGH DISCOUNT","LOW DISCOUNT")</f>
        <v>LOW DISCOUNT</v>
      </c>
    </row>
    <row r="392" spans="1:25" x14ac:dyDescent="0.25">
      <c r="A392" s="1" t="s">
        <v>1006</v>
      </c>
      <c r="B392" s="1">
        <v>11398830</v>
      </c>
      <c r="C392" s="1" t="s">
        <v>14</v>
      </c>
      <c r="D392" s="1" t="s">
        <v>41</v>
      </c>
      <c r="E392" s="1" t="s">
        <v>42</v>
      </c>
      <c r="F392" s="1" t="s">
        <v>36</v>
      </c>
      <c r="G392" s="1" t="s">
        <v>1007</v>
      </c>
      <c r="I392" s="1">
        <v>799</v>
      </c>
      <c r="J392" s="1" t="s">
        <v>150</v>
      </c>
      <c r="K392" s="1" t="s">
        <v>45</v>
      </c>
      <c r="L392" s="1">
        <v>4</v>
      </c>
      <c r="M392" s="1">
        <v>924</v>
      </c>
      <c r="P392" t="str">
        <f t="shared" si="27"/>
        <v>65%</v>
      </c>
      <c r="Q392" s="12">
        <f t="shared" si="24"/>
        <v>0.65</v>
      </c>
      <c r="R392" s="9">
        <f t="shared" si="25"/>
        <v>279.64999999999998</v>
      </c>
      <c r="S392" s="9">
        <f>IF(R392="",AVERAGEIF(Table1[Category],Table1[[#This Row],[Category]],Table2[orignal data]),Table2[[#This Row],[orignal data]])</f>
        <v>279.64999999999998</v>
      </c>
      <c r="T392" t="str">
        <f t="shared" si="26"/>
        <v>UNIQUE</v>
      </c>
      <c r="U392" t="str">
        <f>IF(ISBLANK(Table1[[#This Row],[SizeOption]]),"NOT AVAILABLE",Table1[[#This Row],[SizeOption]])</f>
        <v>XS, S, M, L, XL</v>
      </c>
      <c r="Y392" t="str">
        <f>IF(Table2[[#This Row],[Column1]]&gt;50%,"HIGH DISCOUNT","LOW DISCOUNT")</f>
        <v>HIGH DISCOUNT</v>
      </c>
    </row>
    <row r="393" spans="1:25" x14ac:dyDescent="0.25">
      <c r="A393" s="2" t="s">
        <v>1008</v>
      </c>
      <c r="B393" s="2">
        <v>1396021</v>
      </c>
      <c r="C393" s="2" t="s">
        <v>14</v>
      </c>
      <c r="D393" s="2" t="s">
        <v>28</v>
      </c>
      <c r="E393" s="2" t="s">
        <v>42</v>
      </c>
      <c r="F393" s="2" t="s">
        <v>17</v>
      </c>
      <c r="G393" s="2" t="s">
        <v>1009</v>
      </c>
      <c r="H393">
        <v>629</v>
      </c>
      <c r="I393" s="2">
        <v>1399</v>
      </c>
      <c r="J393" s="2" t="s">
        <v>25</v>
      </c>
      <c r="K393" s="2" t="s">
        <v>73</v>
      </c>
      <c r="L393" s="2">
        <v>4.2</v>
      </c>
      <c r="M393" s="2">
        <v>923</v>
      </c>
      <c r="P393" t="str">
        <f t="shared" si="27"/>
        <v>55%</v>
      </c>
      <c r="Q393" s="12">
        <f t="shared" si="24"/>
        <v>0.55000000000000004</v>
      </c>
      <c r="R393" s="9">
        <f t="shared" si="25"/>
        <v>629.54999999999995</v>
      </c>
      <c r="S393" s="9">
        <f>IF(R393="",AVERAGEIF(Table1[Category],Table1[[#This Row],[Category]],Table2[orignal data]),Table2[[#This Row],[orignal data]])</f>
        <v>629.54999999999995</v>
      </c>
      <c r="T393" t="str">
        <f t="shared" si="26"/>
        <v>UNIQUE</v>
      </c>
      <c r="U393" t="str">
        <f>IF(ISBLANK(Table1[[#This Row],[SizeOption]]),"NOT AVAILABLE",Table1[[#This Row],[SizeOption]])</f>
        <v>XS, S, M, L, XL, XXL, 3XL, 4XL</v>
      </c>
      <c r="Y393" t="str">
        <f>IF(Table2[[#This Row],[Column1]]&gt;50%,"HIGH DISCOUNT","LOW DISCOUNT")</f>
        <v>HIGH DISCOUNT</v>
      </c>
    </row>
    <row r="394" spans="1:25" x14ac:dyDescent="0.25">
      <c r="A394" s="1" t="s">
        <v>1010</v>
      </c>
      <c r="B394" s="1">
        <v>11183816</v>
      </c>
      <c r="C394" s="1" t="s">
        <v>107</v>
      </c>
      <c r="D394" s="1" t="s">
        <v>41</v>
      </c>
      <c r="E394" s="1" t="s">
        <v>148</v>
      </c>
      <c r="F394" s="1" t="s">
        <v>36</v>
      </c>
      <c r="G394" s="1" t="s">
        <v>1011</v>
      </c>
      <c r="I394" s="1">
        <v>1999</v>
      </c>
      <c r="J394" s="1" t="s">
        <v>55</v>
      </c>
      <c r="K394" s="1" t="s">
        <v>45</v>
      </c>
      <c r="L394" s="1">
        <v>4.0999999999999996</v>
      </c>
      <c r="M394" s="1">
        <v>923</v>
      </c>
      <c r="P394" t="str">
        <f t="shared" si="27"/>
        <v>60%</v>
      </c>
      <c r="Q394" s="12">
        <f t="shared" si="24"/>
        <v>0.6</v>
      </c>
      <c r="R394" s="9">
        <f t="shared" si="25"/>
        <v>799.60000000000014</v>
      </c>
      <c r="S394" s="9">
        <f>IF(R394="",AVERAGEIF(Table1[Category],Table1[[#This Row],[Category]],Table2[orignal data]),Table2[[#This Row],[orignal data]])</f>
        <v>799.60000000000014</v>
      </c>
      <c r="T394" t="str">
        <f t="shared" si="26"/>
        <v>UNIQUE</v>
      </c>
      <c r="U394" t="str">
        <f>IF(ISBLANK(Table1[[#This Row],[SizeOption]]),"NOT AVAILABLE",Table1[[#This Row],[SizeOption]])</f>
        <v>XS, S, M, L, XL</v>
      </c>
      <c r="Y394" t="str">
        <f>IF(Table2[[#This Row],[Column1]]&gt;50%,"HIGH DISCOUNT","LOW DISCOUNT")</f>
        <v>HIGH DISCOUNT</v>
      </c>
    </row>
    <row r="395" spans="1:25" x14ac:dyDescent="0.25">
      <c r="A395" s="2" t="s">
        <v>1012</v>
      </c>
      <c r="B395" s="2">
        <v>13250072</v>
      </c>
      <c r="C395" s="2" t="s">
        <v>1013</v>
      </c>
      <c r="D395" s="2" t="s">
        <v>76</v>
      </c>
      <c r="E395" s="2" t="s">
        <v>77</v>
      </c>
      <c r="F395" s="2" t="s">
        <v>36</v>
      </c>
      <c r="G395" s="2" t="s">
        <v>1014</v>
      </c>
      <c r="H395">
        <v>1563</v>
      </c>
      <c r="I395" s="2">
        <v>3399</v>
      </c>
      <c r="J395" s="2" t="s">
        <v>606</v>
      </c>
      <c r="K395" s="2" t="s">
        <v>115</v>
      </c>
      <c r="L395" s="2">
        <v>4.4000000000000004</v>
      </c>
      <c r="M395" s="2">
        <v>922</v>
      </c>
      <c r="P395" t="str">
        <f t="shared" si="27"/>
        <v>54%</v>
      </c>
      <c r="Q395" s="12">
        <f t="shared" si="24"/>
        <v>0.54</v>
      </c>
      <c r="R395" s="9">
        <f t="shared" si="25"/>
        <v>1563.54</v>
      </c>
      <c r="S395" s="9">
        <f>IF(R395="",AVERAGEIF(Table1[Category],Table1[[#This Row],[Category]],Table2[orignal data]),Table2[[#This Row],[orignal data]])</f>
        <v>1563.54</v>
      </c>
      <c r="T395" t="str">
        <f t="shared" si="26"/>
        <v>UNIQUE</v>
      </c>
      <c r="U395" t="str">
        <f>IF(ISBLANK(Table1[[#This Row],[SizeOption]]),"NOT AVAILABLE",Table1[[#This Row],[SizeOption]])</f>
        <v>XS, S, M, L, XL, XXL</v>
      </c>
      <c r="Y395" t="str">
        <f>IF(Table2[[#This Row],[Column1]]&gt;50%,"HIGH DISCOUNT","LOW DISCOUNT")</f>
        <v>HIGH DISCOUNT</v>
      </c>
    </row>
    <row r="396" spans="1:25" x14ac:dyDescent="0.25">
      <c r="A396" s="1" t="s">
        <v>1015</v>
      </c>
      <c r="B396" s="1">
        <v>7688063</v>
      </c>
      <c r="C396" s="1" t="s">
        <v>67</v>
      </c>
      <c r="D396" s="1" t="s">
        <v>68</v>
      </c>
      <c r="E396" s="1" t="s">
        <v>42</v>
      </c>
      <c r="F396" s="1" t="s">
        <v>36</v>
      </c>
      <c r="G396" s="1" t="s">
        <v>1016</v>
      </c>
      <c r="H396">
        <v>584</v>
      </c>
      <c r="I396" s="1">
        <v>1299</v>
      </c>
      <c r="J396" s="1" t="s">
        <v>25</v>
      </c>
      <c r="K396" s="1" t="s">
        <v>45</v>
      </c>
      <c r="L396" s="1">
        <v>4.4000000000000004</v>
      </c>
      <c r="M396" s="1">
        <v>922</v>
      </c>
      <c r="P396" t="str">
        <f t="shared" si="27"/>
        <v>55%</v>
      </c>
      <c r="Q396" s="12">
        <f t="shared" si="24"/>
        <v>0.55000000000000004</v>
      </c>
      <c r="R396" s="9">
        <f t="shared" si="25"/>
        <v>584.54999999999995</v>
      </c>
      <c r="S396" s="9">
        <f>IF(R396="",AVERAGEIF(Table1[Category],Table1[[#This Row],[Category]],Table2[orignal data]),Table2[[#This Row],[orignal data]])</f>
        <v>584.54999999999995</v>
      </c>
      <c r="T396" t="str">
        <f t="shared" si="26"/>
        <v>UNIQUE</v>
      </c>
      <c r="U396" t="str">
        <f>IF(ISBLANK(Table1[[#This Row],[SizeOption]]),"NOT AVAILABLE",Table1[[#This Row],[SizeOption]])</f>
        <v>XS, S, M, L, XL</v>
      </c>
      <c r="Y396" t="str">
        <f>IF(Table2[[#This Row],[Column1]]&gt;50%,"HIGH DISCOUNT","LOW DISCOUNT")</f>
        <v>HIGH DISCOUNT</v>
      </c>
    </row>
    <row r="397" spans="1:25" x14ac:dyDescent="0.25">
      <c r="A397" s="2" t="s">
        <v>1017</v>
      </c>
      <c r="B397" s="2">
        <v>13916976</v>
      </c>
      <c r="C397" s="2" t="s">
        <v>952</v>
      </c>
      <c r="D397" s="2" t="s">
        <v>41</v>
      </c>
      <c r="E397" s="2" t="s">
        <v>48</v>
      </c>
      <c r="F397" s="2" t="s">
        <v>36</v>
      </c>
      <c r="G397" s="2" t="s">
        <v>1018</v>
      </c>
      <c r="I397" s="2">
        <v>2549</v>
      </c>
      <c r="J397" s="2" t="s">
        <v>104</v>
      </c>
      <c r="K397" s="2" t="s">
        <v>45</v>
      </c>
      <c r="L397" s="2">
        <v>4.0999999999999996</v>
      </c>
      <c r="M397" s="2">
        <v>922</v>
      </c>
      <c r="P397" t="str">
        <f t="shared" si="27"/>
        <v>61%</v>
      </c>
      <c r="Q397" s="12">
        <f t="shared" si="24"/>
        <v>0.61</v>
      </c>
      <c r="R397" s="9">
        <f t="shared" si="25"/>
        <v>994.11000000000013</v>
      </c>
      <c r="S397" s="9">
        <f>IF(R397="",AVERAGEIF(Table1[Category],Table1[[#This Row],[Category]],Table2[orignal data]),Table2[[#This Row],[orignal data]])</f>
        <v>994.11000000000013</v>
      </c>
      <c r="T397" t="str">
        <f t="shared" si="26"/>
        <v>UNIQUE</v>
      </c>
      <c r="U397" t="str">
        <f>IF(ISBLANK(Table1[[#This Row],[SizeOption]]),"NOT AVAILABLE",Table1[[#This Row],[SizeOption]])</f>
        <v>XS, S, M, L, XL</v>
      </c>
      <c r="Y397" t="str">
        <f>IF(Table2[[#This Row],[Column1]]&gt;50%,"HIGH DISCOUNT","LOW DISCOUNT")</f>
        <v>HIGH DISCOUNT</v>
      </c>
    </row>
    <row r="398" spans="1:25" x14ac:dyDescent="0.25">
      <c r="A398" s="1" t="s">
        <v>1019</v>
      </c>
      <c r="B398" s="1">
        <v>12292256</v>
      </c>
      <c r="C398" s="1" t="s">
        <v>102</v>
      </c>
      <c r="D398" s="1" t="s">
        <v>41</v>
      </c>
      <c r="E398" s="1" t="s">
        <v>53</v>
      </c>
      <c r="F398" s="1" t="s">
        <v>36</v>
      </c>
      <c r="G398" s="1" t="s">
        <v>1020</v>
      </c>
      <c r="I398" s="1">
        <v>999</v>
      </c>
      <c r="J398" s="1" t="s">
        <v>602</v>
      </c>
      <c r="K398" s="1" t="s">
        <v>105</v>
      </c>
      <c r="L398" s="1">
        <v>3.8</v>
      </c>
      <c r="M398" s="1">
        <v>922</v>
      </c>
      <c r="P398" t="str">
        <f t="shared" si="27"/>
        <v>48%</v>
      </c>
      <c r="Q398" s="12">
        <f t="shared" si="24"/>
        <v>0.48</v>
      </c>
      <c r="R398" s="9">
        <f t="shared" si="25"/>
        <v>519.48</v>
      </c>
      <c r="S398" s="9">
        <f>IF(R398="",AVERAGEIF(Table1[Category],Table1[[#This Row],[Category]],Table2[orignal data]),Table2[[#This Row],[orignal data]])</f>
        <v>519.48</v>
      </c>
      <c r="T398" t="str">
        <f t="shared" si="26"/>
        <v>UNIQUE</v>
      </c>
      <c r="U398" t="str">
        <f>IF(ISBLANK(Table1[[#This Row],[SizeOption]]),"NOT AVAILABLE",Table1[[#This Row],[SizeOption]])</f>
        <v>28, 30, 32, 34</v>
      </c>
      <c r="Y398" t="str">
        <f>IF(Table2[[#This Row],[Column1]]&gt;50%,"HIGH DISCOUNT","LOW DISCOUNT")</f>
        <v>LOW DISCOUNT</v>
      </c>
    </row>
    <row r="399" spans="1:25" x14ac:dyDescent="0.25">
      <c r="A399" s="2" t="s">
        <v>1021</v>
      </c>
      <c r="B399" s="2">
        <v>6849362</v>
      </c>
      <c r="C399" s="2" t="s">
        <v>14</v>
      </c>
      <c r="D399" s="2" t="s">
        <v>28</v>
      </c>
      <c r="E399" s="2" t="s">
        <v>29</v>
      </c>
      <c r="F399" s="2" t="s">
        <v>17</v>
      </c>
      <c r="G399" s="2" t="s">
        <v>1022</v>
      </c>
      <c r="H399">
        <v>854</v>
      </c>
      <c r="I399" s="2">
        <v>1899</v>
      </c>
      <c r="J399" s="2" t="s">
        <v>25</v>
      </c>
      <c r="K399" s="2" t="s">
        <v>253</v>
      </c>
      <c r="L399" s="2">
        <v>4.2</v>
      </c>
      <c r="M399" s="2">
        <v>921</v>
      </c>
      <c r="P399" t="str">
        <f t="shared" si="27"/>
        <v>55%</v>
      </c>
      <c r="Q399" s="12">
        <f t="shared" si="24"/>
        <v>0.55000000000000004</v>
      </c>
      <c r="R399" s="9">
        <f t="shared" si="25"/>
        <v>854.55</v>
      </c>
      <c r="S399" s="9">
        <f>IF(R399="",AVERAGEIF(Table1[Category],Table1[[#This Row],[Category]],Table2[orignal data]),Table2[[#This Row],[orignal data]])</f>
        <v>854.55</v>
      </c>
      <c r="T399" t="str">
        <f t="shared" si="26"/>
        <v>UNIQUE</v>
      </c>
      <c r="U399" t="str">
        <f>IF(ISBLANK(Table1[[#This Row],[SizeOption]]),"NOT AVAILABLE",Table1[[#This Row],[SizeOption]])</f>
        <v>38, 40, 42, 44</v>
      </c>
      <c r="Y399" t="str">
        <f>IF(Table2[[#This Row],[Column1]]&gt;50%,"HIGH DISCOUNT","LOW DISCOUNT")</f>
        <v>HIGH DISCOUNT</v>
      </c>
    </row>
    <row r="400" spans="1:25" x14ac:dyDescent="0.25">
      <c r="A400" s="1" t="s">
        <v>1023</v>
      </c>
      <c r="B400" s="1">
        <v>13415698</v>
      </c>
      <c r="C400" s="1" t="s">
        <v>1024</v>
      </c>
      <c r="D400" s="1" t="s">
        <v>76</v>
      </c>
      <c r="E400" s="1" t="s">
        <v>77</v>
      </c>
      <c r="F400" s="1" t="s">
        <v>36</v>
      </c>
      <c r="G400" s="1" t="s">
        <v>1025</v>
      </c>
      <c r="H400">
        <v>1678</v>
      </c>
      <c r="I400" s="1">
        <v>3997</v>
      </c>
      <c r="J400" s="1" t="s">
        <v>60</v>
      </c>
      <c r="K400" s="1" t="s">
        <v>73</v>
      </c>
      <c r="L400" s="1">
        <v>4</v>
      </c>
      <c r="M400" s="1">
        <v>921</v>
      </c>
      <c r="P400" t="str">
        <f t="shared" si="27"/>
        <v>58%</v>
      </c>
      <c r="Q400" s="12">
        <f t="shared" si="24"/>
        <v>0.57999999999999996</v>
      </c>
      <c r="R400" s="9">
        <f t="shared" si="25"/>
        <v>1678.7400000000002</v>
      </c>
      <c r="S400" s="9">
        <f>IF(R400="",AVERAGEIF(Table1[Category],Table1[[#This Row],[Category]],Table2[orignal data]),Table2[[#This Row],[orignal data]])</f>
        <v>1678.7400000000002</v>
      </c>
      <c r="T400" t="str">
        <f t="shared" si="26"/>
        <v>UNIQUE</v>
      </c>
      <c r="U400" t="str">
        <f>IF(ISBLANK(Table1[[#This Row],[SizeOption]]),"NOT AVAILABLE",Table1[[#This Row],[SizeOption]])</f>
        <v>XS, S, M, L, XL, XXL, 3XL, 4XL</v>
      </c>
      <c r="Y400" t="str">
        <f>IF(Table2[[#This Row],[Column1]]&gt;50%,"HIGH DISCOUNT","LOW DISCOUNT")</f>
        <v>HIGH DISCOUNT</v>
      </c>
    </row>
    <row r="401" spans="1:25" x14ac:dyDescent="0.25">
      <c r="A401" s="2" t="s">
        <v>1026</v>
      </c>
      <c r="B401" s="2">
        <v>16331376</v>
      </c>
      <c r="C401" s="2" t="s">
        <v>75</v>
      </c>
      <c r="D401" s="2" t="s">
        <v>76</v>
      </c>
      <c r="E401" s="2" t="s">
        <v>77</v>
      </c>
      <c r="F401" s="2" t="s">
        <v>36</v>
      </c>
      <c r="G401" s="2" t="s">
        <v>1027</v>
      </c>
      <c r="H401">
        <v>1861</v>
      </c>
      <c r="I401" s="2">
        <v>4899</v>
      </c>
      <c r="J401" s="2" t="s">
        <v>126</v>
      </c>
      <c r="K401" s="2" t="s">
        <v>39</v>
      </c>
      <c r="L401" s="2">
        <v>4.0999999999999996</v>
      </c>
      <c r="M401" s="2">
        <v>921</v>
      </c>
      <c r="P401" t="str">
        <f t="shared" si="27"/>
        <v>62%</v>
      </c>
      <c r="Q401" s="12">
        <f t="shared" si="24"/>
        <v>0.62</v>
      </c>
      <c r="R401" s="9">
        <f t="shared" si="25"/>
        <v>1861.62</v>
      </c>
      <c r="S401" s="9">
        <f>IF(R401="",AVERAGEIF(Table1[Category],Table1[[#This Row],[Category]],Table2[orignal data]),Table2[[#This Row],[orignal data]])</f>
        <v>1861.62</v>
      </c>
      <c r="T401" t="str">
        <f t="shared" si="26"/>
        <v>UNIQUE</v>
      </c>
      <c r="U401" t="str">
        <f>IF(ISBLANK(Table1[[#This Row],[SizeOption]]),"NOT AVAILABLE",Table1[[#This Row],[SizeOption]])</f>
        <v>S, M, L, XL, XXL</v>
      </c>
      <c r="Y401" t="str">
        <f>IF(Table2[[#This Row],[Column1]]&gt;50%,"HIGH DISCOUNT","LOW DISCOUNT")</f>
        <v>HIGH DISCOUNT</v>
      </c>
    </row>
    <row r="402" spans="1:25" x14ac:dyDescent="0.25">
      <c r="A402" s="1" t="s">
        <v>1028</v>
      </c>
      <c r="B402" s="1">
        <v>12965938</v>
      </c>
      <c r="C402" s="1" t="s">
        <v>784</v>
      </c>
      <c r="D402" s="1" t="s">
        <v>34</v>
      </c>
      <c r="E402" s="1" t="s">
        <v>518</v>
      </c>
      <c r="F402" s="1" t="s">
        <v>36</v>
      </c>
      <c r="G402" s="1" t="s">
        <v>1029</v>
      </c>
      <c r="I402" s="1">
        <v>799</v>
      </c>
      <c r="J402" s="1"/>
      <c r="K402" s="1" t="s">
        <v>100</v>
      </c>
      <c r="L402" s="1">
        <v>4.5</v>
      </c>
      <c r="M402" s="1">
        <v>921</v>
      </c>
      <c r="P402" t="str">
        <f t="shared" si="27"/>
        <v/>
      </c>
      <c r="Q402" s="12" t="str">
        <f t="shared" si="24"/>
        <v/>
      </c>
      <c r="R402" s="9" t="str">
        <f t="shared" si="25"/>
        <v/>
      </c>
      <c r="S402" s="9">
        <f>IF(R402="",AVERAGEIF(Table1[Category],Table1[[#This Row],[Category]],Table2[orignal data]),Table2[[#This Row],[orignal data]])</f>
        <v>608.88518518518481</v>
      </c>
      <c r="T402" t="str">
        <f t="shared" si="26"/>
        <v>UNIQUE</v>
      </c>
      <c r="U402" t="str">
        <f>IF(ISBLANK(Table1[[#This Row],[SizeOption]]),"NOT AVAILABLE",Table1[[#This Row],[SizeOption]])</f>
        <v>XS, S, M, L, XL, XXL, 3XL</v>
      </c>
      <c r="Y402" t="str">
        <f>IF(Table2[[#This Row],[Column1]]&gt;50%,"HIGH DISCOUNT","LOW DISCOUNT")</f>
        <v>HIGH DISCOUNT</v>
      </c>
    </row>
    <row r="403" spans="1:25" x14ac:dyDescent="0.25">
      <c r="A403" s="2" t="s">
        <v>1030</v>
      </c>
      <c r="B403" s="2">
        <v>17385514</v>
      </c>
      <c r="C403" s="2" t="s">
        <v>14</v>
      </c>
      <c r="D403" s="2" t="s">
        <v>41</v>
      </c>
      <c r="E403" s="2" t="s">
        <v>42</v>
      </c>
      <c r="F403" s="2" t="s">
        <v>36</v>
      </c>
      <c r="G403" s="2" t="s">
        <v>111</v>
      </c>
      <c r="I403" s="2">
        <v>1398</v>
      </c>
      <c r="J403" s="2" t="s">
        <v>84</v>
      </c>
      <c r="K403" s="2" t="s">
        <v>45</v>
      </c>
      <c r="L403" s="2">
        <v>4.0999999999999996</v>
      </c>
      <c r="M403" s="2">
        <v>921</v>
      </c>
      <c r="P403" t="str">
        <f t="shared" si="27"/>
        <v>50%</v>
      </c>
      <c r="Q403" s="12">
        <f t="shared" si="24"/>
        <v>0.5</v>
      </c>
      <c r="R403" s="9">
        <f t="shared" si="25"/>
        <v>699</v>
      </c>
      <c r="S403" s="9">
        <f>IF(R403="",AVERAGEIF(Table1[Category],Table1[[#This Row],[Category]],Table2[orignal data]),Table2[[#This Row],[orignal data]])</f>
        <v>699</v>
      </c>
      <c r="T403" t="str">
        <f t="shared" si="26"/>
        <v>UNIQUE</v>
      </c>
      <c r="U403" t="str">
        <f>IF(ISBLANK(Table1[[#This Row],[SizeOption]]),"NOT AVAILABLE",Table1[[#This Row],[SizeOption]])</f>
        <v>XS, S, M, L, XL</v>
      </c>
      <c r="Y403" t="str">
        <f>IF(Table2[[#This Row],[Column1]]&gt;50%,"HIGH DISCOUNT","LOW DISCOUNT")</f>
        <v>LOW DISCOUNT</v>
      </c>
    </row>
    <row r="404" spans="1:25" x14ac:dyDescent="0.25">
      <c r="A404" s="1" t="s">
        <v>1031</v>
      </c>
      <c r="B404" s="1">
        <v>7255283</v>
      </c>
      <c r="C404" s="1" t="s">
        <v>430</v>
      </c>
      <c r="D404" s="1" t="s">
        <v>41</v>
      </c>
      <c r="E404" s="1" t="s">
        <v>16</v>
      </c>
      <c r="F404" s="1" t="s">
        <v>36</v>
      </c>
      <c r="G404" s="1" t="s">
        <v>1032</v>
      </c>
      <c r="I404" s="1">
        <v>1899</v>
      </c>
      <c r="J404" s="1" t="s">
        <v>55</v>
      </c>
      <c r="K404" s="1" t="s">
        <v>428</v>
      </c>
      <c r="L404" s="1">
        <v>4.2</v>
      </c>
      <c r="M404" s="1">
        <v>921</v>
      </c>
      <c r="P404" t="str">
        <f t="shared" si="27"/>
        <v>60%</v>
      </c>
      <c r="Q404" s="12">
        <f t="shared" si="24"/>
        <v>0.6</v>
      </c>
      <c r="R404" s="9">
        <f t="shared" si="25"/>
        <v>759.60000000000014</v>
      </c>
      <c r="S404" s="9">
        <f>IF(R404="",AVERAGEIF(Table1[Category],Table1[[#This Row],[Category]],Table2[orignal data]),Table2[[#This Row],[orignal data]])</f>
        <v>759.60000000000014</v>
      </c>
      <c r="T404" t="str">
        <f t="shared" si="26"/>
        <v>UNIQUE</v>
      </c>
      <c r="U404" t="str">
        <f>IF(ISBLANK(Table1[[#This Row],[SizeOption]]),"NOT AVAILABLE",Table1[[#This Row],[SizeOption]])</f>
        <v>26, 28, 30, 32, 34</v>
      </c>
      <c r="Y404" t="str">
        <f>IF(Table2[[#This Row],[Column1]]&gt;50%,"HIGH DISCOUNT","LOW DISCOUNT")</f>
        <v>HIGH DISCOUNT</v>
      </c>
    </row>
    <row r="405" spans="1:25" x14ac:dyDescent="0.25">
      <c r="A405" s="2" t="s">
        <v>1033</v>
      </c>
      <c r="B405" s="2">
        <v>6831717</v>
      </c>
      <c r="C405" s="2" t="s">
        <v>14</v>
      </c>
      <c r="D405" s="2" t="s">
        <v>41</v>
      </c>
      <c r="E405" s="2" t="s">
        <v>16</v>
      </c>
      <c r="F405" s="2" t="s">
        <v>36</v>
      </c>
      <c r="G405" s="2" t="s">
        <v>313</v>
      </c>
      <c r="I405" s="2">
        <v>2099</v>
      </c>
      <c r="J405" s="2" t="s">
        <v>150</v>
      </c>
      <c r="K405" s="2" t="s">
        <v>134</v>
      </c>
      <c r="L405" s="2">
        <v>4</v>
      </c>
      <c r="M405" s="2">
        <v>921</v>
      </c>
      <c r="P405" t="str">
        <f t="shared" si="27"/>
        <v>65%</v>
      </c>
      <c r="Q405" s="12">
        <f t="shared" si="24"/>
        <v>0.65</v>
      </c>
      <c r="R405" s="9">
        <f t="shared" si="25"/>
        <v>734.64999999999986</v>
      </c>
      <c r="S405" s="9">
        <f>IF(R405="",AVERAGEIF(Table1[Category],Table1[[#This Row],[Category]],Table2[orignal data]),Table2[[#This Row],[orignal data]])</f>
        <v>734.64999999999986</v>
      </c>
      <c r="T405" t="str">
        <f t="shared" si="26"/>
        <v>UNIQUE</v>
      </c>
      <c r="U405" t="str">
        <f>IF(ISBLANK(Table1[[#This Row],[SizeOption]]),"NOT AVAILABLE",Table1[[#This Row],[SizeOption]])</f>
        <v>26, 28, 30, 32, 34, 36</v>
      </c>
      <c r="Y405" t="str">
        <f>IF(Table2[[#This Row],[Column1]]&gt;50%,"HIGH DISCOUNT","LOW DISCOUNT")</f>
        <v>HIGH DISCOUNT</v>
      </c>
    </row>
    <row r="406" spans="1:25" x14ac:dyDescent="0.25">
      <c r="A406" s="1" t="s">
        <v>1034</v>
      </c>
      <c r="B406" s="1">
        <v>14154082</v>
      </c>
      <c r="C406" s="1" t="s">
        <v>102</v>
      </c>
      <c r="D406" s="1" t="s">
        <v>41</v>
      </c>
      <c r="E406" s="1" t="s">
        <v>23</v>
      </c>
      <c r="F406" s="1" t="s">
        <v>36</v>
      </c>
      <c r="G406" s="1" t="s">
        <v>1035</v>
      </c>
      <c r="I406" s="1">
        <v>999</v>
      </c>
      <c r="J406" s="1" t="s">
        <v>89</v>
      </c>
      <c r="K406" s="1" t="s">
        <v>26</v>
      </c>
      <c r="L406" s="1">
        <v>4.2</v>
      </c>
      <c r="M406" s="1">
        <v>921</v>
      </c>
      <c r="P406" t="str">
        <f t="shared" si="27"/>
        <v>53%</v>
      </c>
      <c r="Q406" s="12">
        <f t="shared" si="24"/>
        <v>0.53</v>
      </c>
      <c r="R406" s="9">
        <f t="shared" si="25"/>
        <v>469.53</v>
      </c>
      <c r="S406" s="9">
        <f>IF(R406="",AVERAGEIF(Table1[Category],Table1[[#This Row],[Category]],Table2[orignal data]),Table2[[#This Row],[orignal data]])</f>
        <v>469.53</v>
      </c>
      <c r="T406" t="str">
        <f t="shared" si="26"/>
        <v>UNIQUE</v>
      </c>
      <c r="U406" t="str">
        <f>IF(ISBLANK(Table1[[#This Row],[SizeOption]]),"NOT AVAILABLE",Table1[[#This Row],[SizeOption]])</f>
        <v>S, M, L, XL</v>
      </c>
      <c r="Y406" t="str">
        <f>IF(Table2[[#This Row],[Column1]]&gt;50%,"HIGH DISCOUNT","LOW DISCOUNT")</f>
        <v>HIGH DISCOUNT</v>
      </c>
    </row>
    <row r="407" spans="1:25" x14ac:dyDescent="0.25">
      <c r="A407" s="2" t="s">
        <v>1036</v>
      </c>
      <c r="B407" s="2">
        <v>10248053</v>
      </c>
      <c r="C407" s="2" t="s">
        <v>794</v>
      </c>
      <c r="D407" s="2" t="s">
        <v>197</v>
      </c>
      <c r="E407" s="2" t="s">
        <v>296</v>
      </c>
      <c r="F407" s="2" t="s">
        <v>17</v>
      </c>
      <c r="G407" s="2" t="s">
        <v>1037</v>
      </c>
      <c r="I407" s="2">
        <v>319</v>
      </c>
      <c r="J407" s="2"/>
      <c r="K407" s="2" t="s">
        <v>352</v>
      </c>
      <c r="L407" s="2">
        <v>3.7</v>
      </c>
      <c r="M407" s="2">
        <v>920</v>
      </c>
      <c r="P407" t="str">
        <f t="shared" si="27"/>
        <v/>
      </c>
      <c r="Q407" s="12" t="str">
        <f t="shared" si="24"/>
        <v/>
      </c>
      <c r="R407" s="9" t="str">
        <f t="shared" si="25"/>
        <v/>
      </c>
      <c r="S407" s="9">
        <f>IF(R407="",AVERAGEIF(Table1[Category],Table1[[#This Row],[Category]],Table2[orignal data]),Table2[[#This Row],[orignal data]])</f>
        <v>552.70900000000006</v>
      </c>
      <c r="T407" t="str">
        <f t="shared" si="26"/>
        <v>UNIQUE</v>
      </c>
      <c r="U407" t="str">
        <f>IF(ISBLANK(Table1[[#This Row],[SizeOption]]),"NOT AVAILABLE",Table1[[#This Row],[SizeOption]])</f>
        <v>S, M, L</v>
      </c>
      <c r="Y407" t="str">
        <f>IF(Table2[[#This Row],[Column1]]&gt;50%,"HIGH DISCOUNT","LOW DISCOUNT")</f>
        <v>HIGH DISCOUNT</v>
      </c>
    </row>
    <row r="408" spans="1:25" x14ac:dyDescent="0.25">
      <c r="A408" s="1" t="s">
        <v>1038</v>
      </c>
      <c r="B408" s="1">
        <v>10054361</v>
      </c>
      <c r="C408" s="1" t="s">
        <v>397</v>
      </c>
      <c r="D408" s="1" t="s">
        <v>76</v>
      </c>
      <c r="E408" s="1" t="s">
        <v>93</v>
      </c>
      <c r="F408" s="1" t="s">
        <v>36</v>
      </c>
      <c r="G408" s="1" t="s">
        <v>398</v>
      </c>
      <c r="H408">
        <v>659</v>
      </c>
      <c r="I408" s="1">
        <v>1199</v>
      </c>
      <c r="J408" s="1" t="s">
        <v>19</v>
      </c>
      <c r="K408" s="1" t="s">
        <v>234</v>
      </c>
      <c r="L408" s="1">
        <v>4.3</v>
      </c>
      <c r="M408" s="1">
        <v>920</v>
      </c>
      <c r="P408" t="str">
        <f t="shared" si="27"/>
        <v>45%</v>
      </c>
      <c r="Q408" s="12">
        <f t="shared" si="24"/>
        <v>0.45</v>
      </c>
      <c r="R408" s="9">
        <f t="shared" si="25"/>
        <v>659.44999999999993</v>
      </c>
      <c r="S408" s="9">
        <f>IF(R408="",AVERAGEIF(Table1[Category],Table1[[#This Row],[Category]],Table2[orignal data]),Table2[[#This Row],[orignal data]])</f>
        <v>659.44999999999993</v>
      </c>
      <c r="T408" t="str">
        <f t="shared" si="26"/>
        <v>UNIQUE</v>
      </c>
      <c r="U408" t="str">
        <f>IF(ISBLANK(Table1[[#This Row],[SizeOption]]),"NOT AVAILABLE",Table1[[#This Row],[SizeOption]])</f>
        <v>S, M, L, XL, XXL, 3XL</v>
      </c>
      <c r="Y408" t="str">
        <f>IF(Table2[[#This Row],[Column1]]&gt;50%,"HIGH DISCOUNT","LOW DISCOUNT")</f>
        <v>LOW DISCOUNT</v>
      </c>
    </row>
    <row r="409" spans="1:25" x14ac:dyDescent="0.25">
      <c r="A409" s="2" t="s">
        <v>1039</v>
      </c>
      <c r="B409" s="2">
        <v>13007406</v>
      </c>
      <c r="C409" s="2" t="s">
        <v>64</v>
      </c>
      <c r="D409" s="2" t="s">
        <v>98</v>
      </c>
      <c r="E409" s="2" t="s">
        <v>93</v>
      </c>
      <c r="F409" s="2" t="s">
        <v>36</v>
      </c>
      <c r="G409" s="2" t="s">
        <v>1040</v>
      </c>
      <c r="H409">
        <v>389</v>
      </c>
      <c r="I409" s="2">
        <v>1299</v>
      </c>
      <c r="J409" s="2" t="s">
        <v>79</v>
      </c>
      <c r="K409" s="2" t="s">
        <v>100</v>
      </c>
      <c r="L409" s="2">
        <v>4.2</v>
      </c>
      <c r="M409" s="2">
        <v>920</v>
      </c>
      <c r="P409" t="str">
        <f t="shared" si="27"/>
        <v>70%</v>
      </c>
      <c r="Q409" s="12">
        <f t="shared" si="24"/>
        <v>0.7</v>
      </c>
      <c r="R409" s="9">
        <f t="shared" si="25"/>
        <v>389.70000000000005</v>
      </c>
      <c r="S409" s="9">
        <f>IF(R409="",AVERAGEIF(Table1[Category],Table1[[#This Row],[Category]],Table2[orignal data]),Table2[[#This Row],[orignal data]])</f>
        <v>389.70000000000005</v>
      </c>
      <c r="T409" t="str">
        <f t="shared" si="26"/>
        <v>UNIQUE</v>
      </c>
      <c r="U409" t="str">
        <f>IF(ISBLANK(Table1[[#This Row],[SizeOption]]),"NOT AVAILABLE",Table1[[#This Row],[SizeOption]])</f>
        <v>XS, S, M, L, XL, XXL, 3XL</v>
      </c>
      <c r="Y409" t="str">
        <f>IF(Table2[[#This Row],[Column1]]&gt;50%,"HIGH DISCOUNT","LOW DISCOUNT")</f>
        <v>HIGH DISCOUNT</v>
      </c>
    </row>
    <row r="410" spans="1:25" x14ac:dyDescent="0.25">
      <c r="A410" s="1" t="s">
        <v>1041</v>
      </c>
      <c r="B410" s="1">
        <v>10926786</v>
      </c>
      <c r="C410" s="1" t="s">
        <v>430</v>
      </c>
      <c r="D410" s="1" t="s">
        <v>41</v>
      </c>
      <c r="E410" s="1" t="s">
        <v>42</v>
      </c>
      <c r="F410" s="1" t="s">
        <v>36</v>
      </c>
      <c r="G410" s="1" t="s">
        <v>1042</v>
      </c>
      <c r="I410" s="1">
        <v>1099</v>
      </c>
      <c r="J410" s="1" t="s">
        <v>25</v>
      </c>
      <c r="K410" s="1" t="s">
        <v>45</v>
      </c>
      <c r="L410" s="1">
        <v>4.4000000000000004</v>
      </c>
      <c r="M410" s="1">
        <v>920</v>
      </c>
      <c r="P410" t="str">
        <f t="shared" si="27"/>
        <v>55%</v>
      </c>
      <c r="Q410" s="12">
        <f t="shared" si="24"/>
        <v>0.55000000000000004</v>
      </c>
      <c r="R410" s="9">
        <f t="shared" si="25"/>
        <v>494.54999999999995</v>
      </c>
      <c r="S410" s="9">
        <f>IF(R410="",AVERAGEIF(Table1[Category],Table1[[#This Row],[Category]],Table2[orignal data]),Table2[[#This Row],[orignal data]])</f>
        <v>494.54999999999995</v>
      </c>
      <c r="T410" t="str">
        <f t="shared" si="26"/>
        <v>UNIQUE</v>
      </c>
      <c r="U410" t="str">
        <f>IF(ISBLANK(Table1[[#This Row],[SizeOption]]),"NOT AVAILABLE",Table1[[#This Row],[SizeOption]])</f>
        <v>XS, S, M, L, XL</v>
      </c>
      <c r="Y410" t="str">
        <f>IF(Table2[[#This Row],[Column1]]&gt;50%,"HIGH DISCOUNT","LOW DISCOUNT")</f>
        <v>HIGH DISCOUNT</v>
      </c>
    </row>
    <row r="411" spans="1:25" x14ac:dyDescent="0.25">
      <c r="A411" s="2" t="s">
        <v>1043</v>
      </c>
      <c r="B411" s="2">
        <v>17381626</v>
      </c>
      <c r="C411" s="2" t="s">
        <v>14</v>
      </c>
      <c r="D411" s="2" t="s">
        <v>41</v>
      </c>
      <c r="E411" s="2" t="s">
        <v>42</v>
      </c>
      <c r="F411" s="2" t="s">
        <v>36</v>
      </c>
      <c r="G411" s="2" t="s">
        <v>696</v>
      </c>
      <c r="I411" s="2">
        <v>1798</v>
      </c>
      <c r="J411" s="2" t="s">
        <v>84</v>
      </c>
      <c r="K411" s="2" t="s">
        <v>45</v>
      </c>
      <c r="L411" s="2">
        <v>4.4000000000000004</v>
      </c>
      <c r="M411" s="2">
        <v>920</v>
      </c>
      <c r="P411" t="str">
        <f t="shared" si="27"/>
        <v>50%</v>
      </c>
      <c r="Q411" s="12">
        <f t="shared" si="24"/>
        <v>0.5</v>
      </c>
      <c r="R411" s="9">
        <f t="shared" si="25"/>
        <v>899</v>
      </c>
      <c r="S411" s="9">
        <f>IF(R411="",AVERAGEIF(Table1[Category],Table1[[#This Row],[Category]],Table2[orignal data]),Table2[[#This Row],[orignal data]])</f>
        <v>899</v>
      </c>
      <c r="T411" t="str">
        <f t="shared" si="26"/>
        <v>UNIQUE</v>
      </c>
      <c r="U411" t="str">
        <f>IF(ISBLANK(Table1[[#This Row],[SizeOption]]),"NOT AVAILABLE",Table1[[#This Row],[SizeOption]])</f>
        <v>XS, S, M, L, XL</v>
      </c>
      <c r="Y411" t="str">
        <f>IF(Table2[[#This Row],[Column1]]&gt;50%,"HIGH DISCOUNT","LOW DISCOUNT")</f>
        <v>LOW DISCOUNT</v>
      </c>
    </row>
    <row r="412" spans="1:25" x14ac:dyDescent="0.25">
      <c r="A412" s="1" t="s">
        <v>1044</v>
      </c>
      <c r="B412" s="1">
        <v>10662122</v>
      </c>
      <c r="C412" s="1" t="s">
        <v>1045</v>
      </c>
      <c r="D412" s="1" t="s">
        <v>41</v>
      </c>
      <c r="E412" s="1" t="s">
        <v>592</v>
      </c>
      <c r="F412" s="1" t="s">
        <v>36</v>
      </c>
      <c r="G412" s="1" t="s">
        <v>1046</v>
      </c>
      <c r="I412" s="1">
        <v>2299</v>
      </c>
      <c r="J412" s="1" t="s">
        <v>403</v>
      </c>
      <c r="K412" s="1" t="s">
        <v>223</v>
      </c>
      <c r="L412" s="1">
        <v>4.0999999999999996</v>
      </c>
      <c r="M412" s="1">
        <v>920</v>
      </c>
      <c r="P412" t="str">
        <f t="shared" si="27"/>
        <v>66%</v>
      </c>
      <c r="Q412" s="12">
        <f t="shared" si="24"/>
        <v>0.66</v>
      </c>
      <c r="R412" s="9">
        <f t="shared" si="25"/>
        <v>781.65999999999985</v>
      </c>
      <c r="S412" s="9">
        <f>IF(R412="",AVERAGEIF(Table1[Category],Table1[[#This Row],[Category]],Table2[orignal data]),Table2[[#This Row],[orignal data]])</f>
        <v>781.65999999999985</v>
      </c>
      <c r="T412" t="str">
        <f t="shared" si="26"/>
        <v>UNIQUE</v>
      </c>
      <c r="U412" t="str">
        <f>IF(ISBLANK(Table1[[#This Row],[SizeOption]]),"NOT AVAILABLE",Table1[[#This Row],[SizeOption]])</f>
        <v>S, M, L, XL, XXL, 3XL, 4XL</v>
      </c>
      <c r="Y412" t="str">
        <f>IF(Table2[[#This Row],[Column1]]&gt;50%,"HIGH DISCOUNT","LOW DISCOUNT")</f>
        <v>HIGH DISCOUNT</v>
      </c>
    </row>
    <row r="413" spans="1:25" x14ac:dyDescent="0.25">
      <c r="A413" s="2" t="s">
        <v>1047</v>
      </c>
      <c r="B413" s="2">
        <v>17381454</v>
      </c>
      <c r="C413" s="2" t="s">
        <v>14</v>
      </c>
      <c r="D413" s="2" t="s">
        <v>41</v>
      </c>
      <c r="E413" s="2" t="s">
        <v>42</v>
      </c>
      <c r="F413" s="2" t="s">
        <v>36</v>
      </c>
      <c r="G413" s="2" t="s">
        <v>62</v>
      </c>
      <c r="I413" s="2">
        <v>1098</v>
      </c>
      <c r="J413" s="2"/>
      <c r="K413" s="2" t="s">
        <v>45</v>
      </c>
      <c r="L413" s="2">
        <v>4.2</v>
      </c>
      <c r="M413" s="2">
        <v>920</v>
      </c>
      <c r="P413" t="str">
        <f t="shared" si="27"/>
        <v/>
      </c>
      <c r="Q413" s="12" t="str">
        <f t="shared" si="24"/>
        <v/>
      </c>
      <c r="R413" s="9" t="str">
        <f t="shared" si="25"/>
        <v/>
      </c>
      <c r="S413" s="9">
        <f>IF(R413="",AVERAGEIF(Table1[Category],Table1[[#This Row],[Category]],Table2[orignal data]),Table2[[#This Row],[orignal data]])</f>
        <v>715.78890751086249</v>
      </c>
      <c r="T413" t="str">
        <f t="shared" si="26"/>
        <v>UNIQUE</v>
      </c>
      <c r="U413" t="str">
        <f>IF(ISBLANK(Table1[[#This Row],[SizeOption]]),"NOT AVAILABLE",Table1[[#This Row],[SizeOption]])</f>
        <v>XS, S, M, L, XL</v>
      </c>
      <c r="Y413" t="str">
        <f>IF(Table2[[#This Row],[Column1]]&gt;50%,"HIGH DISCOUNT","LOW DISCOUNT")</f>
        <v>HIGH DISCOUNT</v>
      </c>
    </row>
    <row r="414" spans="1:25" x14ac:dyDescent="0.25">
      <c r="A414" s="1" t="s">
        <v>1048</v>
      </c>
      <c r="B414" s="1">
        <v>5597189</v>
      </c>
      <c r="C414" s="1" t="s">
        <v>92</v>
      </c>
      <c r="D414" s="1" t="s">
        <v>76</v>
      </c>
      <c r="E414" s="1" t="s">
        <v>93</v>
      </c>
      <c r="F414" s="1" t="s">
        <v>36</v>
      </c>
      <c r="G414" s="1" t="s">
        <v>1049</v>
      </c>
      <c r="H414">
        <v>492</v>
      </c>
      <c r="I414" s="1">
        <v>1449</v>
      </c>
      <c r="J414" s="1" t="s">
        <v>403</v>
      </c>
      <c r="K414" s="1" t="s">
        <v>39</v>
      </c>
      <c r="L414" s="1">
        <v>3.9</v>
      </c>
      <c r="M414" s="1">
        <v>919</v>
      </c>
      <c r="P414" t="str">
        <f t="shared" si="27"/>
        <v>66%</v>
      </c>
      <c r="Q414" s="12">
        <f t="shared" si="24"/>
        <v>0.66</v>
      </c>
      <c r="R414" s="9">
        <f t="shared" si="25"/>
        <v>492.65999999999997</v>
      </c>
      <c r="S414" s="9">
        <f>IF(R414="",AVERAGEIF(Table1[Category],Table1[[#This Row],[Category]],Table2[orignal data]),Table2[[#This Row],[orignal data]])</f>
        <v>492.65999999999997</v>
      </c>
      <c r="T414" t="str">
        <f t="shared" si="26"/>
        <v>UNIQUE</v>
      </c>
      <c r="U414" t="str">
        <f>IF(ISBLANK(Table1[[#This Row],[SizeOption]]),"NOT AVAILABLE",Table1[[#This Row],[SizeOption]])</f>
        <v>S, M, L, XL, XXL</v>
      </c>
      <c r="Y414" t="str">
        <f>IF(Table2[[#This Row],[Column1]]&gt;50%,"HIGH DISCOUNT","LOW DISCOUNT")</f>
        <v>HIGH DISCOUNT</v>
      </c>
    </row>
    <row r="415" spans="1:25" x14ac:dyDescent="0.25">
      <c r="A415" s="2" t="s">
        <v>1050</v>
      </c>
      <c r="B415" s="2">
        <v>12488786</v>
      </c>
      <c r="C415" s="2" t="s">
        <v>277</v>
      </c>
      <c r="D415" s="2" t="s">
        <v>76</v>
      </c>
      <c r="E415" s="2" t="s">
        <v>93</v>
      </c>
      <c r="F415" s="2" t="s">
        <v>36</v>
      </c>
      <c r="G415" s="2" t="s">
        <v>1051</v>
      </c>
      <c r="H415">
        <v>724</v>
      </c>
      <c r="I415" s="2">
        <v>2499</v>
      </c>
      <c r="J415" s="2" t="s">
        <v>279</v>
      </c>
      <c r="K415" s="2" t="s">
        <v>39</v>
      </c>
      <c r="L415" s="2">
        <v>4</v>
      </c>
      <c r="M415" s="2">
        <v>919</v>
      </c>
      <c r="P415" t="str">
        <f t="shared" si="27"/>
        <v>71%</v>
      </c>
      <c r="Q415" s="12">
        <f t="shared" si="24"/>
        <v>0.71</v>
      </c>
      <c r="R415" s="9">
        <f t="shared" si="25"/>
        <v>724.71</v>
      </c>
      <c r="S415" s="9">
        <f>IF(R415="",AVERAGEIF(Table1[Category],Table1[[#This Row],[Category]],Table2[orignal data]),Table2[[#This Row],[orignal data]])</f>
        <v>724.71</v>
      </c>
      <c r="T415" t="str">
        <f t="shared" si="26"/>
        <v>UNIQUE</v>
      </c>
      <c r="U415" t="str">
        <f>IF(ISBLANK(Table1[[#This Row],[SizeOption]]),"NOT AVAILABLE",Table1[[#This Row],[SizeOption]])</f>
        <v>S, M, L, XL, XXL</v>
      </c>
      <c r="Y415" t="str">
        <f>IF(Table2[[#This Row],[Column1]]&gt;50%,"HIGH DISCOUNT","LOW DISCOUNT")</f>
        <v>HIGH DISCOUNT</v>
      </c>
    </row>
    <row r="416" spans="1:25" x14ac:dyDescent="0.25">
      <c r="A416" s="1" t="s">
        <v>1052</v>
      </c>
      <c r="B416" s="1">
        <v>13437250</v>
      </c>
      <c r="C416" s="1" t="s">
        <v>97</v>
      </c>
      <c r="D416" s="1" t="s">
        <v>76</v>
      </c>
      <c r="E416" s="1" t="s">
        <v>77</v>
      </c>
      <c r="F416" s="1" t="s">
        <v>36</v>
      </c>
      <c r="G416" s="1" t="s">
        <v>1053</v>
      </c>
      <c r="H416">
        <v>979</v>
      </c>
      <c r="I416" s="1">
        <v>2799</v>
      </c>
      <c r="J416" s="1" t="s">
        <v>150</v>
      </c>
      <c r="K416" s="1" t="s">
        <v>100</v>
      </c>
      <c r="L416" s="1">
        <v>4</v>
      </c>
      <c r="M416" s="1">
        <v>919</v>
      </c>
      <c r="P416" t="str">
        <f t="shared" si="27"/>
        <v>65%</v>
      </c>
      <c r="Q416" s="12">
        <f t="shared" si="24"/>
        <v>0.65</v>
      </c>
      <c r="R416" s="9">
        <f t="shared" si="25"/>
        <v>979.64999999999986</v>
      </c>
      <c r="S416" s="9">
        <f>IF(R416="",AVERAGEIF(Table1[Category],Table1[[#This Row],[Category]],Table2[orignal data]),Table2[[#This Row],[orignal data]])</f>
        <v>979.64999999999986</v>
      </c>
      <c r="T416" t="str">
        <f t="shared" si="26"/>
        <v>UNIQUE</v>
      </c>
      <c r="U416" t="str">
        <f>IF(ISBLANK(Table1[[#This Row],[SizeOption]]),"NOT AVAILABLE",Table1[[#This Row],[SizeOption]])</f>
        <v>XS, S, M, L, XL, XXL, 3XL</v>
      </c>
      <c r="Y416" t="str">
        <f>IF(Table2[[#This Row],[Column1]]&gt;50%,"HIGH DISCOUNT","LOW DISCOUNT")</f>
        <v>HIGH DISCOUNT</v>
      </c>
    </row>
    <row r="417" spans="1:25" x14ac:dyDescent="0.25">
      <c r="A417" s="2" t="s">
        <v>1054</v>
      </c>
      <c r="B417" s="2">
        <v>8091637</v>
      </c>
      <c r="C417" s="2" t="s">
        <v>14</v>
      </c>
      <c r="D417" s="2" t="s">
        <v>41</v>
      </c>
      <c r="E417" s="2" t="s">
        <v>16</v>
      </c>
      <c r="F417" s="2" t="s">
        <v>36</v>
      </c>
      <c r="G417" s="2" t="s">
        <v>725</v>
      </c>
      <c r="I417" s="2">
        <v>1599</v>
      </c>
      <c r="J417" s="2" t="s">
        <v>19</v>
      </c>
      <c r="K417" s="2" t="s">
        <v>134</v>
      </c>
      <c r="L417" s="2">
        <v>4.0999999999999996</v>
      </c>
      <c r="M417" s="2">
        <v>919</v>
      </c>
      <c r="P417" t="str">
        <f t="shared" si="27"/>
        <v>45%</v>
      </c>
      <c r="Q417" s="12">
        <f t="shared" si="24"/>
        <v>0.45</v>
      </c>
      <c r="R417" s="9">
        <f t="shared" si="25"/>
        <v>879.44999999999993</v>
      </c>
      <c r="S417" s="9">
        <f>IF(R417="",AVERAGEIF(Table1[Category],Table1[[#This Row],[Category]],Table2[orignal data]),Table2[[#This Row],[orignal data]])</f>
        <v>879.44999999999993</v>
      </c>
      <c r="T417" t="str">
        <f t="shared" si="26"/>
        <v>UNIQUE</v>
      </c>
      <c r="U417" t="str">
        <f>IF(ISBLANK(Table1[[#This Row],[SizeOption]]),"NOT AVAILABLE",Table1[[#This Row],[SizeOption]])</f>
        <v>26, 28, 30, 32, 34, 36</v>
      </c>
      <c r="Y417" t="str">
        <f>IF(Table2[[#This Row],[Column1]]&gt;50%,"HIGH DISCOUNT","LOW DISCOUNT")</f>
        <v>LOW DISCOUNT</v>
      </c>
    </row>
    <row r="418" spans="1:25" x14ac:dyDescent="0.25">
      <c r="A418" s="1" t="s">
        <v>1055</v>
      </c>
      <c r="B418" s="1">
        <v>13315066</v>
      </c>
      <c r="C418" s="1" t="s">
        <v>14</v>
      </c>
      <c r="D418" s="1" t="s">
        <v>41</v>
      </c>
      <c r="E418" s="1" t="s">
        <v>16</v>
      </c>
      <c r="F418" s="1" t="s">
        <v>36</v>
      </c>
      <c r="G418" s="1" t="s">
        <v>1056</v>
      </c>
      <c r="I418" s="1">
        <v>2299</v>
      </c>
      <c r="J418" s="1" t="s">
        <v>84</v>
      </c>
      <c r="K418" s="1" t="s">
        <v>134</v>
      </c>
      <c r="L418" s="1">
        <v>4.3</v>
      </c>
      <c r="M418" s="1">
        <v>919</v>
      </c>
      <c r="P418" t="str">
        <f t="shared" si="27"/>
        <v>50%</v>
      </c>
      <c r="Q418" s="12">
        <f t="shared" si="24"/>
        <v>0.5</v>
      </c>
      <c r="R418" s="9">
        <f t="shared" si="25"/>
        <v>1149.5</v>
      </c>
      <c r="S418" s="9">
        <f>IF(R418="",AVERAGEIF(Table1[Category],Table1[[#This Row],[Category]],Table2[orignal data]),Table2[[#This Row],[orignal data]])</f>
        <v>1149.5</v>
      </c>
      <c r="T418" t="str">
        <f t="shared" si="26"/>
        <v>UNIQUE</v>
      </c>
      <c r="U418" t="str">
        <f>IF(ISBLANK(Table1[[#This Row],[SizeOption]]),"NOT AVAILABLE",Table1[[#This Row],[SizeOption]])</f>
        <v>26, 28, 30, 32, 34, 36</v>
      </c>
      <c r="Y418" t="str">
        <f>IF(Table2[[#This Row],[Column1]]&gt;50%,"HIGH DISCOUNT","LOW DISCOUNT")</f>
        <v>LOW DISCOUNT</v>
      </c>
    </row>
    <row r="419" spans="1:25" x14ac:dyDescent="0.25">
      <c r="A419" s="2" t="s">
        <v>1057</v>
      </c>
      <c r="B419" s="2">
        <v>6697880</v>
      </c>
      <c r="C419" s="2" t="s">
        <v>346</v>
      </c>
      <c r="D419" s="2" t="s">
        <v>41</v>
      </c>
      <c r="E419" s="2" t="s">
        <v>189</v>
      </c>
      <c r="F419" s="2" t="s">
        <v>36</v>
      </c>
      <c r="G419" s="2" t="s">
        <v>1058</v>
      </c>
      <c r="I419" s="2">
        <v>2499</v>
      </c>
      <c r="J419" s="2" t="s">
        <v>150</v>
      </c>
      <c r="K419" s="2" t="s">
        <v>26</v>
      </c>
      <c r="L419" s="2">
        <v>4.3</v>
      </c>
      <c r="M419" s="2">
        <v>919</v>
      </c>
      <c r="P419" t="str">
        <f t="shared" si="27"/>
        <v>65%</v>
      </c>
      <c r="Q419" s="12">
        <f t="shared" si="24"/>
        <v>0.65</v>
      </c>
      <c r="R419" s="9">
        <f t="shared" si="25"/>
        <v>874.64999999999986</v>
      </c>
      <c r="S419" s="9">
        <f>IF(R419="",AVERAGEIF(Table1[Category],Table1[[#This Row],[Category]],Table2[orignal data]),Table2[[#This Row],[orignal data]])</f>
        <v>874.64999999999986</v>
      </c>
      <c r="T419" t="str">
        <f t="shared" si="26"/>
        <v>UNIQUE</v>
      </c>
      <c r="U419" t="str">
        <f>IF(ISBLANK(Table1[[#This Row],[SizeOption]]),"NOT AVAILABLE",Table1[[#This Row],[SizeOption]])</f>
        <v>S, M, L, XL</v>
      </c>
      <c r="Y419" t="str">
        <f>IF(Table2[[#This Row],[Column1]]&gt;50%,"HIGH DISCOUNT","LOW DISCOUNT")</f>
        <v>HIGH DISCOUNT</v>
      </c>
    </row>
    <row r="420" spans="1:25" x14ac:dyDescent="0.25">
      <c r="A420" s="1" t="s">
        <v>1059</v>
      </c>
      <c r="B420" s="1">
        <v>1757662</v>
      </c>
      <c r="C420" s="1" t="s">
        <v>517</v>
      </c>
      <c r="D420" s="1" t="s">
        <v>15</v>
      </c>
      <c r="E420" s="1" t="s">
        <v>23</v>
      </c>
      <c r="F420" s="1" t="s">
        <v>17</v>
      </c>
      <c r="G420" s="1" t="s">
        <v>1060</v>
      </c>
      <c r="H420">
        <v>449</v>
      </c>
      <c r="I420" s="1">
        <v>999</v>
      </c>
      <c r="J420" s="1" t="s">
        <v>25</v>
      </c>
      <c r="K420" s="1" t="s">
        <v>223</v>
      </c>
      <c r="L420" s="1">
        <v>3.5</v>
      </c>
      <c r="M420" s="1">
        <v>918</v>
      </c>
      <c r="P420" t="str">
        <f t="shared" si="27"/>
        <v>55%</v>
      </c>
      <c r="Q420" s="12">
        <f t="shared" si="24"/>
        <v>0.55000000000000004</v>
      </c>
      <c r="R420" s="9">
        <f t="shared" si="25"/>
        <v>449.54999999999995</v>
      </c>
      <c r="S420" s="9">
        <f>IF(R420="",AVERAGEIF(Table1[Category],Table1[[#This Row],[Category]],Table2[orignal data]),Table2[[#This Row],[orignal data]])</f>
        <v>449.54999999999995</v>
      </c>
      <c r="T420" t="str">
        <f t="shared" si="26"/>
        <v>UNIQUE</v>
      </c>
      <c r="U420" t="str">
        <f>IF(ISBLANK(Table1[[#This Row],[SizeOption]]),"NOT AVAILABLE",Table1[[#This Row],[SizeOption]])</f>
        <v>S, M, L, XL, XXL, 3XL, 4XL</v>
      </c>
      <c r="Y420" t="str">
        <f>IF(Table2[[#This Row],[Column1]]&gt;50%,"HIGH DISCOUNT","LOW DISCOUNT")</f>
        <v>HIGH DISCOUNT</v>
      </c>
    </row>
    <row r="421" spans="1:25" x14ac:dyDescent="0.25">
      <c r="A421" s="2" t="s">
        <v>1061</v>
      </c>
      <c r="B421" s="2">
        <v>11938226</v>
      </c>
      <c r="C421" s="2" t="s">
        <v>92</v>
      </c>
      <c r="D421" s="2" t="s">
        <v>76</v>
      </c>
      <c r="E421" s="2" t="s">
        <v>77</v>
      </c>
      <c r="F421" s="2" t="s">
        <v>36</v>
      </c>
      <c r="G421" s="2" t="s">
        <v>1062</v>
      </c>
      <c r="H421">
        <v>805</v>
      </c>
      <c r="I421" s="2">
        <v>4029</v>
      </c>
      <c r="J421" s="2" t="s">
        <v>589</v>
      </c>
      <c r="K421" s="2" t="s">
        <v>39</v>
      </c>
      <c r="L421" s="2">
        <v>3.9</v>
      </c>
      <c r="M421" s="2">
        <v>918</v>
      </c>
      <c r="P421" t="str">
        <f t="shared" si="27"/>
        <v>80%</v>
      </c>
      <c r="Q421" s="12">
        <f t="shared" si="24"/>
        <v>0.8</v>
      </c>
      <c r="R421" s="9">
        <f t="shared" si="25"/>
        <v>805.79999999999973</v>
      </c>
      <c r="S421" s="9">
        <f>IF(R421="",AVERAGEIF(Table1[Category],Table1[[#This Row],[Category]],Table2[orignal data]),Table2[[#This Row],[orignal data]])</f>
        <v>805.79999999999973</v>
      </c>
      <c r="T421" t="str">
        <f t="shared" si="26"/>
        <v>UNIQUE</v>
      </c>
      <c r="U421" t="str">
        <f>IF(ISBLANK(Table1[[#This Row],[SizeOption]]),"NOT AVAILABLE",Table1[[#This Row],[SizeOption]])</f>
        <v>S, M, L, XL, XXL</v>
      </c>
      <c r="Y421" t="str">
        <f>IF(Table2[[#This Row],[Column1]]&gt;50%,"HIGH DISCOUNT","LOW DISCOUNT")</f>
        <v>HIGH DISCOUNT</v>
      </c>
    </row>
    <row r="422" spans="1:25" x14ac:dyDescent="0.25">
      <c r="A422" s="1" t="s">
        <v>1063</v>
      </c>
      <c r="B422" s="1">
        <v>11373682</v>
      </c>
      <c r="C422" s="1" t="s">
        <v>14</v>
      </c>
      <c r="D422" s="1" t="s">
        <v>41</v>
      </c>
      <c r="E422" s="1" t="s">
        <v>48</v>
      </c>
      <c r="F422" s="1" t="s">
        <v>36</v>
      </c>
      <c r="G422" s="1" t="s">
        <v>1064</v>
      </c>
      <c r="I422" s="1">
        <v>599</v>
      </c>
      <c r="J422" s="1" t="s">
        <v>25</v>
      </c>
      <c r="K422" s="1" t="s">
        <v>45</v>
      </c>
      <c r="L422" s="1">
        <v>4.2</v>
      </c>
      <c r="M422" s="1">
        <v>918</v>
      </c>
      <c r="P422" t="str">
        <f t="shared" si="27"/>
        <v>55%</v>
      </c>
      <c r="Q422" s="12">
        <f t="shared" si="24"/>
        <v>0.55000000000000004</v>
      </c>
      <c r="R422" s="9">
        <f t="shared" si="25"/>
        <v>269.54999999999995</v>
      </c>
      <c r="S422" s="9">
        <f>IF(R422="",AVERAGEIF(Table1[Category],Table1[[#This Row],[Category]],Table2[orignal data]),Table2[[#This Row],[orignal data]])</f>
        <v>269.54999999999995</v>
      </c>
      <c r="T422" t="str">
        <f t="shared" si="26"/>
        <v>UNIQUE</v>
      </c>
      <c r="U422" t="str">
        <f>IF(ISBLANK(Table1[[#This Row],[SizeOption]]),"NOT AVAILABLE",Table1[[#This Row],[SizeOption]])</f>
        <v>XS, S, M, L, XL</v>
      </c>
      <c r="Y422" t="str">
        <f>IF(Table2[[#This Row],[Column1]]&gt;50%,"HIGH DISCOUNT","LOW DISCOUNT")</f>
        <v>HIGH DISCOUNT</v>
      </c>
    </row>
    <row r="423" spans="1:25" x14ac:dyDescent="0.25">
      <c r="A423" s="2" t="s">
        <v>1065</v>
      </c>
      <c r="B423" s="2">
        <v>9575361</v>
      </c>
      <c r="C423" s="2" t="s">
        <v>14</v>
      </c>
      <c r="D423" s="2" t="s">
        <v>15</v>
      </c>
      <c r="E423" s="2" t="s">
        <v>16</v>
      </c>
      <c r="F423" s="2" t="s">
        <v>17</v>
      </c>
      <c r="G423" s="2" t="s">
        <v>1066</v>
      </c>
      <c r="I423" s="2">
        <v>1699</v>
      </c>
      <c r="J423" s="2"/>
      <c r="K423" s="2" t="s">
        <v>20</v>
      </c>
      <c r="L423" s="2">
        <v>3.8</v>
      </c>
      <c r="M423" s="2">
        <v>917</v>
      </c>
      <c r="P423" t="str">
        <f t="shared" si="27"/>
        <v/>
      </c>
      <c r="Q423" s="12" t="str">
        <f t="shared" si="24"/>
        <v/>
      </c>
      <c r="R423" s="9" t="str">
        <f t="shared" si="25"/>
        <v/>
      </c>
      <c r="S423" s="9">
        <f>IF(R423="",AVERAGEIF(Table1[Category],Table1[[#This Row],[Category]],Table2[orignal data]),Table2[[#This Row],[orignal data]])</f>
        <v>892.27590339892538</v>
      </c>
      <c r="T423" t="str">
        <f t="shared" si="26"/>
        <v>UNIQUE</v>
      </c>
      <c r="U423" t="str">
        <f>IF(ISBLANK(Table1[[#This Row],[SizeOption]]),"NOT AVAILABLE",Table1[[#This Row],[SizeOption]])</f>
        <v>28, 30, 32, 34, 36</v>
      </c>
      <c r="Y423" t="str">
        <f>IF(Table2[[#This Row],[Column1]]&gt;50%,"HIGH DISCOUNT","LOW DISCOUNT")</f>
        <v>HIGH DISCOUNT</v>
      </c>
    </row>
    <row r="424" spans="1:25" x14ac:dyDescent="0.25">
      <c r="A424" s="1" t="s">
        <v>1067</v>
      </c>
      <c r="B424" s="1">
        <v>10986404</v>
      </c>
      <c r="C424" s="1" t="s">
        <v>47</v>
      </c>
      <c r="D424" s="1" t="s">
        <v>197</v>
      </c>
      <c r="E424" s="1" t="s">
        <v>198</v>
      </c>
      <c r="F424" s="1" t="s">
        <v>17</v>
      </c>
      <c r="G424" s="1" t="s">
        <v>1068</v>
      </c>
      <c r="H424">
        <v>374</v>
      </c>
      <c r="I424" s="1">
        <v>499</v>
      </c>
      <c r="J424" s="1" t="s">
        <v>282</v>
      </c>
      <c r="K424" s="1" t="s">
        <v>164</v>
      </c>
      <c r="L424" s="1">
        <v>4.3</v>
      </c>
      <c r="M424" s="1">
        <v>917</v>
      </c>
      <c r="P424" t="str">
        <f t="shared" si="27"/>
        <v>25%</v>
      </c>
      <c r="Q424" s="12">
        <f t="shared" si="24"/>
        <v>0.25</v>
      </c>
      <c r="R424" s="9">
        <f t="shared" si="25"/>
        <v>374.25</v>
      </c>
      <c r="S424" s="9">
        <f>IF(R424="",AVERAGEIF(Table1[Category],Table1[[#This Row],[Category]],Table2[orignal data]),Table2[[#This Row],[orignal data]])</f>
        <v>374.25</v>
      </c>
      <c r="T424" t="str">
        <f t="shared" si="26"/>
        <v>UNIQUE</v>
      </c>
      <c r="U424" t="str">
        <f>IF(ISBLANK(Table1[[#This Row],[SizeOption]]),"NOT AVAILABLE",Table1[[#This Row],[SizeOption]])</f>
        <v>Onesize</v>
      </c>
      <c r="Y424" t="str">
        <f>IF(Table2[[#This Row],[Column1]]&gt;50%,"HIGH DISCOUNT","LOW DISCOUNT")</f>
        <v>LOW DISCOUNT</v>
      </c>
    </row>
    <row r="425" spans="1:25" x14ac:dyDescent="0.25">
      <c r="A425" s="2" t="s">
        <v>1069</v>
      </c>
      <c r="B425" s="2">
        <v>11896050</v>
      </c>
      <c r="C425" s="2" t="s">
        <v>14</v>
      </c>
      <c r="D425" s="2" t="s">
        <v>28</v>
      </c>
      <c r="E425" s="2" t="s">
        <v>29</v>
      </c>
      <c r="F425" s="2" t="s">
        <v>17</v>
      </c>
      <c r="G425" s="2" t="s">
        <v>1070</v>
      </c>
      <c r="H425">
        <v>714</v>
      </c>
      <c r="I425" s="2">
        <v>1299</v>
      </c>
      <c r="J425" s="2" t="s">
        <v>19</v>
      </c>
      <c r="K425" s="2" t="s">
        <v>253</v>
      </c>
      <c r="L425" s="2">
        <v>4.4000000000000004</v>
      </c>
      <c r="M425" s="2">
        <v>917</v>
      </c>
      <c r="P425" t="str">
        <f t="shared" si="27"/>
        <v>45%</v>
      </c>
      <c r="Q425" s="12">
        <f t="shared" si="24"/>
        <v>0.45</v>
      </c>
      <c r="R425" s="9">
        <f t="shared" si="25"/>
        <v>714.44999999999993</v>
      </c>
      <c r="S425" s="9">
        <f>IF(R425="",AVERAGEIF(Table1[Category],Table1[[#This Row],[Category]],Table2[orignal data]),Table2[[#This Row],[orignal data]])</f>
        <v>714.44999999999993</v>
      </c>
      <c r="T425" t="str">
        <f t="shared" si="26"/>
        <v>UNIQUE</v>
      </c>
      <c r="U425" t="str">
        <f>IF(ISBLANK(Table1[[#This Row],[SizeOption]]),"NOT AVAILABLE",Table1[[#This Row],[SizeOption]])</f>
        <v>38, 40, 42, 44</v>
      </c>
      <c r="Y425" t="str">
        <f>IF(Table2[[#This Row],[Column1]]&gt;50%,"HIGH DISCOUNT","LOW DISCOUNT")</f>
        <v>LOW DISCOUNT</v>
      </c>
    </row>
    <row r="426" spans="1:25" x14ac:dyDescent="0.25">
      <c r="A426" s="1" t="s">
        <v>1071</v>
      </c>
      <c r="B426" s="1">
        <v>8621731</v>
      </c>
      <c r="C426" s="1" t="s">
        <v>113</v>
      </c>
      <c r="D426" s="1" t="s">
        <v>76</v>
      </c>
      <c r="E426" s="1" t="s">
        <v>93</v>
      </c>
      <c r="F426" s="1" t="s">
        <v>36</v>
      </c>
      <c r="G426" s="1" t="s">
        <v>1072</v>
      </c>
      <c r="H426">
        <v>809</v>
      </c>
      <c r="I426" s="1">
        <v>1799</v>
      </c>
      <c r="J426" s="1" t="s">
        <v>25</v>
      </c>
      <c r="K426" s="1" t="s">
        <v>45</v>
      </c>
      <c r="L426" s="1">
        <v>4</v>
      </c>
      <c r="M426" s="1">
        <v>917</v>
      </c>
      <c r="P426" t="str">
        <f t="shared" si="27"/>
        <v>55%</v>
      </c>
      <c r="Q426" s="12">
        <f t="shared" si="24"/>
        <v>0.55000000000000004</v>
      </c>
      <c r="R426" s="9">
        <f t="shared" si="25"/>
        <v>809.55</v>
      </c>
      <c r="S426" s="9">
        <f>IF(R426="",AVERAGEIF(Table1[Category],Table1[[#This Row],[Category]],Table2[orignal data]),Table2[[#This Row],[orignal data]])</f>
        <v>809.55</v>
      </c>
      <c r="T426" t="str">
        <f t="shared" si="26"/>
        <v>UNIQUE</v>
      </c>
      <c r="U426" t="str">
        <f>IF(ISBLANK(Table1[[#This Row],[SizeOption]]),"NOT AVAILABLE",Table1[[#This Row],[SizeOption]])</f>
        <v>XS, S, M, L, XL</v>
      </c>
      <c r="Y426" t="str">
        <f>IF(Table2[[#This Row],[Column1]]&gt;50%,"HIGH DISCOUNT","LOW DISCOUNT")</f>
        <v>HIGH DISCOUNT</v>
      </c>
    </row>
    <row r="427" spans="1:25" x14ac:dyDescent="0.25">
      <c r="A427" s="2" t="s">
        <v>1073</v>
      </c>
      <c r="B427" s="2">
        <v>11629168</v>
      </c>
      <c r="C427" s="2" t="s">
        <v>1074</v>
      </c>
      <c r="D427" s="2" t="s">
        <v>76</v>
      </c>
      <c r="E427" s="2" t="s">
        <v>148</v>
      </c>
      <c r="F427" s="2" t="s">
        <v>36</v>
      </c>
      <c r="G427" s="2" t="s">
        <v>1075</v>
      </c>
      <c r="H427">
        <v>959</v>
      </c>
      <c r="I427" s="2">
        <v>2999</v>
      </c>
      <c r="J427" s="2" t="s">
        <v>839</v>
      </c>
      <c r="K427" s="2" t="s">
        <v>39</v>
      </c>
      <c r="L427" s="2">
        <v>4.0999999999999996</v>
      </c>
      <c r="M427" s="2">
        <v>917</v>
      </c>
      <c r="P427" t="str">
        <f t="shared" si="27"/>
        <v>68%</v>
      </c>
      <c r="Q427" s="12">
        <f t="shared" si="24"/>
        <v>0.68</v>
      </c>
      <c r="R427" s="9">
        <f t="shared" si="25"/>
        <v>959.67999999999984</v>
      </c>
      <c r="S427" s="9">
        <f>IF(R427="",AVERAGEIF(Table1[Category],Table1[[#This Row],[Category]],Table2[orignal data]),Table2[[#This Row],[orignal data]])</f>
        <v>959.67999999999984</v>
      </c>
      <c r="T427" t="str">
        <f t="shared" si="26"/>
        <v>UNIQUE</v>
      </c>
      <c r="U427" t="str">
        <f>IF(ISBLANK(Table1[[#This Row],[SizeOption]]),"NOT AVAILABLE",Table1[[#This Row],[SizeOption]])</f>
        <v>S, M, L, XL, XXL</v>
      </c>
      <c r="Y427" t="str">
        <f>IF(Table2[[#This Row],[Column1]]&gt;50%,"HIGH DISCOUNT","LOW DISCOUNT")</f>
        <v>HIGH DISCOUNT</v>
      </c>
    </row>
    <row r="428" spans="1:25" x14ac:dyDescent="0.25">
      <c r="A428" s="1" t="s">
        <v>1076</v>
      </c>
      <c r="B428" s="1">
        <v>17381478</v>
      </c>
      <c r="C428" s="1" t="s">
        <v>14</v>
      </c>
      <c r="D428" s="1" t="s">
        <v>41</v>
      </c>
      <c r="E428" s="1" t="s">
        <v>42</v>
      </c>
      <c r="F428" s="1" t="s">
        <v>36</v>
      </c>
      <c r="G428" s="1" t="s">
        <v>696</v>
      </c>
      <c r="I428" s="1">
        <v>1198</v>
      </c>
      <c r="J428" s="1" t="s">
        <v>84</v>
      </c>
      <c r="K428" s="1" t="s">
        <v>45</v>
      </c>
      <c r="L428" s="1">
        <v>4.2</v>
      </c>
      <c r="M428" s="1">
        <v>917</v>
      </c>
      <c r="P428" t="str">
        <f t="shared" si="27"/>
        <v>50%</v>
      </c>
      <c r="Q428" s="12">
        <f t="shared" si="24"/>
        <v>0.5</v>
      </c>
      <c r="R428" s="9">
        <f t="shared" si="25"/>
        <v>599</v>
      </c>
      <c r="S428" s="9">
        <f>IF(R428="",AVERAGEIF(Table1[Category],Table1[[#This Row],[Category]],Table2[orignal data]),Table2[[#This Row],[orignal data]])</f>
        <v>599</v>
      </c>
      <c r="T428" t="str">
        <f t="shared" si="26"/>
        <v>UNIQUE</v>
      </c>
      <c r="U428" t="str">
        <f>IF(ISBLANK(Table1[[#This Row],[SizeOption]]),"NOT AVAILABLE",Table1[[#This Row],[SizeOption]])</f>
        <v>XS, S, M, L, XL</v>
      </c>
      <c r="Y428" t="str">
        <f>IF(Table2[[#This Row],[Column1]]&gt;50%,"HIGH DISCOUNT","LOW DISCOUNT")</f>
        <v>LOW DISCOUNT</v>
      </c>
    </row>
    <row r="429" spans="1:25" x14ac:dyDescent="0.25">
      <c r="A429" s="2" t="s">
        <v>1077</v>
      </c>
      <c r="B429" s="2">
        <v>7645398</v>
      </c>
      <c r="C429" s="2" t="s">
        <v>184</v>
      </c>
      <c r="D429" s="2" t="s">
        <v>41</v>
      </c>
      <c r="E429" s="2" t="s">
        <v>48</v>
      </c>
      <c r="F429" s="2" t="s">
        <v>36</v>
      </c>
      <c r="G429" s="2" t="s">
        <v>1078</v>
      </c>
      <c r="I429" s="2">
        <v>1499</v>
      </c>
      <c r="J429" s="2" t="s">
        <v>25</v>
      </c>
      <c r="K429" s="2" t="s">
        <v>39</v>
      </c>
      <c r="L429" s="2">
        <v>4.3</v>
      </c>
      <c r="M429" s="2">
        <v>917</v>
      </c>
      <c r="P429" t="str">
        <f t="shared" si="27"/>
        <v>55%</v>
      </c>
      <c r="Q429" s="12">
        <f t="shared" si="24"/>
        <v>0.55000000000000004</v>
      </c>
      <c r="R429" s="9">
        <f t="shared" si="25"/>
        <v>674.55</v>
      </c>
      <c r="S429" s="9">
        <f>IF(R429="",AVERAGEIF(Table1[Category],Table1[[#This Row],[Category]],Table2[orignal data]),Table2[[#This Row],[orignal data]])</f>
        <v>674.55</v>
      </c>
      <c r="T429" t="str">
        <f t="shared" si="26"/>
        <v>UNIQUE</v>
      </c>
      <c r="U429" t="str">
        <f>IF(ISBLANK(Table1[[#This Row],[SizeOption]]),"NOT AVAILABLE",Table1[[#This Row],[SizeOption]])</f>
        <v>S, M, L, XL, XXL</v>
      </c>
      <c r="Y429" t="str">
        <f>IF(Table2[[#This Row],[Column1]]&gt;50%,"HIGH DISCOUNT","LOW DISCOUNT")</f>
        <v>HIGH DISCOUNT</v>
      </c>
    </row>
    <row r="430" spans="1:25" x14ac:dyDescent="0.25">
      <c r="A430" s="1" t="s">
        <v>1079</v>
      </c>
      <c r="B430" s="1">
        <v>11274626</v>
      </c>
      <c r="C430" s="1" t="s">
        <v>14</v>
      </c>
      <c r="D430" s="1" t="s">
        <v>15</v>
      </c>
      <c r="E430" s="1" t="s">
        <v>16</v>
      </c>
      <c r="F430" s="1" t="s">
        <v>17</v>
      </c>
      <c r="G430" s="1" t="s">
        <v>478</v>
      </c>
      <c r="H430">
        <v>1079</v>
      </c>
      <c r="I430" s="1">
        <v>1799</v>
      </c>
      <c r="J430" s="1" t="s">
        <v>50</v>
      </c>
      <c r="K430" s="1" t="s">
        <v>195</v>
      </c>
      <c r="L430" s="1">
        <v>4</v>
      </c>
      <c r="M430" s="1">
        <v>916</v>
      </c>
      <c r="P430" t="str">
        <f t="shared" si="27"/>
        <v>40%</v>
      </c>
      <c r="Q430" s="12">
        <f t="shared" si="24"/>
        <v>0.4</v>
      </c>
      <c r="R430" s="9">
        <f t="shared" si="25"/>
        <v>1079.4000000000001</v>
      </c>
      <c r="S430" s="9">
        <f>IF(R430="",AVERAGEIF(Table1[Category],Table1[[#This Row],[Category]],Table2[orignal data]),Table2[[#This Row],[orignal data]])</f>
        <v>1079.4000000000001</v>
      </c>
      <c r="T430" t="str">
        <f t="shared" si="26"/>
        <v>UNIQUE</v>
      </c>
      <c r="U430" t="str">
        <f>IF(ISBLANK(Table1[[#This Row],[SizeOption]]),"NOT AVAILABLE",Table1[[#This Row],[SizeOption]])</f>
        <v>28, 30, 32, 34, 36, 38, 40</v>
      </c>
      <c r="Y430" t="str">
        <f>IF(Table2[[#This Row],[Column1]]&gt;50%,"HIGH DISCOUNT","LOW DISCOUNT")</f>
        <v>LOW DISCOUNT</v>
      </c>
    </row>
    <row r="431" spans="1:25" x14ac:dyDescent="0.25">
      <c r="A431" s="2" t="s">
        <v>1080</v>
      </c>
      <c r="B431" s="2">
        <v>10560802</v>
      </c>
      <c r="C431" s="2" t="s">
        <v>97</v>
      </c>
      <c r="D431" s="2" t="s">
        <v>98</v>
      </c>
      <c r="E431" s="2" t="s">
        <v>93</v>
      </c>
      <c r="F431" s="2" t="s">
        <v>36</v>
      </c>
      <c r="G431" s="2" t="s">
        <v>1081</v>
      </c>
      <c r="H431">
        <v>439</v>
      </c>
      <c r="I431" s="2">
        <v>1099</v>
      </c>
      <c r="J431" s="2" t="s">
        <v>141</v>
      </c>
      <c r="K431" s="2" t="s">
        <v>100</v>
      </c>
      <c r="L431" s="2">
        <v>4.0999999999999996</v>
      </c>
      <c r="M431" s="2">
        <v>916</v>
      </c>
      <c r="P431" t="str">
        <f t="shared" si="27"/>
        <v>60%</v>
      </c>
      <c r="Q431" s="12">
        <f t="shared" si="24"/>
        <v>0.6</v>
      </c>
      <c r="R431" s="9">
        <f t="shared" si="25"/>
        <v>439.6</v>
      </c>
      <c r="S431" s="9">
        <f>IF(R431="",AVERAGEIF(Table1[Category],Table1[[#This Row],[Category]],Table2[orignal data]),Table2[[#This Row],[orignal data]])</f>
        <v>439.6</v>
      </c>
      <c r="T431" t="str">
        <f t="shared" si="26"/>
        <v>UNIQUE</v>
      </c>
      <c r="U431" t="str">
        <f>IF(ISBLANK(Table1[[#This Row],[SizeOption]]),"NOT AVAILABLE",Table1[[#This Row],[SizeOption]])</f>
        <v>XS, S, M, L, XL, XXL, 3XL</v>
      </c>
      <c r="Y431" t="str">
        <f>IF(Table2[[#This Row],[Column1]]&gt;50%,"HIGH DISCOUNT","LOW DISCOUNT")</f>
        <v>HIGH DISCOUNT</v>
      </c>
    </row>
    <row r="432" spans="1:25" x14ac:dyDescent="0.25">
      <c r="A432" s="1" t="s">
        <v>1082</v>
      </c>
      <c r="B432" s="1">
        <v>12029628</v>
      </c>
      <c r="C432" s="1" t="s">
        <v>1083</v>
      </c>
      <c r="D432" s="1" t="s">
        <v>41</v>
      </c>
      <c r="E432" s="1" t="s">
        <v>42</v>
      </c>
      <c r="F432" s="1" t="s">
        <v>36</v>
      </c>
      <c r="G432" s="1" t="s">
        <v>1084</v>
      </c>
      <c r="I432" s="1">
        <v>1199</v>
      </c>
      <c r="J432" s="1" t="s">
        <v>208</v>
      </c>
      <c r="K432" s="1" t="s">
        <v>45</v>
      </c>
      <c r="L432" s="1">
        <v>4.4000000000000004</v>
      </c>
      <c r="M432" s="1">
        <v>916</v>
      </c>
      <c r="P432" t="str">
        <f t="shared" si="27"/>
        <v>52%</v>
      </c>
      <c r="Q432" s="12">
        <f t="shared" si="24"/>
        <v>0.52</v>
      </c>
      <c r="R432" s="9">
        <f t="shared" si="25"/>
        <v>575.52</v>
      </c>
      <c r="S432" s="9">
        <f>IF(R432="",AVERAGEIF(Table1[Category],Table1[[#This Row],[Category]],Table2[orignal data]),Table2[[#This Row],[orignal data]])</f>
        <v>575.52</v>
      </c>
      <c r="T432" t="str">
        <f t="shared" si="26"/>
        <v>UNIQUE</v>
      </c>
      <c r="U432" t="str">
        <f>IF(ISBLANK(Table1[[#This Row],[SizeOption]]),"NOT AVAILABLE",Table1[[#This Row],[SizeOption]])</f>
        <v>XS, S, M, L, XL</v>
      </c>
      <c r="Y432" t="str">
        <f>IF(Table2[[#This Row],[Column1]]&gt;50%,"HIGH DISCOUNT","LOW DISCOUNT")</f>
        <v>HIGH DISCOUNT</v>
      </c>
    </row>
    <row r="433" spans="1:25" x14ac:dyDescent="0.25">
      <c r="A433" s="2" t="s">
        <v>1085</v>
      </c>
      <c r="B433" s="2">
        <v>14046728</v>
      </c>
      <c r="C433" s="2" t="s">
        <v>277</v>
      </c>
      <c r="D433" s="2" t="s">
        <v>76</v>
      </c>
      <c r="E433" s="2" t="s">
        <v>77</v>
      </c>
      <c r="F433" s="2" t="s">
        <v>36</v>
      </c>
      <c r="G433" s="2" t="s">
        <v>1086</v>
      </c>
      <c r="H433">
        <v>2159</v>
      </c>
      <c r="I433" s="2">
        <v>5999</v>
      </c>
      <c r="J433" s="2" t="s">
        <v>416</v>
      </c>
      <c r="K433" s="2" t="s">
        <v>39</v>
      </c>
      <c r="L433" s="2">
        <v>4</v>
      </c>
      <c r="M433" s="2">
        <v>915</v>
      </c>
      <c r="P433" t="str">
        <f t="shared" si="27"/>
        <v>64%</v>
      </c>
      <c r="Q433" s="12">
        <f t="shared" si="24"/>
        <v>0.64</v>
      </c>
      <c r="R433" s="9">
        <f t="shared" si="25"/>
        <v>2159.64</v>
      </c>
      <c r="S433" s="9">
        <f>IF(R433="",AVERAGEIF(Table1[Category],Table1[[#This Row],[Category]],Table2[orignal data]),Table2[[#This Row],[orignal data]])</f>
        <v>2159.64</v>
      </c>
      <c r="T433" t="str">
        <f t="shared" si="26"/>
        <v>UNIQUE</v>
      </c>
      <c r="U433" t="str">
        <f>IF(ISBLANK(Table1[[#This Row],[SizeOption]]),"NOT AVAILABLE",Table1[[#This Row],[SizeOption]])</f>
        <v>S, M, L, XL, XXL</v>
      </c>
      <c r="Y433" t="str">
        <f>IF(Table2[[#This Row],[Column1]]&gt;50%,"HIGH DISCOUNT","LOW DISCOUNT")</f>
        <v>HIGH DISCOUNT</v>
      </c>
    </row>
    <row r="434" spans="1:25" x14ac:dyDescent="0.25">
      <c r="A434" s="1" t="s">
        <v>1087</v>
      </c>
      <c r="B434" s="1">
        <v>2025239</v>
      </c>
      <c r="C434" s="1" t="s">
        <v>14</v>
      </c>
      <c r="D434" s="1" t="s">
        <v>41</v>
      </c>
      <c r="E434" s="1" t="s">
        <v>42</v>
      </c>
      <c r="F434" s="1" t="s">
        <v>36</v>
      </c>
      <c r="G434" s="1" t="s">
        <v>696</v>
      </c>
      <c r="I434" s="1">
        <v>999</v>
      </c>
      <c r="J434" s="1" t="s">
        <v>84</v>
      </c>
      <c r="K434" s="1" t="s">
        <v>45</v>
      </c>
      <c r="L434" s="1">
        <v>4.3</v>
      </c>
      <c r="M434" s="1">
        <v>915</v>
      </c>
      <c r="P434" t="str">
        <f t="shared" si="27"/>
        <v>50%</v>
      </c>
      <c r="Q434" s="12">
        <f t="shared" si="24"/>
        <v>0.5</v>
      </c>
      <c r="R434" s="9">
        <f t="shared" si="25"/>
        <v>499.5</v>
      </c>
      <c r="S434" s="9">
        <f>IF(R434="",AVERAGEIF(Table1[Category],Table1[[#This Row],[Category]],Table2[orignal data]),Table2[[#This Row],[orignal data]])</f>
        <v>499.5</v>
      </c>
      <c r="T434" t="str">
        <f t="shared" si="26"/>
        <v>UNIQUE</v>
      </c>
      <c r="U434" t="str">
        <f>IF(ISBLANK(Table1[[#This Row],[SizeOption]]),"NOT AVAILABLE",Table1[[#This Row],[SizeOption]])</f>
        <v>XS, S, M, L, XL</v>
      </c>
      <c r="Y434" t="str">
        <f>IF(Table2[[#This Row],[Column1]]&gt;50%,"HIGH DISCOUNT","LOW DISCOUNT")</f>
        <v>LOW DISCOUNT</v>
      </c>
    </row>
    <row r="435" spans="1:25" x14ac:dyDescent="0.25">
      <c r="A435" s="2" t="s">
        <v>1088</v>
      </c>
      <c r="B435" s="2">
        <v>10187343</v>
      </c>
      <c r="C435" s="2" t="s">
        <v>169</v>
      </c>
      <c r="D435" s="2" t="s">
        <v>15</v>
      </c>
      <c r="E435" s="2" t="s">
        <v>16</v>
      </c>
      <c r="F435" s="2" t="s">
        <v>17</v>
      </c>
      <c r="G435" s="2" t="s">
        <v>1089</v>
      </c>
      <c r="H435">
        <v>1679</v>
      </c>
      <c r="I435" s="2">
        <v>2799</v>
      </c>
      <c r="J435" s="2" t="s">
        <v>50</v>
      </c>
      <c r="K435" s="2" t="s">
        <v>171</v>
      </c>
      <c r="L435" s="2">
        <v>3.6</v>
      </c>
      <c r="M435" s="2">
        <v>914</v>
      </c>
      <c r="P435" t="str">
        <f t="shared" si="27"/>
        <v>40%</v>
      </c>
      <c r="Q435" s="12">
        <f t="shared" si="24"/>
        <v>0.4</v>
      </c>
      <c r="R435" s="9">
        <f t="shared" si="25"/>
        <v>1679.3999999999999</v>
      </c>
      <c r="S435" s="9">
        <f>IF(R435="",AVERAGEIF(Table1[Category],Table1[[#This Row],[Category]],Table2[orignal data]),Table2[[#This Row],[orignal data]])</f>
        <v>1679.3999999999999</v>
      </c>
      <c r="T435" t="str">
        <f t="shared" si="26"/>
        <v>UNIQUE</v>
      </c>
      <c r="U435" t="str">
        <f>IF(ISBLANK(Table1[[#This Row],[SizeOption]]),"NOT AVAILABLE",Table1[[#This Row],[SizeOption]])</f>
        <v>28, 30, 32, 34, 36, 38</v>
      </c>
      <c r="Y435" t="str">
        <f>IF(Table2[[#This Row],[Column1]]&gt;50%,"HIGH DISCOUNT","LOW DISCOUNT")</f>
        <v>LOW DISCOUNT</v>
      </c>
    </row>
    <row r="436" spans="1:25" x14ac:dyDescent="0.25">
      <c r="A436" s="1" t="s">
        <v>1090</v>
      </c>
      <c r="B436" s="1">
        <v>11217408</v>
      </c>
      <c r="C436" s="1" t="s">
        <v>1091</v>
      </c>
      <c r="D436" s="1" t="s">
        <v>197</v>
      </c>
      <c r="E436" s="1" t="s">
        <v>350</v>
      </c>
      <c r="F436" s="1" t="s">
        <v>17</v>
      </c>
      <c r="G436" s="1" t="s">
        <v>1092</v>
      </c>
      <c r="H436">
        <v>398</v>
      </c>
      <c r="I436" s="1">
        <v>498</v>
      </c>
      <c r="J436" s="1" t="s">
        <v>1093</v>
      </c>
      <c r="K436" s="1" t="s">
        <v>39</v>
      </c>
      <c r="L436" s="1">
        <v>4.2</v>
      </c>
      <c r="M436" s="1">
        <v>914</v>
      </c>
      <c r="P436" t="str">
        <f t="shared" si="27"/>
        <v>100</v>
      </c>
      <c r="Q436" s="12">
        <f t="shared" si="24"/>
        <v>0.20080321285140562</v>
      </c>
      <c r="R436" s="9">
        <f t="shared" si="25"/>
        <v>398</v>
      </c>
      <c r="S436" s="9">
        <f>IF(R436="",AVERAGEIF(Table1[Category],Table1[[#This Row],[Category]],Table2[orignal data]),Table2[[#This Row],[orignal data]])</f>
        <v>398</v>
      </c>
      <c r="T436" t="str">
        <f t="shared" si="26"/>
        <v>UNIQUE</v>
      </c>
      <c r="U436" t="str">
        <f>IF(ISBLANK(Table1[[#This Row],[SizeOption]]),"NOT AVAILABLE",Table1[[#This Row],[SizeOption]])</f>
        <v>S, M, L, XL, XXL</v>
      </c>
      <c r="Y436" t="str">
        <f>IF(Table2[[#This Row],[Column1]]&gt;50%,"HIGH DISCOUNT","LOW DISCOUNT")</f>
        <v>LOW DISCOUNT</v>
      </c>
    </row>
    <row r="437" spans="1:25" x14ac:dyDescent="0.25">
      <c r="A437" s="2" t="s">
        <v>1094</v>
      </c>
      <c r="B437" s="2">
        <v>11158218</v>
      </c>
      <c r="C437" s="2" t="s">
        <v>201</v>
      </c>
      <c r="D437" s="2" t="s">
        <v>28</v>
      </c>
      <c r="E437" s="2" t="s">
        <v>29</v>
      </c>
      <c r="F437" s="2" t="s">
        <v>17</v>
      </c>
      <c r="G437" s="2" t="s">
        <v>1095</v>
      </c>
      <c r="I437" s="2">
        <v>599</v>
      </c>
      <c r="J437" s="2"/>
      <c r="K437" s="2" t="s">
        <v>361</v>
      </c>
      <c r="L437" s="2">
        <v>4.4000000000000004</v>
      </c>
      <c r="M437" s="2">
        <v>914</v>
      </c>
      <c r="P437" t="str">
        <f t="shared" si="27"/>
        <v/>
      </c>
      <c r="Q437" s="12" t="str">
        <f t="shared" si="24"/>
        <v/>
      </c>
      <c r="R437" s="9" t="str">
        <f t="shared" si="25"/>
        <v/>
      </c>
      <c r="S437" s="9">
        <f>IF(R437="",AVERAGEIF(Table1[Category],Table1[[#This Row],[Category]],Table2[orignal data]),Table2[[#This Row],[orignal data]])</f>
        <v>671.7823941958867</v>
      </c>
      <c r="T437" t="str">
        <f t="shared" si="26"/>
        <v>UNIQUE</v>
      </c>
      <c r="U437" t="str">
        <f>IF(ISBLANK(Table1[[#This Row],[SizeOption]]),"NOT AVAILABLE",Table1[[#This Row],[SizeOption]])</f>
        <v>38, 40, 42, 44, 46</v>
      </c>
      <c r="Y437" t="str">
        <f>IF(Table2[[#This Row],[Column1]]&gt;50%,"HIGH DISCOUNT","LOW DISCOUNT")</f>
        <v>HIGH DISCOUNT</v>
      </c>
    </row>
    <row r="438" spans="1:25" x14ac:dyDescent="0.25">
      <c r="A438" s="1" t="s">
        <v>1096</v>
      </c>
      <c r="B438" s="1">
        <v>7726426</v>
      </c>
      <c r="C438" s="1" t="s">
        <v>22</v>
      </c>
      <c r="D438" s="1" t="s">
        <v>15</v>
      </c>
      <c r="E438" s="1" t="s">
        <v>16</v>
      </c>
      <c r="F438" s="1" t="s">
        <v>17</v>
      </c>
      <c r="G438" s="1" t="s">
        <v>1097</v>
      </c>
      <c r="H438">
        <v>849</v>
      </c>
      <c r="I438" s="1">
        <v>2499</v>
      </c>
      <c r="J438" s="1" t="s">
        <v>403</v>
      </c>
      <c r="K438" s="1" t="s">
        <v>56</v>
      </c>
      <c r="L438" s="1">
        <v>3.9</v>
      </c>
      <c r="M438" s="1">
        <v>913</v>
      </c>
      <c r="P438" t="str">
        <f t="shared" si="27"/>
        <v>66%</v>
      </c>
      <c r="Q438" s="12">
        <f t="shared" si="24"/>
        <v>0.66</v>
      </c>
      <c r="R438" s="9">
        <f t="shared" si="25"/>
        <v>849.65999999999985</v>
      </c>
      <c r="S438" s="9">
        <f>IF(R438="",AVERAGEIF(Table1[Category],Table1[[#This Row],[Category]],Table2[orignal data]),Table2[[#This Row],[orignal data]])</f>
        <v>849.65999999999985</v>
      </c>
      <c r="T438" t="str">
        <f t="shared" si="26"/>
        <v>UNIQUE</v>
      </c>
      <c r="U438" t="str">
        <f>IF(ISBLANK(Table1[[#This Row],[SizeOption]]),"NOT AVAILABLE",Table1[[#This Row],[SizeOption]])</f>
        <v>30, 32, 34, 36</v>
      </c>
      <c r="Y438" t="str">
        <f>IF(Table2[[#This Row],[Column1]]&gt;50%,"HIGH DISCOUNT","LOW DISCOUNT")</f>
        <v>HIGH DISCOUNT</v>
      </c>
    </row>
    <row r="439" spans="1:25" x14ac:dyDescent="0.25">
      <c r="A439" s="2" t="s">
        <v>1098</v>
      </c>
      <c r="B439" s="2">
        <v>10144527</v>
      </c>
      <c r="C439" s="2" t="s">
        <v>52</v>
      </c>
      <c r="D439" s="2" t="s">
        <v>15</v>
      </c>
      <c r="E439" s="2" t="s">
        <v>53</v>
      </c>
      <c r="F439" s="2" t="s">
        <v>17</v>
      </c>
      <c r="G439" s="2" t="s">
        <v>1099</v>
      </c>
      <c r="H439">
        <v>767</v>
      </c>
      <c r="I439" s="2">
        <v>1599</v>
      </c>
      <c r="J439" s="2" t="s">
        <v>208</v>
      </c>
      <c r="K439" s="2" t="s">
        <v>56</v>
      </c>
      <c r="L439" s="2">
        <v>4.2</v>
      </c>
      <c r="M439" s="2">
        <v>913</v>
      </c>
      <c r="P439" t="str">
        <f t="shared" si="27"/>
        <v>52%</v>
      </c>
      <c r="Q439" s="12">
        <f t="shared" si="24"/>
        <v>0.52</v>
      </c>
      <c r="R439" s="9">
        <f t="shared" si="25"/>
        <v>767.52</v>
      </c>
      <c r="S439" s="9">
        <f>IF(R439="",AVERAGEIF(Table1[Category],Table1[[#This Row],[Category]],Table2[orignal data]),Table2[[#This Row],[orignal data]])</f>
        <v>767.52</v>
      </c>
      <c r="T439" t="str">
        <f t="shared" si="26"/>
        <v>UNIQUE</v>
      </c>
      <c r="U439" t="str">
        <f>IF(ISBLANK(Table1[[#This Row],[SizeOption]]),"NOT AVAILABLE",Table1[[#This Row],[SizeOption]])</f>
        <v>30, 32, 34, 36</v>
      </c>
      <c r="Y439" t="str">
        <f>IF(Table2[[#This Row],[Column1]]&gt;50%,"HIGH DISCOUNT","LOW DISCOUNT")</f>
        <v>HIGH DISCOUNT</v>
      </c>
    </row>
    <row r="440" spans="1:25" x14ac:dyDescent="0.25">
      <c r="A440" s="1" t="s">
        <v>1100</v>
      </c>
      <c r="B440" s="1">
        <v>10945090</v>
      </c>
      <c r="C440" s="1" t="s">
        <v>14</v>
      </c>
      <c r="D440" s="1" t="s">
        <v>28</v>
      </c>
      <c r="E440" s="1" t="s">
        <v>29</v>
      </c>
      <c r="F440" s="1" t="s">
        <v>17</v>
      </c>
      <c r="G440" s="1" t="s">
        <v>1101</v>
      </c>
      <c r="H440">
        <v>999</v>
      </c>
      <c r="I440" s="1">
        <v>1999</v>
      </c>
      <c r="J440" s="1" t="s">
        <v>84</v>
      </c>
      <c r="K440" s="1" t="s">
        <v>253</v>
      </c>
      <c r="L440" s="1">
        <v>4.4000000000000004</v>
      </c>
      <c r="M440" s="1">
        <v>913</v>
      </c>
      <c r="P440" t="str">
        <f t="shared" si="27"/>
        <v>50%</v>
      </c>
      <c r="Q440" s="12">
        <f t="shared" si="24"/>
        <v>0.5</v>
      </c>
      <c r="R440" s="9">
        <f t="shared" si="25"/>
        <v>999.5</v>
      </c>
      <c r="S440" s="9">
        <f>IF(R440="",AVERAGEIF(Table1[Category],Table1[[#This Row],[Category]],Table2[orignal data]),Table2[[#This Row],[orignal data]])</f>
        <v>999.5</v>
      </c>
      <c r="T440" t="str">
        <f t="shared" si="26"/>
        <v>UNIQUE</v>
      </c>
      <c r="U440" t="str">
        <f>IF(ISBLANK(Table1[[#This Row],[SizeOption]]),"NOT AVAILABLE",Table1[[#This Row],[SizeOption]])</f>
        <v>38, 40, 42, 44</v>
      </c>
      <c r="Y440" t="str">
        <f>IF(Table2[[#This Row],[Column1]]&gt;50%,"HIGH DISCOUNT","LOW DISCOUNT")</f>
        <v>LOW DISCOUNT</v>
      </c>
    </row>
    <row r="441" spans="1:25" x14ac:dyDescent="0.25">
      <c r="A441" s="2" t="s">
        <v>1102</v>
      </c>
      <c r="B441" s="2">
        <v>2232130</v>
      </c>
      <c r="C441" s="2" t="s">
        <v>47</v>
      </c>
      <c r="D441" s="2" t="s">
        <v>28</v>
      </c>
      <c r="E441" s="2" t="s">
        <v>42</v>
      </c>
      <c r="F441" s="2" t="s">
        <v>17</v>
      </c>
      <c r="G441" s="2" t="s">
        <v>1103</v>
      </c>
      <c r="H441">
        <v>359</v>
      </c>
      <c r="I441" s="2">
        <v>899</v>
      </c>
      <c r="J441" s="2" t="s">
        <v>55</v>
      </c>
      <c r="K441" s="2" t="s">
        <v>26</v>
      </c>
      <c r="L441" s="2">
        <v>3.9</v>
      </c>
      <c r="M441" s="2">
        <v>913</v>
      </c>
      <c r="P441" t="str">
        <f t="shared" si="27"/>
        <v>60%</v>
      </c>
      <c r="Q441" s="12">
        <f t="shared" si="24"/>
        <v>0.6</v>
      </c>
      <c r="R441" s="9">
        <f t="shared" si="25"/>
        <v>359.6</v>
      </c>
      <c r="S441" s="9">
        <f>IF(R441="",AVERAGEIF(Table1[Category],Table1[[#This Row],[Category]],Table2[orignal data]),Table2[[#This Row],[orignal data]])</f>
        <v>359.6</v>
      </c>
      <c r="T441" t="str">
        <f t="shared" si="26"/>
        <v>UNIQUE</v>
      </c>
      <c r="U441" t="str">
        <f>IF(ISBLANK(Table1[[#This Row],[SizeOption]]),"NOT AVAILABLE",Table1[[#This Row],[SizeOption]])</f>
        <v>S, M, L, XL</v>
      </c>
      <c r="Y441" t="str">
        <f>IF(Table2[[#This Row],[Column1]]&gt;50%,"HIGH DISCOUNT","LOW DISCOUNT")</f>
        <v>HIGH DISCOUNT</v>
      </c>
    </row>
    <row r="442" spans="1:25" x14ac:dyDescent="0.25">
      <c r="A442" s="1" t="s">
        <v>1104</v>
      </c>
      <c r="B442" s="1">
        <v>10074627</v>
      </c>
      <c r="C442" s="1" t="s">
        <v>92</v>
      </c>
      <c r="D442" s="1" t="s">
        <v>76</v>
      </c>
      <c r="E442" s="1" t="s">
        <v>93</v>
      </c>
      <c r="F442" s="1" t="s">
        <v>36</v>
      </c>
      <c r="G442" s="1" t="s">
        <v>1105</v>
      </c>
      <c r="H442">
        <v>509</v>
      </c>
      <c r="I442" s="1">
        <v>1499</v>
      </c>
      <c r="J442" s="1" t="s">
        <v>403</v>
      </c>
      <c r="K442" s="1" t="s">
        <v>39</v>
      </c>
      <c r="L442" s="1">
        <v>4.2</v>
      </c>
      <c r="M442" s="1">
        <v>913</v>
      </c>
      <c r="P442" t="str">
        <f t="shared" si="27"/>
        <v>66%</v>
      </c>
      <c r="Q442" s="12">
        <f t="shared" si="24"/>
        <v>0.66</v>
      </c>
      <c r="R442" s="9">
        <f t="shared" si="25"/>
        <v>509.65999999999997</v>
      </c>
      <c r="S442" s="9">
        <f>IF(R442="",AVERAGEIF(Table1[Category],Table1[[#This Row],[Category]],Table2[orignal data]),Table2[[#This Row],[orignal data]])</f>
        <v>509.65999999999997</v>
      </c>
      <c r="T442" t="str">
        <f t="shared" si="26"/>
        <v>UNIQUE</v>
      </c>
      <c r="U442" t="str">
        <f>IF(ISBLANK(Table1[[#This Row],[SizeOption]]),"NOT AVAILABLE",Table1[[#This Row],[SizeOption]])</f>
        <v>S, M, L, XL, XXL</v>
      </c>
      <c r="Y442" t="str">
        <f>IF(Table2[[#This Row],[Column1]]&gt;50%,"HIGH DISCOUNT","LOW DISCOUNT")</f>
        <v>HIGH DISCOUNT</v>
      </c>
    </row>
    <row r="443" spans="1:25" x14ac:dyDescent="0.25">
      <c r="A443" s="2" t="s">
        <v>1106</v>
      </c>
      <c r="B443" s="2">
        <v>12069880</v>
      </c>
      <c r="C443" s="2" t="s">
        <v>1107</v>
      </c>
      <c r="D443" s="2" t="s">
        <v>34</v>
      </c>
      <c r="E443" s="2" t="s">
        <v>35</v>
      </c>
      <c r="F443" s="2" t="s">
        <v>36</v>
      </c>
      <c r="G443" s="2" t="s">
        <v>1108</v>
      </c>
      <c r="H443">
        <v>707</v>
      </c>
      <c r="I443" s="2">
        <v>1199</v>
      </c>
      <c r="J443" s="2" t="s">
        <v>1109</v>
      </c>
      <c r="K443" s="2" t="s">
        <v>881</v>
      </c>
      <c r="L443" s="2">
        <v>4</v>
      </c>
      <c r="M443" s="2">
        <v>913</v>
      </c>
      <c r="P443" t="str">
        <f t="shared" si="27"/>
        <v>41%</v>
      </c>
      <c r="Q443" s="12">
        <f t="shared" si="24"/>
        <v>0.41</v>
      </c>
      <c r="R443" s="9">
        <f t="shared" si="25"/>
        <v>707.41000000000008</v>
      </c>
      <c r="S443" s="9">
        <f>IF(R443="",AVERAGEIF(Table1[Category],Table1[[#This Row],[Category]],Table2[orignal data]),Table2[[#This Row],[orignal data]])</f>
        <v>707.41000000000008</v>
      </c>
      <c r="T443" t="str">
        <f t="shared" si="26"/>
        <v>UNIQUE</v>
      </c>
      <c r="U443" t="str">
        <f>IF(ISBLANK(Table1[[#This Row],[SizeOption]]),"NOT AVAILABLE",Table1[[#This Row],[SizeOption]])</f>
        <v>M, L, XL, XXL</v>
      </c>
      <c r="Y443" t="str">
        <f>IF(Table2[[#This Row],[Column1]]&gt;50%,"HIGH DISCOUNT","LOW DISCOUNT")</f>
        <v>LOW DISCOUNT</v>
      </c>
    </row>
    <row r="444" spans="1:25" x14ac:dyDescent="0.25">
      <c r="A444" s="1" t="s">
        <v>1110</v>
      </c>
      <c r="B444" s="1">
        <v>11416434</v>
      </c>
      <c r="C444" s="1" t="s">
        <v>1111</v>
      </c>
      <c r="D444" s="1" t="s">
        <v>34</v>
      </c>
      <c r="E444" s="1" t="s">
        <v>118</v>
      </c>
      <c r="F444" s="1" t="s">
        <v>36</v>
      </c>
      <c r="G444" s="1" t="s">
        <v>1112</v>
      </c>
      <c r="I444" s="1">
        <v>445</v>
      </c>
      <c r="J444" s="1"/>
      <c r="K444" s="1" t="s">
        <v>1113</v>
      </c>
      <c r="L444" s="1">
        <v>4.2</v>
      </c>
      <c r="M444" s="1">
        <v>913</v>
      </c>
      <c r="P444" t="str">
        <f t="shared" si="27"/>
        <v/>
      </c>
      <c r="Q444" s="12" t="str">
        <f t="shared" si="24"/>
        <v/>
      </c>
      <c r="R444" s="9" t="str">
        <f t="shared" si="25"/>
        <v/>
      </c>
      <c r="S444" s="9">
        <f>IF(R444="",AVERAGEIF(Table1[Category],Table1[[#This Row],[Category]],Table2[orignal data]),Table2[[#This Row],[orignal data]])</f>
        <v>608.88518518518481</v>
      </c>
      <c r="T444" t="str">
        <f t="shared" si="26"/>
        <v>UNIQUE</v>
      </c>
      <c r="U444" t="str">
        <f>IF(ISBLANK(Table1[[#This Row],[SizeOption]]),"NOT AVAILABLE",Table1[[#This Row],[SizeOption]])</f>
        <v>32B, 32C, 32D, 34B, 34C, 34D, 36B, 36C, 36D, 38B, 38C, 38D</v>
      </c>
      <c r="Y444" t="str">
        <f>IF(Table2[[#This Row],[Column1]]&gt;50%,"HIGH DISCOUNT","LOW DISCOUNT")</f>
        <v>HIGH DISCOUNT</v>
      </c>
    </row>
    <row r="445" spans="1:25" x14ac:dyDescent="0.25">
      <c r="A445" s="2" t="s">
        <v>1114</v>
      </c>
      <c r="B445" s="2">
        <v>8126453</v>
      </c>
      <c r="C445" s="2" t="s">
        <v>221</v>
      </c>
      <c r="D445" s="2" t="s">
        <v>98</v>
      </c>
      <c r="E445" s="2" t="s">
        <v>48</v>
      </c>
      <c r="F445" s="2" t="s">
        <v>36</v>
      </c>
      <c r="G445" s="2" t="s">
        <v>1115</v>
      </c>
      <c r="H445">
        <v>524</v>
      </c>
      <c r="I445" s="2">
        <v>1749</v>
      </c>
      <c r="J445" s="2" t="s">
        <v>79</v>
      </c>
      <c r="K445" s="2" t="s">
        <v>223</v>
      </c>
      <c r="L445" s="2">
        <v>3.9</v>
      </c>
      <c r="M445" s="2">
        <v>913</v>
      </c>
      <c r="P445" t="str">
        <f t="shared" si="27"/>
        <v>70%</v>
      </c>
      <c r="Q445" s="12">
        <f t="shared" si="24"/>
        <v>0.7</v>
      </c>
      <c r="R445" s="9">
        <f t="shared" si="25"/>
        <v>524.70000000000005</v>
      </c>
      <c r="S445" s="9">
        <f>IF(R445="",AVERAGEIF(Table1[Category],Table1[[#This Row],[Category]],Table2[orignal data]),Table2[[#This Row],[orignal data]])</f>
        <v>524.70000000000005</v>
      </c>
      <c r="T445" t="str">
        <f t="shared" si="26"/>
        <v>UNIQUE</v>
      </c>
      <c r="U445" t="str">
        <f>IF(ISBLANK(Table1[[#This Row],[SizeOption]]),"NOT AVAILABLE",Table1[[#This Row],[SizeOption]])</f>
        <v>S, M, L, XL, XXL, 3XL, 4XL</v>
      </c>
      <c r="Y445" t="str">
        <f>IF(Table2[[#This Row],[Column1]]&gt;50%,"HIGH DISCOUNT","LOW DISCOUNT")</f>
        <v>HIGH DISCOUNT</v>
      </c>
    </row>
    <row r="446" spans="1:25" x14ac:dyDescent="0.25">
      <c r="A446" s="1" t="s">
        <v>1116</v>
      </c>
      <c r="B446" s="1">
        <v>10106535</v>
      </c>
      <c r="C446" s="1" t="s">
        <v>67</v>
      </c>
      <c r="D446" s="1" t="s">
        <v>68</v>
      </c>
      <c r="E446" s="1" t="s">
        <v>137</v>
      </c>
      <c r="F446" s="1" t="s">
        <v>36</v>
      </c>
      <c r="G446" s="1" t="s">
        <v>1117</v>
      </c>
      <c r="H446">
        <v>599</v>
      </c>
      <c r="I446" s="1">
        <v>1499</v>
      </c>
      <c r="J446" s="1" t="s">
        <v>55</v>
      </c>
      <c r="K446" s="1" t="s">
        <v>134</v>
      </c>
      <c r="L446" s="1">
        <v>4.2</v>
      </c>
      <c r="M446" s="1">
        <v>913</v>
      </c>
      <c r="P446" t="str">
        <f t="shared" si="27"/>
        <v>60%</v>
      </c>
      <c r="Q446" s="12">
        <f t="shared" si="24"/>
        <v>0.6</v>
      </c>
      <c r="R446" s="9">
        <f t="shared" si="25"/>
        <v>599.6</v>
      </c>
      <c r="S446" s="9">
        <f>IF(R446="",AVERAGEIF(Table1[Category],Table1[[#This Row],[Category]],Table2[orignal data]),Table2[[#This Row],[orignal data]])</f>
        <v>599.6</v>
      </c>
      <c r="T446" t="str">
        <f t="shared" si="26"/>
        <v>UNIQUE</v>
      </c>
      <c r="U446" t="str">
        <f>IF(ISBLANK(Table1[[#This Row],[SizeOption]]),"NOT AVAILABLE",Table1[[#This Row],[SizeOption]])</f>
        <v>26, 28, 30, 32, 34, 36</v>
      </c>
      <c r="Y446" t="str">
        <f>IF(Table2[[#This Row],[Column1]]&gt;50%,"HIGH DISCOUNT","LOW DISCOUNT")</f>
        <v>HIGH DISCOUNT</v>
      </c>
    </row>
    <row r="447" spans="1:25" x14ac:dyDescent="0.25">
      <c r="A447" s="2" t="s">
        <v>1118</v>
      </c>
      <c r="B447" s="2">
        <v>7695782</v>
      </c>
      <c r="C447" s="2" t="s">
        <v>67</v>
      </c>
      <c r="D447" s="2" t="s">
        <v>68</v>
      </c>
      <c r="E447" s="2" t="s">
        <v>69</v>
      </c>
      <c r="F447" s="2" t="s">
        <v>36</v>
      </c>
      <c r="G447" s="2" t="s">
        <v>1119</v>
      </c>
      <c r="H447">
        <v>1149</v>
      </c>
      <c r="I447" s="2">
        <v>2299</v>
      </c>
      <c r="J447" s="2" t="s">
        <v>84</v>
      </c>
      <c r="K447" s="2" t="s">
        <v>115</v>
      </c>
      <c r="L447" s="2">
        <v>4.4000000000000004</v>
      </c>
      <c r="M447" s="2">
        <v>913</v>
      </c>
      <c r="P447" t="str">
        <f t="shared" si="27"/>
        <v>50%</v>
      </c>
      <c r="Q447" s="12">
        <f t="shared" si="24"/>
        <v>0.5</v>
      </c>
      <c r="R447" s="9">
        <f t="shared" si="25"/>
        <v>1149.5</v>
      </c>
      <c r="S447" s="9">
        <f>IF(R447="",AVERAGEIF(Table1[Category],Table1[[#This Row],[Category]],Table2[orignal data]),Table2[[#This Row],[orignal data]])</f>
        <v>1149.5</v>
      </c>
      <c r="T447" t="str">
        <f t="shared" si="26"/>
        <v>UNIQUE</v>
      </c>
      <c r="U447" t="str">
        <f>IF(ISBLANK(Table1[[#This Row],[SizeOption]]),"NOT AVAILABLE",Table1[[#This Row],[SizeOption]])</f>
        <v>XS, S, M, L, XL, XXL</v>
      </c>
      <c r="Y447" t="str">
        <f>IF(Table2[[#This Row],[Column1]]&gt;50%,"HIGH DISCOUNT","LOW DISCOUNT")</f>
        <v>LOW DISCOUNT</v>
      </c>
    </row>
    <row r="448" spans="1:25" x14ac:dyDescent="0.25">
      <c r="A448" s="1" t="s">
        <v>1120</v>
      </c>
      <c r="B448" s="1">
        <v>12278628</v>
      </c>
      <c r="C448" s="1" t="s">
        <v>14</v>
      </c>
      <c r="D448" s="1" t="s">
        <v>41</v>
      </c>
      <c r="E448" s="1" t="s">
        <v>16</v>
      </c>
      <c r="F448" s="1" t="s">
        <v>36</v>
      </c>
      <c r="G448" s="1" t="s">
        <v>1121</v>
      </c>
      <c r="I448" s="1">
        <v>1599</v>
      </c>
      <c r="J448" s="1" t="s">
        <v>19</v>
      </c>
      <c r="K448" s="1" t="s">
        <v>134</v>
      </c>
      <c r="L448" s="1">
        <v>4.3</v>
      </c>
      <c r="M448" s="1">
        <v>913</v>
      </c>
      <c r="P448" t="str">
        <f t="shared" si="27"/>
        <v>45%</v>
      </c>
      <c r="Q448" s="12">
        <f t="shared" si="24"/>
        <v>0.45</v>
      </c>
      <c r="R448" s="9">
        <f t="shared" si="25"/>
        <v>879.44999999999993</v>
      </c>
      <c r="S448" s="9">
        <f>IF(R448="",AVERAGEIF(Table1[Category],Table1[[#This Row],[Category]],Table2[orignal data]),Table2[[#This Row],[orignal data]])</f>
        <v>879.44999999999993</v>
      </c>
      <c r="T448" t="str">
        <f t="shared" si="26"/>
        <v>UNIQUE</v>
      </c>
      <c r="U448" t="str">
        <f>IF(ISBLANK(Table1[[#This Row],[SizeOption]]),"NOT AVAILABLE",Table1[[#This Row],[SizeOption]])</f>
        <v>26, 28, 30, 32, 34, 36</v>
      </c>
      <c r="Y448" t="str">
        <f>IF(Table2[[#This Row],[Column1]]&gt;50%,"HIGH DISCOUNT","LOW DISCOUNT")</f>
        <v>LOW DISCOUNT</v>
      </c>
    </row>
    <row r="449" spans="1:25" x14ac:dyDescent="0.25">
      <c r="A449" s="2" t="s">
        <v>1122</v>
      </c>
      <c r="B449" s="2">
        <v>11271956</v>
      </c>
      <c r="C449" s="2" t="s">
        <v>107</v>
      </c>
      <c r="D449" s="2" t="s">
        <v>41</v>
      </c>
      <c r="E449" s="2" t="s">
        <v>48</v>
      </c>
      <c r="F449" s="2" t="s">
        <v>36</v>
      </c>
      <c r="G449" s="2" t="s">
        <v>1123</v>
      </c>
      <c r="I449" s="2">
        <v>999</v>
      </c>
      <c r="J449" s="2" t="s">
        <v>186</v>
      </c>
      <c r="K449" s="2" t="s">
        <v>45</v>
      </c>
      <c r="L449" s="2">
        <v>4.5</v>
      </c>
      <c r="M449" s="2">
        <v>913</v>
      </c>
      <c r="P449" t="str">
        <f t="shared" si="27"/>
        <v>30%</v>
      </c>
      <c r="Q449" s="12">
        <f t="shared" si="24"/>
        <v>0.3</v>
      </c>
      <c r="R449" s="9">
        <f t="shared" si="25"/>
        <v>699.3</v>
      </c>
      <c r="S449" s="9">
        <f>IF(R449="",AVERAGEIF(Table1[Category],Table1[[#This Row],[Category]],Table2[orignal data]),Table2[[#This Row],[orignal data]])</f>
        <v>699.3</v>
      </c>
      <c r="T449" t="str">
        <f t="shared" si="26"/>
        <v>UNIQUE</v>
      </c>
      <c r="U449" t="str">
        <f>IF(ISBLANK(Table1[[#This Row],[SizeOption]]),"NOT AVAILABLE",Table1[[#This Row],[SizeOption]])</f>
        <v>XS, S, M, L, XL</v>
      </c>
      <c r="Y449" t="str">
        <f>IF(Table2[[#This Row],[Column1]]&gt;50%,"HIGH DISCOUNT","LOW DISCOUNT")</f>
        <v>LOW DISCOUNT</v>
      </c>
    </row>
    <row r="450" spans="1:25" x14ac:dyDescent="0.25">
      <c r="A450" s="1" t="s">
        <v>1124</v>
      </c>
      <c r="B450" s="1">
        <v>13957442</v>
      </c>
      <c r="C450" s="1" t="s">
        <v>52</v>
      </c>
      <c r="D450" s="1" t="s">
        <v>28</v>
      </c>
      <c r="E450" s="1" t="s">
        <v>29</v>
      </c>
      <c r="F450" s="1" t="s">
        <v>17</v>
      </c>
      <c r="G450" s="1" t="s">
        <v>1125</v>
      </c>
      <c r="H450">
        <v>479</v>
      </c>
      <c r="I450" s="1">
        <v>1199</v>
      </c>
      <c r="J450" s="1" t="s">
        <v>55</v>
      </c>
      <c r="K450" s="1" t="s">
        <v>90</v>
      </c>
      <c r="L450" s="1">
        <v>4.2</v>
      </c>
      <c r="M450" s="1">
        <v>912</v>
      </c>
      <c r="P450" t="str">
        <f t="shared" si="27"/>
        <v>60%</v>
      </c>
      <c r="Q450" s="12">
        <f t="shared" ref="Q450:Q513" si="28">IF(P450="","",IF(ISNUMBER(SEARCH("%",P450)),P450,P450/I450)*100%)</f>
        <v>0.6</v>
      </c>
      <c r="R450" s="9">
        <f t="shared" ref="R450:R513" si="29">IF(P450="","",I450-(I450*Q450))</f>
        <v>479.6</v>
      </c>
      <c r="S450" s="9">
        <f>IF(R450="",AVERAGEIF(Table1[Category],Table1[[#This Row],[Category]],Table2[orignal data]),Table2[[#This Row],[orignal data]])</f>
        <v>479.6</v>
      </c>
      <c r="T450" t="str">
        <f t="shared" ref="T450:T513" si="30">IF(COUNTIF($B$2:$B$5000,B450)&gt;1,"DUPLICATE","UNIQUE")</f>
        <v>UNIQUE</v>
      </c>
      <c r="U450" t="str">
        <f>IF(ISBLANK(Table1[[#This Row],[SizeOption]]),"NOT AVAILABLE",Table1[[#This Row],[SizeOption]])</f>
        <v>39, 40, 42, 44</v>
      </c>
      <c r="Y450" t="str">
        <f>IF(Table2[[#This Row],[Column1]]&gt;50%,"HIGH DISCOUNT","LOW DISCOUNT")</f>
        <v>HIGH DISCOUNT</v>
      </c>
    </row>
    <row r="451" spans="1:25" x14ac:dyDescent="0.25">
      <c r="A451" s="2" t="s">
        <v>1126</v>
      </c>
      <c r="B451" s="2">
        <v>9717187</v>
      </c>
      <c r="C451" s="2" t="s">
        <v>1127</v>
      </c>
      <c r="D451" s="2" t="s">
        <v>76</v>
      </c>
      <c r="E451" s="2" t="s">
        <v>48</v>
      </c>
      <c r="F451" s="2" t="s">
        <v>36</v>
      </c>
      <c r="G451" s="2" t="s">
        <v>1128</v>
      </c>
      <c r="H451">
        <v>899</v>
      </c>
      <c r="I451" s="2">
        <v>1799</v>
      </c>
      <c r="J451" s="2" t="s">
        <v>84</v>
      </c>
      <c r="K451" s="2" t="s">
        <v>26</v>
      </c>
      <c r="L451" s="2">
        <v>4.0999999999999996</v>
      </c>
      <c r="M451" s="2">
        <v>912</v>
      </c>
      <c r="P451" t="str">
        <f t="shared" ref="P451:P514" si="31">TRIM(SUBSTITUTE(SUBSTITUTE(SUBSTITUTE(SUBSTITUTE(J451,"OFF",""),"Rs.",""),"Hurry*",""),",",""))</f>
        <v>50%</v>
      </c>
      <c r="Q451" s="12">
        <f t="shared" si="28"/>
        <v>0.5</v>
      </c>
      <c r="R451" s="9">
        <f t="shared" si="29"/>
        <v>899.5</v>
      </c>
      <c r="S451" s="9">
        <f>IF(R451="",AVERAGEIF(Table1[Category],Table1[[#This Row],[Category]],Table2[orignal data]),Table2[[#This Row],[orignal data]])</f>
        <v>899.5</v>
      </c>
      <c r="T451" t="str">
        <f t="shared" si="30"/>
        <v>UNIQUE</v>
      </c>
      <c r="U451" t="str">
        <f>IF(ISBLANK(Table1[[#This Row],[SizeOption]]),"NOT AVAILABLE",Table1[[#This Row],[SizeOption]])</f>
        <v>S, M, L, XL</v>
      </c>
      <c r="Y451" t="str">
        <f>IF(Table2[[#This Row],[Column1]]&gt;50%,"HIGH DISCOUNT","LOW DISCOUNT")</f>
        <v>LOW DISCOUNT</v>
      </c>
    </row>
    <row r="452" spans="1:25" x14ac:dyDescent="0.25">
      <c r="A452" s="1" t="s">
        <v>1129</v>
      </c>
      <c r="B452" s="1">
        <v>9314595</v>
      </c>
      <c r="C452" s="1" t="s">
        <v>349</v>
      </c>
      <c r="D452" s="1" t="s">
        <v>34</v>
      </c>
      <c r="E452" s="1" t="s">
        <v>118</v>
      </c>
      <c r="F452" s="1" t="s">
        <v>36</v>
      </c>
      <c r="G452" s="1" t="s">
        <v>1130</v>
      </c>
      <c r="I452" s="1">
        <v>799</v>
      </c>
      <c r="J452" s="1"/>
      <c r="K452" s="1" t="s">
        <v>1131</v>
      </c>
      <c r="L452" s="1">
        <v>4.5</v>
      </c>
      <c r="M452" s="1">
        <v>912</v>
      </c>
      <c r="P452" t="str">
        <f t="shared" si="31"/>
        <v/>
      </c>
      <c r="Q452" s="12" t="str">
        <f t="shared" si="28"/>
        <v/>
      </c>
      <c r="R452" s="9" t="str">
        <f t="shared" si="29"/>
        <v/>
      </c>
      <c r="S452" s="9">
        <f>IF(R452="",AVERAGEIF(Table1[Category],Table1[[#This Row],[Category]],Table2[orignal data]),Table2[[#This Row],[orignal data]])</f>
        <v>608.88518518518481</v>
      </c>
      <c r="T452" t="str">
        <f t="shared" si="30"/>
        <v>UNIQUE</v>
      </c>
      <c r="U452" t="str">
        <f>IF(ISBLANK(Table1[[#This Row],[SizeOption]]),"NOT AVAILABLE",Table1[[#This Row],[SizeOption]])</f>
        <v>30B, 32B, 32C, 34B, 34C, 36B, 36C, 38B</v>
      </c>
      <c r="Y452" t="str">
        <f>IF(Table2[[#This Row],[Column1]]&gt;50%,"HIGH DISCOUNT","LOW DISCOUNT")</f>
        <v>HIGH DISCOUNT</v>
      </c>
    </row>
    <row r="453" spans="1:25" x14ac:dyDescent="0.25">
      <c r="A453" s="2" t="s">
        <v>1132</v>
      </c>
      <c r="B453" s="2">
        <v>12876646</v>
      </c>
      <c r="C453" s="2" t="s">
        <v>102</v>
      </c>
      <c r="D453" s="2" t="s">
        <v>41</v>
      </c>
      <c r="E453" s="2" t="s">
        <v>16</v>
      </c>
      <c r="F453" s="2" t="s">
        <v>36</v>
      </c>
      <c r="G453" s="2" t="s">
        <v>1133</v>
      </c>
      <c r="I453" s="2">
        <v>1699</v>
      </c>
      <c r="J453" s="2" t="s">
        <v>60</v>
      </c>
      <c r="K453" s="2" t="s">
        <v>428</v>
      </c>
      <c r="L453" s="2">
        <v>4.0999999999999996</v>
      </c>
      <c r="M453" s="2">
        <v>912</v>
      </c>
      <c r="P453" t="str">
        <f t="shared" si="31"/>
        <v>58%</v>
      </c>
      <c r="Q453" s="12">
        <f t="shared" si="28"/>
        <v>0.57999999999999996</v>
      </c>
      <c r="R453" s="9">
        <f t="shared" si="29"/>
        <v>713.58</v>
      </c>
      <c r="S453" s="9">
        <f>IF(R453="",AVERAGEIF(Table1[Category],Table1[[#This Row],[Category]],Table2[orignal data]),Table2[[#This Row],[orignal data]])</f>
        <v>713.58</v>
      </c>
      <c r="T453" t="str">
        <f t="shared" si="30"/>
        <v>UNIQUE</v>
      </c>
      <c r="U453" t="str">
        <f>IF(ISBLANK(Table1[[#This Row],[SizeOption]]),"NOT AVAILABLE",Table1[[#This Row],[SizeOption]])</f>
        <v>26, 28, 30, 32, 34</v>
      </c>
      <c r="Y453" t="str">
        <f>IF(Table2[[#This Row],[Column1]]&gt;50%,"HIGH DISCOUNT","LOW DISCOUNT")</f>
        <v>HIGH DISCOUNT</v>
      </c>
    </row>
    <row r="454" spans="1:25" x14ac:dyDescent="0.25">
      <c r="A454" s="1" t="s">
        <v>1134</v>
      </c>
      <c r="B454" s="1">
        <v>9339767</v>
      </c>
      <c r="C454" s="1" t="s">
        <v>676</v>
      </c>
      <c r="D454" s="1" t="s">
        <v>41</v>
      </c>
      <c r="E454" s="1" t="s">
        <v>48</v>
      </c>
      <c r="F454" s="1" t="s">
        <v>36</v>
      </c>
      <c r="G454" s="1" t="s">
        <v>1135</v>
      </c>
      <c r="I454" s="1">
        <v>1998</v>
      </c>
      <c r="J454" s="1" t="s">
        <v>84</v>
      </c>
      <c r="K454" s="1" t="s">
        <v>26</v>
      </c>
      <c r="L454" s="1">
        <v>4.0999999999999996</v>
      </c>
      <c r="M454" s="1">
        <v>912</v>
      </c>
      <c r="P454" t="str">
        <f t="shared" si="31"/>
        <v>50%</v>
      </c>
      <c r="Q454" s="12">
        <f t="shared" si="28"/>
        <v>0.5</v>
      </c>
      <c r="R454" s="9">
        <f t="shared" si="29"/>
        <v>999</v>
      </c>
      <c r="S454" s="9">
        <f>IF(R454="",AVERAGEIF(Table1[Category],Table1[[#This Row],[Category]],Table2[orignal data]),Table2[[#This Row],[orignal data]])</f>
        <v>999</v>
      </c>
      <c r="T454" t="str">
        <f t="shared" si="30"/>
        <v>UNIQUE</v>
      </c>
      <c r="U454" t="str">
        <f>IF(ISBLANK(Table1[[#This Row],[SizeOption]]),"NOT AVAILABLE",Table1[[#This Row],[SizeOption]])</f>
        <v>S, M, L, XL</v>
      </c>
      <c r="Y454" t="str">
        <f>IF(Table2[[#This Row],[Column1]]&gt;50%,"HIGH DISCOUNT","LOW DISCOUNT")</f>
        <v>LOW DISCOUNT</v>
      </c>
    </row>
    <row r="455" spans="1:25" x14ac:dyDescent="0.25">
      <c r="A455" s="2" t="s">
        <v>1136</v>
      </c>
      <c r="B455" s="2">
        <v>13581108</v>
      </c>
      <c r="C455" s="2" t="s">
        <v>181</v>
      </c>
      <c r="D455" s="2" t="s">
        <v>41</v>
      </c>
      <c r="E455" s="2" t="s">
        <v>148</v>
      </c>
      <c r="F455" s="2" t="s">
        <v>36</v>
      </c>
      <c r="G455" s="2" t="s">
        <v>1137</v>
      </c>
      <c r="I455" s="2">
        <v>2299</v>
      </c>
      <c r="J455" s="2" t="s">
        <v>84</v>
      </c>
      <c r="K455" s="2" t="s">
        <v>115</v>
      </c>
      <c r="L455" s="2">
        <v>4</v>
      </c>
      <c r="M455" s="2">
        <v>912</v>
      </c>
      <c r="P455" t="str">
        <f t="shared" si="31"/>
        <v>50%</v>
      </c>
      <c r="Q455" s="12">
        <f t="shared" si="28"/>
        <v>0.5</v>
      </c>
      <c r="R455" s="9">
        <f t="shared" si="29"/>
        <v>1149.5</v>
      </c>
      <c r="S455" s="9">
        <f>IF(R455="",AVERAGEIF(Table1[Category],Table1[[#This Row],[Category]],Table2[orignal data]),Table2[[#This Row],[orignal data]])</f>
        <v>1149.5</v>
      </c>
      <c r="T455" t="str">
        <f t="shared" si="30"/>
        <v>UNIQUE</v>
      </c>
      <c r="U455" t="str">
        <f>IF(ISBLANK(Table1[[#This Row],[SizeOption]]),"NOT AVAILABLE",Table1[[#This Row],[SizeOption]])</f>
        <v>XS, S, M, L, XL, XXL</v>
      </c>
      <c r="Y455" t="str">
        <f>IF(Table2[[#This Row],[Column1]]&gt;50%,"HIGH DISCOUNT","LOW DISCOUNT")</f>
        <v>LOW DISCOUNT</v>
      </c>
    </row>
    <row r="456" spans="1:25" x14ac:dyDescent="0.25">
      <c r="A456" s="1" t="s">
        <v>1138</v>
      </c>
      <c r="B456" s="1">
        <v>9304671</v>
      </c>
      <c r="C456" s="1" t="s">
        <v>271</v>
      </c>
      <c r="D456" s="1" t="s">
        <v>76</v>
      </c>
      <c r="E456" s="1" t="s">
        <v>93</v>
      </c>
      <c r="F456" s="1" t="s">
        <v>17</v>
      </c>
      <c r="G456" s="1" t="s">
        <v>1139</v>
      </c>
      <c r="H456">
        <v>839</v>
      </c>
      <c r="I456" s="1">
        <v>2099</v>
      </c>
      <c r="J456" s="1" t="s">
        <v>55</v>
      </c>
      <c r="K456" s="1" t="s">
        <v>39</v>
      </c>
      <c r="L456" s="1">
        <v>3.8</v>
      </c>
      <c r="M456" s="1">
        <v>911</v>
      </c>
      <c r="P456" t="str">
        <f t="shared" si="31"/>
        <v>60%</v>
      </c>
      <c r="Q456" s="12">
        <f t="shared" si="28"/>
        <v>0.6</v>
      </c>
      <c r="R456" s="9">
        <f t="shared" si="29"/>
        <v>839.60000000000014</v>
      </c>
      <c r="S456" s="9">
        <f>IF(R456="",AVERAGEIF(Table1[Category],Table1[[#This Row],[Category]],Table2[orignal data]),Table2[[#This Row],[orignal data]])</f>
        <v>839.60000000000014</v>
      </c>
      <c r="T456" t="str">
        <f t="shared" si="30"/>
        <v>UNIQUE</v>
      </c>
      <c r="U456" t="str">
        <f>IF(ISBLANK(Table1[[#This Row],[SizeOption]]),"NOT AVAILABLE",Table1[[#This Row],[SizeOption]])</f>
        <v>S, M, L, XL, XXL</v>
      </c>
      <c r="Y456" t="str">
        <f>IF(Table2[[#This Row],[Column1]]&gt;50%,"HIGH DISCOUNT","LOW DISCOUNT")</f>
        <v>HIGH DISCOUNT</v>
      </c>
    </row>
    <row r="457" spans="1:25" x14ac:dyDescent="0.25">
      <c r="A457" s="2" t="s">
        <v>1140</v>
      </c>
      <c r="B457" s="2">
        <v>2337949</v>
      </c>
      <c r="C457" s="2" t="s">
        <v>14</v>
      </c>
      <c r="D457" s="2" t="s">
        <v>28</v>
      </c>
      <c r="E457" s="2" t="s">
        <v>42</v>
      </c>
      <c r="F457" s="2" t="s">
        <v>17</v>
      </c>
      <c r="G457" s="2" t="s">
        <v>1141</v>
      </c>
      <c r="I457" s="2">
        <v>404</v>
      </c>
      <c r="J457" s="2"/>
      <c r="K457" s="2" t="s">
        <v>73</v>
      </c>
      <c r="L457" s="2">
        <v>4.2</v>
      </c>
      <c r="M457" s="2">
        <v>911</v>
      </c>
      <c r="P457" t="str">
        <f t="shared" si="31"/>
        <v/>
      </c>
      <c r="Q457" s="12" t="str">
        <f t="shared" si="28"/>
        <v/>
      </c>
      <c r="R457" s="9" t="str">
        <f t="shared" si="29"/>
        <v/>
      </c>
      <c r="S457" s="9">
        <f>IF(R457="",AVERAGEIF(Table1[Category],Table1[[#This Row],[Category]],Table2[orignal data]),Table2[[#This Row],[orignal data]])</f>
        <v>671.7823941958867</v>
      </c>
      <c r="T457" t="str">
        <f t="shared" si="30"/>
        <v>UNIQUE</v>
      </c>
      <c r="U457" t="str">
        <f>IF(ISBLANK(Table1[[#This Row],[SizeOption]]),"NOT AVAILABLE",Table1[[#This Row],[SizeOption]])</f>
        <v>XS, S, M, L, XL, XXL, 3XL, 4XL</v>
      </c>
      <c r="Y457" t="str">
        <f>IF(Table2[[#This Row],[Column1]]&gt;50%,"HIGH DISCOUNT","LOW DISCOUNT")</f>
        <v>HIGH DISCOUNT</v>
      </c>
    </row>
    <row r="458" spans="1:25" x14ac:dyDescent="0.25">
      <c r="A458" s="1" t="s">
        <v>1142</v>
      </c>
      <c r="B458" s="1">
        <v>17381350</v>
      </c>
      <c r="C458" s="1" t="s">
        <v>14</v>
      </c>
      <c r="D458" s="1" t="s">
        <v>41</v>
      </c>
      <c r="E458" s="1" t="s">
        <v>42</v>
      </c>
      <c r="F458" s="1" t="s">
        <v>36</v>
      </c>
      <c r="G458" s="1" t="s">
        <v>1143</v>
      </c>
      <c r="I458" s="1">
        <v>1198</v>
      </c>
      <c r="J458" s="1" t="s">
        <v>84</v>
      </c>
      <c r="K458" s="1" t="s">
        <v>45</v>
      </c>
      <c r="L458" s="1">
        <v>4.3</v>
      </c>
      <c r="M458" s="1">
        <v>911</v>
      </c>
      <c r="P458" t="str">
        <f t="shared" si="31"/>
        <v>50%</v>
      </c>
      <c r="Q458" s="12">
        <f t="shared" si="28"/>
        <v>0.5</v>
      </c>
      <c r="R458" s="9">
        <f t="shared" si="29"/>
        <v>599</v>
      </c>
      <c r="S458" s="9">
        <f>IF(R458="",AVERAGEIF(Table1[Category],Table1[[#This Row],[Category]],Table2[orignal data]),Table2[[#This Row],[orignal data]])</f>
        <v>599</v>
      </c>
      <c r="T458" t="str">
        <f t="shared" si="30"/>
        <v>UNIQUE</v>
      </c>
      <c r="U458" t="str">
        <f>IF(ISBLANK(Table1[[#This Row],[SizeOption]]),"NOT AVAILABLE",Table1[[#This Row],[SizeOption]])</f>
        <v>XS, S, M, L, XL</v>
      </c>
      <c r="Y458" t="str">
        <f>IF(Table2[[#This Row],[Column1]]&gt;50%,"HIGH DISCOUNT","LOW DISCOUNT")</f>
        <v>LOW DISCOUNT</v>
      </c>
    </row>
    <row r="459" spans="1:25" x14ac:dyDescent="0.25">
      <c r="A459" s="2" t="s">
        <v>1144</v>
      </c>
      <c r="B459" s="2">
        <v>11182738</v>
      </c>
      <c r="C459" s="2" t="s">
        <v>107</v>
      </c>
      <c r="D459" s="2" t="s">
        <v>41</v>
      </c>
      <c r="E459" s="2" t="s">
        <v>48</v>
      </c>
      <c r="F459" s="2" t="s">
        <v>36</v>
      </c>
      <c r="G459" s="2" t="s">
        <v>1145</v>
      </c>
      <c r="I459" s="2">
        <v>1299</v>
      </c>
      <c r="J459" s="2" t="s">
        <v>84</v>
      </c>
      <c r="K459" s="2" t="s">
        <v>45</v>
      </c>
      <c r="L459" s="2">
        <v>4.4000000000000004</v>
      </c>
      <c r="M459" s="2">
        <v>911</v>
      </c>
      <c r="P459" t="str">
        <f t="shared" si="31"/>
        <v>50%</v>
      </c>
      <c r="Q459" s="12">
        <f t="shared" si="28"/>
        <v>0.5</v>
      </c>
      <c r="R459" s="9">
        <f t="shared" si="29"/>
        <v>649.5</v>
      </c>
      <c r="S459" s="9">
        <f>IF(R459="",AVERAGEIF(Table1[Category],Table1[[#This Row],[Category]],Table2[orignal data]),Table2[[#This Row],[orignal data]])</f>
        <v>649.5</v>
      </c>
      <c r="T459" t="str">
        <f t="shared" si="30"/>
        <v>UNIQUE</v>
      </c>
      <c r="U459" t="str">
        <f>IF(ISBLANK(Table1[[#This Row],[SizeOption]]),"NOT AVAILABLE",Table1[[#This Row],[SizeOption]])</f>
        <v>XS, S, M, L, XL</v>
      </c>
      <c r="Y459" t="str">
        <f>IF(Table2[[#This Row],[Column1]]&gt;50%,"HIGH DISCOUNT","LOW DISCOUNT")</f>
        <v>LOW DISCOUNT</v>
      </c>
    </row>
    <row r="460" spans="1:25" x14ac:dyDescent="0.25">
      <c r="A460" s="1" t="s">
        <v>1146</v>
      </c>
      <c r="B460" s="1">
        <v>12193758</v>
      </c>
      <c r="C460" s="1" t="s">
        <v>14</v>
      </c>
      <c r="D460" s="1" t="s">
        <v>41</v>
      </c>
      <c r="E460" s="1" t="s">
        <v>42</v>
      </c>
      <c r="F460" s="1" t="s">
        <v>36</v>
      </c>
      <c r="G460" s="1" t="s">
        <v>1147</v>
      </c>
      <c r="I460" s="1">
        <v>999</v>
      </c>
      <c r="J460" s="1"/>
      <c r="K460" s="1" t="s">
        <v>45</v>
      </c>
      <c r="L460" s="1">
        <v>4.3</v>
      </c>
      <c r="M460" s="1">
        <v>911</v>
      </c>
      <c r="P460" t="str">
        <f t="shared" si="31"/>
        <v/>
      </c>
      <c r="Q460" s="12" t="str">
        <f t="shared" si="28"/>
        <v/>
      </c>
      <c r="R460" s="9" t="str">
        <f t="shared" si="29"/>
        <v/>
      </c>
      <c r="S460" s="9">
        <f>IF(R460="",AVERAGEIF(Table1[Category],Table1[[#This Row],[Category]],Table2[orignal data]),Table2[[#This Row],[orignal data]])</f>
        <v>715.78890751086249</v>
      </c>
      <c r="T460" t="str">
        <f t="shared" si="30"/>
        <v>UNIQUE</v>
      </c>
      <c r="U460" t="str">
        <f>IF(ISBLANK(Table1[[#This Row],[SizeOption]]),"NOT AVAILABLE",Table1[[#This Row],[SizeOption]])</f>
        <v>XS, S, M, L, XL</v>
      </c>
      <c r="Y460" t="str">
        <f>IF(Table2[[#This Row],[Column1]]&gt;50%,"HIGH DISCOUNT","LOW DISCOUNT")</f>
        <v>HIGH DISCOUNT</v>
      </c>
    </row>
    <row r="461" spans="1:25" x14ac:dyDescent="0.25">
      <c r="A461" s="2" t="s">
        <v>1148</v>
      </c>
      <c r="B461" s="2">
        <v>1155795</v>
      </c>
      <c r="C461" s="2" t="s">
        <v>346</v>
      </c>
      <c r="D461" s="2" t="s">
        <v>28</v>
      </c>
      <c r="E461" s="2" t="s">
        <v>29</v>
      </c>
      <c r="F461" s="2" t="s">
        <v>17</v>
      </c>
      <c r="G461" s="2" t="s">
        <v>1149</v>
      </c>
      <c r="H461">
        <v>719</v>
      </c>
      <c r="I461" s="2">
        <v>1599</v>
      </c>
      <c r="J461" s="2" t="s">
        <v>25</v>
      </c>
      <c r="K461" s="2" t="s">
        <v>253</v>
      </c>
      <c r="L461" s="2">
        <v>4.2</v>
      </c>
      <c r="M461" s="2">
        <v>910</v>
      </c>
      <c r="P461" t="str">
        <f t="shared" si="31"/>
        <v>55%</v>
      </c>
      <c r="Q461" s="12">
        <f t="shared" si="28"/>
        <v>0.55000000000000004</v>
      </c>
      <c r="R461" s="9">
        <f t="shared" si="29"/>
        <v>719.55</v>
      </c>
      <c r="S461" s="9">
        <f>IF(R461="",AVERAGEIF(Table1[Category],Table1[[#This Row],[Category]],Table2[orignal data]),Table2[[#This Row],[orignal data]])</f>
        <v>719.55</v>
      </c>
      <c r="T461" t="str">
        <f t="shared" si="30"/>
        <v>UNIQUE</v>
      </c>
      <c r="U461" t="str">
        <f>IF(ISBLANK(Table1[[#This Row],[SizeOption]]),"NOT AVAILABLE",Table1[[#This Row],[SizeOption]])</f>
        <v>38, 40, 42, 44</v>
      </c>
      <c r="Y461" t="str">
        <f>IF(Table2[[#This Row],[Column1]]&gt;50%,"HIGH DISCOUNT","LOW DISCOUNT")</f>
        <v>HIGH DISCOUNT</v>
      </c>
    </row>
    <row r="462" spans="1:25" x14ac:dyDescent="0.25">
      <c r="A462" s="1" t="s">
        <v>1150</v>
      </c>
      <c r="B462" s="1">
        <v>8349181</v>
      </c>
      <c r="C462" s="1" t="s">
        <v>97</v>
      </c>
      <c r="D462" s="1" t="s">
        <v>76</v>
      </c>
      <c r="E462" s="1" t="s">
        <v>93</v>
      </c>
      <c r="F462" s="1" t="s">
        <v>36</v>
      </c>
      <c r="G462" s="1" t="s">
        <v>1151</v>
      </c>
      <c r="H462">
        <v>584</v>
      </c>
      <c r="I462" s="1">
        <v>1299</v>
      </c>
      <c r="J462" s="1" t="s">
        <v>25</v>
      </c>
      <c r="K462" s="1" t="s">
        <v>100</v>
      </c>
      <c r="L462" s="1">
        <v>4.0999999999999996</v>
      </c>
      <c r="M462" s="1">
        <v>910</v>
      </c>
      <c r="P462" t="str">
        <f t="shared" si="31"/>
        <v>55%</v>
      </c>
      <c r="Q462" s="12">
        <f t="shared" si="28"/>
        <v>0.55000000000000004</v>
      </c>
      <c r="R462" s="9">
        <f t="shared" si="29"/>
        <v>584.54999999999995</v>
      </c>
      <c r="S462" s="9">
        <f>IF(R462="",AVERAGEIF(Table1[Category],Table1[[#This Row],[Category]],Table2[orignal data]),Table2[[#This Row],[orignal data]])</f>
        <v>584.54999999999995</v>
      </c>
      <c r="T462" t="str">
        <f t="shared" si="30"/>
        <v>UNIQUE</v>
      </c>
      <c r="U462" t="str">
        <f>IF(ISBLANK(Table1[[#This Row],[SizeOption]]),"NOT AVAILABLE",Table1[[#This Row],[SizeOption]])</f>
        <v>XS, S, M, L, XL, XXL, 3XL</v>
      </c>
      <c r="Y462" t="str">
        <f>IF(Table2[[#This Row],[Column1]]&gt;50%,"HIGH DISCOUNT","LOW DISCOUNT")</f>
        <v>HIGH DISCOUNT</v>
      </c>
    </row>
    <row r="463" spans="1:25" x14ac:dyDescent="0.25">
      <c r="A463" s="2" t="s">
        <v>1152</v>
      </c>
      <c r="B463" s="2">
        <v>12820436</v>
      </c>
      <c r="C463" s="2" t="s">
        <v>620</v>
      </c>
      <c r="D463" s="2" t="s">
        <v>34</v>
      </c>
      <c r="E463" s="2" t="s">
        <v>518</v>
      </c>
      <c r="F463" s="2" t="s">
        <v>36</v>
      </c>
      <c r="G463" s="2" t="s">
        <v>1153</v>
      </c>
      <c r="H463">
        <v>549</v>
      </c>
      <c r="I463" s="2">
        <v>1099</v>
      </c>
      <c r="J463" s="2" t="s">
        <v>1154</v>
      </c>
      <c r="K463" s="2" t="s">
        <v>26</v>
      </c>
      <c r="L463" s="2">
        <v>4.2</v>
      </c>
      <c r="M463" s="2">
        <v>910</v>
      </c>
      <c r="P463" t="str">
        <f t="shared" si="31"/>
        <v>50 %</v>
      </c>
      <c r="Q463" s="12">
        <f t="shared" si="28"/>
        <v>0.5</v>
      </c>
      <c r="R463" s="9">
        <f t="shared" si="29"/>
        <v>549.5</v>
      </c>
      <c r="S463" s="9">
        <f>IF(R463="",AVERAGEIF(Table1[Category],Table1[[#This Row],[Category]],Table2[orignal data]),Table2[[#This Row],[orignal data]])</f>
        <v>549.5</v>
      </c>
      <c r="T463" t="str">
        <f t="shared" si="30"/>
        <v>UNIQUE</v>
      </c>
      <c r="U463" t="str">
        <f>IF(ISBLANK(Table1[[#This Row],[SizeOption]]),"NOT AVAILABLE",Table1[[#This Row],[SizeOption]])</f>
        <v>S, M, L, XL</v>
      </c>
      <c r="Y463" t="str">
        <f>IF(Table2[[#This Row],[Column1]]&gt;50%,"HIGH DISCOUNT","LOW DISCOUNT")</f>
        <v>LOW DISCOUNT</v>
      </c>
    </row>
    <row r="464" spans="1:25" x14ac:dyDescent="0.25">
      <c r="A464" s="1" t="s">
        <v>1155</v>
      </c>
      <c r="B464" s="1">
        <v>11818414</v>
      </c>
      <c r="C464" s="1" t="s">
        <v>117</v>
      </c>
      <c r="D464" s="1" t="s">
        <v>34</v>
      </c>
      <c r="E464" s="1" t="s">
        <v>118</v>
      </c>
      <c r="F464" s="1" t="s">
        <v>36</v>
      </c>
      <c r="G464" s="1" t="s">
        <v>1156</v>
      </c>
      <c r="I464" s="1">
        <v>729</v>
      </c>
      <c r="J464" s="1"/>
      <c r="K464" s="1" t="s">
        <v>1113</v>
      </c>
      <c r="L464" s="1">
        <v>4.4000000000000004</v>
      </c>
      <c r="M464" s="1">
        <v>910</v>
      </c>
      <c r="P464" t="str">
        <f t="shared" si="31"/>
        <v/>
      </c>
      <c r="Q464" s="12" t="str">
        <f t="shared" si="28"/>
        <v/>
      </c>
      <c r="R464" s="9" t="str">
        <f t="shared" si="29"/>
        <v/>
      </c>
      <c r="S464" s="9">
        <f>IF(R464="",AVERAGEIF(Table1[Category],Table1[[#This Row],[Category]],Table2[orignal data]),Table2[[#This Row],[orignal data]])</f>
        <v>608.88518518518481</v>
      </c>
      <c r="T464" t="str">
        <f t="shared" si="30"/>
        <v>UNIQUE</v>
      </c>
      <c r="U464" t="str">
        <f>IF(ISBLANK(Table1[[#This Row],[SizeOption]]),"NOT AVAILABLE",Table1[[#This Row],[SizeOption]])</f>
        <v>32B, 32C, 32D, 34B, 34C, 34D, 36B, 36C, 36D, 38B, 38C, 38D</v>
      </c>
      <c r="Y464" t="str">
        <f>IF(Table2[[#This Row],[Column1]]&gt;50%,"HIGH DISCOUNT","LOW DISCOUNT")</f>
        <v>HIGH DISCOUNT</v>
      </c>
    </row>
    <row r="465" spans="1:25" x14ac:dyDescent="0.25">
      <c r="A465" s="2" t="s">
        <v>1157</v>
      </c>
      <c r="B465" s="2">
        <v>7477729</v>
      </c>
      <c r="C465" s="2" t="s">
        <v>1158</v>
      </c>
      <c r="D465" s="2" t="s">
        <v>41</v>
      </c>
      <c r="E465" s="2" t="s">
        <v>48</v>
      </c>
      <c r="F465" s="2" t="s">
        <v>36</v>
      </c>
      <c r="G465" s="2" t="s">
        <v>1159</v>
      </c>
      <c r="I465" s="2">
        <v>1170</v>
      </c>
      <c r="J465" s="2" t="s">
        <v>55</v>
      </c>
      <c r="K465" s="2" t="s">
        <v>311</v>
      </c>
      <c r="L465" s="2">
        <v>4.0999999999999996</v>
      </c>
      <c r="M465" s="2">
        <v>910</v>
      </c>
      <c r="P465" t="str">
        <f t="shared" si="31"/>
        <v>60%</v>
      </c>
      <c r="Q465" s="12">
        <f t="shared" si="28"/>
        <v>0.6</v>
      </c>
      <c r="R465" s="9">
        <f t="shared" si="29"/>
        <v>468</v>
      </c>
      <c r="S465" s="9">
        <f>IF(R465="",AVERAGEIF(Table1[Category],Table1[[#This Row],[Category]],Table2[orignal data]),Table2[[#This Row],[orignal data]])</f>
        <v>468</v>
      </c>
      <c r="T465" t="str">
        <f t="shared" si="30"/>
        <v>UNIQUE</v>
      </c>
      <c r="U465" t="str">
        <f>IF(ISBLANK(Table1[[#This Row],[SizeOption]]),"NOT AVAILABLE",Table1[[#This Row],[SizeOption]])</f>
        <v>XS, S, M, L</v>
      </c>
      <c r="Y465" t="str">
        <f>IF(Table2[[#This Row],[Column1]]&gt;50%,"HIGH DISCOUNT","LOW DISCOUNT")</f>
        <v>HIGH DISCOUNT</v>
      </c>
    </row>
    <row r="466" spans="1:25" x14ac:dyDescent="0.25">
      <c r="A466" s="1" t="s">
        <v>1160</v>
      </c>
      <c r="B466" s="1">
        <v>10307987</v>
      </c>
      <c r="C466" s="1" t="s">
        <v>113</v>
      </c>
      <c r="D466" s="1" t="s">
        <v>76</v>
      </c>
      <c r="E466" s="1" t="s">
        <v>93</v>
      </c>
      <c r="F466" s="1" t="s">
        <v>17</v>
      </c>
      <c r="G466" s="1" t="s">
        <v>1161</v>
      </c>
      <c r="H466">
        <v>599</v>
      </c>
      <c r="I466" s="1">
        <v>1499</v>
      </c>
      <c r="J466" s="1" t="s">
        <v>55</v>
      </c>
      <c r="K466" s="1" t="s">
        <v>39</v>
      </c>
      <c r="L466" s="1">
        <v>4.2</v>
      </c>
      <c r="M466" s="1">
        <v>909</v>
      </c>
      <c r="P466" t="str">
        <f t="shared" si="31"/>
        <v>60%</v>
      </c>
      <c r="Q466" s="12">
        <f t="shared" si="28"/>
        <v>0.6</v>
      </c>
      <c r="R466" s="9">
        <f t="shared" si="29"/>
        <v>599.6</v>
      </c>
      <c r="S466" s="9">
        <f>IF(R466="",AVERAGEIF(Table1[Category],Table1[[#This Row],[Category]],Table2[orignal data]),Table2[[#This Row],[orignal data]])</f>
        <v>599.6</v>
      </c>
      <c r="T466" t="str">
        <f t="shared" si="30"/>
        <v>UNIQUE</v>
      </c>
      <c r="U466" t="str">
        <f>IF(ISBLANK(Table1[[#This Row],[SizeOption]]),"NOT AVAILABLE",Table1[[#This Row],[SizeOption]])</f>
        <v>S, M, L, XL, XXL</v>
      </c>
      <c r="Y466" t="str">
        <f>IF(Table2[[#This Row],[Column1]]&gt;50%,"HIGH DISCOUNT","LOW DISCOUNT")</f>
        <v>HIGH DISCOUNT</v>
      </c>
    </row>
    <row r="467" spans="1:25" x14ac:dyDescent="0.25">
      <c r="A467" s="2" t="s">
        <v>1162</v>
      </c>
      <c r="B467" s="2">
        <v>1427701</v>
      </c>
      <c r="C467" s="2" t="s">
        <v>169</v>
      </c>
      <c r="D467" s="2" t="s">
        <v>28</v>
      </c>
      <c r="E467" s="2" t="s">
        <v>29</v>
      </c>
      <c r="F467" s="2" t="s">
        <v>17</v>
      </c>
      <c r="G467" s="2" t="s">
        <v>1163</v>
      </c>
      <c r="H467">
        <v>1149</v>
      </c>
      <c r="I467" s="2">
        <v>2299</v>
      </c>
      <c r="J467" s="2" t="s">
        <v>84</v>
      </c>
      <c r="K467" s="2" t="s">
        <v>484</v>
      </c>
      <c r="L467" s="2">
        <v>4.0999999999999996</v>
      </c>
      <c r="M467" s="2">
        <v>909</v>
      </c>
      <c r="P467" t="str">
        <f t="shared" si="31"/>
        <v>50%</v>
      </c>
      <c r="Q467" s="12">
        <f t="shared" si="28"/>
        <v>0.5</v>
      </c>
      <c r="R467" s="9">
        <f t="shared" si="29"/>
        <v>1149.5</v>
      </c>
      <c r="S467" s="9">
        <f>IF(R467="",AVERAGEIF(Table1[Category],Table1[[#This Row],[Category]],Table2[orignal data]),Table2[[#This Row],[orignal data]])</f>
        <v>1149.5</v>
      </c>
      <c r="T467" t="str">
        <f t="shared" si="30"/>
        <v>UNIQUE</v>
      </c>
      <c r="U467" t="str">
        <f>IF(ISBLANK(Table1[[#This Row],[SizeOption]]),"NOT AVAILABLE",Table1[[#This Row],[SizeOption]])</f>
        <v>39, 40, 42, 44, 46</v>
      </c>
      <c r="Y467" t="str">
        <f>IF(Table2[[#This Row],[Column1]]&gt;50%,"HIGH DISCOUNT","LOW DISCOUNT")</f>
        <v>LOW DISCOUNT</v>
      </c>
    </row>
    <row r="468" spans="1:25" x14ac:dyDescent="0.25">
      <c r="A468" s="1" t="s">
        <v>1164</v>
      </c>
      <c r="B468" s="1">
        <v>10617850</v>
      </c>
      <c r="C468" s="1" t="s">
        <v>14</v>
      </c>
      <c r="D468" s="1" t="s">
        <v>28</v>
      </c>
      <c r="E468" s="1" t="s">
        <v>189</v>
      </c>
      <c r="F468" s="1" t="s">
        <v>17</v>
      </c>
      <c r="G468" s="1" t="s">
        <v>1165</v>
      </c>
      <c r="I468" s="1">
        <v>2999</v>
      </c>
      <c r="J468" s="1"/>
      <c r="K468" s="1" t="s">
        <v>234</v>
      </c>
      <c r="L468" s="1">
        <v>4.3</v>
      </c>
      <c r="M468" s="1">
        <v>909</v>
      </c>
      <c r="P468" t="str">
        <f t="shared" si="31"/>
        <v/>
      </c>
      <c r="Q468" s="12" t="str">
        <f t="shared" si="28"/>
        <v/>
      </c>
      <c r="R468" s="9" t="str">
        <f t="shared" si="29"/>
        <v/>
      </c>
      <c r="S468" s="9">
        <f>IF(R468="",AVERAGEIF(Table1[Category],Table1[[#This Row],[Category]],Table2[orignal data]),Table2[[#This Row],[orignal data]])</f>
        <v>671.7823941958867</v>
      </c>
      <c r="T468" t="str">
        <f t="shared" si="30"/>
        <v>UNIQUE</v>
      </c>
      <c r="U468" t="str">
        <f>IF(ISBLANK(Table1[[#This Row],[SizeOption]]),"NOT AVAILABLE",Table1[[#This Row],[SizeOption]])</f>
        <v>S, M, L, XL, XXL, 3XL</v>
      </c>
      <c r="Y468" t="str">
        <f>IF(Table2[[#This Row],[Column1]]&gt;50%,"HIGH DISCOUNT","LOW DISCOUNT")</f>
        <v>HIGH DISCOUNT</v>
      </c>
    </row>
    <row r="469" spans="1:25" x14ac:dyDescent="0.25">
      <c r="A469" s="2" t="s">
        <v>1166</v>
      </c>
      <c r="B469" s="2">
        <v>8420231</v>
      </c>
      <c r="C469" s="2" t="s">
        <v>97</v>
      </c>
      <c r="D469" s="2" t="s">
        <v>98</v>
      </c>
      <c r="E469" s="2" t="s">
        <v>93</v>
      </c>
      <c r="F469" s="2" t="s">
        <v>36</v>
      </c>
      <c r="G469" s="2" t="s">
        <v>1167</v>
      </c>
      <c r="H469">
        <v>649</v>
      </c>
      <c r="I469" s="2">
        <v>1299</v>
      </c>
      <c r="J469" s="2" t="s">
        <v>84</v>
      </c>
      <c r="K469" s="2" t="s">
        <v>115</v>
      </c>
      <c r="L469" s="2">
        <v>4.5</v>
      </c>
      <c r="M469" s="2">
        <v>909</v>
      </c>
      <c r="P469" t="str">
        <f t="shared" si="31"/>
        <v>50%</v>
      </c>
      <c r="Q469" s="12">
        <f t="shared" si="28"/>
        <v>0.5</v>
      </c>
      <c r="R469" s="9">
        <f t="shared" si="29"/>
        <v>649.5</v>
      </c>
      <c r="S469" s="9">
        <f>IF(R469="",AVERAGEIF(Table1[Category],Table1[[#This Row],[Category]],Table2[orignal data]),Table2[[#This Row],[orignal data]])</f>
        <v>649.5</v>
      </c>
      <c r="T469" t="str">
        <f t="shared" si="30"/>
        <v>UNIQUE</v>
      </c>
      <c r="U469" t="str">
        <f>IF(ISBLANK(Table1[[#This Row],[SizeOption]]),"NOT AVAILABLE",Table1[[#This Row],[SizeOption]])</f>
        <v>XS, S, M, L, XL, XXL</v>
      </c>
      <c r="Y469" t="str">
        <f>IF(Table2[[#This Row],[Column1]]&gt;50%,"HIGH DISCOUNT","LOW DISCOUNT")</f>
        <v>LOW DISCOUNT</v>
      </c>
    </row>
    <row r="470" spans="1:25" x14ac:dyDescent="0.25">
      <c r="A470" s="1" t="s">
        <v>1168</v>
      </c>
      <c r="B470" s="1">
        <v>17523394</v>
      </c>
      <c r="C470" s="1" t="s">
        <v>47</v>
      </c>
      <c r="D470" s="1" t="s">
        <v>41</v>
      </c>
      <c r="E470" s="1" t="s">
        <v>42</v>
      </c>
      <c r="F470" s="1" t="s">
        <v>36</v>
      </c>
      <c r="G470" s="1" t="s">
        <v>1169</v>
      </c>
      <c r="I470" s="1">
        <v>1398</v>
      </c>
      <c r="J470" s="1" t="s">
        <v>84</v>
      </c>
      <c r="K470" s="1" t="s">
        <v>45</v>
      </c>
      <c r="L470" s="1">
        <v>4.4000000000000004</v>
      </c>
      <c r="M470" s="1">
        <v>909</v>
      </c>
      <c r="P470" t="str">
        <f t="shared" si="31"/>
        <v>50%</v>
      </c>
      <c r="Q470" s="12">
        <f t="shared" si="28"/>
        <v>0.5</v>
      </c>
      <c r="R470" s="9">
        <f t="shared" si="29"/>
        <v>699</v>
      </c>
      <c r="S470" s="9">
        <f>IF(R470="",AVERAGEIF(Table1[Category],Table1[[#This Row],[Category]],Table2[orignal data]),Table2[[#This Row],[orignal data]])</f>
        <v>699</v>
      </c>
      <c r="T470" t="str">
        <f t="shared" si="30"/>
        <v>UNIQUE</v>
      </c>
      <c r="U470" t="str">
        <f>IF(ISBLANK(Table1[[#This Row],[SizeOption]]),"NOT AVAILABLE",Table1[[#This Row],[SizeOption]])</f>
        <v>XS, S, M, L, XL</v>
      </c>
      <c r="Y470" t="str">
        <f>IF(Table2[[#This Row],[Column1]]&gt;50%,"HIGH DISCOUNT","LOW DISCOUNT")</f>
        <v>LOW DISCOUNT</v>
      </c>
    </row>
    <row r="471" spans="1:25" x14ac:dyDescent="0.25">
      <c r="A471" s="2" t="s">
        <v>1170</v>
      </c>
      <c r="B471" s="2">
        <v>17384216</v>
      </c>
      <c r="C471" s="2" t="s">
        <v>14</v>
      </c>
      <c r="D471" s="2" t="s">
        <v>41</v>
      </c>
      <c r="E471" s="2" t="s">
        <v>42</v>
      </c>
      <c r="F471" s="2" t="s">
        <v>36</v>
      </c>
      <c r="G471" s="2" t="s">
        <v>696</v>
      </c>
      <c r="I471" s="2">
        <v>1398</v>
      </c>
      <c r="J471" s="2" t="s">
        <v>84</v>
      </c>
      <c r="K471" s="2" t="s">
        <v>45</v>
      </c>
      <c r="L471" s="2">
        <v>4.0999999999999996</v>
      </c>
      <c r="M471" s="2">
        <v>909</v>
      </c>
      <c r="P471" t="str">
        <f t="shared" si="31"/>
        <v>50%</v>
      </c>
      <c r="Q471" s="12">
        <f t="shared" si="28"/>
        <v>0.5</v>
      </c>
      <c r="R471" s="9">
        <f t="shared" si="29"/>
        <v>699</v>
      </c>
      <c r="S471" s="9">
        <f>IF(R471="",AVERAGEIF(Table1[Category],Table1[[#This Row],[Category]],Table2[orignal data]),Table2[[#This Row],[orignal data]])</f>
        <v>699</v>
      </c>
      <c r="T471" t="str">
        <f t="shared" si="30"/>
        <v>UNIQUE</v>
      </c>
      <c r="U471" t="str">
        <f>IF(ISBLANK(Table1[[#This Row],[SizeOption]]),"NOT AVAILABLE",Table1[[#This Row],[SizeOption]])</f>
        <v>XS, S, M, L, XL</v>
      </c>
      <c r="Y471" t="str">
        <f>IF(Table2[[#This Row],[Column1]]&gt;50%,"HIGH DISCOUNT","LOW DISCOUNT")</f>
        <v>LOW DISCOUNT</v>
      </c>
    </row>
    <row r="472" spans="1:25" x14ac:dyDescent="0.25">
      <c r="A472" s="1" t="s">
        <v>1171</v>
      </c>
      <c r="B472" s="1">
        <v>9478295</v>
      </c>
      <c r="C472" s="1" t="s">
        <v>14</v>
      </c>
      <c r="D472" s="1" t="s">
        <v>41</v>
      </c>
      <c r="E472" s="1" t="s">
        <v>306</v>
      </c>
      <c r="F472" s="1" t="s">
        <v>36</v>
      </c>
      <c r="G472" s="1" t="s">
        <v>1172</v>
      </c>
      <c r="I472" s="1">
        <v>1599</v>
      </c>
      <c r="J472" s="1" t="s">
        <v>150</v>
      </c>
      <c r="K472" s="1" t="s">
        <v>115</v>
      </c>
      <c r="L472" s="1">
        <v>3.9</v>
      </c>
      <c r="M472" s="1">
        <v>909</v>
      </c>
      <c r="P472" t="str">
        <f t="shared" si="31"/>
        <v>65%</v>
      </c>
      <c r="Q472" s="12">
        <f t="shared" si="28"/>
        <v>0.65</v>
      </c>
      <c r="R472" s="9">
        <f t="shared" si="29"/>
        <v>559.64999999999986</v>
      </c>
      <c r="S472" s="9">
        <f>IF(R472="",AVERAGEIF(Table1[Category],Table1[[#This Row],[Category]],Table2[orignal data]),Table2[[#This Row],[orignal data]])</f>
        <v>559.64999999999986</v>
      </c>
      <c r="T472" t="str">
        <f t="shared" si="30"/>
        <v>UNIQUE</v>
      </c>
      <c r="U472" t="str">
        <f>IF(ISBLANK(Table1[[#This Row],[SizeOption]]),"NOT AVAILABLE",Table1[[#This Row],[SizeOption]])</f>
        <v>XS, S, M, L, XL, XXL</v>
      </c>
      <c r="Y472" t="str">
        <f>IF(Table2[[#This Row],[Column1]]&gt;50%,"HIGH DISCOUNT","LOW DISCOUNT")</f>
        <v>HIGH DISCOUNT</v>
      </c>
    </row>
    <row r="473" spans="1:25" x14ac:dyDescent="0.25">
      <c r="A473" s="2" t="s">
        <v>1173</v>
      </c>
      <c r="B473" s="2">
        <v>4924933</v>
      </c>
      <c r="C473" s="2" t="s">
        <v>102</v>
      </c>
      <c r="D473" s="2" t="s">
        <v>41</v>
      </c>
      <c r="E473" s="2" t="s">
        <v>148</v>
      </c>
      <c r="F473" s="2" t="s">
        <v>36</v>
      </c>
      <c r="G473" s="2" t="s">
        <v>1174</v>
      </c>
      <c r="I473" s="2">
        <v>2149</v>
      </c>
      <c r="J473" s="2" t="s">
        <v>104</v>
      </c>
      <c r="K473" s="2" t="s">
        <v>26</v>
      </c>
      <c r="L473" s="2">
        <v>3.9</v>
      </c>
      <c r="M473" s="2">
        <v>909</v>
      </c>
      <c r="P473" t="str">
        <f t="shared" si="31"/>
        <v>61%</v>
      </c>
      <c r="Q473" s="12">
        <f t="shared" si="28"/>
        <v>0.61</v>
      </c>
      <c r="R473" s="9">
        <f t="shared" si="29"/>
        <v>838.11000000000013</v>
      </c>
      <c r="S473" s="9">
        <f>IF(R473="",AVERAGEIF(Table1[Category],Table1[[#This Row],[Category]],Table2[orignal data]),Table2[[#This Row],[orignal data]])</f>
        <v>838.11000000000013</v>
      </c>
      <c r="T473" t="str">
        <f t="shared" si="30"/>
        <v>UNIQUE</v>
      </c>
      <c r="U473" t="str">
        <f>IF(ISBLANK(Table1[[#This Row],[SizeOption]]),"NOT AVAILABLE",Table1[[#This Row],[SizeOption]])</f>
        <v>S, M, L, XL</v>
      </c>
      <c r="Y473" t="str">
        <f>IF(Table2[[#This Row],[Column1]]&gt;50%,"HIGH DISCOUNT","LOW DISCOUNT")</f>
        <v>HIGH DISCOUNT</v>
      </c>
    </row>
    <row r="474" spans="1:25" x14ac:dyDescent="0.25">
      <c r="A474" s="1" t="s">
        <v>1175</v>
      </c>
      <c r="B474" s="1">
        <v>9200817</v>
      </c>
      <c r="C474" s="1" t="s">
        <v>1176</v>
      </c>
      <c r="D474" s="1" t="s">
        <v>28</v>
      </c>
      <c r="E474" s="1" t="s">
        <v>42</v>
      </c>
      <c r="F474" s="1" t="s">
        <v>17</v>
      </c>
      <c r="G474" s="1" t="s">
        <v>1177</v>
      </c>
      <c r="H474">
        <v>381</v>
      </c>
      <c r="I474" s="1">
        <v>779</v>
      </c>
      <c r="J474" s="1" t="s">
        <v>163</v>
      </c>
      <c r="K474" s="1" t="s">
        <v>26</v>
      </c>
      <c r="L474" s="1">
        <v>4</v>
      </c>
      <c r="M474" s="1">
        <v>908</v>
      </c>
      <c r="P474" t="str">
        <f t="shared" si="31"/>
        <v>51%</v>
      </c>
      <c r="Q474" s="12">
        <f t="shared" si="28"/>
        <v>0.51</v>
      </c>
      <c r="R474" s="9">
        <f t="shared" si="29"/>
        <v>381.71</v>
      </c>
      <c r="S474" s="9">
        <f>IF(R474="",AVERAGEIF(Table1[Category],Table1[[#This Row],[Category]],Table2[orignal data]),Table2[[#This Row],[orignal data]])</f>
        <v>381.71</v>
      </c>
      <c r="T474" t="str">
        <f t="shared" si="30"/>
        <v>UNIQUE</v>
      </c>
      <c r="U474" t="str">
        <f>IF(ISBLANK(Table1[[#This Row],[SizeOption]]),"NOT AVAILABLE",Table1[[#This Row],[SizeOption]])</f>
        <v>S, M, L, XL</v>
      </c>
      <c r="Y474" t="str">
        <f>IF(Table2[[#This Row],[Column1]]&gt;50%,"HIGH DISCOUNT","LOW DISCOUNT")</f>
        <v>HIGH DISCOUNT</v>
      </c>
    </row>
    <row r="475" spans="1:25" x14ac:dyDescent="0.25">
      <c r="A475" s="2" t="s">
        <v>1178</v>
      </c>
      <c r="B475" s="2">
        <v>7193789</v>
      </c>
      <c r="C475" s="2" t="s">
        <v>1179</v>
      </c>
      <c r="D475" s="2" t="s">
        <v>76</v>
      </c>
      <c r="E475" s="2" t="s">
        <v>148</v>
      </c>
      <c r="F475" s="2" t="s">
        <v>36</v>
      </c>
      <c r="G475" s="2" t="s">
        <v>1180</v>
      </c>
      <c r="H475">
        <v>999</v>
      </c>
      <c r="I475" s="2">
        <v>2455</v>
      </c>
      <c r="J475" s="2" t="s">
        <v>1181</v>
      </c>
      <c r="K475" s="2" t="s">
        <v>39</v>
      </c>
      <c r="L475" s="2">
        <v>3.6</v>
      </c>
      <c r="M475" s="2">
        <v>908</v>
      </c>
      <c r="P475" t="str">
        <f t="shared" si="31"/>
        <v>1456</v>
      </c>
      <c r="Q475" s="12">
        <f t="shared" si="28"/>
        <v>0.59307535641547859</v>
      </c>
      <c r="R475" s="9">
        <f t="shared" si="29"/>
        <v>999</v>
      </c>
      <c r="S475" s="9">
        <f>IF(R475="",AVERAGEIF(Table1[Category],Table1[[#This Row],[Category]],Table2[orignal data]),Table2[[#This Row],[orignal data]])</f>
        <v>999</v>
      </c>
      <c r="T475" t="str">
        <f t="shared" si="30"/>
        <v>UNIQUE</v>
      </c>
      <c r="U475" t="str">
        <f>IF(ISBLANK(Table1[[#This Row],[SizeOption]]),"NOT AVAILABLE",Table1[[#This Row],[SizeOption]])</f>
        <v>S, M, L, XL, XXL</v>
      </c>
      <c r="Y475" t="str">
        <f>IF(Table2[[#This Row],[Column1]]&gt;50%,"HIGH DISCOUNT","LOW DISCOUNT")</f>
        <v>HIGH DISCOUNT</v>
      </c>
    </row>
    <row r="476" spans="1:25" x14ac:dyDescent="0.25">
      <c r="A476" s="1" t="s">
        <v>1182</v>
      </c>
      <c r="B476" s="1">
        <v>17381480</v>
      </c>
      <c r="C476" s="1" t="s">
        <v>14</v>
      </c>
      <c r="D476" s="1" t="s">
        <v>41</v>
      </c>
      <c r="E476" s="1" t="s">
        <v>42</v>
      </c>
      <c r="F476" s="1" t="s">
        <v>36</v>
      </c>
      <c r="G476" s="1" t="s">
        <v>696</v>
      </c>
      <c r="I476" s="1">
        <v>1198</v>
      </c>
      <c r="J476" s="1" t="s">
        <v>84</v>
      </c>
      <c r="K476" s="1" t="s">
        <v>45</v>
      </c>
      <c r="L476" s="1">
        <v>4.0999999999999996</v>
      </c>
      <c r="M476" s="1">
        <v>908</v>
      </c>
      <c r="P476" t="str">
        <f t="shared" si="31"/>
        <v>50%</v>
      </c>
      <c r="Q476" s="12">
        <f t="shared" si="28"/>
        <v>0.5</v>
      </c>
      <c r="R476" s="9">
        <f t="shared" si="29"/>
        <v>599</v>
      </c>
      <c r="S476" s="9">
        <f>IF(R476="",AVERAGEIF(Table1[Category],Table1[[#This Row],[Category]],Table2[orignal data]),Table2[[#This Row],[orignal data]])</f>
        <v>599</v>
      </c>
      <c r="T476" t="str">
        <f t="shared" si="30"/>
        <v>UNIQUE</v>
      </c>
      <c r="U476" t="str">
        <f>IF(ISBLANK(Table1[[#This Row],[SizeOption]]),"NOT AVAILABLE",Table1[[#This Row],[SizeOption]])</f>
        <v>XS, S, M, L, XL</v>
      </c>
      <c r="Y476" t="str">
        <f>IF(Table2[[#This Row],[Column1]]&gt;50%,"HIGH DISCOUNT","LOW DISCOUNT")</f>
        <v>LOW DISCOUNT</v>
      </c>
    </row>
    <row r="477" spans="1:25" x14ac:dyDescent="0.25">
      <c r="A477" s="2" t="s">
        <v>1183</v>
      </c>
      <c r="B477" s="2">
        <v>17385104</v>
      </c>
      <c r="C477" s="2" t="s">
        <v>14</v>
      </c>
      <c r="D477" s="2" t="s">
        <v>41</v>
      </c>
      <c r="E477" s="2" t="s">
        <v>42</v>
      </c>
      <c r="F477" s="2" t="s">
        <v>36</v>
      </c>
      <c r="G477" s="2" t="s">
        <v>111</v>
      </c>
      <c r="I477" s="2">
        <v>1398</v>
      </c>
      <c r="J477" s="2" t="s">
        <v>84</v>
      </c>
      <c r="K477" s="2" t="s">
        <v>45</v>
      </c>
      <c r="L477" s="2">
        <v>4.4000000000000004</v>
      </c>
      <c r="M477" s="2">
        <v>908</v>
      </c>
      <c r="P477" t="str">
        <f t="shared" si="31"/>
        <v>50%</v>
      </c>
      <c r="Q477" s="12">
        <f t="shared" si="28"/>
        <v>0.5</v>
      </c>
      <c r="R477" s="9">
        <f t="shared" si="29"/>
        <v>699</v>
      </c>
      <c r="S477" s="9">
        <f>IF(R477="",AVERAGEIF(Table1[Category],Table1[[#This Row],[Category]],Table2[orignal data]),Table2[[#This Row],[orignal data]])</f>
        <v>699</v>
      </c>
      <c r="T477" t="str">
        <f t="shared" si="30"/>
        <v>UNIQUE</v>
      </c>
      <c r="U477" t="str">
        <f>IF(ISBLANK(Table1[[#This Row],[SizeOption]]),"NOT AVAILABLE",Table1[[#This Row],[SizeOption]])</f>
        <v>XS, S, M, L, XL</v>
      </c>
      <c r="Y477" t="str">
        <f>IF(Table2[[#This Row],[Column1]]&gt;50%,"HIGH DISCOUNT","LOW DISCOUNT")</f>
        <v>LOW DISCOUNT</v>
      </c>
    </row>
    <row r="478" spans="1:25" x14ac:dyDescent="0.25">
      <c r="A478" s="1" t="s">
        <v>1184</v>
      </c>
      <c r="B478" s="1">
        <v>10930336</v>
      </c>
      <c r="C478" s="1" t="s">
        <v>14</v>
      </c>
      <c r="D478" s="1" t="s">
        <v>15</v>
      </c>
      <c r="E478" s="1" t="s">
        <v>16</v>
      </c>
      <c r="F478" s="1" t="s">
        <v>17</v>
      </c>
      <c r="G478" s="1" t="s">
        <v>1185</v>
      </c>
      <c r="I478" s="1">
        <v>1699</v>
      </c>
      <c r="J478" s="1"/>
      <c r="K478" s="1" t="s">
        <v>20</v>
      </c>
      <c r="L478" s="1">
        <v>3.8</v>
      </c>
      <c r="M478" s="1">
        <v>907</v>
      </c>
      <c r="P478" t="str">
        <f t="shared" si="31"/>
        <v/>
      </c>
      <c r="Q478" s="12" t="str">
        <f t="shared" si="28"/>
        <v/>
      </c>
      <c r="R478" s="9" t="str">
        <f t="shared" si="29"/>
        <v/>
      </c>
      <c r="S478" s="9">
        <f>IF(R478="",AVERAGEIF(Table1[Category],Table1[[#This Row],[Category]],Table2[orignal data]),Table2[[#This Row],[orignal data]])</f>
        <v>892.27590339892538</v>
      </c>
      <c r="T478" t="str">
        <f t="shared" si="30"/>
        <v>UNIQUE</v>
      </c>
      <c r="U478" t="str">
        <f>IF(ISBLANK(Table1[[#This Row],[SizeOption]]),"NOT AVAILABLE",Table1[[#This Row],[SizeOption]])</f>
        <v>28, 30, 32, 34, 36</v>
      </c>
      <c r="Y478" t="str">
        <f>IF(Table2[[#This Row],[Column1]]&gt;50%,"HIGH DISCOUNT","LOW DISCOUNT")</f>
        <v>HIGH DISCOUNT</v>
      </c>
    </row>
    <row r="479" spans="1:25" x14ac:dyDescent="0.25">
      <c r="A479" s="2" t="s">
        <v>1186</v>
      </c>
      <c r="B479" s="2">
        <v>16323384</v>
      </c>
      <c r="C479" s="2" t="s">
        <v>67</v>
      </c>
      <c r="D479" s="2" t="s">
        <v>68</v>
      </c>
      <c r="E479" s="2" t="s">
        <v>42</v>
      </c>
      <c r="F479" s="2" t="s">
        <v>17</v>
      </c>
      <c r="G479" s="2" t="s">
        <v>1187</v>
      </c>
      <c r="I479" s="2">
        <v>2298</v>
      </c>
      <c r="J479" s="2"/>
      <c r="K479" s="2" t="s">
        <v>1188</v>
      </c>
      <c r="L479" s="2">
        <v>4.2</v>
      </c>
      <c r="M479" s="2">
        <v>907</v>
      </c>
      <c r="P479" t="str">
        <f t="shared" si="31"/>
        <v/>
      </c>
      <c r="Q479" s="12" t="str">
        <f t="shared" si="28"/>
        <v/>
      </c>
      <c r="R479" s="9" t="str">
        <f t="shared" si="29"/>
        <v/>
      </c>
      <c r="S479" s="9">
        <f>IF(R479="",AVERAGEIF(Table1[Category],Table1[[#This Row],[Category]],Table2[orignal data]),Table2[[#This Row],[orignal data]])</f>
        <v>734.32085365853686</v>
      </c>
      <c r="T479" t="str">
        <f t="shared" si="30"/>
        <v>UNIQUE</v>
      </c>
      <c r="U479" t="str">
        <f>IF(ISBLANK(Table1[[#This Row],[SizeOption]]),"NOT AVAILABLE",Table1[[#This Row],[SizeOption]])</f>
        <v>S, M, XL, XXL, L</v>
      </c>
      <c r="Y479" t="str">
        <f>IF(Table2[[#This Row],[Column1]]&gt;50%,"HIGH DISCOUNT","LOW DISCOUNT")</f>
        <v>HIGH DISCOUNT</v>
      </c>
    </row>
    <row r="480" spans="1:25" x14ac:dyDescent="0.25">
      <c r="A480" s="1" t="s">
        <v>1189</v>
      </c>
      <c r="B480" s="1">
        <v>11889116</v>
      </c>
      <c r="C480" s="1" t="s">
        <v>52</v>
      </c>
      <c r="D480" s="1" t="s">
        <v>28</v>
      </c>
      <c r="E480" s="1" t="s">
        <v>29</v>
      </c>
      <c r="F480" s="1" t="s">
        <v>17</v>
      </c>
      <c r="G480" s="1" t="s">
        <v>1190</v>
      </c>
      <c r="H480">
        <v>549</v>
      </c>
      <c r="I480" s="1">
        <v>1099</v>
      </c>
      <c r="J480" s="1" t="s">
        <v>84</v>
      </c>
      <c r="K480" s="1" t="s">
        <v>90</v>
      </c>
      <c r="L480" s="1">
        <v>4.3</v>
      </c>
      <c r="M480" s="1">
        <v>907</v>
      </c>
      <c r="P480" t="str">
        <f t="shared" si="31"/>
        <v>50%</v>
      </c>
      <c r="Q480" s="12">
        <f t="shared" si="28"/>
        <v>0.5</v>
      </c>
      <c r="R480" s="9">
        <f t="shared" si="29"/>
        <v>549.5</v>
      </c>
      <c r="S480" s="9">
        <f>IF(R480="",AVERAGEIF(Table1[Category],Table1[[#This Row],[Category]],Table2[orignal data]),Table2[[#This Row],[orignal data]])</f>
        <v>549.5</v>
      </c>
      <c r="T480" t="str">
        <f t="shared" si="30"/>
        <v>UNIQUE</v>
      </c>
      <c r="U480" t="str">
        <f>IF(ISBLANK(Table1[[#This Row],[SizeOption]]),"NOT AVAILABLE",Table1[[#This Row],[SizeOption]])</f>
        <v>39, 40, 42, 44</v>
      </c>
      <c r="Y480" t="str">
        <f>IF(Table2[[#This Row],[Column1]]&gt;50%,"HIGH DISCOUNT","LOW DISCOUNT")</f>
        <v>LOW DISCOUNT</v>
      </c>
    </row>
    <row r="481" spans="1:25" x14ac:dyDescent="0.25">
      <c r="A481" s="2" t="s">
        <v>1191</v>
      </c>
      <c r="B481" s="2">
        <v>2297744</v>
      </c>
      <c r="C481" s="2" t="s">
        <v>14</v>
      </c>
      <c r="D481" s="2" t="s">
        <v>28</v>
      </c>
      <c r="E481" s="2" t="s">
        <v>42</v>
      </c>
      <c r="F481" s="2" t="s">
        <v>17</v>
      </c>
      <c r="G481" s="2" t="s">
        <v>1192</v>
      </c>
      <c r="H481">
        <v>349</v>
      </c>
      <c r="I481" s="2">
        <v>699</v>
      </c>
      <c r="J481" s="2" t="s">
        <v>84</v>
      </c>
      <c r="K481" s="2" t="s">
        <v>26</v>
      </c>
      <c r="L481" s="2">
        <v>3.9</v>
      </c>
      <c r="M481" s="2">
        <v>907</v>
      </c>
      <c r="P481" t="str">
        <f t="shared" si="31"/>
        <v>50%</v>
      </c>
      <c r="Q481" s="12">
        <f t="shared" si="28"/>
        <v>0.5</v>
      </c>
      <c r="R481" s="9">
        <f t="shared" si="29"/>
        <v>349.5</v>
      </c>
      <c r="S481" s="9">
        <f>IF(R481="",AVERAGEIF(Table1[Category],Table1[[#This Row],[Category]],Table2[orignal data]),Table2[[#This Row],[orignal data]])</f>
        <v>349.5</v>
      </c>
      <c r="T481" t="str">
        <f t="shared" si="30"/>
        <v>UNIQUE</v>
      </c>
      <c r="U481" t="str">
        <f>IF(ISBLANK(Table1[[#This Row],[SizeOption]]),"NOT AVAILABLE",Table1[[#This Row],[SizeOption]])</f>
        <v>S, M, L, XL</v>
      </c>
      <c r="Y481" t="str">
        <f>IF(Table2[[#This Row],[Column1]]&gt;50%,"HIGH DISCOUNT","LOW DISCOUNT")</f>
        <v>LOW DISCOUNT</v>
      </c>
    </row>
    <row r="482" spans="1:25" x14ac:dyDescent="0.25">
      <c r="A482" s="1" t="s">
        <v>1193</v>
      </c>
      <c r="B482" s="1">
        <v>11893114</v>
      </c>
      <c r="C482" s="1" t="s">
        <v>1194</v>
      </c>
      <c r="D482" s="1" t="s">
        <v>76</v>
      </c>
      <c r="E482" s="1" t="s">
        <v>533</v>
      </c>
      <c r="F482" s="1" t="s">
        <v>36</v>
      </c>
      <c r="G482" s="1" t="s">
        <v>1195</v>
      </c>
      <c r="H482">
        <v>798</v>
      </c>
      <c r="I482" s="1">
        <v>1699</v>
      </c>
      <c r="J482" s="1" t="s">
        <v>89</v>
      </c>
      <c r="K482" s="1" t="s">
        <v>171</v>
      </c>
      <c r="L482" s="1">
        <v>4.4000000000000004</v>
      </c>
      <c r="M482" s="1">
        <v>907</v>
      </c>
      <c r="P482" t="str">
        <f t="shared" si="31"/>
        <v>53%</v>
      </c>
      <c r="Q482" s="12">
        <f t="shared" si="28"/>
        <v>0.53</v>
      </c>
      <c r="R482" s="9">
        <f t="shared" si="29"/>
        <v>798.53</v>
      </c>
      <c r="S482" s="9">
        <f>IF(R482="",AVERAGEIF(Table1[Category],Table1[[#This Row],[Category]],Table2[orignal data]),Table2[[#This Row],[orignal data]])</f>
        <v>798.53</v>
      </c>
      <c r="T482" t="str">
        <f t="shared" si="30"/>
        <v>UNIQUE</v>
      </c>
      <c r="U482" t="str">
        <f>IF(ISBLANK(Table1[[#This Row],[SizeOption]]),"NOT AVAILABLE",Table1[[#This Row],[SizeOption]])</f>
        <v>28, 30, 32, 34, 36, 38</v>
      </c>
      <c r="Y482" t="str">
        <f>IF(Table2[[#This Row],[Column1]]&gt;50%,"HIGH DISCOUNT","LOW DISCOUNT")</f>
        <v>HIGH DISCOUNT</v>
      </c>
    </row>
    <row r="483" spans="1:25" x14ac:dyDescent="0.25">
      <c r="A483" s="2" t="s">
        <v>1196</v>
      </c>
      <c r="B483" s="2">
        <v>12104526</v>
      </c>
      <c r="C483" s="2" t="s">
        <v>97</v>
      </c>
      <c r="D483" s="2" t="s">
        <v>76</v>
      </c>
      <c r="E483" s="2" t="s">
        <v>77</v>
      </c>
      <c r="F483" s="2" t="s">
        <v>36</v>
      </c>
      <c r="G483" s="2" t="s">
        <v>1197</v>
      </c>
      <c r="H483">
        <v>2449</v>
      </c>
      <c r="I483" s="2">
        <v>4899</v>
      </c>
      <c r="J483" s="2" t="s">
        <v>84</v>
      </c>
      <c r="K483" s="2" t="s">
        <v>100</v>
      </c>
      <c r="L483" s="2">
        <v>4.0999999999999996</v>
      </c>
      <c r="M483" s="2">
        <v>907</v>
      </c>
      <c r="P483" t="str">
        <f t="shared" si="31"/>
        <v>50%</v>
      </c>
      <c r="Q483" s="12">
        <f t="shared" si="28"/>
        <v>0.5</v>
      </c>
      <c r="R483" s="9">
        <f t="shared" si="29"/>
        <v>2449.5</v>
      </c>
      <c r="S483" s="9">
        <f>IF(R483="",AVERAGEIF(Table1[Category],Table1[[#This Row],[Category]],Table2[orignal data]),Table2[[#This Row],[orignal data]])</f>
        <v>2449.5</v>
      </c>
      <c r="T483" t="str">
        <f t="shared" si="30"/>
        <v>UNIQUE</v>
      </c>
      <c r="U483" t="str">
        <f>IF(ISBLANK(Table1[[#This Row],[SizeOption]]),"NOT AVAILABLE",Table1[[#This Row],[SizeOption]])</f>
        <v>XS, S, M, L, XL, XXL, 3XL</v>
      </c>
      <c r="Y483" t="str">
        <f>IF(Table2[[#This Row],[Column1]]&gt;50%,"HIGH DISCOUNT","LOW DISCOUNT")</f>
        <v>LOW DISCOUNT</v>
      </c>
    </row>
    <row r="484" spans="1:25" x14ac:dyDescent="0.25">
      <c r="A484" s="1" t="s">
        <v>1198</v>
      </c>
      <c r="B484" s="1">
        <v>851425</v>
      </c>
      <c r="C484" s="1" t="s">
        <v>762</v>
      </c>
      <c r="D484" s="1" t="s">
        <v>34</v>
      </c>
      <c r="E484" s="1" t="s">
        <v>118</v>
      </c>
      <c r="F484" s="1" t="s">
        <v>36</v>
      </c>
      <c r="G484" s="1" t="s">
        <v>1199</v>
      </c>
      <c r="H484">
        <v>645</v>
      </c>
      <c r="I484" s="1">
        <v>717</v>
      </c>
      <c r="J484" s="1" t="s">
        <v>1005</v>
      </c>
      <c r="K484" s="1" t="s">
        <v>765</v>
      </c>
      <c r="L484" s="1">
        <v>3.9</v>
      </c>
      <c r="M484" s="1">
        <v>907</v>
      </c>
      <c r="P484" t="str">
        <f t="shared" si="31"/>
        <v>10%</v>
      </c>
      <c r="Q484" s="12">
        <f t="shared" si="28"/>
        <v>0.1</v>
      </c>
      <c r="R484" s="9">
        <f t="shared" si="29"/>
        <v>645.29999999999995</v>
      </c>
      <c r="S484" s="9">
        <f>IF(R484="",AVERAGEIF(Table1[Category],Table1[[#This Row],[Category]],Table2[orignal data]),Table2[[#This Row],[orignal data]])</f>
        <v>645.29999999999995</v>
      </c>
      <c r="T484" t="str">
        <f t="shared" si="30"/>
        <v>UNIQUE</v>
      </c>
      <c r="U484" t="str">
        <f>IF(ISBLANK(Table1[[#This Row],[SizeOption]]),"NOT AVAILABLE",Table1[[#This Row],[SizeOption]])</f>
        <v>30B, 32B, 34B, 36B, 38B, 40B</v>
      </c>
      <c r="Y484" t="str">
        <f>IF(Table2[[#This Row],[Column1]]&gt;50%,"HIGH DISCOUNT","LOW DISCOUNT")</f>
        <v>LOW DISCOUNT</v>
      </c>
    </row>
    <row r="485" spans="1:25" x14ac:dyDescent="0.25">
      <c r="A485" s="2" t="s">
        <v>1200</v>
      </c>
      <c r="B485" s="2">
        <v>14154064</v>
      </c>
      <c r="C485" s="2" t="s">
        <v>102</v>
      </c>
      <c r="D485" s="2" t="s">
        <v>41</v>
      </c>
      <c r="E485" s="2" t="s">
        <v>23</v>
      </c>
      <c r="F485" s="2" t="s">
        <v>36</v>
      </c>
      <c r="G485" s="2" t="s">
        <v>1201</v>
      </c>
      <c r="I485" s="2">
        <v>1149</v>
      </c>
      <c r="J485" s="2" t="s">
        <v>167</v>
      </c>
      <c r="K485" s="2" t="s">
        <v>26</v>
      </c>
      <c r="L485" s="2">
        <v>4.4000000000000004</v>
      </c>
      <c r="M485" s="2">
        <v>907</v>
      </c>
      <c r="P485" t="str">
        <f t="shared" si="31"/>
        <v>49%</v>
      </c>
      <c r="Q485" s="12">
        <f t="shared" si="28"/>
        <v>0.49</v>
      </c>
      <c r="R485" s="9">
        <f t="shared" si="29"/>
        <v>585.99</v>
      </c>
      <c r="S485" s="9">
        <f>IF(R485="",AVERAGEIF(Table1[Category],Table1[[#This Row],[Category]],Table2[orignal data]),Table2[[#This Row],[orignal data]])</f>
        <v>585.99</v>
      </c>
      <c r="T485" t="str">
        <f t="shared" si="30"/>
        <v>UNIQUE</v>
      </c>
      <c r="U485" t="str">
        <f>IF(ISBLANK(Table1[[#This Row],[SizeOption]]),"NOT AVAILABLE",Table1[[#This Row],[SizeOption]])</f>
        <v>S, M, L, XL</v>
      </c>
      <c r="Y485" t="str">
        <f>IF(Table2[[#This Row],[Column1]]&gt;50%,"HIGH DISCOUNT","LOW DISCOUNT")</f>
        <v>LOW DISCOUNT</v>
      </c>
    </row>
    <row r="486" spans="1:25" x14ac:dyDescent="0.25">
      <c r="A486" s="1" t="s">
        <v>1202</v>
      </c>
      <c r="B486" s="1">
        <v>9256769</v>
      </c>
      <c r="C486" s="1" t="s">
        <v>1176</v>
      </c>
      <c r="D486" s="1" t="s">
        <v>28</v>
      </c>
      <c r="E486" s="1" t="s">
        <v>42</v>
      </c>
      <c r="F486" s="1" t="s">
        <v>17</v>
      </c>
      <c r="G486" s="1" t="s">
        <v>1203</v>
      </c>
      <c r="H486">
        <v>483</v>
      </c>
      <c r="I486" s="1">
        <v>1099</v>
      </c>
      <c r="J486" s="1" t="s">
        <v>1204</v>
      </c>
      <c r="K486" s="1" t="s">
        <v>26</v>
      </c>
      <c r="L486" s="1">
        <v>4</v>
      </c>
      <c r="M486" s="1">
        <v>906</v>
      </c>
      <c r="P486" t="str">
        <f t="shared" si="31"/>
        <v>56%</v>
      </c>
      <c r="Q486" s="12">
        <f t="shared" si="28"/>
        <v>0.56000000000000005</v>
      </c>
      <c r="R486" s="9">
        <f t="shared" si="29"/>
        <v>483.55999999999995</v>
      </c>
      <c r="S486" s="9">
        <f>IF(R486="",AVERAGEIF(Table1[Category],Table1[[#This Row],[Category]],Table2[orignal data]),Table2[[#This Row],[orignal data]])</f>
        <v>483.55999999999995</v>
      </c>
      <c r="T486" t="str">
        <f t="shared" si="30"/>
        <v>UNIQUE</v>
      </c>
      <c r="U486" t="str">
        <f>IF(ISBLANK(Table1[[#This Row],[SizeOption]]),"NOT AVAILABLE",Table1[[#This Row],[SizeOption]])</f>
        <v>S, M, L, XL</v>
      </c>
      <c r="Y486" t="str">
        <f>IF(Table2[[#This Row],[Column1]]&gt;50%,"HIGH DISCOUNT","LOW DISCOUNT")</f>
        <v>HIGH DISCOUNT</v>
      </c>
    </row>
    <row r="487" spans="1:25" x14ac:dyDescent="0.25">
      <c r="A487" s="2" t="s">
        <v>1205</v>
      </c>
      <c r="B487" s="2">
        <v>1421972</v>
      </c>
      <c r="C487" s="2" t="s">
        <v>169</v>
      </c>
      <c r="D487" s="2" t="s">
        <v>28</v>
      </c>
      <c r="E487" s="2" t="s">
        <v>42</v>
      </c>
      <c r="F487" s="2" t="s">
        <v>17</v>
      </c>
      <c r="G487" s="2" t="s">
        <v>1206</v>
      </c>
      <c r="H487">
        <v>539</v>
      </c>
      <c r="I487" s="2">
        <v>899</v>
      </c>
      <c r="J487" s="2" t="s">
        <v>50</v>
      </c>
      <c r="K487" s="2" t="s">
        <v>39</v>
      </c>
      <c r="L487" s="2">
        <v>4.3</v>
      </c>
      <c r="M487" s="2">
        <v>906</v>
      </c>
      <c r="P487" t="str">
        <f t="shared" si="31"/>
        <v>40%</v>
      </c>
      <c r="Q487" s="12">
        <f t="shared" si="28"/>
        <v>0.4</v>
      </c>
      <c r="R487" s="9">
        <f t="shared" si="29"/>
        <v>539.4</v>
      </c>
      <c r="S487" s="9">
        <f>IF(R487="",AVERAGEIF(Table1[Category],Table1[[#This Row],[Category]],Table2[orignal data]),Table2[[#This Row],[orignal data]])</f>
        <v>539.4</v>
      </c>
      <c r="T487" t="str">
        <f t="shared" si="30"/>
        <v>UNIQUE</v>
      </c>
      <c r="U487" t="str">
        <f>IF(ISBLANK(Table1[[#This Row],[SizeOption]]),"NOT AVAILABLE",Table1[[#This Row],[SizeOption]])</f>
        <v>S, M, L, XL, XXL</v>
      </c>
      <c r="Y487" t="str">
        <f>IF(Table2[[#This Row],[Column1]]&gt;50%,"HIGH DISCOUNT","LOW DISCOUNT")</f>
        <v>LOW DISCOUNT</v>
      </c>
    </row>
    <row r="488" spans="1:25" x14ac:dyDescent="0.25">
      <c r="A488" s="1" t="s">
        <v>1207</v>
      </c>
      <c r="B488" s="1">
        <v>13437256</v>
      </c>
      <c r="C488" s="1" t="s">
        <v>97</v>
      </c>
      <c r="D488" s="1" t="s">
        <v>76</v>
      </c>
      <c r="E488" s="1" t="s">
        <v>93</v>
      </c>
      <c r="F488" s="1" t="s">
        <v>36</v>
      </c>
      <c r="G488" s="1" t="s">
        <v>1208</v>
      </c>
      <c r="H488">
        <v>374</v>
      </c>
      <c r="I488" s="1">
        <v>1499</v>
      </c>
      <c r="J488" s="1" t="s">
        <v>109</v>
      </c>
      <c r="K488" s="1" t="s">
        <v>100</v>
      </c>
      <c r="L488" s="1">
        <v>4.0999999999999996</v>
      </c>
      <c r="M488" s="1">
        <v>906</v>
      </c>
      <c r="P488" t="str">
        <f t="shared" si="31"/>
        <v>75%</v>
      </c>
      <c r="Q488" s="12">
        <f t="shared" si="28"/>
        <v>0.75</v>
      </c>
      <c r="R488" s="9">
        <f t="shared" si="29"/>
        <v>374.75</v>
      </c>
      <c r="S488" s="9">
        <f>IF(R488="",AVERAGEIF(Table1[Category],Table1[[#This Row],[Category]],Table2[orignal data]),Table2[[#This Row],[orignal data]])</f>
        <v>374.75</v>
      </c>
      <c r="T488" t="str">
        <f t="shared" si="30"/>
        <v>UNIQUE</v>
      </c>
      <c r="U488" t="str">
        <f>IF(ISBLANK(Table1[[#This Row],[SizeOption]]),"NOT AVAILABLE",Table1[[#This Row],[SizeOption]])</f>
        <v>XS, S, M, L, XL, XXL, 3XL</v>
      </c>
      <c r="Y488" t="str">
        <f>IF(Table2[[#This Row],[Column1]]&gt;50%,"HIGH DISCOUNT","LOW DISCOUNT")</f>
        <v>HIGH DISCOUNT</v>
      </c>
    </row>
    <row r="489" spans="1:25" x14ac:dyDescent="0.25">
      <c r="A489" s="2" t="s">
        <v>1209</v>
      </c>
      <c r="B489" s="2">
        <v>16324074</v>
      </c>
      <c r="C489" s="2" t="s">
        <v>67</v>
      </c>
      <c r="D489" s="2" t="s">
        <v>68</v>
      </c>
      <c r="E489" s="2" t="s">
        <v>42</v>
      </c>
      <c r="F489" s="2" t="s">
        <v>17</v>
      </c>
      <c r="G489" s="2" t="s">
        <v>1210</v>
      </c>
      <c r="I489" s="2">
        <v>2698</v>
      </c>
      <c r="J489" s="2"/>
      <c r="K489" s="2" t="s">
        <v>39</v>
      </c>
      <c r="L489" s="2">
        <v>4.3</v>
      </c>
      <c r="M489" s="2">
        <v>905</v>
      </c>
      <c r="P489" t="str">
        <f t="shared" si="31"/>
        <v/>
      </c>
      <c r="Q489" s="12" t="str">
        <f t="shared" si="28"/>
        <v/>
      </c>
      <c r="R489" s="9" t="str">
        <f t="shared" si="29"/>
        <v/>
      </c>
      <c r="S489" s="9">
        <f>IF(R489="",AVERAGEIF(Table1[Category],Table1[[#This Row],[Category]],Table2[orignal data]),Table2[[#This Row],[orignal data]])</f>
        <v>734.32085365853686</v>
      </c>
      <c r="T489" t="str">
        <f t="shared" si="30"/>
        <v>UNIQUE</v>
      </c>
      <c r="U489" t="str">
        <f>IF(ISBLANK(Table1[[#This Row],[SizeOption]]),"NOT AVAILABLE",Table1[[#This Row],[SizeOption]])</f>
        <v>S, M, L, XL, XXL</v>
      </c>
      <c r="Y489" t="str">
        <f>IF(Table2[[#This Row],[Column1]]&gt;50%,"HIGH DISCOUNT","LOW DISCOUNT")</f>
        <v>HIGH DISCOUNT</v>
      </c>
    </row>
    <row r="490" spans="1:25" x14ac:dyDescent="0.25">
      <c r="A490" s="1" t="s">
        <v>1211</v>
      </c>
      <c r="B490" s="1">
        <v>2116963</v>
      </c>
      <c r="C490" s="1" t="s">
        <v>14</v>
      </c>
      <c r="D490" s="1" t="s">
        <v>28</v>
      </c>
      <c r="E490" s="1" t="s">
        <v>29</v>
      </c>
      <c r="F490" s="1" t="s">
        <v>17</v>
      </c>
      <c r="G490" s="1" t="s">
        <v>1212</v>
      </c>
      <c r="H490">
        <v>879</v>
      </c>
      <c r="I490" s="1">
        <v>1599</v>
      </c>
      <c r="J490" s="1" t="s">
        <v>19</v>
      </c>
      <c r="K490" s="1" t="s">
        <v>31</v>
      </c>
      <c r="L490" s="1">
        <v>4.0999999999999996</v>
      </c>
      <c r="M490" s="1">
        <v>905</v>
      </c>
      <c r="P490" t="str">
        <f t="shared" si="31"/>
        <v>45%</v>
      </c>
      <c r="Q490" s="12">
        <f t="shared" si="28"/>
        <v>0.45</v>
      </c>
      <c r="R490" s="9">
        <f t="shared" si="29"/>
        <v>879.44999999999993</v>
      </c>
      <c r="S490" s="9">
        <f>IF(R490="",AVERAGEIF(Table1[Category],Table1[[#This Row],[Category]],Table2[orignal data]),Table2[[#This Row],[orignal data]])</f>
        <v>879.44999999999993</v>
      </c>
      <c r="T490" t="str">
        <f t="shared" si="30"/>
        <v>UNIQUE</v>
      </c>
      <c r="U490" t="str">
        <f>IF(ISBLANK(Table1[[#This Row],[SizeOption]]),"NOT AVAILABLE",Table1[[#This Row],[SizeOption]])</f>
        <v>38, 40, 42, 44, 46, 48</v>
      </c>
      <c r="Y490" t="str">
        <f>IF(Table2[[#This Row],[Column1]]&gt;50%,"HIGH DISCOUNT","LOW DISCOUNT")</f>
        <v>LOW DISCOUNT</v>
      </c>
    </row>
    <row r="491" spans="1:25" x14ac:dyDescent="0.25">
      <c r="A491" s="2" t="s">
        <v>1213</v>
      </c>
      <c r="B491" s="2">
        <v>1996729</v>
      </c>
      <c r="C491" s="2" t="s">
        <v>14</v>
      </c>
      <c r="D491" s="2" t="s">
        <v>28</v>
      </c>
      <c r="E491" s="2" t="s">
        <v>42</v>
      </c>
      <c r="F491" s="2" t="s">
        <v>17</v>
      </c>
      <c r="G491" s="2" t="s">
        <v>1214</v>
      </c>
      <c r="H491">
        <v>269</v>
      </c>
      <c r="I491" s="2">
        <v>599</v>
      </c>
      <c r="J491" s="2" t="s">
        <v>25</v>
      </c>
      <c r="K491" s="2" t="s">
        <v>73</v>
      </c>
      <c r="L491" s="2">
        <v>4.2</v>
      </c>
      <c r="M491" s="2">
        <v>905</v>
      </c>
      <c r="P491" t="str">
        <f t="shared" si="31"/>
        <v>55%</v>
      </c>
      <c r="Q491" s="12">
        <f t="shared" si="28"/>
        <v>0.55000000000000004</v>
      </c>
      <c r="R491" s="9">
        <f t="shared" si="29"/>
        <v>269.54999999999995</v>
      </c>
      <c r="S491" s="9">
        <f>IF(R491="",AVERAGEIF(Table1[Category],Table1[[#This Row],[Category]],Table2[orignal data]),Table2[[#This Row],[orignal data]])</f>
        <v>269.54999999999995</v>
      </c>
      <c r="T491" t="str">
        <f t="shared" si="30"/>
        <v>UNIQUE</v>
      </c>
      <c r="U491" t="str">
        <f>IF(ISBLANK(Table1[[#This Row],[SizeOption]]),"NOT AVAILABLE",Table1[[#This Row],[SizeOption]])</f>
        <v>XS, S, M, L, XL, XXL, 3XL, 4XL</v>
      </c>
      <c r="Y491" t="str">
        <f>IF(Table2[[#This Row],[Column1]]&gt;50%,"HIGH DISCOUNT","LOW DISCOUNT")</f>
        <v>HIGH DISCOUNT</v>
      </c>
    </row>
    <row r="492" spans="1:25" x14ac:dyDescent="0.25">
      <c r="A492" s="1" t="s">
        <v>1215</v>
      </c>
      <c r="B492" s="1">
        <v>9072729</v>
      </c>
      <c r="C492" s="1" t="s">
        <v>64</v>
      </c>
      <c r="D492" s="1" t="s">
        <v>98</v>
      </c>
      <c r="E492" s="1" t="s">
        <v>16</v>
      </c>
      <c r="F492" s="1" t="s">
        <v>36</v>
      </c>
      <c r="G492" s="1" t="s">
        <v>1216</v>
      </c>
      <c r="H492">
        <v>629</v>
      </c>
      <c r="I492" s="1">
        <v>2099</v>
      </c>
      <c r="J492" s="1" t="s">
        <v>79</v>
      </c>
      <c r="K492" s="1" t="s">
        <v>643</v>
      </c>
      <c r="L492" s="1">
        <v>4.2</v>
      </c>
      <c r="M492" s="1">
        <v>905</v>
      </c>
      <c r="P492" t="str">
        <f t="shared" si="31"/>
        <v>70%</v>
      </c>
      <c r="Q492" s="12">
        <f t="shared" si="28"/>
        <v>0.7</v>
      </c>
      <c r="R492" s="9">
        <f t="shared" si="29"/>
        <v>629.70000000000005</v>
      </c>
      <c r="S492" s="9">
        <f>IF(R492="",AVERAGEIF(Table1[Category],Table1[[#This Row],[Category]],Table2[orignal data]),Table2[[#This Row],[orignal data]])</f>
        <v>629.70000000000005</v>
      </c>
      <c r="T492" t="str">
        <f t="shared" si="30"/>
        <v>UNIQUE</v>
      </c>
      <c r="U492" t="str">
        <f>IF(ISBLANK(Table1[[#This Row],[SizeOption]]),"NOT AVAILABLE",Table1[[#This Row],[SizeOption]])</f>
        <v>26, 28, 30, 32, 34, 36, 38, 40</v>
      </c>
      <c r="Y492" t="str">
        <f>IF(Table2[[#This Row],[Column1]]&gt;50%,"HIGH DISCOUNT","LOW DISCOUNT")</f>
        <v>HIGH DISCOUNT</v>
      </c>
    </row>
    <row r="493" spans="1:25" x14ac:dyDescent="0.25">
      <c r="A493" s="2" t="s">
        <v>1217</v>
      </c>
      <c r="B493" s="2">
        <v>7753715</v>
      </c>
      <c r="C493" s="2" t="s">
        <v>221</v>
      </c>
      <c r="D493" s="2" t="s">
        <v>98</v>
      </c>
      <c r="E493" s="2" t="s">
        <v>148</v>
      </c>
      <c r="F493" s="2" t="s">
        <v>36</v>
      </c>
      <c r="G493" s="2" t="s">
        <v>1218</v>
      </c>
      <c r="H493">
        <v>809</v>
      </c>
      <c r="I493" s="2">
        <v>2699</v>
      </c>
      <c r="J493" s="2" t="s">
        <v>79</v>
      </c>
      <c r="K493" s="2" t="s">
        <v>223</v>
      </c>
      <c r="L493" s="2">
        <v>4.2</v>
      </c>
      <c r="M493" s="2">
        <v>905</v>
      </c>
      <c r="P493" t="str">
        <f t="shared" si="31"/>
        <v>70%</v>
      </c>
      <c r="Q493" s="12">
        <f t="shared" si="28"/>
        <v>0.7</v>
      </c>
      <c r="R493" s="9">
        <f t="shared" si="29"/>
        <v>809.7</v>
      </c>
      <c r="S493" s="9">
        <f>IF(R493="",AVERAGEIF(Table1[Category],Table1[[#This Row],[Category]],Table2[orignal data]),Table2[[#This Row],[orignal data]])</f>
        <v>809.7</v>
      </c>
      <c r="T493" t="str">
        <f t="shared" si="30"/>
        <v>UNIQUE</v>
      </c>
      <c r="U493" t="str">
        <f>IF(ISBLANK(Table1[[#This Row],[SizeOption]]),"NOT AVAILABLE",Table1[[#This Row],[SizeOption]])</f>
        <v>S, M, L, XL, XXL, 3XL, 4XL</v>
      </c>
      <c r="Y493" t="str">
        <f>IF(Table2[[#This Row],[Column1]]&gt;50%,"HIGH DISCOUNT","LOW DISCOUNT")</f>
        <v>HIGH DISCOUNT</v>
      </c>
    </row>
    <row r="494" spans="1:25" x14ac:dyDescent="0.25">
      <c r="A494" s="1" t="s">
        <v>1219</v>
      </c>
      <c r="B494" s="1">
        <v>17524574</v>
      </c>
      <c r="C494" s="1" t="s">
        <v>47</v>
      </c>
      <c r="D494" s="1" t="s">
        <v>41</v>
      </c>
      <c r="E494" s="1" t="s">
        <v>42</v>
      </c>
      <c r="F494" s="1" t="s">
        <v>36</v>
      </c>
      <c r="G494" s="1" t="s">
        <v>1220</v>
      </c>
      <c r="I494" s="1">
        <v>1548</v>
      </c>
      <c r="J494" s="1" t="s">
        <v>84</v>
      </c>
      <c r="K494" s="1" t="s">
        <v>703</v>
      </c>
      <c r="L494" s="1">
        <v>4.0999999999999996</v>
      </c>
      <c r="M494" s="1">
        <v>905</v>
      </c>
      <c r="P494" t="str">
        <f t="shared" si="31"/>
        <v>50%</v>
      </c>
      <c r="Q494" s="12">
        <f t="shared" si="28"/>
        <v>0.5</v>
      </c>
      <c r="R494" s="9">
        <f t="shared" si="29"/>
        <v>774</v>
      </c>
      <c r="S494" s="9">
        <f>IF(R494="",AVERAGEIF(Table1[Category],Table1[[#This Row],[Category]],Table2[orignal data]),Table2[[#This Row],[orignal data]])</f>
        <v>774</v>
      </c>
      <c r="T494" t="str">
        <f t="shared" si="30"/>
        <v>UNIQUE</v>
      </c>
      <c r="U494" t="str">
        <f>IF(ISBLANK(Table1[[#This Row],[SizeOption]]),"NOT AVAILABLE",Table1[[#This Row],[SizeOption]])</f>
        <v>S, XS, XL, L, M</v>
      </c>
      <c r="Y494" t="str">
        <f>IF(Table2[[#This Row],[Column1]]&gt;50%,"HIGH DISCOUNT","LOW DISCOUNT")</f>
        <v>LOW DISCOUNT</v>
      </c>
    </row>
    <row r="495" spans="1:25" x14ac:dyDescent="0.25">
      <c r="A495" s="2" t="s">
        <v>1221</v>
      </c>
      <c r="B495" s="2">
        <v>12737822</v>
      </c>
      <c r="C495" s="2" t="s">
        <v>181</v>
      </c>
      <c r="D495" s="2" t="s">
        <v>41</v>
      </c>
      <c r="E495" s="2" t="s">
        <v>42</v>
      </c>
      <c r="F495" s="2" t="s">
        <v>36</v>
      </c>
      <c r="G495" s="2" t="s">
        <v>1222</v>
      </c>
      <c r="I495" s="2">
        <v>899</v>
      </c>
      <c r="J495" s="2" t="s">
        <v>55</v>
      </c>
      <c r="K495" s="2" t="s">
        <v>115</v>
      </c>
      <c r="L495" s="2">
        <v>4.5</v>
      </c>
      <c r="M495" s="2">
        <v>905</v>
      </c>
      <c r="P495" t="str">
        <f t="shared" si="31"/>
        <v>60%</v>
      </c>
      <c r="Q495" s="12">
        <f t="shared" si="28"/>
        <v>0.6</v>
      </c>
      <c r="R495" s="9">
        <f t="shared" si="29"/>
        <v>359.6</v>
      </c>
      <c r="S495" s="9">
        <f>IF(R495="",AVERAGEIF(Table1[Category],Table1[[#This Row],[Category]],Table2[orignal data]),Table2[[#This Row],[orignal data]])</f>
        <v>359.6</v>
      </c>
      <c r="T495" t="str">
        <f t="shared" si="30"/>
        <v>UNIQUE</v>
      </c>
      <c r="U495" t="str">
        <f>IF(ISBLANK(Table1[[#This Row],[SizeOption]]),"NOT AVAILABLE",Table1[[#This Row],[SizeOption]])</f>
        <v>XS, S, M, L, XL, XXL</v>
      </c>
      <c r="Y495" t="str">
        <f>IF(Table2[[#This Row],[Column1]]&gt;50%,"HIGH DISCOUNT","LOW DISCOUNT")</f>
        <v>HIGH DISCOUNT</v>
      </c>
    </row>
    <row r="496" spans="1:25" x14ac:dyDescent="0.25">
      <c r="A496" s="1" t="s">
        <v>1223</v>
      </c>
      <c r="B496" s="1">
        <v>11274476</v>
      </c>
      <c r="C496" s="1" t="s">
        <v>14</v>
      </c>
      <c r="D496" s="1" t="s">
        <v>15</v>
      </c>
      <c r="E496" s="1" t="s">
        <v>16</v>
      </c>
      <c r="F496" s="1" t="s">
        <v>17</v>
      </c>
      <c r="G496" s="1" t="s">
        <v>1224</v>
      </c>
      <c r="I496" s="1">
        <v>1999</v>
      </c>
      <c r="J496" s="1"/>
      <c r="K496" s="1" t="s">
        <v>20</v>
      </c>
      <c r="L496" s="1">
        <v>3.8</v>
      </c>
      <c r="M496" s="1">
        <v>904</v>
      </c>
      <c r="P496" t="str">
        <f t="shared" si="31"/>
        <v/>
      </c>
      <c r="Q496" s="12" t="str">
        <f t="shared" si="28"/>
        <v/>
      </c>
      <c r="R496" s="9" t="str">
        <f t="shared" si="29"/>
        <v/>
      </c>
      <c r="S496" s="9">
        <f>IF(R496="",AVERAGEIF(Table1[Category],Table1[[#This Row],[Category]],Table2[orignal data]),Table2[[#This Row],[orignal data]])</f>
        <v>892.27590339892538</v>
      </c>
      <c r="T496" t="str">
        <f t="shared" si="30"/>
        <v>UNIQUE</v>
      </c>
      <c r="U496" t="str">
        <f>IF(ISBLANK(Table1[[#This Row],[SizeOption]]),"NOT AVAILABLE",Table1[[#This Row],[SizeOption]])</f>
        <v>28, 30, 32, 34, 36</v>
      </c>
      <c r="Y496" t="str">
        <f>IF(Table2[[#This Row],[Column1]]&gt;50%,"HIGH DISCOUNT","LOW DISCOUNT")</f>
        <v>HIGH DISCOUNT</v>
      </c>
    </row>
    <row r="497" spans="1:25" x14ac:dyDescent="0.25">
      <c r="A497" s="2" t="s">
        <v>1225</v>
      </c>
      <c r="B497" s="2">
        <v>1376192</v>
      </c>
      <c r="C497" s="2" t="s">
        <v>14</v>
      </c>
      <c r="D497" s="2" t="s">
        <v>28</v>
      </c>
      <c r="E497" s="2" t="s">
        <v>29</v>
      </c>
      <c r="F497" s="2" t="s">
        <v>17</v>
      </c>
      <c r="G497" s="2" t="s">
        <v>1226</v>
      </c>
      <c r="H497">
        <v>719</v>
      </c>
      <c r="I497" s="2">
        <v>1799</v>
      </c>
      <c r="J497" s="2" t="s">
        <v>55</v>
      </c>
      <c r="K497" s="2" t="s">
        <v>253</v>
      </c>
      <c r="L497" s="2">
        <v>4.0999999999999996</v>
      </c>
      <c r="M497" s="2">
        <v>904</v>
      </c>
      <c r="P497" t="str">
        <f t="shared" si="31"/>
        <v>60%</v>
      </c>
      <c r="Q497" s="12">
        <f t="shared" si="28"/>
        <v>0.6</v>
      </c>
      <c r="R497" s="9">
        <f t="shared" si="29"/>
        <v>719.60000000000014</v>
      </c>
      <c r="S497" s="9">
        <f>IF(R497="",AVERAGEIF(Table1[Category],Table1[[#This Row],[Category]],Table2[orignal data]),Table2[[#This Row],[orignal data]])</f>
        <v>719.60000000000014</v>
      </c>
      <c r="T497" t="str">
        <f t="shared" si="30"/>
        <v>UNIQUE</v>
      </c>
      <c r="U497" t="str">
        <f>IF(ISBLANK(Table1[[#This Row],[SizeOption]]),"NOT AVAILABLE",Table1[[#This Row],[SizeOption]])</f>
        <v>38, 40, 42, 44</v>
      </c>
      <c r="Y497" t="str">
        <f>IF(Table2[[#This Row],[Column1]]&gt;50%,"HIGH DISCOUNT","LOW DISCOUNT")</f>
        <v>HIGH DISCOUNT</v>
      </c>
    </row>
    <row r="498" spans="1:25" x14ac:dyDescent="0.25">
      <c r="A498" s="1" t="s">
        <v>1227</v>
      </c>
      <c r="B498" s="1">
        <v>10088851</v>
      </c>
      <c r="C498" s="1" t="s">
        <v>102</v>
      </c>
      <c r="D498" s="1" t="s">
        <v>41</v>
      </c>
      <c r="E498" s="1" t="s">
        <v>148</v>
      </c>
      <c r="F498" s="1" t="s">
        <v>36</v>
      </c>
      <c r="G498" s="1" t="s">
        <v>1228</v>
      </c>
      <c r="I498" s="1">
        <v>1399</v>
      </c>
      <c r="J498" s="1" t="s">
        <v>403</v>
      </c>
      <c r="K498" s="1" t="s">
        <v>26</v>
      </c>
      <c r="L498" s="1">
        <v>4.2</v>
      </c>
      <c r="M498" s="1">
        <v>904</v>
      </c>
      <c r="P498" t="str">
        <f t="shared" si="31"/>
        <v>66%</v>
      </c>
      <c r="Q498" s="12">
        <f t="shared" si="28"/>
        <v>0.66</v>
      </c>
      <c r="R498" s="9">
        <f t="shared" si="29"/>
        <v>475.65999999999997</v>
      </c>
      <c r="S498" s="9">
        <f>IF(R498="",AVERAGEIF(Table1[Category],Table1[[#This Row],[Category]],Table2[orignal data]),Table2[[#This Row],[orignal data]])</f>
        <v>475.65999999999997</v>
      </c>
      <c r="T498" t="str">
        <f t="shared" si="30"/>
        <v>UNIQUE</v>
      </c>
      <c r="U498" t="str">
        <f>IF(ISBLANK(Table1[[#This Row],[SizeOption]]),"NOT AVAILABLE",Table1[[#This Row],[SizeOption]])</f>
        <v>S, M, L, XL</v>
      </c>
      <c r="Y498" t="str">
        <f>IF(Table2[[#This Row],[Column1]]&gt;50%,"HIGH DISCOUNT","LOW DISCOUNT")</f>
        <v>HIGH DISCOUNT</v>
      </c>
    </row>
    <row r="499" spans="1:25" x14ac:dyDescent="0.25">
      <c r="A499" s="2" t="s">
        <v>1229</v>
      </c>
      <c r="B499" s="2">
        <v>10821238</v>
      </c>
      <c r="C499" s="2" t="s">
        <v>184</v>
      </c>
      <c r="D499" s="2" t="s">
        <v>41</v>
      </c>
      <c r="E499" s="2" t="s">
        <v>48</v>
      </c>
      <c r="F499" s="2" t="s">
        <v>36</v>
      </c>
      <c r="G499" s="2" t="s">
        <v>1230</v>
      </c>
      <c r="I499" s="2">
        <v>1399</v>
      </c>
      <c r="J499" s="2" t="s">
        <v>150</v>
      </c>
      <c r="K499" s="2" t="s">
        <v>39</v>
      </c>
      <c r="L499" s="2">
        <v>3.8</v>
      </c>
      <c r="M499" s="2">
        <v>904</v>
      </c>
      <c r="P499" t="str">
        <f t="shared" si="31"/>
        <v>65%</v>
      </c>
      <c r="Q499" s="12">
        <f t="shared" si="28"/>
        <v>0.65</v>
      </c>
      <c r="R499" s="9">
        <f t="shared" si="29"/>
        <v>489.65</v>
      </c>
      <c r="S499" s="9">
        <f>IF(R499="",AVERAGEIF(Table1[Category],Table1[[#This Row],[Category]],Table2[orignal data]),Table2[[#This Row],[orignal data]])</f>
        <v>489.65</v>
      </c>
      <c r="T499" t="str">
        <f t="shared" si="30"/>
        <v>UNIQUE</v>
      </c>
      <c r="U499" t="str">
        <f>IF(ISBLANK(Table1[[#This Row],[SizeOption]]),"NOT AVAILABLE",Table1[[#This Row],[SizeOption]])</f>
        <v>S, M, L, XL, XXL</v>
      </c>
      <c r="Y499" t="str">
        <f>IF(Table2[[#This Row],[Column1]]&gt;50%,"HIGH DISCOUNT","LOW DISCOUNT")</f>
        <v>HIGH DISCOUNT</v>
      </c>
    </row>
    <row r="500" spans="1:25" x14ac:dyDescent="0.25">
      <c r="A500" s="1" t="s">
        <v>1231</v>
      </c>
      <c r="B500" s="1">
        <v>1774662</v>
      </c>
      <c r="C500" s="1" t="s">
        <v>181</v>
      </c>
      <c r="D500" s="1" t="s">
        <v>41</v>
      </c>
      <c r="E500" s="1" t="s">
        <v>148</v>
      </c>
      <c r="F500" s="1" t="s">
        <v>36</v>
      </c>
      <c r="G500" s="1" t="s">
        <v>1232</v>
      </c>
      <c r="I500" s="1">
        <v>1399</v>
      </c>
      <c r="J500" s="1" t="s">
        <v>167</v>
      </c>
      <c r="K500" s="1" t="s">
        <v>115</v>
      </c>
      <c r="L500" s="1">
        <v>4.4000000000000004</v>
      </c>
      <c r="M500" s="1">
        <v>904</v>
      </c>
      <c r="P500" t="str">
        <f t="shared" si="31"/>
        <v>49%</v>
      </c>
      <c r="Q500" s="12">
        <f t="shared" si="28"/>
        <v>0.49</v>
      </c>
      <c r="R500" s="9">
        <f t="shared" si="29"/>
        <v>713.49</v>
      </c>
      <c r="S500" s="9">
        <f>IF(R500="",AVERAGEIF(Table1[Category],Table1[[#This Row],[Category]],Table2[orignal data]),Table2[[#This Row],[orignal data]])</f>
        <v>713.49</v>
      </c>
      <c r="T500" t="str">
        <f t="shared" si="30"/>
        <v>UNIQUE</v>
      </c>
      <c r="U500" t="str">
        <f>IF(ISBLANK(Table1[[#This Row],[SizeOption]]),"NOT AVAILABLE",Table1[[#This Row],[SizeOption]])</f>
        <v>XS, S, M, L, XL, XXL</v>
      </c>
      <c r="Y500" t="str">
        <f>IF(Table2[[#This Row],[Column1]]&gt;50%,"HIGH DISCOUNT","LOW DISCOUNT")</f>
        <v>LOW DISCOUNT</v>
      </c>
    </row>
    <row r="501" spans="1:25" x14ac:dyDescent="0.25">
      <c r="A501" s="2" t="s">
        <v>1233</v>
      </c>
      <c r="B501" s="2">
        <v>17382688</v>
      </c>
      <c r="C501" s="2" t="s">
        <v>14</v>
      </c>
      <c r="D501" s="2" t="s">
        <v>41</v>
      </c>
      <c r="E501" s="2" t="s">
        <v>42</v>
      </c>
      <c r="F501" s="2" t="s">
        <v>36</v>
      </c>
      <c r="G501" s="2" t="s">
        <v>380</v>
      </c>
      <c r="I501" s="2">
        <v>1598</v>
      </c>
      <c r="J501" s="2" t="s">
        <v>84</v>
      </c>
      <c r="K501" s="2" t="s">
        <v>1234</v>
      </c>
      <c r="L501" s="2">
        <v>4.2</v>
      </c>
      <c r="M501" s="2">
        <v>904</v>
      </c>
      <c r="P501" t="str">
        <f t="shared" si="31"/>
        <v>50%</v>
      </c>
      <c r="Q501" s="12">
        <f t="shared" si="28"/>
        <v>0.5</v>
      </c>
      <c r="R501" s="9">
        <f t="shared" si="29"/>
        <v>799</v>
      </c>
      <c r="S501" s="9">
        <f>IF(R501="",AVERAGEIF(Table1[Category],Table1[[#This Row],[Category]],Table2[orignal data]),Table2[[#This Row],[orignal data]])</f>
        <v>799</v>
      </c>
      <c r="T501" t="str">
        <f t="shared" si="30"/>
        <v>UNIQUE</v>
      </c>
      <c r="U501" t="str">
        <f>IF(ISBLANK(Table1[[#This Row],[SizeOption]]),"NOT AVAILABLE",Table1[[#This Row],[SizeOption]])</f>
        <v>XL, L, M, S, XS</v>
      </c>
      <c r="Y501" t="str">
        <f>IF(Table2[[#This Row],[Column1]]&gt;50%,"HIGH DISCOUNT","LOW DISCOUNT")</f>
        <v>LOW DISCOUNT</v>
      </c>
    </row>
    <row r="502" spans="1:25" x14ac:dyDescent="0.25">
      <c r="A502" s="1" t="s">
        <v>1235</v>
      </c>
      <c r="B502" s="1">
        <v>12027774</v>
      </c>
      <c r="C502" s="1" t="s">
        <v>52</v>
      </c>
      <c r="D502" s="1" t="s">
        <v>28</v>
      </c>
      <c r="E502" s="1" t="s">
        <v>29</v>
      </c>
      <c r="F502" s="1" t="s">
        <v>17</v>
      </c>
      <c r="G502" s="1" t="s">
        <v>1236</v>
      </c>
      <c r="H502">
        <v>719</v>
      </c>
      <c r="I502" s="1">
        <v>1199</v>
      </c>
      <c r="J502" s="1" t="s">
        <v>50</v>
      </c>
      <c r="K502" s="1" t="s">
        <v>90</v>
      </c>
      <c r="L502" s="1">
        <v>4.4000000000000004</v>
      </c>
      <c r="M502" s="1">
        <v>903</v>
      </c>
      <c r="P502" t="str">
        <f t="shared" si="31"/>
        <v>40%</v>
      </c>
      <c r="Q502" s="12">
        <f t="shared" si="28"/>
        <v>0.4</v>
      </c>
      <c r="R502" s="9">
        <f t="shared" si="29"/>
        <v>719.4</v>
      </c>
      <c r="S502" s="9">
        <f>IF(R502="",AVERAGEIF(Table1[Category],Table1[[#This Row],[Category]],Table2[orignal data]),Table2[[#This Row],[orignal data]])</f>
        <v>719.4</v>
      </c>
      <c r="T502" t="str">
        <f t="shared" si="30"/>
        <v>UNIQUE</v>
      </c>
      <c r="U502" t="str">
        <f>IF(ISBLANK(Table1[[#This Row],[SizeOption]]),"NOT AVAILABLE",Table1[[#This Row],[SizeOption]])</f>
        <v>39, 40, 42, 44</v>
      </c>
      <c r="Y502" t="str">
        <f>IF(Table2[[#This Row],[Column1]]&gt;50%,"HIGH DISCOUNT","LOW DISCOUNT")</f>
        <v>LOW DISCOUNT</v>
      </c>
    </row>
    <row r="503" spans="1:25" x14ac:dyDescent="0.25">
      <c r="A503" s="2" t="s">
        <v>1237</v>
      </c>
      <c r="B503" s="2">
        <v>8715089</v>
      </c>
      <c r="C503" s="2" t="s">
        <v>221</v>
      </c>
      <c r="D503" s="2" t="s">
        <v>98</v>
      </c>
      <c r="E503" s="2" t="s">
        <v>48</v>
      </c>
      <c r="F503" s="2" t="s">
        <v>36</v>
      </c>
      <c r="G503" s="2" t="s">
        <v>1238</v>
      </c>
      <c r="H503">
        <v>539</v>
      </c>
      <c r="I503" s="2">
        <v>1799</v>
      </c>
      <c r="J503" s="2" t="s">
        <v>79</v>
      </c>
      <c r="K503" s="2" t="s">
        <v>223</v>
      </c>
      <c r="L503" s="2">
        <v>4.3</v>
      </c>
      <c r="M503" s="2">
        <v>903</v>
      </c>
      <c r="P503" t="str">
        <f t="shared" si="31"/>
        <v>70%</v>
      </c>
      <c r="Q503" s="12">
        <f t="shared" si="28"/>
        <v>0.7</v>
      </c>
      <c r="R503" s="9">
        <f t="shared" si="29"/>
        <v>539.70000000000005</v>
      </c>
      <c r="S503" s="9">
        <f>IF(R503="",AVERAGEIF(Table1[Category],Table1[[#This Row],[Category]],Table2[orignal data]),Table2[[#This Row],[orignal data]])</f>
        <v>539.70000000000005</v>
      </c>
      <c r="T503" t="str">
        <f t="shared" si="30"/>
        <v>UNIQUE</v>
      </c>
      <c r="U503" t="str">
        <f>IF(ISBLANK(Table1[[#This Row],[SizeOption]]),"NOT AVAILABLE",Table1[[#This Row],[SizeOption]])</f>
        <v>S, M, L, XL, XXL, 3XL, 4XL</v>
      </c>
      <c r="Y503" t="str">
        <f>IF(Table2[[#This Row],[Column1]]&gt;50%,"HIGH DISCOUNT","LOW DISCOUNT")</f>
        <v>HIGH DISCOUNT</v>
      </c>
    </row>
    <row r="504" spans="1:25" x14ac:dyDescent="0.25">
      <c r="A504" s="1" t="s">
        <v>1239</v>
      </c>
      <c r="B504" s="1">
        <v>9657035</v>
      </c>
      <c r="C504" s="1" t="s">
        <v>221</v>
      </c>
      <c r="D504" s="1" t="s">
        <v>98</v>
      </c>
      <c r="E504" s="1" t="s">
        <v>148</v>
      </c>
      <c r="F504" s="1" t="s">
        <v>36</v>
      </c>
      <c r="G504" s="1" t="s">
        <v>1240</v>
      </c>
      <c r="H504">
        <v>816</v>
      </c>
      <c r="I504" s="1">
        <v>2041</v>
      </c>
      <c r="J504" s="1" t="s">
        <v>55</v>
      </c>
      <c r="K504" s="1" t="s">
        <v>223</v>
      </c>
      <c r="L504" s="1">
        <v>4.0999999999999996</v>
      </c>
      <c r="M504" s="1">
        <v>903</v>
      </c>
      <c r="P504" t="str">
        <f t="shared" si="31"/>
        <v>60%</v>
      </c>
      <c r="Q504" s="12">
        <f t="shared" si="28"/>
        <v>0.6</v>
      </c>
      <c r="R504" s="9">
        <f t="shared" si="29"/>
        <v>816.40000000000009</v>
      </c>
      <c r="S504" s="9">
        <f>IF(R504="",AVERAGEIF(Table1[Category],Table1[[#This Row],[Category]],Table2[orignal data]),Table2[[#This Row],[orignal data]])</f>
        <v>816.40000000000009</v>
      </c>
      <c r="T504" t="str">
        <f t="shared" si="30"/>
        <v>UNIQUE</v>
      </c>
      <c r="U504" t="str">
        <f>IF(ISBLANK(Table1[[#This Row],[SizeOption]]),"NOT AVAILABLE",Table1[[#This Row],[SizeOption]])</f>
        <v>S, M, L, XL, XXL, 3XL, 4XL</v>
      </c>
      <c r="Y504" t="str">
        <f>IF(Table2[[#This Row],[Column1]]&gt;50%,"HIGH DISCOUNT","LOW DISCOUNT")</f>
        <v>HIGH DISCOUNT</v>
      </c>
    </row>
    <row r="505" spans="1:25" x14ac:dyDescent="0.25">
      <c r="A505" s="2" t="s">
        <v>1241</v>
      </c>
      <c r="B505" s="2">
        <v>11264142</v>
      </c>
      <c r="C505" s="2" t="s">
        <v>107</v>
      </c>
      <c r="D505" s="2" t="s">
        <v>41</v>
      </c>
      <c r="E505" s="2" t="s">
        <v>137</v>
      </c>
      <c r="F505" s="2" t="s">
        <v>36</v>
      </c>
      <c r="G505" s="2" t="s">
        <v>1242</v>
      </c>
      <c r="I505" s="2">
        <v>1399</v>
      </c>
      <c r="J505" s="2" t="s">
        <v>186</v>
      </c>
      <c r="K505" s="2" t="s">
        <v>134</v>
      </c>
      <c r="L505" s="2">
        <v>4.2</v>
      </c>
      <c r="M505" s="2">
        <v>903</v>
      </c>
      <c r="P505" t="str">
        <f t="shared" si="31"/>
        <v>30%</v>
      </c>
      <c r="Q505" s="12">
        <f t="shared" si="28"/>
        <v>0.3</v>
      </c>
      <c r="R505" s="9">
        <f t="shared" si="29"/>
        <v>979.3</v>
      </c>
      <c r="S505" s="9">
        <f>IF(R505="",AVERAGEIF(Table1[Category],Table1[[#This Row],[Category]],Table2[orignal data]),Table2[[#This Row],[orignal data]])</f>
        <v>979.3</v>
      </c>
      <c r="T505" t="str">
        <f t="shared" si="30"/>
        <v>UNIQUE</v>
      </c>
      <c r="U505" t="str">
        <f>IF(ISBLANK(Table1[[#This Row],[SizeOption]]),"NOT AVAILABLE",Table1[[#This Row],[SizeOption]])</f>
        <v>26, 28, 30, 32, 34, 36</v>
      </c>
      <c r="Y505" t="str">
        <f>IF(Table2[[#This Row],[Column1]]&gt;50%,"HIGH DISCOUNT","LOW DISCOUNT")</f>
        <v>LOW DISCOUNT</v>
      </c>
    </row>
    <row r="506" spans="1:25" x14ac:dyDescent="0.25">
      <c r="A506" s="1" t="s">
        <v>1243</v>
      </c>
      <c r="B506" s="1">
        <v>7287282</v>
      </c>
      <c r="C506" s="1" t="s">
        <v>290</v>
      </c>
      <c r="D506" s="1" t="s">
        <v>41</v>
      </c>
      <c r="E506" s="1" t="s">
        <v>148</v>
      </c>
      <c r="F506" s="1" t="s">
        <v>36</v>
      </c>
      <c r="G506" s="1" t="s">
        <v>1244</v>
      </c>
      <c r="I506" s="1">
        <v>1499</v>
      </c>
      <c r="J506" s="1" t="s">
        <v>84</v>
      </c>
      <c r="K506" s="1" t="s">
        <v>45</v>
      </c>
      <c r="L506" s="1">
        <v>4.3</v>
      </c>
      <c r="M506" s="1">
        <v>903</v>
      </c>
      <c r="P506" t="str">
        <f t="shared" si="31"/>
        <v>50%</v>
      </c>
      <c r="Q506" s="12">
        <f t="shared" si="28"/>
        <v>0.5</v>
      </c>
      <c r="R506" s="9">
        <f t="shared" si="29"/>
        <v>749.5</v>
      </c>
      <c r="S506" s="9">
        <f>IF(R506="",AVERAGEIF(Table1[Category],Table1[[#This Row],[Category]],Table2[orignal data]),Table2[[#This Row],[orignal data]])</f>
        <v>749.5</v>
      </c>
      <c r="T506" t="str">
        <f t="shared" si="30"/>
        <v>UNIQUE</v>
      </c>
      <c r="U506" t="str">
        <f>IF(ISBLANK(Table1[[#This Row],[SizeOption]]),"NOT AVAILABLE",Table1[[#This Row],[SizeOption]])</f>
        <v>XS, S, M, L, XL</v>
      </c>
      <c r="Y506" t="str">
        <f>IF(Table2[[#This Row],[Column1]]&gt;50%,"HIGH DISCOUNT","LOW DISCOUNT")</f>
        <v>LOW DISCOUNT</v>
      </c>
    </row>
    <row r="507" spans="1:25" x14ac:dyDescent="0.25">
      <c r="A507" s="2" t="s">
        <v>1245</v>
      </c>
      <c r="B507" s="2">
        <v>10981590</v>
      </c>
      <c r="C507" s="2" t="s">
        <v>102</v>
      </c>
      <c r="D507" s="2" t="s">
        <v>41</v>
      </c>
      <c r="E507" s="2" t="s">
        <v>148</v>
      </c>
      <c r="F507" s="2" t="s">
        <v>36</v>
      </c>
      <c r="G507" s="2" t="s">
        <v>1246</v>
      </c>
      <c r="I507" s="2">
        <v>1799</v>
      </c>
      <c r="J507" s="2" t="s">
        <v>167</v>
      </c>
      <c r="K507" s="2" t="s">
        <v>26</v>
      </c>
      <c r="L507" s="2">
        <v>4.3</v>
      </c>
      <c r="M507" s="2">
        <v>903</v>
      </c>
      <c r="P507" t="str">
        <f t="shared" si="31"/>
        <v>49%</v>
      </c>
      <c r="Q507" s="12">
        <f t="shared" si="28"/>
        <v>0.49</v>
      </c>
      <c r="R507" s="9">
        <f t="shared" si="29"/>
        <v>917.49</v>
      </c>
      <c r="S507" s="9">
        <f>IF(R507="",AVERAGEIF(Table1[Category],Table1[[#This Row],[Category]],Table2[orignal data]),Table2[[#This Row],[orignal data]])</f>
        <v>917.49</v>
      </c>
      <c r="T507" t="str">
        <f t="shared" si="30"/>
        <v>UNIQUE</v>
      </c>
      <c r="U507" t="str">
        <f>IF(ISBLANK(Table1[[#This Row],[SizeOption]]),"NOT AVAILABLE",Table1[[#This Row],[SizeOption]])</f>
        <v>S, M, L, XL</v>
      </c>
      <c r="Y507" t="str">
        <f>IF(Table2[[#This Row],[Column1]]&gt;50%,"HIGH DISCOUNT","LOW DISCOUNT")</f>
        <v>LOW DISCOUNT</v>
      </c>
    </row>
    <row r="508" spans="1:25" x14ac:dyDescent="0.25">
      <c r="A508" s="1" t="s">
        <v>1247</v>
      </c>
      <c r="B508" s="1">
        <v>9340383</v>
      </c>
      <c r="C508" s="1" t="s">
        <v>676</v>
      </c>
      <c r="D508" s="1" t="s">
        <v>41</v>
      </c>
      <c r="E508" s="1" t="s">
        <v>48</v>
      </c>
      <c r="F508" s="1" t="s">
        <v>36</v>
      </c>
      <c r="G508" s="1" t="s">
        <v>1248</v>
      </c>
      <c r="I508" s="1">
        <v>1998</v>
      </c>
      <c r="J508" s="1" t="s">
        <v>84</v>
      </c>
      <c r="K508" s="1" t="s">
        <v>26</v>
      </c>
      <c r="L508" s="1">
        <v>4.0999999999999996</v>
      </c>
      <c r="M508" s="1">
        <v>903</v>
      </c>
      <c r="P508" t="str">
        <f t="shared" si="31"/>
        <v>50%</v>
      </c>
      <c r="Q508" s="12">
        <f t="shared" si="28"/>
        <v>0.5</v>
      </c>
      <c r="R508" s="9">
        <f t="shared" si="29"/>
        <v>999</v>
      </c>
      <c r="S508" s="9">
        <f>IF(R508="",AVERAGEIF(Table1[Category],Table1[[#This Row],[Category]],Table2[orignal data]),Table2[[#This Row],[orignal data]])</f>
        <v>999</v>
      </c>
      <c r="T508" t="str">
        <f t="shared" si="30"/>
        <v>UNIQUE</v>
      </c>
      <c r="U508" t="str">
        <f>IF(ISBLANK(Table1[[#This Row],[SizeOption]]),"NOT AVAILABLE",Table1[[#This Row],[SizeOption]])</f>
        <v>S, M, L, XL</v>
      </c>
      <c r="Y508" t="str">
        <f>IF(Table2[[#This Row],[Column1]]&gt;50%,"HIGH DISCOUNT","LOW DISCOUNT")</f>
        <v>LOW DISCOUNT</v>
      </c>
    </row>
    <row r="509" spans="1:25" x14ac:dyDescent="0.25">
      <c r="A509" s="2" t="s">
        <v>1249</v>
      </c>
      <c r="B509" s="2">
        <v>12161178</v>
      </c>
      <c r="C509" s="2" t="s">
        <v>1250</v>
      </c>
      <c r="D509" s="2" t="s">
        <v>41</v>
      </c>
      <c r="E509" s="2" t="s">
        <v>16</v>
      </c>
      <c r="F509" s="2" t="s">
        <v>36</v>
      </c>
      <c r="G509" s="2" t="s">
        <v>1251</v>
      </c>
      <c r="I509" s="2">
        <v>1999</v>
      </c>
      <c r="J509" s="2" t="s">
        <v>25</v>
      </c>
      <c r="K509" s="2" t="s">
        <v>1252</v>
      </c>
      <c r="L509" s="2">
        <v>4.0999999999999996</v>
      </c>
      <c r="M509" s="2">
        <v>903</v>
      </c>
      <c r="P509" t="str">
        <f t="shared" si="31"/>
        <v>55%</v>
      </c>
      <c r="Q509" s="12">
        <f t="shared" si="28"/>
        <v>0.55000000000000004</v>
      </c>
      <c r="R509" s="9">
        <f t="shared" si="29"/>
        <v>899.55</v>
      </c>
      <c r="S509" s="9">
        <f>IF(R509="",AVERAGEIF(Table1[Category],Table1[[#This Row],[Category]],Table2[orignal data]),Table2[[#This Row],[orignal data]])</f>
        <v>899.55</v>
      </c>
      <c r="T509" t="str">
        <f t="shared" si="30"/>
        <v>UNIQUE</v>
      </c>
      <c r="U509" t="str">
        <f>IF(ISBLANK(Table1[[#This Row],[SizeOption]]),"NOT AVAILABLE",Table1[[#This Row],[SizeOption]])</f>
        <v>26, 28, 30, 32</v>
      </c>
      <c r="Y509" t="str">
        <f>IF(Table2[[#This Row],[Column1]]&gt;50%,"HIGH DISCOUNT","LOW DISCOUNT")</f>
        <v>HIGH DISCOUNT</v>
      </c>
    </row>
    <row r="510" spans="1:25" x14ac:dyDescent="0.25">
      <c r="A510" s="1" t="s">
        <v>1253</v>
      </c>
      <c r="B510" s="1">
        <v>11364356</v>
      </c>
      <c r="C510" s="1" t="s">
        <v>181</v>
      </c>
      <c r="D510" s="1" t="s">
        <v>41</v>
      </c>
      <c r="E510" s="1" t="s">
        <v>148</v>
      </c>
      <c r="F510" s="1" t="s">
        <v>36</v>
      </c>
      <c r="G510" s="1" t="s">
        <v>1254</v>
      </c>
      <c r="I510" s="1">
        <v>2499</v>
      </c>
      <c r="J510" s="1" t="s">
        <v>84</v>
      </c>
      <c r="K510" s="1" t="s">
        <v>115</v>
      </c>
      <c r="L510" s="1">
        <v>4.2</v>
      </c>
      <c r="M510" s="1">
        <v>903</v>
      </c>
      <c r="P510" t="str">
        <f t="shared" si="31"/>
        <v>50%</v>
      </c>
      <c r="Q510" s="12">
        <f t="shared" si="28"/>
        <v>0.5</v>
      </c>
      <c r="R510" s="9">
        <f t="shared" si="29"/>
        <v>1249.5</v>
      </c>
      <c r="S510" s="9">
        <f>IF(R510="",AVERAGEIF(Table1[Category],Table1[[#This Row],[Category]],Table2[orignal data]),Table2[[#This Row],[orignal data]])</f>
        <v>1249.5</v>
      </c>
      <c r="T510" t="str">
        <f t="shared" si="30"/>
        <v>UNIQUE</v>
      </c>
      <c r="U510" t="str">
        <f>IF(ISBLANK(Table1[[#This Row],[SizeOption]]),"NOT AVAILABLE",Table1[[#This Row],[SizeOption]])</f>
        <v>XS, S, M, L, XL, XXL</v>
      </c>
      <c r="Y510" t="str">
        <f>IF(Table2[[#This Row],[Column1]]&gt;50%,"HIGH DISCOUNT","LOW DISCOUNT")</f>
        <v>LOW DISCOUNT</v>
      </c>
    </row>
    <row r="511" spans="1:25" x14ac:dyDescent="0.25">
      <c r="A511" s="2" t="s">
        <v>1255</v>
      </c>
      <c r="B511" s="2">
        <v>2145329</v>
      </c>
      <c r="C511" s="2" t="s">
        <v>14</v>
      </c>
      <c r="D511" s="2" t="s">
        <v>15</v>
      </c>
      <c r="E511" s="2" t="s">
        <v>53</v>
      </c>
      <c r="F511" s="2" t="s">
        <v>17</v>
      </c>
      <c r="G511" s="2" t="s">
        <v>1256</v>
      </c>
      <c r="H511">
        <v>1149</v>
      </c>
      <c r="I511" s="2">
        <v>2299</v>
      </c>
      <c r="J511" s="2" t="s">
        <v>84</v>
      </c>
      <c r="K511" s="2" t="s">
        <v>195</v>
      </c>
      <c r="L511" s="2">
        <v>4.0999999999999996</v>
      </c>
      <c r="M511" s="2">
        <v>902</v>
      </c>
      <c r="P511" t="str">
        <f t="shared" si="31"/>
        <v>50%</v>
      </c>
      <c r="Q511" s="12">
        <f t="shared" si="28"/>
        <v>0.5</v>
      </c>
      <c r="R511" s="9">
        <f t="shared" si="29"/>
        <v>1149.5</v>
      </c>
      <c r="S511" s="9">
        <f>IF(R511="",AVERAGEIF(Table1[Category],Table1[[#This Row],[Category]],Table2[orignal data]),Table2[[#This Row],[orignal data]])</f>
        <v>1149.5</v>
      </c>
      <c r="T511" t="str">
        <f t="shared" si="30"/>
        <v>UNIQUE</v>
      </c>
      <c r="U511" t="str">
        <f>IF(ISBLANK(Table1[[#This Row],[SizeOption]]),"NOT AVAILABLE",Table1[[#This Row],[SizeOption]])</f>
        <v>28, 30, 32, 34, 36, 38, 40</v>
      </c>
      <c r="Y511" t="str">
        <f>IF(Table2[[#This Row],[Column1]]&gt;50%,"HIGH DISCOUNT","LOW DISCOUNT")</f>
        <v>LOW DISCOUNT</v>
      </c>
    </row>
    <row r="512" spans="1:25" x14ac:dyDescent="0.25">
      <c r="A512" s="1" t="s">
        <v>1257</v>
      </c>
      <c r="B512" s="1">
        <v>9716723</v>
      </c>
      <c r="C512" s="1" t="s">
        <v>14</v>
      </c>
      <c r="D512" s="1" t="s">
        <v>15</v>
      </c>
      <c r="E512" s="1" t="s">
        <v>16</v>
      </c>
      <c r="F512" s="1" t="s">
        <v>17</v>
      </c>
      <c r="G512" s="1" t="s">
        <v>1258</v>
      </c>
      <c r="H512">
        <v>854</v>
      </c>
      <c r="I512" s="1">
        <v>1899</v>
      </c>
      <c r="J512" s="1" t="s">
        <v>25</v>
      </c>
      <c r="K512" s="1" t="s">
        <v>195</v>
      </c>
      <c r="L512" s="1">
        <v>4</v>
      </c>
      <c r="M512" s="1">
        <v>902</v>
      </c>
      <c r="P512" t="str">
        <f t="shared" si="31"/>
        <v>55%</v>
      </c>
      <c r="Q512" s="12">
        <f t="shared" si="28"/>
        <v>0.55000000000000004</v>
      </c>
      <c r="R512" s="9">
        <f t="shared" si="29"/>
        <v>854.55</v>
      </c>
      <c r="S512" s="9">
        <f>IF(R512="",AVERAGEIF(Table1[Category],Table1[[#This Row],[Category]],Table2[orignal data]),Table2[[#This Row],[orignal data]])</f>
        <v>854.55</v>
      </c>
      <c r="T512" t="str">
        <f t="shared" si="30"/>
        <v>UNIQUE</v>
      </c>
      <c r="U512" t="str">
        <f>IF(ISBLANK(Table1[[#This Row],[SizeOption]]),"NOT AVAILABLE",Table1[[#This Row],[SizeOption]])</f>
        <v>28, 30, 32, 34, 36, 38, 40</v>
      </c>
      <c r="Y512" t="str">
        <f>IF(Table2[[#This Row],[Column1]]&gt;50%,"HIGH DISCOUNT","LOW DISCOUNT")</f>
        <v>HIGH DISCOUNT</v>
      </c>
    </row>
    <row r="513" spans="1:25" x14ac:dyDescent="0.25">
      <c r="A513" s="2" t="s">
        <v>1259</v>
      </c>
      <c r="B513" s="2">
        <v>11274708</v>
      </c>
      <c r="C513" s="2" t="s">
        <v>14</v>
      </c>
      <c r="D513" s="2" t="s">
        <v>15</v>
      </c>
      <c r="E513" s="2" t="s">
        <v>16</v>
      </c>
      <c r="F513" s="2" t="s">
        <v>17</v>
      </c>
      <c r="G513" s="2" t="s">
        <v>918</v>
      </c>
      <c r="H513">
        <v>719</v>
      </c>
      <c r="I513" s="2">
        <v>1799</v>
      </c>
      <c r="J513" s="2" t="s">
        <v>55</v>
      </c>
      <c r="K513" s="2" t="s">
        <v>20</v>
      </c>
      <c r="L513" s="2">
        <v>3.9</v>
      </c>
      <c r="M513" s="2">
        <v>902</v>
      </c>
      <c r="P513" t="str">
        <f t="shared" si="31"/>
        <v>60%</v>
      </c>
      <c r="Q513" s="12">
        <f t="shared" si="28"/>
        <v>0.6</v>
      </c>
      <c r="R513" s="9">
        <f t="shared" si="29"/>
        <v>719.60000000000014</v>
      </c>
      <c r="S513" s="9">
        <f>IF(R513="",AVERAGEIF(Table1[Category],Table1[[#This Row],[Category]],Table2[orignal data]),Table2[[#This Row],[orignal data]])</f>
        <v>719.60000000000014</v>
      </c>
      <c r="T513" t="str">
        <f t="shared" si="30"/>
        <v>UNIQUE</v>
      </c>
      <c r="U513" t="str">
        <f>IF(ISBLANK(Table1[[#This Row],[SizeOption]]),"NOT AVAILABLE",Table1[[#This Row],[SizeOption]])</f>
        <v>28, 30, 32, 34, 36</v>
      </c>
      <c r="Y513" t="str">
        <f>IF(Table2[[#This Row],[Column1]]&gt;50%,"HIGH DISCOUNT","LOW DISCOUNT")</f>
        <v>HIGH DISCOUNT</v>
      </c>
    </row>
    <row r="514" spans="1:25" x14ac:dyDescent="0.25">
      <c r="A514" s="1" t="s">
        <v>1260</v>
      </c>
      <c r="B514" s="1">
        <v>1960337</v>
      </c>
      <c r="C514" s="1" t="s">
        <v>67</v>
      </c>
      <c r="D514" s="1" t="s">
        <v>68</v>
      </c>
      <c r="E514" s="1" t="s">
        <v>306</v>
      </c>
      <c r="F514" s="1" t="s">
        <v>17</v>
      </c>
      <c r="G514" s="1" t="s">
        <v>1261</v>
      </c>
      <c r="H514">
        <v>979</v>
      </c>
      <c r="I514" s="1">
        <v>2799</v>
      </c>
      <c r="J514" s="1" t="s">
        <v>150</v>
      </c>
      <c r="K514" s="1" t="s">
        <v>39</v>
      </c>
      <c r="L514" s="1">
        <v>4.4000000000000004</v>
      </c>
      <c r="M514" s="1">
        <v>902</v>
      </c>
      <c r="P514" t="str">
        <f t="shared" si="31"/>
        <v>65%</v>
      </c>
      <c r="Q514" s="12">
        <f t="shared" ref="Q514:Q577" si="32">IF(P514="","",IF(ISNUMBER(SEARCH("%",P514)),P514,P514/I514)*100%)</f>
        <v>0.65</v>
      </c>
      <c r="R514" s="9">
        <f t="shared" ref="R514:R577" si="33">IF(P514="","",I514-(I514*Q514))</f>
        <v>979.64999999999986</v>
      </c>
      <c r="S514" s="9">
        <f>IF(R514="",AVERAGEIF(Table1[Category],Table1[[#This Row],[Category]],Table2[orignal data]),Table2[[#This Row],[orignal data]])</f>
        <v>979.64999999999986</v>
      </c>
      <c r="T514" t="str">
        <f t="shared" ref="T514:T577" si="34">IF(COUNTIF($B$2:$B$5000,B514)&gt;1,"DUPLICATE","UNIQUE")</f>
        <v>UNIQUE</v>
      </c>
      <c r="U514" t="str">
        <f>IF(ISBLANK(Table1[[#This Row],[SizeOption]]),"NOT AVAILABLE",Table1[[#This Row],[SizeOption]])</f>
        <v>S, M, L, XL, XXL</v>
      </c>
      <c r="Y514" t="str">
        <f>IF(Table2[[#This Row],[Column1]]&gt;50%,"HIGH DISCOUNT","LOW DISCOUNT")</f>
        <v>HIGH DISCOUNT</v>
      </c>
    </row>
    <row r="515" spans="1:25" x14ac:dyDescent="0.25">
      <c r="A515" s="2" t="s">
        <v>1262</v>
      </c>
      <c r="B515" s="2">
        <v>10381405</v>
      </c>
      <c r="C515" s="2" t="s">
        <v>420</v>
      </c>
      <c r="D515" s="2" t="s">
        <v>28</v>
      </c>
      <c r="E515" s="2" t="s">
        <v>306</v>
      </c>
      <c r="F515" s="2" t="s">
        <v>17</v>
      </c>
      <c r="G515" s="2" t="s">
        <v>1263</v>
      </c>
      <c r="H515">
        <v>730</v>
      </c>
      <c r="I515" s="2">
        <v>1699</v>
      </c>
      <c r="J515" s="2" t="s">
        <v>130</v>
      </c>
      <c r="K515" s="2" t="s">
        <v>26</v>
      </c>
      <c r="L515" s="2">
        <v>4</v>
      </c>
      <c r="M515" s="2">
        <v>902</v>
      </c>
      <c r="P515" t="str">
        <f t="shared" ref="P515:P578" si="35">TRIM(SUBSTITUTE(SUBSTITUTE(SUBSTITUTE(SUBSTITUTE(J515,"OFF",""),"Rs.",""),"Hurry*",""),",",""))</f>
        <v>57%</v>
      </c>
      <c r="Q515" s="12">
        <f t="shared" si="32"/>
        <v>0.56999999999999995</v>
      </c>
      <c r="R515" s="9">
        <f t="shared" si="33"/>
        <v>730.57</v>
      </c>
      <c r="S515" s="9">
        <f>IF(R515="",AVERAGEIF(Table1[Category],Table1[[#This Row],[Category]],Table2[orignal data]),Table2[[#This Row],[orignal data]])</f>
        <v>730.57</v>
      </c>
      <c r="T515" t="str">
        <f t="shared" si="34"/>
        <v>UNIQUE</v>
      </c>
      <c r="U515" t="str">
        <f>IF(ISBLANK(Table1[[#This Row],[SizeOption]]),"NOT AVAILABLE",Table1[[#This Row],[SizeOption]])</f>
        <v>S, M, L, XL</v>
      </c>
      <c r="Y515" t="str">
        <f>IF(Table2[[#This Row],[Column1]]&gt;50%,"HIGH DISCOUNT","LOW DISCOUNT")</f>
        <v>HIGH DISCOUNT</v>
      </c>
    </row>
    <row r="516" spans="1:25" x14ac:dyDescent="0.25">
      <c r="A516" s="1" t="s">
        <v>1264</v>
      </c>
      <c r="B516" s="1">
        <v>6939221</v>
      </c>
      <c r="C516" s="1" t="s">
        <v>184</v>
      </c>
      <c r="D516" s="1" t="s">
        <v>41</v>
      </c>
      <c r="E516" s="1" t="s">
        <v>48</v>
      </c>
      <c r="F516" s="1" t="s">
        <v>36</v>
      </c>
      <c r="G516" s="1" t="s">
        <v>1265</v>
      </c>
      <c r="I516" s="1">
        <v>1799</v>
      </c>
      <c r="J516" s="1" t="s">
        <v>84</v>
      </c>
      <c r="K516" s="1" t="s">
        <v>39</v>
      </c>
      <c r="L516" s="1">
        <v>4.0999999999999996</v>
      </c>
      <c r="M516" s="1">
        <v>902</v>
      </c>
      <c r="P516" t="str">
        <f t="shared" si="35"/>
        <v>50%</v>
      </c>
      <c r="Q516" s="12">
        <f t="shared" si="32"/>
        <v>0.5</v>
      </c>
      <c r="R516" s="9">
        <f t="shared" si="33"/>
        <v>899.5</v>
      </c>
      <c r="S516" s="9">
        <f>IF(R516="",AVERAGEIF(Table1[Category],Table1[[#This Row],[Category]],Table2[orignal data]),Table2[[#This Row],[orignal data]])</f>
        <v>899.5</v>
      </c>
      <c r="T516" t="str">
        <f t="shared" si="34"/>
        <v>UNIQUE</v>
      </c>
      <c r="U516" t="str">
        <f>IF(ISBLANK(Table1[[#This Row],[SizeOption]]),"NOT AVAILABLE",Table1[[#This Row],[SizeOption]])</f>
        <v>S, M, L, XL, XXL</v>
      </c>
      <c r="Y516" t="str">
        <f>IF(Table2[[#This Row],[Column1]]&gt;50%,"HIGH DISCOUNT","LOW DISCOUNT")</f>
        <v>LOW DISCOUNT</v>
      </c>
    </row>
    <row r="517" spans="1:25" x14ac:dyDescent="0.25">
      <c r="A517" s="2" t="s">
        <v>1266</v>
      </c>
      <c r="B517" s="2">
        <v>12009576</v>
      </c>
      <c r="C517" s="2" t="s">
        <v>102</v>
      </c>
      <c r="D517" s="2" t="s">
        <v>41</v>
      </c>
      <c r="E517" s="2" t="s">
        <v>48</v>
      </c>
      <c r="F517" s="2" t="s">
        <v>36</v>
      </c>
      <c r="G517" s="2" t="s">
        <v>1267</v>
      </c>
      <c r="I517" s="2">
        <v>799</v>
      </c>
      <c r="J517" s="2" t="s">
        <v>606</v>
      </c>
      <c r="K517" s="2" t="s">
        <v>26</v>
      </c>
      <c r="L517" s="2">
        <v>4.3</v>
      </c>
      <c r="M517" s="2">
        <v>902</v>
      </c>
      <c r="P517" t="str">
        <f t="shared" si="35"/>
        <v>54%</v>
      </c>
      <c r="Q517" s="12">
        <f t="shared" si="32"/>
        <v>0.54</v>
      </c>
      <c r="R517" s="9">
        <f t="shared" si="33"/>
        <v>367.53999999999996</v>
      </c>
      <c r="S517" s="9">
        <f>IF(R517="",AVERAGEIF(Table1[Category],Table1[[#This Row],[Category]],Table2[orignal data]),Table2[[#This Row],[orignal data]])</f>
        <v>367.53999999999996</v>
      </c>
      <c r="T517" t="str">
        <f t="shared" si="34"/>
        <v>UNIQUE</v>
      </c>
      <c r="U517" t="str">
        <f>IF(ISBLANK(Table1[[#This Row],[SizeOption]]),"NOT AVAILABLE",Table1[[#This Row],[SizeOption]])</f>
        <v>S, M, L, XL</v>
      </c>
      <c r="Y517" t="str">
        <f>IF(Table2[[#This Row],[Column1]]&gt;50%,"HIGH DISCOUNT","LOW DISCOUNT")</f>
        <v>HIGH DISCOUNT</v>
      </c>
    </row>
    <row r="518" spans="1:25" x14ac:dyDescent="0.25">
      <c r="A518" s="1" t="s">
        <v>1268</v>
      </c>
      <c r="B518" s="1">
        <v>12104196</v>
      </c>
      <c r="C518" s="1" t="s">
        <v>430</v>
      </c>
      <c r="D518" s="1" t="s">
        <v>41</v>
      </c>
      <c r="E518" s="1" t="s">
        <v>42</v>
      </c>
      <c r="F518" s="1" t="s">
        <v>36</v>
      </c>
      <c r="G518" s="1" t="s">
        <v>1269</v>
      </c>
      <c r="I518" s="1">
        <v>1199</v>
      </c>
      <c r="J518" s="1"/>
      <c r="K518" s="1" t="s">
        <v>45</v>
      </c>
      <c r="L518" s="1">
        <v>4.5</v>
      </c>
      <c r="M518" s="1">
        <v>902</v>
      </c>
      <c r="P518" t="str">
        <f t="shared" si="35"/>
        <v/>
      </c>
      <c r="Q518" s="12" t="str">
        <f t="shared" si="32"/>
        <v/>
      </c>
      <c r="R518" s="9" t="str">
        <f t="shared" si="33"/>
        <v/>
      </c>
      <c r="S518" s="9">
        <f>IF(R518="",AVERAGEIF(Table1[Category],Table1[[#This Row],[Category]],Table2[orignal data]),Table2[[#This Row],[orignal data]])</f>
        <v>715.78890751086249</v>
      </c>
      <c r="T518" t="str">
        <f t="shared" si="34"/>
        <v>UNIQUE</v>
      </c>
      <c r="U518" t="str">
        <f>IF(ISBLANK(Table1[[#This Row],[SizeOption]]),"NOT AVAILABLE",Table1[[#This Row],[SizeOption]])</f>
        <v>XS, S, M, L, XL</v>
      </c>
      <c r="Y518" t="str">
        <f>IF(Table2[[#This Row],[Column1]]&gt;50%,"HIGH DISCOUNT","LOW DISCOUNT")</f>
        <v>HIGH DISCOUNT</v>
      </c>
    </row>
    <row r="519" spans="1:25" x14ac:dyDescent="0.25">
      <c r="A519" s="2" t="s">
        <v>1270</v>
      </c>
      <c r="B519" s="2">
        <v>11640816</v>
      </c>
      <c r="C519" s="2" t="s">
        <v>67</v>
      </c>
      <c r="D519" s="2" t="s">
        <v>15</v>
      </c>
      <c r="E519" s="2" t="s">
        <v>23</v>
      </c>
      <c r="F519" s="2" t="s">
        <v>17</v>
      </c>
      <c r="G519" s="2" t="s">
        <v>1271</v>
      </c>
      <c r="I519" s="2">
        <v>1399</v>
      </c>
      <c r="J519" s="2"/>
      <c r="K519" s="2" t="s">
        <v>39</v>
      </c>
      <c r="L519" s="2">
        <v>4.0999999999999996</v>
      </c>
      <c r="M519" s="2">
        <v>901</v>
      </c>
      <c r="P519" t="str">
        <f t="shared" si="35"/>
        <v/>
      </c>
      <c r="Q519" s="12" t="str">
        <f t="shared" si="32"/>
        <v/>
      </c>
      <c r="R519" s="9" t="str">
        <f t="shared" si="33"/>
        <v/>
      </c>
      <c r="S519" s="9">
        <f>IF(R519="",AVERAGEIF(Table1[Category],Table1[[#This Row],[Category]],Table2[orignal data]),Table2[[#This Row],[orignal data]])</f>
        <v>892.27590339892538</v>
      </c>
      <c r="T519" t="str">
        <f t="shared" si="34"/>
        <v>UNIQUE</v>
      </c>
      <c r="U519" t="str">
        <f>IF(ISBLANK(Table1[[#This Row],[SizeOption]]),"NOT AVAILABLE",Table1[[#This Row],[SizeOption]])</f>
        <v>S, M, L, XL, XXL</v>
      </c>
      <c r="Y519" t="str">
        <f>IF(Table2[[#This Row],[Column1]]&gt;50%,"HIGH DISCOUNT","LOW DISCOUNT")</f>
        <v>HIGH DISCOUNT</v>
      </c>
    </row>
    <row r="520" spans="1:25" x14ac:dyDescent="0.25">
      <c r="A520" s="1" t="s">
        <v>1272</v>
      </c>
      <c r="B520" s="1">
        <v>9376103</v>
      </c>
      <c r="C520" s="1" t="s">
        <v>64</v>
      </c>
      <c r="D520" s="1" t="s">
        <v>28</v>
      </c>
      <c r="E520" s="1" t="s">
        <v>42</v>
      </c>
      <c r="F520" s="1" t="s">
        <v>17</v>
      </c>
      <c r="G520" s="1" t="s">
        <v>1273</v>
      </c>
      <c r="H520">
        <v>404</v>
      </c>
      <c r="I520" s="1">
        <v>899</v>
      </c>
      <c r="J520" s="1" t="s">
        <v>25</v>
      </c>
      <c r="K520" s="1" t="s">
        <v>39</v>
      </c>
      <c r="L520" s="1">
        <v>4.3</v>
      </c>
      <c r="M520" s="1">
        <v>901</v>
      </c>
      <c r="P520" t="str">
        <f t="shared" si="35"/>
        <v>55%</v>
      </c>
      <c r="Q520" s="12">
        <f t="shared" si="32"/>
        <v>0.55000000000000004</v>
      </c>
      <c r="R520" s="9">
        <f t="shared" si="33"/>
        <v>404.54999999999995</v>
      </c>
      <c r="S520" s="9">
        <f>IF(R520="",AVERAGEIF(Table1[Category],Table1[[#This Row],[Category]],Table2[orignal data]),Table2[[#This Row],[orignal data]])</f>
        <v>404.54999999999995</v>
      </c>
      <c r="T520" t="str">
        <f t="shared" si="34"/>
        <v>UNIQUE</v>
      </c>
      <c r="U520" t="str">
        <f>IF(ISBLANK(Table1[[#This Row],[SizeOption]]),"NOT AVAILABLE",Table1[[#This Row],[SizeOption]])</f>
        <v>S, M, L, XL, XXL</v>
      </c>
      <c r="Y520" t="str">
        <f>IF(Table2[[#This Row],[Column1]]&gt;50%,"HIGH DISCOUNT","LOW DISCOUNT")</f>
        <v>HIGH DISCOUNT</v>
      </c>
    </row>
    <row r="521" spans="1:25" x14ac:dyDescent="0.25">
      <c r="A521" s="2" t="s">
        <v>1274</v>
      </c>
      <c r="B521" s="2">
        <v>10381759</v>
      </c>
      <c r="C521" s="2" t="s">
        <v>319</v>
      </c>
      <c r="D521" s="2" t="s">
        <v>76</v>
      </c>
      <c r="E521" s="2" t="s">
        <v>320</v>
      </c>
      <c r="F521" s="2" t="s">
        <v>36</v>
      </c>
      <c r="G521" s="2" t="s">
        <v>1275</v>
      </c>
      <c r="H521">
        <v>1098</v>
      </c>
      <c r="I521" s="2">
        <v>1998</v>
      </c>
      <c r="J521" s="2" t="s">
        <v>19</v>
      </c>
      <c r="K521" s="2" t="s">
        <v>164</v>
      </c>
      <c r="L521" s="2">
        <v>4.2</v>
      </c>
      <c r="M521" s="2">
        <v>901</v>
      </c>
      <c r="P521" t="str">
        <f t="shared" si="35"/>
        <v>45%</v>
      </c>
      <c r="Q521" s="12">
        <f t="shared" si="32"/>
        <v>0.45</v>
      </c>
      <c r="R521" s="9">
        <f t="shared" si="33"/>
        <v>1098.9000000000001</v>
      </c>
      <c r="S521" s="9">
        <f>IF(R521="",AVERAGEIF(Table1[Category],Table1[[#This Row],[Category]],Table2[orignal data]),Table2[[#This Row],[orignal data]])</f>
        <v>1098.9000000000001</v>
      </c>
      <c r="T521" t="str">
        <f t="shared" si="34"/>
        <v>UNIQUE</v>
      </c>
      <c r="U521" t="str">
        <f>IF(ISBLANK(Table1[[#This Row],[SizeOption]]),"NOT AVAILABLE",Table1[[#This Row],[SizeOption]])</f>
        <v>Onesize</v>
      </c>
      <c r="Y521" t="str">
        <f>IF(Table2[[#This Row],[Column1]]&gt;50%,"HIGH DISCOUNT","LOW DISCOUNT")</f>
        <v>LOW DISCOUNT</v>
      </c>
    </row>
    <row r="522" spans="1:25" x14ac:dyDescent="0.25">
      <c r="A522" s="1" t="s">
        <v>1276</v>
      </c>
      <c r="B522" s="1">
        <v>10440496</v>
      </c>
      <c r="C522" s="1" t="s">
        <v>107</v>
      </c>
      <c r="D522" s="1" t="s">
        <v>41</v>
      </c>
      <c r="E522" s="1" t="s">
        <v>148</v>
      </c>
      <c r="F522" s="1" t="s">
        <v>36</v>
      </c>
      <c r="G522" s="1" t="s">
        <v>1277</v>
      </c>
      <c r="I522" s="1">
        <v>1899</v>
      </c>
      <c r="J522" s="1" t="s">
        <v>25</v>
      </c>
      <c r="K522" s="1" t="s">
        <v>45</v>
      </c>
      <c r="L522" s="1">
        <v>4.3</v>
      </c>
      <c r="M522" s="1">
        <v>901</v>
      </c>
      <c r="P522" t="str">
        <f t="shared" si="35"/>
        <v>55%</v>
      </c>
      <c r="Q522" s="12">
        <f t="shared" si="32"/>
        <v>0.55000000000000004</v>
      </c>
      <c r="R522" s="9">
        <f t="shared" si="33"/>
        <v>854.55</v>
      </c>
      <c r="S522" s="9">
        <f>IF(R522="",AVERAGEIF(Table1[Category],Table1[[#This Row],[Category]],Table2[orignal data]),Table2[[#This Row],[orignal data]])</f>
        <v>854.55</v>
      </c>
      <c r="T522" t="str">
        <f t="shared" si="34"/>
        <v>UNIQUE</v>
      </c>
      <c r="U522" t="str">
        <f>IF(ISBLANK(Table1[[#This Row],[SizeOption]]),"NOT AVAILABLE",Table1[[#This Row],[SizeOption]])</f>
        <v>XS, S, M, L, XL</v>
      </c>
      <c r="Y522" t="str">
        <f>IF(Table2[[#This Row],[Column1]]&gt;50%,"HIGH DISCOUNT","LOW DISCOUNT")</f>
        <v>HIGH DISCOUNT</v>
      </c>
    </row>
    <row r="523" spans="1:25" x14ac:dyDescent="0.25">
      <c r="A523" s="2" t="s">
        <v>1278</v>
      </c>
      <c r="B523" s="2">
        <v>9114357</v>
      </c>
      <c r="C523" s="2" t="s">
        <v>14</v>
      </c>
      <c r="D523" s="2" t="s">
        <v>15</v>
      </c>
      <c r="E523" s="2" t="s">
        <v>16</v>
      </c>
      <c r="F523" s="2" t="s">
        <v>17</v>
      </c>
      <c r="G523" s="2" t="s">
        <v>1279</v>
      </c>
      <c r="H523">
        <v>1349</v>
      </c>
      <c r="I523" s="2">
        <v>2699</v>
      </c>
      <c r="J523" s="2" t="s">
        <v>84</v>
      </c>
      <c r="K523" s="2" t="s">
        <v>20</v>
      </c>
      <c r="L523" s="2">
        <v>3.5</v>
      </c>
      <c r="M523" s="2">
        <v>900</v>
      </c>
      <c r="P523" t="str">
        <f t="shared" si="35"/>
        <v>50%</v>
      </c>
      <c r="Q523" s="12">
        <f t="shared" si="32"/>
        <v>0.5</v>
      </c>
      <c r="R523" s="9">
        <f t="shared" si="33"/>
        <v>1349.5</v>
      </c>
      <c r="S523" s="9">
        <f>IF(R523="",AVERAGEIF(Table1[Category],Table1[[#This Row],[Category]],Table2[orignal data]),Table2[[#This Row],[orignal data]])</f>
        <v>1349.5</v>
      </c>
      <c r="T523" t="str">
        <f t="shared" si="34"/>
        <v>UNIQUE</v>
      </c>
      <c r="U523" t="str">
        <f>IF(ISBLANK(Table1[[#This Row],[SizeOption]]),"NOT AVAILABLE",Table1[[#This Row],[SizeOption]])</f>
        <v>28, 30, 32, 34, 36</v>
      </c>
      <c r="Y523" t="str">
        <f>IF(Table2[[#This Row],[Column1]]&gt;50%,"HIGH DISCOUNT","LOW DISCOUNT")</f>
        <v>LOW DISCOUNT</v>
      </c>
    </row>
    <row r="524" spans="1:25" x14ac:dyDescent="0.25">
      <c r="A524" s="1" t="s">
        <v>1280</v>
      </c>
      <c r="B524" s="1">
        <v>11312646</v>
      </c>
      <c r="C524" s="1" t="s">
        <v>1281</v>
      </c>
      <c r="D524" s="1" t="s">
        <v>76</v>
      </c>
      <c r="E524" s="1" t="s">
        <v>93</v>
      </c>
      <c r="F524" s="1" t="s">
        <v>17</v>
      </c>
      <c r="G524" s="1" t="s">
        <v>1282</v>
      </c>
      <c r="H524">
        <v>989</v>
      </c>
      <c r="I524" s="1">
        <v>2199</v>
      </c>
      <c r="J524" s="1" t="s">
        <v>25</v>
      </c>
      <c r="K524" s="1" t="s">
        <v>1283</v>
      </c>
      <c r="L524" s="1">
        <v>4.0999999999999996</v>
      </c>
      <c r="M524" s="1">
        <v>900</v>
      </c>
      <c r="P524" t="str">
        <f t="shared" si="35"/>
        <v>55%</v>
      </c>
      <c r="Q524" s="12">
        <f t="shared" si="32"/>
        <v>0.55000000000000004</v>
      </c>
      <c r="R524" s="9">
        <f t="shared" si="33"/>
        <v>989.55</v>
      </c>
      <c r="S524" s="9">
        <f>IF(R524="",AVERAGEIF(Table1[Category],Table1[[#This Row],[Category]],Table2[orignal data]),Table2[[#This Row],[orignal data]])</f>
        <v>989.55</v>
      </c>
      <c r="T524" t="str">
        <f t="shared" si="34"/>
        <v>UNIQUE</v>
      </c>
      <c r="U524" t="str">
        <f>IF(ISBLANK(Table1[[#This Row],[SizeOption]]),"NOT AVAILABLE",Table1[[#This Row],[SizeOption]])</f>
        <v>S, XS, XL, XXL, L, M</v>
      </c>
      <c r="Y524" t="str">
        <f>IF(Table2[[#This Row],[Column1]]&gt;50%,"HIGH DISCOUNT","LOW DISCOUNT")</f>
        <v>HIGH DISCOUNT</v>
      </c>
    </row>
    <row r="525" spans="1:25" x14ac:dyDescent="0.25">
      <c r="A525" s="2" t="s">
        <v>1284</v>
      </c>
      <c r="B525" s="2">
        <v>8972475</v>
      </c>
      <c r="C525" s="2" t="s">
        <v>214</v>
      </c>
      <c r="D525" s="2" t="s">
        <v>28</v>
      </c>
      <c r="E525" s="2" t="s">
        <v>42</v>
      </c>
      <c r="F525" s="2" t="s">
        <v>17</v>
      </c>
      <c r="G525" s="2" t="s">
        <v>1285</v>
      </c>
      <c r="H525">
        <v>319</v>
      </c>
      <c r="I525" s="2">
        <v>799</v>
      </c>
      <c r="J525" s="2" t="s">
        <v>55</v>
      </c>
      <c r="K525" s="2" t="s">
        <v>39</v>
      </c>
      <c r="L525" s="2">
        <v>4.2</v>
      </c>
      <c r="M525" s="2">
        <v>900</v>
      </c>
      <c r="P525" t="str">
        <f t="shared" si="35"/>
        <v>60%</v>
      </c>
      <c r="Q525" s="12">
        <f t="shared" si="32"/>
        <v>0.6</v>
      </c>
      <c r="R525" s="9">
        <f t="shared" si="33"/>
        <v>319.60000000000002</v>
      </c>
      <c r="S525" s="9">
        <f>IF(R525="",AVERAGEIF(Table1[Category],Table1[[#This Row],[Category]],Table2[orignal data]),Table2[[#This Row],[orignal data]])</f>
        <v>319.60000000000002</v>
      </c>
      <c r="T525" t="str">
        <f t="shared" si="34"/>
        <v>UNIQUE</v>
      </c>
      <c r="U525" t="str">
        <f>IF(ISBLANK(Table1[[#This Row],[SizeOption]]),"NOT AVAILABLE",Table1[[#This Row],[SizeOption]])</f>
        <v>S, M, L, XL, XXL</v>
      </c>
      <c r="Y525" t="str">
        <f>IF(Table2[[#This Row],[Column1]]&gt;50%,"HIGH DISCOUNT","LOW DISCOUNT")</f>
        <v>HIGH DISCOUNT</v>
      </c>
    </row>
    <row r="526" spans="1:25" x14ac:dyDescent="0.25">
      <c r="A526" s="1" t="s">
        <v>1286</v>
      </c>
      <c r="B526" s="1">
        <v>12915204</v>
      </c>
      <c r="C526" s="1" t="s">
        <v>1287</v>
      </c>
      <c r="D526" s="1" t="s">
        <v>28</v>
      </c>
      <c r="E526" s="1" t="s">
        <v>42</v>
      </c>
      <c r="F526" s="1" t="s">
        <v>17</v>
      </c>
      <c r="G526" s="1" t="s">
        <v>1288</v>
      </c>
      <c r="H526">
        <v>449</v>
      </c>
      <c r="I526" s="1">
        <v>999</v>
      </c>
      <c r="J526" s="1" t="s">
        <v>1289</v>
      </c>
      <c r="K526" s="1" t="s">
        <v>234</v>
      </c>
      <c r="L526" s="1">
        <v>4.5999999999999996</v>
      </c>
      <c r="M526" s="1">
        <v>900</v>
      </c>
      <c r="P526" t="str">
        <f t="shared" si="35"/>
        <v>550</v>
      </c>
      <c r="Q526" s="12">
        <f t="shared" si="32"/>
        <v>0.55055055055055058</v>
      </c>
      <c r="R526" s="9">
        <f t="shared" si="33"/>
        <v>449</v>
      </c>
      <c r="S526" s="9">
        <f>IF(R526="",AVERAGEIF(Table1[Category],Table1[[#This Row],[Category]],Table2[orignal data]),Table2[[#This Row],[orignal data]])</f>
        <v>449</v>
      </c>
      <c r="T526" t="str">
        <f t="shared" si="34"/>
        <v>UNIQUE</v>
      </c>
      <c r="U526" t="str">
        <f>IF(ISBLANK(Table1[[#This Row],[SizeOption]]),"NOT AVAILABLE",Table1[[#This Row],[SizeOption]])</f>
        <v>S, M, L, XL, XXL, 3XL</v>
      </c>
      <c r="Y526" t="str">
        <f>IF(Table2[[#This Row],[Column1]]&gt;50%,"HIGH DISCOUNT","LOW DISCOUNT")</f>
        <v>HIGH DISCOUNT</v>
      </c>
    </row>
    <row r="527" spans="1:25" x14ac:dyDescent="0.25">
      <c r="A527" s="2" t="s">
        <v>1290</v>
      </c>
      <c r="B527" s="2">
        <v>10649248</v>
      </c>
      <c r="C527" s="2" t="s">
        <v>92</v>
      </c>
      <c r="D527" s="2" t="s">
        <v>76</v>
      </c>
      <c r="E527" s="2" t="s">
        <v>93</v>
      </c>
      <c r="F527" s="2" t="s">
        <v>36</v>
      </c>
      <c r="G527" s="2" t="s">
        <v>1291</v>
      </c>
      <c r="H527">
        <v>594</v>
      </c>
      <c r="I527" s="2">
        <v>1449</v>
      </c>
      <c r="J527" s="2" t="s">
        <v>95</v>
      </c>
      <c r="K527" s="2" t="s">
        <v>39</v>
      </c>
      <c r="L527" s="2">
        <v>4.0999999999999996</v>
      </c>
      <c r="M527" s="2">
        <v>900</v>
      </c>
      <c r="P527" t="str">
        <f t="shared" si="35"/>
        <v>59%</v>
      </c>
      <c r="Q527" s="12">
        <f t="shared" si="32"/>
        <v>0.59</v>
      </c>
      <c r="R527" s="9">
        <f t="shared" si="33"/>
        <v>594.09</v>
      </c>
      <c r="S527" s="9">
        <f>IF(R527="",AVERAGEIF(Table1[Category],Table1[[#This Row],[Category]],Table2[orignal data]),Table2[[#This Row],[orignal data]])</f>
        <v>594.09</v>
      </c>
      <c r="T527" t="str">
        <f t="shared" si="34"/>
        <v>UNIQUE</v>
      </c>
      <c r="U527" t="str">
        <f>IF(ISBLANK(Table1[[#This Row],[SizeOption]]),"NOT AVAILABLE",Table1[[#This Row],[SizeOption]])</f>
        <v>S, M, L, XL, XXL</v>
      </c>
      <c r="Y527" t="str">
        <f>IF(Table2[[#This Row],[Column1]]&gt;50%,"HIGH DISCOUNT","LOW DISCOUNT")</f>
        <v>HIGH DISCOUNT</v>
      </c>
    </row>
    <row r="528" spans="1:25" x14ac:dyDescent="0.25">
      <c r="A528" s="1" t="s">
        <v>1292</v>
      </c>
      <c r="B528" s="1">
        <v>11021016</v>
      </c>
      <c r="C528" s="1" t="s">
        <v>14</v>
      </c>
      <c r="D528" s="1" t="s">
        <v>41</v>
      </c>
      <c r="E528" s="1" t="s">
        <v>48</v>
      </c>
      <c r="F528" s="1" t="s">
        <v>36</v>
      </c>
      <c r="G528" s="1" t="s">
        <v>1293</v>
      </c>
      <c r="I528" s="1">
        <v>1499</v>
      </c>
      <c r="J528" s="1" t="s">
        <v>84</v>
      </c>
      <c r="K528" s="1" t="s">
        <v>115</v>
      </c>
      <c r="L528" s="1">
        <v>4.4000000000000004</v>
      </c>
      <c r="M528" s="1">
        <v>900</v>
      </c>
      <c r="P528" t="str">
        <f t="shared" si="35"/>
        <v>50%</v>
      </c>
      <c r="Q528" s="12">
        <f t="shared" si="32"/>
        <v>0.5</v>
      </c>
      <c r="R528" s="9">
        <f t="shared" si="33"/>
        <v>749.5</v>
      </c>
      <c r="S528" s="9">
        <f>IF(R528="",AVERAGEIF(Table1[Category],Table1[[#This Row],[Category]],Table2[orignal data]),Table2[[#This Row],[orignal data]])</f>
        <v>749.5</v>
      </c>
      <c r="T528" t="str">
        <f t="shared" si="34"/>
        <v>UNIQUE</v>
      </c>
      <c r="U528" t="str">
        <f>IF(ISBLANK(Table1[[#This Row],[SizeOption]]),"NOT AVAILABLE",Table1[[#This Row],[SizeOption]])</f>
        <v>XS, S, M, L, XL, XXL</v>
      </c>
      <c r="Y528" t="str">
        <f>IF(Table2[[#This Row],[Column1]]&gt;50%,"HIGH DISCOUNT","LOW DISCOUNT")</f>
        <v>LOW DISCOUNT</v>
      </c>
    </row>
    <row r="529" spans="1:25" x14ac:dyDescent="0.25">
      <c r="A529" s="2" t="s">
        <v>1294</v>
      </c>
      <c r="B529" s="2">
        <v>11118422</v>
      </c>
      <c r="C529" s="2" t="s">
        <v>14</v>
      </c>
      <c r="D529" s="2" t="s">
        <v>41</v>
      </c>
      <c r="E529" s="2" t="s">
        <v>16</v>
      </c>
      <c r="F529" s="2" t="s">
        <v>36</v>
      </c>
      <c r="G529" s="2" t="s">
        <v>1295</v>
      </c>
      <c r="I529" s="2">
        <v>1599</v>
      </c>
      <c r="J529" s="2" t="s">
        <v>273</v>
      </c>
      <c r="K529" s="2" t="s">
        <v>134</v>
      </c>
      <c r="L529" s="2">
        <v>4.0999999999999996</v>
      </c>
      <c r="M529" s="2">
        <v>900</v>
      </c>
      <c r="P529" t="str">
        <f t="shared" si="35"/>
        <v>45 %</v>
      </c>
      <c r="Q529" s="12">
        <f t="shared" si="32"/>
        <v>0.45</v>
      </c>
      <c r="R529" s="9">
        <f t="shared" si="33"/>
        <v>879.44999999999993</v>
      </c>
      <c r="S529" s="9">
        <f>IF(R529="",AVERAGEIF(Table1[Category],Table1[[#This Row],[Category]],Table2[orignal data]),Table2[[#This Row],[orignal data]])</f>
        <v>879.44999999999993</v>
      </c>
      <c r="T529" t="str">
        <f t="shared" si="34"/>
        <v>UNIQUE</v>
      </c>
      <c r="U529" t="str">
        <f>IF(ISBLANK(Table1[[#This Row],[SizeOption]]),"NOT AVAILABLE",Table1[[#This Row],[SizeOption]])</f>
        <v>26, 28, 30, 32, 34, 36</v>
      </c>
      <c r="Y529" t="str">
        <f>IF(Table2[[#This Row],[Column1]]&gt;50%,"HIGH DISCOUNT","LOW DISCOUNT")</f>
        <v>LOW DISCOUNT</v>
      </c>
    </row>
    <row r="530" spans="1:25" x14ac:dyDescent="0.25">
      <c r="A530" s="1" t="s">
        <v>1296</v>
      </c>
      <c r="B530" s="1">
        <v>2485350</v>
      </c>
      <c r="C530" s="1" t="s">
        <v>47</v>
      </c>
      <c r="D530" s="1" t="s">
        <v>15</v>
      </c>
      <c r="E530" s="1" t="s">
        <v>16</v>
      </c>
      <c r="F530" s="1" t="s">
        <v>17</v>
      </c>
      <c r="G530" s="1" t="s">
        <v>1297</v>
      </c>
      <c r="H530">
        <v>919</v>
      </c>
      <c r="I530" s="1">
        <v>2299</v>
      </c>
      <c r="J530" s="1" t="s">
        <v>55</v>
      </c>
      <c r="K530" s="1" t="s">
        <v>20</v>
      </c>
      <c r="L530" s="1">
        <v>3.6</v>
      </c>
      <c r="M530" s="1">
        <v>899</v>
      </c>
      <c r="P530" t="str">
        <f t="shared" si="35"/>
        <v>60%</v>
      </c>
      <c r="Q530" s="12">
        <f t="shared" si="32"/>
        <v>0.6</v>
      </c>
      <c r="R530" s="9">
        <f t="shared" si="33"/>
        <v>919.60000000000014</v>
      </c>
      <c r="S530" s="9">
        <f>IF(R530="",AVERAGEIF(Table1[Category],Table1[[#This Row],[Category]],Table2[orignal data]),Table2[[#This Row],[orignal data]])</f>
        <v>919.60000000000014</v>
      </c>
      <c r="T530" t="str">
        <f t="shared" si="34"/>
        <v>UNIQUE</v>
      </c>
      <c r="U530" t="str">
        <f>IF(ISBLANK(Table1[[#This Row],[SizeOption]]),"NOT AVAILABLE",Table1[[#This Row],[SizeOption]])</f>
        <v>28, 30, 32, 34, 36</v>
      </c>
      <c r="Y530" t="str">
        <f>IF(Table2[[#This Row],[Column1]]&gt;50%,"HIGH DISCOUNT","LOW DISCOUNT")</f>
        <v>HIGH DISCOUNT</v>
      </c>
    </row>
    <row r="531" spans="1:25" x14ac:dyDescent="0.25">
      <c r="A531" s="2" t="s">
        <v>1298</v>
      </c>
      <c r="B531" s="2">
        <v>1199569</v>
      </c>
      <c r="C531" s="2" t="s">
        <v>1299</v>
      </c>
      <c r="D531" s="2" t="s">
        <v>15</v>
      </c>
      <c r="E531" s="2" t="s">
        <v>53</v>
      </c>
      <c r="F531" s="2" t="s">
        <v>17</v>
      </c>
      <c r="G531" s="2" t="s">
        <v>1300</v>
      </c>
      <c r="H531">
        <v>899</v>
      </c>
      <c r="I531" s="2">
        <v>1799</v>
      </c>
      <c r="J531" s="2" t="s">
        <v>84</v>
      </c>
      <c r="K531" s="2" t="s">
        <v>56</v>
      </c>
      <c r="L531" s="2">
        <v>4.2</v>
      </c>
      <c r="M531" s="2">
        <v>899</v>
      </c>
      <c r="P531" t="str">
        <f t="shared" si="35"/>
        <v>50%</v>
      </c>
      <c r="Q531" s="12">
        <f t="shared" si="32"/>
        <v>0.5</v>
      </c>
      <c r="R531" s="9">
        <f t="shared" si="33"/>
        <v>899.5</v>
      </c>
      <c r="S531" s="9">
        <f>IF(R531="",AVERAGEIF(Table1[Category],Table1[[#This Row],[Category]],Table2[orignal data]),Table2[[#This Row],[orignal data]])</f>
        <v>899.5</v>
      </c>
      <c r="T531" t="str">
        <f t="shared" si="34"/>
        <v>UNIQUE</v>
      </c>
      <c r="U531" t="str">
        <f>IF(ISBLANK(Table1[[#This Row],[SizeOption]]),"NOT AVAILABLE",Table1[[#This Row],[SizeOption]])</f>
        <v>30, 32, 34, 36</v>
      </c>
      <c r="Y531" t="str">
        <f>IF(Table2[[#This Row],[Column1]]&gt;50%,"HIGH DISCOUNT","LOW DISCOUNT")</f>
        <v>LOW DISCOUNT</v>
      </c>
    </row>
    <row r="532" spans="1:25" x14ac:dyDescent="0.25">
      <c r="A532" s="1" t="s">
        <v>1301</v>
      </c>
      <c r="B532" s="1">
        <v>1575063</v>
      </c>
      <c r="C532" s="1" t="s">
        <v>47</v>
      </c>
      <c r="D532" s="1" t="s">
        <v>197</v>
      </c>
      <c r="E532" s="1" t="s">
        <v>198</v>
      </c>
      <c r="F532" s="1" t="s">
        <v>17</v>
      </c>
      <c r="G532" s="1" t="s">
        <v>1302</v>
      </c>
      <c r="H532">
        <v>466</v>
      </c>
      <c r="I532" s="1">
        <v>549</v>
      </c>
      <c r="J532" s="1" t="s">
        <v>786</v>
      </c>
      <c r="K532" s="1" t="s">
        <v>164</v>
      </c>
      <c r="L532" s="1">
        <v>4.4000000000000004</v>
      </c>
      <c r="M532" s="1">
        <v>899</v>
      </c>
      <c r="P532" t="str">
        <f t="shared" si="35"/>
        <v>15%</v>
      </c>
      <c r="Q532" s="12">
        <f t="shared" si="32"/>
        <v>0.15</v>
      </c>
      <c r="R532" s="9">
        <f t="shared" si="33"/>
        <v>466.65</v>
      </c>
      <c r="S532" s="9">
        <f>IF(R532="",AVERAGEIF(Table1[Category],Table1[[#This Row],[Category]],Table2[orignal data]),Table2[[#This Row],[orignal data]])</f>
        <v>466.65</v>
      </c>
      <c r="T532" t="str">
        <f t="shared" si="34"/>
        <v>UNIQUE</v>
      </c>
      <c r="U532" t="str">
        <f>IF(ISBLANK(Table1[[#This Row],[SizeOption]]),"NOT AVAILABLE",Table1[[#This Row],[SizeOption]])</f>
        <v>Onesize</v>
      </c>
      <c r="Y532" t="str">
        <f>IF(Table2[[#This Row],[Column1]]&gt;50%,"HIGH DISCOUNT","LOW DISCOUNT")</f>
        <v>LOW DISCOUNT</v>
      </c>
    </row>
    <row r="533" spans="1:25" x14ac:dyDescent="0.25">
      <c r="A533" s="2" t="s">
        <v>1303</v>
      </c>
      <c r="B533" s="2">
        <v>15098616</v>
      </c>
      <c r="C533" s="2" t="s">
        <v>1013</v>
      </c>
      <c r="D533" s="2" t="s">
        <v>76</v>
      </c>
      <c r="E533" s="2" t="s">
        <v>93</v>
      </c>
      <c r="F533" s="2" t="s">
        <v>36</v>
      </c>
      <c r="G533" s="2" t="s">
        <v>1304</v>
      </c>
      <c r="H533">
        <v>728</v>
      </c>
      <c r="I533" s="2">
        <v>2699</v>
      </c>
      <c r="J533" s="2" t="s">
        <v>735</v>
      </c>
      <c r="K533" s="2" t="s">
        <v>115</v>
      </c>
      <c r="L533" s="2">
        <v>3.9</v>
      </c>
      <c r="M533" s="2">
        <v>899</v>
      </c>
      <c r="P533" t="str">
        <f t="shared" si="35"/>
        <v>73%</v>
      </c>
      <c r="Q533" s="12">
        <f t="shared" si="32"/>
        <v>0.73</v>
      </c>
      <c r="R533" s="9">
        <f t="shared" si="33"/>
        <v>728.73</v>
      </c>
      <c r="S533" s="9">
        <f>IF(R533="",AVERAGEIF(Table1[Category],Table1[[#This Row],[Category]],Table2[orignal data]),Table2[[#This Row],[orignal data]])</f>
        <v>728.73</v>
      </c>
      <c r="T533" t="str">
        <f t="shared" si="34"/>
        <v>UNIQUE</v>
      </c>
      <c r="U533" t="str">
        <f>IF(ISBLANK(Table1[[#This Row],[SizeOption]]),"NOT AVAILABLE",Table1[[#This Row],[SizeOption]])</f>
        <v>XS, S, M, L, XL, XXL</v>
      </c>
      <c r="Y533" t="str">
        <f>IF(Table2[[#This Row],[Column1]]&gt;50%,"HIGH DISCOUNT","LOW DISCOUNT")</f>
        <v>HIGH DISCOUNT</v>
      </c>
    </row>
    <row r="534" spans="1:25" x14ac:dyDescent="0.25">
      <c r="A534" s="1" t="s">
        <v>1305</v>
      </c>
      <c r="B534" s="1">
        <v>8813173</v>
      </c>
      <c r="C534" s="1" t="s">
        <v>64</v>
      </c>
      <c r="D534" s="1" t="s">
        <v>98</v>
      </c>
      <c r="E534" s="1" t="s">
        <v>42</v>
      </c>
      <c r="F534" s="1" t="s">
        <v>36</v>
      </c>
      <c r="G534" s="1" t="s">
        <v>1306</v>
      </c>
      <c r="H534">
        <v>284</v>
      </c>
      <c r="I534" s="1">
        <v>949</v>
      </c>
      <c r="J534" s="1" t="s">
        <v>79</v>
      </c>
      <c r="K534" s="1" t="s">
        <v>100</v>
      </c>
      <c r="L534" s="1">
        <v>4.0999999999999996</v>
      </c>
      <c r="M534" s="1">
        <v>899</v>
      </c>
      <c r="P534" t="str">
        <f t="shared" si="35"/>
        <v>70%</v>
      </c>
      <c r="Q534" s="12">
        <f t="shared" si="32"/>
        <v>0.7</v>
      </c>
      <c r="R534" s="9">
        <f t="shared" si="33"/>
        <v>284.70000000000005</v>
      </c>
      <c r="S534" s="9">
        <f>IF(R534="",AVERAGEIF(Table1[Category],Table1[[#This Row],[Category]],Table2[orignal data]),Table2[[#This Row],[orignal data]])</f>
        <v>284.70000000000005</v>
      </c>
      <c r="T534" t="str">
        <f t="shared" si="34"/>
        <v>UNIQUE</v>
      </c>
      <c r="U534" t="str">
        <f>IF(ISBLANK(Table1[[#This Row],[SizeOption]]),"NOT AVAILABLE",Table1[[#This Row],[SizeOption]])</f>
        <v>XS, S, M, L, XL, XXL, 3XL</v>
      </c>
      <c r="Y534" t="str">
        <f>IF(Table2[[#This Row],[Column1]]&gt;50%,"HIGH DISCOUNT","LOW DISCOUNT")</f>
        <v>HIGH DISCOUNT</v>
      </c>
    </row>
    <row r="535" spans="1:25" x14ac:dyDescent="0.25">
      <c r="A535" s="2" t="s">
        <v>1307</v>
      </c>
      <c r="B535" s="2">
        <v>1617114</v>
      </c>
      <c r="C535" s="2" t="s">
        <v>1158</v>
      </c>
      <c r="D535" s="2" t="s">
        <v>41</v>
      </c>
      <c r="E535" s="2" t="s">
        <v>48</v>
      </c>
      <c r="F535" s="2" t="s">
        <v>36</v>
      </c>
      <c r="G535" s="2" t="s">
        <v>1308</v>
      </c>
      <c r="I535" s="2">
        <v>1290</v>
      </c>
      <c r="J535" s="2" t="s">
        <v>55</v>
      </c>
      <c r="K535" s="2" t="s">
        <v>311</v>
      </c>
      <c r="L535" s="2">
        <v>4</v>
      </c>
      <c r="M535" s="2">
        <v>899</v>
      </c>
      <c r="P535" t="str">
        <f t="shared" si="35"/>
        <v>60%</v>
      </c>
      <c r="Q535" s="12">
        <f t="shared" si="32"/>
        <v>0.6</v>
      </c>
      <c r="R535" s="9">
        <f t="shared" si="33"/>
        <v>516</v>
      </c>
      <c r="S535" s="9">
        <f>IF(R535="",AVERAGEIF(Table1[Category],Table1[[#This Row],[Category]],Table2[orignal data]),Table2[[#This Row],[orignal data]])</f>
        <v>516</v>
      </c>
      <c r="T535" t="str">
        <f t="shared" si="34"/>
        <v>UNIQUE</v>
      </c>
      <c r="U535" t="str">
        <f>IF(ISBLANK(Table1[[#This Row],[SizeOption]]),"NOT AVAILABLE",Table1[[#This Row],[SizeOption]])</f>
        <v>XS, S, M, L</v>
      </c>
      <c r="Y535" t="str">
        <f>IF(Table2[[#This Row],[Column1]]&gt;50%,"HIGH DISCOUNT","LOW DISCOUNT")</f>
        <v>HIGH DISCOUNT</v>
      </c>
    </row>
    <row r="536" spans="1:25" x14ac:dyDescent="0.25">
      <c r="A536" s="1" t="s">
        <v>1309</v>
      </c>
      <c r="B536" s="1">
        <v>14994900</v>
      </c>
      <c r="C536" s="1" t="s">
        <v>181</v>
      </c>
      <c r="D536" s="1" t="s">
        <v>41</v>
      </c>
      <c r="E536" s="1" t="s">
        <v>53</v>
      </c>
      <c r="F536" s="1" t="s">
        <v>36</v>
      </c>
      <c r="G536" s="1" t="s">
        <v>1310</v>
      </c>
      <c r="I536" s="1">
        <v>1699</v>
      </c>
      <c r="J536" s="1" t="s">
        <v>19</v>
      </c>
      <c r="K536" s="1" t="s">
        <v>134</v>
      </c>
      <c r="L536" s="1">
        <v>4.5</v>
      </c>
      <c r="M536" s="1">
        <v>899</v>
      </c>
      <c r="P536" t="str">
        <f t="shared" si="35"/>
        <v>45%</v>
      </c>
      <c r="Q536" s="12">
        <f t="shared" si="32"/>
        <v>0.45</v>
      </c>
      <c r="R536" s="9">
        <f t="shared" si="33"/>
        <v>934.44999999999993</v>
      </c>
      <c r="S536" s="9">
        <f>IF(R536="",AVERAGEIF(Table1[Category],Table1[[#This Row],[Category]],Table2[orignal data]),Table2[[#This Row],[orignal data]])</f>
        <v>934.44999999999993</v>
      </c>
      <c r="T536" t="str">
        <f t="shared" si="34"/>
        <v>UNIQUE</v>
      </c>
      <c r="U536" t="str">
        <f>IF(ISBLANK(Table1[[#This Row],[SizeOption]]),"NOT AVAILABLE",Table1[[#This Row],[SizeOption]])</f>
        <v>26, 28, 30, 32, 34, 36</v>
      </c>
      <c r="Y536" t="str">
        <f>IF(Table2[[#This Row],[Column1]]&gt;50%,"HIGH DISCOUNT","LOW DISCOUNT")</f>
        <v>LOW DISCOUNT</v>
      </c>
    </row>
    <row r="537" spans="1:25" x14ac:dyDescent="0.25">
      <c r="A537" s="2" t="s">
        <v>1311</v>
      </c>
      <c r="B537" s="2">
        <v>1566011</v>
      </c>
      <c r="C537" s="2" t="s">
        <v>865</v>
      </c>
      <c r="D537" s="2" t="s">
        <v>76</v>
      </c>
      <c r="E537" s="2" t="s">
        <v>320</v>
      </c>
      <c r="F537" s="2" t="s">
        <v>36</v>
      </c>
      <c r="G537" s="2" t="s">
        <v>1312</v>
      </c>
      <c r="H537">
        <v>615</v>
      </c>
      <c r="I537" s="2">
        <v>1119</v>
      </c>
      <c r="J537" s="2" t="s">
        <v>19</v>
      </c>
      <c r="K537" s="2" t="s">
        <v>164</v>
      </c>
      <c r="L537" s="2">
        <v>3.4</v>
      </c>
      <c r="M537" s="2">
        <v>898</v>
      </c>
      <c r="P537" t="str">
        <f t="shared" si="35"/>
        <v>45%</v>
      </c>
      <c r="Q537" s="12">
        <f t="shared" si="32"/>
        <v>0.45</v>
      </c>
      <c r="R537" s="9">
        <f t="shared" si="33"/>
        <v>615.45000000000005</v>
      </c>
      <c r="S537" s="9">
        <f>IF(R537="",AVERAGEIF(Table1[Category],Table1[[#This Row],[Category]],Table2[orignal data]),Table2[[#This Row],[orignal data]])</f>
        <v>615.45000000000005</v>
      </c>
      <c r="T537" t="str">
        <f t="shared" si="34"/>
        <v>UNIQUE</v>
      </c>
      <c r="U537" t="str">
        <f>IF(ISBLANK(Table1[[#This Row],[SizeOption]]),"NOT AVAILABLE",Table1[[#This Row],[SizeOption]])</f>
        <v>Onesize</v>
      </c>
      <c r="Y537" t="str">
        <f>IF(Table2[[#This Row],[Column1]]&gt;50%,"HIGH DISCOUNT","LOW DISCOUNT")</f>
        <v>LOW DISCOUNT</v>
      </c>
    </row>
    <row r="538" spans="1:25" x14ac:dyDescent="0.25">
      <c r="A538" s="1" t="s">
        <v>1313</v>
      </c>
      <c r="B538" s="1">
        <v>10089243</v>
      </c>
      <c r="C538" s="1" t="s">
        <v>92</v>
      </c>
      <c r="D538" s="1" t="s">
        <v>76</v>
      </c>
      <c r="E538" s="1" t="s">
        <v>77</v>
      </c>
      <c r="F538" s="1" t="s">
        <v>36</v>
      </c>
      <c r="G538" s="1" t="s">
        <v>1314</v>
      </c>
      <c r="H538">
        <v>764</v>
      </c>
      <c r="I538" s="1">
        <v>2249</v>
      </c>
      <c r="J538" s="1" t="s">
        <v>403</v>
      </c>
      <c r="K538" s="1" t="s">
        <v>39</v>
      </c>
      <c r="L538" s="1">
        <v>3.9</v>
      </c>
      <c r="M538" s="1">
        <v>898</v>
      </c>
      <c r="P538" t="str">
        <f t="shared" si="35"/>
        <v>66%</v>
      </c>
      <c r="Q538" s="12">
        <f t="shared" si="32"/>
        <v>0.66</v>
      </c>
      <c r="R538" s="9">
        <f t="shared" si="33"/>
        <v>764.65999999999985</v>
      </c>
      <c r="S538" s="9">
        <f>IF(R538="",AVERAGEIF(Table1[Category],Table1[[#This Row],[Category]],Table2[orignal data]),Table2[[#This Row],[orignal data]])</f>
        <v>764.65999999999985</v>
      </c>
      <c r="T538" t="str">
        <f t="shared" si="34"/>
        <v>UNIQUE</v>
      </c>
      <c r="U538" t="str">
        <f>IF(ISBLANK(Table1[[#This Row],[SizeOption]]),"NOT AVAILABLE",Table1[[#This Row],[SizeOption]])</f>
        <v>S, M, L, XL, XXL</v>
      </c>
      <c r="Y538" t="str">
        <f>IF(Table2[[#This Row],[Column1]]&gt;50%,"HIGH DISCOUNT","LOW DISCOUNT")</f>
        <v>HIGH DISCOUNT</v>
      </c>
    </row>
    <row r="539" spans="1:25" x14ac:dyDescent="0.25">
      <c r="A539" s="2" t="s">
        <v>1315</v>
      </c>
      <c r="B539" s="2">
        <v>17524634</v>
      </c>
      <c r="C539" s="2" t="s">
        <v>47</v>
      </c>
      <c r="D539" s="2" t="s">
        <v>41</v>
      </c>
      <c r="E539" s="2" t="s">
        <v>42</v>
      </c>
      <c r="F539" s="2" t="s">
        <v>36</v>
      </c>
      <c r="G539" s="2" t="s">
        <v>1316</v>
      </c>
      <c r="I539" s="2">
        <v>1598</v>
      </c>
      <c r="J539" s="2" t="s">
        <v>84</v>
      </c>
      <c r="K539" s="2" t="s">
        <v>45</v>
      </c>
      <c r="L539" s="2">
        <v>4.2</v>
      </c>
      <c r="M539" s="2">
        <v>898</v>
      </c>
      <c r="P539" t="str">
        <f t="shared" si="35"/>
        <v>50%</v>
      </c>
      <c r="Q539" s="12">
        <f t="shared" si="32"/>
        <v>0.5</v>
      </c>
      <c r="R539" s="9">
        <f t="shared" si="33"/>
        <v>799</v>
      </c>
      <c r="S539" s="9">
        <f>IF(R539="",AVERAGEIF(Table1[Category],Table1[[#This Row],[Category]],Table2[orignal data]),Table2[[#This Row],[orignal data]])</f>
        <v>799</v>
      </c>
      <c r="T539" t="str">
        <f t="shared" si="34"/>
        <v>UNIQUE</v>
      </c>
      <c r="U539" t="str">
        <f>IF(ISBLANK(Table1[[#This Row],[SizeOption]]),"NOT AVAILABLE",Table1[[#This Row],[SizeOption]])</f>
        <v>XS, S, M, L, XL</v>
      </c>
      <c r="Y539" t="str">
        <f>IF(Table2[[#This Row],[Column1]]&gt;50%,"HIGH DISCOUNT","LOW DISCOUNT")</f>
        <v>LOW DISCOUNT</v>
      </c>
    </row>
    <row r="540" spans="1:25" x14ac:dyDescent="0.25">
      <c r="A540" s="1" t="s">
        <v>1317</v>
      </c>
      <c r="B540" s="1">
        <v>8083185</v>
      </c>
      <c r="C540" s="1" t="s">
        <v>102</v>
      </c>
      <c r="D540" s="1" t="s">
        <v>41</v>
      </c>
      <c r="E540" s="1" t="s">
        <v>16</v>
      </c>
      <c r="F540" s="1" t="s">
        <v>36</v>
      </c>
      <c r="G540" s="1" t="s">
        <v>1318</v>
      </c>
      <c r="I540" s="1">
        <v>1899</v>
      </c>
      <c r="J540" s="1" t="s">
        <v>126</v>
      </c>
      <c r="K540" s="1" t="s">
        <v>428</v>
      </c>
      <c r="L540" s="1">
        <v>3.9</v>
      </c>
      <c r="M540" s="1">
        <v>898</v>
      </c>
      <c r="P540" t="str">
        <f t="shared" si="35"/>
        <v>62%</v>
      </c>
      <c r="Q540" s="12">
        <f t="shared" si="32"/>
        <v>0.62</v>
      </c>
      <c r="R540" s="9">
        <f t="shared" si="33"/>
        <v>721.62000000000012</v>
      </c>
      <c r="S540" s="9">
        <f>IF(R540="",AVERAGEIF(Table1[Category],Table1[[#This Row],[Category]],Table2[orignal data]),Table2[[#This Row],[orignal data]])</f>
        <v>721.62000000000012</v>
      </c>
      <c r="T540" t="str">
        <f t="shared" si="34"/>
        <v>UNIQUE</v>
      </c>
      <c r="U540" t="str">
        <f>IF(ISBLANK(Table1[[#This Row],[SizeOption]]),"NOT AVAILABLE",Table1[[#This Row],[SizeOption]])</f>
        <v>26, 28, 30, 32, 34</v>
      </c>
      <c r="Y540" t="str">
        <f>IF(Table2[[#This Row],[Column1]]&gt;50%,"HIGH DISCOUNT","LOW DISCOUNT")</f>
        <v>HIGH DISCOUNT</v>
      </c>
    </row>
    <row r="541" spans="1:25" x14ac:dyDescent="0.25">
      <c r="A541" s="2" t="s">
        <v>1319</v>
      </c>
      <c r="B541" s="2">
        <v>10064533</v>
      </c>
      <c r="C541" s="2" t="s">
        <v>14</v>
      </c>
      <c r="D541" s="2" t="s">
        <v>15</v>
      </c>
      <c r="E541" s="2" t="s">
        <v>16</v>
      </c>
      <c r="F541" s="2" t="s">
        <v>17</v>
      </c>
      <c r="G541" s="2" t="s">
        <v>1320</v>
      </c>
      <c r="H541">
        <v>719</v>
      </c>
      <c r="I541" s="2">
        <v>1799</v>
      </c>
      <c r="J541" s="2" t="s">
        <v>55</v>
      </c>
      <c r="K541" s="2" t="s">
        <v>20</v>
      </c>
      <c r="L541" s="2">
        <v>3.9</v>
      </c>
      <c r="M541" s="2">
        <v>897</v>
      </c>
      <c r="P541" t="str">
        <f t="shared" si="35"/>
        <v>60%</v>
      </c>
      <c r="Q541" s="12">
        <f t="shared" si="32"/>
        <v>0.6</v>
      </c>
      <c r="R541" s="9">
        <f t="shared" si="33"/>
        <v>719.60000000000014</v>
      </c>
      <c r="S541" s="9">
        <f>IF(R541="",AVERAGEIF(Table1[Category],Table1[[#This Row],[Category]],Table2[orignal data]),Table2[[#This Row],[orignal data]])</f>
        <v>719.60000000000014</v>
      </c>
      <c r="T541" t="str">
        <f t="shared" si="34"/>
        <v>UNIQUE</v>
      </c>
      <c r="U541" t="str">
        <f>IF(ISBLANK(Table1[[#This Row],[SizeOption]]),"NOT AVAILABLE",Table1[[#This Row],[SizeOption]])</f>
        <v>28, 30, 32, 34, 36</v>
      </c>
      <c r="Y541" t="str">
        <f>IF(Table2[[#This Row],[Column1]]&gt;50%,"HIGH DISCOUNT","LOW DISCOUNT")</f>
        <v>HIGH DISCOUNT</v>
      </c>
    </row>
    <row r="542" spans="1:25" x14ac:dyDescent="0.25">
      <c r="A542" s="1" t="s">
        <v>1321</v>
      </c>
      <c r="B542" s="1">
        <v>11902186</v>
      </c>
      <c r="C542" s="1" t="s">
        <v>1322</v>
      </c>
      <c r="D542" s="1" t="s">
        <v>41</v>
      </c>
      <c r="E542" s="1" t="s">
        <v>592</v>
      </c>
      <c r="F542" s="1" t="s">
        <v>36</v>
      </c>
      <c r="G542" s="1" t="s">
        <v>1323</v>
      </c>
      <c r="I542" s="1">
        <v>549</v>
      </c>
      <c r="J542" s="1"/>
      <c r="K542" s="1" t="s">
        <v>352</v>
      </c>
      <c r="L542" s="1">
        <v>4.5</v>
      </c>
      <c r="M542" s="1">
        <v>897</v>
      </c>
      <c r="P542" t="str">
        <f t="shared" si="35"/>
        <v/>
      </c>
      <c r="Q542" s="12" t="str">
        <f t="shared" si="32"/>
        <v/>
      </c>
      <c r="R542" s="9" t="str">
        <f t="shared" si="33"/>
        <v/>
      </c>
      <c r="S542" s="9">
        <f>IF(R542="",AVERAGEIF(Table1[Category],Table1[[#This Row],[Category]],Table2[orignal data]),Table2[[#This Row],[orignal data]])</f>
        <v>715.78890751086249</v>
      </c>
      <c r="T542" t="str">
        <f t="shared" si="34"/>
        <v>UNIQUE</v>
      </c>
      <c r="U542" t="str">
        <f>IF(ISBLANK(Table1[[#This Row],[SizeOption]]),"NOT AVAILABLE",Table1[[#This Row],[SizeOption]])</f>
        <v>S, M, L</v>
      </c>
      <c r="Y542" t="str">
        <f>IF(Table2[[#This Row],[Column1]]&gt;50%,"HIGH DISCOUNT","LOW DISCOUNT")</f>
        <v>HIGH DISCOUNT</v>
      </c>
    </row>
    <row r="543" spans="1:25" x14ac:dyDescent="0.25">
      <c r="A543" s="2" t="s">
        <v>1324</v>
      </c>
      <c r="B543" s="2">
        <v>2510307</v>
      </c>
      <c r="C543" s="2" t="s">
        <v>67</v>
      </c>
      <c r="D543" s="2" t="s">
        <v>197</v>
      </c>
      <c r="E543" s="2" t="s">
        <v>198</v>
      </c>
      <c r="F543" s="2" t="s">
        <v>17</v>
      </c>
      <c r="G543" s="2" t="s">
        <v>1325</v>
      </c>
      <c r="H543">
        <v>159</v>
      </c>
      <c r="I543" s="2">
        <v>399</v>
      </c>
      <c r="J543" s="2" t="s">
        <v>141</v>
      </c>
      <c r="K543" s="2" t="s">
        <v>164</v>
      </c>
      <c r="L543" s="2">
        <v>4.3</v>
      </c>
      <c r="M543" s="2">
        <v>896</v>
      </c>
      <c r="P543" t="str">
        <f t="shared" si="35"/>
        <v>60%</v>
      </c>
      <c r="Q543" s="12">
        <f t="shared" si="32"/>
        <v>0.6</v>
      </c>
      <c r="R543" s="9">
        <f t="shared" si="33"/>
        <v>159.60000000000002</v>
      </c>
      <c r="S543" s="9">
        <f>IF(R543="",AVERAGEIF(Table1[Category],Table1[[#This Row],[Category]],Table2[orignal data]),Table2[[#This Row],[orignal data]])</f>
        <v>159.60000000000002</v>
      </c>
      <c r="T543" t="str">
        <f t="shared" si="34"/>
        <v>UNIQUE</v>
      </c>
      <c r="U543" t="str">
        <f>IF(ISBLANK(Table1[[#This Row],[SizeOption]]),"NOT AVAILABLE",Table1[[#This Row],[SizeOption]])</f>
        <v>Onesize</v>
      </c>
      <c r="Y543" t="str">
        <f>IF(Table2[[#This Row],[Column1]]&gt;50%,"HIGH DISCOUNT","LOW DISCOUNT")</f>
        <v>HIGH DISCOUNT</v>
      </c>
    </row>
    <row r="544" spans="1:25" x14ac:dyDescent="0.25">
      <c r="A544" s="1" t="s">
        <v>1326</v>
      </c>
      <c r="B544" s="1">
        <v>12520604</v>
      </c>
      <c r="C544" s="1" t="s">
        <v>64</v>
      </c>
      <c r="D544" s="1" t="s">
        <v>76</v>
      </c>
      <c r="E544" s="1" t="s">
        <v>93</v>
      </c>
      <c r="F544" s="1" t="s">
        <v>36</v>
      </c>
      <c r="G544" s="1" t="s">
        <v>1327</v>
      </c>
      <c r="H544">
        <v>472</v>
      </c>
      <c r="I544" s="1">
        <v>1349</v>
      </c>
      <c r="J544" s="1" t="s">
        <v>150</v>
      </c>
      <c r="K544" s="1" t="s">
        <v>100</v>
      </c>
      <c r="L544" s="1">
        <v>4.3</v>
      </c>
      <c r="M544" s="1">
        <v>896</v>
      </c>
      <c r="P544" t="str">
        <f t="shared" si="35"/>
        <v>65%</v>
      </c>
      <c r="Q544" s="12">
        <f t="shared" si="32"/>
        <v>0.65</v>
      </c>
      <c r="R544" s="9">
        <f t="shared" si="33"/>
        <v>472.15</v>
      </c>
      <c r="S544" s="9">
        <f>IF(R544="",AVERAGEIF(Table1[Category],Table1[[#This Row],[Category]],Table2[orignal data]),Table2[[#This Row],[orignal data]])</f>
        <v>472.15</v>
      </c>
      <c r="T544" t="str">
        <f t="shared" si="34"/>
        <v>UNIQUE</v>
      </c>
      <c r="U544" t="str">
        <f>IF(ISBLANK(Table1[[#This Row],[SizeOption]]),"NOT AVAILABLE",Table1[[#This Row],[SizeOption]])</f>
        <v>XS, S, M, L, XL, XXL, 3XL</v>
      </c>
      <c r="Y544" t="str">
        <f>IF(Table2[[#This Row],[Column1]]&gt;50%,"HIGH DISCOUNT","LOW DISCOUNT")</f>
        <v>HIGH DISCOUNT</v>
      </c>
    </row>
    <row r="545" spans="1:25" x14ac:dyDescent="0.25">
      <c r="A545" s="2" t="s">
        <v>1328</v>
      </c>
      <c r="B545" s="2">
        <v>14489508</v>
      </c>
      <c r="C545" s="2" t="s">
        <v>277</v>
      </c>
      <c r="D545" s="2" t="s">
        <v>76</v>
      </c>
      <c r="E545" s="2" t="s">
        <v>93</v>
      </c>
      <c r="F545" s="2" t="s">
        <v>36</v>
      </c>
      <c r="G545" s="2" t="s">
        <v>1329</v>
      </c>
      <c r="H545">
        <v>979</v>
      </c>
      <c r="I545" s="2">
        <v>2799</v>
      </c>
      <c r="J545" s="2" t="s">
        <v>150</v>
      </c>
      <c r="K545" s="2" t="s">
        <v>39</v>
      </c>
      <c r="L545" s="2">
        <v>4.0999999999999996</v>
      </c>
      <c r="M545" s="2">
        <v>896</v>
      </c>
      <c r="P545" t="str">
        <f t="shared" si="35"/>
        <v>65%</v>
      </c>
      <c r="Q545" s="12">
        <f t="shared" si="32"/>
        <v>0.65</v>
      </c>
      <c r="R545" s="9">
        <f t="shared" si="33"/>
        <v>979.64999999999986</v>
      </c>
      <c r="S545" s="9">
        <f>IF(R545="",AVERAGEIF(Table1[Category],Table1[[#This Row],[Category]],Table2[orignal data]),Table2[[#This Row],[orignal data]])</f>
        <v>979.64999999999986</v>
      </c>
      <c r="T545" t="str">
        <f t="shared" si="34"/>
        <v>UNIQUE</v>
      </c>
      <c r="U545" t="str">
        <f>IF(ISBLANK(Table1[[#This Row],[SizeOption]]),"NOT AVAILABLE",Table1[[#This Row],[SizeOption]])</f>
        <v>S, M, L, XL, XXL</v>
      </c>
      <c r="Y545" t="str">
        <f>IF(Table2[[#This Row],[Column1]]&gt;50%,"HIGH DISCOUNT","LOW DISCOUNT")</f>
        <v>HIGH DISCOUNT</v>
      </c>
    </row>
    <row r="546" spans="1:25" x14ac:dyDescent="0.25">
      <c r="A546" s="1" t="s">
        <v>1330</v>
      </c>
      <c r="B546" s="1">
        <v>14062984</v>
      </c>
      <c r="C546" s="1" t="s">
        <v>102</v>
      </c>
      <c r="D546" s="1" t="s">
        <v>41</v>
      </c>
      <c r="E546" s="1" t="s">
        <v>23</v>
      </c>
      <c r="F546" s="1" t="s">
        <v>36</v>
      </c>
      <c r="G546" s="1" t="s">
        <v>1331</v>
      </c>
      <c r="I546" s="1">
        <v>1149</v>
      </c>
      <c r="J546" s="1" t="s">
        <v>104</v>
      </c>
      <c r="K546" s="1" t="s">
        <v>26</v>
      </c>
      <c r="L546" s="1">
        <v>4.3</v>
      </c>
      <c r="M546" s="1">
        <v>896</v>
      </c>
      <c r="P546" t="str">
        <f t="shared" si="35"/>
        <v>61%</v>
      </c>
      <c r="Q546" s="12">
        <f t="shared" si="32"/>
        <v>0.61</v>
      </c>
      <c r="R546" s="9">
        <f t="shared" si="33"/>
        <v>448.11</v>
      </c>
      <c r="S546" s="9">
        <f>IF(R546="",AVERAGEIF(Table1[Category],Table1[[#This Row],[Category]],Table2[orignal data]),Table2[[#This Row],[orignal data]])</f>
        <v>448.11</v>
      </c>
      <c r="T546" t="str">
        <f t="shared" si="34"/>
        <v>UNIQUE</v>
      </c>
      <c r="U546" t="str">
        <f>IF(ISBLANK(Table1[[#This Row],[SizeOption]]),"NOT AVAILABLE",Table1[[#This Row],[SizeOption]])</f>
        <v>S, M, L, XL</v>
      </c>
      <c r="Y546" t="str">
        <f>IF(Table2[[#This Row],[Column1]]&gt;50%,"HIGH DISCOUNT","LOW DISCOUNT")</f>
        <v>HIGH DISCOUNT</v>
      </c>
    </row>
    <row r="547" spans="1:25" x14ac:dyDescent="0.25">
      <c r="A547" s="2" t="s">
        <v>1332</v>
      </c>
      <c r="B547" s="2">
        <v>11099542</v>
      </c>
      <c r="C547" s="2" t="s">
        <v>800</v>
      </c>
      <c r="D547" s="2" t="s">
        <v>41</v>
      </c>
      <c r="E547" s="2" t="s">
        <v>148</v>
      </c>
      <c r="F547" s="2" t="s">
        <v>36</v>
      </c>
      <c r="G547" s="2" t="s">
        <v>1333</v>
      </c>
      <c r="I547" s="2">
        <v>1699</v>
      </c>
      <c r="J547" s="2" t="s">
        <v>55</v>
      </c>
      <c r="K547" s="2" t="s">
        <v>39</v>
      </c>
      <c r="L547" s="2">
        <v>4</v>
      </c>
      <c r="M547" s="2">
        <v>896</v>
      </c>
      <c r="P547" t="str">
        <f t="shared" si="35"/>
        <v>60%</v>
      </c>
      <c r="Q547" s="12">
        <f t="shared" si="32"/>
        <v>0.6</v>
      </c>
      <c r="R547" s="9">
        <f t="shared" si="33"/>
        <v>679.6</v>
      </c>
      <c r="S547" s="9">
        <f>IF(R547="",AVERAGEIF(Table1[Category],Table1[[#This Row],[Category]],Table2[orignal data]),Table2[[#This Row],[orignal data]])</f>
        <v>679.6</v>
      </c>
      <c r="T547" t="str">
        <f t="shared" si="34"/>
        <v>UNIQUE</v>
      </c>
      <c r="U547" t="str">
        <f>IF(ISBLANK(Table1[[#This Row],[SizeOption]]),"NOT AVAILABLE",Table1[[#This Row],[SizeOption]])</f>
        <v>S, M, L, XL, XXL</v>
      </c>
      <c r="Y547" t="str">
        <f>IF(Table2[[#This Row],[Column1]]&gt;50%,"HIGH DISCOUNT","LOW DISCOUNT")</f>
        <v>HIGH DISCOUNT</v>
      </c>
    </row>
    <row r="548" spans="1:25" x14ac:dyDescent="0.25">
      <c r="A548" s="1" t="s">
        <v>1334</v>
      </c>
      <c r="B548" s="1">
        <v>15227166</v>
      </c>
      <c r="C548" s="1" t="s">
        <v>81</v>
      </c>
      <c r="D548" s="1" t="s">
        <v>41</v>
      </c>
      <c r="E548" s="1" t="s">
        <v>148</v>
      </c>
      <c r="F548" s="1" t="s">
        <v>36</v>
      </c>
      <c r="G548" s="1" t="s">
        <v>1335</v>
      </c>
      <c r="I548" s="1">
        <v>2499</v>
      </c>
      <c r="J548" s="1" t="s">
        <v>44</v>
      </c>
      <c r="K548" s="1" t="s">
        <v>115</v>
      </c>
      <c r="L548" s="1">
        <v>4.5</v>
      </c>
      <c r="M548" s="1">
        <v>896</v>
      </c>
      <c r="P548" t="str">
        <f t="shared" si="35"/>
        <v>35%</v>
      </c>
      <c r="Q548" s="12">
        <f t="shared" si="32"/>
        <v>0.35</v>
      </c>
      <c r="R548" s="9">
        <f t="shared" si="33"/>
        <v>1624.35</v>
      </c>
      <c r="S548" s="9">
        <f>IF(R548="",AVERAGEIF(Table1[Category],Table1[[#This Row],[Category]],Table2[orignal data]),Table2[[#This Row],[orignal data]])</f>
        <v>1624.35</v>
      </c>
      <c r="T548" t="str">
        <f t="shared" si="34"/>
        <v>UNIQUE</v>
      </c>
      <c r="U548" t="str">
        <f>IF(ISBLANK(Table1[[#This Row],[SizeOption]]),"NOT AVAILABLE",Table1[[#This Row],[SizeOption]])</f>
        <v>XS, S, M, L, XL, XXL</v>
      </c>
      <c r="Y548" t="str">
        <f>IF(Table2[[#This Row],[Column1]]&gt;50%,"HIGH DISCOUNT","LOW DISCOUNT")</f>
        <v>LOW DISCOUNT</v>
      </c>
    </row>
    <row r="549" spans="1:25" x14ac:dyDescent="0.25">
      <c r="A549" s="2" t="s">
        <v>1336</v>
      </c>
      <c r="B549" s="2">
        <v>8325383</v>
      </c>
      <c r="C549" s="2" t="s">
        <v>47</v>
      </c>
      <c r="D549" s="2" t="s">
        <v>41</v>
      </c>
      <c r="E549" s="2" t="s">
        <v>42</v>
      </c>
      <c r="F549" s="2" t="s">
        <v>36</v>
      </c>
      <c r="G549" s="2" t="s">
        <v>1337</v>
      </c>
      <c r="I549" s="2">
        <v>799</v>
      </c>
      <c r="J549" s="2" t="s">
        <v>25</v>
      </c>
      <c r="K549" s="2" t="s">
        <v>45</v>
      </c>
      <c r="L549" s="2">
        <v>4.0999999999999996</v>
      </c>
      <c r="M549" s="2">
        <v>896</v>
      </c>
      <c r="P549" t="str">
        <f t="shared" si="35"/>
        <v>55%</v>
      </c>
      <c r="Q549" s="12">
        <f t="shared" si="32"/>
        <v>0.55000000000000004</v>
      </c>
      <c r="R549" s="9">
        <f t="shared" si="33"/>
        <v>359.54999999999995</v>
      </c>
      <c r="S549" s="9">
        <f>IF(R549="",AVERAGEIF(Table1[Category],Table1[[#This Row],[Category]],Table2[orignal data]),Table2[[#This Row],[orignal data]])</f>
        <v>359.54999999999995</v>
      </c>
      <c r="T549" t="str">
        <f t="shared" si="34"/>
        <v>UNIQUE</v>
      </c>
      <c r="U549" t="str">
        <f>IF(ISBLANK(Table1[[#This Row],[SizeOption]]),"NOT AVAILABLE",Table1[[#This Row],[SizeOption]])</f>
        <v>XS, S, M, L, XL</v>
      </c>
      <c r="Y549" t="str">
        <f>IF(Table2[[#This Row],[Column1]]&gt;50%,"HIGH DISCOUNT","LOW DISCOUNT")</f>
        <v>HIGH DISCOUNT</v>
      </c>
    </row>
    <row r="550" spans="1:25" x14ac:dyDescent="0.25">
      <c r="A550" s="1" t="s">
        <v>1338</v>
      </c>
      <c r="B550" s="1">
        <v>9436563</v>
      </c>
      <c r="C550" s="1" t="s">
        <v>1176</v>
      </c>
      <c r="D550" s="1" t="s">
        <v>15</v>
      </c>
      <c r="E550" s="1" t="s">
        <v>23</v>
      </c>
      <c r="F550" s="1" t="s">
        <v>17</v>
      </c>
      <c r="G550" s="1" t="s">
        <v>1339</v>
      </c>
      <c r="H550">
        <v>621</v>
      </c>
      <c r="I550" s="1">
        <v>1109</v>
      </c>
      <c r="J550" s="1" t="s">
        <v>1340</v>
      </c>
      <c r="K550" s="1" t="s">
        <v>1341</v>
      </c>
      <c r="L550" s="1">
        <v>3.8</v>
      </c>
      <c r="M550" s="1">
        <v>895</v>
      </c>
      <c r="P550" t="str">
        <f t="shared" si="35"/>
        <v>44%</v>
      </c>
      <c r="Q550" s="12">
        <f t="shared" si="32"/>
        <v>0.44</v>
      </c>
      <c r="R550" s="9">
        <f t="shared" si="33"/>
        <v>621.04</v>
      </c>
      <c r="S550" s="9">
        <f>IF(R550="",AVERAGEIF(Table1[Category],Table1[[#This Row],[Category]],Table2[orignal data]),Table2[[#This Row],[orignal data]])</f>
        <v>621.04</v>
      </c>
      <c r="T550" t="str">
        <f t="shared" si="34"/>
        <v>UNIQUE</v>
      </c>
      <c r="U550" t="str">
        <f>IF(ISBLANK(Table1[[#This Row],[SizeOption]]),"NOT AVAILABLE",Table1[[#This Row],[SizeOption]])</f>
        <v>M, L, XL</v>
      </c>
      <c r="Y550" t="str">
        <f>IF(Table2[[#This Row],[Column1]]&gt;50%,"HIGH DISCOUNT","LOW DISCOUNT")</f>
        <v>LOW DISCOUNT</v>
      </c>
    </row>
    <row r="551" spans="1:25" x14ac:dyDescent="0.25">
      <c r="A551" s="2" t="s">
        <v>1342</v>
      </c>
      <c r="B551" s="2">
        <v>10852574</v>
      </c>
      <c r="C551" s="2" t="s">
        <v>973</v>
      </c>
      <c r="D551" s="2" t="s">
        <v>197</v>
      </c>
      <c r="E551" s="2" t="s">
        <v>518</v>
      </c>
      <c r="F551" s="2" t="s">
        <v>17</v>
      </c>
      <c r="G551" s="2" t="s">
        <v>1343</v>
      </c>
      <c r="H551">
        <v>1199</v>
      </c>
      <c r="I551" s="2">
        <v>1499</v>
      </c>
      <c r="J551" s="2" t="s">
        <v>680</v>
      </c>
      <c r="K551" s="2" t="s">
        <v>26</v>
      </c>
      <c r="L551" s="2">
        <v>4.3</v>
      </c>
      <c r="M551" s="2">
        <v>895</v>
      </c>
      <c r="P551" t="str">
        <f t="shared" si="35"/>
        <v>300</v>
      </c>
      <c r="Q551" s="12">
        <f t="shared" si="32"/>
        <v>0.20013342228152101</v>
      </c>
      <c r="R551" s="9">
        <f t="shared" si="33"/>
        <v>1199</v>
      </c>
      <c r="S551" s="9">
        <f>IF(R551="",AVERAGEIF(Table1[Category],Table1[[#This Row],[Category]],Table2[orignal data]),Table2[[#This Row],[orignal data]])</f>
        <v>1199</v>
      </c>
      <c r="T551" t="str">
        <f t="shared" si="34"/>
        <v>UNIQUE</v>
      </c>
      <c r="U551" t="str">
        <f>IF(ISBLANK(Table1[[#This Row],[SizeOption]]),"NOT AVAILABLE",Table1[[#This Row],[SizeOption]])</f>
        <v>S, M, L, XL</v>
      </c>
      <c r="Y551" t="str">
        <f>IF(Table2[[#This Row],[Column1]]&gt;50%,"HIGH DISCOUNT","LOW DISCOUNT")</f>
        <v>LOW DISCOUNT</v>
      </c>
    </row>
    <row r="552" spans="1:25" x14ac:dyDescent="0.25">
      <c r="A552" s="1" t="s">
        <v>1344</v>
      </c>
      <c r="B552" s="1">
        <v>13265560</v>
      </c>
      <c r="C552" s="1" t="s">
        <v>1345</v>
      </c>
      <c r="D552" s="1" t="s">
        <v>41</v>
      </c>
      <c r="E552" s="1" t="s">
        <v>16</v>
      </c>
      <c r="F552" s="1" t="s">
        <v>36</v>
      </c>
      <c r="G552" s="1" t="s">
        <v>1346</v>
      </c>
      <c r="I552" s="1">
        <v>1099</v>
      </c>
      <c r="J552" s="1" t="s">
        <v>535</v>
      </c>
      <c r="K552" s="1" t="s">
        <v>20</v>
      </c>
      <c r="L552" s="1">
        <v>4.0999999999999996</v>
      </c>
      <c r="M552" s="1">
        <v>895</v>
      </c>
      <c r="P552" t="str">
        <f t="shared" si="35"/>
        <v>27%</v>
      </c>
      <c r="Q552" s="12">
        <f t="shared" si="32"/>
        <v>0.27</v>
      </c>
      <c r="R552" s="9">
        <f t="shared" si="33"/>
        <v>802.27</v>
      </c>
      <c r="S552" s="9">
        <f>IF(R552="",AVERAGEIF(Table1[Category],Table1[[#This Row],[Category]],Table2[orignal data]),Table2[[#This Row],[orignal data]])</f>
        <v>802.27</v>
      </c>
      <c r="T552" t="str">
        <f t="shared" si="34"/>
        <v>UNIQUE</v>
      </c>
      <c r="U552" t="str">
        <f>IF(ISBLANK(Table1[[#This Row],[SizeOption]]),"NOT AVAILABLE",Table1[[#This Row],[SizeOption]])</f>
        <v>28, 30, 32, 34, 36</v>
      </c>
      <c r="Y552" t="str">
        <f>IF(Table2[[#This Row],[Column1]]&gt;50%,"HIGH DISCOUNT","LOW DISCOUNT")</f>
        <v>LOW DISCOUNT</v>
      </c>
    </row>
    <row r="553" spans="1:25" x14ac:dyDescent="0.25">
      <c r="A553" s="2" t="s">
        <v>1347</v>
      </c>
      <c r="B553" s="2">
        <v>12183976</v>
      </c>
      <c r="C553" s="2" t="s">
        <v>64</v>
      </c>
      <c r="D553" s="2" t="s">
        <v>15</v>
      </c>
      <c r="E553" s="2" t="s">
        <v>16</v>
      </c>
      <c r="F553" s="2" t="s">
        <v>17</v>
      </c>
      <c r="G553" s="2" t="s">
        <v>1348</v>
      </c>
      <c r="H553">
        <v>674</v>
      </c>
      <c r="I553" s="2">
        <v>2699</v>
      </c>
      <c r="J553" s="2" t="s">
        <v>109</v>
      </c>
      <c r="K553" s="2" t="s">
        <v>20</v>
      </c>
      <c r="L553" s="2">
        <v>3.7</v>
      </c>
      <c r="M553" s="2">
        <v>894</v>
      </c>
      <c r="P553" t="str">
        <f t="shared" si="35"/>
        <v>75%</v>
      </c>
      <c r="Q553" s="12">
        <f t="shared" si="32"/>
        <v>0.75</v>
      </c>
      <c r="R553" s="9">
        <f t="shared" si="33"/>
        <v>674.75</v>
      </c>
      <c r="S553" s="9">
        <f>IF(R553="",AVERAGEIF(Table1[Category],Table1[[#This Row],[Category]],Table2[orignal data]),Table2[[#This Row],[orignal data]])</f>
        <v>674.75</v>
      </c>
      <c r="T553" t="str">
        <f t="shared" si="34"/>
        <v>UNIQUE</v>
      </c>
      <c r="U553" t="str">
        <f>IF(ISBLANK(Table1[[#This Row],[SizeOption]]),"NOT AVAILABLE",Table1[[#This Row],[SizeOption]])</f>
        <v>28, 30, 32, 34, 36</v>
      </c>
      <c r="Y553" t="str">
        <f>IF(Table2[[#This Row],[Column1]]&gt;50%,"HIGH DISCOUNT","LOW DISCOUNT")</f>
        <v>HIGH DISCOUNT</v>
      </c>
    </row>
    <row r="554" spans="1:25" x14ac:dyDescent="0.25">
      <c r="A554" s="1" t="s">
        <v>1349</v>
      </c>
      <c r="B554" s="1">
        <v>11807560</v>
      </c>
      <c r="C554" s="1" t="s">
        <v>563</v>
      </c>
      <c r="D554" s="1" t="s">
        <v>197</v>
      </c>
      <c r="E554" s="1" t="s">
        <v>518</v>
      </c>
      <c r="F554" s="1" t="s">
        <v>17</v>
      </c>
      <c r="G554" s="1" t="s">
        <v>1350</v>
      </c>
      <c r="H554">
        <v>881</v>
      </c>
      <c r="I554" s="1">
        <v>1798</v>
      </c>
      <c r="J554" s="1" t="s">
        <v>163</v>
      </c>
      <c r="K554" s="1" t="s">
        <v>39</v>
      </c>
      <c r="L554" s="1">
        <v>4.0999999999999996</v>
      </c>
      <c r="M554" s="1">
        <v>894</v>
      </c>
      <c r="P554" t="str">
        <f t="shared" si="35"/>
        <v>51%</v>
      </c>
      <c r="Q554" s="12">
        <f t="shared" si="32"/>
        <v>0.51</v>
      </c>
      <c r="R554" s="9">
        <f t="shared" si="33"/>
        <v>881.02</v>
      </c>
      <c r="S554" s="9">
        <f>IF(R554="",AVERAGEIF(Table1[Category],Table1[[#This Row],[Category]],Table2[orignal data]),Table2[[#This Row],[orignal data]])</f>
        <v>881.02</v>
      </c>
      <c r="T554" t="str">
        <f t="shared" si="34"/>
        <v>UNIQUE</v>
      </c>
      <c r="U554" t="str">
        <f>IF(ISBLANK(Table1[[#This Row],[SizeOption]]),"NOT AVAILABLE",Table1[[#This Row],[SizeOption]])</f>
        <v>S, M, L, XL, XXL</v>
      </c>
      <c r="Y554" t="str">
        <f>IF(Table2[[#This Row],[Column1]]&gt;50%,"HIGH DISCOUNT","LOW DISCOUNT")</f>
        <v>HIGH DISCOUNT</v>
      </c>
    </row>
    <row r="555" spans="1:25" x14ac:dyDescent="0.25">
      <c r="A555" s="2" t="s">
        <v>1351</v>
      </c>
      <c r="B555" s="2">
        <v>11201504</v>
      </c>
      <c r="C555" s="2" t="s">
        <v>113</v>
      </c>
      <c r="D555" s="2" t="s">
        <v>76</v>
      </c>
      <c r="E555" s="2" t="s">
        <v>77</v>
      </c>
      <c r="F555" s="2" t="s">
        <v>36</v>
      </c>
      <c r="G555" s="2" t="s">
        <v>1352</v>
      </c>
      <c r="H555">
        <v>839</v>
      </c>
      <c r="I555" s="2">
        <v>2099</v>
      </c>
      <c r="J555" s="2" t="s">
        <v>55</v>
      </c>
      <c r="K555" s="2" t="s">
        <v>115</v>
      </c>
      <c r="L555" s="2">
        <v>4.0999999999999996</v>
      </c>
      <c r="M555" s="2">
        <v>894</v>
      </c>
      <c r="P555" t="str">
        <f t="shared" si="35"/>
        <v>60%</v>
      </c>
      <c r="Q555" s="12">
        <f t="shared" si="32"/>
        <v>0.6</v>
      </c>
      <c r="R555" s="9">
        <f t="shared" si="33"/>
        <v>839.60000000000014</v>
      </c>
      <c r="S555" s="9">
        <f>IF(R555="",AVERAGEIF(Table1[Category],Table1[[#This Row],[Category]],Table2[orignal data]),Table2[[#This Row],[orignal data]])</f>
        <v>839.60000000000014</v>
      </c>
      <c r="T555" t="str">
        <f t="shared" si="34"/>
        <v>UNIQUE</v>
      </c>
      <c r="U555" t="str">
        <f>IF(ISBLANK(Table1[[#This Row],[SizeOption]]),"NOT AVAILABLE",Table1[[#This Row],[SizeOption]])</f>
        <v>XS, S, M, L, XL, XXL</v>
      </c>
      <c r="Y555" t="str">
        <f>IF(Table2[[#This Row],[Column1]]&gt;50%,"HIGH DISCOUNT","LOW DISCOUNT")</f>
        <v>HIGH DISCOUNT</v>
      </c>
    </row>
    <row r="556" spans="1:25" x14ac:dyDescent="0.25">
      <c r="A556" s="1" t="s">
        <v>1353</v>
      </c>
      <c r="B556" s="1">
        <v>6632589</v>
      </c>
      <c r="C556" s="1" t="s">
        <v>405</v>
      </c>
      <c r="D556" s="1" t="s">
        <v>34</v>
      </c>
      <c r="E556" s="1" t="s">
        <v>518</v>
      </c>
      <c r="F556" s="1" t="s">
        <v>36</v>
      </c>
      <c r="G556" s="1" t="s">
        <v>1354</v>
      </c>
      <c r="H556">
        <v>991</v>
      </c>
      <c r="I556" s="1">
        <v>1599</v>
      </c>
      <c r="J556" s="1" t="s">
        <v>408</v>
      </c>
      <c r="K556" s="1" t="s">
        <v>1341</v>
      </c>
      <c r="L556" s="1">
        <v>3.8</v>
      </c>
      <c r="M556" s="1">
        <v>894</v>
      </c>
      <c r="P556" t="str">
        <f t="shared" si="35"/>
        <v>38%</v>
      </c>
      <c r="Q556" s="12">
        <f t="shared" si="32"/>
        <v>0.38</v>
      </c>
      <c r="R556" s="9">
        <f t="shared" si="33"/>
        <v>991.38</v>
      </c>
      <c r="S556" s="9">
        <f>IF(R556="",AVERAGEIF(Table1[Category],Table1[[#This Row],[Category]],Table2[orignal data]),Table2[[#This Row],[orignal data]])</f>
        <v>991.38</v>
      </c>
      <c r="T556" t="str">
        <f t="shared" si="34"/>
        <v>UNIQUE</v>
      </c>
      <c r="U556" t="str">
        <f>IF(ISBLANK(Table1[[#This Row],[SizeOption]]),"NOT AVAILABLE",Table1[[#This Row],[SizeOption]])</f>
        <v>M, L, XL</v>
      </c>
      <c r="Y556" t="str">
        <f>IF(Table2[[#This Row],[Column1]]&gt;50%,"HIGH DISCOUNT","LOW DISCOUNT")</f>
        <v>LOW DISCOUNT</v>
      </c>
    </row>
    <row r="557" spans="1:25" x14ac:dyDescent="0.25">
      <c r="A557" s="2" t="s">
        <v>1355</v>
      </c>
      <c r="B557" s="2">
        <v>10248005</v>
      </c>
      <c r="C557" s="2" t="s">
        <v>794</v>
      </c>
      <c r="D557" s="2" t="s">
        <v>197</v>
      </c>
      <c r="E557" s="2" t="s">
        <v>296</v>
      </c>
      <c r="F557" s="2" t="s">
        <v>17</v>
      </c>
      <c r="G557" s="2" t="s">
        <v>1356</v>
      </c>
      <c r="H557">
        <v>265</v>
      </c>
      <c r="I557" s="2">
        <v>279</v>
      </c>
      <c r="J557" s="2" t="s">
        <v>764</v>
      </c>
      <c r="K557" s="2" t="s">
        <v>352</v>
      </c>
      <c r="L557" s="2">
        <v>4.0999999999999996</v>
      </c>
      <c r="M557" s="2">
        <v>893</v>
      </c>
      <c r="P557" t="str">
        <f t="shared" si="35"/>
        <v>5%</v>
      </c>
      <c r="Q557" s="12">
        <f t="shared" si="32"/>
        <v>0.05</v>
      </c>
      <c r="R557" s="9">
        <f t="shared" si="33"/>
        <v>265.05</v>
      </c>
      <c r="S557" s="9">
        <f>IF(R557="",AVERAGEIF(Table1[Category],Table1[[#This Row],[Category]],Table2[orignal data]),Table2[[#This Row],[orignal data]])</f>
        <v>265.05</v>
      </c>
      <c r="T557" t="str">
        <f t="shared" si="34"/>
        <v>UNIQUE</v>
      </c>
      <c r="U557" t="str">
        <f>IF(ISBLANK(Table1[[#This Row],[SizeOption]]),"NOT AVAILABLE",Table1[[#This Row],[SizeOption]])</f>
        <v>S, M, L</v>
      </c>
      <c r="Y557" t="str">
        <f>IF(Table2[[#This Row],[Column1]]&gt;50%,"HIGH DISCOUNT","LOW DISCOUNT")</f>
        <v>LOW DISCOUNT</v>
      </c>
    </row>
    <row r="558" spans="1:25" x14ac:dyDescent="0.25">
      <c r="A558" s="1" t="s">
        <v>1357</v>
      </c>
      <c r="B558" s="1">
        <v>10341691</v>
      </c>
      <c r="C558" s="1" t="s">
        <v>22</v>
      </c>
      <c r="D558" s="1" t="s">
        <v>28</v>
      </c>
      <c r="E558" s="1" t="s">
        <v>29</v>
      </c>
      <c r="F558" s="1" t="s">
        <v>17</v>
      </c>
      <c r="G558" s="1" t="s">
        <v>1358</v>
      </c>
      <c r="H558">
        <v>725</v>
      </c>
      <c r="I558" s="1">
        <v>1649</v>
      </c>
      <c r="J558" s="1" t="s">
        <v>1204</v>
      </c>
      <c r="K558" s="1" t="s">
        <v>90</v>
      </c>
      <c r="L558" s="1">
        <v>4</v>
      </c>
      <c r="M558" s="1">
        <v>893</v>
      </c>
      <c r="P558" t="str">
        <f t="shared" si="35"/>
        <v>56%</v>
      </c>
      <c r="Q558" s="12">
        <f t="shared" si="32"/>
        <v>0.56000000000000005</v>
      </c>
      <c r="R558" s="9">
        <f t="shared" si="33"/>
        <v>725.56</v>
      </c>
      <c r="S558" s="9">
        <f>IF(R558="",AVERAGEIF(Table1[Category],Table1[[#This Row],[Category]],Table2[orignal data]),Table2[[#This Row],[orignal data]])</f>
        <v>725.56</v>
      </c>
      <c r="T558" t="str">
        <f t="shared" si="34"/>
        <v>UNIQUE</v>
      </c>
      <c r="U558" t="str">
        <f>IF(ISBLANK(Table1[[#This Row],[SizeOption]]),"NOT AVAILABLE",Table1[[#This Row],[SizeOption]])</f>
        <v>39, 40, 42, 44</v>
      </c>
      <c r="Y558" t="str">
        <f>IF(Table2[[#This Row],[Column1]]&gt;50%,"HIGH DISCOUNT","LOW DISCOUNT")</f>
        <v>HIGH DISCOUNT</v>
      </c>
    </row>
    <row r="559" spans="1:25" x14ac:dyDescent="0.25">
      <c r="A559" s="2" t="s">
        <v>1359</v>
      </c>
      <c r="B559" s="2">
        <v>11632492</v>
      </c>
      <c r="C559" s="2" t="s">
        <v>14</v>
      </c>
      <c r="D559" s="2" t="s">
        <v>28</v>
      </c>
      <c r="E559" s="2" t="s">
        <v>42</v>
      </c>
      <c r="F559" s="2" t="s">
        <v>17</v>
      </c>
      <c r="G559" s="2" t="s">
        <v>1360</v>
      </c>
      <c r="H559">
        <v>274</v>
      </c>
      <c r="I559" s="2">
        <v>499</v>
      </c>
      <c r="J559" s="2" t="s">
        <v>19</v>
      </c>
      <c r="K559" s="2" t="s">
        <v>45</v>
      </c>
      <c r="L559" s="2">
        <v>4.2</v>
      </c>
      <c r="M559" s="2">
        <v>893</v>
      </c>
      <c r="P559" t="str">
        <f t="shared" si="35"/>
        <v>45%</v>
      </c>
      <c r="Q559" s="12">
        <f t="shared" si="32"/>
        <v>0.45</v>
      </c>
      <c r="R559" s="9">
        <f t="shared" si="33"/>
        <v>274.45</v>
      </c>
      <c r="S559" s="9">
        <f>IF(R559="",AVERAGEIF(Table1[Category],Table1[[#This Row],[Category]],Table2[orignal data]),Table2[[#This Row],[orignal data]])</f>
        <v>274.45</v>
      </c>
      <c r="T559" t="str">
        <f t="shared" si="34"/>
        <v>UNIQUE</v>
      </c>
      <c r="U559" t="str">
        <f>IF(ISBLANK(Table1[[#This Row],[SizeOption]]),"NOT AVAILABLE",Table1[[#This Row],[SizeOption]])</f>
        <v>XS, S, M, L, XL</v>
      </c>
      <c r="Y559" t="str">
        <f>IF(Table2[[#This Row],[Column1]]&gt;50%,"HIGH DISCOUNT","LOW DISCOUNT")</f>
        <v>LOW DISCOUNT</v>
      </c>
    </row>
    <row r="560" spans="1:25" x14ac:dyDescent="0.25">
      <c r="A560" s="1" t="s">
        <v>1361</v>
      </c>
      <c r="B560" s="1">
        <v>8160645</v>
      </c>
      <c r="C560" s="1" t="s">
        <v>290</v>
      </c>
      <c r="D560" s="1" t="s">
        <v>41</v>
      </c>
      <c r="E560" s="1" t="s">
        <v>48</v>
      </c>
      <c r="F560" s="1" t="s">
        <v>36</v>
      </c>
      <c r="G560" s="1" t="s">
        <v>1362</v>
      </c>
      <c r="I560" s="1">
        <v>1699</v>
      </c>
      <c r="J560" s="1" t="s">
        <v>84</v>
      </c>
      <c r="K560" s="1" t="s">
        <v>45</v>
      </c>
      <c r="L560" s="1">
        <v>4.3</v>
      </c>
      <c r="M560" s="1">
        <v>893</v>
      </c>
      <c r="P560" t="str">
        <f t="shared" si="35"/>
        <v>50%</v>
      </c>
      <c r="Q560" s="12">
        <f t="shared" si="32"/>
        <v>0.5</v>
      </c>
      <c r="R560" s="9">
        <f t="shared" si="33"/>
        <v>849.5</v>
      </c>
      <c r="S560" s="9">
        <f>IF(R560="",AVERAGEIF(Table1[Category],Table1[[#This Row],[Category]],Table2[orignal data]),Table2[[#This Row],[orignal data]])</f>
        <v>849.5</v>
      </c>
      <c r="T560" t="str">
        <f t="shared" si="34"/>
        <v>UNIQUE</v>
      </c>
      <c r="U560" t="str">
        <f>IF(ISBLANK(Table1[[#This Row],[SizeOption]]),"NOT AVAILABLE",Table1[[#This Row],[SizeOption]])</f>
        <v>XS, S, M, L, XL</v>
      </c>
      <c r="Y560" t="str">
        <f>IF(Table2[[#This Row],[Column1]]&gt;50%,"HIGH DISCOUNT","LOW DISCOUNT")</f>
        <v>LOW DISCOUNT</v>
      </c>
    </row>
    <row r="561" spans="1:25" x14ac:dyDescent="0.25">
      <c r="A561" s="2" t="s">
        <v>1363</v>
      </c>
      <c r="B561" s="2">
        <v>17384212</v>
      </c>
      <c r="C561" s="2" t="s">
        <v>14</v>
      </c>
      <c r="D561" s="2" t="s">
        <v>41</v>
      </c>
      <c r="E561" s="2" t="s">
        <v>42</v>
      </c>
      <c r="F561" s="2" t="s">
        <v>36</v>
      </c>
      <c r="G561" s="2" t="s">
        <v>1364</v>
      </c>
      <c r="I561" s="2">
        <v>1398</v>
      </c>
      <c r="J561" s="2"/>
      <c r="K561" s="2" t="s">
        <v>45</v>
      </c>
      <c r="L561" s="2">
        <v>4.0999999999999996</v>
      </c>
      <c r="M561" s="2">
        <v>893</v>
      </c>
      <c r="P561" t="str">
        <f t="shared" si="35"/>
        <v/>
      </c>
      <c r="Q561" s="12" t="str">
        <f t="shared" si="32"/>
        <v/>
      </c>
      <c r="R561" s="9" t="str">
        <f t="shared" si="33"/>
        <v/>
      </c>
      <c r="S561" s="9">
        <f>IF(R561="",AVERAGEIF(Table1[Category],Table1[[#This Row],[Category]],Table2[orignal data]),Table2[[#This Row],[orignal data]])</f>
        <v>715.78890751086249</v>
      </c>
      <c r="T561" t="str">
        <f t="shared" si="34"/>
        <v>UNIQUE</v>
      </c>
      <c r="U561" t="str">
        <f>IF(ISBLANK(Table1[[#This Row],[SizeOption]]),"NOT AVAILABLE",Table1[[#This Row],[SizeOption]])</f>
        <v>XS, S, M, L, XL</v>
      </c>
      <c r="Y561" t="str">
        <f>IF(Table2[[#This Row],[Column1]]&gt;50%,"HIGH DISCOUNT","LOW DISCOUNT")</f>
        <v>HIGH DISCOUNT</v>
      </c>
    </row>
    <row r="562" spans="1:25" x14ac:dyDescent="0.25">
      <c r="A562" s="1" t="s">
        <v>1365</v>
      </c>
      <c r="B562" s="1">
        <v>7572940</v>
      </c>
      <c r="C562" s="1" t="s">
        <v>92</v>
      </c>
      <c r="D562" s="1" t="s">
        <v>76</v>
      </c>
      <c r="E562" s="1" t="s">
        <v>77</v>
      </c>
      <c r="F562" s="1" t="s">
        <v>36</v>
      </c>
      <c r="G562" s="1" t="s">
        <v>1366</v>
      </c>
      <c r="H562">
        <v>1559</v>
      </c>
      <c r="I562" s="1">
        <v>3249</v>
      </c>
      <c r="J562" s="1" t="s">
        <v>208</v>
      </c>
      <c r="K562" s="1" t="s">
        <v>39</v>
      </c>
      <c r="L562" s="1">
        <v>4.0999999999999996</v>
      </c>
      <c r="M562" s="1">
        <v>892</v>
      </c>
      <c r="P562" t="str">
        <f t="shared" si="35"/>
        <v>52%</v>
      </c>
      <c r="Q562" s="12">
        <f t="shared" si="32"/>
        <v>0.52</v>
      </c>
      <c r="R562" s="9">
        <f t="shared" si="33"/>
        <v>1559.52</v>
      </c>
      <c r="S562" s="9">
        <f>IF(R562="",AVERAGEIF(Table1[Category],Table1[[#This Row],[Category]],Table2[orignal data]),Table2[[#This Row],[orignal data]])</f>
        <v>1559.52</v>
      </c>
      <c r="T562" t="str">
        <f t="shared" si="34"/>
        <v>UNIQUE</v>
      </c>
      <c r="U562" t="str">
        <f>IF(ISBLANK(Table1[[#This Row],[SizeOption]]),"NOT AVAILABLE",Table1[[#This Row],[SizeOption]])</f>
        <v>S, M, L, XL, XXL</v>
      </c>
      <c r="Y562" t="str">
        <f>IF(Table2[[#This Row],[Column1]]&gt;50%,"HIGH DISCOUNT","LOW DISCOUNT")</f>
        <v>HIGH DISCOUNT</v>
      </c>
    </row>
    <row r="563" spans="1:25" x14ac:dyDescent="0.25">
      <c r="A563" s="2" t="s">
        <v>1367</v>
      </c>
      <c r="B563" s="2">
        <v>12331848</v>
      </c>
      <c r="C563" s="2" t="s">
        <v>1003</v>
      </c>
      <c r="D563" s="2" t="s">
        <v>41</v>
      </c>
      <c r="E563" s="2" t="s">
        <v>42</v>
      </c>
      <c r="F563" s="2" t="s">
        <v>36</v>
      </c>
      <c r="G563" s="2" t="s">
        <v>1368</v>
      </c>
      <c r="I563" s="2">
        <v>449</v>
      </c>
      <c r="J563" s="2" t="s">
        <v>1369</v>
      </c>
      <c r="K563" s="2" t="s">
        <v>100</v>
      </c>
      <c r="L563" s="2">
        <v>4.4000000000000004</v>
      </c>
      <c r="M563" s="2">
        <v>892</v>
      </c>
      <c r="P563" t="str">
        <f t="shared" si="35"/>
        <v>38</v>
      </c>
      <c r="Q563" s="12">
        <f t="shared" si="32"/>
        <v>8.4632516703786187E-2</v>
      </c>
      <c r="R563" s="9">
        <f t="shared" si="33"/>
        <v>411</v>
      </c>
      <c r="S563" s="9">
        <f>IF(R563="",AVERAGEIF(Table1[Category],Table1[[#This Row],[Category]],Table2[orignal data]),Table2[[#This Row],[orignal data]])</f>
        <v>411</v>
      </c>
      <c r="T563" t="str">
        <f t="shared" si="34"/>
        <v>UNIQUE</v>
      </c>
      <c r="U563" t="str">
        <f>IF(ISBLANK(Table1[[#This Row],[SizeOption]]),"NOT AVAILABLE",Table1[[#This Row],[SizeOption]])</f>
        <v>XS, S, M, L, XL, XXL, 3XL</v>
      </c>
      <c r="Y563" t="str">
        <f>IF(Table2[[#This Row],[Column1]]&gt;50%,"HIGH DISCOUNT","LOW DISCOUNT")</f>
        <v>LOW DISCOUNT</v>
      </c>
    </row>
    <row r="564" spans="1:25" x14ac:dyDescent="0.25">
      <c r="A564" s="1" t="s">
        <v>1370</v>
      </c>
      <c r="B564" s="1">
        <v>13070348</v>
      </c>
      <c r="C564" s="1" t="s">
        <v>420</v>
      </c>
      <c r="D564" s="1" t="s">
        <v>28</v>
      </c>
      <c r="E564" s="1" t="s">
        <v>306</v>
      </c>
      <c r="F564" s="1" t="s">
        <v>17</v>
      </c>
      <c r="G564" s="1" t="s">
        <v>1371</v>
      </c>
      <c r="H564">
        <v>730</v>
      </c>
      <c r="I564" s="1">
        <v>1699</v>
      </c>
      <c r="J564" s="1" t="s">
        <v>130</v>
      </c>
      <c r="K564" s="1" t="s">
        <v>26</v>
      </c>
      <c r="L564" s="1">
        <v>4.3</v>
      </c>
      <c r="M564" s="1">
        <v>891</v>
      </c>
      <c r="P564" t="str">
        <f t="shared" si="35"/>
        <v>57%</v>
      </c>
      <c r="Q564" s="12">
        <f t="shared" si="32"/>
        <v>0.56999999999999995</v>
      </c>
      <c r="R564" s="9">
        <f t="shared" si="33"/>
        <v>730.57</v>
      </c>
      <c r="S564" s="9">
        <f>IF(R564="",AVERAGEIF(Table1[Category],Table1[[#This Row],[Category]],Table2[orignal data]),Table2[[#This Row],[orignal data]])</f>
        <v>730.57</v>
      </c>
      <c r="T564" t="str">
        <f t="shared" si="34"/>
        <v>UNIQUE</v>
      </c>
      <c r="U564" t="str">
        <f>IF(ISBLANK(Table1[[#This Row],[SizeOption]]),"NOT AVAILABLE",Table1[[#This Row],[SizeOption]])</f>
        <v>S, M, L, XL</v>
      </c>
      <c r="Y564" t="str">
        <f>IF(Table2[[#This Row],[Column1]]&gt;50%,"HIGH DISCOUNT","LOW DISCOUNT")</f>
        <v>HIGH DISCOUNT</v>
      </c>
    </row>
    <row r="565" spans="1:25" x14ac:dyDescent="0.25">
      <c r="A565" s="2" t="s">
        <v>1372</v>
      </c>
      <c r="B565" s="2">
        <v>10759302</v>
      </c>
      <c r="C565" s="2" t="s">
        <v>14</v>
      </c>
      <c r="D565" s="2" t="s">
        <v>28</v>
      </c>
      <c r="E565" s="2" t="s">
        <v>29</v>
      </c>
      <c r="F565" s="2" t="s">
        <v>17</v>
      </c>
      <c r="G565" s="2" t="s">
        <v>1373</v>
      </c>
      <c r="H565">
        <v>1199</v>
      </c>
      <c r="I565" s="2">
        <v>1999</v>
      </c>
      <c r="J565" s="2" t="s">
        <v>50</v>
      </c>
      <c r="K565" s="2" t="s">
        <v>253</v>
      </c>
      <c r="L565" s="2">
        <v>4.3</v>
      </c>
      <c r="M565" s="2">
        <v>891</v>
      </c>
      <c r="P565" t="str">
        <f t="shared" si="35"/>
        <v>40%</v>
      </c>
      <c r="Q565" s="12">
        <f t="shared" si="32"/>
        <v>0.4</v>
      </c>
      <c r="R565" s="9">
        <f t="shared" si="33"/>
        <v>1199.4000000000001</v>
      </c>
      <c r="S565" s="9">
        <f>IF(R565="",AVERAGEIF(Table1[Category],Table1[[#This Row],[Category]],Table2[orignal data]),Table2[[#This Row],[orignal data]])</f>
        <v>1199.4000000000001</v>
      </c>
      <c r="T565" t="str">
        <f t="shared" si="34"/>
        <v>UNIQUE</v>
      </c>
      <c r="U565" t="str">
        <f>IF(ISBLANK(Table1[[#This Row],[SizeOption]]),"NOT AVAILABLE",Table1[[#This Row],[SizeOption]])</f>
        <v>38, 40, 42, 44</v>
      </c>
      <c r="Y565" t="str">
        <f>IF(Table2[[#This Row],[Column1]]&gt;50%,"HIGH DISCOUNT","LOW DISCOUNT")</f>
        <v>LOW DISCOUNT</v>
      </c>
    </row>
    <row r="566" spans="1:25" x14ac:dyDescent="0.25">
      <c r="A566" s="1" t="s">
        <v>1374</v>
      </c>
      <c r="B566" s="1">
        <v>11117398</v>
      </c>
      <c r="C566" s="1" t="s">
        <v>1375</v>
      </c>
      <c r="D566" s="1" t="s">
        <v>76</v>
      </c>
      <c r="E566" s="1" t="s">
        <v>320</v>
      </c>
      <c r="F566" s="1" t="s">
        <v>36</v>
      </c>
      <c r="G566" s="1" t="s">
        <v>1376</v>
      </c>
      <c r="H566">
        <v>1399</v>
      </c>
      <c r="I566" s="1">
        <v>4999</v>
      </c>
      <c r="J566" s="1" t="s">
        <v>1377</v>
      </c>
      <c r="K566" s="1" t="s">
        <v>164</v>
      </c>
      <c r="L566" s="1">
        <v>4.2</v>
      </c>
      <c r="M566" s="1">
        <v>891</v>
      </c>
      <c r="P566" t="str">
        <f t="shared" si="35"/>
        <v>72%</v>
      </c>
      <c r="Q566" s="12">
        <f t="shared" si="32"/>
        <v>0.72</v>
      </c>
      <c r="R566" s="9">
        <f t="shared" si="33"/>
        <v>1399.7200000000003</v>
      </c>
      <c r="S566" s="9">
        <f>IF(R566="",AVERAGEIF(Table1[Category],Table1[[#This Row],[Category]],Table2[orignal data]),Table2[[#This Row],[orignal data]])</f>
        <v>1399.7200000000003</v>
      </c>
      <c r="T566" t="str">
        <f t="shared" si="34"/>
        <v>UNIQUE</v>
      </c>
      <c r="U566" t="str">
        <f>IF(ISBLANK(Table1[[#This Row],[SizeOption]]),"NOT AVAILABLE",Table1[[#This Row],[SizeOption]])</f>
        <v>Onesize</v>
      </c>
      <c r="Y566" t="str">
        <f>IF(Table2[[#This Row],[Column1]]&gt;50%,"HIGH DISCOUNT","LOW DISCOUNT")</f>
        <v>HIGH DISCOUNT</v>
      </c>
    </row>
    <row r="567" spans="1:25" x14ac:dyDescent="0.25">
      <c r="A567" s="2" t="s">
        <v>1378</v>
      </c>
      <c r="B567" s="2">
        <v>10967126</v>
      </c>
      <c r="C567" s="2" t="s">
        <v>107</v>
      </c>
      <c r="D567" s="2" t="s">
        <v>41</v>
      </c>
      <c r="E567" s="2" t="s">
        <v>579</v>
      </c>
      <c r="F567" s="2" t="s">
        <v>36</v>
      </c>
      <c r="G567" s="2" t="s">
        <v>1379</v>
      </c>
      <c r="I567" s="2">
        <v>1399</v>
      </c>
      <c r="J567" s="2" t="s">
        <v>150</v>
      </c>
      <c r="K567" s="2" t="s">
        <v>134</v>
      </c>
      <c r="L567" s="2">
        <v>4.0999999999999996</v>
      </c>
      <c r="M567" s="2">
        <v>891</v>
      </c>
      <c r="P567" t="str">
        <f t="shared" si="35"/>
        <v>65%</v>
      </c>
      <c r="Q567" s="12">
        <f t="shared" si="32"/>
        <v>0.65</v>
      </c>
      <c r="R567" s="9">
        <f t="shared" si="33"/>
        <v>489.65</v>
      </c>
      <c r="S567" s="9">
        <f>IF(R567="",AVERAGEIF(Table1[Category],Table1[[#This Row],[Category]],Table2[orignal data]),Table2[[#This Row],[orignal data]])</f>
        <v>489.65</v>
      </c>
      <c r="T567" t="str">
        <f t="shared" si="34"/>
        <v>UNIQUE</v>
      </c>
      <c r="U567" t="str">
        <f>IF(ISBLANK(Table1[[#This Row],[SizeOption]]),"NOT AVAILABLE",Table1[[#This Row],[SizeOption]])</f>
        <v>26, 28, 30, 32, 34, 36</v>
      </c>
      <c r="Y567" t="str">
        <f>IF(Table2[[#This Row],[Column1]]&gt;50%,"HIGH DISCOUNT","LOW DISCOUNT")</f>
        <v>HIGH DISCOUNT</v>
      </c>
    </row>
    <row r="568" spans="1:25" x14ac:dyDescent="0.25">
      <c r="A568" s="1" t="s">
        <v>1380</v>
      </c>
      <c r="B568" s="1">
        <v>17383532</v>
      </c>
      <c r="C568" s="1" t="s">
        <v>14</v>
      </c>
      <c r="D568" s="1" t="s">
        <v>41</v>
      </c>
      <c r="E568" s="1" t="s">
        <v>42</v>
      </c>
      <c r="F568" s="1" t="s">
        <v>36</v>
      </c>
      <c r="G568" s="1" t="s">
        <v>1381</v>
      </c>
      <c r="I568" s="1">
        <v>1598</v>
      </c>
      <c r="J568" s="1" t="s">
        <v>84</v>
      </c>
      <c r="K568" s="1" t="s">
        <v>1234</v>
      </c>
      <c r="L568" s="1">
        <v>4.4000000000000004</v>
      </c>
      <c r="M568" s="1">
        <v>891</v>
      </c>
      <c r="P568" t="str">
        <f t="shared" si="35"/>
        <v>50%</v>
      </c>
      <c r="Q568" s="12">
        <f t="shared" si="32"/>
        <v>0.5</v>
      </c>
      <c r="R568" s="9">
        <f t="shared" si="33"/>
        <v>799</v>
      </c>
      <c r="S568" s="9">
        <f>IF(R568="",AVERAGEIF(Table1[Category],Table1[[#This Row],[Category]],Table2[orignal data]),Table2[[#This Row],[orignal data]])</f>
        <v>799</v>
      </c>
      <c r="T568" t="str">
        <f t="shared" si="34"/>
        <v>UNIQUE</v>
      </c>
      <c r="U568" t="str">
        <f>IF(ISBLANK(Table1[[#This Row],[SizeOption]]),"NOT AVAILABLE",Table1[[#This Row],[SizeOption]])</f>
        <v>XL, L, M, S, XS</v>
      </c>
      <c r="Y568" t="str">
        <f>IF(Table2[[#This Row],[Column1]]&gt;50%,"HIGH DISCOUNT","LOW DISCOUNT")</f>
        <v>LOW DISCOUNT</v>
      </c>
    </row>
    <row r="569" spans="1:25" x14ac:dyDescent="0.25">
      <c r="A569" s="2" t="s">
        <v>1382</v>
      </c>
      <c r="B569" s="2">
        <v>4444122</v>
      </c>
      <c r="C569" s="2" t="s">
        <v>67</v>
      </c>
      <c r="D569" s="2" t="s">
        <v>41</v>
      </c>
      <c r="E569" s="2" t="s">
        <v>23</v>
      </c>
      <c r="F569" s="2" t="s">
        <v>36</v>
      </c>
      <c r="G569" s="2" t="s">
        <v>1383</v>
      </c>
      <c r="I569" s="2">
        <v>2099</v>
      </c>
      <c r="J569" s="2" t="s">
        <v>150</v>
      </c>
      <c r="K569" s="2" t="s">
        <v>45</v>
      </c>
      <c r="L569" s="2">
        <v>4</v>
      </c>
      <c r="M569" s="2">
        <v>891</v>
      </c>
      <c r="P569" t="str">
        <f t="shared" si="35"/>
        <v>65%</v>
      </c>
      <c r="Q569" s="12">
        <f t="shared" si="32"/>
        <v>0.65</v>
      </c>
      <c r="R569" s="9">
        <f t="shared" si="33"/>
        <v>734.64999999999986</v>
      </c>
      <c r="S569" s="9">
        <f>IF(R569="",AVERAGEIF(Table1[Category],Table1[[#This Row],[Category]],Table2[orignal data]),Table2[[#This Row],[orignal data]])</f>
        <v>734.64999999999986</v>
      </c>
      <c r="T569" t="str">
        <f t="shared" si="34"/>
        <v>UNIQUE</v>
      </c>
      <c r="U569" t="str">
        <f>IF(ISBLANK(Table1[[#This Row],[SizeOption]]),"NOT AVAILABLE",Table1[[#This Row],[SizeOption]])</f>
        <v>XS, S, M, L, XL</v>
      </c>
      <c r="Y569" t="str">
        <f>IF(Table2[[#This Row],[Column1]]&gt;50%,"HIGH DISCOUNT","LOW DISCOUNT")</f>
        <v>HIGH DISCOUNT</v>
      </c>
    </row>
    <row r="570" spans="1:25" x14ac:dyDescent="0.25">
      <c r="A570" s="1" t="s">
        <v>1384</v>
      </c>
      <c r="B570" s="1">
        <v>8317537</v>
      </c>
      <c r="C570" s="1" t="s">
        <v>1385</v>
      </c>
      <c r="D570" s="1" t="s">
        <v>41</v>
      </c>
      <c r="E570" s="1" t="s">
        <v>16</v>
      </c>
      <c r="F570" s="1" t="s">
        <v>36</v>
      </c>
      <c r="G570" s="1" t="s">
        <v>1386</v>
      </c>
      <c r="I570" s="1">
        <v>2299</v>
      </c>
      <c r="J570" s="1" t="s">
        <v>84</v>
      </c>
      <c r="K570" s="1" t="s">
        <v>428</v>
      </c>
      <c r="L570" s="1">
        <v>4.3</v>
      </c>
      <c r="M570" s="1">
        <v>891</v>
      </c>
      <c r="P570" t="str">
        <f t="shared" si="35"/>
        <v>50%</v>
      </c>
      <c r="Q570" s="12">
        <f t="shared" si="32"/>
        <v>0.5</v>
      </c>
      <c r="R570" s="9">
        <f t="shared" si="33"/>
        <v>1149.5</v>
      </c>
      <c r="S570" s="9">
        <f>IF(R570="",AVERAGEIF(Table1[Category],Table1[[#This Row],[Category]],Table2[orignal data]),Table2[[#This Row],[orignal data]])</f>
        <v>1149.5</v>
      </c>
      <c r="T570" t="str">
        <f t="shared" si="34"/>
        <v>UNIQUE</v>
      </c>
      <c r="U570" t="str">
        <f>IF(ISBLANK(Table1[[#This Row],[SizeOption]]),"NOT AVAILABLE",Table1[[#This Row],[SizeOption]])</f>
        <v>26, 28, 30, 32, 34</v>
      </c>
      <c r="Y570" t="str">
        <f>IF(Table2[[#This Row],[Column1]]&gt;50%,"HIGH DISCOUNT","LOW DISCOUNT")</f>
        <v>LOW DISCOUNT</v>
      </c>
    </row>
    <row r="571" spans="1:25" x14ac:dyDescent="0.25">
      <c r="A571" s="2" t="s">
        <v>1387</v>
      </c>
      <c r="B571" s="2">
        <v>10856364</v>
      </c>
      <c r="C571" s="2" t="s">
        <v>181</v>
      </c>
      <c r="D571" s="2" t="s">
        <v>41</v>
      </c>
      <c r="E571" s="2" t="s">
        <v>148</v>
      </c>
      <c r="F571" s="2" t="s">
        <v>36</v>
      </c>
      <c r="G571" s="2" t="s">
        <v>1388</v>
      </c>
      <c r="I571" s="2">
        <v>2399</v>
      </c>
      <c r="J571" s="2" t="s">
        <v>1204</v>
      </c>
      <c r="K571" s="2" t="s">
        <v>115</v>
      </c>
      <c r="L571" s="2">
        <v>4.3</v>
      </c>
      <c r="M571" s="2">
        <v>891</v>
      </c>
      <c r="P571" t="str">
        <f t="shared" si="35"/>
        <v>56%</v>
      </c>
      <c r="Q571" s="12">
        <f t="shared" si="32"/>
        <v>0.56000000000000005</v>
      </c>
      <c r="R571" s="9">
        <f t="shared" si="33"/>
        <v>1055.56</v>
      </c>
      <c r="S571" s="9">
        <f>IF(R571="",AVERAGEIF(Table1[Category],Table1[[#This Row],[Category]],Table2[orignal data]),Table2[[#This Row],[orignal data]])</f>
        <v>1055.56</v>
      </c>
      <c r="T571" t="str">
        <f t="shared" si="34"/>
        <v>UNIQUE</v>
      </c>
      <c r="U571" t="str">
        <f>IF(ISBLANK(Table1[[#This Row],[SizeOption]]),"NOT AVAILABLE",Table1[[#This Row],[SizeOption]])</f>
        <v>XS, S, M, L, XL, XXL</v>
      </c>
      <c r="Y571" t="str">
        <f>IF(Table2[[#This Row],[Column1]]&gt;50%,"HIGH DISCOUNT","LOW DISCOUNT")</f>
        <v>HIGH DISCOUNT</v>
      </c>
    </row>
    <row r="572" spans="1:25" x14ac:dyDescent="0.25">
      <c r="A572" s="1" t="s">
        <v>1389</v>
      </c>
      <c r="B572" s="1">
        <v>2367846</v>
      </c>
      <c r="C572" s="1" t="s">
        <v>14</v>
      </c>
      <c r="D572" s="1" t="s">
        <v>41</v>
      </c>
      <c r="E572" s="1" t="s">
        <v>579</v>
      </c>
      <c r="F572" s="1" t="s">
        <v>36</v>
      </c>
      <c r="G572" s="1" t="s">
        <v>1390</v>
      </c>
      <c r="I572" s="1">
        <v>1999</v>
      </c>
      <c r="J572" s="1"/>
      <c r="K572" s="1" t="s">
        <v>134</v>
      </c>
      <c r="L572" s="1">
        <v>4.2</v>
      </c>
      <c r="M572" s="1">
        <v>891</v>
      </c>
      <c r="P572" t="str">
        <f t="shared" si="35"/>
        <v/>
      </c>
      <c r="Q572" s="12" t="str">
        <f t="shared" si="32"/>
        <v/>
      </c>
      <c r="R572" s="9" t="str">
        <f t="shared" si="33"/>
        <v/>
      </c>
      <c r="S572" s="9">
        <f>IF(R572="",AVERAGEIF(Table1[Category],Table1[[#This Row],[Category]],Table2[orignal data]),Table2[[#This Row],[orignal data]])</f>
        <v>715.78890751086249</v>
      </c>
      <c r="T572" t="str">
        <f t="shared" si="34"/>
        <v>UNIQUE</v>
      </c>
      <c r="U572" t="str">
        <f>IF(ISBLANK(Table1[[#This Row],[SizeOption]]),"NOT AVAILABLE",Table1[[#This Row],[SizeOption]])</f>
        <v>26, 28, 30, 32, 34, 36</v>
      </c>
      <c r="Y572" t="str">
        <f>IF(Table2[[#This Row],[Column1]]&gt;50%,"HIGH DISCOUNT","LOW DISCOUNT")</f>
        <v>HIGH DISCOUNT</v>
      </c>
    </row>
    <row r="573" spans="1:25" x14ac:dyDescent="0.25">
      <c r="A573" s="2" t="s">
        <v>1391</v>
      </c>
      <c r="B573" s="2">
        <v>8988447</v>
      </c>
      <c r="C573" s="2" t="s">
        <v>52</v>
      </c>
      <c r="D573" s="2" t="s">
        <v>28</v>
      </c>
      <c r="E573" s="2" t="s">
        <v>29</v>
      </c>
      <c r="F573" s="2" t="s">
        <v>17</v>
      </c>
      <c r="G573" s="2" t="s">
        <v>1392</v>
      </c>
      <c r="H573">
        <v>751</v>
      </c>
      <c r="I573" s="2">
        <v>1599</v>
      </c>
      <c r="J573" s="2" t="s">
        <v>89</v>
      </c>
      <c r="K573" s="2" t="s">
        <v>90</v>
      </c>
      <c r="L573" s="2">
        <v>4</v>
      </c>
      <c r="M573" s="2">
        <v>890</v>
      </c>
      <c r="P573" t="str">
        <f t="shared" si="35"/>
        <v>53%</v>
      </c>
      <c r="Q573" s="12">
        <f t="shared" si="32"/>
        <v>0.53</v>
      </c>
      <c r="R573" s="9">
        <f t="shared" si="33"/>
        <v>751.53</v>
      </c>
      <c r="S573" s="9">
        <f>IF(R573="",AVERAGEIF(Table1[Category],Table1[[#This Row],[Category]],Table2[orignal data]),Table2[[#This Row],[orignal data]])</f>
        <v>751.53</v>
      </c>
      <c r="T573" t="str">
        <f t="shared" si="34"/>
        <v>UNIQUE</v>
      </c>
      <c r="U573" t="str">
        <f>IF(ISBLANK(Table1[[#This Row],[SizeOption]]),"NOT AVAILABLE",Table1[[#This Row],[SizeOption]])</f>
        <v>39, 40, 42, 44</v>
      </c>
      <c r="Y573" t="str">
        <f>IF(Table2[[#This Row],[Column1]]&gt;50%,"HIGH DISCOUNT","LOW DISCOUNT")</f>
        <v>HIGH DISCOUNT</v>
      </c>
    </row>
    <row r="574" spans="1:25" x14ac:dyDescent="0.25">
      <c r="A574" s="1" t="s">
        <v>1393</v>
      </c>
      <c r="B574" s="1">
        <v>11896318</v>
      </c>
      <c r="C574" s="1" t="s">
        <v>14</v>
      </c>
      <c r="D574" s="1" t="s">
        <v>28</v>
      </c>
      <c r="E574" s="1" t="s">
        <v>29</v>
      </c>
      <c r="F574" s="1" t="s">
        <v>17</v>
      </c>
      <c r="G574" s="1" t="s">
        <v>1394</v>
      </c>
      <c r="H574">
        <v>989</v>
      </c>
      <c r="I574" s="1">
        <v>2199</v>
      </c>
      <c r="J574" s="1" t="s">
        <v>25</v>
      </c>
      <c r="K574" s="1" t="s">
        <v>253</v>
      </c>
      <c r="L574" s="1">
        <v>4.0999999999999996</v>
      </c>
      <c r="M574" s="1">
        <v>890</v>
      </c>
      <c r="P574" t="str">
        <f t="shared" si="35"/>
        <v>55%</v>
      </c>
      <c r="Q574" s="12">
        <f t="shared" si="32"/>
        <v>0.55000000000000004</v>
      </c>
      <c r="R574" s="9">
        <f t="shared" si="33"/>
        <v>989.55</v>
      </c>
      <c r="S574" s="9">
        <f>IF(R574="",AVERAGEIF(Table1[Category],Table1[[#This Row],[Category]],Table2[orignal data]),Table2[[#This Row],[orignal data]])</f>
        <v>989.55</v>
      </c>
      <c r="T574" t="str">
        <f t="shared" si="34"/>
        <v>UNIQUE</v>
      </c>
      <c r="U574" t="str">
        <f>IF(ISBLANK(Table1[[#This Row],[SizeOption]]),"NOT AVAILABLE",Table1[[#This Row],[SizeOption]])</f>
        <v>38, 40, 42, 44</v>
      </c>
      <c r="Y574" t="str">
        <f>IF(Table2[[#This Row],[Column1]]&gt;50%,"HIGH DISCOUNT","LOW DISCOUNT")</f>
        <v>HIGH DISCOUNT</v>
      </c>
    </row>
    <row r="575" spans="1:25" x14ac:dyDescent="0.25">
      <c r="A575" s="2" t="s">
        <v>1395</v>
      </c>
      <c r="B575" s="2">
        <v>13932876</v>
      </c>
      <c r="C575" s="2" t="s">
        <v>232</v>
      </c>
      <c r="D575" s="2" t="s">
        <v>76</v>
      </c>
      <c r="E575" s="2" t="s">
        <v>93</v>
      </c>
      <c r="F575" s="2" t="s">
        <v>36</v>
      </c>
      <c r="G575" s="2" t="s">
        <v>1396</v>
      </c>
      <c r="H575">
        <v>989</v>
      </c>
      <c r="I575" s="2">
        <v>2199</v>
      </c>
      <c r="J575" s="2" t="s">
        <v>25</v>
      </c>
      <c r="K575" s="2" t="s">
        <v>234</v>
      </c>
      <c r="L575" s="2">
        <v>4.3</v>
      </c>
      <c r="M575" s="2">
        <v>890</v>
      </c>
      <c r="P575" t="str">
        <f t="shared" si="35"/>
        <v>55%</v>
      </c>
      <c r="Q575" s="12">
        <f t="shared" si="32"/>
        <v>0.55000000000000004</v>
      </c>
      <c r="R575" s="9">
        <f t="shared" si="33"/>
        <v>989.55</v>
      </c>
      <c r="S575" s="9">
        <f>IF(R575="",AVERAGEIF(Table1[Category],Table1[[#This Row],[Category]],Table2[orignal data]),Table2[[#This Row],[orignal data]])</f>
        <v>989.55</v>
      </c>
      <c r="T575" t="str">
        <f t="shared" si="34"/>
        <v>UNIQUE</v>
      </c>
      <c r="U575" t="str">
        <f>IF(ISBLANK(Table1[[#This Row],[SizeOption]]),"NOT AVAILABLE",Table1[[#This Row],[SizeOption]])</f>
        <v>S, M, L, XL, XXL, 3XL</v>
      </c>
      <c r="Y575" t="str">
        <f>IF(Table2[[#This Row],[Column1]]&gt;50%,"HIGH DISCOUNT","LOW DISCOUNT")</f>
        <v>HIGH DISCOUNT</v>
      </c>
    </row>
    <row r="576" spans="1:25" x14ac:dyDescent="0.25">
      <c r="A576" s="1" t="s">
        <v>1397</v>
      </c>
      <c r="B576" s="1">
        <v>27502</v>
      </c>
      <c r="C576" s="1" t="s">
        <v>349</v>
      </c>
      <c r="D576" s="1" t="s">
        <v>34</v>
      </c>
      <c r="E576" s="1" t="s">
        <v>118</v>
      </c>
      <c r="F576" s="1" t="s">
        <v>36</v>
      </c>
      <c r="G576" s="1" t="s">
        <v>1398</v>
      </c>
      <c r="I576" s="1">
        <v>429</v>
      </c>
      <c r="J576" s="1"/>
      <c r="K576" s="1" t="s">
        <v>1399</v>
      </c>
      <c r="L576" s="1">
        <v>4.5</v>
      </c>
      <c r="M576" s="1">
        <v>890</v>
      </c>
      <c r="P576" t="str">
        <f t="shared" si="35"/>
        <v/>
      </c>
      <c r="Q576" s="12" t="str">
        <f t="shared" si="32"/>
        <v/>
      </c>
      <c r="R576" s="9" t="str">
        <f t="shared" si="33"/>
        <v/>
      </c>
      <c r="S576" s="9">
        <f>IF(R576="",AVERAGEIF(Table1[Category],Table1[[#This Row],[Category]],Table2[orignal data]),Table2[[#This Row],[orignal data]])</f>
        <v>608.88518518518481</v>
      </c>
      <c r="T576" t="str">
        <f t="shared" si="34"/>
        <v>UNIQUE</v>
      </c>
      <c r="U576" t="str">
        <f>IF(ISBLANK(Table1[[#This Row],[SizeOption]]),"NOT AVAILABLE",Table1[[#This Row],[SizeOption]])</f>
        <v>32A, 32B, 32C, 34A, 34B, 34C, 36A, 36B, 36C, 38A, 38B, 38C</v>
      </c>
      <c r="Y576" t="str">
        <f>IF(Table2[[#This Row],[Column1]]&gt;50%,"HIGH DISCOUNT","LOW DISCOUNT")</f>
        <v>HIGH DISCOUNT</v>
      </c>
    </row>
    <row r="577" spans="1:25" x14ac:dyDescent="0.25">
      <c r="A577" s="2" t="s">
        <v>1400</v>
      </c>
      <c r="B577" s="2">
        <v>782817</v>
      </c>
      <c r="C577" s="2" t="s">
        <v>410</v>
      </c>
      <c r="D577" s="2" t="s">
        <v>34</v>
      </c>
      <c r="E577" s="2" t="s">
        <v>296</v>
      </c>
      <c r="F577" s="2" t="s">
        <v>36</v>
      </c>
      <c r="G577" s="2" t="s">
        <v>1401</v>
      </c>
      <c r="H577">
        <v>485</v>
      </c>
      <c r="I577" s="2">
        <v>607</v>
      </c>
      <c r="J577" s="2" t="s">
        <v>412</v>
      </c>
      <c r="K577" s="2" t="s">
        <v>39</v>
      </c>
      <c r="L577" s="2">
        <v>3.8</v>
      </c>
      <c r="M577" s="2">
        <v>890</v>
      </c>
      <c r="P577" t="str">
        <f t="shared" si="35"/>
        <v>20%</v>
      </c>
      <c r="Q577" s="12">
        <f t="shared" si="32"/>
        <v>0.2</v>
      </c>
      <c r="R577" s="9">
        <f t="shared" si="33"/>
        <v>485.6</v>
      </c>
      <c r="S577" s="9">
        <f>IF(R577="",AVERAGEIF(Table1[Category],Table1[[#This Row],[Category]],Table2[orignal data]),Table2[[#This Row],[orignal data]])</f>
        <v>485.6</v>
      </c>
      <c r="T577" t="str">
        <f t="shared" si="34"/>
        <v>UNIQUE</v>
      </c>
      <c r="U577" t="str">
        <f>IF(ISBLANK(Table1[[#This Row],[SizeOption]]),"NOT AVAILABLE",Table1[[#This Row],[SizeOption]])</f>
        <v>S, M, L, XL, XXL</v>
      </c>
      <c r="Y577" t="str">
        <f>IF(Table2[[#This Row],[Column1]]&gt;50%,"HIGH DISCOUNT","LOW DISCOUNT")</f>
        <v>LOW DISCOUNT</v>
      </c>
    </row>
    <row r="578" spans="1:25" x14ac:dyDescent="0.25">
      <c r="A578" s="1" t="s">
        <v>1402</v>
      </c>
      <c r="B578" s="1">
        <v>6521613</v>
      </c>
      <c r="C578" s="1" t="s">
        <v>221</v>
      </c>
      <c r="D578" s="1" t="s">
        <v>98</v>
      </c>
      <c r="E578" s="1" t="s">
        <v>48</v>
      </c>
      <c r="F578" s="1" t="s">
        <v>36</v>
      </c>
      <c r="G578" s="1" t="s">
        <v>1403</v>
      </c>
      <c r="H578">
        <v>554</v>
      </c>
      <c r="I578" s="1">
        <v>1849</v>
      </c>
      <c r="J578" s="1" t="s">
        <v>79</v>
      </c>
      <c r="K578" s="1" t="s">
        <v>223</v>
      </c>
      <c r="L578" s="1">
        <v>3.8</v>
      </c>
      <c r="M578" s="1">
        <v>890</v>
      </c>
      <c r="P578" t="str">
        <f t="shared" si="35"/>
        <v>70%</v>
      </c>
      <c r="Q578" s="12">
        <f t="shared" ref="Q578:Q641" si="36">IF(P578="","",IF(ISNUMBER(SEARCH("%",P578)),P578,P578/I578)*100%)</f>
        <v>0.7</v>
      </c>
      <c r="R578" s="9">
        <f t="shared" ref="R578:R641" si="37">IF(P578="","",I578-(I578*Q578))</f>
        <v>554.70000000000005</v>
      </c>
      <c r="S578" s="9">
        <f>IF(R578="",AVERAGEIF(Table1[Category],Table1[[#This Row],[Category]],Table2[orignal data]),Table2[[#This Row],[orignal data]])</f>
        <v>554.70000000000005</v>
      </c>
      <c r="T578" t="str">
        <f t="shared" ref="T578:T641" si="38">IF(COUNTIF($B$2:$B$5000,B578)&gt;1,"DUPLICATE","UNIQUE")</f>
        <v>UNIQUE</v>
      </c>
      <c r="U578" t="str">
        <f>IF(ISBLANK(Table1[[#This Row],[SizeOption]]),"NOT AVAILABLE",Table1[[#This Row],[SizeOption]])</f>
        <v>S, M, L, XL, XXL, 3XL, 4XL</v>
      </c>
      <c r="Y578" t="str">
        <f>IF(Table2[[#This Row],[Column1]]&gt;50%,"HIGH DISCOUNT","LOW DISCOUNT")</f>
        <v>HIGH DISCOUNT</v>
      </c>
    </row>
    <row r="579" spans="1:25" x14ac:dyDescent="0.25">
      <c r="A579" s="2" t="s">
        <v>1404</v>
      </c>
      <c r="B579" s="2">
        <v>17384820</v>
      </c>
      <c r="C579" s="2" t="s">
        <v>14</v>
      </c>
      <c r="D579" s="2" t="s">
        <v>41</v>
      </c>
      <c r="E579" s="2" t="s">
        <v>42</v>
      </c>
      <c r="F579" s="2" t="s">
        <v>36</v>
      </c>
      <c r="G579" s="2" t="s">
        <v>1405</v>
      </c>
      <c r="I579" s="2">
        <v>1398</v>
      </c>
      <c r="J579" s="2" t="s">
        <v>84</v>
      </c>
      <c r="K579" s="2" t="s">
        <v>45</v>
      </c>
      <c r="L579" s="2">
        <v>4.4000000000000004</v>
      </c>
      <c r="M579" s="2">
        <v>890</v>
      </c>
      <c r="P579" t="str">
        <f t="shared" ref="P579:P642" si="39">TRIM(SUBSTITUTE(SUBSTITUTE(SUBSTITUTE(SUBSTITUTE(J579,"OFF",""),"Rs.",""),"Hurry*",""),",",""))</f>
        <v>50%</v>
      </c>
      <c r="Q579" s="12">
        <f t="shared" si="36"/>
        <v>0.5</v>
      </c>
      <c r="R579" s="9">
        <f t="shared" si="37"/>
        <v>699</v>
      </c>
      <c r="S579" s="9">
        <f>IF(R579="",AVERAGEIF(Table1[Category],Table1[[#This Row],[Category]],Table2[orignal data]),Table2[[#This Row],[orignal data]])</f>
        <v>699</v>
      </c>
      <c r="T579" t="str">
        <f t="shared" si="38"/>
        <v>UNIQUE</v>
      </c>
      <c r="U579" t="str">
        <f>IF(ISBLANK(Table1[[#This Row],[SizeOption]]),"NOT AVAILABLE",Table1[[#This Row],[SizeOption]])</f>
        <v>XS, S, M, L, XL</v>
      </c>
      <c r="Y579" t="str">
        <f>IF(Table2[[#This Row],[Column1]]&gt;50%,"HIGH DISCOUNT","LOW DISCOUNT")</f>
        <v>LOW DISCOUNT</v>
      </c>
    </row>
    <row r="580" spans="1:25" x14ac:dyDescent="0.25">
      <c r="A580" s="1" t="s">
        <v>1406</v>
      </c>
      <c r="B580" s="1">
        <v>7287261</v>
      </c>
      <c r="C580" s="1" t="s">
        <v>290</v>
      </c>
      <c r="D580" s="1" t="s">
        <v>41</v>
      </c>
      <c r="E580" s="1" t="s">
        <v>48</v>
      </c>
      <c r="F580" s="1" t="s">
        <v>36</v>
      </c>
      <c r="G580" s="1" t="s">
        <v>1407</v>
      </c>
      <c r="I580" s="1">
        <v>1499</v>
      </c>
      <c r="J580" s="1" t="s">
        <v>84</v>
      </c>
      <c r="K580" s="1" t="s">
        <v>45</v>
      </c>
      <c r="L580" s="1">
        <v>4.3</v>
      </c>
      <c r="M580" s="1">
        <v>890</v>
      </c>
      <c r="P580" t="str">
        <f t="shared" si="39"/>
        <v>50%</v>
      </c>
      <c r="Q580" s="12">
        <f t="shared" si="36"/>
        <v>0.5</v>
      </c>
      <c r="R580" s="9">
        <f t="shared" si="37"/>
        <v>749.5</v>
      </c>
      <c r="S580" s="9">
        <f>IF(R580="",AVERAGEIF(Table1[Category],Table1[[#This Row],[Category]],Table2[orignal data]),Table2[[#This Row],[orignal data]])</f>
        <v>749.5</v>
      </c>
      <c r="T580" t="str">
        <f t="shared" si="38"/>
        <v>UNIQUE</v>
      </c>
      <c r="U580" t="str">
        <f>IF(ISBLANK(Table1[[#This Row],[SizeOption]]),"NOT AVAILABLE",Table1[[#This Row],[SizeOption]])</f>
        <v>XS, S, M, L, XL</v>
      </c>
      <c r="Y580" t="str">
        <f>IF(Table2[[#This Row],[Column1]]&gt;50%,"HIGH DISCOUNT","LOW DISCOUNT")</f>
        <v>LOW DISCOUNT</v>
      </c>
    </row>
    <row r="581" spans="1:25" x14ac:dyDescent="0.25">
      <c r="A581" s="2" t="s">
        <v>1408</v>
      </c>
      <c r="B581" s="2">
        <v>8282019</v>
      </c>
      <c r="C581" s="2" t="s">
        <v>107</v>
      </c>
      <c r="D581" s="2" t="s">
        <v>41</v>
      </c>
      <c r="E581" s="2" t="s">
        <v>48</v>
      </c>
      <c r="F581" s="2" t="s">
        <v>36</v>
      </c>
      <c r="G581" s="2" t="s">
        <v>1409</v>
      </c>
      <c r="I581" s="2">
        <v>1499</v>
      </c>
      <c r="J581" s="2" t="s">
        <v>25</v>
      </c>
      <c r="K581" s="2" t="s">
        <v>45</v>
      </c>
      <c r="L581" s="2">
        <v>4.2</v>
      </c>
      <c r="M581" s="2">
        <v>890</v>
      </c>
      <c r="P581" t="str">
        <f t="shared" si="39"/>
        <v>55%</v>
      </c>
      <c r="Q581" s="12">
        <f t="shared" si="36"/>
        <v>0.55000000000000004</v>
      </c>
      <c r="R581" s="9">
        <f t="shared" si="37"/>
        <v>674.55</v>
      </c>
      <c r="S581" s="9">
        <f>IF(R581="",AVERAGEIF(Table1[Category],Table1[[#This Row],[Category]],Table2[orignal data]),Table2[[#This Row],[orignal data]])</f>
        <v>674.55</v>
      </c>
      <c r="T581" t="str">
        <f t="shared" si="38"/>
        <v>UNIQUE</v>
      </c>
      <c r="U581" t="str">
        <f>IF(ISBLANK(Table1[[#This Row],[SizeOption]]),"NOT AVAILABLE",Table1[[#This Row],[SizeOption]])</f>
        <v>XS, S, M, L, XL</v>
      </c>
      <c r="Y581" t="str">
        <f>IF(Table2[[#This Row],[Column1]]&gt;50%,"HIGH DISCOUNT","LOW DISCOUNT")</f>
        <v>HIGH DISCOUNT</v>
      </c>
    </row>
    <row r="582" spans="1:25" x14ac:dyDescent="0.25">
      <c r="A582" s="1" t="s">
        <v>1410</v>
      </c>
      <c r="B582" s="1">
        <v>9345953</v>
      </c>
      <c r="C582" s="1" t="s">
        <v>271</v>
      </c>
      <c r="D582" s="1" t="s">
        <v>76</v>
      </c>
      <c r="E582" s="1" t="s">
        <v>1411</v>
      </c>
      <c r="F582" s="1" t="s">
        <v>36</v>
      </c>
      <c r="G582" s="1" t="s">
        <v>1412</v>
      </c>
      <c r="H582">
        <v>494</v>
      </c>
      <c r="I582" s="1">
        <v>1099</v>
      </c>
      <c r="J582" s="1" t="s">
        <v>25</v>
      </c>
      <c r="K582" s="1" t="s">
        <v>164</v>
      </c>
      <c r="L582" s="1">
        <v>4.5999999999999996</v>
      </c>
      <c r="M582" s="1">
        <v>889</v>
      </c>
      <c r="P582" t="str">
        <f t="shared" si="39"/>
        <v>55%</v>
      </c>
      <c r="Q582" s="12">
        <f t="shared" si="36"/>
        <v>0.55000000000000004</v>
      </c>
      <c r="R582" s="9">
        <f t="shared" si="37"/>
        <v>494.54999999999995</v>
      </c>
      <c r="S582" s="9">
        <f>IF(R582="",AVERAGEIF(Table1[Category],Table1[[#This Row],[Category]],Table2[orignal data]),Table2[[#This Row],[orignal data]])</f>
        <v>494.54999999999995</v>
      </c>
      <c r="T582" t="str">
        <f t="shared" si="38"/>
        <v>UNIQUE</v>
      </c>
      <c r="U582" t="str">
        <f>IF(ISBLANK(Table1[[#This Row],[SizeOption]]),"NOT AVAILABLE",Table1[[#This Row],[SizeOption]])</f>
        <v>Onesize</v>
      </c>
      <c r="Y582" t="str">
        <f>IF(Table2[[#This Row],[Column1]]&gt;50%,"HIGH DISCOUNT","LOW DISCOUNT")</f>
        <v>HIGH DISCOUNT</v>
      </c>
    </row>
    <row r="583" spans="1:25" x14ac:dyDescent="0.25">
      <c r="A583" s="2" t="s">
        <v>1413</v>
      </c>
      <c r="B583" s="2">
        <v>10264741</v>
      </c>
      <c r="C583" s="2" t="s">
        <v>545</v>
      </c>
      <c r="D583" s="2" t="s">
        <v>76</v>
      </c>
      <c r="E583" s="2" t="s">
        <v>320</v>
      </c>
      <c r="F583" s="2" t="s">
        <v>36</v>
      </c>
      <c r="G583" s="2" t="s">
        <v>1414</v>
      </c>
      <c r="H583">
        <v>881</v>
      </c>
      <c r="I583" s="2">
        <v>2099</v>
      </c>
      <c r="J583" s="2" t="s">
        <v>60</v>
      </c>
      <c r="K583" s="2" t="s">
        <v>164</v>
      </c>
      <c r="L583" s="2">
        <v>4.3</v>
      </c>
      <c r="M583" s="2">
        <v>889</v>
      </c>
      <c r="P583" t="str">
        <f t="shared" si="39"/>
        <v>58%</v>
      </c>
      <c r="Q583" s="12">
        <f t="shared" si="36"/>
        <v>0.57999999999999996</v>
      </c>
      <c r="R583" s="9">
        <f t="shared" si="37"/>
        <v>881.58000000000015</v>
      </c>
      <c r="S583" s="9">
        <f>IF(R583="",AVERAGEIF(Table1[Category],Table1[[#This Row],[Category]],Table2[orignal data]),Table2[[#This Row],[orignal data]])</f>
        <v>881.58000000000015</v>
      </c>
      <c r="T583" t="str">
        <f t="shared" si="38"/>
        <v>UNIQUE</v>
      </c>
      <c r="U583" t="str">
        <f>IF(ISBLANK(Table1[[#This Row],[SizeOption]]),"NOT AVAILABLE",Table1[[#This Row],[SizeOption]])</f>
        <v>Onesize</v>
      </c>
      <c r="Y583" t="str">
        <f>IF(Table2[[#This Row],[Column1]]&gt;50%,"HIGH DISCOUNT","LOW DISCOUNT")</f>
        <v>HIGH DISCOUNT</v>
      </c>
    </row>
    <row r="584" spans="1:25" x14ac:dyDescent="0.25">
      <c r="A584" s="1" t="s">
        <v>1415</v>
      </c>
      <c r="B584" s="1">
        <v>11966466</v>
      </c>
      <c r="C584" s="1" t="s">
        <v>676</v>
      </c>
      <c r="D584" s="1" t="s">
        <v>41</v>
      </c>
      <c r="E584" s="1" t="s">
        <v>48</v>
      </c>
      <c r="F584" s="1" t="s">
        <v>36</v>
      </c>
      <c r="G584" s="1" t="s">
        <v>1416</v>
      </c>
      <c r="I584" s="1">
        <v>1299</v>
      </c>
      <c r="J584" s="1" t="s">
        <v>25</v>
      </c>
      <c r="K584" s="1" t="s">
        <v>26</v>
      </c>
      <c r="L584" s="1">
        <v>4.2</v>
      </c>
      <c r="M584" s="1">
        <v>889</v>
      </c>
      <c r="P584" t="str">
        <f t="shared" si="39"/>
        <v>55%</v>
      </c>
      <c r="Q584" s="12">
        <f t="shared" si="36"/>
        <v>0.55000000000000004</v>
      </c>
      <c r="R584" s="9">
        <f t="shared" si="37"/>
        <v>584.54999999999995</v>
      </c>
      <c r="S584" s="9">
        <f>IF(R584="",AVERAGEIF(Table1[Category],Table1[[#This Row],[Category]],Table2[orignal data]),Table2[[#This Row],[orignal data]])</f>
        <v>584.54999999999995</v>
      </c>
      <c r="T584" t="str">
        <f t="shared" si="38"/>
        <v>UNIQUE</v>
      </c>
      <c r="U584" t="str">
        <f>IF(ISBLANK(Table1[[#This Row],[SizeOption]]),"NOT AVAILABLE",Table1[[#This Row],[SizeOption]])</f>
        <v>S, M, L, XL</v>
      </c>
      <c r="Y584" t="str">
        <f>IF(Table2[[#This Row],[Column1]]&gt;50%,"HIGH DISCOUNT","LOW DISCOUNT")</f>
        <v>HIGH DISCOUNT</v>
      </c>
    </row>
    <row r="585" spans="1:25" x14ac:dyDescent="0.25">
      <c r="A585" s="2" t="s">
        <v>1417</v>
      </c>
      <c r="B585" s="2">
        <v>13191668</v>
      </c>
      <c r="C585" s="2" t="s">
        <v>887</v>
      </c>
      <c r="D585" s="2" t="s">
        <v>41</v>
      </c>
      <c r="E585" s="2" t="s">
        <v>148</v>
      </c>
      <c r="F585" s="2" t="s">
        <v>36</v>
      </c>
      <c r="G585" s="2" t="s">
        <v>1418</v>
      </c>
      <c r="I585" s="2">
        <v>1798</v>
      </c>
      <c r="J585" s="2" t="s">
        <v>606</v>
      </c>
      <c r="K585" s="2" t="s">
        <v>26</v>
      </c>
      <c r="L585" s="2">
        <v>4.4000000000000004</v>
      </c>
      <c r="M585" s="2">
        <v>889</v>
      </c>
      <c r="P585" t="str">
        <f t="shared" si="39"/>
        <v>54%</v>
      </c>
      <c r="Q585" s="12">
        <f t="shared" si="36"/>
        <v>0.54</v>
      </c>
      <c r="R585" s="9">
        <f t="shared" si="37"/>
        <v>827.07999999999993</v>
      </c>
      <c r="S585" s="9">
        <f>IF(R585="",AVERAGEIF(Table1[Category],Table1[[#This Row],[Category]],Table2[orignal data]),Table2[[#This Row],[orignal data]])</f>
        <v>827.07999999999993</v>
      </c>
      <c r="T585" t="str">
        <f t="shared" si="38"/>
        <v>UNIQUE</v>
      </c>
      <c r="U585" t="str">
        <f>IF(ISBLANK(Table1[[#This Row],[SizeOption]]),"NOT AVAILABLE",Table1[[#This Row],[SizeOption]])</f>
        <v>S, M, L, XL</v>
      </c>
      <c r="Y585" t="str">
        <f>IF(Table2[[#This Row],[Column1]]&gt;50%,"HIGH DISCOUNT","LOW DISCOUNT")</f>
        <v>HIGH DISCOUNT</v>
      </c>
    </row>
    <row r="586" spans="1:25" x14ac:dyDescent="0.25">
      <c r="A586" s="1" t="s">
        <v>1419</v>
      </c>
      <c r="B586" s="1">
        <v>17384032</v>
      </c>
      <c r="C586" s="1" t="s">
        <v>14</v>
      </c>
      <c r="D586" s="1" t="s">
        <v>41</v>
      </c>
      <c r="E586" s="1" t="s">
        <v>42</v>
      </c>
      <c r="F586" s="1" t="s">
        <v>36</v>
      </c>
      <c r="G586" s="1" t="s">
        <v>696</v>
      </c>
      <c r="I586" s="1">
        <v>1298</v>
      </c>
      <c r="J586" s="1"/>
      <c r="K586" s="1" t="s">
        <v>146</v>
      </c>
      <c r="L586" s="1">
        <v>4.3</v>
      </c>
      <c r="M586" s="1">
        <v>889</v>
      </c>
      <c r="P586" t="str">
        <f t="shared" si="39"/>
        <v/>
      </c>
      <c r="Q586" s="12" t="str">
        <f t="shared" si="36"/>
        <v/>
      </c>
      <c r="R586" s="9" t="str">
        <f t="shared" si="37"/>
        <v/>
      </c>
      <c r="S586" s="9">
        <f>IF(R586="",AVERAGEIF(Table1[Category],Table1[[#This Row],[Category]],Table2[orignal data]),Table2[[#This Row],[orignal data]])</f>
        <v>715.78890751086249</v>
      </c>
      <c r="T586" t="str">
        <f t="shared" si="38"/>
        <v>UNIQUE</v>
      </c>
      <c r="U586" t="str">
        <f>IF(ISBLANK(Table1[[#This Row],[SizeOption]]),"NOT AVAILABLE",Table1[[#This Row],[SizeOption]])</f>
        <v>L, M, S, XS, XL</v>
      </c>
      <c r="Y586" t="str">
        <f>IF(Table2[[#This Row],[Column1]]&gt;50%,"HIGH DISCOUNT","LOW DISCOUNT")</f>
        <v>HIGH DISCOUNT</v>
      </c>
    </row>
    <row r="587" spans="1:25" x14ac:dyDescent="0.25">
      <c r="A587" s="2" t="s">
        <v>1420</v>
      </c>
      <c r="B587" s="2">
        <v>3077230</v>
      </c>
      <c r="C587" s="2" t="s">
        <v>52</v>
      </c>
      <c r="D587" s="2" t="s">
        <v>15</v>
      </c>
      <c r="E587" s="2" t="s">
        <v>16</v>
      </c>
      <c r="F587" s="2" t="s">
        <v>17</v>
      </c>
      <c r="G587" s="2" t="s">
        <v>1421</v>
      </c>
      <c r="H587">
        <v>849</v>
      </c>
      <c r="I587" s="2">
        <v>1699</v>
      </c>
      <c r="J587" s="2" t="s">
        <v>84</v>
      </c>
      <c r="K587" s="2" t="s">
        <v>816</v>
      </c>
      <c r="L587" s="2">
        <v>3.6</v>
      </c>
      <c r="M587" s="2">
        <v>888</v>
      </c>
      <c r="P587" t="str">
        <f t="shared" si="39"/>
        <v>50%</v>
      </c>
      <c r="Q587" s="12">
        <f t="shared" si="36"/>
        <v>0.5</v>
      </c>
      <c r="R587" s="9">
        <f t="shared" si="37"/>
        <v>849.5</v>
      </c>
      <c r="S587" s="9">
        <f>IF(R587="",AVERAGEIF(Table1[Category],Table1[[#This Row],[Category]],Table2[orignal data]),Table2[[#This Row],[orignal data]])</f>
        <v>849.5</v>
      </c>
      <c r="T587" t="str">
        <f t="shared" si="38"/>
        <v>UNIQUE</v>
      </c>
      <c r="U587" t="str">
        <f>IF(ISBLANK(Table1[[#This Row],[SizeOption]]),"NOT AVAILABLE",Table1[[#This Row],[SizeOption]])</f>
        <v>30, 32, 34, 36, 38</v>
      </c>
      <c r="Y587" t="str">
        <f>IF(Table2[[#This Row],[Column1]]&gt;50%,"HIGH DISCOUNT","LOW DISCOUNT")</f>
        <v>LOW DISCOUNT</v>
      </c>
    </row>
    <row r="588" spans="1:25" x14ac:dyDescent="0.25">
      <c r="A588" s="1" t="s">
        <v>1422</v>
      </c>
      <c r="B588" s="1">
        <v>618673</v>
      </c>
      <c r="C588" s="1" t="s">
        <v>47</v>
      </c>
      <c r="D588" s="1" t="s">
        <v>197</v>
      </c>
      <c r="E588" s="1" t="s">
        <v>198</v>
      </c>
      <c r="F588" s="1" t="s">
        <v>17</v>
      </c>
      <c r="G588" s="1" t="s">
        <v>1423</v>
      </c>
      <c r="H588">
        <v>179</v>
      </c>
      <c r="I588" s="1">
        <v>449</v>
      </c>
      <c r="J588" s="1" t="s">
        <v>141</v>
      </c>
      <c r="K588" s="1" t="s">
        <v>164</v>
      </c>
      <c r="L588" s="1">
        <v>4.2</v>
      </c>
      <c r="M588" s="1">
        <v>888</v>
      </c>
      <c r="P588" t="str">
        <f t="shared" si="39"/>
        <v>60%</v>
      </c>
      <c r="Q588" s="12">
        <f t="shared" si="36"/>
        <v>0.6</v>
      </c>
      <c r="R588" s="9">
        <f t="shared" si="37"/>
        <v>179.60000000000002</v>
      </c>
      <c r="S588" s="9">
        <f>IF(R588="",AVERAGEIF(Table1[Category],Table1[[#This Row],[Category]],Table2[orignal data]),Table2[[#This Row],[orignal data]])</f>
        <v>179.60000000000002</v>
      </c>
      <c r="T588" t="str">
        <f t="shared" si="38"/>
        <v>UNIQUE</v>
      </c>
      <c r="U588" t="str">
        <f>IF(ISBLANK(Table1[[#This Row],[SizeOption]]),"NOT AVAILABLE",Table1[[#This Row],[SizeOption]])</f>
        <v>Onesize</v>
      </c>
      <c r="Y588" t="str">
        <f>IF(Table2[[#This Row],[Column1]]&gt;50%,"HIGH DISCOUNT","LOW DISCOUNT")</f>
        <v>HIGH DISCOUNT</v>
      </c>
    </row>
    <row r="589" spans="1:25" x14ac:dyDescent="0.25">
      <c r="A589" s="2" t="s">
        <v>1424</v>
      </c>
      <c r="B589" s="2">
        <v>11080108</v>
      </c>
      <c r="C589" s="2" t="s">
        <v>1179</v>
      </c>
      <c r="D589" s="2" t="s">
        <v>76</v>
      </c>
      <c r="E589" s="2" t="s">
        <v>77</v>
      </c>
      <c r="F589" s="2" t="s">
        <v>36</v>
      </c>
      <c r="G589" s="2" t="s">
        <v>1425</v>
      </c>
      <c r="H589">
        <v>1739</v>
      </c>
      <c r="I589" s="2">
        <v>4460</v>
      </c>
      <c r="J589" s="2" t="s">
        <v>104</v>
      </c>
      <c r="K589" s="2" t="s">
        <v>39</v>
      </c>
      <c r="L589" s="2">
        <v>3.6</v>
      </c>
      <c r="M589" s="2">
        <v>888</v>
      </c>
      <c r="P589" t="str">
        <f t="shared" si="39"/>
        <v>61%</v>
      </c>
      <c r="Q589" s="12">
        <f t="shared" si="36"/>
        <v>0.61</v>
      </c>
      <c r="R589" s="9">
        <f t="shared" si="37"/>
        <v>1739.4</v>
      </c>
      <c r="S589" s="9">
        <f>IF(R589="",AVERAGEIF(Table1[Category],Table1[[#This Row],[Category]],Table2[orignal data]),Table2[[#This Row],[orignal data]])</f>
        <v>1739.4</v>
      </c>
      <c r="T589" t="str">
        <f t="shared" si="38"/>
        <v>UNIQUE</v>
      </c>
      <c r="U589" t="str">
        <f>IF(ISBLANK(Table1[[#This Row],[SizeOption]]),"NOT AVAILABLE",Table1[[#This Row],[SizeOption]])</f>
        <v>S, M, L, XL, XXL</v>
      </c>
      <c r="Y589" t="str">
        <f>IF(Table2[[#This Row],[Column1]]&gt;50%,"HIGH DISCOUNT","LOW DISCOUNT")</f>
        <v>HIGH DISCOUNT</v>
      </c>
    </row>
    <row r="590" spans="1:25" x14ac:dyDescent="0.25">
      <c r="A590" s="1" t="s">
        <v>1426</v>
      </c>
      <c r="B590" s="1">
        <v>12096672</v>
      </c>
      <c r="C590" s="1" t="s">
        <v>405</v>
      </c>
      <c r="D590" s="1" t="s">
        <v>34</v>
      </c>
      <c r="E590" s="1" t="s">
        <v>518</v>
      </c>
      <c r="F590" s="1" t="s">
        <v>36</v>
      </c>
      <c r="G590" s="1" t="s">
        <v>1427</v>
      </c>
      <c r="H590">
        <v>699</v>
      </c>
      <c r="I590" s="1">
        <v>999</v>
      </c>
      <c r="J590" s="1" t="s">
        <v>186</v>
      </c>
      <c r="K590" s="1" t="s">
        <v>26</v>
      </c>
      <c r="L590" s="1">
        <v>4</v>
      </c>
      <c r="M590" s="1">
        <v>888</v>
      </c>
      <c r="P590" t="str">
        <f t="shared" si="39"/>
        <v>30%</v>
      </c>
      <c r="Q590" s="12">
        <f t="shared" si="36"/>
        <v>0.3</v>
      </c>
      <c r="R590" s="9">
        <f t="shared" si="37"/>
        <v>699.3</v>
      </c>
      <c r="S590" s="9">
        <f>IF(R590="",AVERAGEIF(Table1[Category],Table1[[#This Row],[Category]],Table2[orignal data]),Table2[[#This Row],[orignal data]])</f>
        <v>699.3</v>
      </c>
      <c r="T590" t="str">
        <f t="shared" si="38"/>
        <v>UNIQUE</v>
      </c>
      <c r="U590" t="str">
        <f>IF(ISBLANK(Table1[[#This Row],[SizeOption]]),"NOT AVAILABLE",Table1[[#This Row],[SizeOption]])</f>
        <v>S, M, L, XL</v>
      </c>
      <c r="Y590" t="str">
        <f>IF(Table2[[#This Row],[Column1]]&gt;50%,"HIGH DISCOUNT","LOW DISCOUNT")</f>
        <v>LOW DISCOUNT</v>
      </c>
    </row>
    <row r="591" spans="1:25" x14ac:dyDescent="0.25">
      <c r="A591" s="2" t="s">
        <v>1428</v>
      </c>
      <c r="B591" s="2">
        <v>11991406</v>
      </c>
      <c r="C591" s="2" t="s">
        <v>14</v>
      </c>
      <c r="D591" s="2" t="s">
        <v>41</v>
      </c>
      <c r="E591" s="2" t="s">
        <v>306</v>
      </c>
      <c r="F591" s="2" t="s">
        <v>36</v>
      </c>
      <c r="G591" s="2" t="s">
        <v>1429</v>
      </c>
      <c r="I591" s="2">
        <v>1199</v>
      </c>
      <c r="J591" s="2" t="s">
        <v>55</v>
      </c>
      <c r="K591" s="2" t="s">
        <v>115</v>
      </c>
      <c r="L591" s="2">
        <v>4.3</v>
      </c>
      <c r="M591" s="2">
        <v>888</v>
      </c>
      <c r="P591" t="str">
        <f t="shared" si="39"/>
        <v>60%</v>
      </c>
      <c r="Q591" s="12">
        <f t="shared" si="36"/>
        <v>0.6</v>
      </c>
      <c r="R591" s="9">
        <f t="shared" si="37"/>
        <v>479.6</v>
      </c>
      <c r="S591" s="9">
        <f>IF(R591="",AVERAGEIF(Table1[Category],Table1[[#This Row],[Category]],Table2[orignal data]),Table2[[#This Row],[orignal data]])</f>
        <v>479.6</v>
      </c>
      <c r="T591" t="str">
        <f t="shared" si="38"/>
        <v>UNIQUE</v>
      </c>
      <c r="U591" t="str">
        <f>IF(ISBLANK(Table1[[#This Row],[SizeOption]]),"NOT AVAILABLE",Table1[[#This Row],[SizeOption]])</f>
        <v>XS, S, M, L, XL, XXL</v>
      </c>
      <c r="Y591" t="str">
        <f>IF(Table2[[#This Row],[Column1]]&gt;50%,"HIGH DISCOUNT","LOW DISCOUNT")</f>
        <v>HIGH DISCOUNT</v>
      </c>
    </row>
    <row r="592" spans="1:25" x14ac:dyDescent="0.25">
      <c r="A592" s="1" t="s">
        <v>1430</v>
      </c>
      <c r="B592" s="1">
        <v>12222024</v>
      </c>
      <c r="C592" s="1" t="s">
        <v>181</v>
      </c>
      <c r="D592" s="1" t="s">
        <v>41</v>
      </c>
      <c r="E592" s="1" t="s">
        <v>306</v>
      </c>
      <c r="F592" s="1" t="s">
        <v>36</v>
      </c>
      <c r="G592" s="1" t="s">
        <v>1431</v>
      </c>
      <c r="I592" s="1">
        <v>1299</v>
      </c>
      <c r="J592" s="1" t="s">
        <v>84</v>
      </c>
      <c r="K592" s="1" t="s">
        <v>45</v>
      </c>
      <c r="L592" s="1">
        <v>4.0999999999999996</v>
      </c>
      <c r="M592" s="1">
        <v>888</v>
      </c>
      <c r="P592" t="str">
        <f t="shared" si="39"/>
        <v>50%</v>
      </c>
      <c r="Q592" s="12">
        <f t="shared" si="36"/>
        <v>0.5</v>
      </c>
      <c r="R592" s="9">
        <f t="shared" si="37"/>
        <v>649.5</v>
      </c>
      <c r="S592" s="9">
        <f>IF(R592="",AVERAGEIF(Table1[Category],Table1[[#This Row],[Category]],Table2[orignal data]),Table2[[#This Row],[orignal data]])</f>
        <v>649.5</v>
      </c>
      <c r="T592" t="str">
        <f t="shared" si="38"/>
        <v>UNIQUE</v>
      </c>
      <c r="U592" t="str">
        <f>IF(ISBLANK(Table1[[#This Row],[SizeOption]]),"NOT AVAILABLE",Table1[[#This Row],[SizeOption]])</f>
        <v>XS, S, M, L, XL</v>
      </c>
      <c r="Y592" t="str">
        <f>IF(Table2[[#This Row],[Column1]]&gt;50%,"HIGH DISCOUNT","LOW DISCOUNT")</f>
        <v>LOW DISCOUNT</v>
      </c>
    </row>
    <row r="593" spans="1:25" x14ac:dyDescent="0.25">
      <c r="A593" s="2" t="s">
        <v>1432</v>
      </c>
      <c r="B593" s="2">
        <v>10964434</v>
      </c>
      <c r="C593" s="2" t="s">
        <v>14</v>
      </c>
      <c r="D593" s="2" t="s">
        <v>41</v>
      </c>
      <c r="E593" s="2" t="s">
        <v>48</v>
      </c>
      <c r="F593" s="2" t="s">
        <v>36</v>
      </c>
      <c r="G593" s="2" t="s">
        <v>1433</v>
      </c>
      <c r="I593" s="2">
        <v>799</v>
      </c>
      <c r="J593" s="2" t="s">
        <v>55</v>
      </c>
      <c r="K593" s="2" t="s">
        <v>45</v>
      </c>
      <c r="L593" s="2">
        <v>4.2</v>
      </c>
      <c r="M593" s="2">
        <v>888</v>
      </c>
      <c r="P593" t="str">
        <f t="shared" si="39"/>
        <v>60%</v>
      </c>
      <c r="Q593" s="12">
        <f t="shared" si="36"/>
        <v>0.6</v>
      </c>
      <c r="R593" s="9">
        <f t="shared" si="37"/>
        <v>319.60000000000002</v>
      </c>
      <c r="S593" s="9">
        <f>IF(R593="",AVERAGEIF(Table1[Category],Table1[[#This Row],[Category]],Table2[orignal data]),Table2[[#This Row],[orignal data]])</f>
        <v>319.60000000000002</v>
      </c>
      <c r="T593" t="str">
        <f t="shared" si="38"/>
        <v>UNIQUE</v>
      </c>
      <c r="U593" t="str">
        <f>IF(ISBLANK(Table1[[#This Row],[SizeOption]]),"NOT AVAILABLE",Table1[[#This Row],[SizeOption]])</f>
        <v>XS, S, M, L, XL</v>
      </c>
      <c r="Y593" t="str">
        <f>IF(Table2[[#This Row],[Column1]]&gt;50%,"HIGH DISCOUNT","LOW DISCOUNT")</f>
        <v>HIGH DISCOUNT</v>
      </c>
    </row>
    <row r="594" spans="1:25" x14ac:dyDescent="0.25">
      <c r="A594" s="1" t="s">
        <v>1434</v>
      </c>
      <c r="B594" s="1">
        <v>10301079</v>
      </c>
      <c r="C594" s="1" t="s">
        <v>14</v>
      </c>
      <c r="D594" s="1" t="s">
        <v>41</v>
      </c>
      <c r="E594" s="1" t="s">
        <v>42</v>
      </c>
      <c r="F594" s="1" t="s">
        <v>36</v>
      </c>
      <c r="G594" s="1" t="s">
        <v>1435</v>
      </c>
      <c r="I594" s="1">
        <v>999</v>
      </c>
      <c r="J594" s="1" t="s">
        <v>528</v>
      </c>
      <c r="K594" s="1" t="s">
        <v>45</v>
      </c>
      <c r="L594" s="1">
        <v>4.4000000000000004</v>
      </c>
      <c r="M594" s="1">
        <v>888</v>
      </c>
      <c r="P594" t="str">
        <f t="shared" si="39"/>
        <v>500</v>
      </c>
      <c r="Q594" s="12">
        <f t="shared" si="36"/>
        <v>0.50050050050050054</v>
      </c>
      <c r="R594" s="9">
        <f t="shared" si="37"/>
        <v>498.99999999999994</v>
      </c>
      <c r="S594" s="9">
        <f>IF(R594="",AVERAGEIF(Table1[Category],Table1[[#This Row],[Category]],Table2[orignal data]),Table2[[#This Row],[orignal data]])</f>
        <v>498.99999999999994</v>
      </c>
      <c r="T594" t="str">
        <f t="shared" si="38"/>
        <v>UNIQUE</v>
      </c>
      <c r="U594" t="str">
        <f>IF(ISBLANK(Table1[[#This Row],[SizeOption]]),"NOT AVAILABLE",Table1[[#This Row],[SizeOption]])</f>
        <v>XS, S, M, L, XL</v>
      </c>
      <c r="Y594" t="str">
        <f>IF(Table2[[#This Row],[Column1]]&gt;50%,"HIGH DISCOUNT","LOW DISCOUNT")</f>
        <v>HIGH DISCOUNT</v>
      </c>
    </row>
    <row r="595" spans="1:25" x14ac:dyDescent="0.25">
      <c r="A595" s="2" t="s">
        <v>1436</v>
      </c>
      <c r="B595" s="2">
        <v>13842332</v>
      </c>
      <c r="C595" s="2" t="s">
        <v>52</v>
      </c>
      <c r="D595" s="2" t="s">
        <v>15</v>
      </c>
      <c r="E595" s="2" t="s">
        <v>137</v>
      </c>
      <c r="F595" s="2" t="s">
        <v>17</v>
      </c>
      <c r="G595" s="2" t="s">
        <v>1437</v>
      </c>
      <c r="H595">
        <v>374</v>
      </c>
      <c r="I595" s="2">
        <v>749</v>
      </c>
      <c r="J595" s="2" t="s">
        <v>84</v>
      </c>
      <c r="K595" s="2" t="s">
        <v>56</v>
      </c>
      <c r="L595" s="2">
        <v>4.3</v>
      </c>
      <c r="M595" s="2">
        <v>887</v>
      </c>
      <c r="P595" t="str">
        <f t="shared" si="39"/>
        <v>50%</v>
      </c>
      <c r="Q595" s="12">
        <f t="shared" si="36"/>
        <v>0.5</v>
      </c>
      <c r="R595" s="9">
        <f t="shared" si="37"/>
        <v>374.5</v>
      </c>
      <c r="S595" s="9">
        <f>IF(R595="",AVERAGEIF(Table1[Category],Table1[[#This Row],[Category]],Table2[orignal data]),Table2[[#This Row],[orignal data]])</f>
        <v>374.5</v>
      </c>
      <c r="T595" t="str">
        <f t="shared" si="38"/>
        <v>UNIQUE</v>
      </c>
      <c r="U595" t="str">
        <f>IF(ISBLANK(Table1[[#This Row],[SizeOption]]),"NOT AVAILABLE",Table1[[#This Row],[SizeOption]])</f>
        <v>30, 32, 34, 36</v>
      </c>
      <c r="Y595" t="str">
        <f>IF(Table2[[#This Row],[Column1]]&gt;50%,"HIGH DISCOUNT","LOW DISCOUNT")</f>
        <v>LOW DISCOUNT</v>
      </c>
    </row>
    <row r="596" spans="1:25" x14ac:dyDescent="0.25">
      <c r="A596" s="1" t="s">
        <v>1438</v>
      </c>
      <c r="B596" s="1">
        <v>8673407</v>
      </c>
      <c r="C596" s="1" t="s">
        <v>169</v>
      </c>
      <c r="D596" s="1" t="s">
        <v>15</v>
      </c>
      <c r="E596" s="1" t="s">
        <v>16</v>
      </c>
      <c r="F596" s="1" t="s">
        <v>17</v>
      </c>
      <c r="G596" s="1" t="s">
        <v>170</v>
      </c>
      <c r="H596">
        <v>1539</v>
      </c>
      <c r="I596" s="1">
        <v>2799</v>
      </c>
      <c r="J596" s="1" t="s">
        <v>19</v>
      </c>
      <c r="K596" s="1" t="s">
        <v>171</v>
      </c>
      <c r="L596" s="1">
        <v>4</v>
      </c>
      <c r="M596" s="1">
        <v>887</v>
      </c>
      <c r="P596" t="str">
        <f t="shared" si="39"/>
        <v>45%</v>
      </c>
      <c r="Q596" s="12">
        <f t="shared" si="36"/>
        <v>0.45</v>
      </c>
      <c r="R596" s="9">
        <f t="shared" si="37"/>
        <v>1539.45</v>
      </c>
      <c r="S596" s="9">
        <f>IF(R596="",AVERAGEIF(Table1[Category],Table1[[#This Row],[Category]],Table2[orignal data]),Table2[[#This Row],[orignal data]])</f>
        <v>1539.45</v>
      </c>
      <c r="T596" t="str">
        <f t="shared" si="38"/>
        <v>UNIQUE</v>
      </c>
      <c r="U596" t="str">
        <f>IF(ISBLANK(Table1[[#This Row],[SizeOption]]),"NOT AVAILABLE",Table1[[#This Row],[SizeOption]])</f>
        <v>28, 30, 32, 34, 36, 38</v>
      </c>
      <c r="Y596" t="str">
        <f>IF(Table2[[#This Row],[Column1]]&gt;50%,"HIGH DISCOUNT","LOW DISCOUNT")</f>
        <v>LOW DISCOUNT</v>
      </c>
    </row>
    <row r="597" spans="1:25" x14ac:dyDescent="0.25">
      <c r="A597" s="2" t="s">
        <v>1439</v>
      </c>
      <c r="B597" s="2">
        <v>1199568</v>
      </c>
      <c r="C597" s="2" t="s">
        <v>1299</v>
      </c>
      <c r="D597" s="2" t="s">
        <v>15</v>
      </c>
      <c r="E597" s="2" t="s">
        <v>53</v>
      </c>
      <c r="F597" s="2" t="s">
        <v>17</v>
      </c>
      <c r="G597" s="2" t="s">
        <v>1440</v>
      </c>
      <c r="H597">
        <v>899</v>
      </c>
      <c r="I597" s="2">
        <v>1799</v>
      </c>
      <c r="J597" s="2" t="s">
        <v>84</v>
      </c>
      <c r="K597" s="2" t="s">
        <v>56</v>
      </c>
      <c r="L597" s="2">
        <v>4.0999999999999996</v>
      </c>
      <c r="M597" s="2">
        <v>887</v>
      </c>
      <c r="P597" t="str">
        <f t="shared" si="39"/>
        <v>50%</v>
      </c>
      <c r="Q597" s="12">
        <f t="shared" si="36"/>
        <v>0.5</v>
      </c>
      <c r="R597" s="9">
        <f t="shared" si="37"/>
        <v>899.5</v>
      </c>
      <c r="S597" s="9">
        <f>IF(R597="",AVERAGEIF(Table1[Category],Table1[[#This Row],[Category]],Table2[orignal data]),Table2[[#This Row],[orignal data]])</f>
        <v>899.5</v>
      </c>
      <c r="T597" t="str">
        <f t="shared" si="38"/>
        <v>UNIQUE</v>
      </c>
      <c r="U597" t="str">
        <f>IF(ISBLANK(Table1[[#This Row],[SizeOption]]),"NOT AVAILABLE",Table1[[#This Row],[SizeOption]])</f>
        <v>30, 32, 34, 36</v>
      </c>
      <c r="Y597" t="str">
        <f>IF(Table2[[#This Row],[Column1]]&gt;50%,"HIGH DISCOUNT","LOW DISCOUNT")</f>
        <v>LOW DISCOUNT</v>
      </c>
    </row>
    <row r="598" spans="1:25" x14ac:dyDescent="0.25">
      <c r="A598" s="1" t="s">
        <v>1441</v>
      </c>
      <c r="B598" s="1">
        <v>4923947</v>
      </c>
      <c r="C598" s="1" t="s">
        <v>67</v>
      </c>
      <c r="D598" s="1" t="s">
        <v>68</v>
      </c>
      <c r="E598" s="1" t="s">
        <v>189</v>
      </c>
      <c r="F598" s="1" t="s">
        <v>17</v>
      </c>
      <c r="G598" s="1" t="s">
        <v>1442</v>
      </c>
      <c r="I598" s="1">
        <v>2199</v>
      </c>
      <c r="J598" s="1"/>
      <c r="K598" s="1" t="s">
        <v>39</v>
      </c>
      <c r="L598" s="1">
        <v>3.8</v>
      </c>
      <c r="M598" s="1">
        <v>887</v>
      </c>
      <c r="P598" t="str">
        <f t="shared" si="39"/>
        <v/>
      </c>
      <c r="Q598" s="12" t="str">
        <f t="shared" si="36"/>
        <v/>
      </c>
      <c r="R598" s="9" t="str">
        <f t="shared" si="37"/>
        <v/>
      </c>
      <c r="S598" s="9">
        <f>IF(R598="",AVERAGEIF(Table1[Category],Table1[[#This Row],[Category]],Table2[orignal data]),Table2[[#This Row],[orignal data]])</f>
        <v>734.32085365853686</v>
      </c>
      <c r="T598" t="str">
        <f t="shared" si="38"/>
        <v>UNIQUE</v>
      </c>
      <c r="U598" t="str">
        <f>IF(ISBLANK(Table1[[#This Row],[SizeOption]]),"NOT AVAILABLE",Table1[[#This Row],[SizeOption]])</f>
        <v>S, M, L, XL, XXL</v>
      </c>
      <c r="Y598" t="str">
        <f>IF(Table2[[#This Row],[Column1]]&gt;50%,"HIGH DISCOUNT","LOW DISCOUNT")</f>
        <v>HIGH DISCOUNT</v>
      </c>
    </row>
    <row r="599" spans="1:25" x14ac:dyDescent="0.25">
      <c r="A599" s="2" t="s">
        <v>1443</v>
      </c>
      <c r="B599" s="2">
        <v>11009086</v>
      </c>
      <c r="C599" s="2" t="s">
        <v>52</v>
      </c>
      <c r="D599" s="2" t="s">
        <v>28</v>
      </c>
      <c r="E599" s="2" t="s">
        <v>189</v>
      </c>
      <c r="F599" s="2" t="s">
        <v>17</v>
      </c>
      <c r="G599" s="2" t="s">
        <v>1444</v>
      </c>
      <c r="H599">
        <v>1151</v>
      </c>
      <c r="I599" s="2">
        <v>2449</v>
      </c>
      <c r="J599" s="2" t="s">
        <v>89</v>
      </c>
      <c r="K599" s="2" t="s">
        <v>26</v>
      </c>
      <c r="L599" s="2">
        <v>4.0999999999999996</v>
      </c>
      <c r="M599" s="2">
        <v>887</v>
      </c>
      <c r="P599" t="str">
        <f t="shared" si="39"/>
        <v>53%</v>
      </c>
      <c r="Q599" s="12">
        <f t="shared" si="36"/>
        <v>0.53</v>
      </c>
      <c r="R599" s="9">
        <f t="shared" si="37"/>
        <v>1151.03</v>
      </c>
      <c r="S599" s="9">
        <f>IF(R599="",AVERAGEIF(Table1[Category],Table1[[#This Row],[Category]],Table2[orignal data]),Table2[[#This Row],[orignal data]])</f>
        <v>1151.03</v>
      </c>
      <c r="T599" t="str">
        <f t="shared" si="38"/>
        <v>UNIQUE</v>
      </c>
      <c r="U599" t="str">
        <f>IF(ISBLANK(Table1[[#This Row],[SizeOption]]),"NOT AVAILABLE",Table1[[#This Row],[SizeOption]])</f>
        <v>S, M, L, XL</v>
      </c>
      <c r="Y599" t="str">
        <f>IF(Table2[[#This Row],[Column1]]&gt;50%,"HIGH DISCOUNT","LOW DISCOUNT")</f>
        <v>HIGH DISCOUNT</v>
      </c>
    </row>
    <row r="600" spans="1:25" x14ac:dyDescent="0.25">
      <c r="A600" s="1" t="s">
        <v>1445</v>
      </c>
      <c r="B600" s="1">
        <v>4286779</v>
      </c>
      <c r="C600" s="1" t="s">
        <v>52</v>
      </c>
      <c r="D600" s="1" t="s">
        <v>28</v>
      </c>
      <c r="E600" s="1" t="s">
        <v>29</v>
      </c>
      <c r="F600" s="1" t="s">
        <v>17</v>
      </c>
      <c r="G600" s="1" t="s">
        <v>1446</v>
      </c>
      <c r="H600">
        <v>499</v>
      </c>
      <c r="I600" s="1">
        <v>999</v>
      </c>
      <c r="J600" s="1" t="s">
        <v>84</v>
      </c>
      <c r="K600" s="1" t="s">
        <v>90</v>
      </c>
      <c r="L600" s="1">
        <v>4.0999999999999996</v>
      </c>
      <c r="M600" s="1">
        <v>887</v>
      </c>
      <c r="P600" t="str">
        <f t="shared" si="39"/>
        <v>50%</v>
      </c>
      <c r="Q600" s="12">
        <f t="shared" si="36"/>
        <v>0.5</v>
      </c>
      <c r="R600" s="9">
        <f t="shared" si="37"/>
        <v>499.5</v>
      </c>
      <c r="S600" s="9">
        <f>IF(R600="",AVERAGEIF(Table1[Category],Table1[[#This Row],[Category]],Table2[orignal data]),Table2[[#This Row],[orignal data]])</f>
        <v>499.5</v>
      </c>
      <c r="T600" t="str">
        <f t="shared" si="38"/>
        <v>UNIQUE</v>
      </c>
      <c r="U600" t="str">
        <f>IF(ISBLANK(Table1[[#This Row],[SizeOption]]),"NOT AVAILABLE",Table1[[#This Row],[SizeOption]])</f>
        <v>39, 40, 42, 44</v>
      </c>
      <c r="Y600" t="str">
        <f>IF(Table2[[#This Row],[Column1]]&gt;50%,"HIGH DISCOUNT","LOW DISCOUNT")</f>
        <v>LOW DISCOUNT</v>
      </c>
    </row>
    <row r="601" spans="1:25" x14ac:dyDescent="0.25">
      <c r="A601" s="2" t="s">
        <v>1447</v>
      </c>
      <c r="B601" s="2">
        <v>7745356</v>
      </c>
      <c r="C601" s="2" t="s">
        <v>113</v>
      </c>
      <c r="D601" s="2" t="s">
        <v>76</v>
      </c>
      <c r="E601" s="2" t="s">
        <v>148</v>
      </c>
      <c r="F601" s="2" t="s">
        <v>36</v>
      </c>
      <c r="G601" s="2" t="s">
        <v>1448</v>
      </c>
      <c r="H601">
        <v>879</v>
      </c>
      <c r="I601" s="2">
        <v>2199</v>
      </c>
      <c r="J601" s="2" t="s">
        <v>55</v>
      </c>
      <c r="K601" s="2" t="s">
        <v>45</v>
      </c>
      <c r="L601" s="2">
        <v>4.3</v>
      </c>
      <c r="M601" s="2">
        <v>887</v>
      </c>
      <c r="P601" t="str">
        <f t="shared" si="39"/>
        <v>60%</v>
      </c>
      <c r="Q601" s="12">
        <f t="shared" si="36"/>
        <v>0.6</v>
      </c>
      <c r="R601" s="9">
        <f t="shared" si="37"/>
        <v>879.60000000000014</v>
      </c>
      <c r="S601" s="9">
        <f>IF(R601="",AVERAGEIF(Table1[Category],Table1[[#This Row],[Category]],Table2[orignal data]),Table2[[#This Row],[orignal data]])</f>
        <v>879.60000000000014</v>
      </c>
      <c r="T601" t="str">
        <f t="shared" si="38"/>
        <v>UNIQUE</v>
      </c>
      <c r="U601" t="str">
        <f>IF(ISBLANK(Table1[[#This Row],[SizeOption]]),"NOT AVAILABLE",Table1[[#This Row],[SizeOption]])</f>
        <v>XS, S, M, L, XL</v>
      </c>
      <c r="Y601" t="str">
        <f>IF(Table2[[#This Row],[Column1]]&gt;50%,"HIGH DISCOUNT","LOW DISCOUNT")</f>
        <v>HIGH DISCOUNT</v>
      </c>
    </row>
    <row r="602" spans="1:25" x14ac:dyDescent="0.25">
      <c r="A602" s="1" t="s">
        <v>1449</v>
      </c>
      <c r="B602" s="1">
        <v>13647622</v>
      </c>
      <c r="C602" s="1" t="s">
        <v>277</v>
      </c>
      <c r="D602" s="1" t="s">
        <v>76</v>
      </c>
      <c r="E602" s="1" t="s">
        <v>93</v>
      </c>
      <c r="F602" s="1" t="s">
        <v>36</v>
      </c>
      <c r="G602" s="1" t="s">
        <v>1450</v>
      </c>
      <c r="H602">
        <v>1367</v>
      </c>
      <c r="I602" s="1">
        <v>3599</v>
      </c>
      <c r="J602" s="1" t="s">
        <v>126</v>
      </c>
      <c r="K602" s="1" t="s">
        <v>39</v>
      </c>
      <c r="L602" s="1">
        <v>4.3</v>
      </c>
      <c r="M602" s="1">
        <v>887</v>
      </c>
      <c r="P602" t="str">
        <f t="shared" si="39"/>
        <v>62%</v>
      </c>
      <c r="Q602" s="12">
        <f t="shared" si="36"/>
        <v>0.62</v>
      </c>
      <c r="R602" s="9">
        <f t="shared" si="37"/>
        <v>1367.62</v>
      </c>
      <c r="S602" s="9">
        <f>IF(R602="",AVERAGEIF(Table1[Category],Table1[[#This Row],[Category]],Table2[orignal data]),Table2[[#This Row],[orignal data]])</f>
        <v>1367.62</v>
      </c>
      <c r="T602" t="str">
        <f t="shared" si="38"/>
        <v>UNIQUE</v>
      </c>
      <c r="U602" t="str">
        <f>IF(ISBLANK(Table1[[#This Row],[SizeOption]]),"NOT AVAILABLE",Table1[[#This Row],[SizeOption]])</f>
        <v>S, M, L, XL, XXL</v>
      </c>
      <c r="Y602" t="str">
        <f>IF(Table2[[#This Row],[Column1]]&gt;50%,"HIGH DISCOUNT","LOW DISCOUNT")</f>
        <v>HIGH DISCOUNT</v>
      </c>
    </row>
    <row r="603" spans="1:25" x14ac:dyDescent="0.25">
      <c r="A603" s="2" t="s">
        <v>1451</v>
      </c>
      <c r="B603" s="2">
        <v>11704426</v>
      </c>
      <c r="C603" s="2" t="s">
        <v>67</v>
      </c>
      <c r="D603" s="2" t="s">
        <v>41</v>
      </c>
      <c r="E603" s="2" t="s">
        <v>42</v>
      </c>
      <c r="F603" s="2" t="s">
        <v>36</v>
      </c>
      <c r="G603" s="2" t="s">
        <v>1452</v>
      </c>
      <c r="I603" s="2">
        <v>1099</v>
      </c>
      <c r="J603" s="2" t="s">
        <v>55</v>
      </c>
      <c r="K603" s="2" t="s">
        <v>1453</v>
      </c>
      <c r="L603" s="2">
        <v>4.2</v>
      </c>
      <c r="M603" s="2">
        <v>887</v>
      </c>
      <c r="P603" t="str">
        <f t="shared" si="39"/>
        <v>60%</v>
      </c>
      <c r="Q603" s="12">
        <f t="shared" si="36"/>
        <v>0.6</v>
      </c>
      <c r="R603" s="9">
        <f t="shared" si="37"/>
        <v>439.6</v>
      </c>
      <c r="S603" s="9">
        <f>IF(R603="",AVERAGEIF(Table1[Category],Table1[[#This Row],[Category]],Table2[orignal data]),Table2[[#This Row],[orignal data]])</f>
        <v>439.6</v>
      </c>
      <c r="T603" t="str">
        <f t="shared" si="38"/>
        <v>UNIQUE</v>
      </c>
      <c r="U603" t="str">
        <f>IF(ISBLANK(Table1[[#This Row],[SizeOption]]),"NOT AVAILABLE",Table1[[#This Row],[SizeOption]])</f>
        <v>S/M, L/XL</v>
      </c>
      <c r="Y603" t="str">
        <f>IF(Table2[[#This Row],[Column1]]&gt;50%,"HIGH DISCOUNT","LOW DISCOUNT")</f>
        <v>HIGH DISCOUNT</v>
      </c>
    </row>
    <row r="604" spans="1:25" x14ac:dyDescent="0.25">
      <c r="A604" s="1" t="s">
        <v>1454</v>
      </c>
      <c r="B604" s="1">
        <v>11364204</v>
      </c>
      <c r="C604" s="1" t="s">
        <v>181</v>
      </c>
      <c r="D604" s="1" t="s">
        <v>41</v>
      </c>
      <c r="E604" s="1" t="s">
        <v>148</v>
      </c>
      <c r="F604" s="1" t="s">
        <v>36</v>
      </c>
      <c r="G604" s="1" t="s">
        <v>1455</v>
      </c>
      <c r="I604" s="1">
        <v>2399</v>
      </c>
      <c r="J604" s="1" t="s">
        <v>55</v>
      </c>
      <c r="K604" s="1" t="s">
        <v>115</v>
      </c>
      <c r="L604" s="1">
        <v>4.0999999999999996</v>
      </c>
      <c r="M604" s="1">
        <v>887</v>
      </c>
      <c r="P604" t="str">
        <f t="shared" si="39"/>
        <v>60%</v>
      </c>
      <c r="Q604" s="12">
        <f t="shared" si="36"/>
        <v>0.6</v>
      </c>
      <c r="R604" s="9">
        <f t="shared" si="37"/>
        <v>959.60000000000014</v>
      </c>
      <c r="S604" s="9">
        <f>IF(R604="",AVERAGEIF(Table1[Category],Table1[[#This Row],[Category]],Table2[orignal data]),Table2[[#This Row],[orignal data]])</f>
        <v>959.60000000000014</v>
      </c>
      <c r="T604" t="str">
        <f t="shared" si="38"/>
        <v>UNIQUE</v>
      </c>
      <c r="U604" t="str">
        <f>IF(ISBLANK(Table1[[#This Row],[SizeOption]]),"NOT AVAILABLE",Table1[[#This Row],[SizeOption]])</f>
        <v>XS, S, M, L, XL, XXL</v>
      </c>
      <c r="Y604" t="str">
        <f>IF(Table2[[#This Row],[Column1]]&gt;50%,"HIGH DISCOUNT","LOW DISCOUNT")</f>
        <v>HIGH DISCOUNT</v>
      </c>
    </row>
    <row r="605" spans="1:25" x14ac:dyDescent="0.25">
      <c r="A605" s="2" t="s">
        <v>1456</v>
      </c>
      <c r="B605" s="2">
        <v>17383238</v>
      </c>
      <c r="C605" s="2" t="s">
        <v>14</v>
      </c>
      <c r="D605" s="2" t="s">
        <v>41</v>
      </c>
      <c r="E605" s="2" t="s">
        <v>42</v>
      </c>
      <c r="F605" s="2" t="s">
        <v>36</v>
      </c>
      <c r="G605" s="2" t="s">
        <v>1457</v>
      </c>
      <c r="I605" s="2">
        <v>1598</v>
      </c>
      <c r="J605" s="2"/>
      <c r="K605" s="2" t="s">
        <v>146</v>
      </c>
      <c r="L605" s="2">
        <v>4.3</v>
      </c>
      <c r="M605" s="2">
        <v>887</v>
      </c>
      <c r="P605" t="str">
        <f t="shared" si="39"/>
        <v/>
      </c>
      <c r="Q605" s="12" t="str">
        <f t="shared" si="36"/>
        <v/>
      </c>
      <c r="R605" s="9" t="str">
        <f t="shared" si="37"/>
        <v/>
      </c>
      <c r="S605" s="9">
        <f>IF(R605="",AVERAGEIF(Table1[Category],Table1[[#This Row],[Category]],Table2[orignal data]),Table2[[#This Row],[orignal data]])</f>
        <v>715.78890751086249</v>
      </c>
      <c r="T605" t="str">
        <f t="shared" si="38"/>
        <v>UNIQUE</v>
      </c>
      <c r="U605" t="str">
        <f>IF(ISBLANK(Table1[[#This Row],[SizeOption]]),"NOT AVAILABLE",Table1[[#This Row],[SizeOption]])</f>
        <v>L, M, S, XS, XL</v>
      </c>
      <c r="Y605" t="str">
        <f>IF(Table2[[#This Row],[Column1]]&gt;50%,"HIGH DISCOUNT","LOW DISCOUNT")</f>
        <v>HIGH DISCOUNT</v>
      </c>
    </row>
    <row r="606" spans="1:25" x14ac:dyDescent="0.25">
      <c r="A606" s="1" t="s">
        <v>1458</v>
      </c>
      <c r="B606" s="1">
        <v>11895970</v>
      </c>
      <c r="C606" s="1" t="s">
        <v>14</v>
      </c>
      <c r="D606" s="1" t="s">
        <v>28</v>
      </c>
      <c r="E606" s="1" t="s">
        <v>29</v>
      </c>
      <c r="F606" s="1" t="s">
        <v>17</v>
      </c>
      <c r="G606" s="1" t="s">
        <v>1459</v>
      </c>
      <c r="H606">
        <v>629</v>
      </c>
      <c r="I606" s="1">
        <v>1399</v>
      </c>
      <c r="J606" s="1" t="s">
        <v>25</v>
      </c>
      <c r="K606" s="1" t="s">
        <v>31</v>
      </c>
      <c r="L606" s="1">
        <v>4.4000000000000004</v>
      </c>
      <c r="M606" s="1">
        <v>886</v>
      </c>
      <c r="P606" t="str">
        <f t="shared" si="39"/>
        <v>55%</v>
      </c>
      <c r="Q606" s="12">
        <f t="shared" si="36"/>
        <v>0.55000000000000004</v>
      </c>
      <c r="R606" s="9">
        <f t="shared" si="37"/>
        <v>629.54999999999995</v>
      </c>
      <c r="S606" s="9">
        <f>IF(R606="",AVERAGEIF(Table1[Category],Table1[[#This Row],[Category]],Table2[orignal data]),Table2[[#This Row],[orignal data]])</f>
        <v>629.54999999999995</v>
      </c>
      <c r="T606" t="str">
        <f t="shared" si="38"/>
        <v>UNIQUE</v>
      </c>
      <c r="U606" t="str">
        <f>IF(ISBLANK(Table1[[#This Row],[SizeOption]]),"NOT AVAILABLE",Table1[[#This Row],[SizeOption]])</f>
        <v>38, 40, 42, 44, 46, 48</v>
      </c>
      <c r="Y606" t="str">
        <f>IF(Table2[[#This Row],[Column1]]&gt;50%,"HIGH DISCOUNT","LOW DISCOUNT")</f>
        <v>HIGH DISCOUNT</v>
      </c>
    </row>
    <row r="607" spans="1:25" x14ac:dyDescent="0.25">
      <c r="A607" s="2" t="s">
        <v>1460</v>
      </c>
      <c r="B607" s="2">
        <v>8255921</v>
      </c>
      <c r="C607" s="2" t="s">
        <v>1461</v>
      </c>
      <c r="D607" s="2" t="s">
        <v>28</v>
      </c>
      <c r="E607" s="2" t="s">
        <v>42</v>
      </c>
      <c r="F607" s="2" t="s">
        <v>17</v>
      </c>
      <c r="G607" s="2" t="s">
        <v>1462</v>
      </c>
      <c r="H607">
        <v>797</v>
      </c>
      <c r="I607" s="2">
        <v>985</v>
      </c>
      <c r="J607" s="2" t="s">
        <v>1463</v>
      </c>
      <c r="K607" s="2" t="s">
        <v>234</v>
      </c>
      <c r="L607" s="2">
        <v>4.4000000000000004</v>
      </c>
      <c r="M607" s="2">
        <v>886</v>
      </c>
      <c r="P607" t="str">
        <f t="shared" si="39"/>
        <v>19%</v>
      </c>
      <c r="Q607" s="12">
        <f t="shared" si="36"/>
        <v>0.19</v>
      </c>
      <c r="R607" s="9">
        <f t="shared" si="37"/>
        <v>797.85</v>
      </c>
      <c r="S607" s="9">
        <f>IF(R607="",AVERAGEIF(Table1[Category],Table1[[#This Row],[Category]],Table2[orignal data]),Table2[[#This Row],[orignal data]])</f>
        <v>797.85</v>
      </c>
      <c r="T607" t="str">
        <f t="shared" si="38"/>
        <v>UNIQUE</v>
      </c>
      <c r="U607" t="str">
        <f>IF(ISBLANK(Table1[[#This Row],[SizeOption]]),"NOT AVAILABLE",Table1[[#This Row],[SizeOption]])</f>
        <v>S, M, L, XL, XXL, 3XL</v>
      </c>
      <c r="Y607" t="str">
        <f>IF(Table2[[#This Row],[Column1]]&gt;50%,"HIGH DISCOUNT","LOW DISCOUNT")</f>
        <v>LOW DISCOUNT</v>
      </c>
    </row>
    <row r="608" spans="1:25" x14ac:dyDescent="0.25">
      <c r="A608" s="1" t="s">
        <v>1464</v>
      </c>
      <c r="B608" s="1">
        <v>14346084</v>
      </c>
      <c r="C608" s="1" t="s">
        <v>1465</v>
      </c>
      <c r="D608" s="1" t="s">
        <v>76</v>
      </c>
      <c r="E608" s="1" t="s">
        <v>77</v>
      </c>
      <c r="F608" s="1" t="s">
        <v>36</v>
      </c>
      <c r="G608" s="1" t="s">
        <v>1466</v>
      </c>
      <c r="H608">
        <v>1590</v>
      </c>
      <c r="I608" s="1">
        <v>3699</v>
      </c>
      <c r="J608" s="1" t="s">
        <v>130</v>
      </c>
      <c r="K608" s="1" t="s">
        <v>234</v>
      </c>
      <c r="L608" s="1">
        <v>4.3</v>
      </c>
      <c r="M608" s="1">
        <v>886</v>
      </c>
      <c r="P608" t="str">
        <f t="shared" si="39"/>
        <v>57%</v>
      </c>
      <c r="Q608" s="12">
        <f t="shared" si="36"/>
        <v>0.56999999999999995</v>
      </c>
      <c r="R608" s="9">
        <f t="shared" si="37"/>
        <v>1590.5700000000002</v>
      </c>
      <c r="S608" s="9">
        <f>IF(R608="",AVERAGEIF(Table1[Category],Table1[[#This Row],[Category]],Table2[orignal data]),Table2[[#This Row],[orignal data]])</f>
        <v>1590.5700000000002</v>
      </c>
      <c r="T608" t="str">
        <f t="shared" si="38"/>
        <v>UNIQUE</v>
      </c>
      <c r="U608" t="str">
        <f>IF(ISBLANK(Table1[[#This Row],[SizeOption]]),"NOT AVAILABLE",Table1[[#This Row],[SizeOption]])</f>
        <v>S, M, L, XL, XXL, 3XL</v>
      </c>
      <c r="Y608" t="str">
        <f>IF(Table2[[#This Row],[Column1]]&gt;50%,"HIGH DISCOUNT","LOW DISCOUNT")</f>
        <v>HIGH DISCOUNT</v>
      </c>
    </row>
    <row r="609" spans="1:25" x14ac:dyDescent="0.25">
      <c r="A609" s="2" t="s">
        <v>1467</v>
      </c>
      <c r="B609" s="2">
        <v>10968928</v>
      </c>
      <c r="C609" s="2" t="s">
        <v>1375</v>
      </c>
      <c r="D609" s="2" t="s">
        <v>76</v>
      </c>
      <c r="E609" s="2" t="s">
        <v>320</v>
      </c>
      <c r="F609" s="2" t="s">
        <v>36</v>
      </c>
      <c r="G609" s="2" t="s">
        <v>1468</v>
      </c>
      <c r="H609">
        <v>1297</v>
      </c>
      <c r="I609" s="2">
        <v>5899</v>
      </c>
      <c r="J609" s="2" t="s">
        <v>1469</v>
      </c>
      <c r="K609" s="2" t="s">
        <v>164</v>
      </c>
      <c r="L609" s="2">
        <v>4.2</v>
      </c>
      <c r="M609" s="2">
        <v>886</v>
      </c>
      <c r="P609" t="str">
        <f t="shared" si="39"/>
        <v>78%</v>
      </c>
      <c r="Q609" s="12">
        <f t="shared" si="36"/>
        <v>0.78</v>
      </c>
      <c r="R609" s="9">
        <f t="shared" si="37"/>
        <v>1297.7799999999997</v>
      </c>
      <c r="S609" s="9">
        <f>IF(R609="",AVERAGEIF(Table1[Category],Table1[[#This Row],[Category]],Table2[orignal data]),Table2[[#This Row],[orignal data]])</f>
        <v>1297.7799999999997</v>
      </c>
      <c r="T609" t="str">
        <f t="shared" si="38"/>
        <v>UNIQUE</v>
      </c>
      <c r="U609" t="str">
        <f>IF(ISBLANK(Table1[[#This Row],[SizeOption]]),"NOT AVAILABLE",Table1[[#This Row],[SizeOption]])</f>
        <v>Onesize</v>
      </c>
      <c r="Y609" t="str">
        <f>IF(Table2[[#This Row],[Column1]]&gt;50%,"HIGH DISCOUNT","LOW DISCOUNT")</f>
        <v>HIGH DISCOUNT</v>
      </c>
    </row>
    <row r="610" spans="1:25" x14ac:dyDescent="0.25">
      <c r="A610" s="1" t="s">
        <v>1470</v>
      </c>
      <c r="B610" s="1">
        <v>9371099</v>
      </c>
      <c r="C610" s="1" t="s">
        <v>97</v>
      </c>
      <c r="D610" s="1" t="s">
        <v>98</v>
      </c>
      <c r="E610" s="1" t="s">
        <v>93</v>
      </c>
      <c r="F610" s="1" t="s">
        <v>36</v>
      </c>
      <c r="G610" s="1" t="s">
        <v>1471</v>
      </c>
      <c r="H610">
        <v>374</v>
      </c>
      <c r="I610" s="1">
        <v>1499</v>
      </c>
      <c r="J610" s="1" t="s">
        <v>109</v>
      </c>
      <c r="K610" s="1" t="s">
        <v>100</v>
      </c>
      <c r="L610" s="1">
        <v>4.2</v>
      </c>
      <c r="M610" s="1">
        <v>886</v>
      </c>
      <c r="P610" t="str">
        <f t="shared" si="39"/>
        <v>75%</v>
      </c>
      <c r="Q610" s="12">
        <f t="shared" si="36"/>
        <v>0.75</v>
      </c>
      <c r="R610" s="9">
        <f t="shared" si="37"/>
        <v>374.75</v>
      </c>
      <c r="S610" s="9">
        <f>IF(R610="",AVERAGEIF(Table1[Category],Table1[[#This Row],[Category]],Table2[orignal data]),Table2[[#This Row],[orignal data]])</f>
        <v>374.75</v>
      </c>
      <c r="T610" t="str">
        <f t="shared" si="38"/>
        <v>UNIQUE</v>
      </c>
      <c r="U610" t="str">
        <f>IF(ISBLANK(Table1[[#This Row],[SizeOption]]),"NOT AVAILABLE",Table1[[#This Row],[SizeOption]])</f>
        <v>XS, S, M, L, XL, XXL, 3XL</v>
      </c>
      <c r="Y610" t="str">
        <f>IF(Table2[[#This Row],[Column1]]&gt;50%,"HIGH DISCOUNT","LOW DISCOUNT")</f>
        <v>HIGH DISCOUNT</v>
      </c>
    </row>
    <row r="611" spans="1:25" x14ac:dyDescent="0.25">
      <c r="A611" s="2" t="s">
        <v>1472</v>
      </c>
      <c r="B611" s="2">
        <v>10526790</v>
      </c>
      <c r="C611" s="2" t="s">
        <v>107</v>
      </c>
      <c r="D611" s="2" t="s">
        <v>41</v>
      </c>
      <c r="E611" s="2" t="s">
        <v>148</v>
      </c>
      <c r="F611" s="2" t="s">
        <v>36</v>
      </c>
      <c r="G611" s="2" t="s">
        <v>1473</v>
      </c>
      <c r="I611" s="2">
        <v>1599</v>
      </c>
      <c r="J611" s="2"/>
      <c r="K611" s="2" t="s">
        <v>45</v>
      </c>
      <c r="L611" s="2">
        <v>4.2</v>
      </c>
      <c r="M611" s="2">
        <v>886</v>
      </c>
      <c r="P611" t="str">
        <f t="shared" si="39"/>
        <v/>
      </c>
      <c r="Q611" s="12" t="str">
        <f t="shared" si="36"/>
        <v/>
      </c>
      <c r="R611" s="9" t="str">
        <f t="shared" si="37"/>
        <v/>
      </c>
      <c r="S611" s="9">
        <f>IF(R611="",AVERAGEIF(Table1[Category],Table1[[#This Row],[Category]],Table2[orignal data]),Table2[[#This Row],[orignal data]])</f>
        <v>715.78890751086249</v>
      </c>
      <c r="T611" t="str">
        <f t="shared" si="38"/>
        <v>UNIQUE</v>
      </c>
      <c r="U611" t="str">
        <f>IF(ISBLANK(Table1[[#This Row],[SizeOption]]),"NOT AVAILABLE",Table1[[#This Row],[SizeOption]])</f>
        <v>XS, S, M, L, XL</v>
      </c>
      <c r="Y611" t="str">
        <f>IF(Table2[[#This Row],[Column1]]&gt;50%,"HIGH DISCOUNT","LOW DISCOUNT")</f>
        <v>HIGH DISCOUNT</v>
      </c>
    </row>
    <row r="612" spans="1:25" x14ac:dyDescent="0.25">
      <c r="A612" s="1" t="s">
        <v>1474</v>
      </c>
      <c r="B612" s="1">
        <v>8962319</v>
      </c>
      <c r="C612" s="1" t="s">
        <v>14</v>
      </c>
      <c r="D612" s="1" t="s">
        <v>15</v>
      </c>
      <c r="E612" s="1" t="s">
        <v>16</v>
      </c>
      <c r="F612" s="1" t="s">
        <v>17</v>
      </c>
      <c r="G612" s="1" t="s">
        <v>1066</v>
      </c>
      <c r="H612">
        <v>599</v>
      </c>
      <c r="I612" s="1">
        <v>1499</v>
      </c>
      <c r="J612" s="1" t="s">
        <v>55</v>
      </c>
      <c r="K612" s="1" t="s">
        <v>134</v>
      </c>
      <c r="L612" s="1">
        <v>3.8</v>
      </c>
      <c r="M612" s="1">
        <v>885</v>
      </c>
      <c r="P612" t="str">
        <f t="shared" si="39"/>
        <v>60%</v>
      </c>
      <c r="Q612" s="12">
        <f t="shared" si="36"/>
        <v>0.6</v>
      </c>
      <c r="R612" s="9">
        <f t="shared" si="37"/>
        <v>599.6</v>
      </c>
      <c r="S612" s="9">
        <f>IF(R612="",AVERAGEIF(Table1[Category],Table1[[#This Row],[Category]],Table2[orignal data]),Table2[[#This Row],[orignal data]])</f>
        <v>599.6</v>
      </c>
      <c r="T612" t="str">
        <f t="shared" si="38"/>
        <v>UNIQUE</v>
      </c>
      <c r="U612" t="str">
        <f>IF(ISBLANK(Table1[[#This Row],[SizeOption]]),"NOT AVAILABLE",Table1[[#This Row],[SizeOption]])</f>
        <v>26, 28, 30, 32, 34, 36</v>
      </c>
      <c r="Y612" t="str">
        <f>IF(Table2[[#This Row],[Column1]]&gt;50%,"HIGH DISCOUNT","LOW DISCOUNT")</f>
        <v>HIGH DISCOUNT</v>
      </c>
    </row>
    <row r="613" spans="1:25" x14ac:dyDescent="0.25">
      <c r="A613" s="2" t="s">
        <v>1475</v>
      </c>
      <c r="B613" s="2">
        <v>2475652</v>
      </c>
      <c r="C613" s="2" t="s">
        <v>14</v>
      </c>
      <c r="D613" s="2" t="s">
        <v>28</v>
      </c>
      <c r="E613" s="2" t="s">
        <v>42</v>
      </c>
      <c r="F613" s="2" t="s">
        <v>17</v>
      </c>
      <c r="G613" s="2" t="s">
        <v>1476</v>
      </c>
      <c r="H613">
        <v>499</v>
      </c>
      <c r="I613" s="2">
        <v>999</v>
      </c>
      <c r="J613" s="2" t="s">
        <v>84</v>
      </c>
      <c r="K613" s="2" t="s">
        <v>73</v>
      </c>
      <c r="L613" s="2">
        <v>4</v>
      </c>
      <c r="M613" s="2">
        <v>885</v>
      </c>
      <c r="P613" t="str">
        <f t="shared" si="39"/>
        <v>50%</v>
      </c>
      <c r="Q613" s="12">
        <f t="shared" si="36"/>
        <v>0.5</v>
      </c>
      <c r="R613" s="9">
        <f t="shared" si="37"/>
        <v>499.5</v>
      </c>
      <c r="S613" s="9">
        <f>IF(R613="",AVERAGEIF(Table1[Category],Table1[[#This Row],[Category]],Table2[orignal data]),Table2[[#This Row],[orignal data]])</f>
        <v>499.5</v>
      </c>
      <c r="T613" t="str">
        <f t="shared" si="38"/>
        <v>UNIQUE</v>
      </c>
      <c r="U613" t="str">
        <f>IF(ISBLANK(Table1[[#This Row],[SizeOption]]),"NOT AVAILABLE",Table1[[#This Row],[SizeOption]])</f>
        <v>XS, S, M, L, XL, XXL, 3XL, 4XL</v>
      </c>
      <c r="Y613" t="str">
        <f>IF(Table2[[#This Row],[Column1]]&gt;50%,"HIGH DISCOUNT","LOW DISCOUNT")</f>
        <v>LOW DISCOUNT</v>
      </c>
    </row>
    <row r="614" spans="1:25" x14ac:dyDescent="0.25">
      <c r="A614" s="1" t="s">
        <v>1477</v>
      </c>
      <c r="B614" s="1">
        <v>2976313</v>
      </c>
      <c r="C614" s="1" t="s">
        <v>92</v>
      </c>
      <c r="D614" s="1" t="s">
        <v>76</v>
      </c>
      <c r="E614" s="1" t="s">
        <v>93</v>
      </c>
      <c r="F614" s="1" t="s">
        <v>36</v>
      </c>
      <c r="G614" s="1" t="s">
        <v>1478</v>
      </c>
      <c r="H614">
        <v>482</v>
      </c>
      <c r="I614" s="1">
        <v>1149</v>
      </c>
      <c r="J614" s="1" t="s">
        <v>60</v>
      </c>
      <c r="K614" s="1" t="s">
        <v>39</v>
      </c>
      <c r="L614" s="1">
        <v>3.4</v>
      </c>
      <c r="M614" s="1">
        <v>885</v>
      </c>
      <c r="P614" t="str">
        <f t="shared" si="39"/>
        <v>58%</v>
      </c>
      <c r="Q614" s="12">
        <f t="shared" si="36"/>
        <v>0.57999999999999996</v>
      </c>
      <c r="R614" s="9">
        <f t="shared" si="37"/>
        <v>482.58000000000004</v>
      </c>
      <c r="S614" s="9">
        <f>IF(R614="",AVERAGEIF(Table1[Category],Table1[[#This Row],[Category]],Table2[orignal data]),Table2[[#This Row],[orignal data]])</f>
        <v>482.58000000000004</v>
      </c>
      <c r="T614" t="str">
        <f t="shared" si="38"/>
        <v>UNIQUE</v>
      </c>
      <c r="U614" t="str">
        <f>IF(ISBLANK(Table1[[#This Row],[SizeOption]]),"NOT AVAILABLE",Table1[[#This Row],[SizeOption]])</f>
        <v>S, M, L, XL, XXL</v>
      </c>
      <c r="Y614" t="str">
        <f>IF(Table2[[#This Row],[Column1]]&gt;50%,"HIGH DISCOUNT","LOW DISCOUNT")</f>
        <v>HIGH DISCOUNT</v>
      </c>
    </row>
    <row r="615" spans="1:25" x14ac:dyDescent="0.25">
      <c r="A615" s="2" t="s">
        <v>1479</v>
      </c>
      <c r="B615" s="2">
        <v>11202304</v>
      </c>
      <c r="C615" s="2" t="s">
        <v>113</v>
      </c>
      <c r="D615" s="2" t="s">
        <v>76</v>
      </c>
      <c r="E615" s="2" t="s">
        <v>77</v>
      </c>
      <c r="F615" s="2" t="s">
        <v>36</v>
      </c>
      <c r="G615" s="2" t="s">
        <v>1480</v>
      </c>
      <c r="H615">
        <v>1149</v>
      </c>
      <c r="I615" s="2">
        <v>2299</v>
      </c>
      <c r="J615" s="2" t="s">
        <v>84</v>
      </c>
      <c r="K615" s="2" t="s">
        <v>115</v>
      </c>
      <c r="L615" s="2">
        <v>4.4000000000000004</v>
      </c>
      <c r="M615" s="2">
        <v>885</v>
      </c>
      <c r="P615" t="str">
        <f t="shared" si="39"/>
        <v>50%</v>
      </c>
      <c r="Q615" s="12">
        <f t="shared" si="36"/>
        <v>0.5</v>
      </c>
      <c r="R615" s="9">
        <f t="shared" si="37"/>
        <v>1149.5</v>
      </c>
      <c r="S615" s="9">
        <f>IF(R615="",AVERAGEIF(Table1[Category],Table1[[#This Row],[Category]],Table2[orignal data]),Table2[[#This Row],[orignal data]])</f>
        <v>1149.5</v>
      </c>
      <c r="T615" t="str">
        <f t="shared" si="38"/>
        <v>UNIQUE</v>
      </c>
      <c r="U615" t="str">
        <f>IF(ISBLANK(Table1[[#This Row],[SizeOption]]),"NOT AVAILABLE",Table1[[#This Row],[SizeOption]])</f>
        <v>XS, S, M, L, XL, XXL</v>
      </c>
      <c r="Y615" t="str">
        <f>IF(Table2[[#This Row],[Column1]]&gt;50%,"HIGH DISCOUNT","LOW DISCOUNT")</f>
        <v>LOW DISCOUNT</v>
      </c>
    </row>
    <row r="616" spans="1:25" x14ac:dyDescent="0.25">
      <c r="A616" s="1" t="s">
        <v>1481</v>
      </c>
      <c r="B616" s="1">
        <v>13905664</v>
      </c>
      <c r="C616" s="1" t="s">
        <v>113</v>
      </c>
      <c r="D616" s="1" t="s">
        <v>76</v>
      </c>
      <c r="E616" s="1" t="s">
        <v>93</v>
      </c>
      <c r="F616" s="1" t="s">
        <v>36</v>
      </c>
      <c r="G616" s="1" t="s">
        <v>1482</v>
      </c>
      <c r="H616">
        <v>449</v>
      </c>
      <c r="I616" s="1">
        <v>999</v>
      </c>
      <c r="J616" s="1" t="s">
        <v>25</v>
      </c>
      <c r="K616" s="1" t="s">
        <v>115</v>
      </c>
      <c r="L616" s="1">
        <v>4</v>
      </c>
      <c r="M616" s="1">
        <v>885</v>
      </c>
      <c r="P616" t="str">
        <f t="shared" si="39"/>
        <v>55%</v>
      </c>
      <c r="Q616" s="12">
        <f t="shared" si="36"/>
        <v>0.55000000000000004</v>
      </c>
      <c r="R616" s="9">
        <f t="shared" si="37"/>
        <v>449.54999999999995</v>
      </c>
      <c r="S616" s="9">
        <f>IF(R616="",AVERAGEIF(Table1[Category],Table1[[#This Row],[Category]],Table2[orignal data]),Table2[[#This Row],[orignal data]])</f>
        <v>449.54999999999995</v>
      </c>
      <c r="T616" t="str">
        <f t="shared" si="38"/>
        <v>UNIQUE</v>
      </c>
      <c r="U616" t="str">
        <f>IF(ISBLANK(Table1[[#This Row],[SizeOption]]),"NOT AVAILABLE",Table1[[#This Row],[SizeOption]])</f>
        <v>XS, S, M, L, XL, XXL</v>
      </c>
      <c r="Y616" t="str">
        <f>IF(Table2[[#This Row],[Column1]]&gt;50%,"HIGH DISCOUNT","LOW DISCOUNT")</f>
        <v>HIGH DISCOUNT</v>
      </c>
    </row>
    <row r="617" spans="1:25" x14ac:dyDescent="0.25">
      <c r="A617" s="2" t="s">
        <v>1483</v>
      </c>
      <c r="B617" s="2">
        <v>7432898</v>
      </c>
      <c r="C617" s="2" t="s">
        <v>33</v>
      </c>
      <c r="D617" s="2" t="s">
        <v>34</v>
      </c>
      <c r="E617" s="2" t="s">
        <v>118</v>
      </c>
      <c r="F617" s="2" t="s">
        <v>36</v>
      </c>
      <c r="G617" s="2" t="s">
        <v>1484</v>
      </c>
      <c r="H617">
        <v>497</v>
      </c>
      <c r="I617" s="2">
        <v>995</v>
      </c>
      <c r="J617" s="2" t="s">
        <v>84</v>
      </c>
      <c r="K617" s="2" t="s">
        <v>1485</v>
      </c>
      <c r="L617" s="2">
        <v>4.3</v>
      </c>
      <c r="M617" s="2">
        <v>885</v>
      </c>
      <c r="P617" t="str">
        <f t="shared" si="39"/>
        <v>50%</v>
      </c>
      <c r="Q617" s="12">
        <f t="shared" si="36"/>
        <v>0.5</v>
      </c>
      <c r="R617" s="9">
        <f t="shared" si="37"/>
        <v>497.5</v>
      </c>
      <c r="S617" s="9">
        <f>IF(R617="",AVERAGEIF(Table1[Category],Table1[[#This Row],[Category]],Table2[orignal data]),Table2[[#This Row],[orignal data]])</f>
        <v>497.5</v>
      </c>
      <c r="T617" t="str">
        <f t="shared" si="38"/>
        <v>UNIQUE</v>
      </c>
      <c r="U617" t="str">
        <f>IF(ISBLANK(Table1[[#This Row],[SizeOption]]),"NOT AVAILABLE",Table1[[#This Row],[SizeOption]])</f>
        <v>32B, 32C, 32D, 34B, 34C, 34D, 36B, 36C, 36D, 38B, 38C, 38D, 38DD, 40C, 40D</v>
      </c>
      <c r="Y617" t="str">
        <f>IF(Table2[[#This Row],[Column1]]&gt;50%,"HIGH DISCOUNT","LOW DISCOUNT")</f>
        <v>LOW DISCOUNT</v>
      </c>
    </row>
    <row r="618" spans="1:25" x14ac:dyDescent="0.25">
      <c r="A618" s="1" t="s">
        <v>1486</v>
      </c>
      <c r="B618" s="1">
        <v>13205322</v>
      </c>
      <c r="C618" s="1" t="s">
        <v>121</v>
      </c>
      <c r="D618" s="1" t="s">
        <v>41</v>
      </c>
      <c r="E618" s="1" t="s">
        <v>148</v>
      </c>
      <c r="F618" s="1" t="s">
        <v>36</v>
      </c>
      <c r="G618" s="1" t="s">
        <v>1487</v>
      </c>
      <c r="I618" s="1">
        <v>2499</v>
      </c>
      <c r="J618" s="1" t="s">
        <v>186</v>
      </c>
      <c r="K618" s="1" t="s">
        <v>45</v>
      </c>
      <c r="L618" s="1">
        <v>4.5</v>
      </c>
      <c r="M618" s="1">
        <v>885</v>
      </c>
      <c r="P618" t="str">
        <f t="shared" si="39"/>
        <v>30%</v>
      </c>
      <c r="Q618" s="12">
        <f t="shared" si="36"/>
        <v>0.3</v>
      </c>
      <c r="R618" s="9">
        <f t="shared" si="37"/>
        <v>1749.3000000000002</v>
      </c>
      <c r="S618" s="9">
        <f>IF(R618="",AVERAGEIF(Table1[Category],Table1[[#This Row],[Category]],Table2[orignal data]),Table2[[#This Row],[orignal data]])</f>
        <v>1749.3000000000002</v>
      </c>
      <c r="T618" t="str">
        <f t="shared" si="38"/>
        <v>UNIQUE</v>
      </c>
      <c r="U618" t="str">
        <f>IF(ISBLANK(Table1[[#This Row],[SizeOption]]),"NOT AVAILABLE",Table1[[#This Row],[SizeOption]])</f>
        <v>XS, S, M, L, XL</v>
      </c>
      <c r="Y618" t="str">
        <f>IF(Table2[[#This Row],[Column1]]&gt;50%,"HIGH DISCOUNT","LOW DISCOUNT")</f>
        <v>LOW DISCOUNT</v>
      </c>
    </row>
    <row r="619" spans="1:25" x14ac:dyDescent="0.25">
      <c r="A619" s="2" t="s">
        <v>1488</v>
      </c>
      <c r="B619" s="2">
        <v>14502098</v>
      </c>
      <c r="C619" s="2" t="s">
        <v>1489</v>
      </c>
      <c r="D619" s="2" t="s">
        <v>41</v>
      </c>
      <c r="E619" s="2" t="s">
        <v>148</v>
      </c>
      <c r="F619" s="2" t="s">
        <v>36</v>
      </c>
      <c r="G619" s="2" t="s">
        <v>1490</v>
      </c>
      <c r="I619" s="2">
        <v>3499</v>
      </c>
      <c r="J619" s="2" t="s">
        <v>55</v>
      </c>
      <c r="K619" s="2" t="s">
        <v>115</v>
      </c>
      <c r="L619" s="2">
        <v>4.3</v>
      </c>
      <c r="M619" s="2">
        <v>885</v>
      </c>
      <c r="P619" t="str">
        <f t="shared" si="39"/>
        <v>60%</v>
      </c>
      <c r="Q619" s="12">
        <f t="shared" si="36"/>
        <v>0.6</v>
      </c>
      <c r="R619" s="9">
        <f t="shared" si="37"/>
        <v>1399.6</v>
      </c>
      <c r="S619" s="9">
        <f>IF(R619="",AVERAGEIF(Table1[Category],Table1[[#This Row],[Category]],Table2[orignal data]),Table2[[#This Row],[orignal data]])</f>
        <v>1399.6</v>
      </c>
      <c r="T619" t="str">
        <f t="shared" si="38"/>
        <v>UNIQUE</v>
      </c>
      <c r="U619" t="str">
        <f>IF(ISBLANK(Table1[[#This Row],[SizeOption]]),"NOT AVAILABLE",Table1[[#This Row],[SizeOption]])</f>
        <v>XS, S, M, L, XL, XXL</v>
      </c>
      <c r="Y619" t="str">
        <f>IF(Table2[[#This Row],[Column1]]&gt;50%,"HIGH DISCOUNT","LOW DISCOUNT")</f>
        <v>HIGH DISCOUNT</v>
      </c>
    </row>
    <row r="620" spans="1:25" x14ac:dyDescent="0.25">
      <c r="A620" s="1" t="s">
        <v>1491</v>
      </c>
      <c r="B620" s="1">
        <v>11970554</v>
      </c>
      <c r="C620" s="1" t="s">
        <v>102</v>
      </c>
      <c r="D620" s="1" t="s">
        <v>41</v>
      </c>
      <c r="E620" s="1" t="s">
        <v>137</v>
      </c>
      <c r="F620" s="1" t="s">
        <v>36</v>
      </c>
      <c r="G620" s="1" t="s">
        <v>1492</v>
      </c>
      <c r="I620" s="1">
        <v>899</v>
      </c>
      <c r="J620" s="1" t="s">
        <v>602</v>
      </c>
      <c r="K620" s="1" t="s">
        <v>105</v>
      </c>
      <c r="L620" s="1">
        <v>4.4000000000000004</v>
      </c>
      <c r="M620" s="1">
        <v>885</v>
      </c>
      <c r="P620" t="str">
        <f t="shared" si="39"/>
        <v>48%</v>
      </c>
      <c r="Q620" s="12">
        <f t="shared" si="36"/>
        <v>0.48</v>
      </c>
      <c r="R620" s="9">
        <f t="shared" si="37"/>
        <v>467.48</v>
      </c>
      <c r="S620" s="9">
        <f>IF(R620="",AVERAGEIF(Table1[Category],Table1[[#This Row],[Category]],Table2[orignal data]),Table2[[#This Row],[orignal data]])</f>
        <v>467.48</v>
      </c>
      <c r="T620" t="str">
        <f t="shared" si="38"/>
        <v>UNIQUE</v>
      </c>
      <c r="U620" t="str">
        <f>IF(ISBLANK(Table1[[#This Row],[SizeOption]]),"NOT AVAILABLE",Table1[[#This Row],[SizeOption]])</f>
        <v>28, 30, 32, 34</v>
      </c>
      <c r="Y620" t="str">
        <f>IF(Table2[[#This Row],[Column1]]&gt;50%,"HIGH DISCOUNT","LOW DISCOUNT")</f>
        <v>LOW DISCOUNT</v>
      </c>
    </row>
    <row r="621" spans="1:25" x14ac:dyDescent="0.25">
      <c r="A621" s="2" t="s">
        <v>1493</v>
      </c>
      <c r="B621" s="2">
        <v>9716731</v>
      </c>
      <c r="C621" s="2" t="s">
        <v>14</v>
      </c>
      <c r="D621" s="2" t="s">
        <v>15</v>
      </c>
      <c r="E621" s="2" t="s">
        <v>16</v>
      </c>
      <c r="F621" s="2" t="s">
        <v>17</v>
      </c>
      <c r="G621" s="2" t="s">
        <v>1494</v>
      </c>
      <c r="H621">
        <v>1044</v>
      </c>
      <c r="I621" s="2">
        <v>1899</v>
      </c>
      <c r="J621" s="2" t="s">
        <v>19</v>
      </c>
      <c r="K621" s="2" t="s">
        <v>20</v>
      </c>
      <c r="L621" s="2">
        <v>4.0999999999999996</v>
      </c>
      <c r="M621" s="2">
        <v>884</v>
      </c>
      <c r="P621" t="str">
        <f t="shared" si="39"/>
        <v>45%</v>
      </c>
      <c r="Q621" s="12">
        <f t="shared" si="36"/>
        <v>0.45</v>
      </c>
      <c r="R621" s="9">
        <f t="shared" si="37"/>
        <v>1044.4499999999998</v>
      </c>
      <c r="S621" s="9">
        <f>IF(R621="",AVERAGEIF(Table1[Category],Table1[[#This Row],[Category]],Table2[orignal data]),Table2[[#This Row],[orignal data]])</f>
        <v>1044.4499999999998</v>
      </c>
      <c r="T621" t="str">
        <f t="shared" si="38"/>
        <v>UNIQUE</v>
      </c>
      <c r="U621" t="str">
        <f>IF(ISBLANK(Table1[[#This Row],[SizeOption]]),"NOT AVAILABLE",Table1[[#This Row],[SizeOption]])</f>
        <v>28, 30, 32, 34, 36</v>
      </c>
      <c r="Y621" t="str">
        <f>IF(Table2[[#This Row],[Column1]]&gt;50%,"HIGH DISCOUNT","LOW DISCOUNT")</f>
        <v>LOW DISCOUNT</v>
      </c>
    </row>
    <row r="622" spans="1:25" x14ac:dyDescent="0.25">
      <c r="A622" s="1" t="s">
        <v>1495</v>
      </c>
      <c r="B622" s="1">
        <v>8217979</v>
      </c>
      <c r="C622" s="1" t="s">
        <v>14</v>
      </c>
      <c r="D622" s="1" t="s">
        <v>28</v>
      </c>
      <c r="E622" s="1" t="s">
        <v>29</v>
      </c>
      <c r="F622" s="1" t="s">
        <v>17</v>
      </c>
      <c r="G622" s="1" t="s">
        <v>1496</v>
      </c>
      <c r="I622" s="1">
        <v>1099</v>
      </c>
      <c r="J622" s="1"/>
      <c r="K622" s="1" t="s">
        <v>31</v>
      </c>
      <c r="L622" s="1">
        <v>4.4000000000000004</v>
      </c>
      <c r="M622" s="1">
        <v>884</v>
      </c>
      <c r="P622" t="str">
        <f t="shared" si="39"/>
        <v/>
      </c>
      <c r="Q622" s="12" t="str">
        <f t="shared" si="36"/>
        <v/>
      </c>
      <c r="R622" s="9" t="str">
        <f t="shared" si="37"/>
        <v/>
      </c>
      <c r="S622" s="9">
        <f>IF(R622="",AVERAGEIF(Table1[Category],Table1[[#This Row],[Category]],Table2[orignal data]),Table2[[#This Row],[orignal data]])</f>
        <v>671.7823941958867</v>
      </c>
      <c r="T622" t="str">
        <f t="shared" si="38"/>
        <v>UNIQUE</v>
      </c>
      <c r="U622" t="str">
        <f>IF(ISBLANK(Table1[[#This Row],[SizeOption]]),"NOT AVAILABLE",Table1[[#This Row],[SizeOption]])</f>
        <v>38, 40, 42, 44, 46, 48</v>
      </c>
      <c r="Y622" t="str">
        <f>IF(Table2[[#This Row],[Column1]]&gt;50%,"HIGH DISCOUNT","LOW DISCOUNT")</f>
        <v>HIGH DISCOUNT</v>
      </c>
    </row>
    <row r="623" spans="1:25" x14ac:dyDescent="0.25">
      <c r="A623" s="2" t="s">
        <v>1497</v>
      </c>
      <c r="B623" s="2">
        <v>2271714</v>
      </c>
      <c r="C623" s="2" t="s">
        <v>47</v>
      </c>
      <c r="D623" s="2" t="s">
        <v>28</v>
      </c>
      <c r="E623" s="2" t="s">
        <v>29</v>
      </c>
      <c r="F623" s="2" t="s">
        <v>17</v>
      </c>
      <c r="G623" s="2" t="s">
        <v>1498</v>
      </c>
      <c r="H623">
        <v>799</v>
      </c>
      <c r="I623" s="2">
        <v>1999</v>
      </c>
      <c r="J623" s="2" t="s">
        <v>55</v>
      </c>
      <c r="K623" s="2" t="s">
        <v>253</v>
      </c>
      <c r="L623" s="2">
        <v>4.0999999999999996</v>
      </c>
      <c r="M623" s="2">
        <v>884</v>
      </c>
      <c r="P623" t="str">
        <f t="shared" si="39"/>
        <v>60%</v>
      </c>
      <c r="Q623" s="12">
        <f t="shared" si="36"/>
        <v>0.6</v>
      </c>
      <c r="R623" s="9">
        <f t="shared" si="37"/>
        <v>799.60000000000014</v>
      </c>
      <c r="S623" s="9">
        <f>IF(R623="",AVERAGEIF(Table1[Category],Table1[[#This Row],[Category]],Table2[orignal data]),Table2[[#This Row],[orignal data]])</f>
        <v>799.60000000000014</v>
      </c>
      <c r="T623" t="str">
        <f t="shared" si="38"/>
        <v>UNIQUE</v>
      </c>
      <c r="U623" t="str">
        <f>IF(ISBLANK(Table1[[#This Row],[SizeOption]]),"NOT AVAILABLE",Table1[[#This Row],[SizeOption]])</f>
        <v>38, 40, 42, 44</v>
      </c>
      <c r="Y623" t="str">
        <f>IF(Table2[[#This Row],[Column1]]&gt;50%,"HIGH DISCOUNT","LOW DISCOUNT")</f>
        <v>HIGH DISCOUNT</v>
      </c>
    </row>
    <row r="624" spans="1:25" x14ac:dyDescent="0.25">
      <c r="A624" s="1" t="s">
        <v>1499</v>
      </c>
      <c r="B624" s="1">
        <v>11752134</v>
      </c>
      <c r="C624" s="1" t="s">
        <v>346</v>
      </c>
      <c r="D624" s="1" t="s">
        <v>28</v>
      </c>
      <c r="E624" s="1" t="s">
        <v>42</v>
      </c>
      <c r="F624" s="1" t="s">
        <v>17</v>
      </c>
      <c r="G624" s="1" t="s">
        <v>1500</v>
      </c>
      <c r="H624">
        <v>299</v>
      </c>
      <c r="I624" s="1">
        <v>599</v>
      </c>
      <c r="J624" s="1" t="s">
        <v>84</v>
      </c>
      <c r="K624" s="1" t="s">
        <v>115</v>
      </c>
      <c r="L624" s="1">
        <v>4.2</v>
      </c>
      <c r="M624" s="1">
        <v>884</v>
      </c>
      <c r="P624" t="str">
        <f t="shared" si="39"/>
        <v>50%</v>
      </c>
      <c r="Q624" s="12">
        <f t="shared" si="36"/>
        <v>0.5</v>
      </c>
      <c r="R624" s="9">
        <f t="shared" si="37"/>
        <v>299.5</v>
      </c>
      <c r="S624" s="9">
        <f>IF(R624="",AVERAGEIF(Table1[Category],Table1[[#This Row],[Category]],Table2[orignal data]),Table2[[#This Row],[orignal data]])</f>
        <v>299.5</v>
      </c>
      <c r="T624" t="str">
        <f t="shared" si="38"/>
        <v>UNIQUE</v>
      </c>
      <c r="U624" t="str">
        <f>IF(ISBLANK(Table1[[#This Row],[SizeOption]]),"NOT AVAILABLE",Table1[[#This Row],[SizeOption]])</f>
        <v>XS, S, M, L, XL, XXL</v>
      </c>
      <c r="Y624" t="str">
        <f>IF(Table2[[#This Row],[Column1]]&gt;50%,"HIGH DISCOUNT","LOW DISCOUNT")</f>
        <v>LOW DISCOUNT</v>
      </c>
    </row>
    <row r="625" spans="1:25" x14ac:dyDescent="0.25">
      <c r="A625" s="2" t="s">
        <v>1501</v>
      </c>
      <c r="B625" s="2">
        <v>8773391</v>
      </c>
      <c r="C625" s="2" t="s">
        <v>92</v>
      </c>
      <c r="D625" s="2" t="s">
        <v>76</v>
      </c>
      <c r="E625" s="2" t="s">
        <v>77</v>
      </c>
      <c r="F625" s="2" t="s">
        <v>36</v>
      </c>
      <c r="G625" s="2" t="s">
        <v>1502</v>
      </c>
      <c r="H625">
        <v>1106</v>
      </c>
      <c r="I625" s="2">
        <v>2699</v>
      </c>
      <c r="J625" s="2" t="s">
        <v>95</v>
      </c>
      <c r="K625" s="2" t="s">
        <v>39</v>
      </c>
      <c r="L625" s="2">
        <v>4.3</v>
      </c>
      <c r="M625" s="2">
        <v>884</v>
      </c>
      <c r="P625" t="str">
        <f t="shared" si="39"/>
        <v>59%</v>
      </c>
      <c r="Q625" s="12">
        <f t="shared" si="36"/>
        <v>0.59</v>
      </c>
      <c r="R625" s="9">
        <f t="shared" si="37"/>
        <v>1106.5900000000001</v>
      </c>
      <c r="S625" s="9">
        <f>IF(R625="",AVERAGEIF(Table1[Category],Table1[[#This Row],[Category]],Table2[orignal data]),Table2[[#This Row],[orignal data]])</f>
        <v>1106.5900000000001</v>
      </c>
      <c r="T625" t="str">
        <f t="shared" si="38"/>
        <v>UNIQUE</v>
      </c>
      <c r="U625" t="str">
        <f>IF(ISBLANK(Table1[[#This Row],[SizeOption]]),"NOT AVAILABLE",Table1[[#This Row],[SizeOption]])</f>
        <v>S, M, L, XL, XXL</v>
      </c>
      <c r="Y625" t="str">
        <f>IF(Table2[[#This Row],[Column1]]&gt;50%,"HIGH DISCOUNT","LOW DISCOUNT")</f>
        <v>HIGH DISCOUNT</v>
      </c>
    </row>
    <row r="626" spans="1:25" x14ac:dyDescent="0.25">
      <c r="A626" s="1" t="s">
        <v>1503</v>
      </c>
      <c r="B626" s="1">
        <v>11536894</v>
      </c>
      <c r="C626" s="1" t="s">
        <v>97</v>
      </c>
      <c r="D626" s="1" t="s">
        <v>76</v>
      </c>
      <c r="E626" s="1" t="s">
        <v>93</v>
      </c>
      <c r="F626" s="1" t="s">
        <v>36</v>
      </c>
      <c r="G626" s="1" t="s">
        <v>1504</v>
      </c>
      <c r="H626">
        <v>584</v>
      </c>
      <c r="I626" s="1">
        <v>899</v>
      </c>
      <c r="J626" s="1" t="s">
        <v>44</v>
      </c>
      <c r="K626" s="1" t="s">
        <v>100</v>
      </c>
      <c r="L626" s="1">
        <v>4.0999999999999996</v>
      </c>
      <c r="M626" s="1">
        <v>884</v>
      </c>
      <c r="P626" t="str">
        <f t="shared" si="39"/>
        <v>35%</v>
      </c>
      <c r="Q626" s="12">
        <f t="shared" si="36"/>
        <v>0.35</v>
      </c>
      <c r="R626" s="9">
        <f t="shared" si="37"/>
        <v>584.35</v>
      </c>
      <c r="S626" s="9">
        <f>IF(R626="",AVERAGEIF(Table1[Category],Table1[[#This Row],[Category]],Table2[orignal data]),Table2[[#This Row],[orignal data]])</f>
        <v>584.35</v>
      </c>
      <c r="T626" t="str">
        <f t="shared" si="38"/>
        <v>UNIQUE</v>
      </c>
      <c r="U626" t="str">
        <f>IF(ISBLANK(Table1[[#This Row],[SizeOption]]),"NOT AVAILABLE",Table1[[#This Row],[SizeOption]])</f>
        <v>XS, S, M, L, XL, XXL, 3XL</v>
      </c>
      <c r="Y626" t="str">
        <f>IF(Table2[[#This Row],[Column1]]&gt;50%,"HIGH DISCOUNT","LOW DISCOUNT")</f>
        <v>LOW DISCOUNT</v>
      </c>
    </row>
    <row r="627" spans="1:25" x14ac:dyDescent="0.25">
      <c r="A627" s="2" t="s">
        <v>1505</v>
      </c>
      <c r="B627" s="2">
        <v>7078933</v>
      </c>
      <c r="C627" s="2" t="s">
        <v>1506</v>
      </c>
      <c r="D627" s="2" t="s">
        <v>41</v>
      </c>
      <c r="E627" s="2" t="s">
        <v>368</v>
      </c>
      <c r="F627" s="2" t="s">
        <v>36</v>
      </c>
      <c r="G627" s="2" t="s">
        <v>1507</v>
      </c>
      <c r="I627" s="2">
        <v>1099</v>
      </c>
      <c r="J627" s="2" t="s">
        <v>25</v>
      </c>
      <c r="K627" s="2" t="s">
        <v>1508</v>
      </c>
      <c r="L627" s="2">
        <v>4.2</v>
      </c>
      <c r="M627" s="2">
        <v>884</v>
      </c>
      <c r="P627" t="str">
        <f t="shared" si="39"/>
        <v>55%</v>
      </c>
      <c r="Q627" s="12">
        <f t="shared" si="36"/>
        <v>0.55000000000000004</v>
      </c>
      <c r="R627" s="9">
        <f t="shared" si="37"/>
        <v>494.54999999999995</v>
      </c>
      <c r="S627" s="9">
        <f>IF(R627="",AVERAGEIF(Table1[Category],Table1[[#This Row],[Category]],Table2[orignal data]),Table2[[#This Row],[orignal data]])</f>
        <v>494.54999999999995</v>
      </c>
      <c r="T627" t="str">
        <f t="shared" si="38"/>
        <v>UNIQUE</v>
      </c>
      <c r="U627" t="str">
        <f>IF(ISBLANK(Table1[[#This Row],[SizeOption]]),"NOT AVAILABLE",Table1[[#This Row],[SizeOption]])</f>
        <v>28, 30, 32</v>
      </c>
      <c r="Y627" t="str">
        <f>IF(Table2[[#This Row],[Column1]]&gt;50%,"HIGH DISCOUNT","LOW DISCOUNT")</f>
        <v>HIGH DISCOUNT</v>
      </c>
    </row>
    <row r="628" spans="1:25" x14ac:dyDescent="0.25">
      <c r="A628" s="1" t="s">
        <v>1509</v>
      </c>
      <c r="B628" s="1">
        <v>13873912</v>
      </c>
      <c r="C628" s="1" t="s">
        <v>181</v>
      </c>
      <c r="D628" s="1" t="s">
        <v>41</v>
      </c>
      <c r="E628" s="1" t="s">
        <v>148</v>
      </c>
      <c r="F628" s="1" t="s">
        <v>36</v>
      </c>
      <c r="G628" s="1" t="s">
        <v>1510</v>
      </c>
      <c r="I628" s="1">
        <v>1699</v>
      </c>
      <c r="J628" s="1" t="s">
        <v>1204</v>
      </c>
      <c r="K628" s="1" t="s">
        <v>45</v>
      </c>
      <c r="L628" s="1">
        <v>4.4000000000000004</v>
      </c>
      <c r="M628" s="1">
        <v>884</v>
      </c>
      <c r="P628" t="str">
        <f t="shared" si="39"/>
        <v>56%</v>
      </c>
      <c r="Q628" s="12">
        <f t="shared" si="36"/>
        <v>0.56000000000000005</v>
      </c>
      <c r="R628" s="9">
        <f t="shared" si="37"/>
        <v>747.56</v>
      </c>
      <c r="S628" s="9">
        <f>IF(R628="",AVERAGEIF(Table1[Category],Table1[[#This Row],[Category]],Table2[orignal data]),Table2[[#This Row],[orignal data]])</f>
        <v>747.56</v>
      </c>
      <c r="T628" t="str">
        <f t="shared" si="38"/>
        <v>UNIQUE</v>
      </c>
      <c r="U628" t="str">
        <f>IF(ISBLANK(Table1[[#This Row],[SizeOption]]),"NOT AVAILABLE",Table1[[#This Row],[SizeOption]])</f>
        <v>XS, S, M, L, XL</v>
      </c>
      <c r="Y628" t="str">
        <f>IF(Table2[[#This Row],[Column1]]&gt;50%,"HIGH DISCOUNT","LOW DISCOUNT")</f>
        <v>HIGH DISCOUNT</v>
      </c>
    </row>
    <row r="629" spans="1:25" x14ac:dyDescent="0.25">
      <c r="A629" s="2" t="s">
        <v>1511</v>
      </c>
      <c r="B629" s="2">
        <v>9845435</v>
      </c>
      <c r="C629" s="2" t="s">
        <v>102</v>
      </c>
      <c r="D629" s="2" t="s">
        <v>41</v>
      </c>
      <c r="E629" s="2" t="s">
        <v>16</v>
      </c>
      <c r="F629" s="2" t="s">
        <v>36</v>
      </c>
      <c r="G629" s="2" t="s">
        <v>1512</v>
      </c>
      <c r="I629" s="2">
        <v>1899</v>
      </c>
      <c r="J629" s="2" t="s">
        <v>208</v>
      </c>
      <c r="K629" s="2" t="s">
        <v>428</v>
      </c>
      <c r="L629" s="2">
        <v>4.0999999999999996</v>
      </c>
      <c r="M629" s="2">
        <v>884</v>
      </c>
      <c r="P629" t="str">
        <f t="shared" si="39"/>
        <v>52%</v>
      </c>
      <c r="Q629" s="12">
        <f t="shared" si="36"/>
        <v>0.52</v>
      </c>
      <c r="R629" s="9">
        <f t="shared" si="37"/>
        <v>911.52</v>
      </c>
      <c r="S629" s="9">
        <f>IF(R629="",AVERAGEIF(Table1[Category],Table1[[#This Row],[Category]],Table2[orignal data]),Table2[[#This Row],[orignal data]])</f>
        <v>911.52</v>
      </c>
      <c r="T629" t="str">
        <f t="shared" si="38"/>
        <v>UNIQUE</v>
      </c>
      <c r="U629" t="str">
        <f>IF(ISBLANK(Table1[[#This Row],[SizeOption]]),"NOT AVAILABLE",Table1[[#This Row],[SizeOption]])</f>
        <v>26, 28, 30, 32, 34</v>
      </c>
      <c r="Y629" t="str">
        <f>IF(Table2[[#This Row],[Column1]]&gt;50%,"HIGH DISCOUNT","LOW DISCOUNT")</f>
        <v>HIGH DISCOUNT</v>
      </c>
    </row>
    <row r="630" spans="1:25" x14ac:dyDescent="0.25">
      <c r="A630" s="1" t="s">
        <v>1513</v>
      </c>
      <c r="B630" s="1">
        <v>8375977</v>
      </c>
      <c r="C630" s="1" t="s">
        <v>420</v>
      </c>
      <c r="D630" s="1" t="s">
        <v>15</v>
      </c>
      <c r="E630" s="1" t="s">
        <v>16</v>
      </c>
      <c r="F630" s="1" t="s">
        <v>17</v>
      </c>
      <c r="G630" s="1" t="s">
        <v>1514</v>
      </c>
      <c r="H630">
        <v>816</v>
      </c>
      <c r="I630" s="1">
        <v>1899</v>
      </c>
      <c r="J630" s="1" t="s">
        <v>130</v>
      </c>
      <c r="K630" s="1" t="s">
        <v>56</v>
      </c>
      <c r="L630" s="1">
        <v>3.7</v>
      </c>
      <c r="M630" s="1">
        <v>883</v>
      </c>
      <c r="P630" t="str">
        <f t="shared" si="39"/>
        <v>57%</v>
      </c>
      <c r="Q630" s="12">
        <f t="shared" si="36"/>
        <v>0.56999999999999995</v>
      </c>
      <c r="R630" s="9">
        <f t="shared" si="37"/>
        <v>816.57000000000016</v>
      </c>
      <c r="S630" s="9">
        <f>IF(R630="",AVERAGEIF(Table1[Category],Table1[[#This Row],[Category]],Table2[orignal data]),Table2[[#This Row],[orignal data]])</f>
        <v>816.57000000000016</v>
      </c>
      <c r="T630" t="str">
        <f t="shared" si="38"/>
        <v>UNIQUE</v>
      </c>
      <c r="U630" t="str">
        <f>IF(ISBLANK(Table1[[#This Row],[SizeOption]]),"NOT AVAILABLE",Table1[[#This Row],[SizeOption]])</f>
        <v>30, 32, 34, 36</v>
      </c>
      <c r="Y630" t="str">
        <f>IF(Table2[[#This Row],[Column1]]&gt;50%,"HIGH DISCOUNT","LOW DISCOUNT")</f>
        <v>HIGH DISCOUNT</v>
      </c>
    </row>
    <row r="631" spans="1:25" x14ac:dyDescent="0.25">
      <c r="A631" s="2" t="s">
        <v>1515</v>
      </c>
      <c r="B631" s="2">
        <v>6518651</v>
      </c>
      <c r="C631" s="2" t="s">
        <v>1516</v>
      </c>
      <c r="D631" s="2" t="s">
        <v>76</v>
      </c>
      <c r="E631" s="2" t="s">
        <v>77</v>
      </c>
      <c r="F631" s="2" t="s">
        <v>17</v>
      </c>
      <c r="G631" s="2" t="s">
        <v>1517</v>
      </c>
      <c r="H631">
        <v>1436</v>
      </c>
      <c r="I631" s="2">
        <v>3590</v>
      </c>
      <c r="J631" s="2" t="s">
        <v>55</v>
      </c>
      <c r="K631" s="2" t="s">
        <v>234</v>
      </c>
      <c r="L631" s="2">
        <v>3.9</v>
      </c>
      <c r="M631" s="2">
        <v>883</v>
      </c>
      <c r="P631" t="str">
        <f t="shared" si="39"/>
        <v>60%</v>
      </c>
      <c r="Q631" s="12">
        <f t="shared" si="36"/>
        <v>0.6</v>
      </c>
      <c r="R631" s="9">
        <f t="shared" si="37"/>
        <v>1436</v>
      </c>
      <c r="S631" s="9">
        <f>IF(R631="",AVERAGEIF(Table1[Category],Table1[[#This Row],[Category]],Table2[orignal data]),Table2[[#This Row],[orignal data]])</f>
        <v>1436</v>
      </c>
      <c r="T631" t="str">
        <f t="shared" si="38"/>
        <v>UNIQUE</v>
      </c>
      <c r="U631" t="str">
        <f>IF(ISBLANK(Table1[[#This Row],[SizeOption]]),"NOT AVAILABLE",Table1[[#This Row],[SizeOption]])</f>
        <v>S, M, L, XL, XXL, 3XL</v>
      </c>
      <c r="Y631" t="str">
        <f>IF(Table2[[#This Row],[Column1]]&gt;50%,"HIGH DISCOUNT","LOW DISCOUNT")</f>
        <v>HIGH DISCOUNT</v>
      </c>
    </row>
    <row r="632" spans="1:25" x14ac:dyDescent="0.25">
      <c r="A632" s="1" t="s">
        <v>1518</v>
      </c>
      <c r="B632" s="1">
        <v>12524816</v>
      </c>
      <c r="C632" s="1" t="s">
        <v>64</v>
      </c>
      <c r="D632" s="1" t="s">
        <v>98</v>
      </c>
      <c r="E632" s="1" t="s">
        <v>93</v>
      </c>
      <c r="F632" s="1" t="s">
        <v>36</v>
      </c>
      <c r="G632" s="1" t="s">
        <v>1519</v>
      </c>
      <c r="H632">
        <v>479</v>
      </c>
      <c r="I632" s="1">
        <v>1199</v>
      </c>
      <c r="J632" s="1" t="s">
        <v>55</v>
      </c>
      <c r="K632" s="1" t="s">
        <v>234</v>
      </c>
      <c r="L632" s="1">
        <v>4.0999999999999996</v>
      </c>
      <c r="M632" s="1">
        <v>883</v>
      </c>
      <c r="P632" t="str">
        <f t="shared" si="39"/>
        <v>60%</v>
      </c>
      <c r="Q632" s="12">
        <f t="shared" si="36"/>
        <v>0.6</v>
      </c>
      <c r="R632" s="9">
        <f t="shared" si="37"/>
        <v>479.6</v>
      </c>
      <c r="S632" s="9">
        <f>IF(R632="",AVERAGEIF(Table1[Category],Table1[[#This Row],[Category]],Table2[orignal data]),Table2[[#This Row],[orignal data]])</f>
        <v>479.6</v>
      </c>
      <c r="T632" t="str">
        <f t="shared" si="38"/>
        <v>UNIQUE</v>
      </c>
      <c r="U632" t="str">
        <f>IF(ISBLANK(Table1[[#This Row],[SizeOption]]),"NOT AVAILABLE",Table1[[#This Row],[SizeOption]])</f>
        <v>S, M, L, XL, XXL, 3XL</v>
      </c>
      <c r="Y632" t="str">
        <f>IF(Table2[[#This Row],[Column1]]&gt;50%,"HIGH DISCOUNT","LOW DISCOUNT")</f>
        <v>HIGH DISCOUNT</v>
      </c>
    </row>
    <row r="633" spans="1:25" x14ac:dyDescent="0.25">
      <c r="A633" s="2" t="s">
        <v>1520</v>
      </c>
      <c r="B633" s="2">
        <v>12332478</v>
      </c>
      <c r="C633" s="2" t="s">
        <v>47</v>
      </c>
      <c r="D633" s="2" t="s">
        <v>68</v>
      </c>
      <c r="E633" s="2" t="s">
        <v>23</v>
      </c>
      <c r="F633" s="2" t="s">
        <v>36</v>
      </c>
      <c r="G633" s="2" t="s">
        <v>1521</v>
      </c>
      <c r="H633">
        <v>509</v>
      </c>
      <c r="I633" s="2">
        <v>1699</v>
      </c>
      <c r="J633" s="2" t="s">
        <v>79</v>
      </c>
      <c r="K633" s="2" t="s">
        <v>45</v>
      </c>
      <c r="L633" s="2">
        <v>4.0999999999999996</v>
      </c>
      <c r="M633" s="2">
        <v>883</v>
      </c>
      <c r="P633" t="str">
        <f t="shared" si="39"/>
        <v>70%</v>
      </c>
      <c r="Q633" s="12">
        <f t="shared" si="36"/>
        <v>0.7</v>
      </c>
      <c r="R633" s="9">
        <f t="shared" si="37"/>
        <v>509.70000000000005</v>
      </c>
      <c r="S633" s="9">
        <f>IF(R633="",AVERAGEIF(Table1[Category],Table1[[#This Row],[Category]],Table2[orignal data]),Table2[[#This Row],[orignal data]])</f>
        <v>509.70000000000005</v>
      </c>
      <c r="T633" t="str">
        <f t="shared" si="38"/>
        <v>UNIQUE</v>
      </c>
      <c r="U633" t="str">
        <f>IF(ISBLANK(Table1[[#This Row],[SizeOption]]),"NOT AVAILABLE",Table1[[#This Row],[SizeOption]])</f>
        <v>XS, S, M, L, XL</v>
      </c>
      <c r="Y633" t="str">
        <f>IF(Table2[[#This Row],[Column1]]&gt;50%,"HIGH DISCOUNT","LOW DISCOUNT")</f>
        <v>HIGH DISCOUNT</v>
      </c>
    </row>
    <row r="634" spans="1:25" x14ac:dyDescent="0.25">
      <c r="A634" s="1" t="s">
        <v>1522</v>
      </c>
      <c r="B634" s="1">
        <v>17381392</v>
      </c>
      <c r="C634" s="1" t="s">
        <v>14</v>
      </c>
      <c r="D634" s="1" t="s">
        <v>41</v>
      </c>
      <c r="E634" s="1" t="s">
        <v>42</v>
      </c>
      <c r="F634" s="1" t="s">
        <v>36</v>
      </c>
      <c r="G634" s="1" t="s">
        <v>62</v>
      </c>
      <c r="I634" s="1">
        <v>1198</v>
      </c>
      <c r="J634" s="1" t="s">
        <v>84</v>
      </c>
      <c r="K634" s="1" t="s">
        <v>45</v>
      </c>
      <c r="L634" s="1">
        <v>4.3</v>
      </c>
      <c r="M634" s="1">
        <v>883</v>
      </c>
      <c r="P634" t="str">
        <f t="shared" si="39"/>
        <v>50%</v>
      </c>
      <c r="Q634" s="12">
        <f t="shared" si="36"/>
        <v>0.5</v>
      </c>
      <c r="R634" s="9">
        <f t="shared" si="37"/>
        <v>599</v>
      </c>
      <c r="S634" s="9">
        <f>IF(R634="",AVERAGEIF(Table1[Category],Table1[[#This Row],[Category]],Table2[orignal data]),Table2[[#This Row],[orignal data]])</f>
        <v>599</v>
      </c>
      <c r="T634" t="str">
        <f t="shared" si="38"/>
        <v>UNIQUE</v>
      </c>
      <c r="U634" t="str">
        <f>IF(ISBLANK(Table1[[#This Row],[SizeOption]]),"NOT AVAILABLE",Table1[[#This Row],[SizeOption]])</f>
        <v>XS, S, M, L, XL</v>
      </c>
      <c r="Y634" t="str">
        <f>IF(Table2[[#This Row],[Column1]]&gt;50%,"HIGH DISCOUNT","LOW DISCOUNT")</f>
        <v>LOW DISCOUNT</v>
      </c>
    </row>
    <row r="635" spans="1:25" x14ac:dyDescent="0.25">
      <c r="A635" s="2" t="s">
        <v>1523</v>
      </c>
      <c r="B635" s="2">
        <v>11991112</v>
      </c>
      <c r="C635" s="2" t="s">
        <v>14</v>
      </c>
      <c r="D635" s="2" t="s">
        <v>41</v>
      </c>
      <c r="E635" s="2" t="s">
        <v>306</v>
      </c>
      <c r="F635" s="2" t="s">
        <v>36</v>
      </c>
      <c r="G635" s="2" t="s">
        <v>1524</v>
      </c>
      <c r="I635" s="2">
        <v>1199</v>
      </c>
      <c r="J635" s="2" t="s">
        <v>79</v>
      </c>
      <c r="K635" s="2" t="s">
        <v>115</v>
      </c>
      <c r="L635" s="2">
        <v>4.4000000000000004</v>
      </c>
      <c r="M635" s="2">
        <v>883</v>
      </c>
      <c r="P635" t="str">
        <f t="shared" si="39"/>
        <v>70%</v>
      </c>
      <c r="Q635" s="12">
        <f t="shared" si="36"/>
        <v>0.7</v>
      </c>
      <c r="R635" s="9">
        <f t="shared" si="37"/>
        <v>359.70000000000005</v>
      </c>
      <c r="S635" s="9">
        <f>IF(R635="",AVERAGEIF(Table1[Category],Table1[[#This Row],[Category]],Table2[orignal data]),Table2[[#This Row],[orignal data]])</f>
        <v>359.70000000000005</v>
      </c>
      <c r="T635" t="str">
        <f t="shared" si="38"/>
        <v>UNIQUE</v>
      </c>
      <c r="U635" t="str">
        <f>IF(ISBLANK(Table1[[#This Row],[SizeOption]]),"NOT AVAILABLE",Table1[[#This Row],[SizeOption]])</f>
        <v>XS, S, M, L, XL, XXL</v>
      </c>
      <c r="Y635" t="str">
        <f>IF(Table2[[#This Row],[Column1]]&gt;50%,"HIGH DISCOUNT","LOW DISCOUNT")</f>
        <v>HIGH DISCOUNT</v>
      </c>
    </row>
    <row r="636" spans="1:25" x14ac:dyDescent="0.25">
      <c r="A636" s="1" t="s">
        <v>1525</v>
      </c>
      <c r="B636" s="1">
        <v>13194602</v>
      </c>
      <c r="C636" s="1" t="s">
        <v>102</v>
      </c>
      <c r="D636" s="1" t="s">
        <v>41</v>
      </c>
      <c r="E636" s="1" t="s">
        <v>148</v>
      </c>
      <c r="F636" s="1" t="s">
        <v>36</v>
      </c>
      <c r="G636" s="1" t="s">
        <v>1526</v>
      </c>
      <c r="I636" s="1">
        <v>1349</v>
      </c>
      <c r="J636" s="1" t="s">
        <v>89</v>
      </c>
      <c r="K636" s="1" t="s">
        <v>26</v>
      </c>
      <c r="L636" s="1">
        <v>4.5</v>
      </c>
      <c r="M636" s="1">
        <v>883</v>
      </c>
      <c r="P636" t="str">
        <f t="shared" si="39"/>
        <v>53%</v>
      </c>
      <c r="Q636" s="12">
        <f t="shared" si="36"/>
        <v>0.53</v>
      </c>
      <c r="R636" s="9">
        <f t="shared" si="37"/>
        <v>634.03</v>
      </c>
      <c r="S636" s="9">
        <f>IF(R636="",AVERAGEIF(Table1[Category],Table1[[#This Row],[Category]],Table2[orignal data]),Table2[[#This Row],[orignal data]])</f>
        <v>634.03</v>
      </c>
      <c r="T636" t="str">
        <f t="shared" si="38"/>
        <v>UNIQUE</v>
      </c>
      <c r="U636" t="str">
        <f>IF(ISBLANK(Table1[[#This Row],[SizeOption]]),"NOT AVAILABLE",Table1[[#This Row],[SizeOption]])</f>
        <v>S, M, L, XL</v>
      </c>
      <c r="Y636" t="str">
        <f>IF(Table2[[#This Row],[Column1]]&gt;50%,"HIGH DISCOUNT","LOW DISCOUNT")</f>
        <v>HIGH DISCOUNT</v>
      </c>
    </row>
    <row r="637" spans="1:25" x14ac:dyDescent="0.25">
      <c r="A637" s="2" t="s">
        <v>1527</v>
      </c>
      <c r="B637" s="2">
        <v>10437832</v>
      </c>
      <c r="C637" s="2" t="s">
        <v>102</v>
      </c>
      <c r="D637" s="2" t="s">
        <v>41</v>
      </c>
      <c r="E637" s="2" t="s">
        <v>189</v>
      </c>
      <c r="F637" s="2" t="s">
        <v>36</v>
      </c>
      <c r="G637" s="2" t="s">
        <v>1528</v>
      </c>
      <c r="I637" s="2">
        <v>2299</v>
      </c>
      <c r="J637" s="2" t="s">
        <v>130</v>
      </c>
      <c r="K637" s="2" t="s">
        <v>26</v>
      </c>
      <c r="L637" s="2">
        <v>4</v>
      </c>
      <c r="M637" s="2">
        <v>883</v>
      </c>
      <c r="P637" t="str">
        <f t="shared" si="39"/>
        <v>57%</v>
      </c>
      <c r="Q637" s="12">
        <f t="shared" si="36"/>
        <v>0.56999999999999995</v>
      </c>
      <c r="R637" s="9">
        <f t="shared" si="37"/>
        <v>988.57000000000016</v>
      </c>
      <c r="S637" s="9">
        <f>IF(R637="",AVERAGEIF(Table1[Category],Table1[[#This Row],[Category]],Table2[orignal data]),Table2[[#This Row],[orignal data]])</f>
        <v>988.57000000000016</v>
      </c>
      <c r="T637" t="str">
        <f t="shared" si="38"/>
        <v>UNIQUE</v>
      </c>
      <c r="U637" t="str">
        <f>IF(ISBLANK(Table1[[#This Row],[SizeOption]]),"NOT AVAILABLE",Table1[[#This Row],[SizeOption]])</f>
        <v>S, M, L, XL</v>
      </c>
      <c r="Y637" t="str">
        <f>IF(Table2[[#This Row],[Column1]]&gt;50%,"HIGH DISCOUNT","LOW DISCOUNT")</f>
        <v>HIGH DISCOUNT</v>
      </c>
    </row>
    <row r="638" spans="1:25" x14ac:dyDescent="0.25">
      <c r="A638" s="1" t="s">
        <v>1529</v>
      </c>
      <c r="B638" s="1">
        <v>8207829</v>
      </c>
      <c r="C638" s="1" t="s">
        <v>184</v>
      </c>
      <c r="D638" s="1" t="s">
        <v>41</v>
      </c>
      <c r="E638" s="1" t="s">
        <v>148</v>
      </c>
      <c r="F638" s="1" t="s">
        <v>36</v>
      </c>
      <c r="G638" s="1" t="s">
        <v>1530</v>
      </c>
      <c r="I638" s="1">
        <v>2599</v>
      </c>
      <c r="J638" s="1" t="s">
        <v>55</v>
      </c>
      <c r="K638" s="1" t="s">
        <v>39</v>
      </c>
      <c r="L638" s="1">
        <v>4.0999999999999996</v>
      </c>
      <c r="M638" s="1">
        <v>883</v>
      </c>
      <c r="P638" t="str">
        <f t="shared" si="39"/>
        <v>60%</v>
      </c>
      <c r="Q638" s="12">
        <f t="shared" si="36"/>
        <v>0.6</v>
      </c>
      <c r="R638" s="9">
        <f t="shared" si="37"/>
        <v>1039.6000000000001</v>
      </c>
      <c r="S638" s="9">
        <f>IF(R638="",AVERAGEIF(Table1[Category],Table1[[#This Row],[Category]],Table2[orignal data]),Table2[[#This Row],[orignal data]])</f>
        <v>1039.6000000000001</v>
      </c>
      <c r="T638" t="str">
        <f t="shared" si="38"/>
        <v>UNIQUE</v>
      </c>
      <c r="U638" t="str">
        <f>IF(ISBLANK(Table1[[#This Row],[SizeOption]]),"NOT AVAILABLE",Table1[[#This Row],[SizeOption]])</f>
        <v>S, M, L, XL, XXL</v>
      </c>
      <c r="Y638" t="str">
        <f>IF(Table2[[#This Row],[Column1]]&gt;50%,"HIGH DISCOUNT","LOW DISCOUNT")</f>
        <v>HIGH DISCOUNT</v>
      </c>
    </row>
    <row r="639" spans="1:25" x14ac:dyDescent="0.25">
      <c r="A639" s="2" t="s">
        <v>1531</v>
      </c>
      <c r="B639" s="2">
        <v>8328571</v>
      </c>
      <c r="C639" s="2" t="s">
        <v>67</v>
      </c>
      <c r="D639" s="2" t="s">
        <v>41</v>
      </c>
      <c r="E639" s="2" t="s">
        <v>42</v>
      </c>
      <c r="F639" s="2" t="s">
        <v>36</v>
      </c>
      <c r="G639" s="2" t="s">
        <v>1532</v>
      </c>
      <c r="I639" s="2">
        <v>699</v>
      </c>
      <c r="J639" s="2" t="s">
        <v>25</v>
      </c>
      <c r="K639" s="2" t="s">
        <v>115</v>
      </c>
      <c r="L639" s="2">
        <v>4.4000000000000004</v>
      </c>
      <c r="M639" s="2">
        <v>883</v>
      </c>
      <c r="P639" t="str">
        <f t="shared" si="39"/>
        <v>55%</v>
      </c>
      <c r="Q639" s="12">
        <f t="shared" si="36"/>
        <v>0.55000000000000004</v>
      </c>
      <c r="R639" s="9">
        <f t="shared" si="37"/>
        <v>314.54999999999995</v>
      </c>
      <c r="S639" s="9">
        <f>IF(R639="",AVERAGEIF(Table1[Category],Table1[[#This Row],[Category]],Table2[orignal data]),Table2[[#This Row],[orignal data]])</f>
        <v>314.54999999999995</v>
      </c>
      <c r="T639" t="str">
        <f t="shared" si="38"/>
        <v>UNIQUE</v>
      </c>
      <c r="U639" t="str">
        <f>IF(ISBLANK(Table1[[#This Row],[SizeOption]]),"NOT AVAILABLE",Table1[[#This Row],[SizeOption]])</f>
        <v>XS, S, M, L, XL, XXL</v>
      </c>
      <c r="Y639" t="str">
        <f>IF(Table2[[#This Row],[Column1]]&gt;50%,"HIGH DISCOUNT","LOW DISCOUNT")</f>
        <v>HIGH DISCOUNT</v>
      </c>
    </row>
    <row r="640" spans="1:25" x14ac:dyDescent="0.25">
      <c r="A640" s="1" t="s">
        <v>1533</v>
      </c>
      <c r="B640" s="1">
        <v>11363752</v>
      </c>
      <c r="C640" s="1" t="s">
        <v>169</v>
      </c>
      <c r="D640" s="1" t="s">
        <v>28</v>
      </c>
      <c r="E640" s="1" t="s">
        <v>42</v>
      </c>
      <c r="F640" s="1" t="s">
        <v>17</v>
      </c>
      <c r="G640" s="1" t="s">
        <v>1534</v>
      </c>
      <c r="H640">
        <v>599</v>
      </c>
      <c r="I640" s="1">
        <v>1199</v>
      </c>
      <c r="J640" s="1" t="s">
        <v>84</v>
      </c>
      <c r="K640" s="1" t="s">
        <v>39</v>
      </c>
      <c r="L640" s="1">
        <v>4.3</v>
      </c>
      <c r="M640" s="1">
        <v>882</v>
      </c>
      <c r="P640" t="str">
        <f t="shared" si="39"/>
        <v>50%</v>
      </c>
      <c r="Q640" s="12">
        <f t="shared" si="36"/>
        <v>0.5</v>
      </c>
      <c r="R640" s="9">
        <f t="shared" si="37"/>
        <v>599.5</v>
      </c>
      <c r="S640" s="9">
        <f>IF(R640="",AVERAGEIF(Table1[Category],Table1[[#This Row],[Category]],Table2[orignal data]),Table2[[#This Row],[orignal data]])</f>
        <v>599.5</v>
      </c>
      <c r="T640" t="str">
        <f t="shared" si="38"/>
        <v>UNIQUE</v>
      </c>
      <c r="U640" t="str">
        <f>IF(ISBLANK(Table1[[#This Row],[SizeOption]]),"NOT AVAILABLE",Table1[[#This Row],[SizeOption]])</f>
        <v>S, M, L, XL, XXL</v>
      </c>
      <c r="Y640" t="str">
        <f>IF(Table2[[#This Row],[Column1]]&gt;50%,"HIGH DISCOUNT","LOW DISCOUNT")</f>
        <v>LOW DISCOUNT</v>
      </c>
    </row>
    <row r="641" spans="1:25" x14ac:dyDescent="0.25">
      <c r="A641" s="2" t="s">
        <v>1535</v>
      </c>
      <c r="B641" s="2">
        <v>4318093</v>
      </c>
      <c r="C641" s="2" t="s">
        <v>64</v>
      </c>
      <c r="D641" s="2" t="s">
        <v>28</v>
      </c>
      <c r="E641" s="2" t="s">
        <v>42</v>
      </c>
      <c r="F641" s="2" t="s">
        <v>17</v>
      </c>
      <c r="G641" s="2" t="s">
        <v>1536</v>
      </c>
      <c r="H641">
        <v>454</v>
      </c>
      <c r="I641" s="2">
        <v>1299</v>
      </c>
      <c r="J641" s="2" t="s">
        <v>150</v>
      </c>
      <c r="K641" s="2" t="s">
        <v>39</v>
      </c>
      <c r="L641" s="2">
        <v>4.0999999999999996</v>
      </c>
      <c r="M641" s="2">
        <v>882</v>
      </c>
      <c r="P641" t="str">
        <f t="shared" si="39"/>
        <v>65%</v>
      </c>
      <c r="Q641" s="12">
        <f t="shared" si="36"/>
        <v>0.65</v>
      </c>
      <c r="R641" s="9">
        <f t="shared" si="37"/>
        <v>454.65</v>
      </c>
      <c r="S641" s="9">
        <f>IF(R641="",AVERAGEIF(Table1[Category],Table1[[#This Row],[Category]],Table2[orignal data]),Table2[[#This Row],[orignal data]])</f>
        <v>454.65</v>
      </c>
      <c r="T641" t="str">
        <f t="shared" si="38"/>
        <v>UNIQUE</v>
      </c>
      <c r="U641" t="str">
        <f>IF(ISBLANK(Table1[[#This Row],[SizeOption]]),"NOT AVAILABLE",Table1[[#This Row],[SizeOption]])</f>
        <v>S, M, L, XL, XXL</v>
      </c>
      <c r="Y641" t="str">
        <f>IF(Table2[[#This Row],[Column1]]&gt;50%,"HIGH DISCOUNT","LOW DISCOUNT")</f>
        <v>HIGH DISCOUNT</v>
      </c>
    </row>
    <row r="642" spans="1:25" x14ac:dyDescent="0.25">
      <c r="A642" s="1" t="s">
        <v>1537</v>
      </c>
      <c r="B642" s="1">
        <v>12135064</v>
      </c>
      <c r="C642" s="1" t="s">
        <v>113</v>
      </c>
      <c r="D642" s="1" t="s">
        <v>76</v>
      </c>
      <c r="E642" s="1" t="s">
        <v>93</v>
      </c>
      <c r="F642" s="1" t="s">
        <v>36</v>
      </c>
      <c r="G642" s="1" t="s">
        <v>1538</v>
      </c>
      <c r="H642">
        <v>879</v>
      </c>
      <c r="I642" s="1">
        <v>1599</v>
      </c>
      <c r="J642" s="1" t="s">
        <v>19</v>
      </c>
      <c r="K642" s="1" t="s">
        <v>115</v>
      </c>
      <c r="L642" s="1">
        <v>4.0999999999999996</v>
      </c>
      <c r="M642" s="1">
        <v>882</v>
      </c>
      <c r="P642" t="str">
        <f t="shared" si="39"/>
        <v>45%</v>
      </c>
      <c r="Q642" s="12">
        <f t="shared" ref="Q642:Q705" si="40">IF(P642="","",IF(ISNUMBER(SEARCH("%",P642)),P642,P642/I642)*100%)</f>
        <v>0.45</v>
      </c>
      <c r="R642" s="9">
        <f t="shared" ref="R642:R705" si="41">IF(P642="","",I642-(I642*Q642))</f>
        <v>879.44999999999993</v>
      </c>
      <c r="S642" s="9">
        <f>IF(R642="",AVERAGEIF(Table1[Category],Table1[[#This Row],[Category]],Table2[orignal data]),Table2[[#This Row],[orignal data]])</f>
        <v>879.44999999999993</v>
      </c>
      <c r="T642" t="str">
        <f t="shared" ref="T642:T705" si="42">IF(COUNTIF($B$2:$B$5000,B642)&gt;1,"DUPLICATE","UNIQUE")</f>
        <v>UNIQUE</v>
      </c>
      <c r="U642" t="str">
        <f>IF(ISBLANK(Table1[[#This Row],[SizeOption]]),"NOT AVAILABLE",Table1[[#This Row],[SizeOption]])</f>
        <v>XS, S, M, L, XL, XXL</v>
      </c>
      <c r="Y642" t="str">
        <f>IF(Table2[[#This Row],[Column1]]&gt;50%,"HIGH DISCOUNT","LOW DISCOUNT")</f>
        <v>LOW DISCOUNT</v>
      </c>
    </row>
    <row r="643" spans="1:25" x14ac:dyDescent="0.25">
      <c r="A643" s="2" t="s">
        <v>1539</v>
      </c>
      <c r="B643" s="2">
        <v>11250784</v>
      </c>
      <c r="C643" s="2" t="s">
        <v>865</v>
      </c>
      <c r="D643" s="2" t="s">
        <v>76</v>
      </c>
      <c r="E643" s="2" t="s">
        <v>77</v>
      </c>
      <c r="F643" s="2" t="s">
        <v>36</v>
      </c>
      <c r="G643" s="2" t="s">
        <v>1540</v>
      </c>
      <c r="H643">
        <v>1799</v>
      </c>
      <c r="I643" s="2">
        <v>3999</v>
      </c>
      <c r="J643" s="2" t="s">
        <v>25</v>
      </c>
      <c r="K643" s="2" t="s">
        <v>39</v>
      </c>
      <c r="L643" s="2">
        <v>4.4000000000000004</v>
      </c>
      <c r="M643" s="2">
        <v>882</v>
      </c>
      <c r="P643" t="str">
        <f t="shared" ref="P643:P706" si="43">TRIM(SUBSTITUTE(SUBSTITUTE(SUBSTITUTE(SUBSTITUTE(J643,"OFF",""),"Rs.",""),"Hurry*",""),",",""))</f>
        <v>55%</v>
      </c>
      <c r="Q643" s="12">
        <f t="shared" si="40"/>
        <v>0.55000000000000004</v>
      </c>
      <c r="R643" s="9">
        <f t="shared" si="41"/>
        <v>1799.5499999999997</v>
      </c>
      <c r="S643" s="9">
        <f>IF(R643="",AVERAGEIF(Table1[Category],Table1[[#This Row],[Category]],Table2[orignal data]),Table2[[#This Row],[orignal data]])</f>
        <v>1799.5499999999997</v>
      </c>
      <c r="T643" t="str">
        <f t="shared" si="42"/>
        <v>UNIQUE</v>
      </c>
      <c r="U643" t="str">
        <f>IF(ISBLANK(Table1[[#This Row],[SizeOption]]),"NOT AVAILABLE",Table1[[#This Row],[SizeOption]])</f>
        <v>S, M, L, XL, XXL</v>
      </c>
      <c r="Y643" t="str">
        <f>IF(Table2[[#This Row],[Column1]]&gt;50%,"HIGH DISCOUNT","LOW DISCOUNT")</f>
        <v>HIGH DISCOUNT</v>
      </c>
    </row>
    <row r="644" spans="1:25" x14ac:dyDescent="0.25">
      <c r="A644" s="1" t="s">
        <v>1541</v>
      </c>
      <c r="B644" s="1">
        <v>4891826</v>
      </c>
      <c r="C644" s="1" t="s">
        <v>591</v>
      </c>
      <c r="D644" s="1" t="s">
        <v>76</v>
      </c>
      <c r="E644" s="1" t="s">
        <v>592</v>
      </c>
      <c r="F644" s="1" t="s">
        <v>36</v>
      </c>
      <c r="G644" s="1" t="s">
        <v>1542</v>
      </c>
      <c r="I644" s="1">
        <v>699</v>
      </c>
      <c r="J644" s="1"/>
      <c r="K644" s="1" t="s">
        <v>26</v>
      </c>
      <c r="L644" s="1">
        <v>4.4000000000000004</v>
      </c>
      <c r="M644" s="1">
        <v>882</v>
      </c>
      <c r="P644" t="str">
        <f t="shared" si="43"/>
        <v/>
      </c>
      <c r="Q644" s="12" t="str">
        <f t="shared" si="40"/>
        <v/>
      </c>
      <c r="R644" s="9" t="str">
        <f t="shared" si="41"/>
        <v/>
      </c>
      <c r="S644" s="9">
        <f>IF(R644="",AVERAGEIF(Table1[Category],Table1[[#This Row],[Category]],Table2[orignal data]),Table2[[#This Row],[orignal data]])</f>
        <v>1045.2418648648661</v>
      </c>
      <c r="T644" t="str">
        <f t="shared" si="42"/>
        <v>UNIQUE</v>
      </c>
      <c r="U644" t="str">
        <f>IF(ISBLANK(Table1[[#This Row],[SizeOption]]),"NOT AVAILABLE",Table1[[#This Row],[SizeOption]])</f>
        <v>S, M, L, XL</v>
      </c>
      <c r="Y644" t="str">
        <f>IF(Table2[[#This Row],[Column1]]&gt;50%,"HIGH DISCOUNT","LOW DISCOUNT")</f>
        <v>HIGH DISCOUNT</v>
      </c>
    </row>
    <row r="645" spans="1:25" x14ac:dyDescent="0.25">
      <c r="A645" s="2" t="s">
        <v>1543</v>
      </c>
      <c r="B645" s="2">
        <v>14170722</v>
      </c>
      <c r="C645" s="2" t="s">
        <v>102</v>
      </c>
      <c r="D645" s="2" t="s">
        <v>41</v>
      </c>
      <c r="E645" s="2" t="s">
        <v>23</v>
      </c>
      <c r="F645" s="2" t="s">
        <v>36</v>
      </c>
      <c r="G645" s="2" t="s">
        <v>1544</v>
      </c>
      <c r="I645" s="2">
        <v>1149</v>
      </c>
      <c r="J645" s="2" t="s">
        <v>758</v>
      </c>
      <c r="K645" s="2" t="s">
        <v>26</v>
      </c>
      <c r="L645" s="2">
        <v>4.3</v>
      </c>
      <c r="M645" s="2">
        <v>882</v>
      </c>
      <c r="P645" t="str">
        <f t="shared" si="43"/>
        <v>47%</v>
      </c>
      <c r="Q645" s="12">
        <f t="shared" si="40"/>
        <v>0.47</v>
      </c>
      <c r="R645" s="9">
        <f t="shared" si="41"/>
        <v>608.97</v>
      </c>
      <c r="S645" s="9">
        <f>IF(R645="",AVERAGEIF(Table1[Category],Table1[[#This Row],[Category]],Table2[orignal data]),Table2[[#This Row],[orignal data]])</f>
        <v>608.97</v>
      </c>
      <c r="T645" t="str">
        <f t="shared" si="42"/>
        <v>UNIQUE</v>
      </c>
      <c r="U645" t="str">
        <f>IF(ISBLANK(Table1[[#This Row],[SizeOption]]),"NOT AVAILABLE",Table1[[#This Row],[SizeOption]])</f>
        <v>S, M, L, XL</v>
      </c>
      <c r="Y645" t="str">
        <f>IF(Table2[[#This Row],[Column1]]&gt;50%,"HIGH DISCOUNT","LOW DISCOUNT")</f>
        <v>LOW DISCOUNT</v>
      </c>
    </row>
    <row r="646" spans="1:25" x14ac:dyDescent="0.25">
      <c r="A646" s="1" t="s">
        <v>1545</v>
      </c>
      <c r="B646" s="1">
        <v>10679270</v>
      </c>
      <c r="C646" s="1" t="s">
        <v>1546</v>
      </c>
      <c r="D646" s="1" t="s">
        <v>41</v>
      </c>
      <c r="E646" s="1" t="s">
        <v>148</v>
      </c>
      <c r="F646" s="1" t="s">
        <v>36</v>
      </c>
      <c r="G646" s="1" t="s">
        <v>1547</v>
      </c>
      <c r="I646" s="1">
        <v>2399</v>
      </c>
      <c r="J646" s="1" t="s">
        <v>126</v>
      </c>
      <c r="K646" s="1" t="s">
        <v>115</v>
      </c>
      <c r="L646" s="1">
        <v>4.3</v>
      </c>
      <c r="M646" s="1">
        <v>882</v>
      </c>
      <c r="P646" t="str">
        <f t="shared" si="43"/>
        <v>62%</v>
      </c>
      <c r="Q646" s="12">
        <f t="shared" si="40"/>
        <v>0.62</v>
      </c>
      <c r="R646" s="9">
        <f t="shared" si="41"/>
        <v>911.62000000000012</v>
      </c>
      <c r="S646" s="9">
        <f>IF(R646="",AVERAGEIF(Table1[Category],Table1[[#This Row],[Category]],Table2[orignal data]),Table2[[#This Row],[orignal data]])</f>
        <v>911.62000000000012</v>
      </c>
      <c r="T646" t="str">
        <f t="shared" si="42"/>
        <v>UNIQUE</v>
      </c>
      <c r="U646" t="str">
        <f>IF(ISBLANK(Table1[[#This Row],[SizeOption]]),"NOT AVAILABLE",Table1[[#This Row],[SizeOption]])</f>
        <v>XS, S, M, L, XL, XXL</v>
      </c>
      <c r="Y646" t="str">
        <f>IF(Table2[[#This Row],[Column1]]&gt;50%,"HIGH DISCOUNT","LOW DISCOUNT")</f>
        <v>HIGH DISCOUNT</v>
      </c>
    </row>
    <row r="647" spans="1:25" x14ac:dyDescent="0.25">
      <c r="A647" s="2" t="s">
        <v>1548</v>
      </c>
      <c r="B647" s="2">
        <v>17384184</v>
      </c>
      <c r="C647" s="2" t="s">
        <v>14</v>
      </c>
      <c r="D647" s="2" t="s">
        <v>41</v>
      </c>
      <c r="E647" s="2" t="s">
        <v>42</v>
      </c>
      <c r="F647" s="2" t="s">
        <v>36</v>
      </c>
      <c r="G647" s="2" t="s">
        <v>1549</v>
      </c>
      <c r="I647" s="2">
        <v>1398</v>
      </c>
      <c r="J647" s="2"/>
      <c r="K647" s="2" t="s">
        <v>45</v>
      </c>
      <c r="L647" s="2">
        <v>4.0999999999999996</v>
      </c>
      <c r="M647" s="2">
        <v>882</v>
      </c>
      <c r="P647" t="str">
        <f t="shared" si="43"/>
        <v/>
      </c>
      <c r="Q647" s="12" t="str">
        <f t="shared" si="40"/>
        <v/>
      </c>
      <c r="R647" s="9" t="str">
        <f t="shared" si="41"/>
        <v/>
      </c>
      <c r="S647" s="9">
        <f>IF(R647="",AVERAGEIF(Table1[Category],Table1[[#This Row],[Category]],Table2[orignal data]),Table2[[#This Row],[orignal data]])</f>
        <v>715.78890751086249</v>
      </c>
      <c r="T647" t="str">
        <f t="shared" si="42"/>
        <v>UNIQUE</v>
      </c>
      <c r="U647" t="str">
        <f>IF(ISBLANK(Table1[[#This Row],[SizeOption]]),"NOT AVAILABLE",Table1[[#This Row],[SizeOption]])</f>
        <v>XS, S, M, L, XL</v>
      </c>
      <c r="Y647" t="str">
        <f>IF(Table2[[#This Row],[Column1]]&gt;50%,"HIGH DISCOUNT","LOW DISCOUNT")</f>
        <v>HIGH DISCOUNT</v>
      </c>
    </row>
    <row r="648" spans="1:25" x14ac:dyDescent="0.25">
      <c r="A648" s="1" t="s">
        <v>1550</v>
      </c>
      <c r="B648" s="1">
        <v>10187629</v>
      </c>
      <c r="C648" s="1" t="s">
        <v>169</v>
      </c>
      <c r="D648" s="1" t="s">
        <v>28</v>
      </c>
      <c r="E648" s="1" t="s">
        <v>29</v>
      </c>
      <c r="F648" s="1" t="s">
        <v>17</v>
      </c>
      <c r="G648" s="1" t="s">
        <v>1551</v>
      </c>
      <c r="H648">
        <v>1199</v>
      </c>
      <c r="I648" s="1">
        <v>2399</v>
      </c>
      <c r="J648" s="1" t="s">
        <v>84</v>
      </c>
      <c r="K648" s="1" t="s">
        <v>484</v>
      </c>
      <c r="L648" s="1">
        <v>4.3</v>
      </c>
      <c r="M648" s="1">
        <v>881</v>
      </c>
      <c r="P648" t="str">
        <f t="shared" si="43"/>
        <v>50%</v>
      </c>
      <c r="Q648" s="12">
        <f t="shared" si="40"/>
        <v>0.5</v>
      </c>
      <c r="R648" s="9">
        <f t="shared" si="41"/>
        <v>1199.5</v>
      </c>
      <c r="S648" s="9">
        <f>IF(R648="",AVERAGEIF(Table1[Category],Table1[[#This Row],[Category]],Table2[orignal data]),Table2[[#This Row],[orignal data]])</f>
        <v>1199.5</v>
      </c>
      <c r="T648" t="str">
        <f t="shared" si="42"/>
        <v>UNIQUE</v>
      </c>
      <c r="U648" t="str">
        <f>IF(ISBLANK(Table1[[#This Row],[SizeOption]]),"NOT AVAILABLE",Table1[[#This Row],[SizeOption]])</f>
        <v>39, 40, 42, 44, 46</v>
      </c>
      <c r="Y648" t="str">
        <f>IF(Table2[[#This Row],[Column1]]&gt;50%,"HIGH DISCOUNT","LOW DISCOUNT")</f>
        <v>LOW DISCOUNT</v>
      </c>
    </row>
    <row r="649" spans="1:25" x14ac:dyDescent="0.25">
      <c r="A649" s="2" t="s">
        <v>1552</v>
      </c>
      <c r="B649" s="2">
        <v>10187221</v>
      </c>
      <c r="C649" s="2" t="s">
        <v>169</v>
      </c>
      <c r="D649" s="2" t="s">
        <v>28</v>
      </c>
      <c r="E649" s="2" t="s">
        <v>189</v>
      </c>
      <c r="F649" s="2" t="s">
        <v>17</v>
      </c>
      <c r="G649" s="2" t="s">
        <v>1553</v>
      </c>
      <c r="H649">
        <v>1839</v>
      </c>
      <c r="I649" s="2">
        <v>4599</v>
      </c>
      <c r="J649" s="2" t="s">
        <v>55</v>
      </c>
      <c r="K649" s="2" t="s">
        <v>881</v>
      </c>
      <c r="L649" s="2">
        <v>4</v>
      </c>
      <c r="M649" s="2">
        <v>881</v>
      </c>
      <c r="P649" t="str">
        <f t="shared" si="43"/>
        <v>60%</v>
      </c>
      <c r="Q649" s="12">
        <f t="shared" si="40"/>
        <v>0.6</v>
      </c>
      <c r="R649" s="9">
        <f t="shared" si="41"/>
        <v>1839.6</v>
      </c>
      <c r="S649" s="9">
        <f>IF(R649="",AVERAGEIF(Table1[Category],Table1[[#This Row],[Category]],Table2[orignal data]),Table2[[#This Row],[orignal data]])</f>
        <v>1839.6</v>
      </c>
      <c r="T649" t="str">
        <f t="shared" si="42"/>
        <v>UNIQUE</v>
      </c>
      <c r="U649" t="str">
        <f>IF(ISBLANK(Table1[[#This Row],[SizeOption]]),"NOT AVAILABLE",Table1[[#This Row],[SizeOption]])</f>
        <v>M, L, XL, XXL</v>
      </c>
      <c r="Y649" t="str">
        <f>IF(Table2[[#This Row],[Column1]]&gt;50%,"HIGH DISCOUNT","LOW DISCOUNT")</f>
        <v>HIGH DISCOUNT</v>
      </c>
    </row>
    <row r="650" spans="1:25" x14ac:dyDescent="0.25">
      <c r="A650" s="1" t="s">
        <v>1554</v>
      </c>
      <c r="B650" s="1">
        <v>9301353</v>
      </c>
      <c r="C650" s="1" t="s">
        <v>1555</v>
      </c>
      <c r="D650" s="1" t="s">
        <v>76</v>
      </c>
      <c r="E650" s="1" t="s">
        <v>93</v>
      </c>
      <c r="F650" s="1" t="s">
        <v>36</v>
      </c>
      <c r="G650" s="1" t="s">
        <v>1556</v>
      </c>
      <c r="H650">
        <v>944</v>
      </c>
      <c r="I650" s="1">
        <v>1499</v>
      </c>
      <c r="J650" s="1" t="s">
        <v>1557</v>
      </c>
      <c r="K650" s="1" t="s">
        <v>1558</v>
      </c>
      <c r="L650" s="1">
        <v>4.3</v>
      </c>
      <c r="M650" s="1">
        <v>881</v>
      </c>
      <c r="P650" t="str">
        <f t="shared" si="43"/>
        <v>37%</v>
      </c>
      <c r="Q650" s="12">
        <f t="shared" si="40"/>
        <v>0.37</v>
      </c>
      <c r="R650" s="9">
        <f t="shared" si="41"/>
        <v>944.37</v>
      </c>
      <c r="S650" s="9">
        <f>IF(R650="",AVERAGEIF(Table1[Category],Table1[[#This Row],[Category]],Table2[orignal data]),Table2[[#This Row],[orignal data]])</f>
        <v>944.37</v>
      </c>
      <c r="T650" t="str">
        <f t="shared" si="42"/>
        <v>UNIQUE</v>
      </c>
      <c r="U650" t="str">
        <f>IF(ISBLANK(Table1[[#This Row],[SizeOption]]),"NOT AVAILABLE",Table1[[#This Row],[SizeOption]])</f>
        <v>XS, S, M, L, XL, XXL, 3XL, 4XL, 5XL, 6XL, 7XL, 8XL</v>
      </c>
      <c r="Y650" t="str">
        <f>IF(Table2[[#This Row],[Column1]]&gt;50%,"HIGH DISCOUNT","LOW DISCOUNT")</f>
        <v>LOW DISCOUNT</v>
      </c>
    </row>
    <row r="651" spans="1:25" x14ac:dyDescent="0.25">
      <c r="A651" s="2" t="s">
        <v>1559</v>
      </c>
      <c r="B651" s="2">
        <v>16697006</v>
      </c>
      <c r="C651" s="2" t="s">
        <v>837</v>
      </c>
      <c r="D651" s="2" t="s">
        <v>76</v>
      </c>
      <c r="E651" s="2" t="s">
        <v>320</v>
      </c>
      <c r="F651" s="2" t="s">
        <v>36</v>
      </c>
      <c r="G651" s="2" t="s">
        <v>1560</v>
      </c>
      <c r="H651">
        <v>608</v>
      </c>
      <c r="I651" s="2">
        <v>2099</v>
      </c>
      <c r="J651" s="2" t="s">
        <v>279</v>
      </c>
      <c r="K651" s="2" t="s">
        <v>164</v>
      </c>
      <c r="L651" s="2">
        <v>3.9</v>
      </c>
      <c r="M651" s="2">
        <v>881</v>
      </c>
      <c r="P651" t="str">
        <f t="shared" si="43"/>
        <v>71%</v>
      </c>
      <c r="Q651" s="12">
        <f t="shared" si="40"/>
        <v>0.71</v>
      </c>
      <c r="R651" s="9">
        <f t="shared" si="41"/>
        <v>608.71</v>
      </c>
      <c r="S651" s="9">
        <f>IF(R651="",AVERAGEIF(Table1[Category],Table1[[#This Row],[Category]],Table2[orignal data]),Table2[[#This Row],[orignal data]])</f>
        <v>608.71</v>
      </c>
      <c r="T651" t="str">
        <f t="shared" si="42"/>
        <v>UNIQUE</v>
      </c>
      <c r="U651" t="str">
        <f>IF(ISBLANK(Table1[[#This Row],[SizeOption]]),"NOT AVAILABLE",Table1[[#This Row],[SizeOption]])</f>
        <v>Onesize</v>
      </c>
      <c r="Y651" t="str">
        <f>IF(Table2[[#This Row],[Column1]]&gt;50%,"HIGH DISCOUNT","LOW DISCOUNT")</f>
        <v>HIGH DISCOUNT</v>
      </c>
    </row>
    <row r="652" spans="1:25" x14ac:dyDescent="0.25">
      <c r="A652" s="1" t="s">
        <v>1561</v>
      </c>
      <c r="B652" s="1">
        <v>1413902</v>
      </c>
      <c r="C652" s="1" t="s">
        <v>623</v>
      </c>
      <c r="D652" s="1" t="s">
        <v>34</v>
      </c>
      <c r="E652" s="1" t="s">
        <v>118</v>
      </c>
      <c r="F652" s="1" t="s">
        <v>36</v>
      </c>
      <c r="G652" s="1" t="s">
        <v>1562</v>
      </c>
      <c r="H652">
        <v>259</v>
      </c>
      <c r="I652" s="1">
        <v>499</v>
      </c>
      <c r="J652" s="1" t="s">
        <v>602</v>
      </c>
      <c r="K652" s="1" t="s">
        <v>1563</v>
      </c>
      <c r="L652" s="1">
        <v>4.2</v>
      </c>
      <c r="M652" s="1">
        <v>881</v>
      </c>
      <c r="P652" t="str">
        <f t="shared" si="43"/>
        <v>48%</v>
      </c>
      <c r="Q652" s="12">
        <f t="shared" si="40"/>
        <v>0.48</v>
      </c>
      <c r="R652" s="9">
        <f t="shared" si="41"/>
        <v>259.48</v>
      </c>
      <c r="S652" s="9">
        <f>IF(R652="",AVERAGEIF(Table1[Category],Table1[[#This Row],[Category]],Table2[orignal data]),Table2[[#This Row],[orignal data]])</f>
        <v>259.48</v>
      </c>
      <c r="T652" t="str">
        <f t="shared" si="42"/>
        <v>UNIQUE</v>
      </c>
      <c r="U652" t="str">
        <f>IF(ISBLANK(Table1[[#This Row],[SizeOption]]),"NOT AVAILABLE",Table1[[#This Row],[SizeOption]])</f>
        <v>32B, 32C, 34B, 34C, 36B, 36C, 38B, 38C, 40B</v>
      </c>
      <c r="Y652" t="str">
        <f>IF(Table2[[#This Row],[Column1]]&gt;50%,"HIGH DISCOUNT","LOW DISCOUNT")</f>
        <v>LOW DISCOUNT</v>
      </c>
    </row>
    <row r="653" spans="1:25" x14ac:dyDescent="0.25">
      <c r="A653" s="2" t="s">
        <v>1564</v>
      </c>
      <c r="B653" s="2">
        <v>2499823</v>
      </c>
      <c r="C653" s="2" t="s">
        <v>64</v>
      </c>
      <c r="D653" s="2" t="s">
        <v>98</v>
      </c>
      <c r="E653" s="2" t="s">
        <v>148</v>
      </c>
      <c r="F653" s="2" t="s">
        <v>36</v>
      </c>
      <c r="G653" s="2" t="s">
        <v>1565</v>
      </c>
      <c r="H653">
        <v>689</v>
      </c>
      <c r="I653" s="2">
        <v>2299</v>
      </c>
      <c r="J653" s="2" t="s">
        <v>1566</v>
      </c>
      <c r="K653" s="2" t="s">
        <v>115</v>
      </c>
      <c r="L653" s="2">
        <v>4.3</v>
      </c>
      <c r="M653" s="2">
        <v>881</v>
      </c>
      <c r="P653" t="str">
        <f t="shared" si="43"/>
        <v>70%</v>
      </c>
      <c r="Q653" s="12">
        <f t="shared" si="40"/>
        <v>0.7</v>
      </c>
      <c r="R653" s="9">
        <f t="shared" si="41"/>
        <v>689.7</v>
      </c>
      <c r="S653" s="9">
        <f>IF(R653="",AVERAGEIF(Table1[Category],Table1[[#This Row],[Category]],Table2[orignal data]),Table2[[#This Row],[orignal data]])</f>
        <v>689.7</v>
      </c>
      <c r="T653" t="str">
        <f t="shared" si="42"/>
        <v>UNIQUE</v>
      </c>
      <c r="U653" t="str">
        <f>IF(ISBLANK(Table1[[#This Row],[SizeOption]]),"NOT AVAILABLE",Table1[[#This Row],[SizeOption]])</f>
        <v>XS, S, M, L, XL, XXL</v>
      </c>
      <c r="Y653" t="str">
        <f>IF(Table2[[#This Row],[Column1]]&gt;50%,"HIGH DISCOUNT","LOW DISCOUNT")</f>
        <v>HIGH DISCOUNT</v>
      </c>
    </row>
    <row r="654" spans="1:25" x14ac:dyDescent="0.25">
      <c r="A654" s="1" t="s">
        <v>1567</v>
      </c>
      <c r="B654" s="1">
        <v>1244305</v>
      </c>
      <c r="C654" s="1" t="s">
        <v>107</v>
      </c>
      <c r="D654" s="1" t="s">
        <v>41</v>
      </c>
      <c r="E654" s="1" t="s">
        <v>48</v>
      </c>
      <c r="F654" s="1" t="s">
        <v>36</v>
      </c>
      <c r="G654" s="1" t="s">
        <v>1568</v>
      </c>
      <c r="I654" s="1">
        <v>1349</v>
      </c>
      <c r="J654" s="1" t="s">
        <v>25</v>
      </c>
      <c r="K654" s="1" t="s">
        <v>45</v>
      </c>
      <c r="L654" s="1">
        <v>4.2</v>
      </c>
      <c r="M654" s="1">
        <v>881</v>
      </c>
      <c r="P654" t="str">
        <f t="shared" si="43"/>
        <v>55%</v>
      </c>
      <c r="Q654" s="12">
        <f t="shared" si="40"/>
        <v>0.55000000000000004</v>
      </c>
      <c r="R654" s="9">
        <f t="shared" si="41"/>
        <v>607.04999999999995</v>
      </c>
      <c r="S654" s="9">
        <f>IF(R654="",AVERAGEIF(Table1[Category],Table1[[#This Row],[Category]],Table2[orignal data]),Table2[[#This Row],[orignal data]])</f>
        <v>607.04999999999995</v>
      </c>
      <c r="T654" t="str">
        <f t="shared" si="42"/>
        <v>UNIQUE</v>
      </c>
      <c r="U654" t="str">
        <f>IF(ISBLANK(Table1[[#This Row],[SizeOption]]),"NOT AVAILABLE",Table1[[#This Row],[SizeOption]])</f>
        <v>XS, S, M, L, XL</v>
      </c>
      <c r="Y654" t="str">
        <f>IF(Table2[[#This Row],[Column1]]&gt;50%,"HIGH DISCOUNT","LOW DISCOUNT")</f>
        <v>HIGH DISCOUNT</v>
      </c>
    </row>
    <row r="655" spans="1:25" x14ac:dyDescent="0.25">
      <c r="A655" s="2" t="s">
        <v>1569</v>
      </c>
      <c r="B655" s="2">
        <v>9205377</v>
      </c>
      <c r="C655" s="2" t="s">
        <v>14</v>
      </c>
      <c r="D655" s="2" t="s">
        <v>41</v>
      </c>
      <c r="E655" s="2" t="s">
        <v>16</v>
      </c>
      <c r="F655" s="2" t="s">
        <v>36</v>
      </c>
      <c r="G655" s="2" t="s">
        <v>751</v>
      </c>
      <c r="I655" s="2">
        <v>1699</v>
      </c>
      <c r="J655" s="2" t="s">
        <v>84</v>
      </c>
      <c r="K655" s="2" t="s">
        <v>134</v>
      </c>
      <c r="L655" s="2">
        <v>3.9</v>
      </c>
      <c r="M655" s="2">
        <v>881</v>
      </c>
      <c r="P655" t="str">
        <f t="shared" si="43"/>
        <v>50%</v>
      </c>
      <c r="Q655" s="12">
        <f t="shared" si="40"/>
        <v>0.5</v>
      </c>
      <c r="R655" s="9">
        <f t="shared" si="41"/>
        <v>849.5</v>
      </c>
      <c r="S655" s="9">
        <f>IF(R655="",AVERAGEIF(Table1[Category],Table1[[#This Row],[Category]],Table2[orignal data]),Table2[[#This Row],[orignal data]])</f>
        <v>849.5</v>
      </c>
      <c r="T655" t="str">
        <f t="shared" si="42"/>
        <v>UNIQUE</v>
      </c>
      <c r="U655" t="str">
        <f>IF(ISBLANK(Table1[[#This Row],[SizeOption]]),"NOT AVAILABLE",Table1[[#This Row],[SizeOption]])</f>
        <v>26, 28, 30, 32, 34, 36</v>
      </c>
      <c r="Y655" t="str">
        <f>IF(Table2[[#This Row],[Column1]]&gt;50%,"HIGH DISCOUNT","LOW DISCOUNT")</f>
        <v>LOW DISCOUNT</v>
      </c>
    </row>
    <row r="656" spans="1:25" x14ac:dyDescent="0.25">
      <c r="A656" s="1" t="s">
        <v>1570</v>
      </c>
      <c r="B656" s="1">
        <v>12738028</v>
      </c>
      <c r="C656" s="1" t="s">
        <v>181</v>
      </c>
      <c r="D656" s="1" t="s">
        <v>41</v>
      </c>
      <c r="E656" s="1" t="s">
        <v>818</v>
      </c>
      <c r="F656" s="1" t="s">
        <v>36</v>
      </c>
      <c r="G656" s="1" t="s">
        <v>1571</v>
      </c>
      <c r="I656" s="1">
        <v>1799</v>
      </c>
      <c r="J656" s="1" t="s">
        <v>758</v>
      </c>
      <c r="K656" s="1" t="s">
        <v>115</v>
      </c>
      <c r="L656" s="1">
        <v>4.5</v>
      </c>
      <c r="M656" s="1">
        <v>881</v>
      </c>
      <c r="P656" t="str">
        <f t="shared" si="43"/>
        <v>47%</v>
      </c>
      <c r="Q656" s="12">
        <f t="shared" si="40"/>
        <v>0.47</v>
      </c>
      <c r="R656" s="9">
        <f t="shared" si="41"/>
        <v>953.47</v>
      </c>
      <c r="S656" s="9">
        <f>IF(R656="",AVERAGEIF(Table1[Category],Table1[[#This Row],[Category]],Table2[orignal data]),Table2[[#This Row],[orignal data]])</f>
        <v>953.47</v>
      </c>
      <c r="T656" t="str">
        <f t="shared" si="42"/>
        <v>UNIQUE</v>
      </c>
      <c r="U656" t="str">
        <f>IF(ISBLANK(Table1[[#This Row],[SizeOption]]),"NOT AVAILABLE",Table1[[#This Row],[SizeOption]])</f>
        <v>XS, S, M, L, XL, XXL</v>
      </c>
      <c r="Y656" t="str">
        <f>IF(Table2[[#This Row],[Column1]]&gt;50%,"HIGH DISCOUNT","LOW DISCOUNT")</f>
        <v>LOW DISCOUNT</v>
      </c>
    </row>
    <row r="657" spans="1:25" x14ac:dyDescent="0.25">
      <c r="A657" s="2" t="s">
        <v>1572</v>
      </c>
      <c r="B657" s="2">
        <v>10710942</v>
      </c>
      <c r="C657" s="2" t="s">
        <v>102</v>
      </c>
      <c r="D657" s="2" t="s">
        <v>41</v>
      </c>
      <c r="E657" s="2" t="s">
        <v>16</v>
      </c>
      <c r="F657" s="2" t="s">
        <v>36</v>
      </c>
      <c r="G657" s="2" t="s">
        <v>1573</v>
      </c>
      <c r="I657" s="2">
        <v>1899</v>
      </c>
      <c r="J657" s="2" t="s">
        <v>167</v>
      </c>
      <c r="K657" s="2" t="s">
        <v>428</v>
      </c>
      <c r="L657" s="2">
        <v>4.0999999999999996</v>
      </c>
      <c r="M657" s="2">
        <v>881</v>
      </c>
      <c r="P657" t="str">
        <f t="shared" si="43"/>
        <v>49%</v>
      </c>
      <c r="Q657" s="12">
        <f t="shared" si="40"/>
        <v>0.49</v>
      </c>
      <c r="R657" s="9">
        <f t="shared" si="41"/>
        <v>968.49</v>
      </c>
      <c r="S657" s="9">
        <f>IF(R657="",AVERAGEIF(Table1[Category],Table1[[#This Row],[Category]],Table2[orignal data]),Table2[[#This Row],[orignal data]])</f>
        <v>968.49</v>
      </c>
      <c r="T657" t="str">
        <f t="shared" si="42"/>
        <v>UNIQUE</v>
      </c>
      <c r="U657" t="str">
        <f>IF(ISBLANK(Table1[[#This Row],[SizeOption]]),"NOT AVAILABLE",Table1[[#This Row],[SizeOption]])</f>
        <v>26, 28, 30, 32, 34</v>
      </c>
      <c r="Y657" t="str">
        <f>IF(Table2[[#This Row],[Column1]]&gt;50%,"HIGH DISCOUNT","LOW DISCOUNT")</f>
        <v>LOW DISCOUNT</v>
      </c>
    </row>
    <row r="658" spans="1:25" x14ac:dyDescent="0.25">
      <c r="A658" s="1" t="s">
        <v>1574</v>
      </c>
      <c r="B658" s="1">
        <v>2012863</v>
      </c>
      <c r="C658" s="1" t="s">
        <v>420</v>
      </c>
      <c r="D658" s="1" t="s">
        <v>28</v>
      </c>
      <c r="E658" s="1" t="s">
        <v>29</v>
      </c>
      <c r="F658" s="1" t="s">
        <v>17</v>
      </c>
      <c r="G658" s="1" t="s">
        <v>1575</v>
      </c>
      <c r="H658">
        <v>644</v>
      </c>
      <c r="I658" s="1">
        <v>1499</v>
      </c>
      <c r="J658" s="1" t="s">
        <v>130</v>
      </c>
      <c r="K658" s="1" t="s">
        <v>253</v>
      </c>
      <c r="L658" s="1">
        <v>3.9</v>
      </c>
      <c r="M658" s="1">
        <v>880</v>
      </c>
      <c r="P658" t="str">
        <f t="shared" si="43"/>
        <v>57%</v>
      </c>
      <c r="Q658" s="12">
        <f t="shared" si="40"/>
        <v>0.56999999999999995</v>
      </c>
      <c r="R658" s="9">
        <f t="shared" si="41"/>
        <v>644.57000000000005</v>
      </c>
      <c r="S658" s="9">
        <f>IF(R658="",AVERAGEIF(Table1[Category],Table1[[#This Row],[Category]],Table2[orignal data]),Table2[[#This Row],[orignal data]])</f>
        <v>644.57000000000005</v>
      </c>
      <c r="T658" t="str">
        <f t="shared" si="42"/>
        <v>UNIQUE</v>
      </c>
      <c r="U658" t="str">
        <f>IF(ISBLANK(Table1[[#This Row],[SizeOption]]),"NOT AVAILABLE",Table1[[#This Row],[SizeOption]])</f>
        <v>38, 40, 42, 44</v>
      </c>
      <c r="Y658" t="str">
        <f>IF(Table2[[#This Row],[Column1]]&gt;50%,"HIGH DISCOUNT","LOW DISCOUNT")</f>
        <v>HIGH DISCOUNT</v>
      </c>
    </row>
    <row r="659" spans="1:25" x14ac:dyDescent="0.25">
      <c r="A659" s="2" t="s">
        <v>1576</v>
      </c>
      <c r="B659" s="2">
        <v>13817718</v>
      </c>
      <c r="C659" s="2" t="s">
        <v>865</v>
      </c>
      <c r="D659" s="2" t="s">
        <v>76</v>
      </c>
      <c r="E659" s="2" t="s">
        <v>77</v>
      </c>
      <c r="F659" s="2" t="s">
        <v>36</v>
      </c>
      <c r="G659" s="2" t="s">
        <v>1577</v>
      </c>
      <c r="H659">
        <v>2399</v>
      </c>
      <c r="I659" s="2">
        <v>5999</v>
      </c>
      <c r="J659" s="2" t="s">
        <v>55</v>
      </c>
      <c r="K659" s="2" t="s">
        <v>39</v>
      </c>
      <c r="L659" s="2">
        <v>4.5</v>
      </c>
      <c r="M659" s="2">
        <v>880</v>
      </c>
      <c r="P659" t="str">
        <f t="shared" si="43"/>
        <v>60%</v>
      </c>
      <c r="Q659" s="12">
        <f t="shared" si="40"/>
        <v>0.6</v>
      </c>
      <c r="R659" s="9">
        <f t="shared" si="41"/>
        <v>2399.6</v>
      </c>
      <c r="S659" s="9">
        <f>IF(R659="",AVERAGEIF(Table1[Category],Table1[[#This Row],[Category]],Table2[orignal data]),Table2[[#This Row],[orignal data]])</f>
        <v>2399.6</v>
      </c>
      <c r="T659" t="str">
        <f t="shared" si="42"/>
        <v>UNIQUE</v>
      </c>
      <c r="U659" t="str">
        <f>IF(ISBLANK(Table1[[#This Row],[SizeOption]]),"NOT AVAILABLE",Table1[[#This Row],[SizeOption]])</f>
        <v>S, M, L, XL, XXL</v>
      </c>
      <c r="Y659" t="str">
        <f>IF(Table2[[#This Row],[Column1]]&gt;50%,"HIGH DISCOUNT","LOW DISCOUNT")</f>
        <v>HIGH DISCOUNT</v>
      </c>
    </row>
    <row r="660" spans="1:25" x14ac:dyDescent="0.25">
      <c r="A660" s="1" t="s">
        <v>1578</v>
      </c>
      <c r="B660" s="1">
        <v>9341399</v>
      </c>
      <c r="C660" s="1" t="s">
        <v>676</v>
      </c>
      <c r="D660" s="1" t="s">
        <v>41</v>
      </c>
      <c r="E660" s="1" t="s">
        <v>48</v>
      </c>
      <c r="F660" s="1" t="s">
        <v>36</v>
      </c>
      <c r="G660" s="1" t="s">
        <v>677</v>
      </c>
      <c r="I660" s="1">
        <v>1998</v>
      </c>
      <c r="J660" s="1" t="s">
        <v>84</v>
      </c>
      <c r="K660" s="1" t="s">
        <v>26</v>
      </c>
      <c r="L660" s="1">
        <v>4.2</v>
      </c>
      <c r="M660" s="1">
        <v>880</v>
      </c>
      <c r="P660" t="str">
        <f t="shared" si="43"/>
        <v>50%</v>
      </c>
      <c r="Q660" s="12">
        <f t="shared" si="40"/>
        <v>0.5</v>
      </c>
      <c r="R660" s="9">
        <f t="shared" si="41"/>
        <v>999</v>
      </c>
      <c r="S660" s="9">
        <f>IF(R660="",AVERAGEIF(Table1[Category],Table1[[#This Row],[Category]],Table2[orignal data]),Table2[[#This Row],[orignal data]])</f>
        <v>999</v>
      </c>
      <c r="T660" t="str">
        <f t="shared" si="42"/>
        <v>UNIQUE</v>
      </c>
      <c r="U660" t="str">
        <f>IF(ISBLANK(Table1[[#This Row],[SizeOption]]),"NOT AVAILABLE",Table1[[#This Row],[SizeOption]])</f>
        <v>S, M, L, XL</v>
      </c>
      <c r="Y660" t="str">
        <f>IF(Table2[[#This Row],[Column1]]&gt;50%,"HIGH DISCOUNT","LOW DISCOUNT")</f>
        <v>LOW DISCOUNT</v>
      </c>
    </row>
    <row r="661" spans="1:25" x14ac:dyDescent="0.25">
      <c r="A661" s="2" t="s">
        <v>1579</v>
      </c>
      <c r="B661" s="2">
        <v>10398025</v>
      </c>
      <c r="C661" s="2" t="s">
        <v>14</v>
      </c>
      <c r="D661" s="2" t="s">
        <v>28</v>
      </c>
      <c r="E661" s="2" t="s">
        <v>29</v>
      </c>
      <c r="F661" s="2" t="s">
        <v>17</v>
      </c>
      <c r="G661" s="2" t="s">
        <v>1580</v>
      </c>
      <c r="H661">
        <v>649</v>
      </c>
      <c r="I661" s="2">
        <v>1299</v>
      </c>
      <c r="J661" s="2" t="s">
        <v>84</v>
      </c>
      <c r="K661" s="2" t="s">
        <v>31</v>
      </c>
      <c r="L661" s="2">
        <v>4.3</v>
      </c>
      <c r="M661" s="2">
        <v>879</v>
      </c>
      <c r="P661" t="str">
        <f t="shared" si="43"/>
        <v>50%</v>
      </c>
      <c r="Q661" s="12">
        <f t="shared" si="40"/>
        <v>0.5</v>
      </c>
      <c r="R661" s="9">
        <f t="shared" si="41"/>
        <v>649.5</v>
      </c>
      <c r="S661" s="9">
        <f>IF(R661="",AVERAGEIF(Table1[Category],Table1[[#This Row],[Category]],Table2[orignal data]),Table2[[#This Row],[orignal data]])</f>
        <v>649.5</v>
      </c>
      <c r="T661" t="str">
        <f t="shared" si="42"/>
        <v>UNIQUE</v>
      </c>
      <c r="U661" t="str">
        <f>IF(ISBLANK(Table1[[#This Row],[SizeOption]]),"NOT AVAILABLE",Table1[[#This Row],[SizeOption]])</f>
        <v>38, 40, 42, 44, 46, 48</v>
      </c>
      <c r="Y661" t="str">
        <f>IF(Table2[[#This Row],[Column1]]&gt;50%,"HIGH DISCOUNT","LOW DISCOUNT")</f>
        <v>LOW DISCOUNT</v>
      </c>
    </row>
    <row r="662" spans="1:25" x14ac:dyDescent="0.25">
      <c r="A662" s="1" t="s">
        <v>1581</v>
      </c>
      <c r="B662" s="1">
        <v>11746280</v>
      </c>
      <c r="C662" s="1" t="s">
        <v>346</v>
      </c>
      <c r="D662" s="1" t="s">
        <v>28</v>
      </c>
      <c r="E662" s="1" t="s">
        <v>29</v>
      </c>
      <c r="F662" s="1" t="s">
        <v>17</v>
      </c>
      <c r="G662" s="1" t="s">
        <v>1582</v>
      </c>
      <c r="H662">
        <v>769</v>
      </c>
      <c r="I662" s="1">
        <v>1399</v>
      </c>
      <c r="J662" s="1" t="s">
        <v>19</v>
      </c>
      <c r="K662" s="1" t="s">
        <v>253</v>
      </c>
      <c r="L662" s="1">
        <v>4.4000000000000004</v>
      </c>
      <c r="M662" s="1">
        <v>879</v>
      </c>
      <c r="P662" t="str">
        <f t="shared" si="43"/>
        <v>45%</v>
      </c>
      <c r="Q662" s="12">
        <f t="shared" si="40"/>
        <v>0.45</v>
      </c>
      <c r="R662" s="9">
        <f t="shared" si="41"/>
        <v>769.44999999999993</v>
      </c>
      <c r="S662" s="9">
        <f>IF(R662="",AVERAGEIF(Table1[Category],Table1[[#This Row],[Category]],Table2[orignal data]),Table2[[#This Row],[orignal data]])</f>
        <v>769.44999999999993</v>
      </c>
      <c r="T662" t="str">
        <f t="shared" si="42"/>
        <v>UNIQUE</v>
      </c>
      <c r="U662" t="str">
        <f>IF(ISBLANK(Table1[[#This Row],[SizeOption]]),"NOT AVAILABLE",Table1[[#This Row],[SizeOption]])</f>
        <v>38, 40, 42, 44</v>
      </c>
      <c r="Y662" t="str">
        <f>IF(Table2[[#This Row],[Column1]]&gt;50%,"HIGH DISCOUNT","LOW DISCOUNT")</f>
        <v>LOW DISCOUNT</v>
      </c>
    </row>
    <row r="663" spans="1:25" x14ac:dyDescent="0.25">
      <c r="A663" s="2" t="s">
        <v>1583</v>
      </c>
      <c r="B663" s="2">
        <v>13919148</v>
      </c>
      <c r="C663" s="2" t="s">
        <v>319</v>
      </c>
      <c r="D663" s="2" t="s">
        <v>76</v>
      </c>
      <c r="E663" s="2" t="s">
        <v>320</v>
      </c>
      <c r="F663" s="2" t="s">
        <v>36</v>
      </c>
      <c r="G663" s="2" t="s">
        <v>1584</v>
      </c>
      <c r="H663">
        <v>1499</v>
      </c>
      <c r="I663" s="2">
        <v>2998</v>
      </c>
      <c r="J663" s="2" t="s">
        <v>84</v>
      </c>
      <c r="K663" s="2" t="s">
        <v>164</v>
      </c>
      <c r="L663" s="2">
        <v>4.2</v>
      </c>
      <c r="M663" s="2">
        <v>879</v>
      </c>
      <c r="P663" t="str">
        <f t="shared" si="43"/>
        <v>50%</v>
      </c>
      <c r="Q663" s="12">
        <f t="shared" si="40"/>
        <v>0.5</v>
      </c>
      <c r="R663" s="9">
        <f t="shared" si="41"/>
        <v>1499</v>
      </c>
      <c r="S663" s="9">
        <f>IF(R663="",AVERAGEIF(Table1[Category],Table1[[#This Row],[Category]],Table2[orignal data]),Table2[[#This Row],[orignal data]])</f>
        <v>1499</v>
      </c>
      <c r="T663" t="str">
        <f t="shared" si="42"/>
        <v>UNIQUE</v>
      </c>
      <c r="U663" t="str">
        <f>IF(ISBLANK(Table1[[#This Row],[SizeOption]]),"NOT AVAILABLE",Table1[[#This Row],[SizeOption]])</f>
        <v>Onesize</v>
      </c>
      <c r="Y663" t="str">
        <f>IF(Table2[[#This Row],[Column1]]&gt;50%,"HIGH DISCOUNT","LOW DISCOUNT")</f>
        <v>LOW DISCOUNT</v>
      </c>
    </row>
    <row r="664" spans="1:25" x14ac:dyDescent="0.25">
      <c r="A664" s="1" t="s">
        <v>1585</v>
      </c>
      <c r="B664" s="1">
        <v>13709580</v>
      </c>
      <c r="C664" s="1" t="s">
        <v>81</v>
      </c>
      <c r="D664" s="1" t="s">
        <v>41</v>
      </c>
      <c r="E664" s="1" t="s">
        <v>48</v>
      </c>
      <c r="F664" s="1" t="s">
        <v>36</v>
      </c>
      <c r="G664" s="1" t="s">
        <v>1586</v>
      </c>
      <c r="I664" s="1">
        <v>1499</v>
      </c>
      <c r="J664" s="1" t="s">
        <v>758</v>
      </c>
      <c r="K664" s="1" t="s">
        <v>115</v>
      </c>
      <c r="L664" s="1">
        <v>4.4000000000000004</v>
      </c>
      <c r="M664" s="1">
        <v>879</v>
      </c>
      <c r="P664" t="str">
        <f t="shared" si="43"/>
        <v>47%</v>
      </c>
      <c r="Q664" s="12">
        <f t="shared" si="40"/>
        <v>0.47</v>
      </c>
      <c r="R664" s="9">
        <f t="shared" si="41"/>
        <v>794.47</v>
      </c>
      <c r="S664" s="9">
        <f>IF(R664="",AVERAGEIF(Table1[Category],Table1[[#This Row],[Category]],Table2[orignal data]),Table2[[#This Row],[orignal data]])</f>
        <v>794.47</v>
      </c>
      <c r="T664" t="str">
        <f t="shared" si="42"/>
        <v>UNIQUE</v>
      </c>
      <c r="U664" t="str">
        <f>IF(ISBLANK(Table1[[#This Row],[SizeOption]]),"NOT AVAILABLE",Table1[[#This Row],[SizeOption]])</f>
        <v>XS, S, M, L, XL, XXL</v>
      </c>
      <c r="Y664" t="str">
        <f>IF(Table2[[#This Row],[Column1]]&gt;50%,"HIGH DISCOUNT","LOW DISCOUNT")</f>
        <v>LOW DISCOUNT</v>
      </c>
    </row>
    <row r="665" spans="1:25" x14ac:dyDescent="0.25">
      <c r="A665" s="2" t="s">
        <v>1587</v>
      </c>
      <c r="B665" s="2">
        <v>3081630</v>
      </c>
      <c r="C665" s="2" t="s">
        <v>14</v>
      </c>
      <c r="D665" s="2" t="s">
        <v>15</v>
      </c>
      <c r="E665" s="2" t="s">
        <v>53</v>
      </c>
      <c r="F665" s="2" t="s">
        <v>17</v>
      </c>
      <c r="G665" s="2" t="s">
        <v>1588</v>
      </c>
      <c r="H665">
        <v>1559</v>
      </c>
      <c r="I665" s="2">
        <v>2599</v>
      </c>
      <c r="J665" s="2" t="s">
        <v>50</v>
      </c>
      <c r="K665" s="2" t="s">
        <v>20</v>
      </c>
      <c r="L665" s="2">
        <v>4.3</v>
      </c>
      <c r="M665" s="2">
        <v>878</v>
      </c>
      <c r="P665" t="str">
        <f t="shared" si="43"/>
        <v>40%</v>
      </c>
      <c r="Q665" s="12">
        <f t="shared" si="40"/>
        <v>0.4</v>
      </c>
      <c r="R665" s="9">
        <f t="shared" si="41"/>
        <v>1559.3999999999999</v>
      </c>
      <c r="S665" s="9">
        <f>IF(R665="",AVERAGEIF(Table1[Category],Table1[[#This Row],[Category]],Table2[orignal data]),Table2[[#This Row],[orignal data]])</f>
        <v>1559.3999999999999</v>
      </c>
      <c r="T665" t="str">
        <f t="shared" si="42"/>
        <v>UNIQUE</v>
      </c>
      <c r="U665" t="str">
        <f>IF(ISBLANK(Table1[[#This Row],[SizeOption]]),"NOT AVAILABLE",Table1[[#This Row],[SizeOption]])</f>
        <v>28, 30, 32, 34, 36</v>
      </c>
      <c r="Y665" t="str">
        <f>IF(Table2[[#This Row],[Column1]]&gt;50%,"HIGH DISCOUNT","LOW DISCOUNT")</f>
        <v>LOW DISCOUNT</v>
      </c>
    </row>
    <row r="666" spans="1:25" x14ac:dyDescent="0.25">
      <c r="A666" s="1" t="s">
        <v>1589</v>
      </c>
      <c r="B666" s="1">
        <v>13676458</v>
      </c>
      <c r="C666" s="1" t="s">
        <v>563</v>
      </c>
      <c r="D666" s="1" t="s">
        <v>197</v>
      </c>
      <c r="E666" s="1" t="s">
        <v>518</v>
      </c>
      <c r="F666" s="1" t="s">
        <v>17</v>
      </c>
      <c r="G666" s="1" t="s">
        <v>1590</v>
      </c>
      <c r="H666">
        <v>988</v>
      </c>
      <c r="I666" s="1">
        <v>1798</v>
      </c>
      <c r="J666" s="1" t="s">
        <v>19</v>
      </c>
      <c r="K666" s="1" t="s">
        <v>39</v>
      </c>
      <c r="L666" s="1">
        <v>4.0999999999999996</v>
      </c>
      <c r="M666" s="1">
        <v>878</v>
      </c>
      <c r="P666" t="str">
        <f t="shared" si="43"/>
        <v>45%</v>
      </c>
      <c r="Q666" s="12">
        <f t="shared" si="40"/>
        <v>0.45</v>
      </c>
      <c r="R666" s="9">
        <f t="shared" si="41"/>
        <v>988.9</v>
      </c>
      <c r="S666" s="9">
        <f>IF(R666="",AVERAGEIF(Table1[Category],Table1[[#This Row],[Category]],Table2[orignal data]),Table2[[#This Row],[orignal data]])</f>
        <v>988.9</v>
      </c>
      <c r="T666" t="str">
        <f t="shared" si="42"/>
        <v>UNIQUE</v>
      </c>
      <c r="U666" t="str">
        <f>IF(ISBLANK(Table1[[#This Row],[SizeOption]]),"NOT AVAILABLE",Table1[[#This Row],[SizeOption]])</f>
        <v>S, M, L, XL, XXL</v>
      </c>
      <c r="Y666" t="str">
        <f>IF(Table2[[#This Row],[Column1]]&gt;50%,"HIGH DISCOUNT","LOW DISCOUNT")</f>
        <v>LOW DISCOUNT</v>
      </c>
    </row>
    <row r="667" spans="1:25" x14ac:dyDescent="0.25">
      <c r="A667" s="2" t="s">
        <v>1591</v>
      </c>
      <c r="B667" s="2">
        <v>12382656</v>
      </c>
      <c r="C667" s="2" t="s">
        <v>1592</v>
      </c>
      <c r="D667" s="2" t="s">
        <v>34</v>
      </c>
      <c r="E667" s="2" t="s">
        <v>118</v>
      </c>
      <c r="F667" s="2" t="s">
        <v>36</v>
      </c>
      <c r="G667" s="2" t="s">
        <v>1593</v>
      </c>
      <c r="H667">
        <v>679</v>
      </c>
      <c r="I667" s="2">
        <v>3234</v>
      </c>
      <c r="J667" s="2" t="s">
        <v>1594</v>
      </c>
      <c r="K667" s="2" t="s">
        <v>1595</v>
      </c>
      <c r="L667" s="2">
        <v>3.9</v>
      </c>
      <c r="M667" s="2">
        <v>878</v>
      </c>
      <c r="P667" t="str">
        <f t="shared" si="43"/>
        <v>79%</v>
      </c>
      <c r="Q667" s="12">
        <f t="shared" si="40"/>
        <v>0.79</v>
      </c>
      <c r="R667" s="9">
        <f t="shared" si="41"/>
        <v>679.13999999999987</v>
      </c>
      <c r="S667" s="9">
        <f>IF(R667="",AVERAGEIF(Table1[Category],Table1[[#This Row],[Category]],Table2[orignal data]),Table2[[#This Row],[orignal data]])</f>
        <v>679.13999999999987</v>
      </c>
      <c r="T667" t="str">
        <f t="shared" si="42"/>
        <v>UNIQUE</v>
      </c>
      <c r="U667" t="str">
        <f>IF(ISBLANK(Table1[[#This Row],[SizeOption]]),"NOT AVAILABLE",Table1[[#This Row],[SizeOption]])</f>
        <v>28B, 30B, 32B, 34B, 36B, 38B, 40B</v>
      </c>
      <c r="Y667" t="str">
        <f>IF(Table2[[#This Row],[Column1]]&gt;50%,"HIGH DISCOUNT","LOW DISCOUNT")</f>
        <v>HIGH DISCOUNT</v>
      </c>
    </row>
    <row r="668" spans="1:25" x14ac:dyDescent="0.25">
      <c r="A668" s="1" t="s">
        <v>1596</v>
      </c>
      <c r="B668" s="1">
        <v>10166985</v>
      </c>
      <c r="C668" s="1" t="s">
        <v>952</v>
      </c>
      <c r="D668" s="1" t="s">
        <v>41</v>
      </c>
      <c r="E668" s="1" t="s">
        <v>148</v>
      </c>
      <c r="F668" s="1" t="s">
        <v>36</v>
      </c>
      <c r="G668" s="1" t="s">
        <v>1597</v>
      </c>
      <c r="I668" s="1">
        <v>1749</v>
      </c>
      <c r="J668" s="1" t="s">
        <v>84</v>
      </c>
      <c r="K668" s="1" t="s">
        <v>45</v>
      </c>
      <c r="L668" s="1">
        <v>4.4000000000000004</v>
      </c>
      <c r="M668" s="1">
        <v>878</v>
      </c>
      <c r="P668" t="str">
        <f t="shared" si="43"/>
        <v>50%</v>
      </c>
      <c r="Q668" s="12">
        <f t="shared" si="40"/>
        <v>0.5</v>
      </c>
      <c r="R668" s="9">
        <f t="shared" si="41"/>
        <v>874.5</v>
      </c>
      <c r="S668" s="9">
        <f>IF(R668="",AVERAGEIF(Table1[Category],Table1[[#This Row],[Category]],Table2[orignal data]),Table2[[#This Row],[orignal data]])</f>
        <v>874.5</v>
      </c>
      <c r="T668" t="str">
        <f t="shared" si="42"/>
        <v>UNIQUE</v>
      </c>
      <c r="U668" t="str">
        <f>IF(ISBLANK(Table1[[#This Row],[SizeOption]]),"NOT AVAILABLE",Table1[[#This Row],[SizeOption]])</f>
        <v>XS, S, M, L, XL</v>
      </c>
      <c r="Y668" t="str">
        <f>IF(Table2[[#This Row],[Column1]]&gt;50%,"HIGH DISCOUNT","LOW DISCOUNT")</f>
        <v>LOW DISCOUNT</v>
      </c>
    </row>
    <row r="669" spans="1:25" x14ac:dyDescent="0.25">
      <c r="A669" s="2" t="s">
        <v>1598</v>
      </c>
      <c r="B669" s="2">
        <v>9657187</v>
      </c>
      <c r="C669" s="2" t="s">
        <v>107</v>
      </c>
      <c r="D669" s="2" t="s">
        <v>41</v>
      </c>
      <c r="E669" s="2" t="s">
        <v>579</v>
      </c>
      <c r="F669" s="2" t="s">
        <v>36</v>
      </c>
      <c r="G669" s="2" t="s">
        <v>1599</v>
      </c>
      <c r="I669" s="2">
        <v>2299</v>
      </c>
      <c r="J669" s="2" t="s">
        <v>79</v>
      </c>
      <c r="K669" s="2" t="s">
        <v>134</v>
      </c>
      <c r="L669" s="2">
        <v>4.0999999999999996</v>
      </c>
      <c r="M669" s="2">
        <v>878</v>
      </c>
      <c r="P669" t="str">
        <f t="shared" si="43"/>
        <v>70%</v>
      </c>
      <c r="Q669" s="12">
        <f t="shared" si="40"/>
        <v>0.7</v>
      </c>
      <c r="R669" s="9">
        <f t="shared" si="41"/>
        <v>689.7</v>
      </c>
      <c r="S669" s="9">
        <f>IF(R669="",AVERAGEIF(Table1[Category],Table1[[#This Row],[Category]],Table2[orignal data]),Table2[[#This Row],[orignal data]])</f>
        <v>689.7</v>
      </c>
      <c r="T669" t="str">
        <f t="shared" si="42"/>
        <v>UNIQUE</v>
      </c>
      <c r="U669" t="str">
        <f>IF(ISBLANK(Table1[[#This Row],[SizeOption]]),"NOT AVAILABLE",Table1[[#This Row],[SizeOption]])</f>
        <v>26, 28, 30, 32, 34, 36</v>
      </c>
      <c r="Y669" t="str">
        <f>IF(Table2[[#This Row],[Column1]]&gt;50%,"HIGH DISCOUNT","LOW DISCOUNT")</f>
        <v>HIGH DISCOUNT</v>
      </c>
    </row>
    <row r="670" spans="1:25" x14ac:dyDescent="0.25">
      <c r="A670" s="1" t="s">
        <v>1600</v>
      </c>
      <c r="B670" s="1">
        <v>9740079</v>
      </c>
      <c r="C670" s="1" t="s">
        <v>14</v>
      </c>
      <c r="D670" s="1" t="s">
        <v>41</v>
      </c>
      <c r="E670" s="1" t="s">
        <v>42</v>
      </c>
      <c r="F670" s="1" t="s">
        <v>36</v>
      </c>
      <c r="G670" s="1" t="s">
        <v>1601</v>
      </c>
      <c r="I670" s="1">
        <v>699</v>
      </c>
      <c r="J670" s="1" t="s">
        <v>1602</v>
      </c>
      <c r="K670" s="1" t="s">
        <v>45</v>
      </c>
      <c r="L670" s="1">
        <v>4</v>
      </c>
      <c r="M670" s="1">
        <v>878</v>
      </c>
      <c r="P670" t="str">
        <f t="shared" si="43"/>
        <v>200</v>
      </c>
      <c r="Q670" s="12">
        <f t="shared" si="40"/>
        <v>0.28612303290414881</v>
      </c>
      <c r="R670" s="9">
        <f t="shared" si="41"/>
        <v>499</v>
      </c>
      <c r="S670" s="9">
        <f>IF(R670="",AVERAGEIF(Table1[Category],Table1[[#This Row],[Category]],Table2[orignal data]),Table2[[#This Row],[orignal data]])</f>
        <v>499</v>
      </c>
      <c r="T670" t="str">
        <f t="shared" si="42"/>
        <v>UNIQUE</v>
      </c>
      <c r="U670" t="str">
        <f>IF(ISBLANK(Table1[[#This Row],[SizeOption]]),"NOT AVAILABLE",Table1[[#This Row],[SizeOption]])</f>
        <v>XS, S, M, L, XL</v>
      </c>
      <c r="Y670" t="str">
        <f>IF(Table2[[#This Row],[Column1]]&gt;50%,"HIGH DISCOUNT","LOW DISCOUNT")</f>
        <v>LOW DISCOUNT</v>
      </c>
    </row>
    <row r="671" spans="1:25" x14ac:dyDescent="0.25">
      <c r="A671" s="2" t="s">
        <v>1603</v>
      </c>
      <c r="B671" s="2">
        <v>7695798</v>
      </c>
      <c r="C671" s="2" t="s">
        <v>67</v>
      </c>
      <c r="D671" s="2" t="s">
        <v>15</v>
      </c>
      <c r="E671" s="2" t="s">
        <v>23</v>
      </c>
      <c r="F671" s="2" t="s">
        <v>17</v>
      </c>
      <c r="G671" s="2" t="s">
        <v>1604</v>
      </c>
      <c r="H671">
        <v>919</v>
      </c>
      <c r="I671" s="2">
        <v>2299</v>
      </c>
      <c r="J671" s="2" t="s">
        <v>55</v>
      </c>
      <c r="K671" s="2" t="s">
        <v>39</v>
      </c>
      <c r="L671" s="2">
        <v>4.3</v>
      </c>
      <c r="M671" s="2">
        <v>877</v>
      </c>
      <c r="P671" t="str">
        <f t="shared" si="43"/>
        <v>60%</v>
      </c>
      <c r="Q671" s="12">
        <f t="shared" si="40"/>
        <v>0.6</v>
      </c>
      <c r="R671" s="9">
        <f t="shared" si="41"/>
        <v>919.60000000000014</v>
      </c>
      <c r="S671" s="9">
        <f>IF(R671="",AVERAGEIF(Table1[Category],Table1[[#This Row],[Category]],Table2[orignal data]),Table2[[#This Row],[orignal data]])</f>
        <v>919.60000000000014</v>
      </c>
      <c r="T671" t="str">
        <f t="shared" si="42"/>
        <v>UNIQUE</v>
      </c>
      <c r="U671" t="str">
        <f>IF(ISBLANK(Table1[[#This Row],[SizeOption]]),"NOT AVAILABLE",Table1[[#This Row],[SizeOption]])</f>
        <v>S, M, L, XL, XXL</v>
      </c>
      <c r="Y671" t="str">
        <f>IF(Table2[[#This Row],[Column1]]&gt;50%,"HIGH DISCOUNT","LOW DISCOUNT")</f>
        <v>HIGH DISCOUNT</v>
      </c>
    </row>
    <row r="672" spans="1:25" x14ac:dyDescent="0.25">
      <c r="A672" s="1" t="s">
        <v>1605</v>
      </c>
      <c r="B672" s="1">
        <v>8000719</v>
      </c>
      <c r="C672" s="1" t="s">
        <v>67</v>
      </c>
      <c r="D672" s="1" t="s">
        <v>15</v>
      </c>
      <c r="E672" s="1" t="s">
        <v>23</v>
      </c>
      <c r="F672" s="1" t="s">
        <v>17</v>
      </c>
      <c r="G672" s="1" t="s">
        <v>1606</v>
      </c>
      <c r="H672">
        <v>944</v>
      </c>
      <c r="I672" s="1">
        <v>2099</v>
      </c>
      <c r="J672" s="1" t="s">
        <v>25</v>
      </c>
      <c r="K672" s="1" t="s">
        <v>39</v>
      </c>
      <c r="L672" s="1">
        <v>4.0999999999999996</v>
      </c>
      <c r="M672" s="1">
        <v>877</v>
      </c>
      <c r="P672" t="str">
        <f t="shared" si="43"/>
        <v>55%</v>
      </c>
      <c r="Q672" s="12">
        <f t="shared" si="40"/>
        <v>0.55000000000000004</v>
      </c>
      <c r="R672" s="9">
        <f t="shared" si="41"/>
        <v>944.55</v>
      </c>
      <c r="S672" s="9">
        <f>IF(R672="",AVERAGEIF(Table1[Category],Table1[[#This Row],[Category]],Table2[orignal data]),Table2[[#This Row],[orignal data]])</f>
        <v>944.55</v>
      </c>
      <c r="T672" t="str">
        <f t="shared" si="42"/>
        <v>UNIQUE</v>
      </c>
      <c r="U672" t="str">
        <f>IF(ISBLANK(Table1[[#This Row],[SizeOption]]),"NOT AVAILABLE",Table1[[#This Row],[SizeOption]])</f>
        <v>S, M, L, XL, XXL</v>
      </c>
      <c r="Y672" t="str">
        <f>IF(Table2[[#This Row],[Column1]]&gt;50%,"HIGH DISCOUNT","LOW DISCOUNT")</f>
        <v>HIGH DISCOUNT</v>
      </c>
    </row>
    <row r="673" spans="1:25" x14ac:dyDescent="0.25">
      <c r="A673" s="2" t="s">
        <v>1607</v>
      </c>
      <c r="B673" s="2">
        <v>1778109</v>
      </c>
      <c r="C673" s="2" t="s">
        <v>1608</v>
      </c>
      <c r="D673" s="2" t="s">
        <v>15</v>
      </c>
      <c r="E673" s="2" t="s">
        <v>53</v>
      </c>
      <c r="F673" s="2" t="s">
        <v>17</v>
      </c>
      <c r="G673" s="2" t="s">
        <v>1609</v>
      </c>
      <c r="H673">
        <v>742</v>
      </c>
      <c r="I673" s="2">
        <v>1649</v>
      </c>
      <c r="J673" s="2" t="s">
        <v>25</v>
      </c>
      <c r="K673" s="2" t="s">
        <v>56</v>
      </c>
      <c r="L673" s="2">
        <v>4.0999999999999996</v>
      </c>
      <c r="M673" s="2">
        <v>877</v>
      </c>
      <c r="P673" t="str">
        <f t="shared" si="43"/>
        <v>55%</v>
      </c>
      <c r="Q673" s="12">
        <f t="shared" si="40"/>
        <v>0.55000000000000004</v>
      </c>
      <c r="R673" s="9">
        <f t="shared" si="41"/>
        <v>742.05</v>
      </c>
      <c r="S673" s="9">
        <f>IF(R673="",AVERAGEIF(Table1[Category],Table1[[#This Row],[Category]],Table2[orignal data]),Table2[[#This Row],[orignal data]])</f>
        <v>742.05</v>
      </c>
      <c r="T673" t="str">
        <f t="shared" si="42"/>
        <v>UNIQUE</v>
      </c>
      <c r="U673" t="str">
        <f>IF(ISBLANK(Table1[[#This Row],[SizeOption]]),"NOT AVAILABLE",Table1[[#This Row],[SizeOption]])</f>
        <v>30, 32, 34, 36</v>
      </c>
      <c r="Y673" t="str">
        <f>IF(Table2[[#This Row],[Column1]]&gt;50%,"HIGH DISCOUNT","LOW DISCOUNT")</f>
        <v>HIGH DISCOUNT</v>
      </c>
    </row>
    <row r="674" spans="1:25" x14ac:dyDescent="0.25">
      <c r="A674" s="1" t="s">
        <v>1610</v>
      </c>
      <c r="B674" s="1">
        <v>10017021</v>
      </c>
      <c r="C674" s="1" t="s">
        <v>420</v>
      </c>
      <c r="D674" s="1" t="s">
        <v>28</v>
      </c>
      <c r="E674" s="1" t="s">
        <v>42</v>
      </c>
      <c r="F674" s="1" t="s">
        <v>17</v>
      </c>
      <c r="G674" s="1" t="s">
        <v>1611</v>
      </c>
      <c r="H674">
        <v>386</v>
      </c>
      <c r="I674" s="1">
        <v>899</v>
      </c>
      <c r="J674" s="1" t="s">
        <v>130</v>
      </c>
      <c r="K674" s="1" t="s">
        <v>26</v>
      </c>
      <c r="L674" s="1">
        <v>3.8</v>
      </c>
      <c r="M674" s="1">
        <v>877</v>
      </c>
      <c r="P674" t="str">
        <f t="shared" si="43"/>
        <v>57%</v>
      </c>
      <c r="Q674" s="12">
        <f t="shared" si="40"/>
        <v>0.56999999999999995</v>
      </c>
      <c r="R674" s="9">
        <f t="shared" si="41"/>
        <v>386.57000000000005</v>
      </c>
      <c r="S674" s="9">
        <f>IF(R674="",AVERAGEIF(Table1[Category],Table1[[#This Row],[Category]],Table2[orignal data]),Table2[[#This Row],[orignal data]])</f>
        <v>386.57000000000005</v>
      </c>
      <c r="T674" t="str">
        <f t="shared" si="42"/>
        <v>UNIQUE</v>
      </c>
      <c r="U674" t="str">
        <f>IF(ISBLANK(Table1[[#This Row],[SizeOption]]),"NOT AVAILABLE",Table1[[#This Row],[SizeOption]])</f>
        <v>S, M, L, XL</v>
      </c>
      <c r="Y674" t="str">
        <f>IF(Table2[[#This Row],[Column1]]&gt;50%,"HIGH DISCOUNT","LOW DISCOUNT")</f>
        <v>HIGH DISCOUNT</v>
      </c>
    </row>
    <row r="675" spans="1:25" x14ac:dyDescent="0.25">
      <c r="A675" s="2" t="s">
        <v>1612</v>
      </c>
      <c r="B675" s="2">
        <v>8090747</v>
      </c>
      <c r="C675" s="2" t="s">
        <v>1613</v>
      </c>
      <c r="D675" s="2" t="s">
        <v>76</v>
      </c>
      <c r="E675" s="2" t="s">
        <v>77</v>
      </c>
      <c r="F675" s="2" t="s">
        <v>36</v>
      </c>
      <c r="G675" s="2" t="s">
        <v>1614</v>
      </c>
      <c r="H675">
        <v>1349</v>
      </c>
      <c r="I675" s="2">
        <v>2999</v>
      </c>
      <c r="J675" s="2" t="s">
        <v>25</v>
      </c>
      <c r="K675" s="2" t="s">
        <v>39</v>
      </c>
      <c r="L675" s="2">
        <v>4</v>
      </c>
      <c r="M675" s="2">
        <v>877</v>
      </c>
      <c r="P675" t="str">
        <f t="shared" si="43"/>
        <v>55%</v>
      </c>
      <c r="Q675" s="12">
        <f t="shared" si="40"/>
        <v>0.55000000000000004</v>
      </c>
      <c r="R675" s="9">
        <f t="shared" si="41"/>
        <v>1349.55</v>
      </c>
      <c r="S675" s="9">
        <f>IF(R675="",AVERAGEIF(Table1[Category],Table1[[#This Row],[Category]],Table2[orignal data]),Table2[[#This Row],[orignal data]])</f>
        <v>1349.55</v>
      </c>
      <c r="T675" t="str">
        <f t="shared" si="42"/>
        <v>UNIQUE</v>
      </c>
      <c r="U675" t="str">
        <f>IF(ISBLANK(Table1[[#This Row],[SizeOption]]),"NOT AVAILABLE",Table1[[#This Row],[SizeOption]])</f>
        <v>S, M, L, XL, XXL</v>
      </c>
      <c r="Y675" t="str">
        <f>IF(Table2[[#This Row],[Column1]]&gt;50%,"HIGH DISCOUNT","LOW DISCOUNT")</f>
        <v>HIGH DISCOUNT</v>
      </c>
    </row>
    <row r="676" spans="1:25" x14ac:dyDescent="0.25">
      <c r="A676" s="1" t="s">
        <v>1615</v>
      </c>
      <c r="B676" s="1">
        <v>12530338</v>
      </c>
      <c r="C676" s="1" t="s">
        <v>64</v>
      </c>
      <c r="D676" s="1" t="s">
        <v>98</v>
      </c>
      <c r="E676" s="1" t="s">
        <v>93</v>
      </c>
      <c r="F676" s="1" t="s">
        <v>36</v>
      </c>
      <c r="G676" s="1" t="s">
        <v>1616</v>
      </c>
      <c r="H676">
        <v>404</v>
      </c>
      <c r="I676" s="1">
        <v>1349</v>
      </c>
      <c r="J676" s="1" t="s">
        <v>1566</v>
      </c>
      <c r="K676" s="1" t="s">
        <v>100</v>
      </c>
      <c r="L676" s="1">
        <v>4.3</v>
      </c>
      <c r="M676" s="1">
        <v>877</v>
      </c>
      <c r="P676" t="str">
        <f t="shared" si="43"/>
        <v>70%</v>
      </c>
      <c r="Q676" s="12">
        <f t="shared" si="40"/>
        <v>0.7</v>
      </c>
      <c r="R676" s="9">
        <f t="shared" si="41"/>
        <v>404.70000000000005</v>
      </c>
      <c r="S676" s="9">
        <f>IF(R676="",AVERAGEIF(Table1[Category],Table1[[#This Row],[Category]],Table2[orignal data]),Table2[[#This Row],[orignal data]])</f>
        <v>404.70000000000005</v>
      </c>
      <c r="T676" t="str">
        <f t="shared" si="42"/>
        <v>UNIQUE</v>
      </c>
      <c r="U676" t="str">
        <f>IF(ISBLANK(Table1[[#This Row],[SizeOption]]),"NOT AVAILABLE",Table1[[#This Row],[SizeOption]])</f>
        <v>XS, S, M, L, XL, XXL, 3XL</v>
      </c>
      <c r="Y676" t="str">
        <f>IF(Table2[[#This Row],[Column1]]&gt;50%,"HIGH DISCOUNT","LOW DISCOUNT")</f>
        <v>HIGH DISCOUNT</v>
      </c>
    </row>
    <row r="677" spans="1:25" x14ac:dyDescent="0.25">
      <c r="A677" s="2" t="s">
        <v>1617</v>
      </c>
      <c r="B677" s="2">
        <v>8195013</v>
      </c>
      <c r="C677" s="2" t="s">
        <v>102</v>
      </c>
      <c r="D677" s="2" t="s">
        <v>41</v>
      </c>
      <c r="E677" s="2" t="s">
        <v>16</v>
      </c>
      <c r="F677" s="2" t="s">
        <v>36</v>
      </c>
      <c r="G677" s="2" t="s">
        <v>1618</v>
      </c>
      <c r="I677" s="2">
        <v>1899</v>
      </c>
      <c r="J677" s="2" t="s">
        <v>60</v>
      </c>
      <c r="K677" s="2" t="s">
        <v>428</v>
      </c>
      <c r="L677" s="2">
        <v>3.9</v>
      </c>
      <c r="M677" s="2">
        <v>877</v>
      </c>
      <c r="P677" t="str">
        <f t="shared" si="43"/>
        <v>58%</v>
      </c>
      <c r="Q677" s="12">
        <f t="shared" si="40"/>
        <v>0.57999999999999996</v>
      </c>
      <c r="R677" s="9">
        <f t="shared" si="41"/>
        <v>797.58000000000015</v>
      </c>
      <c r="S677" s="9">
        <f>IF(R677="",AVERAGEIF(Table1[Category],Table1[[#This Row],[Category]],Table2[orignal data]),Table2[[#This Row],[orignal data]])</f>
        <v>797.58000000000015</v>
      </c>
      <c r="T677" t="str">
        <f t="shared" si="42"/>
        <v>UNIQUE</v>
      </c>
      <c r="U677" t="str">
        <f>IF(ISBLANK(Table1[[#This Row],[SizeOption]]),"NOT AVAILABLE",Table1[[#This Row],[SizeOption]])</f>
        <v>26, 28, 30, 32, 34</v>
      </c>
      <c r="Y677" t="str">
        <f>IF(Table2[[#This Row],[Column1]]&gt;50%,"HIGH DISCOUNT","LOW DISCOUNT")</f>
        <v>HIGH DISCOUNT</v>
      </c>
    </row>
    <row r="678" spans="1:25" x14ac:dyDescent="0.25">
      <c r="A678" s="1" t="s">
        <v>1619</v>
      </c>
      <c r="B678" s="1">
        <v>6911333</v>
      </c>
      <c r="C678" s="1" t="s">
        <v>1506</v>
      </c>
      <c r="D678" s="1" t="s">
        <v>41</v>
      </c>
      <c r="E678" s="1" t="s">
        <v>48</v>
      </c>
      <c r="F678" s="1" t="s">
        <v>36</v>
      </c>
      <c r="G678" s="1" t="s">
        <v>1620</v>
      </c>
      <c r="I678" s="1">
        <v>999</v>
      </c>
      <c r="J678" s="1" t="s">
        <v>25</v>
      </c>
      <c r="K678" s="1" t="s">
        <v>352</v>
      </c>
      <c r="L678" s="1">
        <v>4.2</v>
      </c>
      <c r="M678" s="1">
        <v>877</v>
      </c>
      <c r="P678" t="str">
        <f t="shared" si="43"/>
        <v>55%</v>
      </c>
      <c r="Q678" s="12">
        <f t="shared" si="40"/>
        <v>0.55000000000000004</v>
      </c>
      <c r="R678" s="9">
        <f t="shared" si="41"/>
        <v>449.54999999999995</v>
      </c>
      <c r="S678" s="9">
        <f>IF(R678="",AVERAGEIF(Table1[Category],Table1[[#This Row],[Category]],Table2[orignal data]),Table2[[#This Row],[orignal data]])</f>
        <v>449.54999999999995</v>
      </c>
      <c r="T678" t="str">
        <f t="shared" si="42"/>
        <v>UNIQUE</v>
      </c>
      <c r="U678" t="str">
        <f>IF(ISBLANK(Table1[[#This Row],[SizeOption]]),"NOT AVAILABLE",Table1[[#This Row],[SizeOption]])</f>
        <v>S, M, L</v>
      </c>
      <c r="Y678" t="str">
        <f>IF(Table2[[#This Row],[Column1]]&gt;50%,"HIGH DISCOUNT","LOW DISCOUNT")</f>
        <v>HIGH DISCOUNT</v>
      </c>
    </row>
    <row r="679" spans="1:25" x14ac:dyDescent="0.25">
      <c r="A679" s="2" t="s">
        <v>1621</v>
      </c>
      <c r="B679" s="2">
        <v>11036254</v>
      </c>
      <c r="C679" s="2" t="s">
        <v>349</v>
      </c>
      <c r="D679" s="2" t="s">
        <v>197</v>
      </c>
      <c r="E679" s="2" t="s">
        <v>350</v>
      </c>
      <c r="F679" s="2" t="s">
        <v>17</v>
      </c>
      <c r="G679" s="2" t="s">
        <v>1622</v>
      </c>
      <c r="I679" s="2">
        <v>599</v>
      </c>
      <c r="J679" s="2"/>
      <c r="K679" s="2" t="s">
        <v>352</v>
      </c>
      <c r="L679" s="2">
        <v>4.5999999999999996</v>
      </c>
      <c r="M679" s="2">
        <v>876</v>
      </c>
      <c r="P679" t="str">
        <f t="shared" si="43"/>
        <v/>
      </c>
      <c r="Q679" s="12" t="str">
        <f t="shared" si="40"/>
        <v/>
      </c>
      <c r="R679" s="9" t="str">
        <f t="shared" si="41"/>
        <v/>
      </c>
      <c r="S679" s="9">
        <f>IF(R679="",AVERAGEIF(Table1[Category],Table1[[#This Row],[Category]],Table2[orignal data]),Table2[[#This Row],[orignal data]])</f>
        <v>552.70900000000006</v>
      </c>
      <c r="T679" t="str">
        <f t="shared" si="42"/>
        <v>UNIQUE</v>
      </c>
      <c r="U679" t="str">
        <f>IF(ISBLANK(Table1[[#This Row],[SizeOption]]),"NOT AVAILABLE",Table1[[#This Row],[SizeOption]])</f>
        <v>S, M, L</v>
      </c>
      <c r="Y679" t="str">
        <f>IF(Table2[[#This Row],[Column1]]&gt;50%,"HIGH DISCOUNT","LOW DISCOUNT")</f>
        <v>HIGH DISCOUNT</v>
      </c>
    </row>
    <row r="680" spans="1:25" x14ac:dyDescent="0.25">
      <c r="A680" s="1" t="s">
        <v>1623</v>
      </c>
      <c r="B680" s="1">
        <v>11363908</v>
      </c>
      <c r="C680" s="1" t="s">
        <v>169</v>
      </c>
      <c r="D680" s="1" t="s">
        <v>28</v>
      </c>
      <c r="E680" s="1" t="s">
        <v>42</v>
      </c>
      <c r="F680" s="1" t="s">
        <v>17</v>
      </c>
      <c r="G680" s="1" t="s">
        <v>1624</v>
      </c>
      <c r="H680">
        <v>769</v>
      </c>
      <c r="I680" s="1">
        <v>1399</v>
      </c>
      <c r="J680" s="1" t="s">
        <v>19</v>
      </c>
      <c r="K680" s="1" t="s">
        <v>39</v>
      </c>
      <c r="L680" s="1">
        <v>4.2</v>
      </c>
      <c r="M680" s="1">
        <v>876</v>
      </c>
      <c r="P680" t="str">
        <f t="shared" si="43"/>
        <v>45%</v>
      </c>
      <c r="Q680" s="12">
        <f t="shared" si="40"/>
        <v>0.45</v>
      </c>
      <c r="R680" s="9">
        <f t="shared" si="41"/>
        <v>769.44999999999993</v>
      </c>
      <c r="S680" s="9">
        <f>IF(R680="",AVERAGEIF(Table1[Category],Table1[[#This Row],[Category]],Table2[orignal data]),Table2[[#This Row],[orignal data]])</f>
        <v>769.44999999999993</v>
      </c>
      <c r="T680" t="str">
        <f t="shared" si="42"/>
        <v>UNIQUE</v>
      </c>
      <c r="U680" t="str">
        <f>IF(ISBLANK(Table1[[#This Row],[SizeOption]]),"NOT AVAILABLE",Table1[[#This Row],[SizeOption]])</f>
        <v>S, M, L, XL, XXL</v>
      </c>
      <c r="Y680" t="str">
        <f>IF(Table2[[#This Row],[Column1]]&gt;50%,"HIGH DISCOUNT","LOW DISCOUNT")</f>
        <v>LOW DISCOUNT</v>
      </c>
    </row>
    <row r="681" spans="1:25" x14ac:dyDescent="0.25">
      <c r="A681" s="2" t="s">
        <v>1625</v>
      </c>
      <c r="B681" s="2">
        <v>10410606</v>
      </c>
      <c r="C681" s="2" t="s">
        <v>169</v>
      </c>
      <c r="D681" s="2" t="s">
        <v>28</v>
      </c>
      <c r="E681" s="2" t="s">
        <v>42</v>
      </c>
      <c r="F681" s="2" t="s">
        <v>17</v>
      </c>
      <c r="G681" s="2" t="s">
        <v>1626</v>
      </c>
      <c r="H681">
        <v>699</v>
      </c>
      <c r="I681" s="2">
        <v>1399</v>
      </c>
      <c r="J681" s="2" t="s">
        <v>84</v>
      </c>
      <c r="K681" s="2" t="s">
        <v>39</v>
      </c>
      <c r="L681" s="2">
        <v>4.3</v>
      </c>
      <c r="M681" s="2">
        <v>876</v>
      </c>
      <c r="P681" t="str">
        <f t="shared" si="43"/>
        <v>50%</v>
      </c>
      <c r="Q681" s="12">
        <f t="shared" si="40"/>
        <v>0.5</v>
      </c>
      <c r="R681" s="9">
        <f t="shared" si="41"/>
        <v>699.5</v>
      </c>
      <c r="S681" s="9">
        <f>IF(R681="",AVERAGEIF(Table1[Category],Table1[[#This Row],[Category]],Table2[orignal data]),Table2[[#This Row],[orignal data]])</f>
        <v>699.5</v>
      </c>
      <c r="T681" t="str">
        <f t="shared" si="42"/>
        <v>UNIQUE</v>
      </c>
      <c r="U681" t="str">
        <f>IF(ISBLANK(Table1[[#This Row],[SizeOption]]),"NOT AVAILABLE",Table1[[#This Row],[SizeOption]])</f>
        <v>S, M, L, XL, XXL</v>
      </c>
      <c r="Y681" t="str">
        <f>IF(Table2[[#This Row],[Column1]]&gt;50%,"HIGH DISCOUNT","LOW DISCOUNT")</f>
        <v>LOW DISCOUNT</v>
      </c>
    </row>
    <row r="682" spans="1:25" x14ac:dyDescent="0.25">
      <c r="A682" s="1" t="s">
        <v>1627</v>
      </c>
      <c r="B682" s="1">
        <v>10617856</v>
      </c>
      <c r="C682" s="1" t="s">
        <v>14</v>
      </c>
      <c r="D682" s="1" t="s">
        <v>28</v>
      </c>
      <c r="E682" s="1" t="s">
        <v>189</v>
      </c>
      <c r="F682" s="1" t="s">
        <v>17</v>
      </c>
      <c r="G682" s="1" t="s">
        <v>1628</v>
      </c>
      <c r="I682" s="1">
        <v>3099</v>
      </c>
      <c r="J682" s="1"/>
      <c r="K682" s="1" t="s">
        <v>234</v>
      </c>
      <c r="L682" s="1">
        <v>4.3</v>
      </c>
      <c r="M682" s="1">
        <v>876</v>
      </c>
      <c r="P682" t="str">
        <f t="shared" si="43"/>
        <v/>
      </c>
      <c r="Q682" s="12" t="str">
        <f t="shared" si="40"/>
        <v/>
      </c>
      <c r="R682" s="9" t="str">
        <f t="shared" si="41"/>
        <v/>
      </c>
      <c r="S682" s="9">
        <f>IF(R682="",AVERAGEIF(Table1[Category],Table1[[#This Row],[Category]],Table2[orignal data]),Table2[[#This Row],[orignal data]])</f>
        <v>671.7823941958867</v>
      </c>
      <c r="T682" t="str">
        <f t="shared" si="42"/>
        <v>UNIQUE</v>
      </c>
      <c r="U682" t="str">
        <f>IF(ISBLANK(Table1[[#This Row],[SizeOption]]),"NOT AVAILABLE",Table1[[#This Row],[SizeOption]])</f>
        <v>S, M, L, XL, XXL, 3XL</v>
      </c>
      <c r="Y682" t="str">
        <f>IF(Table2[[#This Row],[Column1]]&gt;50%,"HIGH DISCOUNT","LOW DISCOUNT")</f>
        <v>HIGH DISCOUNT</v>
      </c>
    </row>
    <row r="683" spans="1:25" x14ac:dyDescent="0.25">
      <c r="A683" s="2" t="s">
        <v>1629</v>
      </c>
      <c r="B683" s="2">
        <v>17383122</v>
      </c>
      <c r="C683" s="2" t="s">
        <v>14</v>
      </c>
      <c r="D683" s="2" t="s">
        <v>41</v>
      </c>
      <c r="E683" s="2" t="s">
        <v>42</v>
      </c>
      <c r="F683" s="2" t="s">
        <v>36</v>
      </c>
      <c r="G683" s="2" t="s">
        <v>1630</v>
      </c>
      <c r="I683" s="2">
        <v>1498</v>
      </c>
      <c r="J683" s="2" t="s">
        <v>84</v>
      </c>
      <c r="K683" s="2" t="s">
        <v>146</v>
      </c>
      <c r="L683" s="2">
        <v>4.4000000000000004</v>
      </c>
      <c r="M683" s="2">
        <v>876</v>
      </c>
      <c r="P683" t="str">
        <f t="shared" si="43"/>
        <v>50%</v>
      </c>
      <c r="Q683" s="12">
        <f t="shared" si="40"/>
        <v>0.5</v>
      </c>
      <c r="R683" s="9">
        <f t="shared" si="41"/>
        <v>749</v>
      </c>
      <c r="S683" s="9">
        <f>IF(R683="",AVERAGEIF(Table1[Category],Table1[[#This Row],[Category]],Table2[orignal data]),Table2[[#This Row],[orignal data]])</f>
        <v>749</v>
      </c>
      <c r="T683" t="str">
        <f t="shared" si="42"/>
        <v>UNIQUE</v>
      </c>
      <c r="U683" t="str">
        <f>IF(ISBLANK(Table1[[#This Row],[SizeOption]]),"NOT AVAILABLE",Table1[[#This Row],[SizeOption]])</f>
        <v>L, M, S, XS, XL</v>
      </c>
      <c r="Y683" t="str">
        <f>IF(Table2[[#This Row],[Column1]]&gt;50%,"HIGH DISCOUNT","LOW DISCOUNT")</f>
        <v>LOW DISCOUNT</v>
      </c>
    </row>
    <row r="684" spans="1:25" x14ac:dyDescent="0.25">
      <c r="A684" s="1" t="s">
        <v>1631</v>
      </c>
      <c r="B684" s="1">
        <v>17381986</v>
      </c>
      <c r="C684" s="1" t="s">
        <v>14</v>
      </c>
      <c r="D684" s="1" t="s">
        <v>41</v>
      </c>
      <c r="E684" s="1" t="s">
        <v>42</v>
      </c>
      <c r="F684" s="1" t="s">
        <v>36</v>
      </c>
      <c r="G684" s="1" t="s">
        <v>62</v>
      </c>
      <c r="I684" s="1">
        <v>1598</v>
      </c>
      <c r="J684" s="1" t="s">
        <v>84</v>
      </c>
      <c r="K684" s="1" t="s">
        <v>45</v>
      </c>
      <c r="L684" s="1">
        <v>4.0999999999999996</v>
      </c>
      <c r="M684" s="1">
        <v>876</v>
      </c>
      <c r="P684" t="str">
        <f t="shared" si="43"/>
        <v>50%</v>
      </c>
      <c r="Q684" s="12">
        <f t="shared" si="40"/>
        <v>0.5</v>
      </c>
      <c r="R684" s="9">
        <f t="shared" si="41"/>
        <v>799</v>
      </c>
      <c r="S684" s="9">
        <f>IF(R684="",AVERAGEIF(Table1[Category],Table1[[#This Row],[Category]],Table2[orignal data]),Table2[[#This Row],[orignal data]])</f>
        <v>799</v>
      </c>
      <c r="T684" t="str">
        <f t="shared" si="42"/>
        <v>UNIQUE</v>
      </c>
      <c r="U684" t="str">
        <f>IF(ISBLANK(Table1[[#This Row],[SizeOption]]),"NOT AVAILABLE",Table1[[#This Row],[SizeOption]])</f>
        <v>XS, S, M, L, XL</v>
      </c>
      <c r="Y684" t="str">
        <f>IF(Table2[[#This Row],[Column1]]&gt;50%,"HIGH DISCOUNT","LOW DISCOUNT")</f>
        <v>LOW DISCOUNT</v>
      </c>
    </row>
    <row r="685" spans="1:25" x14ac:dyDescent="0.25">
      <c r="A685" s="2" t="s">
        <v>1632</v>
      </c>
      <c r="B685" s="2">
        <v>17383350</v>
      </c>
      <c r="C685" s="2" t="s">
        <v>14</v>
      </c>
      <c r="D685" s="2" t="s">
        <v>41</v>
      </c>
      <c r="E685" s="2" t="s">
        <v>42</v>
      </c>
      <c r="F685" s="2" t="s">
        <v>36</v>
      </c>
      <c r="G685" s="2" t="s">
        <v>1633</v>
      </c>
      <c r="I685" s="2">
        <v>1598</v>
      </c>
      <c r="J685" s="2" t="s">
        <v>84</v>
      </c>
      <c r="K685" s="2" t="s">
        <v>146</v>
      </c>
      <c r="L685" s="2">
        <v>4.0999999999999996</v>
      </c>
      <c r="M685" s="2">
        <v>876</v>
      </c>
      <c r="P685" t="str">
        <f t="shared" si="43"/>
        <v>50%</v>
      </c>
      <c r="Q685" s="12">
        <f t="shared" si="40"/>
        <v>0.5</v>
      </c>
      <c r="R685" s="9">
        <f t="shared" si="41"/>
        <v>799</v>
      </c>
      <c r="S685" s="9">
        <f>IF(R685="",AVERAGEIF(Table1[Category],Table1[[#This Row],[Category]],Table2[orignal data]),Table2[[#This Row],[orignal data]])</f>
        <v>799</v>
      </c>
      <c r="T685" t="str">
        <f t="shared" si="42"/>
        <v>UNIQUE</v>
      </c>
      <c r="U685" t="str">
        <f>IF(ISBLANK(Table1[[#This Row],[SizeOption]]),"NOT AVAILABLE",Table1[[#This Row],[SizeOption]])</f>
        <v>L, M, S, XS, XL</v>
      </c>
      <c r="Y685" t="str">
        <f>IF(Table2[[#This Row],[Column1]]&gt;50%,"HIGH DISCOUNT","LOW DISCOUNT")</f>
        <v>LOW DISCOUNT</v>
      </c>
    </row>
    <row r="686" spans="1:25" x14ac:dyDescent="0.25">
      <c r="A686" s="1" t="s">
        <v>1634</v>
      </c>
      <c r="B686" s="1">
        <v>13234824</v>
      </c>
      <c r="C686" s="1" t="s">
        <v>1489</v>
      </c>
      <c r="D686" s="1" t="s">
        <v>41</v>
      </c>
      <c r="E686" s="1" t="s">
        <v>53</v>
      </c>
      <c r="F686" s="1" t="s">
        <v>36</v>
      </c>
      <c r="G686" s="1" t="s">
        <v>1635</v>
      </c>
      <c r="I686" s="1">
        <v>999</v>
      </c>
      <c r="J686" s="1" t="s">
        <v>19</v>
      </c>
      <c r="K686" s="1" t="s">
        <v>105</v>
      </c>
      <c r="L686" s="1">
        <v>4.3</v>
      </c>
      <c r="M686" s="1">
        <v>876</v>
      </c>
      <c r="P686" t="str">
        <f t="shared" si="43"/>
        <v>45%</v>
      </c>
      <c r="Q686" s="12">
        <f t="shared" si="40"/>
        <v>0.45</v>
      </c>
      <c r="R686" s="9">
        <f t="shared" si="41"/>
        <v>549.45000000000005</v>
      </c>
      <c r="S686" s="9">
        <f>IF(R686="",AVERAGEIF(Table1[Category],Table1[[#This Row],[Category]],Table2[orignal data]),Table2[[#This Row],[orignal data]])</f>
        <v>549.45000000000005</v>
      </c>
      <c r="T686" t="str">
        <f t="shared" si="42"/>
        <v>UNIQUE</v>
      </c>
      <c r="U686" t="str">
        <f>IF(ISBLANK(Table1[[#This Row],[SizeOption]]),"NOT AVAILABLE",Table1[[#This Row],[SizeOption]])</f>
        <v>28, 30, 32, 34</v>
      </c>
      <c r="Y686" t="str">
        <f>IF(Table2[[#This Row],[Column1]]&gt;50%,"HIGH DISCOUNT","LOW DISCOUNT")</f>
        <v>LOW DISCOUNT</v>
      </c>
    </row>
    <row r="687" spans="1:25" x14ac:dyDescent="0.25">
      <c r="A687" s="2" t="s">
        <v>1636</v>
      </c>
      <c r="B687" s="2">
        <v>9445631</v>
      </c>
      <c r="C687" s="2" t="s">
        <v>67</v>
      </c>
      <c r="D687" s="2" t="s">
        <v>68</v>
      </c>
      <c r="E687" s="2" t="s">
        <v>306</v>
      </c>
      <c r="F687" s="2" t="s">
        <v>17</v>
      </c>
      <c r="G687" s="2" t="s">
        <v>1637</v>
      </c>
      <c r="H687">
        <v>594</v>
      </c>
      <c r="I687" s="2">
        <v>1699</v>
      </c>
      <c r="J687" s="2" t="s">
        <v>150</v>
      </c>
      <c r="K687" s="2" t="s">
        <v>39</v>
      </c>
      <c r="L687" s="2">
        <v>4.2</v>
      </c>
      <c r="M687" s="2">
        <v>875</v>
      </c>
      <c r="P687" t="str">
        <f t="shared" si="43"/>
        <v>65%</v>
      </c>
      <c r="Q687" s="12">
        <f t="shared" si="40"/>
        <v>0.65</v>
      </c>
      <c r="R687" s="9">
        <f t="shared" si="41"/>
        <v>594.64999999999986</v>
      </c>
      <c r="S687" s="9">
        <f>IF(R687="",AVERAGEIF(Table1[Category],Table1[[#This Row],[Category]],Table2[orignal data]),Table2[[#This Row],[orignal data]])</f>
        <v>594.64999999999986</v>
      </c>
      <c r="T687" t="str">
        <f t="shared" si="42"/>
        <v>UNIQUE</v>
      </c>
      <c r="U687" t="str">
        <f>IF(ISBLANK(Table1[[#This Row],[SizeOption]]),"NOT AVAILABLE",Table1[[#This Row],[SizeOption]])</f>
        <v>S, M, L, XL, XXL</v>
      </c>
      <c r="Y687" t="str">
        <f>IF(Table2[[#This Row],[Column1]]&gt;50%,"HIGH DISCOUNT","LOW DISCOUNT")</f>
        <v>HIGH DISCOUNT</v>
      </c>
    </row>
    <row r="688" spans="1:25" x14ac:dyDescent="0.25">
      <c r="A688" s="1" t="s">
        <v>1638</v>
      </c>
      <c r="B688" s="1">
        <v>10863420</v>
      </c>
      <c r="C688" s="1" t="s">
        <v>52</v>
      </c>
      <c r="D688" s="1" t="s">
        <v>28</v>
      </c>
      <c r="E688" s="1" t="s">
        <v>29</v>
      </c>
      <c r="F688" s="1" t="s">
        <v>17</v>
      </c>
      <c r="G688" s="1" t="s">
        <v>1639</v>
      </c>
      <c r="H688">
        <v>582</v>
      </c>
      <c r="I688" s="1">
        <v>1099</v>
      </c>
      <c r="J688" s="1" t="s">
        <v>758</v>
      </c>
      <c r="K688" s="1" t="s">
        <v>90</v>
      </c>
      <c r="L688" s="1">
        <v>4.2</v>
      </c>
      <c r="M688" s="1">
        <v>875</v>
      </c>
      <c r="P688" t="str">
        <f t="shared" si="43"/>
        <v>47%</v>
      </c>
      <c r="Q688" s="12">
        <f t="shared" si="40"/>
        <v>0.47</v>
      </c>
      <c r="R688" s="9">
        <f t="shared" si="41"/>
        <v>582.47</v>
      </c>
      <c r="S688" s="9">
        <f>IF(R688="",AVERAGEIF(Table1[Category],Table1[[#This Row],[Category]],Table2[orignal data]),Table2[[#This Row],[orignal data]])</f>
        <v>582.47</v>
      </c>
      <c r="T688" t="str">
        <f t="shared" si="42"/>
        <v>UNIQUE</v>
      </c>
      <c r="U688" t="str">
        <f>IF(ISBLANK(Table1[[#This Row],[SizeOption]]),"NOT AVAILABLE",Table1[[#This Row],[SizeOption]])</f>
        <v>39, 40, 42, 44</v>
      </c>
      <c r="Y688" t="str">
        <f>IF(Table2[[#This Row],[Column1]]&gt;50%,"HIGH DISCOUNT","LOW DISCOUNT")</f>
        <v>LOW DISCOUNT</v>
      </c>
    </row>
    <row r="689" spans="1:25" x14ac:dyDescent="0.25">
      <c r="A689" s="2" t="s">
        <v>1640</v>
      </c>
      <c r="B689" s="2">
        <v>14304560</v>
      </c>
      <c r="C689" s="2" t="s">
        <v>1641</v>
      </c>
      <c r="D689" s="2" t="s">
        <v>28</v>
      </c>
      <c r="E689" s="2" t="s">
        <v>42</v>
      </c>
      <c r="F689" s="2" t="s">
        <v>17</v>
      </c>
      <c r="G689" s="2" t="s">
        <v>1642</v>
      </c>
      <c r="H689">
        <v>719</v>
      </c>
      <c r="I689" s="2">
        <v>1199</v>
      </c>
      <c r="J689" s="2" t="s">
        <v>50</v>
      </c>
      <c r="K689" s="2" t="s">
        <v>100</v>
      </c>
      <c r="L689" s="2">
        <v>4.3</v>
      </c>
      <c r="M689" s="2">
        <v>875</v>
      </c>
      <c r="P689" t="str">
        <f t="shared" si="43"/>
        <v>40%</v>
      </c>
      <c r="Q689" s="12">
        <f t="shared" si="40"/>
        <v>0.4</v>
      </c>
      <c r="R689" s="9">
        <f t="shared" si="41"/>
        <v>719.4</v>
      </c>
      <c r="S689" s="9">
        <f>IF(R689="",AVERAGEIF(Table1[Category],Table1[[#This Row],[Category]],Table2[orignal data]),Table2[[#This Row],[orignal data]])</f>
        <v>719.4</v>
      </c>
      <c r="T689" t="str">
        <f t="shared" si="42"/>
        <v>UNIQUE</v>
      </c>
      <c r="U689" t="str">
        <f>IF(ISBLANK(Table1[[#This Row],[SizeOption]]),"NOT AVAILABLE",Table1[[#This Row],[SizeOption]])</f>
        <v>XS, S, M, L, XL, XXL, 3XL</v>
      </c>
      <c r="Y689" t="str">
        <f>IF(Table2[[#This Row],[Column1]]&gt;50%,"HIGH DISCOUNT","LOW DISCOUNT")</f>
        <v>LOW DISCOUNT</v>
      </c>
    </row>
    <row r="690" spans="1:25" x14ac:dyDescent="0.25">
      <c r="A690" s="1" t="s">
        <v>1643</v>
      </c>
      <c r="B690" s="1">
        <v>6791220</v>
      </c>
      <c r="C690" s="1" t="s">
        <v>14</v>
      </c>
      <c r="D690" s="1" t="s">
        <v>28</v>
      </c>
      <c r="E690" s="1" t="s">
        <v>29</v>
      </c>
      <c r="F690" s="1" t="s">
        <v>17</v>
      </c>
      <c r="G690" s="1" t="s">
        <v>1644</v>
      </c>
      <c r="H690">
        <v>599</v>
      </c>
      <c r="I690" s="1">
        <v>1499</v>
      </c>
      <c r="J690" s="1" t="s">
        <v>55</v>
      </c>
      <c r="K690" s="1" t="s">
        <v>31</v>
      </c>
      <c r="L690" s="1">
        <v>4.3</v>
      </c>
      <c r="M690" s="1">
        <v>875</v>
      </c>
      <c r="P690" t="str">
        <f t="shared" si="43"/>
        <v>60%</v>
      </c>
      <c r="Q690" s="12">
        <f t="shared" si="40"/>
        <v>0.6</v>
      </c>
      <c r="R690" s="9">
        <f t="shared" si="41"/>
        <v>599.6</v>
      </c>
      <c r="S690" s="9">
        <f>IF(R690="",AVERAGEIF(Table1[Category],Table1[[#This Row],[Category]],Table2[orignal data]),Table2[[#This Row],[orignal data]])</f>
        <v>599.6</v>
      </c>
      <c r="T690" t="str">
        <f t="shared" si="42"/>
        <v>UNIQUE</v>
      </c>
      <c r="U690" t="str">
        <f>IF(ISBLANK(Table1[[#This Row],[SizeOption]]),"NOT AVAILABLE",Table1[[#This Row],[SizeOption]])</f>
        <v>38, 40, 42, 44, 46, 48</v>
      </c>
      <c r="Y690" t="str">
        <f>IF(Table2[[#This Row],[Column1]]&gt;50%,"HIGH DISCOUNT","LOW DISCOUNT")</f>
        <v>HIGH DISCOUNT</v>
      </c>
    </row>
    <row r="691" spans="1:25" x14ac:dyDescent="0.25">
      <c r="A691" s="2" t="s">
        <v>1645</v>
      </c>
      <c r="B691" s="2">
        <v>12748752</v>
      </c>
      <c r="C691" s="2" t="s">
        <v>420</v>
      </c>
      <c r="D691" s="2" t="s">
        <v>28</v>
      </c>
      <c r="E691" s="2" t="s">
        <v>306</v>
      </c>
      <c r="F691" s="2" t="s">
        <v>17</v>
      </c>
      <c r="G691" s="2" t="s">
        <v>1646</v>
      </c>
      <c r="H691">
        <v>730</v>
      </c>
      <c r="I691" s="2">
        <v>1699</v>
      </c>
      <c r="J691" s="2" t="s">
        <v>130</v>
      </c>
      <c r="K691" s="2" t="s">
        <v>26</v>
      </c>
      <c r="L691" s="2">
        <v>4</v>
      </c>
      <c r="M691" s="2">
        <v>875</v>
      </c>
      <c r="P691" t="str">
        <f t="shared" si="43"/>
        <v>57%</v>
      </c>
      <c r="Q691" s="12">
        <f t="shared" si="40"/>
        <v>0.56999999999999995</v>
      </c>
      <c r="R691" s="9">
        <f t="shared" si="41"/>
        <v>730.57</v>
      </c>
      <c r="S691" s="9">
        <f>IF(R691="",AVERAGEIF(Table1[Category],Table1[[#This Row],[Category]],Table2[orignal data]),Table2[[#This Row],[orignal data]])</f>
        <v>730.57</v>
      </c>
      <c r="T691" t="str">
        <f t="shared" si="42"/>
        <v>UNIQUE</v>
      </c>
      <c r="U691" t="str">
        <f>IF(ISBLANK(Table1[[#This Row],[SizeOption]]),"NOT AVAILABLE",Table1[[#This Row],[SizeOption]])</f>
        <v>S, M, L, XL</v>
      </c>
      <c r="Y691" t="str">
        <f>IF(Table2[[#This Row],[Column1]]&gt;50%,"HIGH DISCOUNT","LOW DISCOUNT")</f>
        <v>HIGH DISCOUNT</v>
      </c>
    </row>
    <row r="692" spans="1:25" x14ac:dyDescent="0.25">
      <c r="A692" s="1" t="s">
        <v>1647</v>
      </c>
      <c r="B692" s="1">
        <v>11818402</v>
      </c>
      <c r="C692" s="1" t="s">
        <v>117</v>
      </c>
      <c r="D692" s="1" t="s">
        <v>34</v>
      </c>
      <c r="E692" s="1" t="s">
        <v>118</v>
      </c>
      <c r="F692" s="1" t="s">
        <v>36</v>
      </c>
      <c r="G692" s="1" t="s">
        <v>1648</v>
      </c>
      <c r="I692" s="1">
        <v>729</v>
      </c>
      <c r="J692" s="1"/>
      <c r="K692" s="1" t="s">
        <v>1113</v>
      </c>
      <c r="L692" s="1">
        <v>4.4000000000000004</v>
      </c>
      <c r="M692" s="1">
        <v>875</v>
      </c>
      <c r="P692" t="str">
        <f t="shared" si="43"/>
        <v/>
      </c>
      <c r="Q692" s="12" t="str">
        <f t="shared" si="40"/>
        <v/>
      </c>
      <c r="R692" s="9" t="str">
        <f t="shared" si="41"/>
        <v/>
      </c>
      <c r="S692" s="9">
        <f>IF(R692="",AVERAGEIF(Table1[Category],Table1[[#This Row],[Category]],Table2[orignal data]),Table2[[#This Row],[orignal data]])</f>
        <v>608.88518518518481</v>
      </c>
      <c r="T692" t="str">
        <f t="shared" si="42"/>
        <v>UNIQUE</v>
      </c>
      <c r="U692" t="str">
        <f>IF(ISBLANK(Table1[[#This Row],[SizeOption]]),"NOT AVAILABLE",Table1[[#This Row],[SizeOption]])</f>
        <v>32B, 32C, 32D, 34B, 34C, 34D, 36B, 36C, 36D, 38B, 38C, 38D</v>
      </c>
      <c r="Y692" t="str">
        <f>IF(Table2[[#This Row],[Column1]]&gt;50%,"HIGH DISCOUNT","LOW DISCOUNT")</f>
        <v>HIGH DISCOUNT</v>
      </c>
    </row>
    <row r="693" spans="1:25" x14ac:dyDescent="0.25">
      <c r="A693" s="2" t="s">
        <v>1649</v>
      </c>
      <c r="B693" s="2">
        <v>10778702</v>
      </c>
      <c r="C693" s="2" t="s">
        <v>14</v>
      </c>
      <c r="D693" s="2" t="s">
        <v>41</v>
      </c>
      <c r="E693" s="2" t="s">
        <v>42</v>
      </c>
      <c r="F693" s="2" t="s">
        <v>36</v>
      </c>
      <c r="G693" s="2" t="s">
        <v>1650</v>
      </c>
      <c r="I693" s="2">
        <v>499</v>
      </c>
      <c r="J693" s="2" t="s">
        <v>50</v>
      </c>
      <c r="K693" s="2" t="s">
        <v>45</v>
      </c>
      <c r="L693" s="2">
        <v>4.2</v>
      </c>
      <c r="M693" s="2">
        <v>875</v>
      </c>
      <c r="P693" t="str">
        <f t="shared" si="43"/>
        <v>40%</v>
      </c>
      <c r="Q693" s="12">
        <f t="shared" si="40"/>
        <v>0.4</v>
      </c>
      <c r="R693" s="9">
        <f t="shared" si="41"/>
        <v>299.39999999999998</v>
      </c>
      <c r="S693" s="9">
        <f>IF(R693="",AVERAGEIF(Table1[Category],Table1[[#This Row],[Category]],Table2[orignal data]),Table2[[#This Row],[orignal data]])</f>
        <v>299.39999999999998</v>
      </c>
      <c r="T693" t="str">
        <f t="shared" si="42"/>
        <v>UNIQUE</v>
      </c>
      <c r="U693" t="str">
        <f>IF(ISBLANK(Table1[[#This Row],[SizeOption]]),"NOT AVAILABLE",Table1[[#This Row],[SizeOption]])</f>
        <v>XS, S, M, L, XL</v>
      </c>
      <c r="Y693" t="str">
        <f>IF(Table2[[#This Row],[Column1]]&gt;50%,"HIGH DISCOUNT","LOW DISCOUNT")</f>
        <v>LOW DISCOUNT</v>
      </c>
    </row>
    <row r="694" spans="1:25" x14ac:dyDescent="0.25">
      <c r="A694" s="1" t="s">
        <v>1651</v>
      </c>
      <c r="B694" s="1">
        <v>1758525</v>
      </c>
      <c r="C694" s="1" t="s">
        <v>169</v>
      </c>
      <c r="D694" s="1" t="s">
        <v>15</v>
      </c>
      <c r="E694" s="1" t="s">
        <v>16</v>
      </c>
      <c r="F694" s="1" t="s">
        <v>17</v>
      </c>
      <c r="G694" s="1" t="s">
        <v>1652</v>
      </c>
      <c r="H694">
        <v>1499</v>
      </c>
      <c r="I694" s="1">
        <v>2999</v>
      </c>
      <c r="J694" s="1" t="s">
        <v>84</v>
      </c>
      <c r="K694" s="1" t="s">
        <v>171</v>
      </c>
      <c r="L694" s="1">
        <v>4.0999999999999996</v>
      </c>
      <c r="M694" s="1">
        <v>874</v>
      </c>
      <c r="P694" t="str">
        <f t="shared" si="43"/>
        <v>50%</v>
      </c>
      <c r="Q694" s="12">
        <f t="shared" si="40"/>
        <v>0.5</v>
      </c>
      <c r="R694" s="9">
        <f t="shared" si="41"/>
        <v>1499.5</v>
      </c>
      <c r="S694" s="9">
        <f>IF(R694="",AVERAGEIF(Table1[Category],Table1[[#This Row],[Category]],Table2[orignal data]),Table2[[#This Row],[orignal data]])</f>
        <v>1499.5</v>
      </c>
      <c r="T694" t="str">
        <f t="shared" si="42"/>
        <v>UNIQUE</v>
      </c>
      <c r="U694" t="str">
        <f>IF(ISBLANK(Table1[[#This Row],[SizeOption]]),"NOT AVAILABLE",Table1[[#This Row],[SizeOption]])</f>
        <v>28, 30, 32, 34, 36, 38</v>
      </c>
      <c r="Y694" t="str">
        <f>IF(Table2[[#This Row],[Column1]]&gt;50%,"HIGH DISCOUNT","LOW DISCOUNT")</f>
        <v>LOW DISCOUNT</v>
      </c>
    </row>
    <row r="695" spans="1:25" x14ac:dyDescent="0.25">
      <c r="A695" s="2" t="s">
        <v>1653</v>
      </c>
      <c r="B695" s="2">
        <v>3082390</v>
      </c>
      <c r="C695" s="2" t="s">
        <v>47</v>
      </c>
      <c r="D695" s="2" t="s">
        <v>28</v>
      </c>
      <c r="E695" s="2" t="s">
        <v>42</v>
      </c>
      <c r="F695" s="2" t="s">
        <v>17</v>
      </c>
      <c r="G695" s="2" t="s">
        <v>1654</v>
      </c>
      <c r="H695">
        <v>339</v>
      </c>
      <c r="I695" s="2">
        <v>849</v>
      </c>
      <c r="J695" s="2" t="s">
        <v>55</v>
      </c>
      <c r="K695" s="2" t="s">
        <v>26</v>
      </c>
      <c r="L695" s="2">
        <v>4.0999999999999996</v>
      </c>
      <c r="M695" s="2">
        <v>874</v>
      </c>
      <c r="P695" t="str">
        <f t="shared" si="43"/>
        <v>60%</v>
      </c>
      <c r="Q695" s="12">
        <f t="shared" si="40"/>
        <v>0.6</v>
      </c>
      <c r="R695" s="9">
        <f t="shared" si="41"/>
        <v>339.6</v>
      </c>
      <c r="S695" s="9">
        <f>IF(R695="",AVERAGEIF(Table1[Category],Table1[[#This Row],[Category]],Table2[orignal data]),Table2[[#This Row],[orignal data]])</f>
        <v>339.6</v>
      </c>
      <c r="T695" t="str">
        <f t="shared" si="42"/>
        <v>UNIQUE</v>
      </c>
      <c r="U695" t="str">
        <f>IF(ISBLANK(Table1[[#This Row],[SizeOption]]),"NOT AVAILABLE",Table1[[#This Row],[SizeOption]])</f>
        <v>S, M, L, XL</v>
      </c>
      <c r="Y695" t="str">
        <f>IF(Table2[[#This Row],[Column1]]&gt;50%,"HIGH DISCOUNT","LOW DISCOUNT")</f>
        <v>HIGH DISCOUNT</v>
      </c>
    </row>
    <row r="696" spans="1:25" x14ac:dyDescent="0.25">
      <c r="A696" s="1" t="s">
        <v>1655</v>
      </c>
      <c r="B696" s="1">
        <v>11349910</v>
      </c>
      <c r="C696" s="1" t="s">
        <v>1656</v>
      </c>
      <c r="D696" s="1" t="s">
        <v>76</v>
      </c>
      <c r="E696" s="1" t="s">
        <v>148</v>
      </c>
      <c r="F696" s="1" t="s">
        <v>36</v>
      </c>
      <c r="G696" s="1" t="s">
        <v>1657</v>
      </c>
      <c r="H696">
        <v>849</v>
      </c>
      <c r="I696" s="1">
        <v>1699</v>
      </c>
      <c r="J696" s="1" t="s">
        <v>84</v>
      </c>
      <c r="K696" s="1" t="s">
        <v>115</v>
      </c>
      <c r="L696" s="1">
        <v>4.2</v>
      </c>
      <c r="M696" s="1">
        <v>874</v>
      </c>
      <c r="P696" t="str">
        <f t="shared" si="43"/>
        <v>50%</v>
      </c>
      <c r="Q696" s="12">
        <f t="shared" si="40"/>
        <v>0.5</v>
      </c>
      <c r="R696" s="9">
        <f t="shared" si="41"/>
        <v>849.5</v>
      </c>
      <c r="S696" s="9">
        <f>IF(R696="",AVERAGEIF(Table1[Category],Table1[[#This Row],[Category]],Table2[orignal data]),Table2[[#This Row],[orignal data]])</f>
        <v>849.5</v>
      </c>
      <c r="T696" t="str">
        <f t="shared" si="42"/>
        <v>UNIQUE</v>
      </c>
      <c r="U696" t="str">
        <f>IF(ISBLANK(Table1[[#This Row],[SizeOption]]),"NOT AVAILABLE",Table1[[#This Row],[SizeOption]])</f>
        <v>XS, S, M, L, XL, XXL</v>
      </c>
      <c r="Y696" t="str">
        <f>IF(Table2[[#This Row],[Column1]]&gt;50%,"HIGH DISCOUNT","LOW DISCOUNT")</f>
        <v>LOW DISCOUNT</v>
      </c>
    </row>
    <row r="697" spans="1:25" x14ac:dyDescent="0.25">
      <c r="A697" s="2" t="s">
        <v>1658</v>
      </c>
      <c r="B697" s="2">
        <v>11749988</v>
      </c>
      <c r="C697" s="2" t="s">
        <v>1375</v>
      </c>
      <c r="D697" s="2" t="s">
        <v>76</v>
      </c>
      <c r="E697" s="2" t="s">
        <v>320</v>
      </c>
      <c r="F697" s="2" t="s">
        <v>36</v>
      </c>
      <c r="G697" s="2" t="s">
        <v>1659</v>
      </c>
      <c r="H697">
        <v>1499</v>
      </c>
      <c r="I697" s="2">
        <v>4999</v>
      </c>
      <c r="J697" s="2" t="s">
        <v>79</v>
      </c>
      <c r="K697" s="2" t="s">
        <v>164</v>
      </c>
      <c r="L697" s="2">
        <v>4.4000000000000004</v>
      </c>
      <c r="M697" s="2">
        <v>874</v>
      </c>
      <c r="P697" t="str">
        <f t="shared" si="43"/>
        <v>70%</v>
      </c>
      <c r="Q697" s="12">
        <f t="shared" si="40"/>
        <v>0.7</v>
      </c>
      <c r="R697" s="9">
        <f t="shared" si="41"/>
        <v>1499.7000000000003</v>
      </c>
      <c r="S697" s="9">
        <f>IF(R697="",AVERAGEIF(Table1[Category],Table1[[#This Row],[Category]],Table2[orignal data]),Table2[[#This Row],[orignal data]])</f>
        <v>1499.7000000000003</v>
      </c>
      <c r="T697" t="str">
        <f t="shared" si="42"/>
        <v>UNIQUE</v>
      </c>
      <c r="U697" t="str">
        <f>IF(ISBLANK(Table1[[#This Row],[SizeOption]]),"NOT AVAILABLE",Table1[[#This Row],[SizeOption]])</f>
        <v>Onesize</v>
      </c>
      <c r="Y697" t="str">
        <f>IF(Table2[[#This Row],[Column1]]&gt;50%,"HIGH DISCOUNT","LOW DISCOUNT")</f>
        <v>HIGH DISCOUNT</v>
      </c>
    </row>
    <row r="698" spans="1:25" x14ac:dyDescent="0.25">
      <c r="A698" s="1" t="s">
        <v>1660</v>
      </c>
      <c r="B698" s="1">
        <v>1380188</v>
      </c>
      <c r="C698" s="1" t="s">
        <v>52</v>
      </c>
      <c r="D698" s="1" t="s">
        <v>15</v>
      </c>
      <c r="E698" s="1" t="s">
        <v>53</v>
      </c>
      <c r="F698" s="1" t="s">
        <v>17</v>
      </c>
      <c r="G698" s="1" t="s">
        <v>1661</v>
      </c>
      <c r="H698">
        <v>599</v>
      </c>
      <c r="I698" s="1">
        <v>999</v>
      </c>
      <c r="J698" s="1" t="s">
        <v>50</v>
      </c>
      <c r="K698" s="1" t="s">
        <v>816</v>
      </c>
      <c r="L698" s="1">
        <v>4.0999999999999996</v>
      </c>
      <c r="M698" s="1">
        <v>873</v>
      </c>
      <c r="P698" t="str">
        <f t="shared" si="43"/>
        <v>40%</v>
      </c>
      <c r="Q698" s="12">
        <f t="shared" si="40"/>
        <v>0.4</v>
      </c>
      <c r="R698" s="9">
        <f t="shared" si="41"/>
        <v>599.4</v>
      </c>
      <c r="S698" s="9">
        <f>IF(R698="",AVERAGEIF(Table1[Category],Table1[[#This Row],[Category]],Table2[orignal data]),Table2[[#This Row],[orignal data]])</f>
        <v>599.4</v>
      </c>
      <c r="T698" t="str">
        <f t="shared" si="42"/>
        <v>UNIQUE</v>
      </c>
      <c r="U698" t="str">
        <f>IF(ISBLANK(Table1[[#This Row],[SizeOption]]),"NOT AVAILABLE",Table1[[#This Row],[SizeOption]])</f>
        <v>30, 32, 34, 36, 38</v>
      </c>
      <c r="Y698" t="str">
        <f>IF(Table2[[#This Row],[Column1]]&gt;50%,"HIGH DISCOUNT","LOW DISCOUNT")</f>
        <v>LOW DISCOUNT</v>
      </c>
    </row>
    <row r="699" spans="1:25" x14ac:dyDescent="0.25">
      <c r="A699" s="2" t="s">
        <v>1662</v>
      </c>
      <c r="B699" s="2">
        <v>10906454</v>
      </c>
      <c r="C699" s="2" t="s">
        <v>349</v>
      </c>
      <c r="D699" s="2" t="s">
        <v>197</v>
      </c>
      <c r="E699" s="2" t="s">
        <v>296</v>
      </c>
      <c r="F699" s="2" t="s">
        <v>17</v>
      </c>
      <c r="G699" s="2" t="s">
        <v>1663</v>
      </c>
      <c r="I699" s="2">
        <v>349</v>
      </c>
      <c r="J699" s="2"/>
      <c r="K699" s="2" t="s">
        <v>352</v>
      </c>
      <c r="L699" s="2">
        <v>4.5999999999999996</v>
      </c>
      <c r="M699" s="2">
        <v>873</v>
      </c>
      <c r="P699" t="str">
        <f t="shared" si="43"/>
        <v/>
      </c>
      <c r="Q699" s="12" t="str">
        <f t="shared" si="40"/>
        <v/>
      </c>
      <c r="R699" s="9" t="str">
        <f t="shared" si="41"/>
        <v/>
      </c>
      <c r="S699" s="9">
        <f>IF(R699="",AVERAGEIF(Table1[Category],Table1[[#This Row],[Category]],Table2[orignal data]),Table2[[#This Row],[orignal data]])</f>
        <v>552.70900000000006</v>
      </c>
      <c r="T699" t="str">
        <f t="shared" si="42"/>
        <v>UNIQUE</v>
      </c>
      <c r="U699" t="str">
        <f>IF(ISBLANK(Table1[[#This Row],[SizeOption]]),"NOT AVAILABLE",Table1[[#This Row],[SizeOption]])</f>
        <v>S, M, L</v>
      </c>
      <c r="Y699" t="str">
        <f>IF(Table2[[#This Row],[Column1]]&gt;50%,"HIGH DISCOUNT","LOW DISCOUNT")</f>
        <v>HIGH DISCOUNT</v>
      </c>
    </row>
    <row r="700" spans="1:25" x14ac:dyDescent="0.25">
      <c r="A700" s="1" t="s">
        <v>1664</v>
      </c>
      <c r="B700" s="1">
        <v>11348390</v>
      </c>
      <c r="C700" s="1" t="s">
        <v>124</v>
      </c>
      <c r="D700" s="1" t="s">
        <v>41</v>
      </c>
      <c r="E700" s="1" t="s">
        <v>148</v>
      </c>
      <c r="F700" s="1" t="s">
        <v>36</v>
      </c>
      <c r="G700" s="1" t="s">
        <v>1665</v>
      </c>
      <c r="I700" s="1">
        <v>1399</v>
      </c>
      <c r="J700" s="1" t="s">
        <v>84</v>
      </c>
      <c r="K700" s="1" t="s">
        <v>115</v>
      </c>
      <c r="L700" s="1">
        <v>4.0999999999999996</v>
      </c>
      <c r="M700" s="1">
        <v>873</v>
      </c>
      <c r="P700" t="str">
        <f t="shared" si="43"/>
        <v>50%</v>
      </c>
      <c r="Q700" s="12">
        <f t="shared" si="40"/>
        <v>0.5</v>
      </c>
      <c r="R700" s="9">
        <f t="shared" si="41"/>
        <v>699.5</v>
      </c>
      <c r="S700" s="9">
        <f>IF(R700="",AVERAGEIF(Table1[Category],Table1[[#This Row],[Category]],Table2[orignal data]),Table2[[#This Row],[orignal data]])</f>
        <v>699.5</v>
      </c>
      <c r="T700" t="str">
        <f t="shared" si="42"/>
        <v>UNIQUE</v>
      </c>
      <c r="U700" t="str">
        <f>IF(ISBLANK(Table1[[#This Row],[SizeOption]]),"NOT AVAILABLE",Table1[[#This Row],[SizeOption]])</f>
        <v>XS, S, M, L, XL, XXL</v>
      </c>
      <c r="Y700" t="str">
        <f>IF(Table2[[#This Row],[Column1]]&gt;50%,"HIGH DISCOUNT","LOW DISCOUNT")</f>
        <v>LOW DISCOUNT</v>
      </c>
    </row>
    <row r="701" spans="1:25" x14ac:dyDescent="0.25">
      <c r="A701" s="2" t="s">
        <v>1666</v>
      </c>
      <c r="B701" s="2">
        <v>11535972</v>
      </c>
      <c r="C701" s="2" t="s">
        <v>124</v>
      </c>
      <c r="D701" s="2" t="s">
        <v>41</v>
      </c>
      <c r="E701" s="2" t="s">
        <v>148</v>
      </c>
      <c r="F701" s="2" t="s">
        <v>36</v>
      </c>
      <c r="G701" s="2" t="s">
        <v>1667</v>
      </c>
      <c r="I701" s="2">
        <v>1699</v>
      </c>
      <c r="J701" s="2" t="s">
        <v>79</v>
      </c>
      <c r="K701" s="2" t="s">
        <v>115</v>
      </c>
      <c r="L701" s="2">
        <v>4.0999999999999996</v>
      </c>
      <c r="M701" s="2">
        <v>873</v>
      </c>
      <c r="P701" t="str">
        <f t="shared" si="43"/>
        <v>70%</v>
      </c>
      <c r="Q701" s="12">
        <f t="shared" si="40"/>
        <v>0.7</v>
      </c>
      <c r="R701" s="9">
        <f t="shared" si="41"/>
        <v>509.70000000000005</v>
      </c>
      <c r="S701" s="9">
        <f>IF(R701="",AVERAGEIF(Table1[Category],Table1[[#This Row],[Category]],Table2[orignal data]),Table2[[#This Row],[orignal data]])</f>
        <v>509.70000000000005</v>
      </c>
      <c r="T701" t="str">
        <f t="shared" si="42"/>
        <v>UNIQUE</v>
      </c>
      <c r="U701" t="str">
        <f>IF(ISBLANK(Table1[[#This Row],[SizeOption]]),"NOT AVAILABLE",Table1[[#This Row],[SizeOption]])</f>
        <v>XS, S, M, L, XL, XXL</v>
      </c>
      <c r="Y701" t="str">
        <f>IF(Table2[[#This Row],[Column1]]&gt;50%,"HIGH DISCOUNT","LOW DISCOUNT")</f>
        <v>HIGH DISCOUNT</v>
      </c>
    </row>
    <row r="702" spans="1:25" x14ac:dyDescent="0.25">
      <c r="A702" s="1" t="s">
        <v>1668</v>
      </c>
      <c r="B702" s="1">
        <v>11538394</v>
      </c>
      <c r="C702" s="1" t="s">
        <v>102</v>
      </c>
      <c r="D702" s="1" t="s">
        <v>41</v>
      </c>
      <c r="E702" s="1" t="s">
        <v>16</v>
      </c>
      <c r="F702" s="1" t="s">
        <v>36</v>
      </c>
      <c r="G702" s="1" t="s">
        <v>1669</v>
      </c>
      <c r="I702" s="1">
        <v>1899</v>
      </c>
      <c r="J702" s="1" t="s">
        <v>602</v>
      </c>
      <c r="K702" s="1" t="s">
        <v>428</v>
      </c>
      <c r="L702" s="1">
        <v>4.2</v>
      </c>
      <c r="M702" s="1">
        <v>873</v>
      </c>
      <c r="P702" t="str">
        <f t="shared" si="43"/>
        <v>48%</v>
      </c>
      <c r="Q702" s="12">
        <f t="shared" si="40"/>
        <v>0.48</v>
      </c>
      <c r="R702" s="9">
        <f t="shared" si="41"/>
        <v>987.48</v>
      </c>
      <c r="S702" s="9">
        <f>IF(R702="",AVERAGEIF(Table1[Category],Table1[[#This Row],[Category]],Table2[orignal data]),Table2[[#This Row],[orignal data]])</f>
        <v>987.48</v>
      </c>
      <c r="T702" t="str">
        <f t="shared" si="42"/>
        <v>UNIQUE</v>
      </c>
      <c r="U702" t="str">
        <f>IF(ISBLANK(Table1[[#This Row],[SizeOption]]),"NOT AVAILABLE",Table1[[#This Row],[SizeOption]])</f>
        <v>26, 28, 30, 32, 34</v>
      </c>
      <c r="Y702" t="str">
        <f>IF(Table2[[#This Row],[Column1]]&gt;50%,"HIGH DISCOUNT","LOW DISCOUNT")</f>
        <v>LOW DISCOUNT</v>
      </c>
    </row>
    <row r="703" spans="1:25" x14ac:dyDescent="0.25">
      <c r="A703" s="2" t="s">
        <v>1670</v>
      </c>
      <c r="B703" s="2">
        <v>12111056</v>
      </c>
      <c r="C703" s="2" t="s">
        <v>102</v>
      </c>
      <c r="D703" s="2" t="s">
        <v>41</v>
      </c>
      <c r="E703" s="2" t="s">
        <v>48</v>
      </c>
      <c r="F703" s="2" t="s">
        <v>36</v>
      </c>
      <c r="G703" s="2" t="s">
        <v>1671</v>
      </c>
      <c r="I703" s="2">
        <v>999</v>
      </c>
      <c r="J703" s="2" t="s">
        <v>606</v>
      </c>
      <c r="K703" s="2" t="s">
        <v>26</v>
      </c>
      <c r="L703" s="2">
        <v>4.2</v>
      </c>
      <c r="M703" s="2">
        <v>873</v>
      </c>
      <c r="P703" t="str">
        <f t="shared" si="43"/>
        <v>54%</v>
      </c>
      <c r="Q703" s="12">
        <f t="shared" si="40"/>
        <v>0.54</v>
      </c>
      <c r="R703" s="9">
        <f t="shared" si="41"/>
        <v>459.53999999999996</v>
      </c>
      <c r="S703" s="9">
        <f>IF(R703="",AVERAGEIF(Table1[Category],Table1[[#This Row],[Category]],Table2[orignal data]),Table2[[#This Row],[orignal data]])</f>
        <v>459.53999999999996</v>
      </c>
      <c r="T703" t="str">
        <f t="shared" si="42"/>
        <v>UNIQUE</v>
      </c>
      <c r="U703" t="str">
        <f>IF(ISBLANK(Table1[[#This Row],[SizeOption]]),"NOT AVAILABLE",Table1[[#This Row],[SizeOption]])</f>
        <v>S, M, L, XL</v>
      </c>
      <c r="Y703" t="str">
        <f>IF(Table2[[#This Row],[Column1]]&gt;50%,"HIGH DISCOUNT","LOW DISCOUNT")</f>
        <v>HIGH DISCOUNT</v>
      </c>
    </row>
    <row r="704" spans="1:25" x14ac:dyDescent="0.25">
      <c r="A704" s="1" t="s">
        <v>1672</v>
      </c>
      <c r="B704" s="1">
        <v>2031938</v>
      </c>
      <c r="C704" s="1" t="s">
        <v>1299</v>
      </c>
      <c r="D704" s="1" t="s">
        <v>28</v>
      </c>
      <c r="E704" s="1" t="s">
        <v>29</v>
      </c>
      <c r="F704" s="1" t="s">
        <v>17</v>
      </c>
      <c r="G704" s="1" t="s">
        <v>1673</v>
      </c>
      <c r="H704">
        <v>989</v>
      </c>
      <c r="I704" s="1">
        <v>1799</v>
      </c>
      <c r="J704" s="1" t="s">
        <v>19</v>
      </c>
      <c r="K704" s="1" t="s">
        <v>1674</v>
      </c>
      <c r="L704" s="1">
        <v>4.4000000000000004</v>
      </c>
      <c r="M704" s="1">
        <v>872</v>
      </c>
      <c r="P704" t="str">
        <f t="shared" si="43"/>
        <v>45%</v>
      </c>
      <c r="Q704" s="12">
        <f t="shared" si="40"/>
        <v>0.45</v>
      </c>
      <c r="R704" s="9">
        <f t="shared" si="41"/>
        <v>989.44999999999993</v>
      </c>
      <c r="S704" s="9">
        <f>IF(R704="",AVERAGEIF(Table1[Category],Table1[[#This Row],[Category]],Table2[orignal data]),Table2[[#This Row],[orignal data]])</f>
        <v>989.44999999999993</v>
      </c>
      <c r="T704" t="str">
        <f t="shared" si="42"/>
        <v>UNIQUE</v>
      </c>
      <c r="U704" t="str">
        <f>IF(ISBLANK(Table1[[#This Row],[SizeOption]]),"NOT AVAILABLE",Table1[[#This Row],[SizeOption]])</f>
        <v>38, 39, 40, 42, 44</v>
      </c>
      <c r="Y704" t="str">
        <f>IF(Table2[[#This Row],[Column1]]&gt;50%,"HIGH DISCOUNT","LOW DISCOUNT")</f>
        <v>LOW DISCOUNT</v>
      </c>
    </row>
    <row r="705" spans="1:25" x14ac:dyDescent="0.25">
      <c r="A705" s="2" t="s">
        <v>1675</v>
      </c>
      <c r="B705" s="2">
        <v>17382822</v>
      </c>
      <c r="C705" s="2" t="s">
        <v>14</v>
      </c>
      <c r="D705" s="2" t="s">
        <v>41</v>
      </c>
      <c r="E705" s="2" t="s">
        <v>42</v>
      </c>
      <c r="F705" s="2" t="s">
        <v>36</v>
      </c>
      <c r="G705" s="2" t="s">
        <v>380</v>
      </c>
      <c r="I705" s="2">
        <v>1498</v>
      </c>
      <c r="J705" s="2" t="s">
        <v>84</v>
      </c>
      <c r="K705" s="2" t="s">
        <v>146</v>
      </c>
      <c r="L705" s="2">
        <v>4.3</v>
      </c>
      <c r="M705" s="2">
        <v>872</v>
      </c>
      <c r="P705" t="str">
        <f t="shared" si="43"/>
        <v>50%</v>
      </c>
      <c r="Q705" s="12">
        <f t="shared" si="40"/>
        <v>0.5</v>
      </c>
      <c r="R705" s="9">
        <f t="shared" si="41"/>
        <v>749</v>
      </c>
      <c r="S705" s="9">
        <f>IF(R705="",AVERAGEIF(Table1[Category],Table1[[#This Row],[Category]],Table2[orignal data]),Table2[[#This Row],[orignal data]])</f>
        <v>749</v>
      </c>
      <c r="T705" t="str">
        <f t="shared" si="42"/>
        <v>UNIQUE</v>
      </c>
      <c r="U705" t="str">
        <f>IF(ISBLANK(Table1[[#This Row],[SizeOption]]),"NOT AVAILABLE",Table1[[#This Row],[SizeOption]])</f>
        <v>L, M, S, XS, XL</v>
      </c>
      <c r="Y705" t="str">
        <f>IF(Table2[[#This Row],[Column1]]&gt;50%,"HIGH DISCOUNT","LOW DISCOUNT")</f>
        <v>LOW DISCOUNT</v>
      </c>
    </row>
    <row r="706" spans="1:25" x14ac:dyDescent="0.25">
      <c r="A706" s="1" t="s">
        <v>1676</v>
      </c>
      <c r="B706" s="1">
        <v>11024458</v>
      </c>
      <c r="C706" s="1" t="s">
        <v>81</v>
      </c>
      <c r="D706" s="1" t="s">
        <v>41</v>
      </c>
      <c r="E706" s="1" t="s">
        <v>148</v>
      </c>
      <c r="F706" s="1" t="s">
        <v>36</v>
      </c>
      <c r="G706" s="1" t="s">
        <v>1677</v>
      </c>
      <c r="I706" s="1">
        <v>2099</v>
      </c>
      <c r="J706" s="1" t="s">
        <v>84</v>
      </c>
      <c r="K706" s="1" t="s">
        <v>115</v>
      </c>
      <c r="L706" s="1">
        <v>4.5</v>
      </c>
      <c r="M706" s="1">
        <v>872</v>
      </c>
      <c r="P706" t="str">
        <f t="shared" si="43"/>
        <v>50%</v>
      </c>
      <c r="Q706" s="12">
        <f t="shared" ref="Q706:Q769" si="44">IF(P706="","",IF(ISNUMBER(SEARCH("%",P706)),P706,P706/I706)*100%)</f>
        <v>0.5</v>
      </c>
      <c r="R706" s="9">
        <f t="shared" ref="R706:R769" si="45">IF(P706="","",I706-(I706*Q706))</f>
        <v>1049.5</v>
      </c>
      <c r="S706" s="9">
        <f>IF(R706="",AVERAGEIF(Table1[Category],Table1[[#This Row],[Category]],Table2[orignal data]),Table2[[#This Row],[orignal data]])</f>
        <v>1049.5</v>
      </c>
      <c r="T706" t="str">
        <f t="shared" ref="T706:T769" si="46">IF(COUNTIF($B$2:$B$5000,B706)&gt;1,"DUPLICATE","UNIQUE")</f>
        <v>UNIQUE</v>
      </c>
      <c r="U706" t="str">
        <f>IF(ISBLANK(Table1[[#This Row],[SizeOption]]),"NOT AVAILABLE",Table1[[#This Row],[SizeOption]])</f>
        <v>XS, S, M, L, XL, XXL</v>
      </c>
      <c r="Y706" t="str">
        <f>IF(Table2[[#This Row],[Column1]]&gt;50%,"HIGH DISCOUNT","LOW DISCOUNT")</f>
        <v>LOW DISCOUNT</v>
      </c>
    </row>
    <row r="707" spans="1:25" x14ac:dyDescent="0.25">
      <c r="A707" s="2" t="s">
        <v>1678</v>
      </c>
      <c r="B707" s="2">
        <v>2310135</v>
      </c>
      <c r="C707" s="2" t="s">
        <v>47</v>
      </c>
      <c r="D707" s="2" t="s">
        <v>28</v>
      </c>
      <c r="E707" s="2" t="s">
        <v>29</v>
      </c>
      <c r="F707" s="2" t="s">
        <v>17</v>
      </c>
      <c r="G707" s="2" t="s">
        <v>1679</v>
      </c>
      <c r="H707">
        <v>1159</v>
      </c>
      <c r="I707" s="2">
        <v>2899</v>
      </c>
      <c r="J707" s="2" t="s">
        <v>55</v>
      </c>
      <c r="K707" s="2" t="s">
        <v>253</v>
      </c>
      <c r="L707" s="2">
        <v>4.0999999999999996</v>
      </c>
      <c r="M707" s="2">
        <v>871</v>
      </c>
      <c r="P707" t="str">
        <f t="shared" ref="P707:P770" si="47">TRIM(SUBSTITUTE(SUBSTITUTE(SUBSTITUTE(SUBSTITUTE(J707,"OFF",""),"Rs.",""),"Hurry*",""),",",""))</f>
        <v>60%</v>
      </c>
      <c r="Q707" s="12">
        <f t="shared" si="44"/>
        <v>0.6</v>
      </c>
      <c r="R707" s="9">
        <f t="shared" si="45"/>
        <v>1159.6000000000001</v>
      </c>
      <c r="S707" s="9">
        <f>IF(R707="",AVERAGEIF(Table1[Category],Table1[[#This Row],[Category]],Table2[orignal data]),Table2[[#This Row],[orignal data]])</f>
        <v>1159.6000000000001</v>
      </c>
      <c r="T707" t="str">
        <f t="shared" si="46"/>
        <v>UNIQUE</v>
      </c>
      <c r="U707" t="str">
        <f>IF(ISBLANK(Table1[[#This Row],[SizeOption]]),"NOT AVAILABLE",Table1[[#This Row],[SizeOption]])</f>
        <v>38, 40, 42, 44</v>
      </c>
      <c r="Y707" t="str">
        <f>IF(Table2[[#This Row],[Column1]]&gt;50%,"HIGH DISCOUNT","LOW DISCOUNT")</f>
        <v>HIGH DISCOUNT</v>
      </c>
    </row>
    <row r="708" spans="1:25" x14ac:dyDescent="0.25">
      <c r="A708" s="1" t="s">
        <v>1680</v>
      </c>
      <c r="B708" s="1">
        <v>17381404</v>
      </c>
      <c r="C708" s="1" t="s">
        <v>14</v>
      </c>
      <c r="D708" s="1" t="s">
        <v>41</v>
      </c>
      <c r="E708" s="1" t="s">
        <v>42</v>
      </c>
      <c r="F708" s="1" t="s">
        <v>36</v>
      </c>
      <c r="G708" s="1" t="s">
        <v>62</v>
      </c>
      <c r="I708" s="1">
        <v>1198</v>
      </c>
      <c r="J708" s="1" t="s">
        <v>84</v>
      </c>
      <c r="K708" s="1" t="s">
        <v>45</v>
      </c>
      <c r="L708" s="1">
        <v>4.3</v>
      </c>
      <c r="M708" s="1">
        <v>871</v>
      </c>
      <c r="P708" t="str">
        <f t="shared" si="47"/>
        <v>50%</v>
      </c>
      <c r="Q708" s="12">
        <f t="shared" si="44"/>
        <v>0.5</v>
      </c>
      <c r="R708" s="9">
        <f t="shared" si="45"/>
        <v>599</v>
      </c>
      <c r="S708" s="9">
        <f>IF(R708="",AVERAGEIF(Table1[Category],Table1[[#This Row],[Category]],Table2[orignal data]),Table2[[#This Row],[orignal data]])</f>
        <v>599</v>
      </c>
      <c r="T708" t="str">
        <f t="shared" si="46"/>
        <v>UNIQUE</v>
      </c>
      <c r="U708" t="str">
        <f>IF(ISBLANK(Table1[[#This Row],[SizeOption]]),"NOT AVAILABLE",Table1[[#This Row],[SizeOption]])</f>
        <v>XS, S, M, L, XL</v>
      </c>
      <c r="Y708" t="str">
        <f>IF(Table2[[#This Row],[Column1]]&gt;50%,"HIGH DISCOUNT","LOW DISCOUNT")</f>
        <v>LOW DISCOUNT</v>
      </c>
    </row>
    <row r="709" spans="1:25" x14ac:dyDescent="0.25">
      <c r="A709" s="2" t="s">
        <v>1681</v>
      </c>
      <c r="B709" s="2">
        <v>9410705</v>
      </c>
      <c r="C709" s="2" t="s">
        <v>184</v>
      </c>
      <c r="D709" s="2" t="s">
        <v>41</v>
      </c>
      <c r="E709" s="2" t="s">
        <v>29</v>
      </c>
      <c r="F709" s="2" t="s">
        <v>36</v>
      </c>
      <c r="G709" s="2" t="s">
        <v>1682</v>
      </c>
      <c r="I709" s="2">
        <v>1599</v>
      </c>
      <c r="J709" s="2" t="s">
        <v>50</v>
      </c>
      <c r="K709" s="2" t="s">
        <v>26</v>
      </c>
      <c r="L709" s="2">
        <v>3.7</v>
      </c>
      <c r="M709" s="2">
        <v>871</v>
      </c>
      <c r="P709" t="str">
        <f t="shared" si="47"/>
        <v>40%</v>
      </c>
      <c r="Q709" s="12">
        <f t="shared" si="44"/>
        <v>0.4</v>
      </c>
      <c r="R709" s="9">
        <f t="shared" si="45"/>
        <v>959.4</v>
      </c>
      <c r="S709" s="9">
        <f>IF(R709="",AVERAGEIF(Table1[Category],Table1[[#This Row],[Category]],Table2[orignal data]),Table2[[#This Row],[orignal data]])</f>
        <v>959.4</v>
      </c>
      <c r="T709" t="str">
        <f t="shared" si="46"/>
        <v>UNIQUE</v>
      </c>
      <c r="U709" t="str">
        <f>IF(ISBLANK(Table1[[#This Row],[SizeOption]]),"NOT AVAILABLE",Table1[[#This Row],[SizeOption]])</f>
        <v>S, M, L, XL</v>
      </c>
      <c r="Y709" t="str">
        <f>IF(Table2[[#This Row],[Column1]]&gt;50%,"HIGH DISCOUNT","LOW DISCOUNT")</f>
        <v>LOW DISCOUNT</v>
      </c>
    </row>
    <row r="710" spans="1:25" x14ac:dyDescent="0.25">
      <c r="A710" s="1" t="s">
        <v>1683</v>
      </c>
      <c r="B710" s="1">
        <v>9656259</v>
      </c>
      <c r="C710" s="1" t="s">
        <v>14</v>
      </c>
      <c r="D710" s="1" t="s">
        <v>41</v>
      </c>
      <c r="E710" s="1" t="s">
        <v>29</v>
      </c>
      <c r="F710" s="1" t="s">
        <v>36</v>
      </c>
      <c r="G710" s="1" t="s">
        <v>1684</v>
      </c>
      <c r="I710" s="1">
        <v>1699</v>
      </c>
      <c r="J710" s="1" t="s">
        <v>50</v>
      </c>
      <c r="K710" s="1" t="s">
        <v>45</v>
      </c>
      <c r="L710" s="1">
        <v>4.3</v>
      </c>
      <c r="M710" s="1">
        <v>871</v>
      </c>
      <c r="P710" t="str">
        <f t="shared" si="47"/>
        <v>40%</v>
      </c>
      <c r="Q710" s="12">
        <f t="shared" si="44"/>
        <v>0.4</v>
      </c>
      <c r="R710" s="9">
        <f t="shared" si="45"/>
        <v>1019.4</v>
      </c>
      <c r="S710" s="9">
        <f>IF(R710="",AVERAGEIF(Table1[Category],Table1[[#This Row],[Category]],Table2[orignal data]),Table2[[#This Row],[orignal data]])</f>
        <v>1019.4</v>
      </c>
      <c r="T710" t="str">
        <f t="shared" si="46"/>
        <v>UNIQUE</v>
      </c>
      <c r="U710" t="str">
        <f>IF(ISBLANK(Table1[[#This Row],[SizeOption]]),"NOT AVAILABLE",Table1[[#This Row],[SizeOption]])</f>
        <v>XS, S, M, L, XL</v>
      </c>
      <c r="Y710" t="str">
        <f>IF(Table2[[#This Row],[Column1]]&gt;50%,"HIGH DISCOUNT","LOW DISCOUNT")</f>
        <v>LOW DISCOUNT</v>
      </c>
    </row>
    <row r="711" spans="1:25" x14ac:dyDescent="0.25">
      <c r="A711" s="2" t="s">
        <v>1685</v>
      </c>
      <c r="B711" s="2">
        <v>10343531</v>
      </c>
      <c r="C711" s="2" t="s">
        <v>1345</v>
      </c>
      <c r="D711" s="2" t="s">
        <v>41</v>
      </c>
      <c r="E711" s="2" t="s">
        <v>16</v>
      </c>
      <c r="F711" s="2" t="s">
        <v>36</v>
      </c>
      <c r="G711" s="2" t="s">
        <v>1686</v>
      </c>
      <c r="I711" s="2">
        <v>1799</v>
      </c>
      <c r="J711" s="2" t="s">
        <v>602</v>
      </c>
      <c r="K711" s="2" t="s">
        <v>134</v>
      </c>
      <c r="L711" s="2">
        <v>4.3</v>
      </c>
      <c r="M711" s="2">
        <v>871</v>
      </c>
      <c r="P711" t="str">
        <f t="shared" si="47"/>
        <v>48%</v>
      </c>
      <c r="Q711" s="12">
        <f t="shared" si="44"/>
        <v>0.48</v>
      </c>
      <c r="R711" s="9">
        <f t="shared" si="45"/>
        <v>935.48</v>
      </c>
      <c r="S711" s="9">
        <f>IF(R711="",AVERAGEIF(Table1[Category],Table1[[#This Row],[Category]],Table2[orignal data]),Table2[[#This Row],[orignal data]])</f>
        <v>935.48</v>
      </c>
      <c r="T711" t="str">
        <f t="shared" si="46"/>
        <v>UNIQUE</v>
      </c>
      <c r="U711" t="str">
        <f>IF(ISBLANK(Table1[[#This Row],[SizeOption]]),"NOT AVAILABLE",Table1[[#This Row],[SizeOption]])</f>
        <v>26, 28, 30, 32, 34, 36</v>
      </c>
      <c r="Y711" t="str">
        <f>IF(Table2[[#This Row],[Column1]]&gt;50%,"HIGH DISCOUNT","LOW DISCOUNT")</f>
        <v>LOW DISCOUNT</v>
      </c>
    </row>
    <row r="712" spans="1:25" x14ac:dyDescent="0.25">
      <c r="A712" s="1" t="s">
        <v>1687</v>
      </c>
      <c r="B712" s="1">
        <v>12991924</v>
      </c>
      <c r="C712" s="1" t="s">
        <v>1688</v>
      </c>
      <c r="D712" s="1" t="s">
        <v>15</v>
      </c>
      <c r="E712" s="1" t="s">
        <v>137</v>
      </c>
      <c r="F712" s="1" t="s">
        <v>17</v>
      </c>
      <c r="G712" s="1" t="s">
        <v>1689</v>
      </c>
      <c r="H712">
        <v>359</v>
      </c>
      <c r="I712" s="1">
        <v>499</v>
      </c>
      <c r="J712" s="1" t="s">
        <v>1690</v>
      </c>
      <c r="K712" s="1" t="s">
        <v>1691</v>
      </c>
      <c r="L712" s="1">
        <v>4.2</v>
      </c>
      <c r="M712" s="1">
        <v>870</v>
      </c>
      <c r="P712" t="str">
        <f t="shared" si="47"/>
        <v>28%</v>
      </c>
      <c r="Q712" s="12">
        <f t="shared" si="44"/>
        <v>0.28000000000000003</v>
      </c>
      <c r="R712" s="9">
        <f t="shared" si="45"/>
        <v>359.28</v>
      </c>
      <c r="S712" s="9">
        <f>IF(R712="",AVERAGEIF(Table1[Category],Table1[[#This Row],[Category]],Table2[orignal data]),Table2[[#This Row],[orignal data]])</f>
        <v>359.28</v>
      </c>
      <c r="T712" t="str">
        <f t="shared" si="46"/>
        <v>UNIQUE</v>
      </c>
      <c r="U712" t="str">
        <f>IF(ISBLANK(Table1[[#This Row],[SizeOption]]),"NOT AVAILABLE",Table1[[#This Row],[SizeOption]])</f>
        <v>30, 32, 34, 37, 41</v>
      </c>
      <c r="Y712" t="str">
        <f>IF(Table2[[#This Row],[Column1]]&gt;50%,"HIGH DISCOUNT","LOW DISCOUNT")</f>
        <v>LOW DISCOUNT</v>
      </c>
    </row>
    <row r="713" spans="1:25" x14ac:dyDescent="0.25">
      <c r="A713" s="2" t="s">
        <v>1692</v>
      </c>
      <c r="B713" s="2">
        <v>7441137</v>
      </c>
      <c r="C713" s="2" t="s">
        <v>1693</v>
      </c>
      <c r="D713" s="2" t="s">
        <v>76</v>
      </c>
      <c r="E713" s="2" t="s">
        <v>93</v>
      </c>
      <c r="F713" s="2" t="s">
        <v>17</v>
      </c>
      <c r="G713" s="2" t="s">
        <v>1694</v>
      </c>
      <c r="H713">
        <v>1979</v>
      </c>
      <c r="I713" s="2">
        <v>2199</v>
      </c>
      <c r="J713" s="2" t="s">
        <v>1005</v>
      </c>
      <c r="K713" s="2" t="s">
        <v>39</v>
      </c>
      <c r="L713" s="2">
        <v>4.4000000000000004</v>
      </c>
      <c r="M713" s="2">
        <v>870</v>
      </c>
      <c r="P713" t="str">
        <f t="shared" si="47"/>
        <v>10%</v>
      </c>
      <c r="Q713" s="12">
        <f t="shared" si="44"/>
        <v>0.1</v>
      </c>
      <c r="R713" s="9">
        <f t="shared" si="45"/>
        <v>1979.1</v>
      </c>
      <c r="S713" s="9">
        <f>IF(R713="",AVERAGEIF(Table1[Category],Table1[[#This Row],[Category]],Table2[orignal data]),Table2[[#This Row],[orignal data]])</f>
        <v>1979.1</v>
      </c>
      <c r="T713" t="str">
        <f t="shared" si="46"/>
        <v>UNIQUE</v>
      </c>
      <c r="U713" t="str">
        <f>IF(ISBLANK(Table1[[#This Row],[SizeOption]]),"NOT AVAILABLE",Table1[[#This Row],[SizeOption]])</f>
        <v>S, M, L, XL, XXL</v>
      </c>
      <c r="Y713" t="str">
        <f>IF(Table2[[#This Row],[Column1]]&gt;50%,"HIGH DISCOUNT","LOW DISCOUNT")</f>
        <v>LOW DISCOUNT</v>
      </c>
    </row>
    <row r="714" spans="1:25" x14ac:dyDescent="0.25">
      <c r="A714" s="1" t="s">
        <v>1695</v>
      </c>
      <c r="B714" s="1">
        <v>2077208</v>
      </c>
      <c r="C714" s="1" t="s">
        <v>47</v>
      </c>
      <c r="D714" s="1" t="s">
        <v>28</v>
      </c>
      <c r="E714" s="1" t="s">
        <v>29</v>
      </c>
      <c r="F714" s="1" t="s">
        <v>17</v>
      </c>
      <c r="G714" s="1" t="s">
        <v>1696</v>
      </c>
      <c r="H714">
        <v>1049</v>
      </c>
      <c r="I714" s="1">
        <v>2099</v>
      </c>
      <c r="J714" s="1" t="s">
        <v>84</v>
      </c>
      <c r="K714" s="1" t="s">
        <v>253</v>
      </c>
      <c r="L714" s="1">
        <v>3.8</v>
      </c>
      <c r="M714" s="1">
        <v>870</v>
      </c>
      <c r="P714" t="str">
        <f t="shared" si="47"/>
        <v>50%</v>
      </c>
      <c r="Q714" s="12">
        <f t="shared" si="44"/>
        <v>0.5</v>
      </c>
      <c r="R714" s="9">
        <f t="shared" si="45"/>
        <v>1049.5</v>
      </c>
      <c r="S714" s="9">
        <f>IF(R714="",AVERAGEIF(Table1[Category],Table1[[#This Row],[Category]],Table2[orignal data]),Table2[[#This Row],[orignal data]])</f>
        <v>1049.5</v>
      </c>
      <c r="T714" t="str">
        <f t="shared" si="46"/>
        <v>UNIQUE</v>
      </c>
      <c r="U714" t="str">
        <f>IF(ISBLANK(Table1[[#This Row],[SizeOption]]),"NOT AVAILABLE",Table1[[#This Row],[SizeOption]])</f>
        <v>38, 40, 42, 44</v>
      </c>
      <c r="Y714" t="str">
        <f>IF(Table2[[#This Row],[Column1]]&gt;50%,"HIGH DISCOUNT","LOW DISCOUNT")</f>
        <v>LOW DISCOUNT</v>
      </c>
    </row>
    <row r="715" spans="1:25" x14ac:dyDescent="0.25">
      <c r="A715" s="2" t="s">
        <v>1697</v>
      </c>
      <c r="B715" s="2">
        <v>2221364</v>
      </c>
      <c r="C715" s="2" t="s">
        <v>201</v>
      </c>
      <c r="D715" s="2" t="s">
        <v>28</v>
      </c>
      <c r="E715" s="2" t="s">
        <v>42</v>
      </c>
      <c r="F715" s="2" t="s">
        <v>17</v>
      </c>
      <c r="G715" s="2" t="s">
        <v>1698</v>
      </c>
      <c r="H715">
        <v>359</v>
      </c>
      <c r="I715" s="2">
        <v>899</v>
      </c>
      <c r="J715" s="2" t="s">
        <v>55</v>
      </c>
      <c r="K715" s="2" t="s">
        <v>26</v>
      </c>
      <c r="L715" s="2">
        <v>3.9</v>
      </c>
      <c r="M715" s="2">
        <v>870</v>
      </c>
      <c r="P715" t="str">
        <f t="shared" si="47"/>
        <v>60%</v>
      </c>
      <c r="Q715" s="12">
        <f t="shared" si="44"/>
        <v>0.6</v>
      </c>
      <c r="R715" s="9">
        <f t="shared" si="45"/>
        <v>359.6</v>
      </c>
      <c r="S715" s="9">
        <f>IF(R715="",AVERAGEIF(Table1[Category],Table1[[#This Row],[Category]],Table2[orignal data]),Table2[[#This Row],[orignal data]])</f>
        <v>359.6</v>
      </c>
      <c r="T715" t="str">
        <f t="shared" si="46"/>
        <v>UNIQUE</v>
      </c>
      <c r="U715" t="str">
        <f>IF(ISBLANK(Table1[[#This Row],[SizeOption]]),"NOT AVAILABLE",Table1[[#This Row],[SizeOption]])</f>
        <v>S, M, L, XL</v>
      </c>
      <c r="Y715" t="str">
        <f>IF(Table2[[#This Row],[Column1]]&gt;50%,"HIGH DISCOUNT","LOW DISCOUNT")</f>
        <v>HIGH DISCOUNT</v>
      </c>
    </row>
    <row r="716" spans="1:25" x14ac:dyDescent="0.25">
      <c r="A716" s="1" t="s">
        <v>1699</v>
      </c>
      <c r="B716" s="1">
        <v>2077135</v>
      </c>
      <c r="C716" s="1" t="s">
        <v>64</v>
      </c>
      <c r="D716" s="1" t="s">
        <v>98</v>
      </c>
      <c r="E716" s="1" t="s">
        <v>48</v>
      </c>
      <c r="F716" s="1" t="s">
        <v>36</v>
      </c>
      <c r="G716" s="1" t="s">
        <v>1700</v>
      </c>
      <c r="H716">
        <v>419</v>
      </c>
      <c r="I716" s="1">
        <v>1399</v>
      </c>
      <c r="J716" s="1" t="s">
        <v>79</v>
      </c>
      <c r="K716" s="1" t="s">
        <v>115</v>
      </c>
      <c r="L716" s="1">
        <v>3.9</v>
      </c>
      <c r="M716" s="1">
        <v>870</v>
      </c>
      <c r="P716" t="str">
        <f t="shared" si="47"/>
        <v>70%</v>
      </c>
      <c r="Q716" s="12">
        <f t="shared" si="44"/>
        <v>0.7</v>
      </c>
      <c r="R716" s="9">
        <f t="shared" si="45"/>
        <v>419.70000000000005</v>
      </c>
      <c r="S716" s="9">
        <f>IF(R716="",AVERAGEIF(Table1[Category],Table1[[#This Row],[Category]],Table2[orignal data]),Table2[[#This Row],[orignal data]])</f>
        <v>419.70000000000005</v>
      </c>
      <c r="T716" t="str">
        <f t="shared" si="46"/>
        <v>UNIQUE</v>
      </c>
      <c r="U716" t="str">
        <f>IF(ISBLANK(Table1[[#This Row],[SizeOption]]),"NOT AVAILABLE",Table1[[#This Row],[SizeOption]])</f>
        <v>XS, S, M, L, XL, XXL</v>
      </c>
      <c r="Y716" t="str">
        <f>IF(Table2[[#This Row],[Column1]]&gt;50%,"HIGH DISCOUNT","LOW DISCOUNT")</f>
        <v>HIGH DISCOUNT</v>
      </c>
    </row>
    <row r="717" spans="1:25" x14ac:dyDescent="0.25">
      <c r="A717" s="2" t="s">
        <v>1701</v>
      </c>
      <c r="B717" s="2">
        <v>4704797</v>
      </c>
      <c r="C717" s="2" t="s">
        <v>377</v>
      </c>
      <c r="D717" s="2" t="s">
        <v>98</v>
      </c>
      <c r="E717" s="2" t="s">
        <v>148</v>
      </c>
      <c r="F717" s="2" t="s">
        <v>36</v>
      </c>
      <c r="G717" s="2" t="s">
        <v>1702</v>
      </c>
      <c r="H717">
        <v>924</v>
      </c>
      <c r="I717" s="2">
        <v>2499</v>
      </c>
      <c r="J717" s="2" t="s">
        <v>476</v>
      </c>
      <c r="K717" s="2" t="s">
        <v>39</v>
      </c>
      <c r="L717" s="2">
        <v>4.3</v>
      </c>
      <c r="M717" s="2">
        <v>870</v>
      </c>
      <c r="P717" t="str">
        <f t="shared" si="47"/>
        <v>63%</v>
      </c>
      <c r="Q717" s="12">
        <f t="shared" si="44"/>
        <v>0.63</v>
      </c>
      <c r="R717" s="9">
        <f t="shared" si="45"/>
        <v>924.62999999999988</v>
      </c>
      <c r="S717" s="9">
        <f>IF(R717="",AVERAGEIF(Table1[Category],Table1[[#This Row],[Category]],Table2[orignal data]),Table2[[#This Row],[orignal data]])</f>
        <v>924.62999999999988</v>
      </c>
      <c r="T717" t="str">
        <f t="shared" si="46"/>
        <v>UNIQUE</v>
      </c>
      <c r="U717" t="str">
        <f>IF(ISBLANK(Table1[[#This Row],[SizeOption]]),"NOT AVAILABLE",Table1[[#This Row],[SizeOption]])</f>
        <v>S, M, L, XL, XXL</v>
      </c>
      <c r="Y717" t="str">
        <f>IF(Table2[[#This Row],[Column1]]&gt;50%,"HIGH DISCOUNT","LOW DISCOUNT")</f>
        <v>HIGH DISCOUNT</v>
      </c>
    </row>
    <row r="718" spans="1:25" x14ac:dyDescent="0.25">
      <c r="A718" s="1" t="s">
        <v>1703</v>
      </c>
      <c r="B718" s="1">
        <v>17524572</v>
      </c>
      <c r="C718" s="1" t="s">
        <v>47</v>
      </c>
      <c r="D718" s="1" t="s">
        <v>41</v>
      </c>
      <c r="E718" s="1" t="s">
        <v>42</v>
      </c>
      <c r="F718" s="1" t="s">
        <v>36</v>
      </c>
      <c r="G718" s="1" t="s">
        <v>1316</v>
      </c>
      <c r="I718" s="1">
        <v>1598</v>
      </c>
      <c r="J718" s="1" t="s">
        <v>84</v>
      </c>
      <c r="K718" s="1" t="s">
        <v>447</v>
      </c>
      <c r="L718" s="1">
        <v>4.2</v>
      </c>
      <c r="M718" s="1">
        <v>870</v>
      </c>
      <c r="P718" t="str">
        <f t="shared" si="47"/>
        <v>50%</v>
      </c>
      <c r="Q718" s="12">
        <f t="shared" si="44"/>
        <v>0.5</v>
      </c>
      <c r="R718" s="9">
        <f t="shared" si="45"/>
        <v>799</v>
      </c>
      <c r="S718" s="9">
        <f>IF(R718="",AVERAGEIF(Table1[Category],Table1[[#This Row],[Category]],Table2[orignal data]),Table2[[#This Row],[orignal data]])</f>
        <v>799</v>
      </c>
      <c r="T718" t="str">
        <f t="shared" si="46"/>
        <v>UNIQUE</v>
      </c>
      <c r="U718" t="str">
        <f>IF(ISBLANK(Table1[[#This Row],[SizeOption]]),"NOT AVAILABLE",Table1[[#This Row],[SizeOption]])</f>
        <v>M, S, XS, XL, L</v>
      </c>
      <c r="Y718" t="str">
        <f>IF(Table2[[#This Row],[Column1]]&gt;50%,"HIGH DISCOUNT","LOW DISCOUNT")</f>
        <v>LOW DISCOUNT</v>
      </c>
    </row>
    <row r="719" spans="1:25" x14ac:dyDescent="0.25">
      <c r="A719" s="2" t="s">
        <v>1704</v>
      </c>
      <c r="B719" s="2">
        <v>17382882</v>
      </c>
      <c r="C719" s="2" t="s">
        <v>14</v>
      </c>
      <c r="D719" s="2" t="s">
        <v>41</v>
      </c>
      <c r="E719" s="2" t="s">
        <v>42</v>
      </c>
      <c r="F719" s="2" t="s">
        <v>36</v>
      </c>
      <c r="G719" s="2" t="s">
        <v>497</v>
      </c>
      <c r="I719" s="2">
        <v>1598</v>
      </c>
      <c r="J719" s="2" t="s">
        <v>84</v>
      </c>
      <c r="K719" s="2" t="s">
        <v>146</v>
      </c>
      <c r="L719" s="2">
        <v>4.3</v>
      </c>
      <c r="M719" s="2">
        <v>870</v>
      </c>
      <c r="P719" t="str">
        <f t="shared" si="47"/>
        <v>50%</v>
      </c>
      <c r="Q719" s="12">
        <f t="shared" si="44"/>
        <v>0.5</v>
      </c>
      <c r="R719" s="9">
        <f t="shared" si="45"/>
        <v>799</v>
      </c>
      <c r="S719" s="9">
        <f>IF(R719="",AVERAGEIF(Table1[Category],Table1[[#This Row],[Category]],Table2[orignal data]),Table2[[#This Row],[orignal data]])</f>
        <v>799</v>
      </c>
      <c r="T719" t="str">
        <f t="shared" si="46"/>
        <v>UNIQUE</v>
      </c>
      <c r="U719" t="str">
        <f>IF(ISBLANK(Table1[[#This Row],[SizeOption]]),"NOT AVAILABLE",Table1[[#This Row],[SizeOption]])</f>
        <v>L, M, S, XS, XL</v>
      </c>
      <c r="Y719" t="str">
        <f>IF(Table2[[#This Row],[Column1]]&gt;50%,"HIGH DISCOUNT","LOW DISCOUNT")</f>
        <v>LOW DISCOUNT</v>
      </c>
    </row>
    <row r="720" spans="1:25" x14ac:dyDescent="0.25">
      <c r="A720" s="1" t="s">
        <v>1705</v>
      </c>
      <c r="B720" s="1">
        <v>8469261</v>
      </c>
      <c r="C720" s="1" t="s">
        <v>52</v>
      </c>
      <c r="D720" s="1" t="s">
        <v>28</v>
      </c>
      <c r="E720" s="1" t="s">
        <v>29</v>
      </c>
      <c r="F720" s="1" t="s">
        <v>17</v>
      </c>
      <c r="G720" s="1" t="s">
        <v>1706</v>
      </c>
      <c r="H720">
        <v>487</v>
      </c>
      <c r="I720" s="1">
        <v>1249</v>
      </c>
      <c r="J720" s="1" t="s">
        <v>104</v>
      </c>
      <c r="K720" s="1" t="s">
        <v>90</v>
      </c>
      <c r="L720" s="1">
        <v>4.3</v>
      </c>
      <c r="M720" s="1">
        <v>869</v>
      </c>
      <c r="P720" t="str">
        <f t="shared" si="47"/>
        <v>61%</v>
      </c>
      <c r="Q720" s="12">
        <f t="shared" si="44"/>
        <v>0.61</v>
      </c>
      <c r="R720" s="9">
        <f t="shared" si="45"/>
        <v>487.11</v>
      </c>
      <c r="S720" s="9">
        <f>IF(R720="",AVERAGEIF(Table1[Category],Table1[[#This Row],[Category]],Table2[orignal data]),Table2[[#This Row],[orignal data]])</f>
        <v>487.11</v>
      </c>
      <c r="T720" t="str">
        <f t="shared" si="46"/>
        <v>UNIQUE</v>
      </c>
      <c r="U720" t="str">
        <f>IF(ISBLANK(Table1[[#This Row],[SizeOption]]),"NOT AVAILABLE",Table1[[#This Row],[SizeOption]])</f>
        <v>39, 40, 42, 44</v>
      </c>
      <c r="Y720" t="str">
        <f>IF(Table2[[#This Row],[Column1]]&gt;50%,"HIGH DISCOUNT","LOW DISCOUNT")</f>
        <v>HIGH DISCOUNT</v>
      </c>
    </row>
    <row r="721" spans="1:25" x14ac:dyDescent="0.25">
      <c r="A721" s="2" t="s">
        <v>1707</v>
      </c>
      <c r="B721" s="2">
        <v>14170550</v>
      </c>
      <c r="C721" s="2" t="s">
        <v>1465</v>
      </c>
      <c r="D721" s="2" t="s">
        <v>76</v>
      </c>
      <c r="E721" s="2" t="s">
        <v>1708</v>
      </c>
      <c r="F721" s="2" t="s">
        <v>36</v>
      </c>
      <c r="G721" s="2" t="s">
        <v>1709</v>
      </c>
      <c r="H721">
        <v>649</v>
      </c>
      <c r="I721" s="2">
        <v>1299</v>
      </c>
      <c r="J721" s="2" t="s">
        <v>84</v>
      </c>
      <c r="K721" s="2" t="s">
        <v>234</v>
      </c>
      <c r="L721" s="2">
        <v>4.2</v>
      </c>
      <c r="M721" s="2">
        <v>869</v>
      </c>
      <c r="P721" t="str">
        <f t="shared" si="47"/>
        <v>50%</v>
      </c>
      <c r="Q721" s="12">
        <f t="shared" si="44"/>
        <v>0.5</v>
      </c>
      <c r="R721" s="9">
        <f t="shared" si="45"/>
        <v>649.5</v>
      </c>
      <c r="S721" s="9">
        <f>IF(R721="",AVERAGEIF(Table1[Category],Table1[[#This Row],[Category]],Table2[orignal data]),Table2[[#This Row],[orignal data]])</f>
        <v>649.5</v>
      </c>
      <c r="T721" t="str">
        <f t="shared" si="46"/>
        <v>UNIQUE</v>
      </c>
      <c r="U721" t="str">
        <f>IF(ISBLANK(Table1[[#This Row],[SizeOption]]),"NOT AVAILABLE",Table1[[#This Row],[SizeOption]])</f>
        <v>S, M, L, XL, XXL, 3XL</v>
      </c>
      <c r="Y721" t="str">
        <f>IF(Table2[[#This Row],[Column1]]&gt;50%,"HIGH DISCOUNT","LOW DISCOUNT")</f>
        <v>LOW DISCOUNT</v>
      </c>
    </row>
    <row r="722" spans="1:25" x14ac:dyDescent="0.25">
      <c r="A722" s="1" t="s">
        <v>1710</v>
      </c>
      <c r="B722" s="1">
        <v>13607464</v>
      </c>
      <c r="C722" s="1" t="s">
        <v>1711</v>
      </c>
      <c r="D722" s="1" t="s">
        <v>76</v>
      </c>
      <c r="E722" s="1" t="s">
        <v>77</v>
      </c>
      <c r="F722" s="1" t="s">
        <v>36</v>
      </c>
      <c r="G722" s="1" t="s">
        <v>1712</v>
      </c>
      <c r="H722">
        <v>1439</v>
      </c>
      <c r="I722" s="1">
        <v>4498</v>
      </c>
      <c r="J722" s="1" t="s">
        <v>839</v>
      </c>
      <c r="K722" s="1" t="s">
        <v>1713</v>
      </c>
      <c r="L722" s="1">
        <v>4</v>
      </c>
      <c r="M722" s="1">
        <v>869</v>
      </c>
      <c r="P722" t="str">
        <f t="shared" si="47"/>
        <v>68%</v>
      </c>
      <c r="Q722" s="12">
        <f t="shared" si="44"/>
        <v>0.68</v>
      </c>
      <c r="R722" s="9">
        <f t="shared" si="45"/>
        <v>1439.3599999999997</v>
      </c>
      <c r="S722" s="9">
        <f>IF(R722="",AVERAGEIF(Table1[Category],Table1[[#This Row],[Category]],Table2[orignal data]),Table2[[#This Row],[orignal data]])</f>
        <v>1439.3599999999997</v>
      </c>
      <c r="T722" t="str">
        <f t="shared" si="46"/>
        <v>UNIQUE</v>
      </c>
      <c r="U722" t="str">
        <f>IF(ISBLANK(Table1[[#This Row],[SizeOption]]),"NOT AVAILABLE",Table1[[#This Row],[SizeOption]])</f>
        <v>M, L, XL, XXL, 3XL</v>
      </c>
      <c r="Y722" t="str">
        <f>IF(Table2[[#This Row],[Column1]]&gt;50%,"HIGH DISCOUNT","LOW DISCOUNT")</f>
        <v>HIGH DISCOUNT</v>
      </c>
    </row>
    <row r="723" spans="1:25" x14ac:dyDescent="0.25">
      <c r="A723" s="2" t="s">
        <v>1714</v>
      </c>
      <c r="B723" s="2">
        <v>2522867</v>
      </c>
      <c r="C723" s="2" t="s">
        <v>107</v>
      </c>
      <c r="D723" s="2" t="s">
        <v>41</v>
      </c>
      <c r="E723" s="2" t="s">
        <v>48</v>
      </c>
      <c r="F723" s="2" t="s">
        <v>36</v>
      </c>
      <c r="G723" s="2" t="s">
        <v>1715</v>
      </c>
      <c r="I723" s="2">
        <v>1099</v>
      </c>
      <c r="J723" s="2" t="s">
        <v>55</v>
      </c>
      <c r="K723" s="2" t="s">
        <v>45</v>
      </c>
      <c r="L723" s="2">
        <v>4.0999999999999996</v>
      </c>
      <c r="M723" s="2">
        <v>869</v>
      </c>
      <c r="P723" t="str">
        <f t="shared" si="47"/>
        <v>60%</v>
      </c>
      <c r="Q723" s="12">
        <f t="shared" si="44"/>
        <v>0.6</v>
      </c>
      <c r="R723" s="9">
        <f t="shared" si="45"/>
        <v>439.6</v>
      </c>
      <c r="S723" s="9">
        <f>IF(R723="",AVERAGEIF(Table1[Category],Table1[[#This Row],[Category]],Table2[orignal data]),Table2[[#This Row],[orignal data]])</f>
        <v>439.6</v>
      </c>
      <c r="T723" t="str">
        <f t="shared" si="46"/>
        <v>UNIQUE</v>
      </c>
      <c r="U723" t="str">
        <f>IF(ISBLANK(Table1[[#This Row],[SizeOption]]),"NOT AVAILABLE",Table1[[#This Row],[SizeOption]])</f>
        <v>XS, S, M, L, XL</v>
      </c>
      <c r="Y723" t="str">
        <f>IF(Table2[[#This Row],[Column1]]&gt;50%,"HIGH DISCOUNT","LOW DISCOUNT")</f>
        <v>HIGH DISCOUNT</v>
      </c>
    </row>
    <row r="724" spans="1:25" x14ac:dyDescent="0.25">
      <c r="A724" s="1" t="s">
        <v>1716</v>
      </c>
      <c r="B724" s="1">
        <v>10960718</v>
      </c>
      <c r="C724" s="1" t="s">
        <v>113</v>
      </c>
      <c r="D724" s="1" t="s">
        <v>76</v>
      </c>
      <c r="E724" s="1" t="s">
        <v>93</v>
      </c>
      <c r="F724" s="1" t="s">
        <v>36</v>
      </c>
      <c r="G724" s="1" t="s">
        <v>1717</v>
      </c>
      <c r="H724">
        <v>679</v>
      </c>
      <c r="I724" s="1">
        <v>1699</v>
      </c>
      <c r="J724" s="1" t="s">
        <v>55</v>
      </c>
      <c r="K724" s="1" t="s">
        <v>115</v>
      </c>
      <c r="L724" s="1">
        <v>4.4000000000000004</v>
      </c>
      <c r="M724" s="1">
        <v>868</v>
      </c>
      <c r="P724" t="str">
        <f t="shared" si="47"/>
        <v>60%</v>
      </c>
      <c r="Q724" s="12">
        <f t="shared" si="44"/>
        <v>0.6</v>
      </c>
      <c r="R724" s="9">
        <f t="shared" si="45"/>
        <v>679.6</v>
      </c>
      <c r="S724" s="9">
        <f>IF(R724="",AVERAGEIF(Table1[Category],Table1[[#This Row],[Category]],Table2[orignal data]),Table2[[#This Row],[orignal data]])</f>
        <v>679.6</v>
      </c>
      <c r="T724" t="str">
        <f t="shared" si="46"/>
        <v>UNIQUE</v>
      </c>
      <c r="U724" t="str">
        <f>IF(ISBLANK(Table1[[#This Row],[SizeOption]]),"NOT AVAILABLE",Table1[[#This Row],[SizeOption]])</f>
        <v>XS, S, M, L, XL, XXL</v>
      </c>
      <c r="Y724" t="str">
        <f>IF(Table2[[#This Row],[Column1]]&gt;50%,"HIGH DISCOUNT","LOW DISCOUNT")</f>
        <v>HIGH DISCOUNT</v>
      </c>
    </row>
    <row r="725" spans="1:25" x14ac:dyDescent="0.25">
      <c r="A725" s="2" t="s">
        <v>1718</v>
      </c>
      <c r="B725" s="2">
        <v>8350119</v>
      </c>
      <c r="C725" s="2" t="s">
        <v>97</v>
      </c>
      <c r="D725" s="2" t="s">
        <v>76</v>
      </c>
      <c r="E725" s="2" t="s">
        <v>93</v>
      </c>
      <c r="F725" s="2" t="s">
        <v>36</v>
      </c>
      <c r="G725" s="2" t="s">
        <v>1719</v>
      </c>
      <c r="H725">
        <v>1079</v>
      </c>
      <c r="I725" s="2">
        <v>2699</v>
      </c>
      <c r="J725" s="2" t="s">
        <v>55</v>
      </c>
      <c r="K725" s="2" t="s">
        <v>100</v>
      </c>
      <c r="L725" s="2">
        <v>3.7</v>
      </c>
      <c r="M725" s="2">
        <v>868</v>
      </c>
      <c r="P725" t="str">
        <f t="shared" si="47"/>
        <v>60%</v>
      </c>
      <c r="Q725" s="12">
        <f t="shared" si="44"/>
        <v>0.6</v>
      </c>
      <c r="R725" s="9">
        <f t="shared" si="45"/>
        <v>1079.6000000000001</v>
      </c>
      <c r="S725" s="9">
        <f>IF(R725="",AVERAGEIF(Table1[Category],Table1[[#This Row],[Category]],Table2[orignal data]),Table2[[#This Row],[orignal data]])</f>
        <v>1079.6000000000001</v>
      </c>
      <c r="T725" t="str">
        <f t="shared" si="46"/>
        <v>UNIQUE</v>
      </c>
      <c r="U725" t="str">
        <f>IF(ISBLANK(Table1[[#This Row],[SizeOption]]),"NOT AVAILABLE",Table1[[#This Row],[SizeOption]])</f>
        <v>XS, S, M, L, XL, XXL, 3XL</v>
      </c>
      <c r="Y725" t="str">
        <f>IF(Table2[[#This Row],[Column1]]&gt;50%,"HIGH DISCOUNT","LOW DISCOUNT")</f>
        <v>HIGH DISCOUNT</v>
      </c>
    </row>
    <row r="726" spans="1:25" x14ac:dyDescent="0.25">
      <c r="A726" s="1" t="s">
        <v>1720</v>
      </c>
      <c r="B726" s="1">
        <v>2295683</v>
      </c>
      <c r="C726" s="1" t="s">
        <v>117</v>
      </c>
      <c r="D726" s="1" t="s">
        <v>34</v>
      </c>
      <c r="E726" s="1" t="s">
        <v>296</v>
      </c>
      <c r="F726" s="1" t="s">
        <v>36</v>
      </c>
      <c r="G726" s="1" t="s">
        <v>1721</v>
      </c>
      <c r="I726" s="1">
        <v>649</v>
      </c>
      <c r="J726" s="1"/>
      <c r="K726" s="1" t="s">
        <v>26</v>
      </c>
      <c r="L726" s="1">
        <v>4</v>
      </c>
      <c r="M726" s="1">
        <v>868</v>
      </c>
      <c r="P726" t="str">
        <f t="shared" si="47"/>
        <v/>
      </c>
      <c r="Q726" s="12" t="str">
        <f t="shared" si="44"/>
        <v/>
      </c>
      <c r="R726" s="9" t="str">
        <f t="shared" si="45"/>
        <v/>
      </c>
      <c r="S726" s="9">
        <f>IF(R726="",AVERAGEIF(Table1[Category],Table1[[#This Row],[Category]],Table2[orignal data]),Table2[[#This Row],[orignal data]])</f>
        <v>608.88518518518481</v>
      </c>
      <c r="T726" t="str">
        <f t="shared" si="46"/>
        <v>UNIQUE</v>
      </c>
      <c r="U726" t="str">
        <f>IF(ISBLANK(Table1[[#This Row],[SizeOption]]),"NOT AVAILABLE",Table1[[#This Row],[SizeOption]])</f>
        <v>S, M, L, XL</v>
      </c>
      <c r="Y726" t="str">
        <f>IF(Table2[[#This Row],[Column1]]&gt;50%,"HIGH DISCOUNT","LOW DISCOUNT")</f>
        <v>HIGH DISCOUNT</v>
      </c>
    </row>
    <row r="727" spans="1:25" x14ac:dyDescent="0.25">
      <c r="A727" s="2" t="s">
        <v>1722</v>
      </c>
      <c r="B727" s="2">
        <v>9240703</v>
      </c>
      <c r="C727" s="2" t="s">
        <v>184</v>
      </c>
      <c r="D727" s="2" t="s">
        <v>41</v>
      </c>
      <c r="E727" s="2" t="s">
        <v>48</v>
      </c>
      <c r="F727" s="2" t="s">
        <v>36</v>
      </c>
      <c r="G727" s="2" t="s">
        <v>1723</v>
      </c>
      <c r="I727" s="2">
        <v>1599</v>
      </c>
      <c r="J727" s="2" t="s">
        <v>84</v>
      </c>
      <c r="K727" s="2" t="s">
        <v>39</v>
      </c>
      <c r="L727" s="2">
        <v>4.2</v>
      </c>
      <c r="M727" s="2">
        <v>868</v>
      </c>
      <c r="P727" t="str">
        <f t="shared" si="47"/>
        <v>50%</v>
      </c>
      <c r="Q727" s="12">
        <f t="shared" si="44"/>
        <v>0.5</v>
      </c>
      <c r="R727" s="9">
        <f t="shared" si="45"/>
        <v>799.5</v>
      </c>
      <c r="S727" s="9">
        <f>IF(R727="",AVERAGEIF(Table1[Category],Table1[[#This Row],[Category]],Table2[orignal data]),Table2[[#This Row],[orignal data]])</f>
        <v>799.5</v>
      </c>
      <c r="T727" t="str">
        <f t="shared" si="46"/>
        <v>UNIQUE</v>
      </c>
      <c r="U727" t="str">
        <f>IF(ISBLANK(Table1[[#This Row],[SizeOption]]),"NOT AVAILABLE",Table1[[#This Row],[SizeOption]])</f>
        <v>S, M, L, XL, XXL</v>
      </c>
      <c r="Y727" t="str">
        <f>IF(Table2[[#This Row],[Column1]]&gt;50%,"HIGH DISCOUNT","LOW DISCOUNT")</f>
        <v>LOW DISCOUNT</v>
      </c>
    </row>
    <row r="728" spans="1:25" x14ac:dyDescent="0.25">
      <c r="A728" s="1" t="s">
        <v>1724</v>
      </c>
      <c r="B728" s="1">
        <v>807931</v>
      </c>
      <c r="C728" s="1" t="s">
        <v>225</v>
      </c>
      <c r="D728" s="1" t="s">
        <v>41</v>
      </c>
      <c r="E728" s="1" t="s">
        <v>48</v>
      </c>
      <c r="F728" s="1" t="s">
        <v>36</v>
      </c>
      <c r="G728" s="1" t="s">
        <v>1725</v>
      </c>
      <c r="I728" s="1">
        <v>699</v>
      </c>
      <c r="J728" s="1" t="s">
        <v>412</v>
      </c>
      <c r="K728" s="1" t="s">
        <v>26</v>
      </c>
      <c r="L728" s="1">
        <v>4.3</v>
      </c>
      <c r="M728" s="1">
        <v>868</v>
      </c>
      <c r="P728" t="str">
        <f t="shared" si="47"/>
        <v>20%</v>
      </c>
      <c r="Q728" s="12">
        <f t="shared" si="44"/>
        <v>0.2</v>
      </c>
      <c r="R728" s="9">
        <f t="shared" si="45"/>
        <v>559.20000000000005</v>
      </c>
      <c r="S728" s="9">
        <f>IF(R728="",AVERAGEIF(Table1[Category],Table1[[#This Row],[Category]],Table2[orignal data]),Table2[[#This Row],[orignal data]])</f>
        <v>559.20000000000005</v>
      </c>
      <c r="T728" t="str">
        <f t="shared" si="46"/>
        <v>UNIQUE</v>
      </c>
      <c r="U728" t="str">
        <f>IF(ISBLANK(Table1[[#This Row],[SizeOption]]),"NOT AVAILABLE",Table1[[#This Row],[SizeOption]])</f>
        <v>S, M, L, XL</v>
      </c>
      <c r="Y728" t="str">
        <f>IF(Table2[[#This Row],[Column1]]&gt;50%,"HIGH DISCOUNT","LOW DISCOUNT")</f>
        <v>LOW DISCOUNT</v>
      </c>
    </row>
    <row r="729" spans="1:25" x14ac:dyDescent="0.25">
      <c r="A729" s="2" t="s">
        <v>1726</v>
      </c>
      <c r="B729" s="2">
        <v>11700056</v>
      </c>
      <c r="C729" s="2" t="s">
        <v>47</v>
      </c>
      <c r="D729" s="2" t="s">
        <v>41</v>
      </c>
      <c r="E729" s="2" t="s">
        <v>42</v>
      </c>
      <c r="F729" s="2" t="s">
        <v>36</v>
      </c>
      <c r="G729" s="2" t="s">
        <v>1727</v>
      </c>
      <c r="I729" s="2">
        <v>699</v>
      </c>
      <c r="J729" s="2" t="s">
        <v>55</v>
      </c>
      <c r="K729" s="2" t="s">
        <v>45</v>
      </c>
      <c r="L729" s="2">
        <v>4</v>
      </c>
      <c r="M729" s="2">
        <v>868</v>
      </c>
      <c r="P729" t="str">
        <f t="shared" si="47"/>
        <v>60%</v>
      </c>
      <c r="Q729" s="12">
        <f t="shared" si="44"/>
        <v>0.6</v>
      </c>
      <c r="R729" s="9">
        <f t="shared" si="45"/>
        <v>279.60000000000002</v>
      </c>
      <c r="S729" s="9">
        <f>IF(R729="",AVERAGEIF(Table1[Category],Table1[[#This Row],[Category]],Table2[orignal data]),Table2[[#This Row],[orignal data]])</f>
        <v>279.60000000000002</v>
      </c>
      <c r="T729" t="str">
        <f t="shared" si="46"/>
        <v>UNIQUE</v>
      </c>
      <c r="U729" t="str">
        <f>IF(ISBLANK(Table1[[#This Row],[SizeOption]]),"NOT AVAILABLE",Table1[[#This Row],[SizeOption]])</f>
        <v>XS, S, M, L, XL</v>
      </c>
      <c r="Y729" t="str">
        <f>IF(Table2[[#This Row],[Column1]]&gt;50%,"HIGH DISCOUNT","LOW DISCOUNT")</f>
        <v>HIGH DISCOUNT</v>
      </c>
    </row>
    <row r="730" spans="1:25" x14ac:dyDescent="0.25">
      <c r="A730" s="1" t="s">
        <v>1728</v>
      </c>
      <c r="B730" s="1">
        <v>10906444</v>
      </c>
      <c r="C730" s="1" t="s">
        <v>349</v>
      </c>
      <c r="D730" s="1" t="s">
        <v>197</v>
      </c>
      <c r="E730" s="1" t="s">
        <v>296</v>
      </c>
      <c r="F730" s="1" t="s">
        <v>17</v>
      </c>
      <c r="G730" s="1" t="s">
        <v>1729</v>
      </c>
      <c r="I730" s="1">
        <v>349</v>
      </c>
      <c r="J730" s="1"/>
      <c r="K730" s="1" t="s">
        <v>352</v>
      </c>
      <c r="L730" s="1">
        <v>4.5</v>
      </c>
      <c r="M730" s="1">
        <v>867</v>
      </c>
      <c r="P730" t="str">
        <f t="shared" si="47"/>
        <v/>
      </c>
      <c r="Q730" s="12" t="str">
        <f t="shared" si="44"/>
        <v/>
      </c>
      <c r="R730" s="9" t="str">
        <f t="shared" si="45"/>
        <v/>
      </c>
      <c r="S730" s="9">
        <f>IF(R730="",AVERAGEIF(Table1[Category],Table1[[#This Row],[Category]],Table2[orignal data]),Table2[[#This Row],[orignal data]])</f>
        <v>552.70900000000006</v>
      </c>
      <c r="T730" t="str">
        <f t="shared" si="46"/>
        <v>UNIQUE</v>
      </c>
      <c r="U730" t="str">
        <f>IF(ISBLANK(Table1[[#This Row],[SizeOption]]),"NOT AVAILABLE",Table1[[#This Row],[SizeOption]])</f>
        <v>S, M, L</v>
      </c>
      <c r="Y730" t="str">
        <f>IF(Table2[[#This Row],[Column1]]&gt;50%,"HIGH DISCOUNT","LOW DISCOUNT")</f>
        <v>HIGH DISCOUNT</v>
      </c>
    </row>
    <row r="731" spans="1:25" x14ac:dyDescent="0.25">
      <c r="A731" s="2" t="s">
        <v>1730</v>
      </c>
      <c r="B731" s="2">
        <v>6833275</v>
      </c>
      <c r="C731" s="2" t="s">
        <v>169</v>
      </c>
      <c r="D731" s="2" t="s">
        <v>28</v>
      </c>
      <c r="E731" s="2" t="s">
        <v>42</v>
      </c>
      <c r="F731" s="2" t="s">
        <v>17</v>
      </c>
      <c r="G731" s="2" t="s">
        <v>1731</v>
      </c>
      <c r="H731">
        <v>649</v>
      </c>
      <c r="I731" s="2">
        <v>999</v>
      </c>
      <c r="J731" s="2" t="s">
        <v>44</v>
      </c>
      <c r="K731" s="2" t="s">
        <v>39</v>
      </c>
      <c r="L731" s="2">
        <v>4.0999999999999996</v>
      </c>
      <c r="M731" s="2">
        <v>867</v>
      </c>
      <c r="P731" t="str">
        <f t="shared" si="47"/>
        <v>35%</v>
      </c>
      <c r="Q731" s="12">
        <f t="shared" si="44"/>
        <v>0.35</v>
      </c>
      <c r="R731" s="9">
        <f t="shared" si="45"/>
        <v>649.35</v>
      </c>
      <c r="S731" s="9">
        <f>IF(R731="",AVERAGEIF(Table1[Category],Table1[[#This Row],[Category]],Table2[orignal data]),Table2[[#This Row],[orignal data]])</f>
        <v>649.35</v>
      </c>
      <c r="T731" t="str">
        <f t="shared" si="46"/>
        <v>UNIQUE</v>
      </c>
      <c r="U731" t="str">
        <f>IF(ISBLANK(Table1[[#This Row],[SizeOption]]),"NOT AVAILABLE",Table1[[#This Row],[SizeOption]])</f>
        <v>S, M, L, XL, XXL</v>
      </c>
      <c r="Y731" t="str">
        <f>IF(Table2[[#This Row],[Column1]]&gt;50%,"HIGH DISCOUNT","LOW DISCOUNT")</f>
        <v>LOW DISCOUNT</v>
      </c>
    </row>
    <row r="732" spans="1:25" x14ac:dyDescent="0.25">
      <c r="A732" s="1" t="s">
        <v>1732</v>
      </c>
      <c r="B732" s="1">
        <v>10853008</v>
      </c>
      <c r="C732" s="1" t="s">
        <v>1733</v>
      </c>
      <c r="D732" s="1" t="s">
        <v>76</v>
      </c>
      <c r="E732" s="1" t="s">
        <v>320</v>
      </c>
      <c r="F732" s="1" t="s">
        <v>36</v>
      </c>
      <c r="G732" s="1" t="s">
        <v>1734</v>
      </c>
      <c r="H732">
        <v>686</v>
      </c>
      <c r="I732" s="1">
        <v>2080</v>
      </c>
      <c r="J732" s="1" t="s">
        <v>543</v>
      </c>
      <c r="K732" s="1" t="s">
        <v>164</v>
      </c>
      <c r="L732" s="1">
        <v>4</v>
      </c>
      <c r="M732" s="1">
        <v>867</v>
      </c>
      <c r="P732" t="str">
        <f t="shared" si="47"/>
        <v>67%</v>
      </c>
      <c r="Q732" s="12">
        <f t="shared" si="44"/>
        <v>0.67</v>
      </c>
      <c r="R732" s="9">
        <f t="shared" si="45"/>
        <v>686.39999999999986</v>
      </c>
      <c r="S732" s="9">
        <f>IF(R732="",AVERAGEIF(Table1[Category],Table1[[#This Row],[Category]],Table2[orignal data]),Table2[[#This Row],[orignal data]])</f>
        <v>686.39999999999986</v>
      </c>
      <c r="T732" t="str">
        <f t="shared" si="46"/>
        <v>UNIQUE</v>
      </c>
      <c r="U732" t="str">
        <f>IF(ISBLANK(Table1[[#This Row],[SizeOption]]),"NOT AVAILABLE",Table1[[#This Row],[SizeOption]])</f>
        <v>Onesize</v>
      </c>
      <c r="Y732" t="str">
        <f>IF(Table2[[#This Row],[Column1]]&gt;50%,"HIGH DISCOUNT","LOW DISCOUNT")</f>
        <v>HIGH DISCOUNT</v>
      </c>
    </row>
    <row r="733" spans="1:25" x14ac:dyDescent="0.25">
      <c r="A733" s="2" t="s">
        <v>1735</v>
      </c>
      <c r="B733" s="2">
        <v>1376778</v>
      </c>
      <c r="C733" s="2" t="s">
        <v>349</v>
      </c>
      <c r="D733" s="2" t="s">
        <v>34</v>
      </c>
      <c r="E733" s="2" t="s">
        <v>118</v>
      </c>
      <c r="F733" s="2" t="s">
        <v>36</v>
      </c>
      <c r="G733" s="2" t="s">
        <v>1736</v>
      </c>
      <c r="I733" s="2">
        <v>549</v>
      </c>
      <c r="J733" s="2"/>
      <c r="K733" s="2" t="s">
        <v>1737</v>
      </c>
      <c r="L733" s="2">
        <v>4.5</v>
      </c>
      <c r="M733" s="2">
        <v>867</v>
      </c>
      <c r="P733" t="str">
        <f t="shared" si="47"/>
        <v/>
      </c>
      <c r="Q733" s="12" t="str">
        <f t="shared" si="44"/>
        <v/>
      </c>
      <c r="R733" s="9" t="str">
        <f t="shared" si="45"/>
        <v/>
      </c>
      <c r="S733" s="9">
        <f>IF(R733="",AVERAGEIF(Table1[Category],Table1[[#This Row],[Category]],Table2[orignal data]),Table2[[#This Row],[orignal data]])</f>
        <v>608.88518518518481</v>
      </c>
      <c r="T733" t="str">
        <f t="shared" si="46"/>
        <v>UNIQUE</v>
      </c>
      <c r="U733" t="str">
        <f>IF(ISBLANK(Table1[[#This Row],[SizeOption]]),"NOT AVAILABLE",Table1[[#This Row],[SizeOption]])</f>
        <v>30B, 32B, 32C, 34B, 34C, 36B, 36C, 38B, 38C</v>
      </c>
      <c r="Y733" t="str">
        <f>IF(Table2[[#This Row],[Column1]]&gt;50%,"HIGH DISCOUNT","LOW DISCOUNT")</f>
        <v>HIGH DISCOUNT</v>
      </c>
    </row>
    <row r="734" spans="1:25" x14ac:dyDescent="0.25">
      <c r="A734" s="1" t="s">
        <v>1738</v>
      </c>
      <c r="B734" s="1">
        <v>11364332</v>
      </c>
      <c r="C734" s="1" t="s">
        <v>181</v>
      </c>
      <c r="D734" s="1" t="s">
        <v>41</v>
      </c>
      <c r="E734" s="1" t="s">
        <v>48</v>
      </c>
      <c r="F734" s="1" t="s">
        <v>36</v>
      </c>
      <c r="G734" s="1" t="s">
        <v>1739</v>
      </c>
      <c r="I734" s="1">
        <v>1299</v>
      </c>
      <c r="J734" s="1" t="s">
        <v>55</v>
      </c>
      <c r="K734" s="1" t="s">
        <v>45</v>
      </c>
      <c r="L734" s="1">
        <v>4.3</v>
      </c>
      <c r="M734" s="1">
        <v>867</v>
      </c>
      <c r="P734" t="str">
        <f t="shared" si="47"/>
        <v>60%</v>
      </c>
      <c r="Q734" s="12">
        <f t="shared" si="44"/>
        <v>0.6</v>
      </c>
      <c r="R734" s="9">
        <f t="shared" si="45"/>
        <v>519.6</v>
      </c>
      <c r="S734" s="9">
        <f>IF(R734="",AVERAGEIF(Table1[Category],Table1[[#This Row],[Category]],Table2[orignal data]),Table2[[#This Row],[orignal data]])</f>
        <v>519.6</v>
      </c>
      <c r="T734" t="str">
        <f t="shared" si="46"/>
        <v>UNIQUE</v>
      </c>
      <c r="U734" t="str">
        <f>IF(ISBLANK(Table1[[#This Row],[SizeOption]]),"NOT AVAILABLE",Table1[[#This Row],[SizeOption]])</f>
        <v>XS, S, M, L, XL</v>
      </c>
      <c r="Y734" t="str">
        <f>IF(Table2[[#This Row],[Column1]]&gt;50%,"HIGH DISCOUNT","LOW DISCOUNT")</f>
        <v>HIGH DISCOUNT</v>
      </c>
    </row>
    <row r="735" spans="1:25" x14ac:dyDescent="0.25">
      <c r="A735" s="2" t="s">
        <v>1740</v>
      </c>
      <c r="B735" s="2">
        <v>12698610</v>
      </c>
      <c r="C735" s="2" t="s">
        <v>14</v>
      </c>
      <c r="D735" s="2" t="s">
        <v>41</v>
      </c>
      <c r="E735" s="2" t="s">
        <v>189</v>
      </c>
      <c r="F735" s="2" t="s">
        <v>36</v>
      </c>
      <c r="G735" s="2" t="s">
        <v>1741</v>
      </c>
      <c r="I735" s="2">
        <v>3299</v>
      </c>
      <c r="J735" s="2" t="s">
        <v>79</v>
      </c>
      <c r="K735" s="2" t="s">
        <v>115</v>
      </c>
      <c r="L735" s="2">
        <v>4.3</v>
      </c>
      <c r="M735" s="2">
        <v>867</v>
      </c>
      <c r="P735" t="str">
        <f t="shared" si="47"/>
        <v>70%</v>
      </c>
      <c r="Q735" s="12">
        <f t="shared" si="44"/>
        <v>0.7</v>
      </c>
      <c r="R735" s="9">
        <f t="shared" si="45"/>
        <v>989.70000000000027</v>
      </c>
      <c r="S735" s="9">
        <f>IF(R735="",AVERAGEIF(Table1[Category],Table1[[#This Row],[Category]],Table2[orignal data]),Table2[[#This Row],[orignal data]])</f>
        <v>989.70000000000027</v>
      </c>
      <c r="T735" t="str">
        <f t="shared" si="46"/>
        <v>UNIQUE</v>
      </c>
      <c r="U735" t="str">
        <f>IF(ISBLANK(Table1[[#This Row],[SizeOption]]),"NOT AVAILABLE",Table1[[#This Row],[SizeOption]])</f>
        <v>XS, S, M, L, XL, XXL</v>
      </c>
      <c r="Y735" t="str">
        <f>IF(Table2[[#This Row],[Column1]]&gt;50%,"HIGH DISCOUNT","LOW DISCOUNT")</f>
        <v>HIGH DISCOUNT</v>
      </c>
    </row>
    <row r="736" spans="1:25" x14ac:dyDescent="0.25">
      <c r="A736" s="1" t="s">
        <v>1742</v>
      </c>
      <c r="B736" s="1">
        <v>2224781</v>
      </c>
      <c r="C736" s="1" t="s">
        <v>47</v>
      </c>
      <c r="D736" s="1" t="s">
        <v>41</v>
      </c>
      <c r="E736" s="1" t="s">
        <v>42</v>
      </c>
      <c r="F736" s="1" t="s">
        <v>36</v>
      </c>
      <c r="G736" s="1" t="s">
        <v>1743</v>
      </c>
      <c r="I736" s="1">
        <v>699</v>
      </c>
      <c r="J736" s="1" t="s">
        <v>84</v>
      </c>
      <c r="K736" s="1" t="s">
        <v>45</v>
      </c>
      <c r="L736" s="1">
        <v>4.3</v>
      </c>
      <c r="M736" s="1">
        <v>867</v>
      </c>
      <c r="P736" t="str">
        <f t="shared" si="47"/>
        <v>50%</v>
      </c>
      <c r="Q736" s="12">
        <f t="shared" si="44"/>
        <v>0.5</v>
      </c>
      <c r="R736" s="9">
        <f t="shared" si="45"/>
        <v>349.5</v>
      </c>
      <c r="S736" s="9">
        <f>IF(R736="",AVERAGEIF(Table1[Category],Table1[[#This Row],[Category]],Table2[orignal data]),Table2[[#This Row],[orignal data]])</f>
        <v>349.5</v>
      </c>
      <c r="T736" t="str">
        <f t="shared" si="46"/>
        <v>UNIQUE</v>
      </c>
      <c r="U736" t="str">
        <f>IF(ISBLANK(Table1[[#This Row],[SizeOption]]),"NOT AVAILABLE",Table1[[#This Row],[SizeOption]])</f>
        <v>XS, S, M, L, XL</v>
      </c>
      <c r="Y736" t="str">
        <f>IF(Table2[[#This Row],[Column1]]&gt;50%,"HIGH DISCOUNT","LOW DISCOUNT")</f>
        <v>LOW DISCOUNT</v>
      </c>
    </row>
    <row r="737" spans="1:25" x14ac:dyDescent="0.25">
      <c r="A737" s="2" t="s">
        <v>1744</v>
      </c>
      <c r="B737" s="2">
        <v>10968524</v>
      </c>
      <c r="C737" s="2" t="s">
        <v>14</v>
      </c>
      <c r="D737" s="2" t="s">
        <v>41</v>
      </c>
      <c r="E737" s="2" t="s">
        <v>42</v>
      </c>
      <c r="F737" s="2" t="s">
        <v>36</v>
      </c>
      <c r="G737" s="2" t="s">
        <v>1745</v>
      </c>
      <c r="I737" s="2">
        <v>699</v>
      </c>
      <c r="J737" s="2"/>
      <c r="K737" s="2" t="s">
        <v>45</v>
      </c>
      <c r="L737" s="2">
        <v>4.3</v>
      </c>
      <c r="M737" s="2">
        <v>867</v>
      </c>
      <c r="P737" t="str">
        <f t="shared" si="47"/>
        <v/>
      </c>
      <c r="Q737" s="12" t="str">
        <f t="shared" si="44"/>
        <v/>
      </c>
      <c r="R737" s="9" t="str">
        <f t="shared" si="45"/>
        <v/>
      </c>
      <c r="S737" s="9">
        <f>IF(R737="",AVERAGEIF(Table1[Category],Table1[[#This Row],[Category]],Table2[orignal data]),Table2[[#This Row],[orignal data]])</f>
        <v>715.78890751086249</v>
      </c>
      <c r="T737" t="str">
        <f t="shared" si="46"/>
        <v>UNIQUE</v>
      </c>
      <c r="U737" t="str">
        <f>IF(ISBLANK(Table1[[#This Row],[SizeOption]]),"NOT AVAILABLE",Table1[[#This Row],[SizeOption]])</f>
        <v>XS, S, M, L, XL</v>
      </c>
      <c r="Y737" t="str">
        <f>IF(Table2[[#This Row],[Column1]]&gt;50%,"HIGH DISCOUNT","LOW DISCOUNT")</f>
        <v>HIGH DISCOUNT</v>
      </c>
    </row>
    <row r="738" spans="1:25" x14ac:dyDescent="0.25">
      <c r="A738" s="1" t="s">
        <v>1746</v>
      </c>
      <c r="B738" s="1">
        <v>11401800</v>
      </c>
      <c r="C738" s="1" t="s">
        <v>14</v>
      </c>
      <c r="D738" s="1" t="s">
        <v>41</v>
      </c>
      <c r="E738" s="1" t="s">
        <v>42</v>
      </c>
      <c r="F738" s="1" t="s">
        <v>36</v>
      </c>
      <c r="G738" s="1" t="s">
        <v>1747</v>
      </c>
      <c r="I738" s="1">
        <v>899</v>
      </c>
      <c r="J738" s="1"/>
      <c r="K738" s="1" t="s">
        <v>45</v>
      </c>
      <c r="L738" s="1">
        <v>4.4000000000000004</v>
      </c>
      <c r="M738" s="1">
        <v>867</v>
      </c>
      <c r="P738" t="str">
        <f t="shared" si="47"/>
        <v/>
      </c>
      <c r="Q738" s="12" t="str">
        <f t="shared" si="44"/>
        <v/>
      </c>
      <c r="R738" s="9" t="str">
        <f t="shared" si="45"/>
        <v/>
      </c>
      <c r="S738" s="9">
        <f>IF(R738="",AVERAGEIF(Table1[Category],Table1[[#This Row],[Category]],Table2[orignal data]),Table2[[#This Row],[orignal data]])</f>
        <v>715.78890751086249</v>
      </c>
      <c r="T738" t="str">
        <f t="shared" si="46"/>
        <v>UNIQUE</v>
      </c>
      <c r="U738" t="str">
        <f>IF(ISBLANK(Table1[[#This Row],[SizeOption]]),"NOT AVAILABLE",Table1[[#This Row],[SizeOption]])</f>
        <v>XS, S, M, L, XL</v>
      </c>
      <c r="Y738" t="str">
        <f>IF(Table2[[#This Row],[Column1]]&gt;50%,"HIGH DISCOUNT","LOW DISCOUNT")</f>
        <v>HIGH DISCOUNT</v>
      </c>
    </row>
    <row r="739" spans="1:25" x14ac:dyDescent="0.25">
      <c r="A739" s="2" t="s">
        <v>1748</v>
      </c>
      <c r="B739" s="2">
        <v>9261285</v>
      </c>
      <c r="C739" s="2" t="s">
        <v>295</v>
      </c>
      <c r="D739" s="2" t="s">
        <v>197</v>
      </c>
      <c r="E739" s="2" t="s">
        <v>350</v>
      </c>
      <c r="F739" s="2" t="s">
        <v>17</v>
      </c>
      <c r="G739" s="2" t="s">
        <v>1749</v>
      </c>
      <c r="I739" s="2">
        <v>259</v>
      </c>
      <c r="J739" s="2"/>
      <c r="K739" s="2" t="s">
        <v>26</v>
      </c>
      <c r="L739" s="2">
        <v>4.4000000000000004</v>
      </c>
      <c r="M739" s="2">
        <v>866</v>
      </c>
      <c r="P739" t="str">
        <f t="shared" si="47"/>
        <v/>
      </c>
      <c r="Q739" s="12" t="str">
        <f t="shared" si="44"/>
        <v/>
      </c>
      <c r="R739" s="9" t="str">
        <f t="shared" si="45"/>
        <v/>
      </c>
      <c r="S739" s="9">
        <f>IF(R739="",AVERAGEIF(Table1[Category],Table1[[#This Row],[Category]],Table2[orignal data]),Table2[[#This Row],[orignal data]])</f>
        <v>552.70900000000006</v>
      </c>
      <c r="T739" t="str">
        <f t="shared" si="46"/>
        <v>UNIQUE</v>
      </c>
      <c r="U739" t="str">
        <f>IF(ISBLANK(Table1[[#This Row],[SizeOption]]),"NOT AVAILABLE",Table1[[#This Row],[SizeOption]])</f>
        <v>S, M, L, XL</v>
      </c>
      <c r="Y739" t="str">
        <f>IF(Table2[[#This Row],[Column1]]&gt;50%,"HIGH DISCOUNT","LOW DISCOUNT")</f>
        <v>HIGH DISCOUNT</v>
      </c>
    </row>
    <row r="740" spans="1:25" x14ac:dyDescent="0.25">
      <c r="A740" s="1" t="s">
        <v>1750</v>
      </c>
      <c r="B740" s="1">
        <v>1460195</v>
      </c>
      <c r="C740" s="1" t="s">
        <v>346</v>
      </c>
      <c r="D740" s="1" t="s">
        <v>28</v>
      </c>
      <c r="E740" s="1" t="s">
        <v>42</v>
      </c>
      <c r="F740" s="1" t="s">
        <v>17</v>
      </c>
      <c r="G740" s="1" t="s">
        <v>1751</v>
      </c>
      <c r="H740">
        <v>449</v>
      </c>
      <c r="I740" s="1">
        <v>999</v>
      </c>
      <c r="J740" s="1" t="s">
        <v>25</v>
      </c>
      <c r="K740" s="1" t="s">
        <v>39</v>
      </c>
      <c r="L740" s="1">
        <v>4.0999999999999996</v>
      </c>
      <c r="M740" s="1">
        <v>866</v>
      </c>
      <c r="P740" t="str">
        <f t="shared" si="47"/>
        <v>55%</v>
      </c>
      <c r="Q740" s="12">
        <f t="shared" si="44"/>
        <v>0.55000000000000004</v>
      </c>
      <c r="R740" s="9">
        <f t="shared" si="45"/>
        <v>449.54999999999995</v>
      </c>
      <c r="S740" s="9">
        <f>IF(R740="",AVERAGEIF(Table1[Category],Table1[[#This Row],[Category]],Table2[orignal data]),Table2[[#This Row],[orignal data]])</f>
        <v>449.54999999999995</v>
      </c>
      <c r="T740" t="str">
        <f t="shared" si="46"/>
        <v>UNIQUE</v>
      </c>
      <c r="U740" t="str">
        <f>IF(ISBLANK(Table1[[#This Row],[SizeOption]]),"NOT AVAILABLE",Table1[[#This Row],[SizeOption]])</f>
        <v>S, M, L, XL, XXL</v>
      </c>
      <c r="Y740" t="str">
        <f>IF(Table2[[#This Row],[Column1]]&gt;50%,"HIGH DISCOUNT","LOW DISCOUNT")</f>
        <v>HIGH DISCOUNT</v>
      </c>
    </row>
    <row r="741" spans="1:25" x14ac:dyDescent="0.25">
      <c r="A741" s="2" t="s">
        <v>1752</v>
      </c>
      <c r="B741" s="2">
        <v>12135220</v>
      </c>
      <c r="C741" s="2" t="s">
        <v>113</v>
      </c>
      <c r="D741" s="2" t="s">
        <v>76</v>
      </c>
      <c r="E741" s="2" t="s">
        <v>93</v>
      </c>
      <c r="F741" s="2" t="s">
        <v>36</v>
      </c>
      <c r="G741" s="2" t="s">
        <v>1753</v>
      </c>
      <c r="H741">
        <v>714</v>
      </c>
      <c r="I741" s="2">
        <v>1299</v>
      </c>
      <c r="J741" s="2" t="s">
        <v>19</v>
      </c>
      <c r="K741" s="2" t="s">
        <v>115</v>
      </c>
      <c r="L741" s="2">
        <v>4.0999999999999996</v>
      </c>
      <c r="M741" s="2">
        <v>866</v>
      </c>
      <c r="P741" t="str">
        <f t="shared" si="47"/>
        <v>45%</v>
      </c>
      <c r="Q741" s="12">
        <f t="shared" si="44"/>
        <v>0.45</v>
      </c>
      <c r="R741" s="9">
        <f t="shared" si="45"/>
        <v>714.44999999999993</v>
      </c>
      <c r="S741" s="9">
        <f>IF(R741="",AVERAGEIF(Table1[Category],Table1[[#This Row],[Category]],Table2[orignal data]),Table2[[#This Row],[orignal data]])</f>
        <v>714.44999999999993</v>
      </c>
      <c r="T741" t="str">
        <f t="shared" si="46"/>
        <v>UNIQUE</v>
      </c>
      <c r="U741" t="str">
        <f>IF(ISBLANK(Table1[[#This Row],[SizeOption]]),"NOT AVAILABLE",Table1[[#This Row],[SizeOption]])</f>
        <v>XS, S, M, L, XL, XXL</v>
      </c>
      <c r="Y741" t="str">
        <f>IF(Table2[[#This Row],[Column1]]&gt;50%,"HIGH DISCOUNT","LOW DISCOUNT")</f>
        <v>LOW DISCOUNT</v>
      </c>
    </row>
    <row r="742" spans="1:25" x14ac:dyDescent="0.25">
      <c r="A742" s="1" t="s">
        <v>1754</v>
      </c>
      <c r="B742" s="1">
        <v>12009590</v>
      </c>
      <c r="C742" s="1" t="s">
        <v>102</v>
      </c>
      <c r="D742" s="1" t="s">
        <v>41</v>
      </c>
      <c r="E742" s="1" t="s">
        <v>53</v>
      </c>
      <c r="F742" s="1" t="s">
        <v>36</v>
      </c>
      <c r="G742" s="1" t="s">
        <v>1755</v>
      </c>
      <c r="I742" s="1">
        <v>1149</v>
      </c>
      <c r="J742" s="1" t="s">
        <v>758</v>
      </c>
      <c r="K742" s="1" t="s">
        <v>105</v>
      </c>
      <c r="L742" s="1">
        <v>4.2</v>
      </c>
      <c r="M742" s="1">
        <v>866</v>
      </c>
      <c r="P742" t="str">
        <f t="shared" si="47"/>
        <v>47%</v>
      </c>
      <c r="Q742" s="12">
        <f t="shared" si="44"/>
        <v>0.47</v>
      </c>
      <c r="R742" s="9">
        <f t="shared" si="45"/>
        <v>608.97</v>
      </c>
      <c r="S742" s="9">
        <f>IF(R742="",AVERAGEIF(Table1[Category],Table1[[#This Row],[Category]],Table2[orignal data]),Table2[[#This Row],[orignal data]])</f>
        <v>608.97</v>
      </c>
      <c r="T742" t="str">
        <f t="shared" si="46"/>
        <v>UNIQUE</v>
      </c>
      <c r="U742" t="str">
        <f>IF(ISBLANK(Table1[[#This Row],[SizeOption]]),"NOT AVAILABLE",Table1[[#This Row],[SizeOption]])</f>
        <v>28, 30, 32, 34</v>
      </c>
      <c r="Y742" t="str">
        <f>IF(Table2[[#This Row],[Column1]]&gt;50%,"HIGH DISCOUNT","LOW DISCOUNT")</f>
        <v>LOW DISCOUNT</v>
      </c>
    </row>
    <row r="743" spans="1:25" x14ac:dyDescent="0.25">
      <c r="A743" s="2" t="s">
        <v>1756</v>
      </c>
      <c r="B743" s="2">
        <v>8643095</v>
      </c>
      <c r="C743" s="2" t="s">
        <v>181</v>
      </c>
      <c r="D743" s="2" t="s">
        <v>41</v>
      </c>
      <c r="E743" s="2" t="s">
        <v>148</v>
      </c>
      <c r="F743" s="2" t="s">
        <v>36</v>
      </c>
      <c r="G743" s="2" t="s">
        <v>1757</v>
      </c>
      <c r="I743" s="2">
        <v>1899</v>
      </c>
      <c r="J743" s="2" t="s">
        <v>25</v>
      </c>
      <c r="K743" s="2" t="s">
        <v>115</v>
      </c>
      <c r="L743" s="2">
        <v>4.3</v>
      </c>
      <c r="M743" s="2">
        <v>866</v>
      </c>
      <c r="P743" t="str">
        <f t="shared" si="47"/>
        <v>55%</v>
      </c>
      <c r="Q743" s="12">
        <f t="shared" si="44"/>
        <v>0.55000000000000004</v>
      </c>
      <c r="R743" s="9">
        <f t="shared" si="45"/>
        <v>854.55</v>
      </c>
      <c r="S743" s="9">
        <f>IF(R743="",AVERAGEIF(Table1[Category],Table1[[#This Row],[Category]],Table2[orignal data]),Table2[[#This Row],[orignal data]])</f>
        <v>854.55</v>
      </c>
      <c r="T743" t="str">
        <f t="shared" si="46"/>
        <v>UNIQUE</v>
      </c>
      <c r="U743" t="str">
        <f>IF(ISBLANK(Table1[[#This Row],[SizeOption]]),"NOT AVAILABLE",Table1[[#This Row],[SizeOption]])</f>
        <v>XS, S, M, L, XL, XXL</v>
      </c>
      <c r="Y743" t="str">
        <f>IF(Table2[[#This Row],[Column1]]&gt;50%,"HIGH DISCOUNT","LOW DISCOUNT")</f>
        <v>HIGH DISCOUNT</v>
      </c>
    </row>
    <row r="744" spans="1:25" x14ac:dyDescent="0.25">
      <c r="A744" s="1" t="s">
        <v>1758</v>
      </c>
      <c r="B744" s="1">
        <v>1763177</v>
      </c>
      <c r="C744" s="1" t="s">
        <v>346</v>
      </c>
      <c r="D744" s="1" t="s">
        <v>41</v>
      </c>
      <c r="E744" s="1" t="s">
        <v>42</v>
      </c>
      <c r="F744" s="1" t="s">
        <v>36</v>
      </c>
      <c r="G744" s="1" t="s">
        <v>1759</v>
      </c>
      <c r="I744" s="1">
        <v>599</v>
      </c>
      <c r="J744" s="1" t="s">
        <v>50</v>
      </c>
      <c r="K744" s="1" t="s">
        <v>45</v>
      </c>
      <c r="L744" s="1">
        <v>4.0999999999999996</v>
      </c>
      <c r="M744" s="1">
        <v>866</v>
      </c>
      <c r="P744" t="str">
        <f t="shared" si="47"/>
        <v>40%</v>
      </c>
      <c r="Q744" s="12">
        <f t="shared" si="44"/>
        <v>0.4</v>
      </c>
      <c r="R744" s="9">
        <f t="shared" si="45"/>
        <v>359.4</v>
      </c>
      <c r="S744" s="9">
        <f>IF(R744="",AVERAGEIF(Table1[Category],Table1[[#This Row],[Category]],Table2[orignal data]),Table2[[#This Row],[orignal data]])</f>
        <v>359.4</v>
      </c>
      <c r="T744" t="str">
        <f t="shared" si="46"/>
        <v>UNIQUE</v>
      </c>
      <c r="U744" t="str">
        <f>IF(ISBLANK(Table1[[#This Row],[SizeOption]]),"NOT AVAILABLE",Table1[[#This Row],[SizeOption]])</f>
        <v>XS, S, M, L, XL</v>
      </c>
      <c r="Y744" t="str">
        <f>IF(Table2[[#This Row],[Column1]]&gt;50%,"HIGH DISCOUNT","LOW DISCOUNT")</f>
        <v>LOW DISCOUNT</v>
      </c>
    </row>
    <row r="745" spans="1:25" x14ac:dyDescent="0.25">
      <c r="A745" s="2" t="s">
        <v>1760</v>
      </c>
      <c r="B745" s="2">
        <v>2490953</v>
      </c>
      <c r="C745" s="2" t="s">
        <v>47</v>
      </c>
      <c r="D745" s="2" t="s">
        <v>41</v>
      </c>
      <c r="E745" s="2" t="s">
        <v>48</v>
      </c>
      <c r="F745" s="2" t="s">
        <v>36</v>
      </c>
      <c r="G745" s="2" t="s">
        <v>1761</v>
      </c>
      <c r="I745" s="2">
        <v>599</v>
      </c>
      <c r="J745" s="2" t="s">
        <v>19</v>
      </c>
      <c r="K745" s="2" t="s">
        <v>45</v>
      </c>
      <c r="L745" s="2">
        <v>4.2</v>
      </c>
      <c r="M745" s="2">
        <v>866</v>
      </c>
      <c r="P745" t="str">
        <f t="shared" si="47"/>
        <v>45%</v>
      </c>
      <c r="Q745" s="12">
        <f t="shared" si="44"/>
        <v>0.45</v>
      </c>
      <c r="R745" s="9">
        <f t="shared" si="45"/>
        <v>329.45</v>
      </c>
      <c r="S745" s="9">
        <f>IF(R745="",AVERAGEIF(Table1[Category],Table1[[#This Row],[Category]],Table2[orignal data]),Table2[[#This Row],[orignal data]])</f>
        <v>329.45</v>
      </c>
      <c r="T745" t="str">
        <f t="shared" si="46"/>
        <v>UNIQUE</v>
      </c>
      <c r="U745" t="str">
        <f>IF(ISBLANK(Table1[[#This Row],[SizeOption]]),"NOT AVAILABLE",Table1[[#This Row],[SizeOption]])</f>
        <v>XS, S, M, L, XL</v>
      </c>
      <c r="Y745" t="str">
        <f>IF(Table2[[#This Row],[Column1]]&gt;50%,"HIGH DISCOUNT","LOW DISCOUNT")</f>
        <v>LOW DISCOUNT</v>
      </c>
    </row>
    <row r="746" spans="1:25" x14ac:dyDescent="0.25">
      <c r="A746" s="1" t="s">
        <v>1762</v>
      </c>
      <c r="B746" s="1">
        <v>10415106</v>
      </c>
      <c r="C746" s="1" t="s">
        <v>841</v>
      </c>
      <c r="D746" s="1" t="s">
        <v>15</v>
      </c>
      <c r="E746" s="1" t="s">
        <v>16</v>
      </c>
      <c r="F746" s="1" t="s">
        <v>17</v>
      </c>
      <c r="G746" s="1" t="s">
        <v>1763</v>
      </c>
      <c r="H746">
        <v>1138</v>
      </c>
      <c r="I746" s="1">
        <v>1898</v>
      </c>
      <c r="J746" s="1" t="s">
        <v>50</v>
      </c>
      <c r="K746" s="1" t="s">
        <v>20</v>
      </c>
      <c r="L746" s="1">
        <v>3.2</v>
      </c>
      <c r="M746" s="1">
        <v>865</v>
      </c>
      <c r="P746" t="str">
        <f t="shared" si="47"/>
        <v>40%</v>
      </c>
      <c r="Q746" s="12">
        <f t="shared" si="44"/>
        <v>0.4</v>
      </c>
      <c r="R746" s="9">
        <f t="shared" si="45"/>
        <v>1138.8</v>
      </c>
      <c r="S746" s="9">
        <f>IF(R746="",AVERAGEIF(Table1[Category],Table1[[#This Row],[Category]],Table2[orignal data]),Table2[[#This Row],[orignal data]])</f>
        <v>1138.8</v>
      </c>
      <c r="T746" t="str">
        <f t="shared" si="46"/>
        <v>UNIQUE</v>
      </c>
      <c r="U746" t="str">
        <f>IF(ISBLANK(Table1[[#This Row],[SizeOption]]),"NOT AVAILABLE",Table1[[#This Row],[SizeOption]])</f>
        <v>28, 30, 32, 34, 36</v>
      </c>
      <c r="Y746" t="str">
        <f>IF(Table2[[#This Row],[Column1]]&gt;50%,"HIGH DISCOUNT","LOW DISCOUNT")</f>
        <v>LOW DISCOUNT</v>
      </c>
    </row>
    <row r="747" spans="1:25" x14ac:dyDescent="0.25">
      <c r="A747" s="2" t="s">
        <v>1764</v>
      </c>
      <c r="B747" s="2">
        <v>6012712</v>
      </c>
      <c r="C747" s="2" t="s">
        <v>52</v>
      </c>
      <c r="D747" s="2" t="s">
        <v>28</v>
      </c>
      <c r="E747" s="2" t="s">
        <v>29</v>
      </c>
      <c r="F747" s="2" t="s">
        <v>17</v>
      </c>
      <c r="G747" s="2" t="s">
        <v>1765</v>
      </c>
      <c r="H747">
        <v>539</v>
      </c>
      <c r="I747" s="2">
        <v>1349</v>
      </c>
      <c r="J747" s="2" t="s">
        <v>55</v>
      </c>
      <c r="K747" s="2" t="s">
        <v>90</v>
      </c>
      <c r="L747" s="2">
        <v>3.8</v>
      </c>
      <c r="M747" s="2">
        <v>865</v>
      </c>
      <c r="P747" t="str">
        <f t="shared" si="47"/>
        <v>60%</v>
      </c>
      <c r="Q747" s="12">
        <f t="shared" si="44"/>
        <v>0.6</v>
      </c>
      <c r="R747" s="9">
        <f t="shared" si="45"/>
        <v>539.6</v>
      </c>
      <c r="S747" s="9">
        <f>IF(R747="",AVERAGEIF(Table1[Category],Table1[[#This Row],[Category]],Table2[orignal data]),Table2[[#This Row],[orignal data]])</f>
        <v>539.6</v>
      </c>
      <c r="T747" t="str">
        <f t="shared" si="46"/>
        <v>UNIQUE</v>
      </c>
      <c r="U747" t="str">
        <f>IF(ISBLANK(Table1[[#This Row],[SizeOption]]),"NOT AVAILABLE",Table1[[#This Row],[SizeOption]])</f>
        <v>39, 40, 42, 44</v>
      </c>
      <c r="Y747" t="str">
        <f>IF(Table2[[#This Row],[Column1]]&gt;50%,"HIGH DISCOUNT","LOW DISCOUNT")</f>
        <v>HIGH DISCOUNT</v>
      </c>
    </row>
    <row r="748" spans="1:25" x14ac:dyDescent="0.25">
      <c r="A748" s="1" t="s">
        <v>1766</v>
      </c>
      <c r="B748" s="1">
        <v>7088221</v>
      </c>
      <c r="C748" s="1" t="s">
        <v>64</v>
      </c>
      <c r="D748" s="1" t="s">
        <v>28</v>
      </c>
      <c r="E748" s="1" t="s">
        <v>42</v>
      </c>
      <c r="F748" s="1" t="s">
        <v>17</v>
      </c>
      <c r="G748" s="1" t="s">
        <v>1767</v>
      </c>
      <c r="H748">
        <v>314</v>
      </c>
      <c r="I748" s="1">
        <v>899</v>
      </c>
      <c r="J748" s="1" t="s">
        <v>150</v>
      </c>
      <c r="K748" s="1" t="s">
        <v>39</v>
      </c>
      <c r="L748" s="1">
        <v>4.2</v>
      </c>
      <c r="M748" s="1">
        <v>865</v>
      </c>
      <c r="P748" t="str">
        <f t="shared" si="47"/>
        <v>65%</v>
      </c>
      <c r="Q748" s="12">
        <f t="shared" si="44"/>
        <v>0.65</v>
      </c>
      <c r="R748" s="9">
        <f t="shared" si="45"/>
        <v>314.64999999999998</v>
      </c>
      <c r="S748" s="9">
        <f>IF(R748="",AVERAGEIF(Table1[Category],Table1[[#This Row],[Category]],Table2[orignal data]),Table2[[#This Row],[orignal data]])</f>
        <v>314.64999999999998</v>
      </c>
      <c r="T748" t="str">
        <f t="shared" si="46"/>
        <v>UNIQUE</v>
      </c>
      <c r="U748" t="str">
        <f>IF(ISBLANK(Table1[[#This Row],[SizeOption]]),"NOT AVAILABLE",Table1[[#This Row],[SizeOption]])</f>
        <v>S, M, L, XL, XXL</v>
      </c>
      <c r="Y748" t="str">
        <f>IF(Table2[[#This Row],[Column1]]&gt;50%,"HIGH DISCOUNT","LOW DISCOUNT")</f>
        <v>HIGH DISCOUNT</v>
      </c>
    </row>
    <row r="749" spans="1:25" x14ac:dyDescent="0.25">
      <c r="A749" s="2" t="s">
        <v>1768</v>
      </c>
      <c r="B749" s="2">
        <v>14154078</v>
      </c>
      <c r="C749" s="2" t="s">
        <v>102</v>
      </c>
      <c r="D749" s="2" t="s">
        <v>41</v>
      </c>
      <c r="E749" s="2" t="s">
        <v>23</v>
      </c>
      <c r="F749" s="2" t="s">
        <v>36</v>
      </c>
      <c r="G749" s="2" t="s">
        <v>1769</v>
      </c>
      <c r="I749" s="2">
        <v>999</v>
      </c>
      <c r="J749" s="2" t="s">
        <v>602</v>
      </c>
      <c r="K749" s="2" t="s">
        <v>26</v>
      </c>
      <c r="L749" s="2">
        <v>4.2</v>
      </c>
      <c r="M749" s="2">
        <v>865</v>
      </c>
      <c r="P749" t="str">
        <f t="shared" si="47"/>
        <v>48%</v>
      </c>
      <c r="Q749" s="12">
        <f t="shared" si="44"/>
        <v>0.48</v>
      </c>
      <c r="R749" s="9">
        <f t="shared" si="45"/>
        <v>519.48</v>
      </c>
      <c r="S749" s="9">
        <f>IF(R749="",AVERAGEIF(Table1[Category],Table1[[#This Row],[Category]],Table2[orignal data]),Table2[[#This Row],[orignal data]])</f>
        <v>519.48</v>
      </c>
      <c r="T749" t="str">
        <f t="shared" si="46"/>
        <v>UNIQUE</v>
      </c>
      <c r="U749" t="str">
        <f>IF(ISBLANK(Table1[[#This Row],[SizeOption]]),"NOT AVAILABLE",Table1[[#This Row],[SizeOption]])</f>
        <v>S, M, L, XL</v>
      </c>
      <c r="Y749" t="str">
        <f>IF(Table2[[#This Row],[Column1]]&gt;50%,"HIGH DISCOUNT","LOW DISCOUNT")</f>
        <v>LOW DISCOUNT</v>
      </c>
    </row>
    <row r="750" spans="1:25" x14ac:dyDescent="0.25">
      <c r="A750" s="1" t="s">
        <v>1770</v>
      </c>
      <c r="B750" s="1">
        <v>10004111</v>
      </c>
      <c r="C750" s="1" t="s">
        <v>52</v>
      </c>
      <c r="D750" s="1" t="s">
        <v>28</v>
      </c>
      <c r="E750" s="1" t="s">
        <v>29</v>
      </c>
      <c r="F750" s="1" t="s">
        <v>17</v>
      </c>
      <c r="G750" s="1" t="s">
        <v>1771</v>
      </c>
      <c r="H750">
        <v>493</v>
      </c>
      <c r="I750" s="1">
        <v>1049</v>
      </c>
      <c r="J750" s="1" t="s">
        <v>89</v>
      </c>
      <c r="K750" s="1" t="s">
        <v>90</v>
      </c>
      <c r="L750" s="1">
        <v>4.3</v>
      </c>
      <c r="M750" s="1">
        <v>864</v>
      </c>
      <c r="P750" t="str">
        <f t="shared" si="47"/>
        <v>53%</v>
      </c>
      <c r="Q750" s="12">
        <f t="shared" si="44"/>
        <v>0.53</v>
      </c>
      <c r="R750" s="9">
        <f t="shared" si="45"/>
        <v>493.03</v>
      </c>
      <c r="S750" s="9">
        <f>IF(R750="",AVERAGEIF(Table1[Category],Table1[[#This Row],[Category]],Table2[orignal data]),Table2[[#This Row],[orignal data]])</f>
        <v>493.03</v>
      </c>
      <c r="T750" t="str">
        <f t="shared" si="46"/>
        <v>UNIQUE</v>
      </c>
      <c r="U750" t="str">
        <f>IF(ISBLANK(Table1[[#This Row],[SizeOption]]),"NOT AVAILABLE",Table1[[#This Row],[SizeOption]])</f>
        <v>39, 40, 42, 44</v>
      </c>
      <c r="Y750" t="str">
        <f>IF(Table2[[#This Row],[Column1]]&gt;50%,"HIGH DISCOUNT","LOW DISCOUNT")</f>
        <v>HIGH DISCOUNT</v>
      </c>
    </row>
    <row r="751" spans="1:25" x14ac:dyDescent="0.25">
      <c r="A751" s="2" t="s">
        <v>1772</v>
      </c>
      <c r="B751" s="2">
        <v>2095974</v>
      </c>
      <c r="C751" s="2" t="s">
        <v>1773</v>
      </c>
      <c r="D751" s="2" t="s">
        <v>28</v>
      </c>
      <c r="E751" s="2" t="s">
        <v>42</v>
      </c>
      <c r="F751" s="2" t="s">
        <v>17</v>
      </c>
      <c r="G751" s="2" t="s">
        <v>1774</v>
      </c>
      <c r="H751">
        <v>494</v>
      </c>
      <c r="I751" s="2">
        <v>1099</v>
      </c>
      <c r="J751" s="2" t="s">
        <v>25</v>
      </c>
      <c r="K751" s="2" t="s">
        <v>39</v>
      </c>
      <c r="L751" s="2">
        <v>4.0999999999999996</v>
      </c>
      <c r="M751" s="2">
        <v>864</v>
      </c>
      <c r="P751" t="str">
        <f t="shared" si="47"/>
        <v>55%</v>
      </c>
      <c r="Q751" s="12">
        <f t="shared" si="44"/>
        <v>0.55000000000000004</v>
      </c>
      <c r="R751" s="9">
        <f t="shared" si="45"/>
        <v>494.54999999999995</v>
      </c>
      <c r="S751" s="9">
        <f>IF(R751="",AVERAGEIF(Table1[Category],Table1[[#This Row],[Category]],Table2[orignal data]),Table2[[#This Row],[orignal data]])</f>
        <v>494.54999999999995</v>
      </c>
      <c r="T751" t="str">
        <f t="shared" si="46"/>
        <v>UNIQUE</v>
      </c>
      <c r="U751" t="str">
        <f>IF(ISBLANK(Table1[[#This Row],[SizeOption]]),"NOT AVAILABLE",Table1[[#This Row],[SizeOption]])</f>
        <v>S, M, L, XL, XXL</v>
      </c>
      <c r="Y751" t="str">
        <f>IF(Table2[[#This Row],[Column1]]&gt;50%,"HIGH DISCOUNT","LOW DISCOUNT")</f>
        <v>HIGH DISCOUNT</v>
      </c>
    </row>
    <row r="752" spans="1:25" x14ac:dyDescent="0.25">
      <c r="A752" s="1" t="s">
        <v>1775</v>
      </c>
      <c r="B752" s="1">
        <v>1272492</v>
      </c>
      <c r="C752" s="1" t="s">
        <v>52</v>
      </c>
      <c r="D752" s="1" t="s">
        <v>28</v>
      </c>
      <c r="E752" s="1" t="s">
        <v>29</v>
      </c>
      <c r="F752" s="1" t="s">
        <v>17</v>
      </c>
      <c r="G752" s="1" t="s">
        <v>1776</v>
      </c>
      <c r="H752">
        <v>439</v>
      </c>
      <c r="I752" s="1">
        <v>999</v>
      </c>
      <c r="J752" s="1" t="s">
        <v>1204</v>
      </c>
      <c r="K752" s="1" t="s">
        <v>484</v>
      </c>
      <c r="L752" s="1">
        <v>4.2</v>
      </c>
      <c r="M752" s="1">
        <v>864</v>
      </c>
      <c r="P752" t="str">
        <f t="shared" si="47"/>
        <v>56%</v>
      </c>
      <c r="Q752" s="12">
        <f t="shared" si="44"/>
        <v>0.56000000000000005</v>
      </c>
      <c r="R752" s="9">
        <f t="shared" si="45"/>
        <v>439.55999999999995</v>
      </c>
      <c r="S752" s="9">
        <f>IF(R752="",AVERAGEIF(Table1[Category],Table1[[#This Row],[Category]],Table2[orignal data]),Table2[[#This Row],[orignal data]])</f>
        <v>439.55999999999995</v>
      </c>
      <c r="T752" t="str">
        <f t="shared" si="46"/>
        <v>UNIQUE</v>
      </c>
      <c r="U752" t="str">
        <f>IF(ISBLANK(Table1[[#This Row],[SizeOption]]),"NOT AVAILABLE",Table1[[#This Row],[SizeOption]])</f>
        <v>39, 40, 42, 44, 46</v>
      </c>
      <c r="Y752" t="str">
        <f>IF(Table2[[#This Row],[Column1]]&gt;50%,"HIGH DISCOUNT","LOW DISCOUNT")</f>
        <v>HIGH DISCOUNT</v>
      </c>
    </row>
    <row r="753" spans="1:25" x14ac:dyDescent="0.25">
      <c r="A753" s="2" t="s">
        <v>1777</v>
      </c>
      <c r="B753" s="2">
        <v>1973400</v>
      </c>
      <c r="C753" s="2" t="s">
        <v>64</v>
      </c>
      <c r="D753" s="2" t="s">
        <v>98</v>
      </c>
      <c r="E753" s="2" t="s">
        <v>48</v>
      </c>
      <c r="F753" s="2" t="s">
        <v>36</v>
      </c>
      <c r="G753" s="2" t="s">
        <v>1778</v>
      </c>
      <c r="H753">
        <v>524</v>
      </c>
      <c r="I753" s="2">
        <v>1049</v>
      </c>
      <c r="J753" s="2" t="s">
        <v>84</v>
      </c>
      <c r="K753" s="2" t="s">
        <v>115</v>
      </c>
      <c r="L753" s="2">
        <v>4</v>
      </c>
      <c r="M753" s="2">
        <v>864</v>
      </c>
      <c r="P753" t="str">
        <f t="shared" si="47"/>
        <v>50%</v>
      </c>
      <c r="Q753" s="12">
        <f t="shared" si="44"/>
        <v>0.5</v>
      </c>
      <c r="R753" s="9">
        <f t="shared" si="45"/>
        <v>524.5</v>
      </c>
      <c r="S753" s="9">
        <f>IF(R753="",AVERAGEIF(Table1[Category],Table1[[#This Row],[Category]],Table2[orignal data]),Table2[[#This Row],[orignal data]])</f>
        <v>524.5</v>
      </c>
      <c r="T753" t="str">
        <f t="shared" si="46"/>
        <v>UNIQUE</v>
      </c>
      <c r="U753" t="str">
        <f>IF(ISBLANK(Table1[[#This Row],[SizeOption]]),"NOT AVAILABLE",Table1[[#This Row],[SizeOption]])</f>
        <v>XS, S, M, L, XL, XXL</v>
      </c>
      <c r="Y753" t="str">
        <f>IF(Table2[[#This Row],[Column1]]&gt;50%,"HIGH DISCOUNT","LOW DISCOUNT")</f>
        <v>LOW DISCOUNT</v>
      </c>
    </row>
    <row r="754" spans="1:25" x14ac:dyDescent="0.25">
      <c r="A754" s="1" t="s">
        <v>1779</v>
      </c>
      <c r="B754" s="1">
        <v>9478001</v>
      </c>
      <c r="C754" s="1" t="s">
        <v>14</v>
      </c>
      <c r="D754" s="1" t="s">
        <v>41</v>
      </c>
      <c r="E754" s="1" t="s">
        <v>306</v>
      </c>
      <c r="F754" s="1" t="s">
        <v>36</v>
      </c>
      <c r="G754" s="1" t="s">
        <v>1780</v>
      </c>
      <c r="I754" s="1">
        <v>2399</v>
      </c>
      <c r="J754" s="1" t="s">
        <v>79</v>
      </c>
      <c r="K754" s="1" t="s">
        <v>115</v>
      </c>
      <c r="L754" s="1">
        <v>3.9</v>
      </c>
      <c r="M754" s="1">
        <v>864</v>
      </c>
      <c r="P754" t="str">
        <f t="shared" si="47"/>
        <v>70%</v>
      </c>
      <c r="Q754" s="12">
        <f t="shared" si="44"/>
        <v>0.7</v>
      </c>
      <c r="R754" s="9">
        <f t="shared" si="45"/>
        <v>719.7</v>
      </c>
      <c r="S754" s="9">
        <f>IF(R754="",AVERAGEIF(Table1[Category],Table1[[#This Row],[Category]],Table2[orignal data]),Table2[[#This Row],[orignal data]])</f>
        <v>719.7</v>
      </c>
      <c r="T754" t="str">
        <f t="shared" si="46"/>
        <v>UNIQUE</v>
      </c>
      <c r="U754" t="str">
        <f>IF(ISBLANK(Table1[[#This Row],[SizeOption]]),"NOT AVAILABLE",Table1[[#This Row],[SizeOption]])</f>
        <v>XS, S, M, L, XL, XXL</v>
      </c>
      <c r="Y754" t="str">
        <f>IF(Table2[[#This Row],[Column1]]&gt;50%,"HIGH DISCOUNT","LOW DISCOUNT")</f>
        <v>HIGH DISCOUNT</v>
      </c>
    </row>
    <row r="755" spans="1:25" x14ac:dyDescent="0.25">
      <c r="A755" s="2" t="s">
        <v>1781</v>
      </c>
      <c r="B755" s="2">
        <v>1109295</v>
      </c>
      <c r="C755" s="2" t="s">
        <v>128</v>
      </c>
      <c r="D755" s="2" t="s">
        <v>41</v>
      </c>
      <c r="E755" s="2" t="s">
        <v>48</v>
      </c>
      <c r="F755" s="2" t="s">
        <v>36</v>
      </c>
      <c r="G755" s="2" t="s">
        <v>1782</v>
      </c>
      <c r="I755" s="2">
        <v>999</v>
      </c>
      <c r="J755" s="2" t="s">
        <v>758</v>
      </c>
      <c r="K755" s="2" t="s">
        <v>26</v>
      </c>
      <c r="L755" s="2">
        <v>4</v>
      </c>
      <c r="M755" s="2">
        <v>864</v>
      </c>
      <c r="P755" t="str">
        <f t="shared" si="47"/>
        <v>47%</v>
      </c>
      <c r="Q755" s="12">
        <f t="shared" si="44"/>
        <v>0.47</v>
      </c>
      <c r="R755" s="9">
        <f t="shared" si="45"/>
        <v>529.47</v>
      </c>
      <c r="S755" s="9">
        <f>IF(R755="",AVERAGEIF(Table1[Category],Table1[[#This Row],[Category]],Table2[orignal data]),Table2[[#This Row],[orignal data]])</f>
        <v>529.47</v>
      </c>
      <c r="T755" t="str">
        <f t="shared" si="46"/>
        <v>UNIQUE</v>
      </c>
      <c r="U755" t="str">
        <f>IF(ISBLANK(Table1[[#This Row],[SizeOption]]),"NOT AVAILABLE",Table1[[#This Row],[SizeOption]])</f>
        <v>S, M, L, XL</v>
      </c>
      <c r="Y755" t="str">
        <f>IF(Table2[[#This Row],[Column1]]&gt;50%,"HIGH DISCOUNT","LOW DISCOUNT")</f>
        <v>LOW DISCOUNT</v>
      </c>
    </row>
    <row r="756" spans="1:25" x14ac:dyDescent="0.25">
      <c r="A756" s="1" t="s">
        <v>1783</v>
      </c>
      <c r="B756" s="1">
        <v>11327214</v>
      </c>
      <c r="C756" s="1" t="s">
        <v>14</v>
      </c>
      <c r="D756" s="1" t="s">
        <v>28</v>
      </c>
      <c r="E756" s="1" t="s">
        <v>29</v>
      </c>
      <c r="F756" s="1" t="s">
        <v>17</v>
      </c>
      <c r="G756" s="1" t="s">
        <v>1784</v>
      </c>
      <c r="H756">
        <v>779</v>
      </c>
      <c r="I756" s="1">
        <v>1299</v>
      </c>
      <c r="J756" s="1" t="s">
        <v>50</v>
      </c>
      <c r="K756" s="1" t="s">
        <v>253</v>
      </c>
      <c r="L756" s="1">
        <v>4.3</v>
      </c>
      <c r="M756" s="1">
        <v>863</v>
      </c>
      <c r="P756" t="str">
        <f t="shared" si="47"/>
        <v>40%</v>
      </c>
      <c r="Q756" s="12">
        <f t="shared" si="44"/>
        <v>0.4</v>
      </c>
      <c r="R756" s="9">
        <f t="shared" si="45"/>
        <v>779.4</v>
      </c>
      <c r="S756" s="9">
        <f>IF(R756="",AVERAGEIF(Table1[Category],Table1[[#This Row],[Category]],Table2[orignal data]),Table2[[#This Row],[orignal data]])</f>
        <v>779.4</v>
      </c>
      <c r="T756" t="str">
        <f t="shared" si="46"/>
        <v>UNIQUE</v>
      </c>
      <c r="U756" t="str">
        <f>IF(ISBLANK(Table1[[#This Row],[SizeOption]]),"NOT AVAILABLE",Table1[[#This Row],[SizeOption]])</f>
        <v>38, 40, 42, 44</v>
      </c>
      <c r="Y756" t="str">
        <f>IF(Table2[[#This Row],[Column1]]&gt;50%,"HIGH DISCOUNT","LOW DISCOUNT")</f>
        <v>LOW DISCOUNT</v>
      </c>
    </row>
    <row r="757" spans="1:25" x14ac:dyDescent="0.25">
      <c r="A757" s="2" t="s">
        <v>1785</v>
      </c>
      <c r="B757" s="2">
        <v>11538028</v>
      </c>
      <c r="C757" s="2" t="s">
        <v>800</v>
      </c>
      <c r="D757" s="2" t="s">
        <v>76</v>
      </c>
      <c r="E757" s="2" t="s">
        <v>148</v>
      </c>
      <c r="F757" s="2" t="s">
        <v>36</v>
      </c>
      <c r="G757" s="2" t="s">
        <v>1786</v>
      </c>
      <c r="H757">
        <v>679</v>
      </c>
      <c r="I757" s="2">
        <v>1699</v>
      </c>
      <c r="J757" s="2" t="s">
        <v>55</v>
      </c>
      <c r="K757" s="2" t="s">
        <v>39</v>
      </c>
      <c r="L757" s="2">
        <v>3.7</v>
      </c>
      <c r="M757" s="2">
        <v>863</v>
      </c>
      <c r="P757" t="str">
        <f t="shared" si="47"/>
        <v>60%</v>
      </c>
      <c r="Q757" s="12">
        <f t="shared" si="44"/>
        <v>0.6</v>
      </c>
      <c r="R757" s="9">
        <f t="shared" si="45"/>
        <v>679.6</v>
      </c>
      <c r="S757" s="9">
        <f>IF(R757="",AVERAGEIF(Table1[Category],Table1[[#This Row],[Category]],Table2[orignal data]),Table2[[#This Row],[orignal data]])</f>
        <v>679.6</v>
      </c>
      <c r="T757" t="str">
        <f t="shared" si="46"/>
        <v>UNIQUE</v>
      </c>
      <c r="U757" t="str">
        <f>IF(ISBLANK(Table1[[#This Row],[SizeOption]]),"NOT AVAILABLE",Table1[[#This Row],[SizeOption]])</f>
        <v>S, M, L, XL, XXL</v>
      </c>
      <c r="Y757" t="str">
        <f>IF(Table2[[#This Row],[Column1]]&gt;50%,"HIGH DISCOUNT","LOW DISCOUNT")</f>
        <v>HIGH DISCOUNT</v>
      </c>
    </row>
    <row r="758" spans="1:25" x14ac:dyDescent="0.25">
      <c r="A758" s="1" t="s">
        <v>1787</v>
      </c>
      <c r="B758" s="1">
        <v>14059226</v>
      </c>
      <c r="C758" s="1" t="s">
        <v>221</v>
      </c>
      <c r="D758" s="1" t="s">
        <v>98</v>
      </c>
      <c r="E758" s="1" t="s">
        <v>148</v>
      </c>
      <c r="F758" s="1" t="s">
        <v>36</v>
      </c>
      <c r="G758" s="1" t="s">
        <v>1788</v>
      </c>
      <c r="H758">
        <v>664</v>
      </c>
      <c r="I758" s="1">
        <v>1899</v>
      </c>
      <c r="J758" s="1" t="s">
        <v>150</v>
      </c>
      <c r="K758" s="1" t="s">
        <v>223</v>
      </c>
      <c r="L758" s="1">
        <v>4.4000000000000004</v>
      </c>
      <c r="M758" s="1">
        <v>863</v>
      </c>
      <c r="P758" t="str">
        <f t="shared" si="47"/>
        <v>65%</v>
      </c>
      <c r="Q758" s="12">
        <f t="shared" si="44"/>
        <v>0.65</v>
      </c>
      <c r="R758" s="9">
        <f t="shared" si="45"/>
        <v>664.64999999999986</v>
      </c>
      <c r="S758" s="9">
        <f>IF(R758="",AVERAGEIF(Table1[Category],Table1[[#This Row],[Category]],Table2[orignal data]),Table2[[#This Row],[orignal data]])</f>
        <v>664.64999999999986</v>
      </c>
      <c r="T758" t="str">
        <f t="shared" si="46"/>
        <v>UNIQUE</v>
      </c>
      <c r="U758" t="str">
        <f>IF(ISBLANK(Table1[[#This Row],[SizeOption]]),"NOT AVAILABLE",Table1[[#This Row],[SizeOption]])</f>
        <v>S, M, L, XL, XXL, 3XL, 4XL</v>
      </c>
      <c r="Y758" t="str">
        <f>IF(Table2[[#This Row],[Column1]]&gt;50%,"HIGH DISCOUNT","LOW DISCOUNT")</f>
        <v>HIGH DISCOUNT</v>
      </c>
    </row>
    <row r="759" spans="1:25" x14ac:dyDescent="0.25">
      <c r="A759" s="2" t="s">
        <v>1789</v>
      </c>
      <c r="B759" s="2">
        <v>13404396</v>
      </c>
      <c r="C759" s="2" t="s">
        <v>64</v>
      </c>
      <c r="D759" s="2" t="s">
        <v>98</v>
      </c>
      <c r="E759" s="2" t="s">
        <v>93</v>
      </c>
      <c r="F759" s="2" t="s">
        <v>36</v>
      </c>
      <c r="G759" s="2" t="s">
        <v>1790</v>
      </c>
      <c r="H759">
        <v>599</v>
      </c>
      <c r="I759" s="2">
        <v>999</v>
      </c>
      <c r="J759" s="2" t="s">
        <v>50</v>
      </c>
      <c r="K759" s="2" t="s">
        <v>100</v>
      </c>
      <c r="L759" s="2">
        <v>4.3</v>
      </c>
      <c r="M759" s="2">
        <v>863</v>
      </c>
      <c r="P759" t="str">
        <f t="shared" si="47"/>
        <v>40%</v>
      </c>
      <c r="Q759" s="12">
        <f t="shared" si="44"/>
        <v>0.4</v>
      </c>
      <c r="R759" s="9">
        <f t="shared" si="45"/>
        <v>599.4</v>
      </c>
      <c r="S759" s="9">
        <f>IF(R759="",AVERAGEIF(Table1[Category],Table1[[#This Row],[Category]],Table2[orignal data]),Table2[[#This Row],[orignal data]])</f>
        <v>599.4</v>
      </c>
      <c r="T759" t="str">
        <f t="shared" si="46"/>
        <v>UNIQUE</v>
      </c>
      <c r="U759" t="str">
        <f>IF(ISBLANK(Table1[[#This Row],[SizeOption]]),"NOT AVAILABLE",Table1[[#This Row],[SizeOption]])</f>
        <v>XS, S, M, L, XL, XXL, 3XL</v>
      </c>
      <c r="Y759" t="str">
        <f>IF(Table2[[#This Row],[Column1]]&gt;50%,"HIGH DISCOUNT","LOW DISCOUNT")</f>
        <v>LOW DISCOUNT</v>
      </c>
    </row>
    <row r="760" spans="1:25" x14ac:dyDescent="0.25">
      <c r="A760" s="1" t="s">
        <v>1791</v>
      </c>
      <c r="B760" s="1">
        <v>9657975</v>
      </c>
      <c r="C760" s="1" t="s">
        <v>461</v>
      </c>
      <c r="D760" s="1" t="s">
        <v>41</v>
      </c>
      <c r="E760" s="1" t="s">
        <v>818</v>
      </c>
      <c r="F760" s="1" t="s">
        <v>36</v>
      </c>
      <c r="G760" s="1" t="s">
        <v>1792</v>
      </c>
      <c r="I760" s="1">
        <v>1294</v>
      </c>
      <c r="J760" s="1" t="s">
        <v>84</v>
      </c>
      <c r="K760" s="1" t="s">
        <v>26</v>
      </c>
      <c r="L760" s="1">
        <v>4.3</v>
      </c>
      <c r="M760" s="1">
        <v>863</v>
      </c>
      <c r="P760" t="str">
        <f t="shared" si="47"/>
        <v>50%</v>
      </c>
      <c r="Q760" s="12">
        <f t="shared" si="44"/>
        <v>0.5</v>
      </c>
      <c r="R760" s="9">
        <f t="shared" si="45"/>
        <v>647</v>
      </c>
      <c r="S760" s="9">
        <f>IF(R760="",AVERAGEIF(Table1[Category],Table1[[#This Row],[Category]],Table2[orignal data]),Table2[[#This Row],[orignal data]])</f>
        <v>647</v>
      </c>
      <c r="T760" t="str">
        <f t="shared" si="46"/>
        <v>UNIQUE</v>
      </c>
      <c r="U760" t="str">
        <f>IF(ISBLANK(Table1[[#This Row],[SizeOption]]),"NOT AVAILABLE",Table1[[#This Row],[SizeOption]])</f>
        <v>S, M, L, XL</v>
      </c>
      <c r="Y760" t="str">
        <f>IF(Table2[[#This Row],[Column1]]&gt;50%,"HIGH DISCOUNT","LOW DISCOUNT")</f>
        <v>LOW DISCOUNT</v>
      </c>
    </row>
    <row r="761" spans="1:25" x14ac:dyDescent="0.25">
      <c r="A761" s="2" t="s">
        <v>1793</v>
      </c>
      <c r="B761" s="2">
        <v>12278684</v>
      </c>
      <c r="C761" s="2" t="s">
        <v>14</v>
      </c>
      <c r="D761" s="2" t="s">
        <v>41</v>
      </c>
      <c r="E761" s="2" t="s">
        <v>16</v>
      </c>
      <c r="F761" s="2" t="s">
        <v>36</v>
      </c>
      <c r="G761" s="2" t="s">
        <v>1794</v>
      </c>
      <c r="I761" s="2">
        <v>2699</v>
      </c>
      <c r="J761" s="2" t="s">
        <v>44</v>
      </c>
      <c r="K761" s="2" t="s">
        <v>134</v>
      </c>
      <c r="L761" s="2">
        <v>4.2</v>
      </c>
      <c r="M761" s="2">
        <v>863</v>
      </c>
      <c r="P761" t="str">
        <f t="shared" si="47"/>
        <v>35%</v>
      </c>
      <c r="Q761" s="12">
        <f t="shared" si="44"/>
        <v>0.35</v>
      </c>
      <c r="R761" s="9">
        <f t="shared" si="45"/>
        <v>1754.35</v>
      </c>
      <c r="S761" s="9">
        <f>IF(R761="",AVERAGEIF(Table1[Category],Table1[[#This Row],[Category]],Table2[orignal data]),Table2[[#This Row],[orignal data]])</f>
        <v>1754.35</v>
      </c>
      <c r="T761" t="str">
        <f t="shared" si="46"/>
        <v>UNIQUE</v>
      </c>
      <c r="U761" t="str">
        <f>IF(ISBLANK(Table1[[#This Row],[SizeOption]]),"NOT AVAILABLE",Table1[[#This Row],[SizeOption]])</f>
        <v>26, 28, 30, 32, 34, 36</v>
      </c>
      <c r="Y761" t="str">
        <f>IF(Table2[[#This Row],[Column1]]&gt;50%,"HIGH DISCOUNT","LOW DISCOUNT")</f>
        <v>LOW DISCOUNT</v>
      </c>
    </row>
    <row r="762" spans="1:25" x14ac:dyDescent="0.25">
      <c r="A762" s="1" t="s">
        <v>1795</v>
      </c>
      <c r="B762" s="1">
        <v>11900346</v>
      </c>
      <c r="C762" s="1" t="s">
        <v>346</v>
      </c>
      <c r="D762" s="1" t="s">
        <v>41</v>
      </c>
      <c r="E762" s="1" t="s">
        <v>42</v>
      </c>
      <c r="F762" s="1" t="s">
        <v>36</v>
      </c>
      <c r="G762" s="1" t="s">
        <v>1796</v>
      </c>
      <c r="I762" s="1">
        <v>699</v>
      </c>
      <c r="J762" s="1" t="s">
        <v>50</v>
      </c>
      <c r="K762" s="1" t="s">
        <v>45</v>
      </c>
      <c r="L762" s="1">
        <v>4.3</v>
      </c>
      <c r="M762" s="1">
        <v>863</v>
      </c>
      <c r="P762" t="str">
        <f t="shared" si="47"/>
        <v>40%</v>
      </c>
      <c r="Q762" s="12">
        <f t="shared" si="44"/>
        <v>0.4</v>
      </c>
      <c r="R762" s="9">
        <f t="shared" si="45"/>
        <v>419.4</v>
      </c>
      <c r="S762" s="9">
        <f>IF(R762="",AVERAGEIF(Table1[Category],Table1[[#This Row],[Category]],Table2[orignal data]),Table2[[#This Row],[orignal data]])</f>
        <v>419.4</v>
      </c>
      <c r="T762" t="str">
        <f t="shared" si="46"/>
        <v>UNIQUE</v>
      </c>
      <c r="U762" t="str">
        <f>IF(ISBLANK(Table1[[#This Row],[SizeOption]]),"NOT AVAILABLE",Table1[[#This Row],[SizeOption]])</f>
        <v>XS, S, M, L, XL</v>
      </c>
      <c r="Y762" t="str">
        <f>IF(Table2[[#This Row],[Column1]]&gt;50%,"HIGH DISCOUNT","LOW DISCOUNT")</f>
        <v>LOW DISCOUNT</v>
      </c>
    </row>
    <row r="763" spans="1:25" x14ac:dyDescent="0.25">
      <c r="A763" s="2" t="s">
        <v>1797</v>
      </c>
      <c r="B763" s="2">
        <v>5395406</v>
      </c>
      <c r="C763" s="2" t="s">
        <v>64</v>
      </c>
      <c r="D763" s="2" t="s">
        <v>15</v>
      </c>
      <c r="E763" s="2" t="s">
        <v>23</v>
      </c>
      <c r="F763" s="2" t="s">
        <v>17</v>
      </c>
      <c r="G763" s="2" t="s">
        <v>1798</v>
      </c>
      <c r="H763">
        <v>674</v>
      </c>
      <c r="I763" s="2">
        <v>1499</v>
      </c>
      <c r="J763" s="2" t="s">
        <v>25</v>
      </c>
      <c r="K763" s="2" t="s">
        <v>26</v>
      </c>
      <c r="L763" s="2">
        <v>3.9</v>
      </c>
      <c r="M763" s="2">
        <v>862</v>
      </c>
      <c r="P763" t="str">
        <f t="shared" si="47"/>
        <v>55%</v>
      </c>
      <c r="Q763" s="12">
        <f t="shared" si="44"/>
        <v>0.55000000000000004</v>
      </c>
      <c r="R763" s="9">
        <f t="shared" si="45"/>
        <v>674.55</v>
      </c>
      <c r="S763" s="9">
        <f>IF(R763="",AVERAGEIF(Table1[Category],Table1[[#This Row],[Category]],Table2[orignal data]),Table2[[#This Row],[orignal data]])</f>
        <v>674.55</v>
      </c>
      <c r="T763" t="str">
        <f t="shared" si="46"/>
        <v>UNIQUE</v>
      </c>
      <c r="U763" t="str">
        <f>IF(ISBLANK(Table1[[#This Row],[SizeOption]]),"NOT AVAILABLE",Table1[[#This Row],[SizeOption]])</f>
        <v>S, M, L, XL</v>
      </c>
      <c r="Y763" t="str">
        <f>IF(Table2[[#This Row],[Column1]]&gt;50%,"HIGH DISCOUNT","LOW DISCOUNT")</f>
        <v>HIGH DISCOUNT</v>
      </c>
    </row>
    <row r="764" spans="1:25" x14ac:dyDescent="0.25">
      <c r="A764" s="1" t="s">
        <v>1799</v>
      </c>
      <c r="B764" s="1">
        <v>10248015</v>
      </c>
      <c r="C764" s="1" t="s">
        <v>794</v>
      </c>
      <c r="D764" s="1" t="s">
        <v>197</v>
      </c>
      <c r="E764" s="1" t="s">
        <v>296</v>
      </c>
      <c r="F764" s="1" t="s">
        <v>17</v>
      </c>
      <c r="G764" s="1" t="s">
        <v>1800</v>
      </c>
      <c r="I764" s="1">
        <v>538</v>
      </c>
      <c r="J764" s="1"/>
      <c r="K764" s="1" t="s">
        <v>352</v>
      </c>
      <c r="L764" s="1">
        <v>4</v>
      </c>
      <c r="M764" s="1">
        <v>862</v>
      </c>
      <c r="P764" t="str">
        <f t="shared" si="47"/>
        <v/>
      </c>
      <c r="Q764" s="12" t="str">
        <f t="shared" si="44"/>
        <v/>
      </c>
      <c r="R764" s="9" t="str">
        <f t="shared" si="45"/>
        <v/>
      </c>
      <c r="S764" s="9">
        <f>IF(R764="",AVERAGEIF(Table1[Category],Table1[[#This Row],[Category]],Table2[orignal data]),Table2[[#This Row],[orignal data]])</f>
        <v>552.70900000000006</v>
      </c>
      <c r="T764" t="str">
        <f t="shared" si="46"/>
        <v>UNIQUE</v>
      </c>
      <c r="U764" t="str">
        <f>IF(ISBLANK(Table1[[#This Row],[SizeOption]]),"NOT AVAILABLE",Table1[[#This Row],[SizeOption]])</f>
        <v>S, M, L</v>
      </c>
      <c r="Y764" t="str">
        <f>IF(Table2[[#This Row],[Column1]]&gt;50%,"HIGH DISCOUNT","LOW DISCOUNT")</f>
        <v>HIGH DISCOUNT</v>
      </c>
    </row>
    <row r="765" spans="1:25" x14ac:dyDescent="0.25">
      <c r="A765" s="2" t="s">
        <v>1801</v>
      </c>
      <c r="B765" s="2">
        <v>2483497</v>
      </c>
      <c r="C765" s="2" t="s">
        <v>64</v>
      </c>
      <c r="D765" s="2" t="s">
        <v>98</v>
      </c>
      <c r="E765" s="2" t="s">
        <v>48</v>
      </c>
      <c r="F765" s="2" t="s">
        <v>36</v>
      </c>
      <c r="G765" s="2" t="s">
        <v>1802</v>
      </c>
      <c r="I765" s="2">
        <v>1399</v>
      </c>
      <c r="J765" s="2"/>
      <c r="K765" s="2" t="s">
        <v>115</v>
      </c>
      <c r="L765" s="2">
        <v>4.0999999999999996</v>
      </c>
      <c r="M765" s="2">
        <v>862</v>
      </c>
      <c r="P765" t="str">
        <f t="shared" si="47"/>
        <v/>
      </c>
      <c r="Q765" s="12" t="str">
        <f t="shared" si="44"/>
        <v/>
      </c>
      <c r="R765" s="9" t="str">
        <f t="shared" si="45"/>
        <v/>
      </c>
      <c r="S765" s="9">
        <f>IF(R765="",AVERAGEIF(Table1[Category],Table1[[#This Row],[Category]],Table2[orignal data]),Table2[[#This Row],[orignal data]])</f>
        <v>680.92918566775427</v>
      </c>
      <c r="T765" t="str">
        <f t="shared" si="46"/>
        <v>UNIQUE</v>
      </c>
      <c r="U765" t="str">
        <f>IF(ISBLANK(Table1[[#This Row],[SizeOption]]),"NOT AVAILABLE",Table1[[#This Row],[SizeOption]])</f>
        <v>XS, S, M, L, XL, XXL</v>
      </c>
      <c r="Y765" t="str">
        <f>IF(Table2[[#This Row],[Column1]]&gt;50%,"HIGH DISCOUNT","LOW DISCOUNT")</f>
        <v>HIGH DISCOUNT</v>
      </c>
    </row>
    <row r="766" spans="1:25" x14ac:dyDescent="0.25">
      <c r="A766" s="1" t="s">
        <v>1803</v>
      </c>
      <c r="B766" s="1">
        <v>1864296</v>
      </c>
      <c r="C766" s="1" t="s">
        <v>67</v>
      </c>
      <c r="D766" s="1" t="s">
        <v>68</v>
      </c>
      <c r="E766" s="1" t="s">
        <v>69</v>
      </c>
      <c r="F766" s="1" t="s">
        <v>36</v>
      </c>
      <c r="G766" s="1" t="s">
        <v>1804</v>
      </c>
      <c r="H766">
        <v>749</v>
      </c>
      <c r="I766" s="1">
        <v>1499</v>
      </c>
      <c r="J766" s="1" t="s">
        <v>84</v>
      </c>
      <c r="K766" s="1" t="s">
        <v>115</v>
      </c>
      <c r="L766" s="1">
        <v>4.5</v>
      </c>
      <c r="M766" s="1">
        <v>862</v>
      </c>
      <c r="P766" t="str">
        <f t="shared" si="47"/>
        <v>50%</v>
      </c>
      <c r="Q766" s="12">
        <f t="shared" si="44"/>
        <v>0.5</v>
      </c>
      <c r="R766" s="9">
        <f t="shared" si="45"/>
        <v>749.5</v>
      </c>
      <c r="S766" s="9">
        <f>IF(R766="",AVERAGEIF(Table1[Category],Table1[[#This Row],[Category]],Table2[orignal data]),Table2[[#This Row],[orignal data]])</f>
        <v>749.5</v>
      </c>
      <c r="T766" t="str">
        <f t="shared" si="46"/>
        <v>UNIQUE</v>
      </c>
      <c r="U766" t="str">
        <f>IF(ISBLANK(Table1[[#This Row],[SizeOption]]),"NOT AVAILABLE",Table1[[#This Row],[SizeOption]])</f>
        <v>XS, S, M, L, XL, XXL</v>
      </c>
      <c r="Y766" t="str">
        <f>IF(Table2[[#This Row],[Column1]]&gt;50%,"HIGH DISCOUNT","LOW DISCOUNT")</f>
        <v>LOW DISCOUNT</v>
      </c>
    </row>
    <row r="767" spans="1:25" x14ac:dyDescent="0.25">
      <c r="A767" s="2" t="s">
        <v>1805</v>
      </c>
      <c r="B767" s="2">
        <v>17381412</v>
      </c>
      <c r="C767" s="2" t="s">
        <v>14</v>
      </c>
      <c r="D767" s="2" t="s">
        <v>41</v>
      </c>
      <c r="E767" s="2" t="s">
        <v>42</v>
      </c>
      <c r="F767" s="2" t="s">
        <v>36</v>
      </c>
      <c r="G767" s="2" t="s">
        <v>62</v>
      </c>
      <c r="I767" s="2">
        <v>1198</v>
      </c>
      <c r="J767" s="2" t="s">
        <v>84</v>
      </c>
      <c r="K767" s="2" t="s">
        <v>45</v>
      </c>
      <c r="L767" s="2">
        <v>4.2</v>
      </c>
      <c r="M767" s="2">
        <v>862</v>
      </c>
      <c r="P767" t="str">
        <f t="shared" si="47"/>
        <v>50%</v>
      </c>
      <c r="Q767" s="12">
        <f t="shared" si="44"/>
        <v>0.5</v>
      </c>
      <c r="R767" s="9">
        <f t="shared" si="45"/>
        <v>599</v>
      </c>
      <c r="S767" s="9">
        <f>IF(R767="",AVERAGEIF(Table1[Category],Table1[[#This Row],[Category]],Table2[orignal data]),Table2[[#This Row],[orignal data]])</f>
        <v>599</v>
      </c>
      <c r="T767" t="str">
        <f t="shared" si="46"/>
        <v>UNIQUE</v>
      </c>
      <c r="U767" t="str">
        <f>IF(ISBLANK(Table1[[#This Row],[SizeOption]]),"NOT AVAILABLE",Table1[[#This Row],[SizeOption]])</f>
        <v>XS, S, M, L, XL</v>
      </c>
      <c r="Y767" t="str">
        <f>IF(Table2[[#This Row],[Column1]]&gt;50%,"HIGH DISCOUNT","LOW DISCOUNT")</f>
        <v>LOW DISCOUNT</v>
      </c>
    </row>
    <row r="768" spans="1:25" x14ac:dyDescent="0.25">
      <c r="A768" s="1" t="s">
        <v>1806</v>
      </c>
      <c r="B768" s="1">
        <v>9168683</v>
      </c>
      <c r="C768" s="1" t="s">
        <v>794</v>
      </c>
      <c r="D768" s="1" t="s">
        <v>197</v>
      </c>
      <c r="E768" s="1" t="s">
        <v>1807</v>
      </c>
      <c r="F768" s="1" t="s">
        <v>17</v>
      </c>
      <c r="G768" s="1" t="s">
        <v>1808</v>
      </c>
      <c r="I768" s="1">
        <v>519</v>
      </c>
      <c r="J768" s="1"/>
      <c r="K768" s="1" t="s">
        <v>352</v>
      </c>
      <c r="L768" s="1">
        <v>4.3</v>
      </c>
      <c r="M768" s="1">
        <v>861</v>
      </c>
      <c r="P768" t="str">
        <f t="shared" si="47"/>
        <v/>
      </c>
      <c r="Q768" s="12" t="str">
        <f t="shared" si="44"/>
        <v/>
      </c>
      <c r="R768" s="9" t="str">
        <f t="shared" si="45"/>
        <v/>
      </c>
      <c r="S768" s="9">
        <f>IF(R768="",AVERAGEIF(Table1[Category],Table1[[#This Row],[Category]],Table2[orignal data]),Table2[[#This Row],[orignal data]])</f>
        <v>552.70900000000006</v>
      </c>
      <c r="T768" t="str">
        <f t="shared" si="46"/>
        <v>UNIQUE</v>
      </c>
      <c r="U768" t="str">
        <f>IF(ISBLANK(Table1[[#This Row],[SizeOption]]),"NOT AVAILABLE",Table1[[#This Row],[SizeOption]])</f>
        <v>S, M, L</v>
      </c>
      <c r="Y768" t="str">
        <f>IF(Table2[[#This Row],[Column1]]&gt;50%,"HIGH DISCOUNT","LOW DISCOUNT")</f>
        <v>HIGH DISCOUNT</v>
      </c>
    </row>
    <row r="769" spans="1:25" x14ac:dyDescent="0.25">
      <c r="A769" s="2" t="s">
        <v>1809</v>
      </c>
      <c r="B769" s="2">
        <v>8923763</v>
      </c>
      <c r="C769" s="2" t="s">
        <v>430</v>
      </c>
      <c r="D769" s="2" t="s">
        <v>28</v>
      </c>
      <c r="E769" s="2" t="s">
        <v>42</v>
      </c>
      <c r="F769" s="2" t="s">
        <v>17</v>
      </c>
      <c r="G769" s="2" t="s">
        <v>1810</v>
      </c>
      <c r="H769">
        <v>479</v>
      </c>
      <c r="I769" s="2">
        <v>1199</v>
      </c>
      <c r="J769" s="2" t="s">
        <v>55</v>
      </c>
      <c r="K769" s="2" t="s">
        <v>39</v>
      </c>
      <c r="L769" s="2">
        <v>4.0999999999999996</v>
      </c>
      <c r="M769" s="2">
        <v>861</v>
      </c>
      <c r="P769" t="str">
        <f t="shared" si="47"/>
        <v>60%</v>
      </c>
      <c r="Q769" s="12">
        <f t="shared" si="44"/>
        <v>0.6</v>
      </c>
      <c r="R769" s="9">
        <f t="shared" si="45"/>
        <v>479.6</v>
      </c>
      <c r="S769" s="9">
        <f>IF(R769="",AVERAGEIF(Table1[Category],Table1[[#This Row],[Category]],Table2[orignal data]),Table2[[#This Row],[orignal data]])</f>
        <v>479.6</v>
      </c>
      <c r="T769" t="str">
        <f t="shared" si="46"/>
        <v>UNIQUE</v>
      </c>
      <c r="U769" t="str">
        <f>IF(ISBLANK(Table1[[#This Row],[SizeOption]]),"NOT AVAILABLE",Table1[[#This Row],[SizeOption]])</f>
        <v>S, M, L, XL, XXL</v>
      </c>
      <c r="Y769" t="str">
        <f>IF(Table2[[#This Row],[Column1]]&gt;50%,"HIGH DISCOUNT","LOW DISCOUNT")</f>
        <v>HIGH DISCOUNT</v>
      </c>
    </row>
    <row r="770" spans="1:25" x14ac:dyDescent="0.25">
      <c r="A770" s="1" t="s">
        <v>1811</v>
      </c>
      <c r="B770" s="1">
        <v>2184630</v>
      </c>
      <c r="C770" s="1" t="s">
        <v>14</v>
      </c>
      <c r="D770" s="1" t="s">
        <v>28</v>
      </c>
      <c r="E770" s="1" t="s">
        <v>29</v>
      </c>
      <c r="F770" s="1" t="s">
        <v>17</v>
      </c>
      <c r="G770" s="1" t="s">
        <v>1812</v>
      </c>
      <c r="H770">
        <v>759</v>
      </c>
      <c r="I770" s="1">
        <v>1899</v>
      </c>
      <c r="J770" s="1" t="s">
        <v>55</v>
      </c>
      <c r="K770" s="1" t="s">
        <v>253</v>
      </c>
      <c r="L770" s="1">
        <v>4.3</v>
      </c>
      <c r="M770" s="1">
        <v>861</v>
      </c>
      <c r="P770" t="str">
        <f t="shared" si="47"/>
        <v>60%</v>
      </c>
      <c r="Q770" s="12">
        <f t="shared" ref="Q770:Q833" si="48">IF(P770="","",IF(ISNUMBER(SEARCH("%",P770)),P770,P770/I770)*100%)</f>
        <v>0.6</v>
      </c>
      <c r="R770" s="9">
        <f t="shared" ref="R770:R833" si="49">IF(P770="","",I770-(I770*Q770))</f>
        <v>759.60000000000014</v>
      </c>
      <c r="S770" s="9">
        <f>IF(R770="",AVERAGEIF(Table1[Category],Table1[[#This Row],[Category]],Table2[orignal data]),Table2[[#This Row],[orignal data]])</f>
        <v>759.60000000000014</v>
      </c>
      <c r="T770" t="str">
        <f t="shared" ref="T770:T833" si="50">IF(COUNTIF($B$2:$B$5000,B770)&gt;1,"DUPLICATE","UNIQUE")</f>
        <v>UNIQUE</v>
      </c>
      <c r="U770" t="str">
        <f>IF(ISBLANK(Table1[[#This Row],[SizeOption]]),"NOT AVAILABLE",Table1[[#This Row],[SizeOption]])</f>
        <v>38, 40, 42, 44</v>
      </c>
      <c r="Y770" t="str">
        <f>IF(Table2[[#This Row],[Column1]]&gt;50%,"HIGH DISCOUNT","LOW DISCOUNT")</f>
        <v>HIGH DISCOUNT</v>
      </c>
    </row>
    <row r="771" spans="1:25" x14ac:dyDescent="0.25">
      <c r="A771" s="2" t="s">
        <v>1813</v>
      </c>
      <c r="B771" s="2">
        <v>2076190</v>
      </c>
      <c r="C771" s="2" t="s">
        <v>92</v>
      </c>
      <c r="D771" s="2" t="s">
        <v>76</v>
      </c>
      <c r="E771" s="2" t="s">
        <v>93</v>
      </c>
      <c r="F771" s="2" t="s">
        <v>36</v>
      </c>
      <c r="G771" s="2" t="s">
        <v>1814</v>
      </c>
      <c r="H771">
        <v>734</v>
      </c>
      <c r="I771" s="2">
        <v>2099</v>
      </c>
      <c r="J771" s="2" t="s">
        <v>150</v>
      </c>
      <c r="K771" s="2" t="s">
        <v>39</v>
      </c>
      <c r="L771" s="2">
        <v>3.8</v>
      </c>
      <c r="M771" s="2">
        <v>861</v>
      </c>
      <c r="P771" t="str">
        <f t="shared" ref="P771:P834" si="51">TRIM(SUBSTITUTE(SUBSTITUTE(SUBSTITUTE(SUBSTITUTE(J771,"OFF",""),"Rs.",""),"Hurry*",""),",",""))</f>
        <v>65%</v>
      </c>
      <c r="Q771" s="12">
        <f t="shared" si="48"/>
        <v>0.65</v>
      </c>
      <c r="R771" s="9">
        <f t="shared" si="49"/>
        <v>734.64999999999986</v>
      </c>
      <c r="S771" s="9">
        <f>IF(R771="",AVERAGEIF(Table1[Category],Table1[[#This Row],[Category]],Table2[orignal data]),Table2[[#This Row],[orignal data]])</f>
        <v>734.64999999999986</v>
      </c>
      <c r="T771" t="str">
        <f t="shared" si="50"/>
        <v>UNIQUE</v>
      </c>
      <c r="U771" t="str">
        <f>IF(ISBLANK(Table1[[#This Row],[SizeOption]]),"NOT AVAILABLE",Table1[[#This Row],[SizeOption]])</f>
        <v>S, M, L, XL, XXL</v>
      </c>
      <c r="Y771" t="str">
        <f>IF(Table2[[#This Row],[Column1]]&gt;50%,"HIGH DISCOUNT","LOW DISCOUNT")</f>
        <v>HIGH DISCOUNT</v>
      </c>
    </row>
    <row r="772" spans="1:25" x14ac:dyDescent="0.25">
      <c r="A772" s="1" t="s">
        <v>1815</v>
      </c>
      <c r="B772" s="1">
        <v>17381548</v>
      </c>
      <c r="C772" s="1" t="s">
        <v>14</v>
      </c>
      <c r="D772" s="1" t="s">
        <v>41</v>
      </c>
      <c r="E772" s="1" t="s">
        <v>42</v>
      </c>
      <c r="F772" s="1" t="s">
        <v>36</v>
      </c>
      <c r="G772" s="1" t="s">
        <v>1816</v>
      </c>
      <c r="I772" s="1">
        <v>1198</v>
      </c>
      <c r="J772" s="1" t="s">
        <v>84</v>
      </c>
      <c r="K772" s="1" t="s">
        <v>703</v>
      </c>
      <c r="L772" s="1">
        <v>4.3</v>
      </c>
      <c r="M772" s="1">
        <v>861</v>
      </c>
      <c r="P772" t="str">
        <f t="shared" si="51"/>
        <v>50%</v>
      </c>
      <c r="Q772" s="12">
        <f t="shared" si="48"/>
        <v>0.5</v>
      </c>
      <c r="R772" s="9">
        <f t="shared" si="49"/>
        <v>599</v>
      </c>
      <c r="S772" s="9">
        <f>IF(R772="",AVERAGEIF(Table1[Category],Table1[[#This Row],[Category]],Table2[orignal data]),Table2[[#This Row],[orignal data]])</f>
        <v>599</v>
      </c>
      <c r="T772" t="str">
        <f t="shared" si="50"/>
        <v>UNIQUE</v>
      </c>
      <c r="U772" t="str">
        <f>IF(ISBLANK(Table1[[#This Row],[SizeOption]]),"NOT AVAILABLE",Table1[[#This Row],[SizeOption]])</f>
        <v>S, XS, XL, L, M</v>
      </c>
      <c r="Y772" t="str">
        <f>IF(Table2[[#This Row],[Column1]]&gt;50%,"HIGH DISCOUNT","LOW DISCOUNT")</f>
        <v>LOW DISCOUNT</v>
      </c>
    </row>
    <row r="773" spans="1:25" x14ac:dyDescent="0.25">
      <c r="A773" s="2" t="s">
        <v>1817</v>
      </c>
      <c r="B773" s="2">
        <v>14483862</v>
      </c>
      <c r="C773" s="2" t="s">
        <v>1818</v>
      </c>
      <c r="D773" s="2" t="s">
        <v>41</v>
      </c>
      <c r="E773" s="2" t="s">
        <v>148</v>
      </c>
      <c r="F773" s="2" t="s">
        <v>36</v>
      </c>
      <c r="G773" s="2" t="s">
        <v>1819</v>
      </c>
      <c r="I773" s="2">
        <v>2999</v>
      </c>
      <c r="J773" s="2" t="s">
        <v>25</v>
      </c>
      <c r="K773" s="2" t="s">
        <v>115</v>
      </c>
      <c r="L773" s="2">
        <v>4.4000000000000004</v>
      </c>
      <c r="M773" s="2">
        <v>861</v>
      </c>
      <c r="P773" t="str">
        <f t="shared" si="51"/>
        <v>55%</v>
      </c>
      <c r="Q773" s="12">
        <f t="shared" si="48"/>
        <v>0.55000000000000004</v>
      </c>
      <c r="R773" s="9">
        <f t="shared" si="49"/>
        <v>1349.55</v>
      </c>
      <c r="S773" s="9">
        <f>IF(R773="",AVERAGEIF(Table1[Category],Table1[[#This Row],[Category]],Table2[orignal data]),Table2[[#This Row],[orignal data]])</f>
        <v>1349.55</v>
      </c>
      <c r="T773" t="str">
        <f t="shared" si="50"/>
        <v>UNIQUE</v>
      </c>
      <c r="U773" t="str">
        <f>IF(ISBLANK(Table1[[#This Row],[SizeOption]]),"NOT AVAILABLE",Table1[[#This Row],[SizeOption]])</f>
        <v>XS, S, M, L, XL, XXL</v>
      </c>
      <c r="Y773" t="str">
        <f>IF(Table2[[#This Row],[Column1]]&gt;50%,"HIGH DISCOUNT","LOW DISCOUNT")</f>
        <v>HIGH DISCOUNT</v>
      </c>
    </row>
    <row r="774" spans="1:25" x14ac:dyDescent="0.25">
      <c r="A774" s="1" t="s">
        <v>1820</v>
      </c>
      <c r="B774" s="1">
        <v>11900390</v>
      </c>
      <c r="C774" s="1" t="s">
        <v>346</v>
      </c>
      <c r="D774" s="1" t="s">
        <v>41</v>
      </c>
      <c r="E774" s="1" t="s">
        <v>42</v>
      </c>
      <c r="F774" s="1" t="s">
        <v>36</v>
      </c>
      <c r="G774" s="1" t="s">
        <v>1821</v>
      </c>
      <c r="I774" s="1">
        <v>599</v>
      </c>
      <c r="J774" s="1" t="s">
        <v>50</v>
      </c>
      <c r="K774" s="1" t="s">
        <v>45</v>
      </c>
      <c r="L774" s="1">
        <v>4.2</v>
      </c>
      <c r="M774" s="1">
        <v>861</v>
      </c>
      <c r="P774" t="str">
        <f t="shared" si="51"/>
        <v>40%</v>
      </c>
      <c r="Q774" s="12">
        <f t="shared" si="48"/>
        <v>0.4</v>
      </c>
      <c r="R774" s="9">
        <f t="shared" si="49"/>
        <v>359.4</v>
      </c>
      <c r="S774" s="9">
        <f>IF(R774="",AVERAGEIF(Table1[Category],Table1[[#This Row],[Category]],Table2[orignal data]),Table2[[#This Row],[orignal data]])</f>
        <v>359.4</v>
      </c>
      <c r="T774" t="str">
        <f t="shared" si="50"/>
        <v>UNIQUE</v>
      </c>
      <c r="U774" t="str">
        <f>IF(ISBLANK(Table1[[#This Row],[SizeOption]]),"NOT AVAILABLE",Table1[[#This Row],[SizeOption]])</f>
        <v>XS, S, M, L, XL</v>
      </c>
      <c r="Y774" t="str">
        <f>IF(Table2[[#This Row],[Column1]]&gt;50%,"HIGH DISCOUNT","LOW DISCOUNT")</f>
        <v>LOW DISCOUNT</v>
      </c>
    </row>
    <row r="775" spans="1:25" x14ac:dyDescent="0.25">
      <c r="A775" s="2" t="s">
        <v>1822</v>
      </c>
      <c r="B775" s="2">
        <v>2291335</v>
      </c>
      <c r="C775" s="2" t="s">
        <v>14</v>
      </c>
      <c r="D775" s="2" t="s">
        <v>15</v>
      </c>
      <c r="E775" s="2" t="s">
        <v>53</v>
      </c>
      <c r="F775" s="2" t="s">
        <v>17</v>
      </c>
      <c r="G775" s="2" t="s">
        <v>1823</v>
      </c>
      <c r="H775">
        <v>1264</v>
      </c>
      <c r="I775" s="2">
        <v>2299</v>
      </c>
      <c r="J775" s="2" t="s">
        <v>19</v>
      </c>
      <c r="K775" s="2" t="s">
        <v>20</v>
      </c>
      <c r="L775" s="2">
        <v>3.7</v>
      </c>
      <c r="M775" s="2">
        <v>860</v>
      </c>
      <c r="P775" t="str">
        <f t="shared" si="51"/>
        <v>45%</v>
      </c>
      <c r="Q775" s="12">
        <f t="shared" si="48"/>
        <v>0.45</v>
      </c>
      <c r="R775" s="9">
        <f t="shared" si="49"/>
        <v>1264.45</v>
      </c>
      <c r="S775" s="9">
        <f>IF(R775="",AVERAGEIF(Table1[Category],Table1[[#This Row],[Category]],Table2[orignal data]),Table2[[#This Row],[orignal data]])</f>
        <v>1264.45</v>
      </c>
      <c r="T775" t="str">
        <f t="shared" si="50"/>
        <v>UNIQUE</v>
      </c>
      <c r="U775" t="str">
        <f>IF(ISBLANK(Table1[[#This Row],[SizeOption]]),"NOT AVAILABLE",Table1[[#This Row],[SizeOption]])</f>
        <v>28, 30, 32, 34, 36</v>
      </c>
      <c r="Y775" t="str">
        <f>IF(Table2[[#This Row],[Column1]]&gt;50%,"HIGH DISCOUNT","LOW DISCOUNT")</f>
        <v>LOW DISCOUNT</v>
      </c>
    </row>
    <row r="776" spans="1:25" x14ac:dyDescent="0.25">
      <c r="A776" s="1" t="s">
        <v>1824</v>
      </c>
      <c r="B776" s="1">
        <v>13682898</v>
      </c>
      <c r="C776" s="1" t="s">
        <v>973</v>
      </c>
      <c r="D776" s="1" t="s">
        <v>197</v>
      </c>
      <c r="E776" s="1" t="s">
        <v>350</v>
      </c>
      <c r="F776" s="1" t="s">
        <v>17</v>
      </c>
      <c r="G776" s="1" t="s">
        <v>1825</v>
      </c>
      <c r="H776">
        <v>729</v>
      </c>
      <c r="I776" s="1">
        <v>807</v>
      </c>
      <c r="J776" s="1" t="s">
        <v>1826</v>
      </c>
      <c r="K776" s="1" t="s">
        <v>39</v>
      </c>
      <c r="L776" s="1">
        <v>4.3</v>
      </c>
      <c r="M776" s="1">
        <v>860</v>
      </c>
      <c r="P776" t="str">
        <f t="shared" si="51"/>
        <v>78</v>
      </c>
      <c r="Q776" s="12">
        <f t="shared" si="48"/>
        <v>9.6654275092936809E-2</v>
      </c>
      <c r="R776" s="9">
        <f t="shared" si="49"/>
        <v>729</v>
      </c>
      <c r="S776" s="9">
        <f>IF(R776="",AVERAGEIF(Table1[Category],Table1[[#This Row],[Category]],Table2[orignal data]),Table2[[#This Row],[orignal data]])</f>
        <v>729</v>
      </c>
      <c r="T776" t="str">
        <f t="shared" si="50"/>
        <v>UNIQUE</v>
      </c>
      <c r="U776" t="str">
        <f>IF(ISBLANK(Table1[[#This Row],[SizeOption]]),"NOT AVAILABLE",Table1[[#This Row],[SizeOption]])</f>
        <v>S, M, L, XL, XXL</v>
      </c>
      <c r="Y776" t="str">
        <f>IF(Table2[[#This Row],[Column1]]&gt;50%,"HIGH DISCOUNT","LOW DISCOUNT")</f>
        <v>LOW DISCOUNT</v>
      </c>
    </row>
    <row r="777" spans="1:25" x14ac:dyDescent="0.25">
      <c r="A777" s="2" t="s">
        <v>1827</v>
      </c>
      <c r="B777" s="2">
        <v>10817836</v>
      </c>
      <c r="C777" s="2" t="s">
        <v>1828</v>
      </c>
      <c r="D777" s="2" t="s">
        <v>76</v>
      </c>
      <c r="E777" s="2" t="s">
        <v>93</v>
      </c>
      <c r="F777" s="2" t="s">
        <v>36</v>
      </c>
      <c r="G777" s="2" t="s">
        <v>1829</v>
      </c>
      <c r="H777">
        <v>719</v>
      </c>
      <c r="I777" s="2">
        <v>1599</v>
      </c>
      <c r="J777" s="2" t="s">
        <v>25</v>
      </c>
      <c r="K777" s="2" t="s">
        <v>39</v>
      </c>
      <c r="L777" s="2">
        <v>4.2</v>
      </c>
      <c r="M777" s="2">
        <v>860</v>
      </c>
      <c r="P777" t="str">
        <f t="shared" si="51"/>
        <v>55%</v>
      </c>
      <c r="Q777" s="12">
        <f t="shared" si="48"/>
        <v>0.55000000000000004</v>
      </c>
      <c r="R777" s="9">
        <f t="shared" si="49"/>
        <v>719.55</v>
      </c>
      <c r="S777" s="9">
        <f>IF(R777="",AVERAGEIF(Table1[Category],Table1[[#This Row],[Category]],Table2[orignal data]),Table2[[#This Row],[orignal data]])</f>
        <v>719.55</v>
      </c>
      <c r="T777" t="str">
        <f t="shared" si="50"/>
        <v>UNIQUE</v>
      </c>
      <c r="U777" t="str">
        <f>IF(ISBLANK(Table1[[#This Row],[SizeOption]]),"NOT AVAILABLE",Table1[[#This Row],[SizeOption]])</f>
        <v>S, M, L, XL, XXL</v>
      </c>
      <c r="Y777" t="str">
        <f>IF(Table2[[#This Row],[Column1]]&gt;50%,"HIGH DISCOUNT","LOW DISCOUNT")</f>
        <v>HIGH DISCOUNT</v>
      </c>
    </row>
    <row r="778" spans="1:25" x14ac:dyDescent="0.25">
      <c r="A778" s="1" t="s">
        <v>1830</v>
      </c>
      <c r="B778" s="1">
        <v>10361183</v>
      </c>
      <c r="C778" s="1" t="s">
        <v>1375</v>
      </c>
      <c r="D778" s="1" t="s">
        <v>76</v>
      </c>
      <c r="E778" s="1" t="s">
        <v>320</v>
      </c>
      <c r="F778" s="1" t="s">
        <v>36</v>
      </c>
      <c r="G778" s="1" t="s">
        <v>1376</v>
      </c>
      <c r="H778">
        <v>899</v>
      </c>
      <c r="I778" s="1">
        <v>2999</v>
      </c>
      <c r="J778" s="1" t="s">
        <v>79</v>
      </c>
      <c r="K778" s="1" t="s">
        <v>164</v>
      </c>
      <c r="L778" s="1">
        <v>3.9</v>
      </c>
      <c r="M778" s="1">
        <v>860</v>
      </c>
      <c r="P778" t="str">
        <f t="shared" si="51"/>
        <v>70%</v>
      </c>
      <c r="Q778" s="12">
        <f t="shared" si="48"/>
        <v>0.7</v>
      </c>
      <c r="R778" s="9">
        <f t="shared" si="49"/>
        <v>899.70000000000027</v>
      </c>
      <c r="S778" s="9">
        <f>IF(R778="",AVERAGEIF(Table1[Category],Table1[[#This Row],[Category]],Table2[orignal data]),Table2[[#This Row],[orignal data]])</f>
        <v>899.70000000000027</v>
      </c>
      <c r="T778" t="str">
        <f t="shared" si="50"/>
        <v>UNIQUE</v>
      </c>
      <c r="U778" t="str">
        <f>IF(ISBLANK(Table1[[#This Row],[SizeOption]]),"NOT AVAILABLE",Table1[[#This Row],[SizeOption]])</f>
        <v>Onesize</v>
      </c>
      <c r="Y778" t="str">
        <f>IF(Table2[[#This Row],[Column1]]&gt;50%,"HIGH DISCOUNT","LOW DISCOUNT")</f>
        <v>HIGH DISCOUNT</v>
      </c>
    </row>
    <row r="779" spans="1:25" x14ac:dyDescent="0.25">
      <c r="A779" s="2" t="s">
        <v>1831</v>
      </c>
      <c r="B779" s="2">
        <v>5960830</v>
      </c>
      <c r="C779" s="2" t="s">
        <v>14</v>
      </c>
      <c r="D779" s="2" t="s">
        <v>41</v>
      </c>
      <c r="E779" s="2" t="s">
        <v>306</v>
      </c>
      <c r="F779" s="2" t="s">
        <v>36</v>
      </c>
      <c r="G779" s="2" t="s">
        <v>1832</v>
      </c>
      <c r="I779" s="2">
        <v>1399</v>
      </c>
      <c r="J779" s="2" t="s">
        <v>150</v>
      </c>
      <c r="K779" s="2" t="s">
        <v>115</v>
      </c>
      <c r="L779" s="2">
        <v>4.0999999999999996</v>
      </c>
      <c r="M779" s="2">
        <v>860</v>
      </c>
      <c r="P779" t="str">
        <f t="shared" si="51"/>
        <v>65%</v>
      </c>
      <c r="Q779" s="12">
        <f t="shared" si="48"/>
        <v>0.65</v>
      </c>
      <c r="R779" s="9">
        <f t="shared" si="49"/>
        <v>489.65</v>
      </c>
      <c r="S779" s="9">
        <f>IF(R779="",AVERAGEIF(Table1[Category],Table1[[#This Row],[Category]],Table2[orignal data]),Table2[[#This Row],[orignal data]])</f>
        <v>489.65</v>
      </c>
      <c r="T779" t="str">
        <f t="shared" si="50"/>
        <v>UNIQUE</v>
      </c>
      <c r="U779" t="str">
        <f>IF(ISBLANK(Table1[[#This Row],[SizeOption]]),"NOT AVAILABLE",Table1[[#This Row],[SizeOption]])</f>
        <v>XS, S, M, L, XL, XXL</v>
      </c>
      <c r="Y779" t="str">
        <f>IF(Table2[[#This Row],[Column1]]&gt;50%,"HIGH DISCOUNT","LOW DISCOUNT")</f>
        <v>HIGH DISCOUNT</v>
      </c>
    </row>
    <row r="780" spans="1:25" x14ac:dyDescent="0.25">
      <c r="A780" s="1" t="s">
        <v>1833</v>
      </c>
      <c r="B780" s="1">
        <v>10778666</v>
      </c>
      <c r="C780" s="1" t="s">
        <v>14</v>
      </c>
      <c r="D780" s="1" t="s">
        <v>41</v>
      </c>
      <c r="E780" s="1" t="s">
        <v>42</v>
      </c>
      <c r="F780" s="1" t="s">
        <v>36</v>
      </c>
      <c r="G780" s="1" t="s">
        <v>1834</v>
      </c>
      <c r="I780" s="1">
        <v>599</v>
      </c>
      <c r="J780" s="1" t="s">
        <v>150</v>
      </c>
      <c r="K780" s="1" t="s">
        <v>45</v>
      </c>
      <c r="L780" s="1">
        <v>4.0999999999999996</v>
      </c>
      <c r="M780" s="1">
        <v>860</v>
      </c>
      <c r="P780" t="str">
        <f t="shared" si="51"/>
        <v>65%</v>
      </c>
      <c r="Q780" s="12">
        <f t="shared" si="48"/>
        <v>0.65</v>
      </c>
      <c r="R780" s="9">
        <f t="shared" si="49"/>
        <v>209.64999999999998</v>
      </c>
      <c r="S780" s="9">
        <f>IF(R780="",AVERAGEIF(Table1[Category],Table1[[#This Row],[Category]],Table2[orignal data]),Table2[[#This Row],[orignal data]])</f>
        <v>209.64999999999998</v>
      </c>
      <c r="T780" t="str">
        <f t="shared" si="50"/>
        <v>UNIQUE</v>
      </c>
      <c r="U780" t="str">
        <f>IF(ISBLANK(Table1[[#This Row],[SizeOption]]),"NOT AVAILABLE",Table1[[#This Row],[SizeOption]])</f>
        <v>XS, S, M, L, XL</v>
      </c>
      <c r="Y780" t="str">
        <f>IF(Table2[[#This Row],[Column1]]&gt;50%,"HIGH DISCOUNT","LOW DISCOUNT")</f>
        <v>HIGH DISCOUNT</v>
      </c>
    </row>
    <row r="781" spans="1:25" x14ac:dyDescent="0.25">
      <c r="A781" s="2" t="s">
        <v>1835</v>
      </c>
      <c r="B781" s="2">
        <v>2343637</v>
      </c>
      <c r="C781" s="2" t="s">
        <v>52</v>
      </c>
      <c r="D781" s="2" t="s">
        <v>15</v>
      </c>
      <c r="E781" s="2" t="s">
        <v>53</v>
      </c>
      <c r="F781" s="2" t="s">
        <v>17</v>
      </c>
      <c r="G781" s="2" t="s">
        <v>1836</v>
      </c>
      <c r="H781">
        <v>610</v>
      </c>
      <c r="I781" s="2">
        <v>1649</v>
      </c>
      <c r="J781" s="2" t="s">
        <v>476</v>
      </c>
      <c r="K781" s="2" t="s">
        <v>56</v>
      </c>
      <c r="L781" s="2">
        <v>4</v>
      </c>
      <c r="M781" s="2">
        <v>859</v>
      </c>
      <c r="P781" t="str">
        <f t="shared" si="51"/>
        <v>63%</v>
      </c>
      <c r="Q781" s="12">
        <f t="shared" si="48"/>
        <v>0.63</v>
      </c>
      <c r="R781" s="9">
        <f t="shared" si="49"/>
        <v>610.12999999999988</v>
      </c>
      <c r="S781" s="9">
        <f>IF(R781="",AVERAGEIF(Table1[Category],Table1[[#This Row],[Category]],Table2[orignal data]),Table2[[#This Row],[orignal data]])</f>
        <v>610.12999999999988</v>
      </c>
      <c r="T781" t="str">
        <f t="shared" si="50"/>
        <v>UNIQUE</v>
      </c>
      <c r="U781" t="str">
        <f>IF(ISBLANK(Table1[[#This Row],[SizeOption]]),"NOT AVAILABLE",Table1[[#This Row],[SizeOption]])</f>
        <v>30, 32, 34, 36</v>
      </c>
      <c r="Y781" t="str">
        <f>IF(Table2[[#This Row],[Column1]]&gt;50%,"HIGH DISCOUNT","LOW DISCOUNT")</f>
        <v>HIGH DISCOUNT</v>
      </c>
    </row>
    <row r="782" spans="1:25" x14ac:dyDescent="0.25">
      <c r="A782" s="1" t="s">
        <v>1837</v>
      </c>
      <c r="B782" s="1">
        <v>11363358</v>
      </c>
      <c r="C782" s="1" t="s">
        <v>169</v>
      </c>
      <c r="D782" s="1" t="s">
        <v>28</v>
      </c>
      <c r="E782" s="1" t="s">
        <v>42</v>
      </c>
      <c r="F782" s="1" t="s">
        <v>17</v>
      </c>
      <c r="G782" s="1" t="s">
        <v>1838</v>
      </c>
      <c r="H782">
        <v>599</v>
      </c>
      <c r="I782" s="1">
        <v>1199</v>
      </c>
      <c r="J782" s="1" t="s">
        <v>84</v>
      </c>
      <c r="K782" s="1" t="s">
        <v>39</v>
      </c>
      <c r="L782" s="1">
        <v>4.3</v>
      </c>
      <c r="M782" s="1">
        <v>859</v>
      </c>
      <c r="P782" t="str">
        <f t="shared" si="51"/>
        <v>50%</v>
      </c>
      <c r="Q782" s="12">
        <f t="shared" si="48"/>
        <v>0.5</v>
      </c>
      <c r="R782" s="9">
        <f t="shared" si="49"/>
        <v>599.5</v>
      </c>
      <c r="S782" s="9">
        <f>IF(R782="",AVERAGEIF(Table1[Category],Table1[[#This Row],[Category]],Table2[orignal data]),Table2[[#This Row],[orignal data]])</f>
        <v>599.5</v>
      </c>
      <c r="T782" t="str">
        <f t="shared" si="50"/>
        <v>UNIQUE</v>
      </c>
      <c r="U782" t="str">
        <f>IF(ISBLANK(Table1[[#This Row],[SizeOption]]),"NOT AVAILABLE",Table1[[#This Row],[SizeOption]])</f>
        <v>S, M, L, XL, XXL</v>
      </c>
      <c r="Y782" t="str">
        <f>IF(Table2[[#This Row],[Column1]]&gt;50%,"HIGH DISCOUNT","LOW DISCOUNT")</f>
        <v>LOW DISCOUNT</v>
      </c>
    </row>
    <row r="783" spans="1:25" x14ac:dyDescent="0.25">
      <c r="A783" s="2" t="s">
        <v>1839</v>
      </c>
      <c r="B783" s="2">
        <v>8426499</v>
      </c>
      <c r="C783" s="2" t="s">
        <v>169</v>
      </c>
      <c r="D783" s="2" t="s">
        <v>28</v>
      </c>
      <c r="E783" s="2" t="s">
        <v>42</v>
      </c>
      <c r="F783" s="2" t="s">
        <v>17</v>
      </c>
      <c r="G783" s="2" t="s">
        <v>1840</v>
      </c>
      <c r="H783">
        <v>599</v>
      </c>
      <c r="I783" s="2">
        <v>1199</v>
      </c>
      <c r="J783" s="2" t="s">
        <v>84</v>
      </c>
      <c r="K783" s="2" t="s">
        <v>39</v>
      </c>
      <c r="L783" s="2">
        <v>4.2</v>
      </c>
      <c r="M783" s="2">
        <v>859</v>
      </c>
      <c r="P783" t="str">
        <f t="shared" si="51"/>
        <v>50%</v>
      </c>
      <c r="Q783" s="12">
        <f t="shared" si="48"/>
        <v>0.5</v>
      </c>
      <c r="R783" s="9">
        <f t="shared" si="49"/>
        <v>599.5</v>
      </c>
      <c r="S783" s="9">
        <f>IF(R783="",AVERAGEIF(Table1[Category],Table1[[#This Row],[Category]],Table2[orignal data]),Table2[[#This Row],[orignal data]])</f>
        <v>599.5</v>
      </c>
      <c r="T783" t="str">
        <f t="shared" si="50"/>
        <v>UNIQUE</v>
      </c>
      <c r="U783" t="str">
        <f>IF(ISBLANK(Table1[[#This Row],[SizeOption]]),"NOT AVAILABLE",Table1[[#This Row],[SizeOption]])</f>
        <v>S, M, L, XL, XXL</v>
      </c>
      <c r="Y783" t="str">
        <f>IF(Table2[[#This Row],[Column1]]&gt;50%,"HIGH DISCOUNT","LOW DISCOUNT")</f>
        <v>LOW DISCOUNT</v>
      </c>
    </row>
    <row r="784" spans="1:25" x14ac:dyDescent="0.25">
      <c r="A784" s="1" t="s">
        <v>1841</v>
      </c>
      <c r="B784" s="1">
        <v>11100708</v>
      </c>
      <c r="C784" s="1" t="s">
        <v>800</v>
      </c>
      <c r="D784" s="1" t="s">
        <v>76</v>
      </c>
      <c r="E784" s="1" t="s">
        <v>148</v>
      </c>
      <c r="F784" s="1" t="s">
        <v>36</v>
      </c>
      <c r="G784" s="1" t="s">
        <v>1842</v>
      </c>
      <c r="H784">
        <v>665</v>
      </c>
      <c r="I784" s="1">
        <v>1799</v>
      </c>
      <c r="J784" s="1" t="s">
        <v>476</v>
      </c>
      <c r="K784" s="1" t="s">
        <v>1843</v>
      </c>
      <c r="L784" s="1">
        <v>4.0999999999999996</v>
      </c>
      <c r="M784" s="1">
        <v>859</v>
      </c>
      <c r="P784" t="str">
        <f t="shared" si="51"/>
        <v>63%</v>
      </c>
      <c r="Q784" s="12">
        <f t="shared" si="48"/>
        <v>0.63</v>
      </c>
      <c r="R784" s="9">
        <f t="shared" si="49"/>
        <v>665.62999999999988</v>
      </c>
      <c r="S784" s="9">
        <f>IF(R784="",AVERAGEIF(Table1[Category],Table1[[#This Row],[Category]],Table2[orignal data]),Table2[[#This Row],[orignal data]])</f>
        <v>665.62999999999988</v>
      </c>
      <c r="T784" t="str">
        <f t="shared" si="50"/>
        <v>UNIQUE</v>
      </c>
      <c r="U784" t="str">
        <f>IF(ISBLANK(Table1[[#This Row],[SizeOption]]),"NOT AVAILABLE",Table1[[#This Row],[SizeOption]])</f>
        <v>XXL, 3XL, 4XL, 5XL</v>
      </c>
      <c r="Y784" t="str">
        <f>IF(Table2[[#This Row],[Column1]]&gt;50%,"HIGH DISCOUNT","LOW DISCOUNT")</f>
        <v>HIGH DISCOUNT</v>
      </c>
    </row>
    <row r="785" spans="1:25" x14ac:dyDescent="0.25">
      <c r="A785" s="2" t="s">
        <v>1844</v>
      </c>
      <c r="B785" s="2">
        <v>17801492</v>
      </c>
      <c r="C785" s="2" t="s">
        <v>1845</v>
      </c>
      <c r="D785" s="2" t="s">
        <v>34</v>
      </c>
      <c r="E785" s="2" t="s">
        <v>406</v>
      </c>
      <c r="F785" s="2" t="s">
        <v>36</v>
      </c>
      <c r="G785" s="2" t="s">
        <v>1846</v>
      </c>
      <c r="H785">
        <v>1499</v>
      </c>
      <c r="I785" s="2">
        <v>2998</v>
      </c>
      <c r="J785" s="2" t="s">
        <v>84</v>
      </c>
      <c r="K785" s="2" t="s">
        <v>1847</v>
      </c>
      <c r="L785" s="2">
        <v>4.2</v>
      </c>
      <c r="M785" s="2">
        <v>859</v>
      </c>
      <c r="P785" t="str">
        <f t="shared" si="51"/>
        <v>50%</v>
      </c>
      <c r="Q785" s="12">
        <f t="shared" si="48"/>
        <v>0.5</v>
      </c>
      <c r="R785" s="9">
        <f t="shared" si="49"/>
        <v>1499</v>
      </c>
      <c r="S785" s="9">
        <f>IF(R785="",AVERAGEIF(Table1[Category],Table1[[#This Row],[Category]],Table2[orignal data]),Table2[[#This Row],[orignal data]])</f>
        <v>1499</v>
      </c>
      <c r="T785" t="str">
        <f t="shared" si="50"/>
        <v>UNIQUE</v>
      </c>
      <c r="U785" t="str">
        <f>IF(ISBLANK(Table1[[#This Row],[SizeOption]]),"NOT AVAILABLE",Table1[[#This Row],[SizeOption]])</f>
        <v>XXL, XL, M, S, L</v>
      </c>
      <c r="Y785" t="str">
        <f>IF(Table2[[#This Row],[Column1]]&gt;50%,"HIGH DISCOUNT","LOW DISCOUNT")</f>
        <v>LOW DISCOUNT</v>
      </c>
    </row>
    <row r="786" spans="1:25" x14ac:dyDescent="0.25">
      <c r="A786" s="1" t="s">
        <v>1848</v>
      </c>
      <c r="B786" s="1">
        <v>8735259</v>
      </c>
      <c r="C786" s="1" t="s">
        <v>779</v>
      </c>
      <c r="D786" s="1" t="s">
        <v>34</v>
      </c>
      <c r="E786" s="1" t="s">
        <v>296</v>
      </c>
      <c r="F786" s="1" t="s">
        <v>36</v>
      </c>
      <c r="G786" s="1" t="s">
        <v>1849</v>
      </c>
      <c r="I786" s="1">
        <v>699</v>
      </c>
      <c r="J786" s="1"/>
      <c r="K786" s="1" t="s">
        <v>39</v>
      </c>
      <c r="L786" s="1">
        <v>4.4000000000000004</v>
      </c>
      <c r="M786" s="1">
        <v>859</v>
      </c>
      <c r="P786" t="str">
        <f t="shared" si="51"/>
        <v/>
      </c>
      <c r="Q786" s="12" t="str">
        <f t="shared" si="48"/>
        <v/>
      </c>
      <c r="R786" s="9" t="str">
        <f t="shared" si="49"/>
        <v/>
      </c>
      <c r="S786" s="9">
        <f>IF(R786="",AVERAGEIF(Table1[Category],Table1[[#This Row],[Category]],Table2[orignal data]),Table2[[#This Row],[orignal data]])</f>
        <v>608.88518518518481</v>
      </c>
      <c r="T786" t="str">
        <f t="shared" si="50"/>
        <v>UNIQUE</v>
      </c>
      <c r="U786" t="str">
        <f>IF(ISBLANK(Table1[[#This Row],[SizeOption]]),"NOT AVAILABLE",Table1[[#This Row],[SizeOption]])</f>
        <v>S, M, L, XL, XXL</v>
      </c>
      <c r="Y786" t="str">
        <f>IF(Table2[[#This Row],[Column1]]&gt;50%,"HIGH DISCOUNT","LOW DISCOUNT")</f>
        <v>HIGH DISCOUNT</v>
      </c>
    </row>
    <row r="787" spans="1:25" x14ac:dyDescent="0.25">
      <c r="A787" s="2" t="s">
        <v>1850</v>
      </c>
      <c r="B787" s="2">
        <v>11560484</v>
      </c>
      <c r="C787" s="2" t="s">
        <v>169</v>
      </c>
      <c r="D787" s="2" t="s">
        <v>15</v>
      </c>
      <c r="E787" s="2" t="s">
        <v>53</v>
      </c>
      <c r="F787" s="2" t="s">
        <v>17</v>
      </c>
      <c r="G787" s="2" t="s">
        <v>1851</v>
      </c>
      <c r="H787">
        <v>1429</v>
      </c>
      <c r="I787" s="2">
        <v>2199</v>
      </c>
      <c r="J787" s="2" t="s">
        <v>44</v>
      </c>
      <c r="K787" s="2" t="s">
        <v>171</v>
      </c>
      <c r="L787" s="2">
        <v>4.0999999999999996</v>
      </c>
      <c r="M787" s="2">
        <v>858</v>
      </c>
      <c r="P787" t="str">
        <f t="shared" si="51"/>
        <v>35%</v>
      </c>
      <c r="Q787" s="12">
        <f t="shared" si="48"/>
        <v>0.35</v>
      </c>
      <c r="R787" s="9">
        <f t="shared" si="49"/>
        <v>1429.35</v>
      </c>
      <c r="S787" s="9">
        <f>IF(R787="",AVERAGEIF(Table1[Category],Table1[[#This Row],[Category]],Table2[orignal data]),Table2[[#This Row],[orignal data]])</f>
        <v>1429.35</v>
      </c>
      <c r="T787" t="str">
        <f t="shared" si="50"/>
        <v>UNIQUE</v>
      </c>
      <c r="U787" t="str">
        <f>IF(ISBLANK(Table1[[#This Row],[SizeOption]]),"NOT AVAILABLE",Table1[[#This Row],[SizeOption]])</f>
        <v>28, 30, 32, 34, 36, 38</v>
      </c>
      <c r="Y787" t="str">
        <f>IF(Table2[[#This Row],[Column1]]&gt;50%,"HIGH DISCOUNT","LOW DISCOUNT")</f>
        <v>LOW DISCOUNT</v>
      </c>
    </row>
    <row r="788" spans="1:25" x14ac:dyDescent="0.25">
      <c r="A788" s="1" t="s">
        <v>1852</v>
      </c>
      <c r="B788" s="1">
        <v>11361672</v>
      </c>
      <c r="C788" s="1" t="s">
        <v>169</v>
      </c>
      <c r="D788" s="1" t="s">
        <v>28</v>
      </c>
      <c r="E788" s="1" t="s">
        <v>29</v>
      </c>
      <c r="F788" s="1" t="s">
        <v>17</v>
      </c>
      <c r="G788" s="1" t="s">
        <v>1853</v>
      </c>
      <c r="H788">
        <v>1049</v>
      </c>
      <c r="I788" s="1">
        <v>2099</v>
      </c>
      <c r="J788" s="1" t="s">
        <v>84</v>
      </c>
      <c r="K788" s="1" t="s">
        <v>484</v>
      </c>
      <c r="L788" s="1">
        <v>4.0999999999999996</v>
      </c>
      <c r="M788" s="1">
        <v>858</v>
      </c>
      <c r="P788" t="str">
        <f t="shared" si="51"/>
        <v>50%</v>
      </c>
      <c r="Q788" s="12">
        <f t="shared" si="48"/>
        <v>0.5</v>
      </c>
      <c r="R788" s="9">
        <f t="shared" si="49"/>
        <v>1049.5</v>
      </c>
      <c r="S788" s="9">
        <f>IF(R788="",AVERAGEIF(Table1[Category],Table1[[#This Row],[Category]],Table2[orignal data]),Table2[[#This Row],[orignal data]])</f>
        <v>1049.5</v>
      </c>
      <c r="T788" t="str">
        <f t="shared" si="50"/>
        <v>UNIQUE</v>
      </c>
      <c r="U788" t="str">
        <f>IF(ISBLANK(Table1[[#This Row],[SizeOption]]),"NOT AVAILABLE",Table1[[#This Row],[SizeOption]])</f>
        <v>39, 40, 42, 44, 46</v>
      </c>
      <c r="Y788" t="str">
        <f>IF(Table2[[#This Row],[Column1]]&gt;50%,"HIGH DISCOUNT","LOW DISCOUNT")</f>
        <v>LOW DISCOUNT</v>
      </c>
    </row>
    <row r="789" spans="1:25" x14ac:dyDescent="0.25">
      <c r="A789" s="2" t="s">
        <v>1854</v>
      </c>
      <c r="B789" s="2">
        <v>1959689</v>
      </c>
      <c r="C789" s="2" t="s">
        <v>92</v>
      </c>
      <c r="D789" s="2" t="s">
        <v>76</v>
      </c>
      <c r="E789" s="2" t="s">
        <v>93</v>
      </c>
      <c r="F789" s="2" t="s">
        <v>36</v>
      </c>
      <c r="G789" s="2" t="s">
        <v>1855</v>
      </c>
      <c r="H789">
        <v>755</v>
      </c>
      <c r="I789" s="2">
        <v>2099</v>
      </c>
      <c r="J789" s="2" t="s">
        <v>416</v>
      </c>
      <c r="K789" s="2" t="s">
        <v>39</v>
      </c>
      <c r="L789" s="2">
        <v>4</v>
      </c>
      <c r="M789" s="2">
        <v>858</v>
      </c>
      <c r="P789" t="str">
        <f t="shared" si="51"/>
        <v>64%</v>
      </c>
      <c r="Q789" s="12">
        <f t="shared" si="48"/>
        <v>0.64</v>
      </c>
      <c r="R789" s="9">
        <f t="shared" si="49"/>
        <v>755.63999999999987</v>
      </c>
      <c r="S789" s="9">
        <f>IF(R789="",AVERAGEIF(Table1[Category],Table1[[#This Row],[Category]],Table2[orignal data]),Table2[[#This Row],[orignal data]])</f>
        <v>755.63999999999987</v>
      </c>
      <c r="T789" t="str">
        <f t="shared" si="50"/>
        <v>UNIQUE</v>
      </c>
      <c r="U789" t="str">
        <f>IF(ISBLANK(Table1[[#This Row],[SizeOption]]),"NOT AVAILABLE",Table1[[#This Row],[SizeOption]])</f>
        <v>S, M, L, XL, XXL</v>
      </c>
      <c r="Y789" t="str">
        <f>IF(Table2[[#This Row],[Column1]]&gt;50%,"HIGH DISCOUNT","LOW DISCOUNT")</f>
        <v>HIGH DISCOUNT</v>
      </c>
    </row>
    <row r="790" spans="1:25" x14ac:dyDescent="0.25">
      <c r="A790" s="1" t="s">
        <v>1856</v>
      </c>
      <c r="B790" s="1">
        <v>14440572</v>
      </c>
      <c r="C790" s="1" t="s">
        <v>1857</v>
      </c>
      <c r="D790" s="1" t="s">
        <v>76</v>
      </c>
      <c r="E790" s="1" t="s">
        <v>77</v>
      </c>
      <c r="F790" s="1" t="s">
        <v>36</v>
      </c>
      <c r="G790" s="1" t="s">
        <v>1858</v>
      </c>
      <c r="H790">
        <v>864</v>
      </c>
      <c r="I790" s="1">
        <v>2400</v>
      </c>
      <c r="J790" s="1" t="s">
        <v>416</v>
      </c>
      <c r="K790" s="1" t="s">
        <v>39</v>
      </c>
      <c r="L790" s="1">
        <v>4.2</v>
      </c>
      <c r="M790" s="1">
        <v>858</v>
      </c>
      <c r="P790" t="str">
        <f t="shared" si="51"/>
        <v>64%</v>
      </c>
      <c r="Q790" s="12">
        <f t="shared" si="48"/>
        <v>0.64</v>
      </c>
      <c r="R790" s="9">
        <f t="shared" si="49"/>
        <v>864</v>
      </c>
      <c r="S790" s="9">
        <f>IF(R790="",AVERAGEIF(Table1[Category],Table1[[#This Row],[Category]],Table2[orignal data]),Table2[[#This Row],[orignal data]])</f>
        <v>864</v>
      </c>
      <c r="T790" t="str">
        <f t="shared" si="50"/>
        <v>UNIQUE</v>
      </c>
      <c r="U790" t="str">
        <f>IF(ISBLANK(Table1[[#This Row],[SizeOption]]),"NOT AVAILABLE",Table1[[#This Row],[SizeOption]])</f>
        <v>S, M, L, XL, XXL</v>
      </c>
      <c r="Y790" t="str">
        <f>IF(Table2[[#This Row],[Column1]]&gt;50%,"HIGH DISCOUNT","LOW DISCOUNT")</f>
        <v>HIGH DISCOUNT</v>
      </c>
    </row>
    <row r="791" spans="1:25" x14ac:dyDescent="0.25">
      <c r="A791" s="2" t="s">
        <v>1859</v>
      </c>
      <c r="B791" s="2">
        <v>14514378</v>
      </c>
      <c r="C791" s="2" t="s">
        <v>1711</v>
      </c>
      <c r="D791" s="2" t="s">
        <v>76</v>
      </c>
      <c r="E791" s="2" t="s">
        <v>77</v>
      </c>
      <c r="F791" s="2" t="s">
        <v>36</v>
      </c>
      <c r="G791" s="2" t="s">
        <v>1860</v>
      </c>
      <c r="H791">
        <v>1691</v>
      </c>
      <c r="I791" s="2">
        <v>3598</v>
      </c>
      <c r="J791" s="2" t="s">
        <v>89</v>
      </c>
      <c r="K791" s="2" t="s">
        <v>1713</v>
      </c>
      <c r="L791" s="2">
        <v>4.2</v>
      </c>
      <c r="M791" s="2">
        <v>858</v>
      </c>
      <c r="P791" t="str">
        <f t="shared" si="51"/>
        <v>53%</v>
      </c>
      <c r="Q791" s="12">
        <f t="shared" si="48"/>
        <v>0.53</v>
      </c>
      <c r="R791" s="9">
        <f t="shared" si="49"/>
        <v>1691.06</v>
      </c>
      <c r="S791" s="9">
        <f>IF(R791="",AVERAGEIF(Table1[Category],Table1[[#This Row],[Category]],Table2[orignal data]),Table2[[#This Row],[orignal data]])</f>
        <v>1691.06</v>
      </c>
      <c r="T791" t="str">
        <f t="shared" si="50"/>
        <v>UNIQUE</v>
      </c>
      <c r="U791" t="str">
        <f>IF(ISBLANK(Table1[[#This Row],[SizeOption]]),"NOT AVAILABLE",Table1[[#This Row],[SizeOption]])</f>
        <v>M, L, XL, XXL, 3XL</v>
      </c>
      <c r="Y791" t="str">
        <f>IF(Table2[[#This Row],[Column1]]&gt;50%,"HIGH DISCOUNT","LOW DISCOUNT")</f>
        <v>HIGH DISCOUNT</v>
      </c>
    </row>
    <row r="792" spans="1:25" x14ac:dyDescent="0.25">
      <c r="A792" s="1" t="s">
        <v>1861</v>
      </c>
      <c r="B792" s="1">
        <v>11759904</v>
      </c>
      <c r="C792" s="1" t="s">
        <v>1555</v>
      </c>
      <c r="D792" s="1" t="s">
        <v>76</v>
      </c>
      <c r="E792" s="1" t="s">
        <v>365</v>
      </c>
      <c r="F792" s="1" t="s">
        <v>36</v>
      </c>
      <c r="G792" s="1" t="s">
        <v>1862</v>
      </c>
      <c r="H792">
        <v>548</v>
      </c>
      <c r="I792" s="1">
        <v>899</v>
      </c>
      <c r="J792" s="1" t="s">
        <v>1863</v>
      </c>
      <c r="K792" s="1" t="s">
        <v>1558</v>
      </c>
      <c r="L792" s="1">
        <v>4.3</v>
      </c>
      <c r="M792" s="1">
        <v>858</v>
      </c>
      <c r="P792" t="str">
        <f t="shared" si="51"/>
        <v>39%</v>
      </c>
      <c r="Q792" s="12">
        <f t="shared" si="48"/>
        <v>0.39</v>
      </c>
      <c r="R792" s="9">
        <f t="shared" si="49"/>
        <v>548.39</v>
      </c>
      <c r="S792" s="9">
        <f>IF(R792="",AVERAGEIF(Table1[Category],Table1[[#This Row],[Category]],Table2[orignal data]),Table2[[#This Row],[orignal data]])</f>
        <v>548.39</v>
      </c>
      <c r="T792" t="str">
        <f t="shared" si="50"/>
        <v>UNIQUE</v>
      </c>
      <c r="U792" t="str">
        <f>IF(ISBLANK(Table1[[#This Row],[SizeOption]]),"NOT AVAILABLE",Table1[[#This Row],[SizeOption]])</f>
        <v>XS, S, M, L, XL, XXL, 3XL, 4XL, 5XL, 6XL, 7XL, 8XL</v>
      </c>
      <c r="Y792" t="str">
        <f>IF(Table2[[#This Row],[Column1]]&gt;50%,"HIGH DISCOUNT","LOW DISCOUNT")</f>
        <v>LOW DISCOUNT</v>
      </c>
    </row>
    <row r="793" spans="1:25" x14ac:dyDescent="0.25">
      <c r="A793" s="2" t="s">
        <v>1864</v>
      </c>
      <c r="B793" s="2">
        <v>17384836</v>
      </c>
      <c r="C793" s="2" t="s">
        <v>14</v>
      </c>
      <c r="D793" s="2" t="s">
        <v>41</v>
      </c>
      <c r="E793" s="2" t="s">
        <v>42</v>
      </c>
      <c r="F793" s="2" t="s">
        <v>36</v>
      </c>
      <c r="G793" s="2" t="s">
        <v>1405</v>
      </c>
      <c r="I793" s="2">
        <v>1398</v>
      </c>
      <c r="J793" s="2" t="s">
        <v>84</v>
      </c>
      <c r="K793" s="2" t="s">
        <v>45</v>
      </c>
      <c r="L793" s="2">
        <v>4.3</v>
      </c>
      <c r="M793" s="2">
        <v>858</v>
      </c>
      <c r="P793" t="str">
        <f t="shared" si="51"/>
        <v>50%</v>
      </c>
      <c r="Q793" s="12">
        <f t="shared" si="48"/>
        <v>0.5</v>
      </c>
      <c r="R793" s="9">
        <f t="shared" si="49"/>
        <v>699</v>
      </c>
      <c r="S793" s="9">
        <f>IF(R793="",AVERAGEIF(Table1[Category],Table1[[#This Row],[Category]],Table2[orignal data]),Table2[[#This Row],[orignal data]])</f>
        <v>699</v>
      </c>
      <c r="T793" t="str">
        <f t="shared" si="50"/>
        <v>UNIQUE</v>
      </c>
      <c r="U793" t="str">
        <f>IF(ISBLANK(Table1[[#This Row],[SizeOption]]),"NOT AVAILABLE",Table1[[#This Row],[SizeOption]])</f>
        <v>XS, S, M, L, XL</v>
      </c>
      <c r="Y793" t="str">
        <f>IF(Table2[[#This Row],[Column1]]&gt;50%,"HIGH DISCOUNT","LOW DISCOUNT")</f>
        <v>LOW DISCOUNT</v>
      </c>
    </row>
    <row r="794" spans="1:25" x14ac:dyDescent="0.25">
      <c r="A794" s="1" t="s">
        <v>1865</v>
      </c>
      <c r="B794" s="1">
        <v>8746069</v>
      </c>
      <c r="C794" s="1" t="s">
        <v>92</v>
      </c>
      <c r="D794" s="1" t="s">
        <v>41</v>
      </c>
      <c r="E794" s="1" t="s">
        <v>148</v>
      </c>
      <c r="F794" s="1" t="s">
        <v>36</v>
      </c>
      <c r="G794" s="1" t="s">
        <v>1866</v>
      </c>
      <c r="I794" s="1">
        <v>2699</v>
      </c>
      <c r="J794" s="1" t="s">
        <v>55</v>
      </c>
      <c r="K794" s="1" t="s">
        <v>39</v>
      </c>
      <c r="L794" s="1">
        <v>4</v>
      </c>
      <c r="M794" s="1">
        <v>858</v>
      </c>
      <c r="P794" t="str">
        <f t="shared" si="51"/>
        <v>60%</v>
      </c>
      <c r="Q794" s="12">
        <f t="shared" si="48"/>
        <v>0.6</v>
      </c>
      <c r="R794" s="9">
        <f t="shared" si="49"/>
        <v>1079.6000000000001</v>
      </c>
      <c r="S794" s="9">
        <f>IF(R794="",AVERAGEIF(Table1[Category],Table1[[#This Row],[Category]],Table2[orignal data]),Table2[[#This Row],[orignal data]])</f>
        <v>1079.6000000000001</v>
      </c>
      <c r="T794" t="str">
        <f t="shared" si="50"/>
        <v>UNIQUE</v>
      </c>
      <c r="U794" t="str">
        <f>IF(ISBLANK(Table1[[#This Row],[SizeOption]]),"NOT AVAILABLE",Table1[[#This Row],[SizeOption]])</f>
        <v>S, M, L, XL, XXL</v>
      </c>
      <c r="Y794" t="str">
        <f>IF(Table2[[#This Row],[Column1]]&gt;50%,"HIGH DISCOUNT","LOW DISCOUNT")</f>
        <v>HIGH DISCOUNT</v>
      </c>
    </row>
    <row r="795" spans="1:25" x14ac:dyDescent="0.25">
      <c r="A795" s="2" t="s">
        <v>1867</v>
      </c>
      <c r="B795" s="2">
        <v>10778698</v>
      </c>
      <c r="C795" s="2" t="s">
        <v>14</v>
      </c>
      <c r="D795" s="2" t="s">
        <v>41</v>
      </c>
      <c r="E795" s="2" t="s">
        <v>42</v>
      </c>
      <c r="F795" s="2" t="s">
        <v>36</v>
      </c>
      <c r="G795" s="2" t="s">
        <v>1868</v>
      </c>
      <c r="I795" s="2">
        <v>599</v>
      </c>
      <c r="J795" s="2" t="s">
        <v>25</v>
      </c>
      <c r="K795" s="2" t="s">
        <v>45</v>
      </c>
      <c r="L795" s="2">
        <v>4.3</v>
      </c>
      <c r="M795" s="2">
        <v>858</v>
      </c>
      <c r="P795" t="str">
        <f t="shared" si="51"/>
        <v>55%</v>
      </c>
      <c r="Q795" s="12">
        <f t="shared" si="48"/>
        <v>0.55000000000000004</v>
      </c>
      <c r="R795" s="9">
        <f t="shared" si="49"/>
        <v>269.54999999999995</v>
      </c>
      <c r="S795" s="9">
        <f>IF(R795="",AVERAGEIF(Table1[Category],Table1[[#This Row],[Category]],Table2[orignal data]),Table2[[#This Row],[orignal data]])</f>
        <v>269.54999999999995</v>
      </c>
      <c r="T795" t="str">
        <f t="shared" si="50"/>
        <v>UNIQUE</v>
      </c>
      <c r="U795" t="str">
        <f>IF(ISBLANK(Table1[[#This Row],[SizeOption]]),"NOT AVAILABLE",Table1[[#This Row],[SizeOption]])</f>
        <v>XS, S, M, L, XL</v>
      </c>
      <c r="Y795" t="str">
        <f>IF(Table2[[#This Row],[Column1]]&gt;50%,"HIGH DISCOUNT","LOW DISCOUNT")</f>
        <v>HIGH DISCOUNT</v>
      </c>
    </row>
    <row r="796" spans="1:25" x14ac:dyDescent="0.25">
      <c r="A796" s="1" t="s">
        <v>1869</v>
      </c>
      <c r="B796" s="1">
        <v>10969750</v>
      </c>
      <c r="C796" s="1" t="s">
        <v>14</v>
      </c>
      <c r="D796" s="1" t="s">
        <v>41</v>
      </c>
      <c r="E796" s="1" t="s">
        <v>42</v>
      </c>
      <c r="F796" s="1" t="s">
        <v>36</v>
      </c>
      <c r="G796" s="1" t="s">
        <v>1870</v>
      </c>
      <c r="I796" s="1">
        <v>899</v>
      </c>
      <c r="J796" s="1" t="s">
        <v>55</v>
      </c>
      <c r="K796" s="1" t="s">
        <v>45</v>
      </c>
      <c r="L796" s="1">
        <v>4.3</v>
      </c>
      <c r="M796" s="1">
        <v>858</v>
      </c>
      <c r="P796" t="str">
        <f t="shared" si="51"/>
        <v>60%</v>
      </c>
      <c r="Q796" s="12">
        <f t="shared" si="48"/>
        <v>0.6</v>
      </c>
      <c r="R796" s="9">
        <f t="shared" si="49"/>
        <v>359.6</v>
      </c>
      <c r="S796" s="9">
        <f>IF(R796="",AVERAGEIF(Table1[Category],Table1[[#This Row],[Category]],Table2[orignal data]),Table2[[#This Row],[orignal data]])</f>
        <v>359.6</v>
      </c>
      <c r="T796" t="str">
        <f t="shared" si="50"/>
        <v>UNIQUE</v>
      </c>
      <c r="U796" t="str">
        <f>IF(ISBLANK(Table1[[#This Row],[SizeOption]]),"NOT AVAILABLE",Table1[[#This Row],[SizeOption]])</f>
        <v>XS, S, M, L, XL</v>
      </c>
      <c r="Y796" t="str">
        <f>IF(Table2[[#This Row],[Column1]]&gt;50%,"HIGH DISCOUNT","LOW DISCOUNT")</f>
        <v>HIGH DISCOUNT</v>
      </c>
    </row>
    <row r="797" spans="1:25" x14ac:dyDescent="0.25">
      <c r="A797" s="2" t="s">
        <v>1871</v>
      </c>
      <c r="B797" s="2">
        <v>10970304</v>
      </c>
      <c r="C797" s="2" t="s">
        <v>14</v>
      </c>
      <c r="D797" s="2" t="s">
        <v>41</v>
      </c>
      <c r="E797" s="2" t="s">
        <v>42</v>
      </c>
      <c r="F797" s="2" t="s">
        <v>36</v>
      </c>
      <c r="G797" s="2" t="s">
        <v>1872</v>
      </c>
      <c r="I797" s="2">
        <v>899</v>
      </c>
      <c r="J797" s="2" t="s">
        <v>55</v>
      </c>
      <c r="K797" s="2" t="s">
        <v>45</v>
      </c>
      <c r="L797" s="2">
        <v>4.0999999999999996</v>
      </c>
      <c r="M797" s="2">
        <v>858</v>
      </c>
      <c r="P797" t="str">
        <f t="shared" si="51"/>
        <v>60%</v>
      </c>
      <c r="Q797" s="12">
        <f t="shared" si="48"/>
        <v>0.6</v>
      </c>
      <c r="R797" s="9">
        <f t="shared" si="49"/>
        <v>359.6</v>
      </c>
      <c r="S797" s="9">
        <f>IF(R797="",AVERAGEIF(Table1[Category],Table1[[#This Row],[Category]],Table2[orignal data]),Table2[[#This Row],[orignal data]])</f>
        <v>359.6</v>
      </c>
      <c r="T797" t="str">
        <f t="shared" si="50"/>
        <v>UNIQUE</v>
      </c>
      <c r="U797" t="str">
        <f>IF(ISBLANK(Table1[[#This Row],[SizeOption]]),"NOT AVAILABLE",Table1[[#This Row],[SizeOption]])</f>
        <v>XS, S, M, L, XL</v>
      </c>
      <c r="Y797" t="str">
        <f>IF(Table2[[#This Row],[Column1]]&gt;50%,"HIGH DISCOUNT","LOW DISCOUNT")</f>
        <v>HIGH DISCOUNT</v>
      </c>
    </row>
    <row r="798" spans="1:25" x14ac:dyDescent="0.25">
      <c r="A798" s="1" t="s">
        <v>1873</v>
      </c>
      <c r="B798" s="1">
        <v>10367061</v>
      </c>
      <c r="C798" s="1" t="s">
        <v>490</v>
      </c>
      <c r="D798" s="1" t="s">
        <v>41</v>
      </c>
      <c r="E798" s="1" t="s">
        <v>48</v>
      </c>
      <c r="F798" s="1" t="s">
        <v>36</v>
      </c>
      <c r="G798" s="1" t="s">
        <v>1874</v>
      </c>
      <c r="I798" s="1">
        <v>799</v>
      </c>
      <c r="J798" s="1"/>
      <c r="K798" s="1" t="s">
        <v>1875</v>
      </c>
      <c r="L798" s="1">
        <v>4.3</v>
      </c>
      <c r="M798" s="1">
        <v>858</v>
      </c>
      <c r="P798" t="str">
        <f t="shared" si="51"/>
        <v/>
      </c>
      <c r="Q798" s="12" t="str">
        <f t="shared" si="48"/>
        <v/>
      </c>
      <c r="R798" s="9" t="str">
        <f t="shared" si="49"/>
        <v/>
      </c>
      <c r="S798" s="9">
        <f>IF(R798="",AVERAGEIF(Table1[Category],Table1[[#This Row],[Category]],Table2[orignal data]),Table2[[#This Row],[orignal data]])</f>
        <v>715.78890751086249</v>
      </c>
      <c r="T798" t="str">
        <f t="shared" si="50"/>
        <v>UNIQUE</v>
      </c>
      <c r="U798" t="str">
        <f>IF(ISBLANK(Table1[[#This Row],[SizeOption]]),"NOT AVAILABLE",Table1[[#This Row],[SizeOption]])</f>
        <v>XXS, XS, S, M, L, XL</v>
      </c>
      <c r="Y798" t="str">
        <f>IF(Table2[[#This Row],[Column1]]&gt;50%,"HIGH DISCOUNT","LOW DISCOUNT")</f>
        <v>HIGH DISCOUNT</v>
      </c>
    </row>
    <row r="799" spans="1:25" x14ac:dyDescent="0.25">
      <c r="A799" s="2" t="s">
        <v>1876</v>
      </c>
      <c r="B799" s="2">
        <v>12212318</v>
      </c>
      <c r="C799" s="2" t="s">
        <v>67</v>
      </c>
      <c r="D799" s="2" t="s">
        <v>15</v>
      </c>
      <c r="E799" s="2" t="s">
        <v>137</v>
      </c>
      <c r="F799" s="2" t="s">
        <v>17</v>
      </c>
      <c r="G799" s="2" t="s">
        <v>1877</v>
      </c>
      <c r="H799">
        <v>639</v>
      </c>
      <c r="I799" s="2">
        <v>1599</v>
      </c>
      <c r="J799" s="2" t="s">
        <v>55</v>
      </c>
      <c r="K799" s="2" t="s">
        <v>20</v>
      </c>
      <c r="L799" s="2">
        <v>4.4000000000000004</v>
      </c>
      <c r="M799" s="2">
        <v>857</v>
      </c>
      <c r="P799" t="str">
        <f t="shared" si="51"/>
        <v>60%</v>
      </c>
      <c r="Q799" s="12">
        <f t="shared" si="48"/>
        <v>0.6</v>
      </c>
      <c r="R799" s="9">
        <f t="shared" si="49"/>
        <v>639.6</v>
      </c>
      <c r="S799" s="9">
        <f>IF(R799="",AVERAGEIF(Table1[Category],Table1[[#This Row],[Category]],Table2[orignal data]),Table2[[#This Row],[orignal data]])</f>
        <v>639.6</v>
      </c>
      <c r="T799" t="str">
        <f t="shared" si="50"/>
        <v>UNIQUE</v>
      </c>
      <c r="U799" t="str">
        <f>IF(ISBLANK(Table1[[#This Row],[SizeOption]]),"NOT AVAILABLE",Table1[[#This Row],[SizeOption]])</f>
        <v>28, 30, 32, 34, 36</v>
      </c>
      <c r="Y799" t="str">
        <f>IF(Table2[[#This Row],[Column1]]&gt;50%,"HIGH DISCOUNT","LOW DISCOUNT")</f>
        <v>HIGH DISCOUNT</v>
      </c>
    </row>
    <row r="800" spans="1:25" x14ac:dyDescent="0.25">
      <c r="A800" s="1" t="s">
        <v>1878</v>
      </c>
      <c r="B800" s="1">
        <v>8325363</v>
      </c>
      <c r="C800" s="1" t="s">
        <v>47</v>
      </c>
      <c r="D800" s="1" t="s">
        <v>28</v>
      </c>
      <c r="E800" s="1" t="s">
        <v>42</v>
      </c>
      <c r="F800" s="1" t="s">
        <v>17</v>
      </c>
      <c r="G800" s="1" t="s">
        <v>1879</v>
      </c>
      <c r="H800">
        <v>714</v>
      </c>
      <c r="I800" s="1">
        <v>1299</v>
      </c>
      <c r="J800" s="1" t="s">
        <v>19</v>
      </c>
      <c r="K800" s="1" t="s">
        <v>26</v>
      </c>
      <c r="L800" s="1">
        <v>4.3</v>
      </c>
      <c r="M800" s="1">
        <v>857</v>
      </c>
      <c r="P800" t="str">
        <f t="shared" si="51"/>
        <v>45%</v>
      </c>
      <c r="Q800" s="12">
        <f t="shared" si="48"/>
        <v>0.45</v>
      </c>
      <c r="R800" s="9">
        <f t="shared" si="49"/>
        <v>714.44999999999993</v>
      </c>
      <c r="S800" s="9">
        <f>IF(R800="",AVERAGEIF(Table1[Category],Table1[[#This Row],[Category]],Table2[orignal data]),Table2[[#This Row],[orignal data]])</f>
        <v>714.44999999999993</v>
      </c>
      <c r="T800" t="str">
        <f t="shared" si="50"/>
        <v>UNIQUE</v>
      </c>
      <c r="U800" t="str">
        <f>IF(ISBLANK(Table1[[#This Row],[SizeOption]]),"NOT AVAILABLE",Table1[[#This Row],[SizeOption]])</f>
        <v>S, M, L, XL</v>
      </c>
      <c r="Y800" t="str">
        <f>IF(Table2[[#This Row],[Column1]]&gt;50%,"HIGH DISCOUNT","LOW DISCOUNT")</f>
        <v>LOW DISCOUNT</v>
      </c>
    </row>
    <row r="801" spans="1:25" x14ac:dyDescent="0.25">
      <c r="A801" s="2" t="s">
        <v>1880</v>
      </c>
      <c r="B801" s="2">
        <v>15654416</v>
      </c>
      <c r="C801" s="2" t="s">
        <v>14</v>
      </c>
      <c r="D801" s="2" t="s">
        <v>28</v>
      </c>
      <c r="E801" s="2" t="s">
        <v>1881</v>
      </c>
      <c r="F801" s="2" t="s">
        <v>17</v>
      </c>
      <c r="G801" s="2" t="s">
        <v>1882</v>
      </c>
      <c r="H801">
        <v>999</v>
      </c>
      <c r="I801" s="2">
        <v>1999</v>
      </c>
      <c r="J801" s="2" t="s">
        <v>84</v>
      </c>
      <c r="K801" s="2" t="s">
        <v>26</v>
      </c>
      <c r="L801" s="2">
        <v>4.2</v>
      </c>
      <c r="M801" s="2">
        <v>857</v>
      </c>
      <c r="P801" t="str">
        <f t="shared" si="51"/>
        <v>50%</v>
      </c>
      <c r="Q801" s="12">
        <f t="shared" si="48"/>
        <v>0.5</v>
      </c>
      <c r="R801" s="9">
        <f t="shared" si="49"/>
        <v>999.5</v>
      </c>
      <c r="S801" s="9">
        <f>IF(R801="",AVERAGEIF(Table1[Category],Table1[[#This Row],[Category]],Table2[orignal data]),Table2[[#This Row],[orignal data]])</f>
        <v>999.5</v>
      </c>
      <c r="T801" t="str">
        <f t="shared" si="50"/>
        <v>UNIQUE</v>
      </c>
      <c r="U801" t="str">
        <f>IF(ISBLANK(Table1[[#This Row],[SizeOption]]),"NOT AVAILABLE",Table1[[#This Row],[SizeOption]])</f>
        <v>S, M, L, XL</v>
      </c>
      <c r="Y801" t="str">
        <f>IF(Table2[[#This Row],[Column1]]&gt;50%,"HIGH DISCOUNT","LOW DISCOUNT")</f>
        <v>LOW DISCOUNT</v>
      </c>
    </row>
    <row r="802" spans="1:25" x14ac:dyDescent="0.25">
      <c r="A802" s="1" t="s">
        <v>1883</v>
      </c>
      <c r="B802" s="1">
        <v>1462052</v>
      </c>
      <c r="C802" s="1" t="s">
        <v>346</v>
      </c>
      <c r="D802" s="1" t="s">
        <v>28</v>
      </c>
      <c r="E802" s="1" t="s">
        <v>42</v>
      </c>
      <c r="F802" s="1" t="s">
        <v>17</v>
      </c>
      <c r="G802" s="1" t="s">
        <v>1884</v>
      </c>
      <c r="H802">
        <v>449</v>
      </c>
      <c r="I802" s="1">
        <v>999</v>
      </c>
      <c r="J802" s="1" t="s">
        <v>25</v>
      </c>
      <c r="K802" s="1" t="s">
        <v>39</v>
      </c>
      <c r="L802" s="1">
        <v>4.0999999999999996</v>
      </c>
      <c r="M802" s="1">
        <v>857</v>
      </c>
      <c r="P802" t="str">
        <f t="shared" si="51"/>
        <v>55%</v>
      </c>
      <c r="Q802" s="12">
        <f t="shared" si="48"/>
        <v>0.55000000000000004</v>
      </c>
      <c r="R802" s="9">
        <f t="shared" si="49"/>
        <v>449.54999999999995</v>
      </c>
      <c r="S802" s="9">
        <f>IF(R802="",AVERAGEIF(Table1[Category],Table1[[#This Row],[Category]],Table2[orignal data]),Table2[[#This Row],[orignal data]])</f>
        <v>449.54999999999995</v>
      </c>
      <c r="T802" t="str">
        <f t="shared" si="50"/>
        <v>UNIQUE</v>
      </c>
      <c r="U802" t="str">
        <f>IF(ISBLANK(Table1[[#This Row],[SizeOption]]),"NOT AVAILABLE",Table1[[#This Row],[SizeOption]])</f>
        <v>S, M, L, XL, XXL</v>
      </c>
      <c r="Y802" t="str">
        <f>IF(Table2[[#This Row],[Column1]]&gt;50%,"HIGH DISCOUNT","LOW DISCOUNT")</f>
        <v>HIGH DISCOUNT</v>
      </c>
    </row>
    <row r="803" spans="1:25" x14ac:dyDescent="0.25">
      <c r="A803" s="2" t="s">
        <v>1885</v>
      </c>
      <c r="B803" s="2">
        <v>12016078</v>
      </c>
      <c r="C803" s="2" t="s">
        <v>64</v>
      </c>
      <c r="D803" s="2" t="s">
        <v>98</v>
      </c>
      <c r="E803" s="2" t="s">
        <v>148</v>
      </c>
      <c r="F803" s="2" t="s">
        <v>36</v>
      </c>
      <c r="G803" s="2" t="s">
        <v>1886</v>
      </c>
      <c r="H803">
        <v>599</v>
      </c>
      <c r="I803" s="2">
        <v>1499</v>
      </c>
      <c r="J803" s="2" t="s">
        <v>55</v>
      </c>
      <c r="K803" s="2" t="s">
        <v>115</v>
      </c>
      <c r="L803" s="2">
        <v>4.3</v>
      </c>
      <c r="M803" s="2">
        <v>857</v>
      </c>
      <c r="P803" t="str">
        <f t="shared" si="51"/>
        <v>60%</v>
      </c>
      <c r="Q803" s="12">
        <f t="shared" si="48"/>
        <v>0.6</v>
      </c>
      <c r="R803" s="9">
        <f t="shared" si="49"/>
        <v>599.6</v>
      </c>
      <c r="S803" s="9">
        <f>IF(R803="",AVERAGEIF(Table1[Category],Table1[[#This Row],[Category]],Table2[orignal data]),Table2[[#This Row],[orignal data]])</f>
        <v>599.6</v>
      </c>
      <c r="T803" t="str">
        <f t="shared" si="50"/>
        <v>UNIQUE</v>
      </c>
      <c r="U803" t="str">
        <f>IF(ISBLANK(Table1[[#This Row],[SizeOption]]),"NOT AVAILABLE",Table1[[#This Row],[SizeOption]])</f>
        <v>XS, S, M, L, XL, XXL</v>
      </c>
      <c r="Y803" t="str">
        <f>IF(Table2[[#This Row],[Column1]]&gt;50%,"HIGH DISCOUNT","LOW DISCOUNT")</f>
        <v>HIGH DISCOUNT</v>
      </c>
    </row>
    <row r="804" spans="1:25" x14ac:dyDescent="0.25">
      <c r="A804" s="1" t="s">
        <v>1887</v>
      </c>
      <c r="B804" s="1">
        <v>1271542</v>
      </c>
      <c r="C804" s="1" t="s">
        <v>1299</v>
      </c>
      <c r="D804" s="1" t="s">
        <v>28</v>
      </c>
      <c r="E804" s="1" t="s">
        <v>29</v>
      </c>
      <c r="F804" s="1" t="s">
        <v>17</v>
      </c>
      <c r="G804" s="1" t="s">
        <v>1888</v>
      </c>
      <c r="H804">
        <v>809</v>
      </c>
      <c r="I804" s="1">
        <v>1799</v>
      </c>
      <c r="J804" s="1" t="s">
        <v>25</v>
      </c>
      <c r="K804" s="1" t="s">
        <v>1674</v>
      </c>
      <c r="L804" s="1">
        <v>4.2</v>
      </c>
      <c r="M804" s="1">
        <v>856</v>
      </c>
      <c r="P804" t="str">
        <f t="shared" si="51"/>
        <v>55%</v>
      </c>
      <c r="Q804" s="12">
        <f t="shared" si="48"/>
        <v>0.55000000000000004</v>
      </c>
      <c r="R804" s="9">
        <f t="shared" si="49"/>
        <v>809.55</v>
      </c>
      <c r="S804" s="9">
        <f>IF(R804="",AVERAGEIF(Table1[Category],Table1[[#This Row],[Category]],Table2[orignal data]),Table2[[#This Row],[orignal data]])</f>
        <v>809.55</v>
      </c>
      <c r="T804" t="str">
        <f t="shared" si="50"/>
        <v>UNIQUE</v>
      </c>
      <c r="U804" t="str">
        <f>IF(ISBLANK(Table1[[#This Row],[SizeOption]]),"NOT AVAILABLE",Table1[[#This Row],[SizeOption]])</f>
        <v>38, 39, 40, 42, 44</v>
      </c>
      <c r="Y804" t="str">
        <f>IF(Table2[[#This Row],[Column1]]&gt;50%,"HIGH DISCOUNT","LOW DISCOUNT")</f>
        <v>HIGH DISCOUNT</v>
      </c>
    </row>
    <row r="805" spans="1:25" x14ac:dyDescent="0.25">
      <c r="A805" s="2" t="s">
        <v>1889</v>
      </c>
      <c r="B805" s="2">
        <v>10941758</v>
      </c>
      <c r="C805" s="2" t="s">
        <v>75</v>
      </c>
      <c r="D805" s="2" t="s">
        <v>76</v>
      </c>
      <c r="E805" s="2" t="s">
        <v>77</v>
      </c>
      <c r="F805" s="2" t="s">
        <v>36</v>
      </c>
      <c r="G805" s="2" t="s">
        <v>1890</v>
      </c>
      <c r="H805">
        <v>989</v>
      </c>
      <c r="I805" s="2">
        <v>2199</v>
      </c>
      <c r="J805" s="2" t="s">
        <v>25</v>
      </c>
      <c r="K805" s="2" t="s">
        <v>39</v>
      </c>
      <c r="L805" s="2">
        <v>4.0999999999999996</v>
      </c>
      <c r="M805" s="2">
        <v>856</v>
      </c>
      <c r="P805" t="str">
        <f t="shared" si="51"/>
        <v>55%</v>
      </c>
      <c r="Q805" s="12">
        <f t="shared" si="48"/>
        <v>0.55000000000000004</v>
      </c>
      <c r="R805" s="9">
        <f t="shared" si="49"/>
        <v>989.55</v>
      </c>
      <c r="S805" s="9">
        <f>IF(R805="",AVERAGEIF(Table1[Category],Table1[[#This Row],[Category]],Table2[orignal data]),Table2[[#This Row],[orignal data]])</f>
        <v>989.55</v>
      </c>
      <c r="T805" t="str">
        <f t="shared" si="50"/>
        <v>UNIQUE</v>
      </c>
      <c r="U805" t="str">
        <f>IF(ISBLANK(Table1[[#This Row],[SizeOption]]),"NOT AVAILABLE",Table1[[#This Row],[SizeOption]])</f>
        <v>S, M, L, XL, XXL</v>
      </c>
      <c r="Y805" t="str">
        <f>IF(Table2[[#This Row],[Column1]]&gt;50%,"HIGH DISCOUNT","LOW DISCOUNT")</f>
        <v>HIGH DISCOUNT</v>
      </c>
    </row>
    <row r="806" spans="1:25" x14ac:dyDescent="0.25">
      <c r="A806" s="1" t="s">
        <v>1891</v>
      </c>
      <c r="B806" s="1">
        <v>3077245</v>
      </c>
      <c r="C806" s="1" t="s">
        <v>52</v>
      </c>
      <c r="D806" s="1" t="s">
        <v>15</v>
      </c>
      <c r="E806" s="1" t="s">
        <v>53</v>
      </c>
      <c r="F806" s="1" t="s">
        <v>17</v>
      </c>
      <c r="G806" s="1" t="s">
        <v>1892</v>
      </c>
      <c r="H806">
        <v>589</v>
      </c>
      <c r="I806" s="1">
        <v>999</v>
      </c>
      <c r="J806" s="1" t="s">
        <v>1109</v>
      </c>
      <c r="K806" s="1" t="s">
        <v>56</v>
      </c>
      <c r="L806" s="1">
        <v>4</v>
      </c>
      <c r="M806" s="1">
        <v>855</v>
      </c>
      <c r="P806" t="str">
        <f t="shared" si="51"/>
        <v>41%</v>
      </c>
      <c r="Q806" s="12">
        <f t="shared" si="48"/>
        <v>0.41</v>
      </c>
      <c r="R806" s="9">
        <f t="shared" si="49"/>
        <v>589.41000000000008</v>
      </c>
      <c r="S806" s="9">
        <f>IF(R806="",AVERAGEIF(Table1[Category],Table1[[#This Row],[Category]],Table2[orignal data]),Table2[[#This Row],[orignal data]])</f>
        <v>589.41000000000008</v>
      </c>
      <c r="T806" t="str">
        <f t="shared" si="50"/>
        <v>UNIQUE</v>
      </c>
      <c r="U806" t="str">
        <f>IF(ISBLANK(Table1[[#This Row],[SizeOption]]),"NOT AVAILABLE",Table1[[#This Row],[SizeOption]])</f>
        <v>30, 32, 34, 36</v>
      </c>
      <c r="Y806" t="str">
        <f>IF(Table2[[#This Row],[Column1]]&gt;50%,"HIGH DISCOUNT","LOW DISCOUNT")</f>
        <v>LOW DISCOUNT</v>
      </c>
    </row>
    <row r="807" spans="1:25" x14ac:dyDescent="0.25">
      <c r="A807" s="2" t="s">
        <v>1893</v>
      </c>
      <c r="B807" s="2">
        <v>10004171</v>
      </c>
      <c r="C807" s="2" t="s">
        <v>52</v>
      </c>
      <c r="D807" s="2" t="s">
        <v>15</v>
      </c>
      <c r="E807" s="2" t="s">
        <v>53</v>
      </c>
      <c r="F807" s="2" t="s">
        <v>17</v>
      </c>
      <c r="G807" s="2" t="s">
        <v>1894</v>
      </c>
      <c r="H807">
        <v>591</v>
      </c>
      <c r="I807" s="2">
        <v>1599</v>
      </c>
      <c r="J807" s="2" t="s">
        <v>476</v>
      </c>
      <c r="K807" s="2" t="s">
        <v>56</v>
      </c>
      <c r="L807" s="2">
        <v>4</v>
      </c>
      <c r="M807" s="2">
        <v>855</v>
      </c>
      <c r="P807" t="str">
        <f t="shared" si="51"/>
        <v>63%</v>
      </c>
      <c r="Q807" s="12">
        <f t="shared" si="48"/>
        <v>0.63</v>
      </c>
      <c r="R807" s="9">
        <f t="shared" si="49"/>
        <v>591.63</v>
      </c>
      <c r="S807" s="9">
        <f>IF(R807="",AVERAGEIF(Table1[Category],Table1[[#This Row],[Category]],Table2[orignal data]),Table2[[#This Row],[orignal data]])</f>
        <v>591.63</v>
      </c>
      <c r="T807" t="str">
        <f t="shared" si="50"/>
        <v>UNIQUE</v>
      </c>
      <c r="U807" t="str">
        <f>IF(ISBLANK(Table1[[#This Row],[SizeOption]]),"NOT AVAILABLE",Table1[[#This Row],[SizeOption]])</f>
        <v>30, 32, 34, 36</v>
      </c>
      <c r="Y807" t="str">
        <f>IF(Table2[[#This Row],[Column1]]&gt;50%,"HIGH DISCOUNT","LOW DISCOUNT")</f>
        <v>HIGH DISCOUNT</v>
      </c>
    </row>
    <row r="808" spans="1:25" x14ac:dyDescent="0.25">
      <c r="A808" s="1" t="s">
        <v>1895</v>
      </c>
      <c r="B808" s="1">
        <v>8962359</v>
      </c>
      <c r="C808" s="1" t="s">
        <v>14</v>
      </c>
      <c r="D808" s="1" t="s">
        <v>15</v>
      </c>
      <c r="E808" s="1" t="s">
        <v>16</v>
      </c>
      <c r="F808" s="1" t="s">
        <v>17</v>
      </c>
      <c r="G808" s="1" t="s">
        <v>1896</v>
      </c>
      <c r="H808">
        <v>674</v>
      </c>
      <c r="I808" s="1">
        <v>1499</v>
      </c>
      <c r="J808" s="1" t="s">
        <v>25</v>
      </c>
      <c r="K808" s="1" t="s">
        <v>134</v>
      </c>
      <c r="L808" s="1">
        <v>3.9</v>
      </c>
      <c r="M808" s="1">
        <v>855</v>
      </c>
      <c r="P808" t="str">
        <f t="shared" si="51"/>
        <v>55%</v>
      </c>
      <c r="Q808" s="12">
        <f t="shared" si="48"/>
        <v>0.55000000000000004</v>
      </c>
      <c r="R808" s="9">
        <f t="shared" si="49"/>
        <v>674.55</v>
      </c>
      <c r="S808" s="9">
        <f>IF(R808="",AVERAGEIF(Table1[Category],Table1[[#This Row],[Category]],Table2[orignal data]),Table2[[#This Row],[orignal data]])</f>
        <v>674.55</v>
      </c>
      <c r="T808" t="str">
        <f t="shared" si="50"/>
        <v>UNIQUE</v>
      </c>
      <c r="U808" t="str">
        <f>IF(ISBLANK(Table1[[#This Row],[SizeOption]]),"NOT AVAILABLE",Table1[[#This Row],[SizeOption]])</f>
        <v>26, 28, 30, 32, 34, 36</v>
      </c>
      <c r="Y808" t="str">
        <f>IF(Table2[[#This Row],[Column1]]&gt;50%,"HIGH DISCOUNT","LOW DISCOUNT")</f>
        <v>HIGH DISCOUNT</v>
      </c>
    </row>
    <row r="809" spans="1:25" x14ac:dyDescent="0.25">
      <c r="A809" s="2" t="s">
        <v>1897</v>
      </c>
      <c r="B809" s="2">
        <v>10341661</v>
      </c>
      <c r="C809" s="2" t="s">
        <v>52</v>
      </c>
      <c r="D809" s="2" t="s">
        <v>15</v>
      </c>
      <c r="E809" s="2" t="s">
        <v>137</v>
      </c>
      <c r="F809" s="2" t="s">
        <v>17</v>
      </c>
      <c r="G809" s="2" t="s">
        <v>1898</v>
      </c>
      <c r="H809">
        <v>499</v>
      </c>
      <c r="I809" s="2">
        <v>1249</v>
      </c>
      <c r="J809" s="2" t="s">
        <v>55</v>
      </c>
      <c r="K809" s="2" t="s">
        <v>56</v>
      </c>
      <c r="L809" s="2">
        <v>4.2</v>
      </c>
      <c r="M809" s="2">
        <v>855</v>
      </c>
      <c r="P809" t="str">
        <f t="shared" si="51"/>
        <v>60%</v>
      </c>
      <c r="Q809" s="12">
        <f t="shared" si="48"/>
        <v>0.6</v>
      </c>
      <c r="R809" s="9">
        <f t="shared" si="49"/>
        <v>499.6</v>
      </c>
      <c r="S809" s="9">
        <f>IF(R809="",AVERAGEIF(Table1[Category],Table1[[#This Row],[Category]],Table2[orignal data]),Table2[[#This Row],[orignal data]])</f>
        <v>499.6</v>
      </c>
      <c r="T809" t="str">
        <f t="shared" si="50"/>
        <v>UNIQUE</v>
      </c>
      <c r="U809" t="str">
        <f>IF(ISBLANK(Table1[[#This Row],[SizeOption]]),"NOT AVAILABLE",Table1[[#This Row],[SizeOption]])</f>
        <v>30, 32, 34, 36</v>
      </c>
      <c r="Y809" t="str">
        <f>IF(Table2[[#This Row],[Column1]]&gt;50%,"HIGH DISCOUNT","LOW DISCOUNT")</f>
        <v>HIGH DISCOUNT</v>
      </c>
    </row>
    <row r="810" spans="1:25" x14ac:dyDescent="0.25">
      <c r="A810" s="1" t="s">
        <v>1899</v>
      </c>
      <c r="B810" s="1">
        <v>11325776</v>
      </c>
      <c r="C810" s="1" t="s">
        <v>14</v>
      </c>
      <c r="D810" s="1" t="s">
        <v>28</v>
      </c>
      <c r="E810" s="1" t="s">
        <v>29</v>
      </c>
      <c r="F810" s="1" t="s">
        <v>17</v>
      </c>
      <c r="G810" s="1" t="s">
        <v>1900</v>
      </c>
      <c r="H810">
        <v>779</v>
      </c>
      <c r="I810" s="1">
        <v>1299</v>
      </c>
      <c r="J810" s="1" t="s">
        <v>50</v>
      </c>
      <c r="K810" s="1" t="s">
        <v>31</v>
      </c>
      <c r="L810" s="1">
        <v>4.2</v>
      </c>
      <c r="M810" s="1">
        <v>855</v>
      </c>
      <c r="P810" t="str">
        <f t="shared" si="51"/>
        <v>40%</v>
      </c>
      <c r="Q810" s="12">
        <f t="shared" si="48"/>
        <v>0.4</v>
      </c>
      <c r="R810" s="9">
        <f t="shared" si="49"/>
        <v>779.4</v>
      </c>
      <c r="S810" s="9">
        <f>IF(R810="",AVERAGEIF(Table1[Category],Table1[[#This Row],[Category]],Table2[orignal data]),Table2[[#This Row],[orignal data]])</f>
        <v>779.4</v>
      </c>
      <c r="T810" t="str">
        <f t="shared" si="50"/>
        <v>UNIQUE</v>
      </c>
      <c r="U810" t="str">
        <f>IF(ISBLANK(Table1[[#This Row],[SizeOption]]),"NOT AVAILABLE",Table1[[#This Row],[SizeOption]])</f>
        <v>38, 40, 42, 44, 46, 48</v>
      </c>
      <c r="Y810" t="str">
        <f>IF(Table2[[#This Row],[Column1]]&gt;50%,"HIGH DISCOUNT","LOW DISCOUNT")</f>
        <v>LOW DISCOUNT</v>
      </c>
    </row>
    <row r="811" spans="1:25" x14ac:dyDescent="0.25">
      <c r="A811" s="2" t="s">
        <v>1901</v>
      </c>
      <c r="B811" s="2">
        <v>8350295</v>
      </c>
      <c r="C811" s="2" t="s">
        <v>97</v>
      </c>
      <c r="D811" s="2" t="s">
        <v>76</v>
      </c>
      <c r="E811" s="2" t="s">
        <v>77</v>
      </c>
      <c r="F811" s="2" t="s">
        <v>36</v>
      </c>
      <c r="G811" s="2" t="s">
        <v>1902</v>
      </c>
      <c r="H811">
        <v>2254</v>
      </c>
      <c r="I811" s="2">
        <v>4099</v>
      </c>
      <c r="J811" s="2" t="s">
        <v>19</v>
      </c>
      <c r="K811" s="2" t="s">
        <v>100</v>
      </c>
      <c r="L811" s="2">
        <v>4.4000000000000004</v>
      </c>
      <c r="M811" s="2">
        <v>855</v>
      </c>
      <c r="P811" t="str">
        <f t="shared" si="51"/>
        <v>45%</v>
      </c>
      <c r="Q811" s="12">
        <f t="shared" si="48"/>
        <v>0.45</v>
      </c>
      <c r="R811" s="9">
        <f t="shared" si="49"/>
        <v>2254.4499999999998</v>
      </c>
      <c r="S811" s="9">
        <f>IF(R811="",AVERAGEIF(Table1[Category],Table1[[#This Row],[Category]],Table2[orignal data]),Table2[[#This Row],[orignal data]])</f>
        <v>2254.4499999999998</v>
      </c>
      <c r="T811" t="str">
        <f t="shared" si="50"/>
        <v>UNIQUE</v>
      </c>
      <c r="U811" t="str">
        <f>IF(ISBLANK(Table1[[#This Row],[SizeOption]]),"NOT AVAILABLE",Table1[[#This Row],[SizeOption]])</f>
        <v>XS, S, M, L, XL, XXL, 3XL</v>
      </c>
      <c r="Y811" t="str">
        <f>IF(Table2[[#This Row],[Column1]]&gt;50%,"HIGH DISCOUNT","LOW DISCOUNT")</f>
        <v>LOW DISCOUNT</v>
      </c>
    </row>
    <row r="812" spans="1:25" x14ac:dyDescent="0.25">
      <c r="A812" s="1" t="s">
        <v>1903</v>
      </c>
      <c r="B812" s="1">
        <v>4891838</v>
      </c>
      <c r="C812" s="1" t="s">
        <v>591</v>
      </c>
      <c r="D812" s="1" t="s">
        <v>76</v>
      </c>
      <c r="E812" s="1" t="s">
        <v>592</v>
      </c>
      <c r="F812" s="1" t="s">
        <v>36</v>
      </c>
      <c r="G812" s="1" t="s">
        <v>1542</v>
      </c>
      <c r="I812" s="1">
        <v>699</v>
      </c>
      <c r="J812" s="1"/>
      <c r="K812" s="1" t="s">
        <v>26</v>
      </c>
      <c r="L812" s="1">
        <v>4.5</v>
      </c>
      <c r="M812" s="1">
        <v>855</v>
      </c>
      <c r="P812" t="str">
        <f t="shared" si="51"/>
        <v/>
      </c>
      <c r="Q812" s="12" t="str">
        <f t="shared" si="48"/>
        <v/>
      </c>
      <c r="R812" s="9" t="str">
        <f t="shared" si="49"/>
        <v/>
      </c>
      <c r="S812" s="9">
        <f>IF(R812="",AVERAGEIF(Table1[Category],Table1[[#This Row],[Category]],Table2[orignal data]),Table2[[#This Row],[orignal data]])</f>
        <v>1045.2418648648661</v>
      </c>
      <c r="T812" t="str">
        <f t="shared" si="50"/>
        <v>UNIQUE</v>
      </c>
      <c r="U812" t="str">
        <f>IF(ISBLANK(Table1[[#This Row],[SizeOption]]),"NOT AVAILABLE",Table1[[#This Row],[SizeOption]])</f>
        <v>S, M, L, XL</v>
      </c>
      <c r="Y812" t="str">
        <f>IF(Table2[[#This Row],[Column1]]&gt;50%,"HIGH DISCOUNT","LOW DISCOUNT")</f>
        <v>HIGH DISCOUNT</v>
      </c>
    </row>
    <row r="813" spans="1:25" x14ac:dyDescent="0.25">
      <c r="A813" s="2" t="s">
        <v>1904</v>
      </c>
      <c r="B813" s="2">
        <v>11053868</v>
      </c>
      <c r="C813" s="2" t="s">
        <v>377</v>
      </c>
      <c r="D813" s="2" t="s">
        <v>98</v>
      </c>
      <c r="E813" s="2" t="s">
        <v>93</v>
      </c>
      <c r="F813" s="2" t="s">
        <v>36</v>
      </c>
      <c r="G813" s="2" t="s">
        <v>1905</v>
      </c>
      <c r="H813">
        <v>573</v>
      </c>
      <c r="I813" s="2">
        <v>1399</v>
      </c>
      <c r="J813" s="2" t="s">
        <v>95</v>
      </c>
      <c r="K813" s="2" t="s">
        <v>39</v>
      </c>
      <c r="L813" s="2">
        <v>3.8</v>
      </c>
      <c r="M813" s="2">
        <v>855</v>
      </c>
      <c r="P813" t="str">
        <f t="shared" si="51"/>
        <v>59%</v>
      </c>
      <c r="Q813" s="12">
        <f t="shared" si="48"/>
        <v>0.59</v>
      </c>
      <c r="R813" s="9">
        <f t="shared" si="49"/>
        <v>573.59</v>
      </c>
      <c r="S813" s="9">
        <f>IF(R813="",AVERAGEIF(Table1[Category],Table1[[#This Row],[Category]],Table2[orignal data]),Table2[[#This Row],[orignal data]])</f>
        <v>573.59</v>
      </c>
      <c r="T813" t="str">
        <f t="shared" si="50"/>
        <v>UNIQUE</v>
      </c>
      <c r="U813" t="str">
        <f>IF(ISBLANK(Table1[[#This Row],[SizeOption]]),"NOT AVAILABLE",Table1[[#This Row],[SizeOption]])</f>
        <v>S, M, L, XL, XXL</v>
      </c>
      <c r="Y813" t="str">
        <f>IF(Table2[[#This Row],[Column1]]&gt;50%,"HIGH DISCOUNT","LOW DISCOUNT")</f>
        <v>HIGH DISCOUNT</v>
      </c>
    </row>
    <row r="814" spans="1:25" x14ac:dyDescent="0.25">
      <c r="A814" s="1" t="s">
        <v>1906</v>
      </c>
      <c r="B814" s="1">
        <v>2075643</v>
      </c>
      <c r="C814" s="1" t="s">
        <v>295</v>
      </c>
      <c r="D814" s="1" t="s">
        <v>197</v>
      </c>
      <c r="E814" s="1" t="s">
        <v>198</v>
      </c>
      <c r="F814" s="1" t="s">
        <v>17</v>
      </c>
      <c r="G814" s="1" t="s">
        <v>1907</v>
      </c>
      <c r="H814">
        <v>317</v>
      </c>
      <c r="I814" s="1">
        <v>489</v>
      </c>
      <c r="J814" s="1" t="s">
        <v>44</v>
      </c>
      <c r="K814" s="1" t="s">
        <v>164</v>
      </c>
      <c r="L814" s="1">
        <v>4.2</v>
      </c>
      <c r="M814" s="1">
        <v>854</v>
      </c>
      <c r="P814" t="str">
        <f t="shared" si="51"/>
        <v>35%</v>
      </c>
      <c r="Q814" s="12">
        <f t="shared" si="48"/>
        <v>0.35</v>
      </c>
      <c r="R814" s="9">
        <f t="shared" si="49"/>
        <v>317.85000000000002</v>
      </c>
      <c r="S814" s="9">
        <f>IF(R814="",AVERAGEIF(Table1[Category],Table1[[#This Row],[Category]],Table2[orignal data]),Table2[[#This Row],[orignal data]])</f>
        <v>317.85000000000002</v>
      </c>
      <c r="T814" t="str">
        <f t="shared" si="50"/>
        <v>UNIQUE</v>
      </c>
      <c r="U814" t="str">
        <f>IF(ISBLANK(Table1[[#This Row],[SizeOption]]),"NOT AVAILABLE",Table1[[#This Row],[SizeOption]])</f>
        <v>Onesize</v>
      </c>
      <c r="Y814" t="str">
        <f>IF(Table2[[#This Row],[Column1]]&gt;50%,"HIGH DISCOUNT","LOW DISCOUNT")</f>
        <v>LOW DISCOUNT</v>
      </c>
    </row>
    <row r="815" spans="1:25" x14ac:dyDescent="0.25">
      <c r="A815" s="2" t="s">
        <v>1908</v>
      </c>
      <c r="B815" s="2">
        <v>10944952</v>
      </c>
      <c r="C815" s="2" t="s">
        <v>14</v>
      </c>
      <c r="D815" s="2" t="s">
        <v>28</v>
      </c>
      <c r="E815" s="2" t="s">
        <v>29</v>
      </c>
      <c r="F815" s="2" t="s">
        <v>17</v>
      </c>
      <c r="G815" s="2" t="s">
        <v>1909</v>
      </c>
      <c r="H815">
        <v>599</v>
      </c>
      <c r="I815" s="2">
        <v>1499</v>
      </c>
      <c r="J815" s="2" t="s">
        <v>55</v>
      </c>
      <c r="K815" s="2" t="s">
        <v>31</v>
      </c>
      <c r="L815" s="2">
        <v>4.4000000000000004</v>
      </c>
      <c r="M815" s="2">
        <v>854</v>
      </c>
      <c r="P815" t="str">
        <f t="shared" si="51"/>
        <v>60%</v>
      </c>
      <c r="Q815" s="12">
        <f t="shared" si="48"/>
        <v>0.6</v>
      </c>
      <c r="R815" s="9">
        <f t="shared" si="49"/>
        <v>599.6</v>
      </c>
      <c r="S815" s="9">
        <f>IF(R815="",AVERAGEIF(Table1[Category],Table1[[#This Row],[Category]],Table2[orignal data]),Table2[[#This Row],[orignal data]])</f>
        <v>599.6</v>
      </c>
      <c r="T815" t="str">
        <f t="shared" si="50"/>
        <v>UNIQUE</v>
      </c>
      <c r="U815" t="str">
        <f>IF(ISBLANK(Table1[[#This Row],[SizeOption]]),"NOT AVAILABLE",Table1[[#This Row],[SizeOption]])</f>
        <v>38, 40, 42, 44, 46, 48</v>
      </c>
      <c r="Y815" t="str">
        <f>IF(Table2[[#This Row],[Column1]]&gt;50%,"HIGH DISCOUNT","LOW DISCOUNT")</f>
        <v>HIGH DISCOUNT</v>
      </c>
    </row>
    <row r="816" spans="1:25" x14ac:dyDescent="0.25">
      <c r="A816" s="1" t="s">
        <v>1910</v>
      </c>
      <c r="B816" s="1">
        <v>11991426</v>
      </c>
      <c r="C816" s="1" t="s">
        <v>14</v>
      </c>
      <c r="D816" s="1" t="s">
        <v>41</v>
      </c>
      <c r="E816" s="1" t="s">
        <v>306</v>
      </c>
      <c r="F816" s="1" t="s">
        <v>36</v>
      </c>
      <c r="G816" s="1" t="s">
        <v>1911</v>
      </c>
      <c r="I816" s="1">
        <v>1199</v>
      </c>
      <c r="J816" s="1" t="s">
        <v>186</v>
      </c>
      <c r="K816" s="1" t="s">
        <v>115</v>
      </c>
      <c r="L816" s="1">
        <v>4.3</v>
      </c>
      <c r="M816" s="1">
        <v>854</v>
      </c>
      <c r="P816" t="str">
        <f t="shared" si="51"/>
        <v>30%</v>
      </c>
      <c r="Q816" s="12">
        <f t="shared" si="48"/>
        <v>0.3</v>
      </c>
      <c r="R816" s="9">
        <f t="shared" si="49"/>
        <v>839.3</v>
      </c>
      <c r="S816" s="9">
        <f>IF(R816="",AVERAGEIF(Table1[Category],Table1[[#This Row],[Category]],Table2[orignal data]),Table2[[#This Row],[orignal data]])</f>
        <v>839.3</v>
      </c>
      <c r="T816" t="str">
        <f t="shared" si="50"/>
        <v>UNIQUE</v>
      </c>
      <c r="U816" t="str">
        <f>IF(ISBLANK(Table1[[#This Row],[SizeOption]]),"NOT AVAILABLE",Table1[[#This Row],[SizeOption]])</f>
        <v>XS, S, M, L, XL, XXL</v>
      </c>
      <c r="Y816" t="str">
        <f>IF(Table2[[#This Row],[Column1]]&gt;50%,"HIGH DISCOUNT","LOW DISCOUNT")</f>
        <v>LOW DISCOUNT</v>
      </c>
    </row>
    <row r="817" spans="1:25" x14ac:dyDescent="0.25">
      <c r="A817" s="2" t="s">
        <v>1912</v>
      </c>
      <c r="B817" s="2">
        <v>11554556</v>
      </c>
      <c r="C817" s="2" t="s">
        <v>1345</v>
      </c>
      <c r="D817" s="2" t="s">
        <v>41</v>
      </c>
      <c r="E817" s="2" t="s">
        <v>16</v>
      </c>
      <c r="F817" s="2" t="s">
        <v>36</v>
      </c>
      <c r="G817" s="2" t="s">
        <v>1686</v>
      </c>
      <c r="I817" s="2">
        <v>1299</v>
      </c>
      <c r="J817" s="2" t="s">
        <v>1913</v>
      </c>
      <c r="K817" s="2" t="s">
        <v>1914</v>
      </c>
      <c r="L817" s="2">
        <v>4.4000000000000004</v>
      </c>
      <c r="M817" s="2">
        <v>854</v>
      </c>
      <c r="P817" t="str">
        <f t="shared" si="51"/>
        <v>26%</v>
      </c>
      <c r="Q817" s="12">
        <f t="shared" si="48"/>
        <v>0.26</v>
      </c>
      <c r="R817" s="9">
        <f t="shared" si="49"/>
        <v>961.26</v>
      </c>
      <c r="S817" s="9">
        <f>IF(R817="",AVERAGEIF(Table1[Category],Table1[[#This Row],[Category]],Table2[orignal data]),Table2[[#This Row],[orignal data]])</f>
        <v>961.26</v>
      </c>
      <c r="T817" t="str">
        <f t="shared" si="50"/>
        <v>UNIQUE</v>
      </c>
      <c r="U817" t="str">
        <f>IF(ISBLANK(Table1[[#This Row],[SizeOption]]),"NOT AVAILABLE",Table1[[#This Row],[SizeOption]])</f>
        <v>26, 28, 30, 32, 34, 36, 38, 40, 42, 44</v>
      </c>
      <c r="Y817" t="str">
        <f>IF(Table2[[#This Row],[Column1]]&gt;50%,"HIGH DISCOUNT","LOW DISCOUNT")</f>
        <v>LOW DISCOUNT</v>
      </c>
    </row>
    <row r="818" spans="1:25" x14ac:dyDescent="0.25">
      <c r="A818" s="1" t="s">
        <v>1915</v>
      </c>
      <c r="B818" s="1">
        <v>10106211</v>
      </c>
      <c r="C818" s="1" t="s">
        <v>67</v>
      </c>
      <c r="D818" s="1" t="s">
        <v>68</v>
      </c>
      <c r="E818" s="1" t="s">
        <v>42</v>
      </c>
      <c r="F818" s="1" t="s">
        <v>17</v>
      </c>
      <c r="G818" s="1" t="s">
        <v>1916</v>
      </c>
      <c r="I818" s="1">
        <v>1099</v>
      </c>
      <c r="J818" s="1"/>
      <c r="K818" s="1" t="s">
        <v>39</v>
      </c>
      <c r="L818" s="1">
        <v>4.2</v>
      </c>
      <c r="M818" s="1">
        <v>853</v>
      </c>
      <c r="P818" t="str">
        <f t="shared" si="51"/>
        <v/>
      </c>
      <c r="Q818" s="12" t="str">
        <f t="shared" si="48"/>
        <v/>
      </c>
      <c r="R818" s="9" t="str">
        <f t="shared" si="49"/>
        <v/>
      </c>
      <c r="S818" s="9">
        <f>IF(R818="",AVERAGEIF(Table1[Category],Table1[[#This Row],[Category]],Table2[orignal data]),Table2[[#This Row],[orignal data]])</f>
        <v>734.32085365853686</v>
      </c>
      <c r="T818" t="str">
        <f t="shared" si="50"/>
        <v>UNIQUE</v>
      </c>
      <c r="U818" t="str">
        <f>IF(ISBLANK(Table1[[#This Row],[SizeOption]]),"NOT AVAILABLE",Table1[[#This Row],[SizeOption]])</f>
        <v>S, M, L, XL, XXL</v>
      </c>
      <c r="Y818" t="str">
        <f>IF(Table2[[#This Row],[Column1]]&gt;50%,"HIGH DISCOUNT","LOW DISCOUNT")</f>
        <v>HIGH DISCOUNT</v>
      </c>
    </row>
    <row r="819" spans="1:25" x14ac:dyDescent="0.25">
      <c r="A819" s="2" t="s">
        <v>1917</v>
      </c>
      <c r="B819" s="2">
        <v>12032544</v>
      </c>
      <c r="C819" s="2" t="s">
        <v>22</v>
      </c>
      <c r="D819" s="2" t="s">
        <v>28</v>
      </c>
      <c r="E819" s="2" t="s">
        <v>29</v>
      </c>
      <c r="F819" s="2" t="s">
        <v>17</v>
      </c>
      <c r="G819" s="2" t="s">
        <v>1918</v>
      </c>
      <c r="H819">
        <v>571</v>
      </c>
      <c r="I819" s="2">
        <v>1299</v>
      </c>
      <c r="J819" s="2" t="s">
        <v>1204</v>
      </c>
      <c r="K819" s="2" t="s">
        <v>90</v>
      </c>
      <c r="L819" s="2">
        <v>4.0999999999999996</v>
      </c>
      <c r="M819" s="2">
        <v>853</v>
      </c>
      <c r="P819" t="str">
        <f t="shared" si="51"/>
        <v>56%</v>
      </c>
      <c r="Q819" s="12">
        <f t="shared" si="48"/>
        <v>0.56000000000000005</v>
      </c>
      <c r="R819" s="9">
        <f t="shared" si="49"/>
        <v>571.55999999999995</v>
      </c>
      <c r="S819" s="9">
        <f>IF(R819="",AVERAGEIF(Table1[Category],Table1[[#This Row],[Category]],Table2[orignal data]),Table2[[#This Row],[orignal data]])</f>
        <v>571.55999999999995</v>
      </c>
      <c r="T819" t="str">
        <f t="shared" si="50"/>
        <v>UNIQUE</v>
      </c>
      <c r="U819" t="str">
        <f>IF(ISBLANK(Table1[[#This Row],[SizeOption]]),"NOT AVAILABLE",Table1[[#This Row],[SizeOption]])</f>
        <v>39, 40, 42, 44</v>
      </c>
      <c r="Y819" t="str">
        <f>IF(Table2[[#This Row],[Column1]]&gt;50%,"HIGH DISCOUNT","LOW DISCOUNT")</f>
        <v>HIGH DISCOUNT</v>
      </c>
    </row>
    <row r="820" spans="1:25" x14ac:dyDescent="0.25">
      <c r="A820" s="1" t="s">
        <v>1919</v>
      </c>
      <c r="B820" s="1">
        <v>13706216</v>
      </c>
      <c r="C820" s="1" t="s">
        <v>1465</v>
      </c>
      <c r="D820" s="1" t="s">
        <v>76</v>
      </c>
      <c r="E820" s="1" t="s">
        <v>48</v>
      </c>
      <c r="F820" s="1" t="s">
        <v>36</v>
      </c>
      <c r="G820" s="1" t="s">
        <v>1920</v>
      </c>
      <c r="H820">
        <v>599</v>
      </c>
      <c r="I820" s="1">
        <v>1199</v>
      </c>
      <c r="J820" s="1" t="s">
        <v>84</v>
      </c>
      <c r="K820" s="1" t="s">
        <v>45</v>
      </c>
      <c r="L820" s="1">
        <v>3.9</v>
      </c>
      <c r="M820" s="1">
        <v>853</v>
      </c>
      <c r="P820" t="str">
        <f t="shared" si="51"/>
        <v>50%</v>
      </c>
      <c r="Q820" s="12">
        <f t="shared" si="48"/>
        <v>0.5</v>
      </c>
      <c r="R820" s="9">
        <f t="shared" si="49"/>
        <v>599.5</v>
      </c>
      <c r="S820" s="9">
        <f>IF(R820="",AVERAGEIF(Table1[Category],Table1[[#This Row],[Category]],Table2[orignal data]),Table2[[#This Row],[orignal data]])</f>
        <v>599.5</v>
      </c>
      <c r="T820" t="str">
        <f t="shared" si="50"/>
        <v>UNIQUE</v>
      </c>
      <c r="U820" t="str">
        <f>IF(ISBLANK(Table1[[#This Row],[SizeOption]]),"NOT AVAILABLE",Table1[[#This Row],[SizeOption]])</f>
        <v>XS, S, M, L, XL</v>
      </c>
      <c r="Y820" t="str">
        <f>IF(Table2[[#This Row],[Column1]]&gt;50%,"HIGH DISCOUNT","LOW DISCOUNT")</f>
        <v>LOW DISCOUNT</v>
      </c>
    </row>
    <row r="821" spans="1:25" x14ac:dyDescent="0.25">
      <c r="A821" s="2" t="s">
        <v>1921</v>
      </c>
      <c r="B821" s="2">
        <v>13532336</v>
      </c>
      <c r="C821" s="2" t="s">
        <v>64</v>
      </c>
      <c r="D821" s="2" t="s">
        <v>98</v>
      </c>
      <c r="E821" s="2" t="s">
        <v>16</v>
      </c>
      <c r="F821" s="2" t="s">
        <v>36</v>
      </c>
      <c r="G821" s="2" t="s">
        <v>1922</v>
      </c>
      <c r="H821">
        <v>764</v>
      </c>
      <c r="I821" s="2">
        <v>1699</v>
      </c>
      <c r="J821" s="2" t="s">
        <v>25</v>
      </c>
      <c r="K821" s="2" t="s">
        <v>643</v>
      </c>
      <c r="L821" s="2">
        <v>3.9</v>
      </c>
      <c r="M821" s="2">
        <v>853</v>
      </c>
      <c r="P821" t="str">
        <f t="shared" si="51"/>
        <v>55%</v>
      </c>
      <c r="Q821" s="12">
        <f t="shared" si="48"/>
        <v>0.55000000000000004</v>
      </c>
      <c r="R821" s="9">
        <f t="shared" si="49"/>
        <v>764.55</v>
      </c>
      <c r="S821" s="9">
        <f>IF(R821="",AVERAGEIF(Table1[Category],Table1[[#This Row],[Category]],Table2[orignal data]),Table2[[#This Row],[orignal data]])</f>
        <v>764.55</v>
      </c>
      <c r="T821" t="str">
        <f t="shared" si="50"/>
        <v>UNIQUE</v>
      </c>
      <c r="U821" t="str">
        <f>IF(ISBLANK(Table1[[#This Row],[SizeOption]]),"NOT AVAILABLE",Table1[[#This Row],[SizeOption]])</f>
        <v>26, 28, 30, 32, 34, 36, 38, 40</v>
      </c>
      <c r="Y821" t="str">
        <f>IF(Table2[[#This Row],[Column1]]&gt;50%,"HIGH DISCOUNT","LOW DISCOUNT")</f>
        <v>HIGH DISCOUNT</v>
      </c>
    </row>
    <row r="822" spans="1:25" x14ac:dyDescent="0.25">
      <c r="A822" s="1" t="s">
        <v>1923</v>
      </c>
      <c r="B822" s="1">
        <v>9479095</v>
      </c>
      <c r="C822" s="1" t="s">
        <v>14</v>
      </c>
      <c r="D822" s="1" t="s">
        <v>41</v>
      </c>
      <c r="E822" s="1" t="s">
        <v>189</v>
      </c>
      <c r="F822" s="1" t="s">
        <v>36</v>
      </c>
      <c r="G822" s="1" t="s">
        <v>1924</v>
      </c>
      <c r="I822" s="1">
        <v>3699</v>
      </c>
      <c r="J822" s="1" t="s">
        <v>79</v>
      </c>
      <c r="K822" s="1" t="s">
        <v>115</v>
      </c>
      <c r="L822" s="1">
        <v>4.3</v>
      </c>
      <c r="M822" s="1">
        <v>853</v>
      </c>
      <c r="P822" t="str">
        <f t="shared" si="51"/>
        <v>70%</v>
      </c>
      <c r="Q822" s="12">
        <f t="shared" si="48"/>
        <v>0.7</v>
      </c>
      <c r="R822" s="9">
        <f t="shared" si="49"/>
        <v>1109.7000000000003</v>
      </c>
      <c r="S822" s="9">
        <f>IF(R822="",AVERAGEIF(Table1[Category],Table1[[#This Row],[Category]],Table2[orignal data]),Table2[[#This Row],[orignal data]])</f>
        <v>1109.7000000000003</v>
      </c>
      <c r="T822" t="str">
        <f t="shared" si="50"/>
        <v>UNIQUE</v>
      </c>
      <c r="U822" t="str">
        <f>IF(ISBLANK(Table1[[#This Row],[SizeOption]]),"NOT AVAILABLE",Table1[[#This Row],[SizeOption]])</f>
        <v>XS, S, M, L, XL, XXL</v>
      </c>
      <c r="Y822" t="str">
        <f>IF(Table2[[#This Row],[Column1]]&gt;50%,"HIGH DISCOUNT","LOW DISCOUNT")</f>
        <v>HIGH DISCOUNT</v>
      </c>
    </row>
    <row r="823" spans="1:25" x14ac:dyDescent="0.25">
      <c r="A823" s="2" t="s">
        <v>1925</v>
      </c>
      <c r="B823" s="2">
        <v>1959220</v>
      </c>
      <c r="C823" s="2" t="s">
        <v>201</v>
      </c>
      <c r="D823" s="2" t="s">
        <v>15</v>
      </c>
      <c r="E823" s="2" t="s">
        <v>16</v>
      </c>
      <c r="F823" s="2" t="s">
        <v>17</v>
      </c>
      <c r="G823" s="2" t="s">
        <v>1926</v>
      </c>
      <c r="H823">
        <v>1034</v>
      </c>
      <c r="I823" s="2">
        <v>2299</v>
      </c>
      <c r="J823" s="2" t="s">
        <v>25</v>
      </c>
      <c r="K823" s="2" t="s">
        <v>171</v>
      </c>
      <c r="L823" s="2">
        <v>3.9</v>
      </c>
      <c r="M823" s="2">
        <v>852</v>
      </c>
      <c r="P823" t="str">
        <f t="shared" si="51"/>
        <v>55%</v>
      </c>
      <c r="Q823" s="12">
        <f t="shared" si="48"/>
        <v>0.55000000000000004</v>
      </c>
      <c r="R823" s="9">
        <f t="shared" si="49"/>
        <v>1034.55</v>
      </c>
      <c r="S823" s="9">
        <f>IF(R823="",AVERAGEIF(Table1[Category],Table1[[#This Row],[Category]],Table2[orignal data]),Table2[[#This Row],[orignal data]])</f>
        <v>1034.55</v>
      </c>
      <c r="T823" t="str">
        <f t="shared" si="50"/>
        <v>UNIQUE</v>
      </c>
      <c r="U823" t="str">
        <f>IF(ISBLANK(Table1[[#This Row],[SizeOption]]),"NOT AVAILABLE",Table1[[#This Row],[SizeOption]])</f>
        <v>28, 30, 32, 34, 36, 38</v>
      </c>
      <c r="Y823" t="str">
        <f>IF(Table2[[#This Row],[Column1]]&gt;50%,"HIGH DISCOUNT","LOW DISCOUNT")</f>
        <v>HIGH DISCOUNT</v>
      </c>
    </row>
    <row r="824" spans="1:25" x14ac:dyDescent="0.25">
      <c r="A824" s="1" t="s">
        <v>1927</v>
      </c>
      <c r="B824" s="1">
        <v>10944438</v>
      </c>
      <c r="C824" s="1" t="s">
        <v>14</v>
      </c>
      <c r="D824" s="1" t="s">
        <v>28</v>
      </c>
      <c r="E824" s="1" t="s">
        <v>29</v>
      </c>
      <c r="F824" s="1" t="s">
        <v>17</v>
      </c>
      <c r="G824" s="1" t="s">
        <v>1928</v>
      </c>
      <c r="H824">
        <v>674</v>
      </c>
      <c r="I824" s="1">
        <v>1499</v>
      </c>
      <c r="J824" s="1" t="s">
        <v>25</v>
      </c>
      <c r="K824" s="1" t="s">
        <v>253</v>
      </c>
      <c r="L824" s="1">
        <v>4.4000000000000004</v>
      </c>
      <c r="M824" s="1">
        <v>852</v>
      </c>
      <c r="P824" t="str">
        <f t="shared" si="51"/>
        <v>55%</v>
      </c>
      <c r="Q824" s="12">
        <f t="shared" si="48"/>
        <v>0.55000000000000004</v>
      </c>
      <c r="R824" s="9">
        <f t="shared" si="49"/>
        <v>674.55</v>
      </c>
      <c r="S824" s="9">
        <f>IF(R824="",AVERAGEIF(Table1[Category],Table1[[#This Row],[Category]],Table2[orignal data]),Table2[[#This Row],[orignal data]])</f>
        <v>674.55</v>
      </c>
      <c r="T824" t="str">
        <f t="shared" si="50"/>
        <v>UNIQUE</v>
      </c>
      <c r="U824" t="str">
        <f>IF(ISBLANK(Table1[[#This Row],[SizeOption]]),"NOT AVAILABLE",Table1[[#This Row],[SizeOption]])</f>
        <v>38, 40, 42, 44</v>
      </c>
      <c r="Y824" t="str">
        <f>IF(Table2[[#This Row],[Column1]]&gt;50%,"HIGH DISCOUNT","LOW DISCOUNT")</f>
        <v>HIGH DISCOUNT</v>
      </c>
    </row>
    <row r="825" spans="1:25" x14ac:dyDescent="0.25">
      <c r="A825" s="2" t="s">
        <v>1929</v>
      </c>
      <c r="B825" s="2">
        <v>9656251</v>
      </c>
      <c r="C825" s="2" t="s">
        <v>14</v>
      </c>
      <c r="D825" s="2" t="s">
        <v>41</v>
      </c>
      <c r="E825" s="2" t="s">
        <v>29</v>
      </c>
      <c r="F825" s="2" t="s">
        <v>36</v>
      </c>
      <c r="G825" s="2" t="s">
        <v>1930</v>
      </c>
      <c r="I825" s="2">
        <v>1299</v>
      </c>
      <c r="J825" s="2" t="s">
        <v>84</v>
      </c>
      <c r="K825" s="2" t="s">
        <v>45</v>
      </c>
      <c r="L825" s="2">
        <v>4.0999999999999996</v>
      </c>
      <c r="M825" s="2">
        <v>852</v>
      </c>
      <c r="P825" t="str">
        <f t="shared" si="51"/>
        <v>50%</v>
      </c>
      <c r="Q825" s="12">
        <f t="shared" si="48"/>
        <v>0.5</v>
      </c>
      <c r="R825" s="9">
        <f t="shared" si="49"/>
        <v>649.5</v>
      </c>
      <c r="S825" s="9">
        <f>IF(R825="",AVERAGEIF(Table1[Category],Table1[[#This Row],[Category]],Table2[orignal data]),Table2[[#This Row],[orignal data]])</f>
        <v>649.5</v>
      </c>
      <c r="T825" t="str">
        <f t="shared" si="50"/>
        <v>UNIQUE</v>
      </c>
      <c r="U825" t="str">
        <f>IF(ISBLANK(Table1[[#This Row],[SizeOption]]),"NOT AVAILABLE",Table1[[#This Row],[SizeOption]])</f>
        <v>XS, S, M, L, XL</v>
      </c>
      <c r="Y825" t="str">
        <f>IF(Table2[[#This Row],[Column1]]&gt;50%,"HIGH DISCOUNT","LOW DISCOUNT")</f>
        <v>LOW DISCOUNT</v>
      </c>
    </row>
    <row r="826" spans="1:25" x14ac:dyDescent="0.25">
      <c r="A826" s="1" t="s">
        <v>1931</v>
      </c>
      <c r="B826" s="1">
        <v>15008088</v>
      </c>
      <c r="C826" s="1" t="s">
        <v>517</v>
      </c>
      <c r="D826" s="1" t="s">
        <v>15</v>
      </c>
      <c r="E826" s="1" t="s">
        <v>23</v>
      </c>
      <c r="F826" s="1" t="s">
        <v>17</v>
      </c>
      <c r="G826" s="1" t="s">
        <v>1932</v>
      </c>
      <c r="H826">
        <v>899</v>
      </c>
      <c r="I826" s="1">
        <v>1999</v>
      </c>
      <c r="J826" s="1" t="s">
        <v>25</v>
      </c>
      <c r="K826" s="1" t="s">
        <v>26</v>
      </c>
      <c r="L826" s="1">
        <v>4.0999999999999996</v>
      </c>
      <c r="M826" s="1">
        <v>851</v>
      </c>
      <c r="P826" t="str">
        <f t="shared" si="51"/>
        <v>55%</v>
      </c>
      <c r="Q826" s="12">
        <f t="shared" si="48"/>
        <v>0.55000000000000004</v>
      </c>
      <c r="R826" s="9">
        <f t="shared" si="49"/>
        <v>899.55</v>
      </c>
      <c r="S826" s="9">
        <f>IF(R826="",AVERAGEIF(Table1[Category],Table1[[#This Row],[Category]],Table2[orignal data]),Table2[[#This Row],[orignal data]])</f>
        <v>899.55</v>
      </c>
      <c r="T826" t="str">
        <f t="shared" si="50"/>
        <v>UNIQUE</v>
      </c>
      <c r="U826" t="str">
        <f>IF(ISBLANK(Table1[[#This Row],[SizeOption]]),"NOT AVAILABLE",Table1[[#This Row],[SizeOption]])</f>
        <v>S, M, L, XL</v>
      </c>
      <c r="Y826" t="str">
        <f>IF(Table2[[#This Row],[Column1]]&gt;50%,"HIGH DISCOUNT","LOW DISCOUNT")</f>
        <v>HIGH DISCOUNT</v>
      </c>
    </row>
    <row r="827" spans="1:25" x14ac:dyDescent="0.25">
      <c r="A827" s="2" t="s">
        <v>1933</v>
      </c>
      <c r="B827" s="2">
        <v>10046861</v>
      </c>
      <c r="C827" s="2" t="s">
        <v>14</v>
      </c>
      <c r="D827" s="2" t="s">
        <v>15</v>
      </c>
      <c r="E827" s="2" t="s">
        <v>16</v>
      </c>
      <c r="F827" s="2" t="s">
        <v>17</v>
      </c>
      <c r="G827" s="2" t="s">
        <v>1934</v>
      </c>
      <c r="H827">
        <v>799</v>
      </c>
      <c r="I827" s="2">
        <v>1999</v>
      </c>
      <c r="J827" s="2" t="s">
        <v>55</v>
      </c>
      <c r="K827" s="2" t="s">
        <v>20</v>
      </c>
      <c r="L827" s="2">
        <v>4.0999999999999996</v>
      </c>
      <c r="M827" s="2">
        <v>851</v>
      </c>
      <c r="P827" t="str">
        <f t="shared" si="51"/>
        <v>60%</v>
      </c>
      <c r="Q827" s="12">
        <f t="shared" si="48"/>
        <v>0.6</v>
      </c>
      <c r="R827" s="9">
        <f t="shared" si="49"/>
        <v>799.60000000000014</v>
      </c>
      <c r="S827" s="9">
        <f>IF(R827="",AVERAGEIF(Table1[Category],Table1[[#This Row],[Category]],Table2[orignal data]),Table2[[#This Row],[orignal data]])</f>
        <v>799.60000000000014</v>
      </c>
      <c r="T827" t="str">
        <f t="shared" si="50"/>
        <v>UNIQUE</v>
      </c>
      <c r="U827" t="str">
        <f>IF(ISBLANK(Table1[[#This Row],[SizeOption]]),"NOT AVAILABLE",Table1[[#This Row],[SizeOption]])</f>
        <v>28, 30, 32, 34, 36</v>
      </c>
      <c r="Y827" t="str">
        <f>IF(Table2[[#This Row],[Column1]]&gt;50%,"HIGH DISCOUNT","LOW DISCOUNT")</f>
        <v>HIGH DISCOUNT</v>
      </c>
    </row>
    <row r="828" spans="1:25" x14ac:dyDescent="0.25">
      <c r="A828" s="1" t="s">
        <v>1935</v>
      </c>
      <c r="B828" s="1">
        <v>5814349</v>
      </c>
      <c r="C828" s="1" t="s">
        <v>52</v>
      </c>
      <c r="D828" s="1" t="s">
        <v>15</v>
      </c>
      <c r="E828" s="1" t="s">
        <v>16</v>
      </c>
      <c r="F828" s="1" t="s">
        <v>17</v>
      </c>
      <c r="G828" s="1" t="s">
        <v>1936</v>
      </c>
      <c r="H828">
        <v>887</v>
      </c>
      <c r="I828" s="1">
        <v>1849</v>
      </c>
      <c r="J828" s="1" t="s">
        <v>208</v>
      </c>
      <c r="K828" s="1" t="s">
        <v>816</v>
      </c>
      <c r="L828" s="1">
        <v>4.0999999999999996</v>
      </c>
      <c r="M828" s="1">
        <v>851</v>
      </c>
      <c r="P828" t="str">
        <f t="shared" si="51"/>
        <v>52%</v>
      </c>
      <c r="Q828" s="12">
        <f t="shared" si="48"/>
        <v>0.52</v>
      </c>
      <c r="R828" s="9">
        <f t="shared" si="49"/>
        <v>887.52</v>
      </c>
      <c r="S828" s="9">
        <f>IF(R828="",AVERAGEIF(Table1[Category],Table1[[#This Row],[Category]],Table2[orignal data]),Table2[[#This Row],[orignal data]])</f>
        <v>887.52</v>
      </c>
      <c r="T828" t="str">
        <f t="shared" si="50"/>
        <v>UNIQUE</v>
      </c>
      <c r="U828" t="str">
        <f>IF(ISBLANK(Table1[[#This Row],[SizeOption]]),"NOT AVAILABLE",Table1[[#This Row],[SizeOption]])</f>
        <v>30, 32, 34, 36, 38</v>
      </c>
      <c r="Y828" t="str">
        <f>IF(Table2[[#This Row],[Column1]]&gt;50%,"HIGH DISCOUNT","LOW DISCOUNT")</f>
        <v>HIGH DISCOUNT</v>
      </c>
    </row>
    <row r="829" spans="1:25" x14ac:dyDescent="0.25">
      <c r="A829" s="2" t="s">
        <v>1937</v>
      </c>
      <c r="B829" s="2">
        <v>12787018</v>
      </c>
      <c r="C829" s="2" t="s">
        <v>64</v>
      </c>
      <c r="D829" s="2" t="s">
        <v>28</v>
      </c>
      <c r="E829" s="2" t="s">
        <v>42</v>
      </c>
      <c r="F829" s="2" t="s">
        <v>17</v>
      </c>
      <c r="G829" s="2" t="s">
        <v>1938</v>
      </c>
      <c r="H829">
        <v>174</v>
      </c>
      <c r="I829" s="2">
        <v>699</v>
      </c>
      <c r="J829" s="2" t="s">
        <v>109</v>
      </c>
      <c r="K829" s="2" t="s">
        <v>26</v>
      </c>
      <c r="L829" s="2">
        <v>4.3</v>
      </c>
      <c r="M829" s="2">
        <v>851</v>
      </c>
      <c r="P829" t="str">
        <f t="shared" si="51"/>
        <v>75%</v>
      </c>
      <c r="Q829" s="12">
        <f t="shared" si="48"/>
        <v>0.75</v>
      </c>
      <c r="R829" s="9">
        <f t="shared" si="49"/>
        <v>174.75</v>
      </c>
      <c r="S829" s="9">
        <f>IF(R829="",AVERAGEIF(Table1[Category],Table1[[#This Row],[Category]],Table2[orignal data]),Table2[[#This Row],[orignal data]])</f>
        <v>174.75</v>
      </c>
      <c r="T829" t="str">
        <f t="shared" si="50"/>
        <v>UNIQUE</v>
      </c>
      <c r="U829" t="str">
        <f>IF(ISBLANK(Table1[[#This Row],[SizeOption]]),"NOT AVAILABLE",Table1[[#This Row],[SizeOption]])</f>
        <v>S, M, L, XL</v>
      </c>
      <c r="Y829" t="str">
        <f>IF(Table2[[#This Row],[Column1]]&gt;50%,"HIGH DISCOUNT","LOW DISCOUNT")</f>
        <v>HIGH DISCOUNT</v>
      </c>
    </row>
    <row r="830" spans="1:25" x14ac:dyDescent="0.25">
      <c r="A830" s="1" t="s">
        <v>1939</v>
      </c>
      <c r="B830" s="1">
        <v>11199374</v>
      </c>
      <c r="C830" s="1" t="s">
        <v>113</v>
      </c>
      <c r="D830" s="1" t="s">
        <v>76</v>
      </c>
      <c r="E830" s="1" t="s">
        <v>148</v>
      </c>
      <c r="F830" s="1" t="s">
        <v>36</v>
      </c>
      <c r="G830" s="1" t="s">
        <v>1940</v>
      </c>
      <c r="H830">
        <v>849</v>
      </c>
      <c r="I830" s="1">
        <v>1699</v>
      </c>
      <c r="J830" s="1" t="s">
        <v>84</v>
      </c>
      <c r="K830" s="1" t="s">
        <v>115</v>
      </c>
      <c r="L830" s="1">
        <v>4.3</v>
      </c>
      <c r="M830" s="1">
        <v>851</v>
      </c>
      <c r="P830" t="str">
        <f t="shared" si="51"/>
        <v>50%</v>
      </c>
      <c r="Q830" s="12">
        <f t="shared" si="48"/>
        <v>0.5</v>
      </c>
      <c r="R830" s="9">
        <f t="shared" si="49"/>
        <v>849.5</v>
      </c>
      <c r="S830" s="9">
        <f>IF(R830="",AVERAGEIF(Table1[Category],Table1[[#This Row],[Category]],Table2[orignal data]),Table2[[#This Row],[orignal data]])</f>
        <v>849.5</v>
      </c>
      <c r="T830" t="str">
        <f t="shared" si="50"/>
        <v>UNIQUE</v>
      </c>
      <c r="U830" t="str">
        <f>IF(ISBLANK(Table1[[#This Row],[SizeOption]]),"NOT AVAILABLE",Table1[[#This Row],[SizeOption]])</f>
        <v>XS, S, M, L, XL, XXL</v>
      </c>
      <c r="Y830" t="str">
        <f>IF(Table2[[#This Row],[Column1]]&gt;50%,"HIGH DISCOUNT","LOW DISCOUNT")</f>
        <v>LOW DISCOUNT</v>
      </c>
    </row>
    <row r="831" spans="1:25" x14ac:dyDescent="0.25">
      <c r="A831" s="2" t="s">
        <v>1941</v>
      </c>
      <c r="B831" s="2">
        <v>6942355</v>
      </c>
      <c r="C831" s="2" t="s">
        <v>92</v>
      </c>
      <c r="D831" s="2" t="s">
        <v>76</v>
      </c>
      <c r="E831" s="2" t="s">
        <v>93</v>
      </c>
      <c r="F831" s="2" t="s">
        <v>36</v>
      </c>
      <c r="G831" s="2" t="s">
        <v>1942</v>
      </c>
      <c r="H831">
        <v>839</v>
      </c>
      <c r="I831" s="2">
        <v>1999</v>
      </c>
      <c r="J831" s="2" t="s">
        <v>60</v>
      </c>
      <c r="K831" s="2" t="s">
        <v>39</v>
      </c>
      <c r="L831" s="2">
        <v>4.2</v>
      </c>
      <c r="M831" s="2">
        <v>851</v>
      </c>
      <c r="P831" t="str">
        <f t="shared" si="51"/>
        <v>58%</v>
      </c>
      <c r="Q831" s="12">
        <f t="shared" si="48"/>
        <v>0.57999999999999996</v>
      </c>
      <c r="R831" s="9">
        <f t="shared" si="49"/>
        <v>839.58000000000015</v>
      </c>
      <c r="S831" s="9">
        <f>IF(R831="",AVERAGEIF(Table1[Category],Table1[[#This Row],[Category]],Table2[orignal data]),Table2[[#This Row],[orignal data]])</f>
        <v>839.58000000000015</v>
      </c>
      <c r="T831" t="str">
        <f t="shared" si="50"/>
        <v>UNIQUE</v>
      </c>
      <c r="U831" t="str">
        <f>IF(ISBLANK(Table1[[#This Row],[SizeOption]]),"NOT AVAILABLE",Table1[[#This Row],[SizeOption]])</f>
        <v>S, M, L, XL, XXL</v>
      </c>
      <c r="Y831" t="str">
        <f>IF(Table2[[#This Row],[Column1]]&gt;50%,"HIGH DISCOUNT","LOW DISCOUNT")</f>
        <v>HIGH DISCOUNT</v>
      </c>
    </row>
    <row r="832" spans="1:25" x14ac:dyDescent="0.25">
      <c r="A832" s="1" t="s">
        <v>1943</v>
      </c>
      <c r="B832" s="1">
        <v>13021512</v>
      </c>
      <c r="C832" s="1" t="s">
        <v>75</v>
      </c>
      <c r="D832" s="1" t="s">
        <v>34</v>
      </c>
      <c r="E832" s="1" t="s">
        <v>406</v>
      </c>
      <c r="F832" s="1" t="s">
        <v>36</v>
      </c>
      <c r="G832" s="1" t="s">
        <v>1944</v>
      </c>
      <c r="H832">
        <v>961</v>
      </c>
      <c r="I832" s="1">
        <v>2599</v>
      </c>
      <c r="J832" s="1" t="s">
        <v>476</v>
      </c>
      <c r="K832" s="1" t="s">
        <v>39</v>
      </c>
      <c r="L832" s="1">
        <v>3.8</v>
      </c>
      <c r="M832" s="1">
        <v>851</v>
      </c>
      <c r="P832" t="str">
        <f t="shared" si="51"/>
        <v>63%</v>
      </c>
      <c r="Q832" s="12">
        <f t="shared" si="48"/>
        <v>0.63</v>
      </c>
      <c r="R832" s="9">
        <f t="shared" si="49"/>
        <v>961.62999999999988</v>
      </c>
      <c r="S832" s="9">
        <f>IF(R832="",AVERAGEIF(Table1[Category],Table1[[#This Row],[Category]],Table2[orignal data]),Table2[[#This Row],[orignal data]])</f>
        <v>961.62999999999988</v>
      </c>
      <c r="T832" t="str">
        <f t="shared" si="50"/>
        <v>UNIQUE</v>
      </c>
      <c r="U832" t="str">
        <f>IF(ISBLANK(Table1[[#This Row],[SizeOption]]),"NOT AVAILABLE",Table1[[#This Row],[SizeOption]])</f>
        <v>S, M, L, XL, XXL</v>
      </c>
      <c r="Y832" t="str">
        <f>IF(Table2[[#This Row],[Column1]]&gt;50%,"HIGH DISCOUNT","LOW DISCOUNT")</f>
        <v>HIGH DISCOUNT</v>
      </c>
    </row>
    <row r="833" spans="1:25" x14ac:dyDescent="0.25">
      <c r="A833" s="2" t="s">
        <v>1945</v>
      </c>
      <c r="B833" s="2">
        <v>7287325</v>
      </c>
      <c r="C833" s="2" t="s">
        <v>290</v>
      </c>
      <c r="D833" s="2" t="s">
        <v>41</v>
      </c>
      <c r="E833" s="2" t="s">
        <v>48</v>
      </c>
      <c r="F833" s="2" t="s">
        <v>36</v>
      </c>
      <c r="G833" s="2" t="s">
        <v>1946</v>
      </c>
      <c r="I833" s="2">
        <v>1299</v>
      </c>
      <c r="J833" s="2" t="s">
        <v>19</v>
      </c>
      <c r="K833" s="2" t="s">
        <v>45</v>
      </c>
      <c r="L833" s="2">
        <v>4.2</v>
      </c>
      <c r="M833" s="2">
        <v>851</v>
      </c>
      <c r="P833" t="str">
        <f t="shared" si="51"/>
        <v>45%</v>
      </c>
      <c r="Q833" s="12">
        <f t="shared" si="48"/>
        <v>0.45</v>
      </c>
      <c r="R833" s="9">
        <f t="shared" si="49"/>
        <v>714.44999999999993</v>
      </c>
      <c r="S833" s="9">
        <f>IF(R833="",AVERAGEIF(Table1[Category],Table1[[#This Row],[Category]],Table2[orignal data]),Table2[[#This Row],[orignal data]])</f>
        <v>714.44999999999993</v>
      </c>
      <c r="T833" t="str">
        <f t="shared" si="50"/>
        <v>UNIQUE</v>
      </c>
      <c r="U833" t="str">
        <f>IF(ISBLANK(Table1[[#This Row],[SizeOption]]),"NOT AVAILABLE",Table1[[#This Row],[SizeOption]])</f>
        <v>XS, S, M, L, XL</v>
      </c>
      <c r="Y833" t="str">
        <f>IF(Table2[[#This Row],[Column1]]&gt;50%,"HIGH DISCOUNT","LOW DISCOUNT")</f>
        <v>LOW DISCOUNT</v>
      </c>
    </row>
    <row r="834" spans="1:25" x14ac:dyDescent="0.25">
      <c r="A834" s="1" t="s">
        <v>1947</v>
      </c>
      <c r="B834" s="1">
        <v>10526804</v>
      </c>
      <c r="C834" s="1" t="s">
        <v>107</v>
      </c>
      <c r="D834" s="1" t="s">
        <v>41</v>
      </c>
      <c r="E834" s="1" t="s">
        <v>148</v>
      </c>
      <c r="F834" s="1" t="s">
        <v>36</v>
      </c>
      <c r="G834" s="1" t="s">
        <v>1948</v>
      </c>
      <c r="I834" s="1">
        <v>2499</v>
      </c>
      <c r="J834" s="1" t="s">
        <v>50</v>
      </c>
      <c r="K834" s="1" t="s">
        <v>45</v>
      </c>
      <c r="L834" s="1">
        <v>4.4000000000000004</v>
      </c>
      <c r="M834" s="1">
        <v>851</v>
      </c>
      <c r="P834" t="str">
        <f t="shared" si="51"/>
        <v>40%</v>
      </c>
      <c r="Q834" s="12">
        <f t="shared" ref="Q834:Q897" si="52">IF(P834="","",IF(ISNUMBER(SEARCH("%",P834)),P834,P834/I834)*100%)</f>
        <v>0.4</v>
      </c>
      <c r="R834" s="9">
        <f t="shared" ref="R834:R897" si="53">IF(P834="","",I834-(I834*Q834))</f>
        <v>1499.4</v>
      </c>
      <c r="S834" s="9">
        <f>IF(R834="",AVERAGEIF(Table1[Category],Table1[[#This Row],[Category]],Table2[orignal data]),Table2[[#This Row],[orignal data]])</f>
        <v>1499.4</v>
      </c>
      <c r="T834" t="str">
        <f t="shared" ref="T834:T897" si="54">IF(COUNTIF($B$2:$B$5000,B834)&gt;1,"DUPLICATE","UNIQUE")</f>
        <v>UNIQUE</v>
      </c>
      <c r="U834" t="str">
        <f>IF(ISBLANK(Table1[[#This Row],[SizeOption]]),"NOT AVAILABLE",Table1[[#This Row],[SizeOption]])</f>
        <v>XS, S, M, L, XL</v>
      </c>
      <c r="Y834" t="str">
        <f>IF(Table2[[#This Row],[Column1]]&gt;50%,"HIGH DISCOUNT","LOW DISCOUNT")</f>
        <v>LOW DISCOUNT</v>
      </c>
    </row>
    <row r="835" spans="1:25" x14ac:dyDescent="0.25">
      <c r="A835" s="2" t="s">
        <v>1949</v>
      </c>
      <c r="B835" s="2">
        <v>17381370</v>
      </c>
      <c r="C835" s="2" t="s">
        <v>14</v>
      </c>
      <c r="D835" s="2" t="s">
        <v>41</v>
      </c>
      <c r="E835" s="2" t="s">
        <v>42</v>
      </c>
      <c r="F835" s="2" t="s">
        <v>36</v>
      </c>
      <c r="G835" s="2" t="s">
        <v>657</v>
      </c>
      <c r="I835" s="2">
        <v>1198</v>
      </c>
      <c r="J835" s="2"/>
      <c r="K835" s="2" t="s">
        <v>45</v>
      </c>
      <c r="L835" s="2">
        <v>4.4000000000000004</v>
      </c>
      <c r="M835" s="2">
        <v>851</v>
      </c>
      <c r="P835" t="str">
        <f t="shared" ref="P835:P898" si="55">TRIM(SUBSTITUTE(SUBSTITUTE(SUBSTITUTE(SUBSTITUTE(J835,"OFF",""),"Rs.",""),"Hurry*",""),",",""))</f>
        <v/>
      </c>
      <c r="Q835" s="12" t="str">
        <f t="shared" si="52"/>
        <v/>
      </c>
      <c r="R835" s="9" t="str">
        <f t="shared" si="53"/>
        <v/>
      </c>
      <c r="S835" s="9">
        <f>IF(R835="",AVERAGEIF(Table1[Category],Table1[[#This Row],[Category]],Table2[orignal data]),Table2[[#This Row],[orignal data]])</f>
        <v>715.78890751086249</v>
      </c>
      <c r="T835" t="str">
        <f t="shared" si="54"/>
        <v>UNIQUE</v>
      </c>
      <c r="U835" t="str">
        <f>IF(ISBLANK(Table1[[#This Row],[SizeOption]]),"NOT AVAILABLE",Table1[[#This Row],[SizeOption]])</f>
        <v>XS, S, M, L, XL</v>
      </c>
      <c r="Y835" t="str">
        <f>IF(Table2[[#This Row],[Column1]]&gt;50%,"HIGH DISCOUNT","LOW DISCOUNT")</f>
        <v>HIGH DISCOUNT</v>
      </c>
    </row>
    <row r="836" spans="1:25" x14ac:dyDescent="0.25">
      <c r="A836" s="1" t="s">
        <v>1950</v>
      </c>
      <c r="B836" s="1">
        <v>2032838</v>
      </c>
      <c r="C836" s="1" t="s">
        <v>169</v>
      </c>
      <c r="D836" s="1" t="s">
        <v>15</v>
      </c>
      <c r="E836" s="1" t="s">
        <v>16</v>
      </c>
      <c r="F836" s="1" t="s">
        <v>17</v>
      </c>
      <c r="G836" s="1" t="s">
        <v>170</v>
      </c>
      <c r="H836">
        <v>1449</v>
      </c>
      <c r="I836" s="1">
        <v>2899</v>
      </c>
      <c r="J836" s="1" t="s">
        <v>84</v>
      </c>
      <c r="K836" s="1" t="s">
        <v>171</v>
      </c>
      <c r="L836" s="1">
        <v>4</v>
      </c>
      <c r="M836" s="1">
        <v>850</v>
      </c>
      <c r="P836" t="str">
        <f t="shared" si="55"/>
        <v>50%</v>
      </c>
      <c r="Q836" s="12">
        <f t="shared" si="52"/>
        <v>0.5</v>
      </c>
      <c r="R836" s="9">
        <f t="shared" si="53"/>
        <v>1449.5</v>
      </c>
      <c r="S836" s="9">
        <f>IF(R836="",AVERAGEIF(Table1[Category],Table1[[#This Row],[Category]],Table2[orignal data]),Table2[[#This Row],[orignal data]])</f>
        <v>1449.5</v>
      </c>
      <c r="T836" t="str">
        <f t="shared" si="54"/>
        <v>UNIQUE</v>
      </c>
      <c r="U836" t="str">
        <f>IF(ISBLANK(Table1[[#This Row],[SizeOption]]),"NOT AVAILABLE",Table1[[#This Row],[SizeOption]])</f>
        <v>28, 30, 32, 34, 36, 38</v>
      </c>
      <c r="Y836" t="str">
        <f>IF(Table2[[#This Row],[Column1]]&gt;50%,"HIGH DISCOUNT","LOW DISCOUNT")</f>
        <v>LOW DISCOUNT</v>
      </c>
    </row>
    <row r="837" spans="1:25" x14ac:dyDescent="0.25">
      <c r="A837" s="2" t="s">
        <v>1951</v>
      </c>
      <c r="B837" s="2">
        <v>10604374</v>
      </c>
      <c r="C837" s="2" t="s">
        <v>1952</v>
      </c>
      <c r="D837" s="2" t="s">
        <v>15</v>
      </c>
      <c r="E837" s="2" t="s">
        <v>53</v>
      </c>
      <c r="F837" s="2" t="s">
        <v>17</v>
      </c>
      <c r="G837" s="2" t="s">
        <v>1953</v>
      </c>
      <c r="H837">
        <v>909</v>
      </c>
      <c r="I837" s="2">
        <v>2599</v>
      </c>
      <c r="J837" s="2" t="s">
        <v>150</v>
      </c>
      <c r="K837" s="2" t="s">
        <v>195</v>
      </c>
      <c r="L837" s="2">
        <v>3.7</v>
      </c>
      <c r="M837" s="2">
        <v>850</v>
      </c>
      <c r="P837" t="str">
        <f t="shared" si="55"/>
        <v>65%</v>
      </c>
      <c r="Q837" s="12">
        <f t="shared" si="52"/>
        <v>0.65</v>
      </c>
      <c r="R837" s="9">
        <f t="shared" si="53"/>
        <v>909.64999999999986</v>
      </c>
      <c r="S837" s="9">
        <f>IF(R837="",AVERAGEIF(Table1[Category],Table1[[#This Row],[Category]],Table2[orignal data]),Table2[[#This Row],[orignal data]])</f>
        <v>909.64999999999986</v>
      </c>
      <c r="T837" t="str">
        <f t="shared" si="54"/>
        <v>UNIQUE</v>
      </c>
      <c r="U837" t="str">
        <f>IF(ISBLANK(Table1[[#This Row],[SizeOption]]),"NOT AVAILABLE",Table1[[#This Row],[SizeOption]])</f>
        <v>28, 30, 32, 34, 36, 38, 40</v>
      </c>
      <c r="Y837" t="str">
        <f>IF(Table2[[#This Row],[Column1]]&gt;50%,"HIGH DISCOUNT","LOW DISCOUNT")</f>
        <v>HIGH DISCOUNT</v>
      </c>
    </row>
    <row r="838" spans="1:25" x14ac:dyDescent="0.25">
      <c r="A838" s="1" t="s">
        <v>1954</v>
      </c>
      <c r="B838" s="1">
        <v>8120161</v>
      </c>
      <c r="C838" s="1" t="s">
        <v>52</v>
      </c>
      <c r="D838" s="1" t="s">
        <v>15</v>
      </c>
      <c r="E838" s="1" t="s">
        <v>137</v>
      </c>
      <c r="F838" s="1" t="s">
        <v>17</v>
      </c>
      <c r="G838" s="1" t="s">
        <v>1955</v>
      </c>
      <c r="H838">
        <v>587</v>
      </c>
      <c r="I838" s="1">
        <v>1249</v>
      </c>
      <c r="J838" s="1" t="s">
        <v>89</v>
      </c>
      <c r="K838" s="1" t="s">
        <v>56</v>
      </c>
      <c r="L838" s="1">
        <v>4.0999999999999996</v>
      </c>
      <c r="M838" s="1">
        <v>850</v>
      </c>
      <c r="P838" t="str">
        <f t="shared" si="55"/>
        <v>53%</v>
      </c>
      <c r="Q838" s="12">
        <f t="shared" si="52"/>
        <v>0.53</v>
      </c>
      <c r="R838" s="9">
        <f t="shared" si="53"/>
        <v>587.03</v>
      </c>
      <c r="S838" s="9">
        <f>IF(R838="",AVERAGEIF(Table1[Category],Table1[[#This Row],[Category]],Table2[orignal data]),Table2[[#This Row],[orignal data]])</f>
        <v>587.03</v>
      </c>
      <c r="T838" t="str">
        <f t="shared" si="54"/>
        <v>UNIQUE</v>
      </c>
      <c r="U838" t="str">
        <f>IF(ISBLANK(Table1[[#This Row],[SizeOption]]),"NOT AVAILABLE",Table1[[#This Row],[SizeOption]])</f>
        <v>30, 32, 34, 36</v>
      </c>
      <c r="Y838" t="str">
        <f>IF(Table2[[#This Row],[Column1]]&gt;50%,"HIGH DISCOUNT","LOW DISCOUNT")</f>
        <v>HIGH DISCOUNT</v>
      </c>
    </row>
    <row r="839" spans="1:25" x14ac:dyDescent="0.25">
      <c r="A839" s="2" t="s">
        <v>1956</v>
      </c>
      <c r="B839" s="2">
        <v>10004115</v>
      </c>
      <c r="C839" s="2" t="s">
        <v>52</v>
      </c>
      <c r="D839" s="2" t="s">
        <v>28</v>
      </c>
      <c r="E839" s="2" t="s">
        <v>29</v>
      </c>
      <c r="F839" s="2" t="s">
        <v>17</v>
      </c>
      <c r="G839" s="2" t="s">
        <v>1957</v>
      </c>
      <c r="H839">
        <v>559</v>
      </c>
      <c r="I839" s="2">
        <v>1399</v>
      </c>
      <c r="J839" s="2" t="s">
        <v>55</v>
      </c>
      <c r="K839" s="2" t="s">
        <v>90</v>
      </c>
      <c r="L839" s="2">
        <v>4.3</v>
      </c>
      <c r="M839" s="2">
        <v>850</v>
      </c>
      <c r="P839" t="str">
        <f t="shared" si="55"/>
        <v>60%</v>
      </c>
      <c r="Q839" s="12">
        <f t="shared" si="52"/>
        <v>0.6</v>
      </c>
      <c r="R839" s="9">
        <f t="shared" si="53"/>
        <v>559.6</v>
      </c>
      <c r="S839" s="9">
        <f>IF(R839="",AVERAGEIF(Table1[Category],Table1[[#This Row],[Category]],Table2[orignal data]),Table2[[#This Row],[orignal data]])</f>
        <v>559.6</v>
      </c>
      <c r="T839" t="str">
        <f t="shared" si="54"/>
        <v>UNIQUE</v>
      </c>
      <c r="U839" t="str">
        <f>IF(ISBLANK(Table1[[#This Row],[SizeOption]]),"NOT AVAILABLE",Table1[[#This Row],[SizeOption]])</f>
        <v>39, 40, 42, 44</v>
      </c>
      <c r="Y839" t="str">
        <f>IF(Table2[[#This Row],[Column1]]&gt;50%,"HIGH DISCOUNT","LOW DISCOUNT")</f>
        <v>HIGH DISCOUNT</v>
      </c>
    </row>
    <row r="840" spans="1:25" x14ac:dyDescent="0.25">
      <c r="A840" s="1" t="s">
        <v>1958</v>
      </c>
      <c r="B840" s="1">
        <v>11045890</v>
      </c>
      <c r="C840" s="1" t="s">
        <v>14</v>
      </c>
      <c r="D840" s="1" t="s">
        <v>41</v>
      </c>
      <c r="E840" s="1" t="s">
        <v>16</v>
      </c>
      <c r="F840" s="1" t="s">
        <v>36</v>
      </c>
      <c r="G840" s="1" t="s">
        <v>1959</v>
      </c>
      <c r="I840" s="1">
        <v>2299</v>
      </c>
      <c r="J840" s="1" t="s">
        <v>25</v>
      </c>
      <c r="K840" s="1" t="s">
        <v>134</v>
      </c>
      <c r="L840" s="1">
        <v>4.0999999999999996</v>
      </c>
      <c r="M840" s="1">
        <v>850</v>
      </c>
      <c r="P840" t="str">
        <f t="shared" si="55"/>
        <v>55%</v>
      </c>
      <c r="Q840" s="12">
        <f t="shared" si="52"/>
        <v>0.55000000000000004</v>
      </c>
      <c r="R840" s="9">
        <f t="shared" si="53"/>
        <v>1034.55</v>
      </c>
      <c r="S840" s="9">
        <f>IF(R840="",AVERAGEIF(Table1[Category],Table1[[#This Row],[Category]],Table2[orignal data]),Table2[[#This Row],[orignal data]])</f>
        <v>1034.55</v>
      </c>
      <c r="T840" t="str">
        <f t="shared" si="54"/>
        <v>UNIQUE</v>
      </c>
      <c r="U840" t="str">
        <f>IF(ISBLANK(Table1[[#This Row],[SizeOption]]),"NOT AVAILABLE",Table1[[#This Row],[SizeOption]])</f>
        <v>26, 28, 30, 32, 34, 36</v>
      </c>
      <c r="Y840" t="str">
        <f>IF(Table2[[#This Row],[Column1]]&gt;50%,"HIGH DISCOUNT","LOW DISCOUNT")</f>
        <v>HIGH DISCOUNT</v>
      </c>
    </row>
    <row r="841" spans="1:25" x14ac:dyDescent="0.25">
      <c r="A841" s="2" t="s">
        <v>1960</v>
      </c>
      <c r="B841" s="2">
        <v>12960838</v>
      </c>
      <c r="C841" s="2" t="s">
        <v>1281</v>
      </c>
      <c r="D841" s="2" t="s">
        <v>76</v>
      </c>
      <c r="E841" s="2" t="s">
        <v>77</v>
      </c>
      <c r="F841" s="2" t="s">
        <v>17</v>
      </c>
      <c r="G841" s="2" t="s">
        <v>1961</v>
      </c>
      <c r="H841">
        <v>1349</v>
      </c>
      <c r="I841" s="2">
        <v>2999</v>
      </c>
      <c r="J841" s="2" t="s">
        <v>25</v>
      </c>
      <c r="K841" s="2" t="s">
        <v>115</v>
      </c>
      <c r="L841" s="2">
        <v>4</v>
      </c>
      <c r="M841" s="2">
        <v>849</v>
      </c>
      <c r="P841" t="str">
        <f t="shared" si="55"/>
        <v>55%</v>
      </c>
      <c r="Q841" s="12">
        <f t="shared" si="52"/>
        <v>0.55000000000000004</v>
      </c>
      <c r="R841" s="9">
        <f t="shared" si="53"/>
        <v>1349.55</v>
      </c>
      <c r="S841" s="9">
        <f>IF(R841="",AVERAGEIF(Table1[Category],Table1[[#This Row],[Category]],Table2[orignal data]),Table2[[#This Row],[orignal data]])</f>
        <v>1349.55</v>
      </c>
      <c r="T841" t="str">
        <f t="shared" si="54"/>
        <v>UNIQUE</v>
      </c>
      <c r="U841" t="str">
        <f>IF(ISBLANK(Table1[[#This Row],[SizeOption]]),"NOT AVAILABLE",Table1[[#This Row],[SizeOption]])</f>
        <v>XS, S, M, L, XL, XXL</v>
      </c>
      <c r="Y841" t="str">
        <f>IF(Table2[[#This Row],[Column1]]&gt;50%,"HIGH DISCOUNT","LOW DISCOUNT")</f>
        <v>HIGH DISCOUNT</v>
      </c>
    </row>
    <row r="842" spans="1:25" x14ac:dyDescent="0.25">
      <c r="A842" s="1" t="s">
        <v>1962</v>
      </c>
      <c r="B842" s="1">
        <v>1395990</v>
      </c>
      <c r="C842" s="1" t="s">
        <v>430</v>
      </c>
      <c r="D842" s="1" t="s">
        <v>28</v>
      </c>
      <c r="E842" s="1" t="s">
        <v>306</v>
      </c>
      <c r="F842" s="1" t="s">
        <v>17</v>
      </c>
      <c r="G842" s="1" t="s">
        <v>1963</v>
      </c>
      <c r="H842">
        <v>474</v>
      </c>
      <c r="I842" s="1">
        <v>1899</v>
      </c>
      <c r="J842" s="1" t="s">
        <v>109</v>
      </c>
      <c r="K842" s="1" t="s">
        <v>26</v>
      </c>
      <c r="L842" s="1">
        <v>3.9</v>
      </c>
      <c r="M842" s="1">
        <v>849</v>
      </c>
      <c r="P842" t="str">
        <f t="shared" si="55"/>
        <v>75%</v>
      </c>
      <c r="Q842" s="12">
        <f t="shared" si="52"/>
        <v>0.75</v>
      </c>
      <c r="R842" s="9">
        <f t="shared" si="53"/>
        <v>474.75</v>
      </c>
      <c r="S842" s="9">
        <f>IF(R842="",AVERAGEIF(Table1[Category],Table1[[#This Row],[Category]],Table2[orignal data]),Table2[[#This Row],[orignal data]])</f>
        <v>474.75</v>
      </c>
      <c r="T842" t="str">
        <f t="shared" si="54"/>
        <v>UNIQUE</v>
      </c>
      <c r="U842" t="str">
        <f>IF(ISBLANK(Table1[[#This Row],[SizeOption]]),"NOT AVAILABLE",Table1[[#This Row],[SizeOption]])</f>
        <v>S, M, L, XL</v>
      </c>
      <c r="Y842" t="str">
        <f>IF(Table2[[#This Row],[Column1]]&gt;50%,"HIGH DISCOUNT","LOW DISCOUNT")</f>
        <v>HIGH DISCOUNT</v>
      </c>
    </row>
    <row r="843" spans="1:25" x14ac:dyDescent="0.25">
      <c r="A843" s="2" t="s">
        <v>1964</v>
      </c>
      <c r="B843" s="2">
        <v>5432681</v>
      </c>
      <c r="C843" s="2" t="s">
        <v>33</v>
      </c>
      <c r="D843" s="2" t="s">
        <v>34</v>
      </c>
      <c r="E843" s="2" t="s">
        <v>118</v>
      </c>
      <c r="F843" s="2" t="s">
        <v>36</v>
      </c>
      <c r="G843" s="2" t="s">
        <v>1965</v>
      </c>
      <c r="H843">
        <v>477</v>
      </c>
      <c r="I843" s="2">
        <v>645</v>
      </c>
      <c r="J843" s="2" t="s">
        <v>1913</v>
      </c>
      <c r="K843" s="2" t="s">
        <v>510</v>
      </c>
      <c r="L843" s="2">
        <v>4.3</v>
      </c>
      <c r="M843" s="2">
        <v>849</v>
      </c>
      <c r="P843" t="str">
        <f t="shared" si="55"/>
        <v>26%</v>
      </c>
      <c r="Q843" s="12">
        <f t="shared" si="52"/>
        <v>0.26</v>
      </c>
      <c r="R843" s="9">
        <f t="shared" si="53"/>
        <v>477.29999999999995</v>
      </c>
      <c r="S843" s="9">
        <f>IF(R843="",AVERAGEIF(Table1[Category],Table1[[#This Row],[Category]],Table2[orignal data]),Table2[[#This Row],[orignal data]])</f>
        <v>477.29999999999995</v>
      </c>
      <c r="T843" t="str">
        <f t="shared" si="54"/>
        <v>UNIQUE</v>
      </c>
      <c r="U843" t="str">
        <f>IF(ISBLANK(Table1[[#This Row],[SizeOption]]),"NOT AVAILABLE",Table1[[#This Row],[SizeOption]])</f>
        <v>32B, 32C, 32D, 34B, 34C, 34D, 36B, 36C, 36D, 38B, 38C</v>
      </c>
      <c r="Y843" t="str">
        <f>IF(Table2[[#This Row],[Column1]]&gt;50%,"HIGH DISCOUNT","LOW DISCOUNT")</f>
        <v>LOW DISCOUNT</v>
      </c>
    </row>
    <row r="844" spans="1:25" x14ac:dyDescent="0.25">
      <c r="A844" s="1" t="s">
        <v>1966</v>
      </c>
      <c r="B844" s="1">
        <v>12524814</v>
      </c>
      <c r="C844" s="1" t="s">
        <v>64</v>
      </c>
      <c r="D844" s="1" t="s">
        <v>98</v>
      </c>
      <c r="E844" s="1" t="s">
        <v>93</v>
      </c>
      <c r="F844" s="1" t="s">
        <v>36</v>
      </c>
      <c r="G844" s="1" t="s">
        <v>1967</v>
      </c>
      <c r="H844">
        <v>699</v>
      </c>
      <c r="I844" s="1">
        <v>1399</v>
      </c>
      <c r="J844" s="1" t="s">
        <v>84</v>
      </c>
      <c r="K844" s="1" t="s">
        <v>100</v>
      </c>
      <c r="L844" s="1">
        <v>4</v>
      </c>
      <c r="M844" s="1">
        <v>849</v>
      </c>
      <c r="P844" t="str">
        <f t="shared" si="55"/>
        <v>50%</v>
      </c>
      <c r="Q844" s="12">
        <f t="shared" si="52"/>
        <v>0.5</v>
      </c>
      <c r="R844" s="9">
        <f t="shared" si="53"/>
        <v>699.5</v>
      </c>
      <c r="S844" s="9">
        <f>IF(R844="",AVERAGEIF(Table1[Category],Table1[[#This Row],[Category]],Table2[orignal data]),Table2[[#This Row],[orignal data]])</f>
        <v>699.5</v>
      </c>
      <c r="T844" t="str">
        <f t="shared" si="54"/>
        <v>UNIQUE</v>
      </c>
      <c r="U844" t="str">
        <f>IF(ISBLANK(Table1[[#This Row],[SizeOption]]),"NOT AVAILABLE",Table1[[#This Row],[SizeOption]])</f>
        <v>XS, S, M, L, XL, XXL, 3XL</v>
      </c>
      <c r="Y844" t="str">
        <f>IF(Table2[[#This Row],[Column1]]&gt;50%,"HIGH DISCOUNT","LOW DISCOUNT")</f>
        <v>LOW DISCOUNT</v>
      </c>
    </row>
    <row r="845" spans="1:25" x14ac:dyDescent="0.25">
      <c r="A845" s="2" t="s">
        <v>1968</v>
      </c>
      <c r="B845" s="2">
        <v>7270152</v>
      </c>
      <c r="C845" s="2" t="s">
        <v>64</v>
      </c>
      <c r="D845" s="2" t="s">
        <v>98</v>
      </c>
      <c r="E845" s="2" t="s">
        <v>93</v>
      </c>
      <c r="F845" s="2" t="s">
        <v>36</v>
      </c>
      <c r="G845" s="2" t="s">
        <v>1969</v>
      </c>
      <c r="H845">
        <v>899</v>
      </c>
      <c r="I845" s="2">
        <v>1999</v>
      </c>
      <c r="J845" s="2" t="s">
        <v>25</v>
      </c>
      <c r="K845" s="2" t="s">
        <v>234</v>
      </c>
      <c r="L845" s="2">
        <v>4</v>
      </c>
      <c r="M845" s="2">
        <v>849</v>
      </c>
      <c r="P845" t="str">
        <f t="shared" si="55"/>
        <v>55%</v>
      </c>
      <c r="Q845" s="12">
        <f t="shared" si="52"/>
        <v>0.55000000000000004</v>
      </c>
      <c r="R845" s="9">
        <f t="shared" si="53"/>
        <v>899.55</v>
      </c>
      <c r="S845" s="9">
        <f>IF(R845="",AVERAGEIF(Table1[Category],Table1[[#This Row],[Category]],Table2[orignal data]),Table2[[#This Row],[orignal data]])</f>
        <v>899.55</v>
      </c>
      <c r="T845" t="str">
        <f t="shared" si="54"/>
        <v>UNIQUE</v>
      </c>
      <c r="U845" t="str">
        <f>IF(ISBLANK(Table1[[#This Row],[SizeOption]]),"NOT AVAILABLE",Table1[[#This Row],[SizeOption]])</f>
        <v>S, M, L, XL, XXL, 3XL</v>
      </c>
      <c r="Y845" t="str">
        <f>IF(Table2[[#This Row],[Column1]]&gt;50%,"HIGH DISCOUNT","LOW DISCOUNT")</f>
        <v>HIGH DISCOUNT</v>
      </c>
    </row>
    <row r="846" spans="1:25" x14ac:dyDescent="0.25">
      <c r="A846" s="1" t="s">
        <v>1970</v>
      </c>
      <c r="B846" s="1">
        <v>11640718</v>
      </c>
      <c r="C846" s="1" t="s">
        <v>67</v>
      </c>
      <c r="D846" s="1" t="s">
        <v>15</v>
      </c>
      <c r="E846" s="1" t="s">
        <v>23</v>
      </c>
      <c r="F846" s="1" t="s">
        <v>17</v>
      </c>
      <c r="G846" s="1" t="s">
        <v>1971</v>
      </c>
      <c r="I846" s="1">
        <v>1199</v>
      </c>
      <c r="J846" s="1"/>
      <c r="K846" s="1" t="s">
        <v>39</v>
      </c>
      <c r="L846" s="1">
        <v>4.2</v>
      </c>
      <c r="M846" s="1">
        <v>848</v>
      </c>
      <c r="P846" t="str">
        <f t="shared" si="55"/>
        <v/>
      </c>
      <c r="Q846" s="12" t="str">
        <f t="shared" si="52"/>
        <v/>
      </c>
      <c r="R846" s="9" t="str">
        <f t="shared" si="53"/>
        <v/>
      </c>
      <c r="S846" s="9">
        <f>IF(R846="",AVERAGEIF(Table1[Category],Table1[[#This Row],[Category]],Table2[orignal data]),Table2[[#This Row],[orignal data]])</f>
        <v>892.27590339892538</v>
      </c>
      <c r="T846" t="str">
        <f t="shared" si="54"/>
        <v>UNIQUE</v>
      </c>
      <c r="U846" t="str">
        <f>IF(ISBLANK(Table1[[#This Row],[SizeOption]]),"NOT AVAILABLE",Table1[[#This Row],[SizeOption]])</f>
        <v>S, M, L, XL, XXL</v>
      </c>
      <c r="Y846" t="str">
        <f>IF(Table2[[#This Row],[Column1]]&gt;50%,"HIGH DISCOUNT","LOW DISCOUNT")</f>
        <v>HIGH DISCOUNT</v>
      </c>
    </row>
    <row r="847" spans="1:25" x14ac:dyDescent="0.25">
      <c r="A847" s="2" t="s">
        <v>1972</v>
      </c>
      <c r="B847" s="2">
        <v>13204530</v>
      </c>
      <c r="C847" s="2" t="s">
        <v>47</v>
      </c>
      <c r="D847" s="2" t="s">
        <v>15</v>
      </c>
      <c r="E847" s="2" t="s">
        <v>53</v>
      </c>
      <c r="F847" s="2" t="s">
        <v>17</v>
      </c>
      <c r="G847" s="2" t="s">
        <v>1973</v>
      </c>
      <c r="H847">
        <v>624</v>
      </c>
      <c r="I847" s="2">
        <v>2499</v>
      </c>
      <c r="J847" s="2" t="s">
        <v>109</v>
      </c>
      <c r="K847" s="2" t="s">
        <v>20</v>
      </c>
      <c r="L847" s="2">
        <v>4</v>
      </c>
      <c r="M847" s="2">
        <v>848</v>
      </c>
      <c r="P847" t="str">
        <f t="shared" si="55"/>
        <v>75%</v>
      </c>
      <c r="Q847" s="12">
        <f t="shared" si="52"/>
        <v>0.75</v>
      </c>
      <c r="R847" s="9">
        <f t="shared" si="53"/>
        <v>624.75</v>
      </c>
      <c r="S847" s="9">
        <f>IF(R847="",AVERAGEIF(Table1[Category],Table1[[#This Row],[Category]],Table2[orignal data]),Table2[[#This Row],[orignal data]])</f>
        <v>624.75</v>
      </c>
      <c r="T847" t="str">
        <f t="shared" si="54"/>
        <v>UNIQUE</v>
      </c>
      <c r="U847" t="str">
        <f>IF(ISBLANK(Table1[[#This Row],[SizeOption]]),"NOT AVAILABLE",Table1[[#This Row],[SizeOption]])</f>
        <v>28, 30, 32, 34, 36</v>
      </c>
      <c r="Y847" t="str">
        <f>IF(Table2[[#This Row],[Column1]]&gt;50%,"HIGH DISCOUNT","LOW DISCOUNT")</f>
        <v>HIGH DISCOUNT</v>
      </c>
    </row>
    <row r="848" spans="1:25" x14ac:dyDescent="0.25">
      <c r="A848" s="1" t="s">
        <v>1974</v>
      </c>
      <c r="B848" s="1">
        <v>2520652</v>
      </c>
      <c r="C848" s="1" t="s">
        <v>67</v>
      </c>
      <c r="D848" s="1" t="s">
        <v>15</v>
      </c>
      <c r="E848" s="1" t="s">
        <v>23</v>
      </c>
      <c r="F848" s="1" t="s">
        <v>17</v>
      </c>
      <c r="G848" s="1" t="s">
        <v>1975</v>
      </c>
      <c r="H848">
        <v>949</v>
      </c>
      <c r="I848" s="1">
        <v>1899</v>
      </c>
      <c r="J848" s="1" t="s">
        <v>84</v>
      </c>
      <c r="K848" s="1" t="s">
        <v>39</v>
      </c>
      <c r="L848" s="1">
        <v>4.0999999999999996</v>
      </c>
      <c r="M848" s="1">
        <v>848</v>
      </c>
      <c r="P848" t="str">
        <f t="shared" si="55"/>
        <v>50%</v>
      </c>
      <c r="Q848" s="12">
        <f t="shared" si="52"/>
        <v>0.5</v>
      </c>
      <c r="R848" s="9">
        <f t="shared" si="53"/>
        <v>949.5</v>
      </c>
      <c r="S848" s="9">
        <f>IF(R848="",AVERAGEIF(Table1[Category],Table1[[#This Row],[Category]],Table2[orignal data]),Table2[[#This Row],[orignal data]])</f>
        <v>949.5</v>
      </c>
      <c r="T848" t="str">
        <f t="shared" si="54"/>
        <v>UNIQUE</v>
      </c>
      <c r="U848" t="str">
        <f>IF(ISBLANK(Table1[[#This Row],[SizeOption]]),"NOT AVAILABLE",Table1[[#This Row],[SizeOption]])</f>
        <v>S, M, L, XL, XXL</v>
      </c>
      <c r="Y848" t="str">
        <f>IF(Table2[[#This Row],[Column1]]&gt;50%,"HIGH DISCOUNT","LOW DISCOUNT")</f>
        <v>LOW DISCOUNT</v>
      </c>
    </row>
    <row r="849" spans="1:25" x14ac:dyDescent="0.25">
      <c r="A849" s="2" t="s">
        <v>1976</v>
      </c>
      <c r="B849" s="2">
        <v>8225991</v>
      </c>
      <c r="C849" s="2" t="s">
        <v>14</v>
      </c>
      <c r="D849" s="2" t="s">
        <v>28</v>
      </c>
      <c r="E849" s="2" t="s">
        <v>29</v>
      </c>
      <c r="F849" s="2" t="s">
        <v>17</v>
      </c>
      <c r="G849" s="2" t="s">
        <v>1977</v>
      </c>
      <c r="H849">
        <v>749</v>
      </c>
      <c r="I849" s="2">
        <v>1499</v>
      </c>
      <c r="J849" s="2" t="s">
        <v>84</v>
      </c>
      <c r="K849" s="2" t="s">
        <v>253</v>
      </c>
      <c r="L849" s="2">
        <v>4.2</v>
      </c>
      <c r="M849" s="2">
        <v>848</v>
      </c>
      <c r="P849" t="str">
        <f t="shared" si="55"/>
        <v>50%</v>
      </c>
      <c r="Q849" s="12">
        <f t="shared" si="52"/>
        <v>0.5</v>
      </c>
      <c r="R849" s="9">
        <f t="shared" si="53"/>
        <v>749.5</v>
      </c>
      <c r="S849" s="9">
        <f>IF(R849="",AVERAGEIF(Table1[Category],Table1[[#This Row],[Category]],Table2[orignal data]),Table2[[#This Row],[orignal data]])</f>
        <v>749.5</v>
      </c>
      <c r="T849" t="str">
        <f t="shared" si="54"/>
        <v>UNIQUE</v>
      </c>
      <c r="U849" t="str">
        <f>IF(ISBLANK(Table1[[#This Row],[SizeOption]]),"NOT AVAILABLE",Table1[[#This Row],[SizeOption]])</f>
        <v>38, 40, 42, 44</v>
      </c>
      <c r="Y849" t="str">
        <f>IF(Table2[[#This Row],[Column1]]&gt;50%,"HIGH DISCOUNT","LOW DISCOUNT")</f>
        <v>LOW DISCOUNT</v>
      </c>
    </row>
    <row r="850" spans="1:25" x14ac:dyDescent="0.25">
      <c r="A850" s="1" t="s">
        <v>1978</v>
      </c>
      <c r="B850" s="1">
        <v>11228146</v>
      </c>
      <c r="C850" s="1" t="s">
        <v>33</v>
      </c>
      <c r="D850" s="1" t="s">
        <v>34</v>
      </c>
      <c r="E850" s="1" t="s">
        <v>118</v>
      </c>
      <c r="F850" s="1" t="s">
        <v>36</v>
      </c>
      <c r="G850" s="1" t="s">
        <v>1979</v>
      </c>
      <c r="H850">
        <v>426</v>
      </c>
      <c r="I850" s="1">
        <v>449</v>
      </c>
      <c r="J850" s="1" t="s">
        <v>764</v>
      </c>
      <c r="K850" s="1" t="s">
        <v>1980</v>
      </c>
      <c r="L850" s="1">
        <v>4.0999999999999996</v>
      </c>
      <c r="M850" s="1">
        <v>848</v>
      </c>
      <c r="P850" t="str">
        <f t="shared" si="55"/>
        <v>5%</v>
      </c>
      <c r="Q850" s="12">
        <f t="shared" si="52"/>
        <v>0.05</v>
      </c>
      <c r="R850" s="9">
        <f t="shared" si="53"/>
        <v>426.55</v>
      </c>
      <c r="S850" s="9">
        <f>IF(R850="",AVERAGEIF(Table1[Category],Table1[[#This Row],[Category]],Table2[orignal data]),Table2[[#This Row],[orignal data]])</f>
        <v>426.55</v>
      </c>
      <c r="T850" t="str">
        <f t="shared" si="54"/>
        <v>UNIQUE</v>
      </c>
      <c r="U850" t="str">
        <f>IF(ISBLANK(Table1[[#This Row],[SizeOption]]),"NOT AVAILABLE",Table1[[#This Row],[SizeOption]])</f>
        <v>32DD, 32E, 34DD, 34E, 34F, 36DD, 36E, 36F, 38DD, 38E, 38F, 40C, 40D, 40DD, 40E, 42C, 42D, 42DD, 42E, 44C, 44D, 44DD, 44E</v>
      </c>
      <c r="Y850" t="str">
        <f>IF(Table2[[#This Row],[Column1]]&gt;50%,"HIGH DISCOUNT","LOW DISCOUNT")</f>
        <v>LOW DISCOUNT</v>
      </c>
    </row>
    <row r="851" spans="1:25" x14ac:dyDescent="0.25">
      <c r="A851" s="2" t="s">
        <v>1981</v>
      </c>
      <c r="B851" s="2">
        <v>12415698</v>
      </c>
      <c r="C851" s="2" t="s">
        <v>33</v>
      </c>
      <c r="D851" s="2" t="s">
        <v>34</v>
      </c>
      <c r="E851" s="2" t="s">
        <v>118</v>
      </c>
      <c r="F851" s="2" t="s">
        <v>36</v>
      </c>
      <c r="G851" s="2" t="s">
        <v>1982</v>
      </c>
      <c r="H851">
        <v>447</v>
      </c>
      <c r="I851" s="2">
        <v>799</v>
      </c>
      <c r="J851" s="2" t="s">
        <v>1340</v>
      </c>
      <c r="K851" s="2" t="s">
        <v>1983</v>
      </c>
      <c r="L851" s="2">
        <v>4.4000000000000004</v>
      </c>
      <c r="M851" s="2">
        <v>848</v>
      </c>
      <c r="P851" t="str">
        <f t="shared" si="55"/>
        <v>44%</v>
      </c>
      <c r="Q851" s="12">
        <f t="shared" si="52"/>
        <v>0.44</v>
      </c>
      <c r="R851" s="9">
        <f t="shared" si="53"/>
        <v>447.44</v>
      </c>
      <c r="S851" s="9">
        <f>IF(R851="",AVERAGEIF(Table1[Category],Table1[[#This Row],[Category]],Table2[orignal data]),Table2[[#This Row],[orignal data]])</f>
        <v>447.44</v>
      </c>
      <c r="T851" t="str">
        <f t="shared" si="54"/>
        <v>UNIQUE</v>
      </c>
      <c r="U851" t="str">
        <f>IF(ISBLANK(Table1[[#This Row],[SizeOption]]),"NOT AVAILABLE",Table1[[#This Row],[SizeOption]])</f>
        <v>30B, 30C, 32B, 32C, 32D, 34B, 34D, 34DD, 36B, 36C, 36D, 36DD, 38B, 38C, 38D, 40C, 40D</v>
      </c>
      <c r="Y851" t="str">
        <f>IF(Table2[[#This Row],[Column1]]&gt;50%,"HIGH DISCOUNT","LOW DISCOUNT")</f>
        <v>LOW DISCOUNT</v>
      </c>
    </row>
    <row r="852" spans="1:25" x14ac:dyDescent="0.25">
      <c r="A852" s="1" t="s">
        <v>1984</v>
      </c>
      <c r="B852" s="1">
        <v>12335282</v>
      </c>
      <c r="C852" s="1" t="s">
        <v>14</v>
      </c>
      <c r="D852" s="1" t="s">
        <v>41</v>
      </c>
      <c r="E852" s="1" t="s">
        <v>306</v>
      </c>
      <c r="F852" s="1" t="s">
        <v>36</v>
      </c>
      <c r="G852" s="1" t="s">
        <v>1985</v>
      </c>
      <c r="I852" s="1">
        <v>1399</v>
      </c>
      <c r="J852" s="1" t="s">
        <v>1986</v>
      </c>
      <c r="K852" s="1" t="s">
        <v>115</v>
      </c>
      <c r="L852" s="1">
        <v>4.2</v>
      </c>
      <c r="M852" s="1">
        <v>848</v>
      </c>
      <c r="P852" t="str">
        <f t="shared" si="55"/>
        <v>60 %</v>
      </c>
      <c r="Q852" s="12">
        <f t="shared" si="52"/>
        <v>0.6</v>
      </c>
      <c r="R852" s="9">
        <f t="shared" si="53"/>
        <v>559.6</v>
      </c>
      <c r="S852" s="9">
        <f>IF(R852="",AVERAGEIF(Table1[Category],Table1[[#This Row],[Category]],Table2[orignal data]),Table2[[#This Row],[orignal data]])</f>
        <v>559.6</v>
      </c>
      <c r="T852" t="str">
        <f t="shared" si="54"/>
        <v>UNIQUE</v>
      </c>
      <c r="U852" t="str">
        <f>IF(ISBLANK(Table1[[#This Row],[SizeOption]]),"NOT AVAILABLE",Table1[[#This Row],[SizeOption]])</f>
        <v>XS, S, M, L, XL, XXL</v>
      </c>
      <c r="Y852" t="str">
        <f>IF(Table2[[#This Row],[Column1]]&gt;50%,"HIGH DISCOUNT","LOW DISCOUNT")</f>
        <v>HIGH DISCOUNT</v>
      </c>
    </row>
    <row r="853" spans="1:25" x14ac:dyDescent="0.25">
      <c r="A853" s="2" t="s">
        <v>1987</v>
      </c>
      <c r="B853" s="2">
        <v>17382032</v>
      </c>
      <c r="C853" s="2" t="s">
        <v>14</v>
      </c>
      <c r="D853" s="2" t="s">
        <v>41</v>
      </c>
      <c r="E853" s="2" t="s">
        <v>42</v>
      </c>
      <c r="F853" s="2" t="s">
        <v>36</v>
      </c>
      <c r="G853" s="2" t="s">
        <v>1988</v>
      </c>
      <c r="I853" s="2">
        <v>1598</v>
      </c>
      <c r="J853" s="2" t="s">
        <v>84</v>
      </c>
      <c r="K853" s="2" t="s">
        <v>45</v>
      </c>
      <c r="L853" s="2">
        <v>4.0999999999999996</v>
      </c>
      <c r="M853" s="2">
        <v>848</v>
      </c>
      <c r="P853" t="str">
        <f t="shared" si="55"/>
        <v>50%</v>
      </c>
      <c r="Q853" s="12">
        <f t="shared" si="52"/>
        <v>0.5</v>
      </c>
      <c r="R853" s="9">
        <f t="shared" si="53"/>
        <v>799</v>
      </c>
      <c r="S853" s="9">
        <f>IF(R853="",AVERAGEIF(Table1[Category],Table1[[#This Row],[Category]],Table2[orignal data]),Table2[[#This Row],[orignal data]])</f>
        <v>799</v>
      </c>
      <c r="T853" t="str">
        <f t="shared" si="54"/>
        <v>UNIQUE</v>
      </c>
      <c r="U853" t="str">
        <f>IF(ISBLANK(Table1[[#This Row],[SizeOption]]),"NOT AVAILABLE",Table1[[#This Row],[SizeOption]])</f>
        <v>XS, S, M, L, XL</v>
      </c>
      <c r="Y853" t="str">
        <f>IF(Table2[[#This Row],[Column1]]&gt;50%,"HIGH DISCOUNT","LOW DISCOUNT")</f>
        <v>LOW DISCOUNT</v>
      </c>
    </row>
    <row r="854" spans="1:25" x14ac:dyDescent="0.25">
      <c r="A854" s="1" t="s">
        <v>1989</v>
      </c>
      <c r="B854" s="1">
        <v>10986454</v>
      </c>
      <c r="C854" s="1" t="s">
        <v>67</v>
      </c>
      <c r="D854" s="1" t="s">
        <v>197</v>
      </c>
      <c r="E854" s="1" t="s">
        <v>198</v>
      </c>
      <c r="F854" s="1" t="s">
        <v>17</v>
      </c>
      <c r="G854" s="1" t="s">
        <v>1990</v>
      </c>
      <c r="I854" s="1">
        <v>499</v>
      </c>
      <c r="J854" s="1"/>
      <c r="K854" s="1" t="s">
        <v>164</v>
      </c>
      <c r="L854" s="1">
        <v>4.5</v>
      </c>
      <c r="M854" s="1">
        <v>847</v>
      </c>
      <c r="P854" t="str">
        <f t="shared" si="55"/>
        <v/>
      </c>
      <c r="Q854" s="12" t="str">
        <f t="shared" si="52"/>
        <v/>
      </c>
      <c r="R854" s="9" t="str">
        <f t="shared" si="53"/>
        <v/>
      </c>
      <c r="S854" s="9">
        <f>IF(R854="",AVERAGEIF(Table1[Category],Table1[[#This Row],[Category]],Table2[orignal data]),Table2[[#This Row],[orignal data]])</f>
        <v>552.70900000000006</v>
      </c>
      <c r="T854" t="str">
        <f t="shared" si="54"/>
        <v>UNIQUE</v>
      </c>
      <c r="U854" t="str">
        <f>IF(ISBLANK(Table1[[#This Row],[SizeOption]]),"NOT AVAILABLE",Table1[[#This Row],[SizeOption]])</f>
        <v>Onesize</v>
      </c>
      <c r="Y854" t="str">
        <f>IF(Table2[[#This Row],[Column1]]&gt;50%,"HIGH DISCOUNT","LOW DISCOUNT")</f>
        <v>HIGH DISCOUNT</v>
      </c>
    </row>
    <row r="855" spans="1:25" x14ac:dyDescent="0.25">
      <c r="A855" s="2" t="s">
        <v>1991</v>
      </c>
      <c r="B855" s="2">
        <v>11903984</v>
      </c>
      <c r="C855" s="2" t="s">
        <v>14</v>
      </c>
      <c r="D855" s="2" t="s">
        <v>28</v>
      </c>
      <c r="E855" s="2" t="s">
        <v>29</v>
      </c>
      <c r="F855" s="2" t="s">
        <v>17</v>
      </c>
      <c r="G855" s="2" t="s">
        <v>1992</v>
      </c>
      <c r="H855">
        <v>599</v>
      </c>
      <c r="I855" s="2">
        <v>1199</v>
      </c>
      <c r="J855" s="2" t="s">
        <v>84</v>
      </c>
      <c r="K855" s="2" t="s">
        <v>253</v>
      </c>
      <c r="L855" s="2">
        <v>4.0999999999999996</v>
      </c>
      <c r="M855" s="2">
        <v>847</v>
      </c>
      <c r="P855" t="str">
        <f t="shared" si="55"/>
        <v>50%</v>
      </c>
      <c r="Q855" s="12">
        <f t="shared" si="52"/>
        <v>0.5</v>
      </c>
      <c r="R855" s="9">
        <f t="shared" si="53"/>
        <v>599.5</v>
      </c>
      <c r="S855" s="9">
        <f>IF(R855="",AVERAGEIF(Table1[Category],Table1[[#This Row],[Category]],Table2[orignal data]),Table2[[#This Row],[orignal data]])</f>
        <v>599.5</v>
      </c>
      <c r="T855" t="str">
        <f t="shared" si="54"/>
        <v>UNIQUE</v>
      </c>
      <c r="U855" t="str">
        <f>IF(ISBLANK(Table1[[#This Row],[SizeOption]]),"NOT AVAILABLE",Table1[[#This Row],[SizeOption]])</f>
        <v>38, 40, 42, 44</v>
      </c>
      <c r="Y855" t="str">
        <f>IF(Table2[[#This Row],[Column1]]&gt;50%,"HIGH DISCOUNT","LOW DISCOUNT")</f>
        <v>LOW DISCOUNT</v>
      </c>
    </row>
    <row r="856" spans="1:25" x14ac:dyDescent="0.25">
      <c r="A856" s="1" t="s">
        <v>1993</v>
      </c>
      <c r="B856" s="1">
        <v>9345341</v>
      </c>
      <c r="C856" s="1" t="s">
        <v>14</v>
      </c>
      <c r="D856" s="1" t="s">
        <v>28</v>
      </c>
      <c r="E856" s="1" t="s">
        <v>42</v>
      </c>
      <c r="F856" s="1" t="s">
        <v>17</v>
      </c>
      <c r="G856" s="1" t="s">
        <v>1994</v>
      </c>
      <c r="H856">
        <v>519</v>
      </c>
      <c r="I856" s="1">
        <v>1299</v>
      </c>
      <c r="J856" s="1" t="s">
        <v>55</v>
      </c>
      <c r="K856" s="1" t="s">
        <v>26</v>
      </c>
      <c r="L856" s="1">
        <v>4.0999999999999996</v>
      </c>
      <c r="M856" s="1">
        <v>847</v>
      </c>
      <c r="P856" t="str">
        <f t="shared" si="55"/>
        <v>60%</v>
      </c>
      <c r="Q856" s="12">
        <f t="shared" si="52"/>
        <v>0.6</v>
      </c>
      <c r="R856" s="9">
        <f t="shared" si="53"/>
        <v>519.6</v>
      </c>
      <c r="S856" s="9">
        <f>IF(R856="",AVERAGEIF(Table1[Category],Table1[[#This Row],[Category]],Table2[orignal data]),Table2[[#This Row],[orignal data]])</f>
        <v>519.6</v>
      </c>
      <c r="T856" t="str">
        <f t="shared" si="54"/>
        <v>UNIQUE</v>
      </c>
      <c r="U856" t="str">
        <f>IF(ISBLANK(Table1[[#This Row],[SizeOption]]),"NOT AVAILABLE",Table1[[#This Row],[SizeOption]])</f>
        <v>S, M, L, XL</v>
      </c>
      <c r="Y856" t="str">
        <f>IF(Table2[[#This Row],[Column1]]&gt;50%,"HIGH DISCOUNT","LOW DISCOUNT")</f>
        <v>HIGH DISCOUNT</v>
      </c>
    </row>
    <row r="857" spans="1:25" x14ac:dyDescent="0.25">
      <c r="A857" s="2" t="s">
        <v>1995</v>
      </c>
      <c r="B857" s="2">
        <v>11069362</v>
      </c>
      <c r="C857" s="2" t="s">
        <v>22</v>
      </c>
      <c r="D857" s="2" t="s">
        <v>28</v>
      </c>
      <c r="E857" s="2" t="s">
        <v>29</v>
      </c>
      <c r="F857" s="2" t="s">
        <v>17</v>
      </c>
      <c r="G857" s="2" t="s">
        <v>1996</v>
      </c>
      <c r="H857">
        <v>511</v>
      </c>
      <c r="I857" s="2">
        <v>1549</v>
      </c>
      <c r="J857" s="2" t="s">
        <v>543</v>
      </c>
      <c r="K857" s="2" t="s">
        <v>90</v>
      </c>
      <c r="L857" s="2">
        <v>4.2</v>
      </c>
      <c r="M857" s="2">
        <v>847</v>
      </c>
      <c r="P857" t="str">
        <f t="shared" si="55"/>
        <v>67%</v>
      </c>
      <c r="Q857" s="12">
        <f t="shared" si="52"/>
        <v>0.67</v>
      </c>
      <c r="R857" s="9">
        <f t="shared" si="53"/>
        <v>511.16999999999985</v>
      </c>
      <c r="S857" s="9">
        <f>IF(R857="",AVERAGEIF(Table1[Category],Table1[[#This Row],[Category]],Table2[orignal data]),Table2[[#This Row],[orignal data]])</f>
        <v>511.16999999999985</v>
      </c>
      <c r="T857" t="str">
        <f t="shared" si="54"/>
        <v>UNIQUE</v>
      </c>
      <c r="U857" t="str">
        <f>IF(ISBLANK(Table1[[#This Row],[SizeOption]]),"NOT AVAILABLE",Table1[[#This Row],[SizeOption]])</f>
        <v>39, 40, 42, 44</v>
      </c>
      <c r="Y857" t="str">
        <f>IF(Table2[[#This Row],[Column1]]&gt;50%,"HIGH DISCOUNT","LOW DISCOUNT")</f>
        <v>HIGH DISCOUNT</v>
      </c>
    </row>
    <row r="858" spans="1:25" x14ac:dyDescent="0.25">
      <c r="A858" s="1" t="s">
        <v>1997</v>
      </c>
      <c r="B858" s="1">
        <v>14028894</v>
      </c>
      <c r="C858" s="1" t="s">
        <v>1998</v>
      </c>
      <c r="D858" s="1" t="s">
        <v>34</v>
      </c>
      <c r="E858" s="1" t="s">
        <v>296</v>
      </c>
      <c r="F858" s="1" t="s">
        <v>36</v>
      </c>
      <c r="G858" s="1" t="s">
        <v>1999</v>
      </c>
      <c r="H858">
        <v>524</v>
      </c>
      <c r="I858" s="1">
        <v>699</v>
      </c>
      <c r="J858" s="1" t="s">
        <v>282</v>
      </c>
      <c r="K858" s="1" t="s">
        <v>881</v>
      </c>
      <c r="L858" s="1">
        <v>4.0999999999999996</v>
      </c>
      <c r="M858" s="1">
        <v>847</v>
      </c>
      <c r="P858" t="str">
        <f t="shared" si="55"/>
        <v>25%</v>
      </c>
      <c r="Q858" s="12">
        <f t="shared" si="52"/>
        <v>0.25</v>
      </c>
      <c r="R858" s="9">
        <f t="shared" si="53"/>
        <v>524.25</v>
      </c>
      <c r="S858" s="9">
        <f>IF(R858="",AVERAGEIF(Table1[Category],Table1[[#This Row],[Category]],Table2[orignal data]),Table2[[#This Row],[orignal data]])</f>
        <v>524.25</v>
      </c>
      <c r="T858" t="str">
        <f t="shared" si="54"/>
        <v>UNIQUE</v>
      </c>
      <c r="U858" t="str">
        <f>IF(ISBLANK(Table1[[#This Row],[SizeOption]]),"NOT AVAILABLE",Table1[[#This Row],[SizeOption]])</f>
        <v>M, L, XL, XXL</v>
      </c>
      <c r="Y858" t="str">
        <f>IF(Table2[[#This Row],[Column1]]&gt;50%,"HIGH DISCOUNT","LOW DISCOUNT")</f>
        <v>LOW DISCOUNT</v>
      </c>
    </row>
    <row r="859" spans="1:25" x14ac:dyDescent="0.25">
      <c r="A859" s="2" t="s">
        <v>2000</v>
      </c>
      <c r="B859" s="2">
        <v>11174192</v>
      </c>
      <c r="C859" s="2" t="s">
        <v>97</v>
      </c>
      <c r="D859" s="2" t="s">
        <v>98</v>
      </c>
      <c r="E859" s="2" t="s">
        <v>148</v>
      </c>
      <c r="F859" s="2" t="s">
        <v>36</v>
      </c>
      <c r="G859" s="2" t="s">
        <v>2001</v>
      </c>
      <c r="H859">
        <v>1199</v>
      </c>
      <c r="I859" s="2">
        <v>1999</v>
      </c>
      <c r="J859" s="2" t="s">
        <v>50</v>
      </c>
      <c r="K859" s="2" t="s">
        <v>100</v>
      </c>
      <c r="L859" s="2">
        <v>4.2</v>
      </c>
      <c r="M859" s="2">
        <v>847</v>
      </c>
      <c r="P859" t="str">
        <f t="shared" si="55"/>
        <v>40%</v>
      </c>
      <c r="Q859" s="12">
        <f t="shared" si="52"/>
        <v>0.4</v>
      </c>
      <c r="R859" s="9">
        <f t="shared" si="53"/>
        <v>1199.4000000000001</v>
      </c>
      <c r="S859" s="9">
        <f>IF(R859="",AVERAGEIF(Table1[Category],Table1[[#This Row],[Category]],Table2[orignal data]),Table2[[#This Row],[orignal data]])</f>
        <v>1199.4000000000001</v>
      </c>
      <c r="T859" t="str">
        <f t="shared" si="54"/>
        <v>UNIQUE</v>
      </c>
      <c r="U859" t="str">
        <f>IF(ISBLANK(Table1[[#This Row],[SizeOption]]),"NOT AVAILABLE",Table1[[#This Row],[SizeOption]])</f>
        <v>XS, S, M, L, XL, XXL, 3XL</v>
      </c>
      <c r="Y859" t="str">
        <f>IF(Table2[[#This Row],[Column1]]&gt;50%,"HIGH DISCOUNT","LOW DISCOUNT")</f>
        <v>LOW DISCOUNT</v>
      </c>
    </row>
    <row r="860" spans="1:25" x14ac:dyDescent="0.25">
      <c r="A860" s="1" t="s">
        <v>2002</v>
      </c>
      <c r="B860" s="1">
        <v>10106321</v>
      </c>
      <c r="C860" s="1" t="s">
        <v>67</v>
      </c>
      <c r="D860" s="1" t="s">
        <v>68</v>
      </c>
      <c r="E860" s="1" t="s">
        <v>69</v>
      </c>
      <c r="F860" s="1" t="s">
        <v>36</v>
      </c>
      <c r="G860" s="1" t="s">
        <v>2003</v>
      </c>
      <c r="H860">
        <v>809</v>
      </c>
      <c r="I860" s="1">
        <v>1799</v>
      </c>
      <c r="J860" s="1" t="s">
        <v>25</v>
      </c>
      <c r="K860" s="1" t="s">
        <v>115</v>
      </c>
      <c r="L860" s="1">
        <v>4.2</v>
      </c>
      <c r="M860" s="1">
        <v>847</v>
      </c>
      <c r="P860" t="str">
        <f t="shared" si="55"/>
        <v>55%</v>
      </c>
      <c r="Q860" s="12">
        <f t="shared" si="52"/>
        <v>0.55000000000000004</v>
      </c>
      <c r="R860" s="9">
        <f t="shared" si="53"/>
        <v>809.55</v>
      </c>
      <c r="S860" s="9">
        <f>IF(R860="",AVERAGEIF(Table1[Category],Table1[[#This Row],[Category]],Table2[orignal data]),Table2[[#This Row],[orignal data]])</f>
        <v>809.55</v>
      </c>
      <c r="T860" t="str">
        <f t="shared" si="54"/>
        <v>UNIQUE</v>
      </c>
      <c r="U860" t="str">
        <f>IF(ISBLANK(Table1[[#This Row],[SizeOption]]),"NOT AVAILABLE",Table1[[#This Row],[SizeOption]])</f>
        <v>XS, S, M, L, XL, XXL</v>
      </c>
      <c r="Y860" t="str">
        <f>IF(Table2[[#This Row],[Column1]]&gt;50%,"HIGH DISCOUNT","LOW DISCOUNT")</f>
        <v>HIGH DISCOUNT</v>
      </c>
    </row>
    <row r="861" spans="1:25" x14ac:dyDescent="0.25">
      <c r="A861" s="2" t="s">
        <v>2004</v>
      </c>
      <c r="B861" s="2">
        <v>9205397</v>
      </c>
      <c r="C861" s="2" t="s">
        <v>14</v>
      </c>
      <c r="D861" s="2" t="s">
        <v>41</v>
      </c>
      <c r="E861" s="2" t="s">
        <v>16</v>
      </c>
      <c r="F861" s="2" t="s">
        <v>36</v>
      </c>
      <c r="G861" s="2" t="s">
        <v>2005</v>
      </c>
      <c r="I861" s="2">
        <v>1699</v>
      </c>
      <c r="J861" s="2" t="s">
        <v>25</v>
      </c>
      <c r="K861" s="2" t="s">
        <v>134</v>
      </c>
      <c r="L861" s="2">
        <v>4</v>
      </c>
      <c r="M861" s="2">
        <v>847</v>
      </c>
      <c r="P861" t="str">
        <f t="shared" si="55"/>
        <v>55%</v>
      </c>
      <c r="Q861" s="12">
        <f t="shared" si="52"/>
        <v>0.55000000000000004</v>
      </c>
      <c r="R861" s="9">
        <f t="shared" si="53"/>
        <v>764.55</v>
      </c>
      <c r="S861" s="9">
        <f>IF(R861="",AVERAGEIF(Table1[Category],Table1[[#This Row],[Category]],Table2[orignal data]),Table2[[#This Row],[orignal data]])</f>
        <v>764.55</v>
      </c>
      <c r="T861" t="str">
        <f t="shared" si="54"/>
        <v>UNIQUE</v>
      </c>
      <c r="U861" t="str">
        <f>IF(ISBLANK(Table1[[#This Row],[SizeOption]]),"NOT AVAILABLE",Table1[[#This Row],[SizeOption]])</f>
        <v>26, 28, 30, 32, 34, 36</v>
      </c>
      <c r="Y861" t="str">
        <f>IF(Table2[[#This Row],[Column1]]&gt;50%,"HIGH DISCOUNT","LOW DISCOUNT")</f>
        <v>HIGH DISCOUNT</v>
      </c>
    </row>
    <row r="862" spans="1:25" x14ac:dyDescent="0.25">
      <c r="A862" s="1" t="s">
        <v>2006</v>
      </c>
      <c r="B862" s="1">
        <v>12209962</v>
      </c>
      <c r="C862" s="1" t="s">
        <v>102</v>
      </c>
      <c r="D862" s="1" t="s">
        <v>41</v>
      </c>
      <c r="E862" s="1" t="s">
        <v>53</v>
      </c>
      <c r="F862" s="1" t="s">
        <v>36</v>
      </c>
      <c r="G862" s="1" t="s">
        <v>2007</v>
      </c>
      <c r="I862" s="1">
        <v>1849</v>
      </c>
      <c r="J862" s="1" t="s">
        <v>95</v>
      </c>
      <c r="K862" s="1" t="s">
        <v>105</v>
      </c>
      <c r="L862" s="1">
        <v>4.2</v>
      </c>
      <c r="M862" s="1">
        <v>847</v>
      </c>
      <c r="P862" t="str">
        <f t="shared" si="55"/>
        <v>59%</v>
      </c>
      <c r="Q862" s="12">
        <f t="shared" si="52"/>
        <v>0.59</v>
      </c>
      <c r="R862" s="9">
        <f t="shared" si="53"/>
        <v>758.09000000000015</v>
      </c>
      <c r="S862" s="9">
        <f>IF(R862="",AVERAGEIF(Table1[Category],Table1[[#This Row],[Category]],Table2[orignal data]),Table2[[#This Row],[orignal data]])</f>
        <v>758.09000000000015</v>
      </c>
      <c r="T862" t="str">
        <f t="shared" si="54"/>
        <v>UNIQUE</v>
      </c>
      <c r="U862" t="str">
        <f>IF(ISBLANK(Table1[[#This Row],[SizeOption]]),"NOT AVAILABLE",Table1[[#This Row],[SizeOption]])</f>
        <v>28, 30, 32, 34</v>
      </c>
      <c r="Y862" t="str">
        <f>IF(Table2[[#This Row],[Column1]]&gt;50%,"HIGH DISCOUNT","LOW DISCOUNT")</f>
        <v>HIGH DISCOUNT</v>
      </c>
    </row>
    <row r="863" spans="1:25" x14ac:dyDescent="0.25">
      <c r="A863" s="2" t="s">
        <v>2008</v>
      </c>
      <c r="B863" s="2">
        <v>8120171</v>
      </c>
      <c r="C863" s="2" t="s">
        <v>52</v>
      </c>
      <c r="D863" s="2" t="s">
        <v>15</v>
      </c>
      <c r="E863" s="2" t="s">
        <v>137</v>
      </c>
      <c r="F863" s="2" t="s">
        <v>17</v>
      </c>
      <c r="G863" s="2" t="s">
        <v>2009</v>
      </c>
      <c r="H863">
        <v>554</v>
      </c>
      <c r="I863" s="2">
        <v>1499</v>
      </c>
      <c r="J863" s="2" t="s">
        <v>476</v>
      </c>
      <c r="K863" s="2" t="s">
        <v>816</v>
      </c>
      <c r="L863" s="2">
        <v>4</v>
      </c>
      <c r="M863" s="2">
        <v>846</v>
      </c>
      <c r="P863" t="str">
        <f t="shared" si="55"/>
        <v>63%</v>
      </c>
      <c r="Q863" s="12">
        <f t="shared" si="52"/>
        <v>0.63</v>
      </c>
      <c r="R863" s="9">
        <f t="shared" si="53"/>
        <v>554.63</v>
      </c>
      <c r="S863" s="9">
        <f>IF(R863="",AVERAGEIF(Table1[Category],Table1[[#This Row],[Category]],Table2[orignal data]),Table2[[#This Row],[orignal data]])</f>
        <v>554.63</v>
      </c>
      <c r="T863" t="str">
        <f t="shared" si="54"/>
        <v>UNIQUE</v>
      </c>
      <c r="U863" t="str">
        <f>IF(ISBLANK(Table1[[#This Row],[SizeOption]]),"NOT AVAILABLE",Table1[[#This Row],[SizeOption]])</f>
        <v>30, 32, 34, 36, 38</v>
      </c>
      <c r="Y863" t="str">
        <f>IF(Table2[[#This Row],[Column1]]&gt;50%,"HIGH DISCOUNT","LOW DISCOUNT")</f>
        <v>HIGH DISCOUNT</v>
      </c>
    </row>
    <row r="864" spans="1:25" x14ac:dyDescent="0.25">
      <c r="A864" s="1" t="s">
        <v>2010</v>
      </c>
      <c r="B864" s="1">
        <v>2339490</v>
      </c>
      <c r="C864" s="1" t="s">
        <v>169</v>
      </c>
      <c r="D864" s="1" t="s">
        <v>28</v>
      </c>
      <c r="E864" s="1" t="s">
        <v>42</v>
      </c>
      <c r="F864" s="1" t="s">
        <v>17</v>
      </c>
      <c r="G864" s="1" t="s">
        <v>2011</v>
      </c>
      <c r="H864">
        <v>749</v>
      </c>
      <c r="I864" s="1">
        <v>1499</v>
      </c>
      <c r="J864" s="1" t="s">
        <v>84</v>
      </c>
      <c r="K864" s="1" t="s">
        <v>39</v>
      </c>
      <c r="L864" s="1">
        <v>4.2</v>
      </c>
      <c r="M864" s="1">
        <v>846</v>
      </c>
      <c r="P864" t="str">
        <f t="shared" si="55"/>
        <v>50%</v>
      </c>
      <c r="Q864" s="12">
        <f t="shared" si="52"/>
        <v>0.5</v>
      </c>
      <c r="R864" s="9">
        <f t="shared" si="53"/>
        <v>749.5</v>
      </c>
      <c r="S864" s="9">
        <f>IF(R864="",AVERAGEIF(Table1[Category],Table1[[#This Row],[Category]],Table2[orignal data]),Table2[[#This Row],[orignal data]])</f>
        <v>749.5</v>
      </c>
      <c r="T864" t="str">
        <f t="shared" si="54"/>
        <v>UNIQUE</v>
      </c>
      <c r="U864" t="str">
        <f>IF(ISBLANK(Table1[[#This Row],[SizeOption]]),"NOT AVAILABLE",Table1[[#This Row],[SizeOption]])</f>
        <v>S, M, L, XL, XXL</v>
      </c>
      <c r="Y864" t="str">
        <f>IF(Table2[[#This Row],[Column1]]&gt;50%,"HIGH DISCOUNT","LOW DISCOUNT")</f>
        <v>LOW DISCOUNT</v>
      </c>
    </row>
    <row r="865" spans="1:25" x14ac:dyDescent="0.25">
      <c r="A865" s="2" t="s">
        <v>2012</v>
      </c>
      <c r="B865" s="2">
        <v>12398628</v>
      </c>
      <c r="C865" s="2" t="s">
        <v>33</v>
      </c>
      <c r="D865" s="2" t="s">
        <v>34</v>
      </c>
      <c r="E865" s="2" t="s">
        <v>296</v>
      </c>
      <c r="F865" s="2" t="s">
        <v>36</v>
      </c>
      <c r="G865" s="2" t="s">
        <v>2013</v>
      </c>
      <c r="H865">
        <v>311</v>
      </c>
      <c r="I865" s="2">
        <v>399</v>
      </c>
      <c r="J865" s="2" t="s">
        <v>2014</v>
      </c>
      <c r="K865" s="2" t="s">
        <v>26</v>
      </c>
      <c r="L865" s="2">
        <v>4.4000000000000004</v>
      </c>
      <c r="M865" s="2">
        <v>846</v>
      </c>
      <c r="P865" t="str">
        <f t="shared" si="55"/>
        <v>22%</v>
      </c>
      <c r="Q865" s="12">
        <f t="shared" si="52"/>
        <v>0.22</v>
      </c>
      <c r="R865" s="9">
        <f t="shared" si="53"/>
        <v>311.22000000000003</v>
      </c>
      <c r="S865" s="9">
        <f>IF(R865="",AVERAGEIF(Table1[Category],Table1[[#This Row],[Category]],Table2[orignal data]),Table2[[#This Row],[orignal data]])</f>
        <v>311.22000000000003</v>
      </c>
      <c r="T865" t="str">
        <f t="shared" si="54"/>
        <v>UNIQUE</v>
      </c>
      <c r="U865" t="str">
        <f>IF(ISBLANK(Table1[[#This Row],[SizeOption]]),"NOT AVAILABLE",Table1[[#This Row],[SizeOption]])</f>
        <v>S, M, L, XL</v>
      </c>
      <c r="Y865" t="str">
        <f>IF(Table2[[#This Row],[Column1]]&gt;50%,"HIGH DISCOUNT","LOW DISCOUNT")</f>
        <v>LOW DISCOUNT</v>
      </c>
    </row>
    <row r="866" spans="1:25" x14ac:dyDescent="0.25">
      <c r="A866" s="1" t="s">
        <v>2015</v>
      </c>
      <c r="B866" s="1">
        <v>10939832</v>
      </c>
      <c r="C866" s="1" t="s">
        <v>107</v>
      </c>
      <c r="D866" s="1" t="s">
        <v>34</v>
      </c>
      <c r="E866" s="1" t="s">
        <v>118</v>
      </c>
      <c r="F866" s="1" t="s">
        <v>36</v>
      </c>
      <c r="G866" s="1" t="s">
        <v>2016</v>
      </c>
      <c r="H866">
        <v>259</v>
      </c>
      <c r="I866" s="1">
        <v>649</v>
      </c>
      <c r="J866" s="1" t="s">
        <v>55</v>
      </c>
      <c r="K866" s="1" t="s">
        <v>549</v>
      </c>
      <c r="L866" s="1">
        <v>4.3</v>
      </c>
      <c r="M866" s="1">
        <v>846</v>
      </c>
      <c r="P866" t="str">
        <f t="shared" si="55"/>
        <v>60%</v>
      </c>
      <c r="Q866" s="12">
        <f t="shared" si="52"/>
        <v>0.6</v>
      </c>
      <c r="R866" s="9">
        <f t="shared" si="53"/>
        <v>259.60000000000002</v>
      </c>
      <c r="S866" s="9">
        <f>IF(R866="",AVERAGEIF(Table1[Category],Table1[[#This Row],[Category]],Table2[orignal data]),Table2[[#This Row],[orignal data]])</f>
        <v>259.60000000000002</v>
      </c>
      <c r="T866" t="str">
        <f t="shared" si="54"/>
        <v>UNIQUE</v>
      </c>
      <c r="U866" t="str">
        <f>IF(ISBLANK(Table1[[#This Row],[SizeOption]]),"NOT AVAILABLE",Table1[[#This Row],[SizeOption]])</f>
        <v>32B, 32C, 34B, 34C, 34D, 36B, 36C, 36D, 38B, 38C, 38D</v>
      </c>
      <c r="Y866" t="str">
        <f>IF(Table2[[#This Row],[Column1]]&gt;50%,"HIGH DISCOUNT","LOW DISCOUNT")</f>
        <v>HIGH DISCOUNT</v>
      </c>
    </row>
    <row r="867" spans="1:25" x14ac:dyDescent="0.25">
      <c r="A867" s="2" t="s">
        <v>2017</v>
      </c>
      <c r="B867" s="2">
        <v>9382253</v>
      </c>
      <c r="C867" s="2" t="s">
        <v>2018</v>
      </c>
      <c r="D867" s="2" t="s">
        <v>34</v>
      </c>
      <c r="E867" s="2" t="s">
        <v>118</v>
      </c>
      <c r="F867" s="2" t="s">
        <v>36</v>
      </c>
      <c r="G867" s="2" t="s">
        <v>2019</v>
      </c>
      <c r="H867">
        <v>441</v>
      </c>
      <c r="I867" s="2">
        <v>700</v>
      </c>
      <c r="J867" s="2" t="s">
        <v>1557</v>
      </c>
      <c r="K867" s="2" t="s">
        <v>2020</v>
      </c>
      <c r="L867" s="2">
        <v>3.5</v>
      </c>
      <c r="M867" s="2">
        <v>846</v>
      </c>
      <c r="P867" t="str">
        <f t="shared" si="55"/>
        <v>37%</v>
      </c>
      <c r="Q867" s="12">
        <f t="shared" si="52"/>
        <v>0.37</v>
      </c>
      <c r="R867" s="9">
        <f t="shared" si="53"/>
        <v>441</v>
      </c>
      <c r="S867" s="9">
        <f>IF(R867="",AVERAGEIF(Table1[Category],Table1[[#This Row],[Category]],Table2[orignal data]),Table2[[#This Row],[orignal data]])</f>
        <v>441</v>
      </c>
      <c r="T867" t="str">
        <f t="shared" si="54"/>
        <v>UNIQUE</v>
      </c>
      <c r="U867" t="str">
        <f>IF(ISBLANK(Table1[[#This Row],[SizeOption]]),"NOT AVAILABLE",Table1[[#This Row],[SizeOption]])</f>
        <v>32B, 32C, 32D, 34B, 34C, 34D, 36B, 36C, 36D</v>
      </c>
      <c r="Y867" t="str">
        <f>IF(Table2[[#This Row],[Column1]]&gt;50%,"HIGH DISCOUNT","LOW DISCOUNT")</f>
        <v>LOW DISCOUNT</v>
      </c>
    </row>
    <row r="868" spans="1:25" x14ac:dyDescent="0.25">
      <c r="A868" s="1" t="s">
        <v>2021</v>
      </c>
      <c r="B868" s="1">
        <v>12530334</v>
      </c>
      <c r="C868" s="1" t="s">
        <v>64</v>
      </c>
      <c r="D868" s="1" t="s">
        <v>98</v>
      </c>
      <c r="E868" s="1" t="s">
        <v>93</v>
      </c>
      <c r="F868" s="1" t="s">
        <v>36</v>
      </c>
      <c r="G868" s="1" t="s">
        <v>2022</v>
      </c>
      <c r="H868">
        <v>479</v>
      </c>
      <c r="I868" s="1">
        <v>1199</v>
      </c>
      <c r="J868" s="1" t="s">
        <v>141</v>
      </c>
      <c r="K868" s="1" t="s">
        <v>100</v>
      </c>
      <c r="L868" s="1">
        <v>4</v>
      </c>
      <c r="M868" s="1">
        <v>846</v>
      </c>
      <c r="P868" t="str">
        <f t="shared" si="55"/>
        <v>60%</v>
      </c>
      <c r="Q868" s="12">
        <f t="shared" si="52"/>
        <v>0.6</v>
      </c>
      <c r="R868" s="9">
        <f t="shared" si="53"/>
        <v>479.6</v>
      </c>
      <c r="S868" s="9">
        <f>IF(R868="",AVERAGEIF(Table1[Category],Table1[[#This Row],[Category]],Table2[orignal data]),Table2[[#This Row],[orignal data]])</f>
        <v>479.6</v>
      </c>
      <c r="T868" t="str">
        <f t="shared" si="54"/>
        <v>UNIQUE</v>
      </c>
      <c r="U868" t="str">
        <f>IF(ISBLANK(Table1[[#This Row],[SizeOption]]),"NOT AVAILABLE",Table1[[#This Row],[SizeOption]])</f>
        <v>XS, S, M, L, XL, XXL, 3XL</v>
      </c>
      <c r="Y868" t="str">
        <f>IF(Table2[[#This Row],[Column1]]&gt;50%,"HIGH DISCOUNT","LOW DISCOUNT")</f>
        <v>HIGH DISCOUNT</v>
      </c>
    </row>
    <row r="869" spans="1:25" x14ac:dyDescent="0.25">
      <c r="A869" s="2" t="s">
        <v>2023</v>
      </c>
      <c r="B869" s="2">
        <v>2299528</v>
      </c>
      <c r="C869" s="2" t="s">
        <v>221</v>
      </c>
      <c r="D869" s="2" t="s">
        <v>98</v>
      </c>
      <c r="E869" s="2" t="s">
        <v>48</v>
      </c>
      <c r="F869" s="2" t="s">
        <v>36</v>
      </c>
      <c r="G869" s="2" t="s">
        <v>2024</v>
      </c>
      <c r="H869">
        <v>659</v>
      </c>
      <c r="I869" s="2">
        <v>2199</v>
      </c>
      <c r="J869" s="2" t="s">
        <v>79</v>
      </c>
      <c r="K869" s="2" t="s">
        <v>223</v>
      </c>
      <c r="L869" s="2">
        <v>4.2</v>
      </c>
      <c r="M869" s="2">
        <v>846</v>
      </c>
      <c r="P869" t="str">
        <f t="shared" si="55"/>
        <v>70%</v>
      </c>
      <c r="Q869" s="12">
        <f t="shared" si="52"/>
        <v>0.7</v>
      </c>
      <c r="R869" s="9">
        <f t="shared" si="53"/>
        <v>659.7</v>
      </c>
      <c r="S869" s="9">
        <f>IF(R869="",AVERAGEIF(Table1[Category],Table1[[#This Row],[Category]],Table2[orignal data]),Table2[[#This Row],[orignal data]])</f>
        <v>659.7</v>
      </c>
      <c r="T869" t="str">
        <f t="shared" si="54"/>
        <v>UNIQUE</v>
      </c>
      <c r="U869" t="str">
        <f>IF(ISBLANK(Table1[[#This Row],[SizeOption]]),"NOT AVAILABLE",Table1[[#This Row],[SizeOption]])</f>
        <v>S, M, L, XL, XXL, 3XL, 4XL</v>
      </c>
      <c r="Y869" t="str">
        <f>IF(Table2[[#This Row],[Column1]]&gt;50%,"HIGH DISCOUNT","LOW DISCOUNT")</f>
        <v>HIGH DISCOUNT</v>
      </c>
    </row>
    <row r="870" spans="1:25" x14ac:dyDescent="0.25">
      <c r="A870" s="1" t="s">
        <v>2025</v>
      </c>
      <c r="B870" s="1">
        <v>2202564</v>
      </c>
      <c r="C870" s="1" t="s">
        <v>107</v>
      </c>
      <c r="D870" s="1" t="s">
        <v>41</v>
      </c>
      <c r="E870" s="1" t="s">
        <v>16</v>
      </c>
      <c r="F870" s="1" t="s">
        <v>36</v>
      </c>
      <c r="G870" s="1" t="s">
        <v>2026</v>
      </c>
      <c r="I870" s="1">
        <v>1549</v>
      </c>
      <c r="J870" s="1" t="s">
        <v>55</v>
      </c>
      <c r="K870" s="1" t="s">
        <v>134</v>
      </c>
      <c r="L870" s="1">
        <v>4.2</v>
      </c>
      <c r="M870" s="1">
        <v>846</v>
      </c>
      <c r="P870" t="str">
        <f t="shared" si="55"/>
        <v>60%</v>
      </c>
      <c r="Q870" s="12">
        <f t="shared" si="52"/>
        <v>0.6</v>
      </c>
      <c r="R870" s="9">
        <f t="shared" si="53"/>
        <v>619.6</v>
      </c>
      <c r="S870" s="9">
        <f>IF(R870="",AVERAGEIF(Table1[Category],Table1[[#This Row],[Category]],Table2[orignal data]),Table2[[#This Row],[orignal data]])</f>
        <v>619.6</v>
      </c>
      <c r="T870" t="str">
        <f t="shared" si="54"/>
        <v>UNIQUE</v>
      </c>
      <c r="U870" t="str">
        <f>IF(ISBLANK(Table1[[#This Row],[SizeOption]]),"NOT AVAILABLE",Table1[[#This Row],[SizeOption]])</f>
        <v>26, 28, 30, 32, 34, 36</v>
      </c>
      <c r="Y870" t="str">
        <f>IF(Table2[[#This Row],[Column1]]&gt;50%,"HIGH DISCOUNT","LOW DISCOUNT")</f>
        <v>HIGH DISCOUNT</v>
      </c>
    </row>
    <row r="871" spans="1:25" x14ac:dyDescent="0.25">
      <c r="A871" s="2" t="s">
        <v>2027</v>
      </c>
      <c r="B871" s="2">
        <v>11312196</v>
      </c>
      <c r="C871" s="2" t="s">
        <v>81</v>
      </c>
      <c r="D871" s="2" t="s">
        <v>41</v>
      </c>
      <c r="E871" s="2" t="s">
        <v>148</v>
      </c>
      <c r="F871" s="2" t="s">
        <v>36</v>
      </c>
      <c r="G871" s="2" t="s">
        <v>2028</v>
      </c>
      <c r="I871" s="2">
        <v>2999</v>
      </c>
      <c r="J871" s="2" t="s">
        <v>19</v>
      </c>
      <c r="K871" s="2" t="s">
        <v>115</v>
      </c>
      <c r="L871" s="2">
        <v>4.3</v>
      </c>
      <c r="M871" s="2">
        <v>846</v>
      </c>
      <c r="P871" t="str">
        <f t="shared" si="55"/>
        <v>45%</v>
      </c>
      <c r="Q871" s="12">
        <f t="shared" si="52"/>
        <v>0.45</v>
      </c>
      <c r="R871" s="9">
        <f t="shared" si="53"/>
        <v>1649.45</v>
      </c>
      <c r="S871" s="9">
        <f>IF(R871="",AVERAGEIF(Table1[Category],Table1[[#This Row],[Category]],Table2[orignal data]),Table2[[#This Row],[orignal data]])</f>
        <v>1649.45</v>
      </c>
      <c r="T871" t="str">
        <f t="shared" si="54"/>
        <v>UNIQUE</v>
      </c>
      <c r="U871" t="str">
        <f>IF(ISBLANK(Table1[[#This Row],[SizeOption]]),"NOT AVAILABLE",Table1[[#This Row],[SizeOption]])</f>
        <v>XS, S, M, L, XL, XXL</v>
      </c>
      <c r="Y871" t="str">
        <f>IF(Table2[[#This Row],[Column1]]&gt;50%,"HIGH DISCOUNT","LOW DISCOUNT")</f>
        <v>LOW DISCOUNT</v>
      </c>
    </row>
    <row r="872" spans="1:25" x14ac:dyDescent="0.25">
      <c r="A872" s="1" t="s">
        <v>2029</v>
      </c>
      <c r="B872" s="1">
        <v>2464258</v>
      </c>
      <c r="C872" s="1" t="s">
        <v>47</v>
      </c>
      <c r="D872" s="1" t="s">
        <v>41</v>
      </c>
      <c r="E872" s="1" t="s">
        <v>42</v>
      </c>
      <c r="F872" s="1" t="s">
        <v>36</v>
      </c>
      <c r="G872" s="1" t="s">
        <v>2030</v>
      </c>
      <c r="I872" s="1">
        <v>799</v>
      </c>
      <c r="J872" s="1" t="s">
        <v>55</v>
      </c>
      <c r="K872" s="1" t="s">
        <v>45</v>
      </c>
      <c r="L872" s="1">
        <v>3.9</v>
      </c>
      <c r="M872" s="1">
        <v>846</v>
      </c>
      <c r="P872" t="str">
        <f t="shared" si="55"/>
        <v>60%</v>
      </c>
      <c r="Q872" s="12">
        <f t="shared" si="52"/>
        <v>0.6</v>
      </c>
      <c r="R872" s="9">
        <f t="shared" si="53"/>
        <v>319.60000000000002</v>
      </c>
      <c r="S872" s="9">
        <f>IF(R872="",AVERAGEIF(Table1[Category],Table1[[#This Row],[Category]],Table2[orignal data]),Table2[[#This Row],[orignal data]])</f>
        <v>319.60000000000002</v>
      </c>
      <c r="T872" t="str">
        <f t="shared" si="54"/>
        <v>UNIQUE</v>
      </c>
      <c r="U872" t="str">
        <f>IF(ISBLANK(Table1[[#This Row],[SizeOption]]),"NOT AVAILABLE",Table1[[#This Row],[SizeOption]])</f>
        <v>XS, S, M, L, XL</v>
      </c>
      <c r="Y872" t="str">
        <f>IF(Table2[[#This Row],[Column1]]&gt;50%,"HIGH DISCOUNT","LOW DISCOUNT")</f>
        <v>HIGH DISCOUNT</v>
      </c>
    </row>
    <row r="873" spans="1:25" x14ac:dyDescent="0.25">
      <c r="A873" s="2" t="s">
        <v>2031</v>
      </c>
      <c r="B873" s="2">
        <v>10283867</v>
      </c>
      <c r="C873" s="2" t="s">
        <v>2032</v>
      </c>
      <c r="D873" s="2" t="s">
        <v>28</v>
      </c>
      <c r="E873" s="2" t="s">
        <v>42</v>
      </c>
      <c r="F873" s="2" t="s">
        <v>17</v>
      </c>
      <c r="G873" s="2" t="s">
        <v>2033</v>
      </c>
      <c r="H873">
        <v>494</v>
      </c>
      <c r="I873" s="2">
        <v>899</v>
      </c>
      <c r="J873" s="2" t="s">
        <v>19</v>
      </c>
      <c r="K873" s="2" t="s">
        <v>39</v>
      </c>
      <c r="L873" s="2">
        <v>3.5</v>
      </c>
      <c r="M873" s="2">
        <v>845</v>
      </c>
      <c r="P873" t="str">
        <f t="shared" si="55"/>
        <v>45%</v>
      </c>
      <c r="Q873" s="12">
        <f t="shared" si="52"/>
        <v>0.45</v>
      </c>
      <c r="R873" s="9">
        <f t="shared" si="53"/>
        <v>494.45</v>
      </c>
      <c r="S873" s="9">
        <f>IF(R873="",AVERAGEIF(Table1[Category],Table1[[#This Row],[Category]],Table2[orignal data]),Table2[[#This Row],[orignal data]])</f>
        <v>494.45</v>
      </c>
      <c r="T873" t="str">
        <f t="shared" si="54"/>
        <v>UNIQUE</v>
      </c>
      <c r="U873" t="str">
        <f>IF(ISBLANK(Table1[[#This Row],[SizeOption]]),"NOT AVAILABLE",Table1[[#This Row],[SizeOption]])</f>
        <v>S, M, L, XL, XXL</v>
      </c>
      <c r="Y873" t="str">
        <f>IF(Table2[[#This Row],[Column1]]&gt;50%,"HIGH DISCOUNT","LOW DISCOUNT")</f>
        <v>LOW DISCOUNT</v>
      </c>
    </row>
    <row r="874" spans="1:25" x14ac:dyDescent="0.25">
      <c r="A874" s="1" t="s">
        <v>2034</v>
      </c>
      <c r="B874" s="1">
        <v>10037083</v>
      </c>
      <c r="C874" s="1" t="s">
        <v>2035</v>
      </c>
      <c r="D874" s="1" t="s">
        <v>76</v>
      </c>
      <c r="E874" s="1" t="s">
        <v>320</v>
      </c>
      <c r="F874" s="1" t="s">
        <v>36</v>
      </c>
      <c r="G874" s="1" t="s">
        <v>2036</v>
      </c>
      <c r="H874">
        <v>1399</v>
      </c>
      <c r="I874" s="1">
        <v>3999</v>
      </c>
      <c r="J874" s="1" t="s">
        <v>150</v>
      </c>
      <c r="K874" s="1" t="s">
        <v>164</v>
      </c>
      <c r="L874" s="1">
        <v>4</v>
      </c>
      <c r="M874" s="1">
        <v>845</v>
      </c>
      <c r="P874" t="str">
        <f t="shared" si="55"/>
        <v>65%</v>
      </c>
      <c r="Q874" s="12">
        <f t="shared" si="52"/>
        <v>0.65</v>
      </c>
      <c r="R874" s="9">
        <f t="shared" si="53"/>
        <v>1399.65</v>
      </c>
      <c r="S874" s="9">
        <f>IF(R874="",AVERAGEIF(Table1[Category],Table1[[#This Row],[Category]],Table2[orignal data]),Table2[[#This Row],[orignal data]])</f>
        <v>1399.65</v>
      </c>
      <c r="T874" t="str">
        <f t="shared" si="54"/>
        <v>UNIQUE</v>
      </c>
      <c r="U874" t="str">
        <f>IF(ISBLANK(Table1[[#This Row],[SizeOption]]),"NOT AVAILABLE",Table1[[#This Row],[SizeOption]])</f>
        <v>Onesize</v>
      </c>
      <c r="Y874" t="str">
        <f>IF(Table2[[#This Row],[Column1]]&gt;50%,"HIGH DISCOUNT","LOW DISCOUNT")</f>
        <v>HIGH DISCOUNT</v>
      </c>
    </row>
    <row r="875" spans="1:25" x14ac:dyDescent="0.25">
      <c r="A875" s="2" t="s">
        <v>2037</v>
      </c>
      <c r="B875" s="2">
        <v>8349249</v>
      </c>
      <c r="C875" s="2" t="s">
        <v>97</v>
      </c>
      <c r="D875" s="2" t="s">
        <v>98</v>
      </c>
      <c r="E875" s="2" t="s">
        <v>148</v>
      </c>
      <c r="F875" s="2" t="s">
        <v>36</v>
      </c>
      <c r="G875" s="2" t="s">
        <v>2038</v>
      </c>
      <c r="H875">
        <v>1299</v>
      </c>
      <c r="I875" s="2">
        <v>1999</v>
      </c>
      <c r="J875" s="2" t="s">
        <v>44</v>
      </c>
      <c r="K875" s="2" t="s">
        <v>100</v>
      </c>
      <c r="L875" s="2">
        <v>4</v>
      </c>
      <c r="M875" s="2">
        <v>845</v>
      </c>
      <c r="P875" t="str">
        <f t="shared" si="55"/>
        <v>35%</v>
      </c>
      <c r="Q875" s="12">
        <f t="shared" si="52"/>
        <v>0.35</v>
      </c>
      <c r="R875" s="9">
        <f t="shared" si="53"/>
        <v>1299.3499999999999</v>
      </c>
      <c r="S875" s="9">
        <f>IF(R875="",AVERAGEIF(Table1[Category],Table1[[#This Row],[Category]],Table2[orignal data]),Table2[[#This Row],[orignal data]])</f>
        <v>1299.3499999999999</v>
      </c>
      <c r="T875" t="str">
        <f t="shared" si="54"/>
        <v>UNIQUE</v>
      </c>
      <c r="U875" t="str">
        <f>IF(ISBLANK(Table1[[#This Row],[SizeOption]]),"NOT AVAILABLE",Table1[[#This Row],[SizeOption]])</f>
        <v>XS, S, M, L, XL, XXL, 3XL</v>
      </c>
      <c r="Y875" t="str">
        <f>IF(Table2[[#This Row],[Column1]]&gt;50%,"HIGH DISCOUNT","LOW DISCOUNT")</f>
        <v>LOW DISCOUNT</v>
      </c>
    </row>
    <row r="876" spans="1:25" x14ac:dyDescent="0.25">
      <c r="A876" s="1" t="s">
        <v>2039</v>
      </c>
      <c r="B876" s="1">
        <v>17476318</v>
      </c>
      <c r="C876" s="1" t="s">
        <v>107</v>
      </c>
      <c r="D876" s="1" t="s">
        <v>41</v>
      </c>
      <c r="E876" s="1" t="s">
        <v>42</v>
      </c>
      <c r="F876" s="1" t="s">
        <v>36</v>
      </c>
      <c r="G876" s="1" t="s">
        <v>2040</v>
      </c>
      <c r="I876" s="1">
        <v>1198</v>
      </c>
      <c r="J876" s="1" t="s">
        <v>55</v>
      </c>
      <c r="K876" s="1" t="s">
        <v>2041</v>
      </c>
      <c r="L876" s="1">
        <v>4.2</v>
      </c>
      <c r="M876" s="1">
        <v>845</v>
      </c>
      <c r="P876" t="str">
        <f t="shared" si="55"/>
        <v>60%</v>
      </c>
      <c r="Q876" s="12">
        <f t="shared" si="52"/>
        <v>0.6</v>
      </c>
      <c r="R876" s="9">
        <f t="shared" si="53"/>
        <v>479.20000000000005</v>
      </c>
      <c r="S876" s="9">
        <f>IF(R876="",AVERAGEIF(Table1[Category],Table1[[#This Row],[Category]],Table2[orignal data]),Table2[[#This Row],[orignal data]])</f>
        <v>479.20000000000005</v>
      </c>
      <c r="T876" t="str">
        <f t="shared" si="54"/>
        <v>UNIQUE</v>
      </c>
      <c r="U876" t="str">
        <f>IF(ISBLANK(Table1[[#This Row],[SizeOption]]),"NOT AVAILABLE",Table1[[#This Row],[SizeOption]])</f>
        <v>XL, M, S, L</v>
      </c>
      <c r="Y876" t="str">
        <f>IF(Table2[[#This Row],[Column1]]&gt;50%,"HIGH DISCOUNT","LOW DISCOUNT")</f>
        <v>HIGH DISCOUNT</v>
      </c>
    </row>
    <row r="877" spans="1:25" x14ac:dyDescent="0.25">
      <c r="A877" s="2" t="s">
        <v>2042</v>
      </c>
      <c r="B877" s="2">
        <v>17383590</v>
      </c>
      <c r="C877" s="2" t="s">
        <v>14</v>
      </c>
      <c r="D877" s="2" t="s">
        <v>41</v>
      </c>
      <c r="E877" s="2" t="s">
        <v>42</v>
      </c>
      <c r="F877" s="2" t="s">
        <v>36</v>
      </c>
      <c r="G877" s="2" t="s">
        <v>2043</v>
      </c>
      <c r="I877" s="2">
        <v>1598</v>
      </c>
      <c r="J877" s="2" t="s">
        <v>84</v>
      </c>
      <c r="K877" s="2" t="s">
        <v>447</v>
      </c>
      <c r="L877" s="2">
        <v>4.3</v>
      </c>
      <c r="M877" s="2">
        <v>845</v>
      </c>
      <c r="P877" t="str">
        <f t="shared" si="55"/>
        <v>50%</v>
      </c>
      <c r="Q877" s="12">
        <f t="shared" si="52"/>
        <v>0.5</v>
      </c>
      <c r="R877" s="9">
        <f t="shared" si="53"/>
        <v>799</v>
      </c>
      <c r="S877" s="9">
        <f>IF(R877="",AVERAGEIF(Table1[Category],Table1[[#This Row],[Category]],Table2[orignal data]),Table2[[#This Row],[orignal data]])</f>
        <v>799</v>
      </c>
      <c r="T877" t="str">
        <f t="shared" si="54"/>
        <v>UNIQUE</v>
      </c>
      <c r="U877" t="str">
        <f>IF(ISBLANK(Table1[[#This Row],[SizeOption]]),"NOT AVAILABLE",Table1[[#This Row],[SizeOption]])</f>
        <v>M, S, XS, XL, L</v>
      </c>
      <c r="Y877" t="str">
        <f>IF(Table2[[#This Row],[Column1]]&gt;50%,"HIGH DISCOUNT","LOW DISCOUNT")</f>
        <v>LOW DISCOUNT</v>
      </c>
    </row>
    <row r="878" spans="1:25" x14ac:dyDescent="0.25">
      <c r="A878" s="1" t="s">
        <v>2044</v>
      </c>
      <c r="B878" s="1">
        <v>6939244</v>
      </c>
      <c r="C878" s="1" t="s">
        <v>184</v>
      </c>
      <c r="D878" s="1" t="s">
        <v>41</v>
      </c>
      <c r="E878" s="1" t="s">
        <v>29</v>
      </c>
      <c r="F878" s="1" t="s">
        <v>36</v>
      </c>
      <c r="G878" s="1" t="s">
        <v>2045</v>
      </c>
      <c r="I878" s="1">
        <v>1999</v>
      </c>
      <c r="J878" s="1" t="s">
        <v>150</v>
      </c>
      <c r="K878" s="1" t="s">
        <v>39</v>
      </c>
      <c r="L878" s="1">
        <v>4.4000000000000004</v>
      </c>
      <c r="M878" s="1">
        <v>845</v>
      </c>
      <c r="P878" t="str">
        <f t="shared" si="55"/>
        <v>65%</v>
      </c>
      <c r="Q878" s="12">
        <f t="shared" si="52"/>
        <v>0.65</v>
      </c>
      <c r="R878" s="9">
        <f t="shared" si="53"/>
        <v>699.64999999999986</v>
      </c>
      <c r="S878" s="9">
        <f>IF(R878="",AVERAGEIF(Table1[Category],Table1[[#This Row],[Category]],Table2[orignal data]),Table2[[#This Row],[orignal data]])</f>
        <v>699.64999999999986</v>
      </c>
      <c r="T878" t="str">
        <f t="shared" si="54"/>
        <v>UNIQUE</v>
      </c>
      <c r="U878" t="str">
        <f>IF(ISBLANK(Table1[[#This Row],[SizeOption]]),"NOT AVAILABLE",Table1[[#This Row],[SizeOption]])</f>
        <v>S, M, L, XL, XXL</v>
      </c>
      <c r="Y878" t="str">
        <f>IF(Table2[[#This Row],[Column1]]&gt;50%,"HIGH DISCOUNT","LOW DISCOUNT")</f>
        <v>HIGH DISCOUNT</v>
      </c>
    </row>
    <row r="879" spans="1:25" x14ac:dyDescent="0.25">
      <c r="A879" s="2" t="s">
        <v>2046</v>
      </c>
      <c r="B879" s="2">
        <v>12047292</v>
      </c>
      <c r="C879" s="2" t="s">
        <v>1375</v>
      </c>
      <c r="D879" s="2" t="s">
        <v>76</v>
      </c>
      <c r="E879" s="2" t="s">
        <v>320</v>
      </c>
      <c r="F879" s="2" t="s">
        <v>36</v>
      </c>
      <c r="G879" s="2" t="s">
        <v>2047</v>
      </c>
      <c r="H879">
        <v>1539</v>
      </c>
      <c r="I879" s="2">
        <v>6999</v>
      </c>
      <c r="J879" s="2" t="s">
        <v>1469</v>
      </c>
      <c r="K879" s="2" t="s">
        <v>164</v>
      </c>
      <c r="L879" s="2">
        <v>4.2</v>
      </c>
      <c r="M879" s="2">
        <v>844</v>
      </c>
      <c r="P879" t="str">
        <f t="shared" si="55"/>
        <v>78%</v>
      </c>
      <c r="Q879" s="12">
        <f t="shared" si="52"/>
        <v>0.78</v>
      </c>
      <c r="R879" s="9">
        <f t="shared" si="53"/>
        <v>1539.7799999999997</v>
      </c>
      <c r="S879" s="9">
        <f>IF(R879="",AVERAGEIF(Table1[Category],Table1[[#This Row],[Category]],Table2[orignal data]),Table2[[#This Row],[orignal data]])</f>
        <v>1539.7799999999997</v>
      </c>
      <c r="T879" t="str">
        <f t="shared" si="54"/>
        <v>UNIQUE</v>
      </c>
      <c r="U879" t="str">
        <f>IF(ISBLANK(Table1[[#This Row],[SizeOption]]),"NOT AVAILABLE",Table1[[#This Row],[SizeOption]])</f>
        <v>Onesize</v>
      </c>
      <c r="Y879" t="str">
        <f>IF(Table2[[#This Row],[Column1]]&gt;50%,"HIGH DISCOUNT","LOW DISCOUNT")</f>
        <v>HIGH DISCOUNT</v>
      </c>
    </row>
    <row r="880" spans="1:25" x14ac:dyDescent="0.25">
      <c r="A880" s="1" t="s">
        <v>2048</v>
      </c>
      <c r="B880" s="1">
        <v>11244106</v>
      </c>
      <c r="C880" s="1" t="s">
        <v>1322</v>
      </c>
      <c r="D880" s="1" t="s">
        <v>76</v>
      </c>
      <c r="E880" s="1" t="s">
        <v>592</v>
      </c>
      <c r="F880" s="1" t="s">
        <v>36</v>
      </c>
      <c r="G880" s="1" t="s">
        <v>2049</v>
      </c>
      <c r="I880" s="1">
        <v>549</v>
      </c>
      <c r="J880" s="1"/>
      <c r="K880" s="1" t="s">
        <v>352</v>
      </c>
      <c r="L880" s="1">
        <v>4.5</v>
      </c>
      <c r="M880" s="1">
        <v>844</v>
      </c>
      <c r="P880" t="str">
        <f t="shared" si="55"/>
        <v/>
      </c>
      <c r="Q880" s="12" t="str">
        <f t="shared" si="52"/>
        <v/>
      </c>
      <c r="R880" s="9" t="str">
        <f t="shared" si="53"/>
        <v/>
      </c>
      <c r="S880" s="9">
        <f>IF(R880="",AVERAGEIF(Table1[Category],Table1[[#This Row],[Category]],Table2[orignal data]),Table2[[#This Row],[orignal data]])</f>
        <v>1045.2418648648661</v>
      </c>
      <c r="T880" t="str">
        <f t="shared" si="54"/>
        <v>UNIQUE</v>
      </c>
      <c r="U880" t="str">
        <f>IF(ISBLANK(Table1[[#This Row],[SizeOption]]),"NOT AVAILABLE",Table1[[#This Row],[SizeOption]])</f>
        <v>S, M, L</v>
      </c>
      <c r="Y880" t="str">
        <f>IF(Table2[[#This Row],[Column1]]&gt;50%,"HIGH DISCOUNT","LOW DISCOUNT")</f>
        <v>HIGH DISCOUNT</v>
      </c>
    </row>
    <row r="881" spans="1:25" x14ac:dyDescent="0.25">
      <c r="A881" s="2" t="s">
        <v>2050</v>
      </c>
      <c r="B881" s="2">
        <v>1839663</v>
      </c>
      <c r="C881" s="2" t="s">
        <v>2051</v>
      </c>
      <c r="D881" s="2" t="s">
        <v>34</v>
      </c>
      <c r="E881" s="2" t="s">
        <v>118</v>
      </c>
      <c r="F881" s="2" t="s">
        <v>36</v>
      </c>
      <c r="G881" s="2" t="s">
        <v>2052</v>
      </c>
      <c r="I881" s="2">
        <v>895</v>
      </c>
      <c r="J881" s="2"/>
      <c r="K881" s="2" t="s">
        <v>2053</v>
      </c>
      <c r="L881" s="2">
        <v>4.2</v>
      </c>
      <c r="M881" s="2">
        <v>844</v>
      </c>
      <c r="P881" t="str">
        <f t="shared" si="55"/>
        <v/>
      </c>
      <c r="Q881" s="12" t="str">
        <f t="shared" si="52"/>
        <v/>
      </c>
      <c r="R881" s="9" t="str">
        <f t="shared" si="53"/>
        <v/>
      </c>
      <c r="S881" s="9">
        <f>IF(R881="",AVERAGEIF(Table1[Category],Table1[[#This Row],[Category]],Table2[orignal data]),Table2[[#This Row],[orignal data]])</f>
        <v>608.88518518518481</v>
      </c>
      <c r="T881" t="str">
        <f t="shared" si="54"/>
        <v>UNIQUE</v>
      </c>
      <c r="U881" t="str">
        <f>IF(ISBLANK(Table1[[#This Row],[SizeOption]]),"NOT AVAILABLE",Table1[[#This Row],[SizeOption]])</f>
        <v>32B, 32C, 32D, 34B, 34C, 34D, 36B, 36C, 36D, 38B, 38C, 38D, 40C, 40D</v>
      </c>
      <c r="Y881" t="str">
        <f>IF(Table2[[#This Row],[Column1]]&gt;50%,"HIGH DISCOUNT","LOW DISCOUNT")</f>
        <v>HIGH DISCOUNT</v>
      </c>
    </row>
    <row r="882" spans="1:25" x14ac:dyDescent="0.25">
      <c r="A882" s="1" t="s">
        <v>2054</v>
      </c>
      <c r="B882" s="1">
        <v>13238794</v>
      </c>
      <c r="C882" s="1" t="s">
        <v>113</v>
      </c>
      <c r="D882" s="1" t="s">
        <v>41</v>
      </c>
      <c r="E882" s="1" t="s">
        <v>48</v>
      </c>
      <c r="F882" s="1" t="s">
        <v>36</v>
      </c>
      <c r="G882" s="1" t="s">
        <v>2055</v>
      </c>
      <c r="I882" s="1">
        <v>1799</v>
      </c>
      <c r="J882" s="1" t="s">
        <v>273</v>
      </c>
      <c r="K882" s="1" t="s">
        <v>115</v>
      </c>
      <c r="L882" s="1">
        <v>3.9</v>
      </c>
      <c r="M882" s="1">
        <v>844</v>
      </c>
      <c r="P882" t="str">
        <f t="shared" si="55"/>
        <v>45 %</v>
      </c>
      <c r="Q882" s="12">
        <f t="shared" si="52"/>
        <v>0.45</v>
      </c>
      <c r="R882" s="9">
        <f t="shared" si="53"/>
        <v>989.44999999999993</v>
      </c>
      <c r="S882" s="9">
        <f>IF(R882="",AVERAGEIF(Table1[Category],Table1[[#This Row],[Category]],Table2[orignal data]),Table2[[#This Row],[orignal data]])</f>
        <v>989.44999999999993</v>
      </c>
      <c r="T882" t="str">
        <f t="shared" si="54"/>
        <v>UNIQUE</v>
      </c>
      <c r="U882" t="str">
        <f>IF(ISBLANK(Table1[[#This Row],[SizeOption]]),"NOT AVAILABLE",Table1[[#This Row],[SizeOption]])</f>
        <v>XS, S, M, L, XL, XXL</v>
      </c>
      <c r="Y882" t="str">
        <f>IF(Table2[[#This Row],[Column1]]&gt;50%,"HIGH DISCOUNT","LOW DISCOUNT")</f>
        <v>LOW DISCOUNT</v>
      </c>
    </row>
    <row r="883" spans="1:25" x14ac:dyDescent="0.25">
      <c r="A883" s="2" t="s">
        <v>2056</v>
      </c>
      <c r="B883" s="2">
        <v>7744508</v>
      </c>
      <c r="C883" s="2" t="s">
        <v>952</v>
      </c>
      <c r="D883" s="2" t="s">
        <v>41</v>
      </c>
      <c r="E883" s="2" t="s">
        <v>16</v>
      </c>
      <c r="F883" s="2" t="s">
        <v>36</v>
      </c>
      <c r="G883" s="2" t="s">
        <v>2057</v>
      </c>
      <c r="I883" s="2">
        <v>1899</v>
      </c>
      <c r="J883" s="2" t="s">
        <v>84</v>
      </c>
      <c r="K883" s="2" t="s">
        <v>428</v>
      </c>
      <c r="L883" s="2">
        <v>4.3</v>
      </c>
      <c r="M883" s="2">
        <v>844</v>
      </c>
      <c r="P883" t="str">
        <f t="shared" si="55"/>
        <v>50%</v>
      </c>
      <c r="Q883" s="12">
        <f t="shared" si="52"/>
        <v>0.5</v>
      </c>
      <c r="R883" s="9">
        <f t="shared" si="53"/>
        <v>949.5</v>
      </c>
      <c r="S883" s="9">
        <f>IF(R883="",AVERAGEIF(Table1[Category],Table1[[#This Row],[Category]],Table2[orignal data]),Table2[[#This Row],[orignal data]])</f>
        <v>949.5</v>
      </c>
      <c r="T883" t="str">
        <f t="shared" si="54"/>
        <v>UNIQUE</v>
      </c>
      <c r="U883" t="str">
        <f>IF(ISBLANK(Table1[[#This Row],[SizeOption]]),"NOT AVAILABLE",Table1[[#This Row],[SizeOption]])</f>
        <v>26, 28, 30, 32, 34</v>
      </c>
      <c r="Y883" t="str">
        <f>IF(Table2[[#This Row],[Column1]]&gt;50%,"HIGH DISCOUNT","LOW DISCOUNT")</f>
        <v>LOW DISCOUNT</v>
      </c>
    </row>
    <row r="884" spans="1:25" x14ac:dyDescent="0.25">
      <c r="A884" s="1" t="s">
        <v>2058</v>
      </c>
      <c r="B884" s="1">
        <v>10187447</v>
      </c>
      <c r="C884" s="1" t="s">
        <v>169</v>
      </c>
      <c r="D884" s="1" t="s">
        <v>15</v>
      </c>
      <c r="E884" s="1" t="s">
        <v>16</v>
      </c>
      <c r="F884" s="1" t="s">
        <v>17</v>
      </c>
      <c r="G884" s="1" t="s">
        <v>173</v>
      </c>
      <c r="H884">
        <v>1374</v>
      </c>
      <c r="I884" s="1">
        <v>2499</v>
      </c>
      <c r="J884" s="1" t="s">
        <v>19</v>
      </c>
      <c r="K884" s="1" t="s">
        <v>171</v>
      </c>
      <c r="L884" s="1">
        <v>4.0999999999999996</v>
      </c>
      <c r="M884" s="1">
        <v>843</v>
      </c>
      <c r="P884" t="str">
        <f t="shared" si="55"/>
        <v>45%</v>
      </c>
      <c r="Q884" s="12">
        <f t="shared" si="52"/>
        <v>0.45</v>
      </c>
      <c r="R884" s="9">
        <f t="shared" si="53"/>
        <v>1374.45</v>
      </c>
      <c r="S884" s="9">
        <f>IF(R884="",AVERAGEIF(Table1[Category],Table1[[#This Row],[Category]],Table2[orignal data]),Table2[[#This Row],[orignal data]])</f>
        <v>1374.45</v>
      </c>
      <c r="T884" t="str">
        <f t="shared" si="54"/>
        <v>UNIQUE</v>
      </c>
      <c r="U884" t="str">
        <f>IF(ISBLANK(Table1[[#This Row],[SizeOption]]),"NOT AVAILABLE",Table1[[#This Row],[SizeOption]])</f>
        <v>28, 30, 32, 34, 36, 38</v>
      </c>
      <c r="Y884" t="str">
        <f>IF(Table2[[#This Row],[Column1]]&gt;50%,"HIGH DISCOUNT","LOW DISCOUNT")</f>
        <v>LOW DISCOUNT</v>
      </c>
    </row>
    <row r="885" spans="1:25" x14ac:dyDescent="0.25">
      <c r="A885" s="2" t="s">
        <v>2059</v>
      </c>
      <c r="B885" s="2">
        <v>10353589</v>
      </c>
      <c r="C885" s="2" t="s">
        <v>794</v>
      </c>
      <c r="D885" s="2" t="s">
        <v>197</v>
      </c>
      <c r="E885" s="2" t="s">
        <v>350</v>
      </c>
      <c r="F885" s="2" t="s">
        <v>17</v>
      </c>
      <c r="G885" s="2" t="s">
        <v>2060</v>
      </c>
      <c r="I885" s="2">
        <v>399</v>
      </c>
      <c r="J885" s="2"/>
      <c r="K885" s="2" t="s">
        <v>352</v>
      </c>
      <c r="L885" s="2">
        <v>4.0999999999999996</v>
      </c>
      <c r="M885" s="2">
        <v>843</v>
      </c>
      <c r="P885" t="str">
        <f t="shared" si="55"/>
        <v/>
      </c>
      <c r="Q885" s="12" t="str">
        <f t="shared" si="52"/>
        <v/>
      </c>
      <c r="R885" s="9" t="str">
        <f t="shared" si="53"/>
        <v/>
      </c>
      <c r="S885" s="9">
        <f>IF(R885="",AVERAGEIF(Table1[Category],Table1[[#This Row],[Category]],Table2[orignal data]),Table2[[#This Row],[orignal data]])</f>
        <v>552.70900000000006</v>
      </c>
      <c r="T885" t="str">
        <f t="shared" si="54"/>
        <v>UNIQUE</v>
      </c>
      <c r="U885" t="str">
        <f>IF(ISBLANK(Table1[[#This Row],[SizeOption]]),"NOT AVAILABLE",Table1[[#This Row],[SizeOption]])</f>
        <v>S, M, L</v>
      </c>
      <c r="Y885" t="str">
        <f>IF(Table2[[#This Row],[Column1]]&gt;50%,"HIGH DISCOUNT","LOW DISCOUNT")</f>
        <v>HIGH DISCOUNT</v>
      </c>
    </row>
    <row r="886" spans="1:25" x14ac:dyDescent="0.25">
      <c r="A886" s="1" t="s">
        <v>2061</v>
      </c>
      <c r="B886" s="1">
        <v>10890962</v>
      </c>
      <c r="C886" s="1" t="s">
        <v>420</v>
      </c>
      <c r="D886" s="1" t="s">
        <v>68</v>
      </c>
      <c r="E886" s="1" t="s">
        <v>42</v>
      </c>
      <c r="F886" s="1" t="s">
        <v>17</v>
      </c>
      <c r="G886" s="1" t="s">
        <v>2062</v>
      </c>
      <c r="H886">
        <v>515</v>
      </c>
      <c r="I886" s="1">
        <v>1199</v>
      </c>
      <c r="J886" s="1" t="s">
        <v>130</v>
      </c>
      <c r="K886" s="1" t="s">
        <v>26</v>
      </c>
      <c r="L886" s="1">
        <v>4.3</v>
      </c>
      <c r="M886" s="1">
        <v>843</v>
      </c>
      <c r="P886" t="str">
        <f t="shared" si="55"/>
        <v>57%</v>
      </c>
      <c r="Q886" s="12">
        <f t="shared" si="52"/>
        <v>0.56999999999999995</v>
      </c>
      <c r="R886" s="9">
        <f t="shared" si="53"/>
        <v>515.57000000000005</v>
      </c>
      <c r="S886" s="9">
        <f>IF(R886="",AVERAGEIF(Table1[Category],Table1[[#This Row],[Category]],Table2[orignal data]),Table2[[#This Row],[orignal data]])</f>
        <v>515.57000000000005</v>
      </c>
      <c r="T886" t="str">
        <f t="shared" si="54"/>
        <v>UNIQUE</v>
      </c>
      <c r="U886" t="str">
        <f>IF(ISBLANK(Table1[[#This Row],[SizeOption]]),"NOT AVAILABLE",Table1[[#This Row],[SizeOption]])</f>
        <v>S, M, L, XL</v>
      </c>
      <c r="Y886" t="str">
        <f>IF(Table2[[#This Row],[Column1]]&gt;50%,"HIGH DISCOUNT","LOW DISCOUNT")</f>
        <v>HIGH DISCOUNT</v>
      </c>
    </row>
    <row r="887" spans="1:25" x14ac:dyDescent="0.25">
      <c r="A887" s="2" t="s">
        <v>2063</v>
      </c>
      <c r="B887" s="2">
        <v>2056708</v>
      </c>
      <c r="C887" s="2" t="s">
        <v>64</v>
      </c>
      <c r="D887" s="2" t="s">
        <v>98</v>
      </c>
      <c r="E887" s="2" t="s">
        <v>148</v>
      </c>
      <c r="F887" s="2" t="s">
        <v>36</v>
      </c>
      <c r="G887" s="2" t="s">
        <v>2064</v>
      </c>
      <c r="H887">
        <v>749</v>
      </c>
      <c r="I887" s="2">
        <v>1499</v>
      </c>
      <c r="J887" s="2" t="s">
        <v>84</v>
      </c>
      <c r="K887" s="2" t="s">
        <v>115</v>
      </c>
      <c r="L887" s="2">
        <v>3.7</v>
      </c>
      <c r="M887" s="2">
        <v>843</v>
      </c>
      <c r="P887" t="str">
        <f t="shared" si="55"/>
        <v>50%</v>
      </c>
      <c r="Q887" s="12">
        <f t="shared" si="52"/>
        <v>0.5</v>
      </c>
      <c r="R887" s="9">
        <f t="shared" si="53"/>
        <v>749.5</v>
      </c>
      <c r="S887" s="9">
        <f>IF(R887="",AVERAGEIF(Table1[Category],Table1[[#This Row],[Category]],Table2[orignal data]),Table2[[#This Row],[orignal data]])</f>
        <v>749.5</v>
      </c>
      <c r="T887" t="str">
        <f t="shared" si="54"/>
        <v>UNIQUE</v>
      </c>
      <c r="U887" t="str">
        <f>IF(ISBLANK(Table1[[#This Row],[SizeOption]]),"NOT AVAILABLE",Table1[[#This Row],[SizeOption]])</f>
        <v>XS, S, M, L, XL, XXL</v>
      </c>
      <c r="Y887" t="str">
        <f>IF(Table2[[#This Row],[Column1]]&gt;50%,"HIGH DISCOUNT","LOW DISCOUNT")</f>
        <v>LOW DISCOUNT</v>
      </c>
    </row>
    <row r="888" spans="1:25" x14ac:dyDescent="0.25">
      <c r="A888" s="1" t="s">
        <v>2065</v>
      </c>
      <c r="B888" s="1">
        <v>10300853</v>
      </c>
      <c r="C888" s="1" t="s">
        <v>64</v>
      </c>
      <c r="D888" s="1" t="s">
        <v>98</v>
      </c>
      <c r="E888" s="1" t="s">
        <v>189</v>
      </c>
      <c r="F888" s="1" t="s">
        <v>36</v>
      </c>
      <c r="G888" s="1" t="s">
        <v>2066</v>
      </c>
      <c r="H888">
        <v>959</v>
      </c>
      <c r="I888" s="1">
        <v>3199</v>
      </c>
      <c r="J888" s="1" t="s">
        <v>1566</v>
      </c>
      <c r="K888" s="1" t="s">
        <v>115</v>
      </c>
      <c r="L888" s="1">
        <v>4.4000000000000004</v>
      </c>
      <c r="M888" s="1">
        <v>843</v>
      </c>
      <c r="P888" t="str">
        <f t="shared" si="55"/>
        <v>70%</v>
      </c>
      <c r="Q888" s="12">
        <f t="shared" si="52"/>
        <v>0.7</v>
      </c>
      <c r="R888" s="9">
        <f t="shared" si="53"/>
        <v>959.70000000000027</v>
      </c>
      <c r="S888" s="9">
        <f>IF(R888="",AVERAGEIF(Table1[Category],Table1[[#This Row],[Category]],Table2[orignal data]),Table2[[#This Row],[orignal data]])</f>
        <v>959.70000000000027</v>
      </c>
      <c r="T888" t="str">
        <f t="shared" si="54"/>
        <v>UNIQUE</v>
      </c>
      <c r="U888" t="str">
        <f>IF(ISBLANK(Table1[[#This Row],[SizeOption]]),"NOT AVAILABLE",Table1[[#This Row],[SizeOption]])</f>
        <v>XS, S, M, L, XL, XXL</v>
      </c>
      <c r="Y888" t="str">
        <f>IF(Table2[[#This Row],[Column1]]&gt;50%,"HIGH DISCOUNT","LOW DISCOUNT")</f>
        <v>HIGH DISCOUNT</v>
      </c>
    </row>
    <row r="889" spans="1:25" x14ac:dyDescent="0.25">
      <c r="A889" s="2" t="s">
        <v>2067</v>
      </c>
      <c r="B889" s="2">
        <v>8972461</v>
      </c>
      <c r="C889" s="2" t="s">
        <v>214</v>
      </c>
      <c r="D889" s="2" t="s">
        <v>41</v>
      </c>
      <c r="E889" s="2" t="s">
        <v>42</v>
      </c>
      <c r="F889" s="2" t="s">
        <v>36</v>
      </c>
      <c r="G889" s="2" t="s">
        <v>2068</v>
      </c>
      <c r="I889" s="2">
        <v>799</v>
      </c>
      <c r="J889" s="2" t="s">
        <v>186</v>
      </c>
      <c r="K889" s="2" t="s">
        <v>45</v>
      </c>
      <c r="L889" s="2">
        <v>4.4000000000000004</v>
      </c>
      <c r="M889" s="2">
        <v>843</v>
      </c>
      <c r="P889" t="str">
        <f t="shared" si="55"/>
        <v>30%</v>
      </c>
      <c r="Q889" s="12">
        <f t="shared" si="52"/>
        <v>0.3</v>
      </c>
      <c r="R889" s="9">
        <f t="shared" si="53"/>
        <v>559.29999999999995</v>
      </c>
      <c r="S889" s="9">
        <f>IF(R889="",AVERAGEIF(Table1[Category],Table1[[#This Row],[Category]],Table2[orignal data]),Table2[[#This Row],[orignal data]])</f>
        <v>559.29999999999995</v>
      </c>
      <c r="T889" t="str">
        <f t="shared" si="54"/>
        <v>UNIQUE</v>
      </c>
      <c r="U889" t="str">
        <f>IF(ISBLANK(Table1[[#This Row],[SizeOption]]),"NOT AVAILABLE",Table1[[#This Row],[SizeOption]])</f>
        <v>XS, S, M, L, XL</v>
      </c>
      <c r="Y889" t="str">
        <f>IF(Table2[[#This Row],[Column1]]&gt;50%,"HIGH DISCOUNT","LOW DISCOUNT")</f>
        <v>LOW DISCOUNT</v>
      </c>
    </row>
    <row r="890" spans="1:25" x14ac:dyDescent="0.25">
      <c r="A890" s="1" t="s">
        <v>2069</v>
      </c>
      <c r="B890" s="1">
        <v>8315901</v>
      </c>
      <c r="C890" s="1" t="s">
        <v>47</v>
      </c>
      <c r="D890" s="1" t="s">
        <v>41</v>
      </c>
      <c r="E890" s="1" t="s">
        <v>42</v>
      </c>
      <c r="F890" s="1" t="s">
        <v>36</v>
      </c>
      <c r="G890" s="1" t="s">
        <v>2070</v>
      </c>
      <c r="I890" s="1">
        <v>899</v>
      </c>
      <c r="J890" s="1" t="s">
        <v>577</v>
      </c>
      <c r="K890" s="1" t="s">
        <v>45</v>
      </c>
      <c r="L890" s="1">
        <v>4.4000000000000004</v>
      </c>
      <c r="M890" s="1">
        <v>843</v>
      </c>
      <c r="P890" t="str">
        <f t="shared" si="55"/>
        <v>400</v>
      </c>
      <c r="Q890" s="12">
        <f t="shared" si="52"/>
        <v>0.44493882091212456</v>
      </c>
      <c r="R890" s="9">
        <f t="shared" si="53"/>
        <v>499</v>
      </c>
      <c r="S890" s="9">
        <f>IF(R890="",AVERAGEIF(Table1[Category],Table1[[#This Row],[Category]],Table2[orignal data]),Table2[[#This Row],[orignal data]])</f>
        <v>499</v>
      </c>
      <c r="T890" t="str">
        <f t="shared" si="54"/>
        <v>UNIQUE</v>
      </c>
      <c r="U890" t="str">
        <f>IF(ISBLANK(Table1[[#This Row],[SizeOption]]),"NOT AVAILABLE",Table1[[#This Row],[SizeOption]])</f>
        <v>XS, S, M, L, XL</v>
      </c>
      <c r="Y890" t="str">
        <f>IF(Table2[[#This Row],[Column1]]&gt;50%,"HIGH DISCOUNT","LOW DISCOUNT")</f>
        <v>LOW DISCOUNT</v>
      </c>
    </row>
    <row r="891" spans="1:25" x14ac:dyDescent="0.25">
      <c r="A891" s="2" t="s">
        <v>2071</v>
      </c>
      <c r="B891" s="2">
        <v>2520585</v>
      </c>
      <c r="C891" s="2" t="s">
        <v>67</v>
      </c>
      <c r="D891" s="2" t="s">
        <v>68</v>
      </c>
      <c r="E891" s="2" t="s">
        <v>42</v>
      </c>
      <c r="F891" s="2" t="s">
        <v>17</v>
      </c>
      <c r="G891" s="2" t="s">
        <v>2072</v>
      </c>
      <c r="H891">
        <v>899</v>
      </c>
      <c r="I891" s="2">
        <v>1499</v>
      </c>
      <c r="J891" s="2" t="s">
        <v>50</v>
      </c>
      <c r="K891" s="2" t="s">
        <v>39</v>
      </c>
      <c r="L891" s="2">
        <v>4.3</v>
      </c>
      <c r="M891" s="2">
        <v>842</v>
      </c>
      <c r="P891" t="str">
        <f t="shared" si="55"/>
        <v>40%</v>
      </c>
      <c r="Q891" s="12">
        <f t="shared" si="52"/>
        <v>0.4</v>
      </c>
      <c r="R891" s="9">
        <f t="shared" si="53"/>
        <v>899.4</v>
      </c>
      <c r="S891" s="9">
        <f>IF(R891="",AVERAGEIF(Table1[Category],Table1[[#This Row],[Category]],Table2[orignal data]),Table2[[#This Row],[orignal data]])</f>
        <v>899.4</v>
      </c>
      <c r="T891" t="str">
        <f t="shared" si="54"/>
        <v>UNIQUE</v>
      </c>
      <c r="U891" t="str">
        <f>IF(ISBLANK(Table1[[#This Row],[SizeOption]]),"NOT AVAILABLE",Table1[[#This Row],[SizeOption]])</f>
        <v>S, M, L, XL, XXL</v>
      </c>
      <c r="Y891" t="str">
        <f>IF(Table2[[#This Row],[Column1]]&gt;50%,"HIGH DISCOUNT","LOW DISCOUNT")</f>
        <v>LOW DISCOUNT</v>
      </c>
    </row>
    <row r="892" spans="1:25" x14ac:dyDescent="0.25">
      <c r="A892" s="1" t="s">
        <v>2073</v>
      </c>
      <c r="B892" s="1">
        <v>14311864</v>
      </c>
      <c r="C892" s="1" t="s">
        <v>1641</v>
      </c>
      <c r="D892" s="1" t="s">
        <v>28</v>
      </c>
      <c r="E892" s="1" t="s">
        <v>42</v>
      </c>
      <c r="F892" s="1" t="s">
        <v>17</v>
      </c>
      <c r="G892" s="1" t="s">
        <v>2074</v>
      </c>
      <c r="H892">
        <v>719</v>
      </c>
      <c r="I892" s="1">
        <v>1199</v>
      </c>
      <c r="J892" s="1" t="s">
        <v>50</v>
      </c>
      <c r="K892" s="1" t="s">
        <v>234</v>
      </c>
      <c r="L892" s="1">
        <v>4.2</v>
      </c>
      <c r="M892" s="1">
        <v>842</v>
      </c>
      <c r="P892" t="str">
        <f t="shared" si="55"/>
        <v>40%</v>
      </c>
      <c r="Q892" s="12">
        <f t="shared" si="52"/>
        <v>0.4</v>
      </c>
      <c r="R892" s="9">
        <f t="shared" si="53"/>
        <v>719.4</v>
      </c>
      <c r="S892" s="9">
        <f>IF(R892="",AVERAGEIF(Table1[Category],Table1[[#This Row],[Category]],Table2[orignal data]),Table2[[#This Row],[orignal data]])</f>
        <v>719.4</v>
      </c>
      <c r="T892" t="str">
        <f t="shared" si="54"/>
        <v>UNIQUE</v>
      </c>
      <c r="U892" t="str">
        <f>IF(ISBLANK(Table1[[#This Row],[SizeOption]]),"NOT AVAILABLE",Table1[[#This Row],[SizeOption]])</f>
        <v>S, M, L, XL, XXL, 3XL</v>
      </c>
      <c r="Y892" t="str">
        <f>IF(Table2[[#This Row],[Column1]]&gt;50%,"HIGH DISCOUNT","LOW DISCOUNT")</f>
        <v>LOW DISCOUNT</v>
      </c>
    </row>
    <row r="893" spans="1:25" x14ac:dyDescent="0.25">
      <c r="A893" s="2" t="s">
        <v>2075</v>
      </c>
      <c r="B893" s="2">
        <v>9689953</v>
      </c>
      <c r="C893" s="2" t="s">
        <v>1179</v>
      </c>
      <c r="D893" s="2" t="s">
        <v>76</v>
      </c>
      <c r="E893" s="2" t="s">
        <v>148</v>
      </c>
      <c r="F893" s="2" t="s">
        <v>36</v>
      </c>
      <c r="G893" s="2" t="s">
        <v>2076</v>
      </c>
      <c r="H893">
        <v>1399</v>
      </c>
      <c r="I893" s="2">
        <v>3615</v>
      </c>
      <c r="J893" s="2" t="s">
        <v>2077</v>
      </c>
      <c r="K893" s="2" t="s">
        <v>39</v>
      </c>
      <c r="L893" s="2">
        <v>4.3</v>
      </c>
      <c r="M893" s="2">
        <v>842</v>
      </c>
      <c r="P893" t="str">
        <f t="shared" si="55"/>
        <v>2216</v>
      </c>
      <c r="Q893" s="12">
        <f t="shared" si="52"/>
        <v>0.6130013831258645</v>
      </c>
      <c r="R893" s="9">
        <f t="shared" si="53"/>
        <v>1399</v>
      </c>
      <c r="S893" s="9">
        <f>IF(R893="",AVERAGEIF(Table1[Category],Table1[[#This Row],[Category]],Table2[orignal data]),Table2[[#This Row],[orignal data]])</f>
        <v>1399</v>
      </c>
      <c r="T893" t="str">
        <f t="shared" si="54"/>
        <v>UNIQUE</v>
      </c>
      <c r="U893" t="str">
        <f>IF(ISBLANK(Table1[[#This Row],[SizeOption]]),"NOT AVAILABLE",Table1[[#This Row],[SizeOption]])</f>
        <v>S, M, L, XL, XXL</v>
      </c>
      <c r="Y893" t="str">
        <f>IF(Table2[[#This Row],[Column1]]&gt;50%,"HIGH DISCOUNT","LOW DISCOUNT")</f>
        <v>HIGH DISCOUNT</v>
      </c>
    </row>
    <row r="894" spans="1:25" x14ac:dyDescent="0.25">
      <c r="A894" s="1" t="s">
        <v>2078</v>
      </c>
      <c r="B894" s="1">
        <v>1973570</v>
      </c>
      <c r="C894" s="1" t="s">
        <v>1158</v>
      </c>
      <c r="D894" s="1" t="s">
        <v>41</v>
      </c>
      <c r="E894" s="1" t="s">
        <v>48</v>
      </c>
      <c r="F894" s="1" t="s">
        <v>36</v>
      </c>
      <c r="G894" s="1" t="s">
        <v>2079</v>
      </c>
      <c r="I894" s="1">
        <v>1470</v>
      </c>
      <c r="J894" s="1" t="s">
        <v>55</v>
      </c>
      <c r="K894" s="1" t="s">
        <v>311</v>
      </c>
      <c r="L894" s="1">
        <v>4.3</v>
      </c>
      <c r="M894" s="1">
        <v>842</v>
      </c>
      <c r="P894" t="str">
        <f t="shared" si="55"/>
        <v>60%</v>
      </c>
      <c r="Q894" s="12">
        <f t="shared" si="52"/>
        <v>0.6</v>
      </c>
      <c r="R894" s="9">
        <f t="shared" si="53"/>
        <v>588</v>
      </c>
      <c r="S894" s="9">
        <f>IF(R894="",AVERAGEIF(Table1[Category],Table1[[#This Row],[Category]],Table2[orignal data]),Table2[[#This Row],[orignal data]])</f>
        <v>588</v>
      </c>
      <c r="T894" t="str">
        <f t="shared" si="54"/>
        <v>UNIQUE</v>
      </c>
      <c r="U894" t="str">
        <f>IF(ISBLANK(Table1[[#This Row],[SizeOption]]),"NOT AVAILABLE",Table1[[#This Row],[SizeOption]])</f>
        <v>XS, S, M, L</v>
      </c>
      <c r="Y894" t="str">
        <f>IF(Table2[[#This Row],[Column1]]&gt;50%,"HIGH DISCOUNT","LOW DISCOUNT")</f>
        <v>HIGH DISCOUNT</v>
      </c>
    </row>
    <row r="895" spans="1:25" x14ac:dyDescent="0.25">
      <c r="A895" s="2" t="s">
        <v>2080</v>
      </c>
      <c r="B895" s="2">
        <v>9070049</v>
      </c>
      <c r="C895" s="2" t="s">
        <v>181</v>
      </c>
      <c r="D895" s="2" t="s">
        <v>41</v>
      </c>
      <c r="E895" s="2" t="s">
        <v>148</v>
      </c>
      <c r="F895" s="2" t="s">
        <v>36</v>
      </c>
      <c r="G895" s="2" t="s">
        <v>2081</v>
      </c>
      <c r="I895" s="2">
        <v>1699</v>
      </c>
      <c r="J895" s="2" t="s">
        <v>130</v>
      </c>
      <c r="K895" s="2" t="s">
        <v>115</v>
      </c>
      <c r="L895" s="2">
        <v>4.3</v>
      </c>
      <c r="M895" s="2">
        <v>842</v>
      </c>
      <c r="P895" t="str">
        <f t="shared" si="55"/>
        <v>57%</v>
      </c>
      <c r="Q895" s="12">
        <f t="shared" si="52"/>
        <v>0.56999999999999995</v>
      </c>
      <c r="R895" s="9">
        <f t="shared" si="53"/>
        <v>730.57</v>
      </c>
      <c r="S895" s="9">
        <f>IF(R895="",AVERAGEIF(Table1[Category],Table1[[#This Row],[Category]],Table2[orignal data]),Table2[[#This Row],[orignal data]])</f>
        <v>730.57</v>
      </c>
      <c r="T895" t="str">
        <f t="shared" si="54"/>
        <v>UNIQUE</v>
      </c>
      <c r="U895" t="str">
        <f>IF(ISBLANK(Table1[[#This Row],[SizeOption]]),"NOT AVAILABLE",Table1[[#This Row],[SizeOption]])</f>
        <v>XS, S, M, L, XL, XXL</v>
      </c>
      <c r="Y895" t="str">
        <f>IF(Table2[[#This Row],[Column1]]&gt;50%,"HIGH DISCOUNT","LOW DISCOUNT")</f>
        <v>HIGH DISCOUNT</v>
      </c>
    </row>
    <row r="896" spans="1:25" x14ac:dyDescent="0.25">
      <c r="A896" s="1" t="s">
        <v>2082</v>
      </c>
      <c r="B896" s="1">
        <v>2291339</v>
      </c>
      <c r="C896" s="1" t="s">
        <v>14</v>
      </c>
      <c r="D896" s="1" t="s">
        <v>15</v>
      </c>
      <c r="E896" s="1" t="s">
        <v>53</v>
      </c>
      <c r="F896" s="1" t="s">
        <v>17</v>
      </c>
      <c r="G896" s="1" t="s">
        <v>1823</v>
      </c>
      <c r="H896">
        <v>989</v>
      </c>
      <c r="I896" s="1">
        <v>2199</v>
      </c>
      <c r="J896" s="1" t="s">
        <v>25</v>
      </c>
      <c r="K896" s="1" t="s">
        <v>20</v>
      </c>
      <c r="L896" s="1">
        <v>3.5</v>
      </c>
      <c r="M896" s="1">
        <v>841</v>
      </c>
      <c r="P896" t="str">
        <f t="shared" si="55"/>
        <v>55%</v>
      </c>
      <c r="Q896" s="12">
        <f t="shared" si="52"/>
        <v>0.55000000000000004</v>
      </c>
      <c r="R896" s="9">
        <f t="shared" si="53"/>
        <v>989.55</v>
      </c>
      <c r="S896" s="9">
        <f>IF(R896="",AVERAGEIF(Table1[Category],Table1[[#This Row],[Category]],Table2[orignal data]),Table2[[#This Row],[orignal data]])</f>
        <v>989.55</v>
      </c>
      <c r="T896" t="str">
        <f t="shared" si="54"/>
        <v>UNIQUE</v>
      </c>
      <c r="U896" t="str">
        <f>IF(ISBLANK(Table1[[#This Row],[SizeOption]]),"NOT AVAILABLE",Table1[[#This Row],[SizeOption]])</f>
        <v>28, 30, 32, 34, 36</v>
      </c>
      <c r="Y896" t="str">
        <f>IF(Table2[[#This Row],[Column1]]&gt;50%,"HIGH DISCOUNT","LOW DISCOUNT")</f>
        <v>HIGH DISCOUNT</v>
      </c>
    </row>
    <row r="897" spans="1:25" x14ac:dyDescent="0.25">
      <c r="A897" s="2" t="s">
        <v>2083</v>
      </c>
      <c r="B897" s="2">
        <v>1376232</v>
      </c>
      <c r="C897" s="2" t="s">
        <v>14</v>
      </c>
      <c r="D897" s="2" t="s">
        <v>28</v>
      </c>
      <c r="E897" s="2" t="s">
        <v>29</v>
      </c>
      <c r="F897" s="2" t="s">
        <v>17</v>
      </c>
      <c r="G897" s="2" t="s">
        <v>2084</v>
      </c>
      <c r="H897">
        <v>719</v>
      </c>
      <c r="I897" s="2">
        <v>1599</v>
      </c>
      <c r="J897" s="2" t="s">
        <v>25</v>
      </c>
      <c r="K897" s="2" t="s">
        <v>253</v>
      </c>
      <c r="L897" s="2">
        <v>4.2</v>
      </c>
      <c r="M897" s="2">
        <v>841</v>
      </c>
      <c r="P897" t="str">
        <f t="shared" si="55"/>
        <v>55%</v>
      </c>
      <c r="Q897" s="12">
        <f t="shared" si="52"/>
        <v>0.55000000000000004</v>
      </c>
      <c r="R897" s="9">
        <f t="shared" si="53"/>
        <v>719.55</v>
      </c>
      <c r="S897" s="9">
        <f>IF(R897="",AVERAGEIF(Table1[Category],Table1[[#This Row],[Category]],Table2[orignal data]),Table2[[#This Row],[orignal data]])</f>
        <v>719.55</v>
      </c>
      <c r="T897" t="str">
        <f t="shared" si="54"/>
        <v>UNIQUE</v>
      </c>
      <c r="U897" t="str">
        <f>IF(ISBLANK(Table1[[#This Row],[SizeOption]]),"NOT AVAILABLE",Table1[[#This Row],[SizeOption]])</f>
        <v>38, 40, 42, 44</v>
      </c>
      <c r="Y897" t="str">
        <f>IF(Table2[[#This Row],[Column1]]&gt;50%,"HIGH DISCOUNT","LOW DISCOUNT")</f>
        <v>HIGH DISCOUNT</v>
      </c>
    </row>
    <row r="898" spans="1:25" x14ac:dyDescent="0.25">
      <c r="A898" s="1" t="s">
        <v>2085</v>
      </c>
      <c r="B898" s="1">
        <v>11194956</v>
      </c>
      <c r="C898" s="1" t="s">
        <v>47</v>
      </c>
      <c r="D898" s="1" t="s">
        <v>28</v>
      </c>
      <c r="E898" s="1" t="s">
        <v>29</v>
      </c>
      <c r="F898" s="1" t="s">
        <v>17</v>
      </c>
      <c r="G898" s="1" t="s">
        <v>2086</v>
      </c>
      <c r="H898">
        <v>1099</v>
      </c>
      <c r="I898" s="1">
        <v>1999</v>
      </c>
      <c r="J898" s="1" t="s">
        <v>19</v>
      </c>
      <c r="K898" s="1" t="s">
        <v>253</v>
      </c>
      <c r="L898" s="1">
        <v>4.3</v>
      </c>
      <c r="M898" s="1">
        <v>841</v>
      </c>
      <c r="P898" t="str">
        <f t="shared" si="55"/>
        <v>45%</v>
      </c>
      <c r="Q898" s="12">
        <f t="shared" ref="Q898:Q961" si="56">IF(P898="","",IF(ISNUMBER(SEARCH("%",P898)),P898,P898/I898)*100%)</f>
        <v>0.45</v>
      </c>
      <c r="R898" s="9">
        <f t="shared" ref="R898:R961" si="57">IF(P898="","",I898-(I898*Q898))</f>
        <v>1099.4499999999998</v>
      </c>
      <c r="S898" s="9">
        <f>IF(R898="",AVERAGEIF(Table1[Category],Table1[[#This Row],[Category]],Table2[orignal data]),Table2[[#This Row],[orignal data]])</f>
        <v>1099.4499999999998</v>
      </c>
      <c r="T898" t="str">
        <f t="shared" ref="T898:T961" si="58">IF(COUNTIF($B$2:$B$5000,B898)&gt;1,"DUPLICATE","UNIQUE")</f>
        <v>UNIQUE</v>
      </c>
      <c r="U898" t="str">
        <f>IF(ISBLANK(Table1[[#This Row],[SizeOption]]),"NOT AVAILABLE",Table1[[#This Row],[SizeOption]])</f>
        <v>38, 40, 42, 44</v>
      </c>
      <c r="Y898" t="str">
        <f>IF(Table2[[#This Row],[Column1]]&gt;50%,"HIGH DISCOUNT","LOW DISCOUNT")</f>
        <v>LOW DISCOUNT</v>
      </c>
    </row>
    <row r="899" spans="1:25" x14ac:dyDescent="0.25">
      <c r="A899" s="2" t="s">
        <v>2087</v>
      </c>
      <c r="B899" s="2">
        <v>9720893</v>
      </c>
      <c r="C899" s="2" t="s">
        <v>865</v>
      </c>
      <c r="D899" s="2" t="s">
        <v>76</v>
      </c>
      <c r="E899" s="2" t="s">
        <v>320</v>
      </c>
      <c r="F899" s="2" t="s">
        <v>36</v>
      </c>
      <c r="G899" s="2" t="s">
        <v>2088</v>
      </c>
      <c r="H899">
        <v>649</v>
      </c>
      <c r="I899" s="2">
        <v>1299</v>
      </c>
      <c r="J899" s="2" t="s">
        <v>84</v>
      </c>
      <c r="K899" s="2" t="s">
        <v>164</v>
      </c>
      <c r="L899" s="2">
        <v>3.5</v>
      </c>
      <c r="M899" s="2">
        <v>841</v>
      </c>
      <c r="P899" t="str">
        <f t="shared" ref="P899:P962" si="59">TRIM(SUBSTITUTE(SUBSTITUTE(SUBSTITUTE(SUBSTITUTE(J899,"OFF",""),"Rs.",""),"Hurry*",""),",",""))</f>
        <v>50%</v>
      </c>
      <c r="Q899" s="12">
        <f t="shared" si="56"/>
        <v>0.5</v>
      </c>
      <c r="R899" s="9">
        <f t="shared" si="57"/>
        <v>649.5</v>
      </c>
      <c r="S899" s="9">
        <f>IF(R899="",AVERAGEIF(Table1[Category],Table1[[#This Row],[Category]],Table2[orignal data]),Table2[[#This Row],[orignal data]])</f>
        <v>649.5</v>
      </c>
      <c r="T899" t="str">
        <f t="shared" si="58"/>
        <v>UNIQUE</v>
      </c>
      <c r="U899" t="str">
        <f>IF(ISBLANK(Table1[[#This Row],[SizeOption]]),"NOT AVAILABLE",Table1[[#This Row],[SizeOption]])</f>
        <v>Onesize</v>
      </c>
      <c r="Y899" t="str">
        <f>IF(Table2[[#This Row],[Column1]]&gt;50%,"HIGH DISCOUNT","LOW DISCOUNT")</f>
        <v>LOW DISCOUNT</v>
      </c>
    </row>
    <row r="900" spans="1:25" x14ac:dyDescent="0.25">
      <c r="A900" s="1" t="s">
        <v>2089</v>
      </c>
      <c r="B900" s="1">
        <v>13789746</v>
      </c>
      <c r="C900" s="1" t="s">
        <v>113</v>
      </c>
      <c r="D900" s="1" t="s">
        <v>76</v>
      </c>
      <c r="E900" s="1" t="s">
        <v>93</v>
      </c>
      <c r="F900" s="1" t="s">
        <v>36</v>
      </c>
      <c r="G900" s="1" t="s">
        <v>2090</v>
      </c>
      <c r="H900">
        <v>679</v>
      </c>
      <c r="I900" s="1">
        <v>1699</v>
      </c>
      <c r="J900" s="1" t="s">
        <v>55</v>
      </c>
      <c r="K900" s="1" t="s">
        <v>73</v>
      </c>
      <c r="L900" s="1">
        <v>4.0999999999999996</v>
      </c>
      <c r="M900" s="1">
        <v>841</v>
      </c>
      <c r="P900" t="str">
        <f t="shared" si="59"/>
        <v>60%</v>
      </c>
      <c r="Q900" s="12">
        <f t="shared" si="56"/>
        <v>0.6</v>
      </c>
      <c r="R900" s="9">
        <f t="shared" si="57"/>
        <v>679.6</v>
      </c>
      <c r="S900" s="9">
        <f>IF(R900="",AVERAGEIF(Table1[Category],Table1[[#This Row],[Category]],Table2[orignal data]),Table2[[#This Row],[orignal data]])</f>
        <v>679.6</v>
      </c>
      <c r="T900" t="str">
        <f t="shared" si="58"/>
        <v>UNIQUE</v>
      </c>
      <c r="U900" t="str">
        <f>IF(ISBLANK(Table1[[#This Row],[SizeOption]]),"NOT AVAILABLE",Table1[[#This Row],[SizeOption]])</f>
        <v>XS, S, M, L, XL, XXL, 3XL, 4XL</v>
      </c>
      <c r="Y900" t="str">
        <f>IF(Table2[[#This Row],[Column1]]&gt;50%,"HIGH DISCOUNT","LOW DISCOUNT")</f>
        <v>HIGH DISCOUNT</v>
      </c>
    </row>
    <row r="901" spans="1:25" x14ac:dyDescent="0.25">
      <c r="A901" s="2" t="s">
        <v>2091</v>
      </c>
      <c r="B901" s="2">
        <v>11083546</v>
      </c>
      <c r="C901" s="2" t="s">
        <v>545</v>
      </c>
      <c r="D901" s="2" t="s">
        <v>76</v>
      </c>
      <c r="E901" s="2" t="s">
        <v>320</v>
      </c>
      <c r="F901" s="2" t="s">
        <v>36</v>
      </c>
      <c r="G901" s="2" t="s">
        <v>2092</v>
      </c>
      <c r="H901">
        <v>781</v>
      </c>
      <c r="I901" s="2">
        <v>2299</v>
      </c>
      <c r="J901" s="2" t="s">
        <v>403</v>
      </c>
      <c r="K901" s="2" t="s">
        <v>164</v>
      </c>
      <c r="L901" s="2">
        <v>4.4000000000000004</v>
      </c>
      <c r="M901" s="2">
        <v>841</v>
      </c>
      <c r="P901" t="str">
        <f t="shared" si="59"/>
        <v>66%</v>
      </c>
      <c r="Q901" s="12">
        <f t="shared" si="56"/>
        <v>0.66</v>
      </c>
      <c r="R901" s="9">
        <f t="shared" si="57"/>
        <v>781.65999999999985</v>
      </c>
      <c r="S901" s="9">
        <f>IF(R901="",AVERAGEIF(Table1[Category],Table1[[#This Row],[Category]],Table2[orignal data]),Table2[[#This Row],[orignal data]])</f>
        <v>781.65999999999985</v>
      </c>
      <c r="T901" t="str">
        <f t="shared" si="58"/>
        <v>UNIQUE</v>
      </c>
      <c r="U901" t="str">
        <f>IF(ISBLANK(Table1[[#This Row],[SizeOption]]),"NOT AVAILABLE",Table1[[#This Row],[SizeOption]])</f>
        <v>Onesize</v>
      </c>
      <c r="Y901" t="str">
        <f>IF(Table2[[#This Row],[Column1]]&gt;50%,"HIGH DISCOUNT","LOW DISCOUNT")</f>
        <v>HIGH DISCOUNT</v>
      </c>
    </row>
    <row r="902" spans="1:25" x14ac:dyDescent="0.25">
      <c r="A902" s="1" t="s">
        <v>2093</v>
      </c>
      <c r="B902" s="1">
        <v>12374414</v>
      </c>
      <c r="C902" s="1" t="s">
        <v>841</v>
      </c>
      <c r="D902" s="1" t="s">
        <v>41</v>
      </c>
      <c r="E902" s="1" t="s">
        <v>23</v>
      </c>
      <c r="F902" s="1" t="s">
        <v>36</v>
      </c>
      <c r="G902" s="1" t="s">
        <v>2094</v>
      </c>
      <c r="I902" s="1">
        <v>1299</v>
      </c>
      <c r="J902" s="1" t="s">
        <v>25</v>
      </c>
      <c r="K902" s="1" t="s">
        <v>26</v>
      </c>
      <c r="L902" s="1">
        <v>4.0999999999999996</v>
      </c>
      <c r="M902" s="1">
        <v>841</v>
      </c>
      <c r="P902" t="str">
        <f t="shared" si="59"/>
        <v>55%</v>
      </c>
      <c r="Q902" s="12">
        <f t="shared" si="56"/>
        <v>0.55000000000000004</v>
      </c>
      <c r="R902" s="9">
        <f t="shared" si="57"/>
        <v>584.54999999999995</v>
      </c>
      <c r="S902" s="9">
        <f>IF(R902="",AVERAGEIF(Table1[Category],Table1[[#This Row],[Category]],Table2[orignal data]),Table2[[#This Row],[orignal data]])</f>
        <v>584.54999999999995</v>
      </c>
      <c r="T902" t="str">
        <f t="shared" si="58"/>
        <v>UNIQUE</v>
      </c>
      <c r="U902" t="str">
        <f>IF(ISBLANK(Table1[[#This Row],[SizeOption]]),"NOT AVAILABLE",Table1[[#This Row],[SizeOption]])</f>
        <v>S, M, L, XL</v>
      </c>
      <c r="Y902" t="str">
        <f>IF(Table2[[#This Row],[Column1]]&gt;50%,"HIGH DISCOUNT","LOW DISCOUNT")</f>
        <v>HIGH DISCOUNT</v>
      </c>
    </row>
    <row r="903" spans="1:25" x14ac:dyDescent="0.25">
      <c r="A903" s="2" t="s">
        <v>2095</v>
      </c>
      <c r="B903" s="2">
        <v>17383580</v>
      </c>
      <c r="C903" s="2" t="s">
        <v>14</v>
      </c>
      <c r="D903" s="2" t="s">
        <v>41</v>
      </c>
      <c r="E903" s="2" t="s">
        <v>42</v>
      </c>
      <c r="F903" s="2" t="s">
        <v>36</v>
      </c>
      <c r="G903" s="2" t="s">
        <v>2096</v>
      </c>
      <c r="I903" s="2">
        <v>1598</v>
      </c>
      <c r="J903" s="2" t="s">
        <v>84</v>
      </c>
      <c r="K903" s="2" t="s">
        <v>146</v>
      </c>
      <c r="L903" s="2">
        <v>4.3</v>
      </c>
      <c r="M903" s="2">
        <v>841</v>
      </c>
      <c r="P903" t="str">
        <f t="shared" si="59"/>
        <v>50%</v>
      </c>
      <c r="Q903" s="12">
        <f t="shared" si="56"/>
        <v>0.5</v>
      </c>
      <c r="R903" s="9">
        <f t="shared" si="57"/>
        <v>799</v>
      </c>
      <c r="S903" s="9">
        <f>IF(R903="",AVERAGEIF(Table1[Category],Table1[[#This Row],[Category]],Table2[orignal data]),Table2[[#This Row],[orignal data]])</f>
        <v>799</v>
      </c>
      <c r="T903" t="str">
        <f t="shared" si="58"/>
        <v>UNIQUE</v>
      </c>
      <c r="U903" t="str">
        <f>IF(ISBLANK(Table1[[#This Row],[SizeOption]]),"NOT AVAILABLE",Table1[[#This Row],[SizeOption]])</f>
        <v>L, M, S, XS, XL</v>
      </c>
      <c r="Y903" t="str">
        <f>IF(Table2[[#This Row],[Column1]]&gt;50%,"HIGH DISCOUNT","LOW DISCOUNT")</f>
        <v>LOW DISCOUNT</v>
      </c>
    </row>
    <row r="904" spans="1:25" x14ac:dyDescent="0.25">
      <c r="A904" s="1" t="s">
        <v>2097</v>
      </c>
      <c r="B904" s="1">
        <v>9339527</v>
      </c>
      <c r="C904" s="1" t="s">
        <v>676</v>
      </c>
      <c r="D904" s="1" t="s">
        <v>41</v>
      </c>
      <c r="E904" s="1" t="s">
        <v>48</v>
      </c>
      <c r="F904" s="1" t="s">
        <v>36</v>
      </c>
      <c r="G904" s="1" t="s">
        <v>2098</v>
      </c>
      <c r="I904" s="1">
        <v>1998</v>
      </c>
      <c r="J904" s="1" t="s">
        <v>84</v>
      </c>
      <c r="K904" s="1" t="s">
        <v>26</v>
      </c>
      <c r="L904" s="1">
        <v>4.2</v>
      </c>
      <c r="M904" s="1">
        <v>841</v>
      </c>
      <c r="P904" t="str">
        <f t="shared" si="59"/>
        <v>50%</v>
      </c>
      <c r="Q904" s="12">
        <f t="shared" si="56"/>
        <v>0.5</v>
      </c>
      <c r="R904" s="9">
        <f t="shared" si="57"/>
        <v>999</v>
      </c>
      <c r="S904" s="9">
        <f>IF(R904="",AVERAGEIF(Table1[Category],Table1[[#This Row],[Category]],Table2[orignal data]),Table2[[#This Row],[orignal data]])</f>
        <v>999</v>
      </c>
      <c r="T904" t="str">
        <f t="shared" si="58"/>
        <v>UNIQUE</v>
      </c>
      <c r="U904" t="str">
        <f>IF(ISBLANK(Table1[[#This Row],[SizeOption]]),"NOT AVAILABLE",Table1[[#This Row],[SizeOption]])</f>
        <v>S, M, L, XL</v>
      </c>
      <c r="Y904" t="str">
        <f>IF(Table2[[#This Row],[Column1]]&gt;50%,"HIGH DISCOUNT","LOW DISCOUNT")</f>
        <v>LOW DISCOUNT</v>
      </c>
    </row>
    <row r="905" spans="1:25" x14ac:dyDescent="0.25">
      <c r="A905" s="2" t="s">
        <v>2099</v>
      </c>
      <c r="B905" s="2">
        <v>11002194</v>
      </c>
      <c r="C905" s="2" t="s">
        <v>107</v>
      </c>
      <c r="D905" s="2" t="s">
        <v>41</v>
      </c>
      <c r="E905" s="2" t="s">
        <v>48</v>
      </c>
      <c r="F905" s="2" t="s">
        <v>36</v>
      </c>
      <c r="G905" s="2" t="s">
        <v>2100</v>
      </c>
      <c r="I905" s="2">
        <v>899</v>
      </c>
      <c r="J905" s="2" t="s">
        <v>79</v>
      </c>
      <c r="K905" s="2" t="s">
        <v>45</v>
      </c>
      <c r="L905" s="2">
        <v>4.2</v>
      </c>
      <c r="M905" s="2">
        <v>841</v>
      </c>
      <c r="P905" t="str">
        <f t="shared" si="59"/>
        <v>70%</v>
      </c>
      <c r="Q905" s="12">
        <f t="shared" si="56"/>
        <v>0.7</v>
      </c>
      <c r="R905" s="9">
        <f t="shared" si="57"/>
        <v>269.70000000000005</v>
      </c>
      <c r="S905" s="9">
        <f>IF(R905="",AVERAGEIF(Table1[Category],Table1[[#This Row],[Category]],Table2[orignal data]),Table2[[#This Row],[orignal data]])</f>
        <v>269.70000000000005</v>
      </c>
      <c r="T905" t="str">
        <f t="shared" si="58"/>
        <v>UNIQUE</v>
      </c>
      <c r="U905" t="str">
        <f>IF(ISBLANK(Table1[[#This Row],[SizeOption]]),"NOT AVAILABLE",Table1[[#This Row],[SizeOption]])</f>
        <v>XS, S, M, L, XL</v>
      </c>
      <c r="Y905" t="str">
        <f>IF(Table2[[#This Row],[Column1]]&gt;50%,"HIGH DISCOUNT","LOW DISCOUNT")</f>
        <v>HIGH DISCOUNT</v>
      </c>
    </row>
    <row r="906" spans="1:25" x14ac:dyDescent="0.25">
      <c r="A906" s="1" t="s">
        <v>2101</v>
      </c>
      <c r="B906" s="1">
        <v>14062988</v>
      </c>
      <c r="C906" s="1" t="s">
        <v>102</v>
      </c>
      <c r="D906" s="1" t="s">
        <v>41</v>
      </c>
      <c r="E906" s="1" t="s">
        <v>23</v>
      </c>
      <c r="F906" s="1" t="s">
        <v>36</v>
      </c>
      <c r="G906" s="1" t="s">
        <v>2102</v>
      </c>
      <c r="I906" s="1">
        <v>999</v>
      </c>
      <c r="J906" s="1" t="s">
        <v>89</v>
      </c>
      <c r="K906" s="1" t="s">
        <v>26</v>
      </c>
      <c r="L906" s="1">
        <v>4.2</v>
      </c>
      <c r="M906" s="1">
        <v>841</v>
      </c>
      <c r="P906" t="str">
        <f t="shared" si="59"/>
        <v>53%</v>
      </c>
      <c r="Q906" s="12">
        <f t="shared" si="56"/>
        <v>0.53</v>
      </c>
      <c r="R906" s="9">
        <f t="shared" si="57"/>
        <v>469.53</v>
      </c>
      <c r="S906" s="9">
        <f>IF(R906="",AVERAGEIF(Table1[Category],Table1[[#This Row],[Category]],Table2[orignal data]),Table2[[#This Row],[orignal data]])</f>
        <v>469.53</v>
      </c>
      <c r="T906" t="str">
        <f t="shared" si="58"/>
        <v>UNIQUE</v>
      </c>
      <c r="U906" t="str">
        <f>IF(ISBLANK(Table1[[#This Row],[SizeOption]]),"NOT AVAILABLE",Table1[[#This Row],[SizeOption]])</f>
        <v>S, M, L, XL</v>
      </c>
      <c r="Y906" t="str">
        <f>IF(Table2[[#This Row],[Column1]]&gt;50%,"HIGH DISCOUNT","LOW DISCOUNT")</f>
        <v>HIGH DISCOUNT</v>
      </c>
    </row>
    <row r="907" spans="1:25" x14ac:dyDescent="0.25">
      <c r="A907" s="2" t="s">
        <v>2103</v>
      </c>
      <c r="B907" s="2">
        <v>11036298</v>
      </c>
      <c r="C907" s="2" t="s">
        <v>349</v>
      </c>
      <c r="D907" s="2" t="s">
        <v>197</v>
      </c>
      <c r="E907" s="2" t="s">
        <v>296</v>
      </c>
      <c r="F907" s="2" t="s">
        <v>17</v>
      </c>
      <c r="G907" s="2" t="s">
        <v>2104</v>
      </c>
      <c r="I907" s="2">
        <v>529</v>
      </c>
      <c r="J907" s="2"/>
      <c r="K907" s="2" t="s">
        <v>352</v>
      </c>
      <c r="L907" s="2">
        <v>4.7</v>
      </c>
      <c r="M907" s="2">
        <v>840</v>
      </c>
      <c r="P907" t="str">
        <f t="shared" si="59"/>
        <v/>
      </c>
      <c r="Q907" s="12" t="str">
        <f t="shared" si="56"/>
        <v/>
      </c>
      <c r="R907" s="9" t="str">
        <f t="shared" si="57"/>
        <v/>
      </c>
      <c r="S907" s="9">
        <f>IF(R907="",AVERAGEIF(Table1[Category],Table1[[#This Row],[Category]],Table2[orignal data]),Table2[[#This Row],[orignal data]])</f>
        <v>552.70900000000006</v>
      </c>
      <c r="T907" t="str">
        <f t="shared" si="58"/>
        <v>UNIQUE</v>
      </c>
      <c r="U907" t="str">
        <f>IF(ISBLANK(Table1[[#This Row],[SizeOption]]),"NOT AVAILABLE",Table1[[#This Row],[SizeOption]])</f>
        <v>S, M, L</v>
      </c>
      <c r="Y907" t="str">
        <f>IF(Table2[[#This Row],[Column1]]&gt;50%,"HIGH DISCOUNT","LOW DISCOUNT")</f>
        <v>HIGH DISCOUNT</v>
      </c>
    </row>
    <row r="908" spans="1:25" x14ac:dyDescent="0.25">
      <c r="A908" s="1" t="s">
        <v>2105</v>
      </c>
      <c r="B908" s="1">
        <v>11361514</v>
      </c>
      <c r="C908" s="1" t="s">
        <v>169</v>
      </c>
      <c r="D908" s="1" t="s">
        <v>28</v>
      </c>
      <c r="E908" s="1" t="s">
        <v>29</v>
      </c>
      <c r="F908" s="1" t="s">
        <v>17</v>
      </c>
      <c r="G908" s="1" t="s">
        <v>2106</v>
      </c>
      <c r="H908">
        <v>1319</v>
      </c>
      <c r="I908" s="1">
        <v>2399</v>
      </c>
      <c r="J908" s="1" t="s">
        <v>19</v>
      </c>
      <c r="K908" s="1" t="s">
        <v>484</v>
      </c>
      <c r="L908" s="1">
        <v>3.9</v>
      </c>
      <c r="M908" s="1">
        <v>840</v>
      </c>
      <c r="P908" t="str">
        <f t="shared" si="59"/>
        <v>45%</v>
      </c>
      <c r="Q908" s="12">
        <f t="shared" si="56"/>
        <v>0.45</v>
      </c>
      <c r="R908" s="9">
        <f t="shared" si="57"/>
        <v>1319.45</v>
      </c>
      <c r="S908" s="9">
        <f>IF(R908="",AVERAGEIF(Table1[Category],Table1[[#This Row],[Category]],Table2[orignal data]),Table2[[#This Row],[orignal data]])</f>
        <v>1319.45</v>
      </c>
      <c r="T908" t="str">
        <f t="shared" si="58"/>
        <v>UNIQUE</v>
      </c>
      <c r="U908" t="str">
        <f>IF(ISBLANK(Table1[[#This Row],[SizeOption]]),"NOT AVAILABLE",Table1[[#This Row],[SizeOption]])</f>
        <v>39, 40, 42, 44, 46</v>
      </c>
      <c r="Y908" t="str">
        <f>IF(Table2[[#This Row],[Column1]]&gt;50%,"HIGH DISCOUNT","LOW DISCOUNT")</f>
        <v>LOW DISCOUNT</v>
      </c>
    </row>
    <row r="909" spans="1:25" x14ac:dyDescent="0.25">
      <c r="A909" s="2" t="s">
        <v>2107</v>
      </c>
      <c r="B909" s="2">
        <v>11369814</v>
      </c>
      <c r="C909" s="2" t="s">
        <v>47</v>
      </c>
      <c r="D909" s="2" t="s">
        <v>28</v>
      </c>
      <c r="E909" s="2" t="s">
        <v>29</v>
      </c>
      <c r="F909" s="2" t="s">
        <v>17</v>
      </c>
      <c r="G909" s="2" t="s">
        <v>2108</v>
      </c>
      <c r="H909">
        <v>1159</v>
      </c>
      <c r="I909" s="2">
        <v>2899</v>
      </c>
      <c r="J909" s="2" t="s">
        <v>55</v>
      </c>
      <c r="K909" s="2" t="s">
        <v>253</v>
      </c>
      <c r="L909" s="2">
        <v>4</v>
      </c>
      <c r="M909" s="2">
        <v>840</v>
      </c>
      <c r="P909" t="str">
        <f t="shared" si="59"/>
        <v>60%</v>
      </c>
      <c r="Q909" s="12">
        <f t="shared" si="56"/>
        <v>0.6</v>
      </c>
      <c r="R909" s="9">
        <f t="shared" si="57"/>
        <v>1159.6000000000001</v>
      </c>
      <c r="S909" s="9">
        <f>IF(R909="",AVERAGEIF(Table1[Category],Table1[[#This Row],[Category]],Table2[orignal data]),Table2[[#This Row],[orignal data]])</f>
        <v>1159.6000000000001</v>
      </c>
      <c r="T909" t="str">
        <f t="shared" si="58"/>
        <v>UNIQUE</v>
      </c>
      <c r="U909" t="str">
        <f>IF(ISBLANK(Table1[[#This Row],[SizeOption]]),"NOT AVAILABLE",Table1[[#This Row],[SizeOption]])</f>
        <v>38, 40, 42, 44</v>
      </c>
      <c r="Y909" t="str">
        <f>IF(Table2[[#This Row],[Column1]]&gt;50%,"HIGH DISCOUNT","LOW DISCOUNT")</f>
        <v>HIGH DISCOUNT</v>
      </c>
    </row>
    <row r="910" spans="1:25" x14ac:dyDescent="0.25">
      <c r="A910" s="1" t="s">
        <v>2109</v>
      </c>
      <c r="B910" s="1">
        <v>8938961</v>
      </c>
      <c r="C910" s="1" t="s">
        <v>14</v>
      </c>
      <c r="D910" s="1" t="s">
        <v>28</v>
      </c>
      <c r="E910" s="1" t="s">
        <v>42</v>
      </c>
      <c r="F910" s="1" t="s">
        <v>17</v>
      </c>
      <c r="G910" s="1" t="s">
        <v>2110</v>
      </c>
      <c r="H910">
        <v>314</v>
      </c>
      <c r="I910" s="1">
        <v>699</v>
      </c>
      <c r="J910" s="1" t="s">
        <v>25</v>
      </c>
      <c r="K910" s="1" t="s">
        <v>26</v>
      </c>
      <c r="L910" s="1">
        <v>4.3</v>
      </c>
      <c r="M910" s="1">
        <v>840</v>
      </c>
      <c r="P910" t="str">
        <f t="shared" si="59"/>
        <v>55%</v>
      </c>
      <c r="Q910" s="12">
        <f t="shared" si="56"/>
        <v>0.55000000000000004</v>
      </c>
      <c r="R910" s="9">
        <f t="shared" si="57"/>
        <v>314.54999999999995</v>
      </c>
      <c r="S910" s="9">
        <f>IF(R910="",AVERAGEIF(Table1[Category],Table1[[#This Row],[Category]],Table2[orignal data]),Table2[[#This Row],[orignal data]])</f>
        <v>314.54999999999995</v>
      </c>
      <c r="T910" t="str">
        <f t="shared" si="58"/>
        <v>UNIQUE</v>
      </c>
      <c r="U910" t="str">
        <f>IF(ISBLANK(Table1[[#This Row],[SizeOption]]),"NOT AVAILABLE",Table1[[#This Row],[SizeOption]])</f>
        <v>S, M, L, XL</v>
      </c>
      <c r="Y910" t="str">
        <f>IF(Table2[[#This Row],[Column1]]&gt;50%,"HIGH DISCOUNT","LOW DISCOUNT")</f>
        <v>HIGH DISCOUNT</v>
      </c>
    </row>
    <row r="911" spans="1:25" x14ac:dyDescent="0.25">
      <c r="A911" s="2" t="s">
        <v>2111</v>
      </c>
      <c r="B911" s="2">
        <v>6825457</v>
      </c>
      <c r="C911" s="2" t="s">
        <v>67</v>
      </c>
      <c r="D911" s="2" t="s">
        <v>28</v>
      </c>
      <c r="E911" s="2" t="s">
        <v>42</v>
      </c>
      <c r="F911" s="2" t="s">
        <v>17</v>
      </c>
      <c r="G911" s="2" t="s">
        <v>2112</v>
      </c>
      <c r="H911">
        <v>449</v>
      </c>
      <c r="I911" s="2">
        <v>899</v>
      </c>
      <c r="J911" s="2" t="s">
        <v>84</v>
      </c>
      <c r="K911" s="2" t="s">
        <v>39</v>
      </c>
      <c r="L911" s="2">
        <v>3.8</v>
      </c>
      <c r="M911" s="2">
        <v>840</v>
      </c>
      <c r="P911" t="str">
        <f t="shared" si="59"/>
        <v>50%</v>
      </c>
      <c r="Q911" s="12">
        <f t="shared" si="56"/>
        <v>0.5</v>
      </c>
      <c r="R911" s="9">
        <f t="shared" si="57"/>
        <v>449.5</v>
      </c>
      <c r="S911" s="9">
        <f>IF(R911="",AVERAGEIF(Table1[Category],Table1[[#This Row],[Category]],Table2[orignal data]),Table2[[#This Row],[orignal data]])</f>
        <v>449.5</v>
      </c>
      <c r="T911" t="str">
        <f t="shared" si="58"/>
        <v>UNIQUE</v>
      </c>
      <c r="U911" t="str">
        <f>IF(ISBLANK(Table1[[#This Row],[SizeOption]]),"NOT AVAILABLE",Table1[[#This Row],[SizeOption]])</f>
        <v>S, M, L, XL, XXL</v>
      </c>
      <c r="Y911" t="str">
        <f>IF(Table2[[#This Row],[Column1]]&gt;50%,"HIGH DISCOUNT","LOW DISCOUNT")</f>
        <v>LOW DISCOUNT</v>
      </c>
    </row>
    <row r="912" spans="1:25" x14ac:dyDescent="0.25">
      <c r="A912" s="1" t="s">
        <v>2113</v>
      </c>
      <c r="B912" s="1">
        <v>12524820</v>
      </c>
      <c r="C912" s="1" t="s">
        <v>64</v>
      </c>
      <c r="D912" s="1" t="s">
        <v>76</v>
      </c>
      <c r="E912" s="1" t="s">
        <v>93</v>
      </c>
      <c r="F912" s="1" t="s">
        <v>36</v>
      </c>
      <c r="G912" s="1" t="s">
        <v>2114</v>
      </c>
      <c r="H912">
        <v>879</v>
      </c>
      <c r="I912" s="1">
        <v>1599</v>
      </c>
      <c r="J912" s="1" t="s">
        <v>19</v>
      </c>
      <c r="K912" s="1" t="s">
        <v>100</v>
      </c>
      <c r="L912" s="1">
        <v>4.2</v>
      </c>
      <c r="M912" s="1">
        <v>840</v>
      </c>
      <c r="P912" t="str">
        <f t="shared" si="59"/>
        <v>45%</v>
      </c>
      <c r="Q912" s="12">
        <f t="shared" si="56"/>
        <v>0.45</v>
      </c>
      <c r="R912" s="9">
        <f t="shared" si="57"/>
        <v>879.44999999999993</v>
      </c>
      <c r="S912" s="9">
        <f>IF(R912="",AVERAGEIF(Table1[Category],Table1[[#This Row],[Category]],Table2[orignal data]),Table2[[#This Row],[orignal data]])</f>
        <v>879.44999999999993</v>
      </c>
      <c r="T912" t="str">
        <f t="shared" si="58"/>
        <v>UNIQUE</v>
      </c>
      <c r="U912" t="str">
        <f>IF(ISBLANK(Table1[[#This Row],[SizeOption]]),"NOT AVAILABLE",Table1[[#This Row],[SizeOption]])</f>
        <v>XS, S, M, L, XL, XXL, 3XL</v>
      </c>
      <c r="Y912" t="str">
        <f>IF(Table2[[#This Row],[Column1]]&gt;50%,"HIGH DISCOUNT","LOW DISCOUNT")</f>
        <v>LOW DISCOUNT</v>
      </c>
    </row>
    <row r="913" spans="1:25" x14ac:dyDescent="0.25">
      <c r="A913" s="2" t="s">
        <v>2115</v>
      </c>
      <c r="B913" s="2">
        <v>11457308</v>
      </c>
      <c r="C913" s="2" t="s">
        <v>1375</v>
      </c>
      <c r="D913" s="2" t="s">
        <v>76</v>
      </c>
      <c r="E913" s="2" t="s">
        <v>320</v>
      </c>
      <c r="F913" s="2" t="s">
        <v>36</v>
      </c>
      <c r="G913" s="2" t="s">
        <v>2116</v>
      </c>
      <c r="H913">
        <v>899</v>
      </c>
      <c r="I913" s="2">
        <v>2498</v>
      </c>
      <c r="J913" s="2" t="s">
        <v>416</v>
      </c>
      <c r="K913" s="2" t="s">
        <v>164</v>
      </c>
      <c r="L913" s="2">
        <v>3.8</v>
      </c>
      <c r="M913" s="2">
        <v>840</v>
      </c>
      <c r="P913" t="str">
        <f t="shared" si="59"/>
        <v>64%</v>
      </c>
      <c r="Q913" s="12">
        <f t="shared" si="56"/>
        <v>0.64</v>
      </c>
      <c r="R913" s="9">
        <f t="shared" si="57"/>
        <v>899.28</v>
      </c>
      <c r="S913" s="9">
        <f>IF(R913="",AVERAGEIF(Table1[Category],Table1[[#This Row],[Category]],Table2[orignal data]),Table2[[#This Row],[orignal data]])</f>
        <v>899.28</v>
      </c>
      <c r="T913" t="str">
        <f t="shared" si="58"/>
        <v>UNIQUE</v>
      </c>
      <c r="U913" t="str">
        <f>IF(ISBLANK(Table1[[#This Row],[SizeOption]]),"NOT AVAILABLE",Table1[[#This Row],[SizeOption]])</f>
        <v>Onesize</v>
      </c>
      <c r="Y913" t="str">
        <f>IF(Table2[[#This Row],[Column1]]&gt;50%,"HIGH DISCOUNT","LOW DISCOUNT")</f>
        <v>HIGH DISCOUNT</v>
      </c>
    </row>
    <row r="914" spans="1:25" x14ac:dyDescent="0.25">
      <c r="A914" s="1" t="s">
        <v>2117</v>
      </c>
      <c r="B914" s="1">
        <v>14063010</v>
      </c>
      <c r="C914" s="1" t="s">
        <v>102</v>
      </c>
      <c r="D914" s="1" t="s">
        <v>68</v>
      </c>
      <c r="E914" s="1" t="s">
        <v>137</v>
      </c>
      <c r="F914" s="1" t="s">
        <v>36</v>
      </c>
      <c r="G914" s="1" t="s">
        <v>2118</v>
      </c>
      <c r="H914">
        <v>293</v>
      </c>
      <c r="I914" s="1">
        <v>699</v>
      </c>
      <c r="J914" s="1" t="s">
        <v>60</v>
      </c>
      <c r="K914" s="1" t="s">
        <v>1252</v>
      </c>
      <c r="L914" s="1">
        <v>4.5999999999999996</v>
      </c>
      <c r="M914" s="1">
        <v>840</v>
      </c>
      <c r="P914" t="str">
        <f t="shared" si="59"/>
        <v>58%</v>
      </c>
      <c r="Q914" s="12">
        <f t="shared" si="56"/>
        <v>0.57999999999999996</v>
      </c>
      <c r="R914" s="9">
        <f t="shared" si="57"/>
        <v>293.58000000000004</v>
      </c>
      <c r="S914" s="9">
        <f>IF(R914="",AVERAGEIF(Table1[Category],Table1[[#This Row],[Category]],Table2[orignal data]),Table2[[#This Row],[orignal data]])</f>
        <v>293.58000000000004</v>
      </c>
      <c r="T914" t="str">
        <f t="shared" si="58"/>
        <v>UNIQUE</v>
      </c>
      <c r="U914" t="str">
        <f>IF(ISBLANK(Table1[[#This Row],[SizeOption]]),"NOT AVAILABLE",Table1[[#This Row],[SizeOption]])</f>
        <v>26, 28, 30, 32</v>
      </c>
      <c r="Y914" t="str">
        <f>IF(Table2[[#This Row],[Column1]]&gt;50%,"HIGH DISCOUNT","LOW DISCOUNT")</f>
        <v>HIGH DISCOUNT</v>
      </c>
    </row>
    <row r="915" spans="1:25" x14ac:dyDescent="0.25">
      <c r="A915" s="2" t="s">
        <v>2119</v>
      </c>
      <c r="B915" s="2">
        <v>13904908</v>
      </c>
      <c r="C915" s="2" t="s">
        <v>290</v>
      </c>
      <c r="D915" s="2" t="s">
        <v>41</v>
      </c>
      <c r="E915" s="2" t="s">
        <v>48</v>
      </c>
      <c r="F915" s="2" t="s">
        <v>36</v>
      </c>
      <c r="G915" s="2" t="s">
        <v>2120</v>
      </c>
      <c r="I915" s="2">
        <v>999</v>
      </c>
      <c r="J915" s="2" t="s">
        <v>84</v>
      </c>
      <c r="K915" s="2" t="s">
        <v>311</v>
      </c>
      <c r="L915" s="2">
        <v>4.3</v>
      </c>
      <c r="M915" s="2">
        <v>840</v>
      </c>
      <c r="P915" t="str">
        <f t="shared" si="59"/>
        <v>50%</v>
      </c>
      <c r="Q915" s="12">
        <f t="shared" si="56"/>
        <v>0.5</v>
      </c>
      <c r="R915" s="9">
        <f t="shared" si="57"/>
        <v>499.5</v>
      </c>
      <c r="S915" s="9">
        <f>IF(R915="",AVERAGEIF(Table1[Category],Table1[[#This Row],[Category]],Table2[orignal data]),Table2[[#This Row],[orignal data]])</f>
        <v>499.5</v>
      </c>
      <c r="T915" t="str">
        <f t="shared" si="58"/>
        <v>UNIQUE</v>
      </c>
      <c r="U915" t="str">
        <f>IF(ISBLANK(Table1[[#This Row],[SizeOption]]),"NOT AVAILABLE",Table1[[#This Row],[SizeOption]])</f>
        <v>XS, S, M, L</v>
      </c>
      <c r="Y915" t="str">
        <f>IF(Table2[[#This Row],[Column1]]&gt;50%,"HIGH DISCOUNT","LOW DISCOUNT")</f>
        <v>LOW DISCOUNT</v>
      </c>
    </row>
    <row r="916" spans="1:25" x14ac:dyDescent="0.25">
      <c r="A916" s="1" t="s">
        <v>2121</v>
      </c>
      <c r="B916" s="1">
        <v>8064707</v>
      </c>
      <c r="C916" s="1" t="s">
        <v>22</v>
      </c>
      <c r="D916" s="1" t="s">
        <v>15</v>
      </c>
      <c r="E916" s="1" t="s">
        <v>16</v>
      </c>
      <c r="F916" s="1" t="s">
        <v>17</v>
      </c>
      <c r="G916" s="1" t="s">
        <v>2122</v>
      </c>
      <c r="H916">
        <v>874</v>
      </c>
      <c r="I916" s="1">
        <v>2499</v>
      </c>
      <c r="J916" s="1" t="s">
        <v>150</v>
      </c>
      <c r="K916" s="1" t="s">
        <v>56</v>
      </c>
      <c r="L916" s="1">
        <v>3.8</v>
      </c>
      <c r="M916" s="1">
        <v>839</v>
      </c>
      <c r="P916" t="str">
        <f t="shared" si="59"/>
        <v>65%</v>
      </c>
      <c r="Q916" s="12">
        <f t="shared" si="56"/>
        <v>0.65</v>
      </c>
      <c r="R916" s="9">
        <f t="shared" si="57"/>
        <v>874.64999999999986</v>
      </c>
      <c r="S916" s="9">
        <f>IF(R916="",AVERAGEIF(Table1[Category],Table1[[#This Row],[Category]],Table2[orignal data]),Table2[[#This Row],[orignal data]])</f>
        <v>874.64999999999986</v>
      </c>
      <c r="T916" t="str">
        <f t="shared" si="58"/>
        <v>UNIQUE</v>
      </c>
      <c r="U916" t="str">
        <f>IF(ISBLANK(Table1[[#This Row],[SizeOption]]),"NOT AVAILABLE",Table1[[#This Row],[SizeOption]])</f>
        <v>30, 32, 34, 36</v>
      </c>
      <c r="Y916" t="str">
        <f>IF(Table2[[#This Row],[Column1]]&gt;50%,"HIGH DISCOUNT","LOW DISCOUNT")</f>
        <v>HIGH DISCOUNT</v>
      </c>
    </row>
    <row r="917" spans="1:25" x14ac:dyDescent="0.25">
      <c r="A917" s="2" t="s">
        <v>2123</v>
      </c>
      <c r="B917" s="2">
        <v>2387568</v>
      </c>
      <c r="C917" s="2" t="s">
        <v>14</v>
      </c>
      <c r="D917" s="2" t="s">
        <v>15</v>
      </c>
      <c r="E917" s="2" t="s">
        <v>137</v>
      </c>
      <c r="F917" s="2" t="s">
        <v>17</v>
      </c>
      <c r="G917" s="2" t="s">
        <v>2124</v>
      </c>
      <c r="H917">
        <v>719</v>
      </c>
      <c r="I917" s="2">
        <v>1599</v>
      </c>
      <c r="J917" s="2" t="s">
        <v>25</v>
      </c>
      <c r="K917" s="2" t="s">
        <v>20</v>
      </c>
      <c r="L917" s="2">
        <v>4.5</v>
      </c>
      <c r="M917" s="2">
        <v>839</v>
      </c>
      <c r="P917" t="str">
        <f t="shared" si="59"/>
        <v>55%</v>
      </c>
      <c r="Q917" s="12">
        <f t="shared" si="56"/>
        <v>0.55000000000000004</v>
      </c>
      <c r="R917" s="9">
        <f t="shared" si="57"/>
        <v>719.55</v>
      </c>
      <c r="S917" s="9">
        <f>IF(R917="",AVERAGEIF(Table1[Category],Table1[[#This Row],[Category]],Table2[orignal data]),Table2[[#This Row],[orignal data]])</f>
        <v>719.55</v>
      </c>
      <c r="T917" t="str">
        <f t="shared" si="58"/>
        <v>UNIQUE</v>
      </c>
      <c r="U917" t="str">
        <f>IF(ISBLANK(Table1[[#This Row],[SizeOption]]),"NOT AVAILABLE",Table1[[#This Row],[SizeOption]])</f>
        <v>28, 30, 32, 34, 36</v>
      </c>
      <c r="Y917" t="str">
        <f>IF(Table2[[#This Row],[Column1]]&gt;50%,"HIGH DISCOUNT","LOW DISCOUNT")</f>
        <v>HIGH DISCOUNT</v>
      </c>
    </row>
    <row r="918" spans="1:25" x14ac:dyDescent="0.25">
      <c r="A918" s="1" t="s">
        <v>2125</v>
      </c>
      <c r="B918" s="1">
        <v>11895978</v>
      </c>
      <c r="C918" s="1" t="s">
        <v>14</v>
      </c>
      <c r="D918" s="1" t="s">
        <v>28</v>
      </c>
      <c r="E918" s="1" t="s">
        <v>29</v>
      </c>
      <c r="F918" s="1" t="s">
        <v>17</v>
      </c>
      <c r="G918" s="1" t="s">
        <v>2126</v>
      </c>
      <c r="H918">
        <v>559</v>
      </c>
      <c r="I918" s="1">
        <v>1399</v>
      </c>
      <c r="J918" s="1" t="s">
        <v>55</v>
      </c>
      <c r="K918" s="1" t="s">
        <v>31</v>
      </c>
      <c r="L918" s="1">
        <v>4.3</v>
      </c>
      <c r="M918" s="1">
        <v>839</v>
      </c>
      <c r="P918" t="str">
        <f t="shared" si="59"/>
        <v>60%</v>
      </c>
      <c r="Q918" s="12">
        <f t="shared" si="56"/>
        <v>0.6</v>
      </c>
      <c r="R918" s="9">
        <f t="shared" si="57"/>
        <v>559.6</v>
      </c>
      <c r="S918" s="9">
        <f>IF(R918="",AVERAGEIF(Table1[Category],Table1[[#This Row],[Category]],Table2[orignal data]),Table2[[#This Row],[orignal data]])</f>
        <v>559.6</v>
      </c>
      <c r="T918" t="str">
        <f t="shared" si="58"/>
        <v>UNIQUE</v>
      </c>
      <c r="U918" t="str">
        <f>IF(ISBLANK(Table1[[#This Row],[SizeOption]]),"NOT AVAILABLE",Table1[[#This Row],[SizeOption]])</f>
        <v>38, 40, 42, 44, 46, 48</v>
      </c>
      <c r="Y918" t="str">
        <f>IF(Table2[[#This Row],[Column1]]&gt;50%,"HIGH DISCOUNT","LOW DISCOUNT")</f>
        <v>HIGH DISCOUNT</v>
      </c>
    </row>
    <row r="919" spans="1:25" x14ac:dyDescent="0.25">
      <c r="A919" s="2" t="s">
        <v>2127</v>
      </c>
      <c r="B919" s="2">
        <v>2519738</v>
      </c>
      <c r="C919" s="2" t="s">
        <v>14</v>
      </c>
      <c r="D919" s="2" t="s">
        <v>41</v>
      </c>
      <c r="E919" s="2" t="s">
        <v>42</v>
      </c>
      <c r="F919" s="2" t="s">
        <v>36</v>
      </c>
      <c r="G919" s="2" t="s">
        <v>2128</v>
      </c>
      <c r="I919" s="2">
        <v>699</v>
      </c>
      <c r="J919" s="2" t="s">
        <v>84</v>
      </c>
      <c r="K919" s="2" t="s">
        <v>45</v>
      </c>
      <c r="L919" s="2">
        <v>4</v>
      </c>
      <c r="M919" s="2">
        <v>839</v>
      </c>
      <c r="P919" t="str">
        <f t="shared" si="59"/>
        <v>50%</v>
      </c>
      <c r="Q919" s="12">
        <f t="shared" si="56"/>
        <v>0.5</v>
      </c>
      <c r="R919" s="9">
        <f t="shared" si="57"/>
        <v>349.5</v>
      </c>
      <c r="S919" s="9">
        <f>IF(R919="",AVERAGEIF(Table1[Category],Table1[[#This Row],[Category]],Table2[orignal data]),Table2[[#This Row],[orignal data]])</f>
        <v>349.5</v>
      </c>
      <c r="T919" t="str">
        <f t="shared" si="58"/>
        <v>UNIQUE</v>
      </c>
      <c r="U919" t="str">
        <f>IF(ISBLANK(Table1[[#This Row],[SizeOption]]),"NOT AVAILABLE",Table1[[#This Row],[SizeOption]])</f>
        <v>XS, S, M, L, XL</v>
      </c>
      <c r="Y919" t="str">
        <f>IF(Table2[[#This Row],[Column1]]&gt;50%,"HIGH DISCOUNT","LOW DISCOUNT")</f>
        <v>LOW DISCOUNT</v>
      </c>
    </row>
    <row r="920" spans="1:25" x14ac:dyDescent="0.25">
      <c r="A920" s="1" t="s">
        <v>2129</v>
      </c>
      <c r="B920" s="1">
        <v>8328405</v>
      </c>
      <c r="C920" s="1" t="s">
        <v>67</v>
      </c>
      <c r="D920" s="1" t="s">
        <v>15</v>
      </c>
      <c r="E920" s="1" t="s">
        <v>23</v>
      </c>
      <c r="F920" s="1" t="s">
        <v>17</v>
      </c>
      <c r="G920" s="1" t="s">
        <v>2130</v>
      </c>
      <c r="H920">
        <v>959</v>
      </c>
      <c r="I920" s="1">
        <v>2399</v>
      </c>
      <c r="J920" s="1" t="s">
        <v>55</v>
      </c>
      <c r="K920" s="1" t="s">
        <v>39</v>
      </c>
      <c r="L920" s="1">
        <v>4.0999999999999996</v>
      </c>
      <c r="M920" s="1">
        <v>838</v>
      </c>
      <c r="P920" t="str">
        <f t="shared" si="59"/>
        <v>60%</v>
      </c>
      <c r="Q920" s="12">
        <f t="shared" si="56"/>
        <v>0.6</v>
      </c>
      <c r="R920" s="9">
        <f t="shared" si="57"/>
        <v>959.60000000000014</v>
      </c>
      <c r="S920" s="9">
        <f>IF(R920="",AVERAGEIF(Table1[Category],Table1[[#This Row],[Category]],Table2[orignal data]),Table2[[#This Row],[orignal data]])</f>
        <v>959.60000000000014</v>
      </c>
      <c r="T920" t="str">
        <f t="shared" si="58"/>
        <v>UNIQUE</v>
      </c>
      <c r="U920" t="str">
        <f>IF(ISBLANK(Table1[[#This Row],[SizeOption]]),"NOT AVAILABLE",Table1[[#This Row],[SizeOption]])</f>
        <v>S, M, L, XL, XXL</v>
      </c>
      <c r="Y920" t="str">
        <f>IF(Table2[[#This Row],[Column1]]&gt;50%,"HIGH DISCOUNT","LOW DISCOUNT")</f>
        <v>HIGH DISCOUNT</v>
      </c>
    </row>
    <row r="921" spans="1:25" x14ac:dyDescent="0.25">
      <c r="A921" s="2" t="s">
        <v>2131</v>
      </c>
      <c r="B921" s="2">
        <v>2119005</v>
      </c>
      <c r="C921" s="2" t="s">
        <v>14</v>
      </c>
      <c r="D921" s="2" t="s">
        <v>15</v>
      </c>
      <c r="E921" s="2" t="s">
        <v>53</v>
      </c>
      <c r="F921" s="2" t="s">
        <v>17</v>
      </c>
      <c r="G921" s="2" t="s">
        <v>2132</v>
      </c>
      <c r="H921">
        <v>899</v>
      </c>
      <c r="I921" s="2">
        <v>1999</v>
      </c>
      <c r="J921" s="2" t="s">
        <v>25</v>
      </c>
      <c r="K921" s="2" t="s">
        <v>20</v>
      </c>
      <c r="L921" s="2">
        <v>3.7</v>
      </c>
      <c r="M921" s="2">
        <v>838</v>
      </c>
      <c r="P921" t="str">
        <f t="shared" si="59"/>
        <v>55%</v>
      </c>
      <c r="Q921" s="12">
        <f t="shared" si="56"/>
        <v>0.55000000000000004</v>
      </c>
      <c r="R921" s="9">
        <f t="shared" si="57"/>
        <v>899.55</v>
      </c>
      <c r="S921" s="9">
        <f>IF(R921="",AVERAGEIF(Table1[Category],Table1[[#This Row],[Category]],Table2[orignal data]),Table2[[#This Row],[orignal data]])</f>
        <v>899.55</v>
      </c>
      <c r="T921" t="str">
        <f t="shared" si="58"/>
        <v>UNIQUE</v>
      </c>
      <c r="U921" t="str">
        <f>IF(ISBLANK(Table1[[#This Row],[SizeOption]]),"NOT AVAILABLE",Table1[[#This Row],[SizeOption]])</f>
        <v>28, 30, 32, 34, 36</v>
      </c>
      <c r="Y921" t="str">
        <f>IF(Table2[[#This Row],[Column1]]&gt;50%,"HIGH DISCOUNT","LOW DISCOUNT")</f>
        <v>HIGH DISCOUNT</v>
      </c>
    </row>
    <row r="922" spans="1:25" x14ac:dyDescent="0.25">
      <c r="A922" s="1" t="s">
        <v>2133</v>
      </c>
      <c r="B922" s="1">
        <v>10944710</v>
      </c>
      <c r="C922" s="1" t="s">
        <v>14</v>
      </c>
      <c r="D922" s="1" t="s">
        <v>28</v>
      </c>
      <c r="E922" s="1" t="s">
        <v>29</v>
      </c>
      <c r="F922" s="1" t="s">
        <v>17</v>
      </c>
      <c r="G922" s="1" t="s">
        <v>2134</v>
      </c>
      <c r="H922">
        <v>779</v>
      </c>
      <c r="I922" s="1">
        <v>1299</v>
      </c>
      <c r="J922" s="1" t="s">
        <v>50</v>
      </c>
      <c r="K922" s="1" t="s">
        <v>253</v>
      </c>
      <c r="L922" s="1">
        <v>4.2</v>
      </c>
      <c r="M922" s="1">
        <v>838</v>
      </c>
      <c r="P922" t="str">
        <f t="shared" si="59"/>
        <v>40%</v>
      </c>
      <c r="Q922" s="12">
        <f t="shared" si="56"/>
        <v>0.4</v>
      </c>
      <c r="R922" s="9">
        <f t="shared" si="57"/>
        <v>779.4</v>
      </c>
      <c r="S922" s="9">
        <f>IF(R922="",AVERAGEIF(Table1[Category],Table1[[#This Row],[Category]],Table2[orignal data]),Table2[[#This Row],[orignal data]])</f>
        <v>779.4</v>
      </c>
      <c r="T922" t="str">
        <f t="shared" si="58"/>
        <v>UNIQUE</v>
      </c>
      <c r="U922" t="str">
        <f>IF(ISBLANK(Table1[[#This Row],[SizeOption]]),"NOT AVAILABLE",Table1[[#This Row],[SizeOption]])</f>
        <v>38, 40, 42, 44</v>
      </c>
      <c r="Y922" t="str">
        <f>IF(Table2[[#This Row],[Column1]]&gt;50%,"HIGH DISCOUNT","LOW DISCOUNT")</f>
        <v>LOW DISCOUNT</v>
      </c>
    </row>
    <row r="923" spans="1:25" x14ac:dyDescent="0.25">
      <c r="A923" s="2" t="s">
        <v>2135</v>
      </c>
      <c r="B923" s="2">
        <v>10480828</v>
      </c>
      <c r="C923" s="2" t="s">
        <v>1045</v>
      </c>
      <c r="D923" s="2" t="s">
        <v>41</v>
      </c>
      <c r="E923" s="2" t="s">
        <v>592</v>
      </c>
      <c r="F923" s="2" t="s">
        <v>36</v>
      </c>
      <c r="G923" s="2" t="s">
        <v>2136</v>
      </c>
      <c r="I923" s="2">
        <v>1450</v>
      </c>
      <c r="J923" s="2" t="s">
        <v>403</v>
      </c>
      <c r="K923" s="2" t="s">
        <v>223</v>
      </c>
      <c r="L923" s="2">
        <v>4.0999999999999996</v>
      </c>
      <c r="M923" s="2">
        <v>838</v>
      </c>
      <c r="P923" t="str">
        <f t="shared" si="59"/>
        <v>66%</v>
      </c>
      <c r="Q923" s="12">
        <f t="shared" si="56"/>
        <v>0.66</v>
      </c>
      <c r="R923" s="9">
        <f t="shared" si="57"/>
        <v>493</v>
      </c>
      <c r="S923" s="9">
        <f>IF(R923="",AVERAGEIF(Table1[Category],Table1[[#This Row],[Category]],Table2[orignal data]),Table2[[#This Row],[orignal data]])</f>
        <v>493</v>
      </c>
      <c r="T923" t="str">
        <f t="shared" si="58"/>
        <v>UNIQUE</v>
      </c>
      <c r="U923" t="str">
        <f>IF(ISBLANK(Table1[[#This Row],[SizeOption]]),"NOT AVAILABLE",Table1[[#This Row],[SizeOption]])</f>
        <v>S, M, L, XL, XXL, 3XL, 4XL</v>
      </c>
      <c r="Y923" t="str">
        <f>IF(Table2[[#This Row],[Column1]]&gt;50%,"HIGH DISCOUNT","LOW DISCOUNT")</f>
        <v>HIGH DISCOUNT</v>
      </c>
    </row>
    <row r="924" spans="1:25" x14ac:dyDescent="0.25">
      <c r="A924" s="1" t="s">
        <v>2137</v>
      </c>
      <c r="B924" s="1">
        <v>11896036</v>
      </c>
      <c r="C924" s="1" t="s">
        <v>14</v>
      </c>
      <c r="D924" s="1" t="s">
        <v>28</v>
      </c>
      <c r="E924" s="1" t="s">
        <v>29</v>
      </c>
      <c r="F924" s="1" t="s">
        <v>17</v>
      </c>
      <c r="G924" s="1" t="s">
        <v>2138</v>
      </c>
      <c r="H924">
        <v>584</v>
      </c>
      <c r="I924" s="1">
        <v>1299</v>
      </c>
      <c r="J924" s="1" t="s">
        <v>25</v>
      </c>
      <c r="K924" s="1" t="s">
        <v>253</v>
      </c>
      <c r="L924" s="1">
        <v>4.3</v>
      </c>
      <c r="M924" s="1">
        <v>837</v>
      </c>
      <c r="P924" t="str">
        <f t="shared" si="59"/>
        <v>55%</v>
      </c>
      <c r="Q924" s="12">
        <f t="shared" si="56"/>
        <v>0.55000000000000004</v>
      </c>
      <c r="R924" s="9">
        <f t="shared" si="57"/>
        <v>584.54999999999995</v>
      </c>
      <c r="S924" s="9">
        <f>IF(R924="",AVERAGEIF(Table1[Category],Table1[[#This Row],[Category]],Table2[orignal data]),Table2[[#This Row],[orignal data]])</f>
        <v>584.54999999999995</v>
      </c>
      <c r="T924" t="str">
        <f t="shared" si="58"/>
        <v>UNIQUE</v>
      </c>
      <c r="U924" t="str">
        <f>IF(ISBLANK(Table1[[#This Row],[SizeOption]]),"NOT AVAILABLE",Table1[[#This Row],[SizeOption]])</f>
        <v>38, 40, 42, 44</v>
      </c>
      <c r="Y924" t="str">
        <f>IF(Table2[[#This Row],[Column1]]&gt;50%,"HIGH DISCOUNT","LOW DISCOUNT")</f>
        <v>HIGH DISCOUNT</v>
      </c>
    </row>
    <row r="925" spans="1:25" x14ac:dyDescent="0.25">
      <c r="A925" s="2" t="s">
        <v>2139</v>
      </c>
      <c r="B925" s="2">
        <v>2118953</v>
      </c>
      <c r="C925" s="2" t="s">
        <v>430</v>
      </c>
      <c r="D925" s="2" t="s">
        <v>28</v>
      </c>
      <c r="E925" s="2" t="s">
        <v>306</v>
      </c>
      <c r="F925" s="2" t="s">
        <v>17</v>
      </c>
      <c r="G925" s="2" t="s">
        <v>2140</v>
      </c>
      <c r="H925">
        <v>474</v>
      </c>
      <c r="I925" s="2">
        <v>1899</v>
      </c>
      <c r="J925" s="2" t="s">
        <v>109</v>
      </c>
      <c r="K925" s="2" t="s">
        <v>26</v>
      </c>
      <c r="L925" s="2">
        <v>4</v>
      </c>
      <c r="M925" s="2">
        <v>837</v>
      </c>
      <c r="P925" t="str">
        <f t="shared" si="59"/>
        <v>75%</v>
      </c>
      <c r="Q925" s="12">
        <f t="shared" si="56"/>
        <v>0.75</v>
      </c>
      <c r="R925" s="9">
        <f t="shared" si="57"/>
        <v>474.75</v>
      </c>
      <c r="S925" s="9">
        <f>IF(R925="",AVERAGEIF(Table1[Category],Table1[[#This Row],[Category]],Table2[orignal data]),Table2[[#This Row],[orignal data]])</f>
        <v>474.75</v>
      </c>
      <c r="T925" t="str">
        <f t="shared" si="58"/>
        <v>UNIQUE</v>
      </c>
      <c r="U925" t="str">
        <f>IF(ISBLANK(Table1[[#This Row],[SizeOption]]),"NOT AVAILABLE",Table1[[#This Row],[SizeOption]])</f>
        <v>S, M, L, XL</v>
      </c>
      <c r="Y925" t="str">
        <f>IF(Table2[[#This Row],[Column1]]&gt;50%,"HIGH DISCOUNT","LOW DISCOUNT")</f>
        <v>HIGH DISCOUNT</v>
      </c>
    </row>
    <row r="926" spans="1:25" x14ac:dyDescent="0.25">
      <c r="A926" s="1" t="s">
        <v>2141</v>
      </c>
      <c r="B926" s="1">
        <v>13530352</v>
      </c>
      <c r="C926" s="1" t="s">
        <v>397</v>
      </c>
      <c r="D926" s="1" t="s">
        <v>76</v>
      </c>
      <c r="E926" s="1" t="s">
        <v>77</v>
      </c>
      <c r="F926" s="1" t="s">
        <v>36</v>
      </c>
      <c r="G926" s="1" t="s">
        <v>2142</v>
      </c>
      <c r="H926">
        <v>1479</v>
      </c>
      <c r="I926" s="1">
        <v>3999</v>
      </c>
      <c r="J926" s="1" t="s">
        <v>476</v>
      </c>
      <c r="K926" s="1" t="s">
        <v>234</v>
      </c>
      <c r="L926" s="1">
        <v>4.3</v>
      </c>
      <c r="M926" s="1">
        <v>837</v>
      </c>
      <c r="P926" t="str">
        <f t="shared" si="59"/>
        <v>63%</v>
      </c>
      <c r="Q926" s="12">
        <f t="shared" si="56"/>
        <v>0.63</v>
      </c>
      <c r="R926" s="9">
        <f t="shared" si="57"/>
        <v>1479.63</v>
      </c>
      <c r="S926" s="9">
        <f>IF(R926="",AVERAGEIF(Table1[Category],Table1[[#This Row],[Category]],Table2[orignal data]),Table2[[#This Row],[orignal data]])</f>
        <v>1479.63</v>
      </c>
      <c r="T926" t="str">
        <f t="shared" si="58"/>
        <v>UNIQUE</v>
      </c>
      <c r="U926" t="str">
        <f>IF(ISBLANK(Table1[[#This Row],[SizeOption]]),"NOT AVAILABLE",Table1[[#This Row],[SizeOption]])</f>
        <v>S, M, L, XL, XXL, 3XL</v>
      </c>
      <c r="Y926" t="str">
        <f>IF(Table2[[#This Row],[Column1]]&gt;50%,"HIGH DISCOUNT","LOW DISCOUNT")</f>
        <v>HIGH DISCOUNT</v>
      </c>
    </row>
    <row r="927" spans="1:25" x14ac:dyDescent="0.25">
      <c r="A927" s="2" t="s">
        <v>2143</v>
      </c>
      <c r="B927" s="2">
        <v>12018218</v>
      </c>
      <c r="C927" s="2" t="s">
        <v>201</v>
      </c>
      <c r="D927" s="2" t="s">
        <v>98</v>
      </c>
      <c r="E927" s="2" t="s">
        <v>42</v>
      </c>
      <c r="F927" s="2" t="s">
        <v>36</v>
      </c>
      <c r="G927" s="2" t="s">
        <v>2144</v>
      </c>
      <c r="H927">
        <v>494</v>
      </c>
      <c r="I927" s="2">
        <v>1099</v>
      </c>
      <c r="J927" s="2" t="s">
        <v>25</v>
      </c>
      <c r="K927" s="2" t="s">
        <v>100</v>
      </c>
      <c r="L927" s="2">
        <v>4.3</v>
      </c>
      <c r="M927" s="2">
        <v>837</v>
      </c>
      <c r="P927" t="str">
        <f t="shared" si="59"/>
        <v>55%</v>
      </c>
      <c r="Q927" s="12">
        <f t="shared" si="56"/>
        <v>0.55000000000000004</v>
      </c>
      <c r="R927" s="9">
        <f t="shared" si="57"/>
        <v>494.54999999999995</v>
      </c>
      <c r="S927" s="9">
        <f>IF(R927="",AVERAGEIF(Table1[Category],Table1[[#This Row],[Category]],Table2[orignal data]),Table2[[#This Row],[orignal data]])</f>
        <v>494.54999999999995</v>
      </c>
      <c r="T927" t="str">
        <f t="shared" si="58"/>
        <v>UNIQUE</v>
      </c>
      <c r="U927" t="str">
        <f>IF(ISBLANK(Table1[[#This Row],[SizeOption]]),"NOT AVAILABLE",Table1[[#This Row],[SizeOption]])</f>
        <v>XS, S, M, L, XL, XXL, 3XL</v>
      </c>
      <c r="Y927" t="str">
        <f>IF(Table2[[#This Row],[Column1]]&gt;50%,"HIGH DISCOUNT","LOW DISCOUNT")</f>
        <v>HIGH DISCOUNT</v>
      </c>
    </row>
    <row r="928" spans="1:25" x14ac:dyDescent="0.25">
      <c r="A928" s="1" t="s">
        <v>2145</v>
      </c>
      <c r="B928" s="1">
        <v>6995097</v>
      </c>
      <c r="C928" s="1" t="s">
        <v>14</v>
      </c>
      <c r="D928" s="1" t="s">
        <v>41</v>
      </c>
      <c r="E928" s="1" t="s">
        <v>16</v>
      </c>
      <c r="F928" s="1" t="s">
        <v>36</v>
      </c>
      <c r="G928" s="1" t="s">
        <v>2146</v>
      </c>
      <c r="I928" s="1">
        <v>1299</v>
      </c>
      <c r="J928" s="1" t="s">
        <v>19</v>
      </c>
      <c r="K928" s="1" t="s">
        <v>134</v>
      </c>
      <c r="L928" s="1">
        <v>4</v>
      </c>
      <c r="M928" s="1">
        <v>837</v>
      </c>
      <c r="P928" t="str">
        <f t="shared" si="59"/>
        <v>45%</v>
      </c>
      <c r="Q928" s="12">
        <f t="shared" si="56"/>
        <v>0.45</v>
      </c>
      <c r="R928" s="9">
        <f t="shared" si="57"/>
        <v>714.44999999999993</v>
      </c>
      <c r="S928" s="9">
        <f>IF(R928="",AVERAGEIF(Table1[Category],Table1[[#This Row],[Category]],Table2[orignal data]),Table2[[#This Row],[orignal data]])</f>
        <v>714.44999999999993</v>
      </c>
      <c r="T928" t="str">
        <f t="shared" si="58"/>
        <v>UNIQUE</v>
      </c>
      <c r="U928" t="str">
        <f>IF(ISBLANK(Table1[[#This Row],[SizeOption]]),"NOT AVAILABLE",Table1[[#This Row],[SizeOption]])</f>
        <v>26, 28, 30, 32, 34, 36</v>
      </c>
      <c r="Y928" t="str">
        <f>IF(Table2[[#This Row],[Column1]]&gt;50%,"HIGH DISCOUNT","LOW DISCOUNT")</f>
        <v>LOW DISCOUNT</v>
      </c>
    </row>
    <row r="929" spans="1:25" x14ac:dyDescent="0.25">
      <c r="A929" s="2" t="s">
        <v>2147</v>
      </c>
      <c r="B929" s="2">
        <v>11489514</v>
      </c>
      <c r="C929" s="2" t="s">
        <v>14</v>
      </c>
      <c r="D929" s="2" t="s">
        <v>41</v>
      </c>
      <c r="E929" s="2" t="s">
        <v>579</v>
      </c>
      <c r="F929" s="2" t="s">
        <v>36</v>
      </c>
      <c r="G929" s="2" t="s">
        <v>2148</v>
      </c>
      <c r="I929" s="2">
        <v>1499</v>
      </c>
      <c r="J929" s="2" t="s">
        <v>25</v>
      </c>
      <c r="K929" s="2" t="s">
        <v>134</v>
      </c>
      <c r="L929" s="2">
        <v>4.2</v>
      </c>
      <c r="M929" s="2">
        <v>837</v>
      </c>
      <c r="P929" t="str">
        <f t="shared" si="59"/>
        <v>55%</v>
      </c>
      <c r="Q929" s="12">
        <f t="shared" si="56"/>
        <v>0.55000000000000004</v>
      </c>
      <c r="R929" s="9">
        <f t="shared" si="57"/>
        <v>674.55</v>
      </c>
      <c r="S929" s="9">
        <f>IF(R929="",AVERAGEIF(Table1[Category],Table1[[#This Row],[Category]],Table2[orignal data]),Table2[[#This Row],[orignal data]])</f>
        <v>674.55</v>
      </c>
      <c r="T929" t="str">
        <f t="shared" si="58"/>
        <v>UNIQUE</v>
      </c>
      <c r="U929" t="str">
        <f>IF(ISBLANK(Table1[[#This Row],[SizeOption]]),"NOT AVAILABLE",Table1[[#This Row],[SizeOption]])</f>
        <v>26, 28, 30, 32, 34, 36</v>
      </c>
      <c r="Y929" t="str">
        <f>IF(Table2[[#This Row],[Column1]]&gt;50%,"HIGH DISCOUNT","LOW DISCOUNT")</f>
        <v>HIGH DISCOUNT</v>
      </c>
    </row>
    <row r="930" spans="1:25" x14ac:dyDescent="0.25">
      <c r="A930" s="1" t="s">
        <v>2149</v>
      </c>
      <c r="B930" s="1">
        <v>3855148</v>
      </c>
      <c r="C930" s="1" t="s">
        <v>52</v>
      </c>
      <c r="D930" s="1" t="s">
        <v>15</v>
      </c>
      <c r="E930" s="1" t="s">
        <v>16</v>
      </c>
      <c r="F930" s="1" t="s">
        <v>17</v>
      </c>
      <c r="G930" s="1" t="s">
        <v>2150</v>
      </c>
      <c r="H930">
        <v>798</v>
      </c>
      <c r="I930" s="1">
        <v>1699</v>
      </c>
      <c r="J930" s="1" t="s">
        <v>89</v>
      </c>
      <c r="K930" s="1" t="s">
        <v>816</v>
      </c>
      <c r="L930" s="1">
        <v>4.0999999999999996</v>
      </c>
      <c r="M930" s="1">
        <v>836</v>
      </c>
      <c r="P930" t="str">
        <f t="shared" si="59"/>
        <v>53%</v>
      </c>
      <c r="Q930" s="12">
        <f t="shared" si="56"/>
        <v>0.53</v>
      </c>
      <c r="R930" s="9">
        <f t="shared" si="57"/>
        <v>798.53</v>
      </c>
      <c r="S930" s="9">
        <f>IF(R930="",AVERAGEIF(Table1[Category],Table1[[#This Row],[Category]],Table2[orignal data]),Table2[[#This Row],[orignal data]])</f>
        <v>798.53</v>
      </c>
      <c r="T930" t="str">
        <f t="shared" si="58"/>
        <v>UNIQUE</v>
      </c>
      <c r="U930" t="str">
        <f>IF(ISBLANK(Table1[[#This Row],[SizeOption]]),"NOT AVAILABLE",Table1[[#This Row],[SizeOption]])</f>
        <v>30, 32, 34, 36, 38</v>
      </c>
      <c r="Y930" t="str">
        <f>IF(Table2[[#This Row],[Column1]]&gt;50%,"HIGH DISCOUNT","LOW DISCOUNT")</f>
        <v>HIGH DISCOUNT</v>
      </c>
    </row>
    <row r="931" spans="1:25" x14ac:dyDescent="0.25">
      <c r="A931" s="2" t="s">
        <v>2151</v>
      </c>
      <c r="B931" s="2">
        <v>13895560</v>
      </c>
      <c r="C931" s="2" t="s">
        <v>924</v>
      </c>
      <c r="D931" s="2" t="s">
        <v>76</v>
      </c>
      <c r="E931" s="2" t="s">
        <v>77</v>
      </c>
      <c r="F931" s="2" t="s">
        <v>36</v>
      </c>
      <c r="G931" s="2" t="s">
        <v>2152</v>
      </c>
      <c r="H931">
        <v>2939</v>
      </c>
      <c r="I931" s="2">
        <v>6999</v>
      </c>
      <c r="J931" s="2" t="s">
        <v>60</v>
      </c>
      <c r="K931" s="2" t="s">
        <v>115</v>
      </c>
      <c r="L931" s="2">
        <v>4.2</v>
      </c>
      <c r="M931" s="2">
        <v>836</v>
      </c>
      <c r="P931" t="str">
        <f t="shared" si="59"/>
        <v>58%</v>
      </c>
      <c r="Q931" s="12">
        <f t="shared" si="56"/>
        <v>0.57999999999999996</v>
      </c>
      <c r="R931" s="9">
        <f t="shared" si="57"/>
        <v>2939.5800000000004</v>
      </c>
      <c r="S931" s="9">
        <f>IF(R931="",AVERAGEIF(Table1[Category],Table1[[#This Row],[Category]],Table2[orignal data]),Table2[[#This Row],[orignal data]])</f>
        <v>2939.5800000000004</v>
      </c>
      <c r="T931" t="str">
        <f t="shared" si="58"/>
        <v>UNIQUE</v>
      </c>
      <c r="U931" t="str">
        <f>IF(ISBLANK(Table1[[#This Row],[SizeOption]]),"NOT AVAILABLE",Table1[[#This Row],[SizeOption]])</f>
        <v>XS, S, M, L, XL, XXL</v>
      </c>
      <c r="Y931" t="str">
        <f>IF(Table2[[#This Row],[Column1]]&gt;50%,"HIGH DISCOUNT","LOW DISCOUNT")</f>
        <v>HIGH DISCOUNT</v>
      </c>
    </row>
    <row r="932" spans="1:25" x14ac:dyDescent="0.25">
      <c r="A932" s="1" t="s">
        <v>2153</v>
      </c>
      <c r="B932" s="1">
        <v>13567602</v>
      </c>
      <c r="C932" s="1" t="s">
        <v>2154</v>
      </c>
      <c r="D932" s="1" t="s">
        <v>34</v>
      </c>
      <c r="E932" s="1" t="s">
        <v>406</v>
      </c>
      <c r="F932" s="1" t="s">
        <v>36</v>
      </c>
      <c r="G932" s="1" t="s">
        <v>2155</v>
      </c>
      <c r="H932">
        <v>883</v>
      </c>
      <c r="I932" s="1">
        <v>1699</v>
      </c>
      <c r="J932" s="1" t="s">
        <v>602</v>
      </c>
      <c r="K932" s="1" t="s">
        <v>26</v>
      </c>
      <c r="L932" s="1">
        <v>4.3</v>
      </c>
      <c r="M932" s="1">
        <v>836</v>
      </c>
      <c r="P932" t="str">
        <f t="shared" si="59"/>
        <v>48%</v>
      </c>
      <c r="Q932" s="12">
        <f t="shared" si="56"/>
        <v>0.48</v>
      </c>
      <c r="R932" s="9">
        <f t="shared" si="57"/>
        <v>883.48</v>
      </c>
      <c r="S932" s="9">
        <f>IF(R932="",AVERAGEIF(Table1[Category],Table1[[#This Row],[Category]],Table2[orignal data]),Table2[[#This Row],[orignal data]])</f>
        <v>883.48</v>
      </c>
      <c r="T932" t="str">
        <f t="shared" si="58"/>
        <v>UNIQUE</v>
      </c>
      <c r="U932" t="str">
        <f>IF(ISBLANK(Table1[[#This Row],[SizeOption]]),"NOT AVAILABLE",Table1[[#This Row],[SizeOption]])</f>
        <v>S, M, L, XL</v>
      </c>
      <c r="Y932" t="str">
        <f>IF(Table2[[#This Row],[Column1]]&gt;50%,"HIGH DISCOUNT","LOW DISCOUNT")</f>
        <v>LOW DISCOUNT</v>
      </c>
    </row>
    <row r="933" spans="1:25" x14ac:dyDescent="0.25">
      <c r="A933" s="2" t="s">
        <v>2156</v>
      </c>
      <c r="B933" s="2">
        <v>11174228</v>
      </c>
      <c r="C933" s="2" t="s">
        <v>97</v>
      </c>
      <c r="D933" s="2" t="s">
        <v>98</v>
      </c>
      <c r="E933" s="2" t="s">
        <v>93</v>
      </c>
      <c r="F933" s="2" t="s">
        <v>36</v>
      </c>
      <c r="G933" s="2" t="s">
        <v>2157</v>
      </c>
      <c r="H933">
        <v>454</v>
      </c>
      <c r="I933" s="2">
        <v>1299</v>
      </c>
      <c r="J933" s="2" t="s">
        <v>150</v>
      </c>
      <c r="K933" s="2" t="s">
        <v>100</v>
      </c>
      <c r="L933" s="2">
        <v>3.9</v>
      </c>
      <c r="M933" s="2">
        <v>836</v>
      </c>
      <c r="P933" t="str">
        <f t="shared" si="59"/>
        <v>65%</v>
      </c>
      <c r="Q933" s="12">
        <f t="shared" si="56"/>
        <v>0.65</v>
      </c>
      <c r="R933" s="9">
        <f t="shared" si="57"/>
        <v>454.65</v>
      </c>
      <c r="S933" s="9">
        <f>IF(R933="",AVERAGEIF(Table1[Category],Table1[[#This Row],[Category]],Table2[orignal data]),Table2[[#This Row],[orignal data]])</f>
        <v>454.65</v>
      </c>
      <c r="T933" t="str">
        <f t="shared" si="58"/>
        <v>UNIQUE</v>
      </c>
      <c r="U933" t="str">
        <f>IF(ISBLANK(Table1[[#This Row],[SizeOption]]),"NOT AVAILABLE",Table1[[#This Row],[SizeOption]])</f>
        <v>XS, S, M, L, XL, XXL, 3XL</v>
      </c>
      <c r="Y933" t="str">
        <f>IF(Table2[[#This Row],[Column1]]&gt;50%,"HIGH DISCOUNT","LOW DISCOUNT")</f>
        <v>HIGH DISCOUNT</v>
      </c>
    </row>
    <row r="934" spans="1:25" x14ac:dyDescent="0.25">
      <c r="A934" s="1" t="s">
        <v>2158</v>
      </c>
      <c r="B934" s="1">
        <v>10742386</v>
      </c>
      <c r="C934" s="1" t="s">
        <v>102</v>
      </c>
      <c r="D934" s="1" t="s">
        <v>41</v>
      </c>
      <c r="E934" s="1" t="s">
        <v>306</v>
      </c>
      <c r="F934" s="1" t="s">
        <v>36</v>
      </c>
      <c r="G934" s="1" t="s">
        <v>2159</v>
      </c>
      <c r="I934" s="1">
        <v>1349</v>
      </c>
      <c r="J934" s="1" t="s">
        <v>126</v>
      </c>
      <c r="K934" s="1" t="s">
        <v>26</v>
      </c>
      <c r="L934" s="1">
        <v>4.4000000000000004</v>
      </c>
      <c r="M934" s="1">
        <v>836</v>
      </c>
      <c r="P934" t="str">
        <f t="shared" si="59"/>
        <v>62%</v>
      </c>
      <c r="Q934" s="12">
        <f t="shared" si="56"/>
        <v>0.62</v>
      </c>
      <c r="R934" s="9">
        <f t="shared" si="57"/>
        <v>512.62</v>
      </c>
      <c r="S934" s="9">
        <f>IF(R934="",AVERAGEIF(Table1[Category],Table1[[#This Row],[Category]],Table2[orignal data]),Table2[[#This Row],[orignal data]])</f>
        <v>512.62</v>
      </c>
      <c r="T934" t="str">
        <f t="shared" si="58"/>
        <v>UNIQUE</v>
      </c>
      <c r="U934" t="str">
        <f>IF(ISBLANK(Table1[[#This Row],[SizeOption]]),"NOT AVAILABLE",Table1[[#This Row],[SizeOption]])</f>
        <v>S, M, L, XL</v>
      </c>
      <c r="Y934" t="str">
        <f>IF(Table2[[#This Row],[Column1]]&gt;50%,"HIGH DISCOUNT","LOW DISCOUNT")</f>
        <v>HIGH DISCOUNT</v>
      </c>
    </row>
    <row r="935" spans="1:25" x14ac:dyDescent="0.25">
      <c r="A935" s="2" t="s">
        <v>2160</v>
      </c>
      <c r="B935" s="2">
        <v>13204882</v>
      </c>
      <c r="C935" s="2" t="s">
        <v>121</v>
      </c>
      <c r="D935" s="2" t="s">
        <v>41</v>
      </c>
      <c r="E935" s="2" t="s">
        <v>48</v>
      </c>
      <c r="F935" s="2" t="s">
        <v>36</v>
      </c>
      <c r="G935" s="2" t="s">
        <v>2161</v>
      </c>
      <c r="I935" s="2">
        <v>1699</v>
      </c>
      <c r="J935" s="2" t="s">
        <v>44</v>
      </c>
      <c r="K935" s="2" t="s">
        <v>115</v>
      </c>
      <c r="L935" s="2">
        <v>4.2</v>
      </c>
      <c r="M935" s="2">
        <v>836</v>
      </c>
      <c r="P935" t="str">
        <f t="shared" si="59"/>
        <v>35%</v>
      </c>
      <c r="Q935" s="12">
        <f t="shared" si="56"/>
        <v>0.35</v>
      </c>
      <c r="R935" s="9">
        <f t="shared" si="57"/>
        <v>1104.3499999999999</v>
      </c>
      <c r="S935" s="9">
        <f>IF(R935="",AVERAGEIF(Table1[Category],Table1[[#This Row],[Category]],Table2[orignal data]),Table2[[#This Row],[orignal data]])</f>
        <v>1104.3499999999999</v>
      </c>
      <c r="T935" t="str">
        <f t="shared" si="58"/>
        <v>UNIQUE</v>
      </c>
      <c r="U935" t="str">
        <f>IF(ISBLANK(Table1[[#This Row],[SizeOption]]),"NOT AVAILABLE",Table1[[#This Row],[SizeOption]])</f>
        <v>XS, S, M, L, XL, XXL</v>
      </c>
      <c r="Y935" t="str">
        <f>IF(Table2[[#This Row],[Column1]]&gt;50%,"HIGH DISCOUNT","LOW DISCOUNT")</f>
        <v>LOW DISCOUNT</v>
      </c>
    </row>
    <row r="936" spans="1:25" x14ac:dyDescent="0.25">
      <c r="A936" s="1" t="s">
        <v>2162</v>
      </c>
      <c r="B936" s="1">
        <v>5447367</v>
      </c>
      <c r="C936" s="1" t="s">
        <v>14</v>
      </c>
      <c r="D936" s="1" t="s">
        <v>41</v>
      </c>
      <c r="E936" s="1" t="s">
        <v>1881</v>
      </c>
      <c r="F936" s="1" t="s">
        <v>36</v>
      </c>
      <c r="G936" s="1" t="s">
        <v>2163</v>
      </c>
      <c r="I936" s="1">
        <v>1699</v>
      </c>
      <c r="J936" s="1" t="s">
        <v>79</v>
      </c>
      <c r="K936" s="1" t="s">
        <v>115</v>
      </c>
      <c r="L936" s="1">
        <v>4.2</v>
      </c>
      <c r="M936" s="1">
        <v>836</v>
      </c>
      <c r="P936" t="str">
        <f t="shared" si="59"/>
        <v>70%</v>
      </c>
      <c r="Q936" s="12">
        <f t="shared" si="56"/>
        <v>0.7</v>
      </c>
      <c r="R936" s="9">
        <f t="shared" si="57"/>
        <v>509.70000000000005</v>
      </c>
      <c r="S936" s="9">
        <f>IF(R936="",AVERAGEIF(Table1[Category],Table1[[#This Row],[Category]],Table2[orignal data]),Table2[[#This Row],[orignal data]])</f>
        <v>509.70000000000005</v>
      </c>
      <c r="T936" t="str">
        <f t="shared" si="58"/>
        <v>UNIQUE</v>
      </c>
      <c r="U936" t="str">
        <f>IF(ISBLANK(Table1[[#This Row],[SizeOption]]),"NOT AVAILABLE",Table1[[#This Row],[SizeOption]])</f>
        <v>XS, S, M, L, XL, XXL</v>
      </c>
      <c r="Y936" t="str">
        <f>IF(Table2[[#This Row],[Column1]]&gt;50%,"HIGH DISCOUNT","LOW DISCOUNT")</f>
        <v>HIGH DISCOUNT</v>
      </c>
    </row>
    <row r="937" spans="1:25" x14ac:dyDescent="0.25">
      <c r="A937" s="2" t="s">
        <v>2164</v>
      </c>
      <c r="B937" s="2">
        <v>9739965</v>
      </c>
      <c r="C937" s="2" t="s">
        <v>14</v>
      </c>
      <c r="D937" s="2" t="s">
        <v>41</v>
      </c>
      <c r="E937" s="2" t="s">
        <v>42</v>
      </c>
      <c r="F937" s="2" t="s">
        <v>36</v>
      </c>
      <c r="G937" s="2" t="s">
        <v>775</v>
      </c>
      <c r="I937" s="2">
        <v>799</v>
      </c>
      <c r="J937" s="2" t="s">
        <v>25</v>
      </c>
      <c r="K937" s="2" t="s">
        <v>45</v>
      </c>
      <c r="L937" s="2">
        <v>4.0999999999999996</v>
      </c>
      <c r="M937" s="2">
        <v>836</v>
      </c>
      <c r="P937" t="str">
        <f t="shared" si="59"/>
        <v>55%</v>
      </c>
      <c r="Q937" s="12">
        <f t="shared" si="56"/>
        <v>0.55000000000000004</v>
      </c>
      <c r="R937" s="9">
        <f t="shared" si="57"/>
        <v>359.54999999999995</v>
      </c>
      <c r="S937" s="9">
        <f>IF(R937="",AVERAGEIF(Table1[Category],Table1[[#This Row],[Category]],Table2[orignal data]),Table2[[#This Row],[orignal data]])</f>
        <v>359.54999999999995</v>
      </c>
      <c r="T937" t="str">
        <f t="shared" si="58"/>
        <v>UNIQUE</v>
      </c>
      <c r="U937" t="str">
        <f>IF(ISBLANK(Table1[[#This Row],[SizeOption]]),"NOT AVAILABLE",Table1[[#This Row],[SizeOption]])</f>
        <v>XS, S, M, L, XL</v>
      </c>
      <c r="Y937" t="str">
        <f>IF(Table2[[#This Row],[Column1]]&gt;50%,"HIGH DISCOUNT","LOW DISCOUNT")</f>
        <v>HIGH DISCOUNT</v>
      </c>
    </row>
    <row r="938" spans="1:25" x14ac:dyDescent="0.25">
      <c r="A938" s="1" t="s">
        <v>2165</v>
      </c>
      <c r="B938" s="1">
        <v>10440650</v>
      </c>
      <c r="C938" s="1" t="s">
        <v>107</v>
      </c>
      <c r="D938" s="1" t="s">
        <v>41</v>
      </c>
      <c r="E938" s="1" t="s">
        <v>148</v>
      </c>
      <c r="F938" s="1" t="s">
        <v>36</v>
      </c>
      <c r="G938" s="1" t="s">
        <v>2166</v>
      </c>
      <c r="I938" s="1">
        <v>1599</v>
      </c>
      <c r="J938" s="1"/>
      <c r="K938" s="1" t="s">
        <v>45</v>
      </c>
      <c r="L938" s="1">
        <v>4</v>
      </c>
      <c r="M938" s="1">
        <v>836</v>
      </c>
      <c r="P938" t="str">
        <f t="shared" si="59"/>
        <v/>
      </c>
      <c r="Q938" s="12" t="str">
        <f t="shared" si="56"/>
        <v/>
      </c>
      <c r="R938" s="9" t="str">
        <f t="shared" si="57"/>
        <v/>
      </c>
      <c r="S938" s="9">
        <f>IF(R938="",AVERAGEIF(Table1[Category],Table1[[#This Row],[Category]],Table2[orignal data]),Table2[[#This Row],[orignal data]])</f>
        <v>715.78890751086249</v>
      </c>
      <c r="T938" t="str">
        <f t="shared" si="58"/>
        <v>UNIQUE</v>
      </c>
      <c r="U938" t="str">
        <f>IF(ISBLANK(Table1[[#This Row],[SizeOption]]),"NOT AVAILABLE",Table1[[#This Row],[SizeOption]])</f>
        <v>XS, S, M, L, XL</v>
      </c>
      <c r="Y938" t="str">
        <f>IF(Table2[[#This Row],[Column1]]&gt;50%,"HIGH DISCOUNT","LOW DISCOUNT")</f>
        <v>HIGH DISCOUNT</v>
      </c>
    </row>
    <row r="939" spans="1:25" x14ac:dyDescent="0.25">
      <c r="A939" s="2" t="s">
        <v>2167</v>
      </c>
      <c r="B939" s="2">
        <v>17977458</v>
      </c>
      <c r="C939" s="2" t="s">
        <v>794</v>
      </c>
      <c r="D939" s="2" t="s">
        <v>197</v>
      </c>
      <c r="E939" s="2" t="s">
        <v>2168</v>
      </c>
      <c r="F939" s="2" t="s">
        <v>17</v>
      </c>
      <c r="G939" s="2" t="s">
        <v>2169</v>
      </c>
      <c r="I939" s="2">
        <v>1398</v>
      </c>
      <c r="J939" s="2"/>
      <c r="K939" s="2" t="s">
        <v>352</v>
      </c>
      <c r="L939" s="2">
        <v>4.4000000000000004</v>
      </c>
      <c r="M939" s="2">
        <v>835</v>
      </c>
      <c r="P939" t="str">
        <f t="shared" si="59"/>
        <v/>
      </c>
      <c r="Q939" s="12" t="str">
        <f t="shared" si="56"/>
        <v/>
      </c>
      <c r="R939" s="9" t="str">
        <f t="shared" si="57"/>
        <v/>
      </c>
      <c r="S939" s="9">
        <f>IF(R939="",AVERAGEIF(Table1[Category],Table1[[#This Row],[Category]],Table2[orignal data]),Table2[[#This Row],[orignal data]])</f>
        <v>552.70900000000006</v>
      </c>
      <c r="T939" t="str">
        <f t="shared" si="58"/>
        <v>UNIQUE</v>
      </c>
      <c r="U939" t="str">
        <f>IF(ISBLANK(Table1[[#This Row],[SizeOption]]),"NOT AVAILABLE",Table1[[#This Row],[SizeOption]])</f>
        <v>S, M, L</v>
      </c>
      <c r="Y939" t="str">
        <f>IF(Table2[[#This Row],[Column1]]&gt;50%,"HIGH DISCOUNT","LOW DISCOUNT")</f>
        <v>HIGH DISCOUNT</v>
      </c>
    </row>
    <row r="940" spans="1:25" x14ac:dyDescent="0.25">
      <c r="A940" s="1" t="s">
        <v>2170</v>
      </c>
      <c r="B940" s="1">
        <v>2358001</v>
      </c>
      <c r="C940" s="1" t="s">
        <v>841</v>
      </c>
      <c r="D940" s="1" t="s">
        <v>28</v>
      </c>
      <c r="E940" s="1" t="s">
        <v>29</v>
      </c>
      <c r="F940" s="1" t="s">
        <v>17</v>
      </c>
      <c r="G940" s="1" t="s">
        <v>2171</v>
      </c>
      <c r="H940">
        <v>944</v>
      </c>
      <c r="I940" s="1">
        <v>2099</v>
      </c>
      <c r="J940" s="1" t="s">
        <v>25</v>
      </c>
      <c r="K940" s="1" t="s">
        <v>253</v>
      </c>
      <c r="L940" s="1">
        <v>4</v>
      </c>
      <c r="M940" s="1">
        <v>835</v>
      </c>
      <c r="P940" t="str">
        <f t="shared" si="59"/>
        <v>55%</v>
      </c>
      <c r="Q940" s="12">
        <f t="shared" si="56"/>
        <v>0.55000000000000004</v>
      </c>
      <c r="R940" s="9">
        <f t="shared" si="57"/>
        <v>944.55</v>
      </c>
      <c r="S940" s="9">
        <f>IF(R940="",AVERAGEIF(Table1[Category],Table1[[#This Row],[Category]],Table2[orignal data]),Table2[[#This Row],[orignal data]])</f>
        <v>944.55</v>
      </c>
      <c r="T940" t="str">
        <f t="shared" si="58"/>
        <v>UNIQUE</v>
      </c>
      <c r="U940" t="str">
        <f>IF(ISBLANK(Table1[[#This Row],[SizeOption]]),"NOT AVAILABLE",Table1[[#This Row],[SizeOption]])</f>
        <v>38, 40, 42, 44</v>
      </c>
      <c r="Y940" t="str">
        <f>IF(Table2[[#This Row],[Column1]]&gt;50%,"HIGH DISCOUNT","LOW DISCOUNT")</f>
        <v>HIGH DISCOUNT</v>
      </c>
    </row>
    <row r="941" spans="1:25" x14ac:dyDescent="0.25">
      <c r="A941" s="2" t="s">
        <v>2172</v>
      </c>
      <c r="B941" s="2">
        <v>11900354</v>
      </c>
      <c r="C941" s="2" t="s">
        <v>346</v>
      </c>
      <c r="D941" s="2" t="s">
        <v>28</v>
      </c>
      <c r="E941" s="2" t="s">
        <v>42</v>
      </c>
      <c r="F941" s="2" t="s">
        <v>17</v>
      </c>
      <c r="G941" s="2" t="s">
        <v>2173</v>
      </c>
      <c r="H941">
        <v>349</v>
      </c>
      <c r="I941" s="2">
        <v>699</v>
      </c>
      <c r="J941" s="2" t="s">
        <v>84</v>
      </c>
      <c r="K941" s="2" t="s">
        <v>39</v>
      </c>
      <c r="L941" s="2">
        <v>4.2</v>
      </c>
      <c r="M941" s="2">
        <v>835</v>
      </c>
      <c r="P941" t="str">
        <f t="shared" si="59"/>
        <v>50%</v>
      </c>
      <c r="Q941" s="12">
        <f t="shared" si="56"/>
        <v>0.5</v>
      </c>
      <c r="R941" s="9">
        <f t="shared" si="57"/>
        <v>349.5</v>
      </c>
      <c r="S941" s="9">
        <f>IF(R941="",AVERAGEIF(Table1[Category],Table1[[#This Row],[Category]],Table2[orignal data]),Table2[[#This Row],[orignal data]])</f>
        <v>349.5</v>
      </c>
      <c r="T941" t="str">
        <f t="shared" si="58"/>
        <v>UNIQUE</v>
      </c>
      <c r="U941" t="str">
        <f>IF(ISBLANK(Table1[[#This Row],[SizeOption]]),"NOT AVAILABLE",Table1[[#This Row],[SizeOption]])</f>
        <v>S, M, L, XL, XXL</v>
      </c>
      <c r="Y941" t="str">
        <f>IF(Table2[[#This Row],[Column1]]&gt;50%,"HIGH DISCOUNT","LOW DISCOUNT")</f>
        <v>LOW DISCOUNT</v>
      </c>
    </row>
    <row r="942" spans="1:25" x14ac:dyDescent="0.25">
      <c r="A942" s="1" t="s">
        <v>2174</v>
      </c>
      <c r="B942" s="1">
        <v>6608551</v>
      </c>
      <c r="C942" s="1" t="s">
        <v>33</v>
      </c>
      <c r="D942" s="1" t="s">
        <v>34</v>
      </c>
      <c r="E942" s="1" t="s">
        <v>118</v>
      </c>
      <c r="F942" s="1" t="s">
        <v>36</v>
      </c>
      <c r="G942" s="1" t="s">
        <v>2175</v>
      </c>
      <c r="H942">
        <v>614</v>
      </c>
      <c r="I942" s="1">
        <v>945</v>
      </c>
      <c r="J942" s="1" t="s">
        <v>44</v>
      </c>
      <c r="K942" s="1" t="s">
        <v>2176</v>
      </c>
      <c r="L942" s="1">
        <v>3.7</v>
      </c>
      <c r="M942" s="1">
        <v>835</v>
      </c>
      <c r="P942" t="str">
        <f t="shared" si="59"/>
        <v>35%</v>
      </c>
      <c r="Q942" s="12">
        <f t="shared" si="56"/>
        <v>0.35</v>
      </c>
      <c r="R942" s="9">
        <f t="shared" si="57"/>
        <v>614.25</v>
      </c>
      <c r="S942" s="9">
        <f>IF(R942="",AVERAGEIF(Table1[Category],Table1[[#This Row],[Category]],Table2[orignal data]),Table2[[#This Row],[orignal data]])</f>
        <v>614.25</v>
      </c>
      <c r="T942" t="str">
        <f t="shared" si="58"/>
        <v>UNIQUE</v>
      </c>
      <c r="U942" t="str">
        <f>IF(ISBLANK(Table1[[#This Row],[SizeOption]]),"NOT AVAILABLE",Table1[[#This Row],[SizeOption]])</f>
        <v>34B, 34C, 36B, 36C</v>
      </c>
      <c r="Y942" t="str">
        <f>IF(Table2[[#This Row],[Column1]]&gt;50%,"HIGH DISCOUNT","LOW DISCOUNT")</f>
        <v>LOW DISCOUNT</v>
      </c>
    </row>
    <row r="943" spans="1:25" x14ac:dyDescent="0.25">
      <c r="A943" s="2" t="s">
        <v>2177</v>
      </c>
      <c r="B943" s="2">
        <v>8350403</v>
      </c>
      <c r="C943" s="2" t="s">
        <v>97</v>
      </c>
      <c r="D943" s="2" t="s">
        <v>98</v>
      </c>
      <c r="E943" s="2" t="s">
        <v>93</v>
      </c>
      <c r="F943" s="2" t="s">
        <v>36</v>
      </c>
      <c r="G943" s="2" t="s">
        <v>2178</v>
      </c>
      <c r="H943">
        <v>374</v>
      </c>
      <c r="I943" s="2">
        <v>1499</v>
      </c>
      <c r="J943" s="2" t="s">
        <v>109</v>
      </c>
      <c r="K943" s="2" t="s">
        <v>115</v>
      </c>
      <c r="L943" s="2">
        <v>4</v>
      </c>
      <c r="M943" s="2">
        <v>835</v>
      </c>
      <c r="P943" t="str">
        <f t="shared" si="59"/>
        <v>75%</v>
      </c>
      <c r="Q943" s="12">
        <f t="shared" si="56"/>
        <v>0.75</v>
      </c>
      <c r="R943" s="9">
        <f t="shared" si="57"/>
        <v>374.75</v>
      </c>
      <c r="S943" s="9">
        <f>IF(R943="",AVERAGEIF(Table1[Category],Table1[[#This Row],[Category]],Table2[orignal data]),Table2[[#This Row],[orignal data]])</f>
        <v>374.75</v>
      </c>
      <c r="T943" t="str">
        <f t="shared" si="58"/>
        <v>UNIQUE</v>
      </c>
      <c r="U943" t="str">
        <f>IF(ISBLANK(Table1[[#This Row],[SizeOption]]),"NOT AVAILABLE",Table1[[#This Row],[SizeOption]])</f>
        <v>XS, S, M, L, XL, XXL</v>
      </c>
      <c r="Y943" t="str">
        <f>IF(Table2[[#This Row],[Column1]]&gt;50%,"HIGH DISCOUNT","LOW DISCOUNT")</f>
        <v>HIGH DISCOUNT</v>
      </c>
    </row>
    <row r="944" spans="1:25" x14ac:dyDescent="0.25">
      <c r="A944" s="1" t="s">
        <v>2179</v>
      </c>
      <c r="B944" s="1">
        <v>1270768</v>
      </c>
      <c r="C944" s="1" t="s">
        <v>346</v>
      </c>
      <c r="D944" s="1" t="s">
        <v>41</v>
      </c>
      <c r="E944" s="1" t="s">
        <v>42</v>
      </c>
      <c r="F944" s="1" t="s">
        <v>36</v>
      </c>
      <c r="G944" s="1" t="s">
        <v>2180</v>
      </c>
      <c r="I944" s="1">
        <v>649</v>
      </c>
      <c r="J944" s="1" t="s">
        <v>150</v>
      </c>
      <c r="K944" s="1" t="s">
        <v>45</v>
      </c>
      <c r="L944" s="1">
        <v>4.0999999999999996</v>
      </c>
      <c r="M944" s="1">
        <v>835</v>
      </c>
      <c r="P944" t="str">
        <f t="shared" si="59"/>
        <v>65%</v>
      </c>
      <c r="Q944" s="12">
        <f t="shared" si="56"/>
        <v>0.65</v>
      </c>
      <c r="R944" s="9">
        <f t="shared" si="57"/>
        <v>227.14999999999998</v>
      </c>
      <c r="S944" s="9">
        <f>IF(R944="",AVERAGEIF(Table1[Category],Table1[[#This Row],[Category]],Table2[orignal data]),Table2[[#This Row],[orignal data]])</f>
        <v>227.14999999999998</v>
      </c>
      <c r="T944" t="str">
        <f t="shared" si="58"/>
        <v>UNIQUE</v>
      </c>
      <c r="U944" t="str">
        <f>IF(ISBLANK(Table1[[#This Row],[SizeOption]]),"NOT AVAILABLE",Table1[[#This Row],[SizeOption]])</f>
        <v>XS, S, M, L, XL</v>
      </c>
      <c r="Y944" t="str">
        <f>IF(Table2[[#This Row],[Column1]]&gt;50%,"HIGH DISCOUNT","LOW DISCOUNT")</f>
        <v>HIGH DISCOUNT</v>
      </c>
    </row>
    <row r="945" spans="1:25" x14ac:dyDescent="0.25">
      <c r="A945" s="2" t="s">
        <v>2181</v>
      </c>
      <c r="B945" s="2">
        <v>8962463</v>
      </c>
      <c r="C945" s="2" t="s">
        <v>14</v>
      </c>
      <c r="D945" s="2" t="s">
        <v>15</v>
      </c>
      <c r="E945" s="2" t="s">
        <v>16</v>
      </c>
      <c r="F945" s="2" t="s">
        <v>17</v>
      </c>
      <c r="G945" s="2" t="s">
        <v>918</v>
      </c>
      <c r="H945">
        <v>934</v>
      </c>
      <c r="I945" s="2">
        <v>1699</v>
      </c>
      <c r="J945" s="2" t="s">
        <v>19</v>
      </c>
      <c r="K945" s="2" t="s">
        <v>134</v>
      </c>
      <c r="L945" s="2">
        <v>4</v>
      </c>
      <c r="M945" s="2">
        <v>834</v>
      </c>
      <c r="P945" t="str">
        <f t="shared" si="59"/>
        <v>45%</v>
      </c>
      <c r="Q945" s="12">
        <f t="shared" si="56"/>
        <v>0.45</v>
      </c>
      <c r="R945" s="9">
        <f t="shared" si="57"/>
        <v>934.44999999999993</v>
      </c>
      <c r="S945" s="9">
        <f>IF(R945="",AVERAGEIF(Table1[Category],Table1[[#This Row],[Category]],Table2[orignal data]),Table2[[#This Row],[orignal data]])</f>
        <v>934.44999999999993</v>
      </c>
      <c r="T945" t="str">
        <f t="shared" si="58"/>
        <v>UNIQUE</v>
      </c>
      <c r="U945" t="str">
        <f>IF(ISBLANK(Table1[[#This Row],[SizeOption]]),"NOT AVAILABLE",Table1[[#This Row],[SizeOption]])</f>
        <v>26, 28, 30, 32, 34, 36</v>
      </c>
      <c r="Y945" t="str">
        <f>IF(Table2[[#This Row],[Column1]]&gt;50%,"HIGH DISCOUNT","LOW DISCOUNT")</f>
        <v>LOW DISCOUNT</v>
      </c>
    </row>
    <row r="946" spans="1:25" x14ac:dyDescent="0.25">
      <c r="A946" s="1" t="s">
        <v>2182</v>
      </c>
      <c r="B946" s="1">
        <v>16322466</v>
      </c>
      <c r="C946" s="1" t="s">
        <v>67</v>
      </c>
      <c r="D946" s="1" t="s">
        <v>68</v>
      </c>
      <c r="E946" s="1" t="s">
        <v>42</v>
      </c>
      <c r="F946" s="1" t="s">
        <v>17</v>
      </c>
      <c r="G946" s="1" t="s">
        <v>2183</v>
      </c>
      <c r="I946" s="1">
        <v>1798</v>
      </c>
      <c r="J946" s="1"/>
      <c r="K946" s="1" t="s">
        <v>2184</v>
      </c>
      <c r="L946" s="1">
        <v>4.2</v>
      </c>
      <c r="M946" s="1">
        <v>834</v>
      </c>
      <c r="P946" t="str">
        <f t="shared" si="59"/>
        <v/>
      </c>
      <c r="Q946" s="12" t="str">
        <f t="shared" si="56"/>
        <v/>
      </c>
      <c r="R946" s="9" t="str">
        <f t="shared" si="57"/>
        <v/>
      </c>
      <c r="S946" s="9">
        <f>IF(R946="",AVERAGEIF(Table1[Category],Table1[[#This Row],[Category]],Table2[orignal data]),Table2[[#This Row],[orignal data]])</f>
        <v>734.32085365853686</v>
      </c>
      <c r="T946" t="str">
        <f t="shared" si="58"/>
        <v>UNIQUE</v>
      </c>
      <c r="U946" t="str">
        <f>IF(ISBLANK(Table1[[#This Row],[SizeOption]]),"NOT AVAILABLE",Table1[[#This Row],[SizeOption]])</f>
        <v>XL, XXL, L, S, M</v>
      </c>
      <c r="Y946" t="str">
        <f>IF(Table2[[#This Row],[Column1]]&gt;50%,"HIGH DISCOUNT","LOW DISCOUNT")</f>
        <v>HIGH DISCOUNT</v>
      </c>
    </row>
    <row r="947" spans="1:25" x14ac:dyDescent="0.25">
      <c r="A947" s="2" t="s">
        <v>2185</v>
      </c>
      <c r="B947" s="2">
        <v>11363666</v>
      </c>
      <c r="C947" s="2" t="s">
        <v>169</v>
      </c>
      <c r="D947" s="2" t="s">
        <v>28</v>
      </c>
      <c r="E947" s="2" t="s">
        <v>42</v>
      </c>
      <c r="F947" s="2" t="s">
        <v>17</v>
      </c>
      <c r="G947" s="2" t="s">
        <v>2186</v>
      </c>
      <c r="H947">
        <v>499</v>
      </c>
      <c r="I947" s="2">
        <v>999</v>
      </c>
      <c r="J947" s="2" t="s">
        <v>84</v>
      </c>
      <c r="K947" s="2" t="s">
        <v>39</v>
      </c>
      <c r="L947" s="2">
        <v>4.4000000000000004</v>
      </c>
      <c r="M947" s="2">
        <v>834</v>
      </c>
      <c r="P947" t="str">
        <f t="shared" si="59"/>
        <v>50%</v>
      </c>
      <c r="Q947" s="12">
        <f t="shared" si="56"/>
        <v>0.5</v>
      </c>
      <c r="R947" s="9">
        <f t="shared" si="57"/>
        <v>499.5</v>
      </c>
      <c r="S947" s="9">
        <f>IF(R947="",AVERAGEIF(Table1[Category],Table1[[#This Row],[Category]],Table2[orignal data]),Table2[[#This Row],[orignal data]])</f>
        <v>499.5</v>
      </c>
      <c r="T947" t="str">
        <f t="shared" si="58"/>
        <v>UNIQUE</v>
      </c>
      <c r="U947" t="str">
        <f>IF(ISBLANK(Table1[[#This Row],[SizeOption]]),"NOT AVAILABLE",Table1[[#This Row],[SizeOption]])</f>
        <v>S, M, L, XL, XXL</v>
      </c>
      <c r="Y947" t="str">
        <f>IF(Table2[[#This Row],[Column1]]&gt;50%,"HIGH DISCOUNT","LOW DISCOUNT")</f>
        <v>LOW DISCOUNT</v>
      </c>
    </row>
    <row r="948" spans="1:25" x14ac:dyDescent="0.25">
      <c r="A948" s="1" t="s">
        <v>2187</v>
      </c>
      <c r="B948" s="1">
        <v>10554970</v>
      </c>
      <c r="C948" s="1" t="s">
        <v>33</v>
      </c>
      <c r="D948" s="1" t="s">
        <v>34</v>
      </c>
      <c r="E948" s="1" t="s">
        <v>118</v>
      </c>
      <c r="F948" s="1" t="s">
        <v>36</v>
      </c>
      <c r="G948" s="1" t="s">
        <v>2188</v>
      </c>
      <c r="H948">
        <v>359</v>
      </c>
      <c r="I948" s="1">
        <v>399</v>
      </c>
      <c r="J948" s="1" t="s">
        <v>1005</v>
      </c>
      <c r="K948" s="1" t="s">
        <v>1113</v>
      </c>
      <c r="L948" s="1">
        <v>4.2</v>
      </c>
      <c r="M948" s="1">
        <v>834</v>
      </c>
      <c r="P948" t="str">
        <f t="shared" si="59"/>
        <v>10%</v>
      </c>
      <c r="Q948" s="12">
        <f t="shared" si="56"/>
        <v>0.1</v>
      </c>
      <c r="R948" s="9">
        <f t="shared" si="57"/>
        <v>359.1</v>
      </c>
      <c r="S948" s="9">
        <f>IF(R948="",AVERAGEIF(Table1[Category],Table1[[#This Row],[Category]],Table2[orignal data]),Table2[[#This Row],[orignal data]])</f>
        <v>359.1</v>
      </c>
      <c r="T948" t="str">
        <f t="shared" si="58"/>
        <v>UNIQUE</v>
      </c>
      <c r="U948" t="str">
        <f>IF(ISBLANK(Table1[[#This Row],[SizeOption]]),"NOT AVAILABLE",Table1[[#This Row],[SizeOption]])</f>
        <v>32B, 32C, 32D, 34B, 34C, 34D, 36B, 36C, 36D, 38B, 38C, 38D</v>
      </c>
      <c r="Y948" t="str">
        <f>IF(Table2[[#This Row],[Column1]]&gt;50%,"HIGH DISCOUNT","LOW DISCOUNT")</f>
        <v>LOW DISCOUNT</v>
      </c>
    </row>
    <row r="949" spans="1:25" x14ac:dyDescent="0.25">
      <c r="A949" s="2" t="s">
        <v>2189</v>
      </c>
      <c r="B949" s="2">
        <v>17384862</v>
      </c>
      <c r="C949" s="2" t="s">
        <v>14</v>
      </c>
      <c r="D949" s="2" t="s">
        <v>41</v>
      </c>
      <c r="E949" s="2" t="s">
        <v>42</v>
      </c>
      <c r="F949" s="2" t="s">
        <v>36</v>
      </c>
      <c r="G949" s="2" t="s">
        <v>111</v>
      </c>
      <c r="I949" s="2">
        <v>1398</v>
      </c>
      <c r="J949" s="2" t="s">
        <v>84</v>
      </c>
      <c r="K949" s="2" t="s">
        <v>45</v>
      </c>
      <c r="L949" s="2">
        <v>4.3</v>
      </c>
      <c r="M949" s="2">
        <v>834</v>
      </c>
      <c r="P949" t="str">
        <f t="shared" si="59"/>
        <v>50%</v>
      </c>
      <c r="Q949" s="12">
        <f t="shared" si="56"/>
        <v>0.5</v>
      </c>
      <c r="R949" s="9">
        <f t="shared" si="57"/>
        <v>699</v>
      </c>
      <c r="S949" s="9">
        <f>IF(R949="",AVERAGEIF(Table1[Category],Table1[[#This Row],[Category]],Table2[orignal data]),Table2[[#This Row],[orignal data]])</f>
        <v>699</v>
      </c>
      <c r="T949" t="str">
        <f t="shared" si="58"/>
        <v>UNIQUE</v>
      </c>
      <c r="U949" t="str">
        <f>IF(ISBLANK(Table1[[#This Row],[SizeOption]]),"NOT AVAILABLE",Table1[[#This Row],[SizeOption]])</f>
        <v>XS, S, M, L, XL</v>
      </c>
      <c r="Y949" t="str">
        <f>IF(Table2[[#This Row],[Column1]]&gt;50%,"HIGH DISCOUNT","LOW DISCOUNT")</f>
        <v>LOW DISCOUNT</v>
      </c>
    </row>
    <row r="950" spans="1:25" x14ac:dyDescent="0.25">
      <c r="A950" s="1" t="s">
        <v>2190</v>
      </c>
      <c r="B950" s="1">
        <v>17383642</v>
      </c>
      <c r="C950" s="1" t="s">
        <v>14</v>
      </c>
      <c r="D950" s="1" t="s">
        <v>41</v>
      </c>
      <c r="E950" s="1" t="s">
        <v>42</v>
      </c>
      <c r="F950" s="1" t="s">
        <v>36</v>
      </c>
      <c r="G950" s="1" t="s">
        <v>2191</v>
      </c>
      <c r="I950" s="1">
        <v>1598</v>
      </c>
      <c r="J950" s="1" t="s">
        <v>84</v>
      </c>
      <c r="K950" s="1" t="s">
        <v>447</v>
      </c>
      <c r="L950" s="1">
        <v>4.3</v>
      </c>
      <c r="M950" s="1">
        <v>834</v>
      </c>
      <c r="P950" t="str">
        <f t="shared" si="59"/>
        <v>50%</v>
      </c>
      <c r="Q950" s="12">
        <f t="shared" si="56"/>
        <v>0.5</v>
      </c>
      <c r="R950" s="9">
        <f t="shared" si="57"/>
        <v>799</v>
      </c>
      <c r="S950" s="9">
        <f>IF(R950="",AVERAGEIF(Table1[Category],Table1[[#This Row],[Category]],Table2[orignal data]),Table2[[#This Row],[orignal data]])</f>
        <v>799</v>
      </c>
      <c r="T950" t="str">
        <f t="shared" si="58"/>
        <v>UNIQUE</v>
      </c>
      <c r="U950" t="str">
        <f>IF(ISBLANK(Table1[[#This Row],[SizeOption]]),"NOT AVAILABLE",Table1[[#This Row],[SizeOption]])</f>
        <v>M, S, XS, XL, L</v>
      </c>
      <c r="Y950" t="str">
        <f>IF(Table2[[#This Row],[Column1]]&gt;50%,"HIGH DISCOUNT","LOW DISCOUNT")</f>
        <v>LOW DISCOUNT</v>
      </c>
    </row>
    <row r="951" spans="1:25" x14ac:dyDescent="0.25">
      <c r="A951" s="2" t="s">
        <v>2192</v>
      </c>
      <c r="B951" s="2">
        <v>4441317</v>
      </c>
      <c r="C951" s="2" t="s">
        <v>58</v>
      </c>
      <c r="D951" s="2" t="s">
        <v>41</v>
      </c>
      <c r="E951" s="2" t="s">
        <v>48</v>
      </c>
      <c r="F951" s="2" t="s">
        <v>36</v>
      </c>
      <c r="G951" s="2" t="s">
        <v>2193</v>
      </c>
      <c r="I951" s="2">
        <v>895</v>
      </c>
      <c r="J951" s="2" t="s">
        <v>60</v>
      </c>
      <c r="K951" s="2" t="s">
        <v>26</v>
      </c>
      <c r="L951" s="2">
        <v>4.0999999999999996</v>
      </c>
      <c r="M951" s="2">
        <v>834</v>
      </c>
      <c r="P951" t="str">
        <f t="shared" si="59"/>
        <v>58%</v>
      </c>
      <c r="Q951" s="12">
        <f t="shared" si="56"/>
        <v>0.57999999999999996</v>
      </c>
      <c r="R951" s="9">
        <f t="shared" si="57"/>
        <v>375.90000000000009</v>
      </c>
      <c r="S951" s="9">
        <f>IF(R951="",AVERAGEIF(Table1[Category],Table1[[#This Row],[Category]],Table2[orignal data]),Table2[[#This Row],[orignal data]])</f>
        <v>375.90000000000009</v>
      </c>
      <c r="T951" t="str">
        <f t="shared" si="58"/>
        <v>UNIQUE</v>
      </c>
      <c r="U951" t="str">
        <f>IF(ISBLANK(Table1[[#This Row],[SizeOption]]),"NOT AVAILABLE",Table1[[#This Row],[SizeOption]])</f>
        <v>S, M, L, XL</v>
      </c>
      <c r="Y951" t="str">
        <f>IF(Table2[[#This Row],[Column1]]&gt;50%,"HIGH DISCOUNT","LOW DISCOUNT")</f>
        <v>HIGH DISCOUNT</v>
      </c>
    </row>
    <row r="952" spans="1:25" x14ac:dyDescent="0.25">
      <c r="A952" s="1" t="s">
        <v>2194</v>
      </c>
      <c r="B952" s="1">
        <v>6791073</v>
      </c>
      <c r="C952" s="1" t="s">
        <v>67</v>
      </c>
      <c r="D952" s="1" t="s">
        <v>15</v>
      </c>
      <c r="E952" s="1" t="s">
        <v>23</v>
      </c>
      <c r="F952" s="1" t="s">
        <v>17</v>
      </c>
      <c r="G952" s="1" t="s">
        <v>2195</v>
      </c>
      <c r="H952">
        <v>679</v>
      </c>
      <c r="I952" s="1">
        <v>1699</v>
      </c>
      <c r="J952" s="1" t="s">
        <v>55</v>
      </c>
      <c r="K952" s="1" t="s">
        <v>39</v>
      </c>
      <c r="L952" s="1">
        <v>4.3</v>
      </c>
      <c r="M952" s="1">
        <v>833</v>
      </c>
      <c r="P952" t="str">
        <f t="shared" si="59"/>
        <v>60%</v>
      </c>
      <c r="Q952" s="12">
        <f t="shared" si="56"/>
        <v>0.6</v>
      </c>
      <c r="R952" s="9">
        <f t="shared" si="57"/>
        <v>679.6</v>
      </c>
      <c r="S952" s="9">
        <f>IF(R952="",AVERAGEIF(Table1[Category],Table1[[#This Row],[Category]],Table2[orignal data]),Table2[[#This Row],[orignal data]])</f>
        <v>679.6</v>
      </c>
      <c r="T952" t="str">
        <f t="shared" si="58"/>
        <v>UNIQUE</v>
      </c>
      <c r="U952" t="str">
        <f>IF(ISBLANK(Table1[[#This Row],[SizeOption]]),"NOT AVAILABLE",Table1[[#This Row],[SizeOption]])</f>
        <v>S, M, L, XL, XXL</v>
      </c>
      <c r="Y952" t="str">
        <f>IF(Table2[[#This Row],[Column1]]&gt;50%,"HIGH DISCOUNT","LOW DISCOUNT")</f>
        <v>HIGH DISCOUNT</v>
      </c>
    </row>
    <row r="953" spans="1:25" x14ac:dyDescent="0.25">
      <c r="A953" s="2" t="s">
        <v>2196</v>
      </c>
      <c r="B953" s="2">
        <v>10986386</v>
      </c>
      <c r="C953" s="2" t="s">
        <v>47</v>
      </c>
      <c r="D953" s="2" t="s">
        <v>197</v>
      </c>
      <c r="E953" s="2" t="s">
        <v>198</v>
      </c>
      <c r="F953" s="2" t="s">
        <v>17</v>
      </c>
      <c r="G953" s="2" t="s">
        <v>2197</v>
      </c>
      <c r="H953">
        <v>199</v>
      </c>
      <c r="I953" s="2">
        <v>499</v>
      </c>
      <c r="J953" s="2" t="s">
        <v>141</v>
      </c>
      <c r="K953" s="2" t="s">
        <v>164</v>
      </c>
      <c r="L953" s="2">
        <v>4.4000000000000004</v>
      </c>
      <c r="M953" s="2">
        <v>833</v>
      </c>
      <c r="P953" t="str">
        <f t="shared" si="59"/>
        <v>60%</v>
      </c>
      <c r="Q953" s="12">
        <f t="shared" si="56"/>
        <v>0.6</v>
      </c>
      <c r="R953" s="9">
        <f t="shared" si="57"/>
        <v>199.60000000000002</v>
      </c>
      <c r="S953" s="9">
        <f>IF(R953="",AVERAGEIF(Table1[Category],Table1[[#This Row],[Category]],Table2[orignal data]),Table2[[#This Row],[orignal data]])</f>
        <v>199.60000000000002</v>
      </c>
      <c r="T953" t="str">
        <f t="shared" si="58"/>
        <v>UNIQUE</v>
      </c>
      <c r="U953" t="str">
        <f>IF(ISBLANK(Table1[[#This Row],[SizeOption]]),"NOT AVAILABLE",Table1[[#This Row],[SizeOption]])</f>
        <v>Onesize</v>
      </c>
      <c r="Y953" t="str">
        <f>IF(Table2[[#This Row],[Column1]]&gt;50%,"HIGH DISCOUNT","LOW DISCOUNT")</f>
        <v>HIGH DISCOUNT</v>
      </c>
    </row>
    <row r="954" spans="1:25" x14ac:dyDescent="0.25">
      <c r="A954" s="1" t="s">
        <v>2198</v>
      </c>
      <c r="B954" s="1">
        <v>14879588</v>
      </c>
      <c r="C954" s="1" t="s">
        <v>837</v>
      </c>
      <c r="D954" s="1" t="s">
        <v>76</v>
      </c>
      <c r="E954" s="1" t="s">
        <v>320</v>
      </c>
      <c r="F954" s="1" t="s">
        <v>36</v>
      </c>
      <c r="G954" s="1" t="s">
        <v>2199</v>
      </c>
      <c r="H954">
        <v>749</v>
      </c>
      <c r="I954" s="1">
        <v>2998</v>
      </c>
      <c r="J954" s="1" t="s">
        <v>109</v>
      </c>
      <c r="K954" s="1" t="s">
        <v>164</v>
      </c>
      <c r="L954" s="1">
        <v>4.0999999999999996</v>
      </c>
      <c r="M954" s="1">
        <v>833</v>
      </c>
      <c r="P954" t="str">
        <f t="shared" si="59"/>
        <v>75%</v>
      </c>
      <c r="Q954" s="12">
        <f t="shared" si="56"/>
        <v>0.75</v>
      </c>
      <c r="R954" s="9">
        <f t="shared" si="57"/>
        <v>749.5</v>
      </c>
      <c r="S954" s="9">
        <f>IF(R954="",AVERAGEIF(Table1[Category],Table1[[#This Row],[Category]],Table2[orignal data]),Table2[[#This Row],[orignal data]])</f>
        <v>749.5</v>
      </c>
      <c r="T954" t="str">
        <f t="shared" si="58"/>
        <v>UNIQUE</v>
      </c>
      <c r="U954" t="str">
        <f>IF(ISBLANK(Table1[[#This Row],[SizeOption]]),"NOT AVAILABLE",Table1[[#This Row],[SizeOption]])</f>
        <v>Onesize</v>
      </c>
      <c r="Y954" t="str">
        <f>IF(Table2[[#This Row],[Column1]]&gt;50%,"HIGH DISCOUNT","LOW DISCOUNT")</f>
        <v>HIGH DISCOUNT</v>
      </c>
    </row>
    <row r="955" spans="1:25" x14ac:dyDescent="0.25">
      <c r="A955" s="2" t="s">
        <v>2200</v>
      </c>
      <c r="B955" s="2">
        <v>14489524</v>
      </c>
      <c r="C955" s="2" t="s">
        <v>277</v>
      </c>
      <c r="D955" s="2" t="s">
        <v>76</v>
      </c>
      <c r="E955" s="2" t="s">
        <v>93</v>
      </c>
      <c r="F955" s="2" t="s">
        <v>36</v>
      </c>
      <c r="G955" s="2" t="s">
        <v>2201</v>
      </c>
      <c r="H955">
        <v>1295</v>
      </c>
      <c r="I955" s="2">
        <v>3599</v>
      </c>
      <c r="J955" s="2" t="s">
        <v>416</v>
      </c>
      <c r="K955" s="2" t="s">
        <v>39</v>
      </c>
      <c r="L955" s="2">
        <v>3.9</v>
      </c>
      <c r="M955" s="2">
        <v>833</v>
      </c>
      <c r="P955" t="str">
        <f t="shared" si="59"/>
        <v>64%</v>
      </c>
      <c r="Q955" s="12">
        <f t="shared" si="56"/>
        <v>0.64</v>
      </c>
      <c r="R955" s="9">
        <f t="shared" si="57"/>
        <v>1295.6399999999999</v>
      </c>
      <c r="S955" s="9">
        <f>IF(R955="",AVERAGEIF(Table1[Category],Table1[[#This Row],[Category]],Table2[orignal data]),Table2[[#This Row],[orignal data]])</f>
        <v>1295.6399999999999</v>
      </c>
      <c r="T955" t="str">
        <f t="shared" si="58"/>
        <v>UNIQUE</v>
      </c>
      <c r="U955" t="str">
        <f>IF(ISBLANK(Table1[[#This Row],[SizeOption]]),"NOT AVAILABLE",Table1[[#This Row],[SizeOption]])</f>
        <v>S, M, L, XL, XXL</v>
      </c>
      <c r="Y955" t="str">
        <f>IF(Table2[[#This Row],[Column1]]&gt;50%,"HIGH DISCOUNT","LOW DISCOUNT")</f>
        <v>HIGH DISCOUNT</v>
      </c>
    </row>
    <row r="956" spans="1:25" x14ac:dyDescent="0.25">
      <c r="A956" s="1" t="s">
        <v>2202</v>
      </c>
      <c r="B956" s="1">
        <v>13961906</v>
      </c>
      <c r="C956" s="1" t="s">
        <v>517</v>
      </c>
      <c r="D956" s="1" t="s">
        <v>15</v>
      </c>
      <c r="E956" s="1" t="s">
        <v>23</v>
      </c>
      <c r="F956" s="1" t="s">
        <v>17</v>
      </c>
      <c r="G956" s="1" t="s">
        <v>2203</v>
      </c>
      <c r="H956">
        <v>659</v>
      </c>
      <c r="I956" s="1">
        <v>1499</v>
      </c>
      <c r="J956" s="1" t="s">
        <v>1204</v>
      </c>
      <c r="K956" s="1" t="s">
        <v>26</v>
      </c>
      <c r="L956" s="1">
        <v>4.0999999999999996</v>
      </c>
      <c r="M956" s="1">
        <v>832</v>
      </c>
      <c r="P956" t="str">
        <f t="shared" si="59"/>
        <v>56%</v>
      </c>
      <c r="Q956" s="12">
        <f t="shared" si="56"/>
        <v>0.56000000000000005</v>
      </c>
      <c r="R956" s="9">
        <f t="shared" si="57"/>
        <v>659.56</v>
      </c>
      <c r="S956" s="9">
        <f>IF(R956="",AVERAGEIF(Table1[Category],Table1[[#This Row],[Category]],Table2[orignal data]),Table2[[#This Row],[orignal data]])</f>
        <v>659.56</v>
      </c>
      <c r="T956" t="str">
        <f t="shared" si="58"/>
        <v>UNIQUE</v>
      </c>
      <c r="U956" t="str">
        <f>IF(ISBLANK(Table1[[#This Row],[SizeOption]]),"NOT AVAILABLE",Table1[[#This Row],[SizeOption]])</f>
        <v>S, M, L, XL</v>
      </c>
      <c r="Y956" t="str">
        <f>IF(Table2[[#This Row],[Column1]]&gt;50%,"HIGH DISCOUNT","LOW DISCOUNT")</f>
        <v>HIGH DISCOUNT</v>
      </c>
    </row>
    <row r="957" spans="1:25" x14ac:dyDescent="0.25">
      <c r="A957" s="2" t="s">
        <v>2204</v>
      </c>
      <c r="B957" s="2">
        <v>10384141</v>
      </c>
      <c r="C957" s="2" t="s">
        <v>271</v>
      </c>
      <c r="D957" s="2" t="s">
        <v>76</v>
      </c>
      <c r="E957" s="2" t="s">
        <v>93</v>
      </c>
      <c r="F957" s="2" t="s">
        <v>17</v>
      </c>
      <c r="G957" s="2" t="s">
        <v>2205</v>
      </c>
      <c r="H957">
        <v>1149</v>
      </c>
      <c r="I957" s="2">
        <v>2299</v>
      </c>
      <c r="J957" s="2" t="s">
        <v>84</v>
      </c>
      <c r="K957" s="2" t="s">
        <v>39</v>
      </c>
      <c r="L957" s="2">
        <v>4.3</v>
      </c>
      <c r="M957" s="2">
        <v>832</v>
      </c>
      <c r="P957" t="str">
        <f t="shared" si="59"/>
        <v>50%</v>
      </c>
      <c r="Q957" s="12">
        <f t="shared" si="56"/>
        <v>0.5</v>
      </c>
      <c r="R957" s="9">
        <f t="shared" si="57"/>
        <v>1149.5</v>
      </c>
      <c r="S957" s="9">
        <f>IF(R957="",AVERAGEIF(Table1[Category],Table1[[#This Row],[Category]],Table2[orignal data]),Table2[[#This Row],[orignal data]])</f>
        <v>1149.5</v>
      </c>
      <c r="T957" t="str">
        <f t="shared" si="58"/>
        <v>UNIQUE</v>
      </c>
      <c r="U957" t="str">
        <f>IF(ISBLANK(Table1[[#This Row],[SizeOption]]),"NOT AVAILABLE",Table1[[#This Row],[SizeOption]])</f>
        <v>S, M, L, XL, XXL</v>
      </c>
      <c r="Y957" t="str">
        <f>IF(Table2[[#This Row],[Column1]]&gt;50%,"HIGH DISCOUNT","LOW DISCOUNT")</f>
        <v>LOW DISCOUNT</v>
      </c>
    </row>
    <row r="958" spans="1:25" x14ac:dyDescent="0.25">
      <c r="A958" s="1" t="s">
        <v>2206</v>
      </c>
      <c r="B958" s="1">
        <v>2339460</v>
      </c>
      <c r="C958" s="1" t="s">
        <v>169</v>
      </c>
      <c r="D958" s="1" t="s">
        <v>28</v>
      </c>
      <c r="E958" s="1" t="s">
        <v>42</v>
      </c>
      <c r="F958" s="1" t="s">
        <v>17</v>
      </c>
      <c r="G958" s="1" t="s">
        <v>2207</v>
      </c>
      <c r="H958">
        <v>699</v>
      </c>
      <c r="I958" s="1">
        <v>1399</v>
      </c>
      <c r="J958" s="1" t="s">
        <v>84</v>
      </c>
      <c r="K958" s="1" t="s">
        <v>39</v>
      </c>
      <c r="L958" s="1">
        <v>4</v>
      </c>
      <c r="M958" s="1">
        <v>832</v>
      </c>
      <c r="P958" t="str">
        <f t="shared" si="59"/>
        <v>50%</v>
      </c>
      <c r="Q958" s="12">
        <f t="shared" si="56"/>
        <v>0.5</v>
      </c>
      <c r="R958" s="9">
        <f t="shared" si="57"/>
        <v>699.5</v>
      </c>
      <c r="S958" s="9">
        <f>IF(R958="",AVERAGEIF(Table1[Category],Table1[[#This Row],[Category]],Table2[orignal data]),Table2[[#This Row],[orignal data]])</f>
        <v>699.5</v>
      </c>
      <c r="T958" t="str">
        <f t="shared" si="58"/>
        <v>UNIQUE</v>
      </c>
      <c r="U958" t="str">
        <f>IF(ISBLANK(Table1[[#This Row],[SizeOption]]),"NOT AVAILABLE",Table1[[#This Row],[SizeOption]])</f>
        <v>S, M, L, XL, XXL</v>
      </c>
      <c r="Y958" t="str">
        <f>IF(Table2[[#This Row],[Column1]]&gt;50%,"HIGH DISCOUNT","LOW DISCOUNT")</f>
        <v>LOW DISCOUNT</v>
      </c>
    </row>
    <row r="959" spans="1:25" x14ac:dyDescent="0.25">
      <c r="A959" s="2" t="s">
        <v>2208</v>
      </c>
      <c r="B959" s="2">
        <v>9072709</v>
      </c>
      <c r="C959" s="2" t="s">
        <v>201</v>
      </c>
      <c r="D959" s="2" t="s">
        <v>98</v>
      </c>
      <c r="E959" s="2" t="s">
        <v>16</v>
      </c>
      <c r="F959" s="2" t="s">
        <v>36</v>
      </c>
      <c r="G959" s="2" t="s">
        <v>2209</v>
      </c>
      <c r="H959">
        <v>999</v>
      </c>
      <c r="I959" s="2">
        <v>1999</v>
      </c>
      <c r="J959" s="2" t="s">
        <v>84</v>
      </c>
      <c r="K959" s="2" t="s">
        <v>643</v>
      </c>
      <c r="L959" s="2">
        <v>4.3</v>
      </c>
      <c r="M959" s="2">
        <v>832</v>
      </c>
      <c r="P959" t="str">
        <f t="shared" si="59"/>
        <v>50%</v>
      </c>
      <c r="Q959" s="12">
        <f t="shared" si="56"/>
        <v>0.5</v>
      </c>
      <c r="R959" s="9">
        <f t="shared" si="57"/>
        <v>999.5</v>
      </c>
      <c r="S959" s="9">
        <f>IF(R959="",AVERAGEIF(Table1[Category],Table1[[#This Row],[Category]],Table2[orignal data]),Table2[[#This Row],[orignal data]])</f>
        <v>999.5</v>
      </c>
      <c r="T959" t="str">
        <f t="shared" si="58"/>
        <v>UNIQUE</v>
      </c>
      <c r="U959" t="str">
        <f>IF(ISBLANK(Table1[[#This Row],[SizeOption]]),"NOT AVAILABLE",Table1[[#This Row],[SizeOption]])</f>
        <v>26, 28, 30, 32, 34, 36, 38, 40</v>
      </c>
      <c r="Y959" t="str">
        <f>IF(Table2[[#This Row],[Column1]]&gt;50%,"HIGH DISCOUNT","LOW DISCOUNT")</f>
        <v>LOW DISCOUNT</v>
      </c>
    </row>
    <row r="960" spans="1:25" x14ac:dyDescent="0.25">
      <c r="A960" s="1" t="s">
        <v>2210</v>
      </c>
      <c r="B960" s="1">
        <v>11998924</v>
      </c>
      <c r="C960" s="1" t="s">
        <v>67</v>
      </c>
      <c r="D960" s="1" t="s">
        <v>15</v>
      </c>
      <c r="E960" s="1" t="s">
        <v>23</v>
      </c>
      <c r="F960" s="1" t="s">
        <v>17</v>
      </c>
      <c r="G960" s="1" t="s">
        <v>2211</v>
      </c>
      <c r="H960">
        <v>759</v>
      </c>
      <c r="I960" s="1">
        <v>1899</v>
      </c>
      <c r="J960" s="1" t="s">
        <v>55</v>
      </c>
      <c r="K960" s="1" t="s">
        <v>39</v>
      </c>
      <c r="L960" s="1">
        <v>4</v>
      </c>
      <c r="M960" s="1">
        <v>831</v>
      </c>
      <c r="P960" t="str">
        <f t="shared" si="59"/>
        <v>60%</v>
      </c>
      <c r="Q960" s="12">
        <f t="shared" si="56"/>
        <v>0.6</v>
      </c>
      <c r="R960" s="9">
        <f t="shared" si="57"/>
        <v>759.60000000000014</v>
      </c>
      <c r="S960" s="9">
        <f>IF(R960="",AVERAGEIF(Table1[Category],Table1[[#This Row],[Category]],Table2[orignal data]),Table2[[#This Row],[orignal data]])</f>
        <v>759.60000000000014</v>
      </c>
      <c r="T960" t="str">
        <f t="shared" si="58"/>
        <v>UNIQUE</v>
      </c>
      <c r="U960" t="str">
        <f>IF(ISBLANK(Table1[[#This Row],[SizeOption]]),"NOT AVAILABLE",Table1[[#This Row],[SizeOption]])</f>
        <v>S, M, L, XL, XXL</v>
      </c>
      <c r="Y960" t="str">
        <f>IF(Table2[[#This Row],[Column1]]&gt;50%,"HIGH DISCOUNT","LOW DISCOUNT")</f>
        <v>HIGH DISCOUNT</v>
      </c>
    </row>
    <row r="961" spans="1:25" x14ac:dyDescent="0.25">
      <c r="A961" s="2" t="s">
        <v>2212</v>
      </c>
      <c r="B961" s="2">
        <v>6825162</v>
      </c>
      <c r="C961" s="2" t="s">
        <v>545</v>
      </c>
      <c r="D961" s="2" t="s">
        <v>76</v>
      </c>
      <c r="E961" s="2" t="s">
        <v>320</v>
      </c>
      <c r="F961" s="2" t="s">
        <v>36</v>
      </c>
      <c r="G961" s="2" t="s">
        <v>2213</v>
      </c>
      <c r="H961">
        <v>1199</v>
      </c>
      <c r="I961" s="2">
        <v>3999</v>
      </c>
      <c r="J961" s="2" t="s">
        <v>79</v>
      </c>
      <c r="K961" s="2" t="s">
        <v>164</v>
      </c>
      <c r="L961" s="2">
        <v>4.3</v>
      </c>
      <c r="M961" s="2">
        <v>831</v>
      </c>
      <c r="P961" t="str">
        <f t="shared" si="59"/>
        <v>70%</v>
      </c>
      <c r="Q961" s="12">
        <f t="shared" si="56"/>
        <v>0.7</v>
      </c>
      <c r="R961" s="9">
        <f t="shared" si="57"/>
        <v>1199.7000000000003</v>
      </c>
      <c r="S961" s="9">
        <f>IF(R961="",AVERAGEIF(Table1[Category],Table1[[#This Row],[Category]],Table2[orignal data]),Table2[[#This Row],[orignal data]])</f>
        <v>1199.7000000000003</v>
      </c>
      <c r="T961" t="str">
        <f t="shared" si="58"/>
        <v>UNIQUE</v>
      </c>
      <c r="U961" t="str">
        <f>IF(ISBLANK(Table1[[#This Row],[SizeOption]]),"NOT AVAILABLE",Table1[[#This Row],[SizeOption]])</f>
        <v>Onesize</v>
      </c>
      <c r="Y961" t="str">
        <f>IF(Table2[[#This Row],[Column1]]&gt;50%,"HIGH DISCOUNT","LOW DISCOUNT")</f>
        <v>HIGH DISCOUNT</v>
      </c>
    </row>
    <row r="962" spans="1:25" x14ac:dyDescent="0.25">
      <c r="A962" s="1" t="s">
        <v>2214</v>
      </c>
      <c r="B962" s="1">
        <v>13914244</v>
      </c>
      <c r="C962" s="1" t="s">
        <v>221</v>
      </c>
      <c r="D962" s="1" t="s">
        <v>98</v>
      </c>
      <c r="E962" s="1" t="s">
        <v>148</v>
      </c>
      <c r="F962" s="1" t="s">
        <v>36</v>
      </c>
      <c r="G962" s="1" t="s">
        <v>2215</v>
      </c>
      <c r="H962">
        <v>639</v>
      </c>
      <c r="I962" s="1">
        <v>1599</v>
      </c>
      <c r="J962" s="1" t="s">
        <v>55</v>
      </c>
      <c r="K962" s="1" t="s">
        <v>223</v>
      </c>
      <c r="L962" s="1">
        <v>3.9</v>
      </c>
      <c r="M962" s="1">
        <v>831</v>
      </c>
      <c r="P962" t="str">
        <f t="shared" si="59"/>
        <v>60%</v>
      </c>
      <c r="Q962" s="12">
        <f t="shared" ref="Q962:Q1025" si="60">IF(P962="","",IF(ISNUMBER(SEARCH("%",P962)),P962,P962/I962)*100%)</f>
        <v>0.6</v>
      </c>
      <c r="R962" s="9">
        <f t="shared" ref="R962:R1025" si="61">IF(P962="","",I962-(I962*Q962))</f>
        <v>639.6</v>
      </c>
      <c r="S962" s="9">
        <f>IF(R962="",AVERAGEIF(Table1[Category],Table1[[#This Row],[Category]],Table2[orignal data]),Table2[[#This Row],[orignal data]])</f>
        <v>639.6</v>
      </c>
      <c r="T962" t="str">
        <f t="shared" ref="T962:T1025" si="62">IF(COUNTIF($B$2:$B$5000,B962)&gt;1,"DUPLICATE","UNIQUE")</f>
        <v>UNIQUE</v>
      </c>
      <c r="U962" t="str">
        <f>IF(ISBLANK(Table1[[#This Row],[SizeOption]]),"NOT AVAILABLE",Table1[[#This Row],[SizeOption]])</f>
        <v>S, M, L, XL, XXL, 3XL, 4XL</v>
      </c>
      <c r="Y962" t="str">
        <f>IF(Table2[[#This Row],[Column1]]&gt;50%,"HIGH DISCOUNT","LOW DISCOUNT")</f>
        <v>HIGH DISCOUNT</v>
      </c>
    </row>
    <row r="963" spans="1:25" x14ac:dyDescent="0.25">
      <c r="A963" s="2" t="s">
        <v>2216</v>
      </c>
      <c r="B963" s="2">
        <v>17385582</v>
      </c>
      <c r="C963" s="2" t="s">
        <v>14</v>
      </c>
      <c r="D963" s="2" t="s">
        <v>41</v>
      </c>
      <c r="E963" s="2" t="s">
        <v>42</v>
      </c>
      <c r="F963" s="2" t="s">
        <v>36</v>
      </c>
      <c r="G963" s="2" t="s">
        <v>111</v>
      </c>
      <c r="I963" s="2">
        <v>1398</v>
      </c>
      <c r="J963" s="2" t="s">
        <v>84</v>
      </c>
      <c r="K963" s="2" t="s">
        <v>45</v>
      </c>
      <c r="L963" s="2">
        <v>4.0999999999999996</v>
      </c>
      <c r="M963" s="2">
        <v>831</v>
      </c>
      <c r="P963" t="str">
        <f t="shared" ref="P963:P1026" si="63">TRIM(SUBSTITUTE(SUBSTITUTE(SUBSTITUTE(SUBSTITUTE(J963,"OFF",""),"Rs.",""),"Hurry*",""),",",""))</f>
        <v>50%</v>
      </c>
      <c r="Q963" s="12">
        <f t="shared" si="60"/>
        <v>0.5</v>
      </c>
      <c r="R963" s="9">
        <f t="shared" si="61"/>
        <v>699</v>
      </c>
      <c r="S963" s="9">
        <f>IF(R963="",AVERAGEIF(Table1[Category],Table1[[#This Row],[Category]],Table2[orignal data]),Table2[[#This Row],[orignal data]])</f>
        <v>699</v>
      </c>
      <c r="T963" t="str">
        <f t="shared" si="62"/>
        <v>UNIQUE</v>
      </c>
      <c r="U963" t="str">
        <f>IF(ISBLANK(Table1[[#This Row],[SizeOption]]),"NOT AVAILABLE",Table1[[#This Row],[SizeOption]])</f>
        <v>XS, S, M, L, XL</v>
      </c>
      <c r="Y963" t="str">
        <f>IF(Table2[[#This Row],[Column1]]&gt;50%,"HIGH DISCOUNT","LOW DISCOUNT")</f>
        <v>LOW DISCOUNT</v>
      </c>
    </row>
    <row r="964" spans="1:25" x14ac:dyDescent="0.25">
      <c r="A964" s="1" t="s">
        <v>2217</v>
      </c>
      <c r="B964" s="1">
        <v>2521376</v>
      </c>
      <c r="C964" s="1" t="s">
        <v>107</v>
      </c>
      <c r="D964" s="1" t="s">
        <v>41</v>
      </c>
      <c r="E964" s="1" t="s">
        <v>29</v>
      </c>
      <c r="F964" s="1" t="s">
        <v>36</v>
      </c>
      <c r="G964" s="1" t="s">
        <v>2218</v>
      </c>
      <c r="I964" s="1">
        <v>1399</v>
      </c>
      <c r="J964" s="1" t="s">
        <v>55</v>
      </c>
      <c r="K964" s="1" t="s">
        <v>45</v>
      </c>
      <c r="L964" s="1">
        <v>4.3</v>
      </c>
      <c r="M964" s="1">
        <v>831</v>
      </c>
      <c r="P964" t="str">
        <f t="shared" si="63"/>
        <v>60%</v>
      </c>
      <c r="Q964" s="12">
        <f t="shared" si="60"/>
        <v>0.6</v>
      </c>
      <c r="R964" s="9">
        <f t="shared" si="61"/>
        <v>559.6</v>
      </c>
      <c r="S964" s="9">
        <f>IF(R964="",AVERAGEIF(Table1[Category],Table1[[#This Row],[Category]],Table2[orignal data]),Table2[[#This Row],[orignal data]])</f>
        <v>559.6</v>
      </c>
      <c r="T964" t="str">
        <f t="shared" si="62"/>
        <v>UNIQUE</v>
      </c>
      <c r="U964" t="str">
        <f>IF(ISBLANK(Table1[[#This Row],[SizeOption]]),"NOT AVAILABLE",Table1[[#This Row],[SizeOption]])</f>
        <v>XS, S, M, L, XL</v>
      </c>
      <c r="Y964" t="str">
        <f>IF(Table2[[#This Row],[Column1]]&gt;50%,"HIGH DISCOUNT","LOW DISCOUNT")</f>
        <v>HIGH DISCOUNT</v>
      </c>
    </row>
    <row r="965" spans="1:25" x14ac:dyDescent="0.25">
      <c r="A965" s="2" t="s">
        <v>2219</v>
      </c>
      <c r="B965" s="2">
        <v>2468600</v>
      </c>
      <c r="C965" s="2" t="s">
        <v>221</v>
      </c>
      <c r="D965" s="2" t="s">
        <v>41</v>
      </c>
      <c r="E965" s="2" t="s">
        <v>48</v>
      </c>
      <c r="F965" s="2" t="s">
        <v>36</v>
      </c>
      <c r="G965" s="2" t="s">
        <v>2220</v>
      </c>
      <c r="I965" s="2">
        <v>2199</v>
      </c>
      <c r="J965" s="2" t="s">
        <v>79</v>
      </c>
      <c r="K965" s="2" t="s">
        <v>223</v>
      </c>
      <c r="L965" s="2">
        <v>4</v>
      </c>
      <c r="M965" s="2">
        <v>831</v>
      </c>
      <c r="P965" t="str">
        <f t="shared" si="63"/>
        <v>70%</v>
      </c>
      <c r="Q965" s="12">
        <f t="shared" si="60"/>
        <v>0.7</v>
      </c>
      <c r="R965" s="9">
        <f t="shared" si="61"/>
        <v>659.7</v>
      </c>
      <c r="S965" s="9">
        <f>IF(R965="",AVERAGEIF(Table1[Category],Table1[[#This Row],[Category]],Table2[orignal data]),Table2[[#This Row],[orignal data]])</f>
        <v>659.7</v>
      </c>
      <c r="T965" t="str">
        <f t="shared" si="62"/>
        <v>UNIQUE</v>
      </c>
      <c r="U965" t="str">
        <f>IF(ISBLANK(Table1[[#This Row],[SizeOption]]),"NOT AVAILABLE",Table1[[#This Row],[SizeOption]])</f>
        <v>S, M, L, XL, XXL, 3XL, 4XL</v>
      </c>
      <c r="Y965" t="str">
        <f>IF(Table2[[#This Row],[Column1]]&gt;50%,"HIGH DISCOUNT","LOW DISCOUNT")</f>
        <v>HIGH DISCOUNT</v>
      </c>
    </row>
    <row r="966" spans="1:25" x14ac:dyDescent="0.25">
      <c r="A966" s="1" t="s">
        <v>2221</v>
      </c>
      <c r="B966" s="1">
        <v>8613929</v>
      </c>
      <c r="C966" s="1" t="s">
        <v>517</v>
      </c>
      <c r="D966" s="1" t="s">
        <v>197</v>
      </c>
      <c r="E966" s="1" t="s">
        <v>518</v>
      </c>
      <c r="F966" s="1" t="s">
        <v>17</v>
      </c>
      <c r="G966" s="1" t="s">
        <v>2222</v>
      </c>
      <c r="H966">
        <v>489</v>
      </c>
      <c r="I966" s="1">
        <v>999</v>
      </c>
      <c r="J966" s="1" t="s">
        <v>163</v>
      </c>
      <c r="K966" s="1" t="s">
        <v>26</v>
      </c>
      <c r="L966" s="1">
        <v>3.9</v>
      </c>
      <c r="M966" s="1">
        <v>830</v>
      </c>
      <c r="P966" t="str">
        <f t="shared" si="63"/>
        <v>51%</v>
      </c>
      <c r="Q966" s="12">
        <f t="shared" si="60"/>
        <v>0.51</v>
      </c>
      <c r="R966" s="9">
        <f t="shared" si="61"/>
        <v>489.51</v>
      </c>
      <c r="S966" s="9">
        <f>IF(R966="",AVERAGEIF(Table1[Category],Table1[[#This Row],[Category]],Table2[orignal data]),Table2[[#This Row],[orignal data]])</f>
        <v>489.51</v>
      </c>
      <c r="T966" t="str">
        <f t="shared" si="62"/>
        <v>UNIQUE</v>
      </c>
      <c r="U966" t="str">
        <f>IF(ISBLANK(Table1[[#This Row],[SizeOption]]),"NOT AVAILABLE",Table1[[#This Row],[SizeOption]])</f>
        <v>S, M, L, XL</v>
      </c>
      <c r="Y966" t="str">
        <f>IF(Table2[[#This Row],[Column1]]&gt;50%,"HIGH DISCOUNT","LOW DISCOUNT")</f>
        <v>HIGH DISCOUNT</v>
      </c>
    </row>
    <row r="967" spans="1:25" x14ac:dyDescent="0.25">
      <c r="A967" s="2" t="s">
        <v>2223</v>
      </c>
      <c r="B967" s="2">
        <v>10740920</v>
      </c>
      <c r="C967" s="2" t="s">
        <v>14</v>
      </c>
      <c r="D967" s="2" t="s">
        <v>28</v>
      </c>
      <c r="E967" s="2" t="s">
        <v>29</v>
      </c>
      <c r="F967" s="2" t="s">
        <v>17</v>
      </c>
      <c r="G967" s="2" t="s">
        <v>2224</v>
      </c>
      <c r="I967" s="2">
        <v>1499</v>
      </c>
      <c r="J967" s="2"/>
      <c r="K967" s="2" t="s">
        <v>31</v>
      </c>
      <c r="L967" s="2">
        <v>4.2</v>
      </c>
      <c r="M967" s="2">
        <v>830</v>
      </c>
      <c r="P967" t="str">
        <f t="shared" si="63"/>
        <v/>
      </c>
      <c r="Q967" s="12" t="str">
        <f t="shared" si="60"/>
        <v/>
      </c>
      <c r="R967" s="9" t="str">
        <f t="shared" si="61"/>
        <v/>
      </c>
      <c r="S967" s="9">
        <f>IF(R967="",AVERAGEIF(Table1[Category],Table1[[#This Row],[Category]],Table2[orignal data]),Table2[[#This Row],[orignal data]])</f>
        <v>671.7823941958867</v>
      </c>
      <c r="T967" t="str">
        <f t="shared" si="62"/>
        <v>UNIQUE</v>
      </c>
      <c r="U967" t="str">
        <f>IF(ISBLANK(Table1[[#This Row],[SizeOption]]),"NOT AVAILABLE",Table1[[#This Row],[SizeOption]])</f>
        <v>38, 40, 42, 44, 46, 48</v>
      </c>
      <c r="Y967" t="str">
        <f>IF(Table2[[#This Row],[Column1]]&gt;50%,"HIGH DISCOUNT","LOW DISCOUNT")</f>
        <v>HIGH DISCOUNT</v>
      </c>
    </row>
    <row r="968" spans="1:25" x14ac:dyDescent="0.25">
      <c r="A968" s="1" t="s">
        <v>2225</v>
      </c>
      <c r="B968" s="1">
        <v>762418</v>
      </c>
      <c r="C968" s="1" t="s">
        <v>762</v>
      </c>
      <c r="D968" s="1" t="s">
        <v>34</v>
      </c>
      <c r="E968" s="1" t="s">
        <v>118</v>
      </c>
      <c r="F968" s="1" t="s">
        <v>36</v>
      </c>
      <c r="G968" s="1" t="s">
        <v>2226</v>
      </c>
      <c r="H968">
        <v>844</v>
      </c>
      <c r="I968" s="1">
        <v>938</v>
      </c>
      <c r="J968" s="1" t="s">
        <v>1005</v>
      </c>
      <c r="K968" s="1" t="s">
        <v>2227</v>
      </c>
      <c r="L968" s="1">
        <v>4.2</v>
      </c>
      <c r="M968" s="1">
        <v>830</v>
      </c>
      <c r="P968" t="str">
        <f t="shared" si="63"/>
        <v>10%</v>
      </c>
      <c r="Q968" s="12">
        <f t="shared" si="60"/>
        <v>0.1</v>
      </c>
      <c r="R968" s="9">
        <f t="shared" si="61"/>
        <v>844.2</v>
      </c>
      <c r="S968" s="9">
        <f>IF(R968="",AVERAGEIF(Table1[Category],Table1[[#This Row],[Category]],Table2[orignal data]),Table2[[#This Row],[orignal data]])</f>
        <v>844.2</v>
      </c>
      <c r="T968" t="str">
        <f t="shared" si="62"/>
        <v>UNIQUE</v>
      </c>
      <c r="U968" t="str">
        <f>IF(ISBLANK(Table1[[#This Row],[SizeOption]]),"NOT AVAILABLE",Table1[[#This Row],[SizeOption]])</f>
        <v>32B, 34B, 36B, 38B, 40B</v>
      </c>
      <c r="Y968" t="str">
        <f>IF(Table2[[#This Row],[Column1]]&gt;50%,"HIGH DISCOUNT","LOW DISCOUNT")</f>
        <v>LOW DISCOUNT</v>
      </c>
    </row>
    <row r="969" spans="1:25" x14ac:dyDescent="0.25">
      <c r="A969" s="2" t="s">
        <v>2228</v>
      </c>
      <c r="B969" s="2">
        <v>12530340</v>
      </c>
      <c r="C969" s="2" t="s">
        <v>64</v>
      </c>
      <c r="D969" s="2" t="s">
        <v>98</v>
      </c>
      <c r="E969" s="2" t="s">
        <v>93</v>
      </c>
      <c r="F969" s="2" t="s">
        <v>36</v>
      </c>
      <c r="G969" s="2" t="s">
        <v>2229</v>
      </c>
      <c r="H969">
        <v>389</v>
      </c>
      <c r="I969" s="2">
        <v>1299</v>
      </c>
      <c r="J969" s="2" t="s">
        <v>1566</v>
      </c>
      <c r="K969" s="2" t="s">
        <v>100</v>
      </c>
      <c r="L969" s="2">
        <v>4</v>
      </c>
      <c r="M969" s="2">
        <v>830</v>
      </c>
      <c r="P969" t="str">
        <f t="shared" si="63"/>
        <v>70%</v>
      </c>
      <c r="Q969" s="12">
        <f t="shared" si="60"/>
        <v>0.7</v>
      </c>
      <c r="R969" s="9">
        <f t="shared" si="61"/>
        <v>389.70000000000005</v>
      </c>
      <c r="S969" s="9">
        <f>IF(R969="",AVERAGEIF(Table1[Category],Table1[[#This Row],[Category]],Table2[orignal data]),Table2[[#This Row],[orignal data]])</f>
        <v>389.70000000000005</v>
      </c>
      <c r="T969" t="str">
        <f t="shared" si="62"/>
        <v>UNIQUE</v>
      </c>
      <c r="U969" t="str">
        <f>IF(ISBLANK(Table1[[#This Row],[SizeOption]]),"NOT AVAILABLE",Table1[[#This Row],[SizeOption]])</f>
        <v>XS, S, M, L, XL, XXL, 3XL</v>
      </c>
      <c r="Y969" t="str">
        <f>IF(Table2[[#This Row],[Column1]]&gt;50%,"HIGH DISCOUNT","LOW DISCOUNT")</f>
        <v>HIGH DISCOUNT</v>
      </c>
    </row>
    <row r="970" spans="1:25" x14ac:dyDescent="0.25">
      <c r="A970" s="1" t="s">
        <v>2230</v>
      </c>
      <c r="B970" s="1">
        <v>11991302</v>
      </c>
      <c r="C970" s="1" t="s">
        <v>14</v>
      </c>
      <c r="D970" s="1" t="s">
        <v>41</v>
      </c>
      <c r="E970" s="1" t="s">
        <v>306</v>
      </c>
      <c r="F970" s="1" t="s">
        <v>36</v>
      </c>
      <c r="G970" s="1" t="s">
        <v>1429</v>
      </c>
      <c r="I970" s="1">
        <v>1199</v>
      </c>
      <c r="J970" s="1" t="s">
        <v>150</v>
      </c>
      <c r="K970" s="1" t="s">
        <v>115</v>
      </c>
      <c r="L970" s="1">
        <v>4.3</v>
      </c>
      <c r="M970" s="1">
        <v>830</v>
      </c>
      <c r="P970" t="str">
        <f t="shared" si="63"/>
        <v>65%</v>
      </c>
      <c r="Q970" s="12">
        <f t="shared" si="60"/>
        <v>0.65</v>
      </c>
      <c r="R970" s="9">
        <f t="shared" si="61"/>
        <v>419.65</v>
      </c>
      <c r="S970" s="9">
        <f>IF(R970="",AVERAGEIF(Table1[Category],Table1[[#This Row],[Category]],Table2[orignal data]),Table2[[#This Row],[orignal data]])</f>
        <v>419.65</v>
      </c>
      <c r="T970" t="str">
        <f t="shared" si="62"/>
        <v>UNIQUE</v>
      </c>
      <c r="U970" t="str">
        <f>IF(ISBLANK(Table1[[#This Row],[SizeOption]]),"NOT AVAILABLE",Table1[[#This Row],[SizeOption]])</f>
        <v>XS, S, M, L, XL, XXL</v>
      </c>
      <c r="Y970" t="str">
        <f>IF(Table2[[#This Row],[Column1]]&gt;50%,"HIGH DISCOUNT","LOW DISCOUNT")</f>
        <v>HIGH DISCOUNT</v>
      </c>
    </row>
    <row r="971" spans="1:25" x14ac:dyDescent="0.25">
      <c r="A971" s="2" t="s">
        <v>2231</v>
      </c>
      <c r="B971" s="2">
        <v>17384818</v>
      </c>
      <c r="C971" s="2" t="s">
        <v>14</v>
      </c>
      <c r="D971" s="2" t="s">
        <v>41</v>
      </c>
      <c r="E971" s="2" t="s">
        <v>42</v>
      </c>
      <c r="F971" s="2" t="s">
        <v>36</v>
      </c>
      <c r="G971" s="2" t="s">
        <v>1405</v>
      </c>
      <c r="I971" s="2">
        <v>1398</v>
      </c>
      <c r="J971" s="2" t="s">
        <v>84</v>
      </c>
      <c r="K971" s="2" t="s">
        <v>45</v>
      </c>
      <c r="L971" s="2">
        <v>4.3</v>
      </c>
      <c r="M971" s="2">
        <v>830</v>
      </c>
      <c r="P971" t="str">
        <f t="shared" si="63"/>
        <v>50%</v>
      </c>
      <c r="Q971" s="12">
        <f t="shared" si="60"/>
        <v>0.5</v>
      </c>
      <c r="R971" s="9">
        <f t="shared" si="61"/>
        <v>699</v>
      </c>
      <c r="S971" s="9">
        <f>IF(R971="",AVERAGEIF(Table1[Category],Table1[[#This Row],[Category]],Table2[orignal data]),Table2[[#This Row],[orignal data]])</f>
        <v>699</v>
      </c>
      <c r="T971" t="str">
        <f t="shared" si="62"/>
        <v>UNIQUE</v>
      </c>
      <c r="U971" t="str">
        <f>IF(ISBLANK(Table1[[#This Row],[SizeOption]]),"NOT AVAILABLE",Table1[[#This Row],[SizeOption]])</f>
        <v>XS, S, M, L, XL</v>
      </c>
      <c r="Y971" t="str">
        <f>IF(Table2[[#This Row],[Column1]]&gt;50%,"HIGH DISCOUNT","LOW DISCOUNT")</f>
        <v>LOW DISCOUNT</v>
      </c>
    </row>
    <row r="972" spans="1:25" x14ac:dyDescent="0.25">
      <c r="A972" s="1" t="s">
        <v>2232</v>
      </c>
      <c r="B972" s="1">
        <v>1731802</v>
      </c>
      <c r="C972" s="1" t="s">
        <v>573</v>
      </c>
      <c r="D972" s="1" t="s">
        <v>41</v>
      </c>
      <c r="E972" s="1" t="s">
        <v>48</v>
      </c>
      <c r="F972" s="1" t="s">
        <v>36</v>
      </c>
      <c r="G972" s="1" t="s">
        <v>2233</v>
      </c>
      <c r="I972" s="1">
        <v>1499</v>
      </c>
      <c r="J972" s="1" t="s">
        <v>55</v>
      </c>
      <c r="K972" s="1" t="s">
        <v>45</v>
      </c>
      <c r="L972" s="1">
        <v>4</v>
      </c>
      <c r="M972" s="1">
        <v>830</v>
      </c>
      <c r="P972" t="str">
        <f t="shared" si="63"/>
        <v>60%</v>
      </c>
      <c r="Q972" s="12">
        <f t="shared" si="60"/>
        <v>0.6</v>
      </c>
      <c r="R972" s="9">
        <f t="shared" si="61"/>
        <v>599.6</v>
      </c>
      <c r="S972" s="9">
        <f>IF(R972="",AVERAGEIF(Table1[Category],Table1[[#This Row],[Category]],Table2[orignal data]),Table2[[#This Row],[orignal data]])</f>
        <v>599.6</v>
      </c>
      <c r="T972" t="str">
        <f t="shared" si="62"/>
        <v>UNIQUE</v>
      </c>
      <c r="U972" t="str">
        <f>IF(ISBLANK(Table1[[#This Row],[SizeOption]]),"NOT AVAILABLE",Table1[[#This Row],[SizeOption]])</f>
        <v>XS, S, M, L, XL</v>
      </c>
      <c r="Y972" t="str">
        <f>IF(Table2[[#This Row],[Column1]]&gt;50%,"HIGH DISCOUNT","LOW DISCOUNT")</f>
        <v>HIGH DISCOUNT</v>
      </c>
    </row>
    <row r="973" spans="1:25" x14ac:dyDescent="0.25">
      <c r="A973" s="2" t="s">
        <v>2234</v>
      </c>
      <c r="B973" s="2">
        <v>17524582</v>
      </c>
      <c r="C973" s="2" t="s">
        <v>47</v>
      </c>
      <c r="D973" s="2" t="s">
        <v>41</v>
      </c>
      <c r="E973" s="2" t="s">
        <v>42</v>
      </c>
      <c r="F973" s="2" t="s">
        <v>36</v>
      </c>
      <c r="G973" s="2" t="s">
        <v>1316</v>
      </c>
      <c r="I973" s="2">
        <v>1598</v>
      </c>
      <c r="J973" s="2" t="s">
        <v>84</v>
      </c>
      <c r="K973" s="2" t="s">
        <v>146</v>
      </c>
      <c r="L973" s="2">
        <v>4.2</v>
      </c>
      <c r="M973" s="2">
        <v>830</v>
      </c>
      <c r="P973" t="str">
        <f t="shared" si="63"/>
        <v>50%</v>
      </c>
      <c r="Q973" s="12">
        <f t="shared" si="60"/>
        <v>0.5</v>
      </c>
      <c r="R973" s="9">
        <f t="shared" si="61"/>
        <v>799</v>
      </c>
      <c r="S973" s="9">
        <f>IF(R973="",AVERAGEIF(Table1[Category],Table1[[#This Row],[Category]],Table2[orignal data]),Table2[[#This Row],[orignal data]])</f>
        <v>799</v>
      </c>
      <c r="T973" t="str">
        <f t="shared" si="62"/>
        <v>UNIQUE</v>
      </c>
      <c r="U973" t="str">
        <f>IF(ISBLANK(Table1[[#This Row],[SizeOption]]),"NOT AVAILABLE",Table1[[#This Row],[SizeOption]])</f>
        <v>L, M, S, XS, XL</v>
      </c>
      <c r="Y973" t="str">
        <f>IF(Table2[[#This Row],[Column1]]&gt;50%,"HIGH DISCOUNT","LOW DISCOUNT")</f>
        <v>LOW DISCOUNT</v>
      </c>
    </row>
    <row r="974" spans="1:25" x14ac:dyDescent="0.25">
      <c r="A974" s="1" t="s">
        <v>2235</v>
      </c>
      <c r="B974" s="1">
        <v>17382864</v>
      </c>
      <c r="C974" s="1" t="s">
        <v>14</v>
      </c>
      <c r="D974" s="1" t="s">
        <v>41</v>
      </c>
      <c r="E974" s="1" t="s">
        <v>42</v>
      </c>
      <c r="F974" s="1" t="s">
        <v>36</v>
      </c>
      <c r="G974" s="1" t="s">
        <v>2236</v>
      </c>
      <c r="I974" s="1">
        <v>1598</v>
      </c>
      <c r="J974" s="1" t="s">
        <v>84</v>
      </c>
      <c r="K974" s="1" t="s">
        <v>146</v>
      </c>
      <c r="L974" s="1">
        <v>4.3</v>
      </c>
      <c r="M974" s="1">
        <v>830</v>
      </c>
      <c r="P974" t="str">
        <f t="shared" si="63"/>
        <v>50%</v>
      </c>
      <c r="Q974" s="12">
        <f t="shared" si="60"/>
        <v>0.5</v>
      </c>
      <c r="R974" s="9">
        <f t="shared" si="61"/>
        <v>799</v>
      </c>
      <c r="S974" s="9">
        <f>IF(R974="",AVERAGEIF(Table1[Category],Table1[[#This Row],[Category]],Table2[orignal data]),Table2[[#This Row],[orignal data]])</f>
        <v>799</v>
      </c>
      <c r="T974" t="str">
        <f t="shared" si="62"/>
        <v>UNIQUE</v>
      </c>
      <c r="U974" t="str">
        <f>IF(ISBLANK(Table1[[#This Row],[SizeOption]]),"NOT AVAILABLE",Table1[[#This Row],[SizeOption]])</f>
        <v>L, M, S, XS, XL</v>
      </c>
      <c r="Y974" t="str">
        <f>IF(Table2[[#This Row],[Column1]]&gt;50%,"HIGH DISCOUNT","LOW DISCOUNT")</f>
        <v>LOW DISCOUNT</v>
      </c>
    </row>
    <row r="975" spans="1:25" x14ac:dyDescent="0.25">
      <c r="A975" s="2" t="s">
        <v>2237</v>
      </c>
      <c r="B975" s="2">
        <v>4653850</v>
      </c>
      <c r="C975" s="2" t="s">
        <v>67</v>
      </c>
      <c r="D975" s="2" t="s">
        <v>41</v>
      </c>
      <c r="E975" s="2" t="s">
        <v>306</v>
      </c>
      <c r="F975" s="2" t="s">
        <v>36</v>
      </c>
      <c r="G975" s="2" t="s">
        <v>2238</v>
      </c>
      <c r="I975" s="2">
        <v>1999</v>
      </c>
      <c r="J975" s="2" t="s">
        <v>1986</v>
      </c>
      <c r="K975" s="2" t="s">
        <v>115</v>
      </c>
      <c r="L975" s="2">
        <v>4.3</v>
      </c>
      <c r="M975" s="2">
        <v>830</v>
      </c>
      <c r="P975" t="str">
        <f t="shared" si="63"/>
        <v>60 %</v>
      </c>
      <c r="Q975" s="12">
        <f t="shared" si="60"/>
        <v>0.6</v>
      </c>
      <c r="R975" s="9">
        <f t="shared" si="61"/>
        <v>799.60000000000014</v>
      </c>
      <c r="S975" s="9">
        <f>IF(R975="",AVERAGEIF(Table1[Category],Table1[[#This Row],[Category]],Table2[orignal data]),Table2[[#This Row],[orignal data]])</f>
        <v>799.60000000000014</v>
      </c>
      <c r="T975" t="str">
        <f t="shared" si="62"/>
        <v>UNIQUE</v>
      </c>
      <c r="U975" t="str">
        <f>IF(ISBLANK(Table1[[#This Row],[SizeOption]]),"NOT AVAILABLE",Table1[[#This Row],[SizeOption]])</f>
        <v>XS, S, M, L, XL, XXL</v>
      </c>
      <c r="Y975" t="str">
        <f>IF(Table2[[#This Row],[Column1]]&gt;50%,"HIGH DISCOUNT","LOW DISCOUNT")</f>
        <v>HIGH DISCOUNT</v>
      </c>
    </row>
    <row r="976" spans="1:25" x14ac:dyDescent="0.25">
      <c r="A976" s="1" t="s">
        <v>2239</v>
      </c>
      <c r="B976" s="1">
        <v>13594612</v>
      </c>
      <c r="C976" s="1" t="s">
        <v>14</v>
      </c>
      <c r="D976" s="1" t="s">
        <v>41</v>
      </c>
      <c r="E976" s="1" t="s">
        <v>42</v>
      </c>
      <c r="F976" s="1" t="s">
        <v>36</v>
      </c>
      <c r="G976" s="1" t="s">
        <v>2240</v>
      </c>
      <c r="I976" s="1">
        <v>499</v>
      </c>
      <c r="J976" s="1" t="s">
        <v>44</v>
      </c>
      <c r="K976" s="1" t="s">
        <v>45</v>
      </c>
      <c r="L976" s="1">
        <v>4.3</v>
      </c>
      <c r="M976" s="1">
        <v>830</v>
      </c>
      <c r="P976" t="str">
        <f t="shared" si="63"/>
        <v>35%</v>
      </c>
      <c r="Q976" s="12">
        <f t="shared" si="60"/>
        <v>0.35</v>
      </c>
      <c r="R976" s="9">
        <f t="shared" si="61"/>
        <v>324.35000000000002</v>
      </c>
      <c r="S976" s="9">
        <f>IF(R976="",AVERAGEIF(Table1[Category],Table1[[#This Row],[Category]],Table2[orignal data]),Table2[[#This Row],[orignal data]])</f>
        <v>324.35000000000002</v>
      </c>
      <c r="T976" t="str">
        <f t="shared" si="62"/>
        <v>UNIQUE</v>
      </c>
      <c r="U976" t="str">
        <f>IF(ISBLANK(Table1[[#This Row],[SizeOption]]),"NOT AVAILABLE",Table1[[#This Row],[SizeOption]])</f>
        <v>XS, S, M, L, XL</v>
      </c>
      <c r="Y976" t="str">
        <f>IF(Table2[[#This Row],[Column1]]&gt;50%,"HIGH DISCOUNT","LOW DISCOUNT")</f>
        <v>LOW DISCOUNT</v>
      </c>
    </row>
    <row r="977" spans="1:25" x14ac:dyDescent="0.25">
      <c r="A977" s="2" t="s">
        <v>2241</v>
      </c>
      <c r="B977" s="2">
        <v>11759894</v>
      </c>
      <c r="C977" s="2" t="s">
        <v>1555</v>
      </c>
      <c r="D977" s="2" t="s">
        <v>76</v>
      </c>
      <c r="E977" s="2" t="s">
        <v>365</v>
      </c>
      <c r="F977" s="2" t="s">
        <v>36</v>
      </c>
      <c r="G977" s="2" t="s">
        <v>2242</v>
      </c>
      <c r="H977">
        <v>548</v>
      </c>
      <c r="I977" s="2">
        <v>899</v>
      </c>
      <c r="J977" s="2" t="s">
        <v>1863</v>
      </c>
      <c r="K977" s="2" t="s">
        <v>1558</v>
      </c>
      <c r="L977" s="2">
        <v>4.2</v>
      </c>
      <c r="M977" s="2">
        <v>829</v>
      </c>
      <c r="P977" t="str">
        <f t="shared" si="63"/>
        <v>39%</v>
      </c>
      <c r="Q977" s="12">
        <f t="shared" si="60"/>
        <v>0.39</v>
      </c>
      <c r="R977" s="9">
        <f t="shared" si="61"/>
        <v>548.39</v>
      </c>
      <c r="S977" s="9">
        <f>IF(R977="",AVERAGEIF(Table1[Category],Table1[[#This Row],[Category]],Table2[orignal data]),Table2[[#This Row],[orignal data]])</f>
        <v>548.39</v>
      </c>
      <c r="T977" t="str">
        <f t="shared" si="62"/>
        <v>UNIQUE</v>
      </c>
      <c r="U977" t="str">
        <f>IF(ISBLANK(Table1[[#This Row],[SizeOption]]),"NOT AVAILABLE",Table1[[#This Row],[SizeOption]])</f>
        <v>XS, S, M, L, XL, XXL, 3XL, 4XL, 5XL, 6XL, 7XL, 8XL</v>
      </c>
      <c r="Y977" t="str">
        <f>IF(Table2[[#This Row],[Column1]]&gt;50%,"HIGH DISCOUNT","LOW DISCOUNT")</f>
        <v>LOW DISCOUNT</v>
      </c>
    </row>
    <row r="978" spans="1:25" x14ac:dyDescent="0.25">
      <c r="A978" s="1" t="s">
        <v>2243</v>
      </c>
      <c r="B978" s="1">
        <v>12150614</v>
      </c>
      <c r="C978" s="1" t="s">
        <v>221</v>
      </c>
      <c r="D978" s="1" t="s">
        <v>98</v>
      </c>
      <c r="E978" s="1" t="s">
        <v>48</v>
      </c>
      <c r="F978" s="1" t="s">
        <v>36</v>
      </c>
      <c r="G978" s="1" t="s">
        <v>2244</v>
      </c>
      <c r="H978">
        <v>559</v>
      </c>
      <c r="I978" s="1">
        <v>1599</v>
      </c>
      <c r="J978" s="1" t="s">
        <v>150</v>
      </c>
      <c r="K978" s="1" t="s">
        <v>223</v>
      </c>
      <c r="L978" s="1">
        <v>4.4000000000000004</v>
      </c>
      <c r="M978" s="1">
        <v>829</v>
      </c>
      <c r="P978" t="str">
        <f t="shared" si="63"/>
        <v>65%</v>
      </c>
      <c r="Q978" s="12">
        <f t="shared" si="60"/>
        <v>0.65</v>
      </c>
      <c r="R978" s="9">
        <f t="shared" si="61"/>
        <v>559.64999999999986</v>
      </c>
      <c r="S978" s="9">
        <f>IF(R978="",AVERAGEIF(Table1[Category],Table1[[#This Row],[Category]],Table2[orignal data]),Table2[[#This Row],[orignal data]])</f>
        <v>559.64999999999986</v>
      </c>
      <c r="T978" t="str">
        <f t="shared" si="62"/>
        <v>UNIQUE</v>
      </c>
      <c r="U978" t="str">
        <f>IF(ISBLANK(Table1[[#This Row],[SizeOption]]),"NOT AVAILABLE",Table1[[#This Row],[SizeOption]])</f>
        <v>S, M, L, XL, XXL, 3XL, 4XL</v>
      </c>
      <c r="Y978" t="str">
        <f>IF(Table2[[#This Row],[Column1]]&gt;50%,"HIGH DISCOUNT","LOW DISCOUNT")</f>
        <v>HIGH DISCOUNT</v>
      </c>
    </row>
    <row r="979" spans="1:25" x14ac:dyDescent="0.25">
      <c r="A979" s="2" t="s">
        <v>2245</v>
      </c>
      <c r="B979" s="2">
        <v>12150618</v>
      </c>
      <c r="C979" s="2" t="s">
        <v>221</v>
      </c>
      <c r="D979" s="2" t="s">
        <v>98</v>
      </c>
      <c r="E979" s="2" t="s">
        <v>48</v>
      </c>
      <c r="F979" s="2" t="s">
        <v>36</v>
      </c>
      <c r="G979" s="2" t="s">
        <v>2246</v>
      </c>
      <c r="H979">
        <v>607</v>
      </c>
      <c r="I979" s="2">
        <v>1599</v>
      </c>
      <c r="J979" s="2" t="s">
        <v>126</v>
      </c>
      <c r="K979" s="2" t="s">
        <v>223</v>
      </c>
      <c r="L979" s="2">
        <v>4.3</v>
      </c>
      <c r="M979" s="2">
        <v>829</v>
      </c>
      <c r="P979" t="str">
        <f t="shared" si="63"/>
        <v>62%</v>
      </c>
      <c r="Q979" s="12">
        <f t="shared" si="60"/>
        <v>0.62</v>
      </c>
      <c r="R979" s="9">
        <f t="shared" si="61"/>
        <v>607.62</v>
      </c>
      <c r="S979" s="9">
        <f>IF(R979="",AVERAGEIF(Table1[Category],Table1[[#This Row],[Category]],Table2[orignal data]),Table2[[#This Row],[orignal data]])</f>
        <v>607.62</v>
      </c>
      <c r="T979" t="str">
        <f t="shared" si="62"/>
        <v>UNIQUE</v>
      </c>
      <c r="U979" t="str">
        <f>IF(ISBLANK(Table1[[#This Row],[SizeOption]]),"NOT AVAILABLE",Table1[[#This Row],[SizeOption]])</f>
        <v>S, M, L, XL, XXL, 3XL, 4XL</v>
      </c>
      <c r="Y979" t="str">
        <f>IF(Table2[[#This Row],[Column1]]&gt;50%,"HIGH DISCOUNT","LOW DISCOUNT")</f>
        <v>HIGH DISCOUNT</v>
      </c>
    </row>
    <row r="980" spans="1:25" x14ac:dyDescent="0.25">
      <c r="A980" s="1" t="s">
        <v>2247</v>
      </c>
      <c r="B980" s="1">
        <v>12844212</v>
      </c>
      <c r="C980" s="1" t="s">
        <v>64</v>
      </c>
      <c r="D980" s="1" t="s">
        <v>98</v>
      </c>
      <c r="E980" s="1" t="s">
        <v>93</v>
      </c>
      <c r="F980" s="1" t="s">
        <v>36</v>
      </c>
      <c r="G980" s="1" t="s">
        <v>2248</v>
      </c>
      <c r="H980">
        <v>479</v>
      </c>
      <c r="I980" s="1">
        <v>1599</v>
      </c>
      <c r="J980" s="1" t="s">
        <v>1566</v>
      </c>
      <c r="K980" s="1" t="s">
        <v>100</v>
      </c>
      <c r="L980" s="1">
        <v>4</v>
      </c>
      <c r="M980" s="1">
        <v>829</v>
      </c>
      <c r="P980" t="str">
        <f t="shared" si="63"/>
        <v>70%</v>
      </c>
      <c r="Q980" s="12">
        <f t="shared" si="60"/>
        <v>0.7</v>
      </c>
      <c r="R980" s="9">
        <f t="shared" si="61"/>
        <v>479.70000000000005</v>
      </c>
      <c r="S980" s="9">
        <f>IF(R980="",AVERAGEIF(Table1[Category],Table1[[#This Row],[Category]],Table2[orignal data]),Table2[[#This Row],[orignal data]])</f>
        <v>479.70000000000005</v>
      </c>
      <c r="T980" t="str">
        <f t="shared" si="62"/>
        <v>UNIQUE</v>
      </c>
      <c r="U980" t="str">
        <f>IF(ISBLANK(Table1[[#This Row],[SizeOption]]),"NOT AVAILABLE",Table1[[#This Row],[SizeOption]])</f>
        <v>XS, S, M, L, XL, XXL, 3XL</v>
      </c>
      <c r="Y980" t="str">
        <f>IF(Table2[[#This Row],[Column1]]&gt;50%,"HIGH DISCOUNT","LOW DISCOUNT")</f>
        <v>HIGH DISCOUNT</v>
      </c>
    </row>
    <row r="981" spans="1:25" x14ac:dyDescent="0.25">
      <c r="A981" s="2" t="s">
        <v>2249</v>
      </c>
      <c r="B981" s="2">
        <v>13275212</v>
      </c>
      <c r="C981" s="2" t="s">
        <v>102</v>
      </c>
      <c r="D981" s="2" t="s">
        <v>41</v>
      </c>
      <c r="E981" s="2" t="s">
        <v>368</v>
      </c>
      <c r="F981" s="2" t="s">
        <v>36</v>
      </c>
      <c r="G981" s="2" t="s">
        <v>2250</v>
      </c>
      <c r="I981" s="2">
        <v>1549</v>
      </c>
      <c r="J981" s="2" t="s">
        <v>126</v>
      </c>
      <c r="K981" s="2" t="s">
        <v>105</v>
      </c>
      <c r="L981" s="2">
        <v>4.2</v>
      </c>
      <c r="M981" s="2">
        <v>829</v>
      </c>
      <c r="P981" t="str">
        <f t="shared" si="63"/>
        <v>62%</v>
      </c>
      <c r="Q981" s="12">
        <f t="shared" si="60"/>
        <v>0.62</v>
      </c>
      <c r="R981" s="9">
        <f t="shared" si="61"/>
        <v>588.62</v>
      </c>
      <c r="S981" s="9">
        <f>IF(R981="",AVERAGEIF(Table1[Category],Table1[[#This Row],[Category]],Table2[orignal data]),Table2[[#This Row],[orignal data]])</f>
        <v>588.62</v>
      </c>
      <c r="T981" t="str">
        <f t="shared" si="62"/>
        <v>UNIQUE</v>
      </c>
      <c r="U981" t="str">
        <f>IF(ISBLANK(Table1[[#This Row],[SizeOption]]),"NOT AVAILABLE",Table1[[#This Row],[SizeOption]])</f>
        <v>28, 30, 32, 34</v>
      </c>
      <c r="Y981" t="str">
        <f>IF(Table2[[#This Row],[Column1]]&gt;50%,"HIGH DISCOUNT","LOW DISCOUNT")</f>
        <v>HIGH DISCOUNT</v>
      </c>
    </row>
    <row r="982" spans="1:25" x14ac:dyDescent="0.25">
      <c r="A982" s="1" t="s">
        <v>2251</v>
      </c>
      <c r="B982" s="1">
        <v>11144172</v>
      </c>
      <c r="C982" s="1" t="s">
        <v>47</v>
      </c>
      <c r="D982" s="1" t="s">
        <v>41</v>
      </c>
      <c r="E982" s="1" t="s">
        <v>148</v>
      </c>
      <c r="F982" s="1" t="s">
        <v>36</v>
      </c>
      <c r="G982" s="1" t="s">
        <v>2252</v>
      </c>
      <c r="I982" s="1">
        <v>1999</v>
      </c>
      <c r="J982" s="1" t="s">
        <v>186</v>
      </c>
      <c r="K982" s="1" t="s">
        <v>45</v>
      </c>
      <c r="L982" s="1">
        <v>4.4000000000000004</v>
      </c>
      <c r="M982" s="1">
        <v>829</v>
      </c>
      <c r="P982" t="str">
        <f t="shared" si="63"/>
        <v>30%</v>
      </c>
      <c r="Q982" s="12">
        <f t="shared" si="60"/>
        <v>0.3</v>
      </c>
      <c r="R982" s="9">
        <f t="shared" si="61"/>
        <v>1399.3000000000002</v>
      </c>
      <c r="S982" s="9">
        <f>IF(R982="",AVERAGEIF(Table1[Category],Table1[[#This Row],[Category]],Table2[orignal data]),Table2[[#This Row],[orignal data]])</f>
        <v>1399.3000000000002</v>
      </c>
      <c r="T982" t="str">
        <f t="shared" si="62"/>
        <v>UNIQUE</v>
      </c>
      <c r="U982" t="str">
        <f>IF(ISBLANK(Table1[[#This Row],[SizeOption]]),"NOT AVAILABLE",Table1[[#This Row],[SizeOption]])</f>
        <v>XS, S, M, L, XL</v>
      </c>
      <c r="Y982" t="str">
        <f>IF(Table2[[#This Row],[Column1]]&gt;50%,"HIGH DISCOUNT","LOW DISCOUNT")</f>
        <v>LOW DISCOUNT</v>
      </c>
    </row>
    <row r="983" spans="1:25" x14ac:dyDescent="0.25">
      <c r="A983" s="2" t="s">
        <v>2253</v>
      </c>
      <c r="B983" s="2">
        <v>9444915</v>
      </c>
      <c r="C983" s="2" t="s">
        <v>47</v>
      </c>
      <c r="D983" s="2" t="s">
        <v>41</v>
      </c>
      <c r="E983" s="2" t="s">
        <v>16</v>
      </c>
      <c r="F983" s="2" t="s">
        <v>36</v>
      </c>
      <c r="G983" s="2" t="s">
        <v>2254</v>
      </c>
      <c r="I983" s="2">
        <v>2199</v>
      </c>
      <c r="J983" s="2" t="s">
        <v>55</v>
      </c>
      <c r="K983" s="2" t="s">
        <v>134</v>
      </c>
      <c r="L983" s="2">
        <v>3.5</v>
      </c>
      <c r="M983" s="2">
        <v>829</v>
      </c>
      <c r="P983" t="str">
        <f t="shared" si="63"/>
        <v>60%</v>
      </c>
      <c r="Q983" s="12">
        <f t="shared" si="60"/>
        <v>0.6</v>
      </c>
      <c r="R983" s="9">
        <f t="shared" si="61"/>
        <v>879.60000000000014</v>
      </c>
      <c r="S983" s="9">
        <f>IF(R983="",AVERAGEIF(Table1[Category],Table1[[#This Row],[Category]],Table2[orignal data]),Table2[[#This Row],[orignal data]])</f>
        <v>879.60000000000014</v>
      </c>
      <c r="T983" t="str">
        <f t="shared" si="62"/>
        <v>UNIQUE</v>
      </c>
      <c r="U983" t="str">
        <f>IF(ISBLANK(Table1[[#This Row],[SizeOption]]),"NOT AVAILABLE",Table1[[#This Row],[SizeOption]])</f>
        <v>26, 28, 30, 32, 34, 36</v>
      </c>
      <c r="Y983" t="str">
        <f>IF(Table2[[#This Row],[Column1]]&gt;50%,"HIGH DISCOUNT","LOW DISCOUNT")</f>
        <v>HIGH DISCOUNT</v>
      </c>
    </row>
    <row r="984" spans="1:25" x14ac:dyDescent="0.25">
      <c r="A984" s="1" t="s">
        <v>2255</v>
      </c>
      <c r="B984" s="1">
        <v>12402758</v>
      </c>
      <c r="C984" s="1" t="s">
        <v>169</v>
      </c>
      <c r="D984" s="1" t="s">
        <v>197</v>
      </c>
      <c r="E984" s="1" t="s">
        <v>198</v>
      </c>
      <c r="F984" s="1" t="s">
        <v>17</v>
      </c>
      <c r="G984" s="1" t="s">
        <v>2256</v>
      </c>
      <c r="H984">
        <v>454</v>
      </c>
      <c r="I984" s="1">
        <v>649</v>
      </c>
      <c r="J984" s="1" t="s">
        <v>186</v>
      </c>
      <c r="K984" s="1" t="s">
        <v>164</v>
      </c>
      <c r="L984" s="1">
        <v>4.5</v>
      </c>
      <c r="M984" s="1">
        <v>828</v>
      </c>
      <c r="P984" t="str">
        <f t="shared" si="63"/>
        <v>30%</v>
      </c>
      <c r="Q984" s="12">
        <f t="shared" si="60"/>
        <v>0.3</v>
      </c>
      <c r="R984" s="9">
        <f t="shared" si="61"/>
        <v>454.3</v>
      </c>
      <c r="S984" s="9">
        <f>IF(R984="",AVERAGEIF(Table1[Category],Table1[[#This Row],[Category]],Table2[orignal data]),Table2[[#This Row],[orignal data]])</f>
        <v>454.3</v>
      </c>
      <c r="T984" t="str">
        <f t="shared" si="62"/>
        <v>UNIQUE</v>
      </c>
      <c r="U984" t="str">
        <f>IF(ISBLANK(Table1[[#This Row],[SizeOption]]),"NOT AVAILABLE",Table1[[#This Row],[SizeOption]])</f>
        <v>Onesize</v>
      </c>
      <c r="Y984" t="str">
        <f>IF(Table2[[#This Row],[Column1]]&gt;50%,"HIGH DISCOUNT","LOW DISCOUNT")</f>
        <v>LOW DISCOUNT</v>
      </c>
    </row>
    <row r="985" spans="1:25" x14ac:dyDescent="0.25">
      <c r="A985" s="2" t="s">
        <v>2257</v>
      </c>
      <c r="B985" s="2">
        <v>10381423</v>
      </c>
      <c r="C985" s="2" t="s">
        <v>420</v>
      </c>
      <c r="D985" s="2" t="s">
        <v>28</v>
      </c>
      <c r="E985" s="2" t="s">
        <v>306</v>
      </c>
      <c r="F985" s="2" t="s">
        <v>17</v>
      </c>
      <c r="G985" s="2" t="s">
        <v>2258</v>
      </c>
      <c r="H985">
        <v>730</v>
      </c>
      <c r="I985" s="2">
        <v>1699</v>
      </c>
      <c r="J985" s="2" t="s">
        <v>130</v>
      </c>
      <c r="K985" s="2" t="s">
        <v>26</v>
      </c>
      <c r="L985" s="2">
        <v>4.0999999999999996</v>
      </c>
      <c r="M985" s="2">
        <v>828</v>
      </c>
      <c r="P985" t="str">
        <f t="shared" si="63"/>
        <v>57%</v>
      </c>
      <c r="Q985" s="12">
        <f t="shared" si="60"/>
        <v>0.56999999999999995</v>
      </c>
      <c r="R985" s="9">
        <f t="shared" si="61"/>
        <v>730.57</v>
      </c>
      <c r="S985" s="9">
        <f>IF(R985="",AVERAGEIF(Table1[Category],Table1[[#This Row],[Category]],Table2[orignal data]),Table2[[#This Row],[orignal data]])</f>
        <v>730.57</v>
      </c>
      <c r="T985" t="str">
        <f t="shared" si="62"/>
        <v>UNIQUE</v>
      </c>
      <c r="U985" t="str">
        <f>IF(ISBLANK(Table1[[#This Row],[SizeOption]]),"NOT AVAILABLE",Table1[[#This Row],[SizeOption]])</f>
        <v>S, M, L, XL</v>
      </c>
      <c r="Y985" t="str">
        <f>IF(Table2[[#This Row],[Column1]]&gt;50%,"HIGH DISCOUNT","LOW DISCOUNT")</f>
        <v>HIGH DISCOUNT</v>
      </c>
    </row>
    <row r="986" spans="1:25" x14ac:dyDescent="0.25">
      <c r="A986" s="1" t="s">
        <v>2259</v>
      </c>
      <c r="B986" s="1">
        <v>1729361</v>
      </c>
      <c r="C986" s="1" t="s">
        <v>169</v>
      </c>
      <c r="D986" s="1" t="s">
        <v>28</v>
      </c>
      <c r="E986" s="1" t="s">
        <v>29</v>
      </c>
      <c r="F986" s="1" t="s">
        <v>17</v>
      </c>
      <c r="G986" s="1" t="s">
        <v>2260</v>
      </c>
      <c r="H986">
        <v>1149</v>
      </c>
      <c r="I986" s="1">
        <v>2299</v>
      </c>
      <c r="J986" s="1" t="s">
        <v>84</v>
      </c>
      <c r="K986" s="1" t="s">
        <v>484</v>
      </c>
      <c r="L986" s="1">
        <v>4.0999999999999996</v>
      </c>
      <c r="M986" s="1">
        <v>828</v>
      </c>
      <c r="P986" t="str">
        <f t="shared" si="63"/>
        <v>50%</v>
      </c>
      <c r="Q986" s="12">
        <f t="shared" si="60"/>
        <v>0.5</v>
      </c>
      <c r="R986" s="9">
        <f t="shared" si="61"/>
        <v>1149.5</v>
      </c>
      <c r="S986" s="9">
        <f>IF(R986="",AVERAGEIF(Table1[Category],Table1[[#This Row],[Category]],Table2[orignal data]),Table2[[#This Row],[orignal data]])</f>
        <v>1149.5</v>
      </c>
      <c r="T986" t="str">
        <f t="shared" si="62"/>
        <v>UNIQUE</v>
      </c>
      <c r="U986" t="str">
        <f>IF(ISBLANK(Table1[[#This Row],[SizeOption]]),"NOT AVAILABLE",Table1[[#This Row],[SizeOption]])</f>
        <v>39, 40, 42, 44, 46</v>
      </c>
      <c r="Y986" t="str">
        <f>IF(Table2[[#This Row],[Column1]]&gt;50%,"HIGH DISCOUNT","LOW DISCOUNT")</f>
        <v>LOW DISCOUNT</v>
      </c>
    </row>
    <row r="987" spans="1:25" x14ac:dyDescent="0.25">
      <c r="A987" s="2" t="s">
        <v>2261</v>
      </c>
      <c r="B987" s="2">
        <v>13249428</v>
      </c>
      <c r="C987" s="2" t="s">
        <v>97</v>
      </c>
      <c r="D987" s="2" t="s">
        <v>76</v>
      </c>
      <c r="E987" s="2" t="s">
        <v>93</v>
      </c>
      <c r="F987" s="2" t="s">
        <v>36</v>
      </c>
      <c r="G987" s="2" t="s">
        <v>2262</v>
      </c>
      <c r="H987">
        <v>974</v>
      </c>
      <c r="I987" s="2">
        <v>1499</v>
      </c>
      <c r="J987" s="2" t="s">
        <v>44</v>
      </c>
      <c r="K987" s="2" t="s">
        <v>100</v>
      </c>
      <c r="L987" s="2">
        <v>3.5</v>
      </c>
      <c r="M987" s="2">
        <v>828</v>
      </c>
      <c r="P987" t="str">
        <f t="shared" si="63"/>
        <v>35%</v>
      </c>
      <c r="Q987" s="12">
        <f t="shared" si="60"/>
        <v>0.35</v>
      </c>
      <c r="R987" s="9">
        <f t="shared" si="61"/>
        <v>974.35</v>
      </c>
      <c r="S987" s="9">
        <f>IF(R987="",AVERAGEIF(Table1[Category],Table1[[#This Row],[Category]],Table2[orignal data]),Table2[[#This Row],[orignal data]])</f>
        <v>974.35</v>
      </c>
      <c r="T987" t="str">
        <f t="shared" si="62"/>
        <v>UNIQUE</v>
      </c>
      <c r="U987" t="str">
        <f>IF(ISBLANK(Table1[[#This Row],[SizeOption]]),"NOT AVAILABLE",Table1[[#This Row],[SizeOption]])</f>
        <v>XS, S, M, L, XL, XXL, 3XL</v>
      </c>
      <c r="Y987" t="str">
        <f>IF(Table2[[#This Row],[Column1]]&gt;50%,"HIGH DISCOUNT","LOW DISCOUNT")</f>
        <v>LOW DISCOUNT</v>
      </c>
    </row>
    <row r="988" spans="1:25" x14ac:dyDescent="0.25">
      <c r="A988" s="1" t="s">
        <v>2263</v>
      </c>
      <c r="B988" s="1">
        <v>15012204</v>
      </c>
      <c r="C988" s="1" t="s">
        <v>1375</v>
      </c>
      <c r="D988" s="1" t="s">
        <v>76</v>
      </c>
      <c r="E988" s="1" t="s">
        <v>320</v>
      </c>
      <c r="F988" s="1" t="s">
        <v>36</v>
      </c>
      <c r="G988" s="1" t="s">
        <v>2264</v>
      </c>
      <c r="H988">
        <v>1187</v>
      </c>
      <c r="I988" s="1">
        <v>3599</v>
      </c>
      <c r="J988" s="1" t="s">
        <v>543</v>
      </c>
      <c r="K988" s="1" t="s">
        <v>164</v>
      </c>
      <c r="L988" s="1">
        <v>3.8</v>
      </c>
      <c r="M988" s="1">
        <v>828</v>
      </c>
      <c r="P988" t="str">
        <f t="shared" si="63"/>
        <v>67%</v>
      </c>
      <c r="Q988" s="12">
        <f t="shared" si="60"/>
        <v>0.67</v>
      </c>
      <c r="R988" s="9">
        <f t="shared" si="61"/>
        <v>1187.67</v>
      </c>
      <c r="S988" s="9">
        <f>IF(R988="",AVERAGEIF(Table1[Category],Table1[[#This Row],[Category]],Table2[orignal data]),Table2[[#This Row],[orignal data]])</f>
        <v>1187.67</v>
      </c>
      <c r="T988" t="str">
        <f t="shared" si="62"/>
        <v>UNIQUE</v>
      </c>
      <c r="U988" t="str">
        <f>IF(ISBLANK(Table1[[#This Row],[SizeOption]]),"NOT AVAILABLE",Table1[[#This Row],[SizeOption]])</f>
        <v>Onesize</v>
      </c>
      <c r="Y988" t="str">
        <f>IF(Table2[[#This Row],[Column1]]&gt;50%,"HIGH DISCOUNT","LOW DISCOUNT")</f>
        <v>HIGH DISCOUNT</v>
      </c>
    </row>
    <row r="989" spans="1:25" x14ac:dyDescent="0.25">
      <c r="A989" s="2" t="s">
        <v>2265</v>
      </c>
      <c r="B989" s="2">
        <v>9265605</v>
      </c>
      <c r="C989" s="2" t="s">
        <v>107</v>
      </c>
      <c r="D989" s="2" t="s">
        <v>68</v>
      </c>
      <c r="E989" s="2" t="s">
        <v>23</v>
      </c>
      <c r="F989" s="2" t="s">
        <v>36</v>
      </c>
      <c r="G989" s="2" t="s">
        <v>2266</v>
      </c>
      <c r="H989">
        <v>629</v>
      </c>
      <c r="I989" s="2">
        <v>1799</v>
      </c>
      <c r="J989" s="2" t="s">
        <v>150</v>
      </c>
      <c r="K989" s="2" t="s">
        <v>115</v>
      </c>
      <c r="L989" s="2">
        <v>4.2</v>
      </c>
      <c r="M989" s="2">
        <v>828</v>
      </c>
      <c r="P989" t="str">
        <f t="shared" si="63"/>
        <v>65%</v>
      </c>
      <c r="Q989" s="12">
        <f t="shared" si="60"/>
        <v>0.65</v>
      </c>
      <c r="R989" s="9">
        <f t="shared" si="61"/>
        <v>629.64999999999986</v>
      </c>
      <c r="S989" s="9">
        <f>IF(R989="",AVERAGEIF(Table1[Category],Table1[[#This Row],[Category]],Table2[orignal data]),Table2[[#This Row],[orignal data]])</f>
        <v>629.64999999999986</v>
      </c>
      <c r="T989" t="str">
        <f t="shared" si="62"/>
        <v>UNIQUE</v>
      </c>
      <c r="U989" t="str">
        <f>IF(ISBLANK(Table1[[#This Row],[SizeOption]]),"NOT AVAILABLE",Table1[[#This Row],[SizeOption]])</f>
        <v>XS, S, M, L, XL, XXL</v>
      </c>
      <c r="Y989" t="str">
        <f>IF(Table2[[#This Row],[Column1]]&gt;50%,"HIGH DISCOUNT","LOW DISCOUNT")</f>
        <v>HIGH DISCOUNT</v>
      </c>
    </row>
    <row r="990" spans="1:25" x14ac:dyDescent="0.25">
      <c r="A990" s="1" t="s">
        <v>2267</v>
      </c>
      <c r="B990" s="1">
        <v>8010357</v>
      </c>
      <c r="C990" s="1" t="s">
        <v>67</v>
      </c>
      <c r="D990" s="1" t="s">
        <v>68</v>
      </c>
      <c r="E990" s="1" t="s">
        <v>48</v>
      </c>
      <c r="F990" s="1" t="s">
        <v>36</v>
      </c>
      <c r="G990" s="1" t="s">
        <v>2268</v>
      </c>
      <c r="H990">
        <v>1374</v>
      </c>
      <c r="I990" s="1">
        <v>2499</v>
      </c>
      <c r="J990" s="1" t="s">
        <v>19</v>
      </c>
      <c r="K990" s="1" t="s">
        <v>45</v>
      </c>
      <c r="L990" s="1">
        <v>4.5</v>
      </c>
      <c r="M990" s="1">
        <v>828</v>
      </c>
      <c r="P990" t="str">
        <f t="shared" si="63"/>
        <v>45%</v>
      </c>
      <c r="Q990" s="12">
        <f t="shared" si="60"/>
        <v>0.45</v>
      </c>
      <c r="R990" s="9">
        <f t="shared" si="61"/>
        <v>1374.45</v>
      </c>
      <c r="S990" s="9">
        <f>IF(R990="",AVERAGEIF(Table1[Category],Table1[[#This Row],[Category]],Table2[orignal data]),Table2[[#This Row],[orignal data]])</f>
        <v>1374.45</v>
      </c>
      <c r="T990" t="str">
        <f t="shared" si="62"/>
        <v>UNIQUE</v>
      </c>
      <c r="U990" t="str">
        <f>IF(ISBLANK(Table1[[#This Row],[SizeOption]]),"NOT AVAILABLE",Table1[[#This Row],[SizeOption]])</f>
        <v>XS, S, M, L, XL</v>
      </c>
      <c r="Y990" t="str">
        <f>IF(Table2[[#This Row],[Column1]]&gt;50%,"HIGH DISCOUNT","LOW DISCOUNT")</f>
        <v>LOW DISCOUNT</v>
      </c>
    </row>
    <row r="991" spans="1:25" x14ac:dyDescent="0.25">
      <c r="A991" s="2" t="s">
        <v>2269</v>
      </c>
      <c r="B991" s="2">
        <v>6743832</v>
      </c>
      <c r="C991" s="2" t="s">
        <v>52</v>
      </c>
      <c r="D991" s="2" t="s">
        <v>15</v>
      </c>
      <c r="E991" s="2" t="s">
        <v>53</v>
      </c>
      <c r="F991" s="2" t="s">
        <v>17</v>
      </c>
      <c r="G991" s="2" t="s">
        <v>2270</v>
      </c>
      <c r="H991">
        <v>604</v>
      </c>
      <c r="I991" s="2">
        <v>1549</v>
      </c>
      <c r="J991" s="2" t="s">
        <v>104</v>
      </c>
      <c r="K991" s="2" t="s">
        <v>56</v>
      </c>
      <c r="L991" s="2">
        <v>3.9</v>
      </c>
      <c r="M991" s="2">
        <v>827</v>
      </c>
      <c r="P991" t="str">
        <f t="shared" si="63"/>
        <v>61%</v>
      </c>
      <c r="Q991" s="12">
        <f t="shared" si="60"/>
        <v>0.61</v>
      </c>
      <c r="R991" s="9">
        <f t="shared" si="61"/>
        <v>604.11</v>
      </c>
      <c r="S991" s="9">
        <f>IF(R991="",AVERAGEIF(Table1[Category],Table1[[#This Row],[Category]],Table2[orignal data]),Table2[[#This Row],[orignal data]])</f>
        <v>604.11</v>
      </c>
      <c r="T991" t="str">
        <f t="shared" si="62"/>
        <v>UNIQUE</v>
      </c>
      <c r="U991" t="str">
        <f>IF(ISBLANK(Table1[[#This Row],[SizeOption]]),"NOT AVAILABLE",Table1[[#This Row],[SizeOption]])</f>
        <v>30, 32, 34, 36</v>
      </c>
      <c r="Y991" t="str">
        <f>IF(Table2[[#This Row],[Column1]]&gt;50%,"HIGH DISCOUNT","LOW DISCOUNT")</f>
        <v>HIGH DISCOUNT</v>
      </c>
    </row>
    <row r="992" spans="1:25" x14ac:dyDescent="0.25">
      <c r="A992" s="1" t="s">
        <v>2271</v>
      </c>
      <c r="B992" s="1">
        <v>10410716</v>
      </c>
      <c r="C992" s="1" t="s">
        <v>169</v>
      </c>
      <c r="D992" s="1" t="s">
        <v>28</v>
      </c>
      <c r="E992" s="1" t="s">
        <v>42</v>
      </c>
      <c r="F992" s="1" t="s">
        <v>17</v>
      </c>
      <c r="G992" s="1" t="s">
        <v>2272</v>
      </c>
      <c r="H992">
        <v>714</v>
      </c>
      <c r="I992" s="1">
        <v>1299</v>
      </c>
      <c r="J992" s="1" t="s">
        <v>19</v>
      </c>
      <c r="K992" s="1" t="s">
        <v>39</v>
      </c>
      <c r="L992" s="1">
        <v>4.3</v>
      </c>
      <c r="M992" s="1">
        <v>827</v>
      </c>
      <c r="P992" t="str">
        <f t="shared" si="63"/>
        <v>45%</v>
      </c>
      <c r="Q992" s="12">
        <f t="shared" si="60"/>
        <v>0.45</v>
      </c>
      <c r="R992" s="9">
        <f t="shared" si="61"/>
        <v>714.44999999999993</v>
      </c>
      <c r="S992" s="9">
        <f>IF(R992="",AVERAGEIF(Table1[Category],Table1[[#This Row],[Category]],Table2[orignal data]),Table2[[#This Row],[orignal data]])</f>
        <v>714.44999999999993</v>
      </c>
      <c r="T992" t="str">
        <f t="shared" si="62"/>
        <v>UNIQUE</v>
      </c>
      <c r="U992" t="str">
        <f>IF(ISBLANK(Table1[[#This Row],[SizeOption]]),"NOT AVAILABLE",Table1[[#This Row],[SizeOption]])</f>
        <v>S, M, L, XL, XXL</v>
      </c>
      <c r="Y992" t="str">
        <f>IF(Table2[[#This Row],[Column1]]&gt;50%,"HIGH DISCOUNT","LOW DISCOUNT")</f>
        <v>LOW DISCOUNT</v>
      </c>
    </row>
    <row r="993" spans="1:25" x14ac:dyDescent="0.25">
      <c r="A993" s="2" t="s">
        <v>2273</v>
      </c>
      <c r="B993" s="2">
        <v>13437258</v>
      </c>
      <c r="C993" s="2" t="s">
        <v>97</v>
      </c>
      <c r="D993" s="2" t="s">
        <v>76</v>
      </c>
      <c r="E993" s="2" t="s">
        <v>93</v>
      </c>
      <c r="F993" s="2" t="s">
        <v>36</v>
      </c>
      <c r="G993" s="2" t="s">
        <v>2274</v>
      </c>
      <c r="H993">
        <v>764</v>
      </c>
      <c r="I993" s="2">
        <v>1699</v>
      </c>
      <c r="J993" s="2" t="s">
        <v>25</v>
      </c>
      <c r="K993" s="2" t="s">
        <v>100</v>
      </c>
      <c r="L993" s="2">
        <v>4.2</v>
      </c>
      <c r="M993" s="2">
        <v>827</v>
      </c>
      <c r="P993" t="str">
        <f t="shared" si="63"/>
        <v>55%</v>
      </c>
      <c r="Q993" s="12">
        <f t="shared" si="60"/>
        <v>0.55000000000000004</v>
      </c>
      <c r="R993" s="9">
        <f t="shared" si="61"/>
        <v>764.55</v>
      </c>
      <c r="S993" s="9">
        <f>IF(R993="",AVERAGEIF(Table1[Category],Table1[[#This Row],[Category]],Table2[orignal data]),Table2[[#This Row],[orignal data]])</f>
        <v>764.55</v>
      </c>
      <c r="T993" t="str">
        <f t="shared" si="62"/>
        <v>UNIQUE</v>
      </c>
      <c r="U993" t="str">
        <f>IF(ISBLANK(Table1[[#This Row],[SizeOption]]),"NOT AVAILABLE",Table1[[#This Row],[SizeOption]])</f>
        <v>XS, S, M, L, XL, XXL, 3XL</v>
      </c>
      <c r="Y993" t="str">
        <f>IF(Table2[[#This Row],[Column1]]&gt;50%,"HIGH DISCOUNT","LOW DISCOUNT")</f>
        <v>HIGH DISCOUNT</v>
      </c>
    </row>
    <row r="994" spans="1:25" x14ac:dyDescent="0.25">
      <c r="A994" s="1" t="s">
        <v>2275</v>
      </c>
      <c r="B994" s="1">
        <v>10613148</v>
      </c>
      <c r="C994" s="1" t="s">
        <v>545</v>
      </c>
      <c r="D994" s="1" t="s">
        <v>76</v>
      </c>
      <c r="E994" s="1" t="s">
        <v>320</v>
      </c>
      <c r="F994" s="1" t="s">
        <v>36</v>
      </c>
      <c r="G994" s="1" t="s">
        <v>2276</v>
      </c>
      <c r="H994">
        <v>835</v>
      </c>
      <c r="I994" s="1">
        <v>1899</v>
      </c>
      <c r="J994" s="1" t="s">
        <v>1204</v>
      </c>
      <c r="K994" s="1" t="s">
        <v>164</v>
      </c>
      <c r="L994" s="1">
        <v>4.2</v>
      </c>
      <c r="M994" s="1">
        <v>827</v>
      </c>
      <c r="P994" t="str">
        <f t="shared" si="63"/>
        <v>56%</v>
      </c>
      <c r="Q994" s="12">
        <f t="shared" si="60"/>
        <v>0.56000000000000005</v>
      </c>
      <c r="R994" s="9">
        <f t="shared" si="61"/>
        <v>835.56</v>
      </c>
      <c r="S994" s="9">
        <f>IF(R994="",AVERAGEIF(Table1[Category],Table1[[#This Row],[Category]],Table2[orignal data]),Table2[[#This Row],[orignal data]])</f>
        <v>835.56</v>
      </c>
      <c r="T994" t="str">
        <f t="shared" si="62"/>
        <v>UNIQUE</v>
      </c>
      <c r="U994" t="str">
        <f>IF(ISBLANK(Table1[[#This Row],[SizeOption]]),"NOT AVAILABLE",Table1[[#This Row],[SizeOption]])</f>
        <v>Onesize</v>
      </c>
      <c r="Y994" t="str">
        <f>IF(Table2[[#This Row],[Column1]]&gt;50%,"HIGH DISCOUNT","LOW DISCOUNT")</f>
        <v>HIGH DISCOUNT</v>
      </c>
    </row>
    <row r="995" spans="1:25" x14ac:dyDescent="0.25">
      <c r="A995" s="2" t="s">
        <v>2277</v>
      </c>
      <c r="B995" s="2">
        <v>11862362</v>
      </c>
      <c r="C995" s="2" t="s">
        <v>92</v>
      </c>
      <c r="D995" s="2" t="s">
        <v>76</v>
      </c>
      <c r="E995" s="2" t="s">
        <v>93</v>
      </c>
      <c r="F995" s="2" t="s">
        <v>36</v>
      </c>
      <c r="G995" s="2" t="s">
        <v>2278</v>
      </c>
      <c r="H995">
        <v>681</v>
      </c>
      <c r="I995" s="2">
        <v>3099</v>
      </c>
      <c r="J995" s="2" t="s">
        <v>1469</v>
      </c>
      <c r="K995" s="2" t="s">
        <v>39</v>
      </c>
      <c r="L995" s="2">
        <v>4</v>
      </c>
      <c r="M995" s="2">
        <v>827</v>
      </c>
      <c r="P995" t="str">
        <f t="shared" si="63"/>
        <v>78%</v>
      </c>
      <c r="Q995" s="12">
        <f t="shared" si="60"/>
        <v>0.78</v>
      </c>
      <c r="R995" s="9">
        <f t="shared" si="61"/>
        <v>681.77999999999975</v>
      </c>
      <c r="S995" s="9">
        <f>IF(R995="",AVERAGEIF(Table1[Category],Table1[[#This Row],[Category]],Table2[orignal data]),Table2[[#This Row],[orignal data]])</f>
        <v>681.77999999999975</v>
      </c>
      <c r="T995" t="str">
        <f t="shared" si="62"/>
        <v>UNIQUE</v>
      </c>
      <c r="U995" t="str">
        <f>IF(ISBLANK(Table1[[#This Row],[SizeOption]]),"NOT AVAILABLE",Table1[[#This Row],[SizeOption]])</f>
        <v>S, M, L, XL, XXL</v>
      </c>
      <c r="Y995" t="str">
        <f>IF(Table2[[#This Row],[Column1]]&gt;50%,"HIGH DISCOUNT","LOW DISCOUNT")</f>
        <v>HIGH DISCOUNT</v>
      </c>
    </row>
    <row r="996" spans="1:25" x14ac:dyDescent="0.25">
      <c r="A996" s="1" t="s">
        <v>2279</v>
      </c>
      <c r="B996" s="1">
        <v>13641440</v>
      </c>
      <c r="C996" s="1" t="s">
        <v>102</v>
      </c>
      <c r="D996" s="1" t="s">
        <v>41</v>
      </c>
      <c r="E996" s="1" t="s">
        <v>16</v>
      </c>
      <c r="F996" s="1" t="s">
        <v>36</v>
      </c>
      <c r="G996" s="1" t="s">
        <v>2280</v>
      </c>
      <c r="I996" s="1">
        <v>1899</v>
      </c>
      <c r="J996" s="1" t="s">
        <v>95</v>
      </c>
      <c r="K996" s="1" t="s">
        <v>105</v>
      </c>
      <c r="L996" s="1">
        <v>4</v>
      </c>
      <c r="M996" s="1">
        <v>827</v>
      </c>
      <c r="P996" t="str">
        <f t="shared" si="63"/>
        <v>59%</v>
      </c>
      <c r="Q996" s="12">
        <f t="shared" si="60"/>
        <v>0.59</v>
      </c>
      <c r="R996" s="9">
        <f t="shared" si="61"/>
        <v>778.59000000000015</v>
      </c>
      <c r="S996" s="9">
        <f>IF(R996="",AVERAGEIF(Table1[Category],Table1[[#This Row],[Category]],Table2[orignal data]),Table2[[#This Row],[orignal data]])</f>
        <v>778.59000000000015</v>
      </c>
      <c r="T996" t="str">
        <f t="shared" si="62"/>
        <v>UNIQUE</v>
      </c>
      <c r="U996" t="str">
        <f>IF(ISBLANK(Table1[[#This Row],[SizeOption]]),"NOT AVAILABLE",Table1[[#This Row],[SizeOption]])</f>
        <v>28, 30, 32, 34</v>
      </c>
      <c r="Y996" t="str">
        <f>IF(Table2[[#This Row],[Column1]]&gt;50%,"HIGH DISCOUNT","LOW DISCOUNT")</f>
        <v>HIGH DISCOUNT</v>
      </c>
    </row>
    <row r="997" spans="1:25" x14ac:dyDescent="0.25">
      <c r="A997" s="2" t="s">
        <v>2281</v>
      </c>
      <c r="B997" s="2">
        <v>13676452</v>
      </c>
      <c r="C997" s="2" t="s">
        <v>563</v>
      </c>
      <c r="D997" s="2" t="s">
        <v>197</v>
      </c>
      <c r="E997" s="2" t="s">
        <v>518</v>
      </c>
      <c r="F997" s="2" t="s">
        <v>17</v>
      </c>
      <c r="G997" s="2" t="s">
        <v>564</v>
      </c>
      <c r="H997">
        <v>988</v>
      </c>
      <c r="I997" s="2">
        <v>1798</v>
      </c>
      <c r="J997" s="2" t="s">
        <v>19</v>
      </c>
      <c r="K997" s="2" t="s">
        <v>39</v>
      </c>
      <c r="L997" s="2">
        <v>4.0999999999999996</v>
      </c>
      <c r="M997" s="2">
        <v>826</v>
      </c>
      <c r="P997" t="str">
        <f t="shared" si="63"/>
        <v>45%</v>
      </c>
      <c r="Q997" s="12">
        <f t="shared" si="60"/>
        <v>0.45</v>
      </c>
      <c r="R997" s="9">
        <f t="shared" si="61"/>
        <v>988.9</v>
      </c>
      <c r="S997" s="9">
        <f>IF(R997="",AVERAGEIF(Table1[Category],Table1[[#This Row],[Category]],Table2[orignal data]),Table2[[#This Row],[orignal data]])</f>
        <v>988.9</v>
      </c>
      <c r="T997" t="str">
        <f t="shared" si="62"/>
        <v>UNIQUE</v>
      </c>
      <c r="U997" t="str">
        <f>IF(ISBLANK(Table1[[#This Row],[SizeOption]]),"NOT AVAILABLE",Table1[[#This Row],[SizeOption]])</f>
        <v>S, M, L, XL, XXL</v>
      </c>
      <c r="Y997" t="str">
        <f>IF(Table2[[#This Row],[Column1]]&gt;50%,"HIGH DISCOUNT","LOW DISCOUNT")</f>
        <v>LOW DISCOUNT</v>
      </c>
    </row>
    <row r="998" spans="1:25" x14ac:dyDescent="0.25">
      <c r="A998" s="1" t="s">
        <v>2282</v>
      </c>
      <c r="B998" s="1">
        <v>6825447</v>
      </c>
      <c r="C998" s="1" t="s">
        <v>67</v>
      </c>
      <c r="D998" s="1" t="s">
        <v>68</v>
      </c>
      <c r="E998" s="1" t="s">
        <v>42</v>
      </c>
      <c r="F998" s="1" t="s">
        <v>17</v>
      </c>
      <c r="G998" s="1" t="s">
        <v>2283</v>
      </c>
      <c r="H998">
        <v>539</v>
      </c>
      <c r="I998" s="1">
        <v>899</v>
      </c>
      <c r="J998" s="1" t="s">
        <v>50</v>
      </c>
      <c r="K998" s="1" t="s">
        <v>39</v>
      </c>
      <c r="L998" s="1">
        <v>4.2</v>
      </c>
      <c r="M998" s="1">
        <v>826</v>
      </c>
      <c r="P998" t="str">
        <f t="shared" si="63"/>
        <v>40%</v>
      </c>
      <c r="Q998" s="12">
        <f t="shared" si="60"/>
        <v>0.4</v>
      </c>
      <c r="R998" s="9">
        <f t="shared" si="61"/>
        <v>539.4</v>
      </c>
      <c r="S998" s="9">
        <f>IF(R998="",AVERAGEIF(Table1[Category],Table1[[#This Row],[Category]],Table2[orignal data]),Table2[[#This Row],[orignal data]])</f>
        <v>539.4</v>
      </c>
      <c r="T998" t="str">
        <f t="shared" si="62"/>
        <v>UNIQUE</v>
      </c>
      <c r="U998" t="str">
        <f>IF(ISBLANK(Table1[[#This Row],[SizeOption]]),"NOT AVAILABLE",Table1[[#This Row],[SizeOption]])</f>
        <v>S, M, L, XL, XXL</v>
      </c>
      <c r="Y998" t="str">
        <f>IF(Table2[[#This Row],[Column1]]&gt;50%,"HIGH DISCOUNT","LOW DISCOUNT")</f>
        <v>LOW DISCOUNT</v>
      </c>
    </row>
    <row r="999" spans="1:25" x14ac:dyDescent="0.25">
      <c r="A999" s="2" t="s">
        <v>2284</v>
      </c>
      <c r="B999" s="2">
        <v>5523552</v>
      </c>
      <c r="C999" s="2" t="s">
        <v>22</v>
      </c>
      <c r="D999" s="2" t="s">
        <v>28</v>
      </c>
      <c r="E999" s="2" t="s">
        <v>29</v>
      </c>
      <c r="F999" s="2" t="s">
        <v>17</v>
      </c>
      <c r="G999" s="2" t="s">
        <v>2285</v>
      </c>
      <c r="H999">
        <v>593</v>
      </c>
      <c r="I999" s="2">
        <v>1799</v>
      </c>
      <c r="J999" s="2" t="s">
        <v>543</v>
      </c>
      <c r="K999" s="2" t="s">
        <v>90</v>
      </c>
      <c r="L999" s="2">
        <v>4.0999999999999996</v>
      </c>
      <c r="M999" s="2">
        <v>826</v>
      </c>
      <c r="P999" t="str">
        <f t="shared" si="63"/>
        <v>67%</v>
      </c>
      <c r="Q999" s="12">
        <f t="shared" si="60"/>
        <v>0.67</v>
      </c>
      <c r="R999" s="9">
        <f t="shared" si="61"/>
        <v>593.66999999999985</v>
      </c>
      <c r="S999" s="9">
        <f>IF(R999="",AVERAGEIF(Table1[Category],Table1[[#This Row],[Category]],Table2[orignal data]),Table2[[#This Row],[orignal data]])</f>
        <v>593.66999999999985</v>
      </c>
      <c r="T999" t="str">
        <f t="shared" si="62"/>
        <v>UNIQUE</v>
      </c>
      <c r="U999" t="str">
        <f>IF(ISBLANK(Table1[[#This Row],[SizeOption]]),"NOT AVAILABLE",Table1[[#This Row],[SizeOption]])</f>
        <v>39, 40, 42, 44</v>
      </c>
      <c r="Y999" t="str">
        <f>IF(Table2[[#This Row],[Column1]]&gt;50%,"HIGH DISCOUNT","LOW DISCOUNT")</f>
        <v>HIGH DISCOUNT</v>
      </c>
    </row>
    <row r="1000" spans="1:25" x14ac:dyDescent="0.25">
      <c r="A1000" s="1" t="s">
        <v>2286</v>
      </c>
      <c r="B1000" s="1">
        <v>8979975</v>
      </c>
      <c r="C1000" s="1" t="s">
        <v>64</v>
      </c>
      <c r="D1000" s="1" t="s">
        <v>28</v>
      </c>
      <c r="E1000" s="1" t="s">
        <v>29</v>
      </c>
      <c r="F1000" s="1" t="s">
        <v>17</v>
      </c>
      <c r="G1000" s="1" t="s">
        <v>2287</v>
      </c>
      <c r="H1000">
        <v>1181</v>
      </c>
      <c r="I1000" s="1">
        <v>2149</v>
      </c>
      <c r="J1000" s="1" t="s">
        <v>19</v>
      </c>
      <c r="K1000" s="1" t="s">
        <v>361</v>
      </c>
      <c r="L1000" s="1">
        <v>4.3</v>
      </c>
      <c r="M1000" s="1">
        <v>826</v>
      </c>
      <c r="P1000" t="str">
        <f t="shared" si="63"/>
        <v>45%</v>
      </c>
      <c r="Q1000" s="12">
        <f t="shared" si="60"/>
        <v>0.45</v>
      </c>
      <c r="R1000" s="9">
        <f t="shared" si="61"/>
        <v>1181.9499999999998</v>
      </c>
      <c r="S1000" s="9">
        <f>IF(R1000="",AVERAGEIF(Table1[Category],Table1[[#This Row],[Category]],Table2[orignal data]),Table2[[#This Row],[orignal data]])</f>
        <v>1181.9499999999998</v>
      </c>
      <c r="T1000" t="str">
        <f t="shared" si="62"/>
        <v>UNIQUE</v>
      </c>
      <c r="U1000" t="str">
        <f>IF(ISBLANK(Table1[[#This Row],[SizeOption]]),"NOT AVAILABLE",Table1[[#This Row],[SizeOption]])</f>
        <v>38, 40, 42, 44, 46</v>
      </c>
      <c r="Y1000" t="str">
        <f>IF(Table2[[#This Row],[Column1]]&gt;50%,"HIGH DISCOUNT","LOW DISCOUNT")</f>
        <v>LOW DISCOUNT</v>
      </c>
    </row>
    <row r="1001" spans="1:25" x14ac:dyDescent="0.25">
      <c r="A1001" s="2" t="s">
        <v>2288</v>
      </c>
      <c r="B1001" s="2">
        <v>10216989</v>
      </c>
      <c r="C1001" s="2" t="s">
        <v>201</v>
      </c>
      <c r="D1001" s="2" t="s">
        <v>76</v>
      </c>
      <c r="E1001" s="2" t="s">
        <v>368</v>
      </c>
      <c r="F1001" s="2" t="s">
        <v>36</v>
      </c>
      <c r="G1001" s="2" t="s">
        <v>2289</v>
      </c>
      <c r="H1001">
        <v>1439</v>
      </c>
      <c r="I1001" s="2">
        <v>2399</v>
      </c>
      <c r="J1001" s="2" t="s">
        <v>50</v>
      </c>
      <c r="K1001" s="2" t="s">
        <v>2290</v>
      </c>
      <c r="L1001" s="2">
        <v>4.2</v>
      </c>
      <c r="M1001" s="2">
        <v>826</v>
      </c>
      <c r="P1001" t="str">
        <f t="shared" si="63"/>
        <v>40%</v>
      </c>
      <c r="Q1001" s="12">
        <f t="shared" si="60"/>
        <v>0.4</v>
      </c>
      <c r="R1001" s="9">
        <f t="shared" si="61"/>
        <v>1439.4</v>
      </c>
      <c r="S1001" s="9">
        <f>IF(R1001="",AVERAGEIF(Table1[Category],Table1[[#This Row],[Category]],Table2[orignal data]),Table2[[#This Row],[orignal data]])</f>
        <v>1439.4</v>
      </c>
      <c r="T1001" t="str">
        <f t="shared" si="62"/>
        <v>UNIQUE</v>
      </c>
      <c r="U1001" t="str">
        <f>IF(ISBLANK(Table1[[#This Row],[SizeOption]]),"NOT AVAILABLE",Table1[[#This Row],[SizeOption]])</f>
        <v>26, 28, 30, 32, 34, 36, 38</v>
      </c>
      <c r="Y1001" t="str">
        <f>IF(Table2[[#This Row],[Column1]]&gt;50%,"HIGH DISCOUNT","LOW DISCOUNT")</f>
        <v>LOW DISCOUNT</v>
      </c>
    </row>
    <row r="1002" spans="1:25" x14ac:dyDescent="0.25">
      <c r="A1002" s="1" t="s">
        <v>2291</v>
      </c>
      <c r="B1002" s="1">
        <v>11240346</v>
      </c>
      <c r="C1002" s="1" t="s">
        <v>184</v>
      </c>
      <c r="D1002" s="1" t="s">
        <v>41</v>
      </c>
      <c r="E1002" s="1" t="s">
        <v>48</v>
      </c>
      <c r="F1002" s="1" t="s">
        <v>36</v>
      </c>
      <c r="G1002" s="1" t="s">
        <v>2292</v>
      </c>
      <c r="I1002" s="1">
        <v>1199</v>
      </c>
      <c r="J1002" s="1" t="s">
        <v>55</v>
      </c>
      <c r="K1002" s="1" t="s">
        <v>39</v>
      </c>
      <c r="L1002" s="1">
        <v>4.4000000000000004</v>
      </c>
      <c r="M1002" s="1">
        <v>826</v>
      </c>
      <c r="P1002" t="str">
        <f t="shared" si="63"/>
        <v>60%</v>
      </c>
      <c r="Q1002" s="12">
        <f t="shared" si="60"/>
        <v>0.6</v>
      </c>
      <c r="R1002" s="9">
        <f t="shared" si="61"/>
        <v>479.6</v>
      </c>
      <c r="S1002" s="9">
        <f>IF(R1002="",AVERAGEIF(Table1[Category],Table1[[#This Row],[Category]],Table2[orignal data]),Table2[[#This Row],[orignal data]])</f>
        <v>479.6</v>
      </c>
      <c r="T1002" t="str">
        <f t="shared" si="62"/>
        <v>UNIQUE</v>
      </c>
      <c r="U1002" t="str">
        <f>IF(ISBLANK(Table1[[#This Row],[SizeOption]]),"NOT AVAILABLE",Table1[[#This Row],[SizeOption]])</f>
        <v>S, M, L, XL, XXL</v>
      </c>
      <c r="Y1002" t="str">
        <f>IF(Table2[[#This Row],[Column1]]&gt;50%,"HIGH DISCOUNT","LOW DISCOUNT")</f>
        <v>HIGH DISCOUNT</v>
      </c>
    </row>
    <row r="1003" spans="1:25" x14ac:dyDescent="0.25">
      <c r="A1003" s="2" t="s">
        <v>2293</v>
      </c>
      <c r="B1003" s="2">
        <v>14269434</v>
      </c>
      <c r="C1003" s="2" t="s">
        <v>2294</v>
      </c>
      <c r="D1003" s="2" t="s">
        <v>41</v>
      </c>
      <c r="E1003" s="2" t="s">
        <v>48</v>
      </c>
      <c r="F1003" s="2" t="s">
        <v>36</v>
      </c>
      <c r="G1003" s="2" t="s">
        <v>2295</v>
      </c>
      <c r="I1003" s="2">
        <v>1599</v>
      </c>
      <c r="J1003" s="2" t="s">
        <v>1204</v>
      </c>
      <c r="K1003" s="2" t="s">
        <v>39</v>
      </c>
      <c r="L1003" s="2">
        <v>4</v>
      </c>
      <c r="M1003" s="2">
        <v>826</v>
      </c>
      <c r="P1003" t="str">
        <f t="shared" si="63"/>
        <v>56%</v>
      </c>
      <c r="Q1003" s="12">
        <f t="shared" si="60"/>
        <v>0.56000000000000005</v>
      </c>
      <c r="R1003" s="9">
        <f t="shared" si="61"/>
        <v>703.56</v>
      </c>
      <c r="S1003" s="9">
        <f>IF(R1003="",AVERAGEIF(Table1[Category],Table1[[#This Row],[Category]],Table2[orignal data]),Table2[[#This Row],[orignal data]])</f>
        <v>703.56</v>
      </c>
      <c r="T1003" t="str">
        <f t="shared" si="62"/>
        <v>UNIQUE</v>
      </c>
      <c r="U1003" t="str">
        <f>IF(ISBLANK(Table1[[#This Row],[SizeOption]]),"NOT AVAILABLE",Table1[[#This Row],[SizeOption]])</f>
        <v>S, M, L, XL, XXL</v>
      </c>
      <c r="Y1003" t="str">
        <f>IF(Table2[[#This Row],[Column1]]&gt;50%,"HIGH DISCOUNT","LOW DISCOUNT")</f>
        <v>HIGH DISCOUNT</v>
      </c>
    </row>
    <row r="1004" spans="1:25" x14ac:dyDescent="0.25">
      <c r="A1004" s="1" t="s">
        <v>2296</v>
      </c>
      <c r="B1004" s="1">
        <v>12222032</v>
      </c>
      <c r="C1004" s="1" t="s">
        <v>181</v>
      </c>
      <c r="D1004" s="1" t="s">
        <v>41</v>
      </c>
      <c r="E1004" s="1" t="s">
        <v>48</v>
      </c>
      <c r="F1004" s="1" t="s">
        <v>36</v>
      </c>
      <c r="G1004" s="1" t="s">
        <v>2297</v>
      </c>
      <c r="I1004" s="1">
        <v>899</v>
      </c>
      <c r="J1004" s="1" t="s">
        <v>602</v>
      </c>
      <c r="K1004" s="1" t="s">
        <v>45</v>
      </c>
      <c r="L1004" s="1">
        <v>4.4000000000000004</v>
      </c>
      <c r="M1004" s="1">
        <v>826</v>
      </c>
      <c r="P1004" t="str">
        <f t="shared" si="63"/>
        <v>48%</v>
      </c>
      <c r="Q1004" s="12">
        <f t="shared" si="60"/>
        <v>0.48</v>
      </c>
      <c r="R1004" s="9">
        <f t="shared" si="61"/>
        <v>467.48</v>
      </c>
      <c r="S1004" s="9">
        <f>IF(R1004="",AVERAGEIF(Table1[Category],Table1[[#This Row],[Category]],Table2[orignal data]),Table2[[#This Row],[orignal data]])</f>
        <v>467.48</v>
      </c>
      <c r="T1004" t="str">
        <f t="shared" si="62"/>
        <v>UNIQUE</v>
      </c>
      <c r="U1004" t="str">
        <f>IF(ISBLANK(Table1[[#This Row],[SizeOption]]),"NOT AVAILABLE",Table1[[#This Row],[SizeOption]])</f>
        <v>XS, S, M, L, XL</v>
      </c>
      <c r="Y1004" t="str">
        <f>IF(Table2[[#This Row],[Column1]]&gt;50%,"HIGH DISCOUNT","LOW DISCOUNT")</f>
        <v>LOW DISCOUNT</v>
      </c>
    </row>
    <row r="1005" spans="1:25" x14ac:dyDescent="0.25">
      <c r="A1005" s="2" t="s">
        <v>2298</v>
      </c>
      <c r="B1005" s="2">
        <v>17381614</v>
      </c>
      <c r="C1005" s="2" t="s">
        <v>14</v>
      </c>
      <c r="D1005" s="2" t="s">
        <v>41</v>
      </c>
      <c r="E1005" s="2" t="s">
        <v>42</v>
      </c>
      <c r="F1005" s="2" t="s">
        <v>36</v>
      </c>
      <c r="G1005" s="2" t="s">
        <v>380</v>
      </c>
      <c r="I1005" s="2">
        <v>1898</v>
      </c>
      <c r="J1005" s="2"/>
      <c r="K1005" s="2" t="s">
        <v>45</v>
      </c>
      <c r="L1005" s="2">
        <v>4.0999999999999996</v>
      </c>
      <c r="M1005" s="2">
        <v>826</v>
      </c>
      <c r="P1005" t="str">
        <f t="shared" si="63"/>
        <v/>
      </c>
      <c r="Q1005" s="12" t="str">
        <f t="shared" si="60"/>
        <v/>
      </c>
      <c r="R1005" s="9" t="str">
        <f t="shared" si="61"/>
        <v/>
      </c>
      <c r="S1005" s="9">
        <f>IF(R1005="",AVERAGEIF(Table1[Category],Table1[[#This Row],[Category]],Table2[orignal data]),Table2[[#This Row],[orignal data]])</f>
        <v>715.78890751086249</v>
      </c>
      <c r="T1005" t="str">
        <f t="shared" si="62"/>
        <v>UNIQUE</v>
      </c>
      <c r="U1005" t="str">
        <f>IF(ISBLANK(Table1[[#This Row],[SizeOption]]),"NOT AVAILABLE",Table1[[#This Row],[SizeOption]])</f>
        <v>XS, S, M, L, XL</v>
      </c>
      <c r="Y1005" t="str">
        <f>IF(Table2[[#This Row],[Column1]]&gt;50%,"HIGH DISCOUNT","LOW DISCOUNT")</f>
        <v>HIGH DISCOUNT</v>
      </c>
    </row>
    <row r="1006" spans="1:25" x14ac:dyDescent="0.25">
      <c r="A1006" s="1" t="s">
        <v>2299</v>
      </c>
      <c r="B1006" s="1">
        <v>2948542</v>
      </c>
      <c r="C1006" s="1" t="s">
        <v>52</v>
      </c>
      <c r="D1006" s="1" t="s">
        <v>28</v>
      </c>
      <c r="E1006" s="1" t="s">
        <v>29</v>
      </c>
      <c r="F1006" s="1" t="s">
        <v>17</v>
      </c>
      <c r="G1006" s="1" t="s">
        <v>2300</v>
      </c>
      <c r="H1006">
        <v>587</v>
      </c>
      <c r="I1006" s="1">
        <v>1249</v>
      </c>
      <c r="J1006" s="1" t="s">
        <v>89</v>
      </c>
      <c r="K1006" s="1" t="s">
        <v>90</v>
      </c>
      <c r="L1006" s="1">
        <v>4.0999999999999996</v>
      </c>
      <c r="M1006" s="1">
        <v>825</v>
      </c>
      <c r="P1006" t="str">
        <f t="shared" si="63"/>
        <v>53%</v>
      </c>
      <c r="Q1006" s="12">
        <f t="shared" si="60"/>
        <v>0.53</v>
      </c>
      <c r="R1006" s="9">
        <f t="shared" si="61"/>
        <v>587.03</v>
      </c>
      <c r="S1006" s="9">
        <f>IF(R1006="",AVERAGEIF(Table1[Category],Table1[[#This Row],[Category]],Table2[orignal data]),Table2[[#This Row],[orignal data]])</f>
        <v>587.03</v>
      </c>
      <c r="T1006" t="str">
        <f t="shared" si="62"/>
        <v>UNIQUE</v>
      </c>
      <c r="U1006" t="str">
        <f>IF(ISBLANK(Table1[[#This Row],[SizeOption]]),"NOT AVAILABLE",Table1[[#This Row],[SizeOption]])</f>
        <v>39, 40, 42, 44</v>
      </c>
      <c r="Y1006" t="str">
        <f>IF(Table2[[#This Row],[Column1]]&gt;50%,"HIGH DISCOUNT","LOW DISCOUNT")</f>
        <v>HIGH DISCOUNT</v>
      </c>
    </row>
    <row r="1007" spans="1:25" x14ac:dyDescent="0.25">
      <c r="A1007" s="2" t="s">
        <v>2301</v>
      </c>
      <c r="B1007" s="2">
        <v>13437312</v>
      </c>
      <c r="C1007" s="2" t="s">
        <v>97</v>
      </c>
      <c r="D1007" s="2" t="s">
        <v>76</v>
      </c>
      <c r="E1007" s="2" t="s">
        <v>93</v>
      </c>
      <c r="F1007" s="2" t="s">
        <v>36</v>
      </c>
      <c r="G1007" s="2" t="s">
        <v>2302</v>
      </c>
      <c r="H1007">
        <v>509</v>
      </c>
      <c r="I1007" s="2">
        <v>1699</v>
      </c>
      <c r="J1007" s="2" t="s">
        <v>79</v>
      </c>
      <c r="K1007" s="2" t="s">
        <v>100</v>
      </c>
      <c r="L1007" s="2">
        <v>4.4000000000000004</v>
      </c>
      <c r="M1007" s="2">
        <v>825</v>
      </c>
      <c r="P1007" t="str">
        <f t="shared" si="63"/>
        <v>70%</v>
      </c>
      <c r="Q1007" s="12">
        <f t="shared" si="60"/>
        <v>0.7</v>
      </c>
      <c r="R1007" s="9">
        <f t="shared" si="61"/>
        <v>509.70000000000005</v>
      </c>
      <c r="S1007" s="9">
        <f>IF(R1007="",AVERAGEIF(Table1[Category],Table1[[#This Row],[Category]],Table2[orignal data]),Table2[[#This Row],[orignal data]])</f>
        <v>509.70000000000005</v>
      </c>
      <c r="T1007" t="str">
        <f t="shared" si="62"/>
        <v>UNIQUE</v>
      </c>
      <c r="U1007" t="str">
        <f>IF(ISBLANK(Table1[[#This Row],[SizeOption]]),"NOT AVAILABLE",Table1[[#This Row],[SizeOption]])</f>
        <v>XS, S, M, L, XL, XXL, 3XL</v>
      </c>
      <c r="Y1007" t="str">
        <f>IF(Table2[[#This Row],[Column1]]&gt;50%,"HIGH DISCOUNT","LOW DISCOUNT")</f>
        <v>HIGH DISCOUNT</v>
      </c>
    </row>
    <row r="1008" spans="1:25" x14ac:dyDescent="0.25">
      <c r="A1008" s="1" t="s">
        <v>2303</v>
      </c>
      <c r="B1008" s="1">
        <v>13237770</v>
      </c>
      <c r="C1008" s="1" t="s">
        <v>113</v>
      </c>
      <c r="D1008" s="1" t="s">
        <v>76</v>
      </c>
      <c r="E1008" s="1" t="s">
        <v>77</v>
      </c>
      <c r="F1008" s="1" t="s">
        <v>36</v>
      </c>
      <c r="G1008" s="1" t="s">
        <v>2304</v>
      </c>
      <c r="H1008">
        <v>719</v>
      </c>
      <c r="I1008" s="1">
        <v>1799</v>
      </c>
      <c r="J1008" s="1" t="s">
        <v>55</v>
      </c>
      <c r="K1008" s="1" t="s">
        <v>115</v>
      </c>
      <c r="L1008" s="1">
        <v>4</v>
      </c>
      <c r="M1008" s="1">
        <v>825</v>
      </c>
      <c r="P1008" t="str">
        <f t="shared" si="63"/>
        <v>60%</v>
      </c>
      <c r="Q1008" s="12">
        <f t="shared" si="60"/>
        <v>0.6</v>
      </c>
      <c r="R1008" s="9">
        <f t="shared" si="61"/>
        <v>719.60000000000014</v>
      </c>
      <c r="S1008" s="9">
        <f>IF(R1008="",AVERAGEIF(Table1[Category],Table1[[#This Row],[Category]],Table2[orignal data]),Table2[[#This Row],[orignal data]])</f>
        <v>719.60000000000014</v>
      </c>
      <c r="T1008" t="str">
        <f t="shared" si="62"/>
        <v>UNIQUE</v>
      </c>
      <c r="U1008" t="str">
        <f>IF(ISBLANK(Table1[[#This Row],[SizeOption]]),"NOT AVAILABLE",Table1[[#This Row],[SizeOption]])</f>
        <v>XS, S, M, L, XL, XXL</v>
      </c>
      <c r="Y1008" t="str">
        <f>IF(Table2[[#This Row],[Column1]]&gt;50%,"HIGH DISCOUNT","LOW DISCOUNT")</f>
        <v>HIGH DISCOUNT</v>
      </c>
    </row>
    <row r="1009" spans="1:25" x14ac:dyDescent="0.25">
      <c r="A1009" s="2" t="s">
        <v>2305</v>
      </c>
      <c r="B1009" s="2">
        <v>11674706</v>
      </c>
      <c r="C1009" s="2" t="s">
        <v>2306</v>
      </c>
      <c r="D1009" s="2" t="s">
        <v>76</v>
      </c>
      <c r="E1009" s="2" t="s">
        <v>77</v>
      </c>
      <c r="F1009" s="2" t="s">
        <v>36</v>
      </c>
      <c r="G1009" s="2" t="s">
        <v>2307</v>
      </c>
      <c r="H1009">
        <v>900</v>
      </c>
      <c r="I1009" s="2">
        <v>2370</v>
      </c>
      <c r="J1009" s="2" t="s">
        <v>126</v>
      </c>
      <c r="K1009" s="2" t="s">
        <v>234</v>
      </c>
      <c r="L1009" s="2">
        <v>3.9</v>
      </c>
      <c r="M1009" s="2">
        <v>825</v>
      </c>
      <c r="P1009" t="str">
        <f t="shared" si="63"/>
        <v>62%</v>
      </c>
      <c r="Q1009" s="12">
        <f t="shared" si="60"/>
        <v>0.62</v>
      </c>
      <c r="R1009" s="9">
        <f t="shared" si="61"/>
        <v>900.59999999999991</v>
      </c>
      <c r="S1009" s="9">
        <f>IF(R1009="",AVERAGEIF(Table1[Category],Table1[[#This Row],[Category]],Table2[orignal data]),Table2[[#This Row],[orignal data]])</f>
        <v>900.59999999999991</v>
      </c>
      <c r="T1009" t="str">
        <f t="shared" si="62"/>
        <v>UNIQUE</v>
      </c>
      <c r="U1009" t="str">
        <f>IF(ISBLANK(Table1[[#This Row],[SizeOption]]),"NOT AVAILABLE",Table1[[#This Row],[SizeOption]])</f>
        <v>S, M, L, XL, XXL, 3XL</v>
      </c>
      <c r="Y1009" t="str">
        <f>IF(Table2[[#This Row],[Column1]]&gt;50%,"HIGH DISCOUNT","LOW DISCOUNT")</f>
        <v>HIGH DISCOUNT</v>
      </c>
    </row>
    <row r="1010" spans="1:25" x14ac:dyDescent="0.25">
      <c r="A1010" s="1" t="s">
        <v>2308</v>
      </c>
      <c r="B1010" s="1">
        <v>3009880</v>
      </c>
      <c r="C1010" s="1" t="s">
        <v>67</v>
      </c>
      <c r="D1010" s="1" t="s">
        <v>68</v>
      </c>
      <c r="E1010" s="1" t="s">
        <v>69</v>
      </c>
      <c r="F1010" s="1" t="s">
        <v>36</v>
      </c>
      <c r="G1010" s="1" t="s">
        <v>2309</v>
      </c>
      <c r="I1010" s="1">
        <v>1299</v>
      </c>
      <c r="J1010" s="1"/>
      <c r="K1010" s="1" t="s">
        <v>115</v>
      </c>
      <c r="L1010" s="1">
        <v>4.2</v>
      </c>
      <c r="M1010" s="1">
        <v>825</v>
      </c>
      <c r="P1010" t="str">
        <f t="shared" si="63"/>
        <v/>
      </c>
      <c r="Q1010" s="12" t="str">
        <f t="shared" si="60"/>
        <v/>
      </c>
      <c r="R1010" s="9" t="str">
        <f t="shared" si="61"/>
        <v/>
      </c>
      <c r="S1010" s="9">
        <f>IF(R1010="",AVERAGEIF(Table1[Category],Table1[[#This Row],[Category]],Table2[orignal data]),Table2[[#This Row],[orignal data]])</f>
        <v>734.32085365853686</v>
      </c>
      <c r="T1010" t="str">
        <f t="shared" si="62"/>
        <v>UNIQUE</v>
      </c>
      <c r="U1010" t="str">
        <f>IF(ISBLANK(Table1[[#This Row],[SizeOption]]),"NOT AVAILABLE",Table1[[#This Row],[SizeOption]])</f>
        <v>XS, S, M, L, XL, XXL</v>
      </c>
      <c r="Y1010" t="str">
        <f>IF(Table2[[#This Row],[Column1]]&gt;50%,"HIGH DISCOUNT","LOW DISCOUNT")</f>
        <v>HIGH DISCOUNT</v>
      </c>
    </row>
    <row r="1011" spans="1:25" x14ac:dyDescent="0.25">
      <c r="A1011" s="2" t="s">
        <v>2310</v>
      </c>
      <c r="B1011" s="2">
        <v>7256677</v>
      </c>
      <c r="C1011" s="2" t="s">
        <v>58</v>
      </c>
      <c r="D1011" s="2" t="s">
        <v>41</v>
      </c>
      <c r="E1011" s="2" t="s">
        <v>48</v>
      </c>
      <c r="F1011" s="2" t="s">
        <v>36</v>
      </c>
      <c r="G1011" s="2" t="s">
        <v>2311</v>
      </c>
      <c r="I1011" s="2">
        <v>1095</v>
      </c>
      <c r="J1011" s="2" t="s">
        <v>60</v>
      </c>
      <c r="K1011" s="2" t="s">
        <v>26</v>
      </c>
      <c r="L1011" s="2">
        <v>3.5</v>
      </c>
      <c r="M1011" s="2">
        <v>825</v>
      </c>
      <c r="P1011" t="str">
        <f t="shared" si="63"/>
        <v>58%</v>
      </c>
      <c r="Q1011" s="12">
        <f t="shared" si="60"/>
        <v>0.57999999999999996</v>
      </c>
      <c r="R1011" s="9">
        <f t="shared" si="61"/>
        <v>459.90000000000009</v>
      </c>
      <c r="S1011" s="9">
        <f>IF(R1011="",AVERAGEIF(Table1[Category],Table1[[#This Row],[Category]],Table2[orignal data]),Table2[[#This Row],[orignal data]])</f>
        <v>459.90000000000009</v>
      </c>
      <c r="T1011" t="str">
        <f t="shared" si="62"/>
        <v>UNIQUE</v>
      </c>
      <c r="U1011" t="str">
        <f>IF(ISBLANK(Table1[[#This Row],[SizeOption]]),"NOT AVAILABLE",Table1[[#This Row],[SizeOption]])</f>
        <v>S, M, L, XL</v>
      </c>
      <c r="Y1011" t="str">
        <f>IF(Table2[[#This Row],[Column1]]&gt;50%,"HIGH DISCOUNT","LOW DISCOUNT")</f>
        <v>HIGH DISCOUNT</v>
      </c>
    </row>
    <row r="1012" spans="1:25" x14ac:dyDescent="0.25">
      <c r="A1012" s="1" t="s">
        <v>2312</v>
      </c>
      <c r="B1012" s="1">
        <v>6406469</v>
      </c>
      <c r="C1012" s="1" t="s">
        <v>659</v>
      </c>
      <c r="D1012" s="1" t="s">
        <v>41</v>
      </c>
      <c r="E1012" s="1" t="s">
        <v>48</v>
      </c>
      <c r="F1012" s="1" t="s">
        <v>36</v>
      </c>
      <c r="G1012" s="1" t="s">
        <v>2313</v>
      </c>
      <c r="I1012" s="1">
        <v>999</v>
      </c>
      <c r="J1012" s="1" t="s">
        <v>55</v>
      </c>
      <c r="K1012" s="1" t="s">
        <v>115</v>
      </c>
      <c r="L1012" s="1">
        <v>3.9</v>
      </c>
      <c r="M1012" s="1">
        <v>825</v>
      </c>
      <c r="P1012" t="str">
        <f t="shared" si="63"/>
        <v>60%</v>
      </c>
      <c r="Q1012" s="12">
        <f t="shared" si="60"/>
        <v>0.6</v>
      </c>
      <c r="R1012" s="9">
        <f t="shared" si="61"/>
        <v>399.6</v>
      </c>
      <c r="S1012" s="9">
        <f>IF(R1012="",AVERAGEIF(Table1[Category],Table1[[#This Row],[Category]],Table2[orignal data]),Table2[[#This Row],[orignal data]])</f>
        <v>399.6</v>
      </c>
      <c r="T1012" t="str">
        <f t="shared" si="62"/>
        <v>UNIQUE</v>
      </c>
      <c r="U1012" t="str">
        <f>IF(ISBLANK(Table1[[#This Row],[SizeOption]]),"NOT AVAILABLE",Table1[[#This Row],[SizeOption]])</f>
        <v>XS, S, M, L, XL, XXL</v>
      </c>
      <c r="Y1012" t="str">
        <f>IF(Table2[[#This Row],[Column1]]&gt;50%,"HIGH DISCOUNT","LOW DISCOUNT")</f>
        <v>HIGH DISCOUNT</v>
      </c>
    </row>
    <row r="1013" spans="1:25" x14ac:dyDescent="0.25">
      <c r="A1013" s="2" t="s">
        <v>2314</v>
      </c>
      <c r="B1013" s="2">
        <v>14515728</v>
      </c>
      <c r="C1013" s="2" t="s">
        <v>2315</v>
      </c>
      <c r="D1013" s="2" t="s">
        <v>15</v>
      </c>
      <c r="E1013" s="2" t="s">
        <v>23</v>
      </c>
      <c r="F1013" s="2" t="s">
        <v>17</v>
      </c>
      <c r="G1013" s="2" t="s">
        <v>2316</v>
      </c>
      <c r="H1013">
        <v>601</v>
      </c>
      <c r="I1013" s="2">
        <v>699</v>
      </c>
      <c r="J1013" s="2" t="s">
        <v>2317</v>
      </c>
      <c r="K1013" s="2" t="s">
        <v>39</v>
      </c>
      <c r="L1013" s="2">
        <v>4.0999999999999996</v>
      </c>
      <c r="M1013" s="2">
        <v>824</v>
      </c>
      <c r="P1013" t="str">
        <f t="shared" si="63"/>
        <v>14%</v>
      </c>
      <c r="Q1013" s="12">
        <f t="shared" si="60"/>
        <v>0.14000000000000001</v>
      </c>
      <c r="R1013" s="9">
        <f t="shared" si="61"/>
        <v>601.14</v>
      </c>
      <c r="S1013" s="9">
        <f>IF(R1013="",AVERAGEIF(Table1[Category],Table1[[#This Row],[Category]],Table2[orignal data]),Table2[[#This Row],[orignal data]])</f>
        <v>601.14</v>
      </c>
      <c r="T1013" t="str">
        <f t="shared" si="62"/>
        <v>UNIQUE</v>
      </c>
      <c r="U1013" t="str">
        <f>IF(ISBLANK(Table1[[#This Row],[SizeOption]]),"NOT AVAILABLE",Table1[[#This Row],[SizeOption]])</f>
        <v>S, M, L, XL, XXL</v>
      </c>
      <c r="Y1013" t="str">
        <f>IF(Table2[[#This Row],[Column1]]&gt;50%,"HIGH DISCOUNT","LOW DISCOUNT")</f>
        <v>LOW DISCOUNT</v>
      </c>
    </row>
    <row r="1014" spans="1:25" x14ac:dyDescent="0.25">
      <c r="A1014" s="1" t="s">
        <v>2318</v>
      </c>
      <c r="B1014" s="1">
        <v>11793380</v>
      </c>
      <c r="C1014" s="1" t="s">
        <v>420</v>
      </c>
      <c r="D1014" s="1" t="s">
        <v>15</v>
      </c>
      <c r="E1014" s="1" t="s">
        <v>16</v>
      </c>
      <c r="F1014" s="1" t="s">
        <v>17</v>
      </c>
      <c r="G1014" s="1" t="s">
        <v>2319</v>
      </c>
      <c r="H1014">
        <v>816</v>
      </c>
      <c r="I1014" s="1">
        <v>1899</v>
      </c>
      <c r="J1014" s="1" t="s">
        <v>130</v>
      </c>
      <c r="K1014" s="1" t="s">
        <v>20</v>
      </c>
      <c r="L1014" s="1">
        <v>3.4</v>
      </c>
      <c r="M1014" s="1">
        <v>824</v>
      </c>
      <c r="P1014" t="str">
        <f t="shared" si="63"/>
        <v>57%</v>
      </c>
      <c r="Q1014" s="12">
        <f t="shared" si="60"/>
        <v>0.56999999999999995</v>
      </c>
      <c r="R1014" s="9">
        <f t="shared" si="61"/>
        <v>816.57000000000016</v>
      </c>
      <c r="S1014" s="9">
        <f>IF(R1014="",AVERAGEIF(Table1[Category],Table1[[#This Row],[Category]],Table2[orignal data]),Table2[[#This Row],[orignal data]])</f>
        <v>816.57000000000016</v>
      </c>
      <c r="T1014" t="str">
        <f t="shared" si="62"/>
        <v>UNIQUE</v>
      </c>
      <c r="U1014" t="str">
        <f>IF(ISBLANK(Table1[[#This Row],[SizeOption]]),"NOT AVAILABLE",Table1[[#This Row],[SizeOption]])</f>
        <v>28, 30, 32, 34, 36</v>
      </c>
      <c r="Y1014" t="str">
        <f>IF(Table2[[#This Row],[Column1]]&gt;50%,"HIGH DISCOUNT","LOW DISCOUNT")</f>
        <v>HIGH DISCOUNT</v>
      </c>
    </row>
    <row r="1015" spans="1:25" x14ac:dyDescent="0.25">
      <c r="A1015" s="2" t="s">
        <v>2320</v>
      </c>
      <c r="B1015" s="2">
        <v>8650829</v>
      </c>
      <c r="C1015" s="2" t="s">
        <v>2321</v>
      </c>
      <c r="D1015" s="2" t="s">
        <v>76</v>
      </c>
      <c r="E1015" s="2" t="s">
        <v>93</v>
      </c>
      <c r="F1015" s="2" t="s">
        <v>17</v>
      </c>
      <c r="G1015" s="2" t="s">
        <v>2322</v>
      </c>
      <c r="H1015">
        <v>987</v>
      </c>
      <c r="I1015" s="2">
        <v>2599</v>
      </c>
      <c r="J1015" s="2" t="s">
        <v>126</v>
      </c>
      <c r="K1015" s="2" t="s">
        <v>234</v>
      </c>
      <c r="L1015" s="2">
        <v>4</v>
      </c>
      <c r="M1015" s="2">
        <v>824</v>
      </c>
      <c r="P1015" t="str">
        <f t="shared" si="63"/>
        <v>62%</v>
      </c>
      <c r="Q1015" s="12">
        <f t="shared" si="60"/>
        <v>0.62</v>
      </c>
      <c r="R1015" s="9">
        <f t="shared" si="61"/>
        <v>987.62000000000012</v>
      </c>
      <c r="S1015" s="9">
        <f>IF(R1015="",AVERAGEIF(Table1[Category],Table1[[#This Row],[Category]],Table2[orignal data]),Table2[[#This Row],[orignal data]])</f>
        <v>987.62000000000012</v>
      </c>
      <c r="T1015" t="str">
        <f t="shared" si="62"/>
        <v>UNIQUE</v>
      </c>
      <c r="U1015" t="str">
        <f>IF(ISBLANK(Table1[[#This Row],[SizeOption]]),"NOT AVAILABLE",Table1[[#This Row],[SizeOption]])</f>
        <v>S, M, L, XL, XXL, 3XL</v>
      </c>
      <c r="Y1015" t="str">
        <f>IF(Table2[[#This Row],[Column1]]&gt;50%,"HIGH DISCOUNT","LOW DISCOUNT")</f>
        <v>HIGH DISCOUNT</v>
      </c>
    </row>
    <row r="1016" spans="1:25" x14ac:dyDescent="0.25">
      <c r="A1016" s="1" t="s">
        <v>2323</v>
      </c>
      <c r="B1016" s="1">
        <v>14709964</v>
      </c>
      <c r="C1016" s="1" t="s">
        <v>1465</v>
      </c>
      <c r="D1016" s="1" t="s">
        <v>76</v>
      </c>
      <c r="E1016" s="1" t="s">
        <v>77</v>
      </c>
      <c r="F1016" s="1" t="s">
        <v>36</v>
      </c>
      <c r="G1016" s="1" t="s">
        <v>2324</v>
      </c>
      <c r="H1016">
        <v>1590</v>
      </c>
      <c r="I1016" s="1">
        <v>3699</v>
      </c>
      <c r="J1016" s="1" t="s">
        <v>130</v>
      </c>
      <c r="K1016" s="1" t="s">
        <v>234</v>
      </c>
      <c r="L1016" s="1">
        <v>4.4000000000000004</v>
      </c>
      <c r="M1016" s="1">
        <v>824</v>
      </c>
      <c r="P1016" t="str">
        <f t="shared" si="63"/>
        <v>57%</v>
      </c>
      <c r="Q1016" s="12">
        <f t="shared" si="60"/>
        <v>0.56999999999999995</v>
      </c>
      <c r="R1016" s="9">
        <f t="shared" si="61"/>
        <v>1590.5700000000002</v>
      </c>
      <c r="S1016" s="9">
        <f>IF(R1016="",AVERAGEIF(Table1[Category],Table1[[#This Row],[Category]],Table2[orignal data]),Table2[[#This Row],[orignal data]])</f>
        <v>1590.5700000000002</v>
      </c>
      <c r="T1016" t="str">
        <f t="shared" si="62"/>
        <v>UNIQUE</v>
      </c>
      <c r="U1016" t="str">
        <f>IF(ISBLANK(Table1[[#This Row],[SizeOption]]),"NOT AVAILABLE",Table1[[#This Row],[SizeOption]])</f>
        <v>S, M, L, XL, XXL, 3XL</v>
      </c>
      <c r="Y1016" t="str">
        <f>IF(Table2[[#This Row],[Column1]]&gt;50%,"HIGH DISCOUNT","LOW DISCOUNT")</f>
        <v>HIGH DISCOUNT</v>
      </c>
    </row>
    <row r="1017" spans="1:25" x14ac:dyDescent="0.25">
      <c r="A1017" s="2" t="s">
        <v>2325</v>
      </c>
      <c r="B1017" s="2">
        <v>13705898</v>
      </c>
      <c r="C1017" s="2" t="s">
        <v>1555</v>
      </c>
      <c r="D1017" s="2" t="s">
        <v>76</v>
      </c>
      <c r="E1017" s="2" t="s">
        <v>365</v>
      </c>
      <c r="F1017" s="2" t="s">
        <v>36</v>
      </c>
      <c r="G1017" s="2" t="s">
        <v>2326</v>
      </c>
      <c r="H1017">
        <v>579</v>
      </c>
      <c r="I1017" s="2">
        <v>999</v>
      </c>
      <c r="J1017" s="2" t="s">
        <v>2327</v>
      </c>
      <c r="K1017" s="2" t="s">
        <v>1558</v>
      </c>
      <c r="L1017" s="2">
        <v>4.2</v>
      </c>
      <c r="M1017" s="2">
        <v>824</v>
      </c>
      <c r="P1017" t="str">
        <f t="shared" si="63"/>
        <v>42%</v>
      </c>
      <c r="Q1017" s="12">
        <f t="shared" si="60"/>
        <v>0.42</v>
      </c>
      <c r="R1017" s="9">
        <f t="shared" si="61"/>
        <v>579.42000000000007</v>
      </c>
      <c r="S1017" s="9">
        <f>IF(R1017="",AVERAGEIF(Table1[Category],Table1[[#This Row],[Category]],Table2[orignal data]),Table2[[#This Row],[orignal data]])</f>
        <v>579.42000000000007</v>
      </c>
      <c r="T1017" t="str">
        <f t="shared" si="62"/>
        <v>UNIQUE</v>
      </c>
      <c r="U1017" t="str">
        <f>IF(ISBLANK(Table1[[#This Row],[SizeOption]]),"NOT AVAILABLE",Table1[[#This Row],[SizeOption]])</f>
        <v>XS, S, M, L, XL, XXL, 3XL, 4XL, 5XL, 6XL, 7XL, 8XL</v>
      </c>
      <c r="Y1017" t="str">
        <f>IF(Table2[[#This Row],[Column1]]&gt;50%,"HIGH DISCOUNT","LOW DISCOUNT")</f>
        <v>LOW DISCOUNT</v>
      </c>
    </row>
    <row r="1018" spans="1:25" x14ac:dyDescent="0.25">
      <c r="A1018" s="1" t="s">
        <v>2328</v>
      </c>
      <c r="B1018" s="1">
        <v>10958316</v>
      </c>
      <c r="C1018" s="1" t="s">
        <v>14</v>
      </c>
      <c r="D1018" s="1" t="s">
        <v>41</v>
      </c>
      <c r="E1018" s="1" t="s">
        <v>48</v>
      </c>
      <c r="F1018" s="1" t="s">
        <v>36</v>
      </c>
      <c r="G1018" s="1" t="s">
        <v>2329</v>
      </c>
      <c r="I1018" s="1">
        <v>1099</v>
      </c>
      <c r="J1018" s="1" t="s">
        <v>44</v>
      </c>
      <c r="K1018" s="1" t="s">
        <v>45</v>
      </c>
      <c r="L1018" s="1">
        <v>4.2</v>
      </c>
      <c r="M1018" s="1">
        <v>824</v>
      </c>
      <c r="P1018" t="str">
        <f t="shared" si="63"/>
        <v>35%</v>
      </c>
      <c r="Q1018" s="12">
        <f t="shared" si="60"/>
        <v>0.35</v>
      </c>
      <c r="R1018" s="9">
        <f t="shared" si="61"/>
        <v>714.35</v>
      </c>
      <c r="S1018" s="9">
        <f>IF(R1018="",AVERAGEIF(Table1[Category],Table1[[#This Row],[Category]],Table2[orignal data]),Table2[[#This Row],[orignal data]])</f>
        <v>714.35</v>
      </c>
      <c r="T1018" t="str">
        <f t="shared" si="62"/>
        <v>UNIQUE</v>
      </c>
      <c r="U1018" t="str">
        <f>IF(ISBLANK(Table1[[#This Row],[SizeOption]]),"NOT AVAILABLE",Table1[[#This Row],[SizeOption]])</f>
        <v>XS, S, M, L, XL</v>
      </c>
      <c r="Y1018" t="str">
        <f>IF(Table2[[#This Row],[Column1]]&gt;50%,"HIGH DISCOUNT","LOW DISCOUNT")</f>
        <v>LOW DISCOUNT</v>
      </c>
    </row>
    <row r="1019" spans="1:25" x14ac:dyDescent="0.25">
      <c r="A1019" s="2" t="s">
        <v>2330</v>
      </c>
      <c r="B1019" s="2">
        <v>11002760</v>
      </c>
      <c r="C1019" s="2" t="s">
        <v>107</v>
      </c>
      <c r="D1019" s="2" t="s">
        <v>41</v>
      </c>
      <c r="E1019" s="2" t="s">
        <v>148</v>
      </c>
      <c r="F1019" s="2" t="s">
        <v>36</v>
      </c>
      <c r="G1019" s="2" t="s">
        <v>2331</v>
      </c>
      <c r="I1019" s="2">
        <v>1599</v>
      </c>
      <c r="J1019" s="2" t="s">
        <v>25</v>
      </c>
      <c r="K1019" s="2" t="s">
        <v>45</v>
      </c>
      <c r="L1019" s="2">
        <v>4.4000000000000004</v>
      </c>
      <c r="M1019" s="2">
        <v>824</v>
      </c>
      <c r="P1019" t="str">
        <f t="shared" si="63"/>
        <v>55%</v>
      </c>
      <c r="Q1019" s="12">
        <f t="shared" si="60"/>
        <v>0.55000000000000004</v>
      </c>
      <c r="R1019" s="9">
        <f t="shared" si="61"/>
        <v>719.55</v>
      </c>
      <c r="S1019" s="9">
        <f>IF(R1019="",AVERAGEIF(Table1[Category],Table1[[#This Row],[Category]],Table2[orignal data]),Table2[[#This Row],[orignal data]])</f>
        <v>719.55</v>
      </c>
      <c r="T1019" t="str">
        <f t="shared" si="62"/>
        <v>UNIQUE</v>
      </c>
      <c r="U1019" t="str">
        <f>IF(ISBLANK(Table1[[#This Row],[SizeOption]]),"NOT AVAILABLE",Table1[[#This Row],[SizeOption]])</f>
        <v>XS, S, M, L, XL</v>
      </c>
      <c r="Y1019" t="str">
        <f>IF(Table2[[#This Row],[Column1]]&gt;50%,"HIGH DISCOUNT","LOW DISCOUNT")</f>
        <v>HIGH DISCOUNT</v>
      </c>
    </row>
    <row r="1020" spans="1:25" x14ac:dyDescent="0.25">
      <c r="A1020" s="1" t="s">
        <v>2332</v>
      </c>
      <c r="B1020" s="1">
        <v>11185036</v>
      </c>
      <c r="C1020" s="1" t="s">
        <v>47</v>
      </c>
      <c r="D1020" s="1" t="s">
        <v>41</v>
      </c>
      <c r="E1020" s="1" t="s">
        <v>42</v>
      </c>
      <c r="F1020" s="1" t="s">
        <v>36</v>
      </c>
      <c r="G1020" s="1" t="s">
        <v>2333</v>
      </c>
      <c r="I1020" s="1">
        <v>899</v>
      </c>
      <c r="J1020" s="1" t="s">
        <v>577</v>
      </c>
      <c r="K1020" s="1" t="s">
        <v>45</v>
      </c>
      <c r="L1020" s="1">
        <v>4.3</v>
      </c>
      <c r="M1020" s="1">
        <v>824</v>
      </c>
      <c r="P1020" t="str">
        <f t="shared" si="63"/>
        <v>400</v>
      </c>
      <c r="Q1020" s="12">
        <f t="shared" si="60"/>
        <v>0.44493882091212456</v>
      </c>
      <c r="R1020" s="9">
        <f t="shared" si="61"/>
        <v>499</v>
      </c>
      <c r="S1020" s="9">
        <f>IF(R1020="",AVERAGEIF(Table1[Category],Table1[[#This Row],[Category]],Table2[orignal data]),Table2[[#This Row],[orignal data]])</f>
        <v>499</v>
      </c>
      <c r="T1020" t="str">
        <f t="shared" si="62"/>
        <v>UNIQUE</v>
      </c>
      <c r="U1020" t="str">
        <f>IF(ISBLANK(Table1[[#This Row],[SizeOption]]),"NOT AVAILABLE",Table1[[#This Row],[SizeOption]])</f>
        <v>XS, S, M, L, XL</v>
      </c>
      <c r="Y1020" t="str">
        <f>IF(Table2[[#This Row],[Column1]]&gt;50%,"HIGH DISCOUNT","LOW DISCOUNT")</f>
        <v>LOW DISCOUNT</v>
      </c>
    </row>
    <row r="1021" spans="1:25" x14ac:dyDescent="0.25">
      <c r="A1021" s="2" t="s">
        <v>2334</v>
      </c>
      <c r="B1021" s="2">
        <v>10967402</v>
      </c>
      <c r="C1021" s="2" t="s">
        <v>14</v>
      </c>
      <c r="D1021" s="2" t="s">
        <v>41</v>
      </c>
      <c r="E1021" s="2" t="s">
        <v>579</v>
      </c>
      <c r="F1021" s="2" t="s">
        <v>36</v>
      </c>
      <c r="G1021" s="2" t="s">
        <v>2335</v>
      </c>
      <c r="I1021" s="2">
        <v>999</v>
      </c>
      <c r="J1021" s="2" t="s">
        <v>44</v>
      </c>
      <c r="K1021" s="2" t="s">
        <v>134</v>
      </c>
      <c r="L1021" s="2">
        <v>4.3</v>
      </c>
      <c r="M1021" s="2">
        <v>824</v>
      </c>
      <c r="P1021" t="str">
        <f t="shared" si="63"/>
        <v>35%</v>
      </c>
      <c r="Q1021" s="12">
        <f t="shared" si="60"/>
        <v>0.35</v>
      </c>
      <c r="R1021" s="9">
        <f t="shared" si="61"/>
        <v>649.35</v>
      </c>
      <c r="S1021" s="9">
        <f>IF(R1021="",AVERAGEIF(Table1[Category],Table1[[#This Row],[Category]],Table2[orignal data]),Table2[[#This Row],[orignal data]])</f>
        <v>649.35</v>
      </c>
      <c r="T1021" t="str">
        <f t="shared" si="62"/>
        <v>UNIQUE</v>
      </c>
      <c r="U1021" t="str">
        <f>IF(ISBLANK(Table1[[#This Row],[SizeOption]]),"NOT AVAILABLE",Table1[[#This Row],[SizeOption]])</f>
        <v>26, 28, 30, 32, 34, 36</v>
      </c>
      <c r="Y1021" t="str">
        <f>IF(Table2[[#This Row],[Column1]]&gt;50%,"HIGH DISCOUNT","LOW DISCOUNT")</f>
        <v>LOW DISCOUNT</v>
      </c>
    </row>
    <row r="1022" spans="1:25" x14ac:dyDescent="0.25">
      <c r="A1022" s="1" t="s">
        <v>2336</v>
      </c>
      <c r="B1022" s="1">
        <v>14067762</v>
      </c>
      <c r="C1022" s="1" t="s">
        <v>52</v>
      </c>
      <c r="D1022" s="1" t="s">
        <v>15</v>
      </c>
      <c r="E1022" s="1" t="s">
        <v>23</v>
      </c>
      <c r="F1022" s="1" t="s">
        <v>17</v>
      </c>
      <c r="G1022" s="1" t="s">
        <v>2337</v>
      </c>
      <c r="H1022">
        <v>441</v>
      </c>
      <c r="I1022" s="1">
        <v>849</v>
      </c>
      <c r="J1022" s="1" t="s">
        <v>602</v>
      </c>
      <c r="K1022" s="1" t="s">
        <v>26</v>
      </c>
      <c r="L1022" s="1">
        <v>4.0999999999999996</v>
      </c>
      <c r="M1022" s="1">
        <v>823</v>
      </c>
      <c r="P1022" t="str">
        <f t="shared" si="63"/>
        <v>48%</v>
      </c>
      <c r="Q1022" s="12">
        <f t="shared" si="60"/>
        <v>0.48</v>
      </c>
      <c r="R1022" s="9">
        <f t="shared" si="61"/>
        <v>441.48</v>
      </c>
      <c r="S1022" s="9">
        <f>IF(R1022="",AVERAGEIF(Table1[Category],Table1[[#This Row],[Category]],Table2[orignal data]),Table2[[#This Row],[orignal data]])</f>
        <v>441.48</v>
      </c>
      <c r="T1022" t="str">
        <f t="shared" si="62"/>
        <v>UNIQUE</v>
      </c>
      <c r="U1022" t="str">
        <f>IF(ISBLANK(Table1[[#This Row],[SizeOption]]),"NOT AVAILABLE",Table1[[#This Row],[SizeOption]])</f>
        <v>S, M, L, XL</v>
      </c>
      <c r="Y1022" t="str">
        <f>IF(Table2[[#This Row],[Column1]]&gt;50%,"HIGH DISCOUNT","LOW DISCOUNT")</f>
        <v>LOW DISCOUNT</v>
      </c>
    </row>
    <row r="1023" spans="1:25" x14ac:dyDescent="0.25">
      <c r="A1023" s="2" t="s">
        <v>2338</v>
      </c>
      <c r="B1023" s="2">
        <v>7149893</v>
      </c>
      <c r="C1023" s="2" t="s">
        <v>1299</v>
      </c>
      <c r="D1023" s="2" t="s">
        <v>15</v>
      </c>
      <c r="E1023" s="2" t="s">
        <v>53</v>
      </c>
      <c r="F1023" s="2" t="s">
        <v>17</v>
      </c>
      <c r="G1023" s="2" t="s">
        <v>2339</v>
      </c>
      <c r="H1023">
        <v>1199</v>
      </c>
      <c r="I1023" s="2">
        <v>2399</v>
      </c>
      <c r="J1023" s="2" t="s">
        <v>84</v>
      </c>
      <c r="K1023" s="2" t="s">
        <v>56</v>
      </c>
      <c r="L1023" s="2">
        <v>4</v>
      </c>
      <c r="M1023" s="2">
        <v>823</v>
      </c>
      <c r="P1023" t="str">
        <f t="shared" si="63"/>
        <v>50%</v>
      </c>
      <c r="Q1023" s="12">
        <f t="shared" si="60"/>
        <v>0.5</v>
      </c>
      <c r="R1023" s="9">
        <f t="shared" si="61"/>
        <v>1199.5</v>
      </c>
      <c r="S1023" s="9">
        <f>IF(R1023="",AVERAGEIF(Table1[Category],Table1[[#This Row],[Category]],Table2[orignal data]),Table2[[#This Row],[orignal data]])</f>
        <v>1199.5</v>
      </c>
      <c r="T1023" t="str">
        <f t="shared" si="62"/>
        <v>UNIQUE</v>
      </c>
      <c r="U1023" t="str">
        <f>IF(ISBLANK(Table1[[#This Row],[SizeOption]]),"NOT AVAILABLE",Table1[[#This Row],[SizeOption]])</f>
        <v>30, 32, 34, 36</v>
      </c>
      <c r="Y1023" t="str">
        <f>IF(Table2[[#This Row],[Column1]]&gt;50%,"HIGH DISCOUNT","LOW DISCOUNT")</f>
        <v>LOW DISCOUNT</v>
      </c>
    </row>
    <row r="1024" spans="1:25" x14ac:dyDescent="0.25">
      <c r="A1024" s="1" t="s">
        <v>2340</v>
      </c>
      <c r="B1024" s="1">
        <v>11812532</v>
      </c>
      <c r="C1024" s="1" t="s">
        <v>935</v>
      </c>
      <c r="D1024" s="1" t="s">
        <v>76</v>
      </c>
      <c r="E1024" s="1" t="s">
        <v>77</v>
      </c>
      <c r="F1024" s="1" t="s">
        <v>17</v>
      </c>
      <c r="G1024" s="1" t="s">
        <v>2341</v>
      </c>
      <c r="H1024">
        <v>959</v>
      </c>
      <c r="I1024" s="1">
        <v>2999</v>
      </c>
      <c r="J1024" s="1" t="s">
        <v>839</v>
      </c>
      <c r="K1024" s="1" t="s">
        <v>881</v>
      </c>
      <c r="L1024" s="1">
        <v>4.2</v>
      </c>
      <c r="M1024" s="1">
        <v>823</v>
      </c>
      <c r="P1024" t="str">
        <f t="shared" si="63"/>
        <v>68%</v>
      </c>
      <c r="Q1024" s="12">
        <f t="shared" si="60"/>
        <v>0.68</v>
      </c>
      <c r="R1024" s="9">
        <f t="shared" si="61"/>
        <v>959.67999999999984</v>
      </c>
      <c r="S1024" s="9">
        <f>IF(R1024="",AVERAGEIF(Table1[Category],Table1[[#This Row],[Category]],Table2[orignal data]),Table2[[#This Row],[orignal data]])</f>
        <v>959.67999999999984</v>
      </c>
      <c r="T1024" t="str">
        <f t="shared" si="62"/>
        <v>UNIQUE</v>
      </c>
      <c r="U1024" t="str">
        <f>IF(ISBLANK(Table1[[#This Row],[SizeOption]]),"NOT AVAILABLE",Table1[[#This Row],[SizeOption]])</f>
        <v>M, L, XL, XXL</v>
      </c>
      <c r="Y1024" t="str">
        <f>IF(Table2[[#This Row],[Column1]]&gt;50%,"HIGH DISCOUNT","LOW DISCOUNT")</f>
        <v>HIGH DISCOUNT</v>
      </c>
    </row>
    <row r="1025" spans="1:25" x14ac:dyDescent="0.25">
      <c r="A1025" s="2" t="s">
        <v>2342</v>
      </c>
      <c r="B1025" s="2">
        <v>14811424</v>
      </c>
      <c r="C1025" s="2" t="s">
        <v>420</v>
      </c>
      <c r="D1025" s="2" t="s">
        <v>28</v>
      </c>
      <c r="E1025" s="2" t="s">
        <v>29</v>
      </c>
      <c r="F1025" s="2" t="s">
        <v>17</v>
      </c>
      <c r="G1025" s="2" t="s">
        <v>2343</v>
      </c>
      <c r="H1025">
        <v>749</v>
      </c>
      <c r="I1025" s="2">
        <v>1499</v>
      </c>
      <c r="J1025" s="2" t="s">
        <v>84</v>
      </c>
      <c r="K1025" s="2" t="s">
        <v>253</v>
      </c>
      <c r="L1025" s="2">
        <v>4.3</v>
      </c>
      <c r="M1025" s="2">
        <v>823</v>
      </c>
      <c r="P1025" t="str">
        <f t="shared" si="63"/>
        <v>50%</v>
      </c>
      <c r="Q1025" s="12">
        <f t="shared" si="60"/>
        <v>0.5</v>
      </c>
      <c r="R1025" s="9">
        <f t="shared" si="61"/>
        <v>749.5</v>
      </c>
      <c r="S1025" s="9">
        <f>IF(R1025="",AVERAGEIF(Table1[Category],Table1[[#This Row],[Category]],Table2[orignal data]),Table2[[#This Row],[orignal data]])</f>
        <v>749.5</v>
      </c>
      <c r="T1025" t="str">
        <f t="shared" si="62"/>
        <v>UNIQUE</v>
      </c>
      <c r="U1025" t="str">
        <f>IF(ISBLANK(Table1[[#This Row],[SizeOption]]),"NOT AVAILABLE",Table1[[#This Row],[SizeOption]])</f>
        <v>38, 40, 42, 44</v>
      </c>
      <c r="Y1025" t="str">
        <f>IF(Table2[[#This Row],[Column1]]&gt;50%,"HIGH DISCOUNT","LOW DISCOUNT")</f>
        <v>LOW DISCOUNT</v>
      </c>
    </row>
    <row r="1026" spans="1:25" x14ac:dyDescent="0.25">
      <c r="A1026" s="1" t="s">
        <v>2344</v>
      </c>
      <c r="B1026" s="1">
        <v>10617886</v>
      </c>
      <c r="C1026" s="1" t="s">
        <v>14</v>
      </c>
      <c r="D1026" s="1" t="s">
        <v>28</v>
      </c>
      <c r="E1026" s="1" t="s">
        <v>189</v>
      </c>
      <c r="F1026" s="1" t="s">
        <v>17</v>
      </c>
      <c r="G1026" s="1" t="s">
        <v>2345</v>
      </c>
      <c r="H1026">
        <v>874</v>
      </c>
      <c r="I1026" s="1">
        <v>3499</v>
      </c>
      <c r="J1026" s="1" t="s">
        <v>109</v>
      </c>
      <c r="K1026" s="1" t="s">
        <v>234</v>
      </c>
      <c r="L1026" s="1">
        <v>4.0999999999999996</v>
      </c>
      <c r="M1026" s="1">
        <v>823</v>
      </c>
      <c r="P1026" t="str">
        <f t="shared" si="63"/>
        <v>75%</v>
      </c>
      <c r="Q1026" s="12">
        <f t="shared" ref="Q1026:Q1089" si="64">IF(P1026="","",IF(ISNUMBER(SEARCH("%",P1026)),P1026,P1026/I1026)*100%)</f>
        <v>0.75</v>
      </c>
      <c r="R1026" s="9">
        <f t="shared" ref="R1026:R1089" si="65">IF(P1026="","",I1026-(I1026*Q1026))</f>
        <v>874.75</v>
      </c>
      <c r="S1026" s="9">
        <f>IF(R1026="",AVERAGEIF(Table1[Category],Table1[[#This Row],[Category]],Table2[orignal data]),Table2[[#This Row],[orignal data]])</f>
        <v>874.75</v>
      </c>
      <c r="T1026" t="str">
        <f t="shared" ref="T1026:T1089" si="66">IF(COUNTIF($B$2:$B$5000,B1026)&gt;1,"DUPLICATE","UNIQUE")</f>
        <v>UNIQUE</v>
      </c>
      <c r="U1026" t="str">
        <f>IF(ISBLANK(Table1[[#This Row],[SizeOption]]),"NOT AVAILABLE",Table1[[#This Row],[SizeOption]])</f>
        <v>S, M, L, XL, XXL, 3XL</v>
      </c>
      <c r="Y1026" t="str">
        <f>IF(Table2[[#This Row],[Column1]]&gt;50%,"HIGH DISCOUNT","LOW DISCOUNT")</f>
        <v>HIGH DISCOUNT</v>
      </c>
    </row>
    <row r="1027" spans="1:25" x14ac:dyDescent="0.25">
      <c r="A1027" s="2" t="s">
        <v>2346</v>
      </c>
      <c r="B1027" s="2">
        <v>11215738</v>
      </c>
      <c r="C1027" s="2" t="s">
        <v>2347</v>
      </c>
      <c r="D1027" s="2" t="s">
        <v>76</v>
      </c>
      <c r="E1027" s="2" t="s">
        <v>93</v>
      </c>
      <c r="F1027" s="2" t="s">
        <v>36</v>
      </c>
      <c r="G1027" s="2" t="s">
        <v>2348</v>
      </c>
      <c r="H1027">
        <v>495</v>
      </c>
      <c r="I1027" s="2">
        <v>2750</v>
      </c>
      <c r="J1027" s="2" t="s">
        <v>2349</v>
      </c>
      <c r="K1027" s="2" t="s">
        <v>39</v>
      </c>
      <c r="L1027" s="2">
        <v>3.7</v>
      </c>
      <c r="M1027" s="2">
        <v>823</v>
      </c>
      <c r="P1027" t="str">
        <f t="shared" ref="P1027:P1090" si="67">TRIM(SUBSTITUTE(SUBSTITUTE(SUBSTITUTE(SUBSTITUTE(J1027,"OFF",""),"Rs.",""),"Hurry*",""),",",""))</f>
        <v>82%</v>
      </c>
      <c r="Q1027" s="12">
        <f t="shared" si="64"/>
        <v>0.82</v>
      </c>
      <c r="R1027" s="9">
        <f t="shared" si="65"/>
        <v>495</v>
      </c>
      <c r="S1027" s="9">
        <f>IF(R1027="",AVERAGEIF(Table1[Category],Table1[[#This Row],[Category]],Table2[orignal data]),Table2[[#This Row],[orignal data]])</f>
        <v>495</v>
      </c>
      <c r="T1027" t="str">
        <f t="shared" si="66"/>
        <v>UNIQUE</v>
      </c>
      <c r="U1027" t="str">
        <f>IF(ISBLANK(Table1[[#This Row],[SizeOption]]),"NOT AVAILABLE",Table1[[#This Row],[SizeOption]])</f>
        <v>S, M, L, XL, XXL</v>
      </c>
      <c r="Y1027" t="str">
        <f>IF(Table2[[#This Row],[Column1]]&gt;50%,"HIGH DISCOUNT","LOW DISCOUNT")</f>
        <v>HIGH DISCOUNT</v>
      </c>
    </row>
    <row r="1028" spans="1:25" x14ac:dyDescent="0.25">
      <c r="A1028" s="1" t="s">
        <v>2350</v>
      </c>
      <c r="B1028" s="1">
        <v>2383795</v>
      </c>
      <c r="C1028" s="1" t="s">
        <v>64</v>
      </c>
      <c r="D1028" s="1" t="s">
        <v>98</v>
      </c>
      <c r="E1028" s="1" t="s">
        <v>16</v>
      </c>
      <c r="F1028" s="1" t="s">
        <v>36</v>
      </c>
      <c r="G1028" s="1" t="s">
        <v>2351</v>
      </c>
      <c r="H1028">
        <v>539</v>
      </c>
      <c r="I1028" s="1">
        <v>1799</v>
      </c>
      <c r="J1028" s="1" t="s">
        <v>1566</v>
      </c>
      <c r="K1028" s="1" t="s">
        <v>643</v>
      </c>
      <c r="L1028" s="1">
        <v>3.9</v>
      </c>
      <c r="M1028" s="1">
        <v>823</v>
      </c>
      <c r="P1028" t="str">
        <f t="shared" si="67"/>
        <v>70%</v>
      </c>
      <c r="Q1028" s="12">
        <f t="shared" si="64"/>
        <v>0.7</v>
      </c>
      <c r="R1028" s="9">
        <f t="shared" si="65"/>
        <v>539.70000000000005</v>
      </c>
      <c r="S1028" s="9">
        <f>IF(R1028="",AVERAGEIF(Table1[Category],Table1[[#This Row],[Category]],Table2[orignal data]),Table2[[#This Row],[orignal data]])</f>
        <v>539.70000000000005</v>
      </c>
      <c r="T1028" t="str">
        <f t="shared" si="66"/>
        <v>UNIQUE</v>
      </c>
      <c r="U1028" t="str">
        <f>IF(ISBLANK(Table1[[#This Row],[SizeOption]]),"NOT AVAILABLE",Table1[[#This Row],[SizeOption]])</f>
        <v>26, 28, 30, 32, 34, 36, 38, 40</v>
      </c>
      <c r="Y1028" t="str">
        <f>IF(Table2[[#This Row],[Column1]]&gt;50%,"HIGH DISCOUNT","LOW DISCOUNT")</f>
        <v>HIGH DISCOUNT</v>
      </c>
    </row>
    <row r="1029" spans="1:25" x14ac:dyDescent="0.25">
      <c r="A1029" s="2" t="s">
        <v>2352</v>
      </c>
      <c r="B1029" s="2">
        <v>10019827</v>
      </c>
      <c r="C1029" s="2" t="s">
        <v>2353</v>
      </c>
      <c r="D1029" s="2" t="s">
        <v>41</v>
      </c>
      <c r="E1029" s="2" t="s">
        <v>48</v>
      </c>
      <c r="F1029" s="2" t="s">
        <v>36</v>
      </c>
      <c r="G1029" s="2" t="s">
        <v>2354</v>
      </c>
      <c r="I1029" s="2">
        <v>1490</v>
      </c>
      <c r="J1029" s="2" t="s">
        <v>55</v>
      </c>
      <c r="K1029" s="2" t="s">
        <v>45</v>
      </c>
      <c r="L1029" s="2">
        <v>3.9</v>
      </c>
      <c r="M1029" s="2">
        <v>823</v>
      </c>
      <c r="P1029" t="str">
        <f t="shared" si="67"/>
        <v>60%</v>
      </c>
      <c r="Q1029" s="12">
        <f t="shared" si="64"/>
        <v>0.6</v>
      </c>
      <c r="R1029" s="9">
        <f t="shared" si="65"/>
        <v>596</v>
      </c>
      <c r="S1029" s="9">
        <f>IF(R1029="",AVERAGEIF(Table1[Category],Table1[[#This Row],[Category]],Table2[orignal data]),Table2[[#This Row],[orignal data]])</f>
        <v>596</v>
      </c>
      <c r="T1029" t="str">
        <f t="shared" si="66"/>
        <v>UNIQUE</v>
      </c>
      <c r="U1029" t="str">
        <f>IF(ISBLANK(Table1[[#This Row],[SizeOption]]),"NOT AVAILABLE",Table1[[#This Row],[SizeOption]])</f>
        <v>XS, S, M, L, XL</v>
      </c>
      <c r="Y1029" t="str">
        <f>IF(Table2[[#This Row],[Column1]]&gt;50%,"HIGH DISCOUNT","LOW DISCOUNT")</f>
        <v>HIGH DISCOUNT</v>
      </c>
    </row>
    <row r="1030" spans="1:25" x14ac:dyDescent="0.25">
      <c r="A1030" s="1" t="s">
        <v>2355</v>
      </c>
      <c r="B1030" s="1">
        <v>9341667</v>
      </c>
      <c r="C1030" s="1" t="s">
        <v>676</v>
      </c>
      <c r="D1030" s="1" t="s">
        <v>41</v>
      </c>
      <c r="E1030" s="1" t="s">
        <v>48</v>
      </c>
      <c r="F1030" s="1" t="s">
        <v>36</v>
      </c>
      <c r="G1030" s="1" t="s">
        <v>677</v>
      </c>
      <c r="I1030" s="1">
        <v>1998</v>
      </c>
      <c r="J1030" s="1" t="s">
        <v>84</v>
      </c>
      <c r="K1030" s="1" t="s">
        <v>26</v>
      </c>
      <c r="L1030" s="1">
        <v>4.2</v>
      </c>
      <c r="M1030" s="1">
        <v>823</v>
      </c>
      <c r="P1030" t="str">
        <f t="shared" si="67"/>
        <v>50%</v>
      </c>
      <c r="Q1030" s="12">
        <f t="shared" si="64"/>
        <v>0.5</v>
      </c>
      <c r="R1030" s="9">
        <f t="shared" si="65"/>
        <v>999</v>
      </c>
      <c r="S1030" s="9">
        <f>IF(R1030="",AVERAGEIF(Table1[Category],Table1[[#This Row],[Category]],Table2[orignal data]),Table2[[#This Row],[orignal data]])</f>
        <v>999</v>
      </c>
      <c r="T1030" t="str">
        <f t="shared" si="66"/>
        <v>UNIQUE</v>
      </c>
      <c r="U1030" t="str">
        <f>IF(ISBLANK(Table1[[#This Row],[SizeOption]]),"NOT AVAILABLE",Table1[[#This Row],[SizeOption]])</f>
        <v>S, M, L, XL</v>
      </c>
      <c r="Y1030" t="str">
        <f>IF(Table2[[#This Row],[Column1]]&gt;50%,"HIGH DISCOUNT","LOW DISCOUNT")</f>
        <v>LOW DISCOUNT</v>
      </c>
    </row>
    <row r="1031" spans="1:25" x14ac:dyDescent="0.25">
      <c r="A1031" s="2" t="s">
        <v>2356</v>
      </c>
      <c r="B1031" s="2">
        <v>7326497</v>
      </c>
      <c r="C1031" s="2" t="s">
        <v>558</v>
      </c>
      <c r="D1031" s="2" t="s">
        <v>41</v>
      </c>
      <c r="E1031" s="2" t="s">
        <v>148</v>
      </c>
      <c r="F1031" s="2" t="s">
        <v>36</v>
      </c>
      <c r="G1031" s="2" t="s">
        <v>2357</v>
      </c>
      <c r="I1031" s="2">
        <v>2699</v>
      </c>
      <c r="J1031" s="2" t="s">
        <v>50</v>
      </c>
      <c r="K1031" s="2" t="s">
        <v>115</v>
      </c>
      <c r="L1031" s="2">
        <v>4.4000000000000004</v>
      </c>
      <c r="M1031" s="2">
        <v>823</v>
      </c>
      <c r="P1031" t="str">
        <f t="shared" si="67"/>
        <v>40%</v>
      </c>
      <c r="Q1031" s="12">
        <f t="shared" si="64"/>
        <v>0.4</v>
      </c>
      <c r="R1031" s="9">
        <f t="shared" si="65"/>
        <v>1619.3999999999999</v>
      </c>
      <c r="S1031" s="9">
        <f>IF(R1031="",AVERAGEIF(Table1[Category],Table1[[#This Row],[Category]],Table2[orignal data]),Table2[[#This Row],[orignal data]])</f>
        <v>1619.3999999999999</v>
      </c>
      <c r="T1031" t="str">
        <f t="shared" si="66"/>
        <v>UNIQUE</v>
      </c>
      <c r="U1031" t="str">
        <f>IF(ISBLANK(Table1[[#This Row],[SizeOption]]),"NOT AVAILABLE",Table1[[#This Row],[SizeOption]])</f>
        <v>XS, S, M, L, XL, XXL</v>
      </c>
      <c r="Y1031" t="str">
        <f>IF(Table2[[#This Row],[Column1]]&gt;50%,"HIGH DISCOUNT","LOW DISCOUNT")</f>
        <v>LOW DISCOUNT</v>
      </c>
    </row>
    <row r="1032" spans="1:25" x14ac:dyDescent="0.25">
      <c r="A1032" s="1" t="s">
        <v>2358</v>
      </c>
      <c r="B1032" s="1">
        <v>17384198</v>
      </c>
      <c r="C1032" s="1" t="s">
        <v>14</v>
      </c>
      <c r="D1032" s="1" t="s">
        <v>41</v>
      </c>
      <c r="E1032" s="1" t="s">
        <v>42</v>
      </c>
      <c r="F1032" s="1" t="s">
        <v>36</v>
      </c>
      <c r="G1032" s="1" t="s">
        <v>2359</v>
      </c>
      <c r="I1032" s="1">
        <v>1398</v>
      </c>
      <c r="J1032" s="1"/>
      <c r="K1032" s="1" t="s">
        <v>45</v>
      </c>
      <c r="L1032" s="1">
        <v>4.0999999999999996</v>
      </c>
      <c r="M1032" s="1">
        <v>823</v>
      </c>
      <c r="P1032" t="str">
        <f t="shared" si="67"/>
        <v/>
      </c>
      <c r="Q1032" s="12" t="str">
        <f t="shared" si="64"/>
        <v/>
      </c>
      <c r="R1032" s="9" t="str">
        <f t="shared" si="65"/>
        <v/>
      </c>
      <c r="S1032" s="9">
        <f>IF(R1032="",AVERAGEIF(Table1[Category],Table1[[#This Row],[Category]],Table2[orignal data]),Table2[[#This Row],[orignal data]])</f>
        <v>715.78890751086249</v>
      </c>
      <c r="T1032" t="str">
        <f t="shared" si="66"/>
        <v>UNIQUE</v>
      </c>
      <c r="U1032" t="str">
        <f>IF(ISBLANK(Table1[[#This Row],[SizeOption]]),"NOT AVAILABLE",Table1[[#This Row],[SizeOption]])</f>
        <v>XS, S, M, L, XL</v>
      </c>
      <c r="Y1032" t="str">
        <f>IF(Table2[[#This Row],[Column1]]&gt;50%,"HIGH DISCOUNT","LOW DISCOUNT")</f>
        <v>HIGH DISCOUNT</v>
      </c>
    </row>
    <row r="1033" spans="1:25" x14ac:dyDescent="0.25">
      <c r="A1033" s="2" t="s">
        <v>2360</v>
      </c>
      <c r="B1033" s="2">
        <v>11659964</v>
      </c>
      <c r="C1033" s="2" t="s">
        <v>14</v>
      </c>
      <c r="D1033" s="2" t="s">
        <v>28</v>
      </c>
      <c r="E1033" s="2" t="s">
        <v>42</v>
      </c>
      <c r="F1033" s="2" t="s">
        <v>17</v>
      </c>
      <c r="G1033" s="2" t="s">
        <v>2361</v>
      </c>
      <c r="H1033">
        <v>499</v>
      </c>
      <c r="I1033" s="2">
        <v>999</v>
      </c>
      <c r="J1033" s="2" t="s">
        <v>84</v>
      </c>
      <c r="K1033" s="2" t="s">
        <v>73</v>
      </c>
      <c r="L1033" s="2">
        <v>4.3</v>
      </c>
      <c r="M1033" s="2">
        <v>822</v>
      </c>
      <c r="P1033" t="str">
        <f t="shared" si="67"/>
        <v>50%</v>
      </c>
      <c r="Q1033" s="12">
        <f t="shared" si="64"/>
        <v>0.5</v>
      </c>
      <c r="R1033" s="9">
        <f t="shared" si="65"/>
        <v>499.5</v>
      </c>
      <c r="S1033" s="9">
        <f>IF(R1033="",AVERAGEIF(Table1[Category],Table1[[#This Row],[Category]],Table2[orignal data]),Table2[[#This Row],[orignal data]])</f>
        <v>499.5</v>
      </c>
      <c r="T1033" t="str">
        <f t="shared" si="66"/>
        <v>UNIQUE</v>
      </c>
      <c r="U1033" t="str">
        <f>IF(ISBLANK(Table1[[#This Row],[SizeOption]]),"NOT AVAILABLE",Table1[[#This Row],[SizeOption]])</f>
        <v>XS, S, M, L, XL, XXL, 3XL, 4XL</v>
      </c>
      <c r="Y1033" t="str">
        <f>IF(Table2[[#This Row],[Column1]]&gt;50%,"HIGH DISCOUNT","LOW DISCOUNT")</f>
        <v>LOW DISCOUNT</v>
      </c>
    </row>
    <row r="1034" spans="1:25" x14ac:dyDescent="0.25">
      <c r="A1034" s="1" t="s">
        <v>2362</v>
      </c>
      <c r="B1034" s="1">
        <v>2528692</v>
      </c>
      <c r="C1034" s="1" t="s">
        <v>201</v>
      </c>
      <c r="D1034" s="1" t="s">
        <v>76</v>
      </c>
      <c r="E1034" s="1" t="s">
        <v>93</v>
      </c>
      <c r="F1034" s="1" t="s">
        <v>36</v>
      </c>
      <c r="G1034" s="1" t="s">
        <v>2363</v>
      </c>
      <c r="H1034">
        <v>809</v>
      </c>
      <c r="I1034" s="1">
        <v>1799</v>
      </c>
      <c r="J1034" s="1" t="s">
        <v>25</v>
      </c>
      <c r="K1034" s="1" t="s">
        <v>100</v>
      </c>
      <c r="L1034" s="1">
        <v>4.0999999999999996</v>
      </c>
      <c r="M1034" s="1">
        <v>822</v>
      </c>
      <c r="P1034" t="str">
        <f t="shared" si="67"/>
        <v>55%</v>
      </c>
      <c r="Q1034" s="12">
        <f t="shared" si="64"/>
        <v>0.55000000000000004</v>
      </c>
      <c r="R1034" s="9">
        <f t="shared" si="65"/>
        <v>809.55</v>
      </c>
      <c r="S1034" s="9">
        <f>IF(R1034="",AVERAGEIF(Table1[Category],Table1[[#This Row],[Category]],Table2[orignal data]),Table2[[#This Row],[orignal data]])</f>
        <v>809.55</v>
      </c>
      <c r="T1034" t="str">
        <f t="shared" si="66"/>
        <v>UNIQUE</v>
      </c>
      <c r="U1034" t="str">
        <f>IF(ISBLANK(Table1[[#This Row],[SizeOption]]),"NOT AVAILABLE",Table1[[#This Row],[SizeOption]])</f>
        <v>XS, S, M, L, XL, XXL, 3XL</v>
      </c>
      <c r="Y1034" t="str">
        <f>IF(Table2[[#This Row],[Column1]]&gt;50%,"HIGH DISCOUNT","LOW DISCOUNT")</f>
        <v>HIGH DISCOUNT</v>
      </c>
    </row>
    <row r="1035" spans="1:25" x14ac:dyDescent="0.25">
      <c r="A1035" s="2" t="s">
        <v>2364</v>
      </c>
      <c r="B1035" s="2">
        <v>8500553</v>
      </c>
      <c r="C1035" s="2" t="s">
        <v>102</v>
      </c>
      <c r="D1035" s="2" t="s">
        <v>41</v>
      </c>
      <c r="E1035" s="2" t="s">
        <v>48</v>
      </c>
      <c r="F1035" s="2" t="s">
        <v>36</v>
      </c>
      <c r="G1035" s="2" t="s">
        <v>2365</v>
      </c>
      <c r="I1035" s="2">
        <v>1149</v>
      </c>
      <c r="J1035" s="2" t="s">
        <v>126</v>
      </c>
      <c r="K1035" s="2" t="s">
        <v>26</v>
      </c>
      <c r="L1035" s="2">
        <v>4.3</v>
      </c>
      <c r="M1035" s="2">
        <v>822</v>
      </c>
      <c r="P1035" t="str">
        <f t="shared" si="67"/>
        <v>62%</v>
      </c>
      <c r="Q1035" s="12">
        <f t="shared" si="64"/>
        <v>0.62</v>
      </c>
      <c r="R1035" s="9">
        <f t="shared" si="65"/>
        <v>436.62</v>
      </c>
      <c r="S1035" s="9">
        <f>IF(R1035="",AVERAGEIF(Table1[Category],Table1[[#This Row],[Category]],Table2[orignal data]),Table2[[#This Row],[orignal data]])</f>
        <v>436.62</v>
      </c>
      <c r="T1035" t="str">
        <f t="shared" si="66"/>
        <v>UNIQUE</v>
      </c>
      <c r="U1035" t="str">
        <f>IF(ISBLANK(Table1[[#This Row],[SizeOption]]),"NOT AVAILABLE",Table1[[#This Row],[SizeOption]])</f>
        <v>S, M, L, XL</v>
      </c>
      <c r="Y1035" t="str">
        <f>IF(Table2[[#This Row],[Column1]]&gt;50%,"HIGH DISCOUNT","LOW DISCOUNT")</f>
        <v>HIGH DISCOUNT</v>
      </c>
    </row>
    <row r="1036" spans="1:25" x14ac:dyDescent="0.25">
      <c r="A1036" s="1" t="s">
        <v>2366</v>
      </c>
      <c r="B1036" s="1">
        <v>13641766</v>
      </c>
      <c r="C1036" s="1" t="s">
        <v>1083</v>
      </c>
      <c r="D1036" s="1" t="s">
        <v>41</v>
      </c>
      <c r="E1036" s="1" t="s">
        <v>42</v>
      </c>
      <c r="F1036" s="1" t="s">
        <v>36</v>
      </c>
      <c r="G1036" s="1" t="s">
        <v>2367</v>
      </c>
      <c r="I1036" s="1">
        <v>1249</v>
      </c>
      <c r="J1036" s="1" t="s">
        <v>167</v>
      </c>
      <c r="K1036" s="1" t="s">
        <v>45</v>
      </c>
      <c r="L1036" s="1">
        <v>4.3</v>
      </c>
      <c r="M1036" s="1">
        <v>822</v>
      </c>
      <c r="P1036" t="str">
        <f t="shared" si="67"/>
        <v>49%</v>
      </c>
      <c r="Q1036" s="12">
        <f t="shared" si="64"/>
        <v>0.49</v>
      </c>
      <c r="R1036" s="9">
        <f t="shared" si="65"/>
        <v>636.99</v>
      </c>
      <c r="S1036" s="9">
        <f>IF(R1036="",AVERAGEIF(Table1[Category],Table1[[#This Row],[Category]],Table2[orignal data]),Table2[[#This Row],[orignal data]])</f>
        <v>636.99</v>
      </c>
      <c r="T1036" t="str">
        <f t="shared" si="66"/>
        <v>UNIQUE</v>
      </c>
      <c r="U1036" t="str">
        <f>IF(ISBLANK(Table1[[#This Row],[SizeOption]]),"NOT AVAILABLE",Table1[[#This Row],[SizeOption]])</f>
        <v>XS, S, M, L, XL</v>
      </c>
      <c r="Y1036" t="str">
        <f>IF(Table2[[#This Row],[Column1]]&gt;50%,"HIGH DISCOUNT","LOW DISCOUNT")</f>
        <v>LOW DISCOUNT</v>
      </c>
    </row>
    <row r="1037" spans="1:25" x14ac:dyDescent="0.25">
      <c r="A1037" s="2" t="s">
        <v>2368</v>
      </c>
      <c r="B1037" s="2">
        <v>15301030</v>
      </c>
      <c r="C1037" s="2" t="s">
        <v>81</v>
      </c>
      <c r="D1037" s="2" t="s">
        <v>41</v>
      </c>
      <c r="E1037" s="2" t="s">
        <v>48</v>
      </c>
      <c r="F1037" s="2" t="s">
        <v>36</v>
      </c>
      <c r="G1037" s="2" t="s">
        <v>2369</v>
      </c>
      <c r="I1037" s="2">
        <v>1499</v>
      </c>
      <c r="J1037" s="2" t="s">
        <v>1557</v>
      </c>
      <c r="K1037" s="2" t="s">
        <v>115</v>
      </c>
      <c r="L1037" s="2">
        <v>4.3</v>
      </c>
      <c r="M1037" s="2">
        <v>822</v>
      </c>
      <c r="P1037" t="str">
        <f t="shared" si="67"/>
        <v>37%</v>
      </c>
      <c r="Q1037" s="12">
        <f t="shared" si="64"/>
        <v>0.37</v>
      </c>
      <c r="R1037" s="9">
        <f t="shared" si="65"/>
        <v>944.37</v>
      </c>
      <c r="S1037" s="9">
        <f>IF(R1037="",AVERAGEIF(Table1[Category],Table1[[#This Row],[Category]],Table2[orignal data]),Table2[[#This Row],[orignal data]])</f>
        <v>944.37</v>
      </c>
      <c r="T1037" t="str">
        <f t="shared" si="66"/>
        <v>UNIQUE</v>
      </c>
      <c r="U1037" t="str">
        <f>IF(ISBLANK(Table1[[#This Row],[SizeOption]]),"NOT AVAILABLE",Table1[[#This Row],[SizeOption]])</f>
        <v>XS, S, M, L, XL, XXL</v>
      </c>
      <c r="Y1037" t="str">
        <f>IF(Table2[[#This Row],[Column1]]&gt;50%,"HIGH DISCOUNT","LOW DISCOUNT")</f>
        <v>LOW DISCOUNT</v>
      </c>
    </row>
    <row r="1038" spans="1:25" x14ac:dyDescent="0.25">
      <c r="A1038" s="1" t="s">
        <v>2370</v>
      </c>
      <c r="B1038" s="1">
        <v>6726654</v>
      </c>
      <c r="C1038" s="1" t="s">
        <v>47</v>
      </c>
      <c r="D1038" s="1" t="s">
        <v>41</v>
      </c>
      <c r="E1038" s="1" t="s">
        <v>1881</v>
      </c>
      <c r="F1038" s="1" t="s">
        <v>36</v>
      </c>
      <c r="G1038" s="1" t="s">
        <v>2371</v>
      </c>
      <c r="I1038" s="1">
        <v>1499</v>
      </c>
      <c r="J1038" s="1" t="s">
        <v>79</v>
      </c>
      <c r="K1038" s="1" t="s">
        <v>26</v>
      </c>
      <c r="L1038" s="1">
        <v>4.3</v>
      </c>
      <c r="M1038" s="1">
        <v>822</v>
      </c>
      <c r="P1038" t="str">
        <f t="shared" si="67"/>
        <v>70%</v>
      </c>
      <c r="Q1038" s="12">
        <f t="shared" si="64"/>
        <v>0.7</v>
      </c>
      <c r="R1038" s="9">
        <f t="shared" si="65"/>
        <v>449.70000000000005</v>
      </c>
      <c r="S1038" s="9">
        <f>IF(R1038="",AVERAGEIF(Table1[Category],Table1[[#This Row],[Category]],Table2[orignal data]),Table2[[#This Row],[orignal data]])</f>
        <v>449.70000000000005</v>
      </c>
      <c r="T1038" t="str">
        <f t="shared" si="66"/>
        <v>UNIQUE</v>
      </c>
      <c r="U1038" t="str">
        <f>IF(ISBLANK(Table1[[#This Row],[SizeOption]]),"NOT AVAILABLE",Table1[[#This Row],[SizeOption]])</f>
        <v>S, M, L, XL</v>
      </c>
      <c r="Y1038" t="str">
        <f>IF(Table2[[#This Row],[Column1]]&gt;50%,"HIGH DISCOUNT","LOW DISCOUNT")</f>
        <v>HIGH DISCOUNT</v>
      </c>
    </row>
    <row r="1039" spans="1:25" x14ac:dyDescent="0.25">
      <c r="A1039" s="2" t="s">
        <v>2372</v>
      </c>
      <c r="B1039" s="2">
        <v>17381172</v>
      </c>
      <c r="C1039" s="2" t="s">
        <v>14</v>
      </c>
      <c r="D1039" s="2" t="s">
        <v>41</v>
      </c>
      <c r="E1039" s="2" t="s">
        <v>42</v>
      </c>
      <c r="F1039" s="2" t="s">
        <v>36</v>
      </c>
      <c r="G1039" s="2" t="s">
        <v>2373</v>
      </c>
      <c r="I1039" s="2">
        <v>1198</v>
      </c>
      <c r="J1039" s="2"/>
      <c r="K1039" s="2" t="s">
        <v>45</v>
      </c>
      <c r="L1039" s="2">
        <v>4.3</v>
      </c>
      <c r="M1039" s="2">
        <v>822</v>
      </c>
      <c r="P1039" t="str">
        <f t="shared" si="67"/>
        <v/>
      </c>
      <c r="Q1039" s="12" t="str">
        <f t="shared" si="64"/>
        <v/>
      </c>
      <c r="R1039" s="9" t="str">
        <f t="shared" si="65"/>
        <v/>
      </c>
      <c r="S1039" s="9">
        <f>IF(R1039="",AVERAGEIF(Table1[Category],Table1[[#This Row],[Category]],Table2[orignal data]),Table2[[#This Row],[orignal data]])</f>
        <v>715.78890751086249</v>
      </c>
      <c r="T1039" t="str">
        <f t="shared" si="66"/>
        <v>UNIQUE</v>
      </c>
      <c r="U1039" t="str">
        <f>IF(ISBLANK(Table1[[#This Row],[SizeOption]]),"NOT AVAILABLE",Table1[[#This Row],[SizeOption]])</f>
        <v>XS, S, M, L, XL</v>
      </c>
      <c r="Y1039" t="str">
        <f>IF(Table2[[#This Row],[Column1]]&gt;50%,"HIGH DISCOUNT","LOW DISCOUNT")</f>
        <v>HIGH DISCOUNT</v>
      </c>
    </row>
    <row r="1040" spans="1:25" x14ac:dyDescent="0.25">
      <c r="A1040" s="1" t="s">
        <v>2374</v>
      </c>
      <c r="B1040" s="1">
        <v>1950256</v>
      </c>
      <c r="C1040" s="1" t="s">
        <v>1952</v>
      </c>
      <c r="D1040" s="1" t="s">
        <v>28</v>
      </c>
      <c r="E1040" s="1" t="s">
        <v>29</v>
      </c>
      <c r="F1040" s="1" t="s">
        <v>17</v>
      </c>
      <c r="G1040" s="1" t="s">
        <v>2375</v>
      </c>
      <c r="H1040">
        <v>699</v>
      </c>
      <c r="I1040" s="1">
        <v>1999</v>
      </c>
      <c r="J1040" s="1" t="s">
        <v>150</v>
      </c>
      <c r="K1040" s="1" t="s">
        <v>253</v>
      </c>
      <c r="L1040" s="1">
        <v>3.8</v>
      </c>
      <c r="M1040" s="1">
        <v>821</v>
      </c>
      <c r="P1040" t="str">
        <f t="shared" si="67"/>
        <v>65%</v>
      </c>
      <c r="Q1040" s="12">
        <f t="shared" si="64"/>
        <v>0.65</v>
      </c>
      <c r="R1040" s="9">
        <f t="shared" si="65"/>
        <v>699.64999999999986</v>
      </c>
      <c r="S1040" s="9">
        <f>IF(R1040="",AVERAGEIF(Table1[Category],Table1[[#This Row],[Category]],Table2[orignal data]),Table2[[#This Row],[orignal data]])</f>
        <v>699.64999999999986</v>
      </c>
      <c r="T1040" t="str">
        <f t="shared" si="66"/>
        <v>UNIQUE</v>
      </c>
      <c r="U1040" t="str">
        <f>IF(ISBLANK(Table1[[#This Row],[SizeOption]]),"NOT AVAILABLE",Table1[[#This Row],[SizeOption]])</f>
        <v>38, 40, 42, 44</v>
      </c>
      <c r="Y1040" t="str">
        <f>IF(Table2[[#This Row],[Column1]]&gt;50%,"HIGH DISCOUNT","LOW DISCOUNT")</f>
        <v>HIGH DISCOUNT</v>
      </c>
    </row>
    <row r="1041" spans="1:25" x14ac:dyDescent="0.25">
      <c r="A1041" s="2" t="s">
        <v>2376</v>
      </c>
      <c r="B1041" s="2">
        <v>2338186</v>
      </c>
      <c r="C1041" s="2" t="s">
        <v>169</v>
      </c>
      <c r="D1041" s="2" t="s">
        <v>15</v>
      </c>
      <c r="E1041" s="2" t="s">
        <v>16</v>
      </c>
      <c r="F1041" s="2" t="s">
        <v>17</v>
      </c>
      <c r="G1041" s="2" t="s">
        <v>2377</v>
      </c>
      <c r="H1041">
        <v>1679</v>
      </c>
      <c r="I1041" s="2">
        <v>2799</v>
      </c>
      <c r="J1041" s="2" t="s">
        <v>50</v>
      </c>
      <c r="K1041" s="2" t="s">
        <v>171</v>
      </c>
      <c r="L1041" s="2">
        <v>4.2</v>
      </c>
      <c r="M1041" s="2">
        <v>820</v>
      </c>
      <c r="P1041" t="str">
        <f t="shared" si="67"/>
        <v>40%</v>
      </c>
      <c r="Q1041" s="12">
        <f t="shared" si="64"/>
        <v>0.4</v>
      </c>
      <c r="R1041" s="9">
        <f t="shared" si="65"/>
        <v>1679.3999999999999</v>
      </c>
      <c r="S1041" s="9">
        <f>IF(R1041="",AVERAGEIF(Table1[Category],Table1[[#This Row],[Category]],Table2[orignal data]),Table2[[#This Row],[orignal data]])</f>
        <v>1679.3999999999999</v>
      </c>
      <c r="T1041" t="str">
        <f t="shared" si="66"/>
        <v>UNIQUE</v>
      </c>
      <c r="U1041" t="str">
        <f>IF(ISBLANK(Table1[[#This Row],[SizeOption]]),"NOT AVAILABLE",Table1[[#This Row],[SizeOption]])</f>
        <v>28, 30, 32, 34, 36, 38</v>
      </c>
      <c r="Y1041" t="str">
        <f>IF(Table2[[#This Row],[Column1]]&gt;50%,"HIGH DISCOUNT","LOW DISCOUNT")</f>
        <v>LOW DISCOUNT</v>
      </c>
    </row>
    <row r="1042" spans="1:25" x14ac:dyDescent="0.25">
      <c r="A1042" s="1" t="s">
        <v>2378</v>
      </c>
      <c r="B1042" s="1">
        <v>6832363</v>
      </c>
      <c r="C1042" s="1" t="s">
        <v>169</v>
      </c>
      <c r="D1042" s="1" t="s">
        <v>15</v>
      </c>
      <c r="E1042" s="1" t="s">
        <v>16</v>
      </c>
      <c r="F1042" s="1" t="s">
        <v>17</v>
      </c>
      <c r="G1042" s="1" t="s">
        <v>263</v>
      </c>
      <c r="H1042">
        <v>1379</v>
      </c>
      <c r="I1042" s="1">
        <v>2299</v>
      </c>
      <c r="J1042" s="1" t="s">
        <v>50</v>
      </c>
      <c r="K1042" s="1" t="s">
        <v>171</v>
      </c>
      <c r="L1042" s="1">
        <v>4.0999999999999996</v>
      </c>
      <c r="M1042" s="1">
        <v>820</v>
      </c>
      <c r="P1042" t="str">
        <f t="shared" si="67"/>
        <v>40%</v>
      </c>
      <c r="Q1042" s="12">
        <f t="shared" si="64"/>
        <v>0.4</v>
      </c>
      <c r="R1042" s="9">
        <f t="shared" si="65"/>
        <v>1379.4</v>
      </c>
      <c r="S1042" s="9">
        <f>IF(R1042="",AVERAGEIF(Table1[Category],Table1[[#This Row],[Category]],Table2[orignal data]),Table2[[#This Row],[orignal data]])</f>
        <v>1379.4</v>
      </c>
      <c r="T1042" t="str">
        <f t="shared" si="66"/>
        <v>UNIQUE</v>
      </c>
      <c r="U1042" t="str">
        <f>IF(ISBLANK(Table1[[#This Row],[SizeOption]]),"NOT AVAILABLE",Table1[[#This Row],[SizeOption]])</f>
        <v>28, 30, 32, 34, 36, 38</v>
      </c>
      <c r="Y1042" t="str">
        <f>IF(Table2[[#This Row],[Column1]]&gt;50%,"HIGH DISCOUNT","LOW DISCOUNT")</f>
        <v>LOW DISCOUNT</v>
      </c>
    </row>
    <row r="1043" spans="1:25" x14ac:dyDescent="0.25">
      <c r="A1043" s="2" t="s">
        <v>2379</v>
      </c>
      <c r="B1043" s="2">
        <v>11537070</v>
      </c>
      <c r="C1043" s="2" t="s">
        <v>14</v>
      </c>
      <c r="D1043" s="2" t="s">
        <v>28</v>
      </c>
      <c r="E1043" s="2" t="s">
        <v>42</v>
      </c>
      <c r="F1043" s="2" t="s">
        <v>17</v>
      </c>
      <c r="G1043" s="2" t="s">
        <v>2380</v>
      </c>
      <c r="H1043">
        <v>299</v>
      </c>
      <c r="I1043" s="2">
        <v>599</v>
      </c>
      <c r="J1043" s="2" t="s">
        <v>84</v>
      </c>
      <c r="K1043" s="2" t="s">
        <v>73</v>
      </c>
      <c r="L1043" s="2">
        <v>4.0999999999999996</v>
      </c>
      <c r="M1043" s="2">
        <v>820</v>
      </c>
      <c r="P1043" t="str">
        <f t="shared" si="67"/>
        <v>50%</v>
      </c>
      <c r="Q1043" s="12">
        <f t="shared" si="64"/>
        <v>0.5</v>
      </c>
      <c r="R1043" s="9">
        <f t="shared" si="65"/>
        <v>299.5</v>
      </c>
      <c r="S1043" s="9">
        <f>IF(R1043="",AVERAGEIF(Table1[Category],Table1[[#This Row],[Category]],Table2[orignal data]),Table2[[#This Row],[orignal data]])</f>
        <v>299.5</v>
      </c>
      <c r="T1043" t="str">
        <f t="shared" si="66"/>
        <v>UNIQUE</v>
      </c>
      <c r="U1043" t="str">
        <f>IF(ISBLANK(Table1[[#This Row],[SizeOption]]),"NOT AVAILABLE",Table1[[#This Row],[SizeOption]])</f>
        <v>XS, S, M, L, XL, XXL, 3XL, 4XL</v>
      </c>
      <c r="Y1043" t="str">
        <f>IF(Table2[[#This Row],[Column1]]&gt;50%,"HIGH DISCOUNT","LOW DISCOUNT")</f>
        <v>LOW DISCOUNT</v>
      </c>
    </row>
    <row r="1044" spans="1:25" x14ac:dyDescent="0.25">
      <c r="A1044" s="1" t="s">
        <v>2381</v>
      </c>
      <c r="B1044" s="1">
        <v>9340077</v>
      </c>
      <c r="C1044" s="1" t="s">
        <v>676</v>
      </c>
      <c r="D1044" s="1" t="s">
        <v>41</v>
      </c>
      <c r="E1044" s="1" t="s">
        <v>48</v>
      </c>
      <c r="F1044" s="1" t="s">
        <v>36</v>
      </c>
      <c r="G1044" s="1" t="s">
        <v>677</v>
      </c>
      <c r="I1044" s="1">
        <v>1998</v>
      </c>
      <c r="J1044" s="1" t="s">
        <v>84</v>
      </c>
      <c r="K1044" s="1" t="s">
        <v>26</v>
      </c>
      <c r="L1044" s="1">
        <v>4.2</v>
      </c>
      <c r="M1044" s="1">
        <v>820</v>
      </c>
      <c r="P1044" t="str">
        <f t="shared" si="67"/>
        <v>50%</v>
      </c>
      <c r="Q1044" s="12">
        <f t="shared" si="64"/>
        <v>0.5</v>
      </c>
      <c r="R1044" s="9">
        <f t="shared" si="65"/>
        <v>999</v>
      </c>
      <c r="S1044" s="9">
        <f>IF(R1044="",AVERAGEIF(Table1[Category],Table1[[#This Row],[Category]],Table2[orignal data]),Table2[[#This Row],[orignal data]])</f>
        <v>999</v>
      </c>
      <c r="T1044" t="str">
        <f t="shared" si="66"/>
        <v>UNIQUE</v>
      </c>
      <c r="U1044" t="str">
        <f>IF(ISBLANK(Table1[[#This Row],[SizeOption]]),"NOT AVAILABLE",Table1[[#This Row],[SizeOption]])</f>
        <v>S, M, L, XL</v>
      </c>
      <c r="Y1044" t="str">
        <f>IF(Table2[[#This Row],[Column1]]&gt;50%,"HIGH DISCOUNT","LOW DISCOUNT")</f>
        <v>LOW DISCOUNT</v>
      </c>
    </row>
    <row r="1045" spans="1:25" x14ac:dyDescent="0.25">
      <c r="A1045" s="2" t="s">
        <v>2382</v>
      </c>
      <c r="B1045" s="2">
        <v>6939207</v>
      </c>
      <c r="C1045" s="2" t="s">
        <v>184</v>
      </c>
      <c r="D1045" s="2" t="s">
        <v>41</v>
      </c>
      <c r="E1045" s="2" t="s">
        <v>29</v>
      </c>
      <c r="F1045" s="2" t="s">
        <v>36</v>
      </c>
      <c r="G1045" s="2" t="s">
        <v>2383</v>
      </c>
      <c r="I1045" s="2">
        <v>1999</v>
      </c>
      <c r="J1045" s="2" t="s">
        <v>19</v>
      </c>
      <c r="K1045" s="2" t="s">
        <v>26</v>
      </c>
      <c r="L1045" s="2">
        <v>4.4000000000000004</v>
      </c>
      <c r="M1045" s="2">
        <v>820</v>
      </c>
      <c r="P1045" t="str">
        <f t="shared" si="67"/>
        <v>45%</v>
      </c>
      <c r="Q1045" s="12">
        <f t="shared" si="64"/>
        <v>0.45</v>
      </c>
      <c r="R1045" s="9">
        <f t="shared" si="65"/>
        <v>1099.4499999999998</v>
      </c>
      <c r="S1045" s="9">
        <f>IF(R1045="",AVERAGEIF(Table1[Category],Table1[[#This Row],[Category]],Table2[orignal data]),Table2[[#This Row],[orignal data]])</f>
        <v>1099.4499999999998</v>
      </c>
      <c r="T1045" t="str">
        <f t="shared" si="66"/>
        <v>UNIQUE</v>
      </c>
      <c r="U1045" t="str">
        <f>IF(ISBLANK(Table1[[#This Row],[SizeOption]]),"NOT AVAILABLE",Table1[[#This Row],[SizeOption]])</f>
        <v>S, M, L, XL</v>
      </c>
      <c r="Y1045" t="str">
        <f>IF(Table2[[#This Row],[Column1]]&gt;50%,"HIGH DISCOUNT","LOW DISCOUNT")</f>
        <v>LOW DISCOUNT</v>
      </c>
    </row>
    <row r="1046" spans="1:25" x14ac:dyDescent="0.25">
      <c r="A1046" s="1" t="s">
        <v>2384</v>
      </c>
      <c r="B1046" s="1">
        <v>11995810</v>
      </c>
      <c r="C1046" s="1" t="s">
        <v>102</v>
      </c>
      <c r="D1046" s="1" t="s">
        <v>41</v>
      </c>
      <c r="E1046" s="1" t="s">
        <v>48</v>
      </c>
      <c r="F1046" s="1" t="s">
        <v>36</v>
      </c>
      <c r="G1046" s="1" t="s">
        <v>2385</v>
      </c>
      <c r="I1046" s="1">
        <v>899</v>
      </c>
      <c r="J1046" s="1" t="s">
        <v>95</v>
      </c>
      <c r="K1046" s="1" t="s">
        <v>26</v>
      </c>
      <c r="L1046" s="1">
        <v>4.3</v>
      </c>
      <c r="M1046" s="1">
        <v>820</v>
      </c>
      <c r="P1046" t="str">
        <f t="shared" si="67"/>
        <v>59%</v>
      </c>
      <c r="Q1046" s="12">
        <f t="shared" si="64"/>
        <v>0.59</v>
      </c>
      <c r="R1046" s="9">
        <f t="shared" si="65"/>
        <v>368.59000000000003</v>
      </c>
      <c r="S1046" s="9">
        <f>IF(R1046="",AVERAGEIF(Table1[Category],Table1[[#This Row],[Category]],Table2[orignal data]),Table2[[#This Row],[orignal data]])</f>
        <v>368.59000000000003</v>
      </c>
      <c r="T1046" t="str">
        <f t="shared" si="66"/>
        <v>UNIQUE</v>
      </c>
      <c r="U1046" t="str">
        <f>IF(ISBLANK(Table1[[#This Row],[SizeOption]]),"NOT AVAILABLE",Table1[[#This Row],[SizeOption]])</f>
        <v>S, M, L, XL</v>
      </c>
      <c r="Y1046" t="str">
        <f>IF(Table2[[#This Row],[Column1]]&gt;50%,"HIGH DISCOUNT","LOW DISCOUNT")</f>
        <v>HIGH DISCOUNT</v>
      </c>
    </row>
    <row r="1047" spans="1:25" x14ac:dyDescent="0.25">
      <c r="A1047" s="2" t="s">
        <v>2386</v>
      </c>
      <c r="B1047" s="2">
        <v>11274542</v>
      </c>
      <c r="C1047" s="2" t="s">
        <v>14</v>
      </c>
      <c r="D1047" s="2" t="s">
        <v>15</v>
      </c>
      <c r="E1047" s="2" t="s">
        <v>16</v>
      </c>
      <c r="F1047" s="2" t="s">
        <v>17</v>
      </c>
      <c r="G1047" s="2" t="s">
        <v>918</v>
      </c>
      <c r="H1047">
        <v>899</v>
      </c>
      <c r="I1047" s="2">
        <v>1999</v>
      </c>
      <c r="J1047" s="2" t="s">
        <v>25</v>
      </c>
      <c r="K1047" s="2" t="s">
        <v>20</v>
      </c>
      <c r="L1047" s="2">
        <v>3.4</v>
      </c>
      <c r="M1047" s="2">
        <v>819</v>
      </c>
      <c r="P1047" t="str">
        <f t="shared" si="67"/>
        <v>55%</v>
      </c>
      <c r="Q1047" s="12">
        <f t="shared" si="64"/>
        <v>0.55000000000000004</v>
      </c>
      <c r="R1047" s="9">
        <f t="shared" si="65"/>
        <v>899.55</v>
      </c>
      <c r="S1047" s="9">
        <f>IF(R1047="",AVERAGEIF(Table1[Category],Table1[[#This Row],[Category]],Table2[orignal data]),Table2[[#This Row],[orignal data]])</f>
        <v>899.55</v>
      </c>
      <c r="T1047" t="str">
        <f t="shared" si="66"/>
        <v>UNIQUE</v>
      </c>
      <c r="U1047" t="str">
        <f>IF(ISBLANK(Table1[[#This Row],[SizeOption]]),"NOT AVAILABLE",Table1[[#This Row],[SizeOption]])</f>
        <v>28, 30, 32, 34, 36</v>
      </c>
      <c r="Y1047" t="str">
        <f>IF(Table2[[#This Row],[Column1]]&gt;50%,"HIGH DISCOUNT","LOW DISCOUNT")</f>
        <v>HIGH DISCOUNT</v>
      </c>
    </row>
    <row r="1048" spans="1:25" x14ac:dyDescent="0.25">
      <c r="A1048" s="1" t="s">
        <v>2387</v>
      </c>
      <c r="B1048" s="1">
        <v>9261047</v>
      </c>
      <c r="C1048" s="1" t="s">
        <v>295</v>
      </c>
      <c r="D1048" s="1" t="s">
        <v>197</v>
      </c>
      <c r="E1048" s="1" t="s">
        <v>350</v>
      </c>
      <c r="F1048" s="1" t="s">
        <v>17</v>
      </c>
      <c r="G1048" s="1" t="s">
        <v>2388</v>
      </c>
      <c r="H1048">
        <v>474</v>
      </c>
      <c r="I1048" s="1">
        <v>499</v>
      </c>
      <c r="J1048" s="1" t="s">
        <v>764</v>
      </c>
      <c r="K1048" s="1" t="s">
        <v>26</v>
      </c>
      <c r="L1048" s="1">
        <v>4.3</v>
      </c>
      <c r="M1048" s="1">
        <v>819</v>
      </c>
      <c r="P1048" t="str">
        <f t="shared" si="67"/>
        <v>5%</v>
      </c>
      <c r="Q1048" s="12">
        <f t="shared" si="64"/>
        <v>0.05</v>
      </c>
      <c r="R1048" s="9">
        <f t="shared" si="65"/>
        <v>474.05</v>
      </c>
      <c r="S1048" s="9">
        <f>IF(R1048="",AVERAGEIF(Table1[Category],Table1[[#This Row],[Category]],Table2[orignal data]),Table2[[#This Row],[orignal data]])</f>
        <v>474.05</v>
      </c>
      <c r="T1048" t="str">
        <f t="shared" si="66"/>
        <v>UNIQUE</v>
      </c>
      <c r="U1048" t="str">
        <f>IF(ISBLANK(Table1[[#This Row],[SizeOption]]),"NOT AVAILABLE",Table1[[#This Row],[SizeOption]])</f>
        <v>S, M, L, XL</v>
      </c>
      <c r="Y1048" t="str">
        <f>IF(Table2[[#This Row],[Column1]]&gt;50%,"HIGH DISCOUNT","LOW DISCOUNT")</f>
        <v>LOW DISCOUNT</v>
      </c>
    </row>
    <row r="1049" spans="1:25" x14ac:dyDescent="0.25">
      <c r="A1049" s="2" t="s">
        <v>2389</v>
      </c>
      <c r="B1049" s="2">
        <v>6712204</v>
      </c>
      <c r="C1049" s="2" t="s">
        <v>14</v>
      </c>
      <c r="D1049" s="2" t="s">
        <v>28</v>
      </c>
      <c r="E1049" s="2" t="s">
        <v>42</v>
      </c>
      <c r="F1049" s="2" t="s">
        <v>17</v>
      </c>
      <c r="G1049" s="2" t="s">
        <v>2390</v>
      </c>
      <c r="H1049">
        <v>714</v>
      </c>
      <c r="I1049" s="2">
        <v>1299</v>
      </c>
      <c r="J1049" s="2" t="s">
        <v>19</v>
      </c>
      <c r="K1049" s="2" t="s">
        <v>73</v>
      </c>
      <c r="L1049" s="2">
        <v>4.2</v>
      </c>
      <c r="M1049" s="2">
        <v>819</v>
      </c>
      <c r="P1049" t="str">
        <f t="shared" si="67"/>
        <v>45%</v>
      </c>
      <c r="Q1049" s="12">
        <f t="shared" si="64"/>
        <v>0.45</v>
      </c>
      <c r="R1049" s="9">
        <f t="shared" si="65"/>
        <v>714.44999999999993</v>
      </c>
      <c r="S1049" s="9">
        <f>IF(R1049="",AVERAGEIF(Table1[Category],Table1[[#This Row],[Category]],Table2[orignal data]),Table2[[#This Row],[orignal data]])</f>
        <v>714.44999999999993</v>
      </c>
      <c r="T1049" t="str">
        <f t="shared" si="66"/>
        <v>UNIQUE</v>
      </c>
      <c r="U1049" t="str">
        <f>IF(ISBLANK(Table1[[#This Row],[SizeOption]]),"NOT AVAILABLE",Table1[[#This Row],[SizeOption]])</f>
        <v>XS, S, M, L, XL, XXL, 3XL, 4XL</v>
      </c>
      <c r="Y1049" t="str">
        <f>IF(Table2[[#This Row],[Column1]]&gt;50%,"HIGH DISCOUNT","LOW DISCOUNT")</f>
        <v>LOW DISCOUNT</v>
      </c>
    </row>
    <row r="1050" spans="1:25" x14ac:dyDescent="0.25">
      <c r="A1050" s="1" t="s">
        <v>2391</v>
      </c>
      <c r="B1050" s="1">
        <v>11363104</v>
      </c>
      <c r="C1050" s="1" t="s">
        <v>169</v>
      </c>
      <c r="D1050" s="1" t="s">
        <v>28</v>
      </c>
      <c r="E1050" s="1" t="s">
        <v>42</v>
      </c>
      <c r="F1050" s="1" t="s">
        <v>17</v>
      </c>
      <c r="G1050" s="1" t="s">
        <v>2392</v>
      </c>
      <c r="H1050">
        <v>349</v>
      </c>
      <c r="I1050" s="1">
        <v>699</v>
      </c>
      <c r="J1050" s="1" t="s">
        <v>84</v>
      </c>
      <c r="K1050" s="1" t="s">
        <v>39</v>
      </c>
      <c r="L1050" s="1">
        <v>4.5</v>
      </c>
      <c r="M1050" s="1">
        <v>819</v>
      </c>
      <c r="P1050" t="str">
        <f t="shared" si="67"/>
        <v>50%</v>
      </c>
      <c r="Q1050" s="12">
        <f t="shared" si="64"/>
        <v>0.5</v>
      </c>
      <c r="R1050" s="9">
        <f t="shared" si="65"/>
        <v>349.5</v>
      </c>
      <c r="S1050" s="9">
        <f>IF(R1050="",AVERAGEIF(Table1[Category],Table1[[#This Row],[Category]],Table2[orignal data]),Table2[[#This Row],[orignal data]])</f>
        <v>349.5</v>
      </c>
      <c r="T1050" t="str">
        <f t="shared" si="66"/>
        <v>UNIQUE</v>
      </c>
      <c r="U1050" t="str">
        <f>IF(ISBLANK(Table1[[#This Row],[SizeOption]]),"NOT AVAILABLE",Table1[[#This Row],[SizeOption]])</f>
        <v>S, M, L, XL, XXL</v>
      </c>
      <c r="Y1050" t="str">
        <f>IF(Table2[[#This Row],[Column1]]&gt;50%,"HIGH DISCOUNT","LOW DISCOUNT")</f>
        <v>LOW DISCOUNT</v>
      </c>
    </row>
    <row r="1051" spans="1:25" x14ac:dyDescent="0.25">
      <c r="A1051" s="2" t="s">
        <v>2393</v>
      </c>
      <c r="B1051" s="2">
        <v>13021586</v>
      </c>
      <c r="C1051" s="2" t="s">
        <v>117</v>
      </c>
      <c r="D1051" s="2" t="s">
        <v>34</v>
      </c>
      <c r="E1051" s="2" t="s">
        <v>118</v>
      </c>
      <c r="F1051" s="2" t="s">
        <v>36</v>
      </c>
      <c r="G1051" s="2" t="s">
        <v>2394</v>
      </c>
      <c r="I1051" s="2">
        <v>399</v>
      </c>
      <c r="J1051" s="2"/>
      <c r="K1051" s="2" t="s">
        <v>45</v>
      </c>
      <c r="L1051" s="2">
        <v>4.5</v>
      </c>
      <c r="M1051" s="2">
        <v>819</v>
      </c>
      <c r="P1051" t="str">
        <f t="shared" si="67"/>
        <v/>
      </c>
      <c r="Q1051" s="12" t="str">
        <f t="shared" si="64"/>
        <v/>
      </c>
      <c r="R1051" s="9" t="str">
        <f t="shared" si="65"/>
        <v/>
      </c>
      <c r="S1051" s="9">
        <f>IF(R1051="",AVERAGEIF(Table1[Category],Table1[[#This Row],[Category]],Table2[orignal data]),Table2[[#This Row],[orignal data]])</f>
        <v>608.88518518518481</v>
      </c>
      <c r="T1051" t="str">
        <f t="shared" si="66"/>
        <v>UNIQUE</v>
      </c>
      <c r="U1051" t="str">
        <f>IF(ISBLANK(Table1[[#This Row],[SizeOption]]),"NOT AVAILABLE",Table1[[#This Row],[SizeOption]])</f>
        <v>XS, S, M, L, XL</v>
      </c>
      <c r="Y1051" t="str">
        <f>IF(Table2[[#This Row],[Column1]]&gt;50%,"HIGH DISCOUNT","LOW DISCOUNT")</f>
        <v>HIGH DISCOUNT</v>
      </c>
    </row>
    <row r="1052" spans="1:25" x14ac:dyDescent="0.25">
      <c r="A1052" s="1" t="s">
        <v>2395</v>
      </c>
      <c r="B1052" s="1">
        <v>11394178</v>
      </c>
      <c r="C1052" s="1" t="s">
        <v>377</v>
      </c>
      <c r="D1052" s="1" t="s">
        <v>98</v>
      </c>
      <c r="E1052" s="1" t="s">
        <v>148</v>
      </c>
      <c r="F1052" s="1" t="s">
        <v>36</v>
      </c>
      <c r="G1052" s="1" t="s">
        <v>2396</v>
      </c>
      <c r="H1052">
        <v>773</v>
      </c>
      <c r="I1052" s="1">
        <v>1799</v>
      </c>
      <c r="J1052" s="1" t="s">
        <v>130</v>
      </c>
      <c r="K1052" s="1" t="s">
        <v>234</v>
      </c>
      <c r="L1052" s="1">
        <v>3.9</v>
      </c>
      <c r="M1052" s="1">
        <v>819</v>
      </c>
      <c r="P1052" t="str">
        <f t="shared" si="67"/>
        <v>57%</v>
      </c>
      <c r="Q1052" s="12">
        <f t="shared" si="64"/>
        <v>0.56999999999999995</v>
      </c>
      <c r="R1052" s="9">
        <f t="shared" si="65"/>
        <v>773.57000000000016</v>
      </c>
      <c r="S1052" s="9">
        <f>IF(R1052="",AVERAGEIF(Table1[Category],Table1[[#This Row],[Category]],Table2[orignal data]),Table2[[#This Row],[orignal data]])</f>
        <v>773.57000000000016</v>
      </c>
      <c r="T1052" t="str">
        <f t="shared" si="66"/>
        <v>UNIQUE</v>
      </c>
      <c r="U1052" t="str">
        <f>IF(ISBLANK(Table1[[#This Row],[SizeOption]]),"NOT AVAILABLE",Table1[[#This Row],[SizeOption]])</f>
        <v>S, M, L, XL, XXL, 3XL</v>
      </c>
      <c r="Y1052" t="str">
        <f>IF(Table2[[#This Row],[Column1]]&gt;50%,"HIGH DISCOUNT","LOW DISCOUNT")</f>
        <v>HIGH DISCOUNT</v>
      </c>
    </row>
    <row r="1053" spans="1:25" x14ac:dyDescent="0.25">
      <c r="A1053" s="2" t="s">
        <v>2397</v>
      </c>
      <c r="B1053" s="2">
        <v>13103794</v>
      </c>
      <c r="C1053" s="2" t="s">
        <v>64</v>
      </c>
      <c r="D1053" s="2" t="s">
        <v>98</v>
      </c>
      <c r="E1053" s="2" t="s">
        <v>16</v>
      </c>
      <c r="F1053" s="2" t="s">
        <v>36</v>
      </c>
      <c r="G1053" s="2" t="s">
        <v>2398</v>
      </c>
      <c r="H1053">
        <v>569</v>
      </c>
      <c r="I1053" s="2">
        <v>1899</v>
      </c>
      <c r="J1053" s="2" t="s">
        <v>79</v>
      </c>
      <c r="K1053" s="2" t="s">
        <v>643</v>
      </c>
      <c r="L1053" s="2">
        <v>4</v>
      </c>
      <c r="M1053" s="2">
        <v>819</v>
      </c>
      <c r="P1053" t="str">
        <f t="shared" si="67"/>
        <v>70%</v>
      </c>
      <c r="Q1053" s="12">
        <f t="shared" si="64"/>
        <v>0.7</v>
      </c>
      <c r="R1053" s="9">
        <f t="shared" si="65"/>
        <v>569.70000000000005</v>
      </c>
      <c r="S1053" s="9">
        <f>IF(R1053="",AVERAGEIF(Table1[Category],Table1[[#This Row],[Category]],Table2[orignal data]),Table2[[#This Row],[orignal data]])</f>
        <v>569.70000000000005</v>
      </c>
      <c r="T1053" t="str">
        <f t="shared" si="66"/>
        <v>UNIQUE</v>
      </c>
      <c r="U1053" t="str">
        <f>IF(ISBLANK(Table1[[#This Row],[SizeOption]]),"NOT AVAILABLE",Table1[[#This Row],[SizeOption]])</f>
        <v>26, 28, 30, 32, 34, 36, 38, 40</v>
      </c>
      <c r="Y1053" t="str">
        <f>IF(Table2[[#This Row],[Column1]]&gt;50%,"HIGH DISCOUNT","LOW DISCOUNT")</f>
        <v>HIGH DISCOUNT</v>
      </c>
    </row>
    <row r="1054" spans="1:25" x14ac:dyDescent="0.25">
      <c r="A1054" s="1" t="s">
        <v>2399</v>
      </c>
      <c r="B1054" s="1">
        <v>17383540</v>
      </c>
      <c r="C1054" s="1" t="s">
        <v>14</v>
      </c>
      <c r="D1054" s="1" t="s">
        <v>41</v>
      </c>
      <c r="E1054" s="1" t="s">
        <v>42</v>
      </c>
      <c r="F1054" s="1" t="s">
        <v>36</v>
      </c>
      <c r="G1054" s="1" t="s">
        <v>2400</v>
      </c>
      <c r="I1054" s="1">
        <v>1598</v>
      </c>
      <c r="J1054" s="1" t="s">
        <v>84</v>
      </c>
      <c r="K1054" s="1" t="s">
        <v>146</v>
      </c>
      <c r="L1054" s="1">
        <v>4.4000000000000004</v>
      </c>
      <c r="M1054" s="1">
        <v>819</v>
      </c>
      <c r="P1054" t="str">
        <f t="shared" si="67"/>
        <v>50%</v>
      </c>
      <c r="Q1054" s="12">
        <f t="shared" si="64"/>
        <v>0.5</v>
      </c>
      <c r="R1054" s="9">
        <f t="shared" si="65"/>
        <v>799</v>
      </c>
      <c r="S1054" s="9">
        <f>IF(R1054="",AVERAGEIF(Table1[Category],Table1[[#This Row],[Category]],Table2[orignal data]),Table2[[#This Row],[orignal data]])</f>
        <v>799</v>
      </c>
      <c r="T1054" t="str">
        <f t="shared" si="66"/>
        <v>UNIQUE</v>
      </c>
      <c r="U1054" t="str">
        <f>IF(ISBLANK(Table1[[#This Row],[SizeOption]]),"NOT AVAILABLE",Table1[[#This Row],[SizeOption]])</f>
        <v>L, M, S, XS, XL</v>
      </c>
      <c r="Y1054" t="str">
        <f>IF(Table2[[#This Row],[Column1]]&gt;50%,"HIGH DISCOUNT","LOW DISCOUNT")</f>
        <v>LOW DISCOUNT</v>
      </c>
    </row>
    <row r="1055" spans="1:25" x14ac:dyDescent="0.25">
      <c r="A1055" s="2" t="s">
        <v>2401</v>
      </c>
      <c r="B1055" s="2">
        <v>13392056</v>
      </c>
      <c r="C1055" s="2" t="s">
        <v>47</v>
      </c>
      <c r="D1055" s="2" t="s">
        <v>41</v>
      </c>
      <c r="E1055" s="2" t="s">
        <v>23</v>
      </c>
      <c r="F1055" s="2" t="s">
        <v>36</v>
      </c>
      <c r="G1055" s="2" t="s">
        <v>2402</v>
      </c>
      <c r="I1055" s="2">
        <v>1599</v>
      </c>
      <c r="J1055" s="2" t="s">
        <v>79</v>
      </c>
      <c r="K1055" s="2" t="s">
        <v>45</v>
      </c>
      <c r="L1055" s="2">
        <v>4.2</v>
      </c>
      <c r="M1055" s="2">
        <v>819</v>
      </c>
      <c r="P1055" t="str">
        <f t="shared" si="67"/>
        <v>70%</v>
      </c>
      <c r="Q1055" s="12">
        <f t="shared" si="64"/>
        <v>0.7</v>
      </c>
      <c r="R1055" s="9">
        <f t="shared" si="65"/>
        <v>479.70000000000005</v>
      </c>
      <c r="S1055" s="9">
        <f>IF(R1055="",AVERAGEIF(Table1[Category],Table1[[#This Row],[Category]],Table2[orignal data]),Table2[[#This Row],[orignal data]])</f>
        <v>479.70000000000005</v>
      </c>
      <c r="T1055" t="str">
        <f t="shared" si="66"/>
        <v>UNIQUE</v>
      </c>
      <c r="U1055" t="str">
        <f>IF(ISBLANK(Table1[[#This Row],[SizeOption]]),"NOT AVAILABLE",Table1[[#This Row],[SizeOption]])</f>
        <v>XS, S, M, L, XL</v>
      </c>
      <c r="Y1055" t="str">
        <f>IF(Table2[[#This Row],[Column1]]&gt;50%,"HIGH DISCOUNT","LOW DISCOUNT")</f>
        <v>HIGH DISCOUNT</v>
      </c>
    </row>
    <row r="1056" spans="1:25" x14ac:dyDescent="0.25">
      <c r="A1056" s="1" t="s">
        <v>2403</v>
      </c>
      <c r="B1056" s="1">
        <v>12160328</v>
      </c>
      <c r="C1056" s="1" t="s">
        <v>800</v>
      </c>
      <c r="D1056" s="1" t="s">
        <v>41</v>
      </c>
      <c r="E1056" s="1" t="s">
        <v>148</v>
      </c>
      <c r="F1056" s="1" t="s">
        <v>36</v>
      </c>
      <c r="G1056" s="1" t="s">
        <v>2404</v>
      </c>
      <c r="I1056" s="1">
        <v>1899</v>
      </c>
      <c r="J1056" s="1" t="s">
        <v>126</v>
      </c>
      <c r="K1056" s="1" t="s">
        <v>39</v>
      </c>
      <c r="L1056" s="1">
        <v>4</v>
      </c>
      <c r="M1056" s="1">
        <v>819</v>
      </c>
      <c r="P1056" t="str">
        <f t="shared" si="67"/>
        <v>62%</v>
      </c>
      <c r="Q1056" s="12">
        <f t="shared" si="64"/>
        <v>0.62</v>
      </c>
      <c r="R1056" s="9">
        <f t="shared" si="65"/>
        <v>721.62000000000012</v>
      </c>
      <c r="S1056" s="9">
        <f>IF(R1056="",AVERAGEIF(Table1[Category],Table1[[#This Row],[Category]],Table2[orignal data]),Table2[[#This Row],[orignal data]])</f>
        <v>721.62000000000012</v>
      </c>
      <c r="T1056" t="str">
        <f t="shared" si="66"/>
        <v>UNIQUE</v>
      </c>
      <c r="U1056" t="str">
        <f>IF(ISBLANK(Table1[[#This Row],[SizeOption]]),"NOT AVAILABLE",Table1[[#This Row],[SizeOption]])</f>
        <v>S, M, L, XL, XXL</v>
      </c>
      <c r="Y1056" t="str">
        <f>IF(Table2[[#This Row],[Column1]]&gt;50%,"HIGH DISCOUNT","LOW DISCOUNT")</f>
        <v>HIGH DISCOUNT</v>
      </c>
    </row>
    <row r="1057" spans="1:25" x14ac:dyDescent="0.25">
      <c r="A1057" s="2" t="s">
        <v>2405</v>
      </c>
      <c r="B1057" s="2">
        <v>9370681</v>
      </c>
      <c r="C1057" s="2" t="s">
        <v>97</v>
      </c>
      <c r="D1057" s="2" t="s">
        <v>76</v>
      </c>
      <c r="E1057" s="2" t="s">
        <v>48</v>
      </c>
      <c r="F1057" s="2" t="s">
        <v>36</v>
      </c>
      <c r="G1057" s="2" t="s">
        <v>2406</v>
      </c>
      <c r="H1057">
        <v>824</v>
      </c>
      <c r="I1057" s="2">
        <v>1499</v>
      </c>
      <c r="J1057" s="2" t="s">
        <v>19</v>
      </c>
      <c r="K1057" s="2" t="s">
        <v>100</v>
      </c>
      <c r="L1057" s="2">
        <v>4.3</v>
      </c>
      <c r="M1057" s="2">
        <v>818</v>
      </c>
      <c r="P1057" t="str">
        <f t="shared" si="67"/>
        <v>45%</v>
      </c>
      <c r="Q1057" s="12">
        <f t="shared" si="64"/>
        <v>0.45</v>
      </c>
      <c r="R1057" s="9">
        <f t="shared" si="65"/>
        <v>824.44999999999993</v>
      </c>
      <c r="S1057" s="9">
        <f>IF(R1057="",AVERAGEIF(Table1[Category],Table1[[#This Row],[Category]],Table2[orignal data]),Table2[[#This Row],[orignal data]])</f>
        <v>824.44999999999993</v>
      </c>
      <c r="T1057" t="str">
        <f t="shared" si="66"/>
        <v>UNIQUE</v>
      </c>
      <c r="U1057" t="str">
        <f>IF(ISBLANK(Table1[[#This Row],[SizeOption]]),"NOT AVAILABLE",Table1[[#This Row],[SizeOption]])</f>
        <v>XS, S, M, L, XL, XXL, 3XL</v>
      </c>
      <c r="Y1057" t="str">
        <f>IF(Table2[[#This Row],[Column1]]&gt;50%,"HIGH DISCOUNT","LOW DISCOUNT")</f>
        <v>LOW DISCOUNT</v>
      </c>
    </row>
    <row r="1058" spans="1:25" x14ac:dyDescent="0.25">
      <c r="A1058" s="1" t="s">
        <v>2407</v>
      </c>
      <c r="B1058" s="1">
        <v>10360535</v>
      </c>
      <c r="C1058" s="1" t="s">
        <v>2408</v>
      </c>
      <c r="D1058" s="1" t="s">
        <v>76</v>
      </c>
      <c r="E1058" s="1" t="s">
        <v>93</v>
      </c>
      <c r="F1058" s="1" t="s">
        <v>36</v>
      </c>
      <c r="G1058" s="1" t="s">
        <v>2409</v>
      </c>
      <c r="H1058">
        <v>899</v>
      </c>
      <c r="I1058" s="1">
        <v>1999</v>
      </c>
      <c r="J1058" s="1" t="s">
        <v>25</v>
      </c>
      <c r="K1058" s="1" t="s">
        <v>39</v>
      </c>
      <c r="L1058" s="1">
        <v>4.2</v>
      </c>
      <c r="M1058" s="1">
        <v>818</v>
      </c>
      <c r="P1058" t="str">
        <f t="shared" si="67"/>
        <v>55%</v>
      </c>
      <c r="Q1058" s="12">
        <f t="shared" si="64"/>
        <v>0.55000000000000004</v>
      </c>
      <c r="R1058" s="9">
        <f t="shared" si="65"/>
        <v>899.55</v>
      </c>
      <c r="S1058" s="9">
        <f>IF(R1058="",AVERAGEIF(Table1[Category],Table1[[#This Row],[Category]],Table2[orignal data]),Table2[[#This Row],[orignal data]])</f>
        <v>899.55</v>
      </c>
      <c r="T1058" t="str">
        <f t="shared" si="66"/>
        <v>UNIQUE</v>
      </c>
      <c r="U1058" t="str">
        <f>IF(ISBLANK(Table1[[#This Row],[SizeOption]]),"NOT AVAILABLE",Table1[[#This Row],[SizeOption]])</f>
        <v>S, M, L, XL, XXL</v>
      </c>
      <c r="Y1058" t="str">
        <f>IF(Table2[[#This Row],[Column1]]&gt;50%,"HIGH DISCOUNT","LOW DISCOUNT")</f>
        <v>HIGH DISCOUNT</v>
      </c>
    </row>
    <row r="1059" spans="1:25" x14ac:dyDescent="0.25">
      <c r="A1059" s="2" t="s">
        <v>2410</v>
      </c>
      <c r="B1059" s="2">
        <v>4369962</v>
      </c>
      <c r="C1059" s="2" t="s">
        <v>33</v>
      </c>
      <c r="D1059" s="2" t="s">
        <v>34</v>
      </c>
      <c r="E1059" s="2" t="s">
        <v>118</v>
      </c>
      <c r="F1059" s="2" t="s">
        <v>36</v>
      </c>
      <c r="G1059" s="2" t="s">
        <v>2411</v>
      </c>
      <c r="H1059">
        <v>537</v>
      </c>
      <c r="I1059" s="2">
        <v>1195</v>
      </c>
      <c r="J1059" s="2" t="s">
        <v>25</v>
      </c>
      <c r="K1059" s="2" t="s">
        <v>2412</v>
      </c>
      <c r="L1059" s="2">
        <v>3.9</v>
      </c>
      <c r="M1059" s="2">
        <v>818</v>
      </c>
      <c r="P1059" t="str">
        <f t="shared" si="67"/>
        <v>55%</v>
      </c>
      <c r="Q1059" s="12">
        <f t="shared" si="64"/>
        <v>0.55000000000000004</v>
      </c>
      <c r="R1059" s="9">
        <f t="shared" si="65"/>
        <v>537.75</v>
      </c>
      <c r="S1059" s="9">
        <f>IF(R1059="",AVERAGEIF(Table1[Category],Table1[[#This Row],[Category]],Table2[orignal data]),Table2[[#This Row],[orignal data]])</f>
        <v>537.75</v>
      </c>
      <c r="T1059" t="str">
        <f t="shared" si="66"/>
        <v>UNIQUE</v>
      </c>
      <c r="U1059" t="str">
        <f>IF(ISBLANK(Table1[[#This Row],[SizeOption]]),"NOT AVAILABLE",Table1[[#This Row],[SizeOption]])</f>
        <v>34DD, 34E, 36D, 36DD, 36E, 38D, 38DD, 38E, 40C, 40D, 40DD, 42C, 42D, 42DD</v>
      </c>
      <c r="Y1059" t="str">
        <f>IF(Table2[[#This Row],[Column1]]&gt;50%,"HIGH DISCOUNT","LOW DISCOUNT")</f>
        <v>HIGH DISCOUNT</v>
      </c>
    </row>
    <row r="1060" spans="1:25" x14ac:dyDescent="0.25">
      <c r="A1060" s="1" t="s">
        <v>2413</v>
      </c>
      <c r="B1060" s="1">
        <v>11053934</v>
      </c>
      <c r="C1060" s="1" t="s">
        <v>377</v>
      </c>
      <c r="D1060" s="1" t="s">
        <v>98</v>
      </c>
      <c r="E1060" s="1" t="s">
        <v>53</v>
      </c>
      <c r="F1060" s="1" t="s">
        <v>36</v>
      </c>
      <c r="G1060" s="1" t="s">
        <v>2414</v>
      </c>
      <c r="H1060">
        <v>620</v>
      </c>
      <c r="I1060" s="1">
        <v>1149</v>
      </c>
      <c r="J1060" s="1" t="s">
        <v>2415</v>
      </c>
      <c r="K1060" s="1" t="s">
        <v>428</v>
      </c>
      <c r="L1060" s="1">
        <v>3.9</v>
      </c>
      <c r="M1060" s="1">
        <v>818</v>
      </c>
      <c r="P1060" t="str">
        <f t="shared" si="67"/>
        <v>46%</v>
      </c>
      <c r="Q1060" s="12">
        <f t="shared" si="64"/>
        <v>0.46</v>
      </c>
      <c r="R1060" s="9">
        <f t="shared" si="65"/>
        <v>620.45999999999992</v>
      </c>
      <c r="S1060" s="9">
        <f>IF(R1060="",AVERAGEIF(Table1[Category],Table1[[#This Row],[Category]],Table2[orignal data]),Table2[[#This Row],[orignal data]])</f>
        <v>620.45999999999992</v>
      </c>
      <c r="T1060" t="str">
        <f t="shared" si="66"/>
        <v>UNIQUE</v>
      </c>
      <c r="U1060" t="str">
        <f>IF(ISBLANK(Table1[[#This Row],[SizeOption]]),"NOT AVAILABLE",Table1[[#This Row],[SizeOption]])</f>
        <v>26, 28, 30, 32, 34</v>
      </c>
      <c r="Y1060" t="str">
        <f>IF(Table2[[#This Row],[Column1]]&gt;50%,"HIGH DISCOUNT","LOW DISCOUNT")</f>
        <v>LOW DISCOUNT</v>
      </c>
    </row>
    <row r="1061" spans="1:25" x14ac:dyDescent="0.25">
      <c r="A1061" s="2" t="s">
        <v>2416</v>
      </c>
      <c r="B1061" s="2">
        <v>9340649</v>
      </c>
      <c r="C1061" s="2" t="s">
        <v>676</v>
      </c>
      <c r="D1061" s="2" t="s">
        <v>41</v>
      </c>
      <c r="E1061" s="2" t="s">
        <v>48</v>
      </c>
      <c r="F1061" s="2" t="s">
        <v>36</v>
      </c>
      <c r="G1061" s="2" t="s">
        <v>2417</v>
      </c>
      <c r="I1061" s="2">
        <v>1998</v>
      </c>
      <c r="J1061" s="2" t="s">
        <v>84</v>
      </c>
      <c r="K1061" s="2" t="s">
        <v>26</v>
      </c>
      <c r="L1061" s="2">
        <v>4.2</v>
      </c>
      <c r="M1061" s="2">
        <v>818</v>
      </c>
      <c r="P1061" t="str">
        <f t="shared" si="67"/>
        <v>50%</v>
      </c>
      <c r="Q1061" s="12">
        <f t="shared" si="64"/>
        <v>0.5</v>
      </c>
      <c r="R1061" s="9">
        <f t="shared" si="65"/>
        <v>999</v>
      </c>
      <c r="S1061" s="9">
        <f>IF(R1061="",AVERAGEIF(Table1[Category],Table1[[#This Row],[Category]],Table2[orignal data]),Table2[[#This Row],[orignal data]])</f>
        <v>999</v>
      </c>
      <c r="T1061" t="str">
        <f t="shared" si="66"/>
        <v>UNIQUE</v>
      </c>
      <c r="U1061" t="str">
        <f>IF(ISBLANK(Table1[[#This Row],[SizeOption]]),"NOT AVAILABLE",Table1[[#This Row],[SizeOption]])</f>
        <v>S, M, L, XL</v>
      </c>
      <c r="Y1061" t="str">
        <f>IF(Table2[[#This Row],[Column1]]&gt;50%,"HIGH DISCOUNT","LOW DISCOUNT")</f>
        <v>LOW DISCOUNT</v>
      </c>
    </row>
    <row r="1062" spans="1:25" x14ac:dyDescent="0.25">
      <c r="A1062" s="1" t="s">
        <v>2418</v>
      </c>
      <c r="B1062" s="1">
        <v>9339651</v>
      </c>
      <c r="C1062" s="1" t="s">
        <v>676</v>
      </c>
      <c r="D1062" s="1" t="s">
        <v>41</v>
      </c>
      <c r="E1062" s="1" t="s">
        <v>48</v>
      </c>
      <c r="F1062" s="1" t="s">
        <v>36</v>
      </c>
      <c r="G1062" s="1" t="s">
        <v>2098</v>
      </c>
      <c r="I1062" s="1">
        <v>1998</v>
      </c>
      <c r="J1062" s="1" t="s">
        <v>84</v>
      </c>
      <c r="K1062" s="1" t="s">
        <v>26</v>
      </c>
      <c r="L1062" s="1">
        <v>4.2</v>
      </c>
      <c r="M1062" s="1">
        <v>818</v>
      </c>
      <c r="P1062" t="str">
        <f t="shared" si="67"/>
        <v>50%</v>
      </c>
      <c r="Q1062" s="12">
        <f t="shared" si="64"/>
        <v>0.5</v>
      </c>
      <c r="R1062" s="9">
        <f t="shared" si="65"/>
        <v>999</v>
      </c>
      <c r="S1062" s="9">
        <f>IF(R1062="",AVERAGEIF(Table1[Category],Table1[[#This Row],[Category]],Table2[orignal data]),Table2[[#This Row],[orignal data]])</f>
        <v>999</v>
      </c>
      <c r="T1062" t="str">
        <f t="shared" si="66"/>
        <v>UNIQUE</v>
      </c>
      <c r="U1062" t="str">
        <f>IF(ISBLANK(Table1[[#This Row],[SizeOption]]),"NOT AVAILABLE",Table1[[#This Row],[SizeOption]])</f>
        <v>S, M, L, XL</v>
      </c>
      <c r="Y1062" t="str">
        <f>IF(Table2[[#This Row],[Column1]]&gt;50%,"HIGH DISCOUNT","LOW DISCOUNT")</f>
        <v>LOW DISCOUNT</v>
      </c>
    </row>
    <row r="1063" spans="1:25" x14ac:dyDescent="0.25">
      <c r="A1063" s="2" t="s">
        <v>2419</v>
      </c>
      <c r="B1063" s="2">
        <v>12340822</v>
      </c>
      <c r="C1063" s="2" t="s">
        <v>52</v>
      </c>
      <c r="D1063" s="2" t="s">
        <v>28</v>
      </c>
      <c r="E1063" s="2" t="s">
        <v>29</v>
      </c>
      <c r="F1063" s="2" t="s">
        <v>17</v>
      </c>
      <c r="G1063" s="2" t="s">
        <v>2420</v>
      </c>
      <c r="H1063">
        <v>499</v>
      </c>
      <c r="I1063" s="2">
        <v>1349</v>
      </c>
      <c r="J1063" s="2" t="s">
        <v>476</v>
      </c>
      <c r="K1063" s="2" t="s">
        <v>90</v>
      </c>
      <c r="L1063" s="2">
        <v>4</v>
      </c>
      <c r="M1063" s="2">
        <v>817</v>
      </c>
      <c r="P1063" t="str">
        <f t="shared" si="67"/>
        <v>63%</v>
      </c>
      <c r="Q1063" s="12">
        <f t="shared" si="64"/>
        <v>0.63</v>
      </c>
      <c r="R1063" s="9">
        <f t="shared" si="65"/>
        <v>499.13</v>
      </c>
      <c r="S1063" s="9">
        <f>IF(R1063="",AVERAGEIF(Table1[Category],Table1[[#This Row],[Category]],Table2[orignal data]),Table2[[#This Row],[orignal data]])</f>
        <v>499.13</v>
      </c>
      <c r="T1063" t="str">
        <f t="shared" si="66"/>
        <v>UNIQUE</v>
      </c>
      <c r="U1063" t="str">
        <f>IF(ISBLANK(Table1[[#This Row],[SizeOption]]),"NOT AVAILABLE",Table1[[#This Row],[SizeOption]])</f>
        <v>39, 40, 42, 44</v>
      </c>
      <c r="Y1063" t="str">
        <f>IF(Table2[[#This Row],[Column1]]&gt;50%,"HIGH DISCOUNT","LOW DISCOUNT")</f>
        <v>HIGH DISCOUNT</v>
      </c>
    </row>
    <row r="1064" spans="1:25" x14ac:dyDescent="0.25">
      <c r="A1064" s="1" t="s">
        <v>2421</v>
      </c>
      <c r="B1064" s="1">
        <v>1901439</v>
      </c>
      <c r="C1064" s="1" t="s">
        <v>14</v>
      </c>
      <c r="D1064" s="1" t="s">
        <v>28</v>
      </c>
      <c r="E1064" s="1" t="s">
        <v>189</v>
      </c>
      <c r="F1064" s="1" t="s">
        <v>17</v>
      </c>
      <c r="G1064" s="1" t="s">
        <v>2422</v>
      </c>
      <c r="H1064">
        <v>959</v>
      </c>
      <c r="I1064" s="1">
        <v>2399</v>
      </c>
      <c r="J1064" s="1" t="s">
        <v>55</v>
      </c>
      <c r="K1064" s="1" t="s">
        <v>234</v>
      </c>
      <c r="L1064" s="1">
        <v>4.2</v>
      </c>
      <c r="M1064" s="1">
        <v>817</v>
      </c>
      <c r="P1064" t="str">
        <f t="shared" si="67"/>
        <v>60%</v>
      </c>
      <c r="Q1064" s="12">
        <f t="shared" si="64"/>
        <v>0.6</v>
      </c>
      <c r="R1064" s="9">
        <f t="shared" si="65"/>
        <v>959.60000000000014</v>
      </c>
      <c r="S1064" s="9">
        <f>IF(R1064="",AVERAGEIF(Table1[Category],Table1[[#This Row],[Category]],Table2[orignal data]),Table2[[#This Row],[orignal data]])</f>
        <v>959.60000000000014</v>
      </c>
      <c r="T1064" t="str">
        <f t="shared" si="66"/>
        <v>UNIQUE</v>
      </c>
      <c r="U1064" t="str">
        <f>IF(ISBLANK(Table1[[#This Row],[SizeOption]]),"NOT AVAILABLE",Table1[[#This Row],[SizeOption]])</f>
        <v>S, M, L, XL, XXL, 3XL</v>
      </c>
      <c r="Y1064" t="str">
        <f>IF(Table2[[#This Row],[Column1]]&gt;50%,"HIGH DISCOUNT","LOW DISCOUNT")</f>
        <v>HIGH DISCOUNT</v>
      </c>
    </row>
    <row r="1065" spans="1:25" x14ac:dyDescent="0.25">
      <c r="A1065" s="2" t="s">
        <v>2423</v>
      </c>
      <c r="B1065" s="2">
        <v>12135250</v>
      </c>
      <c r="C1065" s="2" t="s">
        <v>113</v>
      </c>
      <c r="D1065" s="2" t="s">
        <v>76</v>
      </c>
      <c r="E1065" s="2" t="s">
        <v>93</v>
      </c>
      <c r="F1065" s="2" t="s">
        <v>36</v>
      </c>
      <c r="G1065" s="2" t="s">
        <v>2424</v>
      </c>
      <c r="H1065">
        <v>674</v>
      </c>
      <c r="I1065" s="2">
        <v>1499</v>
      </c>
      <c r="J1065" s="2" t="s">
        <v>25</v>
      </c>
      <c r="K1065" s="2" t="s">
        <v>115</v>
      </c>
      <c r="L1065" s="2">
        <v>4.0999999999999996</v>
      </c>
      <c r="M1065" s="2">
        <v>817</v>
      </c>
      <c r="P1065" t="str">
        <f t="shared" si="67"/>
        <v>55%</v>
      </c>
      <c r="Q1065" s="12">
        <f t="shared" si="64"/>
        <v>0.55000000000000004</v>
      </c>
      <c r="R1065" s="9">
        <f t="shared" si="65"/>
        <v>674.55</v>
      </c>
      <c r="S1065" s="9">
        <f>IF(R1065="",AVERAGEIF(Table1[Category],Table1[[#This Row],[Category]],Table2[orignal data]),Table2[[#This Row],[orignal data]])</f>
        <v>674.55</v>
      </c>
      <c r="T1065" t="str">
        <f t="shared" si="66"/>
        <v>UNIQUE</v>
      </c>
      <c r="U1065" t="str">
        <f>IF(ISBLANK(Table1[[#This Row],[SizeOption]]),"NOT AVAILABLE",Table1[[#This Row],[SizeOption]])</f>
        <v>XS, S, M, L, XL, XXL</v>
      </c>
      <c r="Y1065" t="str">
        <f>IF(Table2[[#This Row],[Column1]]&gt;50%,"HIGH DISCOUNT","LOW DISCOUNT")</f>
        <v>HIGH DISCOUNT</v>
      </c>
    </row>
    <row r="1066" spans="1:25" x14ac:dyDescent="0.25">
      <c r="A1066" s="1" t="s">
        <v>2425</v>
      </c>
      <c r="B1066" s="1">
        <v>11740792</v>
      </c>
      <c r="C1066" s="1" t="s">
        <v>865</v>
      </c>
      <c r="D1066" s="1" t="s">
        <v>76</v>
      </c>
      <c r="E1066" s="1" t="s">
        <v>93</v>
      </c>
      <c r="F1066" s="1" t="s">
        <v>36</v>
      </c>
      <c r="G1066" s="1" t="s">
        <v>2426</v>
      </c>
      <c r="H1066">
        <v>1031</v>
      </c>
      <c r="I1066" s="1">
        <v>2399</v>
      </c>
      <c r="J1066" s="1" t="s">
        <v>130</v>
      </c>
      <c r="K1066" s="1" t="s">
        <v>39</v>
      </c>
      <c r="L1066" s="1">
        <v>4.2</v>
      </c>
      <c r="M1066" s="1">
        <v>817</v>
      </c>
      <c r="P1066" t="str">
        <f t="shared" si="67"/>
        <v>57%</v>
      </c>
      <c r="Q1066" s="12">
        <f t="shared" si="64"/>
        <v>0.56999999999999995</v>
      </c>
      <c r="R1066" s="9">
        <f t="shared" si="65"/>
        <v>1031.5700000000002</v>
      </c>
      <c r="S1066" s="9">
        <f>IF(R1066="",AVERAGEIF(Table1[Category],Table1[[#This Row],[Category]],Table2[orignal data]),Table2[[#This Row],[orignal data]])</f>
        <v>1031.5700000000002</v>
      </c>
      <c r="T1066" t="str">
        <f t="shared" si="66"/>
        <v>UNIQUE</v>
      </c>
      <c r="U1066" t="str">
        <f>IF(ISBLANK(Table1[[#This Row],[SizeOption]]),"NOT AVAILABLE",Table1[[#This Row],[SizeOption]])</f>
        <v>S, M, L, XL, XXL</v>
      </c>
      <c r="Y1066" t="str">
        <f>IF(Table2[[#This Row],[Column1]]&gt;50%,"HIGH DISCOUNT","LOW DISCOUNT")</f>
        <v>HIGH DISCOUNT</v>
      </c>
    </row>
    <row r="1067" spans="1:25" x14ac:dyDescent="0.25">
      <c r="A1067" s="2" t="s">
        <v>2427</v>
      </c>
      <c r="B1067" s="2">
        <v>11387330</v>
      </c>
      <c r="C1067" s="2" t="s">
        <v>623</v>
      </c>
      <c r="D1067" s="2" t="s">
        <v>34</v>
      </c>
      <c r="E1067" s="2" t="s">
        <v>118</v>
      </c>
      <c r="F1067" s="2" t="s">
        <v>36</v>
      </c>
      <c r="G1067" s="2" t="s">
        <v>2428</v>
      </c>
      <c r="H1067">
        <v>281</v>
      </c>
      <c r="I1067" s="2">
        <v>599</v>
      </c>
      <c r="J1067" s="2" t="s">
        <v>89</v>
      </c>
      <c r="K1067" s="2" t="s">
        <v>2429</v>
      </c>
      <c r="L1067" s="2">
        <v>4.2</v>
      </c>
      <c r="M1067" s="2">
        <v>817</v>
      </c>
      <c r="P1067" t="str">
        <f t="shared" si="67"/>
        <v>53%</v>
      </c>
      <c r="Q1067" s="12">
        <f t="shared" si="64"/>
        <v>0.53</v>
      </c>
      <c r="R1067" s="9">
        <f t="shared" si="65"/>
        <v>281.52999999999997</v>
      </c>
      <c r="S1067" s="9">
        <f>IF(R1067="",AVERAGEIF(Table1[Category],Table1[[#This Row],[Category]],Table2[orignal data]),Table2[[#This Row],[orignal data]])</f>
        <v>281.52999999999997</v>
      </c>
      <c r="T1067" t="str">
        <f t="shared" si="66"/>
        <v>UNIQUE</v>
      </c>
      <c r="U1067" t="str">
        <f>IF(ISBLANK(Table1[[#This Row],[SizeOption]]),"NOT AVAILABLE",Table1[[#This Row],[SizeOption]])</f>
        <v>32B, 32C, 32D, 34B, 34C, 34D, 36B, 36C, 36D, 38B, 38C, 40B, 40C</v>
      </c>
      <c r="Y1067" t="str">
        <f>IF(Table2[[#This Row],[Column1]]&gt;50%,"HIGH DISCOUNT","LOW DISCOUNT")</f>
        <v>HIGH DISCOUNT</v>
      </c>
    </row>
    <row r="1068" spans="1:25" x14ac:dyDescent="0.25">
      <c r="A1068" s="1" t="s">
        <v>2430</v>
      </c>
      <c r="B1068" s="1">
        <v>12051490</v>
      </c>
      <c r="C1068" s="1" t="s">
        <v>64</v>
      </c>
      <c r="D1068" s="1" t="s">
        <v>98</v>
      </c>
      <c r="E1068" s="1" t="s">
        <v>48</v>
      </c>
      <c r="F1068" s="1" t="s">
        <v>36</v>
      </c>
      <c r="G1068" s="1" t="s">
        <v>2431</v>
      </c>
      <c r="H1068">
        <v>419</v>
      </c>
      <c r="I1068" s="1">
        <v>1399</v>
      </c>
      <c r="J1068" s="1" t="s">
        <v>1566</v>
      </c>
      <c r="K1068" s="1" t="s">
        <v>39</v>
      </c>
      <c r="L1068" s="1">
        <v>4.0999999999999996</v>
      </c>
      <c r="M1068" s="1">
        <v>817</v>
      </c>
      <c r="P1068" t="str">
        <f t="shared" si="67"/>
        <v>70%</v>
      </c>
      <c r="Q1068" s="12">
        <f t="shared" si="64"/>
        <v>0.7</v>
      </c>
      <c r="R1068" s="9">
        <f t="shared" si="65"/>
        <v>419.70000000000005</v>
      </c>
      <c r="S1068" s="9">
        <f>IF(R1068="",AVERAGEIF(Table1[Category],Table1[[#This Row],[Category]],Table2[orignal data]),Table2[[#This Row],[orignal data]])</f>
        <v>419.70000000000005</v>
      </c>
      <c r="T1068" t="str">
        <f t="shared" si="66"/>
        <v>UNIQUE</v>
      </c>
      <c r="U1068" t="str">
        <f>IF(ISBLANK(Table1[[#This Row],[SizeOption]]),"NOT AVAILABLE",Table1[[#This Row],[SizeOption]])</f>
        <v>S, M, L, XL, XXL</v>
      </c>
      <c r="Y1068" t="str">
        <f>IF(Table2[[#This Row],[Column1]]&gt;50%,"HIGH DISCOUNT","LOW DISCOUNT")</f>
        <v>HIGH DISCOUNT</v>
      </c>
    </row>
    <row r="1069" spans="1:25" x14ac:dyDescent="0.25">
      <c r="A1069" s="2" t="s">
        <v>2432</v>
      </c>
      <c r="B1069" s="2">
        <v>14695616</v>
      </c>
      <c r="C1069" s="2" t="s">
        <v>102</v>
      </c>
      <c r="D1069" s="2" t="s">
        <v>68</v>
      </c>
      <c r="E1069" s="2" t="s">
        <v>23</v>
      </c>
      <c r="F1069" s="2" t="s">
        <v>36</v>
      </c>
      <c r="G1069" s="2" t="s">
        <v>2433</v>
      </c>
      <c r="H1069">
        <v>459</v>
      </c>
      <c r="I1069" s="2">
        <v>999</v>
      </c>
      <c r="J1069" s="2" t="s">
        <v>606</v>
      </c>
      <c r="K1069" s="2" t="s">
        <v>26</v>
      </c>
      <c r="L1069" s="2">
        <v>4.2</v>
      </c>
      <c r="M1069" s="2">
        <v>817</v>
      </c>
      <c r="P1069" t="str">
        <f t="shared" si="67"/>
        <v>54%</v>
      </c>
      <c r="Q1069" s="12">
        <f t="shared" si="64"/>
        <v>0.54</v>
      </c>
      <c r="R1069" s="9">
        <f t="shared" si="65"/>
        <v>459.53999999999996</v>
      </c>
      <c r="S1069" s="9">
        <f>IF(R1069="",AVERAGEIF(Table1[Category],Table1[[#This Row],[Category]],Table2[orignal data]),Table2[[#This Row],[orignal data]])</f>
        <v>459.53999999999996</v>
      </c>
      <c r="T1069" t="str">
        <f t="shared" si="66"/>
        <v>UNIQUE</v>
      </c>
      <c r="U1069" t="str">
        <f>IF(ISBLANK(Table1[[#This Row],[SizeOption]]),"NOT AVAILABLE",Table1[[#This Row],[SizeOption]])</f>
        <v>S, M, L, XL</v>
      </c>
      <c r="Y1069" t="str">
        <f>IF(Table2[[#This Row],[Column1]]&gt;50%,"HIGH DISCOUNT","LOW DISCOUNT")</f>
        <v>HIGH DISCOUNT</v>
      </c>
    </row>
    <row r="1070" spans="1:25" x14ac:dyDescent="0.25">
      <c r="A1070" s="1" t="s">
        <v>2434</v>
      </c>
      <c r="B1070" s="1">
        <v>596480</v>
      </c>
      <c r="C1070" s="1" t="s">
        <v>325</v>
      </c>
      <c r="D1070" s="1" t="s">
        <v>41</v>
      </c>
      <c r="E1070" s="1" t="s">
        <v>306</v>
      </c>
      <c r="F1070" s="1" t="s">
        <v>36</v>
      </c>
      <c r="G1070" s="1" t="s">
        <v>2435</v>
      </c>
      <c r="I1070" s="1">
        <v>1595</v>
      </c>
      <c r="J1070" s="1" t="s">
        <v>55</v>
      </c>
      <c r="K1070" s="1" t="s">
        <v>39</v>
      </c>
      <c r="L1070" s="1">
        <v>3.4</v>
      </c>
      <c r="M1070" s="1">
        <v>817</v>
      </c>
      <c r="P1070" t="str">
        <f t="shared" si="67"/>
        <v>60%</v>
      </c>
      <c r="Q1070" s="12">
        <f t="shared" si="64"/>
        <v>0.6</v>
      </c>
      <c r="R1070" s="9">
        <f t="shared" si="65"/>
        <v>638</v>
      </c>
      <c r="S1070" s="9">
        <f>IF(R1070="",AVERAGEIF(Table1[Category],Table1[[#This Row],[Category]],Table2[orignal data]),Table2[[#This Row],[orignal data]])</f>
        <v>638</v>
      </c>
      <c r="T1070" t="str">
        <f t="shared" si="66"/>
        <v>UNIQUE</v>
      </c>
      <c r="U1070" t="str">
        <f>IF(ISBLANK(Table1[[#This Row],[SizeOption]]),"NOT AVAILABLE",Table1[[#This Row],[SizeOption]])</f>
        <v>S, M, L, XL, XXL</v>
      </c>
      <c r="Y1070" t="str">
        <f>IF(Table2[[#This Row],[Column1]]&gt;50%,"HIGH DISCOUNT","LOW DISCOUNT")</f>
        <v>HIGH DISCOUNT</v>
      </c>
    </row>
    <row r="1071" spans="1:25" x14ac:dyDescent="0.25">
      <c r="A1071" s="2" t="s">
        <v>2436</v>
      </c>
      <c r="B1071" s="2">
        <v>8810395</v>
      </c>
      <c r="C1071" s="2" t="s">
        <v>14</v>
      </c>
      <c r="D1071" s="2" t="s">
        <v>41</v>
      </c>
      <c r="E1071" s="2" t="s">
        <v>16</v>
      </c>
      <c r="F1071" s="2" t="s">
        <v>36</v>
      </c>
      <c r="G1071" s="2" t="s">
        <v>2437</v>
      </c>
      <c r="I1071" s="2">
        <v>2099</v>
      </c>
      <c r="J1071" s="2" t="s">
        <v>25</v>
      </c>
      <c r="K1071" s="2" t="s">
        <v>134</v>
      </c>
      <c r="L1071" s="2">
        <v>4.3</v>
      </c>
      <c r="M1071" s="2">
        <v>817</v>
      </c>
      <c r="P1071" t="str">
        <f t="shared" si="67"/>
        <v>55%</v>
      </c>
      <c r="Q1071" s="12">
        <f t="shared" si="64"/>
        <v>0.55000000000000004</v>
      </c>
      <c r="R1071" s="9">
        <f t="shared" si="65"/>
        <v>944.55</v>
      </c>
      <c r="S1071" s="9">
        <f>IF(R1071="",AVERAGEIF(Table1[Category],Table1[[#This Row],[Category]],Table2[orignal data]),Table2[[#This Row],[orignal data]])</f>
        <v>944.55</v>
      </c>
      <c r="T1071" t="str">
        <f t="shared" si="66"/>
        <v>UNIQUE</v>
      </c>
      <c r="U1071" t="str">
        <f>IF(ISBLANK(Table1[[#This Row],[SizeOption]]),"NOT AVAILABLE",Table1[[#This Row],[SizeOption]])</f>
        <v>26, 28, 30, 32, 34, 36</v>
      </c>
      <c r="Y1071" t="str">
        <f>IF(Table2[[#This Row],[Column1]]&gt;50%,"HIGH DISCOUNT","LOW DISCOUNT")</f>
        <v>HIGH DISCOUNT</v>
      </c>
    </row>
    <row r="1072" spans="1:25" x14ac:dyDescent="0.25">
      <c r="A1072" s="1" t="s">
        <v>2438</v>
      </c>
      <c r="B1072" s="1">
        <v>10064473</v>
      </c>
      <c r="C1072" s="1" t="s">
        <v>14</v>
      </c>
      <c r="D1072" s="1" t="s">
        <v>15</v>
      </c>
      <c r="E1072" s="1" t="s">
        <v>16</v>
      </c>
      <c r="F1072" s="1" t="s">
        <v>17</v>
      </c>
      <c r="G1072" s="1" t="s">
        <v>2439</v>
      </c>
      <c r="H1072">
        <v>799</v>
      </c>
      <c r="I1072" s="1">
        <v>1999</v>
      </c>
      <c r="J1072" s="1" t="s">
        <v>55</v>
      </c>
      <c r="K1072" s="1" t="s">
        <v>20</v>
      </c>
      <c r="L1072" s="1">
        <v>3.9</v>
      </c>
      <c r="M1072" s="1">
        <v>816</v>
      </c>
      <c r="P1072" t="str">
        <f t="shared" si="67"/>
        <v>60%</v>
      </c>
      <c r="Q1072" s="12">
        <f t="shared" si="64"/>
        <v>0.6</v>
      </c>
      <c r="R1072" s="9">
        <f t="shared" si="65"/>
        <v>799.60000000000014</v>
      </c>
      <c r="S1072" s="9">
        <f>IF(R1072="",AVERAGEIF(Table1[Category],Table1[[#This Row],[Category]],Table2[orignal data]),Table2[[#This Row],[orignal data]])</f>
        <v>799.60000000000014</v>
      </c>
      <c r="T1072" t="str">
        <f t="shared" si="66"/>
        <v>UNIQUE</v>
      </c>
      <c r="U1072" t="str">
        <f>IF(ISBLANK(Table1[[#This Row],[SizeOption]]),"NOT AVAILABLE",Table1[[#This Row],[SizeOption]])</f>
        <v>28, 30, 32, 34, 36</v>
      </c>
      <c r="Y1072" t="str">
        <f>IF(Table2[[#This Row],[Column1]]&gt;50%,"HIGH DISCOUNT","LOW DISCOUNT")</f>
        <v>HIGH DISCOUNT</v>
      </c>
    </row>
    <row r="1073" spans="1:25" x14ac:dyDescent="0.25">
      <c r="A1073" s="2" t="s">
        <v>2440</v>
      </c>
      <c r="B1073" s="2">
        <v>8420413</v>
      </c>
      <c r="C1073" s="2" t="s">
        <v>97</v>
      </c>
      <c r="D1073" s="2" t="s">
        <v>98</v>
      </c>
      <c r="E1073" s="2" t="s">
        <v>148</v>
      </c>
      <c r="F1073" s="2" t="s">
        <v>36</v>
      </c>
      <c r="G1073" s="2" t="s">
        <v>2441</v>
      </c>
      <c r="H1073">
        <v>1399</v>
      </c>
      <c r="I1073" s="2">
        <v>3499</v>
      </c>
      <c r="J1073" s="2" t="s">
        <v>141</v>
      </c>
      <c r="K1073" s="2" t="s">
        <v>100</v>
      </c>
      <c r="L1073" s="2">
        <v>4.2</v>
      </c>
      <c r="M1073" s="2">
        <v>816</v>
      </c>
      <c r="P1073" t="str">
        <f t="shared" si="67"/>
        <v>60%</v>
      </c>
      <c r="Q1073" s="12">
        <f t="shared" si="64"/>
        <v>0.6</v>
      </c>
      <c r="R1073" s="9">
        <f t="shared" si="65"/>
        <v>1399.6</v>
      </c>
      <c r="S1073" s="9">
        <f>IF(R1073="",AVERAGEIF(Table1[Category],Table1[[#This Row],[Category]],Table2[orignal data]),Table2[[#This Row],[orignal data]])</f>
        <v>1399.6</v>
      </c>
      <c r="T1073" t="str">
        <f t="shared" si="66"/>
        <v>UNIQUE</v>
      </c>
      <c r="U1073" t="str">
        <f>IF(ISBLANK(Table1[[#This Row],[SizeOption]]),"NOT AVAILABLE",Table1[[#This Row],[SizeOption]])</f>
        <v>XS, S, M, L, XL, XXL, 3XL</v>
      </c>
      <c r="Y1073" t="str">
        <f>IF(Table2[[#This Row],[Column1]]&gt;50%,"HIGH DISCOUNT","LOW DISCOUNT")</f>
        <v>HIGH DISCOUNT</v>
      </c>
    </row>
    <row r="1074" spans="1:25" x14ac:dyDescent="0.25">
      <c r="A1074" s="1" t="s">
        <v>2442</v>
      </c>
      <c r="B1074" s="1">
        <v>17382018</v>
      </c>
      <c r="C1074" s="1" t="s">
        <v>14</v>
      </c>
      <c r="D1074" s="1" t="s">
        <v>41</v>
      </c>
      <c r="E1074" s="1" t="s">
        <v>42</v>
      </c>
      <c r="F1074" s="1" t="s">
        <v>36</v>
      </c>
      <c r="G1074" s="1" t="s">
        <v>2443</v>
      </c>
      <c r="I1074" s="1">
        <v>1598</v>
      </c>
      <c r="J1074" s="1" t="s">
        <v>84</v>
      </c>
      <c r="K1074" s="1" t="s">
        <v>45</v>
      </c>
      <c r="L1074" s="1">
        <v>4</v>
      </c>
      <c r="M1074" s="1">
        <v>816</v>
      </c>
      <c r="P1074" t="str">
        <f t="shared" si="67"/>
        <v>50%</v>
      </c>
      <c r="Q1074" s="12">
        <f t="shared" si="64"/>
        <v>0.5</v>
      </c>
      <c r="R1074" s="9">
        <f t="shared" si="65"/>
        <v>799</v>
      </c>
      <c r="S1074" s="9">
        <f>IF(R1074="",AVERAGEIF(Table1[Category],Table1[[#This Row],[Category]],Table2[orignal data]),Table2[[#This Row],[orignal data]])</f>
        <v>799</v>
      </c>
      <c r="T1074" t="str">
        <f t="shared" si="66"/>
        <v>UNIQUE</v>
      </c>
      <c r="U1074" t="str">
        <f>IF(ISBLANK(Table1[[#This Row],[SizeOption]]),"NOT AVAILABLE",Table1[[#This Row],[SizeOption]])</f>
        <v>XS, S, M, L, XL</v>
      </c>
      <c r="Y1074" t="str">
        <f>IF(Table2[[#This Row],[Column1]]&gt;50%,"HIGH DISCOUNT","LOW DISCOUNT")</f>
        <v>LOW DISCOUNT</v>
      </c>
    </row>
    <row r="1075" spans="1:25" x14ac:dyDescent="0.25">
      <c r="A1075" s="2" t="s">
        <v>2444</v>
      </c>
      <c r="B1075" s="2">
        <v>7383105</v>
      </c>
      <c r="C1075" s="2" t="s">
        <v>184</v>
      </c>
      <c r="D1075" s="2" t="s">
        <v>41</v>
      </c>
      <c r="E1075" s="2" t="s">
        <v>148</v>
      </c>
      <c r="F1075" s="2" t="s">
        <v>36</v>
      </c>
      <c r="G1075" s="2" t="s">
        <v>2445</v>
      </c>
      <c r="I1075" s="2">
        <v>1999</v>
      </c>
      <c r="J1075" s="2" t="s">
        <v>84</v>
      </c>
      <c r="K1075" s="2" t="s">
        <v>39</v>
      </c>
      <c r="L1075" s="2">
        <v>4.3</v>
      </c>
      <c r="M1075" s="2">
        <v>816</v>
      </c>
      <c r="P1075" t="str">
        <f t="shared" si="67"/>
        <v>50%</v>
      </c>
      <c r="Q1075" s="12">
        <f t="shared" si="64"/>
        <v>0.5</v>
      </c>
      <c r="R1075" s="9">
        <f t="shared" si="65"/>
        <v>999.5</v>
      </c>
      <c r="S1075" s="9">
        <f>IF(R1075="",AVERAGEIF(Table1[Category],Table1[[#This Row],[Category]],Table2[orignal data]),Table2[[#This Row],[orignal data]])</f>
        <v>999.5</v>
      </c>
      <c r="T1075" t="str">
        <f t="shared" si="66"/>
        <v>UNIQUE</v>
      </c>
      <c r="U1075" t="str">
        <f>IF(ISBLANK(Table1[[#This Row],[SizeOption]]),"NOT AVAILABLE",Table1[[#This Row],[SizeOption]])</f>
        <v>S, M, L, XL, XXL</v>
      </c>
      <c r="Y1075" t="str">
        <f>IF(Table2[[#This Row],[Column1]]&gt;50%,"HIGH DISCOUNT","LOW DISCOUNT")</f>
        <v>LOW DISCOUNT</v>
      </c>
    </row>
    <row r="1076" spans="1:25" x14ac:dyDescent="0.25">
      <c r="A1076" s="1" t="s">
        <v>2446</v>
      </c>
      <c r="B1076" s="1">
        <v>10167957</v>
      </c>
      <c r="C1076" s="1" t="s">
        <v>67</v>
      </c>
      <c r="D1076" s="1" t="s">
        <v>68</v>
      </c>
      <c r="E1076" s="1" t="s">
        <v>42</v>
      </c>
      <c r="F1076" s="1" t="s">
        <v>17</v>
      </c>
      <c r="G1076" s="1" t="s">
        <v>2447</v>
      </c>
      <c r="H1076">
        <v>849</v>
      </c>
      <c r="I1076" s="1">
        <v>1699</v>
      </c>
      <c r="J1076" s="1" t="s">
        <v>84</v>
      </c>
      <c r="K1076" s="1" t="s">
        <v>39</v>
      </c>
      <c r="L1076" s="1">
        <v>4.2</v>
      </c>
      <c r="M1076" s="1">
        <v>815</v>
      </c>
      <c r="P1076" t="str">
        <f t="shared" si="67"/>
        <v>50%</v>
      </c>
      <c r="Q1076" s="12">
        <f t="shared" si="64"/>
        <v>0.5</v>
      </c>
      <c r="R1076" s="9">
        <f t="shared" si="65"/>
        <v>849.5</v>
      </c>
      <c r="S1076" s="9">
        <f>IF(R1076="",AVERAGEIF(Table1[Category],Table1[[#This Row],[Category]],Table2[orignal data]),Table2[[#This Row],[orignal data]])</f>
        <v>849.5</v>
      </c>
      <c r="T1076" t="str">
        <f t="shared" si="66"/>
        <v>UNIQUE</v>
      </c>
      <c r="U1076" t="str">
        <f>IF(ISBLANK(Table1[[#This Row],[SizeOption]]),"NOT AVAILABLE",Table1[[#This Row],[SizeOption]])</f>
        <v>S, M, L, XL, XXL</v>
      </c>
      <c r="Y1076" t="str">
        <f>IF(Table2[[#This Row],[Column1]]&gt;50%,"HIGH DISCOUNT","LOW DISCOUNT")</f>
        <v>LOW DISCOUNT</v>
      </c>
    </row>
    <row r="1077" spans="1:25" x14ac:dyDescent="0.25">
      <c r="A1077" s="2" t="s">
        <v>2448</v>
      </c>
      <c r="B1077" s="2">
        <v>10424632</v>
      </c>
      <c r="C1077" s="2" t="s">
        <v>14</v>
      </c>
      <c r="D1077" s="2" t="s">
        <v>28</v>
      </c>
      <c r="E1077" s="2" t="s">
        <v>42</v>
      </c>
      <c r="F1077" s="2" t="s">
        <v>17</v>
      </c>
      <c r="G1077" s="2" t="s">
        <v>2449</v>
      </c>
      <c r="H1077">
        <v>649</v>
      </c>
      <c r="I1077" s="2">
        <v>1299</v>
      </c>
      <c r="J1077" s="2" t="s">
        <v>84</v>
      </c>
      <c r="K1077" s="2" t="s">
        <v>45</v>
      </c>
      <c r="L1077" s="2">
        <v>4.0999999999999996</v>
      </c>
      <c r="M1077" s="2">
        <v>815</v>
      </c>
      <c r="P1077" t="str">
        <f t="shared" si="67"/>
        <v>50%</v>
      </c>
      <c r="Q1077" s="12">
        <f t="shared" si="64"/>
        <v>0.5</v>
      </c>
      <c r="R1077" s="9">
        <f t="shared" si="65"/>
        <v>649.5</v>
      </c>
      <c r="S1077" s="9">
        <f>IF(R1077="",AVERAGEIF(Table1[Category],Table1[[#This Row],[Category]],Table2[orignal data]),Table2[[#This Row],[orignal data]])</f>
        <v>649.5</v>
      </c>
      <c r="T1077" t="str">
        <f t="shared" si="66"/>
        <v>UNIQUE</v>
      </c>
      <c r="U1077" t="str">
        <f>IF(ISBLANK(Table1[[#This Row],[SizeOption]]),"NOT AVAILABLE",Table1[[#This Row],[SizeOption]])</f>
        <v>XS, S, M, L, XL</v>
      </c>
      <c r="Y1077" t="str">
        <f>IF(Table2[[#This Row],[Column1]]&gt;50%,"HIGH DISCOUNT","LOW DISCOUNT")</f>
        <v>LOW DISCOUNT</v>
      </c>
    </row>
    <row r="1078" spans="1:25" x14ac:dyDescent="0.25">
      <c r="A1078" s="1" t="s">
        <v>2450</v>
      </c>
      <c r="B1078" s="1">
        <v>10944780</v>
      </c>
      <c r="C1078" s="1" t="s">
        <v>14</v>
      </c>
      <c r="D1078" s="1" t="s">
        <v>28</v>
      </c>
      <c r="E1078" s="1" t="s">
        <v>29</v>
      </c>
      <c r="F1078" s="1" t="s">
        <v>17</v>
      </c>
      <c r="G1078" s="1" t="s">
        <v>2451</v>
      </c>
      <c r="H1078">
        <v>519</v>
      </c>
      <c r="I1078" s="1">
        <v>1299</v>
      </c>
      <c r="J1078" s="1" t="s">
        <v>55</v>
      </c>
      <c r="K1078" s="1" t="s">
        <v>31</v>
      </c>
      <c r="L1078" s="1">
        <v>4.2</v>
      </c>
      <c r="M1078" s="1">
        <v>815</v>
      </c>
      <c r="P1078" t="str">
        <f t="shared" si="67"/>
        <v>60%</v>
      </c>
      <c r="Q1078" s="12">
        <f t="shared" si="64"/>
        <v>0.6</v>
      </c>
      <c r="R1078" s="9">
        <f t="shared" si="65"/>
        <v>519.6</v>
      </c>
      <c r="S1078" s="9">
        <f>IF(R1078="",AVERAGEIF(Table1[Category],Table1[[#This Row],[Category]],Table2[orignal data]),Table2[[#This Row],[orignal data]])</f>
        <v>519.6</v>
      </c>
      <c r="T1078" t="str">
        <f t="shared" si="66"/>
        <v>UNIQUE</v>
      </c>
      <c r="U1078" t="str">
        <f>IF(ISBLANK(Table1[[#This Row],[SizeOption]]),"NOT AVAILABLE",Table1[[#This Row],[SizeOption]])</f>
        <v>38, 40, 42, 44, 46, 48</v>
      </c>
      <c r="Y1078" t="str">
        <f>IF(Table2[[#This Row],[Column1]]&gt;50%,"HIGH DISCOUNT","LOW DISCOUNT")</f>
        <v>HIGH DISCOUNT</v>
      </c>
    </row>
    <row r="1079" spans="1:25" x14ac:dyDescent="0.25">
      <c r="A1079" s="2" t="s">
        <v>2452</v>
      </c>
      <c r="B1079" s="2">
        <v>11326642</v>
      </c>
      <c r="C1079" s="2" t="s">
        <v>14</v>
      </c>
      <c r="D1079" s="2" t="s">
        <v>28</v>
      </c>
      <c r="E1079" s="2" t="s">
        <v>29</v>
      </c>
      <c r="F1079" s="2" t="s">
        <v>17</v>
      </c>
      <c r="G1079" s="2" t="s">
        <v>2453</v>
      </c>
      <c r="H1079">
        <v>649</v>
      </c>
      <c r="I1079" s="2">
        <v>1299</v>
      </c>
      <c r="J1079" s="2" t="s">
        <v>84</v>
      </c>
      <c r="K1079" s="2" t="s">
        <v>253</v>
      </c>
      <c r="L1079" s="2">
        <v>4.3</v>
      </c>
      <c r="M1079" s="2">
        <v>815</v>
      </c>
      <c r="P1079" t="str">
        <f t="shared" si="67"/>
        <v>50%</v>
      </c>
      <c r="Q1079" s="12">
        <f t="shared" si="64"/>
        <v>0.5</v>
      </c>
      <c r="R1079" s="9">
        <f t="shared" si="65"/>
        <v>649.5</v>
      </c>
      <c r="S1079" s="9">
        <f>IF(R1079="",AVERAGEIF(Table1[Category],Table1[[#This Row],[Category]],Table2[orignal data]),Table2[[#This Row],[orignal data]])</f>
        <v>649.5</v>
      </c>
      <c r="T1079" t="str">
        <f t="shared" si="66"/>
        <v>UNIQUE</v>
      </c>
      <c r="U1079" t="str">
        <f>IF(ISBLANK(Table1[[#This Row],[SizeOption]]),"NOT AVAILABLE",Table1[[#This Row],[SizeOption]])</f>
        <v>38, 40, 42, 44</v>
      </c>
      <c r="Y1079" t="str">
        <f>IF(Table2[[#This Row],[Column1]]&gt;50%,"HIGH DISCOUNT","LOW DISCOUNT")</f>
        <v>LOW DISCOUNT</v>
      </c>
    </row>
    <row r="1080" spans="1:25" x14ac:dyDescent="0.25">
      <c r="A1080" s="1" t="s">
        <v>2454</v>
      </c>
      <c r="B1080" s="1">
        <v>11895986</v>
      </c>
      <c r="C1080" s="1" t="s">
        <v>14</v>
      </c>
      <c r="D1080" s="1" t="s">
        <v>28</v>
      </c>
      <c r="E1080" s="1" t="s">
        <v>29</v>
      </c>
      <c r="F1080" s="1" t="s">
        <v>17</v>
      </c>
      <c r="G1080" s="1" t="s">
        <v>2455</v>
      </c>
      <c r="H1080">
        <v>599</v>
      </c>
      <c r="I1080" s="1">
        <v>1499</v>
      </c>
      <c r="J1080" s="1" t="s">
        <v>55</v>
      </c>
      <c r="K1080" s="1" t="s">
        <v>253</v>
      </c>
      <c r="L1080" s="1">
        <v>4.2</v>
      </c>
      <c r="M1080" s="1">
        <v>815</v>
      </c>
      <c r="P1080" t="str">
        <f t="shared" si="67"/>
        <v>60%</v>
      </c>
      <c r="Q1080" s="12">
        <f t="shared" si="64"/>
        <v>0.6</v>
      </c>
      <c r="R1080" s="9">
        <f t="shared" si="65"/>
        <v>599.6</v>
      </c>
      <c r="S1080" s="9">
        <f>IF(R1080="",AVERAGEIF(Table1[Category],Table1[[#This Row],[Category]],Table2[orignal data]),Table2[[#This Row],[orignal data]])</f>
        <v>599.6</v>
      </c>
      <c r="T1080" t="str">
        <f t="shared" si="66"/>
        <v>UNIQUE</v>
      </c>
      <c r="U1080" t="str">
        <f>IF(ISBLANK(Table1[[#This Row],[SizeOption]]),"NOT AVAILABLE",Table1[[#This Row],[SizeOption]])</f>
        <v>38, 40, 42, 44</v>
      </c>
      <c r="Y1080" t="str">
        <f>IF(Table2[[#This Row],[Column1]]&gt;50%,"HIGH DISCOUNT","LOW DISCOUNT")</f>
        <v>HIGH DISCOUNT</v>
      </c>
    </row>
    <row r="1081" spans="1:25" x14ac:dyDescent="0.25">
      <c r="A1081" s="2" t="s">
        <v>2456</v>
      </c>
      <c r="B1081" s="2">
        <v>6411301</v>
      </c>
      <c r="C1081" s="2" t="s">
        <v>14</v>
      </c>
      <c r="D1081" s="2" t="s">
        <v>28</v>
      </c>
      <c r="E1081" s="2" t="s">
        <v>189</v>
      </c>
      <c r="F1081" s="2" t="s">
        <v>17</v>
      </c>
      <c r="G1081" s="2" t="s">
        <v>2345</v>
      </c>
      <c r="H1081">
        <v>1169</v>
      </c>
      <c r="I1081" s="2">
        <v>2599</v>
      </c>
      <c r="J1081" s="2" t="s">
        <v>25</v>
      </c>
      <c r="K1081" s="2" t="s">
        <v>234</v>
      </c>
      <c r="L1081" s="2">
        <v>4.3</v>
      </c>
      <c r="M1081" s="2">
        <v>815</v>
      </c>
      <c r="P1081" t="str">
        <f t="shared" si="67"/>
        <v>55%</v>
      </c>
      <c r="Q1081" s="12">
        <f t="shared" si="64"/>
        <v>0.55000000000000004</v>
      </c>
      <c r="R1081" s="9">
        <f t="shared" si="65"/>
        <v>1169.55</v>
      </c>
      <c r="S1081" s="9">
        <f>IF(R1081="",AVERAGEIF(Table1[Category],Table1[[#This Row],[Category]],Table2[orignal data]),Table2[[#This Row],[orignal data]])</f>
        <v>1169.55</v>
      </c>
      <c r="T1081" t="str">
        <f t="shared" si="66"/>
        <v>UNIQUE</v>
      </c>
      <c r="U1081" t="str">
        <f>IF(ISBLANK(Table1[[#This Row],[SizeOption]]),"NOT AVAILABLE",Table1[[#This Row],[SizeOption]])</f>
        <v>S, M, L, XL, XXL, 3XL</v>
      </c>
      <c r="Y1081" t="str">
        <f>IF(Table2[[#This Row],[Column1]]&gt;50%,"HIGH DISCOUNT","LOW DISCOUNT")</f>
        <v>HIGH DISCOUNT</v>
      </c>
    </row>
    <row r="1082" spans="1:25" x14ac:dyDescent="0.25">
      <c r="A1082" s="1" t="s">
        <v>2457</v>
      </c>
      <c r="B1082" s="1">
        <v>11541584</v>
      </c>
      <c r="C1082" s="1" t="s">
        <v>14</v>
      </c>
      <c r="D1082" s="1" t="s">
        <v>41</v>
      </c>
      <c r="E1082" s="1" t="s">
        <v>16</v>
      </c>
      <c r="F1082" s="1" t="s">
        <v>36</v>
      </c>
      <c r="G1082" s="1" t="s">
        <v>2458</v>
      </c>
      <c r="I1082" s="1">
        <v>1599</v>
      </c>
      <c r="J1082" s="1" t="s">
        <v>1986</v>
      </c>
      <c r="K1082" s="1" t="s">
        <v>134</v>
      </c>
      <c r="L1082" s="1">
        <v>4</v>
      </c>
      <c r="M1082" s="1">
        <v>815</v>
      </c>
      <c r="P1082" t="str">
        <f t="shared" si="67"/>
        <v>60 %</v>
      </c>
      <c r="Q1082" s="12">
        <f t="shared" si="64"/>
        <v>0.6</v>
      </c>
      <c r="R1082" s="9">
        <f t="shared" si="65"/>
        <v>639.6</v>
      </c>
      <c r="S1082" s="9">
        <f>IF(R1082="",AVERAGEIF(Table1[Category],Table1[[#This Row],[Category]],Table2[orignal data]),Table2[[#This Row],[orignal data]])</f>
        <v>639.6</v>
      </c>
      <c r="T1082" t="str">
        <f t="shared" si="66"/>
        <v>UNIQUE</v>
      </c>
      <c r="U1082" t="str">
        <f>IF(ISBLANK(Table1[[#This Row],[SizeOption]]),"NOT AVAILABLE",Table1[[#This Row],[SizeOption]])</f>
        <v>26, 28, 30, 32, 34, 36</v>
      </c>
      <c r="Y1082" t="str">
        <f>IF(Table2[[#This Row],[Column1]]&gt;50%,"HIGH DISCOUNT","LOW DISCOUNT")</f>
        <v>HIGH DISCOUNT</v>
      </c>
    </row>
    <row r="1083" spans="1:25" x14ac:dyDescent="0.25">
      <c r="A1083" s="2" t="s">
        <v>2459</v>
      </c>
      <c r="B1083" s="2">
        <v>7032949</v>
      </c>
      <c r="C1083" s="2" t="s">
        <v>271</v>
      </c>
      <c r="D1083" s="2" t="s">
        <v>41</v>
      </c>
      <c r="E1083" s="2" t="s">
        <v>148</v>
      </c>
      <c r="F1083" s="2" t="s">
        <v>36</v>
      </c>
      <c r="G1083" s="2" t="s">
        <v>2460</v>
      </c>
      <c r="I1083" s="2">
        <v>1999</v>
      </c>
      <c r="J1083" s="2" t="s">
        <v>79</v>
      </c>
      <c r="K1083" s="2" t="s">
        <v>45</v>
      </c>
      <c r="L1083" s="2">
        <v>4.0999999999999996</v>
      </c>
      <c r="M1083" s="2">
        <v>815</v>
      </c>
      <c r="P1083" t="str">
        <f t="shared" si="67"/>
        <v>70%</v>
      </c>
      <c r="Q1083" s="12">
        <f t="shared" si="64"/>
        <v>0.7</v>
      </c>
      <c r="R1083" s="9">
        <f t="shared" si="65"/>
        <v>599.70000000000005</v>
      </c>
      <c r="S1083" s="9">
        <f>IF(R1083="",AVERAGEIF(Table1[Category],Table1[[#This Row],[Category]],Table2[orignal data]),Table2[[#This Row],[orignal data]])</f>
        <v>599.70000000000005</v>
      </c>
      <c r="T1083" t="str">
        <f t="shared" si="66"/>
        <v>UNIQUE</v>
      </c>
      <c r="U1083" t="str">
        <f>IF(ISBLANK(Table1[[#This Row],[SizeOption]]),"NOT AVAILABLE",Table1[[#This Row],[SizeOption]])</f>
        <v>XS, S, M, L, XL</v>
      </c>
      <c r="Y1083" t="str">
        <f>IF(Table2[[#This Row],[Column1]]&gt;50%,"HIGH DISCOUNT","LOW DISCOUNT")</f>
        <v>HIGH DISCOUNT</v>
      </c>
    </row>
    <row r="1084" spans="1:25" x14ac:dyDescent="0.25">
      <c r="A1084" s="1" t="s">
        <v>2461</v>
      </c>
      <c r="B1084" s="1">
        <v>15198496</v>
      </c>
      <c r="C1084" s="1" t="s">
        <v>490</v>
      </c>
      <c r="D1084" s="1" t="s">
        <v>41</v>
      </c>
      <c r="E1084" s="1" t="s">
        <v>29</v>
      </c>
      <c r="F1084" s="1" t="s">
        <v>36</v>
      </c>
      <c r="G1084" s="1" t="s">
        <v>2462</v>
      </c>
      <c r="I1084" s="1">
        <v>1299</v>
      </c>
      <c r="J1084" s="1"/>
      <c r="K1084" s="1" t="s">
        <v>311</v>
      </c>
      <c r="L1084" s="1">
        <v>4.3</v>
      </c>
      <c r="M1084" s="1">
        <v>815</v>
      </c>
      <c r="P1084" t="str">
        <f t="shared" si="67"/>
        <v/>
      </c>
      <c r="Q1084" s="12" t="str">
        <f t="shared" si="64"/>
        <v/>
      </c>
      <c r="R1084" s="9" t="str">
        <f t="shared" si="65"/>
        <v/>
      </c>
      <c r="S1084" s="9">
        <f>IF(R1084="",AVERAGEIF(Table1[Category],Table1[[#This Row],[Category]],Table2[orignal data]),Table2[[#This Row],[orignal data]])</f>
        <v>715.78890751086249</v>
      </c>
      <c r="T1084" t="str">
        <f t="shared" si="66"/>
        <v>UNIQUE</v>
      </c>
      <c r="U1084" t="str">
        <f>IF(ISBLANK(Table1[[#This Row],[SizeOption]]),"NOT AVAILABLE",Table1[[#This Row],[SizeOption]])</f>
        <v>XS, S, M, L</v>
      </c>
      <c r="Y1084" t="str">
        <f>IF(Table2[[#This Row],[Column1]]&gt;50%,"HIGH DISCOUNT","LOW DISCOUNT")</f>
        <v>HIGH DISCOUNT</v>
      </c>
    </row>
    <row r="1085" spans="1:25" x14ac:dyDescent="0.25">
      <c r="A1085" s="2" t="s">
        <v>2463</v>
      </c>
      <c r="B1085" s="2">
        <v>4046660</v>
      </c>
      <c r="C1085" s="2" t="s">
        <v>67</v>
      </c>
      <c r="D1085" s="2" t="s">
        <v>15</v>
      </c>
      <c r="E1085" s="2" t="s">
        <v>137</v>
      </c>
      <c r="F1085" s="2" t="s">
        <v>17</v>
      </c>
      <c r="G1085" s="2" t="s">
        <v>2464</v>
      </c>
      <c r="H1085">
        <v>559</v>
      </c>
      <c r="I1085" s="2">
        <v>1599</v>
      </c>
      <c r="J1085" s="2" t="s">
        <v>150</v>
      </c>
      <c r="K1085" s="2" t="s">
        <v>171</v>
      </c>
      <c r="L1085" s="2">
        <v>4.0999999999999996</v>
      </c>
      <c r="M1085" s="2">
        <v>814</v>
      </c>
      <c r="P1085" t="str">
        <f t="shared" si="67"/>
        <v>65%</v>
      </c>
      <c r="Q1085" s="12">
        <f t="shared" si="64"/>
        <v>0.65</v>
      </c>
      <c r="R1085" s="9">
        <f t="shared" si="65"/>
        <v>559.64999999999986</v>
      </c>
      <c r="S1085" s="9">
        <f>IF(R1085="",AVERAGEIF(Table1[Category],Table1[[#This Row],[Category]],Table2[orignal data]),Table2[[#This Row],[orignal data]])</f>
        <v>559.64999999999986</v>
      </c>
      <c r="T1085" t="str">
        <f t="shared" si="66"/>
        <v>UNIQUE</v>
      </c>
      <c r="U1085" t="str">
        <f>IF(ISBLANK(Table1[[#This Row],[SizeOption]]),"NOT AVAILABLE",Table1[[#This Row],[SizeOption]])</f>
        <v>28, 30, 32, 34, 36, 38</v>
      </c>
      <c r="Y1085" t="str">
        <f>IF(Table2[[#This Row],[Column1]]&gt;50%,"HIGH DISCOUNT","LOW DISCOUNT")</f>
        <v>HIGH DISCOUNT</v>
      </c>
    </row>
    <row r="1086" spans="1:25" x14ac:dyDescent="0.25">
      <c r="A1086" s="1" t="s">
        <v>2465</v>
      </c>
      <c r="B1086" s="1">
        <v>7441172</v>
      </c>
      <c r="C1086" s="1" t="s">
        <v>1693</v>
      </c>
      <c r="D1086" s="1" t="s">
        <v>76</v>
      </c>
      <c r="E1086" s="1" t="s">
        <v>93</v>
      </c>
      <c r="F1086" s="1" t="s">
        <v>17</v>
      </c>
      <c r="G1086" s="1" t="s">
        <v>2466</v>
      </c>
      <c r="H1086">
        <v>1429</v>
      </c>
      <c r="I1086" s="1">
        <v>2199</v>
      </c>
      <c r="J1086" s="1" t="s">
        <v>44</v>
      </c>
      <c r="K1086" s="1" t="s">
        <v>39</v>
      </c>
      <c r="L1086" s="1">
        <v>4.5</v>
      </c>
      <c r="M1086" s="1">
        <v>814</v>
      </c>
      <c r="P1086" t="str">
        <f t="shared" si="67"/>
        <v>35%</v>
      </c>
      <c r="Q1086" s="12">
        <f t="shared" si="64"/>
        <v>0.35</v>
      </c>
      <c r="R1086" s="9">
        <f t="shared" si="65"/>
        <v>1429.35</v>
      </c>
      <c r="S1086" s="9">
        <f>IF(R1086="",AVERAGEIF(Table1[Category],Table1[[#This Row],[Category]],Table2[orignal data]),Table2[[#This Row],[orignal data]])</f>
        <v>1429.35</v>
      </c>
      <c r="T1086" t="str">
        <f t="shared" si="66"/>
        <v>UNIQUE</v>
      </c>
      <c r="U1086" t="str">
        <f>IF(ISBLANK(Table1[[#This Row],[SizeOption]]),"NOT AVAILABLE",Table1[[#This Row],[SizeOption]])</f>
        <v>S, M, L, XL, XXL</v>
      </c>
      <c r="Y1086" t="str">
        <f>IF(Table2[[#This Row],[Column1]]&gt;50%,"HIGH DISCOUNT","LOW DISCOUNT")</f>
        <v>LOW DISCOUNT</v>
      </c>
    </row>
    <row r="1087" spans="1:25" x14ac:dyDescent="0.25">
      <c r="A1087" s="2" t="s">
        <v>2467</v>
      </c>
      <c r="B1087" s="2">
        <v>16600894</v>
      </c>
      <c r="C1087" s="2" t="s">
        <v>1024</v>
      </c>
      <c r="D1087" s="2" t="s">
        <v>76</v>
      </c>
      <c r="E1087" s="2" t="s">
        <v>77</v>
      </c>
      <c r="F1087" s="2" t="s">
        <v>36</v>
      </c>
      <c r="G1087" s="2" t="s">
        <v>2468</v>
      </c>
      <c r="H1087">
        <v>974</v>
      </c>
      <c r="I1087" s="2">
        <v>3748</v>
      </c>
      <c r="J1087" s="2" t="s">
        <v>2469</v>
      </c>
      <c r="K1087" s="2" t="s">
        <v>73</v>
      </c>
      <c r="L1087" s="2">
        <v>4</v>
      </c>
      <c r="M1087" s="2">
        <v>814</v>
      </c>
      <c r="P1087" t="str">
        <f t="shared" si="67"/>
        <v>74%</v>
      </c>
      <c r="Q1087" s="12">
        <f t="shared" si="64"/>
        <v>0.74</v>
      </c>
      <c r="R1087" s="9">
        <f t="shared" si="65"/>
        <v>974.48</v>
      </c>
      <c r="S1087" s="9">
        <f>IF(R1087="",AVERAGEIF(Table1[Category],Table1[[#This Row],[Category]],Table2[orignal data]),Table2[[#This Row],[orignal data]])</f>
        <v>974.48</v>
      </c>
      <c r="T1087" t="str">
        <f t="shared" si="66"/>
        <v>UNIQUE</v>
      </c>
      <c r="U1087" t="str">
        <f>IF(ISBLANK(Table1[[#This Row],[SizeOption]]),"NOT AVAILABLE",Table1[[#This Row],[SizeOption]])</f>
        <v>XS, S, M, L, XL, XXL, 3XL, 4XL</v>
      </c>
      <c r="Y1087" t="str">
        <f>IF(Table2[[#This Row],[Column1]]&gt;50%,"HIGH DISCOUNT","LOW DISCOUNT")</f>
        <v>HIGH DISCOUNT</v>
      </c>
    </row>
    <row r="1088" spans="1:25" x14ac:dyDescent="0.25">
      <c r="A1088" s="1" t="s">
        <v>2470</v>
      </c>
      <c r="B1088" s="1">
        <v>13932430</v>
      </c>
      <c r="C1088" s="1" t="s">
        <v>277</v>
      </c>
      <c r="D1088" s="1" t="s">
        <v>76</v>
      </c>
      <c r="E1088" s="1" t="s">
        <v>77</v>
      </c>
      <c r="F1088" s="1" t="s">
        <v>36</v>
      </c>
      <c r="G1088" s="1" t="s">
        <v>2471</v>
      </c>
      <c r="H1088">
        <v>1399</v>
      </c>
      <c r="I1088" s="1">
        <v>3999</v>
      </c>
      <c r="J1088" s="1" t="s">
        <v>150</v>
      </c>
      <c r="K1088" s="1" t="s">
        <v>39</v>
      </c>
      <c r="L1088" s="1">
        <v>3.7</v>
      </c>
      <c r="M1088" s="1">
        <v>814</v>
      </c>
      <c r="P1088" t="str">
        <f t="shared" si="67"/>
        <v>65%</v>
      </c>
      <c r="Q1088" s="12">
        <f t="shared" si="64"/>
        <v>0.65</v>
      </c>
      <c r="R1088" s="9">
        <f t="shared" si="65"/>
        <v>1399.65</v>
      </c>
      <c r="S1088" s="9">
        <f>IF(R1088="",AVERAGEIF(Table1[Category],Table1[[#This Row],[Category]],Table2[orignal data]),Table2[[#This Row],[orignal data]])</f>
        <v>1399.65</v>
      </c>
      <c r="T1088" t="str">
        <f t="shared" si="66"/>
        <v>UNIQUE</v>
      </c>
      <c r="U1088" t="str">
        <f>IF(ISBLANK(Table1[[#This Row],[SizeOption]]),"NOT AVAILABLE",Table1[[#This Row],[SizeOption]])</f>
        <v>S, M, L, XL, XXL</v>
      </c>
      <c r="Y1088" t="str">
        <f>IF(Table2[[#This Row],[Column1]]&gt;50%,"HIGH DISCOUNT","LOW DISCOUNT")</f>
        <v>HIGH DISCOUNT</v>
      </c>
    </row>
    <row r="1089" spans="1:25" x14ac:dyDescent="0.25">
      <c r="A1089" s="2" t="s">
        <v>2472</v>
      </c>
      <c r="B1089" s="2">
        <v>2453120</v>
      </c>
      <c r="C1089" s="2" t="s">
        <v>33</v>
      </c>
      <c r="D1089" s="2" t="s">
        <v>34</v>
      </c>
      <c r="E1089" s="2" t="s">
        <v>35</v>
      </c>
      <c r="F1089" s="2" t="s">
        <v>36</v>
      </c>
      <c r="G1089" s="2" t="s">
        <v>2473</v>
      </c>
      <c r="H1089">
        <v>893</v>
      </c>
      <c r="I1089" s="2">
        <v>1295</v>
      </c>
      <c r="J1089" s="2" t="s">
        <v>467</v>
      </c>
      <c r="K1089" s="2" t="s">
        <v>26</v>
      </c>
      <c r="L1089" s="2">
        <v>4.0999999999999996</v>
      </c>
      <c r="M1089" s="2">
        <v>814</v>
      </c>
      <c r="P1089" t="str">
        <f t="shared" si="67"/>
        <v>31%</v>
      </c>
      <c r="Q1089" s="12">
        <f t="shared" si="64"/>
        <v>0.31</v>
      </c>
      <c r="R1089" s="9">
        <f t="shared" si="65"/>
        <v>893.55</v>
      </c>
      <c r="S1089" s="9">
        <f>IF(R1089="",AVERAGEIF(Table1[Category],Table1[[#This Row],[Category]],Table2[orignal data]),Table2[[#This Row],[orignal data]])</f>
        <v>893.55</v>
      </c>
      <c r="T1089" t="str">
        <f t="shared" si="66"/>
        <v>UNIQUE</v>
      </c>
      <c r="U1089" t="str">
        <f>IF(ISBLANK(Table1[[#This Row],[SizeOption]]),"NOT AVAILABLE",Table1[[#This Row],[SizeOption]])</f>
        <v>S, M, L, XL</v>
      </c>
      <c r="Y1089" t="str">
        <f>IF(Table2[[#This Row],[Column1]]&gt;50%,"HIGH DISCOUNT","LOW DISCOUNT")</f>
        <v>LOW DISCOUNT</v>
      </c>
    </row>
    <row r="1090" spans="1:25" x14ac:dyDescent="0.25">
      <c r="A1090" s="1" t="s">
        <v>2474</v>
      </c>
      <c r="B1090" s="1">
        <v>13384820</v>
      </c>
      <c r="C1090" s="1" t="s">
        <v>64</v>
      </c>
      <c r="D1090" s="1" t="s">
        <v>98</v>
      </c>
      <c r="E1090" s="1" t="s">
        <v>93</v>
      </c>
      <c r="F1090" s="1" t="s">
        <v>36</v>
      </c>
      <c r="G1090" s="1" t="s">
        <v>2475</v>
      </c>
      <c r="H1090">
        <v>359</v>
      </c>
      <c r="I1090" s="1">
        <v>1199</v>
      </c>
      <c r="J1090" s="1" t="s">
        <v>79</v>
      </c>
      <c r="K1090" s="1" t="s">
        <v>100</v>
      </c>
      <c r="L1090" s="1">
        <v>4.3</v>
      </c>
      <c r="M1090" s="1">
        <v>814</v>
      </c>
      <c r="P1090" t="str">
        <f t="shared" si="67"/>
        <v>70%</v>
      </c>
      <c r="Q1090" s="12">
        <f t="shared" ref="Q1090:Q1153" si="68">IF(P1090="","",IF(ISNUMBER(SEARCH("%",P1090)),P1090,P1090/I1090)*100%)</f>
        <v>0.7</v>
      </c>
      <c r="R1090" s="9">
        <f t="shared" ref="R1090:R1153" si="69">IF(P1090="","",I1090-(I1090*Q1090))</f>
        <v>359.70000000000005</v>
      </c>
      <c r="S1090" s="9">
        <f>IF(R1090="",AVERAGEIF(Table1[Category],Table1[[#This Row],[Category]],Table2[orignal data]),Table2[[#This Row],[orignal data]])</f>
        <v>359.70000000000005</v>
      </c>
      <c r="T1090" t="str">
        <f t="shared" ref="T1090:T1153" si="70">IF(COUNTIF($B$2:$B$5000,B1090)&gt;1,"DUPLICATE","UNIQUE")</f>
        <v>UNIQUE</v>
      </c>
      <c r="U1090" t="str">
        <f>IF(ISBLANK(Table1[[#This Row],[SizeOption]]),"NOT AVAILABLE",Table1[[#This Row],[SizeOption]])</f>
        <v>XS, S, M, L, XL, XXL, 3XL</v>
      </c>
      <c r="Y1090" t="str">
        <f>IF(Table2[[#This Row],[Column1]]&gt;50%,"HIGH DISCOUNT","LOW DISCOUNT")</f>
        <v>HIGH DISCOUNT</v>
      </c>
    </row>
    <row r="1091" spans="1:25" x14ac:dyDescent="0.25">
      <c r="A1091" s="2" t="s">
        <v>2476</v>
      </c>
      <c r="B1091" s="2">
        <v>12817390</v>
      </c>
      <c r="C1091" s="2" t="s">
        <v>64</v>
      </c>
      <c r="D1091" s="2" t="s">
        <v>28</v>
      </c>
      <c r="E1091" s="2" t="s">
        <v>42</v>
      </c>
      <c r="F1091" s="2" t="s">
        <v>17</v>
      </c>
      <c r="G1091" s="2" t="s">
        <v>2477</v>
      </c>
      <c r="H1091">
        <v>604</v>
      </c>
      <c r="I1091" s="2">
        <v>1099</v>
      </c>
      <c r="J1091" s="2" t="s">
        <v>19</v>
      </c>
      <c r="K1091" s="2" t="s">
        <v>26</v>
      </c>
      <c r="L1091" s="2">
        <v>4.2</v>
      </c>
      <c r="M1091" s="2">
        <v>813</v>
      </c>
      <c r="P1091" t="str">
        <f t="shared" ref="P1091:P1154" si="71">TRIM(SUBSTITUTE(SUBSTITUTE(SUBSTITUTE(SUBSTITUTE(J1091,"OFF",""),"Rs.",""),"Hurry*",""),",",""))</f>
        <v>45%</v>
      </c>
      <c r="Q1091" s="12">
        <f t="shared" si="68"/>
        <v>0.45</v>
      </c>
      <c r="R1091" s="9">
        <f t="shared" si="69"/>
        <v>604.45000000000005</v>
      </c>
      <c r="S1091" s="9">
        <f>IF(R1091="",AVERAGEIF(Table1[Category],Table1[[#This Row],[Category]],Table2[orignal data]),Table2[[#This Row],[orignal data]])</f>
        <v>604.45000000000005</v>
      </c>
      <c r="T1091" t="str">
        <f t="shared" si="70"/>
        <v>UNIQUE</v>
      </c>
      <c r="U1091" t="str">
        <f>IF(ISBLANK(Table1[[#This Row],[SizeOption]]),"NOT AVAILABLE",Table1[[#This Row],[SizeOption]])</f>
        <v>S, M, L, XL</v>
      </c>
      <c r="Y1091" t="str">
        <f>IF(Table2[[#This Row],[Column1]]&gt;50%,"HIGH DISCOUNT","LOW DISCOUNT")</f>
        <v>LOW DISCOUNT</v>
      </c>
    </row>
    <row r="1092" spans="1:25" x14ac:dyDescent="0.25">
      <c r="A1092" s="1" t="s">
        <v>2478</v>
      </c>
      <c r="B1092" s="1">
        <v>9435023</v>
      </c>
      <c r="C1092" s="1" t="s">
        <v>2479</v>
      </c>
      <c r="D1092" s="1" t="s">
        <v>76</v>
      </c>
      <c r="E1092" s="1" t="s">
        <v>320</v>
      </c>
      <c r="F1092" s="1" t="s">
        <v>36</v>
      </c>
      <c r="G1092" s="1" t="s">
        <v>2480</v>
      </c>
      <c r="H1092">
        <v>1440</v>
      </c>
      <c r="I1092" s="1">
        <v>3350</v>
      </c>
      <c r="J1092" s="1" t="s">
        <v>130</v>
      </c>
      <c r="K1092" s="1" t="s">
        <v>164</v>
      </c>
      <c r="L1092" s="1">
        <v>4.2</v>
      </c>
      <c r="M1092" s="1">
        <v>813</v>
      </c>
      <c r="P1092" t="str">
        <f t="shared" si="71"/>
        <v>57%</v>
      </c>
      <c r="Q1092" s="12">
        <f t="shared" si="68"/>
        <v>0.56999999999999995</v>
      </c>
      <c r="R1092" s="9">
        <f t="shared" si="69"/>
        <v>1440.5000000000002</v>
      </c>
      <c r="S1092" s="9">
        <f>IF(R1092="",AVERAGEIF(Table1[Category],Table1[[#This Row],[Category]],Table2[orignal data]),Table2[[#This Row],[orignal data]])</f>
        <v>1440.5000000000002</v>
      </c>
      <c r="T1092" t="str">
        <f t="shared" si="70"/>
        <v>UNIQUE</v>
      </c>
      <c r="U1092" t="str">
        <f>IF(ISBLANK(Table1[[#This Row],[SizeOption]]),"NOT AVAILABLE",Table1[[#This Row],[SizeOption]])</f>
        <v>Onesize</v>
      </c>
      <c r="Y1092" t="str">
        <f>IF(Table2[[#This Row],[Column1]]&gt;50%,"HIGH DISCOUNT","LOW DISCOUNT")</f>
        <v>HIGH DISCOUNT</v>
      </c>
    </row>
    <row r="1093" spans="1:25" x14ac:dyDescent="0.25">
      <c r="A1093" s="2" t="s">
        <v>2481</v>
      </c>
      <c r="B1093" s="2">
        <v>7286685</v>
      </c>
      <c r="C1093" s="2" t="s">
        <v>92</v>
      </c>
      <c r="D1093" s="2" t="s">
        <v>76</v>
      </c>
      <c r="E1093" s="2" t="s">
        <v>148</v>
      </c>
      <c r="F1093" s="2" t="s">
        <v>36</v>
      </c>
      <c r="G1093" s="2" t="s">
        <v>2482</v>
      </c>
      <c r="H1093">
        <v>1516</v>
      </c>
      <c r="I1093" s="2">
        <v>3699</v>
      </c>
      <c r="J1093" s="2" t="s">
        <v>95</v>
      </c>
      <c r="K1093" s="2" t="s">
        <v>39</v>
      </c>
      <c r="L1093" s="2">
        <v>4.0999999999999996</v>
      </c>
      <c r="M1093" s="2">
        <v>813</v>
      </c>
      <c r="P1093" t="str">
        <f t="shared" si="71"/>
        <v>59%</v>
      </c>
      <c r="Q1093" s="12">
        <f t="shared" si="68"/>
        <v>0.59</v>
      </c>
      <c r="R1093" s="9">
        <f t="shared" si="69"/>
        <v>1516.5900000000001</v>
      </c>
      <c r="S1093" s="9">
        <f>IF(R1093="",AVERAGEIF(Table1[Category],Table1[[#This Row],[Category]],Table2[orignal data]),Table2[[#This Row],[orignal data]])</f>
        <v>1516.5900000000001</v>
      </c>
      <c r="T1093" t="str">
        <f t="shared" si="70"/>
        <v>UNIQUE</v>
      </c>
      <c r="U1093" t="str">
        <f>IF(ISBLANK(Table1[[#This Row],[SizeOption]]),"NOT AVAILABLE",Table1[[#This Row],[SizeOption]])</f>
        <v>S, M, L, XL, XXL</v>
      </c>
      <c r="Y1093" t="str">
        <f>IF(Table2[[#This Row],[Column1]]&gt;50%,"HIGH DISCOUNT","LOW DISCOUNT")</f>
        <v>HIGH DISCOUNT</v>
      </c>
    </row>
    <row r="1094" spans="1:25" x14ac:dyDescent="0.25">
      <c r="A1094" s="1" t="s">
        <v>2483</v>
      </c>
      <c r="B1094" s="1">
        <v>10145883</v>
      </c>
      <c r="C1094" s="1" t="s">
        <v>102</v>
      </c>
      <c r="D1094" s="1" t="s">
        <v>41</v>
      </c>
      <c r="E1094" s="1" t="s">
        <v>29</v>
      </c>
      <c r="F1094" s="1" t="s">
        <v>36</v>
      </c>
      <c r="G1094" s="1" t="s">
        <v>2484</v>
      </c>
      <c r="I1094" s="1">
        <v>1149</v>
      </c>
      <c r="J1094" s="1" t="s">
        <v>602</v>
      </c>
      <c r="K1094" s="1" t="s">
        <v>26</v>
      </c>
      <c r="L1094" s="1">
        <v>4.3</v>
      </c>
      <c r="M1094" s="1">
        <v>813</v>
      </c>
      <c r="P1094" t="str">
        <f t="shared" si="71"/>
        <v>48%</v>
      </c>
      <c r="Q1094" s="12">
        <f t="shared" si="68"/>
        <v>0.48</v>
      </c>
      <c r="R1094" s="9">
        <f t="shared" si="69"/>
        <v>597.48</v>
      </c>
      <c r="S1094" s="9">
        <f>IF(R1094="",AVERAGEIF(Table1[Category],Table1[[#This Row],[Category]],Table2[orignal data]),Table2[[#This Row],[orignal data]])</f>
        <v>597.48</v>
      </c>
      <c r="T1094" t="str">
        <f t="shared" si="70"/>
        <v>UNIQUE</v>
      </c>
      <c r="U1094" t="str">
        <f>IF(ISBLANK(Table1[[#This Row],[SizeOption]]),"NOT AVAILABLE",Table1[[#This Row],[SizeOption]])</f>
        <v>S, M, L, XL</v>
      </c>
      <c r="Y1094" t="str">
        <f>IF(Table2[[#This Row],[Column1]]&gt;50%,"HIGH DISCOUNT","LOW DISCOUNT")</f>
        <v>LOW DISCOUNT</v>
      </c>
    </row>
    <row r="1095" spans="1:25" x14ac:dyDescent="0.25">
      <c r="A1095" s="2" t="s">
        <v>2485</v>
      </c>
      <c r="B1095" s="2">
        <v>13398668</v>
      </c>
      <c r="C1095" s="2" t="s">
        <v>14</v>
      </c>
      <c r="D1095" s="2" t="s">
        <v>41</v>
      </c>
      <c r="E1095" s="2" t="s">
        <v>29</v>
      </c>
      <c r="F1095" s="2" t="s">
        <v>36</v>
      </c>
      <c r="G1095" s="2" t="s">
        <v>2486</v>
      </c>
      <c r="I1095" s="2">
        <v>1399</v>
      </c>
      <c r="J1095" s="2" t="s">
        <v>84</v>
      </c>
      <c r="K1095" s="2" t="s">
        <v>115</v>
      </c>
      <c r="L1095" s="2">
        <v>4.3</v>
      </c>
      <c r="M1095" s="2">
        <v>813</v>
      </c>
      <c r="P1095" t="str">
        <f t="shared" si="71"/>
        <v>50%</v>
      </c>
      <c r="Q1095" s="12">
        <f t="shared" si="68"/>
        <v>0.5</v>
      </c>
      <c r="R1095" s="9">
        <f t="shared" si="69"/>
        <v>699.5</v>
      </c>
      <c r="S1095" s="9">
        <f>IF(R1095="",AVERAGEIF(Table1[Category],Table1[[#This Row],[Category]],Table2[orignal data]),Table2[[#This Row],[orignal data]])</f>
        <v>699.5</v>
      </c>
      <c r="T1095" t="str">
        <f t="shared" si="70"/>
        <v>UNIQUE</v>
      </c>
      <c r="U1095" t="str">
        <f>IF(ISBLANK(Table1[[#This Row],[SizeOption]]),"NOT AVAILABLE",Table1[[#This Row],[SizeOption]])</f>
        <v>XS, S, M, L, XL, XXL</v>
      </c>
      <c r="Y1095" t="str">
        <f>IF(Table2[[#This Row],[Column1]]&gt;50%,"HIGH DISCOUNT","LOW DISCOUNT")</f>
        <v>LOW DISCOUNT</v>
      </c>
    </row>
    <row r="1096" spans="1:25" x14ac:dyDescent="0.25">
      <c r="A1096" s="1" t="s">
        <v>2487</v>
      </c>
      <c r="B1096" s="1">
        <v>11987136</v>
      </c>
      <c r="C1096" s="1" t="s">
        <v>14</v>
      </c>
      <c r="D1096" s="1" t="s">
        <v>41</v>
      </c>
      <c r="E1096" s="1" t="s">
        <v>48</v>
      </c>
      <c r="F1096" s="1" t="s">
        <v>36</v>
      </c>
      <c r="G1096" s="1" t="s">
        <v>2488</v>
      </c>
      <c r="I1096" s="1">
        <v>1299</v>
      </c>
      <c r="J1096" s="1"/>
      <c r="K1096" s="1" t="s">
        <v>45</v>
      </c>
      <c r="L1096" s="1">
        <v>4.0999999999999996</v>
      </c>
      <c r="M1096" s="1">
        <v>813</v>
      </c>
      <c r="P1096" t="str">
        <f t="shared" si="71"/>
        <v/>
      </c>
      <c r="Q1096" s="12" t="str">
        <f t="shared" si="68"/>
        <v/>
      </c>
      <c r="R1096" s="9" t="str">
        <f t="shared" si="69"/>
        <v/>
      </c>
      <c r="S1096" s="9">
        <f>IF(R1096="",AVERAGEIF(Table1[Category],Table1[[#This Row],[Category]],Table2[orignal data]),Table2[[#This Row],[orignal data]])</f>
        <v>715.78890751086249</v>
      </c>
      <c r="T1096" t="str">
        <f t="shared" si="70"/>
        <v>UNIQUE</v>
      </c>
      <c r="U1096" t="str">
        <f>IF(ISBLANK(Table1[[#This Row],[SizeOption]]),"NOT AVAILABLE",Table1[[#This Row],[SizeOption]])</f>
        <v>XS, S, M, L, XL</v>
      </c>
      <c r="Y1096" t="str">
        <f>IF(Table2[[#This Row],[Column1]]&gt;50%,"HIGH DISCOUNT","LOW DISCOUNT")</f>
        <v>HIGH DISCOUNT</v>
      </c>
    </row>
    <row r="1097" spans="1:25" x14ac:dyDescent="0.25">
      <c r="A1097" s="2" t="s">
        <v>2489</v>
      </c>
      <c r="B1097" s="2">
        <v>11889112</v>
      </c>
      <c r="C1097" s="2" t="s">
        <v>52</v>
      </c>
      <c r="D1097" s="2" t="s">
        <v>28</v>
      </c>
      <c r="E1097" s="2" t="s">
        <v>29</v>
      </c>
      <c r="F1097" s="2" t="s">
        <v>17</v>
      </c>
      <c r="G1097" s="2" t="s">
        <v>1771</v>
      </c>
      <c r="H1097">
        <v>516</v>
      </c>
      <c r="I1097" s="2">
        <v>1099</v>
      </c>
      <c r="J1097" s="2" t="s">
        <v>89</v>
      </c>
      <c r="K1097" s="2" t="s">
        <v>90</v>
      </c>
      <c r="L1097" s="2">
        <v>4.4000000000000004</v>
      </c>
      <c r="M1097" s="2">
        <v>812</v>
      </c>
      <c r="P1097" t="str">
        <f t="shared" si="71"/>
        <v>53%</v>
      </c>
      <c r="Q1097" s="12">
        <f t="shared" si="68"/>
        <v>0.53</v>
      </c>
      <c r="R1097" s="9">
        <f t="shared" si="69"/>
        <v>516.53</v>
      </c>
      <c r="S1097" s="9">
        <f>IF(R1097="",AVERAGEIF(Table1[Category],Table1[[#This Row],[Category]],Table2[orignal data]),Table2[[#This Row],[orignal data]])</f>
        <v>516.53</v>
      </c>
      <c r="T1097" t="str">
        <f t="shared" si="70"/>
        <v>UNIQUE</v>
      </c>
      <c r="U1097" t="str">
        <f>IF(ISBLANK(Table1[[#This Row],[SizeOption]]),"NOT AVAILABLE",Table1[[#This Row],[SizeOption]])</f>
        <v>39, 40, 42, 44</v>
      </c>
      <c r="Y1097" t="str">
        <f>IF(Table2[[#This Row],[Column1]]&gt;50%,"HIGH DISCOUNT","LOW DISCOUNT")</f>
        <v>HIGH DISCOUNT</v>
      </c>
    </row>
    <row r="1098" spans="1:25" x14ac:dyDescent="0.25">
      <c r="A1098" s="1" t="s">
        <v>2490</v>
      </c>
      <c r="B1098" s="1">
        <v>2284517</v>
      </c>
      <c r="C1098" s="1" t="s">
        <v>14</v>
      </c>
      <c r="D1098" s="1" t="s">
        <v>28</v>
      </c>
      <c r="E1098" s="1" t="s">
        <v>29</v>
      </c>
      <c r="F1098" s="1" t="s">
        <v>17</v>
      </c>
      <c r="G1098" s="1" t="s">
        <v>2491</v>
      </c>
      <c r="H1098">
        <v>599</v>
      </c>
      <c r="I1098" s="1">
        <v>1499</v>
      </c>
      <c r="J1098" s="1" t="s">
        <v>55</v>
      </c>
      <c r="K1098" s="1" t="s">
        <v>31</v>
      </c>
      <c r="L1098" s="1">
        <v>4.3</v>
      </c>
      <c r="M1098" s="1">
        <v>812</v>
      </c>
      <c r="P1098" t="str">
        <f t="shared" si="71"/>
        <v>60%</v>
      </c>
      <c r="Q1098" s="12">
        <f t="shared" si="68"/>
        <v>0.6</v>
      </c>
      <c r="R1098" s="9">
        <f t="shared" si="69"/>
        <v>599.6</v>
      </c>
      <c r="S1098" s="9">
        <f>IF(R1098="",AVERAGEIF(Table1[Category],Table1[[#This Row],[Category]],Table2[orignal data]),Table2[[#This Row],[orignal data]])</f>
        <v>599.6</v>
      </c>
      <c r="T1098" t="str">
        <f t="shared" si="70"/>
        <v>UNIQUE</v>
      </c>
      <c r="U1098" t="str">
        <f>IF(ISBLANK(Table1[[#This Row],[SizeOption]]),"NOT AVAILABLE",Table1[[#This Row],[SizeOption]])</f>
        <v>38, 40, 42, 44, 46, 48</v>
      </c>
      <c r="Y1098" t="str">
        <f>IF(Table2[[#This Row],[Column1]]&gt;50%,"HIGH DISCOUNT","LOW DISCOUNT")</f>
        <v>HIGH DISCOUNT</v>
      </c>
    </row>
    <row r="1099" spans="1:25" x14ac:dyDescent="0.25">
      <c r="A1099" s="2" t="s">
        <v>2492</v>
      </c>
      <c r="B1099" s="2">
        <v>9718625</v>
      </c>
      <c r="C1099" s="2" t="s">
        <v>1176</v>
      </c>
      <c r="D1099" s="2" t="s">
        <v>28</v>
      </c>
      <c r="E1099" s="2" t="s">
        <v>42</v>
      </c>
      <c r="F1099" s="2" t="s">
        <v>17</v>
      </c>
      <c r="G1099" s="2" t="s">
        <v>2493</v>
      </c>
      <c r="H1099">
        <v>402</v>
      </c>
      <c r="I1099" s="2">
        <v>719</v>
      </c>
      <c r="J1099" s="2" t="s">
        <v>1340</v>
      </c>
      <c r="K1099" s="2" t="s">
        <v>26</v>
      </c>
      <c r="L1099" s="2">
        <v>4.3</v>
      </c>
      <c r="M1099" s="2">
        <v>812</v>
      </c>
      <c r="P1099" t="str">
        <f t="shared" si="71"/>
        <v>44%</v>
      </c>
      <c r="Q1099" s="12">
        <f t="shared" si="68"/>
        <v>0.44</v>
      </c>
      <c r="R1099" s="9">
        <f t="shared" si="69"/>
        <v>402.64</v>
      </c>
      <c r="S1099" s="9">
        <f>IF(R1099="",AVERAGEIF(Table1[Category],Table1[[#This Row],[Category]],Table2[orignal data]),Table2[[#This Row],[orignal data]])</f>
        <v>402.64</v>
      </c>
      <c r="T1099" t="str">
        <f t="shared" si="70"/>
        <v>UNIQUE</v>
      </c>
      <c r="U1099" t="str">
        <f>IF(ISBLANK(Table1[[#This Row],[SizeOption]]),"NOT AVAILABLE",Table1[[#This Row],[SizeOption]])</f>
        <v>S, M, L, XL</v>
      </c>
      <c r="Y1099" t="str">
        <f>IF(Table2[[#This Row],[Column1]]&gt;50%,"HIGH DISCOUNT","LOW DISCOUNT")</f>
        <v>LOW DISCOUNT</v>
      </c>
    </row>
    <row r="1100" spans="1:25" x14ac:dyDescent="0.25">
      <c r="A1100" s="1" t="s">
        <v>2494</v>
      </c>
      <c r="B1100" s="1">
        <v>17241820</v>
      </c>
      <c r="C1100" s="1" t="s">
        <v>837</v>
      </c>
      <c r="D1100" s="1" t="s">
        <v>76</v>
      </c>
      <c r="E1100" s="1" t="s">
        <v>93</v>
      </c>
      <c r="F1100" s="1" t="s">
        <v>36</v>
      </c>
      <c r="G1100" s="1" t="s">
        <v>2495</v>
      </c>
      <c r="H1100">
        <v>599</v>
      </c>
      <c r="I1100" s="1">
        <v>1499</v>
      </c>
      <c r="J1100" s="1" t="s">
        <v>55</v>
      </c>
      <c r="K1100" s="1" t="s">
        <v>881</v>
      </c>
      <c r="L1100" s="1">
        <v>4.2</v>
      </c>
      <c r="M1100" s="1">
        <v>812</v>
      </c>
      <c r="P1100" t="str">
        <f t="shared" si="71"/>
        <v>60%</v>
      </c>
      <c r="Q1100" s="12">
        <f t="shared" si="68"/>
        <v>0.6</v>
      </c>
      <c r="R1100" s="9">
        <f t="shared" si="69"/>
        <v>599.6</v>
      </c>
      <c r="S1100" s="9">
        <f>IF(R1100="",AVERAGEIF(Table1[Category],Table1[[#This Row],[Category]],Table2[orignal data]),Table2[[#This Row],[orignal data]])</f>
        <v>599.6</v>
      </c>
      <c r="T1100" t="str">
        <f t="shared" si="70"/>
        <v>UNIQUE</v>
      </c>
      <c r="U1100" t="str">
        <f>IF(ISBLANK(Table1[[#This Row],[SizeOption]]),"NOT AVAILABLE",Table1[[#This Row],[SizeOption]])</f>
        <v>M, L, XL, XXL</v>
      </c>
      <c r="Y1100" t="str">
        <f>IF(Table2[[#This Row],[Column1]]&gt;50%,"HIGH DISCOUNT","LOW DISCOUNT")</f>
        <v>HIGH DISCOUNT</v>
      </c>
    </row>
    <row r="1101" spans="1:25" x14ac:dyDescent="0.25">
      <c r="A1101" s="2" t="s">
        <v>2496</v>
      </c>
      <c r="B1101" s="2">
        <v>11330220</v>
      </c>
      <c r="C1101" s="2" t="s">
        <v>545</v>
      </c>
      <c r="D1101" s="2" t="s">
        <v>76</v>
      </c>
      <c r="E1101" s="2" t="s">
        <v>320</v>
      </c>
      <c r="F1101" s="2" t="s">
        <v>36</v>
      </c>
      <c r="G1101" s="2" t="s">
        <v>2497</v>
      </c>
      <c r="H1101">
        <v>689</v>
      </c>
      <c r="I1101" s="2">
        <v>2299</v>
      </c>
      <c r="J1101" s="2" t="s">
        <v>79</v>
      </c>
      <c r="K1101" s="2" t="s">
        <v>164</v>
      </c>
      <c r="L1101" s="2">
        <v>4.0999999999999996</v>
      </c>
      <c r="M1101" s="2">
        <v>812</v>
      </c>
      <c r="P1101" t="str">
        <f t="shared" si="71"/>
        <v>70%</v>
      </c>
      <c r="Q1101" s="12">
        <f t="shared" si="68"/>
        <v>0.7</v>
      </c>
      <c r="R1101" s="9">
        <f t="shared" si="69"/>
        <v>689.7</v>
      </c>
      <c r="S1101" s="9">
        <f>IF(R1101="",AVERAGEIF(Table1[Category],Table1[[#This Row],[Category]],Table2[orignal data]),Table2[[#This Row],[orignal data]])</f>
        <v>689.7</v>
      </c>
      <c r="T1101" t="str">
        <f t="shared" si="70"/>
        <v>UNIQUE</v>
      </c>
      <c r="U1101" t="str">
        <f>IF(ISBLANK(Table1[[#This Row],[SizeOption]]),"NOT AVAILABLE",Table1[[#This Row],[SizeOption]])</f>
        <v>Onesize</v>
      </c>
      <c r="Y1101" t="str">
        <f>IF(Table2[[#This Row],[Column1]]&gt;50%,"HIGH DISCOUNT","LOW DISCOUNT")</f>
        <v>HIGH DISCOUNT</v>
      </c>
    </row>
    <row r="1102" spans="1:25" x14ac:dyDescent="0.25">
      <c r="A1102" s="1" t="s">
        <v>2498</v>
      </c>
      <c r="B1102" s="1">
        <v>16836356</v>
      </c>
      <c r="C1102" s="1" t="s">
        <v>837</v>
      </c>
      <c r="D1102" s="1" t="s">
        <v>76</v>
      </c>
      <c r="E1102" s="1" t="s">
        <v>77</v>
      </c>
      <c r="F1102" s="1" t="s">
        <v>36</v>
      </c>
      <c r="G1102" s="1" t="s">
        <v>2499</v>
      </c>
      <c r="H1102">
        <v>961</v>
      </c>
      <c r="I1102" s="1">
        <v>3699</v>
      </c>
      <c r="J1102" s="1" t="s">
        <v>2469</v>
      </c>
      <c r="K1102" s="1" t="s">
        <v>39</v>
      </c>
      <c r="L1102" s="1">
        <v>4.2</v>
      </c>
      <c r="M1102" s="1">
        <v>812</v>
      </c>
      <c r="P1102" t="str">
        <f t="shared" si="71"/>
        <v>74%</v>
      </c>
      <c r="Q1102" s="12">
        <f t="shared" si="68"/>
        <v>0.74</v>
      </c>
      <c r="R1102" s="9">
        <f t="shared" si="69"/>
        <v>961.74000000000024</v>
      </c>
      <c r="S1102" s="9">
        <f>IF(R1102="",AVERAGEIF(Table1[Category],Table1[[#This Row],[Category]],Table2[orignal data]),Table2[[#This Row],[orignal data]])</f>
        <v>961.74000000000024</v>
      </c>
      <c r="T1102" t="str">
        <f t="shared" si="70"/>
        <v>UNIQUE</v>
      </c>
      <c r="U1102" t="str">
        <f>IF(ISBLANK(Table1[[#This Row],[SizeOption]]),"NOT AVAILABLE",Table1[[#This Row],[SizeOption]])</f>
        <v>S, M, L, XL, XXL</v>
      </c>
      <c r="Y1102" t="str">
        <f>IF(Table2[[#This Row],[Column1]]&gt;50%,"HIGH DISCOUNT","LOW DISCOUNT")</f>
        <v>HIGH DISCOUNT</v>
      </c>
    </row>
    <row r="1103" spans="1:25" x14ac:dyDescent="0.25">
      <c r="A1103" s="2" t="s">
        <v>2500</v>
      </c>
      <c r="B1103" s="2">
        <v>10252617</v>
      </c>
      <c r="C1103" s="2" t="s">
        <v>2501</v>
      </c>
      <c r="D1103" s="2" t="s">
        <v>68</v>
      </c>
      <c r="E1103" s="2" t="s">
        <v>23</v>
      </c>
      <c r="F1103" s="2" t="s">
        <v>36</v>
      </c>
      <c r="G1103" s="2" t="s">
        <v>2502</v>
      </c>
      <c r="H1103">
        <v>599</v>
      </c>
      <c r="I1103" s="2">
        <v>1499</v>
      </c>
      <c r="J1103" s="2" t="s">
        <v>55</v>
      </c>
      <c r="K1103" s="2" t="s">
        <v>26</v>
      </c>
      <c r="L1103" s="2">
        <v>4.0999999999999996</v>
      </c>
      <c r="M1103" s="2">
        <v>812</v>
      </c>
      <c r="P1103" t="str">
        <f t="shared" si="71"/>
        <v>60%</v>
      </c>
      <c r="Q1103" s="12">
        <f t="shared" si="68"/>
        <v>0.6</v>
      </c>
      <c r="R1103" s="9">
        <f t="shared" si="69"/>
        <v>599.6</v>
      </c>
      <c r="S1103" s="9">
        <f>IF(R1103="",AVERAGEIF(Table1[Category],Table1[[#This Row],[Category]],Table2[orignal data]),Table2[[#This Row],[orignal data]])</f>
        <v>599.6</v>
      </c>
      <c r="T1103" t="str">
        <f t="shared" si="70"/>
        <v>UNIQUE</v>
      </c>
      <c r="U1103" t="str">
        <f>IF(ISBLANK(Table1[[#This Row],[SizeOption]]),"NOT AVAILABLE",Table1[[#This Row],[SizeOption]])</f>
        <v>S, M, L, XL</v>
      </c>
      <c r="Y1103" t="str">
        <f>IF(Table2[[#This Row],[Column1]]&gt;50%,"HIGH DISCOUNT","LOW DISCOUNT")</f>
        <v>HIGH DISCOUNT</v>
      </c>
    </row>
    <row r="1104" spans="1:25" x14ac:dyDescent="0.25">
      <c r="A1104" s="1" t="s">
        <v>2503</v>
      </c>
      <c r="B1104" s="1">
        <v>12031392</v>
      </c>
      <c r="C1104" s="1" t="s">
        <v>81</v>
      </c>
      <c r="D1104" s="1" t="s">
        <v>41</v>
      </c>
      <c r="E1104" s="1" t="s">
        <v>48</v>
      </c>
      <c r="F1104" s="1" t="s">
        <v>36</v>
      </c>
      <c r="G1104" s="1" t="s">
        <v>2504</v>
      </c>
      <c r="I1104" s="1">
        <v>1499</v>
      </c>
      <c r="J1104" s="1" t="s">
        <v>130</v>
      </c>
      <c r="K1104" s="1" t="s">
        <v>115</v>
      </c>
      <c r="L1104" s="1">
        <v>4.3</v>
      </c>
      <c r="M1104" s="1">
        <v>812</v>
      </c>
      <c r="P1104" t="str">
        <f t="shared" si="71"/>
        <v>57%</v>
      </c>
      <c r="Q1104" s="12">
        <f t="shared" si="68"/>
        <v>0.56999999999999995</v>
      </c>
      <c r="R1104" s="9">
        <f t="shared" si="69"/>
        <v>644.57000000000005</v>
      </c>
      <c r="S1104" s="9">
        <f>IF(R1104="",AVERAGEIF(Table1[Category],Table1[[#This Row],[Category]],Table2[orignal data]),Table2[[#This Row],[orignal data]])</f>
        <v>644.57000000000005</v>
      </c>
      <c r="T1104" t="str">
        <f t="shared" si="70"/>
        <v>UNIQUE</v>
      </c>
      <c r="U1104" t="str">
        <f>IF(ISBLANK(Table1[[#This Row],[SizeOption]]),"NOT AVAILABLE",Table1[[#This Row],[SizeOption]])</f>
        <v>XS, S, M, L, XL, XXL</v>
      </c>
      <c r="Y1104" t="str">
        <f>IF(Table2[[#This Row],[Column1]]&gt;50%,"HIGH DISCOUNT","LOW DISCOUNT")</f>
        <v>HIGH DISCOUNT</v>
      </c>
    </row>
    <row r="1105" spans="1:25" x14ac:dyDescent="0.25">
      <c r="A1105" s="2" t="s">
        <v>2505</v>
      </c>
      <c r="B1105" s="2">
        <v>17524586</v>
      </c>
      <c r="C1105" s="2" t="s">
        <v>47</v>
      </c>
      <c r="D1105" s="2" t="s">
        <v>41</v>
      </c>
      <c r="E1105" s="2" t="s">
        <v>42</v>
      </c>
      <c r="F1105" s="2" t="s">
        <v>36</v>
      </c>
      <c r="G1105" s="2" t="s">
        <v>1316</v>
      </c>
      <c r="I1105" s="2">
        <v>1598</v>
      </c>
      <c r="J1105" s="2" t="s">
        <v>84</v>
      </c>
      <c r="K1105" s="2" t="s">
        <v>1234</v>
      </c>
      <c r="L1105" s="2">
        <v>4.0999999999999996</v>
      </c>
      <c r="M1105" s="2">
        <v>812</v>
      </c>
      <c r="P1105" t="str">
        <f t="shared" si="71"/>
        <v>50%</v>
      </c>
      <c r="Q1105" s="12">
        <f t="shared" si="68"/>
        <v>0.5</v>
      </c>
      <c r="R1105" s="9">
        <f t="shared" si="69"/>
        <v>799</v>
      </c>
      <c r="S1105" s="9">
        <f>IF(R1105="",AVERAGEIF(Table1[Category],Table1[[#This Row],[Category]],Table2[orignal data]),Table2[[#This Row],[orignal data]])</f>
        <v>799</v>
      </c>
      <c r="T1105" t="str">
        <f t="shared" si="70"/>
        <v>UNIQUE</v>
      </c>
      <c r="U1105" t="str">
        <f>IF(ISBLANK(Table1[[#This Row],[SizeOption]]),"NOT AVAILABLE",Table1[[#This Row],[SizeOption]])</f>
        <v>XL, L, M, S, XS</v>
      </c>
      <c r="Y1105" t="str">
        <f>IF(Table2[[#This Row],[Column1]]&gt;50%,"HIGH DISCOUNT","LOW DISCOUNT")</f>
        <v>LOW DISCOUNT</v>
      </c>
    </row>
    <row r="1106" spans="1:25" x14ac:dyDescent="0.25">
      <c r="A1106" s="1" t="s">
        <v>2506</v>
      </c>
      <c r="B1106" s="1">
        <v>17382704</v>
      </c>
      <c r="C1106" s="1" t="s">
        <v>14</v>
      </c>
      <c r="D1106" s="1" t="s">
        <v>41</v>
      </c>
      <c r="E1106" s="1" t="s">
        <v>42</v>
      </c>
      <c r="F1106" s="1" t="s">
        <v>36</v>
      </c>
      <c r="G1106" s="1" t="s">
        <v>1816</v>
      </c>
      <c r="I1106" s="1">
        <v>1598</v>
      </c>
      <c r="J1106" s="1" t="s">
        <v>84</v>
      </c>
      <c r="K1106" s="1" t="s">
        <v>146</v>
      </c>
      <c r="L1106" s="1">
        <v>4.3</v>
      </c>
      <c r="M1106" s="1">
        <v>812</v>
      </c>
      <c r="P1106" t="str">
        <f t="shared" si="71"/>
        <v>50%</v>
      </c>
      <c r="Q1106" s="12">
        <f t="shared" si="68"/>
        <v>0.5</v>
      </c>
      <c r="R1106" s="9">
        <f t="shared" si="69"/>
        <v>799</v>
      </c>
      <c r="S1106" s="9">
        <f>IF(R1106="",AVERAGEIF(Table1[Category],Table1[[#This Row],[Category]],Table2[orignal data]),Table2[[#This Row],[orignal data]])</f>
        <v>799</v>
      </c>
      <c r="T1106" t="str">
        <f t="shared" si="70"/>
        <v>UNIQUE</v>
      </c>
      <c r="U1106" t="str">
        <f>IF(ISBLANK(Table1[[#This Row],[SizeOption]]),"NOT AVAILABLE",Table1[[#This Row],[SizeOption]])</f>
        <v>L, M, S, XS, XL</v>
      </c>
      <c r="Y1106" t="str">
        <f>IF(Table2[[#This Row],[Column1]]&gt;50%,"HIGH DISCOUNT","LOW DISCOUNT")</f>
        <v>LOW DISCOUNT</v>
      </c>
    </row>
    <row r="1107" spans="1:25" x14ac:dyDescent="0.25">
      <c r="A1107" s="2" t="s">
        <v>2507</v>
      </c>
      <c r="B1107" s="2">
        <v>9340751</v>
      </c>
      <c r="C1107" s="2" t="s">
        <v>676</v>
      </c>
      <c r="D1107" s="2" t="s">
        <v>41</v>
      </c>
      <c r="E1107" s="2" t="s">
        <v>48</v>
      </c>
      <c r="F1107" s="2" t="s">
        <v>36</v>
      </c>
      <c r="G1107" s="2" t="s">
        <v>2417</v>
      </c>
      <c r="I1107" s="2">
        <v>1998</v>
      </c>
      <c r="J1107" s="2" t="s">
        <v>84</v>
      </c>
      <c r="K1107" s="2" t="s">
        <v>26</v>
      </c>
      <c r="L1107" s="2">
        <v>4.2</v>
      </c>
      <c r="M1107" s="2">
        <v>812</v>
      </c>
      <c r="P1107" t="str">
        <f t="shared" si="71"/>
        <v>50%</v>
      </c>
      <c r="Q1107" s="12">
        <f t="shared" si="68"/>
        <v>0.5</v>
      </c>
      <c r="R1107" s="9">
        <f t="shared" si="69"/>
        <v>999</v>
      </c>
      <c r="S1107" s="9">
        <f>IF(R1107="",AVERAGEIF(Table1[Category],Table1[[#This Row],[Category]],Table2[orignal data]),Table2[[#This Row],[orignal data]])</f>
        <v>999</v>
      </c>
      <c r="T1107" t="str">
        <f t="shared" si="70"/>
        <v>UNIQUE</v>
      </c>
      <c r="U1107" t="str">
        <f>IF(ISBLANK(Table1[[#This Row],[SizeOption]]),"NOT AVAILABLE",Table1[[#This Row],[SizeOption]])</f>
        <v>S, M, L, XL</v>
      </c>
      <c r="Y1107" t="str">
        <f>IF(Table2[[#This Row],[Column1]]&gt;50%,"HIGH DISCOUNT","LOW DISCOUNT")</f>
        <v>LOW DISCOUNT</v>
      </c>
    </row>
    <row r="1108" spans="1:25" x14ac:dyDescent="0.25">
      <c r="A1108" s="1" t="s">
        <v>2508</v>
      </c>
      <c r="B1108" s="1">
        <v>7030403</v>
      </c>
      <c r="C1108" s="1" t="s">
        <v>136</v>
      </c>
      <c r="D1108" s="1" t="s">
        <v>41</v>
      </c>
      <c r="E1108" s="1" t="s">
        <v>137</v>
      </c>
      <c r="F1108" s="1" t="s">
        <v>36</v>
      </c>
      <c r="G1108" s="1" t="s">
        <v>2509</v>
      </c>
      <c r="I1108" s="1">
        <v>899</v>
      </c>
      <c r="J1108" s="1" t="s">
        <v>104</v>
      </c>
      <c r="K1108" s="1" t="s">
        <v>134</v>
      </c>
      <c r="L1108" s="1">
        <v>4</v>
      </c>
      <c r="M1108" s="1">
        <v>812</v>
      </c>
      <c r="P1108" t="str">
        <f t="shared" si="71"/>
        <v>61%</v>
      </c>
      <c r="Q1108" s="12">
        <f t="shared" si="68"/>
        <v>0.61</v>
      </c>
      <c r="R1108" s="9">
        <f t="shared" si="69"/>
        <v>350.61</v>
      </c>
      <c r="S1108" s="9">
        <f>IF(R1108="",AVERAGEIF(Table1[Category],Table1[[#This Row],[Category]],Table2[orignal data]),Table2[[#This Row],[orignal data]])</f>
        <v>350.61</v>
      </c>
      <c r="T1108" t="str">
        <f t="shared" si="70"/>
        <v>UNIQUE</v>
      </c>
      <c r="U1108" t="str">
        <f>IF(ISBLANK(Table1[[#This Row],[SizeOption]]),"NOT AVAILABLE",Table1[[#This Row],[SizeOption]])</f>
        <v>26, 28, 30, 32, 34, 36</v>
      </c>
      <c r="Y1108" t="str">
        <f>IF(Table2[[#This Row],[Column1]]&gt;50%,"HIGH DISCOUNT","LOW DISCOUNT")</f>
        <v>HIGH DISCOUNT</v>
      </c>
    </row>
    <row r="1109" spans="1:25" x14ac:dyDescent="0.25">
      <c r="A1109" s="2" t="s">
        <v>2510</v>
      </c>
      <c r="B1109" s="2">
        <v>11358942</v>
      </c>
      <c r="C1109" s="2" t="s">
        <v>169</v>
      </c>
      <c r="D1109" s="2" t="s">
        <v>15</v>
      </c>
      <c r="E1109" s="2" t="s">
        <v>16</v>
      </c>
      <c r="F1109" s="2" t="s">
        <v>17</v>
      </c>
      <c r="G1109" s="2" t="s">
        <v>2511</v>
      </c>
      <c r="H1109">
        <v>1199</v>
      </c>
      <c r="I1109" s="2">
        <v>2399</v>
      </c>
      <c r="J1109" s="2" t="s">
        <v>84</v>
      </c>
      <c r="K1109" s="2" t="s">
        <v>171</v>
      </c>
      <c r="L1109" s="2">
        <v>4.0999999999999996</v>
      </c>
      <c r="M1109" s="2">
        <v>811</v>
      </c>
      <c r="P1109" t="str">
        <f t="shared" si="71"/>
        <v>50%</v>
      </c>
      <c r="Q1109" s="12">
        <f t="shared" si="68"/>
        <v>0.5</v>
      </c>
      <c r="R1109" s="9">
        <f t="shared" si="69"/>
        <v>1199.5</v>
      </c>
      <c r="S1109" s="9">
        <f>IF(R1109="",AVERAGEIF(Table1[Category],Table1[[#This Row],[Category]],Table2[orignal data]),Table2[[#This Row],[orignal data]])</f>
        <v>1199.5</v>
      </c>
      <c r="T1109" t="str">
        <f t="shared" si="70"/>
        <v>UNIQUE</v>
      </c>
      <c r="U1109" t="str">
        <f>IF(ISBLANK(Table1[[#This Row],[SizeOption]]),"NOT AVAILABLE",Table1[[#This Row],[SizeOption]])</f>
        <v>28, 30, 32, 34, 36, 38</v>
      </c>
      <c r="Y1109" t="str">
        <f>IF(Table2[[#This Row],[Column1]]&gt;50%,"HIGH DISCOUNT","LOW DISCOUNT")</f>
        <v>LOW DISCOUNT</v>
      </c>
    </row>
    <row r="1110" spans="1:25" x14ac:dyDescent="0.25">
      <c r="A1110" s="1" t="s">
        <v>2512</v>
      </c>
      <c r="B1110" s="1">
        <v>2073259</v>
      </c>
      <c r="C1110" s="1" t="s">
        <v>67</v>
      </c>
      <c r="D1110" s="1" t="s">
        <v>15</v>
      </c>
      <c r="E1110" s="1" t="s">
        <v>137</v>
      </c>
      <c r="F1110" s="1" t="s">
        <v>17</v>
      </c>
      <c r="G1110" s="1" t="s">
        <v>2513</v>
      </c>
      <c r="H1110">
        <v>779</v>
      </c>
      <c r="I1110" s="1">
        <v>1299</v>
      </c>
      <c r="J1110" s="1" t="s">
        <v>50</v>
      </c>
      <c r="K1110" s="1" t="s">
        <v>134</v>
      </c>
      <c r="L1110" s="1">
        <v>4.3</v>
      </c>
      <c r="M1110" s="1">
        <v>811</v>
      </c>
      <c r="P1110" t="str">
        <f t="shared" si="71"/>
        <v>40%</v>
      </c>
      <c r="Q1110" s="12">
        <f t="shared" si="68"/>
        <v>0.4</v>
      </c>
      <c r="R1110" s="9">
        <f t="shared" si="69"/>
        <v>779.4</v>
      </c>
      <c r="S1110" s="9">
        <f>IF(R1110="",AVERAGEIF(Table1[Category],Table1[[#This Row],[Category]],Table2[orignal data]),Table2[[#This Row],[orignal data]])</f>
        <v>779.4</v>
      </c>
      <c r="T1110" t="str">
        <f t="shared" si="70"/>
        <v>UNIQUE</v>
      </c>
      <c r="U1110" t="str">
        <f>IF(ISBLANK(Table1[[#This Row],[SizeOption]]),"NOT AVAILABLE",Table1[[#This Row],[SizeOption]])</f>
        <v>26, 28, 30, 32, 34, 36</v>
      </c>
      <c r="Y1110" t="str">
        <f>IF(Table2[[#This Row],[Column1]]&gt;50%,"HIGH DISCOUNT","LOW DISCOUNT")</f>
        <v>LOW DISCOUNT</v>
      </c>
    </row>
    <row r="1111" spans="1:25" x14ac:dyDescent="0.25">
      <c r="A1111" s="2" t="s">
        <v>2514</v>
      </c>
      <c r="B1111" s="2">
        <v>12032828</v>
      </c>
      <c r="C1111" s="2" t="s">
        <v>295</v>
      </c>
      <c r="D1111" s="2" t="s">
        <v>197</v>
      </c>
      <c r="E1111" s="2" t="s">
        <v>1807</v>
      </c>
      <c r="F1111" s="2" t="s">
        <v>17</v>
      </c>
      <c r="G1111" s="2" t="s">
        <v>2515</v>
      </c>
      <c r="I1111" s="2">
        <v>389</v>
      </c>
      <c r="J1111" s="2"/>
      <c r="K1111" s="2" t="s">
        <v>26</v>
      </c>
      <c r="L1111" s="2">
        <v>4.3</v>
      </c>
      <c r="M1111" s="2">
        <v>811</v>
      </c>
      <c r="P1111" t="str">
        <f t="shared" si="71"/>
        <v/>
      </c>
      <c r="Q1111" s="12" t="str">
        <f t="shared" si="68"/>
        <v/>
      </c>
      <c r="R1111" s="9" t="str">
        <f t="shared" si="69"/>
        <v/>
      </c>
      <c r="S1111" s="9">
        <f>IF(R1111="",AVERAGEIF(Table1[Category],Table1[[#This Row],[Category]],Table2[orignal data]),Table2[[#This Row],[orignal data]])</f>
        <v>552.70900000000006</v>
      </c>
      <c r="T1111" t="str">
        <f t="shared" si="70"/>
        <v>UNIQUE</v>
      </c>
      <c r="U1111" t="str">
        <f>IF(ISBLANK(Table1[[#This Row],[SizeOption]]),"NOT AVAILABLE",Table1[[#This Row],[SizeOption]])</f>
        <v>S, M, L, XL</v>
      </c>
      <c r="Y1111" t="str">
        <f>IF(Table2[[#This Row],[Column1]]&gt;50%,"HIGH DISCOUNT","LOW DISCOUNT")</f>
        <v>HIGH DISCOUNT</v>
      </c>
    </row>
    <row r="1112" spans="1:25" x14ac:dyDescent="0.25">
      <c r="A1112" s="1" t="s">
        <v>2516</v>
      </c>
      <c r="B1112" s="1">
        <v>12817374</v>
      </c>
      <c r="C1112" s="1" t="s">
        <v>64</v>
      </c>
      <c r="D1112" s="1" t="s">
        <v>28</v>
      </c>
      <c r="E1112" s="1" t="s">
        <v>42</v>
      </c>
      <c r="F1112" s="1" t="s">
        <v>17</v>
      </c>
      <c r="G1112" s="1" t="s">
        <v>1767</v>
      </c>
      <c r="H1112">
        <v>314</v>
      </c>
      <c r="I1112" s="1">
        <v>699</v>
      </c>
      <c r="J1112" s="1" t="s">
        <v>25</v>
      </c>
      <c r="K1112" s="1" t="s">
        <v>26</v>
      </c>
      <c r="L1112" s="1">
        <v>4.2</v>
      </c>
      <c r="M1112" s="1">
        <v>811</v>
      </c>
      <c r="P1112" t="str">
        <f t="shared" si="71"/>
        <v>55%</v>
      </c>
      <c r="Q1112" s="12">
        <f t="shared" si="68"/>
        <v>0.55000000000000004</v>
      </c>
      <c r="R1112" s="9">
        <f t="shared" si="69"/>
        <v>314.54999999999995</v>
      </c>
      <c r="S1112" s="9">
        <f>IF(R1112="",AVERAGEIF(Table1[Category],Table1[[#This Row],[Category]],Table2[orignal data]),Table2[[#This Row],[orignal data]])</f>
        <v>314.54999999999995</v>
      </c>
      <c r="T1112" t="str">
        <f t="shared" si="70"/>
        <v>UNIQUE</v>
      </c>
      <c r="U1112" t="str">
        <f>IF(ISBLANK(Table1[[#This Row],[SizeOption]]),"NOT AVAILABLE",Table1[[#This Row],[SizeOption]])</f>
        <v>S, M, L, XL</v>
      </c>
      <c r="Y1112" t="str">
        <f>IF(Table2[[#This Row],[Column1]]&gt;50%,"HIGH DISCOUNT","LOW DISCOUNT")</f>
        <v>HIGH DISCOUNT</v>
      </c>
    </row>
    <row r="1113" spans="1:25" x14ac:dyDescent="0.25">
      <c r="A1113" s="2" t="s">
        <v>2517</v>
      </c>
      <c r="B1113" s="2">
        <v>10222645</v>
      </c>
      <c r="C1113" s="2" t="s">
        <v>92</v>
      </c>
      <c r="D1113" s="2" t="s">
        <v>76</v>
      </c>
      <c r="E1113" s="2" t="s">
        <v>148</v>
      </c>
      <c r="F1113" s="2" t="s">
        <v>36</v>
      </c>
      <c r="G1113" s="2" t="s">
        <v>2518</v>
      </c>
      <c r="H1113">
        <v>860</v>
      </c>
      <c r="I1113" s="2">
        <v>2049</v>
      </c>
      <c r="J1113" s="2" t="s">
        <v>60</v>
      </c>
      <c r="K1113" s="2" t="s">
        <v>39</v>
      </c>
      <c r="L1113" s="2">
        <v>4.3</v>
      </c>
      <c r="M1113" s="2">
        <v>811</v>
      </c>
      <c r="P1113" t="str">
        <f t="shared" si="71"/>
        <v>58%</v>
      </c>
      <c r="Q1113" s="12">
        <f t="shared" si="68"/>
        <v>0.57999999999999996</v>
      </c>
      <c r="R1113" s="9">
        <f t="shared" si="69"/>
        <v>860.58000000000015</v>
      </c>
      <c r="S1113" s="9">
        <f>IF(R1113="",AVERAGEIF(Table1[Category],Table1[[#This Row],[Category]],Table2[orignal data]),Table2[[#This Row],[orignal data]])</f>
        <v>860.58000000000015</v>
      </c>
      <c r="T1113" t="str">
        <f t="shared" si="70"/>
        <v>UNIQUE</v>
      </c>
      <c r="U1113" t="str">
        <f>IF(ISBLANK(Table1[[#This Row],[SizeOption]]),"NOT AVAILABLE",Table1[[#This Row],[SizeOption]])</f>
        <v>S, M, L, XL, XXL</v>
      </c>
      <c r="Y1113" t="str">
        <f>IF(Table2[[#This Row],[Column1]]&gt;50%,"HIGH DISCOUNT","LOW DISCOUNT")</f>
        <v>HIGH DISCOUNT</v>
      </c>
    </row>
    <row r="1114" spans="1:25" x14ac:dyDescent="0.25">
      <c r="A1114" s="1" t="s">
        <v>2519</v>
      </c>
      <c r="B1114" s="1">
        <v>10317815</v>
      </c>
      <c r="C1114" s="1" t="s">
        <v>377</v>
      </c>
      <c r="D1114" s="1" t="s">
        <v>76</v>
      </c>
      <c r="E1114" s="1" t="s">
        <v>77</v>
      </c>
      <c r="F1114" s="1" t="s">
        <v>36</v>
      </c>
      <c r="G1114" s="1" t="s">
        <v>2520</v>
      </c>
      <c r="H1114">
        <v>1671</v>
      </c>
      <c r="I1114" s="1">
        <v>4399</v>
      </c>
      <c r="J1114" s="1" t="s">
        <v>126</v>
      </c>
      <c r="K1114" s="1" t="s">
        <v>234</v>
      </c>
      <c r="L1114" s="1">
        <v>4.0999999999999996</v>
      </c>
      <c r="M1114" s="1">
        <v>811</v>
      </c>
      <c r="P1114" t="str">
        <f t="shared" si="71"/>
        <v>62%</v>
      </c>
      <c r="Q1114" s="12">
        <f t="shared" si="68"/>
        <v>0.62</v>
      </c>
      <c r="R1114" s="9">
        <f t="shared" si="69"/>
        <v>1671.62</v>
      </c>
      <c r="S1114" s="9">
        <f>IF(R1114="",AVERAGEIF(Table1[Category],Table1[[#This Row],[Category]],Table2[orignal data]),Table2[[#This Row],[orignal data]])</f>
        <v>1671.62</v>
      </c>
      <c r="T1114" t="str">
        <f t="shared" si="70"/>
        <v>UNIQUE</v>
      </c>
      <c r="U1114" t="str">
        <f>IF(ISBLANK(Table1[[#This Row],[SizeOption]]),"NOT AVAILABLE",Table1[[#This Row],[SizeOption]])</f>
        <v>S, M, L, XL, XXL, 3XL</v>
      </c>
      <c r="Y1114" t="str">
        <f>IF(Table2[[#This Row],[Column1]]&gt;50%,"HIGH DISCOUNT","LOW DISCOUNT")</f>
        <v>HIGH DISCOUNT</v>
      </c>
    </row>
    <row r="1115" spans="1:25" x14ac:dyDescent="0.25">
      <c r="A1115" s="2" t="s">
        <v>2521</v>
      </c>
      <c r="B1115" s="2">
        <v>1605549</v>
      </c>
      <c r="C1115" s="2" t="s">
        <v>2522</v>
      </c>
      <c r="D1115" s="2" t="s">
        <v>34</v>
      </c>
      <c r="E1115" s="2" t="s">
        <v>2523</v>
      </c>
      <c r="F1115" s="2" t="s">
        <v>36</v>
      </c>
      <c r="G1115" s="2" t="s">
        <v>2524</v>
      </c>
      <c r="H1115">
        <v>639</v>
      </c>
      <c r="I1115" s="2">
        <v>799</v>
      </c>
      <c r="J1115" s="2" t="s">
        <v>412</v>
      </c>
      <c r="K1115" s="2" t="s">
        <v>39</v>
      </c>
      <c r="L1115" s="2">
        <v>4.4000000000000004</v>
      </c>
      <c r="M1115" s="2">
        <v>811</v>
      </c>
      <c r="P1115" t="str">
        <f t="shared" si="71"/>
        <v>20%</v>
      </c>
      <c r="Q1115" s="12">
        <f t="shared" si="68"/>
        <v>0.2</v>
      </c>
      <c r="R1115" s="9">
        <f t="shared" si="69"/>
        <v>639.20000000000005</v>
      </c>
      <c r="S1115" s="9">
        <f>IF(R1115="",AVERAGEIF(Table1[Category],Table1[[#This Row],[Category]],Table2[orignal data]),Table2[[#This Row],[orignal data]])</f>
        <v>639.20000000000005</v>
      </c>
      <c r="T1115" t="str">
        <f t="shared" si="70"/>
        <v>UNIQUE</v>
      </c>
      <c r="U1115" t="str">
        <f>IF(ISBLANK(Table1[[#This Row],[SizeOption]]),"NOT AVAILABLE",Table1[[#This Row],[SizeOption]])</f>
        <v>S, M, L, XL, XXL</v>
      </c>
      <c r="Y1115" t="str">
        <f>IF(Table2[[#This Row],[Column1]]&gt;50%,"HIGH DISCOUNT","LOW DISCOUNT")</f>
        <v>LOW DISCOUNT</v>
      </c>
    </row>
    <row r="1116" spans="1:25" x14ac:dyDescent="0.25">
      <c r="A1116" s="1" t="s">
        <v>2525</v>
      </c>
      <c r="B1116" s="1">
        <v>14275634</v>
      </c>
      <c r="C1116" s="1" t="s">
        <v>64</v>
      </c>
      <c r="D1116" s="1" t="s">
        <v>98</v>
      </c>
      <c r="E1116" s="1" t="s">
        <v>16</v>
      </c>
      <c r="F1116" s="1" t="s">
        <v>36</v>
      </c>
      <c r="G1116" s="1" t="s">
        <v>2526</v>
      </c>
      <c r="H1116">
        <v>1259</v>
      </c>
      <c r="I1116" s="1">
        <v>2099</v>
      </c>
      <c r="J1116" s="1" t="s">
        <v>50</v>
      </c>
      <c r="K1116" s="1" t="s">
        <v>643</v>
      </c>
      <c r="L1116" s="1">
        <v>4.4000000000000004</v>
      </c>
      <c r="M1116" s="1">
        <v>811</v>
      </c>
      <c r="P1116" t="str">
        <f t="shared" si="71"/>
        <v>40%</v>
      </c>
      <c r="Q1116" s="12">
        <f t="shared" si="68"/>
        <v>0.4</v>
      </c>
      <c r="R1116" s="9">
        <f t="shared" si="69"/>
        <v>1259.4000000000001</v>
      </c>
      <c r="S1116" s="9">
        <f>IF(R1116="",AVERAGEIF(Table1[Category],Table1[[#This Row],[Category]],Table2[orignal data]),Table2[[#This Row],[orignal data]])</f>
        <v>1259.4000000000001</v>
      </c>
      <c r="T1116" t="str">
        <f t="shared" si="70"/>
        <v>UNIQUE</v>
      </c>
      <c r="U1116" t="str">
        <f>IF(ISBLANK(Table1[[#This Row],[SizeOption]]),"NOT AVAILABLE",Table1[[#This Row],[SizeOption]])</f>
        <v>26, 28, 30, 32, 34, 36, 38, 40</v>
      </c>
      <c r="Y1116" t="str">
        <f>IF(Table2[[#This Row],[Column1]]&gt;50%,"HIGH DISCOUNT","LOW DISCOUNT")</f>
        <v>LOW DISCOUNT</v>
      </c>
    </row>
    <row r="1117" spans="1:25" x14ac:dyDescent="0.25">
      <c r="A1117" s="2" t="s">
        <v>2527</v>
      </c>
      <c r="B1117" s="2">
        <v>17382676</v>
      </c>
      <c r="C1117" s="2" t="s">
        <v>14</v>
      </c>
      <c r="D1117" s="2" t="s">
        <v>41</v>
      </c>
      <c r="E1117" s="2" t="s">
        <v>42</v>
      </c>
      <c r="F1117" s="2" t="s">
        <v>36</v>
      </c>
      <c r="G1117" s="2" t="s">
        <v>380</v>
      </c>
      <c r="I1117" s="2">
        <v>1598</v>
      </c>
      <c r="J1117" s="2" t="s">
        <v>84</v>
      </c>
      <c r="K1117" s="2" t="s">
        <v>45</v>
      </c>
      <c r="L1117" s="2">
        <v>4.3</v>
      </c>
      <c r="M1117" s="2">
        <v>811</v>
      </c>
      <c r="P1117" t="str">
        <f t="shared" si="71"/>
        <v>50%</v>
      </c>
      <c r="Q1117" s="12">
        <f t="shared" si="68"/>
        <v>0.5</v>
      </c>
      <c r="R1117" s="9">
        <f t="shared" si="69"/>
        <v>799</v>
      </c>
      <c r="S1117" s="9">
        <f>IF(R1117="",AVERAGEIF(Table1[Category],Table1[[#This Row],[Category]],Table2[orignal data]),Table2[[#This Row],[orignal data]])</f>
        <v>799</v>
      </c>
      <c r="T1117" t="str">
        <f t="shared" si="70"/>
        <v>UNIQUE</v>
      </c>
      <c r="U1117" t="str">
        <f>IF(ISBLANK(Table1[[#This Row],[SizeOption]]),"NOT AVAILABLE",Table1[[#This Row],[SizeOption]])</f>
        <v>XS, S, M, L, XL</v>
      </c>
      <c r="Y1117" t="str">
        <f>IF(Table2[[#This Row],[Column1]]&gt;50%,"HIGH DISCOUNT","LOW DISCOUNT")</f>
        <v>LOW DISCOUNT</v>
      </c>
    </row>
    <row r="1118" spans="1:25" x14ac:dyDescent="0.25">
      <c r="A1118" s="1" t="s">
        <v>2528</v>
      </c>
      <c r="B1118" s="1">
        <v>6012538</v>
      </c>
      <c r="C1118" s="1" t="s">
        <v>128</v>
      </c>
      <c r="D1118" s="1" t="s">
        <v>41</v>
      </c>
      <c r="E1118" s="1" t="s">
        <v>53</v>
      </c>
      <c r="F1118" s="1" t="s">
        <v>36</v>
      </c>
      <c r="G1118" s="1" t="s">
        <v>2529</v>
      </c>
      <c r="I1118" s="1">
        <v>1599</v>
      </c>
      <c r="J1118" s="1" t="s">
        <v>208</v>
      </c>
      <c r="K1118" s="1" t="s">
        <v>428</v>
      </c>
      <c r="L1118" s="1">
        <v>3.9</v>
      </c>
      <c r="M1118" s="1">
        <v>811</v>
      </c>
      <c r="P1118" t="str">
        <f t="shared" si="71"/>
        <v>52%</v>
      </c>
      <c r="Q1118" s="12">
        <f t="shared" si="68"/>
        <v>0.52</v>
      </c>
      <c r="R1118" s="9">
        <f t="shared" si="69"/>
        <v>767.52</v>
      </c>
      <c r="S1118" s="9">
        <f>IF(R1118="",AVERAGEIF(Table1[Category],Table1[[#This Row],[Category]],Table2[orignal data]),Table2[[#This Row],[orignal data]])</f>
        <v>767.52</v>
      </c>
      <c r="T1118" t="str">
        <f t="shared" si="70"/>
        <v>UNIQUE</v>
      </c>
      <c r="U1118" t="str">
        <f>IF(ISBLANK(Table1[[#This Row],[SizeOption]]),"NOT AVAILABLE",Table1[[#This Row],[SizeOption]])</f>
        <v>26, 28, 30, 32, 34</v>
      </c>
      <c r="Y1118" t="str">
        <f>IF(Table2[[#This Row],[Column1]]&gt;50%,"HIGH DISCOUNT","LOW DISCOUNT")</f>
        <v>HIGH DISCOUNT</v>
      </c>
    </row>
    <row r="1119" spans="1:25" x14ac:dyDescent="0.25">
      <c r="A1119" s="2" t="s">
        <v>2530</v>
      </c>
      <c r="B1119" s="2">
        <v>13133134</v>
      </c>
      <c r="C1119" s="2" t="s">
        <v>102</v>
      </c>
      <c r="D1119" s="2" t="s">
        <v>41</v>
      </c>
      <c r="E1119" s="2" t="s">
        <v>16</v>
      </c>
      <c r="F1119" s="2" t="s">
        <v>36</v>
      </c>
      <c r="G1119" s="2" t="s">
        <v>2531</v>
      </c>
      <c r="I1119" s="2">
        <v>1699</v>
      </c>
      <c r="J1119" s="2" t="s">
        <v>60</v>
      </c>
      <c r="K1119" s="2" t="s">
        <v>428</v>
      </c>
      <c r="L1119" s="2">
        <v>4</v>
      </c>
      <c r="M1119" s="2">
        <v>811</v>
      </c>
      <c r="P1119" t="str">
        <f t="shared" si="71"/>
        <v>58%</v>
      </c>
      <c r="Q1119" s="12">
        <f t="shared" si="68"/>
        <v>0.57999999999999996</v>
      </c>
      <c r="R1119" s="9">
        <f t="shared" si="69"/>
        <v>713.58</v>
      </c>
      <c r="S1119" s="9">
        <f>IF(R1119="",AVERAGEIF(Table1[Category],Table1[[#This Row],[Category]],Table2[orignal data]),Table2[[#This Row],[orignal data]])</f>
        <v>713.58</v>
      </c>
      <c r="T1119" t="str">
        <f t="shared" si="70"/>
        <v>UNIQUE</v>
      </c>
      <c r="U1119" t="str">
        <f>IF(ISBLANK(Table1[[#This Row],[SizeOption]]),"NOT AVAILABLE",Table1[[#This Row],[SizeOption]])</f>
        <v>26, 28, 30, 32, 34</v>
      </c>
      <c r="Y1119" t="str">
        <f>IF(Table2[[#This Row],[Column1]]&gt;50%,"HIGH DISCOUNT","LOW DISCOUNT")</f>
        <v>HIGH DISCOUNT</v>
      </c>
    </row>
    <row r="1120" spans="1:25" x14ac:dyDescent="0.25">
      <c r="A1120" s="1" t="s">
        <v>2532</v>
      </c>
      <c r="B1120" s="1">
        <v>5293752</v>
      </c>
      <c r="C1120" s="1" t="s">
        <v>67</v>
      </c>
      <c r="D1120" s="1" t="s">
        <v>15</v>
      </c>
      <c r="E1120" s="1" t="s">
        <v>23</v>
      </c>
      <c r="F1120" s="1" t="s">
        <v>17</v>
      </c>
      <c r="G1120" s="1" t="s">
        <v>2533</v>
      </c>
      <c r="H1120">
        <v>949</v>
      </c>
      <c r="I1120" s="1">
        <v>1899</v>
      </c>
      <c r="J1120" s="1" t="s">
        <v>84</v>
      </c>
      <c r="K1120" s="1" t="s">
        <v>115</v>
      </c>
      <c r="L1120" s="1">
        <v>3.8</v>
      </c>
      <c r="M1120" s="1">
        <v>810</v>
      </c>
      <c r="P1120" t="str">
        <f t="shared" si="71"/>
        <v>50%</v>
      </c>
      <c r="Q1120" s="12">
        <f t="shared" si="68"/>
        <v>0.5</v>
      </c>
      <c r="R1120" s="9">
        <f t="shared" si="69"/>
        <v>949.5</v>
      </c>
      <c r="S1120" s="9">
        <f>IF(R1120="",AVERAGEIF(Table1[Category],Table1[[#This Row],[Category]],Table2[orignal data]),Table2[[#This Row],[orignal data]])</f>
        <v>949.5</v>
      </c>
      <c r="T1120" t="str">
        <f t="shared" si="70"/>
        <v>UNIQUE</v>
      </c>
      <c r="U1120" t="str">
        <f>IF(ISBLANK(Table1[[#This Row],[SizeOption]]),"NOT AVAILABLE",Table1[[#This Row],[SizeOption]])</f>
        <v>XS, S, M, L, XL, XXL</v>
      </c>
      <c r="Y1120" t="str">
        <f>IF(Table2[[#This Row],[Column1]]&gt;50%,"HIGH DISCOUNT","LOW DISCOUNT")</f>
        <v>LOW DISCOUNT</v>
      </c>
    </row>
    <row r="1121" spans="1:25" x14ac:dyDescent="0.25">
      <c r="A1121" s="2" t="s">
        <v>2534</v>
      </c>
      <c r="B1121" s="2">
        <v>1959445</v>
      </c>
      <c r="C1121" s="2" t="s">
        <v>14</v>
      </c>
      <c r="D1121" s="2" t="s">
        <v>28</v>
      </c>
      <c r="E1121" s="2" t="s">
        <v>306</v>
      </c>
      <c r="F1121" s="2" t="s">
        <v>17</v>
      </c>
      <c r="G1121" s="2" t="s">
        <v>2535</v>
      </c>
      <c r="H1121">
        <v>719</v>
      </c>
      <c r="I1121" s="2">
        <v>1799</v>
      </c>
      <c r="J1121" s="2" t="s">
        <v>55</v>
      </c>
      <c r="K1121" s="2" t="s">
        <v>234</v>
      </c>
      <c r="L1121" s="2">
        <v>4.2</v>
      </c>
      <c r="M1121" s="2">
        <v>810</v>
      </c>
      <c r="P1121" t="str">
        <f t="shared" si="71"/>
        <v>60%</v>
      </c>
      <c r="Q1121" s="12">
        <f t="shared" si="68"/>
        <v>0.6</v>
      </c>
      <c r="R1121" s="9">
        <f t="shared" si="69"/>
        <v>719.60000000000014</v>
      </c>
      <c r="S1121" s="9">
        <f>IF(R1121="",AVERAGEIF(Table1[Category],Table1[[#This Row],[Category]],Table2[orignal data]),Table2[[#This Row],[orignal data]])</f>
        <v>719.60000000000014</v>
      </c>
      <c r="T1121" t="str">
        <f t="shared" si="70"/>
        <v>UNIQUE</v>
      </c>
      <c r="U1121" t="str">
        <f>IF(ISBLANK(Table1[[#This Row],[SizeOption]]),"NOT AVAILABLE",Table1[[#This Row],[SizeOption]])</f>
        <v>S, M, L, XL, XXL, 3XL</v>
      </c>
      <c r="Y1121" t="str">
        <f>IF(Table2[[#This Row],[Column1]]&gt;50%,"HIGH DISCOUNT","LOW DISCOUNT")</f>
        <v>HIGH DISCOUNT</v>
      </c>
    </row>
    <row r="1122" spans="1:25" x14ac:dyDescent="0.25">
      <c r="A1122" s="1" t="s">
        <v>2536</v>
      </c>
      <c r="B1122" s="1">
        <v>13902668</v>
      </c>
      <c r="C1122" s="1" t="s">
        <v>113</v>
      </c>
      <c r="D1122" s="1" t="s">
        <v>76</v>
      </c>
      <c r="E1122" s="1" t="s">
        <v>93</v>
      </c>
      <c r="F1122" s="1" t="s">
        <v>36</v>
      </c>
      <c r="G1122" s="1" t="s">
        <v>2537</v>
      </c>
      <c r="H1122">
        <v>719</v>
      </c>
      <c r="I1122" s="1">
        <v>1599</v>
      </c>
      <c r="J1122" s="1" t="s">
        <v>25</v>
      </c>
      <c r="K1122" s="1" t="s">
        <v>73</v>
      </c>
      <c r="L1122" s="1">
        <v>4.0999999999999996</v>
      </c>
      <c r="M1122" s="1">
        <v>810</v>
      </c>
      <c r="P1122" t="str">
        <f t="shared" si="71"/>
        <v>55%</v>
      </c>
      <c r="Q1122" s="12">
        <f t="shared" si="68"/>
        <v>0.55000000000000004</v>
      </c>
      <c r="R1122" s="9">
        <f t="shared" si="69"/>
        <v>719.55</v>
      </c>
      <c r="S1122" s="9">
        <f>IF(R1122="",AVERAGEIF(Table1[Category],Table1[[#This Row],[Category]],Table2[orignal data]),Table2[[#This Row],[orignal data]])</f>
        <v>719.55</v>
      </c>
      <c r="T1122" t="str">
        <f t="shared" si="70"/>
        <v>UNIQUE</v>
      </c>
      <c r="U1122" t="str">
        <f>IF(ISBLANK(Table1[[#This Row],[SizeOption]]),"NOT AVAILABLE",Table1[[#This Row],[SizeOption]])</f>
        <v>XS, S, M, L, XL, XXL, 3XL, 4XL</v>
      </c>
      <c r="Y1122" t="str">
        <f>IF(Table2[[#This Row],[Column1]]&gt;50%,"HIGH DISCOUNT","LOW DISCOUNT")</f>
        <v>HIGH DISCOUNT</v>
      </c>
    </row>
    <row r="1123" spans="1:25" x14ac:dyDescent="0.25">
      <c r="A1123" s="2" t="s">
        <v>2538</v>
      </c>
      <c r="B1123" s="2">
        <v>11412398</v>
      </c>
      <c r="C1123" s="2" t="s">
        <v>277</v>
      </c>
      <c r="D1123" s="2" t="s">
        <v>76</v>
      </c>
      <c r="E1123" s="2" t="s">
        <v>77</v>
      </c>
      <c r="F1123" s="2" t="s">
        <v>36</v>
      </c>
      <c r="G1123" s="2" t="s">
        <v>2539</v>
      </c>
      <c r="H1123">
        <v>2149</v>
      </c>
      <c r="I1123" s="2">
        <v>4999</v>
      </c>
      <c r="J1123" s="2" t="s">
        <v>130</v>
      </c>
      <c r="K1123" s="2" t="s">
        <v>115</v>
      </c>
      <c r="L1123" s="2">
        <v>3.9</v>
      </c>
      <c r="M1123" s="2">
        <v>810</v>
      </c>
      <c r="P1123" t="str">
        <f t="shared" si="71"/>
        <v>57%</v>
      </c>
      <c r="Q1123" s="12">
        <f t="shared" si="68"/>
        <v>0.56999999999999995</v>
      </c>
      <c r="R1123" s="9">
        <f t="shared" si="69"/>
        <v>2149.5700000000002</v>
      </c>
      <c r="S1123" s="9">
        <f>IF(R1123="",AVERAGEIF(Table1[Category],Table1[[#This Row],[Category]],Table2[orignal data]),Table2[[#This Row],[orignal data]])</f>
        <v>2149.5700000000002</v>
      </c>
      <c r="T1123" t="str">
        <f t="shared" si="70"/>
        <v>UNIQUE</v>
      </c>
      <c r="U1123" t="str">
        <f>IF(ISBLANK(Table1[[#This Row],[SizeOption]]),"NOT AVAILABLE",Table1[[#This Row],[SizeOption]])</f>
        <v>XS, S, M, L, XL, XXL</v>
      </c>
      <c r="Y1123" t="str">
        <f>IF(Table2[[#This Row],[Column1]]&gt;50%,"HIGH DISCOUNT","LOW DISCOUNT")</f>
        <v>HIGH DISCOUNT</v>
      </c>
    </row>
    <row r="1124" spans="1:25" x14ac:dyDescent="0.25">
      <c r="A1124" s="1" t="s">
        <v>2540</v>
      </c>
      <c r="B1124" s="1">
        <v>12631360</v>
      </c>
      <c r="C1124" s="1" t="s">
        <v>924</v>
      </c>
      <c r="D1124" s="1" t="s">
        <v>76</v>
      </c>
      <c r="E1124" s="1" t="s">
        <v>320</v>
      </c>
      <c r="F1124" s="1" t="s">
        <v>36</v>
      </c>
      <c r="G1124" s="1" t="s">
        <v>2541</v>
      </c>
      <c r="H1124">
        <v>1997</v>
      </c>
      <c r="I1124" s="1">
        <v>5399</v>
      </c>
      <c r="J1124" s="1" t="s">
        <v>476</v>
      </c>
      <c r="K1124" s="1" t="s">
        <v>164</v>
      </c>
      <c r="L1124" s="1">
        <v>3.7</v>
      </c>
      <c r="M1124" s="1">
        <v>810</v>
      </c>
      <c r="P1124" t="str">
        <f t="shared" si="71"/>
        <v>63%</v>
      </c>
      <c r="Q1124" s="12">
        <f t="shared" si="68"/>
        <v>0.63</v>
      </c>
      <c r="R1124" s="9">
        <f t="shared" si="69"/>
        <v>1997.63</v>
      </c>
      <c r="S1124" s="9">
        <f>IF(R1124="",AVERAGEIF(Table1[Category],Table1[[#This Row],[Category]],Table2[orignal data]),Table2[[#This Row],[orignal data]])</f>
        <v>1997.63</v>
      </c>
      <c r="T1124" t="str">
        <f t="shared" si="70"/>
        <v>UNIQUE</v>
      </c>
      <c r="U1124" t="str">
        <f>IF(ISBLANK(Table1[[#This Row],[SizeOption]]),"NOT AVAILABLE",Table1[[#This Row],[SizeOption]])</f>
        <v>Onesize</v>
      </c>
      <c r="Y1124" t="str">
        <f>IF(Table2[[#This Row],[Column1]]&gt;50%,"HIGH DISCOUNT","LOW DISCOUNT")</f>
        <v>HIGH DISCOUNT</v>
      </c>
    </row>
    <row r="1125" spans="1:25" x14ac:dyDescent="0.25">
      <c r="A1125" s="2" t="s">
        <v>2542</v>
      </c>
      <c r="B1125" s="2">
        <v>9338305</v>
      </c>
      <c r="C1125" s="2" t="s">
        <v>676</v>
      </c>
      <c r="D1125" s="2" t="s">
        <v>41</v>
      </c>
      <c r="E1125" s="2" t="s">
        <v>48</v>
      </c>
      <c r="F1125" s="2" t="s">
        <v>36</v>
      </c>
      <c r="G1125" s="2" t="s">
        <v>2543</v>
      </c>
      <c r="I1125" s="2">
        <v>1898</v>
      </c>
      <c r="J1125" s="2" t="s">
        <v>84</v>
      </c>
      <c r="K1125" s="2" t="s">
        <v>26</v>
      </c>
      <c r="L1125" s="2">
        <v>4.2</v>
      </c>
      <c r="M1125" s="2">
        <v>810</v>
      </c>
      <c r="P1125" t="str">
        <f t="shared" si="71"/>
        <v>50%</v>
      </c>
      <c r="Q1125" s="12">
        <f t="shared" si="68"/>
        <v>0.5</v>
      </c>
      <c r="R1125" s="9">
        <f t="shared" si="69"/>
        <v>949</v>
      </c>
      <c r="S1125" s="9">
        <f>IF(R1125="",AVERAGEIF(Table1[Category],Table1[[#This Row],[Category]],Table2[orignal data]),Table2[[#This Row],[orignal data]])</f>
        <v>949</v>
      </c>
      <c r="T1125" t="str">
        <f t="shared" si="70"/>
        <v>UNIQUE</v>
      </c>
      <c r="U1125" t="str">
        <f>IF(ISBLANK(Table1[[#This Row],[SizeOption]]),"NOT AVAILABLE",Table1[[#This Row],[SizeOption]])</f>
        <v>S, M, L, XL</v>
      </c>
      <c r="Y1125" t="str">
        <f>IF(Table2[[#This Row],[Column1]]&gt;50%,"HIGH DISCOUNT","LOW DISCOUNT")</f>
        <v>LOW DISCOUNT</v>
      </c>
    </row>
    <row r="1126" spans="1:25" x14ac:dyDescent="0.25">
      <c r="A1126" s="1" t="s">
        <v>2544</v>
      </c>
      <c r="B1126" s="1">
        <v>11955218</v>
      </c>
      <c r="C1126" s="1" t="s">
        <v>14</v>
      </c>
      <c r="D1126" s="1" t="s">
        <v>41</v>
      </c>
      <c r="E1126" s="1" t="s">
        <v>48</v>
      </c>
      <c r="F1126" s="1" t="s">
        <v>36</v>
      </c>
      <c r="G1126" s="1" t="s">
        <v>2545</v>
      </c>
      <c r="I1126" s="1">
        <v>799</v>
      </c>
      <c r="J1126" s="1" t="s">
        <v>150</v>
      </c>
      <c r="K1126" s="1" t="s">
        <v>45</v>
      </c>
      <c r="L1126" s="1">
        <v>4.3</v>
      </c>
      <c r="M1126" s="1">
        <v>810</v>
      </c>
      <c r="P1126" t="str">
        <f t="shared" si="71"/>
        <v>65%</v>
      </c>
      <c r="Q1126" s="12">
        <f t="shared" si="68"/>
        <v>0.65</v>
      </c>
      <c r="R1126" s="9">
        <f t="shared" si="69"/>
        <v>279.64999999999998</v>
      </c>
      <c r="S1126" s="9">
        <f>IF(R1126="",AVERAGEIF(Table1[Category],Table1[[#This Row],[Category]],Table2[orignal data]),Table2[[#This Row],[orignal data]])</f>
        <v>279.64999999999998</v>
      </c>
      <c r="T1126" t="str">
        <f t="shared" si="70"/>
        <v>UNIQUE</v>
      </c>
      <c r="U1126" t="str">
        <f>IF(ISBLANK(Table1[[#This Row],[SizeOption]]),"NOT AVAILABLE",Table1[[#This Row],[SizeOption]])</f>
        <v>XS, S, M, L, XL</v>
      </c>
      <c r="Y1126" t="str">
        <f>IF(Table2[[#This Row],[Column1]]&gt;50%,"HIGH DISCOUNT","LOW DISCOUNT")</f>
        <v>HIGH DISCOUNT</v>
      </c>
    </row>
    <row r="1127" spans="1:25" x14ac:dyDescent="0.25">
      <c r="A1127" s="2" t="s">
        <v>2546</v>
      </c>
      <c r="B1127" s="2">
        <v>2221353</v>
      </c>
      <c r="C1127" s="2" t="s">
        <v>201</v>
      </c>
      <c r="D1127" s="2" t="s">
        <v>28</v>
      </c>
      <c r="E1127" s="2" t="s">
        <v>42</v>
      </c>
      <c r="F1127" s="2" t="s">
        <v>17</v>
      </c>
      <c r="G1127" s="2" t="s">
        <v>2547</v>
      </c>
      <c r="H1127">
        <v>439</v>
      </c>
      <c r="I1127" s="2">
        <v>1099</v>
      </c>
      <c r="J1127" s="2" t="s">
        <v>55</v>
      </c>
      <c r="K1127" s="2" t="s">
        <v>26</v>
      </c>
      <c r="L1127" s="2">
        <v>4.0999999999999996</v>
      </c>
      <c r="M1127" s="2">
        <v>809</v>
      </c>
      <c r="P1127" t="str">
        <f t="shared" si="71"/>
        <v>60%</v>
      </c>
      <c r="Q1127" s="12">
        <f t="shared" si="68"/>
        <v>0.6</v>
      </c>
      <c r="R1127" s="9">
        <f t="shared" si="69"/>
        <v>439.6</v>
      </c>
      <c r="S1127" s="9">
        <f>IF(R1127="",AVERAGEIF(Table1[Category],Table1[[#This Row],[Category]],Table2[orignal data]),Table2[[#This Row],[orignal data]])</f>
        <v>439.6</v>
      </c>
      <c r="T1127" t="str">
        <f t="shared" si="70"/>
        <v>UNIQUE</v>
      </c>
      <c r="U1127" t="str">
        <f>IF(ISBLANK(Table1[[#This Row],[SizeOption]]),"NOT AVAILABLE",Table1[[#This Row],[SizeOption]])</f>
        <v>S, M, L, XL</v>
      </c>
      <c r="Y1127" t="str">
        <f>IF(Table2[[#This Row],[Column1]]&gt;50%,"HIGH DISCOUNT","LOW DISCOUNT")</f>
        <v>HIGH DISCOUNT</v>
      </c>
    </row>
    <row r="1128" spans="1:25" x14ac:dyDescent="0.25">
      <c r="A1128" s="1" t="s">
        <v>2548</v>
      </c>
      <c r="B1128" s="1">
        <v>11632488</v>
      </c>
      <c r="C1128" s="1" t="s">
        <v>14</v>
      </c>
      <c r="D1128" s="1" t="s">
        <v>28</v>
      </c>
      <c r="E1128" s="1" t="s">
        <v>42</v>
      </c>
      <c r="F1128" s="1" t="s">
        <v>17</v>
      </c>
      <c r="G1128" s="1" t="s">
        <v>2549</v>
      </c>
      <c r="H1128">
        <v>274</v>
      </c>
      <c r="I1128" s="1">
        <v>499</v>
      </c>
      <c r="J1128" s="1" t="s">
        <v>19</v>
      </c>
      <c r="K1128" s="1" t="s">
        <v>73</v>
      </c>
      <c r="L1128" s="1">
        <v>4.2</v>
      </c>
      <c r="M1128" s="1">
        <v>809</v>
      </c>
      <c r="P1128" t="str">
        <f t="shared" si="71"/>
        <v>45%</v>
      </c>
      <c r="Q1128" s="12">
        <f t="shared" si="68"/>
        <v>0.45</v>
      </c>
      <c r="R1128" s="9">
        <f t="shared" si="69"/>
        <v>274.45</v>
      </c>
      <c r="S1128" s="9">
        <f>IF(R1128="",AVERAGEIF(Table1[Category],Table1[[#This Row],[Category]],Table2[orignal data]),Table2[[#This Row],[orignal data]])</f>
        <v>274.45</v>
      </c>
      <c r="T1128" t="str">
        <f t="shared" si="70"/>
        <v>UNIQUE</v>
      </c>
      <c r="U1128" t="str">
        <f>IF(ISBLANK(Table1[[#This Row],[SizeOption]]),"NOT AVAILABLE",Table1[[#This Row],[SizeOption]])</f>
        <v>XS, S, M, L, XL, XXL, 3XL, 4XL</v>
      </c>
      <c r="Y1128" t="str">
        <f>IF(Table2[[#This Row],[Column1]]&gt;50%,"HIGH DISCOUNT","LOW DISCOUNT")</f>
        <v>LOW DISCOUNT</v>
      </c>
    </row>
    <row r="1129" spans="1:25" x14ac:dyDescent="0.25">
      <c r="A1129" s="2" t="s">
        <v>2550</v>
      </c>
      <c r="B1129" s="2">
        <v>11349786</v>
      </c>
      <c r="C1129" s="2" t="s">
        <v>1656</v>
      </c>
      <c r="D1129" s="2" t="s">
        <v>76</v>
      </c>
      <c r="E1129" s="2" t="s">
        <v>148</v>
      </c>
      <c r="F1129" s="2" t="s">
        <v>36</v>
      </c>
      <c r="G1129" s="2" t="s">
        <v>2551</v>
      </c>
      <c r="H1129">
        <v>679</v>
      </c>
      <c r="I1129" s="2">
        <v>1699</v>
      </c>
      <c r="J1129" s="2" t="s">
        <v>55</v>
      </c>
      <c r="K1129" s="2" t="s">
        <v>115</v>
      </c>
      <c r="L1129" s="2">
        <v>4.3</v>
      </c>
      <c r="M1129" s="2">
        <v>809</v>
      </c>
      <c r="P1129" t="str">
        <f t="shared" si="71"/>
        <v>60%</v>
      </c>
      <c r="Q1129" s="12">
        <f t="shared" si="68"/>
        <v>0.6</v>
      </c>
      <c r="R1129" s="9">
        <f t="shared" si="69"/>
        <v>679.6</v>
      </c>
      <c r="S1129" s="9">
        <f>IF(R1129="",AVERAGEIF(Table1[Category],Table1[[#This Row],[Category]],Table2[orignal data]),Table2[[#This Row],[orignal data]])</f>
        <v>679.6</v>
      </c>
      <c r="T1129" t="str">
        <f t="shared" si="70"/>
        <v>UNIQUE</v>
      </c>
      <c r="U1129" t="str">
        <f>IF(ISBLANK(Table1[[#This Row],[SizeOption]]),"NOT AVAILABLE",Table1[[#This Row],[SizeOption]])</f>
        <v>XS, S, M, L, XL, XXL</v>
      </c>
      <c r="Y1129" t="str">
        <f>IF(Table2[[#This Row],[Column1]]&gt;50%,"HIGH DISCOUNT","LOW DISCOUNT")</f>
        <v>HIGH DISCOUNT</v>
      </c>
    </row>
    <row r="1130" spans="1:25" x14ac:dyDescent="0.25">
      <c r="A1130" s="1" t="s">
        <v>2552</v>
      </c>
      <c r="B1130" s="1">
        <v>10463802</v>
      </c>
      <c r="C1130" s="1" t="s">
        <v>107</v>
      </c>
      <c r="D1130" s="1" t="s">
        <v>41</v>
      </c>
      <c r="E1130" s="1" t="s">
        <v>148</v>
      </c>
      <c r="F1130" s="1" t="s">
        <v>36</v>
      </c>
      <c r="G1130" s="1" t="s">
        <v>2553</v>
      </c>
      <c r="I1130" s="1">
        <v>2199</v>
      </c>
      <c r="J1130" s="1" t="s">
        <v>150</v>
      </c>
      <c r="K1130" s="1" t="s">
        <v>45</v>
      </c>
      <c r="L1130" s="1">
        <v>4.3</v>
      </c>
      <c r="M1130" s="1">
        <v>809</v>
      </c>
      <c r="P1130" t="str">
        <f t="shared" si="71"/>
        <v>65%</v>
      </c>
      <c r="Q1130" s="12">
        <f t="shared" si="68"/>
        <v>0.65</v>
      </c>
      <c r="R1130" s="9">
        <f t="shared" si="69"/>
        <v>769.64999999999986</v>
      </c>
      <c r="S1130" s="9">
        <f>IF(R1130="",AVERAGEIF(Table1[Category],Table1[[#This Row],[Category]],Table2[orignal data]),Table2[[#This Row],[orignal data]])</f>
        <v>769.64999999999986</v>
      </c>
      <c r="T1130" t="str">
        <f t="shared" si="70"/>
        <v>UNIQUE</v>
      </c>
      <c r="U1130" t="str">
        <f>IF(ISBLANK(Table1[[#This Row],[SizeOption]]),"NOT AVAILABLE",Table1[[#This Row],[SizeOption]])</f>
        <v>XS, S, M, L, XL</v>
      </c>
      <c r="Y1130" t="str">
        <f>IF(Table2[[#This Row],[Column1]]&gt;50%,"HIGH DISCOUNT","LOW DISCOUNT")</f>
        <v>HIGH DISCOUNT</v>
      </c>
    </row>
    <row r="1131" spans="1:25" x14ac:dyDescent="0.25">
      <c r="A1131" s="2" t="s">
        <v>2554</v>
      </c>
      <c r="B1131" s="2">
        <v>4110852</v>
      </c>
      <c r="C1131" s="2" t="s">
        <v>47</v>
      </c>
      <c r="D1131" s="2" t="s">
        <v>15</v>
      </c>
      <c r="E1131" s="2" t="s">
        <v>53</v>
      </c>
      <c r="F1131" s="2" t="s">
        <v>17</v>
      </c>
      <c r="G1131" s="2" t="s">
        <v>2555</v>
      </c>
      <c r="H1131">
        <v>799</v>
      </c>
      <c r="I1131" s="2">
        <v>1999</v>
      </c>
      <c r="J1131" s="2" t="s">
        <v>55</v>
      </c>
      <c r="K1131" s="2" t="s">
        <v>134</v>
      </c>
      <c r="L1131" s="2">
        <v>4.2</v>
      </c>
      <c r="M1131" s="2">
        <v>808</v>
      </c>
      <c r="P1131" t="str">
        <f t="shared" si="71"/>
        <v>60%</v>
      </c>
      <c r="Q1131" s="12">
        <f t="shared" si="68"/>
        <v>0.6</v>
      </c>
      <c r="R1131" s="9">
        <f t="shared" si="69"/>
        <v>799.60000000000014</v>
      </c>
      <c r="S1131" s="9">
        <f>IF(R1131="",AVERAGEIF(Table1[Category],Table1[[#This Row],[Category]],Table2[orignal data]),Table2[[#This Row],[orignal data]])</f>
        <v>799.60000000000014</v>
      </c>
      <c r="T1131" t="str">
        <f t="shared" si="70"/>
        <v>UNIQUE</v>
      </c>
      <c r="U1131" t="str">
        <f>IF(ISBLANK(Table1[[#This Row],[SizeOption]]),"NOT AVAILABLE",Table1[[#This Row],[SizeOption]])</f>
        <v>26, 28, 30, 32, 34, 36</v>
      </c>
      <c r="Y1131" t="str">
        <f>IF(Table2[[#This Row],[Column1]]&gt;50%,"HIGH DISCOUNT","LOW DISCOUNT")</f>
        <v>HIGH DISCOUNT</v>
      </c>
    </row>
    <row r="1132" spans="1:25" x14ac:dyDescent="0.25">
      <c r="A1132" s="1" t="s">
        <v>2556</v>
      </c>
      <c r="B1132" s="1">
        <v>12473186</v>
      </c>
      <c r="C1132" s="1" t="s">
        <v>64</v>
      </c>
      <c r="D1132" s="1" t="s">
        <v>15</v>
      </c>
      <c r="E1132" s="1" t="s">
        <v>23</v>
      </c>
      <c r="F1132" s="1" t="s">
        <v>17</v>
      </c>
      <c r="G1132" s="1" t="s">
        <v>2557</v>
      </c>
      <c r="H1132">
        <v>719</v>
      </c>
      <c r="I1132" s="1">
        <v>1799</v>
      </c>
      <c r="J1132" s="1" t="s">
        <v>55</v>
      </c>
      <c r="K1132" s="1" t="s">
        <v>26</v>
      </c>
      <c r="L1132" s="1">
        <v>4.0999999999999996</v>
      </c>
      <c r="M1132" s="1">
        <v>808</v>
      </c>
      <c r="P1132" t="str">
        <f t="shared" si="71"/>
        <v>60%</v>
      </c>
      <c r="Q1132" s="12">
        <f t="shared" si="68"/>
        <v>0.6</v>
      </c>
      <c r="R1132" s="9">
        <f t="shared" si="69"/>
        <v>719.60000000000014</v>
      </c>
      <c r="S1132" s="9">
        <f>IF(R1132="",AVERAGEIF(Table1[Category],Table1[[#This Row],[Category]],Table2[orignal data]),Table2[[#This Row],[orignal data]])</f>
        <v>719.60000000000014</v>
      </c>
      <c r="T1132" t="str">
        <f t="shared" si="70"/>
        <v>UNIQUE</v>
      </c>
      <c r="U1132" t="str">
        <f>IF(ISBLANK(Table1[[#This Row],[SizeOption]]),"NOT AVAILABLE",Table1[[#This Row],[SizeOption]])</f>
        <v>S, M, L, XL</v>
      </c>
      <c r="Y1132" t="str">
        <f>IF(Table2[[#This Row],[Column1]]&gt;50%,"HIGH DISCOUNT","LOW DISCOUNT")</f>
        <v>HIGH DISCOUNT</v>
      </c>
    </row>
    <row r="1133" spans="1:25" x14ac:dyDescent="0.25">
      <c r="A1133" s="2" t="s">
        <v>2558</v>
      </c>
      <c r="B1133" s="2">
        <v>11274620</v>
      </c>
      <c r="C1133" s="2" t="s">
        <v>14</v>
      </c>
      <c r="D1133" s="2" t="s">
        <v>15</v>
      </c>
      <c r="E1133" s="2" t="s">
        <v>16</v>
      </c>
      <c r="F1133" s="2" t="s">
        <v>17</v>
      </c>
      <c r="G1133" s="2" t="s">
        <v>918</v>
      </c>
      <c r="H1133">
        <v>749</v>
      </c>
      <c r="I1133" s="2">
        <v>1499</v>
      </c>
      <c r="J1133" s="2" t="s">
        <v>84</v>
      </c>
      <c r="K1133" s="2" t="s">
        <v>20</v>
      </c>
      <c r="L1133" s="2">
        <v>3.8</v>
      </c>
      <c r="M1133" s="2">
        <v>808</v>
      </c>
      <c r="P1133" t="str">
        <f t="shared" si="71"/>
        <v>50%</v>
      </c>
      <c r="Q1133" s="12">
        <f t="shared" si="68"/>
        <v>0.5</v>
      </c>
      <c r="R1133" s="9">
        <f t="shared" si="69"/>
        <v>749.5</v>
      </c>
      <c r="S1133" s="9">
        <f>IF(R1133="",AVERAGEIF(Table1[Category],Table1[[#This Row],[Category]],Table2[orignal data]),Table2[[#This Row],[orignal data]])</f>
        <v>749.5</v>
      </c>
      <c r="T1133" t="str">
        <f t="shared" si="70"/>
        <v>UNIQUE</v>
      </c>
      <c r="U1133" t="str">
        <f>IF(ISBLANK(Table1[[#This Row],[SizeOption]]),"NOT AVAILABLE",Table1[[#This Row],[SizeOption]])</f>
        <v>28, 30, 32, 34, 36</v>
      </c>
      <c r="Y1133" t="str">
        <f>IF(Table2[[#This Row],[Column1]]&gt;50%,"HIGH DISCOUNT","LOW DISCOUNT")</f>
        <v>LOW DISCOUNT</v>
      </c>
    </row>
    <row r="1134" spans="1:25" x14ac:dyDescent="0.25">
      <c r="A1134" s="1" t="s">
        <v>2559</v>
      </c>
      <c r="B1134" s="1">
        <v>2524998</v>
      </c>
      <c r="C1134" s="1" t="s">
        <v>14</v>
      </c>
      <c r="D1134" s="1" t="s">
        <v>15</v>
      </c>
      <c r="E1134" s="1" t="s">
        <v>16</v>
      </c>
      <c r="F1134" s="1" t="s">
        <v>17</v>
      </c>
      <c r="G1134" s="1" t="s">
        <v>2560</v>
      </c>
      <c r="H1134">
        <v>839</v>
      </c>
      <c r="I1134" s="1">
        <v>1399</v>
      </c>
      <c r="J1134" s="1" t="s">
        <v>50</v>
      </c>
      <c r="K1134" s="1" t="s">
        <v>20</v>
      </c>
      <c r="L1134" s="1">
        <v>4</v>
      </c>
      <c r="M1134" s="1">
        <v>808</v>
      </c>
      <c r="P1134" t="str">
        <f t="shared" si="71"/>
        <v>40%</v>
      </c>
      <c r="Q1134" s="12">
        <f t="shared" si="68"/>
        <v>0.4</v>
      </c>
      <c r="R1134" s="9">
        <f t="shared" si="69"/>
        <v>839.4</v>
      </c>
      <c r="S1134" s="9">
        <f>IF(R1134="",AVERAGEIF(Table1[Category],Table1[[#This Row],[Category]],Table2[orignal data]),Table2[[#This Row],[orignal data]])</f>
        <v>839.4</v>
      </c>
      <c r="T1134" t="str">
        <f t="shared" si="70"/>
        <v>UNIQUE</v>
      </c>
      <c r="U1134" t="str">
        <f>IF(ISBLANK(Table1[[#This Row],[SizeOption]]),"NOT AVAILABLE",Table1[[#This Row],[SizeOption]])</f>
        <v>28, 30, 32, 34, 36</v>
      </c>
      <c r="Y1134" t="str">
        <f>IF(Table2[[#This Row],[Column1]]&gt;50%,"HIGH DISCOUNT","LOW DISCOUNT")</f>
        <v>LOW DISCOUNT</v>
      </c>
    </row>
    <row r="1135" spans="1:25" x14ac:dyDescent="0.25">
      <c r="A1135" s="2" t="s">
        <v>2561</v>
      </c>
      <c r="B1135" s="2">
        <v>12408958</v>
      </c>
      <c r="C1135" s="2" t="s">
        <v>1281</v>
      </c>
      <c r="D1135" s="2" t="s">
        <v>76</v>
      </c>
      <c r="E1135" s="2" t="s">
        <v>93</v>
      </c>
      <c r="F1135" s="2" t="s">
        <v>17</v>
      </c>
      <c r="G1135" s="2" t="s">
        <v>2562</v>
      </c>
      <c r="H1135">
        <v>989</v>
      </c>
      <c r="I1135" s="2">
        <v>2199</v>
      </c>
      <c r="J1135" s="2" t="s">
        <v>25</v>
      </c>
      <c r="K1135" s="2" t="s">
        <v>45</v>
      </c>
      <c r="L1135" s="2">
        <v>4.2</v>
      </c>
      <c r="M1135" s="2">
        <v>808</v>
      </c>
      <c r="P1135" t="str">
        <f t="shared" si="71"/>
        <v>55%</v>
      </c>
      <c r="Q1135" s="12">
        <f t="shared" si="68"/>
        <v>0.55000000000000004</v>
      </c>
      <c r="R1135" s="9">
        <f t="shared" si="69"/>
        <v>989.55</v>
      </c>
      <c r="S1135" s="9">
        <f>IF(R1135="",AVERAGEIF(Table1[Category],Table1[[#This Row],[Category]],Table2[orignal data]),Table2[[#This Row],[orignal data]])</f>
        <v>989.55</v>
      </c>
      <c r="T1135" t="str">
        <f t="shared" si="70"/>
        <v>UNIQUE</v>
      </c>
      <c r="U1135" t="str">
        <f>IF(ISBLANK(Table1[[#This Row],[SizeOption]]),"NOT AVAILABLE",Table1[[#This Row],[SizeOption]])</f>
        <v>XS, S, M, L, XL</v>
      </c>
      <c r="Y1135" t="str">
        <f>IF(Table2[[#This Row],[Column1]]&gt;50%,"HIGH DISCOUNT","LOW DISCOUNT")</f>
        <v>HIGH DISCOUNT</v>
      </c>
    </row>
    <row r="1136" spans="1:25" x14ac:dyDescent="0.25">
      <c r="A1136" s="1" t="s">
        <v>2563</v>
      </c>
      <c r="B1136" s="1">
        <v>13684206</v>
      </c>
      <c r="C1136" s="1" t="s">
        <v>22</v>
      </c>
      <c r="D1136" s="1" t="s">
        <v>28</v>
      </c>
      <c r="E1136" s="1" t="s">
        <v>29</v>
      </c>
      <c r="F1136" s="1" t="s">
        <v>17</v>
      </c>
      <c r="G1136" s="1" t="s">
        <v>2564</v>
      </c>
      <c r="H1136">
        <v>549</v>
      </c>
      <c r="I1136" s="1">
        <v>1249</v>
      </c>
      <c r="J1136" s="1" t="s">
        <v>1204</v>
      </c>
      <c r="K1136" s="1" t="s">
        <v>90</v>
      </c>
      <c r="L1136" s="1">
        <v>4.3</v>
      </c>
      <c r="M1136" s="1">
        <v>808</v>
      </c>
      <c r="P1136" t="str">
        <f t="shared" si="71"/>
        <v>56%</v>
      </c>
      <c r="Q1136" s="12">
        <f t="shared" si="68"/>
        <v>0.56000000000000005</v>
      </c>
      <c r="R1136" s="9">
        <f t="shared" si="69"/>
        <v>549.55999999999995</v>
      </c>
      <c r="S1136" s="9">
        <f>IF(R1136="",AVERAGEIF(Table1[Category],Table1[[#This Row],[Category]],Table2[orignal data]),Table2[[#This Row],[orignal data]])</f>
        <v>549.55999999999995</v>
      </c>
      <c r="T1136" t="str">
        <f t="shared" si="70"/>
        <v>UNIQUE</v>
      </c>
      <c r="U1136" t="str">
        <f>IF(ISBLANK(Table1[[#This Row],[SizeOption]]),"NOT AVAILABLE",Table1[[#This Row],[SizeOption]])</f>
        <v>39, 40, 42, 44</v>
      </c>
      <c r="Y1136" t="str">
        <f>IF(Table2[[#This Row],[Column1]]&gt;50%,"HIGH DISCOUNT","LOW DISCOUNT")</f>
        <v>HIGH DISCOUNT</v>
      </c>
    </row>
    <row r="1137" spans="1:25" x14ac:dyDescent="0.25">
      <c r="A1137" s="2" t="s">
        <v>2565</v>
      </c>
      <c r="B1137" s="2">
        <v>11369802</v>
      </c>
      <c r="C1137" s="2" t="s">
        <v>47</v>
      </c>
      <c r="D1137" s="2" t="s">
        <v>28</v>
      </c>
      <c r="E1137" s="2" t="s">
        <v>29</v>
      </c>
      <c r="F1137" s="2" t="s">
        <v>17</v>
      </c>
      <c r="G1137" s="2" t="s">
        <v>2566</v>
      </c>
      <c r="H1137">
        <v>999</v>
      </c>
      <c r="I1137" s="2">
        <v>2499</v>
      </c>
      <c r="J1137" s="2" t="s">
        <v>55</v>
      </c>
      <c r="K1137" s="2" t="s">
        <v>253</v>
      </c>
      <c r="L1137" s="2">
        <v>4.2</v>
      </c>
      <c r="M1137" s="2">
        <v>808</v>
      </c>
      <c r="P1137" t="str">
        <f t="shared" si="71"/>
        <v>60%</v>
      </c>
      <c r="Q1137" s="12">
        <f t="shared" si="68"/>
        <v>0.6</v>
      </c>
      <c r="R1137" s="9">
        <f t="shared" si="69"/>
        <v>999.60000000000014</v>
      </c>
      <c r="S1137" s="9">
        <f>IF(R1137="",AVERAGEIF(Table1[Category],Table1[[#This Row],[Category]],Table2[orignal data]),Table2[[#This Row],[orignal data]])</f>
        <v>999.60000000000014</v>
      </c>
      <c r="T1137" t="str">
        <f t="shared" si="70"/>
        <v>UNIQUE</v>
      </c>
      <c r="U1137" t="str">
        <f>IF(ISBLANK(Table1[[#This Row],[SizeOption]]),"NOT AVAILABLE",Table1[[#This Row],[SizeOption]])</f>
        <v>38, 40, 42, 44</v>
      </c>
      <c r="Y1137" t="str">
        <f>IF(Table2[[#This Row],[Column1]]&gt;50%,"HIGH DISCOUNT","LOW DISCOUNT")</f>
        <v>HIGH DISCOUNT</v>
      </c>
    </row>
    <row r="1138" spans="1:25" x14ac:dyDescent="0.25">
      <c r="A1138" s="1" t="s">
        <v>2567</v>
      </c>
      <c r="B1138" s="1">
        <v>10561502</v>
      </c>
      <c r="C1138" s="1" t="s">
        <v>97</v>
      </c>
      <c r="D1138" s="1" t="s">
        <v>76</v>
      </c>
      <c r="E1138" s="1" t="s">
        <v>93</v>
      </c>
      <c r="F1138" s="1" t="s">
        <v>36</v>
      </c>
      <c r="G1138" s="1" t="s">
        <v>2568</v>
      </c>
      <c r="H1138">
        <v>1484</v>
      </c>
      <c r="I1138" s="1">
        <v>3299</v>
      </c>
      <c r="J1138" s="1" t="s">
        <v>25</v>
      </c>
      <c r="K1138" s="1" t="s">
        <v>100</v>
      </c>
      <c r="L1138" s="1">
        <v>4.3</v>
      </c>
      <c r="M1138" s="1">
        <v>808</v>
      </c>
      <c r="P1138" t="str">
        <f t="shared" si="71"/>
        <v>55%</v>
      </c>
      <c r="Q1138" s="12">
        <f t="shared" si="68"/>
        <v>0.55000000000000004</v>
      </c>
      <c r="R1138" s="9">
        <f t="shared" si="69"/>
        <v>1484.55</v>
      </c>
      <c r="S1138" s="9">
        <f>IF(R1138="",AVERAGEIF(Table1[Category],Table1[[#This Row],[Category]],Table2[orignal data]),Table2[[#This Row],[orignal data]])</f>
        <v>1484.55</v>
      </c>
      <c r="T1138" t="str">
        <f t="shared" si="70"/>
        <v>UNIQUE</v>
      </c>
      <c r="U1138" t="str">
        <f>IF(ISBLANK(Table1[[#This Row],[SizeOption]]),"NOT AVAILABLE",Table1[[#This Row],[SizeOption]])</f>
        <v>XS, S, M, L, XL, XXL, 3XL</v>
      </c>
      <c r="Y1138" t="str">
        <f>IF(Table2[[#This Row],[Column1]]&gt;50%,"HIGH DISCOUNT","LOW DISCOUNT")</f>
        <v>HIGH DISCOUNT</v>
      </c>
    </row>
    <row r="1139" spans="1:25" x14ac:dyDescent="0.25">
      <c r="A1139" s="2" t="s">
        <v>2569</v>
      </c>
      <c r="B1139" s="2">
        <v>9340203</v>
      </c>
      <c r="C1139" s="2" t="s">
        <v>676</v>
      </c>
      <c r="D1139" s="2" t="s">
        <v>41</v>
      </c>
      <c r="E1139" s="2" t="s">
        <v>48</v>
      </c>
      <c r="F1139" s="2" t="s">
        <v>36</v>
      </c>
      <c r="G1139" s="2" t="s">
        <v>2570</v>
      </c>
      <c r="I1139" s="2">
        <v>1998</v>
      </c>
      <c r="J1139" s="2" t="s">
        <v>84</v>
      </c>
      <c r="K1139" s="2" t="s">
        <v>26</v>
      </c>
      <c r="L1139" s="2">
        <v>4.2</v>
      </c>
      <c r="M1139" s="2">
        <v>808</v>
      </c>
      <c r="P1139" t="str">
        <f t="shared" si="71"/>
        <v>50%</v>
      </c>
      <c r="Q1139" s="12">
        <f t="shared" si="68"/>
        <v>0.5</v>
      </c>
      <c r="R1139" s="9">
        <f t="shared" si="69"/>
        <v>999</v>
      </c>
      <c r="S1139" s="9">
        <f>IF(R1139="",AVERAGEIF(Table1[Category],Table1[[#This Row],[Category]],Table2[orignal data]),Table2[[#This Row],[orignal data]])</f>
        <v>999</v>
      </c>
      <c r="T1139" t="str">
        <f t="shared" si="70"/>
        <v>UNIQUE</v>
      </c>
      <c r="U1139" t="str">
        <f>IF(ISBLANK(Table1[[#This Row],[SizeOption]]),"NOT AVAILABLE",Table1[[#This Row],[SizeOption]])</f>
        <v>S, M, L, XL</v>
      </c>
      <c r="Y1139" t="str">
        <f>IF(Table2[[#This Row],[Column1]]&gt;50%,"HIGH DISCOUNT","LOW DISCOUNT")</f>
        <v>LOW DISCOUNT</v>
      </c>
    </row>
    <row r="1140" spans="1:25" x14ac:dyDescent="0.25">
      <c r="A1140" s="1" t="s">
        <v>2571</v>
      </c>
      <c r="B1140" s="1">
        <v>12193070</v>
      </c>
      <c r="C1140" s="1" t="s">
        <v>14</v>
      </c>
      <c r="D1140" s="1" t="s">
        <v>41</v>
      </c>
      <c r="E1140" s="1" t="s">
        <v>42</v>
      </c>
      <c r="F1140" s="1" t="s">
        <v>36</v>
      </c>
      <c r="G1140" s="1" t="s">
        <v>2572</v>
      </c>
      <c r="I1140" s="1">
        <v>599</v>
      </c>
      <c r="J1140" s="1" t="s">
        <v>25</v>
      </c>
      <c r="K1140" s="1" t="s">
        <v>45</v>
      </c>
      <c r="L1140" s="1">
        <v>4.0999999999999996</v>
      </c>
      <c r="M1140" s="1">
        <v>808</v>
      </c>
      <c r="P1140" t="str">
        <f t="shared" si="71"/>
        <v>55%</v>
      </c>
      <c r="Q1140" s="12">
        <f t="shared" si="68"/>
        <v>0.55000000000000004</v>
      </c>
      <c r="R1140" s="9">
        <f t="shared" si="69"/>
        <v>269.54999999999995</v>
      </c>
      <c r="S1140" s="9">
        <f>IF(R1140="",AVERAGEIF(Table1[Category],Table1[[#This Row],[Category]],Table2[orignal data]),Table2[[#This Row],[orignal data]])</f>
        <v>269.54999999999995</v>
      </c>
      <c r="T1140" t="str">
        <f t="shared" si="70"/>
        <v>UNIQUE</v>
      </c>
      <c r="U1140" t="str">
        <f>IF(ISBLANK(Table1[[#This Row],[SizeOption]]),"NOT AVAILABLE",Table1[[#This Row],[SizeOption]])</f>
        <v>XS, S, M, L, XL</v>
      </c>
      <c r="Y1140" t="str">
        <f>IF(Table2[[#This Row],[Column1]]&gt;50%,"HIGH DISCOUNT","LOW DISCOUNT")</f>
        <v>HIGH DISCOUNT</v>
      </c>
    </row>
    <row r="1141" spans="1:25" x14ac:dyDescent="0.25">
      <c r="A1141" s="2" t="s">
        <v>2573</v>
      </c>
      <c r="B1141" s="2">
        <v>11711886</v>
      </c>
      <c r="C1141" s="2" t="s">
        <v>47</v>
      </c>
      <c r="D1141" s="2" t="s">
        <v>41</v>
      </c>
      <c r="E1141" s="2" t="s">
        <v>42</v>
      </c>
      <c r="F1141" s="2" t="s">
        <v>36</v>
      </c>
      <c r="G1141" s="2" t="s">
        <v>2574</v>
      </c>
      <c r="I1141" s="2">
        <v>799</v>
      </c>
      <c r="J1141" s="2" t="s">
        <v>55</v>
      </c>
      <c r="K1141" s="2" t="s">
        <v>45</v>
      </c>
      <c r="L1141" s="2">
        <v>4.2</v>
      </c>
      <c r="M1141" s="2">
        <v>808</v>
      </c>
      <c r="P1141" t="str">
        <f t="shared" si="71"/>
        <v>60%</v>
      </c>
      <c r="Q1141" s="12">
        <f t="shared" si="68"/>
        <v>0.6</v>
      </c>
      <c r="R1141" s="9">
        <f t="shared" si="69"/>
        <v>319.60000000000002</v>
      </c>
      <c r="S1141" s="9">
        <f>IF(R1141="",AVERAGEIF(Table1[Category],Table1[[#This Row],[Category]],Table2[orignal data]),Table2[[#This Row],[orignal data]])</f>
        <v>319.60000000000002</v>
      </c>
      <c r="T1141" t="str">
        <f t="shared" si="70"/>
        <v>UNIQUE</v>
      </c>
      <c r="U1141" t="str">
        <f>IF(ISBLANK(Table1[[#This Row],[SizeOption]]),"NOT AVAILABLE",Table1[[#This Row],[SizeOption]])</f>
        <v>XS, S, M, L, XL</v>
      </c>
      <c r="Y1141" t="str">
        <f>IF(Table2[[#This Row],[Column1]]&gt;50%,"HIGH DISCOUNT","LOW DISCOUNT")</f>
        <v>HIGH DISCOUNT</v>
      </c>
    </row>
    <row r="1142" spans="1:25" x14ac:dyDescent="0.25">
      <c r="A1142" s="1" t="s">
        <v>2575</v>
      </c>
      <c r="B1142" s="1">
        <v>10285765</v>
      </c>
      <c r="C1142" s="1" t="s">
        <v>22</v>
      </c>
      <c r="D1142" s="1" t="s">
        <v>28</v>
      </c>
      <c r="E1142" s="1" t="s">
        <v>42</v>
      </c>
      <c r="F1142" s="1" t="s">
        <v>17</v>
      </c>
      <c r="G1142" s="1" t="s">
        <v>2576</v>
      </c>
      <c r="H1142">
        <v>571</v>
      </c>
      <c r="I1142" s="1">
        <v>1299</v>
      </c>
      <c r="J1142" s="1" t="s">
        <v>1204</v>
      </c>
      <c r="K1142" s="1" t="s">
        <v>26</v>
      </c>
      <c r="L1142" s="1">
        <v>4</v>
      </c>
      <c r="M1142" s="1">
        <v>807</v>
      </c>
      <c r="P1142" t="str">
        <f t="shared" si="71"/>
        <v>56%</v>
      </c>
      <c r="Q1142" s="12">
        <f t="shared" si="68"/>
        <v>0.56000000000000005</v>
      </c>
      <c r="R1142" s="9">
        <f t="shared" si="69"/>
        <v>571.55999999999995</v>
      </c>
      <c r="S1142" s="9">
        <f>IF(R1142="",AVERAGEIF(Table1[Category],Table1[[#This Row],[Category]],Table2[orignal data]),Table2[[#This Row],[orignal data]])</f>
        <v>571.55999999999995</v>
      </c>
      <c r="T1142" t="str">
        <f t="shared" si="70"/>
        <v>UNIQUE</v>
      </c>
      <c r="U1142" t="str">
        <f>IF(ISBLANK(Table1[[#This Row],[SizeOption]]),"NOT AVAILABLE",Table1[[#This Row],[SizeOption]])</f>
        <v>S, M, L, XL</v>
      </c>
      <c r="Y1142" t="str">
        <f>IF(Table2[[#This Row],[Column1]]&gt;50%,"HIGH DISCOUNT","LOW DISCOUNT")</f>
        <v>HIGH DISCOUNT</v>
      </c>
    </row>
    <row r="1143" spans="1:25" x14ac:dyDescent="0.25">
      <c r="A1143" s="2" t="s">
        <v>2577</v>
      </c>
      <c r="B1143" s="2">
        <v>8889625</v>
      </c>
      <c r="C1143" s="2" t="s">
        <v>14</v>
      </c>
      <c r="D1143" s="2" t="s">
        <v>28</v>
      </c>
      <c r="E1143" s="2" t="s">
        <v>29</v>
      </c>
      <c r="F1143" s="2" t="s">
        <v>17</v>
      </c>
      <c r="G1143" s="2" t="s">
        <v>2578</v>
      </c>
      <c r="H1143">
        <v>719</v>
      </c>
      <c r="I1143" s="2">
        <v>1599</v>
      </c>
      <c r="J1143" s="2" t="s">
        <v>25</v>
      </c>
      <c r="K1143" s="2" t="s">
        <v>253</v>
      </c>
      <c r="L1143" s="2">
        <v>4.5</v>
      </c>
      <c r="M1143" s="2">
        <v>807</v>
      </c>
      <c r="P1143" t="str">
        <f t="shared" si="71"/>
        <v>55%</v>
      </c>
      <c r="Q1143" s="12">
        <f t="shared" si="68"/>
        <v>0.55000000000000004</v>
      </c>
      <c r="R1143" s="9">
        <f t="shared" si="69"/>
        <v>719.55</v>
      </c>
      <c r="S1143" s="9">
        <f>IF(R1143="",AVERAGEIF(Table1[Category],Table1[[#This Row],[Category]],Table2[orignal data]),Table2[[#This Row],[orignal data]])</f>
        <v>719.55</v>
      </c>
      <c r="T1143" t="str">
        <f t="shared" si="70"/>
        <v>UNIQUE</v>
      </c>
      <c r="U1143" t="str">
        <f>IF(ISBLANK(Table1[[#This Row],[SizeOption]]),"NOT AVAILABLE",Table1[[#This Row],[SizeOption]])</f>
        <v>38, 40, 42, 44</v>
      </c>
      <c r="Y1143" t="str">
        <f>IF(Table2[[#This Row],[Column1]]&gt;50%,"HIGH DISCOUNT","LOW DISCOUNT")</f>
        <v>HIGH DISCOUNT</v>
      </c>
    </row>
    <row r="1144" spans="1:25" x14ac:dyDescent="0.25">
      <c r="A1144" s="1" t="s">
        <v>2579</v>
      </c>
      <c r="B1144" s="1">
        <v>2118949</v>
      </c>
      <c r="C1144" s="1" t="s">
        <v>430</v>
      </c>
      <c r="D1144" s="1" t="s">
        <v>28</v>
      </c>
      <c r="E1144" s="1" t="s">
        <v>306</v>
      </c>
      <c r="F1144" s="1" t="s">
        <v>17</v>
      </c>
      <c r="G1144" s="1" t="s">
        <v>2580</v>
      </c>
      <c r="H1144">
        <v>854</v>
      </c>
      <c r="I1144" s="1">
        <v>1899</v>
      </c>
      <c r="J1144" s="1" t="s">
        <v>25</v>
      </c>
      <c r="K1144" s="1" t="s">
        <v>26</v>
      </c>
      <c r="L1144" s="1">
        <v>4</v>
      </c>
      <c r="M1144" s="1">
        <v>807</v>
      </c>
      <c r="P1144" t="str">
        <f t="shared" si="71"/>
        <v>55%</v>
      </c>
      <c r="Q1144" s="12">
        <f t="shared" si="68"/>
        <v>0.55000000000000004</v>
      </c>
      <c r="R1144" s="9">
        <f t="shared" si="69"/>
        <v>854.55</v>
      </c>
      <c r="S1144" s="9">
        <f>IF(R1144="",AVERAGEIF(Table1[Category],Table1[[#This Row],[Category]],Table2[orignal data]),Table2[[#This Row],[orignal data]])</f>
        <v>854.55</v>
      </c>
      <c r="T1144" t="str">
        <f t="shared" si="70"/>
        <v>UNIQUE</v>
      </c>
      <c r="U1144" t="str">
        <f>IF(ISBLANK(Table1[[#This Row],[SizeOption]]),"NOT AVAILABLE",Table1[[#This Row],[SizeOption]])</f>
        <v>S, M, L, XL</v>
      </c>
      <c r="Y1144" t="str">
        <f>IF(Table2[[#This Row],[Column1]]&gt;50%,"HIGH DISCOUNT","LOW DISCOUNT")</f>
        <v>HIGH DISCOUNT</v>
      </c>
    </row>
    <row r="1145" spans="1:25" x14ac:dyDescent="0.25">
      <c r="A1145" s="2" t="s">
        <v>2581</v>
      </c>
      <c r="B1145" s="2">
        <v>9339647</v>
      </c>
      <c r="C1145" s="2" t="s">
        <v>676</v>
      </c>
      <c r="D1145" s="2" t="s">
        <v>41</v>
      </c>
      <c r="E1145" s="2" t="s">
        <v>48</v>
      </c>
      <c r="F1145" s="2" t="s">
        <v>36</v>
      </c>
      <c r="G1145" s="2" t="s">
        <v>2582</v>
      </c>
      <c r="I1145" s="2">
        <v>2098</v>
      </c>
      <c r="J1145" s="2" t="s">
        <v>84</v>
      </c>
      <c r="K1145" s="2" t="s">
        <v>26</v>
      </c>
      <c r="L1145" s="2">
        <v>4.2</v>
      </c>
      <c r="M1145" s="2">
        <v>807</v>
      </c>
      <c r="P1145" t="str">
        <f t="shared" si="71"/>
        <v>50%</v>
      </c>
      <c r="Q1145" s="12">
        <f t="shared" si="68"/>
        <v>0.5</v>
      </c>
      <c r="R1145" s="9">
        <f t="shared" si="69"/>
        <v>1049</v>
      </c>
      <c r="S1145" s="9">
        <f>IF(R1145="",AVERAGEIF(Table1[Category],Table1[[#This Row],[Category]],Table2[orignal data]),Table2[[#This Row],[orignal data]])</f>
        <v>1049</v>
      </c>
      <c r="T1145" t="str">
        <f t="shared" si="70"/>
        <v>UNIQUE</v>
      </c>
      <c r="U1145" t="str">
        <f>IF(ISBLANK(Table1[[#This Row],[SizeOption]]),"NOT AVAILABLE",Table1[[#This Row],[SizeOption]])</f>
        <v>S, M, L, XL</v>
      </c>
      <c r="Y1145" t="str">
        <f>IF(Table2[[#This Row],[Column1]]&gt;50%,"HIGH DISCOUNT","LOW DISCOUNT")</f>
        <v>LOW DISCOUNT</v>
      </c>
    </row>
    <row r="1146" spans="1:25" x14ac:dyDescent="0.25">
      <c r="A1146" s="1" t="s">
        <v>2583</v>
      </c>
      <c r="B1146" s="1">
        <v>9089095</v>
      </c>
      <c r="C1146" s="1" t="s">
        <v>64</v>
      </c>
      <c r="D1146" s="1" t="s">
        <v>15</v>
      </c>
      <c r="E1146" s="1" t="s">
        <v>53</v>
      </c>
      <c r="F1146" s="1" t="s">
        <v>17</v>
      </c>
      <c r="G1146" s="1" t="s">
        <v>2584</v>
      </c>
      <c r="H1146">
        <v>719</v>
      </c>
      <c r="I1146" s="1">
        <v>2399</v>
      </c>
      <c r="J1146" s="1" t="s">
        <v>79</v>
      </c>
      <c r="K1146" s="1" t="s">
        <v>171</v>
      </c>
      <c r="L1146" s="1">
        <v>4</v>
      </c>
      <c r="M1146" s="1">
        <v>806</v>
      </c>
      <c r="P1146" t="str">
        <f t="shared" si="71"/>
        <v>70%</v>
      </c>
      <c r="Q1146" s="12">
        <f t="shared" si="68"/>
        <v>0.7</v>
      </c>
      <c r="R1146" s="9">
        <f t="shared" si="69"/>
        <v>719.7</v>
      </c>
      <c r="S1146" s="9">
        <f>IF(R1146="",AVERAGEIF(Table1[Category],Table1[[#This Row],[Category]],Table2[orignal data]),Table2[[#This Row],[orignal data]])</f>
        <v>719.7</v>
      </c>
      <c r="T1146" t="str">
        <f t="shared" si="70"/>
        <v>UNIQUE</v>
      </c>
      <c r="U1146" t="str">
        <f>IF(ISBLANK(Table1[[#This Row],[SizeOption]]),"NOT AVAILABLE",Table1[[#This Row],[SizeOption]])</f>
        <v>28, 30, 32, 34, 36, 38</v>
      </c>
      <c r="Y1146" t="str">
        <f>IF(Table2[[#This Row],[Column1]]&gt;50%,"HIGH DISCOUNT","LOW DISCOUNT")</f>
        <v>HIGH DISCOUNT</v>
      </c>
    </row>
    <row r="1147" spans="1:25" x14ac:dyDescent="0.25">
      <c r="A1147" s="2" t="s">
        <v>2585</v>
      </c>
      <c r="B1147" s="2">
        <v>8684729</v>
      </c>
      <c r="C1147" s="2" t="s">
        <v>169</v>
      </c>
      <c r="D1147" s="2" t="s">
        <v>15</v>
      </c>
      <c r="E1147" s="2" t="s">
        <v>137</v>
      </c>
      <c r="F1147" s="2" t="s">
        <v>17</v>
      </c>
      <c r="G1147" s="2" t="s">
        <v>2586</v>
      </c>
      <c r="H1147">
        <v>799</v>
      </c>
      <c r="I1147" s="2">
        <v>1599</v>
      </c>
      <c r="J1147" s="2" t="s">
        <v>84</v>
      </c>
      <c r="K1147" s="2" t="s">
        <v>20</v>
      </c>
      <c r="L1147" s="2">
        <v>4.3</v>
      </c>
      <c r="M1147" s="2">
        <v>806</v>
      </c>
      <c r="P1147" t="str">
        <f t="shared" si="71"/>
        <v>50%</v>
      </c>
      <c r="Q1147" s="12">
        <f t="shared" si="68"/>
        <v>0.5</v>
      </c>
      <c r="R1147" s="9">
        <f t="shared" si="69"/>
        <v>799.5</v>
      </c>
      <c r="S1147" s="9">
        <f>IF(R1147="",AVERAGEIF(Table1[Category],Table1[[#This Row],[Category]],Table2[orignal data]),Table2[[#This Row],[orignal data]])</f>
        <v>799.5</v>
      </c>
      <c r="T1147" t="str">
        <f t="shared" si="70"/>
        <v>UNIQUE</v>
      </c>
      <c r="U1147" t="str">
        <f>IF(ISBLANK(Table1[[#This Row],[SizeOption]]),"NOT AVAILABLE",Table1[[#This Row],[SizeOption]])</f>
        <v>28, 30, 32, 34, 36</v>
      </c>
      <c r="Y1147" t="str">
        <f>IF(Table2[[#This Row],[Column1]]&gt;50%,"HIGH DISCOUNT","LOW DISCOUNT")</f>
        <v>LOW DISCOUNT</v>
      </c>
    </row>
    <row r="1148" spans="1:25" x14ac:dyDescent="0.25">
      <c r="A1148" s="1" t="s">
        <v>2587</v>
      </c>
      <c r="B1148" s="1">
        <v>10740956</v>
      </c>
      <c r="C1148" s="1" t="s">
        <v>14</v>
      </c>
      <c r="D1148" s="1" t="s">
        <v>28</v>
      </c>
      <c r="E1148" s="1" t="s">
        <v>29</v>
      </c>
      <c r="F1148" s="1" t="s">
        <v>17</v>
      </c>
      <c r="G1148" s="1" t="s">
        <v>2588</v>
      </c>
      <c r="I1148" s="1">
        <v>749</v>
      </c>
      <c r="J1148" s="1"/>
      <c r="K1148" s="1" t="s">
        <v>31</v>
      </c>
      <c r="L1148" s="1">
        <v>4</v>
      </c>
      <c r="M1148" s="1">
        <v>806</v>
      </c>
      <c r="P1148" t="str">
        <f t="shared" si="71"/>
        <v/>
      </c>
      <c r="Q1148" s="12" t="str">
        <f t="shared" si="68"/>
        <v/>
      </c>
      <c r="R1148" s="9" t="str">
        <f t="shared" si="69"/>
        <v/>
      </c>
      <c r="S1148" s="9">
        <f>IF(R1148="",AVERAGEIF(Table1[Category],Table1[[#This Row],[Category]],Table2[orignal data]),Table2[[#This Row],[orignal data]])</f>
        <v>671.7823941958867</v>
      </c>
      <c r="T1148" t="str">
        <f t="shared" si="70"/>
        <v>UNIQUE</v>
      </c>
      <c r="U1148" t="str">
        <f>IF(ISBLANK(Table1[[#This Row],[SizeOption]]),"NOT AVAILABLE",Table1[[#This Row],[SizeOption]])</f>
        <v>38, 40, 42, 44, 46, 48</v>
      </c>
      <c r="Y1148" t="str">
        <f>IF(Table2[[#This Row],[Column1]]&gt;50%,"HIGH DISCOUNT","LOW DISCOUNT")</f>
        <v>HIGH DISCOUNT</v>
      </c>
    </row>
    <row r="1149" spans="1:25" x14ac:dyDescent="0.25">
      <c r="A1149" s="2" t="s">
        <v>2589</v>
      </c>
      <c r="B1149" s="2">
        <v>13437276</v>
      </c>
      <c r="C1149" s="2" t="s">
        <v>97</v>
      </c>
      <c r="D1149" s="2" t="s">
        <v>76</v>
      </c>
      <c r="E1149" s="2" t="s">
        <v>93</v>
      </c>
      <c r="F1149" s="2" t="s">
        <v>36</v>
      </c>
      <c r="G1149" s="2" t="s">
        <v>2590</v>
      </c>
      <c r="H1149">
        <v>374</v>
      </c>
      <c r="I1149" s="2">
        <v>1499</v>
      </c>
      <c r="J1149" s="2" t="s">
        <v>109</v>
      </c>
      <c r="K1149" s="2" t="s">
        <v>100</v>
      </c>
      <c r="L1149" s="2">
        <v>3.9</v>
      </c>
      <c r="M1149" s="2">
        <v>806</v>
      </c>
      <c r="P1149" t="str">
        <f t="shared" si="71"/>
        <v>75%</v>
      </c>
      <c r="Q1149" s="12">
        <f t="shared" si="68"/>
        <v>0.75</v>
      </c>
      <c r="R1149" s="9">
        <f t="shared" si="69"/>
        <v>374.75</v>
      </c>
      <c r="S1149" s="9">
        <f>IF(R1149="",AVERAGEIF(Table1[Category],Table1[[#This Row],[Category]],Table2[orignal data]),Table2[[#This Row],[orignal data]])</f>
        <v>374.75</v>
      </c>
      <c r="T1149" t="str">
        <f t="shared" si="70"/>
        <v>UNIQUE</v>
      </c>
      <c r="U1149" t="str">
        <f>IF(ISBLANK(Table1[[#This Row],[SizeOption]]),"NOT AVAILABLE",Table1[[#This Row],[SizeOption]])</f>
        <v>XS, S, M, L, XL, XXL, 3XL</v>
      </c>
      <c r="Y1149" t="str">
        <f>IF(Table2[[#This Row],[Column1]]&gt;50%,"HIGH DISCOUNT","LOW DISCOUNT")</f>
        <v>HIGH DISCOUNT</v>
      </c>
    </row>
    <row r="1150" spans="1:25" x14ac:dyDescent="0.25">
      <c r="A1150" s="1" t="s">
        <v>2591</v>
      </c>
      <c r="B1150" s="1">
        <v>12441828</v>
      </c>
      <c r="C1150" s="1" t="s">
        <v>620</v>
      </c>
      <c r="D1150" s="1" t="s">
        <v>34</v>
      </c>
      <c r="E1150" s="1" t="s">
        <v>406</v>
      </c>
      <c r="F1150" s="1" t="s">
        <v>36</v>
      </c>
      <c r="G1150" s="1" t="s">
        <v>2592</v>
      </c>
      <c r="H1150">
        <v>759</v>
      </c>
      <c r="I1150" s="1">
        <v>1899</v>
      </c>
      <c r="J1150" s="1" t="s">
        <v>55</v>
      </c>
      <c r="K1150" s="1" t="s">
        <v>26</v>
      </c>
      <c r="L1150" s="1">
        <v>4.4000000000000004</v>
      </c>
      <c r="M1150" s="1">
        <v>806</v>
      </c>
      <c r="P1150" t="str">
        <f t="shared" si="71"/>
        <v>60%</v>
      </c>
      <c r="Q1150" s="12">
        <f t="shared" si="68"/>
        <v>0.6</v>
      </c>
      <c r="R1150" s="9">
        <f t="shared" si="69"/>
        <v>759.60000000000014</v>
      </c>
      <c r="S1150" s="9">
        <f>IF(R1150="",AVERAGEIF(Table1[Category],Table1[[#This Row],[Category]],Table2[orignal data]),Table2[[#This Row],[orignal data]])</f>
        <v>759.60000000000014</v>
      </c>
      <c r="T1150" t="str">
        <f t="shared" si="70"/>
        <v>UNIQUE</v>
      </c>
      <c r="U1150" t="str">
        <f>IF(ISBLANK(Table1[[#This Row],[SizeOption]]),"NOT AVAILABLE",Table1[[#This Row],[SizeOption]])</f>
        <v>S, M, L, XL</v>
      </c>
      <c r="Y1150" t="str">
        <f>IF(Table2[[#This Row],[Column1]]&gt;50%,"HIGH DISCOUNT","LOW DISCOUNT")</f>
        <v>HIGH DISCOUNT</v>
      </c>
    </row>
    <row r="1151" spans="1:25" x14ac:dyDescent="0.25">
      <c r="A1151" s="2" t="s">
        <v>2593</v>
      </c>
      <c r="B1151" s="2">
        <v>2013337</v>
      </c>
      <c r="C1151" s="2" t="s">
        <v>2051</v>
      </c>
      <c r="D1151" s="2" t="s">
        <v>34</v>
      </c>
      <c r="E1151" s="2" t="s">
        <v>118</v>
      </c>
      <c r="F1151" s="2" t="s">
        <v>36</v>
      </c>
      <c r="G1151" s="2" t="s">
        <v>2594</v>
      </c>
      <c r="I1151" s="2">
        <v>895</v>
      </c>
      <c r="J1151" s="2"/>
      <c r="K1151" s="2" t="s">
        <v>2053</v>
      </c>
      <c r="L1151" s="2">
        <v>4.5</v>
      </c>
      <c r="M1151" s="2">
        <v>806</v>
      </c>
      <c r="P1151" t="str">
        <f t="shared" si="71"/>
        <v/>
      </c>
      <c r="Q1151" s="12" t="str">
        <f t="shared" si="68"/>
        <v/>
      </c>
      <c r="R1151" s="9" t="str">
        <f t="shared" si="69"/>
        <v/>
      </c>
      <c r="S1151" s="9">
        <f>IF(R1151="",AVERAGEIF(Table1[Category],Table1[[#This Row],[Category]],Table2[orignal data]),Table2[[#This Row],[orignal data]])</f>
        <v>608.88518518518481</v>
      </c>
      <c r="T1151" t="str">
        <f t="shared" si="70"/>
        <v>UNIQUE</v>
      </c>
      <c r="U1151" t="str">
        <f>IF(ISBLANK(Table1[[#This Row],[SizeOption]]),"NOT AVAILABLE",Table1[[#This Row],[SizeOption]])</f>
        <v>32B, 32C, 32D, 34B, 34C, 34D, 36B, 36C, 36D, 38B, 38C, 38D, 40C, 40D</v>
      </c>
      <c r="Y1151" t="str">
        <f>IF(Table2[[#This Row],[Column1]]&gt;50%,"HIGH DISCOUNT","LOW DISCOUNT")</f>
        <v>HIGH DISCOUNT</v>
      </c>
    </row>
    <row r="1152" spans="1:25" x14ac:dyDescent="0.25">
      <c r="A1152" s="1" t="s">
        <v>2595</v>
      </c>
      <c r="B1152" s="1">
        <v>12050642</v>
      </c>
      <c r="C1152" s="1" t="s">
        <v>64</v>
      </c>
      <c r="D1152" s="1" t="s">
        <v>98</v>
      </c>
      <c r="E1152" s="1" t="s">
        <v>93</v>
      </c>
      <c r="F1152" s="1" t="s">
        <v>36</v>
      </c>
      <c r="G1152" s="1" t="s">
        <v>694</v>
      </c>
      <c r="H1152">
        <v>699</v>
      </c>
      <c r="I1152" s="1">
        <v>1399</v>
      </c>
      <c r="J1152" s="1" t="s">
        <v>84</v>
      </c>
      <c r="K1152" s="1" t="s">
        <v>234</v>
      </c>
      <c r="L1152" s="1">
        <v>4.3</v>
      </c>
      <c r="M1152" s="1">
        <v>806</v>
      </c>
      <c r="P1152" t="str">
        <f t="shared" si="71"/>
        <v>50%</v>
      </c>
      <c r="Q1152" s="12">
        <f t="shared" si="68"/>
        <v>0.5</v>
      </c>
      <c r="R1152" s="9">
        <f t="shared" si="69"/>
        <v>699.5</v>
      </c>
      <c r="S1152" s="9">
        <f>IF(R1152="",AVERAGEIF(Table1[Category],Table1[[#This Row],[Category]],Table2[orignal data]),Table2[[#This Row],[orignal data]])</f>
        <v>699.5</v>
      </c>
      <c r="T1152" t="str">
        <f t="shared" si="70"/>
        <v>UNIQUE</v>
      </c>
      <c r="U1152" t="str">
        <f>IF(ISBLANK(Table1[[#This Row],[SizeOption]]),"NOT AVAILABLE",Table1[[#This Row],[SizeOption]])</f>
        <v>S, M, L, XL, XXL, 3XL</v>
      </c>
      <c r="Y1152" t="str">
        <f>IF(Table2[[#This Row],[Column1]]&gt;50%,"HIGH DISCOUNT","LOW DISCOUNT")</f>
        <v>LOW DISCOUNT</v>
      </c>
    </row>
    <row r="1153" spans="1:25" x14ac:dyDescent="0.25">
      <c r="A1153" s="2" t="s">
        <v>2596</v>
      </c>
      <c r="B1153" s="2">
        <v>17381452</v>
      </c>
      <c r="C1153" s="2" t="s">
        <v>14</v>
      </c>
      <c r="D1153" s="2" t="s">
        <v>41</v>
      </c>
      <c r="E1153" s="2" t="s">
        <v>42</v>
      </c>
      <c r="F1153" s="2" t="s">
        <v>36</v>
      </c>
      <c r="G1153" s="2" t="s">
        <v>62</v>
      </c>
      <c r="I1153" s="2">
        <v>1198</v>
      </c>
      <c r="J1153" s="2" t="s">
        <v>84</v>
      </c>
      <c r="K1153" s="2" t="s">
        <v>45</v>
      </c>
      <c r="L1153" s="2">
        <v>4.3</v>
      </c>
      <c r="M1153" s="2">
        <v>806</v>
      </c>
      <c r="P1153" t="str">
        <f t="shared" si="71"/>
        <v>50%</v>
      </c>
      <c r="Q1153" s="12">
        <f t="shared" si="68"/>
        <v>0.5</v>
      </c>
      <c r="R1153" s="9">
        <f t="shared" si="69"/>
        <v>599</v>
      </c>
      <c r="S1153" s="9">
        <f>IF(R1153="",AVERAGEIF(Table1[Category],Table1[[#This Row],[Category]],Table2[orignal data]),Table2[[#This Row],[orignal data]])</f>
        <v>599</v>
      </c>
      <c r="T1153" t="str">
        <f t="shared" si="70"/>
        <v>UNIQUE</v>
      </c>
      <c r="U1153" t="str">
        <f>IF(ISBLANK(Table1[[#This Row],[SizeOption]]),"NOT AVAILABLE",Table1[[#This Row],[SizeOption]])</f>
        <v>XS, S, M, L, XL</v>
      </c>
      <c r="Y1153" t="str">
        <f>IF(Table2[[#This Row],[Column1]]&gt;50%,"HIGH DISCOUNT","LOW DISCOUNT")</f>
        <v>LOW DISCOUNT</v>
      </c>
    </row>
    <row r="1154" spans="1:25" x14ac:dyDescent="0.25">
      <c r="A1154" s="1" t="s">
        <v>2597</v>
      </c>
      <c r="B1154" s="1">
        <v>10671362</v>
      </c>
      <c r="C1154" s="1" t="s">
        <v>14</v>
      </c>
      <c r="D1154" s="1" t="s">
        <v>15</v>
      </c>
      <c r="E1154" s="1" t="s">
        <v>16</v>
      </c>
      <c r="F1154" s="1" t="s">
        <v>17</v>
      </c>
      <c r="G1154" s="1" t="s">
        <v>918</v>
      </c>
      <c r="H1154">
        <v>764</v>
      </c>
      <c r="I1154" s="1">
        <v>1699</v>
      </c>
      <c r="J1154" s="1" t="s">
        <v>25</v>
      </c>
      <c r="K1154" s="1" t="s">
        <v>20</v>
      </c>
      <c r="L1154" s="1">
        <v>4</v>
      </c>
      <c r="M1154" s="1">
        <v>805</v>
      </c>
      <c r="P1154" t="str">
        <f t="shared" si="71"/>
        <v>55%</v>
      </c>
      <c r="Q1154" s="12">
        <f t="shared" ref="Q1154:Q1217" si="72">IF(P1154="","",IF(ISNUMBER(SEARCH("%",P1154)),P1154,P1154/I1154)*100%)</f>
        <v>0.55000000000000004</v>
      </c>
      <c r="R1154" s="9">
        <f t="shared" ref="R1154:R1217" si="73">IF(P1154="","",I1154-(I1154*Q1154))</f>
        <v>764.55</v>
      </c>
      <c r="S1154" s="9">
        <f>IF(R1154="",AVERAGEIF(Table1[Category],Table1[[#This Row],[Category]],Table2[orignal data]),Table2[[#This Row],[orignal data]])</f>
        <v>764.55</v>
      </c>
      <c r="T1154" t="str">
        <f t="shared" ref="T1154:T1217" si="74">IF(COUNTIF($B$2:$B$5000,B1154)&gt;1,"DUPLICATE","UNIQUE")</f>
        <v>UNIQUE</v>
      </c>
      <c r="U1154" t="str">
        <f>IF(ISBLANK(Table1[[#This Row],[SizeOption]]),"NOT AVAILABLE",Table1[[#This Row],[SizeOption]])</f>
        <v>28, 30, 32, 34, 36</v>
      </c>
      <c r="Y1154" t="str">
        <f>IF(Table2[[#This Row],[Column1]]&gt;50%,"HIGH DISCOUNT","LOW DISCOUNT")</f>
        <v>HIGH DISCOUNT</v>
      </c>
    </row>
    <row r="1155" spans="1:25" x14ac:dyDescent="0.25">
      <c r="A1155" s="2" t="s">
        <v>2598</v>
      </c>
      <c r="B1155" s="2">
        <v>9436559</v>
      </c>
      <c r="C1155" s="2" t="s">
        <v>1176</v>
      </c>
      <c r="D1155" s="2" t="s">
        <v>15</v>
      </c>
      <c r="E1155" s="2" t="s">
        <v>23</v>
      </c>
      <c r="F1155" s="2" t="s">
        <v>17</v>
      </c>
      <c r="G1155" s="2" t="s">
        <v>1339</v>
      </c>
      <c r="H1155">
        <v>632</v>
      </c>
      <c r="I1155" s="2">
        <v>1109</v>
      </c>
      <c r="J1155" s="2" t="s">
        <v>509</v>
      </c>
      <c r="K1155" s="2" t="s">
        <v>1341</v>
      </c>
      <c r="L1155" s="2">
        <v>3.6</v>
      </c>
      <c r="M1155" s="2">
        <v>805</v>
      </c>
      <c r="P1155" t="str">
        <f t="shared" ref="P1155:P1218" si="75">TRIM(SUBSTITUTE(SUBSTITUTE(SUBSTITUTE(SUBSTITUTE(J1155,"OFF",""),"Rs.",""),"Hurry*",""),",",""))</f>
        <v>43%</v>
      </c>
      <c r="Q1155" s="12">
        <f t="shared" si="72"/>
        <v>0.43</v>
      </c>
      <c r="R1155" s="9">
        <f t="shared" si="73"/>
        <v>632.13</v>
      </c>
      <c r="S1155" s="9">
        <f>IF(R1155="",AVERAGEIF(Table1[Category],Table1[[#This Row],[Category]],Table2[orignal data]),Table2[[#This Row],[orignal data]])</f>
        <v>632.13</v>
      </c>
      <c r="T1155" t="str">
        <f t="shared" si="74"/>
        <v>UNIQUE</v>
      </c>
      <c r="U1155" t="str">
        <f>IF(ISBLANK(Table1[[#This Row],[SizeOption]]),"NOT AVAILABLE",Table1[[#This Row],[SizeOption]])</f>
        <v>M, L, XL</v>
      </c>
      <c r="Y1155" t="str">
        <f>IF(Table2[[#This Row],[Column1]]&gt;50%,"HIGH DISCOUNT","LOW DISCOUNT")</f>
        <v>LOW DISCOUNT</v>
      </c>
    </row>
    <row r="1156" spans="1:25" x14ac:dyDescent="0.25">
      <c r="A1156" s="1" t="s">
        <v>2599</v>
      </c>
      <c r="B1156" s="1">
        <v>9965811</v>
      </c>
      <c r="C1156" s="1" t="s">
        <v>67</v>
      </c>
      <c r="D1156" s="1" t="s">
        <v>68</v>
      </c>
      <c r="E1156" s="1" t="s">
        <v>306</v>
      </c>
      <c r="F1156" s="1" t="s">
        <v>17</v>
      </c>
      <c r="G1156" s="1" t="s">
        <v>2600</v>
      </c>
      <c r="I1156" s="1">
        <v>1699</v>
      </c>
      <c r="J1156" s="1"/>
      <c r="K1156" s="1" t="s">
        <v>39</v>
      </c>
      <c r="L1156" s="1">
        <v>3.7</v>
      </c>
      <c r="M1156" s="1">
        <v>805</v>
      </c>
      <c r="P1156" t="str">
        <f t="shared" si="75"/>
        <v/>
      </c>
      <c r="Q1156" s="12" t="str">
        <f t="shared" si="72"/>
        <v/>
      </c>
      <c r="R1156" s="9" t="str">
        <f t="shared" si="73"/>
        <v/>
      </c>
      <c r="S1156" s="9">
        <f>IF(R1156="",AVERAGEIF(Table1[Category],Table1[[#This Row],[Category]],Table2[orignal data]),Table2[[#This Row],[orignal data]])</f>
        <v>734.32085365853686</v>
      </c>
      <c r="T1156" t="str">
        <f t="shared" si="74"/>
        <v>UNIQUE</v>
      </c>
      <c r="U1156" t="str">
        <f>IF(ISBLANK(Table1[[#This Row],[SizeOption]]),"NOT AVAILABLE",Table1[[#This Row],[SizeOption]])</f>
        <v>S, M, L, XL, XXL</v>
      </c>
      <c r="Y1156" t="str">
        <f>IF(Table2[[#This Row],[Column1]]&gt;50%,"HIGH DISCOUNT","LOW DISCOUNT")</f>
        <v>HIGH DISCOUNT</v>
      </c>
    </row>
    <row r="1157" spans="1:25" x14ac:dyDescent="0.25">
      <c r="A1157" s="2" t="s">
        <v>2601</v>
      </c>
      <c r="B1157" s="2">
        <v>11896322</v>
      </c>
      <c r="C1157" s="2" t="s">
        <v>14</v>
      </c>
      <c r="D1157" s="2" t="s">
        <v>28</v>
      </c>
      <c r="E1157" s="2" t="s">
        <v>29</v>
      </c>
      <c r="F1157" s="2" t="s">
        <v>17</v>
      </c>
      <c r="G1157" s="2" t="s">
        <v>2602</v>
      </c>
      <c r="H1157">
        <v>799</v>
      </c>
      <c r="I1157" s="2">
        <v>1999</v>
      </c>
      <c r="J1157" s="2" t="s">
        <v>55</v>
      </c>
      <c r="K1157" s="2" t="s">
        <v>253</v>
      </c>
      <c r="L1157" s="2">
        <v>4.3</v>
      </c>
      <c r="M1157" s="2">
        <v>805</v>
      </c>
      <c r="P1157" t="str">
        <f t="shared" si="75"/>
        <v>60%</v>
      </c>
      <c r="Q1157" s="12">
        <f t="shared" si="72"/>
        <v>0.6</v>
      </c>
      <c r="R1157" s="9">
        <f t="shared" si="73"/>
        <v>799.60000000000014</v>
      </c>
      <c r="S1157" s="9">
        <f>IF(R1157="",AVERAGEIF(Table1[Category],Table1[[#This Row],[Category]],Table2[orignal data]),Table2[[#This Row],[orignal data]])</f>
        <v>799.60000000000014</v>
      </c>
      <c r="T1157" t="str">
        <f t="shared" si="74"/>
        <v>UNIQUE</v>
      </c>
      <c r="U1157" t="str">
        <f>IF(ISBLANK(Table1[[#This Row],[SizeOption]]),"NOT AVAILABLE",Table1[[#This Row],[SizeOption]])</f>
        <v>38, 40, 42, 44</v>
      </c>
      <c r="Y1157" t="str">
        <f>IF(Table2[[#This Row],[Column1]]&gt;50%,"HIGH DISCOUNT","LOW DISCOUNT")</f>
        <v>HIGH DISCOUNT</v>
      </c>
    </row>
    <row r="1158" spans="1:25" x14ac:dyDescent="0.25">
      <c r="A1158" s="1" t="s">
        <v>2603</v>
      </c>
      <c r="B1158" s="1">
        <v>2306124</v>
      </c>
      <c r="C1158" s="1" t="s">
        <v>67</v>
      </c>
      <c r="D1158" s="1" t="s">
        <v>68</v>
      </c>
      <c r="E1158" s="1" t="s">
        <v>69</v>
      </c>
      <c r="F1158" s="1" t="s">
        <v>36</v>
      </c>
      <c r="G1158" s="1" t="s">
        <v>2604</v>
      </c>
      <c r="H1158">
        <v>759</v>
      </c>
      <c r="I1158" s="1">
        <v>1899</v>
      </c>
      <c r="J1158" s="1" t="s">
        <v>55</v>
      </c>
      <c r="K1158" s="1" t="s">
        <v>115</v>
      </c>
      <c r="L1158" s="1">
        <v>4.4000000000000004</v>
      </c>
      <c r="M1158" s="1">
        <v>805</v>
      </c>
      <c r="P1158" t="str">
        <f t="shared" si="75"/>
        <v>60%</v>
      </c>
      <c r="Q1158" s="12">
        <f t="shared" si="72"/>
        <v>0.6</v>
      </c>
      <c r="R1158" s="9">
        <f t="shared" si="73"/>
        <v>759.60000000000014</v>
      </c>
      <c r="S1158" s="9">
        <f>IF(R1158="",AVERAGEIF(Table1[Category],Table1[[#This Row],[Category]],Table2[orignal data]),Table2[[#This Row],[orignal data]])</f>
        <v>759.60000000000014</v>
      </c>
      <c r="T1158" t="str">
        <f t="shared" si="74"/>
        <v>UNIQUE</v>
      </c>
      <c r="U1158" t="str">
        <f>IF(ISBLANK(Table1[[#This Row],[SizeOption]]),"NOT AVAILABLE",Table1[[#This Row],[SizeOption]])</f>
        <v>XS, S, M, L, XL, XXL</v>
      </c>
      <c r="Y1158" t="str">
        <f>IF(Table2[[#This Row],[Column1]]&gt;50%,"HIGH DISCOUNT","LOW DISCOUNT")</f>
        <v>HIGH DISCOUNT</v>
      </c>
    </row>
    <row r="1159" spans="1:25" x14ac:dyDescent="0.25">
      <c r="A1159" s="2" t="s">
        <v>2605</v>
      </c>
      <c r="B1159" s="2">
        <v>11118554</v>
      </c>
      <c r="C1159" s="2" t="s">
        <v>14</v>
      </c>
      <c r="D1159" s="2" t="s">
        <v>41</v>
      </c>
      <c r="E1159" s="2" t="s">
        <v>16</v>
      </c>
      <c r="F1159" s="2" t="s">
        <v>36</v>
      </c>
      <c r="G1159" s="2" t="s">
        <v>2606</v>
      </c>
      <c r="I1159" s="2">
        <v>1599</v>
      </c>
      <c r="J1159" s="2" t="s">
        <v>19</v>
      </c>
      <c r="K1159" s="2" t="s">
        <v>134</v>
      </c>
      <c r="L1159" s="2">
        <v>4.4000000000000004</v>
      </c>
      <c r="M1159" s="2">
        <v>805</v>
      </c>
      <c r="P1159" t="str">
        <f t="shared" si="75"/>
        <v>45%</v>
      </c>
      <c r="Q1159" s="12">
        <f t="shared" si="72"/>
        <v>0.45</v>
      </c>
      <c r="R1159" s="9">
        <f t="shared" si="73"/>
        <v>879.44999999999993</v>
      </c>
      <c r="S1159" s="9">
        <f>IF(R1159="",AVERAGEIF(Table1[Category],Table1[[#This Row],[Category]],Table2[orignal data]),Table2[[#This Row],[orignal data]])</f>
        <v>879.44999999999993</v>
      </c>
      <c r="T1159" t="str">
        <f t="shared" si="74"/>
        <v>UNIQUE</v>
      </c>
      <c r="U1159" t="str">
        <f>IF(ISBLANK(Table1[[#This Row],[SizeOption]]),"NOT AVAILABLE",Table1[[#This Row],[SizeOption]])</f>
        <v>26, 28, 30, 32, 34, 36</v>
      </c>
      <c r="Y1159" t="str">
        <f>IF(Table2[[#This Row],[Column1]]&gt;50%,"HIGH DISCOUNT","LOW DISCOUNT")</f>
        <v>LOW DISCOUNT</v>
      </c>
    </row>
    <row r="1160" spans="1:25" x14ac:dyDescent="0.25">
      <c r="A1160" s="1" t="s">
        <v>2607</v>
      </c>
      <c r="B1160" s="1">
        <v>9339903</v>
      </c>
      <c r="C1160" s="1" t="s">
        <v>676</v>
      </c>
      <c r="D1160" s="1" t="s">
        <v>41</v>
      </c>
      <c r="E1160" s="1" t="s">
        <v>48</v>
      </c>
      <c r="F1160" s="1" t="s">
        <v>36</v>
      </c>
      <c r="G1160" s="1" t="s">
        <v>2417</v>
      </c>
      <c r="I1160" s="1">
        <v>1998</v>
      </c>
      <c r="J1160" s="1" t="s">
        <v>84</v>
      </c>
      <c r="K1160" s="1" t="s">
        <v>26</v>
      </c>
      <c r="L1160" s="1">
        <v>4.2</v>
      </c>
      <c r="M1160" s="1">
        <v>805</v>
      </c>
      <c r="P1160" t="str">
        <f t="shared" si="75"/>
        <v>50%</v>
      </c>
      <c r="Q1160" s="12">
        <f t="shared" si="72"/>
        <v>0.5</v>
      </c>
      <c r="R1160" s="9">
        <f t="shared" si="73"/>
        <v>999</v>
      </c>
      <c r="S1160" s="9">
        <f>IF(R1160="",AVERAGEIF(Table1[Category],Table1[[#This Row],[Category]],Table2[orignal data]),Table2[[#This Row],[orignal data]])</f>
        <v>999</v>
      </c>
      <c r="T1160" t="str">
        <f t="shared" si="74"/>
        <v>UNIQUE</v>
      </c>
      <c r="U1160" t="str">
        <f>IF(ISBLANK(Table1[[#This Row],[SizeOption]]),"NOT AVAILABLE",Table1[[#This Row],[SizeOption]])</f>
        <v>S, M, L, XL</v>
      </c>
      <c r="Y1160" t="str">
        <f>IF(Table2[[#This Row],[Column1]]&gt;50%,"HIGH DISCOUNT","LOW DISCOUNT")</f>
        <v>LOW DISCOUNT</v>
      </c>
    </row>
    <row r="1161" spans="1:25" x14ac:dyDescent="0.25">
      <c r="A1161" s="2" t="s">
        <v>2608</v>
      </c>
      <c r="B1161" s="2">
        <v>10085971</v>
      </c>
      <c r="C1161" s="2" t="s">
        <v>102</v>
      </c>
      <c r="D1161" s="2" t="s">
        <v>41</v>
      </c>
      <c r="E1161" s="2" t="s">
        <v>148</v>
      </c>
      <c r="F1161" s="2" t="s">
        <v>36</v>
      </c>
      <c r="G1161" s="2" t="s">
        <v>2609</v>
      </c>
      <c r="I1161" s="2">
        <v>1999</v>
      </c>
      <c r="J1161" s="2" t="s">
        <v>758</v>
      </c>
      <c r="K1161" s="2" t="s">
        <v>26</v>
      </c>
      <c r="L1161" s="2">
        <v>4.0999999999999996</v>
      </c>
      <c r="M1161" s="2">
        <v>805</v>
      </c>
      <c r="P1161" t="str">
        <f t="shared" si="75"/>
        <v>47%</v>
      </c>
      <c r="Q1161" s="12">
        <f t="shared" si="72"/>
        <v>0.47</v>
      </c>
      <c r="R1161" s="9">
        <f t="shared" si="73"/>
        <v>1059.47</v>
      </c>
      <c r="S1161" s="9">
        <f>IF(R1161="",AVERAGEIF(Table1[Category],Table1[[#This Row],[Category]],Table2[orignal data]),Table2[[#This Row],[orignal data]])</f>
        <v>1059.47</v>
      </c>
      <c r="T1161" t="str">
        <f t="shared" si="74"/>
        <v>UNIQUE</v>
      </c>
      <c r="U1161" t="str">
        <f>IF(ISBLANK(Table1[[#This Row],[SizeOption]]),"NOT AVAILABLE",Table1[[#This Row],[SizeOption]])</f>
        <v>S, M, L, XL</v>
      </c>
      <c r="Y1161" t="str">
        <f>IF(Table2[[#This Row],[Column1]]&gt;50%,"HIGH DISCOUNT","LOW DISCOUNT")</f>
        <v>LOW DISCOUNT</v>
      </c>
    </row>
    <row r="1162" spans="1:25" x14ac:dyDescent="0.25">
      <c r="A1162" s="1" t="s">
        <v>2610</v>
      </c>
      <c r="B1162" s="1">
        <v>8584061</v>
      </c>
      <c r="C1162" s="1" t="s">
        <v>952</v>
      </c>
      <c r="D1162" s="1" t="s">
        <v>41</v>
      </c>
      <c r="E1162" s="1" t="s">
        <v>148</v>
      </c>
      <c r="F1162" s="1" t="s">
        <v>36</v>
      </c>
      <c r="G1162" s="1" t="s">
        <v>2611</v>
      </c>
      <c r="I1162" s="1">
        <v>2149</v>
      </c>
      <c r="J1162" s="1" t="s">
        <v>55</v>
      </c>
      <c r="K1162" s="1" t="s">
        <v>45</v>
      </c>
      <c r="L1162" s="1">
        <v>4.5</v>
      </c>
      <c r="M1162" s="1">
        <v>805</v>
      </c>
      <c r="P1162" t="str">
        <f t="shared" si="75"/>
        <v>60%</v>
      </c>
      <c r="Q1162" s="12">
        <f t="shared" si="72"/>
        <v>0.6</v>
      </c>
      <c r="R1162" s="9">
        <f t="shared" si="73"/>
        <v>859.60000000000014</v>
      </c>
      <c r="S1162" s="9">
        <f>IF(R1162="",AVERAGEIF(Table1[Category],Table1[[#This Row],[Category]],Table2[orignal data]),Table2[[#This Row],[orignal data]])</f>
        <v>859.60000000000014</v>
      </c>
      <c r="T1162" t="str">
        <f t="shared" si="74"/>
        <v>UNIQUE</v>
      </c>
      <c r="U1162" t="str">
        <f>IF(ISBLANK(Table1[[#This Row],[SizeOption]]),"NOT AVAILABLE",Table1[[#This Row],[SizeOption]])</f>
        <v>XS, S, M, L, XL</v>
      </c>
      <c r="Y1162" t="str">
        <f>IF(Table2[[#This Row],[Column1]]&gt;50%,"HIGH DISCOUNT","LOW DISCOUNT")</f>
        <v>HIGH DISCOUNT</v>
      </c>
    </row>
    <row r="1163" spans="1:25" x14ac:dyDescent="0.25">
      <c r="A1163" s="2" t="s">
        <v>2612</v>
      </c>
      <c r="B1163" s="2">
        <v>8897777</v>
      </c>
      <c r="C1163" s="2" t="s">
        <v>67</v>
      </c>
      <c r="D1163" s="2" t="s">
        <v>15</v>
      </c>
      <c r="E1163" s="2" t="s">
        <v>23</v>
      </c>
      <c r="F1163" s="2" t="s">
        <v>17</v>
      </c>
      <c r="G1163" s="2" t="s">
        <v>2613</v>
      </c>
      <c r="I1163" s="2">
        <v>1899</v>
      </c>
      <c r="J1163" s="2"/>
      <c r="K1163" s="2" t="s">
        <v>39</v>
      </c>
      <c r="L1163" s="2">
        <v>4.0999999999999996</v>
      </c>
      <c r="M1163" s="2">
        <v>804</v>
      </c>
      <c r="P1163" t="str">
        <f t="shared" si="75"/>
        <v/>
      </c>
      <c r="Q1163" s="12" t="str">
        <f t="shared" si="72"/>
        <v/>
      </c>
      <c r="R1163" s="9" t="str">
        <f t="shared" si="73"/>
        <v/>
      </c>
      <c r="S1163" s="9">
        <f>IF(R1163="",AVERAGEIF(Table1[Category],Table1[[#This Row],[Category]],Table2[orignal data]),Table2[[#This Row],[orignal data]])</f>
        <v>892.27590339892538</v>
      </c>
      <c r="T1163" t="str">
        <f t="shared" si="74"/>
        <v>UNIQUE</v>
      </c>
      <c r="U1163" t="str">
        <f>IF(ISBLANK(Table1[[#This Row],[SizeOption]]),"NOT AVAILABLE",Table1[[#This Row],[SizeOption]])</f>
        <v>S, M, L, XL, XXL</v>
      </c>
      <c r="Y1163" t="str">
        <f>IF(Table2[[#This Row],[Column1]]&gt;50%,"HIGH DISCOUNT","LOW DISCOUNT")</f>
        <v>HIGH DISCOUNT</v>
      </c>
    </row>
    <row r="1164" spans="1:25" x14ac:dyDescent="0.25">
      <c r="A1164" s="1" t="s">
        <v>2614</v>
      </c>
      <c r="B1164" s="1">
        <v>14121284</v>
      </c>
      <c r="C1164" s="1" t="s">
        <v>52</v>
      </c>
      <c r="D1164" s="1" t="s">
        <v>15</v>
      </c>
      <c r="E1164" s="1" t="s">
        <v>23</v>
      </c>
      <c r="F1164" s="1" t="s">
        <v>17</v>
      </c>
      <c r="G1164" s="1" t="s">
        <v>2615</v>
      </c>
      <c r="H1164">
        <v>512</v>
      </c>
      <c r="I1164" s="1">
        <v>899</v>
      </c>
      <c r="J1164" s="1" t="s">
        <v>509</v>
      </c>
      <c r="K1164" s="1" t="s">
        <v>26</v>
      </c>
      <c r="L1164" s="1">
        <v>4.0999999999999996</v>
      </c>
      <c r="M1164" s="1">
        <v>804</v>
      </c>
      <c r="P1164" t="str">
        <f t="shared" si="75"/>
        <v>43%</v>
      </c>
      <c r="Q1164" s="12">
        <f t="shared" si="72"/>
        <v>0.43</v>
      </c>
      <c r="R1164" s="9">
        <f t="shared" si="73"/>
        <v>512.43000000000006</v>
      </c>
      <c r="S1164" s="9">
        <f>IF(R1164="",AVERAGEIF(Table1[Category],Table1[[#This Row],[Category]],Table2[orignal data]),Table2[[#This Row],[orignal data]])</f>
        <v>512.43000000000006</v>
      </c>
      <c r="T1164" t="str">
        <f t="shared" si="74"/>
        <v>UNIQUE</v>
      </c>
      <c r="U1164" t="str">
        <f>IF(ISBLANK(Table1[[#This Row],[SizeOption]]),"NOT AVAILABLE",Table1[[#This Row],[SizeOption]])</f>
        <v>S, M, L, XL</v>
      </c>
      <c r="Y1164" t="str">
        <f>IF(Table2[[#This Row],[Column1]]&gt;50%,"HIGH DISCOUNT","LOW DISCOUNT")</f>
        <v>LOW DISCOUNT</v>
      </c>
    </row>
    <row r="1165" spans="1:25" x14ac:dyDescent="0.25">
      <c r="A1165" s="2" t="s">
        <v>2616</v>
      </c>
      <c r="B1165" s="2">
        <v>1709446</v>
      </c>
      <c r="C1165" s="2" t="s">
        <v>67</v>
      </c>
      <c r="D1165" s="2" t="s">
        <v>68</v>
      </c>
      <c r="E1165" s="2" t="s">
        <v>42</v>
      </c>
      <c r="F1165" s="2" t="s">
        <v>17</v>
      </c>
      <c r="G1165" s="2" t="s">
        <v>2617</v>
      </c>
      <c r="H1165">
        <v>494</v>
      </c>
      <c r="I1165" s="2">
        <v>1099</v>
      </c>
      <c r="J1165" s="2" t="s">
        <v>25</v>
      </c>
      <c r="K1165" s="2" t="s">
        <v>39</v>
      </c>
      <c r="L1165" s="2">
        <v>4.2</v>
      </c>
      <c r="M1165" s="2">
        <v>804</v>
      </c>
      <c r="P1165" t="str">
        <f t="shared" si="75"/>
        <v>55%</v>
      </c>
      <c r="Q1165" s="12">
        <f t="shared" si="72"/>
        <v>0.55000000000000004</v>
      </c>
      <c r="R1165" s="9">
        <f t="shared" si="73"/>
        <v>494.54999999999995</v>
      </c>
      <c r="S1165" s="9">
        <f>IF(R1165="",AVERAGEIF(Table1[Category],Table1[[#This Row],[Category]],Table2[orignal data]),Table2[[#This Row],[orignal data]])</f>
        <v>494.54999999999995</v>
      </c>
      <c r="T1165" t="str">
        <f t="shared" si="74"/>
        <v>UNIQUE</v>
      </c>
      <c r="U1165" t="str">
        <f>IF(ISBLANK(Table1[[#This Row],[SizeOption]]),"NOT AVAILABLE",Table1[[#This Row],[SizeOption]])</f>
        <v>S, M, L, XL, XXL</v>
      </c>
      <c r="Y1165" t="str">
        <f>IF(Table2[[#This Row],[Column1]]&gt;50%,"HIGH DISCOUNT","LOW DISCOUNT")</f>
        <v>HIGH DISCOUNT</v>
      </c>
    </row>
    <row r="1166" spans="1:25" x14ac:dyDescent="0.25">
      <c r="A1166" s="1" t="s">
        <v>2618</v>
      </c>
      <c r="B1166" s="1">
        <v>8237313</v>
      </c>
      <c r="C1166" s="1" t="s">
        <v>52</v>
      </c>
      <c r="D1166" s="1" t="s">
        <v>28</v>
      </c>
      <c r="E1166" s="1" t="s">
        <v>29</v>
      </c>
      <c r="F1166" s="1" t="s">
        <v>17</v>
      </c>
      <c r="G1166" s="1" t="s">
        <v>2619</v>
      </c>
      <c r="H1166">
        <v>443</v>
      </c>
      <c r="I1166" s="1">
        <v>1199</v>
      </c>
      <c r="J1166" s="1" t="s">
        <v>476</v>
      </c>
      <c r="K1166" s="1" t="s">
        <v>90</v>
      </c>
      <c r="L1166" s="1">
        <v>4.3</v>
      </c>
      <c r="M1166" s="1">
        <v>804</v>
      </c>
      <c r="P1166" t="str">
        <f t="shared" si="75"/>
        <v>63%</v>
      </c>
      <c r="Q1166" s="12">
        <f t="shared" si="72"/>
        <v>0.63</v>
      </c>
      <c r="R1166" s="9">
        <f t="shared" si="73"/>
        <v>443.63</v>
      </c>
      <c r="S1166" s="9">
        <f>IF(R1166="",AVERAGEIF(Table1[Category],Table1[[#This Row],[Category]],Table2[orignal data]),Table2[[#This Row],[orignal data]])</f>
        <v>443.63</v>
      </c>
      <c r="T1166" t="str">
        <f t="shared" si="74"/>
        <v>UNIQUE</v>
      </c>
      <c r="U1166" t="str">
        <f>IF(ISBLANK(Table1[[#This Row],[SizeOption]]),"NOT AVAILABLE",Table1[[#This Row],[SizeOption]])</f>
        <v>39, 40, 42, 44</v>
      </c>
      <c r="Y1166" t="str">
        <f>IF(Table2[[#This Row],[Column1]]&gt;50%,"HIGH DISCOUNT","LOW DISCOUNT")</f>
        <v>HIGH DISCOUNT</v>
      </c>
    </row>
    <row r="1167" spans="1:25" x14ac:dyDescent="0.25">
      <c r="A1167" s="2" t="s">
        <v>2620</v>
      </c>
      <c r="B1167" s="2">
        <v>16600750</v>
      </c>
      <c r="C1167" s="2" t="s">
        <v>1024</v>
      </c>
      <c r="D1167" s="2" t="s">
        <v>76</v>
      </c>
      <c r="E1167" s="2" t="s">
        <v>77</v>
      </c>
      <c r="F1167" s="2" t="s">
        <v>36</v>
      </c>
      <c r="G1167" s="2" t="s">
        <v>2621</v>
      </c>
      <c r="H1167">
        <v>974</v>
      </c>
      <c r="I1167" s="2">
        <v>3748</v>
      </c>
      <c r="J1167" s="2" t="s">
        <v>2469</v>
      </c>
      <c r="K1167" s="2" t="s">
        <v>73</v>
      </c>
      <c r="L1167" s="2">
        <v>4.0999999999999996</v>
      </c>
      <c r="M1167" s="2">
        <v>804</v>
      </c>
      <c r="P1167" t="str">
        <f t="shared" si="75"/>
        <v>74%</v>
      </c>
      <c r="Q1167" s="12">
        <f t="shared" si="72"/>
        <v>0.74</v>
      </c>
      <c r="R1167" s="9">
        <f t="shared" si="73"/>
        <v>974.48</v>
      </c>
      <c r="S1167" s="9">
        <f>IF(R1167="",AVERAGEIF(Table1[Category],Table1[[#This Row],[Category]],Table2[orignal data]),Table2[[#This Row],[orignal data]])</f>
        <v>974.48</v>
      </c>
      <c r="T1167" t="str">
        <f t="shared" si="74"/>
        <v>UNIQUE</v>
      </c>
      <c r="U1167" t="str">
        <f>IF(ISBLANK(Table1[[#This Row],[SizeOption]]),"NOT AVAILABLE",Table1[[#This Row],[SizeOption]])</f>
        <v>XS, S, M, L, XL, XXL, 3XL, 4XL</v>
      </c>
      <c r="Y1167" t="str">
        <f>IF(Table2[[#This Row],[Column1]]&gt;50%,"HIGH DISCOUNT","LOW DISCOUNT")</f>
        <v>HIGH DISCOUNT</v>
      </c>
    </row>
    <row r="1168" spans="1:25" x14ac:dyDescent="0.25">
      <c r="A1168" s="1" t="s">
        <v>2622</v>
      </c>
      <c r="B1168" s="1">
        <v>2354860</v>
      </c>
      <c r="C1168" s="1" t="s">
        <v>107</v>
      </c>
      <c r="D1168" s="1" t="s">
        <v>41</v>
      </c>
      <c r="E1168" s="1" t="s">
        <v>148</v>
      </c>
      <c r="F1168" s="1" t="s">
        <v>36</v>
      </c>
      <c r="G1168" s="1" t="s">
        <v>2623</v>
      </c>
      <c r="I1168" s="1">
        <v>2099</v>
      </c>
      <c r="J1168" s="1" t="s">
        <v>19</v>
      </c>
      <c r="K1168" s="1" t="s">
        <v>45</v>
      </c>
      <c r="L1168" s="1">
        <v>4.0999999999999996</v>
      </c>
      <c r="M1168" s="1">
        <v>804</v>
      </c>
      <c r="P1168" t="str">
        <f t="shared" si="75"/>
        <v>45%</v>
      </c>
      <c r="Q1168" s="12">
        <f t="shared" si="72"/>
        <v>0.45</v>
      </c>
      <c r="R1168" s="9">
        <f t="shared" si="73"/>
        <v>1154.4499999999998</v>
      </c>
      <c r="S1168" s="9">
        <f>IF(R1168="",AVERAGEIF(Table1[Category],Table1[[#This Row],[Category]],Table2[orignal data]),Table2[[#This Row],[orignal data]])</f>
        <v>1154.4499999999998</v>
      </c>
      <c r="T1168" t="str">
        <f t="shared" si="74"/>
        <v>UNIQUE</v>
      </c>
      <c r="U1168" t="str">
        <f>IF(ISBLANK(Table1[[#This Row],[SizeOption]]),"NOT AVAILABLE",Table1[[#This Row],[SizeOption]])</f>
        <v>XS, S, M, L, XL</v>
      </c>
      <c r="Y1168" t="str">
        <f>IF(Table2[[#This Row],[Column1]]&gt;50%,"HIGH DISCOUNT","LOW DISCOUNT")</f>
        <v>LOW DISCOUNT</v>
      </c>
    </row>
    <row r="1169" spans="1:25" x14ac:dyDescent="0.25">
      <c r="A1169" s="2" t="s">
        <v>2624</v>
      </c>
      <c r="B1169" s="2">
        <v>10075727</v>
      </c>
      <c r="C1169" s="2" t="s">
        <v>952</v>
      </c>
      <c r="D1169" s="2" t="s">
        <v>41</v>
      </c>
      <c r="E1169" s="2" t="s">
        <v>16</v>
      </c>
      <c r="F1169" s="2" t="s">
        <v>36</v>
      </c>
      <c r="G1169" s="2" t="s">
        <v>2625</v>
      </c>
      <c r="I1169" s="2">
        <v>2299</v>
      </c>
      <c r="J1169" s="2" t="s">
        <v>84</v>
      </c>
      <c r="K1169" s="2" t="s">
        <v>428</v>
      </c>
      <c r="L1169" s="2">
        <v>4.0999999999999996</v>
      </c>
      <c r="M1169" s="2">
        <v>804</v>
      </c>
      <c r="P1169" t="str">
        <f t="shared" si="75"/>
        <v>50%</v>
      </c>
      <c r="Q1169" s="12">
        <f t="shared" si="72"/>
        <v>0.5</v>
      </c>
      <c r="R1169" s="9">
        <f t="shared" si="73"/>
        <v>1149.5</v>
      </c>
      <c r="S1169" s="9">
        <f>IF(R1169="",AVERAGEIF(Table1[Category],Table1[[#This Row],[Category]],Table2[orignal data]),Table2[[#This Row],[orignal data]])</f>
        <v>1149.5</v>
      </c>
      <c r="T1169" t="str">
        <f t="shared" si="74"/>
        <v>UNIQUE</v>
      </c>
      <c r="U1169" t="str">
        <f>IF(ISBLANK(Table1[[#This Row],[SizeOption]]),"NOT AVAILABLE",Table1[[#This Row],[SizeOption]])</f>
        <v>26, 28, 30, 32, 34</v>
      </c>
      <c r="Y1169" t="str">
        <f>IF(Table2[[#This Row],[Column1]]&gt;50%,"HIGH DISCOUNT","LOW DISCOUNT")</f>
        <v>LOW DISCOUNT</v>
      </c>
    </row>
    <row r="1170" spans="1:25" x14ac:dyDescent="0.25">
      <c r="A1170" s="1" t="s">
        <v>2626</v>
      </c>
      <c r="B1170" s="1">
        <v>12671256</v>
      </c>
      <c r="C1170" s="1" t="s">
        <v>841</v>
      </c>
      <c r="D1170" s="1" t="s">
        <v>41</v>
      </c>
      <c r="E1170" s="1" t="s">
        <v>23</v>
      </c>
      <c r="F1170" s="1" t="s">
        <v>36</v>
      </c>
      <c r="G1170" s="1" t="s">
        <v>2627</v>
      </c>
      <c r="I1170" s="1">
        <v>999</v>
      </c>
      <c r="J1170" s="1" t="s">
        <v>528</v>
      </c>
      <c r="K1170" s="1" t="s">
        <v>26</v>
      </c>
      <c r="L1170" s="1">
        <v>4.2</v>
      </c>
      <c r="M1170" s="1">
        <v>804</v>
      </c>
      <c r="P1170" t="str">
        <f t="shared" si="75"/>
        <v>500</v>
      </c>
      <c r="Q1170" s="12">
        <f t="shared" si="72"/>
        <v>0.50050050050050054</v>
      </c>
      <c r="R1170" s="9">
        <f t="shared" si="73"/>
        <v>498.99999999999994</v>
      </c>
      <c r="S1170" s="9">
        <f>IF(R1170="",AVERAGEIF(Table1[Category],Table1[[#This Row],[Category]],Table2[orignal data]),Table2[[#This Row],[orignal data]])</f>
        <v>498.99999999999994</v>
      </c>
      <c r="T1170" t="str">
        <f t="shared" si="74"/>
        <v>UNIQUE</v>
      </c>
      <c r="U1170" t="str">
        <f>IF(ISBLANK(Table1[[#This Row],[SizeOption]]),"NOT AVAILABLE",Table1[[#This Row],[SizeOption]])</f>
        <v>S, M, L, XL</v>
      </c>
      <c r="Y1170" t="str">
        <f>IF(Table2[[#This Row],[Column1]]&gt;50%,"HIGH DISCOUNT","LOW DISCOUNT")</f>
        <v>HIGH DISCOUNT</v>
      </c>
    </row>
    <row r="1171" spans="1:25" x14ac:dyDescent="0.25">
      <c r="A1171" s="2" t="s">
        <v>2628</v>
      </c>
      <c r="B1171" s="2">
        <v>2119006</v>
      </c>
      <c r="C1171" s="2" t="s">
        <v>14</v>
      </c>
      <c r="D1171" s="2" t="s">
        <v>15</v>
      </c>
      <c r="E1171" s="2" t="s">
        <v>53</v>
      </c>
      <c r="F1171" s="2" t="s">
        <v>17</v>
      </c>
      <c r="G1171" s="2" t="s">
        <v>2629</v>
      </c>
      <c r="H1171">
        <v>879</v>
      </c>
      <c r="I1171" s="2">
        <v>2199</v>
      </c>
      <c r="J1171" s="2" t="s">
        <v>55</v>
      </c>
      <c r="K1171" s="2" t="s">
        <v>20</v>
      </c>
      <c r="L1171" s="2">
        <v>3.9</v>
      </c>
      <c r="M1171" s="2">
        <v>803</v>
      </c>
      <c r="P1171" t="str">
        <f t="shared" si="75"/>
        <v>60%</v>
      </c>
      <c r="Q1171" s="12">
        <f t="shared" si="72"/>
        <v>0.6</v>
      </c>
      <c r="R1171" s="9">
        <f t="shared" si="73"/>
        <v>879.60000000000014</v>
      </c>
      <c r="S1171" s="9">
        <f>IF(R1171="",AVERAGEIF(Table1[Category],Table1[[#This Row],[Category]],Table2[orignal data]),Table2[[#This Row],[orignal data]])</f>
        <v>879.60000000000014</v>
      </c>
      <c r="T1171" t="str">
        <f t="shared" si="74"/>
        <v>UNIQUE</v>
      </c>
      <c r="U1171" t="str">
        <f>IF(ISBLANK(Table1[[#This Row],[SizeOption]]),"NOT AVAILABLE",Table1[[#This Row],[SizeOption]])</f>
        <v>28, 30, 32, 34, 36</v>
      </c>
      <c r="Y1171" t="str">
        <f>IF(Table2[[#This Row],[Column1]]&gt;50%,"HIGH DISCOUNT","LOW DISCOUNT")</f>
        <v>HIGH DISCOUNT</v>
      </c>
    </row>
    <row r="1172" spans="1:25" x14ac:dyDescent="0.25">
      <c r="A1172" s="1" t="s">
        <v>2630</v>
      </c>
      <c r="B1172" s="1">
        <v>11008588</v>
      </c>
      <c r="C1172" s="1" t="s">
        <v>14</v>
      </c>
      <c r="D1172" s="1" t="s">
        <v>28</v>
      </c>
      <c r="E1172" s="1" t="s">
        <v>29</v>
      </c>
      <c r="F1172" s="1" t="s">
        <v>17</v>
      </c>
      <c r="G1172" s="1" t="s">
        <v>2631</v>
      </c>
      <c r="H1172">
        <v>899</v>
      </c>
      <c r="I1172" s="1">
        <v>1499</v>
      </c>
      <c r="J1172" s="1" t="s">
        <v>50</v>
      </c>
      <c r="K1172" s="1" t="s">
        <v>253</v>
      </c>
      <c r="L1172" s="1">
        <v>4.4000000000000004</v>
      </c>
      <c r="M1172" s="1">
        <v>803</v>
      </c>
      <c r="P1172" t="str">
        <f t="shared" si="75"/>
        <v>40%</v>
      </c>
      <c r="Q1172" s="12">
        <f t="shared" si="72"/>
        <v>0.4</v>
      </c>
      <c r="R1172" s="9">
        <f t="shared" si="73"/>
        <v>899.4</v>
      </c>
      <c r="S1172" s="9">
        <f>IF(R1172="",AVERAGEIF(Table1[Category],Table1[[#This Row],[Category]],Table2[orignal data]),Table2[[#This Row],[orignal data]])</f>
        <v>899.4</v>
      </c>
      <c r="T1172" t="str">
        <f t="shared" si="74"/>
        <v>UNIQUE</v>
      </c>
      <c r="U1172" t="str">
        <f>IF(ISBLANK(Table1[[#This Row],[SizeOption]]),"NOT AVAILABLE",Table1[[#This Row],[SizeOption]])</f>
        <v>38, 40, 42, 44</v>
      </c>
      <c r="Y1172" t="str">
        <f>IF(Table2[[#This Row],[Column1]]&gt;50%,"HIGH DISCOUNT","LOW DISCOUNT")</f>
        <v>LOW DISCOUNT</v>
      </c>
    </row>
    <row r="1173" spans="1:25" x14ac:dyDescent="0.25">
      <c r="A1173" s="2" t="s">
        <v>2632</v>
      </c>
      <c r="B1173" s="2">
        <v>10410142</v>
      </c>
      <c r="C1173" s="2" t="s">
        <v>169</v>
      </c>
      <c r="D1173" s="2" t="s">
        <v>28</v>
      </c>
      <c r="E1173" s="2" t="s">
        <v>29</v>
      </c>
      <c r="F1173" s="2" t="s">
        <v>17</v>
      </c>
      <c r="G1173" s="2" t="s">
        <v>2633</v>
      </c>
      <c r="H1173">
        <v>1264</v>
      </c>
      <c r="I1173" s="2">
        <v>2299</v>
      </c>
      <c r="J1173" s="2" t="s">
        <v>19</v>
      </c>
      <c r="K1173" s="2" t="s">
        <v>484</v>
      </c>
      <c r="L1173" s="2">
        <v>4.4000000000000004</v>
      </c>
      <c r="M1173" s="2">
        <v>803</v>
      </c>
      <c r="P1173" t="str">
        <f t="shared" si="75"/>
        <v>45%</v>
      </c>
      <c r="Q1173" s="12">
        <f t="shared" si="72"/>
        <v>0.45</v>
      </c>
      <c r="R1173" s="9">
        <f t="shared" si="73"/>
        <v>1264.45</v>
      </c>
      <c r="S1173" s="9">
        <f>IF(R1173="",AVERAGEIF(Table1[Category],Table1[[#This Row],[Category]],Table2[orignal data]),Table2[[#This Row],[orignal data]])</f>
        <v>1264.45</v>
      </c>
      <c r="T1173" t="str">
        <f t="shared" si="74"/>
        <v>UNIQUE</v>
      </c>
      <c r="U1173" t="str">
        <f>IF(ISBLANK(Table1[[#This Row],[SizeOption]]),"NOT AVAILABLE",Table1[[#This Row],[SizeOption]])</f>
        <v>39, 40, 42, 44, 46</v>
      </c>
      <c r="Y1173" t="str">
        <f>IF(Table2[[#This Row],[Column1]]&gt;50%,"HIGH DISCOUNT","LOW DISCOUNT")</f>
        <v>LOW DISCOUNT</v>
      </c>
    </row>
    <row r="1174" spans="1:25" x14ac:dyDescent="0.25">
      <c r="A1174" s="1" t="s">
        <v>2634</v>
      </c>
      <c r="B1174" s="1">
        <v>8426385</v>
      </c>
      <c r="C1174" s="1" t="s">
        <v>169</v>
      </c>
      <c r="D1174" s="1" t="s">
        <v>28</v>
      </c>
      <c r="E1174" s="1" t="s">
        <v>42</v>
      </c>
      <c r="F1174" s="1" t="s">
        <v>17</v>
      </c>
      <c r="G1174" s="1" t="s">
        <v>2635</v>
      </c>
      <c r="H1174">
        <v>499</v>
      </c>
      <c r="I1174" s="1">
        <v>999</v>
      </c>
      <c r="J1174" s="1" t="s">
        <v>84</v>
      </c>
      <c r="K1174" s="1" t="s">
        <v>39</v>
      </c>
      <c r="L1174" s="1">
        <v>4.3</v>
      </c>
      <c r="M1174" s="1">
        <v>803</v>
      </c>
      <c r="P1174" t="str">
        <f t="shared" si="75"/>
        <v>50%</v>
      </c>
      <c r="Q1174" s="12">
        <f t="shared" si="72"/>
        <v>0.5</v>
      </c>
      <c r="R1174" s="9">
        <f t="shared" si="73"/>
        <v>499.5</v>
      </c>
      <c r="S1174" s="9">
        <f>IF(R1174="",AVERAGEIF(Table1[Category],Table1[[#This Row],[Category]],Table2[orignal data]),Table2[[#This Row],[orignal data]])</f>
        <v>499.5</v>
      </c>
      <c r="T1174" t="str">
        <f t="shared" si="74"/>
        <v>UNIQUE</v>
      </c>
      <c r="U1174" t="str">
        <f>IF(ISBLANK(Table1[[#This Row],[SizeOption]]),"NOT AVAILABLE",Table1[[#This Row],[SizeOption]])</f>
        <v>S, M, L, XL, XXL</v>
      </c>
      <c r="Y1174" t="str">
        <f>IF(Table2[[#This Row],[Column1]]&gt;50%,"HIGH DISCOUNT","LOW DISCOUNT")</f>
        <v>LOW DISCOUNT</v>
      </c>
    </row>
    <row r="1175" spans="1:25" x14ac:dyDescent="0.25">
      <c r="A1175" s="2" t="s">
        <v>2636</v>
      </c>
      <c r="B1175" s="2">
        <v>17523506</v>
      </c>
      <c r="C1175" s="2" t="s">
        <v>47</v>
      </c>
      <c r="D1175" s="2" t="s">
        <v>41</v>
      </c>
      <c r="E1175" s="2" t="s">
        <v>42</v>
      </c>
      <c r="F1175" s="2" t="s">
        <v>36</v>
      </c>
      <c r="G1175" s="2" t="s">
        <v>2637</v>
      </c>
      <c r="I1175" s="2">
        <v>1398</v>
      </c>
      <c r="J1175" s="2" t="s">
        <v>84</v>
      </c>
      <c r="K1175" s="2" t="s">
        <v>45</v>
      </c>
      <c r="L1175" s="2">
        <v>4.3</v>
      </c>
      <c r="M1175" s="2">
        <v>803</v>
      </c>
      <c r="P1175" t="str">
        <f t="shared" si="75"/>
        <v>50%</v>
      </c>
      <c r="Q1175" s="12">
        <f t="shared" si="72"/>
        <v>0.5</v>
      </c>
      <c r="R1175" s="9">
        <f t="shared" si="73"/>
        <v>699</v>
      </c>
      <c r="S1175" s="9">
        <f>IF(R1175="",AVERAGEIF(Table1[Category],Table1[[#This Row],[Category]],Table2[orignal data]),Table2[[#This Row],[orignal data]])</f>
        <v>699</v>
      </c>
      <c r="T1175" t="str">
        <f t="shared" si="74"/>
        <v>UNIQUE</v>
      </c>
      <c r="U1175" t="str">
        <f>IF(ISBLANK(Table1[[#This Row],[SizeOption]]),"NOT AVAILABLE",Table1[[#This Row],[SizeOption]])</f>
        <v>XS, S, M, L, XL</v>
      </c>
      <c r="Y1175" t="str">
        <f>IF(Table2[[#This Row],[Column1]]&gt;50%,"HIGH DISCOUNT","LOW DISCOUNT")</f>
        <v>LOW DISCOUNT</v>
      </c>
    </row>
    <row r="1176" spans="1:25" x14ac:dyDescent="0.25">
      <c r="A1176" s="1" t="s">
        <v>2638</v>
      </c>
      <c r="B1176" s="1">
        <v>11144064</v>
      </c>
      <c r="C1176" s="1" t="s">
        <v>47</v>
      </c>
      <c r="D1176" s="1" t="s">
        <v>41</v>
      </c>
      <c r="E1176" s="1" t="s">
        <v>148</v>
      </c>
      <c r="F1176" s="1" t="s">
        <v>36</v>
      </c>
      <c r="G1176" s="1" t="s">
        <v>2639</v>
      </c>
      <c r="I1176" s="1">
        <v>2199</v>
      </c>
      <c r="J1176" s="1" t="s">
        <v>764</v>
      </c>
      <c r="K1176" s="1" t="s">
        <v>45</v>
      </c>
      <c r="L1176" s="1">
        <v>4.2</v>
      </c>
      <c r="M1176" s="1">
        <v>803</v>
      </c>
      <c r="P1176" t="str">
        <f t="shared" si="75"/>
        <v>5%</v>
      </c>
      <c r="Q1176" s="12">
        <f t="shared" si="72"/>
        <v>0.05</v>
      </c>
      <c r="R1176" s="9">
        <f t="shared" si="73"/>
        <v>2089.0500000000002</v>
      </c>
      <c r="S1176" s="9">
        <f>IF(R1176="",AVERAGEIF(Table1[Category],Table1[[#This Row],[Category]],Table2[orignal data]),Table2[[#This Row],[orignal data]])</f>
        <v>2089.0500000000002</v>
      </c>
      <c r="T1176" t="str">
        <f t="shared" si="74"/>
        <v>UNIQUE</v>
      </c>
      <c r="U1176" t="str">
        <f>IF(ISBLANK(Table1[[#This Row],[SizeOption]]),"NOT AVAILABLE",Table1[[#This Row],[SizeOption]])</f>
        <v>XS, S, M, L, XL</v>
      </c>
      <c r="Y1176" t="str">
        <f>IF(Table2[[#This Row],[Column1]]&gt;50%,"HIGH DISCOUNT","LOW DISCOUNT")</f>
        <v>LOW DISCOUNT</v>
      </c>
    </row>
    <row r="1177" spans="1:25" x14ac:dyDescent="0.25">
      <c r="A1177" s="2" t="s">
        <v>2640</v>
      </c>
      <c r="B1177" s="2">
        <v>5831458</v>
      </c>
      <c r="C1177" s="2" t="s">
        <v>2641</v>
      </c>
      <c r="D1177" s="2" t="s">
        <v>41</v>
      </c>
      <c r="E1177" s="2" t="s">
        <v>48</v>
      </c>
      <c r="F1177" s="2" t="s">
        <v>36</v>
      </c>
      <c r="G1177" s="2" t="s">
        <v>2642</v>
      </c>
      <c r="I1177" s="2">
        <v>999</v>
      </c>
      <c r="J1177" s="2" t="s">
        <v>150</v>
      </c>
      <c r="K1177" s="2" t="s">
        <v>26</v>
      </c>
      <c r="L1177" s="2">
        <v>3.9</v>
      </c>
      <c r="M1177" s="2">
        <v>803</v>
      </c>
      <c r="P1177" t="str">
        <f t="shared" si="75"/>
        <v>65%</v>
      </c>
      <c r="Q1177" s="12">
        <f t="shared" si="72"/>
        <v>0.65</v>
      </c>
      <c r="R1177" s="9">
        <f t="shared" si="73"/>
        <v>349.65</v>
      </c>
      <c r="S1177" s="9">
        <f>IF(R1177="",AVERAGEIF(Table1[Category],Table1[[#This Row],[Category]],Table2[orignal data]),Table2[[#This Row],[orignal data]])</f>
        <v>349.65</v>
      </c>
      <c r="T1177" t="str">
        <f t="shared" si="74"/>
        <v>UNIQUE</v>
      </c>
      <c r="U1177" t="str">
        <f>IF(ISBLANK(Table1[[#This Row],[SizeOption]]),"NOT AVAILABLE",Table1[[#This Row],[SizeOption]])</f>
        <v>S, M, L, XL</v>
      </c>
      <c r="Y1177" t="str">
        <f>IF(Table2[[#This Row],[Column1]]&gt;50%,"HIGH DISCOUNT","LOW DISCOUNT")</f>
        <v>HIGH DISCOUNT</v>
      </c>
    </row>
    <row r="1178" spans="1:25" x14ac:dyDescent="0.25">
      <c r="A1178" s="1" t="s">
        <v>2643</v>
      </c>
      <c r="B1178" s="1">
        <v>7330638</v>
      </c>
      <c r="C1178" s="1" t="s">
        <v>47</v>
      </c>
      <c r="D1178" s="1" t="s">
        <v>15</v>
      </c>
      <c r="E1178" s="1" t="s">
        <v>16</v>
      </c>
      <c r="F1178" s="1" t="s">
        <v>17</v>
      </c>
      <c r="G1178" s="1" t="s">
        <v>2644</v>
      </c>
      <c r="H1178">
        <v>594</v>
      </c>
      <c r="I1178" s="1">
        <v>1699</v>
      </c>
      <c r="J1178" s="1" t="s">
        <v>150</v>
      </c>
      <c r="K1178" s="1" t="s">
        <v>20</v>
      </c>
      <c r="L1178" s="1">
        <v>3.9</v>
      </c>
      <c r="M1178" s="1">
        <v>802</v>
      </c>
      <c r="P1178" t="str">
        <f t="shared" si="75"/>
        <v>65%</v>
      </c>
      <c r="Q1178" s="12">
        <f t="shared" si="72"/>
        <v>0.65</v>
      </c>
      <c r="R1178" s="9">
        <f t="shared" si="73"/>
        <v>594.64999999999986</v>
      </c>
      <c r="S1178" s="9">
        <f>IF(R1178="",AVERAGEIF(Table1[Category],Table1[[#This Row],[Category]],Table2[orignal data]),Table2[[#This Row],[orignal data]])</f>
        <v>594.64999999999986</v>
      </c>
      <c r="T1178" t="str">
        <f t="shared" si="74"/>
        <v>UNIQUE</v>
      </c>
      <c r="U1178" t="str">
        <f>IF(ISBLANK(Table1[[#This Row],[SizeOption]]),"NOT AVAILABLE",Table1[[#This Row],[SizeOption]])</f>
        <v>28, 30, 32, 34, 36</v>
      </c>
      <c r="Y1178" t="str">
        <f>IF(Table2[[#This Row],[Column1]]&gt;50%,"HIGH DISCOUNT","LOW DISCOUNT")</f>
        <v>HIGH DISCOUNT</v>
      </c>
    </row>
    <row r="1179" spans="1:25" x14ac:dyDescent="0.25">
      <c r="A1179" s="2" t="s">
        <v>2645</v>
      </c>
      <c r="B1179" s="2">
        <v>9658889</v>
      </c>
      <c r="C1179" s="2" t="s">
        <v>247</v>
      </c>
      <c r="D1179" s="2" t="s">
        <v>76</v>
      </c>
      <c r="E1179" s="2" t="s">
        <v>48</v>
      </c>
      <c r="F1179" s="2" t="s">
        <v>36</v>
      </c>
      <c r="G1179" s="2" t="s">
        <v>2646</v>
      </c>
      <c r="H1179">
        <v>714</v>
      </c>
      <c r="I1179" s="2">
        <v>1299</v>
      </c>
      <c r="J1179" s="2" t="s">
        <v>19</v>
      </c>
      <c r="K1179" s="2" t="s">
        <v>115</v>
      </c>
      <c r="L1179" s="2">
        <v>4.4000000000000004</v>
      </c>
      <c r="M1179" s="2">
        <v>802</v>
      </c>
      <c r="P1179" t="str">
        <f t="shared" si="75"/>
        <v>45%</v>
      </c>
      <c r="Q1179" s="12">
        <f t="shared" si="72"/>
        <v>0.45</v>
      </c>
      <c r="R1179" s="9">
        <f t="shared" si="73"/>
        <v>714.44999999999993</v>
      </c>
      <c r="S1179" s="9">
        <f>IF(R1179="",AVERAGEIF(Table1[Category],Table1[[#This Row],[Category]],Table2[orignal data]),Table2[[#This Row],[orignal data]])</f>
        <v>714.44999999999993</v>
      </c>
      <c r="T1179" t="str">
        <f t="shared" si="74"/>
        <v>UNIQUE</v>
      </c>
      <c r="U1179" t="str">
        <f>IF(ISBLANK(Table1[[#This Row],[SizeOption]]),"NOT AVAILABLE",Table1[[#This Row],[SizeOption]])</f>
        <v>XS, S, M, L, XL, XXL</v>
      </c>
      <c r="Y1179" t="str">
        <f>IF(Table2[[#This Row],[Column1]]&gt;50%,"HIGH DISCOUNT","LOW DISCOUNT")</f>
        <v>LOW DISCOUNT</v>
      </c>
    </row>
    <row r="1180" spans="1:25" x14ac:dyDescent="0.25">
      <c r="A1180" s="1" t="s">
        <v>2647</v>
      </c>
      <c r="B1180" s="1">
        <v>12150564</v>
      </c>
      <c r="C1180" s="1" t="s">
        <v>221</v>
      </c>
      <c r="D1180" s="1" t="s">
        <v>98</v>
      </c>
      <c r="E1180" s="1" t="s">
        <v>148</v>
      </c>
      <c r="F1180" s="1" t="s">
        <v>36</v>
      </c>
      <c r="G1180" s="1" t="s">
        <v>2648</v>
      </c>
      <c r="H1180">
        <v>804</v>
      </c>
      <c r="I1180" s="1">
        <v>2299</v>
      </c>
      <c r="J1180" s="1" t="s">
        <v>150</v>
      </c>
      <c r="K1180" s="1" t="s">
        <v>223</v>
      </c>
      <c r="L1180" s="1">
        <v>3.9</v>
      </c>
      <c r="M1180" s="1">
        <v>802</v>
      </c>
      <c r="P1180" t="str">
        <f t="shared" si="75"/>
        <v>65%</v>
      </c>
      <c r="Q1180" s="12">
        <f t="shared" si="72"/>
        <v>0.65</v>
      </c>
      <c r="R1180" s="9">
        <f t="shared" si="73"/>
        <v>804.64999999999986</v>
      </c>
      <c r="S1180" s="9">
        <f>IF(R1180="",AVERAGEIF(Table1[Category],Table1[[#This Row],[Category]],Table2[orignal data]),Table2[[#This Row],[orignal data]])</f>
        <v>804.64999999999986</v>
      </c>
      <c r="T1180" t="str">
        <f t="shared" si="74"/>
        <v>UNIQUE</v>
      </c>
      <c r="U1180" t="str">
        <f>IF(ISBLANK(Table1[[#This Row],[SizeOption]]),"NOT AVAILABLE",Table1[[#This Row],[SizeOption]])</f>
        <v>S, M, L, XL, XXL, 3XL, 4XL</v>
      </c>
      <c r="Y1180" t="str">
        <f>IF(Table2[[#This Row],[Column1]]&gt;50%,"HIGH DISCOUNT","LOW DISCOUNT")</f>
        <v>HIGH DISCOUNT</v>
      </c>
    </row>
    <row r="1181" spans="1:25" x14ac:dyDescent="0.25">
      <c r="A1181" s="2" t="s">
        <v>2649</v>
      </c>
      <c r="B1181" s="2">
        <v>14175760</v>
      </c>
      <c r="C1181" s="2" t="s">
        <v>102</v>
      </c>
      <c r="D1181" s="2" t="s">
        <v>41</v>
      </c>
      <c r="E1181" s="2" t="s">
        <v>23</v>
      </c>
      <c r="F1181" s="2" t="s">
        <v>36</v>
      </c>
      <c r="G1181" s="2" t="s">
        <v>2102</v>
      </c>
      <c r="I1181" s="2">
        <v>1149</v>
      </c>
      <c r="J1181" s="2" t="s">
        <v>89</v>
      </c>
      <c r="K1181" s="2" t="s">
        <v>26</v>
      </c>
      <c r="L1181" s="2">
        <v>4.3</v>
      </c>
      <c r="M1181" s="2">
        <v>802</v>
      </c>
      <c r="P1181" t="str">
        <f t="shared" si="75"/>
        <v>53%</v>
      </c>
      <c r="Q1181" s="12">
        <f t="shared" si="72"/>
        <v>0.53</v>
      </c>
      <c r="R1181" s="9">
        <f t="shared" si="73"/>
        <v>540.03</v>
      </c>
      <c r="S1181" s="9">
        <f>IF(R1181="",AVERAGEIF(Table1[Category],Table1[[#This Row],[Category]],Table2[orignal data]),Table2[[#This Row],[orignal data]])</f>
        <v>540.03</v>
      </c>
      <c r="T1181" t="str">
        <f t="shared" si="74"/>
        <v>UNIQUE</v>
      </c>
      <c r="U1181" t="str">
        <f>IF(ISBLANK(Table1[[#This Row],[SizeOption]]),"NOT AVAILABLE",Table1[[#This Row],[SizeOption]])</f>
        <v>S, M, L, XL</v>
      </c>
      <c r="Y1181" t="str">
        <f>IF(Table2[[#This Row],[Column1]]&gt;50%,"HIGH DISCOUNT","LOW DISCOUNT")</f>
        <v>HIGH DISCOUNT</v>
      </c>
    </row>
    <row r="1182" spans="1:25" x14ac:dyDescent="0.25">
      <c r="A1182" s="1" t="s">
        <v>2650</v>
      </c>
      <c r="B1182" s="1">
        <v>11296160</v>
      </c>
      <c r="C1182" s="1" t="s">
        <v>14</v>
      </c>
      <c r="D1182" s="1" t="s">
        <v>41</v>
      </c>
      <c r="E1182" s="1" t="s">
        <v>48</v>
      </c>
      <c r="F1182" s="1" t="s">
        <v>36</v>
      </c>
      <c r="G1182" s="1" t="s">
        <v>2651</v>
      </c>
      <c r="I1182" s="1">
        <v>799</v>
      </c>
      <c r="J1182" s="1" t="s">
        <v>680</v>
      </c>
      <c r="K1182" s="1" t="s">
        <v>45</v>
      </c>
      <c r="L1182" s="1">
        <v>4</v>
      </c>
      <c r="M1182" s="1">
        <v>802</v>
      </c>
      <c r="P1182" t="str">
        <f t="shared" si="75"/>
        <v>300</v>
      </c>
      <c r="Q1182" s="12">
        <f t="shared" si="72"/>
        <v>0.37546933667083854</v>
      </c>
      <c r="R1182" s="9">
        <f t="shared" si="73"/>
        <v>499</v>
      </c>
      <c r="S1182" s="9">
        <f>IF(R1182="",AVERAGEIF(Table1[Category],Table1[[#This Row],[Category]],Table2[orignal data]),Table2[[#This Row],[orignal data]])</f>
        <v>499</v>
      </c>
      <c r="T1182" t="str">
        <f t="shared" si="74"/>
        <v>UNIQUE</v>
      </c>
      <c r="U1182" t="str">
        <f>IF(ISBLANK(Table1[[#This Row],[SizeOption]]),"NOT AVAILABLE",Table1[[#This Row],[SizeOption]])</f>
        <v>XS, S, M, L, XL</v>
      </c>
      <c r="Y1182" t="str">
        <f>IF(Table2[[#This Row],[Column1]]&gt;50%,"HIGH DISCOUNT","LOW DISCOUNT")</f>
        <v>LOW DISCOUNT</v>
      </c>
    </row>
    <row r="1183" spans="1:25" x14ac:dyDescent="0.25">
      <c r="A1183" s="2" t="s">
        <v>2652</v>
      </c>
      <c r="B1183" s="2">
        <v>11896312</v>
      </c>
      <c r="C1183" s="2" t="s">
        <v>14</v>
      </c>
      <c r="D1183" s="2" t="s">
        <v>28</v>
      </c>
      <c r="E1183" s="2" t="s">
        <v>29</v>
      </c>
      <c r="F1183" s="2" t="s">
        <v>17</v>
      </c>
      <c r="G1183" s="2" t="s">
        <v>2653</v>
      </c>
      <c r="H1183">
        <v>1019</v>
      </c>
      <c r="I1183" s="2">
        <v>1699</v>
      </c>
      <c r="J1183" s="2" t="s">
        <v>50</v>
      </c>
      <c r="K1183" s="2" t="s">
        <v>253</v>
      </c>
      <c r="L1183" s="2">
        <v>4.4000000000000004</v>
      </c>
      <c r="M1183" s="2">
        <v>801</v>
      </c>
      <c r="P1183" t="str">
        <f t="shared" si="75"/>
        <v>40%</v>
      </c>
      <c r="Q1183" s="12">
        <f t="shared" si="72"/>
        <v>0.4</v>
      </c>
      <c r="R1183" s="9">
        <f t="shared" si="73"/>
        <v>1019.4</v>
      </c>
      <c r="S1183" s="9">
        <f>IF(R1183="",AVERAGEIF(Table1[Category],Table1[[#This Row],[Category]],Table2[orignal data]),Table2[[#This Row],[orignal data]])</f>
        <v>1019.4</v>
      </c>
      <c r="T1183" t="str">
        <f t="shared" si="74"/>
        <v>UNIQUE</v>
      </c>
      <c r="U1183" t="str">
        <f>IF(ISBLANK(Table1[[#This Row],[SizeOption]]),"NOT AVAILABLE",Table1[[#This Row],[SizeOption]])</f>
        <v>38, 40, 42, 44</v>
      </c>
      <c r="Y1183" t="str">
        <f>IF(Table2[[#This Row],[Column1]]&gt;50%,"HIGH DISCOUNT","LOW DISCOUNT")</f>
        <v>LOW DISCOUNT</v>
      </c>
    </row>
    <row r="1184" spans="1:25" x14ac:dyDescent="0.25">
      <c r="A1184" s="1" t="s">
        <v>2654</v>
      </c>
      <c r="B1184" s="1">
        <v>12134668</v>
      </c>
      <c r="C1184" s="1" t="s">
        <v>113</v>
      </c>
      <c r="D1184" s="1" t="s">
        <v>76</v>
      </c>
      <c r="E1184" s="1" t="s">
        <v>77</v>
      </c>
      <c r="F1184" s="1" t="s">
        <v>36</v>
      </c>
      <c r="G1184" s="1" t="s">
        <v>2655</v>
      </c>
      <c r="H1184">
        <v>1124</v>
      </c>
      <c r="I1184" s="1">
        <v>2499</v>
      </c>
      <c r="J1184" s="1" t="s">
        <v>25</v>
      </c>
      <c r="K1184" s="1" t="s">
        <v>115</v>
      </c>
      <c r="L1184" s="1">
        <v>4.0999999999999996</v>
      </c>
      <c r="M1184" s="1">
        <v>801</v>
      </c>
      <c r="P1184" t="str">
        <f t="shared" si="75"/>
        <v>55%</v>
      </c>
      <c r="Q1184" s="12">
        <f t="shared" si="72"/>
        <v>0.55000000000000004</v>
      </c>
      <c r="R1184" s="9">
        <f t="shared" si="73"/>
        <v>1124.55</v>
      </c>
      <c r="S1184" s="9">
        <f>IF(R1184="",AVERAGEIF(Table1[Category],Table1[[#This Row],[Category]],Table2[orignal data]),Table2[[#This Row],[orignal data]])</f>
        <v>1124.55</v>
      </c>
      <c r="T1184" t="str">
        <f t="shared" si="74"/>
        <v>UNIQUE</v>
      </c>
      <c r="U1184" t="str">
        <f>IF(ISBLANK(Table1[[#This Row],[SizeOption]]),"NOT AVAILABLE",Table1[[#This Row],[SizeOption]])</f>
        <v>XS, S, M, L, XL, XXL</v>
      </c>
      <c r="Y1184" t="str">
        <f>IF(Table2[[#This Row],[Column1]]&gt;50%,"HIGH DISCOUNT","LOW DISCOUNT")</f>
        <v>HIGH DISCOUNT</v>
      </c>
    </row>
    <row r="1185" spans="1:25" x14ac:dyDescent="0.25">
      <c r="A1185" s="2" t="s">
        <v>2656</v>
      </c>
      <c r="B1185" s="2">
        <v>9657057</v>
      </c>
      <c r="C1185" s="2" t="s">
        <v>221</v>
      </c>
      <c r="D1185" s="2" t="s">
        <v>98</v>
      </c>
      <c r="E1185" s="2" t="s">
        <v>48</v>
      </c>
      <c r="F1185" s="2" t="s">
        <v>36</v>
      </c>
      <c r="G1185" s="2" t="s">
        <v>2657</v>
      </c>
      <c r="H1185">
        <v>538</v>
      </c>
      <c r="I1185" s="2">
        <v>1416</v>
      </c>
      <c r="J1185" s="2" t="s">
        <v>126</v>
      </c>
      <c r="K1185" s="2" t="s">
        <v>223</v>
      </c>
      <c r="L1185" s="2">
        <v>4.3</v>
      </c>
      <c r="M1185" s="2">
        <v>801</v>
      </c>
      <c r="P1185" t="str">
        <f t="shared" si="75"/>
        <v>62%</v>
      </c>
      <c r="Q1185" s="12">
        <f t="shared" si="72"/>
        <v>0.62</v>
      </c>
      <c r="R1185" s="9">
        <f t="shared" si="73"/>
        <v>538.08000000000004</v>
      </c>
      <c r="S1185" s="9">
        <f>IF(R1185="",AVERAGEIF(Table1[Category],Table1[[#This Row],[Category]],Table2[orignal data]),Table2[[#This Row],[orignal data]])</f>
        <v>538.08000000000004</v>
      </c>
      <c r="T1185" t="str">
        <f t="shared" si="74"/>
        <v>UNIQUE</v>
      </c>
      <c r="U1185" t="str">
        <f>IF(ISBLANK(Table1[[#This Row],[SizeOption]]),"NOT AVAILABLE",Table1[[#This Row],[SizeOption]])</f>
        <v>S, M, L, XL, XXL, 3XL, 4XL</v>
      </c>
      <c r="Y1185" t="str">
        <f>IF(Table2[[#This Row],[Column1]]&gt;50%,"HIGH DISCOUNT","LOW DISCOUNT")</f>
        <v>HIGH DISCOUNT</v>
      </c>
    </row>
    <row r="1186" spans="1:25" x14ac:dyDescent="0.25">
      <c r="A1186" s="1" t="s">
        <v>2658</v>
      </c>
      <c r="B1186" s="1">
        <v>2488712</v>
      </c>
      <c r="C1186" s="1" t="s">
        <v>67</v>
      </c>
      <c r="D1186" s="1" t="s">
        <v>68</v>
      </c>
      <c r="E1186" s="1" t="s">
        <v>69</v>
      </c>
      <c r="F1186" s="1" t="s">
        <v>36</v>
      </c>
      <c r="G1186" s="1" t="s">
        <v>2659</v>
      </c>
      <c r="H1186">
        <v>1499</v>
      </c>
      <c r="I1186" s="1">
        <v>2499</v>
      </c>
      <c r="J1186" s="1" t="s">
        <v>50</v>
      </c>
      <c r="K1186" s="1" t="s">
        <v>115</v>
      </c>
      <c r="L1186" s="1">
        <v>4.4000000000000004</v>
      </c>
      <c r="M1186" s="1">
        <v>801</v>
      </c>
      <c r="P1186" t="str">
        <f t="shared" si="75"/>
        <v>40%</v>
      </c>
      <c r="Q1186" s="12">
        <f t="shared" si="72"/>
        <v>0.4</v>
      </c>
      <c r="R1186" s="9">
        <f t="shared" si="73"/>
        <v>1499.4</v>
      </c>
      <c r="S1186" s="9">
        <f>IF(R1186="",AVERAGEIF(Table1[Category],Table1[[#This Row],[Category]],Table2[orignal data]),Table2[[#This Row],[orignal data]])</f>
        <v>1499.4</v>
      </c>
      <c r="T1186" t="str">
        <f t="shared" si="74"/>
        <v>UNIQUE</v>
      </c>
      <c r="U1186" t="str">
        <f>IF(ISBLANK(Table1[[#This Row],[SizeOption]]),"NOT AVAILABLE",Table1[[#This Row],[SizeOption]])</f>
        <v>XS, S, M, L, XL, XXL</v>
      </c>
      <c r="Y1186" t="str">
        <f>IF(Table2[[#This Row],[Column1]]&gt;50%,"HIGH DISCOUNT","LOW DISCOUNT")</f>
        <v>LOW DISCOUNT</v>
      </c>
    </row>
    <row r="1187" spans="1:25" x14ac:dyDescent="0.25">
      <c r="A1187" s="2" t="s">
        <v>2660</v>
      </c>
      <c r="B1187" s="2">
        <v>9340125</v>
      </c>
      <c r="C1187" s="2" t="s">
        <v>676</v>
      </c>
      <c r="D1187" s="2" t="s">
        <v>41</v>
      </c>
      <c r="E1187" s="2" t="s">
        <v>48</v>
      </c>
      <c r="F1187" s="2" t="s">
        <v>36</v>
      </c>
      <c r="G1187" s="2" t="s">
        <v>2661</v>
      </c>
      <c r="I1187" s="2">
        <v>1998</v>
      </c>
      <c r="J1187" s="2" t="s">
        <v>84</v>
      </c>
      <c r="K1187" s="2" t="s">
        <v>26</v>
      </c>
      <c r="L1187" s="2">
        <v>4.2</v>
      </c>
      <c r="M1187" s="2">
        <v>801</v>
      </c>
      <c r="P1187" t="str">
        <f t="shared" si="75"/>
        <v>50%</v>
      </c>
      <c r="Q1187" s="12">
        <f t="shared" si="72"/>
        <v>0.5</v>
      </c>
      <c r="R1187" s="9">
        <f t="shared" si="73"/>
        <v>999</v>
      </c>
      <c r="S1187" s="9">
        <f>IF(R1187="",AVERAGEIF(Table1[Category],Table1[[#This Row],[Category]],Table2[orignal data]),Table2[[#This Row],[orignal data]])</f>
        <v>999</v>
      </c>
      <c r="T1187" t="str">
        <f t="shared" si="74"/>
        <v>UNIQUE</v>
      </c>
      <c r="U1187" t="str">
        <f>IF(ISBLANK(Table1[[#This Row],[SizeOption]]),"NOT AVAILABLE",Table1[[#This Row],[SizeOption]])</f>
        <v>S, M, L, XL</v>
      </c>
      <c r="Y1187" t="str">
        <f>IF(Table2[[#This Row],[Column1]]&gt;50%,"HIGH DISCOUNT","LOW DISCOUNT")</f>
        <v>LOW DISCOUNT</v>
      </c>
    </row>
    <row r="1188" spans="1:25" x14ac:dyDescent="0.25">
      <c r="A1188" s="1" t="s">
        <v>2662</v>
      </c>
      <c r="B1188" s="1">
        <v>15038458</v>
      </c>
      <c r="C1188" s="1" t="s">
        <v>295</v>
      </c>
      <c r="D1188" s="1" t="s">
        <v>15</v>
      </c>
      <c r="E1188" s="1" t="s">
        <v>16</v>
      </c>
      <c r="F1188" s="1" t="s">
        <v>17</v>
      </c>
      <c r="G1188" s="1" t="s">
        <v>2663</v>
      </c>
      <c r="I1188" s="1">
        <v>2599</v>
      </c>
      <c r="J1188" s="1"/>
      <c r="K1188" s="1" t="s">
        <v>2664</v>
      </c>
      <c r="L1188" s="1">
        <v>4.2</v>
      </c>
      <c r="M1188" s="1">
        <v>800</v>
      </c>
      <c r="P1188" t="str">
        <f t="shared" si="75"/>
        <v/>
      </c>
      <c r="Q1188" s="12" t="str">
        <f t="shared" si="72"/>
        <v/>
      </c>
      <c r="R1188" s="9" t="str">
        <f t="shared" si="73"/>
        <v/>
      </c>
      <c r="S1188" s="9">
        <f>IF(R1188="",AVERAGEIF(Table1[Category],Table1[[#This Row],[Category]],Table2[orignal data]),Table2[[#This Row],[orignal data]])</f>
        <v>892.27590339892538</v>
      </c>
      <c r="T1188" t="str">
        <f t="shared" si="74"/>
        <v>UNIQUE</v>
      </c>
      <c r="U1188" t="str">
        <f>IF(ISBLANK(Table1[[#This Row],[SizeOption]]),"NOT AVAILABLE",Table1[[#This Row],[SizeOption]])</f>
        <v>28, 30, 32, 34, 36, 38, 40, 42</v>
      </c>
      <c r="Y1188" t="str">
        <f>IF(Table2[[#This Row],[Column1]]&gt;50%,"HIGH DISCOUNT","LOW DISCOUNT")</f>
        <v>HIGH DISCOUNT</v>
      </c>
    </row>
    <row r="1189" spans="1:25" x14ac:dyDescent="0.25">
      <c r="A1189" s="2" t="s">
        <v>2665</v>
      </c>
      <c r="B1189" s="2">
        <v>10064553</v>
      </c>
      <c r="C1189" s="2" t="s">
        <v>14</v>
      </c>
      <c r="D1189" s="2" t="s">
        <v>15</v>
      </c>
      <c r="E1189" s="2" t="s">
        <v>16</v>
      </c>
      <c r="F1189" s="2" t="s">
        <v>17</v>
      </c>
      <c r="G1189" s="2" t="s">
        <v>2666</v>
      </c>
      <c r="H1189">
        <v>759</v>
      </c>
      <c r="I1189" s="2">
        <v>1899</v>
      </c>
      <c r="J1189" s="2" t="s">
        <v>55</v>
      </c>
      <c r="K1189" s="2" t="s">
        <v>20</v>
      </c>
      <c r="L1189" s="2">
        <v>4</v>
      </c>
      <c r="M1189" s="2">
        <v>800</v>
      </c>
      <c r="P1189" t="str">
        <f t="shared" si="75"/>
        <v>60%</v>
      </c>
      <c r="Q1189" s="12">
        <f t="shared" si="72"/>
        <v>0.6</v>
      </c>
      <c r="R1189" s="9">
        <f t="shared" si="73"/>
        <v>759.60000000000014</v>
      </c>
      <c r="S1189" s="9">
        <f>IF(R1189="",AVERAGEIF(Table1[Category],Table1[[#This Row],[Category]],Table2[orignal data]),Table2[[#This Row],[orignal data]])</f>
        <v>759.60000000000014</v>
      </c>
      <c r="T1189" t="str">
        <f t="shared" si="74"/>
        <v>UNIQUE</v>
      </c>
      <c r="U1189" t="str">
        <f>IF(ISBLANK(Table1[[#This Row],[SizeOption]]),"NOT AVAILABLE",Table1[[#This Row],[SizeOption]])</f>
        <v>28, 30, 32, 34, 36</v>
      </c>
      <c r="Y1189" t="str">
        <f>IF(Table2[[#This Row],[Column1]]&gt;50%,"HIGH DISCOUNT","LOW DISCOUNT")</f>
        <v>HIGH DISCOUNT</v>
      </c>
    </row>
    <row r="1190" spans="1:25" x14ac:dyDescent="0.25">
      <c r="A1190" s="1" t="s">
        <v>2667</v>
      </c>
      <c r="B1190" s="1">
        <v>4322602</v>
      </c>
      <c r="C1190" s="1" t="s">
        <v>52</v>
      </c>
      <c r="D1190" s="1" t="s">
        <v>15</v>
      </c>
      <c r="E1190" s="1" t="s">
        <v>16</v>
      </c>
      <c r="F1190" s="1" t="s">
        <v>17</v>
      </c>
      <c r="G1190" s="1" t="s">
        <v>2668</v>
      </c>
      <c r="H1190">
        <v>887</v>
      </c>
      <c r="I1190" s="1">
        <v>1849</v>
      </c>
      <c r="J1190" s="1" t="s">
        <v>208</v>
      </c>
      <c r="K1190" s="1" t="s">
        <v>816</v>
      </c>
      <c r="L1190" s="1">
        <v>4.2</v>
      </c>
      <c r="M1190" s="1">
        <v>800</v>
      </c>
      <c r="P1190" t="str">
        <f t="shared" si="75"/>
        <v>52%</v>
      </c>
      <c r="Q1190" s="12">
        <f t="shared" si="72"/>
        <v>0.52</v>
      </c>
      <c r="R1190" s="9">
        <f t="shared" si="73"/>
        <v>887.52</v>
      </c>
      <c r="S1190" s="9">
        <f>IF(R1190="",AVERAGEIF(Table1[Category],Table1[[#This Row],[Category]],Table2[orignal data]),Table2[[#This Row],[orignal data]])</f>
        <v>887.52</v>
      </c>
      <c r="T1190" t="str">
        <f t="shared" si="74"/>
        <v>UNIQUE</v>
      </c>
      <c r="U1190" t="str">
        <f>IF(ISBLANK(Table1[[#This Row],[SizeOption]]),"NOT AVAILABLE",Table1[[#This Row],[SizeOption]])</f>
        <v>30, 32, 34, 36, 38</v>
      </c>
      <c r="Y1190" t="str">
        <f>IF(Table2[[#This Row],[Column1]]&gt;50%,"HIGH DISCOUNT","LOW DISCOUNT")</f>
        <v>HIGH DISCOUNT</v>
      </c>
    </row>
    <row r="1191" spans="1:25" x14ac:dyDescent="0.25">
      <c r="A1191" s="2" t="s">
        <v>2669</v>
      </c>
      <c r="B1191" s="2">
        <v>12303648</v>
      </c>
      <c r="C1191" s="2" t="s">
        <v>14</v>
      </c>
      <c r="D1191" s="2" t="s">
        <v>15</v>
      </c>
      <c r="E1191" s="2" t="s">
        <v>16</v>
      </c>
      <c r="F1191" s="2" t="s">
        <v>17</v>
      </c>
      <c r="G1191" s="2" t="s">
        <v>2670</v>
      </c>
      <c r="H1191">
        <v>674</v>
      </c>
      <c r="I1191" s="2">
        <v>1499</v>
      </c>
      <c r="J1191" s="2" t="s">
        <v>25</v>
      </c>
      <c r="K1191" s="2" t="s">
        <v>195</v>
      </c>
      <c r="L1191" s="2">
        <v>3.9</v>
      </c>
      <c r="M1191" s="2">
        <v>800</v>
      </c>
      <c r="P1191" t="str">
        <f t="shared" si="75"/>
        <v>55%</v>
      </c>
      <c r="Q1191" s="12">
        <f t="shared" si="72"/>
        <v>0.55000000000000004</v>
      </c>
      <c r="R1191" s="9">
        <f t="shared" si="73"/>
        <v>674.55</v>
      </c>
      <c r="S1191" s="9">
        <f>IF(R1191="",AVERAGEIF(Table1[Category],Table1[[#This Row],[Category]],Table2[orignal data]),Table2[[#This Row],[orignal data]])</f>
        <v>674.55</v>
      </c>
      <c r="T1191" t="str">
        <f t="shared" si="74"/>
        <v>UNIQUE</v>
      </c>
      <c r="U1191" t="str">
        <f>IF(ISBLANK(Table1[[#This Row],[SizeOption]]),"NOT AVAILABLE",Table1[[#This Row],[SizeOption]])</f>
        <v>28, 30, 32, 34, 36, 38, 40</v>
      </c>
      <c r="Y1191" t="str">
        <f>IF(Table2[[#This Row],[Column1]]&gt;50%,"HIGH DISCOUNT","LOW DISCOUNT")</f>
        <v>HIGH DISCOUNT</v>
      </c>
    </row>
    <row r="1192" spans="1:25" x14ac:dyDescent="0.25">
      <c r="A1192" s="1" t="s">
        <v>2671</v>
      </c>
      <c r="B1192" s="1">
        <v>13684208</v>
      </c>
      <c r="C1192" s="1" t="s">
        <v>22</v>
      </c>
      <c r="D1192" s="1" t="s">
        <v>15</v>
      </c>
      <c r="E1192" s="1" t="s">
        <v>23</v>
      </c>
      <c r="F1192" s="1" t="s">
        <v>17</v>
      </c>
      <c r="G1192" s="1" t="s">
        <v>2672</v>
      </c>
      <c r="H1192">
        <v>524</v>
      </c>
      <c r="I1192" s="1">
        <v>1049</v>
      </c>
      <c r="J1192" s="1" t="s">
        <v>84</v>
      </c>
      <c r="K1192" s="1" t="s">
        <v>26</v>
      </c>
      <c r="L1192" s="1">
        <v>4</v>
      </c>
      <c r="M1192" s="1">
        <v>800</v>
      </c>
      <c r="P1192" t="str">
        <f t="shared" si="75"/>
        <v>50%</v>
      </c>
      <c r="Q1192" s="12">
        <f t="shared" si="72"/>
        <v>0.5</v>
      </c>
      <c r="R1192" s="9">
        <f t="shared" si="73"/>
        <v>524.5</v>
      </c>
      <c r="S1192" s="9">
        <f>IF(R1192="",AVERAGEIF(Table1[Category],Table1[[#This Row],[Category]],Table2[orignal data]),Table2[[#This Row],[orignal data]])</f>
        <v>524.5</v>
      </c>
      <c r="T1192" t="str">
        <f t="shared" si="74"/>
        <v>UNIQUE</v>
      </c>
      <c r="U1192" t="str">
        <f>IF(ISBLANK(Table1[[#This Row],[SizeOption]]),"NOT AVAILABLE",Table1[[#This Row],[SizeOption]])</f>
        <v>S, M, L, XL</v>
      </c>
      <c r="Y1192" t="str">
        <f>IF(Table2[[#This Row],[Column1]]&gt;50%,"HIGH DISCOUNT","LOW DISCOUNT")</f>
        <v>LOW DISCOUNT</v>
      </c>
    </row>
    <row r="1193" spans="1:25" x14ac:dyDescent="0.25">
      <c r="A1193" s="2" t="s">
        <v>2673</v>
      </c>
      <c r="B1193" s="2">
        <v>6533849</v>
      </c>
      <c r="C1193" s="2" t="s">
        <v>346</v>
      </c>
      <c r="D1193" s="2" t="s">
        <v>28</v>
      </c>
      <c r="E1193" s="2" t="s">
        <v>306</v>
      </c>
      <c r="F1193" s="2" t="s">
        <v>17</v>
      </c>
      <c r="G1193" s="2" t="s">
        <v>2674</v>
      </c>
      <c r="H1193">
        <v>524</v>
      </c>
      <c r="I1193" s="2">
        <v>1499</v>
      </c>
      <c r="J1193" s="2" t="s">
        <v>150</v>
      </c>
      <c r="K1193" s="2" t="s">
        <v>26</v>
      </c>
      <c r="L1193" s="2">
        <v>4.2</v>
      </c>
      <c r="M1193" s="2">
        <v>800</v>
      </c>
      <c r="P1193" t="str">
        <f t="shared" si="75"/>
        <v>65%</v>
      </c>
      <c r="Q1193" s="12">
        <f t="shared" si="72"/>
        <v>0.65</v>
      </c>
      <c r="R1193" s="9">
        <f t="shared" si="73"/>
        <v>524.65</v>
      </c>
      <c r="S1193" s="9">
        <f>IF(R1193="",AVERAGEIF(Table1[Category],Table1[[#This Row],[Category]],Table2[orignal data]),Table2[[#This Row],[orignal data]])</f>
        <v>524.65</v>
      </c>
      <c r="T1193" t="str">
        <f t="shared" si="74"/>
        <v>UNIQUE</v>
      </c>
      <c r="U1193" t="str">
        <f>IF(ISBLANK(Table1[[#This Row],[SizeOption]]),"NOT AVAILABLE",Table1[[#This Row],[SizeOption]])</f>
        <v>S, M, L, XL</v>
      </c>
      <c r="Y1193" t="str">
        <f>IF(Table2[[#This Row],[Column1]]&gt;50%,"HIGH DISCOUNT","LOW DISCOUNT")</f>
        <v>HIGH DISCOUNT</v>
      </c>
    </row>
    <row r="1194" spans="1:25" x14ac:dyDescent="0.25">
      <c r="A1194" s="1" t="s">
        <v>2675</v>
      </c>
      <c r="B1194" s="1">
        <v>10970128</v>
      </c>
      <c r="C1194" s="1" t="s">
        <v>14</v>
      </c>
      <c r="D1194" s="1" t="s">
        <v>41</v>
      </c>
      <c r="E1194" s="1" t="s">
        <v>42</v>
      </c>
      <c r="F1194" s="1" t="s">
        <v>36</v>
      </c>
      <c r="G1194" s="1" t="s">
        <v>2676</v>
      </c>
      <c r="I1194" s="1">
        <v>999</v>
      </c>
      <c r="J1194" s="1" t="s">
        <v>50</v>
      </c>
      <c r="K1194" s="1" t="s">
        <v>45</v>
      </c>
      <c r="L1194" s="1">
        <v>4.3</v>
      </c>
      <c r="M1194" s="1">
        <v>800</v>
      </c>
      <c r="P1194" t="str">
        <f t="shared" si="75"/>
        <v>40%</v>
      </c>
      <c r="Q1194" s="12">
        <f t="shared" si="72"/>
        <v>0.4</v>
      </c>
      <c r="R1194" s="9">
        <f t="shared" si="73"/>
        <v>599.4</v>
      </c>
      <c r="S1194" s="9">
        <f>IF(R1194="",AVERAGEIF(Table1[Category],Table1[[#This Row],[Category]],Table2[orignal data]),Table2[[#This Row],[orignal data]])</f>
        <v>599.4</v>
      </c>
      <c r="T1194" t="str">
        <f t="shared" si="74"/>
        <v>UNIQUE</v>
      </c>
      <c r="U1194" t="str">
        <f>IF(ISBLANK(Table1[[#This Row],[SizeOption]]),"NOT AVAILABLE",Table1[[#This Row],[SizeOption]])</f>
        <v>XS, S, M, L, XL</v>
      </c>
      <c r="Y1194" t="str">
        <f>IF(Table2[[#This Row],[Column1]]&gt;50%,"HIGH DISCOUNT","LOW DISCOUNT")</f>
        <v>LOW DISCOUNT</v>
      </c>
    </row>
    <row r="1195" spans="1:25" x14ac:dyDescent="0.25">
      <c r="A1195" s="2" t="s">
        <v>2677</v>
      </c>
      <c r="B1195" s="2">
        <v>17382972</v>
      </c>
      <c r="C1195" s="2" t="s">
        <v>14</v>
      </c>
      <c r="D1195" s="2" t="s">
        <v>41</v>
      </c>
      <c r="E1195" s="2" t="s">
        <v>42</v>
      </c>
      <c r="F1195" s="2" t="s">
        <v>36</v>
      </c>
      <c r="G1195" s="2" t="s">
        <v>446</v>
      </c>
      <c r="I1195" s="2">
        <v>1498</v>
      </c>
      <c r="J1195" s="2"/>
      <c r="K1195" s="2" t="s">
        <v>146</v>
      </c>
      <c r="L1195" s="2">
        <v>4.4000000000000004</v>
      </c>
      <c r="M1195" s="2">
        <v>800</v>
      </c>
      <c r="P1195" t="str">
        <f t="shared" si="75"/>
        <v/>
      </c>
      <c r="Q1195" s="12" t="str">
        <f t="shared" si="72"/>
        <v/>
      </c>
      <c r="R1195" s="9" t="str">
        <f t="shared" si="73"/>
        <v/>
      </c>
      <c r="S1195" s="9">
        <f>IF(R1195="",AVERAGEIF(Table1[Category],Table1[[#This Row],[Category]],Table2[orignal data]),Table2[[#This Row],[orignal data]])</f>
        <v>715.78890751086249</v>
      </c>
      <c r="T1195" t="str">
        <f t="shared" si="74"/>
        <v>UNIQUE</v>
      </c>
      <c r="U1195" t="str">
        <f>IF(ISBLANK(Table1[[#This Row],[SizeOption]]),"NOT AVAILABLE",Table1[[#This Row],[SizeOption]])</f>
        <v>L, M, S, XS, XL</v>
      </c>
      <c r="Y1195" t="str">
        <f>IF(Table2[[#This Row],[Column1]]&gt;50%,"HIGH DISCOUNT","LOW DISCOUNT")</f>
        <v>HIGH DISCOUNT</v>
      </c>
    </row>
    <row r="1196" spans="1:25" x14ac:dyDescent="0.25">
      <c r="A1196" s="1" t="s">
        <v>2678</v>
      </c>
      <c r="B1196" s="1">
        <v>6832409</v>
      </c>
      <c r="C1196" s="1" t="s">
        <v>169</v>
      </c>
      <c r="D1196" s="1" t="s">
        <v>15</v>
      </c>
      <c r="E1196" s="1" t="s">
        <v>16</v>
      </c>
      <c r="F1196" s="1" t="s">
        <v>17</v>
      </c>
      <c r="G1196" s="1" t="s">
        <v>2511</v>
      </c>
      <c r="H1196">
        <v>1399</v>
      </c>
      <c r="I1196" s="1">
        <v>2799</v>
      </c>
      <c r="J1196" s="1" t="s">
        <v>84</v>
      </c>
      <c r="K1196" s="1" t="s">
        <v>171</v>
      </c>
      <c r="L1196" s="1">
        <v>4</v>
      </c>
      <c r="M1196" s="1">
        <v>799</v>
      </c>
      <c r="P1196" t="str">
        <f t="shared" si="75"/>
        <v>50%</v>
      </c>
      <c r="Q1196" s="12">
        <f t="shared" si="72"/>
        <v>0.5</v>
      </c>
      <c r="R1196" s="9">
        <f t="shared" si="73"/>
        <v>1399.5</v>
      </c>
      <c r="S1196" s="9">
        <f>IF(R1196="",AVERAGEIF(Table1[Category],Table1[[#This Row],[Category]],Table2[orignal data]),Table2[[#This Row],[orignal data]])</f>
        <v>1399.5</v>
      </c>
      <c r="T1196" t="str">
        <f t="shared" si="74"/>
        <v>UNIQUE</v>
      </c>
      <c r="U1196" t="str">
        <f>IF(ISBLANK(Table1[[#This Row],[SizeOption]]),"NOT AVAILABLE",Table1[[#This Row],[SizeOption]])</f>
        <v>28, 30, 32, 34, 36, 38</v>
      </c>
      <c r="Y1196" t="str">
        <f>IF(Table2[[#This Row],[Column1]]&gt;50%,"HIGH DISCOUNT","LOW DISCOUNT")</f>
        <v>LOW DISCOUNT</v>
      </c>
    </row>
    <row r="1197" spans="1:25" x14ac:dyDescent="0.25">
      <c r="A1197" s="2" t="s">
        <v>2679</v>
      </c>
      <c r="B1197" s="2">
        <v>10874694</v>
      </c>
      <c r="C1197" s="2" t="s">
        <v>52</v>
      </c>
      <c r="D1197" s="2" t="s">
        <v>15</v>
      </c>
      <c r="E1197" s="2" t="s">
        <v>16</v>
      </c>
      <c r="F1197" s="2" t="s">
        <v>17</v>
      </c>
      <c r="G1197" s="2" t="s">
        <v>2680</v>
      </c>
      <c r="H1197">
        <v>759</v>
      </c>
      <c r="I1197" s="2">
        <v>1899</v>
      </c>
      <c r="J1197" s="2" t="s">
        <v>55</v>
      </c>
      <c r="K1197" s="2" t="s">
        <v>816</v>
      </c>
      <c r="L1197" s="2">
        <v>3.6</v>
      </c>
      <c r="M1197" s="2">
        <v>799</v>
      </c>
      <c r="P1197" t="str">
        <f t="shared" si="75"/>
        <v>60%</v>
      </c>
      <c r="Q1197" s="12">
        <f t="shared" si="72"/>
        <v>0.6</v>
      </c>
      <c r="R1197" s="9">
        <f t="shared" si="73"/>
        <v>759.60000000000014</v>
      </c>
      <c r="S1197" s="9">
        <f>IF(R1197="",AVERAGEIF(Table1[Category],Table1[[#This Row],[Category]],Table2[orignal data]),Table2[[#This Row],[orignal data]])</f>
        <v>759.60000000000014</v>
      </c>
      <c r="T1197" t="str">
        <f t="shared" si="74"/>
        <v>UNIQUE</v>
      </c>
      <c r="U1197" t="str">
        <f>IF(ISBLANK(Table1[[#This Row],[SizeOption]]),"NOT AVAILABLE",Table1[[#This Row],[SizeOption]])</f>
        <v>30, 32, 34, 36, 38</v>
      </c>
      <c r="Y1197" t="str">
        <f>IF(Table2[[#This Row],[Column1]]&gt;50%,"HIGH DISCOUNT","LOW DISCOUNT")</f>
        <v>HIGH DISCOUNT</v>
      </c>
    </row>
    <row r="1198" spans="1:25" x14ac:dyDescent="0.25">
      <c r="A1198" s="1" t="s">
        <v>2681</v>
      </c>
      <c r="B1198" s="1">
        <v>5126314</v>
      </c>
      <c r="C1198" s="1" t="s">
        <v>604</v>
      </c>
      <c r="D1198" s="1" t="s">
        <v>28</v>
      </c>
      <c r="E1198" s="1" t="s">
        <v>29</v>
      </c>
      <c r="F1198" s="1" t="s">
        <v>17</v>
      </c>
      <c r="G1198" s="1" t="s">
        <v>2682</v>
      </c>
      <c r="H1198">
        <v>597</v>
      </c>
      <c r="I1198" s="1">
        <v>1299</v>
      </c>
      <c r="J1198" s="1" t="s">
        <v>606</v>
      </c>
      <c r="K1198" s="1" t="s">
        <v>607</v>
      </c>
      <c r="L1198" s="1">
        <v>3.9</v>
      </c>
      <c r="M1198" s="1">
        <v>799</v>
      </c>
      <c r="P1198" t="str">
        <f t="shared" si="75"/>
        <v>54%</v>
      </c>
      <c r="Q1198" s="12">
        <f t="shared" si="72"/>
        <v>0.54</v>
      </c>
      <c r="R1198" s="9">
        <f t="shared" si="73"/>
        <v>597.54</v>
      </c>
      <c r="S1198" s="9">
        <f>IF(R1198="",AVERAGEIF(Table1[Category],Table1[[#This Row],[Category]],Table2[orignal data]),Table2[[#This Row],[orignal data]])</f>
        <v>597.54</v>
      </c>
      <c r="T1198" t="str">
        <f t="shared" si="74"/>
        <v>UNIQUE</v>
      </c>
      <c r="U1198" t="str">
        <f>IF(ISBLANK(Table1[[#This Row],[SizeOption]]),"NOT AVAILABLE",Table1[[#This Row],[SizeOption]])</f>
        <v>36, 38, 40, 42, 44</v>
      </c>
      <c r="Y1198" t="str">
        <f>IF(Table2[[#This Row],[Column1]]&gt;50%,"HIGH DISCOUNT","LOW DISCOUNT")</f>
        <v>HIGH DISCOUNT</v>
      </c>
    </row>
    <row r="1199" spans="1:25" x14ac:dyDescent="0.25">
      <c r="A1199" s="2" t="s">
        <v>2683</v>
      </c>
      <c r="B1199" s="2">
        <v>2070846</v>
      </c>
      <c r="C1199" s="2" t="s">
        <v>33</v>
      </c>
      <c r="D1199" s="2" t="s">
        <v>34</v>
      </c>
      <c r="E1199" s="2" t="s">
        <v>118</v>
      </c>
      <c r="F1199" s="2" t="s">
        <v>36</v>
      </c>
      <c r="G1199" s="2" t="s">
        <v>2684</v>
      </c>
      <c r="H1199">
        <v>597</v>
      </c>
      <c r="I1199" s="2">
        <v>995</v>
      </c>
      <c r="J1199" s="2" t="s">
        <v>50</v>
      </c>
      <c r="K1199" s="2" t="s">
        <v>2685</v>
      </c>
      <c r="L1199" s="2">
        <v>4.5999999999999996</v>
      </c>
      <c r="M1199" s="2">
        <v>799</v>
      </c>
      <c r="P1199" t="str">
        <f t="shared" si="75"/>
        <v>40%</v>
      </c>
      <c r="Q1199" s="12">
        <f t="shared" si="72"/>
        <v>0.4</v>
      </c>
      <c r="R1199" s="9">
        <f t="shared" si="73"/>
        <v>597</v>
      </c>
      <c r="S1199" s="9">
        <f>IF(R1199="",AVERAGEIF(Table1[Category],Table1[[#This Row],[Category]],Table2[orignal data]),Table2[[#This Row],[orignal data]])</f>
        <v>597</v>
      </c>
      <c r="T1199" t="str">
        <f t="shared" si="74"/>
        <v>UNIQUE</v>
      </c>
      <c r="U1199" t="str">
        <f>IF(ISBLANK(Table1[[#This Row],[SizeOption]]),"NOT AVAILABLE",Table1[[#This Row],[SizeOption]])</f>
        <v>32B, 32C, 34B, 34C, 34D, 36B, 36C, 36D, 38B</v>
      </c>
      <c r="Y1199" t="str">
        <f>IF(Table2[[#This Row],[Column1]]&gt;50%,"HIGH DISCOUNT","LOW DISCOUNT")</f>
        <v>LOW DISCOUNT</v>
      </c>
    </row>
    <row r="1200" spans="1:25" x14ac:dyDescent="0.25">
      <c r="A1200" s="1" t="s">
        <v>2686</v>
      </c>
      <c r="B1200" s="1">
        <v>9043557</v>
      </c>
      <c r="C1200" s="1" t="s">
        <v>97</v>
      </c>
      <c r="D1200" s="1" t="s">
        <v>98</v>
      </c>
      <c r="E1200" s="1" t="s">
        <v>93</v>
      </c>
      <c r="F1200" s="1" t="s">
        <v>36</v>
      </c>
      <c r="G1200" s="1" t="s">
        <v>2687</v>
      </c>
      <c r="H1200">
        <v>629</v>
      </c>
      <c r="I1200" s="1">
        <v>1799</v>
      </c>
      <c r="J1200" s="1" t="s">
        <v>150</v>
      </c>
      <c r="K1200" s="1" t="s">
        <v>100</v>
      </c>
      <c r="L1200" s="1">
        <v>4</v>
      </c>
      <c r="M1200" s="1">
        <v>799</v>
      </c>
      <c r="P1200" t="str">
        <f t="shared" si="75"/>
        <v>65%</v>
      </c>
      <c r="Q1200" s="12">
        <f t="shared" si="72"/>
        <v>0.65</v>
      </c>
      <c r="R1200" s="9">
        <f t="shared" si="73"/>
        <v>629.64999999999986</v>
      </c>
      <c r="S1200" s="9">
        <f>IF(R1200="",AVERAGEIF(Table1[Category],Table1[[#This Row],[Category]],Table2[orignal data]),Table2[[#This Row],[orignal data]])</f>
        <v>629.64999999999986</v>
      </c>
      <c r="T1200" t="str">
        <f t="shared" si="74"/>
        <v>UNIQUE</v>
      </c>
      <c r="U1200" t="str">
        <f>IF(ISBLANK(Table1[[#This Row],[SizeOption]]),"NOT AVAILABLE",Table1[[#This Row],[SizeOption]])</f>
        <v>XS, S, M, L, XL, XXL, 3XL</v>
      </c>
      <c r="Y1200" t="str">
        <f>IF(Table2[[#This Row],[Column1]]&gt;50%,"HIGH DISCOUNT","LOW DISCOUNT")</f>
        <v>HIGH DISCOUNT</v>
      </c>
    </row>
    <row r="1201" spans="1:25" x14ac:dyDescent="0.25">
      <c r="A1201" s="2" t="s">
        <v>2688</v>
      </c>
      <c r="B1201" s="2">
        <v>8678037</v>
      </c>
      <c r="C1201" s="2" t="s">
        <v>169</v>
      </c>
      <c r="D1201" s="2" t="s">
        <v>15</v>
      </c>
      <c r="E1201" s="2" t="s">
        <v>16</v>
      </c>
      <c r="F1201" s="2" t="s">
        <v>17</v>
      </c>
      <c r="G1201" s="2" t="s">
        <v>2689</v>
      </c>
      <c r="H1201">
        <v>1679</v>
      </c>
      <c r="I1201" s="2">
        <v>2799</v>
      </c>
      <c r="J1201" s="2" t="s">
        <v>50</v>
      </c>
      <c r="K1201" s="2" t="s">
        <v>171</v>
      </c>
      <c r="L1201" s="2">
        <v>4.2</v>
      </c>
      <c r="M1201" s="2">
        <v>798</v>
      </c>
      <c r="P1201" t="str">
        <f t="shared" si="75"/>
        <v>40%</v>
      </c>
      <c r="Q1201" s="12">
        <f t="shared" si="72"/>
        <v>0.4</v>
      </c>
      <c r="R1201" s="9">
        <f t="shared" si="73"/>
        <v>1679.3999999999999</v>
      </c>
      <c r="S1201" s="9">
        <f>IF(R1201="",AVERAGEIF(Table1[Category],Table1[[#This Row],[Category]],Table2[orignal data]),Table2[[#This Row],[orignal data]])</f>
        <v>1679.3999999999999</v>
      </c>
      <c r="T1201" t="str">
        <f t="shared" si="74"/>
        <v>UNIQUE</v>
      </c>
      <c r="U1201" t="str">
        <f>IF(ISBLANK(Table1[[#This Row],[SizeOption]]),"NOT AVAILABLE",Table1[[#This Row],[SizeOption]])</f>
        <v>28, 30, 32, 34, 36, 38</v>
      </c>
      <c r="Y1201" t="str">
        <f>IF(Table2[[#This Row],[Column1]]&gt;50%,"HIGH DISCOUNT","LOW DISCOUNT")</f>
        <v>LOW DISCOUNT</v>
      </c>
    </row>
    <row r="1202" spans="1:25" x14ac:dyDescent="0.25">
      <c r="A1202" s="1" t="s">
        <v>2690</v>
      </c>
      <c r="B1202" s="1">
        <v>10106527</v>
      </c>
      <c r="C1202" s="1" t="s">
        <v>67</v>
      </c>
      <c r="D1202" s="1" t="s">
        <v>15</v>
      </c>
      <c r="E1202" s="1" t="s">
        <v>137</v>
      </c>
      <c r="F1202" s="1" t="s">
        <v>17</v>
      </c>
      <c r="G1202" s="1" t="s">
        <v>2691</v>
      </c>
      <c r="H1202">
        <v>454</v>
      </c>
      <c r="I1202" s="1">
        <v>1299</v>
      </c>
      <c r="J1202" s="1" t="s">
        <v>150</v>
      </c>
      <c r="K1202" s="1" t="s">
        <v>20</v>
      </c>
      <c r="L1202" s="1">
        <v>4.4000000000000004</v>
      </c>
      <c r="M1202" s="1">
        <v>798</v>
      </c>
      <c r="P1202" t="str">
        <f t="shared" si="75"/>
        <v>65%</v>
      </c>
      <c r="Q1202" s="12">
        <f t="shared" si="72"/>
        <v>0.65</v>
      </c>
      <c r="R1202" s="9">
        <f t="shared" si="73"/>
        <v>454.65</v>
      </c>
      <c r="S1202" s="9">
        <f>IF(R1202="",AVERAGEIF(Table1[Category],Table1[[#This Row],[Category]],Table2[orignal data]),Table2[[#This Row],[orignal data]])</f>
        <v>454.65</v>
      </c>
      <c r="T1202" t="str">
        <f t="shared" si="74"/>
        <v>UNIQUE</v>
      </c>
      <c r="U1202" t="str">
        <f>IF(ISBLANK(Table1[[#This Row],[SizeOption]]),"NOT AVAILABLE",Table1[[#This Row],[SizeOption]])</f>
        <v>28, 30, 32, 34, 36</v>
      </c>
      <c r="Y1202" t="str">
        <f>IF(Table2[[#This Row],[Column1]]&gt;50%,"HIGH DISCOUNT","LOW DISCOUNT")</f>
        <v>HIGH DISCOUNT</v>
      </c>
    </row>
    <row r="1203" spans="1:25" x14ac:dyDescent="0.25">
      <c r="A1203" s="2" t="s">
        <v>2692</v>
      </c>
      <c r="B1203" s="2">
        <v>12947374</v>
      </c>
      <c r="C1203" s="2" t="s">
        <v>14</v>
      </c>
      <c r="D1203" s="2" t="s">
        <v>28</v>
      </c>
      <c r="E1203" s="2" t="s">
        <v>29</v>
      </c>
      <c r="F1203" s="2" t="s">
        <v>17</v>
      </c>
      <c r="G1203" s="2" t="s">
        <v>2693</v>
      </c>
      <c r="H1203">
        <v>584</v>
      </c>
      <c r="I1203" s="2">
        <v>1299</v>
      </c>
      <c r="J1203" s="2" t="s">
        <v>25</v>
      </c>
      <c r="K1203" s="2" t="s">
        <v>31</v>
      </c>
      <c r="L1203" s="2">
        <v>4.4000000000000004</v>
      </c>
      <c r="M1203" s="2">
        <v>798</v>
      </c>
      <c r="P1203" t="str">
        <f t="shared" si="75"/>
        <v>55%</v>
      </c>
      <c r="Q1203" s="12">
        <f t="shared" si="72"/>
        <v>0.55000000000000004</v>
      </c>
      <c r="R1203" s="9">
        <f t="shared" si="73"/>
        <v>584.54999999999995</v>
      </c>
      <c r="S1203" s="9">
        <f>IF(R1203="",AVERAGEIF(Table1[Category],Table1[[#This Row],[Category]],Table2[orignal data]),Table2[[#This Row],[orignal data]])</f>
        <v>584.54999999999995</v>
      </c>
      <c r="T1203" t="str">
        <f t="shared" si="74"/>
        <v>UNIQUE</v>
      </c>
      <c r="U1203" t="str">
        <f>IF(ISBLANK(Table1[[#This Row],[SizeOption]]),"NOT AVAILABLE",Table1[[#This Row],[SizeOption]])</f>
        <v>38, 40, 42, 44, 46, 48</v>
      </c>
      <c r="Y1203" t="str">
        <f>IF(Table2[[#This Row],[Column1]]&gt;50%,"HIGH DISCOUNT","LOW DISCOUNT")</f>
        <v>HIGH DISCOUNT</v>
      </c>
    </row>
    <row r="1204" spans="1:25" x14ac:dyDescent="0.25">
      <c r="A1204" s="1" t="s">
        <v>2694</v>
      </c>
      <c r="B1204" s="1">
        <v>11363844</v>
      </c>
      <c r="C1204" s="1" t="s">
        <v>169</v>
      </c>
      <c r="D1204" s="1" t="s">
        <v>28</v>
      </c>
      <c r="E1204" s="1" t="s">
        <v>42</v>
      </c>
      <c r="F1204" s="1" t="s">
        <v>17</v>
      </c>
      <c r="G1204" s="1" t="s">
        <v>2695</v>
      </c>
      <c r="H1204">
        <v>449</v>
      </c>
      <c r="I1204" s="1">
        <v>899</v>
      </c>
      <c r="J1204" s="1" t="s">
        <v>84</v>
      </c>
      <c r="K1204" s="1" t="s">
        <v>39</v>
      </c>
      <c r="L1204" s="1">
        <v>4.4000000000000004</v>
      </c>
      <c r="M1204" s="1">
        <v>798</v>
      </c>
      <c r="P1204" t="str">
        <f t="shared" si="75"/>
        <v>50%</v>
      </c>
      <c r="Q1204" s="12">
        <f t="shared" si="72"/>
        <v>0.5</v>
      </c>
      <c r="R1204" s="9">
        <f t="shared" si="73"/>
        <v>449.5</v>
      </c>
      <c r="S1204" s="9">
        <f>IF(R1204="",AVERAGEIF(Table1[Category],Table1[[#This Row],[Category]],Table2[orignal data]),Table2[[#This Row],[orignal data]])</f>
        <v>449.5</v>
      </c>
      <c r="T1204" t="str">
        <f t="shared" si="74"/>
        <v>UNIQUE</v>
      </c>
      <c r="U1204" t="str">
        <f>IF(ISBLANK(Table1[[#This Row],[SizeOption]]),"NOT AVAILABLE",Table1[[#This Row],[SizeOption]])</f>
        <v>S, M, L, XL, XXL</v>
      </c>
      <c r="Y1204" t="str">
        <f>IF(Table2[[#This Row],[Column1]]&gt;50%,"HIGH DISCOUNT","LOW DISCOUNT")</f>
        <v>LOW DISCOUNT</v>
      </c>
    </row>
    <row r="1205" spans="1:25" x14ac:dyDescent="0.25">
      <c r="A1205" s="2" t="s">
        <v>2696</v>
      </c>
      <c r="B1205" s="2">
        <v>14252714</v>
      </c>
      <c r="C1205" s="2" t="s">
        <v>837</v>
      </c>
      <c r="D1205" s="2" t="s">
        <v>76</v>
      </c>
      <c r="E1205" s="2" t="s">
        <v>320</v>
      </c>
      <c r="F1205" s="2" t="s">
        <v>36</v>
      </c>
      <c r="G1205" s="2" t="s">
        <v>2697</v>
      </c>
      <c r="H1205">
        <v>394</v>
      </c>
      <c r="I1205" s="2">
        <v>2078</v>
      </c>
      <c r="J1205" s="2" t="s">
        <v>2698</v>
      </c>
      <c r="K1205" s="2" t="s">
        <v>164</v>
      </c>
      <c r="L1205" s="2">
        <v>3.9</v>
      </c>
      <c r="M1205" s="2">
        <v>798</v>
      </c>
      <c r="P1205" t="str">
        <f t="shared" si="75"/>
        <v>81%</v>
      </c>
      <c r="Q1205" s="12">
        <f t="shared" si="72"/>
        <v>0.81</v>
      </c>
      <c r="R1205" s="9">
        <f t="shared" si="73"/>
        <v>394.81999999999994</v>
      </c>
      <c r="S1205" s="9">
        <f>IF(R1205="",AVERAGEIF(Table1[Category],Table1[[#This Row],[Category]],Table2[orignal data]),Table2[[#This Row],[orignal data]])</f>
        <v>394.81999999999994</v>
      </c>
      <c r="T1205" t="str">
        <f t="shared" si="74"/>
        <v>UNIQUE</v>
      </c>
      <c r="U1205" t="str">
        <f>IF(ISBLANK(Table1[[#This Row],[SizeOption]]),"NOT AVAILABLE",Table1[[#This Row],[SizeOption]])</f>
        <v>Onesize</v>
      </c>
      <c r="Y1205" t="str">
        <f>IF(Table2[[#This Row],[Column1]]&gt;50%,"HIGH DISCOUNT","LOW DISCOUNT")</f>
        <v>HIGH DISCOUNT</v>
      </c>
    </row>
    <row r="1206" spans="1:25" x14ac:dyDescent="0.25">
      <c r="A1206" s="1" t="s">
        <v>2699</v>
      </c>
      <c r="B1206" s="1">
        <v>12332472</v>
      </c>
      <c r="C1206" s="1" t="s">
        <v>47</v>
      </c>
      <c r="D1206" s="1" t="s">
        <v>68</v>
      </c>
      <c r="E1206" s="1" t="s">
        <v>23</v>
      </c>
      <c r="F1206" s="1" t="s">
        <v>36</v>
      </c>
      <c r="G1206" s="1" t="s">
        <v>2700</v>
      </c>
      <c r="H1206">
        <v>594</v>
      </c>
      <c r="I1206" s="1">
        <v>1699</v>
      </c>
      <c r="J1206" s="1" t="s">
        <v>150</v>
      </c>
      <c r="K1206" s="1" t="s">
        <v>45</v>
      </c>
      <c r="L1206" s="1">
        <v>4.0999999999999996</v>
      </c>
      <c r="M1206" s="1">
        <v>798</v>
      </c>
      <c r="P1206" t="str">
        <f t="shared" si="75"/>
        <v>65%</v>
      </c>
      <c r="Q1206" s="12">
        <f t="shared" si="72"/>
        <v>0.65</v>
      </c>
      <c r="R1206" s="9">
        <f t="shared" si="73"/>
        <v>594.64999999999986</v>
      </c>
      <c r="S1206" s="9">
        <f>IF(R1206="",AVERAGEIF(Table1[Category],Table1[[#This Row],[Category]],Table2[orignal data]),Table2[[#This Row],[orignal data]])</f>
        <v>594.64999999999986</v>
      </c>
      <c r="T1206" t="str">
        <f t="shared" si="74"/>
        <v>UNIQUE</v>
      </c>
      <c r="U1206" t="str">
        <f>IF(ISBLANK(Table1[[#This Row],[SizeOption]]),"NOT AVAILABLE",Table1[[#This Row],[SizeOption]])</f>
        <v>XS, S, M, L, XL</v>
      </c>
      <c r="Y1206" t="str">
        <f>IF(Table2[[#This Row],[Column1]]&gt;50%,"HIGH DISCOUNT","LOW DISCOUNT")</f>
        <v>HIGH DISCOUNT</v>
      </c>
    </row>
    <row r="1207" spans="1:25" x14ac:dyDescent="0.25">
      <c r="A1207" s="2" t="s">
        <v>2701</v>
      </c>
      <c r="B1207" s="2">
        <v>11118406</v>
      </c>
      <c r="C1207" s="2" t="s">
        <v>14</v>
      </c>
      <c r="D1207" s="2" t="s">
        <v>41</v>
      </c>
      <c r="E1207" s="2" t="s">
        <v>16</v>
      </c>
      <c r="F1207" s="2" t="s">
        <v>36</v>
      </c>
      <c r="G1207" s="2" t="s">
        <v>2702</v>
      </c>
      <c r="I1207" s="2">
        <v>1799</v>
      </c>
      <c r="J1207" s="2" t="s">
        <v>84</v>
      </c>
      <c r="K1207" s="2" t="s">
        <v>134</v>
      </c>
      <c r="L1207" s="2">
        <v>3.9</v>
      </c>
      <c r="M1207" s="2">
        <v>798</v>
      </c>
      <c r="P1207" t="str">
        <f t="shared" si="75"/>
        <v>50%</v>
      </c>
      <c r="Q1207" s="12">
        <f t="shared" si="72"/>
        <v>0.5</v>
      </c>
      <c r="R1207" s="9">
        <f t="shared" si="73"/>
        <v>899.5</v>
      </c>
      <c r="S1207" s="9">
        <f>IF(R1207="",AVERAGEIF(Table1[Category],Table1[[#This Row],[Category]],Table2[orignal data]),Table2[[#This Row],[orignal data]])</f>
        <v>899.5</v>
      </c>
      <c r="T1207" t="str">
        <f t="shared" si="74"/>
        <v>UNIQUE</v>
      </c>
      <c r="U1207" t="str">
        <f>IF(ISBLANK(Table1[[#This Row],[SizeOption]]),"NOT AVAILABLE",Table1[[#This Row],[SizeOption]])</f>
        <v>26, 28, 30, 32, 34, 36</v>
      </c>
      <c r="Y1207" t="str">
        <f>IF(Table2[[#This Row],[Column1]]&gt;50%,"HIGH DISCOUNT","LOW DISCOUNT")</f>
        <v>LOW DISCOUNT</v>
      </c>
    </row>
    <row r="1208" spans="1:25" x14ac:dyDescent="0.25">
      <c r="A1208" s="1" t="s">
        <v>2703</v>
      </c>
      <c r="B1208" s="1">
        <v>11373642</v>
      </c>
      <c r="C1208" s="1" t="s">
        <v>14</v>
      </c>
      <c r="D1208" s="1" t="s">
        <v>41</v>
      </c>
      <c r="E1208" s="1" t="s">
        <v>48</v>
      </c>
      <c r="F1208" s="1" t="s">
        <v>36</v>
      </c>
      <c r="G1208" s="1" t="s">
        <v>2704</v>
      </c>
      <c r="I1208" s="1">
        <v>599</v>
      </c>
      <c r="J1208" s="1" t="s">
        <v>55</v>
      </c>
      <c r="K1208" s="1" t="s">
        <v>45</v>
      </c>
      <c r="L1208" s="1">
        <v>4.5</v>
      </c>
      <c r="M1208" s="1">
        <v>798</v>
      </c>
      <c r="P1208" t="str">
        <f t="shared" si="75"/>
        <v>60%</v>
      </c>
      <c r="Q1208" s="12">
        <f t="shared" si="72"/>
        <v>0.6</v>
      </c>
      <c r="R1208" s="9">
        <f t="shared" si="73"/>
        <v>239.60000000000002</v>
      </c>
      <c r="S1208" s="9">
        <f>IF(R1208="",AVERAGEIF(Table1[Category],Table1[[#This Row],[Category]],Table2[orignal data]),Table2[[#This Row],[orignal data]])</f>
        <v>239.60000000000002</v>
      </c>
      <c r="T1208" t="str">
        <f t="shared" si="74"/>
        <v>UNIQUE</v>
      </c>
      <c r="U1208" t="str">
        <f>IF(ISBLANK(Table1[[#This Row],[SizeOption]]),"NOT AVAILABLE",Table1[[#This Row],[SizeOption]])</f>
        <v>XS, S, M, L, XL</v>
      </c>
      <c r="Y1208" t="str">
        <f>IF(Table2[[#This Row],[Column1]]&gt;50%,"HIGH DISCOUNT","LOW DISCOUNT")</f>
        <v>HIGH DISCOUNT</v>
      </c>
    </row>
    <row r="1209" spans="1:25" x14ac:dyDescent="0.25">
      <c r="A1209" s="2" t="s">
        <v>2705</v>
      </c>
      <c r="B1209" s="2">
        <v>13859128</v>
      </c>
      <c r="C1209" s="2" t="s">
        <v>14</v>
      </c>
      <c r="D1209" s="2" t="s">
        <v>15</v>
      </c>
      <c r="E1209" s="2" t="s">
        <v>53</v>
      </c>
      <c r="F1209" s="2" t="s">
        <v>17</v>
      </c>
      <c r="G1209" s="2" t="s">
        <v>2706</v>
      </c>
      <c r="I1209" s="2">
        <v>1299</v>
      </c>
      <c r="J1209" s="2"/>
      <c r="K1209" s="2" t="s">
        <v>20</v>
      </c>
      <c r="L1209" s="2">
        <v>4</v>
      </c>
      <c r="M1209" s="2">
        <v>797</v>
      </c>
      <c r="P1209" t="str">
        <f t="shared" si="75"/>
        <v/>
      </c>
      <c r="Q1209" s="12" t="str">
        <f t="shared" si="72"/>
        <v/>
      </c>
      <c r="R1209" s="9" t="str">
        <f t="shared" si="73"/>
        <v/>
      </c>
      <c r="S1209" s="9">
        <f>IF(R1209="",AVERAGEIF(Table1[Category],Table1[[#This Row],[Category]],Table2[orignal data]),Table2[[#This Row],[orignal data]])</f>
        <v>892.27590339892538</v>
      </c>
      <c r="T1209" t="str">
        <f t="shared" si="74"/>
        <v>UNIQUE</v>
      </c>
      <c r="U1209" t="str">
        <f>IF(ISBLANK(Table1[[#This Row],[SizeOption]]),"NOT AVAILABLE",Table1[[#This Row],[SizeOption]])</f>
        <v>28, 30, 32, 34, 36</v>
      </c>
      <c r="Y1209" t="str">
        <f>IF(Table2[[#This Row],[Column1]]&gt;50%,"HIGH DISCOUNT","LOW DISCOUNT")</f>
        <v>HIGH DISCOUNT</v>
      </c>
    </row>
    <row r="1210" spans="1:25" x14ac:dyDescent="0.25">
      <c r="A1210" s="1" t="s">
        <v>2707</v>
      </c>
      <c r="B1210" s="1">
        <v>8469237</v>
      </c>
      <c r="C1210" s="1" t="s">
        <v>22</v>
      </c>
      <c r="D1210" s="1" t="s">
        <v>15</v>
      </c>
      <c r="E1210" s="1" t="s">
        <v>16</v>
      </c>
      <c r="F1210" s="1" t="s">
        <v>17</v>
      </c>
      <c r="G1210" s="1" t="s">
        <v>2708</v>
      </c>
      <c r="H1210">
        <v>849</v>
      </c>
      <c r="I1210" s="1">
        <v>2499</v>
      </c>
      <c r="J1210" s="1" t="s">
        <v>403</v>
      </c>
      <c r="K1210" s="1" t="s">
        <v>56</v>
      </c>
      <c r="L1210" s="1">
        <v>3.7</v>
      </c>
      <c r="M1210" s="1">
        <v>797</v>
      </c>
      <c r="P1210" t="str">
        <f t="shared" si="75"/>
        <v>66%</v>
      </c>
      <c r="Q1210" s="12">
        <f t="shared" si="72"/>
        <v>0.66</v>
      </c>
      <c r="R1210" s="9">
        <f t="shared" si="73"/>
        <v>849.65999999999985</v>
      </c>
      <c r="S1210" s="9">
        <f>IF(R1210="",AVERAGEIF(Table1[Category],Table1[[#This Row],[Category]],Table2[orignal data]),Table2[[#This Row],[orignal data]])</f>
        <v>849.65999999999985</v>
      </c>
      <c r="T1210" t="str">
        <f t="shared" si="74"/>
        <v>UNIQUE</v>
      </c>
      <c r="U1210" t="str">
        <f>IF(ISBLANK(Table1[[#This Row],[SizeOption]]),"NOT AVAILABLE",Table1[[#This Row],[SizeOption]])</f>
        <v>30, 32, 34, 36</v>
      </c>
      <c r="Y1210" t="str">
        <f>IF(Table2[[#This Row],[Column1]]&gt;50%,"HIGH DISCOUNT","LOW DISCOUNT")</f>
        <v>HIGH DISCOUNT</v>
      </c>
    </row>
    <row r="1211" spans="1:25" x14ac:dyDescent="0.25">
      <c r="A1211" s="2" t="s">
        <v>2709</v>
      </c>
      <c r="B1211" s="2">
        <v>9965829</v>
      </c>
      <c r="C1211" s="2" t="s">
        <v>67</v>
      </c>
      <c r="D1211" s="2" t="s">
        <v>68</v>
      </c>
      <c r="E1211" s="2" t="s">
        <v>306</v>
      </c>
      <c r="F1211" s="2" t="s">
        <v>17</v>
      </c>
      <c r="G1211" s="2" t="s">
        <v>2710</v>
      </c>
      <c r="H1211">
        <v>594</v>
      </c>
      <c r="I1211" s="2">
        <v>1699</v>
      </c>
      <c r="J1211" s="2" t="s">
        <v>150</v>
      </c>
      <c r="K1211" s="2" t="s">
        <v>39</v>
      </c>
      <c r="L1211" s="2">
        <v>3.9</v>
      </c>
      <c r="M1211" s="2">
        <v>797</v>
      </c>
      <c r="P1211" t="str">
        <f t="shared" si="75"/>
        <v>65%</v>
      </c>
      <c r="Q1211" s="12">
        <f t="shared" si="72"/>
        <v>0.65</v>
      </c>
      <c r="R1211" s="9">
        <f t="shared" si="73"/>
        <v>594.64999999999986</v>
      </c>
      <c r="S1211" s="9">
        <f>IF(R1211="",AVERAGEIF(Table1[Category],Table1[[#This Row],[Category]],Table2[orignal data]),Table2[[#This Row],[orignal data]])</f>
        <v>594.64999999999986</v>
      </c>
      <c r="T1211" t="str">
        <f t="shared" si="74"/>
        <v>UNIQUE</v>
      </c>
      <c r="U1211" t="str">
        <f>IF(ISBLANK(Table1[[#This Row],[SizeOption]]),"NOT AVAILABLE",Table1[[#This Row],[SizeOption]])</f>
        <v>S, M, L, XL, XXL</v>
      </c>
      <c r="Y1211" t="str">
        <f>IF(Table2[[#This Row],[Column1]]&gt;50%,"HIGH DISCOUNT","LOW DISCOUNT")</f>
        <v>HIGH DISCOUNT</v>
      </c>
    </row>
    <row r="1212" spans="1:25" x14ac:dyDescent="0.25">
      <c r="A1212" s="1" t="s">
        <v>2711</v>
      </c>
      <c r="B1212" s="1">
        <v>2948536</v>
      </c>
      <c r="C1212" s="1" t="s">
        <v>52</v>
      </c>
      <c r="D1212" s="1" t="s">
        <v>28</v>
      </c>
      <c r="E1212" s="1" t="s">
        <v>29</v>
      </c>
      <c r="F1212" s="1" t="s">
        <v>17</v>
      </c>
      <c r="G1212" s="1" t="s">
        <v>2712</v>
      </c>
      <c r="H1212">
        <v>499</v>
      </c>
      <c r="I1212" s="1">
        <v>1249</v>
      </c>
      <c r="J1212" s="1" t="s">
        <v>55</v>
      </c>
      <c r="K1212" s="1" t="s">
        <v>90</v>
      </c>
      <c r="L1212" s="1">
        <v>4.0999999999999996</v>
      </c>
      <c r="M1212" s="1">
        <v>797</v>
      </c>
      <c r="P1212" t="str">
        <f t="shared" si="75"/>
        <v>60%</v>
      </c>
      <c r="Q1212" s="12">
        <f t="shared" si="72"/>
        <v>0.6</v>
      </c>
      <c r="R1212" s="9">
        <f t="shared" si="73"/>
        <v>499.6</v>
      </c>
      <c r="S1212" s="9">
        <f>IF(R1212="",AVERAGEIF(Table1[Category],Table1[[#This Row],[Category]],Table2[orignal data]),Table2[[#This Row],[orignal data]])</f>
        <v>499.6</v>
      </c>
      <c r="T1212" t="str">
        <f t="shared" si="74"/>
        <v>UNIQUE</v>
      </c>
      <c r="U1212" t="str">
        <f>IF(ISBLANK(Table1[[#This Row],[SizeOption]]),"NOT AVAILABLE",Table1[[#This Row],[SizeOption]])</f>
        <v>39, 40, 42, 44</v>
      </c>
      <c r="Y1212" t="str">
        <f>IF(Table2[[#This Row],[Column1]]&gt;50%,"HIGH DISCOUNT","LOW DISCOUNT")</f>
        <v>HIGH DISCOUNT</v>
      </c>
    </row>
    <row r="1213" spans="1:25" x14ac:dyDescent="0.25">
      <c r="A1213" s="2" t="s">
        <v>2713</v>
      </c>
      <c r="B1213" s="2">
        <v>10188243</v>
      </c>
      <c r="C1213" s="2" t="s">
        <v>169</v>
      </c>
      <c r="D1213" s="2" t="s">
        <v>28</v>
      </c>
      <c r="E1213" s="2" t="s">
        <v>42</v>
      </c>
      <c r="F1213" s="2" t="s">
        <v>17</v>
      </c>
      <c r="G1213" s="2" t="s">
        <v>2714</v>
      </c>
      <c r="H1213">
        <v>649</v>
      </c>
      <c r="I1213" s="2">
        <v>1299</v>
      </c>
      <c r="J1213" s="2" t="s">
        <v>84</v>
      </c>
      <c r="K1213" s="2" t="s">
        <v>39</v>
      </c>
      <c r="L1213" s="2">
        <v>4.2</v>
      </c>
      <c r="M1213" s="2">
        <v>797</v>
      </c>
      <c r="P1213" t="str">
        <f t="shared" si="75"/>
        <v>50%</v>
      </c>
      <c r="Q1213" s="12">
        <f t="shared" si="72"/>
        <v>0.5</v>
      </c>
      <c r="R1213" s="9">
        <f t="shared" si="73"/>
        <v>649.5</v>
      </c>
      <c r="S1213" s="9">
        <f>IF(R1213="",AVERAGEIF(Table1[Category],Table1[[#This Row],[Category]],Table2[orignal data]),Table2[[#This Row],[orignal data]])</f>
        <v>649.5</v>
      </c>
      <c r="T1213" t="str">
        <f t="shared" si="74"/>
        <v>UNIQUE</v>
      </c>
      <c r="U1213" t="str">
        <f>IF(ISBLANK(Table1[[#This Row],[SizeOption]]),"NOT AVAILABLE",Table1[[#This Row],[SizeOption]])</f>
        <v>S, M, L, XL, XXL</v>
      </c>
      <c r="Y1213" t="str">
        <f>IF(Table2[[#This Row],[Column1]]&gt;50%,"HIGH DISCOUNT","LOW DISCOUNT")</f>
        <v>LOW DISCOUNT</v>
      </c>
    </row>
    <row r="1214" spans="1:25" x14ac:dyDescent="0.25">
      <c r="A1214" s="1" t="s">
        <v>2715</v>
      </c>
      <c r="B1214" s="1">
        <v>5276346</v>
      </c>
      <c r="C1214" s="1" t="s">
        <v>47</v>
      </c>
      <c r="D1214" s="1" t="s">
        <v>28</v>
      </c>
      <c r="E1214" s="1" t="s">
        <v>29</v>
      </c>
      <c r="F1214" s="1" t="s">
        <v>17</v>
      </c>
      <c r="G1214" s="1" t="s">
        <v>2716</v>
      </c>
      <c r="H1214">
        <v>799</v>
      </c>
      <c r="I1214" s="1">
        <v>1999</v>
      </c>
      <c r="J1214" s="1" t="s">
        <v>55</v>
      </c>
      <c r="K1214" s="1" t="s">
        <v>253</v>
      </c>
      <c r="L1214" s="1">
        <v>4.0999999999999996</v>
      </c>
      <c r="M1214" s="1">
        <v>797</v>
      </c>
      <c r="P1214" t="str">
        <f t="shared" si="75"/>
        <v>60%</v>
      </c>
      <c r="Q1214" s="12">
        <f t="shared" si="72"/>
        <v>0.6</v>
      </c>
      <c r="R1214" s="9">
        <f t="shared" si="73"/>
        <v>799.60000000000014</v>
      </c>
      <c r="S1214" s="9">
        <f>IF(R1214="",AVERAGEIF(Table1[Category],Table1[[#This Row],[Category]],Table2[orignal data]),Table2[[#This Row],[orignal data]])</f>
        <v>799.60000000000014</v>
      </c>
      <c r="T1214" t="str">
        <f t="shared" si="74"/>
        <v>UNIQUE</v>
      </c>
      <c r="U1214" t="str">
        <f>IF(ISBLANK(Table1[[#This Row],[SizeOption]]),"NOT AVAILABLE",Table1[[#This Row],[SizeOption]])</f>
        <v>38, 40, 42, 44</v>
      </c>
      <c r="Y1214" t="str">
        <f>IF(Table2[[#This Row],[Column1]]&gt;50%,"HIGH DISCOUNT","LOW DISCOUNT")</f>
        <v>HIGH DISCOUNT</v>
      </c>
    </row>
    <row r="1215" spans="1:25" x14ac:dyDescent="0.25">
      <c r="A1215" s="2" t="s">
        <v>2717</v>
      </c>
      <c r="B1215" s="2">
        <v>10986200</v>
      </c>
      <c r="C1215" s="2" t="s">
        <v>924</v>
      </c>
      <c r="D1215" s="2" t="s">
        <v>76</v>
      </c>
      <c r="E1215" s="2" t="s">
        <v>320</v>
      </c>
      <c r="F1215" s="2" t="s">
        <v>36</v>
      </c>
      <c r="G1215" s="2" t="s">
        <v>2718</v>
      </c>
      <c r="H1215">
        <v>1084</v>
      </c>
      <c r="I1215" s="2">
        <v>3099</v>
      </c>
      <c r="J1215" s="2" t="s">
        <v>150</v>
      </c>
      <c r="K1215" s="2" t="s">
        <v>164</v>
      </c>
      <c r="L1215" s="2">
        <v>4.3</v>
      </c>
      <c r="M1215" s="2">
        <v>797</v>
      </c>
      <c r="P1215" t="str">
        <f t="shared" si="75"/>
        <v>65%</v>
      </c>
      <c r="Q1215" s="12">
        <f t="shared" si="72"/>
        <v>0.65</v>
      </c>
      <c r="R1215" s="9">
        <f t="shared" si="73"/>
        <v>1084.6499999999999</v>
      </c>
      <c r="S1215" s="9">
        <f>IF(R1215="",AVERAGEIF(Table1[Category],Table1[[#This Row],[Category]],Table2[orignal data]),Table2[[#This Row],[orignal data]])</f>
        <v>1084.6499999999999</v>
      </c>
      <c r="T1215" t="str">
        <f t="shared" si="74"/>
        <v>UNIQUE</v>
      </c>
      <c r="U1215" t="str">
        <f>IF(ISBLANK(Table1[[#This Row],[SizeOption]]),"NOT AVAILABLE",Table1[[#This Row],[SizeOption]])</f>
        <v>Onesize</v>
      </c>
      <c r="Y1215" t="str">
        <f>IF(Table2[[#This Row],[Column1]]&gt;50%,"HIGH DISCOUNT","LOW DISCOUNT")</f>
        <v>HIGH DISCOUNT</v>
      </c>
    </row>
    <row r="1216" spans="1:25" x14ac:dyDescent="0.25">
      <c r="A1216" s="1" t="s">
        <v>2719</v>
      </c>
      <c r="B1216" s="1">
        <v>13747908</v>
      </c>
      <c r="C1216" s="1" t="s">
        <v>1489</v>
      </c>
      <c r="D1216" s="1" t="s">
        <v>76</v>
      </c>
      <c r="E1216" s="1" t="s">
        <v>77</v>
      </c>
      <c r="F1216" s="1" t="s">
        <v>36</v>
      </c>
      <c r="G1216" s="1" t="s">
        <v>2720</v>
      </c>
      <c r="H1216">
        <v>1633</v>
      </c>
      <c r="I1216" s="1">
        <v>3799</v>
      </c>
      <c r="J1216" s="1" t="s">
        <v>130</v>
      </c>
      <c r="K1216" s="1" t="s">
        <v>115</v>
      </c>
      <c r="L1216" s="1">
        <v>4.3</v>
      </c>
      <c r="M1216" s="1">
        <v>797</v>
      </c>
      <c r="P1216" t="str">
        <f t="shared" si="75"/>
        <v>57%</v>
      </c>
      <c r="Q1216" s="12">
        <f t="shared" si="72"/>
        <v>0.56999999999999995</v>
      </c>
      <c r="R1216" s="9">
        <f t="shared" si="73"/>
        <v>1633.5700000000002</v>
      </c>
      <c r="S1216" s="9">
        <f>IF(R1216="",AVERAGEIF(Table1[Category],Table1[[#This Row],[Category]],Table2[orignal data]),Table2[[#This Row],[orignal data]])</f>
        <v>1633.5700000000002</v>
      </c>
      <c r="T1216" t="str">
        <f t="shared" si="74"/>
        <v>UNIQUE</v>
      </c>
      <c r="U1216" t="str">
        <f>IF(ISBLANK(Table1[[#This Row],[SizeOption]]),"NOT AVAILABLE",Table1[[#This Row],[SizeOption]])</f>
        <v>XS, S, M, L, XL, XXL</v>
      </c>
      <c r="Y1216" t="str">
        <f>IF(Table2[[#This Row],[Column1]]&gt;50%,"HIGH DISCOUNT","LOW DISCOUNT")</f>
        <v>HIGH DISCOUNT</v>
      </c>
    </row>
    <row r="1217" spans="1:25" x14ac:dyDescent="0.25">
      <c r="A1217" s="2" t="s">
        <v>2721</v>
      </c>
      <c r="B1217" s="2">
        <v>1865942</v>
      </c>
      <c r="C1217" s="2" t="s">
        <v>349</v>
      </c>
      <c r="D1217" s="2" t="s">
        <v>34</v>
      </c>
      <c r="E1217" s="2" t="s">
        <v>118</v>
      </c>
      <c r="F1217" s="2" t="s">
        <v>36</v>
      </c>
      <c r="G1217" s="2" t="s">
        <v>2722</v>
      </c>
      <c r="I1217" s="2">
        <v>479</v>
      </c>
      <c r="J1217" s="2"/>
      <c r="K1217" s="2" t="s">
        <v>2723</v>
      </c>
      <c r="L1217" s="2">
        <v>3.6</v>
      </c>
      <c r="M1217" s="2">
        <v>797</v>
      </c>
      <c r="P1217" t="str">
        <f t="shared" si="75"/>
        <v/>
      </c>
      <c r="Q1217" s="12" t="str">
        <f t="shared" si="72"/>
        <v/>
      </c>
      <c r="R1217" s="9" t="str">
        <f t="shared" si="73"/>
        <v/>
      </c>
      <c r="S1217" s="9">
        <f>IF(R1217="",AVERAGEIF(Table1[Category],Table1[[#This Row],[Category]],Table2[orignal data]),Table2[[#This Row],[orignal data]])</f>
        <v>608.88518518518481</v>
      </c>
      <c r="T1217" t="str">
        <f t="shared" si="74"/>
        <v>UNIQUE</v>
      </c>
      <c r="U1217" t="str">
        <f>IF(ISBLANK(Table1[[#This Row],[SizeOption]]),"NOT AVAILABLE",Table1[[#This Row],[SizeOption]])</f>
        <v>30B, 32B, 34B</v>
      </c>
      <c r="Y1217" t="str">
        <f>IF(Table2[[#This Row],[Column1]]&gt;50%,"HIGH DISCOUNT","LOW DISCOUNT")</f>
        <v>HIGH DISCOUNT</v>
      </c>
    </row>
    <row r="1218" spans="1:25" x14ac:dyDescent="0.25">
      <c r="A1218" s="1" t="s">
        <v>2724</v>
      </c>
      <c r="B1218" s="1">
        <v>14225126</v>
      </c>
      <c r="C1218" s="1" t="s">
        <v>414</v>
      </c>
      <c r="D1218" s="1" t="s">
        <v>68</v>
      </c>
      <c r="E1218" s="1" t="s">
        <v>69</v>
      </c>
      <c r="F1218" s="1" t="s">
        <v>36</v>
      </c>
      <c r="G1218" s="1" t="s">
        <v>2725</v>
      </c>
      <c r="H1218">
        <v>494</v>
      </c>
      <c r="I1218" s="1">
        <v>1499</v>
      </c>
      <c r="J1218" s="1" t="s">
        <v>543</v>
      </c>
      <c r="K1218" s="1" t="s">
        <v>39</v>
      </c>
      <c r="L1218" s="1">
        <v>4</v>
      </c>
      <c r="M1218" s="1">
        <v>797</v>
      </c>
      <c r="P1218" t="str">
        <f t="shared" si="75"/>
        <v>67%</v>
      </c>
      <c r="Q1218" s="12">
        <f t="shared" ref="Q1218:Q1281" si="76">IF(P1218="","",IF(ISNUMBER(SEARCH("%",P1218)),P1218,P1218/I1218)*100%)</f>
        <v>0.67</v>
      </c>
      <c r="R1218" s="9">
        <f t="shared" ref="R1218:R1281" si="77">IF(P1218="","",I1218-(I1218*Q1218))</f>
        <v>494.66999999999996</v>
      </c>
      <c r="S1218" s="9">
        <f>IF(R1218="",AVERAGEIF(Table1[Category],Table1[[#This Row],[Category]],Table2[orignal data]),Table2[[#This Row],[orignal data]])</f>
        <v>494.66999999999996</v>
      </c>
      <c r="T1218" t="str">
        <f t="shared" ref="T1218:T1281" si="78">IF(COUNTIF($B$2:$B$5000,B1218)&gt;1,"DUPLICATE","UNIQUE")</f>
        <v>UNIQUE</v>
      </c>
      <c r="U1218" t="str">
        <f>IF(ISBLANK(Table1[[#This Row],[SizeOption]]),"NOT AVAILABLE",Table1[[#This Row],[SizeOption]])</f>
        <v>S, M, L, XL, XXL</v>
      </c>
      <c r="Y1218" t="str">
        <f>IF(Table2[[#This Row],[Column1]]&gt;50%,"HIGH DISCOUNT","LOW DISCOUNT")</f>
        <v>HIGH DISCOUNT</v>
      </c>
    </row>
    <row r="1219" spans="1:25" x14ac:dyDescent="0.25">
      <c r="A1219" s="2" t="s">
        <v>2726</v>
      </c>
      <c r="B1219" s="2">
        <v>12167200</v>
      </c>
      <c r="C1219" s="2" t="s">
        <v>67</v>
      </c>
      <c r="D1219" s="2" t="s">
        <v>68</v>
      </c>
      <c r="E1219" s="2" t="s">
        <v>23</v>
      </c>
      <c r="F1219" s="2" t="s">
        <v>36</v>
      </c>
      <c r="G1219" s="2" t="s">
        <v>2727</v>
      </c>
      <c r="H1219">
        <v>934</v>
      </c>
      <c r="I1219" s="2">
        <v>1699</v>
      </c>
      <c r="J1219" s="2" t="s">
        <v>19</v>
      </c>
      <c r="K1219" s="2" t="s">
        <v>45</v>
      </c>
      <c r="L1219" s="2">
        <v>4.3</v>
      </c>
      <c r="M1219" s="2">
        <v>797</v>
      </c>
      <c r="P1219" t="str">
        <f t="shared" ref="P1219:P1282" si="79">TRIM(SUBSTITUTE(SUBSTITUTE(SUBSTITUTE(SUBSTITUTE(J1219,"OFF",""),"Rs.",""),"Hurry*",""),",",""))</f>
        <v>45%</v>
      </c>
      <c r="Q1219" s="12">
        <f t="shared" si="76"/>
        <v>0.45</v>
      </c>
      <c r="R1219" s="9">
        <f t="shared" si="77"/>
        <v>934.44999999999993</v>
      </c>
      <c r="S1219" s="9">
        <f>IF(R1219="",AVERAGEIF(Table1[Category],Table1[[#This Row],[Category]],Table2[orignal data]),Table2[[#This Row],[orignal data]])</f>
        <v>934.44999999999993</v>
      </c>
      <c r="T1219" t="str">
        <f t="shared" si="78"/>
        <v>UNIQUE</v>
      </c>
      <c r="U1219" t="str">
        <f>IF(ISBLANK(Table1[[#This Row],[SizeOption]]),"NOT AVAILABLE",Table1[[#This Row],[SizeOption]])</f>
        <v>XS, S, M, L, XL</v>
      </c>
      <c r="Y1219" t="str">
        <f>IF(Table2[[#This Row],[Column1]]&gt;50%,"HIGH DISCOUNT","LOW DISCOUNT")</f>
        <v>LOW DISCOUNT</v>
      </c>
    </row>
    <row r="1220" spans="1:25" x14ac:dyDescent="0.25">
      <c r="A1220" s="1" t="s">
        <v>2728</v>
      </c>
      <c r="B1220" s="1">
        <v>11514714</v>
      </c>
      <c r="C1220" s="1" t="s">
        <v>181</v>
      </c>
      <c r="D1220" s="1" t="s">
        <v>41</v>
      </c>
      <c r="E1220" s="1" t="s">
        <v>148</v>
      </c>
      <c r="F1220" s="1" t="s">
        <v>36</v>
      </c>
      <c r="G1220" s="1" t="s">
        <v>2729</v>
      </c>
      <c r="I1220" s="1">
        <v>1599</v>
      </c>
      <c r="J1220" s="1" t="s">
        <v>25</v>
      </c>
      <c r="K1220" s="1" t="s">
        <v>115</v>
      </c>
      <c r="L1220" s="1">
        <v>4.3</v>
      </c>
      <c r="M1220" s="1">
        <v>797</v>
      </c>
      <c r="P1220" t="str">
        <f t="shared" si="79"/>
        <v>55%</v>
      </c>
      <c r="Q1220" s="12">
        <f t="shared" si="76"/>
        <v>0.55000000000000004</v>
      </c>
      <c r="R1220" s="9">
        <f t="shared" si="77"/>
        <v>719.55</v>
      </c>
      <c r="S1220" s="9">
        <f>IF(R1220="",AVERAGEIF(Table1[Category],Table1[[#This Row],[Category]],Table2[orignal data]),Table2[[#This Row],[orignal data]])</f>
        <v>719.55</v>
      </c>
      <c r="T1220" t="str">
        <f t="shared" si="78"/>
        <v>UNIQUE</v>
      </c>
      <c r="U1220" t="str">
        <f>IF(ISBLANK(Table1[[#This Row],[SizeOption]]),"NOT AVAILABLE",Table1[[#This Row],[SizeOption]])</f>
        <v>XS, S, M, L, XL, XXL</v>
      </c>
      <c r="Y1220" t="str">
        <f>IF(Table2[[#This Row],[Column1]]&gt;50%,"HIGH DISCOUNT","LOW DISCOUNT")</f>
        <v>HIGH DISCOUNT</v>
      </c>
    </row>
    <row r="1221" spans="1:25" x14ac:dyDescent="0.25">
      <c r="A1221" s="2" t="s">
        <v>2730</v>
      </c>
      <c r="B1221" s="2">
        <v>13204994</v>
      </c>
      <c r="C1221" s="2" t="s">
        <v>121</v>
      </c>
      <c r="D1221" s="2" t="s">
        <v>41</v>
      </c>
      <c r="E1221" s="2" t="s">
        <v>148</v>
      </c>
      <c r="F1221" s="2" t="s">
        <v>36</v>
      </c>
      <c r="G1221" s="2" t="s">
        <v>2731</v>
      </c>
      <c r="I1221" s="2">
        <v>2299</v>
      </c>
      <c r="J1221" s="2" t="s">
        <v>44</v>
      </c>
      <c r="K1221" s="2" t="s">
        <v>45</v>
      </c>
      <c r="L1221" s="2">
        <v>4.5999999999999996</v>
      </c>
      <c r="M1221" s="2">
        <v>797</v>
      </c>
      <c r="P1221" t="str">
        <f t="shared" si="79"/>
        <v>35%</v>
      </c>
      <c r="Q1221" s="12">
        <f t="shared" si="76"/>
        <v>0.35</v>
      </c>
      <c r="R1221" s="9">
        <f t="shared" si="77"/>
        <v>1494.35</v>
      </c>
      <c r="S1221" s="9">
        <f>IF(R1221="",AVERAGEIF(Table1[Category],Table1[[#This Row],[Category]],Table2[orignal data]),Table2[[#This Row],[orignal data]])</f>
        <v>1494.35</v>
      </c>
      <c r="T1221" t="str">
        <f t="shared" si="78"/>
        <v>UNIQUE</v>
      </c>
      <c r="U1221" t="str">
        <f>IF(ISBLANK(Table1[[#This Row],[SizeOption]]),"NOT AVAILABLE",Table1[[#This Row],[SizeOption]])</f>
        <v>XS, S, M, L, XL</v>
      </c>
      <c r="Y1221" t="str">
        <f>IF(Table2[[#This Row],[Column1]]&gt;50%,"HIGH DISCOUNT","LOW DISCOUNT")</f>
        <v>LOW DISCOUNT</v>
      </c>
    </row>
    <row r="1222" spans="1:25" x14ac:dyDescent="0.25">
      <c r="A1222" s="1" t="s">
        <v>2732</v>
      </c>
      <c r="B1222" s="1">
        <v>11274480</v>
      </c>
      <c r="C1222" s="1" t="s">
        <v>14</v>
      </c>
      <c r="D1222" s="1" t="s">
        <v>15</v>
      </c>
      <c r="E1222" s="1" t="s">
        <v>16</v>
      </c>
      <c r="F1222" s="1" t="s">
        <v>17</v>
      </c>
      <c r="G1222" s="1" t="s">
        <v>2733</v>
      </c>
      <c r="H1222">
        <v>999</v>
      </c>
      <c r="I1222" s="1">
        <v>1999</v>
      </c>
      <c r="J1222" s="1" t="s">
        <v>84</v>
      </c>
      <c r="K1222" s="1" t="s">
        <v>20</v>
      </c>
      <c r="L1222" s="1">
        <v>3.9</v>
      </c>
      <c r="M1222" s="1">
        <v>796</v>
      </c>
      <c r="P1222" t="str">
        <f t="shared" si="79"/>
        <v>50%</v>
      </c>
      <c r="Q1222" s="12">
        <f t="shared" si="76"/>
        <v>0.5</v>
      </c>
      <c r="R1222" s="9">
        <f t="shared" si="77"/>
        <v>999.5</v>
      </c>
      <c r="S1222" s="9">
        <f>IF(R1222="",AVERAGEIF(Table1[Category],Table1[[#This Row],[Category]],Table2[orignal data]),Table2[[#This Row],[orignal data]])</f>
        <v>999.5</v>
      </c>
      <c r="T1222" t="str">
        <f t="shared" si="78"/>
        <v>UNIQUE</v>
      </c>
      <c r="U1222" t="str">
        <f>IF(ISBLANK(Table1[[#This Row],[SizeOption]]),"NOT AVAILABLE",Table1[[#This Row],[SizeOption]])</f>
        <v>28, 30, 32, 34, 36</v>
      </c>
      <c r="Y1222" t="str">
        <f>IF(Table2[[#This Row],[Column1]]&gt;50%,"HIGH DISCOUNT","LOW DISCOUNT")</f>
        <v>LOW DISCOUNT</v>
      </c>
    </row>
    <row r="1223" spans="1:25" x14ac:dyDescent="0.25">
      <c r="A1223" s="2" t="s">
        <v>2734</v>
      </c>
      <c r="B1223" s="2">
        <v>10397879</v>
      </c>
      <c r="C1223" s="2" t="s">
        <v>14</v>
      </c>
      <c r="D1223" s="2" t="s">
        <v>28</v>
      </c>
      <c r="E1223" s="2" t="s">
        <v>29</v>
      </c>
      <c r="F1223" s="2" t="s">
        <v>17</v>
      </c>
      <c r="G1223" s="2" t="s">
        <v>2735</v>
      </c>
      <c r="H1223">
        <v>854</v>
      </c>
      <c r="I1223" s="2">
        <v>1899</v>
      </c>
      <c r="J1223" s="2" t="s">
        <v>25</v>
      </c>
      <c r="K1223" s="2" t="s">
        <v>31</v>
      </c>
      <c r="L1223" s="2">
        <v>4.2</v>
      </c>
      <c r="M1223" s="2">
        <v>796</v>
      </c>
      <c r="P1223" t="str">
        <f t="shared" si="79"/>
        <v>55%</v>
      </c>
      <c r="Q1223" s="12">
        <f t="shared" si="76"/>
        <v>0.55000000000000004</v>
      </c>
      <c r="R1223" s="9">
        <f t="shared" si="77"/>
        <v>854.55</v>
      </c>
      <c r="S1223" s="9">
        <f>IF(R1223="",AVERAGEIF(Table1[Category],Table1[[#This Row],[Category]],Table2[orignal data]),Table2[[#This Row],[orignal data]])</f>
        <v>854.55</v>
      </c>
      <c r="T1223" t="str">
        <f t="shared" si="78"/>
        <v>UNIQUE</v>
      </c>
      <c r="U1223" t="str">
        <f>IF(ISBLANK(Table1[[#This Row],[SizeOption]]),"NOT AVAILABLE",Table1[[#This Row],[SizeOption]])</f>
        <v>38, 40, 42, 44, 46, 48</v>
      </c>
      <c r="Y1223" t="str">
        <f>IF(Table2[[#This Row],[Column1]]&gt;50%,"HIGH DISCOUNT","LOW DISCOUNT")</f>
        <v>HIGH DISCOUNT</v>
      </c>
    </row>
    <row r="1224" spans="1:25" x14ac:dyDescent="0.25">
      <c r="A1224" s="1" t="s">
        <v>2736</v>
      </c>
      <c r="B1224" s="1">
        <v>14984838</v>
      </c>
      <c r="C1224" s="1" t="s">
        <v>545</v>
      </c>
      <c r="D1224" s="1" t="s">
        <v>76</v>
      </c>
      <c r="E1224" s="1" t="s">
        <v>320</v>
      </c>
      <c r="F1224" s="1" t="s">
        <v>36</v>
      </c>
      <c r="G1224" s="1" t="s">
        <v>2737</v>
      </c>
      <c r="H1224">
        <v>1259</v>
      </c>
      <c r="I1224" s="1">
        <v>4499</v>
      </c>
      <c r="J1224" s="1" t="s">
        <v>1377</v>
      </c>
      <c r="K1224" s="1" t="s">
        <v>164</v>
      </c>
      <c r="L1224" s="1">
        <v>4.4000000000000004</v>
      </c>
      <c r="M1224" s="1">
        <v>796</v>
      </c>
      <c r="P1224" t="str">
        <f t="shared" si="79"/>
        <v>72%</v>
      </c>
      <c r="Q1224" s="12">
        <f t="shared" si="76"/>
        <v>0.72</v>
      </c>
      <c r="R1224" s="9">
        <f t="shared" si="77"/>
        <v>1259.7200000000003</v>
      </c>
      <c r="S1224" s="9">
        <f>IF(R1224="",AVERAGEIF(Table1[Category],Table1[[#This Row],[Category]],Table2[orignal data]),Table2[[#This Row],[orignal data]])</f>
        <v>1259.7200000000003</v>
      </c>
      <c r="T1224" t="str">
        <f t="shared" si="78"/>
        <v>UNIQUE</v>
      </c>
      <c r="U1224" t="str">
        <f>IF(ISBLANK(Table1[[#This Row],[SizeOption]]),"NOT AVAILABLE",Table1[[#This Row],[SizeOption]])</f>
        <v>Onesize</v>
      </c>
      <c r="Y1224" t="str">
        <f>IF(Table2[[#This Row],[Column1]]&gt;50%,"HIGH DISCOUNT","LOW DISCOUNT")</f>
        <v>HIGH DISCOUNT</v>
      </c>
    </row>
    <row r="1225" spans="1:25" x14ac:dyDescent="0.25">
      <c r="A1225" s="2" t="s">
        <v>2738</v>
      </c>
      <c r="B1225" s="2">
        <v>11125386</v>
      </c>
      <c r="C1225" s="2" t="s">
        <v>271</v>
      </c>
      <c r="D1225" s="2" t="s">
        <v>41</v>
      </c>
      <c r="E1225" s="2" t="s">
        <v>148</v>
      </c>
      <c r="F1225" s="2" t="s">
        <v>36</v>
      </c>
      <c r="G1225" s="2" t="s">
        <v>2739</v>
      </c>
      <c r="I1225" s="2">
        <v>1599</v>
      </c>
      <c r="J1225" s="2" t="s">
        <v>55</v>
      </c>
      <c r="K1225" s="2" t="s">
        <v>45</v>
      </c>
      <c r="L1225" s="2">
        <v>4.2</v>
      </c>
      <c r="M1225" s="2">
        <v>796</v>
      </c>
      <c r="P1225" t="str">
        <f t="shared" si="79"/>
        <v>60%</v>
      </c>
      <c r="Q1225" s="12">
        <f t="shared" si="76"/>
        <v>0.6</v>
      </c>
      <c r="R1225" s="9">
        <f t="shared" si="77"/>
        <v>639.6</v>
      </c>
      <c r="S1225" s="9">
        <f>IF(R1225="",AVERAGEIF(Table1[Category],Table1[[#This Row],[Category]],Table2[orignal data]),Table2[[#This Row],[orignal data]])</f>
        <v>639.6</v>
      </c>
      <c r="T1225" t="str">
        <f t="shared" si="78"/>
        <v>UNIQUE</v>
      </c>
      <c r="U1225" t="str">
        <f>IF(ISBLANK(Table1[[#This Row],[SizeOption]]),"NOT AVAILABLE",Table1[[#This Row],[SizeOption]])</f>
        <v>XS, S, M, L, XL</v>
      </c>
      <c r="Y1225" t="str">
        <f>IF(Table2[[#This Row],[Column1]]&gt;50%,"HIGH DISCOUNT","LOW DISCOUNT")</f>
        <v>HIGH DISCOUNT</v>
      </c>
    </row>
    <row r="1226" spans="1:25" x14ac:dyDescent="0.25">
      <c r="A1226" s="1" t="s">
        <v>2740</v>
      </c>
      <c r="B1226" s="1">
        <v>7557286</v>
      </c>
      <c r="C1226" s="1" t="s">
        <v>102</v>
      </c>
      <c r="D1226" s="1" t="s">
        <v>41</v>
      </c>
      <c r="E1226" s="1" t="s">
        <v>16</v>
      </c>
      <c r="F1226" s="1" t="s">
        <v>36</v>
      </c>
      <c r="G1226" s="1" t="s">
        <v>645</v>
      </c>
      <c r="I1226" s="1">
        <v>1899</v>
      </c>
      <c r="J1226" s="1" t="s">
        <v>758</v>
      </c>
      <c r="K1226" s="1" t="s">
        <v>428</v>
      </c>
      <c r="L1226" s="1">
        <v>3.9</v>
      </c>
      <c r="M1226" s="1">
        <v>796</v>
      </c>
      <c r="P1226" t="str">
        <f t="shared" si="79"/>
        <v>47%</v>
      </c>
      <c r="Q1226" s="12">
        <f t="shared" si="76"/>
        <v>0.47</v>
      </c>
      <c r="R1226" s="9">
        <f t="shared" si="77"/>
        <v>1006.47</v>
      </c>
      <c r="S1226" s="9">
        <f>IF(R1226="",AVERAGEIF(Table1[Category],Table1[[#This Row],[Category]],Table2[orignal data]),Table2[[#This Row],[orignal data]])</f>
        <v>1006.47</v>
      </c>
      <c r="T1226" t="str">
        <f t="shared" si="78"/>
        <v>UNIQUE</v>
      </c>
      <c r="U1226" t="str">
        <f>IF(ISBLANK(Table1[[#This Row],[SizeOption]]),"NOT AVAILABLE",Table1[[#This Row],[SizeOption]])</f>
        <v>26, 28, 30, 32, 34</v>
      </c>
      <c r="Y1226" t="str">
        <f>IF(Table2[[#This Row],[Column1]]&gt;50%,"HIGH DISCOUNT","LOW DISCOUNT")</f>
        <v>LOW DISCOUNT</v>
      </c>
    </row>
    <row r="1227" spans="1:25" x14ac:dyDescent="0.25">
      <c r="A1227" s="2" t="s">
        <v>2741</v>
      </c>
      <c r="B1227" s="2">
        <v>9338847</v>
      </c>
      <c r="C1227" s="2" t="s">
        <v>676</v>
      </c>
      <c r="D1227" s="2" t="s">
        <v>41</v>
      </c>
      <c r="E1227" s="2" t="s">
        <v>48</v>
      </c>
      <c r="F1227" s="2" t="s">
        <v>36</v>
      </c>
      <c r="G1227" s="2" t="s">
        <v>2742</v>
      </c>
      <c r="I1227" s="2">
        <v>1998</v>
      </c>
      <c r="J1227" s="2" t="s">
        <v>84</v>
      </c>
      <c r="K1227" s="2" t="s">
        <v>26</v>
      </c>
      <c r="L1227" s="2">
        <v>4.2</v>
      </c>
      <c r="M1227" s="2">
        <v>796</v>
      </c>
      <c r="P1227" t="str">
        <f t="shared" si="79"/>
        <v>50%</v>
      </c>
      <c r="Q1227" s="12">
        <f t="shared" si="76"/>
        <v>0.5</v>
      </c>
      <c r="R1227" s="9">
        <f t="shared" si="77"/>
        <v>999</v>
      </c>
      <c r="S1227" s="9">
        <f>IF(R1227="",AVERAGEIF(Table1[Category],Table1[[#This Row],[Category]],Table2[orignal data]),Table2[[#This Row],[orignal data]])</f>
        <v>999</v>
      </c>
      <c r="T1227" t="str">
        <f t="shared" si="78"/>
        <v>UNIQUE</v>
      </c>
      <c r="U1227" t="str">
        <f>IF(ISBLANK(Table1[[#This Row],[SizeOption]]),"NOT AVAILABLE",Table1[[#This Row],[SizeOption]])</f>
        <v>S, M, L, XL</v>
      </c>
      <c r="Y1227" t="str">
        <f>IF(Table2[[#This Row],[Column1]]&gt;50%,"HIGH DISCOUNT","LOW DISCOUNT")</f>
        <v>LOW DISCOUNT</v>
      </c>
    </row>
    <row r="1228" spans="1:25" x14ac:dyDescent="0.25">
      <c r="A1228" s="1" t="s">
        <v>2743</v>
      </c>
      <c r="B1228" s="1">
        <v>7215043</v>
      </c>
      <c r="C1228" s="1" t="s">
        <v>155</v>
      </c>
      <c r="D1228" s="1" t="s">
        <v>41</v>
      </c>
      <c r="E1228" s="1" t="s">
        <v>82</v>
      </c>
      <c r="F1228" s="1" t="s">
        <v>36</v>
      </c>
      <c r="G1228" s="1" t="s">
        <v>2744</v>
      </c>
      <c r="I1228" s="1">
        <v>2295</v>
      </c>
      <c r="J1228" s="1" t="s">
        <v>25</v>
      </c>
      <c r="K1228" s="1" t="s">
        <v>352</v>
      </c>
      <c r="L1228" s="1">
        <v>4.4000000000000004</v>
      </c>
      <c r="M1228" s="1">
        <v>796</v>
      </c>
      <c r="P1228" t="str">
        <f t="shared" si="79"/>
        <v>55%</v>
      </c>
      <c r="Q1228" s="12">
        <f t="shared" si="76"/>
        <v>0.55000000000000004</v>
      </c>
      <c r="R1228" s="9">
        <f t="shared" si="77"/>
        <v>1032.75</v>
      </c>
      <c r="S1228" s="9">
        <f>IF(R1228="",AVERAGEIF(Table1[Category],Table1[[#This Row],[Category]],Table2[orignal data]),Table2[[#This Row],[orignal data]])</f>
        <v>1032.75</v>
      </c>
      <c r="T1228" t="str">
        <f t="shared" si="78"/>
        <v>UNIQUE</v>
      </c>
      <c r="U1228" t="str">
        <f>IF(ISBLANK(Table1[[#This Row],[SizeOption]]),"NOT AVAILABLE",Table1[[#This Row],[SizeOption]])</f>
        <v>S, M, L</v>
      </c>
      <c r="Y1228" t="str">
        <f>IF(Table2[[#This Row],[Column1]]&gt;50%,"HIGH DISCOUNT","LOW DISCOUNT")</f>
        <v>HIGH DISCOUNT</v>
      </c>
    </row>
    <row r="1229" spans="1:25" x14ac:dyDescent="0.25">
      <c r="A1229" s="2" t="s">
        <v>2745</v>
      </c>
      <c r="B1229" s="2">
        <v>10474904</v>
      </c>
      <c r="C1229" s="2" t="s">
        <v>214</v>
      </c>
      <c r="D1229" s="2" t="s">
        <v>15</v>
      </c>
      <c r="E1229" s="2" t="s">
        <v>16</v>
      </c>
      <c r="F1229" s="2" t="s">
        <v>17</v>
      </c>
      <c r="G1229" s="2" t="s">
        <v>2746</v>
      </c>
      <c r="H1229">
        <v>1319</v>
      </c>
      <c r="I1229" s="2">
        <v>2399</v>
      </c>
      <c r="J1229" s="2" t="s">
        <v>19</v>
      </c>
      <c r="K1229" s="2" t="s">
        <v>171</v>
      </c>
      <c r="L1229" s="2">
        <v>4.0999999999999996</v>
      </c>
      <c r="M1229" s="2">
        <v>795</v>
      </c>
      <c r="P1229" t="str">
        <f t="shared" si="79"/>
        <v>45%</v>
      </c>
      <c r="Q1229" s="12">
        <f t="shared" si="76"/>
        <v>0.45</v>
      </c>
      <c r="R1229" s="9">
        <f t="shared" si="77"/>
        <v>1319.45</v>
      </c>
      <c r="S1229" s="9">
        <f>IF(R1229="",AVERAGEIF(Table1[Category],Table1[[#This Row],[Category]],Table2[orignal data]),Table2[[#This Row],[orignal data]])</f>
        <v>1319.45</v>
      </c>
      <c r="T1229" t="str">
        <f t="shared" si="78"/>
        <v>UNIQUE</v>
      </c>
      <c r="U1229" t="str">
        <f>IF(ISBLANK(Table1[[#This Row],[SizeOption]]),"NOT AVAILABLE",Table1[[#This Row],[SizeOption]])</f>
        <v>28, 30, 32, 34, 36, 38</v>
      </c>
      <c r="Y1229" t="str">
        <f>IF(Table2[[#This Row],[Column1]]&gt;50%,"HIGH DISCOUNT","LOW DISCOUNT")</f>
        <v>LOW DISCOUNT</v>
      </c>
    </row>
    <row r="1230" spans="1:25" x14ac:dyDescent="0.25">
      <c r="A1230" s="1" t="s">
        <v>2747</v>
      </c>
      <c r="B1230" s="1">
        <v>10276171</v>
      </c>
      <c r="C1230" s="1" t="s">
        <v>1516</v>
      </c>
      <c r="D1230" s="1" t="s">
        <v>76</v>
      </c>
      <c r="E1230" s="1" t="s">
        <v>77</v>
      </c>
      <c r="F1230" s="1" t="s">
        <v>17</v>
      </c>
      <c r="G1230" s="1" t="s">
        <v>2748</v>
      </c>
      <c r="H1230">
        <v>1396</v>
      </c>
      <c r="I1230" s="1">
        <v>3990</v>
      </c>
      <c r="J1230" s="1" t="s">
        <v>150</v>
      </c>
      <c r="K1230" s="1" t="s">
        <v>234</v>
      </c>
      <c r="L1230" s="1">
        <v>4.2</v>
      </c>
      <c r="M1230" s="1">
        <v>795</v>
      </c>
      <c r="P1230" t="str">
        <f t="shared" si="79"/>
        <v>65%</v>
      </c>
      <c r="Q1230" s="12">
        <f t="shared" si="76"/>
        <v>0.65</v>
      </c>
      <c r="R1230" s="9">
        <f t="shared" si="77"/>
        <v>1396.5</v>
      </c>
      <c r="S1230" s="9">
        <f>IF(R1230="",AVERAGEIF(Table1[Category],Table1[[#This Row],[Category]],Table2[orignal data]),Table2[[#This Row],[orignal data]])</f>
        <v>1396.5</v>
      </c>
      <c r="T1230" t="str">
        <f t="shared" si="78"/>
        <v>UNIQUE</v>
      </c>
      <c r="U1230" t="str">
        <f>IF(ISBLANK(Table1[[#This Row],[SizeOption]]),"NOT AVAILABLE",Table1[[#This Row],[SizeOption]])</f>
        <v>S, M, L, XL, XXL, 3XL</v>
      </c>
      <c r="Y1230" t="str">
        <f>IF(Table2[[#This Row],[Column1]]&gt;50%,"HIGH DISCOUNT","LOW DISCOUNT")</f>
        <v>HIGH DISCOUNT</v>
      </c>
    </row>
    <row r="1231" spans="1:25" x14ac:dyDescent="0.25">
      <c r="A1231" s="2" t="s">
        <v>2749</v>
      </c>
      <c r="B1231" s="2">
        <v>10920072</v>
      </c>
      <c r="C1231" s="2" t="s">
        <v>14</v>
      </c>
      <c r="D1231" s="2" t="s">
        <v>28</v>
      </c>
      <c r="E1231" s="2" t="s">
        <v>42</v>
      </c>
      <c r="F1231" s="2" t="s">
        <v>17</v>
      </c>
      <c r="G1231" s="2" t="s">
        <v>2750</v>
      </c>
      <c r="H1231">
        <v>584</v>
      </c>
      <c r="I1231" s="2">
        <v>1299</v>
      </c>
      <c r="J1231" s="2" t="s">
        <v>25</v>
      </c>
      <c r="K1231" s="2" t="s">
        <v>26</v>
      </c>
      <c r="L1231" s="2">
        <v>4.2</v>
      </c>
      <c r="M1231" s="2">
        <v>795</v>
      </c>
      <c r="P1231" t="str">
        <f t="shared" si="79"/>
        <v>55%</v>
      </c>
      <c r="Q1231" s="12">
        <f t="shared" si="76"/>
        <v>0.55000000000000004</v>
      </c>
      <c r="R1231" s="9">
        <f t="shared" si="77"/>
        <v>584.54999999999995</v>
      </c>
      <c r="S1231" s="9">
        <f>IF(R1231="",AVERAGEIF(Table1[Category],Table1[[#This Row],[Category]],Table2[orignal data]),Table2[[#This Row],[orignal data]])</f>
        <v>584.54999999999995</v>
      </c>
      <c r="T1231" t="str">
        <f t="shared" si="78"/>
        <v>UNIQUE</v>
      </c>
      <c r="U1231" t="str">
        <f>IF(ISBLANK(Table1[[#This Row],[SizeOption]]),"NOT AVAILABLE",Table1[[#This Row],[SizeOption]])</f>
        <v>S, M, L, XL</v>
      </c>
      <c r="Y1231" t="str">
        <f>IF(Table2[[#This Row],[Column1]]&gt;50%,"HIGH DISCOUNT","LOW DISCOUNT")</f>
        <v>HIGH DISCOUNT</v>
      </c>
    </row>
    <row r="1232" spans="1:25" x14ac:dyDescent="0.25">
      <c r="A1232" s="1" t="s">
        <v>2751</v>
      </c>
      <c r="B1232" s="1">
        <v>11896352</v>
      </c>
      <c r="C1232" s="1" t="s">
        <v>14</v>
      </c>
      <c r="D1232" s="1" t="s">
        <v>28</v>
      </c>
      <c r="E1232" s="1" t="s">
        <v>29</v>
      </c>
      <c r="F1232" s="1" t="s">
        <v>17</v>
      </c>
      <c r="G1232" s="1" t="s">
        <v>2752</v>
      </c>
      <c r="H1232">
        <v>764</v>
      </c>
      <c r="I1232" s="1">
        <v>1699</v>
      </c>
      <c r="J1232" s="1" t="s">
        <v>25</v>
      </c>
      <c r="K1232" s="1" t="s">
        <v>253</v>
      </c>
      <c r="L1232" s="1">
        <v>4.3</v>
      </c>
      <c r="M1232" s="1">
        <v>795</v>
      </c>
      <c r="P1232" t="str">
        <f t="shared" si="79"/>
        <v>55%</v>
      </c>
      <c r="Q1232" s="12">
        <f t="shared" si="76"/>
        <v>0.55000000000000004</v>
      </c>
      <c r="R1232" s="9">
        <f t="shared" si="77"/>
        <v>764.55</v>
      </c>
      <c r="S1232" s="9">
        <f>IF(R1232="",AVERAGEIF(Table1[Category],Table1[[#This Row],[Category]],Table2[orignal data]),Table2[[#This Row],[orignal data]])</f>
        <v>764.55</v>
      </c>
      <c r="T1232" t="str">
        <f t="shared" si="78"/>
        <v>UNIQUE</v>
      </c>
      <c r="U1232" t="str">
        <f>IF(ISBLANK(Table1[[#This Row],[SizeOption]]),"NOT AVAILABLE",Table1[[#This Row],[SizeOption]])</f>
        <v>38, 40, 42, 44</v>
      </c>
      <c r="Y1232" t="str">
        <f>IF(Table2[[#This Row],[Column1]]&gt;50%,"HIGH DISCOUNT","LOW DISCOUNT")</f>
        <v>HIGH DISCOUNT</v>
      </c>
    </row>
    <row r="1233" spans="1:25" x14ac:dyDescent="0.25">
      <c r="A1233" s="2" t="s">
        <v>2753</v>
      </c>
      <c r="B1233" s="2">
        <v>9000211</v>
      </c>
      <c r="C1233" s="2" t="s">
        <v>377</v>
      </c>
      <c r="D1233" s="2" t="s">
        <v>98</v>
      </c>
      <c r="E1233" s="2" t="s">
        <v>77</v>
      </c>
      <c r="F1233" s="2" t="s">
        <v>36</v>
      </c>
      <c r="G1233" s="2" t="s">
        <v>2754</v>
      </c>
      <c r="H1233">
        <v>1257</v>
      </c>
      <c r="I1233" s="2">
        <v>3699</v>
      </c>
      <c r="J1233" s="2" t="s">
        <v>403</v>
      </c>
      <c r="K1233" s="2" t="s">
        <v>115</v>
      </c>
      <c r="L1233" s="2">
        <v>3.9</v>
      </c>
      <c r="M1233" s="2">
        <v>795</v>
      </c>
      <c r="P1233" t="str">
        <f t="shared" si="79"/>
        <v>66%</v>
      </c>
      <c r="Q1233" s="12">
        <f t="shared" si="76"/>
        <v>0.66</v>
      </c>
      <c r="R1233" s="9">
        <f t="shared" si="77"/>
        <v>1257.6599999999999</v>
      </c>
      <c r="S1233" s="9">
        <f>IF(R1233="",AVERAGEIF(Table1[Category],Table1[[#This Row],[Category]],Table2[orignal data]),Table2[[#This Row],[orignal data]])</f>
        <v>1257.6599999999999</v>
      </c>
      <c r="T1233" t="str">
        <f t="shared" si="78"/>
        <v>UNIQUE</v>
      </c>
      <c r="U1233" t="str">
        <f>IF(ISBLANK(Table1[[#This Row],[SizeOption]]),"NOT AVAILABLE",Table1[[#This Row],[SizeOption]])</f>
        <v>XS, S, M, L, XL, XXL</v>
      </c>
      <c r="Y1233" t="str">
        <f>IF(Table2[[#This Row],[Column1]]&gt;50%,"HIGH DISCOUNT","LOW DISCOUNT")</f>
        <v>HIGH DISCOUNT</v>
      </c>
    </row>
    <row r="1234" spans="1:25" x14ac:dyDescent="0.25">
      <c r="A1234" s="1" t="s">
        <v>2755</v>
      </c>
      <c r="B1234" s="1">
        <v>8083191</v>
      </c>
      <c r="C1234" s="1" t="s">
        <v>102</v>
      </c>
      <c r="D1234" s="1" t="s">
        <v>41</v>
      </c>
      <c r="E1234" s="1" t="s">
        <v>16</v>
      </c>
      <c r="F1234" s="1" t="s">
        <v>36</v>
      </c>
      <c r="G1234" s="1" t="s">
        <v>1618</v>
      </c>
      <c r="I1234" s="1">
        <v>1899</v>
      </c>
      <c r="J1234" s="1" t="s">
        <v>126</v>
      </c>
      <c r="K1234" s="1" t="s">
        <v>428</v>
      </c>
      <c r="L1234" s="1">
        <v>3.9</v>
      </c>
      <c r="M1234" s="1">
        <v>795</v>
      </c>
      <c r="P1234" t="str">
        <f t="shared" si="79"/>
        <v>62%</v>
      </c>
      <c r="Q1234" s="12">
        <f t="shared" si="76"/>
        <v>0.62</v>
      </c>
      <c r="R1234" s="9">
        <f t="shared" si="77"/>
        <v>721.62000000000012</v>
      </c>
      <c r="S1234" s="9">
        <f>IF(R1234="",AVERAGEIF(Table1[Category],Table1[[#This Row],[Category]],Table2[orignal data]),Table2[[#This Row],[orignal data]])</f>
        <v>721.62000000000012</v>
      </c>
      <c r="T1234" t="str">
        <f t="shared" si="78"/>
        <v>UNIQUE</v>
      </c>
      <c r="U1234" t="str">
        <f>IF(ISBLANK(Table1[[#This Row],[SizeOption]]),"NOT AVAILABLE",Table1[[#This Row],[SizeOption]])</f>
        <v>26, 28, 30, 32, 34</v>
      </c>
      <c r="Y1234" t="str">
        <f>IF(Table2[[#This Row],[Column1]]&gt;50%,"HIGH DISCOUNT","LOW DISCOUNT")</f>
        <v>HIGH DISCOUNT</v>
      </c>
    </row>
    <row r="1235" spans="1:25" x14ac:dyDescent="0.25">
      <c r="A1235" s="2" t="s">
        <v>2756</v>
      </c>
      <c r="B1235" s="2">
        <v>9339997</v>
      </c>
      <c r="C1235" s="2" t="s">
        <v>676</v>
      </c>
      <c r="D1235" s="2" t="s">
        <v>41</v>
      </c>
      <c r="E1235" s="2" t="s">
        <v>48</v>
      </c>
      <c r="F1235" s="2" t="s">
        <v>36</v>
      </c>
      <c r="G1235" s="2" t="s">
        <v>2570</v>
      </c>
      <c r="I1235" s="2">
        <v>1998</v>
      </c>
      <c r="J1235" s="2" t="s">
        <v>84</v>
      </c>
      <c r="K1235" s="2" t="s">
        <v>26</v>
      </c>
      <c r="L1235" s="2">
        <v>4.2</v>
      </c>
      <c r="M1235" s="2">
        <v>795</v>
      </c>
      <c r="P1235" t="str">
        <f t="shared" si="79"/>
        <v>50%</v>
      </c>
      <c r="Q1235" s="12">
        <f t="shared" si="76"/>
        <v>0.5</v>
      </c>
      <c r="R1235" s="9">
        <f t="shared" si="77"/>
        <v>999</v>
      </c>
      <c r="S1235" s="9">
        <f>IF(R1235="",AVERAGEIF(Table1[Category],Table1[[#This Row],[Category]],Table2[orignal data]),Table2[[#This Row],[orignal data]])</f>
        <v>999</v>
      </c>
      <c r="T1235" t="str">
        <f t="shared" si="78"/>
        <v>UNIQUE</v>
      </c>
      <c r="U1235" t="str">
        <f>IF(ISBLANK(Table1[[#This Row],[SizeOption]]),"NOT AVAILABLE",Table1[[#This Row],[SizeOption]])</f>
        <v>S, M, L, XL</v>
      </c>
      <c r="Y1235" t="str">
        <f>IF(Table2[[#This Row],[Column1]]&gt;50%,"HIGH DISCOUNT","LOW DISCOUNT")</f>
        <v>LOW DISCOUNT</v>
      </c>
    </row>
    <row r="1236" spans="1:25" x14ac:dyDescent="0.25">
      <c r="A1236" s="1" t="s">
        <v>2757</v>
      </c>
      <c r="B1236" s="1">
        <v>9338625</v>
      </c>
      <c r="C1236" s="1" t="s">
        <v>676</v>
      </c>
      <c r="D1236" s="1" t="s">
        <v>41</v>
      </c>
      <c r="E1236" s="1" t="s">
        <v>48</v>
      </c>
      <c r="F1236" s="1" t="s">
        <v>36</v>
      </c>
      <c r="G1236" s="1" t="s">
        <v>2543</v>
      </c>
      <c r="I1236" s="1">
        <v>1998</v>
      </c>
      <c r="J1236" s="1" t="s">
        <v>84</v>
      </c>
      <c r="K1236" s="1" t="s">
        <v>26</v>
      </c>
      <c r="L1236" s="1">
        <v>4.2</v>
      </c>
      <c r="M1236" s="1">
        <v>795</v>
      </c>
      <c r="P1236" t="str">
        <f t="shared" si="79"/>
        <v>50%</v>
      </c>
      <c r="Q1236" s="12">
        <f t="shared" si="76"/>
        <v>0.5</v>
      </c>
      <c r="R1236" s="9">
        <f t="shared" si="77"/>
        <v>999</v>
      </c>
      <c r="S1236" s="9">
        <f>IF(R1236="",AVERAGEIF(Table1[Category],Table1[[#This Row],[Category]],Table2[orignal data]),Table2[[#This Row],[orignal data]])</f>
        <v>999</v>
      </c>
      <c r="T1236" t="str">
        <f t="shared" si="78"/>
        <v>UNIQUE</v>
      </c>
      <c r="U1236" t="str">
        <f>IF(ISBLANK(Table1[[#This Row],[SizeOption]]),"NOT AVAILABLE",Table1[[#This Row],[SizeOption]])</f>
        <v>S, M, L, XL</v>
      </c>
      <c r="Y1236" t="str">
        <f>IF(Table2[[#This Row],[Column1]]&gt;50%,"HIGH DISCOUNT","LOW DISCOUNT")</f>
        <v>LOW DISCOUNT</v>
      </c>
    </row>
    <row r="1237" spans="1:25" x14ac:dyDescent="0.25">
      <c r="A1237" s="2" t="s">
        <v>2758</v>
      </c>
      <c r="B1237" s="2">
        <v>9338101</v>
      </c>
      <c r="C1237" s="2" t="s">
        <v>676</v>
      </c>
      <c r="D1237" s="2" t="s">
        <v>41</v>
      </c>
      <c r="E1237" s="2" t="s">
        <v>818</v>
      </c>
      <c r="F1237" s="2" t="s">
        <v>36</v>
      </c>
      <c r="G1237" s="2" t="s">
        <v>2543</v>
      </c>
      <c r="I1237" s="2">
        <v>2198</v>
      </c>
      <c r="J1237" s="2" t="s">
        <v>84</v>
      </c>
      <c r="K1237" s="2" t="s">
        <v>26</v>
      </c>
      <c r="L1237" s="2">
        <v>4.2</v>
      </c>
      <c r="M1237" s="2">
        <v>795</v>
      </c>
      <c r="P1237" t="str">
        <f t="shared" si="79"/>
        <v>50%</v>
      </c>
      <c r="Q1237" s="12">
        <f t="shared" si="76"/>
        <v>0.5</v>
      </c>
      <c r="R1237" s="9">
        <f t="shared" si="77"/>
        <v>1099</v>
      </c>
      <c r="S1237" s="9">
        <f>IF(R1237="",AVERAGEIF(Table1[Category],Table1[[#This Row],[Category]],Table2[orignal data]),Table2[[#This Row],[orignal data]])</f>
        <v>1099</v>
      </c>
      <c r="T1237" t="str">
        <f t="shared" si="78"/>
        <v>UNIQUE</v>
      </c>
      <c r="U1237" t="str">
        <f>IF(ISBLANK(Table1[[#This Row],[SizeOption]]),"NOT AVAILABLE",Table1[[#This Row],[SizeOption]])</f>
        <v>S, M, L, XL</v>
      </c>
      <c r="Y1237" t="str">
        <f>IF(Table2[[#This Row],[Column1]]&gt;50%,"HIGH DISCOUNT","LOW DISCOUNT")</f>
        <v>LOW DISCOUNT</v>
      </c>
    </row>
    <row r="1238" spans="1:25" x14ac:dyDescent="0.25">
      <c r="A1238" s="1" t="s">
        <v>2759</v>
      </c>
      <c r="B1238" s="1">
        <v>13899962</v>
      </c>
      <c r="C1238" s="1" t="s">
        <v>52</v>
      </c>
      <c r="D1238" s="1" t="s">
        <v>15</v>
      </c>
      <c r="E1238" s="1" t="s">
        <v>23</v>
      </c>
      <c r="F1238" s="1" t="s">
        <v>17</v>
      </c>
      <c r="G1238" s="1" t="s">
        <v>2760</v>
      </c>
      <c r="H1238">
        <v>540</v>
      </c>
      <c r="I1238" s="1">
        <v>949</v>
      </c>
      <c r="J1238" s="1" t="s">
        <v>509</v>
      </c>
      <c r="K1238" s="1" t="s">
        <v>26</v>
      </c>
      <c r="L1238" s="1">
        <v>4.2</v>
      </c>
      <c r="M1238" s="1">
        <v>794</v>
      </c>
      <c r="P1238" t="str">
        <f t="shared" si="79"/>
        <v>43%</v>
      </c>
      <c r="Q1238" s="12">
        <f t="shared" si="76"/>
        <v>0.43</v>
      </c>
      <c r="R1238" s="9">
        <f t="shared" si="77"/>
        <v>540.93000000000006</v>
      </c>
      <c r="S1238" s="9">
        <f>IF(R1238="",AVERAGEIF(Table1[Category],Table1[[#This Row],[Category]],Table2[orignal data]),Table2[[#This Row],[orignal data]])</f>
        <v>540.93000000000006</v>
      </c>
      <c r="T1238" t="str">
        <f t="shared" si="78"/>
        <v>UNIQUE</v>
      </c>
      <c r="U1238" t="str">
        <f>IF(ISBLANK(Table1[[#This Row],[SizeOption]]),"NOT AVAILABLE",Table1[[#This Row],[SizeOption]])</f>
        <v>S, M, L, XL</v>
      </c>
      <c r="Y1238" t="str">
        <f>IF(Table2[[#This Row],[Column1]]&gt;50%,"HIGH DISCOUNT","LOW DISCOUNT")</f>
        <v>LOW DISCOUNT</v>
      </c>
    </row>
    <row r="1239" spans="1:25" x14ac:dyDescent="0.25">
      <c r="A1239" s="2" t="s">
        <v>2761</v>
      </c>
      <c r="B1239" s="2">
        <v>6832361</v>
      </c>
      <c r="C1239" s="2" t="s">
        <v>169</v>
      </c>
      <c r="D1239" s="2" t="s">
        <v>15</v>
      </c>
      <c r="E1239" s="2" t="s">
        <v>16</v>
      </c>
      <c r="F1239" s="2" t="s">
        <v>17</v>
      </c>
      <c r="G1239" s="2" t="s">
        <v>263</v>
      </c>
      <c r="H1239">
        <v>1559</v>
      </c>
      <c r="I1239" s="2">
        <v>2599</v>
      </c>
      <c r="J1239" s="2" t="s">
        <v>50</v>
      </c>
      <c r="K1239" s="2" t="s">
        <v>171</v>
      </c>
      <c r="L1239" s="2">
        <v>3.6</v>
      </c>
      <c r="M1239" s="2">
        <v>794</v>
      </c>
      <c r="P1239" t="str">
        <f t="shared" si="79"/>
        <v>40%</v>
      </c>
      <c r="Q1239" s="12">
        <f t="shared" si="76"/>
        <v>0.4</v>
      </c>
      <c r="R1239" s="9">
        <f t="shared" si="77"/>
        <v>1559.3999999999999</v>
      </c>
      <c r="S1239" s="9">
        <f>IF(R1239="",AVERAGEIF(Table1[Category],Table1[[#This Row],[Category]],Table2[orignal data]),Table2[[#This Row],[orignal data]])</f>
        <v>1559.3999999999999</v>
      </c>
      <c r="T1239" t="str">
        <f t="shared" si="78"/>
        <v>UNIQUE</v>
      </c>
      <c r="U1239" t="str">
        <f>IF(ISBLANK(Table1[[#This Row],[SizeOption]]),"NOT AVAILABLE",Table1[[#This Row],[SizeOption]])</f>
        <v>28, 30, 32, 34, 36, 38</v>
      </c>
      <c r="Y1239" t="str">
        <f>IF(Table2[[#This Row],[Column1]]&gt;50%,"HIGH DISCOUNT","LOW DISCOUNT")</f>
        <v>LOW DISCOUNT</v>
      </c>
    </row>
    <row r="1240" spans="1:25" x14ac:dyDescent="0.25">
      <c r="A1240" s="1" t="s">
        <v>2762</v>
      </c>
      <c r="B1240" s="1">
        <v>10619774</v>
      </c>
      <c r="C1240" s="1" t="s">
        <v>64</v>
      </c>
      <c r="D1240" s="1" t="s">
        <v>15</v>
      </c>
      <c r="E1240" s="1" t="s">
        <v>16</v>
      </c>
      <c r="F1240" s="1" t="s">
        <v>17</v>
      </c>
      <c r="G1240" s="1" t="s">
        <v>2763</v>
      </c>
      <c r="H1240">
        <v>919</v>
      </c>
      <c r="I1240" s="1">
        <v>2299</v>
      </c>
      <c r="J1240" s="1" t="s">
        <v>55</v>
      </c>
      <c r="K1240" s="1" t="s">
        <v>20</v>
      </c>
      <c r="L1240" s="1">
        <v>3.6</v>
      </c>
      <c r="M1240" s="1">
        <v>794</v>
      </c>
      <c r="P1240" t="str">
        <f t="shared" si="79"/>
        <v>60%</v>
      </c>
      <c r="Q1240" s="12">
        <f t="shared" si="76"/>
        <v>0.6</v>
      </c>
      <c r="R1240" s="9">
        <f t="shared" si="77"/>
        <v>919.60000000000014</v>
      </c>
      <c r="S1240" s="9">
        <f>IF(R1240="",AVERAGEIF(Table1[Category],Table1[[#This Row],[Category]],Table2[orignal data]),Table2[[#This Row],[orignal data]])</f>
        <v>919.60000000000014</v>
      </c>
      <c r="T1240" t="str">
        <f t="shared" si="78"/>
        <v>UNIQUE</v>
      </c>
      <c r="U1240" t="str">
        <f>IF(ISBLANK(Table1[[#This Row],[SizeOption]]),"NOT AVAILABLE",Table1[[#This Row],[SizeOption]])</f>
        <v>28, 30, 32, 34, 36</v>
      </c>
      <c r="Y1240" t="str">
        <f>IF(Table2[[#This Row],[Column1]]&gt;50%,"HIGH DISCOUNT","LOW DISCOUNT")</f>
        <v>HIGH DISCOUNT</v>
      </c>
    </row>
    <row r="1241" spans="1:25" x14ac:dyDescent="0.25">
      <c r="A1241" s="2" t="s">
        <v>2764</v>
      </c>
      <c r="B1241" s="2">
        <v>12358436</v>
      </c>
      <c r="C1241" s="2" t="s">
        <v>14</v>
      </c>
      <c r="D1241" s="2" t="s">
        <v>15</v>
      </c>
      <c r="E1241" s="2" t="s">
        <v>16</v>
      </c>
      <c r="F1241" s="2" t="s">
        <v>17</v>
      </c>
      <c r="G1241" s="2" t="s">
        <v>2765</v>
      </c>
      <c r="H1241">
        <v>799</v>
      </c>
      <c r="I1241" s="2">
        <v>1999</v>
      </c>
      <c r="J1241" s="2" t="s">
        <v>55</v>
      </c>
      <c r="K1241" s="2" t="s">
        <v>20</v>
      </c>
      <c r="L1241" s="2">
        <v>3.8</v>
      </c>
      <c r="M1241" s="2">
        <v>794</v>
      </c>
      <c r="P1241" t="str">
        <f t="shared" si="79"/>
        <v>60%</v>
      </c>
      <c r="Q1241" s="12">
        <f t="shared" si="76"/>
        <v>0.6</v>
      </c>
      <c r="R1241" s="9">
        <f t="shared" si="77"/>
        <v>799.60000000000014</v>
      </c>
      <c r="S1241" s="9">
        <f>IF(R1241="",AVERAGEIF(Table1[Category],Table1[[#This Row],[Category]],Table2[orignal data]),Table2[[#This Row],[orignal data]])</f>
        <v>799.60000000000014</v>
      </c>
      <c r="T1241" t="str">
        <f t="shared" si="78"/>
        <v>UNIQUE</v>
      </c>
      <c r="U1241" t="str">
        <f>IF(ISBLANK(Table1[[#This Row],[SizeOption]]),"NOT AVAILABLE",Table1[[#This Row],[SizeOption]])</f>
        <v>28, 30, 32, 34, 36</v>
      </c>
      <c r="Y1241" t="str">
        <f>IF(Table2[[#This Row],[Column1]]&gt;50%,"HIGH DISCOUNT","LOW DISCOUNT")</f>
        <v>HIGH DISCOUNT</v>
      </c>
    </row>
    <row r="1242" spans="1:25" x14ac:dyDescent="0.25">
      <c r="A1242" s="1" t="s">
        <v>2766</v>
      </c>
      <c r="B1242" s="1">
        <v>17982168</v>
      </c>
      <c r="C1242" s="1" t="s">
        <v>794</v>
      </c>
      <c r="D1242" s="1" t="s">
        <v>197</v>
      </c>
      <c r="E1242" s="1" t="s">
        <v>518</v>
      </c>
      <c r="F1242" s="1" t="s">
        <v>17</v>
      </c>
      <c r="G1242" s="1" t="s">
        <v>2767</v>
      </c>
      <c r="I1242" s="1">
        <v>2098</v>
      </c>
      <c r="J1242" s="1"/>
      <c r="K1242" s="1" t="s">
        <v>2768</v>
      </c>
      <c r="L1242" s="1">
        <v>4.3</v>
      </c>
      <c r="M1242" s="1">
        <v>794</v>
      </c>
      <c r="P1242" t="str">
        <f t="shared" si="79"/>
        <v/>
      </c>
      <c r="Q1242" s="12" t="str">
        <f t="shared" si="76"/>
        <v/>
      </c>
      <c r="R1242" s="9" t="str">
        <f t="shared" si="77"/>
        <v/>
      </c>
      <c r="S1242" s="9">
        <f>IF(R1242="",AVERAGEIF(Table1[Category],Table1[[#This Row],[Category]],Table2[orignal data]),Table2[[#This Row],[orignal data]])</f>
        <v>552.70900000000006</v>
      </c>
      <c r="T1242" t="str">
        <f t="shared" si="78"/>
        <v>UNIQUE</v>
      </c>
      <c r="U1242" t="str">
        <f>IF(ISBLANK(Table1[[#This Row],[SizeOption]]),"NOT AVAILABLE",Table1[[#This Row],[SizeOption]])</f>
        <v>M, L, XXL, S, XL</v>
      </c>
      <c r="Y1242" t="str">
        <f>IF(Table2[[#This Row],[Column1]]&gt;50%,"HIGH DISCOUNT","LOW DISCOUNT")</f>
        <v>HIGH DISCOUNT</v>
      </c>
    </row>
    <row r="1243" spans="1:25" x14ac:dyDescent="0.25">
      <c r="A1243" s="2" t="s">
        <v>2769</v>
      </c>
      <c r="B1243" s="2">
        <v>10960782</v>
      </c>
      <c r="C1243" s="2" t="s">
        <v>113</v>
      </c>
      <c r="D1243" s="2" t="s">
        <v>76</v>
      </c>
      <c r="E1243" s="2" t="s">
        <v>148</v>
      </c>
      <c r="F1243" s="2" t="s">
        <v>36</v>
      </c>
      <c r="G1243" s="2" t="s">
        <v>2770</v>
      </c>
      <c r="H1243">
        <v>779</v>
      </c>
      <c r="I1243" s="2">
        <v>2599</v>
      </c>
      <c r="J1243" s="2" t="s">
        <v>79</v>
      </c>
      <c r="K1243" s="2" t="s">
        <v>115</v>
      </c>
      <c r="L1243" s="2">
        <v>4</v>
      </c>
      <c r="M1243" s="2">
        <v>794</v>
      </c>
      <c r="P1243" t="str">
        <f t="shared" si="79"/>
        <v>70%</v>
      </c>
      <c r="Q1243" s="12">
        <f t="shared" si="76"/>
        <v>0.7</v>
      </c>
      <c r="R1243" s="9">
        <f t="shared" si="77"/>
        <v>779.7</v>
      </c>
      <c r="S1243" s="9">
        <f>IF(R1243="",AVERAGEIF(Table1[Category],Table1[[#This Row],[Category]],Table2[orignal data]),Table2[[#This Row],[orignal data]])</f>
        <v>779.7</v>
      </c>
      <c r="T1243" t="str">
        <f t="shared" si="78"/>
        <v>UNIQUE</v>
      </c>
      <c r="U1243" t="str">
        <f>IF(ISBLANK(Table1[[#This Row],[SizeOption]]),"NOT AVAILABLE",Table1[[#This Row],[SizeOption]])</f>
        <v>XS, S, M, L, XL, XXL</v>
      </c>
      <c r="Y1243" t="str">
        <f>IF(Table2[[#This Row],[Column1]]&gt;50%,"HIGH DISCOUNT","LOW DISCOUNT")</f>
        <v>HIGH DISCOUNT</v>
      </c>
    </row>
    <row r="1244" spans="1:25" x14ac:dyDescent="0.25">
      <c r="A1244" s="1" t="s">
        <v>2771</v>
      </c>
      <c r="B1244" s="1">
        <v>17381458</v>
      </c>
      <c r="C1244" s="1" t="s">
        <v>14</v>
      </c>
      <c r="D1244" s="1" t="s">
        <v>41</v>
      </c>
      <c r="E1244" s="1" t="s">
        <v>42</v>
      </c>
      <c r="F1244" s="1" t="s">
        <v>36</v>
      </c>
      <c r="G1244" s="1" t="s">
        <v>62</v>
      </c>
      <c r="I1244" s="1">
        <v>1198</v>
      </c>
      <c r="J1244" s="1" t="s">
        <v>84</v>
      </c>
      <c r="K1244" s="1" t="s">
        <v>45</v>
      </c>
      <c r="L1244" s="1">
        <v>4.3</v>
      </c>
      <c r="M1244" s="1">
        <v>794</v>
      </c>
      <c r="P1244" t="str">
        <f t="shared" si="79"/>
        <v>50%</v>
      </c>
      <c r="Q1244" s="12">
        <f t="shared" si="76"/>
        <v>0.5</v>
      </c>
      <c r="R1244" s="9">
        <f t="shared" si="77"/>
        <v>599</v>
      </c>
      <c r="S1244" s="9">
        <f>IF(R1244="",AVERAGEIF(Table1[Category],Table1[[#This Row],[Category]],Table2[orignal data]),Table2[[#This Row],[orignal data]])</f>
        <v>599</v>
      </c>
      <c r="T1244" t="str">
        <f t="shared" si="78"/>
        <v>UNIQUE</v>
      </c>
      <c r="U1244" t="str">
        <f>IF(ISBLANK(Table1[[#This Row],[SizeOption]]),"NOT AVAILABLE",Table1[[#This Row],[SizeOption]])</f>
        <v>XS, S, M, L, XL</v>
      </c>
      <c r="Y1244" t="str">
        <f>IF(Table2[[#This Row],[Column1]]&gt;50%,"HIGH DISCOUNT","LOW DISCOUNT")</f>
        <v>LOW DISCOUNT</v>
      </c>
    </row>
    <row r="1245" spans="1:25" x14ac:dyDescent="0.25">
      <c r="A1245" s="2" t="s">
        <v>2772</v>
      </c>
      <c r="B1245" s="2">
        <v>8367607</v>
      </c>
      <c r="C1245" s="2" t="s">
        <v>887</v>
      </c>
      <c r="D1245" s="2" t="s">
        <v>41</v>
      </c>
      <c r="E1245" s="2" t="s">
        <v>48</v>
      </c>
      <c r="F1245" s="2" t="s">
        <v>36</v>
      </c>
      <c r="G1245" s="2" t="s">
        <v>2773</v>
      </c>
      <c r="I1245" s="2">
        <v>1290</v>
      </c>
      <c r="J1245" s="2" t="s">
        <v>104</v>
      </c>
      <c r="K1245" s="2" t="s">
        <v>45</v>
      </c>
      <c r="L1245" s="2">
        <v>4.2</v>
      </c>
      <c r="M1245" s="2">
        <v>794</v>
      </c>
      <c r="P1245" t="str">
        <f t="shared" si="79"/>
        <v>61%</v>
      </c>
      <c r="Q1245" s="12">
        <f t="shared" si="76"/>
        <v>0.61</v>
      </c>
      <c r="R1245" s="9">
        <f t="shared" si="77"/>
        <v>503.1</v>
      </c>
      <c r="S1245" s="9">
        <f>IF(R1245="",AVERAGEIF(Table1[Category],Table1[[#This Row],[Category]],Table2[orignal data]),Table2[[#This Row],[orignal data]])</f>
        <v>503.1</v>
      </c>
      <c r="T1245" t="str">
        <f t="shared" si="78"/>
        <v>UNIQUE</v>
      </c>
      <c r="U1245" t="str">
        <f>IF(ISBLANK(Table1[[#This Row],[SizeOption]]),"NOT AVAILABLE",Table1[[#This Row],[SizeOption]])</f>
        <v>XS, S, M, L, XL</v>
      </c>
      <c r="Y1245" t="str">
        <f>IF(Table2[[#This Row],[Column1]]&gt;50%,"HIGH DISCOUNT","LOW DISCOUNT")</f>
        <v>HIGH DISCOUNT</v>
      </c>
    </row>
    <row r="1246" spans="1:25" x14ac:dyDescent="0.25">
      <c r="A1246" s="1" t="s">
        <v>2774</v>
      </c>
      <c r="B1246" s="1">
        <v>17384858</v>
      </c>
      <c r="C1246" s="1" t="s">
        <v>14</v>
      </c>
      <c r="D1246" s="1" t="s">
        <v>41</v>
      </c>
      <c r="E1246" s="1" t="s">
        <v>42</v>
      </c>
      <c r="F1246" s="1" t="s">
        <v>36</v>
      </c>
      <c r="G1246" s="1" t="s">
        <v>1988</v>
      </c>
      <c r="I1246" s="1">
        <v>1398</v>
      </c>
      <c r="J1246" s="1" t="s">
        <v>84</v>
      </c>
      <c r="K1246" s="1" t="s">
        <v>45</v>
      </c>
      <c r="L1246" s="1">
        <v>4.4000000000000004</v>
      </c>
      <c r="M1246" s="1">
        <v>794</v>
      </c>
      <c r="P1246" t="str">
        <f t="shared" si="79"/>
        <v>50%</v>
      </c>
      <c r="Q1246" s="12">
        <f t="shared" si="76"/>
        <v>0.5</v>
      </c>
      <c r="R1246" s="9">
        <f t="shared" si="77"/>
        <v>699</v>
      </c>
      <c r="S1246" s="9">
        <f>IF(R1246="",AVERAGEIF(Table1[Category],Table1[[#This Row],[Category]],Table2[orignal data]),Table2[[#This Row],[orignal data]])</f>
        <v>699</v>
      </c>
      <c r="T1246" t="str">
        <f t="shared" si="78"/>
        <v>UNIQUE</v>
      </c>
      <c r="U1246" t="str">
        <f>IF(ISBLANK(Table1[[#This Row],[SizeOption]]),"NOT AVAILABLE",Table1[[#This Row],[SizeOption]])</f>
        <v>XS, S, M, L, XL</v>
      </c>
      <c r="Y1246" t="str">
        <f>IF(Table2[[#This Row],[Column1]]&gt;50%,"HIGH DISCOUNT","LOW DISCOUNT")</f>
        <v>LOW DISCOUNT</v>
      </c>
    </row>
    <row r="1247" spans="1:25" x14ac:dyDescent="0.25">
      <c r="A1247" s="2" t="s">
        <v>2775</v>
      </c>
      <c r="B1247" s="2">
        <v>11549426</v>
      </c>
      <c r="C1247" s="2" t="s">
        <v>181</v>
      </c>
      <c r="D1247" s="2" t="s">
        <v>41</v>
      </c>
      <c r="E1247" s="2" t="s">
        <v>148</v>
      </c>
      <c r="F1247" s="2" t="s">
        <v>36</v>
      </c>
      <c r="G1247" s="2" t="s">
        <v>2776</v>
      </c>
      <c r="I1247" s="2">
        <v>1699</v>
      </c>
      <c r="J1247" s="2" t="s">
        <v>606</v>
      </c>
      <c r="K1247" s="2" t="s">
        <v>115</v>
      </c>
      <c r="L1247" s="2">
        <v>4.2</v>
      </c>
      <c r="M1247" s="2">
        <v>794</v>
      </c>
      <c r="P1247" t="str">
        <f t="shared" si="79"/>
        <v>54%</v>
      </c>
      <c r="Q1247" s="12">
        <f t="shared" si="76"/>
        <v>0.54</v>
      </c>
      <c r="R1247" s="9">
        <f t="shared" si="77"/>
        <v>781.54</v>
      </c>
      <c r="S1247" s="9">
        <f>IF(R1247="",AVERAGEIF(Table1[Category],Table1[[#This Row],[Category]],Table2[orignal data]),Table2[[#This Row],[orignal data]])</f>
        <v>781.54</v>
      </c>
      <c r="T1247" t="str">
        <f t="shared" si="78"/>
        <v>UNIQUE</v>
      </c>
      <c r="U1247" t="str">
        <f>IF(ISBLANK(Table1[[#This Row],[SizeOption]]),"NOT AVAILABLE",Table1[[#This Row],[SizeOption]])</f>
        <v>XS, S, M, L, XL, XXL</v>
      </c>
      <c r="Y1247" t="str">
        <f>IF(Table2[[#This Row],[Column1]]&gt;50%,"HIGH DISCOUNT","LOW DISCOUNT")</f>
        <v>HIGH DISCOUNT</v>
      </c>
    </row>
    <row r="1248" spans="1:25" x14ac:dyDescent="0.25">
      <c r="A1248" s="1" t="s">
        <v>2777</v>
      </c>
      <c r="B1248" s="1">
        <v>11199428</v>
      </c>
      <c r="C1248" s="1" t="s">
        <v>113</v>
      </c>
      <c r="D1248" s="1" t="s">
        <v>41</v>
      </c>
      <c r="E1248" s="1" t="s">
        <v>148</v>
      </c>
      <c r="F1248" s="1" t="s">
        <v>36</v>
      </c>
      <c r="G1248" s="1" t="s">
        <v>2778</v>
      </c>
      <c r="I1248" s="1">
        <v>1899</v>
      </c>
      <c r="J1248" s="1" t="s">
        <v>1986</v>
      </c>
      <c r="K1248" s="1" t="s">
        <v>115</v>
      </c>
      <c r="L1248" s="1">
        <v>4</v>
      </c>
      <c r="M1248" s="1">
        <v>794</v>
      </c>
      <c r="P1248" t="str">
        <f t="shared" si="79"/>
        <v>60 %</v>
      </c>
      <c r="Q1248" s="12">
        <f t="shared" si="76"/>
        <v>0.6</v>
      </c>
      <c r="R1248" s="9">
        <f t="shared" si="77"/>
        <v>759.60000000000014</v>
      </c>
      <c r="S1248" s="9">
        <f>IF(R1248="",AVERAGEIF(Table1[Category],Table1[[#This Row],[Category]],Table2[orignal data]),Table2[[#This Row],[orignal data]])</f>
        <v>759.60000000000014</v>
      </c>
      <c r="T1248" t="str">
        <f t="shared" si="78"/>
        <v>UNIQUE</v>
      </c>
      <c r="U1248" t="str">
        <f>IF(ISBLANK(Table1[[#This Row],[SizeOption]]),"NOT AVAILABLE",Table1[[#This Row],[SizeOption]])</f>
        <v>XS, S, M, L, XL, XXL</v>
      </c>
      <c r="Y1248" t="str">
        <f>IF(Table2[[#This Row],[Column1]]&gt;50%,"HIGH DISCOUNT","LOW DISCOUNT")</f>
        <v>HIGH DISCOUNT</v>
      </c>
    </row>
    <row r="1249" spans="1:25" x14ac:dyDescent="0.25">
      <c r="A1249" s="2" t="s">
        <v>2779</v>
      </c>
      <c r="B1249" s="2">
        <v>8974131</v>
      </c>
      <c r="C1249" s="2" t="s">
        <v>14</v>
      </c>
      <c r="D1249" s="2" t="s">
        <v>41</v>
      </c>
      <c r="E1249" s="2" t="s">
        <v>42</v>
      </c>
      <c r="F1249" s="2" t="s">
        <v>36</v>
      </c>
      <c r="G1249" s="2" t="s">
        <v>2780</v>
      </c>
      <c r="I1249" s="2">
        <v>499</v>
      </c>
      <c r="J1249" s="2" t="s">
        <v>44</v>
      </c>
      <c r="K1249" s="2" t="s">
        <v>45</v>
      </c>
      <c r="L1249" s="2">
        <v>4.0999999999999996</v>
      </c>
      <c r="M1249" s="2">
        <v>794</v>
      </c>
      <c r="P1249" t="str">
        <f t="shared" si="79"/>
        <v>35%</v>
      </c>
      <c r="Q1249" s="12">
        <f t="shared" si="76"/>
        <v>0.35</v>
      </c>
      <c r="R1249" s="9">
        <f t="shared" si="77"/>
        <v>324.35000000000002</v>
      </c>
      <c r="S1249" s="9">
        <f>IF(R1249="",AVERAGEIF(Table1[Category],Table1[[#This Row],[Category]],Table2[orignal data]),Table2[[#This Row],[orignal data]])</f>
        <v>324.35000000000002</v>
      </c>
      <c r="T1249" t="str">
        <f t="shared" si="78"/>
        <v>UNIQUE</v>
      </c>
      <c r="U1249" t="str">
        <f>IF(ISBLANK(Table1[[#This Row],[SizeOption]]),"NOT AVAILABLE",Table1[[#This Row],[SizeOption]])</f>
        <v>XS, S, M, L, XL</v>
      </c>
      <c r="Y1249" t="str">
        <f>IF(Table2[[#This Row],[Column1]]&gt;50%,"HIGH DISCOUNT","LOW DISCOUNT")</f>
        <v>LOW DISCOUNT</v>
      </c>
    </row>
    <row r="1250" spans="1:25" x14ac:dyDescent="0.25">
      <c r="A1250" s="1" t="s">
        <v>2781</v>
      </c>
      <c r="B1250" s="1">
        <v>10778694</v>
      </c>
      <c r="C1250" s="1" t="s">
        <v>14</v>
      </c>
      <c r="D1250" s="1" t="s">
        <v>41</v>
      </c>
      <c r="E1250" s="1" t="s">
        <v>42</v>
      </c>
      <c r="F1250" s="1" t="s">
        <v>36</v>
      </c>
      <c r="G1250" s="1" t="s">
        <v>2782</v>
      </c>
      <c r="I1250" s="1">
        <v>599</v>
      </c>
      <c r="J1250" s="1" t="s">
        <v>55</v>
      </c>
      <c r="K1250" s="1" t="s">
        <v>45</v>
      </c>
      <c r="L1250" s="1">
        <v>4.3</v>
      </c>
      <c r="M1250" s="1">
        <v>794</v>
      </c>
      <c r="P1250" t="str">
        <f t="shared" si="79"/>
        <v>60%</v>
      </c>
      <c r="Q1250" s="12">
        <f t="shared" si="76"/>
        <v>0.6</v>
      </c>
      <c r="R1250" s="9">
        <f t="shared" si="77"/>
        <v>239.60000000000002</v>
      </c>
      <c r="S1250" s="9">
        <f>IF(R1250="",AVERAGEIF(Table1[Category],Table1[[#This Row],[Category]],Table2[orignal data]),Table2[[#This Row],[orignal data]])</f>
        <v>239.60000000000002</v>
      </c>
      <c r="T1250" t="str">
        <f t="shared" si="78"/>
        <v>UNIQUE</v>
      </c>
      <c r="U1250" t="str">
        <f>IF(ISBLANK(Table1[[#This Row],[SizeOption]]),"NOT AVAILABLE",Table1[[#This Row],[SizeOption]])</f>
        <v>XS, S, M, L, XL</v>
      </c>
      <c r="Y1250" t="str">
        <f>IF(Table2[[#This Row],[Column1]]&gt;50%,"HIGH DISCOUNT","LOW DISCOUNT")</f>
        <v>HIGH DISCOUNT</v>
      </c>
    </row>
    <row r="1251" spans="1:25" x14ac:dyDescent="0.25">
      <c r="A1251" s="2" t="s">
        <v>2783</v>
      </c>
      <c r="B1251" s="2">
        <v>5661623</v>
      </c>
      <c r="C1251" s="2" t="s">
        <v>117</v>
      </c>
      <c r="D1251" s="2" t="s">
        <v>41</v>
      </c>
      <c r="E1251" s="2" t="s">
        <v>2784</v>
      </c>
      <c r="F1251" s="2" t="s">
        <v>36</v>
      </c>
      <c r="G1251" s="2" t="s">
        <v>2785</v>
      </c>
      <c r="I1251" s="2">
        <v>849</v>
      </c>
      <c r="J1251" s="2"/>
      <c r="K1251" s="2" t="s">
        <v>2786</v>
      </c>
      <c r="L1251" s="2">
        <v>4.5</v>
      </c>
      <c r="M1251" s="2">
        <v>794</v>
      </c>
      <c r="P1251" t="str">
        <f t="shared" si="79"/>
        <v/>
      </c>
      <c r="Q1251" s="12" t="str">
        <f t="shared" si="76"/>
        <v/>
      </c>
      <c r="R1251" s="9" t="str">
        <f t="shared" si="77"/>
        <v/>
      </c>
      <c r="S1251" s="9">
        <f>IF(R1251="",AVERAGEIF(Table1[Category],Table1[[#This Row],[Category]],Table2[orignal data]),Table2[[#This Row],[orignal data]])</f>
        <v>715.78890751086249</v>
      </c>
      <c r="T1251" t="str">
        <f t="shared" si="78"/>
        <v>UNIQUE</v>
      </c>
      <c r="U1251" t="str">
        <f>IF(ISBLANK(Table1[[#This Row],[SizeOption]]),"NOT AVAILABLE",Table1[[#This Row],[SizeOption]])</f>
        <v>28, 29, 30, 32</v>
      </c>
      <c r="Y1251" t="str">
        <f>IF(Table2[[#This Row],[Column1]]&gt;50%,"HIGH DISCOUNT","LOW DISCOUNT")</f>
        <v>HIGH DISCOUNT</v>
      </c>
    </row>
    <row r="1252" spans="1:25" x14ac:dyDescent="0.25">
      <c r="A1252" s="1" t="s">
        <v>2787</v>
      </c>
      <c r="B1252" s="1">
        <v>1729330</v>
      </c>
      <c r="C1252" s="1" t="s">
        <v>169</v>
      </c>
      <c r="D1252" s="1" t="s">
        <v>15</v>
      </c>
      <c r="E1252" s="1" t="s">
        <v>16</v>
      </c>
      <c r="F1252" s="1" t="s">
        <v>17</v>
      </c>
      <c r="G1252" s="1" t="s">
        <v>2788</v>
      </c>
      <c r="H1252">
        <v>1449</v>
      </c>
      <c r="I1252" s="1">
        <v>2899</v>
      </c>
      <c r="J1252" s="1" t="s">
        <v>84</v>
      </c>
      <c r="K1252" s="1" t="s">
        <v>171</v>
      </c>
      <c r="L1252" s="1">
        <v>4.2</v>
      </c>
      <c r="M1252" s="1">
        <v>793</v>
      </c>
      <c r="P1252" t="str">
        <f t="shared" si="79"/>
        <v>50%</v>
      </c>
      <c r="Q1252" s="12">
        <f t="shared" si="76"/>
        <v>0.5</v>
      </c>
      <c r="R1252" s="9">
        <f t="shared" si="77"/>
        <v>1449.5</v>
      </c>
      <c r="S1252" s="9">
        <f>IF(R1252="",AVERAGEIF(Table1[Category],Table1[[#This Row],[Category]],Table2[orignal data]),Table2[[#This Row],[orignal data]])</f>
        <v>1449.5</v>
      </c>
      <c r="T1252" t="str">
        <f t="shared" si="78"/>
        <v>UNIQUE</v>
      </c>
      <c r="U1252" t="str">
        <f>IF(ISBLANK(Table1[[#This Row],[SizeOption]]),"NOT AVAILABLE",Table1[[#This Row],[SizeOption]])</f>
        <v>28, 30, 32, 34, 36, 38</v>
      </c>
      <c r="Y1252" t="str">
        <f>IF(Table2[[#This Row],[Column1]]&gt;50%,"HIGH DISCOUNT","LOW DISCOUNT")</f>
        <v>LOW DISCOUNT</v>
      </c>
    </row>
    <row r="1253" spans="1:25" x14ac:dyDescent="0.25">
      <c r="A1253" s="2" t="s">
        <v>2789</v>
      </c>
      <c r="B1253" s="2">
        <v>8874173</v>
      </c>
      <c r="C1253" s="2" t="s">
        <v>2790</v>
      </c>
      <c r="D1253" s="2" t="s">
        <v>197</v>
      </c>
      <c r="E1253" s="2" t="s">
        <v>296</v>
      </c>
      <c r="F1253" s="2" t="s">
        <v>17</v>
      </c>
      <c r="G1253" s="2" t="s">
        <v>2791</v>
      </c>
      <c r="H1253">
        <v>209</v>
      </c>
      <c r="I1253" s="2">
        <v>349</v>
      </c>
      <c r="J1253" s="2" t="s">
        <v>50</v>
      </c>
      <c r="K1253" s="2" t="s">
        <v>26</v>
      </c>
      <c r="L1253" s="2">
        <v>4.2</v>
      </c>
      <c r="M1253" s="2">
        <v>793</v>
      </c>
      <c r="P1253" t="str">
        <f t="shared" si="79"/>
        <v>40%</v>
      </c>
      <c r="Q1253" s="12">
        <f t="shared" si="76"/>
        <v>0.4</v>
      </c>
      <c r="R1253" s="9">
        <f t="shared" si="77"/>
        <v>209.4</v>
      </c>
      <c r="S1253" s="9">
        <f>IF(R1253="",AVERAGEIF(Table1[Category],Table1[[#This Row],[Category]],Table2[orignal data]),Table2[[#This Row],[orignal data]])</f>
        <v>209.4</v>
      </c>
      <c r="T1253" t="str">
        <f t="shared" si="78"/>
        <v>UNIQUE</v>
      </c>
      <c r="U1253" t="str">
        <f>IF(ISBLANK(Table1[[#This Row],[SizeOption]]),"NOT AVAILABLE",Table1[[#This Row],[SizeOption]])</f>
        <v>S, M, L, XL</v>
      </c>
      <c r="Y1253" t="str">
        <f>IF(Table2[[#This Row],[Column1]]&gt;50%,"HIGH DISCOUNT","LOW DISCOUNT")</f>
        <v>LOW DISCOUNT</v>
      </c>
    </row>
    <row r="1254" spans="1:25" x14ac:dyDescent="0.25">
      <c r="A1254" s="1" t="s">
        <v>2792</v>
      </c>
      <c r="B1254" s="1">
        <v>13676448</v>
      </c>
      <c r="C1254" s="1" t="s">
        <v>563</v>
      </c>
      <c r="D1254" s="1" t="s">
        <v>197</v>
      </c>
      <c r="E1254" s="1" t="s">
        <v>518</v>
      </c>
      <c r="F1254" s="1" t="s">
        <v>17</v>
      </c>
      <c r="G1254" s="1" t="s">
        <v>564</v>
      </c>
      <c r="H1254">
        <v>1096</v>
      </c>
      <c r="I1254" s="1">
        <v>1798</v>
      </c>
      <c r="J1254" s="1" t="s">
        <v>1863</v>
      </c>
      <c r="K1254" s="1" t="s">
        <v>39</v>
      </c>
      <c r="L1254" s="1">
        <v>4.0999999999999996</v>
      </c>
      <c r="M1254" s="1">
        <v>793</v>
      </c>
      <c r="P1254" t="str">
        <f t="shared" si="79"/>
        <v>39%</v>
      </c>
      <c r="Q1254" s="12">
        <f t="shared" si="76"/>
        <v>0.39</v>
      </c>
      <c r="R1254" s="9">
        <f t="shared" si="77"/>
        <v>1096.78</v>
      </c>
      <c r="S1254" s="9">
        <f>IF(R1254="",AVERAGEIF(Table1[Category],Table1[[#This Row],[Category]],Table2[orignal data]),Table2[[#This Row],[orignal data]])</f>
        <v>1096.78</v>
      </c>
      <c r="T1254" t="str">
        <f t="shared" si="78"/>
        <v>UNIQUE</v>
      </c>
      <c r="U1254" t="str">
        <f>IF(ISBLANK(Table1[[#This Row],[SizeOption]]),"NOT AVAILABLE",Table1[[#This Row],[SizeOption]])</f>
        <v>S, M, L, XL, XXL</v>
      </c>
      <c r="Y1254" t="str">
        <f>IF(Table2[[#This Row],[Column1]]&gt;50%,"HIGH DISCOUNT","LOW DISCOUNT")</f>
        <v>LOW DISCOUNT</v>
      </c>
    </row>
    <row r="1255" spans="1:25" x14ac:dyDescent="0.25">
      <c r="A1255" s="2" t="s">
        <v>2793</v>
      </c>
      <c r="B1255" s="2">
        <v>11787914</v>
      </c>
      <c r="C1255" s="2" t="s">
        <v>2790</v>
      </c>
      <c r="D1255" s="2" t="s">
        <v>197</v>
      </c>
      <c r="E1255" s="2" t="s">
        <v>296</v>
      </c>
      <c r="F1255" s="2" t="s">
        <v>17</v>
      </c>
      <c r="G1255" s="2" t="s">
        <v>2794</v>
      </c>
      <c r="I1255" s="2">
        <v>698</v>
      </c>
      <c r="J1255" s="2"/>
      <c r="K1255" s="2" t="s">
        <v>2041</v>
      </c>
      <c r="L1255" s="2">
        <v>4.2</v>
      </c>
      <c r="M1255" s="2">
        <v>793</v>
      </c>
      <c r="P1255" t="str">
        <f t="shared" si="79"/>
        <v/>
      </c>
      <c r="Q1255" s="12" t="str">
        <f t="shared" si="76"/>
        <v/>
      </c>
      <c r="R1255" s="9" t="str">
        <f t="shared" si="77"/>
        <v/>
      </c>
      <c r="S1255" s="9">
        <f>IF(R1255="",AVERAGEIF(Table1[Category],Table1[[#This Row],[Category]],Table2[orignal data]),Table2[[#This Row],[orignal data]])</f>
        <v>552.70900000000006</v>
      </c>
      <c r="T1255" t="str">
        <f t="shared" si="78"/>
        <v>UNIQUE</v>
      </c>
      <c r="U1255" t="str">
        <f>IF(ISBLANK(Table1[[#This Row],[SizeOption]]),"NOT AVAILABLE",Table1[[#This Row],[SizeOption]])</f>
        <v>XL, M, S, L</v>
      </c>
      <c r="Y1255" t="str">
        <f>IF(Table2[[#This Row],[Column1]]&gt;50%,"HIGH DISCOUNT","LOW DISCOUNT")</f>
        <v>HIGH DISCOUNT</v>
      </c>
    </row>
    <row r="1256" spans="1:25" x14ac:dyDescent="0.25">
      <c r="A1256" s="1" t="s">
        <v>2795</v>
      </c>
      <c r="B1256" s="1">
        <v>12295546</v>
      </c>
      <c r="C1256" s="1" t="s">
        <v>67</v>
      </c>
      <c r="D1256" s="1" t="s">
        <v>68</v>
      </c>
      <c r="E1256" s="1" t="s">
        <v>42</v>
      </c>
      <c r="F1256" s="1" t="s">
        <v>17</v>
      </c>
      <c r="G1256" s="1" t="s">
        <v>2796</v>
      </c>
      <c r="H1256">
        <v>384</v>
      </c>
      <c r="I1256" s="1">
        <v>699</v>
      </c>
      <c r="J1256" s="1" t="s">
        <v>19</v>
      </c>
      <c r="K1256" s="1" t="s">
        <v>39</v>
      </c>
      <c r="L1256" s="1">
        <v>4.3</v>
      </c>
      <c r="M1256" s="1">
        <v>793</v>
      </c>
      <c r="P1256" t="str">
        <f t="shared" si="79"/>
        <v>45%</v>
      </c>
      <c r="Q1256" s="12">
        <f t="shared" si="76"/>
        <v>0.45</v>
      </c>
      <c r="R1256" s="9">
        <f t="shared" si="77"/>
        <v>384.45</v>
      </c>
      <c r="S1256" s="9">
        <f>IF(R1256="",AVERAGEIF(Table1[Category],Table1[[#This Row],[Category]],Table2[orignal data]),Table2[[#This Row],[orignal data]])</f>
        <v>384.45</v>
      </c>
      <c r="T1256" t="str">
        <f t="shared" si="78"/>
        <v>UNIQUE</v>
      </c>
      <c r="U1256" t="str">
        <f>IF(ISBLANK(Table1[[#This Row],[SizeOption]]),"NOT AVAILABLE",Table1[[#This Row],[SizeOption]])</f>
        <v>S, M, L, XL, XXL</v>
      </c>
      <c r="Y1256" t="str">
        <f>IF(Table2[[#This Row],[Column1]]&gt;50%,"HIGH DISCOUNT","LOW DISCOUNT")</f>
        <v>LOW DISCOUNT</v>
      </c>
    </row>
    <row r="1257" spans="1:25" x14ac:dyDescent="0.25">
      <c r="A1257" s="2" t="s">
        <v>2797</v>
      </c>
      <c r="B1257" s="2">
        <v>10943340</v>
      </c>
      <c r="C1257" s="2" t="s">
        <v>14</v>
      </c>
      <c r="D1257" s="2" t="s">
        <v>28</v>
      </c>
      <c r="E1257" s="2" t="s">
        <v>42</v>
      </c>
      <c r="F1257" s="2" t="s">
        <v>17</v>
      </c>
      <c r="G1257" s="2" t="s">
        <v>2798</v>
      </c>
      <c r="I1257" s="2">
        <v>1099</v>
      </c>
      <c r="J1257" s="2"/>
      <c r="K1257" s="2" t="s">
        <v>45</v>
      </c>
      <c r="L1257" s="2">
        <v>4.2</v>
      </c>
      <c r="M1257" s="2">
        <v>793</v>
      </c>
      <c r="P1257" t="str">
        <f t="shared" si="79"/>
        <v/>
      </c>
      <c r="Q1257" s="12" t="str">
        <f t="shared" si="76"/>
        <v/>
      </c>
      <c r="R1257" s="9" t="str">
        <f t="shared" si="77"/>
        <v/>
      </c>
      <c r="S1257" s="9">
        <f>IF(R1257="",AVERAGEIF(Table1[Category],Table1[[#This Row],[Category]],Table2[orignal data]),Table2[[#This Row],[orignal data]])</f>
        <v>671.7823941958867</v>
      </c>
      <c r="T1257" t="str">
        <f t="shared" si="78"/>
        <v>UNIQUE</v>
      </c>
      <c r="U1257" t="str">
        <f>IF(ISBLANK(Table1[[#This Row],[SizeOption]]),"NOT AVAILABLE",Table1[[#This Row],[SizeOption]])</f>
        <v>XS, S, M, L, XL</v>
      </c>
      <c r="Y1257" t="str">
        <f>IF(Table2[[#This Row],[Column1]]&gt;50%,"HIGH DISCOUNT","LOW DISCOUNT")</f>
        <v>HIGH DISCOUNT</v>
      </c>
    </row>
    <row r="1258" spans="1:25" x14ac:dyDescent="0.25">
      <c r="A1258" s="1" t="s">
        <v>2799</v>
      </c>
      <c r="B1258" s="1">
        <v>12652028</v>
      </c>
      <c r="C1258" s="1" t="s">
        <v>64</v>
      </c>
      <c r="D1258" s="1" t="s">
        <v>98</v>
      </c>
      <c r="E1258" s="1" t="s">
        <v>48</v>
      </c>
      <c r="F1258" s="1" t="s">
        <v>36</v>
      </c>
      <c r="G1258" s="1" t="s">
        <v>2800</v>
      </c>
      <c r="H1258">
        <v>359</v>
      </c>
      <c r="I1258" s="1">
        <v>899</v>
      </c>
      <c r="J1258" s="1" t="s">
        <v>55</v>
      </c>
      <c r="K1258" s="1" t="s">
        <v>115</v>
      </c>
      <c r="L1258" s="1">
        <v>4.0999999999999996</v>
      </c>
      <c r="M1258" s="1">
        <v>793</v>
      </c>
      <c r="P1258" t="str">
        <f t="shared" si="79"/>
        <v>60%</v>
      </c>
      <c r="Q1258" s="12">
        <f t="shared" si="76"/>
        <v>0.6</v>
      </c>
      <c r="R1258" s="9">
        <f t="shared" si="77"/>
        <v>359.6</v>
      </c>
      <c r="S1258" s="9">
        <f>IF(R1258="",AVERAGEIF(Table1[Category],Table1[[#This Row],[Category]],Table2[orignal data]),Table2[[#This Row],[orignal data]])</f>
        <v>359.6</v>
      </c>
      <c r="T1258" t="str">
        <f t="shared" si="78"/>
        <v>UNIQUE</v>
      </c>
      <c r="U1258" t="str">
        <f>IF(ISBLANK(Table1[[#This Row],[SizeOption]]),"NOT AVAILABLE",Table1[[#This Row],[SizeOption]])</f>
        <v>XS, S, M, L, XL, XXL</v>
      </c>
      <c r="Y1258" t="str">
        <f>IF(Table2[[#This Row],[Column1]]&gt;50%,"HIGH DISCOUNT","LOW DISCOUNT")</f>
        <v>HIGH DISCOUNT</v>
      </c>
    </row>
    <row r="1259" spans="1:25" x14ac:dyDescent="0.25">
      <c r="A1259" s="2" t="s">
        <v>2801</v>
      </c>
      <c r="B1259" s="2">
        <v>7277195</v>
      </c>
      <c r="C1259" s="2" t="s">
        <v>67</v>
      </c>
      <c r="D1259" s="2" t="s">
        <v>68</v>
      </c>
      <c r="E1259" s="2" t="s">
        <v>69</v>
      </c>
      <c r="F1259" s="2" t="s">
        <v>36</v>
      </c>
      <c r="G1259" s="2" t="s">
        <v>2802</v>
      </c>
      <c r="H1259">
        <v>949</v>
      </c>
      <c r="I1259" s="2">
        <v>1899</v>
      </c>
      <c r="J1259" s="2" t="s">
        <v>84</v>
      </c>
      <c r="K1259" s="2" t="s">
        <v>115</v>
      </c>
      <c r="L1259" s="2">
        <v>4.3</v>
      </c>
      <c r="M1259" s="2">
        <v>793</v>
      </c>
      <c r="P1259" t="str">
        <f t="shared" si="79"/>
        <v>50%</v>
      </c>
      <c r="Q1259" s="12">
        <f t="shared" si="76"/>
        <v>0.5</v>
      </c>
      <c r="R1259" s="9">
        <f t="shared" si="77"/>
        <v>949.5</v>
      </c>
      <c r="S1259" s="9">
        <f>IF(R1259="",AVERAGEIF(Table1[Category],Table1[[#This Row],[Category]],Table2[orignal data]),Table2[[#This Row],[orignal data]])</f>
        <v>949.5</v>
      </c>
      <c r="T1259" t="str">
        <f t="shared" si="78"/>
        <v>UNIQUE</v>
      </c>
      <c r="U1259" t="str">
        <f>IF(ISBLANK(Table1[[#This Row],[SizeOption]]),"NOT AVAILABLE",Table1[[#This Row],[SizeOption]])</f>
        <v>XS, S, M, L, XL, XXL</v>
      </c>
      <c r="Y1259" t="str">
        <f>IF(Table2[[#This Row],[Column1]]&gt;50%,"HIGH DISCOUNT","LOW DISCOUNT")</f>
        <v>LOW DISCOUNT</v>
      </c>
    </row>
    <row r="1260" spans="1:25" x14ac:dyDescent="0.25">
      <c r="A1260" s="1" t="s">
        <v>2803</v>
      </c>
      <c r="B1260" s="1">
        <v>9341439</v>
      </c>
      <c r="C1260" s="1" t="s">
        <v>676</v>
      </c>
      <c r="D1260" s="1" t="s">
        <v>41</v>
      </c>
      <c r="E1260" s="1" t="s">
        <v>48</v>
      </c>
      <c r="F1260" s="1" t="s">
        <v>36</v>
      </c>
      <c r="G1260" s="1" t="s">
        <v>2417</v>
      </c>
      <c r="I1260" s="1">
        <v>1998</v>
      </c>
      <c r="J1260" s="1" t="s">
        <v>84</v>
      </c>
      <c r="K1260" s="1" t="s">
        <v>26</v>
      </c>
      <c r="L1260" s="1">
        <v>4.2</v>
      </c>
      <c r="M1260" s="1">
        <v>793</v>
      </c>
      <c r="P1260" t="str">
        <f t="shared" si="79"/>
        <v>50%</v>
      </c>
      <c r="Q1260" s="12">
        <f t="shared" si="76"/>
        <v>0.5</v>
      </c>
      <c r="R1260" s="9">
        <f t="shared" si="77"/>
        <v>999</v>
      </c>
      <c r="S1260" s="9">
        <f>IF(R1260="",AVERAGEIF(Table1[Category],Table1[[#This Row],[Category]],Table2[orignal data]),Table2[[#This Row],[orignal data]])</f>
        <v>999</v>
      </c>
      <c r="T1260" t="str">
        <f t="shared" si="78"/>
        <v>UNIQUE</v>
      </c>
      <c r="U1260" t="str">
        <f>IF(ISBLANK(Table1[[#This Row],[SizeOption]]),"NOT AVAILABLE",Table1[[#This Row],[SizeOption]])</f>
        <v>S, M, L, XL</v>
      </c>
      <c r="Y1260" t="str">
        <f>IF(Table2[[#This Row],[Column1]]&gt;50%,"HIGH DISCOUNT","LOW DISCOUNT")</f>
        <v>LOW DISCOUNT</v>
      </c>
    </row>
    <row r="1261" spans="1:25" x14ac:dyDescent="0.25">
      <c r="A1261" s="2" t="s">
        <v>2804</v>
      </c>
      <c r="B1261" s="2">
        <v>17383536</v>
      </c>
      <c r="C1261" s="2" t="s">
        <v>14</v>
      </c>
      <c r="D1261" s="2" t="s">
        <v>41</v>
      </c>
      <c r="E1261" s="2" t="s">
        <v>42</v>
      </c>
      <c r="F1261" s="2" t="s">
        <v>36</v>
      </c>
      <c r="G1261" s="2" t="s">
        <v>2805</v>
      </c>
      <c r="I1261" s="2">
        <v>1598</v>
      </c>
      <c r="J1261" s="2"/>
      <c r="K1261" s="2" t="s">
        <v>146</v>
      </c>
      <c r="L1261" s="2">
        <v>4.3</v>
      </c>
      <c r="M1261" s="2">
        <v>793</v>
      </c>
      <c r="P1261" t="str">
        <f t="shared" si="79"/>
        <v/>
      </c>
      <c r="Q1261" s="12" t="str">
        <f t="shared" si="76"/>
        <v/>
      </c>
      <c r="R1261" s="9" t="str">
        <f t="shared" si="77"/>
        <v/>
      </c>
      <c r="S1261" s="9">
        <f>IF(R1261="",AVERAGEIF(Table1[Category],Table1[[#This Row],[Category]],Table2[orignal data]),Table2[[#This Row],[orignal data]])</f>
        <v>715.78890751086249</v>
      </c>
      <c r="T1261" t="str">
        <f t="shared" si="78"/>
        <v>UNIQUE</v>
      </c>
      <c r="U1261" t="str">
        <f>IF(ISBLANK(Table1[[#This Row],[SizeOption]]),"NOT AVAILABLE",Table1[[#This Row],[SizeOption]])</f>
        <v>L, M, S, XS, XL</v>
      </c>
      <c r="Y1261" t="str">
        <f>IF(Table2[[#This Row],[Column1]]&gt;50%,"HIGH DISCOUNT","LOW DISCOUNT")</f>
        <v>HIGH DISCOUNT</v>
      </c>
    </row>
    <row r="1262" spans="1:25" x14ac:dyDescent="0.25">
      <c r="A1262" s="1" t="s">
        <v>2806</v>
      </c>
      <c r="B1262" s="1">
        <v>12983716</v>
      </c>
      <c r="C1262" s="1" t="s">
        <v>47</v>
      </c>
      <c r="D1262" s="1" t="s">
        <v>15</v>
      </c>
      <c r="E1262" s="1" t="s">
        <v>16</v>
      </c>
      <c r="F1262" s="1" t="s">
        <v>17</v>
      </c>
      <c r="G1262" s="1" t="s">
        <v>713</v>
      </c>
      <c r="I1262" s="1">
        <v>1999</v>
      </c>
      <c r="J1262" s="1"/>
      <c r="K1262" s="1" t="s">
        <v>20</v>
      </c>
      <c r="L1262" s="1">
        <v>3.8</v>
      </c>
      <c r="M1262" s="1">
        <v>792</v>
      </c>
      <c r="P1262" t="str">
        <f t="shared" si="79"/>
        <v/>
      </c>
      <c r="Q1262" s="12" t="str">
        <f t="shared" si="76"/>
        <v/>
      </c>
      <c r="R1262" s="9" t="str">
        <f t="shared" si="77"/>
        <v/>
      </c>
      <c r="S1262" s="9">
        <f>IF(R1262="",AVERAGEIF(Table1[Category],Table1[[#This Row],[Category]],Table2[orignal data]),Table2[[#This Row],[orignal data]])</f>
        <v>892.27590339892538</v>
      </c>
      <c r="T1262" t="str">
        <f t="shared" si="78"/>
        <v>UNIQUE</v>
      </c>
      <c r="U1262" t="str">
        <f>IF(ISBLANK(Table1[[#This Row],[SizeOption]]),"NOT AVAILABLE",Table1[[#This Row],[SizeOption]])</f>
        <v>28, 30, 32, 34, 36</v>
      </c>
      <c r="Y1262" t="str">
        <f>IF(Table2[[#This Row],[Column1]]&gt;50%,"HIGH DISCOUNT","LOW DISCOUNT")</f>
        <v>HIGH DISCOUNT</v>
      </c>
    </row>
    <row r="1263" spans="1:25" x14ac:dyDescent="0.25">
      <c r="A1263" s="2" t="s">
        <v>2807</v>
      </c>
      <c r="B1263" s="2">
        <v>8349333</v>
      </c>
      <c r="C1263" s="2" t="s">
        <v>97</v>
      </c>
      <c r="D1263" s="2" t="s">
        <v>98</v>
      </c>
      <c r="E1263" s="2" t="s">
        <v>93</v>
      </c>
      <c r="F1263" s="2" t="s">
        <v>36</v>
      </c>
      <c r="G1263" s="2" t="s">
        <v>2808</v>
      </c>
      <c r="H1263">
        <v>999</v>
      </c>
      <c r="I1263" s="2">
        <v>1999</v>
      </c>
      <c r="J1263" s="2" t="s">
        <v>84</v>
      </c>
      <c r="K1263" s="2" t="s">
        <v>100</v>
      </c>
      <c r="L1263" s="2">
        <v>4.2</v>
      </c>
      <c r="M1263" s="2">
        <v>792</v>
      </c>
      <c r="P1263" t="str">
        <f t="shared" si="79"/>
        <v>50%</v>
      </c>
      <c r="Q1263" s="12">
        <f t="shared" si="76"/>
        <v>0.5</v>
      </c>
      <c r="R1263" s="9">
        <f t="shared" si="77"/>
        <v>999.5</v>
      </c>
      <c r="S1263" s="9">
        <f>IF(R1263="",AVERAGEIF(Table1[Category],Table1[[#This Row],[Category]],Table2[orignal data]),Table2[[#This Row],[orignal data]])</f>
        <v>999.5</v>
      </c>
      <c r="T1263" t="str">
        <f t="shared" si="78"/>
        <v>UNIQUE</v>
      </c>
      <c r="U1263" t="str">
        <f>IF(ISBLANK(Table1[[#This Row],[SizeOption]]),"NOT AVAILABLE",Table1[[#This Row],[SizeOption]])</f>
        <v>XS, S, M, L, XL, XXL, 3XL</v>
      </c>
      <c r="Y1263" t="str">
        <f>IF(Table2[[#This Row],[Column1]]&gt;50%,"HIGH DISCOUNT","LOW DISCOUNT")</f>
        <v>LOW DISCOUNT</v>
      </c>
    </row>
    <row r="1264" spans="1:25" x14ac:dyDescent="0.25">
      <c r="A1264" s="1" t="s">
        <v>2809</v>
      </c>
      <c r="B1264" s="1">
        <v>14145162</v>
      </c>
      <c r="C1264" s="1" t="s">
        <v>102</v>
      </c>
      <c r="D1264" s="1" t="s">
        <v>41</v>
      </c>
      <c r="E1264" s="1" t="s">
        <v>23</v>
      </c>
      <c r="F1264" s="1" t="s">
        <v>36</v>
      </c>
      <c r="G1264" s="1" t="s">
        <v>2810</v>
      </c>
      <c r="I1264" s="1">
        <v>1149</v>
      </c>
      <c r="J1264" s="1" t="s">
        <v>602</v>
      </c>
      <c r="K1264" s="1" t="s">
        <v>26</v>
      </c>
      <c r="L1264" s="1">
        <v>4.3</v>
      </c>
      <c r="M1264" s="1">
        <v>792</v>
      </c>
      <c r="P1264" t="str">
        <f t="shared" si="79"/>
        <v>48%</v>
      </c>
      <c r="Q1264" s="12">
        <f t="shared" si="76"/>
        <v>0.48</v>
      </c>
      <c r="R1264" s="9">
        <f t="shared" si="77"/>
        <v>597.48</v>
      </c>
      <c r="S1264" s="9">
        <f>IF(R1264="",AVERAGEIF(Table1[Category],Table1[[#This Row],[Category]],Table2[orignal data]),Table2[[#This Row],[orignal data]])</f>
        <v>597.48</v>
      </c>
      <c r="T1264" t="str">
        <f t="shared" si="78"/>
        <v>UNIQUE</v>
      </c>
      <c r="U1264" t="str">
        <f>IF(ISBLANK(Table1[[#This Row],[SizeOption]]),"NOT AVAILABLE",Table1[[#This Row],[SizeOption]])</f>
        <v>S, M, L, XL</v>
      </c>
      <c r="Y1264" t="str">
        <f>IF(Table2[[#This Row],[Column1]]&gt;50%,"HIGH DISCOUNT","LOW DISCOUNT")</f>
        <v>LOW DISCOUNT</v>
      </c>
    </row>
    <row r="1265" spans="1:25" x14ac:dyDescent="0.25">
      <c r="A1265" s="2" t="s">
        <v>2811</v>
      </c>
      <c r="B1265" s="2">
        <v>2353137</v>
      </c>
      <c r="C1265" s="2" t="s">
        <v>14</v>
      </c>
      <c r="D1265" s="2" t="s">
        <v>41</v>
      </c>
      <c r="E1265" s="2" t="s">
        <v>42</v>
      </c>
      <c r="F1265" s="2" t="s">
        <v>36</v>
      </c>
      <c r="G1265" s="2" t="s">
        <v>2359</v>
      </c>
      <c r="I1265" s="2">
        <v>1499</v>
      </c>
      <c r="J1265" s="2" t="s">
        <v>150</v>
      </c>
      <c r="K1265" s="2" t="s">
        <v>45</v>
      </c>
      <c r="L1265" s="2">
        <v>4</v>
      </c>
      <c r="M1265" s="2">
        <v>792</v>
      </c>
      <c r="P1265" t="str">
        <f t="shared" si="79"/>
        <v>65%</v>
      </c>
      <c r="Q1265" s="12">
        <f t="shared" si="76"/>
        <v>0.65</v>
      </c>
      <c r="R1265" s="9">
        <f t="shared" si="77"/>
        <v>524.65</v>
      </c>
      <c r="S1265" s="9">
        <f>IF(R1265="",AVERAGEIF(Table1[Category],Table1[[#This Row],[Category]],Table2[orignal data]),Table2[[#This Row],[orignal data]])</f>
        <v>524.65</v>
      </c>
      <c r="T1265" t="str">
        <f t="shared" si="78"/>
        <v>UNIQUE</v>
      </c>
      <c r="U1265" t="str">
        <f>IF(ISBLANK(Table1[[#This Row],[SizeOption]]),"NOT AVAILABLE",Table1[[#This Row],[SizeOption]])</f>
        <v>XS, S, M, L, XL</v>
      </c>
      <c r="Y1265" t="str">
        <f>IF(Table2[[#This Row],[Column1]]&gt;50%,"HIGH DISCOUNT","LOW DISCOUNT")</f>
        <v>HIGH DISCOUNT</v>
      </c>
    </row>
    <row r="1266" spans="1:25" x14ac:dyDescent="0.25">
      <c r="A1266" s="1" t="s">
        <v>2812</v>
      </c>
      <c r="B1266" s="1">
        <v>13000368</v>
      </c>
      <c r="C1266" s="1" t="s">
        <v>181</v>
      </c>
      <c r="D1266" s="1" t="s">
        <v>41</v>
      </c>
      <c r="E1266" s="1" t="s">
        <v>16</v>
      </c>
      <c r="F1266" s="1" t="s">
        <v>36</v>
      </c>
      <c r="G1266" s="1" t="s">
        <v>2813</v>
      </c>
      <c r="I1266" s="1">
        <v>1999</v>
      </c>
      <c r="J1266" s="1" t="s">
        <v>95</v>
      </c>
      <c r="K1266" s="1" t="s">
        <v>134</v>
      </c>
      <c r="L1266" s="1">
        <v>4.2</v>
      </c>
      <c r="M1266" s="1">
        <v>792</v>
      </c>
      <c r="P1266" t="str">
        <f t="shared" si="79"/>
        <v>59%</v>
      </c>
      <c r="Q1266" s="12">
        <f t="shared" si="76"/>
        <v>0.59</v>
      </c>
      <c r="R1266" s="9">
        <f t="shared" si="77"/>
        <v>819.59000000000015</v>
      </c>
      <c r="S1266" s="9">
        <f>IF(R1266="",AVERAGEIF(Table1[Category],Table1[[#This Row],[Category]],Table2[orignal data]),Table2[[#This Row],[orignal data]])</f>
        <v>819.59000000000015</v>
      </c>
      <c r="T1266" t="str">
        <f t="shared" si="78"/>
        <v>UNIQUE</v>
      </c>
      <c r="U1266" t="str">
        <f>IF(ISBLANK(Table1[[#This Row],[SizeOption]]),"NOT AVAILABLE",Table1[[#This Row],[SizeOption]])</f>
        <v>26, 28, 30, 32, 34, 36</v>
      </c>
      <c r="Y1266" t="str">
        <f>IF(Table2[[#This Row],[Column1]]&gt;50%,"HIGH DISCOUNT","LOW DISCOUNT")</f>
        <v>HIGH DISCOUNT</v>
      </c>
    </row>
    <row r="1267" spans="1:25" x14ac:dyDescent="0.25">
      <c r="A1267" s="2" t="s">
        <v>2814</v>
      </c>
      <c r="B1267" s="2">
        <v>12698836</v>
      </c>
      <c r="C1267" s="2" t="s">
        <v>14</v>
      </c>
      <c r="D1267" s="2" t="s">
        <v>41</v>
      </c>
      <c r="E1267" s="2" t="s">
        <v>189</v>
      </c>
      <c r="F1267" s="2" t="s">
        <v>36</v>
      </c>
      <c r="G1267" s="2" t="s">
        <v>2815</v>
      </c>
      <c r="I1267" s="2">
        <v>2599</v>
      </c>
      <c r="J1267" s="2" t="s">
        <v>79</v>
      </c>
      <c r="K1267" s="2" t="s">
        <v>115</v>
      </c>
      <c r="L1267" s="2">
        <v>4.2</v>
      </c>
      <c r="M1267" s="2">
        <v>792</v>
      </c>
      <c r="P1267" t="str">
        <f t="shared" si="79"/>
        <v>70%</v>
      </c>
      <c r="Q1267" s="12">
        <f t="shared" si="76"/>
        <v>0.7</v>
      </c>
      <c r="R1267" s="9">
        <f t="shared" si="77"/>
        <v>779.7</v>
      </c>
      <c r="S1267" s="9">
        <f>IF(R1267="",AVERAGEIF(Table1[Category],Table1[[#This Row],[Category]],Table2[orignal data]),Table2[[#This Row],[orignal data]])</f>
        <v>779.7</v>
      </c>
      <c r="T1267" t="str">
        <f t="shared" si="78"/>
        <v>UNIQUE</v>
      </c>
      <c r="U1267" t="str">
        <f>IF(ISBLANK(Table1[[#This Row],[SizeOption]]),"NOT AVAILABLE",Table1[[#This Row],[SizeOption]])</f>
        <v>XS, S, M, L, XL, XXL</v>
      </c>
      <c r="Y1267" t="str">
        <f>IF(Table2[[#This Row],[Column1]]&gt;50%,"HIGH DISCOUNT","LOW DISCOUNT")</f>
        <v>HIGH DISCOUNT</v>
      </c>
    </row>
    <row r="1268" spans="1:25" x14ac:dyDescent="0.25">
      <c r="A1268" s="1" t="s">
        <v>2816</v>
      </c>
      <c r="B1268" s="1">
        <v>2114485</v>
      </c>
      <c r="C1268" s="1" t="s">
        <v>14</v>
      </c>
      <c r="D1268" s="1" t="s">
        <v>41</v>
      </c>
      <c r="E1268" s="1" t="s">
        <v>48</v>
      </c>
      <c r="F1268" s="1" t="s">
        <v>36</v>
      </c>
      <c r="G1268" s="1" t="s">
        <v>2817</v>
      </c>
      <c r="I1268" s="1">
        <v>899</v>
      </c>
      <c r="J1268" s="1" t="s">
        <v>25</v>
      </c>
      <c r="K1268" s="1" t="s">
        <v>45</v>
      </c>
      <c r="L1268" s="1">
        <v>4.4000000000000004</v>
      </c>
      <c r="M1268" s="1">
        <v>792</v>
      </c>
      <c r="P1268" t="str">
        <f t="shared" si="79"/>
        <v>55%</v>
      </c>
      <c r="Q1268" s="12">
        <f t="shared" si="76"/>
        <v>0.55000000000000004</v>
      </c>
      <c r="R1268" s="9">
        <f t="shared" si="77"/>
        <v>404.54999999999995</v>
      </c>
      <c r="S1268" s="9">
        <f>IF(R1268="",AVERAGEIF(Table1[Category],Table1[[#This Row],[Category]],Table2[orignal data]),Table2[[#This Row],[orignal data]])</f>
        <v>404.54999999999995</v>
      </c>
      <c r="T1268" t="str">
        <f t="shared" si="78"/>
        <v>UNIQUE</v>
      </c>
      <c r="U1268" t="str">
        <f>IF(ISBLANK(Table1[[#This Row],[SizeOption]]),"NOT AVAILABLE",Table1[[#This Row],[SizeOption]])</f>
        <v>XS, S, M, L, XL</v>
      </c>
      <c r="Y1268" t="str">
        <f>IF(Table2[[#This Row],[Column1]]&gt;50%,"HIGH DISCOUNT","LOW DISCOUNT")</f>
        <v>HIGH DISCOUNT</v>
      </c>
    </row>
    <row r="1269" spans="1:25" x14ac:dyDescent="0.25">
      <c r="A1269" s="2" t="s">
        <v>2818</v>
      </c>
      <c r="B1269" s="2">
        <v>11746292</v>
      </c>
      <c r="C1269" s="2" t="s">
        <v>346</v>
      </c>
      <c r="D1269" s="2" t="s">
        <v>15</v>
      </c>
      <c r="E1269" s="2" t="s">
        <v>53</v>
      </c>
      <c r="F1269" s="2" t="s">
        <v>17</v>
      </c>
      <c r="G1269" s="2" t="s">
        <v>2819</v>
      </c>
      <c r="H1269">
        <v>899</v>
      </c>
      <c r="I1269" s="2">
        <v>1999</v>
      </c>
      <c r="J1269" s="2" t="s">
        <v>25</v>
      </c>
      <c r="K1269" s="2" t="s">
        <v>20</v>
      </c>
      <c r="L1269" s="2">
        <v>4.2</v>
      </c>
      <c r="M1269" s="2">
        <v>791</v>
      </c>
      <c r="P1269" t="str">
        <f t="shared" si="79"/>
        <v>55%</v>
      </c>
      <c r="Q1269" s="12">
        <f t="shared" si="76"/>
        <v>0.55000000000000004</v>
      </c>
      <c r="R1269" s="9">
        <f t="shared" si="77"/>
        <v>899.55</v>
      </c>
      <c r="S1269" s="9">
        <f>IF(R1269="",AVERAGEIF(Table1[Category],Table1[[#This Row],[Category]],Table2[orignal data]),Table2[[#This Row],[orignal data]])</f>
        <v>899.55</v>
      </c>
      <c r="T1269" t="str">
        <f t="shared" si="78"/>
        <v>UNIQUE</v>
      </c>
      <c r="U1269" t="str">
        <f>IF(ISBLANK(Table1[[#This Row],[SizeOption]]),"NOT AVAILABLE",Table1[[#This Row],[SizeOption]])</f>
        <v>28, 30, 32, 34, 36</v>
      </c>
      <c r="Y1269" t="str">
        <f>IF(Table2[[#This Row],[Column1]]&gt;50%,"HIGH DISCOUNT","LOW DISCOUNT")</f>
        <v>HIGH DISCOUNT</v>
      </c>
    </row>
    <row r="1270" spans="1:25" x14ac:dyDescent="0.25">
      <c r="A1270" s="1" t="s">
        <v>2820</v>
      </c>
      <c r="B1270" s="1">
        <v>2527895</v>
      </c>
      <c r="C1270" s="1" t="s">
        <v>47</v>
      </c>
      <c r="D1270" s="1" t="s">
        <v>15</v>
      </c>
      <c r="E1270" s="1" t="s">
        <v>16</v>
      </c>
      <c r="F1270" s="1" t="s">
        <v>17</v>
      </c>
      <c r="G1270" s="1" t="s">
        <v>2821</v>
      </c>
      <c r="H1270">
        <v>664</v>
      </c>
      <c r="I1270" s="1">
        <v>1899</v>
      </c>
      <c r="J1270" s="1" t="s">
        <v>150</v>
      </c>
      <c r="K1270" s="1" t="s">
        <v>20</v>
      </c>
      <c r="L1270" s="1">
        <v>3.7</v>
      </c>
      <c r="M1270" s="1">
        <v>791</v>
      </c>
      <c r="P1270" t="str">
        <f t="shared" si="79"/>
        <v>65%</v>
      </c>
      <c r="Q1270" s="12">
        <f t="shared" si="76"/>
        <v>0.65</v>
      </c>
      <c r="R1270" s="9">
        <f t="shared" si="77"/>
        <v>664.64999999999986</v>
      </c>
      <c r="S1270" s="9">
        <f>IF(R1270="",AVERAGEIF(Table1[Category],Table1[[#This Row],[Category]],Table2[orignal data]),Table2[[#This Row],[orignal data]])</f>
        <v>664.64999999999986</v>
      </c>
      <c r="T1270" t="str">
        <f t="shared" si="78"/>
        <v>UNIQUE</v>
      </c>
      <c r="U1270" t="str">
        <f>IF(ISBLANK(Table1[[#This Row],[SizeOption]]),"NOT AVAILABLE",Table1[[#This Row],[SizeOption]])</f>
        <v>28, 30, 32, 34, 36</v>
      </c>
      <c r="Y1270" t="str">
        <f>IF(Table2[[#This Row],[Column1]]&gt;50%,"HIGH DISCOUNT","LOW DISCOUNT")</f>
        <v>HIGH DISCOUNT</v>
      </c>
    </row>
    <row r="1271" spans="1:25" x14ac:dyDescent="0.25">
      <c r="A1271" s="2" t="s">
        <v>2822</v>
      </c>
      <c r="B1271" s="2">
        <v>10669528</v>
      </c>
      <c r="C1271" s="2" t="s">
        <v>2823</v>
      </c>
      <c r="D1271" s="2" t="s">
        <v>28</v>
      </c>
      <c r="E1271" s="2" t="s">
        <v>42</v>
      </c>
      <c r="F1271" s="2" t="s">
        <v>17</v>
      </c>
      <c r="G1271" s="2" t="s">
        <v>2824</v>
      </c>
      <c r="H1271">
        <v>659</v>
      </c>
      <c r="I1271" s="2">
        <v>1998</v>
      </c>
      <c r="J1271" s="2" t="s">
        <v>543</v>
      </c>
      <c r="K1271" s="2" t="s">
        <v>39</v>
      </c>
      <c r="L1271" s="2">
        <v>4.2</v>
      </c>
      <c r="M1271" s="2">
        <v>791</v>
      </c>
      <c r="P1271" t="str">
        <f t="shared" si="79"/>
        <v>67%</v>
      </c>
      <c r="Q1271" s="12">
        <f t="shared" si="76"/>
        <v>0.67</v>
      </c>
      <c r="R1271" s="9">
        <f t="shared" si="77"/>
        <v>659.33999999999992</v>
      </c>
      <c r="S1271" s="9">
        <f>IF(R1271="",AVERAGEIF(Table1[Category],Table1[[#This Row],[Category]],Table2[orignal data]),Table2[[#This Row],[orignal data]])</f>
        <v>659.33999999999992</v>
      </c>
      <c r="T1271" t="str">
        <f t="shared" si="78"/>
        <v>UNIQUE</v>
      </c>
      <c r="U1271" t="str">
        <f>IF(ISBLANK(Table1[[#This Row],[SizeOption]]),"NOT AVAILABLE",Table1[[#This Row],[SizeOption]])</f>
        <v>S, M, L, XL, XXL</v>
      </c>
      <c r="Y1271" t="str">
        <f>IF(Table2[[#This Row],[Column1]]&gt;50%,"HIGH DISCOUNT","LOW DISCOUNT")</f>
        <v>HIGH DISCOUNT</v>
      </c>
    </row>
    <row r="1272" spans="1:25" x14ac:dyDescent="0.25">
      <c r="A1272" s="1" t="s">
        <v>2825</v>
      </c>
      <c r="B1272" s="1">
        <v>2330209</v>
      </c>
      <c r="C1272" s="1" t="s">
        <v>14</v>
      </c>
      <c r="D1272" s="1" t="s">
        <v>28</v>
      </c>
      <c r="E1272" s="1" t="s">
        <v>42</v>
      </c>
      <c r="F1272" s="1" t="s">
        <v>17</v>
      </c>
      <c r="G1272" s="1" t="s">
        <v>2826</v>
      </c>
      <c r="I1272" s="1">
        <v>224</v>
      </c>
      <c r="J1272" s="1"/>
      <c r="K1272" s="1" t="s">
        <v>45</v>
      </c>
      <c r="L1272" s="1">
        <v>4</v>
      </c>
      <c r="M1272" s="1">
        <v>791</v>
      </c>
      <c r="P1272" t="str">
        <f t="shared" si="79"/>
        <v/>
      </c>
      <c r="Q1272" s="12" t="str">
        <f t="shared" si="76"/>
        <v/>
      </c>
      <c r="R1272" s="9" t="str">
        <f t="shared" si="77"/>
        <v/>
      </c>
      <c r="S1272" s="9">
        <f>IF(R1272="",AVERAGEIF(Table1[Category],Table1[[#This Row],[Category]],Table2[orignal data]),Table2[[#This Row],[orignal data]])</f>
        <v>671.7823941958867</v>
      </c>
      <c r="T1272" t="str">
        <f t="shared" si="78"/>
        <v>UNIQUE</v>
      </c>
      <c r="U1272" t="str">
        <f>IF(ISBLANK(Table1[[#This Row],[SizeOption]]),"NOT AVAILABLE",Table1[[#This Row],[SizeOption]])</f>
        <v>XS, S, M, L, XL</v>
      </c>
      <c r="Y1272" t="str">
        <f>IF(Table2[[#This Row],[Column1]]&gt;50%,"HIGH DISCOUNT","LOW DISCOUNT")</f>
        <v>HIGH DISCOUNT</v>
      </c>
    </row>
    <row r="1273" spans="1:25" x14ac:dyDescent="0.25">
      <c r="A1273" s="2" t="s">
        <v>2827</v>
      </c>
      <c r="B1273" s="2">
        <v>7687298</v>
      </c>
      <c r="C1273" s="2" t="s">
        <v>181</v>
      </c>
      <c r="D1273" s="2" t="s">
        <v>41</v>
      </c>
      <c r="E1273" s="2" t="s">
        <v>148</v>
      </c>
      <c r="F1273" s="2" t="s">
        <v>36</v>
      </c>
      <c r="G1273" s="2" t="s">
        <v>2828</v>
      </c>
      <c r="I1273" s="2">
        <v>1799</v>
      </c>
      <c r="J1273" s="2" t="s">
        <v>84</v>
      </c>
      <c r="K1273" s="2" t="s">
        <v>115</v>
      </c>
      <c r="L1273" s="2">
        <v>4.0999999999999996</v>
      </c>
      <c r="M1273" s="2">
        <v>791</v>
      </c>
      <c r="P1273" t="str">
        <f t="shared" si="79"/>
        <v>50%</v>
      </c>
      <c r="Q1273" s="12">
        <f t="shared" si="76"/>
        <v>0.5</v>
      </c>
      <c r="R1273" s="9">
        <f t="shared" si="77"/>
        <v>899.5</v>
      </c>
      <c r="S1273" s="9">
        <f>IF(R1273="",AVERAGEIF(Table1[Category],Table1[[#This Row],[Category]],Table2[orignal data]),Table2[[#This Row],[orignal data]])</f>
        <v>899.5</v>
      </c>
      <c r="T1273" t="str">
        <f t="shared" si="78"/>
        <v>UNIQUE</v>
      </c>
      <c r="U1273" t="str">
        <f>IF(ISBLANK(Table1[[#This Row],[SizeOption]]),"NOT AVAILABLE",Table1[[#This Row],[SizeOption]])</f>
        <v>XS, S, M, L, XL, XXL</v>
      </c>
      <c r="Y1273" t="str">
        <f>IF(Table2[[#This Row],[Column1]]&gt;50%,"HIGH DISCOUNT","LOW DISCOUNT")</f>
        <v>LOW DISCOUNT</v>
      </c>
    </row>
    <row r="1274" spans="1:25" x14ac:dyDescent="0.25">
      <c r="A1274" s="1" t="s">
        <v>2829</v>
      </c>
      <c r="B1274" s="1">
        <v>10604598</v>
      </c>
      <c r="C1274" s="1" t="s">
        <v>181</v>
      </c>
      <c r="D1274" s="1" t="s">
        <v>41</v>
      </c>
      <c r="E1274" s="1" t="s">
        <v>53</v>
      </c>
      <c r="F1274" s="1" t="s">
        <v>36</v>
      </c>
      <c r="G1274" s="1" t="s">
        <v>2830</v>
      </c>
      <c r="I1274" s="1">
        <v>2199</v>
      </c>
      <c r="J1274" s="1" t="s">
        <v>25</v>
      </c>
      <c r="K1274" s="1" t="s">
        <v>134</v>
      </c>
      <c r="L1274" s="1">
        <v>4.2</v>
      </c>
      <c r="M1274" s="1">
        <v>791</v>
      </c>
      <c r="P1274" t="str">
        <f t="shared" si="79"/>
        <v>55%</v>
      </c>
      <c r="Q1274" s="12">
        <f t="shared" si="76"/>
        <v>0.55000000000000004</v>
      </c>
      <c r="R1274" s="9">
        <f t="shared" si="77"/>
        <v>989.55</v>
      </c>
      <c r="S1274" s="9">
        <f>IF(R1274="",AVERAGEIF(Table1[Category],Table1[[#This Row],[Category]],Table2[orignal data]),Table2[[#This Row],[orignal data]])</f>
        <v>989.55</v>
      </c>
      <c r="T1274" t="str">
        <f t="shared" si="78"/>
        <v>UNIQUE</v>
      </c>
      <c r="U1274" t="str">
        <f>IF(ISBLANK(Table1[[#This Row],[SizeOption]]),"NOT AVAILABLE",Table1[[#This Row],[SizeOption]])</f>
        <v>26, 28, 30, 32, 34, 36</v>
      </c>
      <c r="Y1274" t="str">
        <f>IF(Table2[[#This Row],[Column1]]&gt;50%,"HIGH DISCOUNT","LOW DISCOUNT")</f>
        <v>HIGH DISCOUNT</v>
      </c>
    </row>
    <row r="1275" spans="1:25" x14ac:dyDescent="0.25">
      <c r="A1275" s="2" t="s">
        <v>2831</v>
      </c>
      <c r="B1275" s="2">
        <v>8158669</v>
      </c>
      <c r="C1275" s="2" t="s">
        <v>102</v>
      </c>
      <c r="D1275" s="2" t="s">
        <v>41</v>
      </c>
      <c r="E1275" s="2" t="s">
        <v>48</v>
      </c>
      <c r="F1275" s="2" t="s">
        <v>36</v>
      </c>
      <c r="G1275" s="2" t="s">
        <v>2832</v>
      </c>
      <c r="I1275" s="2">
        <v>949</v>
      </c>
      <c r="J1275" s="2" t="s">
        <v>476</v>
      </c>
      <c r="K1275" s="2" t="s">
        <v>26</v>
      </c>
      <c r="L1275" s="2">
        <v>4</v>
      </c>
      <c r="M1275" s="2">
        <v>791</v>
      </c>
      <c r="P1275" t="str">
        <f t="shared" si="79"/>
        <v>63%</v>
      </c>
      <c r="Q1275" s="12">
        <f t="shared" si="76"/>
        <v>0.63</v>
      </c>
      <c r="R1275" s="9">
        <f t="shared" si="77"/>
        <v>351.13</v>
      </c>
      <c r="S1275" s="9">
        <f>IF(R1275="",AVERAGEIF(Table1[Category],Table1[[#This Row],[Category]],Table2[orignal data]),Table2[[#This Row],[orignal data]])</f>
        <v>351.13</v>
      </c>
      <c r="T1275" t="str">
        <f t="shared" si="78"/>
        <v>UNIQUE</v>
      </c>
      <c r="U1275" t="str">
        <f>IF(ISBLANK(Table1[[#This Row],[SizeOption]]),"NOT AVAILABLE",Table1[[#This Row],[SizeOption]])</f>
        <v>S, M, L, XL</v>
      </c>
      <c r="Y1275" t="str">
        <f>IF(Table2[[#This Row],[Column1]]&gt;50%,"HIGH DISCOUNT","LOW DISCOUNT")</f>
        <v>HIGH DISCOUNT</v>
      </c>
    </row>
    <row r="1276" spans="1:25" x14ac:dyDescent="0.25">
      <c r="A1276" s="1" t="s">
        <v>2833</v>
      </c>
      <c r="B1276" s="1">
        <v>6812994</v>
      </c>
      <c r="C1276" s="1" t="s">
        <v>52</v>
      </c>
      <c r="D1276" s="1" t="s">
        <v>15</v>
      </c>
      <c r="E1276" s="1" t="s">
        <v>53</v>
      </c>
      <c r="F1276" s="1" t="s">
        <v>17</v>
      </c>
      <c r="G1276" s="1" t="s">
        <v>2834</v>
      </c>
      <c r="H1276">
        <v>610</v>
      </c>
      <c r="I1276" s="1">
        <v>1649</v>
      </c>
      <c r="J1276" s="1" t="s">
        <v>476</v>
      </c>
      <c r="K1276" s="1" t="s">
        <v>56</v>
      </c>
      <c r="L1276" s="1">
        <v>4.2</v>
      </c>
      <c r="M1276" s="1">
        <v>790</v>
      </c>
      <c r="P1276" t="str">
        <f t="shared" si="79"/>
        <v>63%</v>
      </c>
      <c r="Q1276" s="12">
        <f t="shared" si="76"/>
        <v>0.63</v>
      </c>
      <c r="R1276" s="9">
        <f t="shared" si="77"/>
        <v>610.12999999999988</v>
      </c>
      <c r="S1276" s="9">
        <f>IF(R1276="",AVERAGEIF(Table1[Category],Table1[[#This Row],[Category]],Table2[orignal data]),Table2[[#This Row],[orignal data]])</f>
        <v>610.12999999999988</v>
      </c>
      <c r="T1276" t="str">
        <f t="shared" si="78"/>
        <v>UNIQUE</v>
      </c>
      <c r="U1276" t="str">
        <f>IF(ISBLANK(Table1[[#This Row],[SizeOption]]),"NOT AVAILABLE",Table1[[#This Row],[SizeOption]])</f>
        <v>30, 32, 34, 36</v>
      </c>
      <c r="Y1276" t="str">
        <f>IF(Table2[[#This Row],[Column1]]&gt;50%,"HIGH DISCOUNT","LOW DISCOUNT")</f>
        <v>HIGH DISCOUNT</v>
      </c>
    </row>
    <row r="1277" spans="1:25" x14ac:dyDescent="0.25">
      <c r="A1277" s="2" t="s">
        <v>2835</v>
      </c>
      <c r="B1277" s="2">
        <v>4653872</v>
      </c>
      <c r="C1277" s="2" t="s">
        <v>67</v>
      </c>
      <c r="D1277" s="2" t="s">
        <v>68</v>
      </c>
      <c r="E1277" s="2" t="s">
        <v>306</v>
      </c>
      <c r="F1277" s="2" t="s">
        <v>17</v>
      </c>
      <c r="G1277" s="2" t="s">
        <v>2836</v>
      </c>
      <c r="H1277">
        <v>824</v>
      </c>
      <c r="I1277" s="2">
        <v>1499</v>
      </c>
      <c r="J1277" s="2" t="s">
        <v>19</v>
      </c>
      <c r="K1277" s="2" t="s">
        <v>39</v>
      </c>
      <c r="L1277" s="2">
        <v>4.0999999999999996</v>
      </c>
      <c r="M1277" s="2">
        <v>790</v>
      </c>
      <c r="P1277" t="str">
        <f t="shared" si="79"/>
        <v>45%</v>
      </c>
      <c r="Q1277" s="12">
        <f t="shared" si="76"/>
        <v>0.45</v>
      </c>
      <c r="R1277" s="9">
        <f t="shared" si="77"/>
        <v>824.44999999999993</v>
      </c>
      <c r="S1277" s="9">
        <f>IF(R1277="",AVERAGEIF(Table1[Category],Table1[[#This Row],[Category]],Table2[orignal data]),Table2[[#This Row],[orignal data]])</f>
        <v>824.44999999999993</v>
      </c>
      <c r="T1277" t="str">
        <f t="shared" si="78"/>
        <v>UNIQUE</v>
      </c>
      <c r="U1277" t="str">
        <f>IF(ISBLANK(Table1[[#This Row],[SizeOption]]),"NOT AVAILABLE",Table1[[#This Row],[SizeOption]])</f>
        <v>S, M, L, XL, XXL</v>
      </c>
      <c r="Y1277" t="str">
        <f>IF(Table2[[#This Row],[Column1]]&gt;50%,"HIGH DISCOUNT","LOW DISCOUNT")</f>
        <v>LOW DISCOUNT</v>
      </c>
    </row>
    <row r="1278" spans="1:25" x14ac:dyDescent="0.25">
      <c r="A1278" s="1" t="s">
        <v>2837</v>
      </c>
      <c r="B1278" s="1">
        <v>11357432</v>
      </c>
      <c r="C1278" s="1" t="s">
        <v>67</v>
      </c>
      <c r="D1278" s="1" t="s">
        <v>68</v>
      </c>
      <c r="E1278" s="1" t="s">
        <v>137</v>
      </c>
      <c r="F1278" s="1" t="s">
        <v>36</v>
      </c>
      <c r="G1278" s="1" t="s">
        <v>2838</v>
      </c>
      <c r="H1278">
        <v>674</v>
      </c>
      <c r="I1278" s="1">
        <v>1499</v>
      </c>
      <c r="J1278" s="1" t="s">
        <v>25</v>
      </c>
      <c r="K1278" s="1" t="s">
        <v>134</v>
      </c>
      <c r="L1278" s="1">
        <v>4.3</v>
      </c>
      <c r="M1278" s="1">
        <v>790</v>
      </c>
      <c r="P1278" t="str">
        <f t="shared" si="79"/>
        <v>55%</v>
      </c>
      <c r="Q1278" s="12">
        <f t="shared" si="76"/>
        <v>0.55000000000000004</v>
      </c>
      <c r="R1278" s="9">
        <f t="shared" si="77"/>
        <v>674.55</v>
      </c>
      <c r="S1278" s="9">
        <f>IF(R1278="",AVERAGEIF(Table1[Category],Table1[[#This Row],[Category]],Table2[orignal data]),Table2[[#This Row],[orignal data]])</f>
        <v>674.55</v>
      </c>
      <c r="T1278" t="str">
        <f t="shared" si="78"/>
        <v>UNIQUE</v>
      </c>
      <c r="U1278" t="str">
        <f>IF(ISBLANK(Table1[[#This Row],[SizeOption]]),"NOT AVAILABLE",Table1[[#This Row],[SizeOption]])</f>
        <v>26, 28, 30, 32, 34, 36</v>
      </c>
      <c r="Y1278" t="str">
        <f>IF(Table2[[#This Row],[Column1]]&gt;50%,"HIGH DISCOUNT","LOW DISCOUNT")</f>
        <v>HIGH DISCOUNT</v>
      </c>
    </row>
    <row r="1279" spans="1:25" x14ac:dyDescent="0.25">
      <c r="A1279" s="2" t="s">
        <v>2839</v>
      </c>
      <c r="B1279" s="2">
        <v>9552849</v>
      </c>
      <c r="C1279" s="2" t="s">
        <v>181</v>
      </c>
      <c r="D1279" s="2" t="s">
        <v>41</v>
      </c>
      <c r="E1279" s="2" t="s">
        <v>368</v>
      </c>
      <c r="F1279" s="2" t="s">
        <v>36</v>
      </c>
      <c r="G1279" s="2" t="s">
        <v>2840</v>
      </c>
      <c r="I1279" s="2">
        <v>1399</v>
      </c>
      <c r="J1279" s="2" t="s">
        <v>84</v>
      </c>
      <c r="K1279" s="2" t="s">
        <v>134</v>
      </c>
      <c r="L1279" s="2">
        <v>4.5</v>
      </c>
      <c r="M1279" s="2">
        <v>790</v>
      </c>
      <c r="P1279" t="str">
        <f t="shared" si="79"/>
        <v>50%</v>
      </c>
      <c r="Q1279" s="12">
        <f t="shared" si="76"/>
        <v>0.5</v>
      </c>
      <c r="R1279" s="9">
        <f t="shared" si="77"/>
        <v>699.5</v>
      </c>
      <c r="S1279" s="9">
        <f>IF(R1279="",AVERAGEIF(Table1[Category],Table1[[#This Row],[Category]],Table2[orignal data]),Table2[[#This Row],[orignal data]])</f>
        <v>699.5</v>
      </c>
      <c r="T1279" t="str">
        <f t="shared" si="78"/>
        <v>UNIQUE</v>
      </c>
      <c r="U1279" t="str">
        <f>IF(ISBLANK(Table1[[#This Row],[SizeOption]]),"NOT AVAILABLE",Table1[[#This Row],[SizeOption]])</f>
        <v>26, 28, 30, 32, 34, 36</v>
      </c>
      <c r="Y1279" t="str">
        <f>IF(Table2[[#This Row],[Column1]]&gt;50%,"HIGH DISCOUNT","LOW DISCOUNT")</f>
        <v>LOW DISCOUNT</v>
      </c>
    </row>
    <row r="1280" spans="1:25" x14ac:dyDescent="0.25">
      <c r="A1280" s="1" t="s">
        <v>2841</v>
      </c>
      <c r="B1280" s="1">
        <v>1644910</v>
      </c>
      <c r="C1280" s="1" t="s">
        <v>128</v>
      </c>
      <c r="D1280" s="1" t="s">
        <v>41</v>
      </c>
      <c r="E1280" s="1" t="s">
        <v>148</v>
      </c>
      <c r="F1280" s="1" t="s">
        <v>36</v>
      </c>
      <c r="G1280" s="1" t="s">
        <v>2842</v>
      </c>
      <c r="I1280" s="1">
        <v>1699</v>
      </c>
      <c r="J1280" s="1" t="s">
        <v>25</v>
      </c>
      <c r="K1280" s="1" t="s">
        <v>26</v>
      </c>
      <c r="L1280" s="1">
        <v>4</v>
      </c>
      <c r="M1280" s="1">
        <v>790</v>
      </c>
      <c r="P1280" t="str">
        <f t="shared" si="79"/>
        <v>55%</v>
      </c>
      <c r="Q1280" s="12">
        <f t="shared" si="76"/>
        <v>0.55000000000000004</v>
      </c>
      <c r="R1280" s="9">
        <f t="shared" si="77"/>
        <v>764.55</v>
      </c>
      <c r="S1280" s="9">
        <f>IF(R1280="",AVERAGEIF(Table1[Category],Table1[[#This Row],[Category]],Table2[orignal data]),Table2[[#This Row],[orignal data]])</f>
        <v>764.55</v>
      </c>
      <c r="T1280" t="str">
        <f t="shared" si="78"/>
        <v>UNIQUE</v>
      </c>
      <c r="U1280" t="str">
        <f>IF(ISBLANK(Table1[[#This Row],[SizeOption]]),"NOT AVAILABLE",Table1[[#This Row],[SizeOption]])</f>
        <v>S, M, L, XL</v>
      </c>
      <c r="Y1280" t="str">
        <f>IF(Table2[[#This Row],[Column1]]&gt;50%,"HIGH DISCOUNT","LOW DISCOUNT")</f>
        <v>HIGH DISCOUNT</v>
      </c>
    </row>
    <row r="1281" spans="1:25" x14ac:dyDescent="0.25">
      <c r="A1281" s="2" t="s">
        <v>2843</v>
      </c>
      <c r="B1281" s="2">
        <v>10946128</v>
      </c>
      <c r="C1281" s="2" t="s">
        <v>700</v>
      </c>
      <c r="D1281" s="2" t="s">
        <v>41</v>
      </c>
      <c r="E1281" s="2" t="s">
        <v>16</v>
      </c>
      <c r="F1281" s="2" t="s">
        <v>36</v>
      </c>
      <c r="G1281" s="2" t="s">
        <v>2844</v>
      </c>
      <c r="I1281" s="2">
        <v>2499</v>
      </c>
      <c r="J1281" s="2" t="s">
        <v>104</v>
      </c>
      <c r="K1281" s="2" t="s">
        <v>428</v>
      </c>
      <c r="L1281" s="2">
        <v>4.4000000000000004</v>
      </c>
      <c r="M1281" s="2">
        <v>790</v>
      </c>
      <c r="P1281" t="str">
        <f t="shared" si="79"/>
        <v>61%</v>
      </c>
      <c r="Q1281" s="12">
        <f t="shared" si="76"/>
        <v>0.61</v>
      </c>
      <c r="R1281" s="9">
        <f t="shared" si="77"/>
        <v>974.61000000000013</v>
      </c>
      <c r="S1281" s="9">
        <f>IF(R1281="",AVERAGEIF(Table1[Category],Table1[[#This Row],[Category]],Table2[orignal data]),Table2[[#This Row],[orignal data]])</f>
        <v>974.61000000000013</v>
      </c>
      <c r="T1281" t="str">
        <f t="shared" si="78"/>
        <v>UNIQUE</v>
      </c>
      <c r="U1281" t="str">
        <f>IF(ISBLANK(Table1[[#This Row],[SizeOption]]),"NOT AVAILABLE",Table1[[#This Row],[SizeOption]])</f>
        <v>26, 28, 30, 32, 34</v>
      </c>
      <c r="Y1281" t="str">
        <f>IF(Table2[[#This Row],[Column1]]&gt;50%,"HIGH DISCOUNT","LOW DISCOUNT")</f>
        <v>HIGH DISCOUNT</v>
      </c>
    </row>
    <row r="1282" spans="1:25" x14ac:dyDescent="0.25">
      <c r="A1282" s="1" t="s">
        <v>2845</v>
      </c>
      <c r="B1282" s="1">
        <v>11274410</v>
      </c>
      <c r="C1282" s="1" t="s">
        <v>14</v>
      </c>
      <c r="D1282" s="1" t="s">
        <v>15</v>
      </c>
      <c r="E1282" s="1" t="s">
        <v>16</v>
      </c>
      <c r="F1282" s="1" t="s">
        <v>17</v>
      </c>
      <c r="G1282" s="1" t="s">
        <v>2846</v>
      </c>
      <c r="H1282">
        <v>1044</v>
      </c>
      <c r="I1282" s="1">
        <v>1899</v>
      </c>
      <c r="J1282" s="1" t="s">
        <v>19</v>
      </c>
      <c r="K1282" s="1" t="s">
        <v>195</v>
      </c>
      <c r="L1282" s="1">
        <v>3.9</v>
      </c>
      <c r="M1282" s="1">
        <v>789</v>
      </c>
      <c r="P1282" t="str">
        <f t="shared" si="79"/>
        <v>45%</v>
      </c>
      <c r="Q1282" s="12">
        <f t="shared" ref="Q1282:Q1345" si="80">IF(P1282="","",IF(ISNUMBER(SEARCH("%",P1282)),P1282,P1282/I1282)*100%)</f>
        <v>0.45</v>
      </c>
      <c r="R1282" s="9">
        <f t="shared" ref="R1282:R1345" si="81">IF(P1282="","",I1282-(I1282*Q1282))</f>
        <v>1044.4499999999998</v>
      </c>
      <c r="S1282" s="9">
        <f>IF(R1282="",AVERAGEIF(Table1[Category],Table1[[#This Row],[Category]],Table2[orignal data]),Table2[[#This Row],[orignal data]])</f>
        <v>1044.4499999999998</v>
      </c>
      <c r="T1282" t="str">
        <f t="shared" ref="T1282:T1345" si="82">IF(COUNTIF($B$2:$B$5000,B1282)&gt;1,"DUPLICATE","UNIQUE")</f>
        <v>UNIQUE</v>
      </c>
      <c r="U1282" t="str">
        <f>IF(ISBLANK(Table1[[#This Row],[SizeOption]]),"NOT AVAILABLE",Table1[[#This Row],[SizeOption]])</f>
        <v>28, 30, 32, 34, 36, 38, 40</v>
      </c>
      <c r="Y1282" t="str">
        <f>IF(Table2[[#This Row],[Column1]]&gt;50%,"HIGH DISCOUNT","LOW DISCOUNT")</f>
        <v>LOW DISCOUNT</v>
      </c>
    </row>
    <row r="1283" spans="1:25" x14ac:dyDescent="0.25">
      <c r="A1283" s="2" t="s">
        <v>2847</v>
      </c>
      <c r="B1283" s="2">
        <v>7277178</v>
      </c>
      <c r="C1283" s="2" t="s">
        <v>2848</v>
      </c>
      <c r="D1283" s="2" t="s">
        <v>28</v>
      </c>
      <c r="E1283" s="2" t="s">
        <v>29</v>
      </c>
      <c r="F1283" s="2" t="s">
        <v>17</v>
      </c>
      <c r="G1283" s="2" t="s">
        <v>2849</v>
      </c>
      <c r="H1283">
        <v>824</v>
      </c>
      <c r="I1283" s="2">
        <v>1499</v>
      </c>
      <c r="J1283" s="2" t="s">
        <v>19</v>
      </c>
      <c r="K1283" s="2" t="s">
        <v>253</v>
      </c>
      <c r="L1283" s="2">
        <v>4</v>
      </c>
      <c r="M1283" s="2">
        <v>789</v>
      </c>
      <c r="P1283" t="str">
        <f t="shared" ref="P1283:P1346" si="83">TRIM(SUBSTITUTE(SUBSTITUTE(SUBSTITUTE(SUBSTITUTE(J1283,"OFF",""),"Rs.",""),"Hurry*",""),",",""))</f>
        <v>45%</v>
      </c>
      <c r="Q1283" s="12">
        <f t="shared" si="80"/>
        <v>0.45</v>
      </c>
      <c r="R1283" s="9">
        <f t="shared" si="81"/>
        <v>824.44999999999993</v>
      </c>
      <c r="S1283" s="9">
        <f>IF(R1283="",AVERAGEIF(Table1[Category],Table1[[#This Row],[Category]],Table2[orignal data]),Table2[[#This Row],[orignal data]])</f>
        <v>824.44999999999993</v>
      </c>
      <c r="T1283" t="str">
        <f t="shared" si="82"/>
        <v>UNIQUE</v>
      </c>
      <c r="U1283" t="str">
        <f>IF(ISBLANK(Table1[[#This Row],[SizeOption]]),"NOT AVAILABLE",Table1[[#This Row],[SizeOption]])</f>
        <v>38, 40, 42, 44</v>
      </c>
      <c r="Y1283" t="str">
        <f>IF(Table2[[#This Row],[Column1]]&gt;50%,"HIGH DISCOUNT","LOW DISCOUNT")</f>
        <v>LOW DISCOUNT</v>
      </c>
    </row>
    <row r="1284" spans="1:25" x14ac:dyDescent="0.25">
      <c r="A1284" s="1" t="s">
        <v>2850</v>
      </c>
      <c r="B1284" s="1">
        <v>12003910</v>
      </c>
      <c r="C1284" s="1" t="s">
        <v>14</v>
      </c>
      <c r="D1284" s="1" t="s">
        <v>28</v>
      </c>
      <c r="E1284" s="1" t="s">
        <v>42</v>
      </c>
      <c r="F1284" s="1" t="s">
        <v>17</v>
      </c>
      <c r="G1284" s="1" t="s">
        <v>2851</v>
      </c>
      <c r="H1284">
        <v>399</v>
      </c>
      <c r="I1284" s="1">
        <v>799</v>
      </c>
      <c r="J1284" s="1" t="s">
        <v>84</v>
      </c>
      <c r="K1284" s="1" t="s">
        <v>73</v>
      </c>
      <c r="L1284" s="1">
        <v>4.2</v>
      </c>
      <c r="M1284" s="1">
        <v>789</v>
      </c>
      <c r="P1284" t="str">
        <f t="shared" si="83"/>
        <v>50%</v>
      </c>
      <c r="Q1284" s="12">
        <f t="shared" si="80"/>
        <v>0.5</v>
      </c>
      <c r="R1284" s="9">
        <f t="shared" si="81"/>
        <v>399.5</v>
      </c>
      <c r="S1284" s="9">
        <f>IF(R1284="",AVERAGEIF(Table1[Category],Table1[[#This Row],[Category]],Table2[orignal data]),Table2[[#This Row],[orignal data]])</f>
        <v>399.5</v>
      </c>
      <c r="T1284" t="str">
        <f t="shared" si="82"/>
        <v>UNIQUE</v>
      </c>
      <c r="U1284" t="str">
        <f>IF(ISBLANK(Table1[[#This Row],[SizeOption]]),"NOT AVAILABLE",Table1[[#This Row],[SizeOption]])</f>
        <v>XS, S, M, L, XL, XXL, 3XL, 4XL</v>
      </c>
      <c r="Y1284" t="str">
        <f>IF(Table2[[#This Row],[Column1]]&gt;50%,"HIGH DISCOUNT","LOW DISCOUNT")</f>
        <v>LOW DISCOUNT</v>
      </c>
    </row>
    <row r="1285" spans="1:25" x14ac:dyDescent="0.25">
      <c r="A1285" s="2" t="s">
        <v>2852</v>
      </c>
      <c r="B1285" s="2">
        <v>11394278</v>
      </c>
      <c r="C1285" s="2" t="s">
        <v>377</v>
      </c>
      <c r="D1285" s="2" t="s">
        <v>76</v>
      </c>
      <c r="E1285" s="2" t="s">
        <v>93</v>
      </c>
      <c r="F1285" s="2" t="s">
        <v>36</v>
      </c>
      <c r="G1285" s="2" t="s">
        <v>2853</v>
      </c>
      <c r="H1285">
        <v>639</v>
      </c>
      <c r="I1285" s="2">
        <v>1599</v>
      </c>
      <c r="J1285" s="2" t="s">
        <v>55</v>
      </c>
      <c r="K1285" s="2" t="s">
        <v>234</v>
      </c>
      <c r="L1285" s="2">
        <v>4.4000000000000004</v>
      </c>
      <c r="M1285" s="2">
        <v>789</v>
      </c>
      <c r="P1285" t="str">
        <f t="shared" si="83"/>
        <v>60%</v>
      </c>
      <c r="Q1285" s="12">
        <f t="shared" si="80"/>
        <v>0.6</v>
      </c>
      <c r="R1285" s="9">
        <f t="shared" si="81"/>
        <v>639.6</v>
      </c>
      <c r="S1285" s="9">
        <f>IF(R1285="",AVERAGEIF(Table1[Category],Table1[[#This Row],[Category]],Table2[orignal data]),Table2[[#This Row],[orignal data]])</f>
        <v>639.6</v>
      </c>
      <c r="T1285" t="str">
        <f t="shared" si="82"/>
        <v>UNIQUE</v>
      </c>
      <c r="U1285" t="str">
        <f>IF(ISBLANK(Table1[[#This Row],[SizeOption]]),"NOT AVAILABLE",Table1[[#This Row],[SizeOption]])</f>
        <v>S, M, L, XL, XXL, 3XL</v>
      </c>
      <c r="Y1285" t="str">
        <f>IF(Table2[[#This Row],[Column1]]&gt;50%,"HIGH DISCOUNT","LOW DISCOUNT")</f>
        <v>HIGH DISCOUNT</v>
      </c>
    </row>
    <row r="1286" spans="1:25" x14ac:dyDescent="0.25">
      <c r="A1286" s="1" t="s">
        <v>2854</v>
      </c>
      <c r="B1286" s="1">
        <v>9075011</v>
      </c>
      <c r="C1286" s="1" t="s">
        <v>2408</v>
      </c>
      <c r="D1286" s="1" t="s">
        <v>76</v>
      </c>
      <c r="E1286" s="1" t="s">
        <v>77</v>
      </c>
      <c r="F1286" s="1" t="s">
        <v>36</v>
      </c>
      <c r="G1286" s="1" t="s">
        <v>2855</v>
      </c>
      <c r="H1286">
        <v>999</v>
      </c>
      <c r="I1286" s="1">
        <v>2499</v>
      </c>
      <c r="J1286" s="1" t="s">
        <v>55</v>
      </c>
      <c r="K1286" s="1" t="s">
        <v>39</v>
      </c>
      <c r="L1286" s="1">
        <v>4.0999999999999996</v>
      </c>
      <c r="M1286" s="1">
        <v>789</v>
      </c>
      <c r="P1286" t="str">
        <f t="shared" si="83"/>
        <v>60%</v>
      </c>
      <c r="Q1286" s="12">
        <f t="shared" si="80"/>
        <v>0.6</v>
      </c>
      <c r="R1286" s="9">
        <f t="shared" si="81"/>
        <v>999.60000000000014</v>
      </c>
      <c r="S1286" s="9">
        <f>IF(R1286="",AVERAGEIF(Table1[Category],Table1[[#This Row],[Category]],Table2[orignal data]),Table2[[#This Row],[orignal data]])</f>
        <v>999.60000000000014</v>
      </c>
      <c r="T1286" t="str">
        <f t="shared" si="82"/>
        <v>UNIQUE</v>
      </c>
      <c r="U1286" t="str">
        <f>IF(ISBLANK(Table1[[#This Row],[SizeOption]]),"NOT AVAILABLE",Table1[[#This Row],[SizeOption]])</f>
        <v>S, M, L, XL, XXL</v>
      </c>
      <c r="Y1286" t="str">
        <f>IF(Table2[[#This Row],[Column1]]&gt;50%,"HIGH DISCOUNT","LOW DISCOUNT")</f>
        <v>HIGH DISCOUNT</v>
      </c>
    </row>
    <row r="1287" spans="1:25" x14ac:dyDescent="0.25">
      <c r="A1287" s="2" t="s">
        <v>2856</v>
      </c>
      <c r="B1287" s="2">
        <v>2397218</v>
      </c>
      <c r="C1287" s="2" t="s">
        <v>64</v>
      </c>
      <c r="D1287" s="2" t="s">
        <v>98</v>
      </c>
      <c r="E1287" s="2" t="s">
        <v>93</v>
      </c>
      <c r="F1287" s="2" t="s">
        <v>36</v>
      </c>
      <c r="G1287" s="2" t="s">
        <v>2857</v>
      </c>
      <c r="H1287">
        <v>639</v>
      </c>
      <c r="I1287" s="2">
        <v>1599</v>
      </c>
      <c r="J1287" s="2" t="s">
        <v>55</v>
      </c>
      <c r="K1287" s="2" t="s">
        <v>100</v>
      </c>
      <c r="L1287" s="2">
        <v>4.2</v>
      </c>
      <c r="M1287" s="2">
        <v>789</v>
      </c>
      <c r="P1287" t="str">
        <f t="shared" si="83"/>
        <v>60%</v>
      </c>
      <c r="Q1287" s="12">
        <f t="shared" si="80"/>
        <v>0.6</v>
      </c>
      <c r="R1287" s="9">
        <f t="shared" si="81"/>
        <v>639.6</v>
      </c>
      <c r="S1287" s="9">
        <f>IF(R1287="",AVERAGEIF(Table1[Category],Table1[[#This Row],[Category]],Table2[orignal data]),Table2[[#This Row],[orignal data]])</f>
        <v>639.6</v>
      </c>
      <c r="T1287" t="str">
        <f t="shared" si="82"/>
        <v>UNIQUE</v>
      </c>
      <c r="U1287" t="str">
        <f>IF(ISBLANK(Table1[[#This Row],[SizeOption]]),"NOT AVAILABLE",Table1[[#This Row],[SizeOption]])</f>
        <v>XS, S, M, L, XL, XXL, 3XL</v>
      </c>
      <c r="Y1287" t="str">
        <f>IF(Table2[[#This Row],[Column1]]&gt;50%,"HIGH DISCOUNT","LOW DISCOUNT")</f>
        <v>HIGH DISCOUNT</v>
      </c>
    </row>
    <row r="1288" spans="1:25" x14ac:dyDescent="0.25">
      <c r="A1288" s="1" t="s">
        <v>2858</v>
      </c>
      <c r="B1288" s="1">
        <v>17382994</v>
      </c>
      <c r="C1288" s="1" t="s">
        <v>14</v>
      </c>
      <c r="D1288" s="1" t="s">
        <v>41</v>
      </c>
      <c r="E1288" s="1" t="s">
        <v>42</v>
      </c>
      <c r="F1288" s="1" t="s">
        <v>36</v>
      </c>
      <c r="G1288" s="1" t="s">
        <v>2859</v>
      </c>
      <c r="I1288" s="1">
        <v>1498</v>
      </c>
      <c r="J1288" s="1" t="s">
        <v>84</v>
      </c>
      <c r="K1288" s="1" t="s">
        <v>146</v>
      </c>
      <c r="L1288" s="1">
        <v>4.2</v>
      </c>
      <c r="M1288" s="1">
        <v>789</v>
      </c>
      <c r="P1288" t="str">
        <f t="shared" si="83"/>
        <v>50%</v>
      </c>
      <c r="Q1288" s="12">
        <f t="shared" si="80"/>
        <v>0.5</v>
      </c>
      <c r="R1288" s="9">
        <f t="shared" si="81"/>
        <v>749</v>
      </c>
      <c r="S1288" s="9">
        <f>IF(R1288="",AVERAGEIF(Table1[Category],Table1[[#This Row],[Category]],Table2[orignal data]),Table2[[#This Row],[orignal data]])</f>
        <v>749</v>
      </c>
      <c r="T1288" t="str">
        <f t="shared" si="82"/>
        <v>UNIQUE</v>
      </c>
      <c r="U1288" t="str">
        <f>IF(ISBLANK(Table1[[#This Row],[SizeOption]]),"NOT AVAILABLE",Table1[[#This Row],[SizeOption]])</f>
        <v>L, M, S, XS, XL</v>
      </c>
      <c r="Y1288" t="str">
        <f>IF(Table2[[#This Row],[Column1]]&gt;50%,"HIGH DISCOUNT","LOW DISCOUNT")</f>
        <v>LOW DISCOUNT</v>
      </c>
    </row>
    <row r="1289" spans="1:25" x14ac:dyDescent="0.25">
      <c r="A1289" s="2" t="s">
        <v>2860</v>
      </c>
      <c r="B1289" s="2">
        <v>7687293</v>
      </c>
      <c r="C1289" s="2" t="s">
        <v>181</v>
      </c>
      <c r="D1289" s="2" t="s">
        <v>41</v>
      </c>
      <c r="E1289" s="2" t="s">
        <v>148</v>
      </c>
      <c r="F1289" s="2" t="s">
        <v>36</v>
      </c>
      <c r="G1289" s="2" t="s">
        <v>2861</v>
      </c>
      <c r="I1289" s="2">
        <v>1799</v>
      </c>
      <c r="J1289" s="2" t="s">
        <v>25</v>
      </c>
      <c r="K1289" s="2" t="s">
        <v>115</v>
      </c>
      <c r="L1289" s="2">
        <v>4.3</v>
      </c>
      <c r="M1289" s="2">
        <v>789</v>
      </c>
      <c r="P1289" t="str">
        <f t="shared" si="83"/>
        <v>55%</v>
      </c>
      <c r="Q1289" s="12">
        <f t="shared" si="80"/>
        <v>0.55000000000000004</v>
      </c>
      <c r="R1289" s="9">
        <f t="shared" si="81"/>
        <v>809.55</v>
      </c>
      <c r="S1289" s="9">
        <f>IF(R1289="",AVERAGEIF(Table1[Category],Table1[[#This Row],[Category]],Table2[orignal data]),Table2[[#This Row],[orignal data]])</f>
        <v>809.55</v>
      </c>
      <c r="T1289" t="str">
        <f t="shared" si="82"/>
        <v>UNIQUE</v>
      </c>
      <c r="U1289" t="str">
        <f>IF(ISBLANK(Table1[[#This Row],[SizeOption]]),"NOT AVAILABLE",Table1[[#This Row],[SizeOption]])</f>
        <v>XS, S, M, L, XL, XXL</v>
      </c>
      <c r="Y1289" t="str">
        <f>IF(Table2[[#This Row],[Column1]]&gt;50%,"HIGH DISCOUNT","LOW DISCOUNT")</f>
        <v>HIGH DISCOUNT</v>
      </c>
    </row>
    <row r="1290" spans="1:25" x14ac:dyDescent="0.25">
      <c r="A1290" s="1" t="s">
        <v>2862</v>
      </c>
      <c r="B1290" s="1">
        <v>9338369</v>
      </c>
      <c r="C1290" s="1" t="s">
        <v>676</v>
      </c>
      <c r="D1290" s="1" t="s">
        <v>41</v>
      </c>
      <c r="E1290" s="1" t="s">
        <v>48</v>
      </c>
      <c r="F1290" s="1" t="s">
        <v>36</v>
      </c>
      <c r="G1290" s="1" t="s">
        <v>2543</v>
      </c>
      <c r="I1290" s="1">
        <v>1898</v>
      </c>
      <c r="J1290" s="1" t="s">
        <v>84</v>
      </c>
      <c r="K1290" s="1" t="s">
        <v>26</v>
      </c>
      <c r="L1290" s="1">
        <v>4.2</v>
      </c>
      <c r="M1290" s="1">
        <v>789</v>
      </c>
      <c r="P1290" t="str">
        <f t="shared" si="83"/>
        <v>50%</v>
      </c>
      <c r="Q1290" s="12">
        <f t="shared" si="80"/>
        <v>0.5</v>
      </c>
      <c r="R1290" s="9">
        <f t="shared" si="81"/>
        <v>949</v>
      </c>
      <c r="S1290" s="9">
        <f>IF(R1290="",AVERAGEIF(Table1[Category],Table1[[#This Row],[Category]],Table2[orignal data]),Table2[[#This Row],[orignal data]])</f>
        <v>949</v>
      </c>
      <c r="T1290" t="str">
        <f t="shared" si="82"/>
        <v>UNIQUE</v>
      </c>
      <c r="U1290" t="str">
        <f>IF(ISBLANK(Table1[[#This Row],[SizeOption]]),"NOT AVAILABLE",Table1[[#This Row],[SizeOption]])</f>
        <v>S, M, L, XL</v>
      </c>
      <c r="Y1290" t="str">
        <f>IF(Table2[[#This Row],[Column1]]&gt;50%,"HIGH DISCOUNT","LOW DISCOUNT")</f>
        <v>LOW DISCOUNT</v>
      </c>
    </row>
    <row r="1291" spans="1:25" x14ac:dyDescent="0.25">
      <c r="A1291" s="2" t="s">
        <v>2863</v>
      </c>
      <c r="B1291" s="2">
        <v>9338509</v>
      </c>
      <c r="C1291" s="2" t="s">
        <v>676</v>
      </c>
      <c r="D1291" s="2" t="s">
        <v>41</v>
      </c>
      <c r="E1291" s="2" t="s">
        <v>48</v>
      </c>
      <c r="F1291" s="2" t="s">
        <v>36</v>
      </c>
      <c r="G1291" s="2" t="s">
        <v>2543</v>
      </c>
      <c r="I1291" s="2">
        <v>1998</v>
      </c>
      <c r="J1291" s="2" t="s">
        <v>84</v>
      </c>
      <c r="K1291" s="2" t="s">
        <v>26</v>
      </c>
      <c r="L1291" s="2">
        <v>4.2</v>
      </c>
      <c r="M1291" s="2">
        <v>789</v>
      </c>
      <c r="P1291" t="str">
        <f t="shared" si="83"/>
        <v>50%</v>
      </c>
      <c r="Q1291" s="12">
        <f t="shared" si="80"/>
        <v>0.5</v>
      </c>
      <c r="R1291" s="9">
        <f t="shared" si="81"/>
        <v>999</v>
      </c>
      <c r="S1291" s="9">
        <f>IF(R1291="",AVERAGEIF(Table1[Category],Table1[[#This Row],[Category]],Table2[orignal data]),Table2[[#This Row],[orignal data]])</f>
        <v>999</v>
      </c>
      <c r="T1291" t="str">
        <f t="shared" si="82"/>
        <v>UNIQUE</v>
      </c>
      <c r="U1291" t="str">
        <f>IF(ISBLANK(Table1[[#This Row],[SizeOption]]),"NOT AVAILABLE",Table1[[#This Row],[SizeOption]])</f>
        <v>S, M, L, XL</v>
      </c>
      <c r="Y1291" t="str">
        <f>IF(Table2[[#This Row],[Column1]]&gt;50%,"HIGH DISCOUNT","LOW DISCOUNT")</f>
        <v>LOW DISCOUNT</v>
      </c>
    </row>
    <row r="1292" spans="1:25" x14ac:dyDescent="0.25">
      <c r="A1292" s="1" t="s">
        <v>2864</v>
      </c>
      <c r="B1292" s="1">
        <v>9339525</v>
      </c>
      <c r="C1292" s="1" t="s">
        <v>676</v>
      </c>
      <c r="D1292" s="1" t="s">
        <v>41</v>
      </c>
      <c r="E1292" s="1" t="s">
        <v>48</v>
      </c>
      <c r="F1292" s="1" t="s">
        <v>36</v>
      </c>
      <c r="G1292" s="1" t="s">
        <v>2098</v>
      </c>
      <c r="I1292" s="1">
        <v>1998</v>
      </c>
      <c r="J1292" s="1" t="s">
        <v>84</v>
      </c>
      <c r="K1292" s="1" t="s">
        <v>26</v>
      </c>
      <c r="L1292" s="1">
        <v>4.2</v>
      </c>
      <c r="M1292" s="1">
        <v>789</v>
      </c>
      <c r="P1292" t="str">
        <f t="shared" si="83"/>
        <v>50%</v>
      </c>
      <c r="Q1292" s="12">
        <f t="shared" si="80"/>
        <v>0.5</v>
      </c>
      <c r="R1292" s="9">
        <f t="shared" si="81"/>
        <v>999</v>
      </c>
      <c r="S1292" s="9">
        <f>IF(R1292="",AVERAGEIF(Table1[Category],Table1[[#This Row],[Category]],Table2[orignal data]),Table2[[#This Row],[orignal data]])</f>
        <v>999</v>
      </c>
      <c r="T1292" t="str">
        <f t="shared" si="82"/>
        <v>UNIQUE</v>
      </c>
      <c r="U1292" t="str">
        <f>IF(ISBLANK(Table1[[#This Row],[SizeOption]]),"NOT AVAILABLE",Table1[[#This Row],[SizeOption]])</f>
        <v>S, M, L, XL</v>
      </c>
      <c r="Y1292" t="str">
        <f>IF(Table2[[#This Row],[Column1]]&gt;50%,"HIGH DISCOUNT","LOW DISCOUNT")</f>
        <v>LOW DISCOUNT</v>
      </c>
    </row>
    <row r="1293" spans="1:25" x14ac:dyDescent="0.25">
      <c r="A1293" s="2" t="s">
        <v>2865</v>
      </c>
      <c r="B1293" s="2">
        <v>9339357</v>
      </c>
      <c r="C1293" s="2" t="s">
        <v>676</v>
      </c>
      <c r="D1293" s="2" t="s">
        <v>41</v>
      </c>
      <c r="E1293" s="2" t="s">
        <v>48</v>
      </c>
      <c r="F1293" s="2" t="s">
        <v>36</v>
      </c>
      <c r="G1293" s="2" t="s">
        <v>2866</v>
      </c>
      <c r="I1293" s="2">
        <v>1998</v>
      </c>
      <c r="J1293" s="2" t="s">
        <v>84</v>
      </c>
      <c r="K1293" s="2" t="s">
        <v>26</v>
      </c>
      <c r="L1293" s="2">
        <v>4.2</v>
      </c>
      <c r="M1293" s="2">
        <v>789</v>
      </c>
      <c r="P1293" t="str">
        <f t="shared" si="83"/>
        <v>50%</v>
      </c>
      <c r="Q1293" s="12">
        <f t="shared" si="80"/>
        <v>0.5</v>
      </c>
      <c r="R1293" s="9">
        <f t="shared" si="81"/>
        <v>999</v>
      </c>
      <c r="S1293" s="9">
        <f>IF(R1293="",AVERAGEIF(Table1[Category],Table1[[#This Row],[Category]],Table2[orignal data]),Table2[[#This Row],[orignal data]])</f>
        <v>999</v>
      </c>
      <c r="T1293" t="str">
        <f t="shared" si="82"/>
        <v>UNIQUE</v>
      </c>
      <c r="U1293" t="str">
        <f>IF(ISBLANK(Table1[[#This Row],[SizeOption]]),"NOT AVAILABLE",Table1[[#This Row],[SizeOption]])</f>
        <v>S, M, L, XL</v>
      </c>
      <c r="Y1293" t="str">
        <f>IF(Table2[[#This Row],[Column1]]&gt;50%,"HIGH DISCOUNT","LOW DISCOUNT")</f>
        <v>LOW DISCOUNT</v>
      </c>
    </row>
    <row r="1294" spans="1:25" x14ac:dyDescent="0.25">
      <c r="A1294" s="1" t="s">
        <v>2867</v>
      </c>
      <c r="B1294" s="1">
        <v>9338735</v>
      </c>
      <c r="C1294" s="1" t="s">
        <v>676</v>
      </c>
      <c r="D1294" s="1" t="s">
        <v>41</v>
      </c>
      <c r="E1294" s="1" t="s">
        <v>48</v>
      </c>
      <c r="F1294" s="1" t="s">
        <v>36</v>
      </c>
      <c r="G1294" s="1" t="s">
        <v>2742</v>
      </c>
      <c r="I1294" s="1">
        <v>1998</v>
      </c>
      <c r="J1294" s="1" t="s">
        <v>84</v>
      </c>
      <c r="K1294" s="1" t="s">
        <v>26</v>
      </c>
      <c r="L1294" s="1">
        <v>4.2</v>
      </c>
      <c r="M1294" s="1">
        <v>789</v>
      </c>
      <c r="P1294" t="str">
        <f t="shared" si="83"/>
        <v>50%</v>
      </c>
      <c r="Q1294" s="12">
        <f t="shared" si="80"/>
        <v>0.5</v>
      </c>
      <c r="R1294" s="9">
        <f t="shared" si="81"/>
        <v>999</v>
      </c>
      <c r="S1294" s="9">
        <f>IF(R1294="",AVERAGEIF(Table1[Category],Table1[[#This Row],[Category]],Table2[orignal data]),Table2[[#This Row],[orignal data]])</f>
        <v>999</v>
      </c>
      <c r="T1294" t="str">
        <f t="shared" si="82"/>
        <v>UNIQUE</v>
      </c>
      <c r="U1294" t="str">
        <f>IF(ISBLANK(Table1[[#This Row],[SizeOption]]),"NOT AVAILABLE",Table1[[#This Row],[SizeOption]])</f>
        <v>S, M, L, XL</v>
      </c>
      <c r="Y1294" t="str">
        <f>IF(Table2[[#This Row],[Column1]]&gt;50%,"HIGH DISCOUNT","LOW DISCOUNT")</f>
        <v>LOW DISCOUNT</v>
      </c>
    </row>
    <row r="1295" spans="1:25" x14ac:dyDescent="0.25">
      <c r="A1295" s="2" t="s">
        <v>2868</v>
      </c>
      <c r="B1295" s="2">
        <v>9552789</v>
      </c>
      <c r="C1295" s="2" t="s">
        <v>181</v>
      </c>
      <c r="D1295" s="2" t="s">
        <v>41</v>
      </c>
      <c r="E1295" s="2" t="s">
        <v>48</v>
      </c>
      <c r="F1295" s="2" t="s">
        <v>36</v>
      </c>
      <c r="G1295" s="2" t="s">
        <v>2869</v>
      </c>
      <c r="I1295" s="2">
        <v>799</v>
      </c>
      <c r="J1295" s="2" t="s">
        <v>84</v>
      </c>
      <c r="K1295" s="2" t="s">
        <v>115</v>
      </c>
      <c r="L1295" s="2">
        <v>4.2</v>
      </c>
      <c r="M1295" s="2">
        <v>789</v>
      </c>
      <c r="P1295" t="str">
        <f t="shared" si="83"/>
        <v>50%</v>
      </c>
      <c r="Q1295" s="12">
        <f t="shared" si="80"/>
        <v>0.5</v>
      </c>
      <c r="R1295" s="9">
        <f t="shared" si="81"/>
        <v>399.5</v>
      </c>
      <c r="S1295" s="9">
        <f>IF(R1295="",AVERAGEIF(Table1[Category],Table1[[#This Row],[Category]],Table2[orignal data]),Table2[[#This Row],[orignal data]])</f>
        <v>399.5</v>
      </c>
      <c r="T1295" t="str">
        <f t="shared" si="82"/>
        <v>UNIQUE</v>
      </c>
      <c r="U1295" t="str">
        <f>IF(ISBLANK(Table1[[#This Row],[SizeOption]]),"NOT AVAILABLE",Table1[[#This Row],[SizeOption]])</f>
        <v>XS, S, M, L, XL, XXL</v>
      </c>
      <c r="Y1295" t="str">
        <f>IF(Table2[[#This Row],[Column1]]&gt;50%,"HIGH DISCOUNT","LOW DISCOUNT")</f>
        <v>LOW DISCOUNT</v>
      </c>
    </row>
    <row r="1296" spans="1:25" x14ac:dyDescent="0.25">
      <c r="A1296" s="1" t="s">
        <v>2870</v>
      </c>
      <c r="B1296" s="1">
        <v>4658096</v>
      </c>
      <c r="C1296" s="1" t="s">
        <v>676</v>
      </c>
      <c r="D1296" s="1" t="s">
        <v>41</v>
      </c>
      <c r="E1296" s="1" t="s">
        <v>48</v>
      </c>
      <c r="F1296" s="1" t="s">
        <v>36</v>
      </c>
      <c r="G1296" s="1" t="s">
        <v>1416</v>
      </c>
      <c r="I1296" s="1">
        <v>999</v>
      </c>
      <c r="J1296" s="1" t="s">
        <v>84</v>
      </c>
      <c r="K1296" s="1" t="s">
        <v>26</v>
      </c>
      <c r="L1296" s="1">
        <v>4.2</v>
      </c>
      <c r="M1296" s="1">
        <v>789</v>
      </c>
      <c r="P1296" t="str">
        <f t="shared" si="83"/>
        <v>50%</v>
      </c>
      <c r="Q1296" s="12">
        <f t="shared" si="80"/>
        <v>0.5</v>
      </c>
      <c r="R1296" s="9">
        <f t="shared" si="81"/>
        <v>499.5</v>
      </c>
      <c r="S1296" s="9">
        <f>IF(R1296="",AVERAGEIF(Table1[Category],Table1[[#This Row],[Category]],Table2[orignal data]),Table2[[#This Row],[orignal data]])</f>
        <v>499.5</v>
      </c>
      <c r="T1296" t="str">
        <f t="shared" si="82"/>
        <v>UNIQUE</v>
      </c>
      <c r="U1296" t="str">
        <f>IF(ISBLANK(Table1[[#This Row],[SizeOption]]),"NOT AVAILABLE",Table1[[#This Row],[SizeOption]])</f>
        <v>S, M, L, XL</v>
      </c>
      <c r="Y1296" t="str">
        <f>IF(Table2[[#This Row],[Column1]]&gt;50%,"HIGH DISCOUNT","LOW DISCOUNT")</f>
        <v>LOW DISCOUNT</v>
      </c>
    </row>
    <row r="1297" spans="1:25" x14ac:dyDescent="0.25">
      <c r="A1297" s="2" t="s">
        <v>2871</v>
      </c>
      <c r="B1297" s="2">
        <v>17381146</v>
      </c>
      <c r="C1297" s="2" t="s">
        <v>14</v>
      </c>
      <c r="D1297" s="2" t="s">
        <v>41</v>
      </c>
      <c r="E1297" s="2" t="s">
        <v>42</v>
      </c>
      <c r="F1297" s="2" t="s">
        <v>36</v>
      </c>
      <c r="G1297" s="2" t="s">
        <v>2872</v>
      </c>
      <c r="I1297" s="2">
        <v>1398</v>
      </c>
      <c r="J1297" s="2"/>
      <c r="K1297" s="2" t="s">
        <v>45</v>
      </c>
      <c r="L1297" s="2">
        <v>4.4000000000000004</v>
      </c>
      <c r="M1297" s="2">
        <v>789</v>
      </c>
      <c r="P1297" t="str">
        <f t="shared" si="83"/>
        <v/>
      </c>
      <c r="Q1297" s="12" t="str">
        <f t="shared" si="80"/>
        <v/>
      </c>
      <c r="R1297" s="9" t="str">
        <f t="shared" si="81"/>
        <v/>
      </c>
      <c r="S1297" s="9">
        <f>IF(R1297="",AVERAGEIF(Table1[Category],Table1[[#This Row],[Category]],Table2[orignal data]),Table2[[#This Row],[orignal data]])</f>
        <v>715.78890751086249</v>
      </c>
      <c r="T1297" t="str">
        <f t="shared" si="82"/>
        <v>UNIQUE</v>
      </c>
      <c r="U1297" t="str">
        <f>IF(ISBLANK(Table1[[#This Row],[SizeOption]]),"NOT AVAILABLE",Table1[[#This Row],[SizeOption]])</f>
        <v>XS, S, M, L, XL</v>
      </c>
      <c r="Y1297" t="str">
        <f>IF(Table2[[#This Row],[Column1]]&gt;50%,"HIGH DISCOUNT","LOW DISCOUNT")</f>
        <v>HIGH DISCOUNT</v>
      </c>
    </row>
    <row r="1298" spans="1:25" x14ac:dyDescent="0.25">
      <c r="A1298" s="1" t="s">
        <v>2873</v>
      </c>
      <c r="B1298" s="1">
        <v>11807550</v>
      </c>
      <c r="C1298" s="1" t="s">
        <v>563</v>
      </c>
      <c r="D1298" s="1" t="s">
        <v>197</v>
      </c>
      <c r="E1298" s="1" t="s">
        <v>518</v>
      </c>
      <c r="F1298" s="1" t="s">
        <v>17</v>
      </c>
      <c r="G1298" s="1" t="s">
        <v>2874</v>
      </c>
      <c r="H1298">
        <v>988</v>
      </c>
      <c r="I1298" s="1">
        <v>1798</v>
      </c>
      <c r="J1298" s="1" t="s">
        <v>19</v>
      </c>
      <c r="K1298" s="1" t="s">
        <v>39</v>
      </c>
      <c r="L1298" s="1">
        <v>4.0999999999999996</v>
      </c>
      <c r="M1298" s="1">
        <v>788</v>
      </c>
      <c r="P1298" t="str">
        <f t="shared" si="83"/>
        <v>45%</v>
      </c>
      <c r="Q1298" s="12">
        <f t="shared" si="80"/>
        <v>0.45</v>
      </c>
      <c r="R1298" s="9">
        <f t="shared" si="81"/>
        <v>988.9</v>
      </c>
      <c r="S1298" s="9">
        <f>IF(R1298="",AVERAGEIF(Table1[Category],Table1[[#This Row],[Category]],Table2[orignal data]),Table2[[#This Row],[orignal data]])</f>
        <v>988.9</v>
      </c>
      <c r="T1298" t="str">
        <f t="shared" si="82"/>
        <v>UNIQUE</v>
      </c>
      <c r="U1298" t="str">
        <f>IF(ISBLANK(Table1[[#This Row],[SizeOption]]),"NOT AVAILABLE",Table1[[#This Row],[SizeOption]])</f>
        <v>S, M, L, XL, XXL</v>
      </c>
      <c r="Y1298" t="str">
        <f>IF(Table2[[#This Row],[Column1]]&gt;50%,"HIGH DISCOUNT","LOW DISCOUNT")</f>
        <v>LOW DISCOUNT</v>
      </c>
    </row>
    <row r="1299" spans="1:25" x14ac:dyDescent="0.25">
      <c r="A1299" s="2" t="s">
        <v>2875</v>
      </c>
      <c r="B1299" s="2">
        <v>6832922</v>
      </c>
      <c r="C1299" s="2" t="s">
        <v>169</v>
      </c>
      <c r="D1299" s="2" t="s">
        <v>28</v>
      </c>
      <c r="E1299" s="2" t="s">
        <v>306</v>
      </c>
      <c r="F1299" s="2" t="s">
        <v>17</v>
      </c>
      <c r="G1299" s="2" t="s">
        <v>2876</v>
      </c>
      <c r="H1299">
        <v>959</v>
      </c>
      <c r="I1299" s="2">
        <v>2399</v>
      </c>
      <c r="J1299" s="2" t="s">
        <v>55</v>
      </c>
      <c r="K1299" s="2" t="s">
        <v>39</v>
      </c>
      <c r="L1299" s="2">
        <v>4.0999999999999996</v>
      </c>
      <c r="M1299" s="2">
        <v>788</v>
      </c>
      <c r="P1299" t="str">
        <f t="shared" si="83"/>
        <v>60%</v>
      </c>
      <c r="Q1299" s="12">
        <f t="shared" si="80"/>
        <v>0.6</v>
      </c>
      <c r="R1299" s="9">
        <f t="shared" si="81"/>
        <v>959.60000000000014</v>
      </c>
      <c r="S1299" s="9">
        <f>IF(R1299="",AVERAGEIF(Table1[Category],Table1[[#This Row],[Category]],Table2[orignal data]),Table2[[#This Row],[orignal data]])</f>
        <v>959.60000000000014</v>
      </c>
      <c r="T1299" t="str">
        <f t="shared" si="82"/>
        <v>UNIQUE</v>
      </c>
      <c r="U1299" t="str">
        <f>IF(ISBLANK(Table1[[#This Row],[SizeOption]]),"NOT AVAILABLE",Table1[[#This Row],[SizeOption]])</f>
        <v>S, M, L, XL, XXL</v>
      </c>
      <c r="Y1299" t="str">
        <f>IF(Table2[[#This Row],[Column1]]&gt;50%,"HIGH DISCOUNT","LOW DISCOUNT")</f>
        <v>HIGH DISCOUNT</v>
      </c>
    </row>
    <row r="1300" spans="1:25" x14ac:dyDescent="0.25">
      <c r="A1300" s="1" t="s">
        <v>2877</v>
      </c>
      <c r="B1300" s="1">
        <v>3082386</v>
      </c>
      <c r="C1300" s="1" t="s">
        <v>47</v>
      </c>
      <c r="D1300" s="1" t="s">
        <v>28</v>
      </c>
      <c r="E1300" s="1" t="s">
        <v>42</v>
      </c>
      <c r="F1300" s="1" t="s">
        <v>17</v>
      </c>
      <c r="G1300" s="1" t="s">
        <v>2878</v>
      </c>
      <c r="H1300">
        <v>319</v>
      </c>
      <c r="I1300" s="1">
        <v>799</v>
      </c>
      <c r="J1300" s="1" t="s">
        <v>55</v>
      </c>
      <c r="K1300" s="1" t="s">
        <v>26</v>
      </c>
      <c r="L1300" s="1">
        <v>4.2</v>
      </c>
      <c r="M1300" s="1">
        <v>788</v>
      </c>
      <c r="P1300" t="str">
        <f t="shared" si="83"/>
        <v>60%</v>
      </c>
      <c r="Q1300" s="12">
        <f t="shared" si="80"/>
        <v>0.6</v>
      </c>
      <c r="R1300" s="9">
        <f t="shared" si="81"/>
        <v>319.60000000000002</v>
      </c>
      <c r="S1300" s="9">
        <f>IF(R1300="",AVERAGEIF(Table1[Category],Table1[[#This Row],[Category]],Table2[orignal data]),Table2[[#This Row],[orignal data]])</f>
        <v>319.60000000000002</v>
      </c>
      <c r="T1300" t="str">
        <f t="shared" si="82"/>
        <v>UNIQUE</v>
      </c>
      <c r="U1300" t="str">
        <f>IF(ISBLANK(Table1[[#This Row],[SizeOption]]),"NOT AVAILABLE",Table1[[#This Row],[SizeOption]])</f>
        <v>S, M, L, XL</v>
      </c>
      <c r="Y1300" t="str">
        <f>IF(Table2[[#This Row],[Column1]]&gt;50%,"HIGH DISCOUNT","LOW DISCOUNT")</f>
        <v>HIGH DISCOUNT</v>
      </c>
    </row>
    <row r="1301" spans="1:25" x14ac:dyDescent="0.25">
      <c r="A1301" s="2" t="s">
        <v>2879</v>
      </c>
      <c r="B1301" s="2">
        <v>11086598</v>
      </c>
      <c r="C1301" s="2" t="s">
        <v>113</v>
      </c>
      <c r="D1301" s="2" t="s">
        <v>76</v>
      </c>
      <c r="E1301" s="2" t="s">
        <v>93</v>
      </c>
      <c r="F1301" s="2" t="s">
        <v>36</v>
      </c>
      <c r="G1301" s="2" t="s">
        <v>2880</v>
      </c>
      <c r="H1301">
        <v>719</v>
      </c>
      <c r="I1301" s="2">
        <v>1599</v>
      </c>
      <c r="J1301" s="2" t="s">
        <v>25</v>
      </c>
      <c r="K1301" s="2" t="s">
        <v>73</v>
      </c>
      <c r="L1301" s="2">
        <v>4</v>
      </c>
      <c r="M1301" s="2">
        <v>788</v>
      </c>
      <c r="P1301" t="str">
        <f t="shared" si="83"/>
        <v>55%</v>
      </c>
      <c r="Q1301" s="12">
        <f t="shared" si="80"/>
        <v>0.55000000000000004</v>
      </c>
      <c r="R1301" s="9">
        <f t="shared" si="81"/>
        <v>719.55</v>
      </c>
      <c r="S1301" s="9">
        <f>IF(R1301="",AVERAGEIF(Table1[Category],Table1[[#This Row],[Category]],Table2[orignal data]),Table2[[#This Row],[orignal data]])</f>
        <v>719.55</v>
      </c>
      <c r="T1301" t="str">
        <f t="shared" si="82"/>
        <v>UNIQUE</v>
      </c>
      <c r="U1301" t="str">
        <f>IF(ISBLANK(Table1[[#This Row],[SizeOption]]),"NOT AVAILABLE",Table1[[#This Row],[SizeOption]])</f>
        <v>XS, S, M, L, XL, XXL, 3XL, 4XL</v>
      </c>
      <c r="Y1301" t="str">
        <f>IF(Table2[[#This Row],[Column1]]&gt;50%,"HIGH DISCOUNT","LOW DISCOUNT")</f>
        <v>HIGH DISCOUNT</v>
      </c>
    </row>
    <row r="1302" spans="1:25" x14ac:dyDescent="0.25">
      <c r="A1302" s="1" t="s">
        <v>2881</v>
      </c>
      <c r="B1302" s="1">
        <v>11056900</v>
      </c>
      <c r="C1302" s="1" t="s">
        <v>2306</v>
      </c>
      <c r="D1302" s="1" t="s">
        <v>76</v>
      </c>
      <c r="E1302" s="1" t="s">
        <v>77</v>
      </c>
      <c r="F1302" s="1" t="s">
        <v>36</v>
      </c>
      <c r="G1302" s="1" t="s">
        <v>2882</v>
      </c>
      <c r="H1302">
        <v>980</v>
      </c>
      <c r="I1302" s="1">
        <v>2971</v>
      </c>
      <c r="J1302" s="1" t="s">
        <v>543</v>
      </c>
      <c r="K1302" s="1" t="s">
        <v>234</v>
      </c>
      <c r="L1302" s="1">
        <v>3.6</v>
      </c>
      <c r="M1302" s="1">
        <v>788</v>
      </c>
      <c r="P1302" t="str">
        <f t="shared" si="83"/>
        <v>67%</v>
      </c>
      <c r="Q1302" s="12">
        <f t="shared" si="80"/>
        <v>0.67</v>
      </c>
      <c r="R1302" s="9">
        <f t="shared" si="81"/>
        <v>980.42999999999984</v>
      </c>
      <c r="S1302" s="9">
        <f>IF(R1302="",AVERAGEIF(Table1[Category],Table1[[#This Row],[Category]],Table2[orignal data]),Table2[[#This Row],[orignal data]])</f>
        <v>980.42999999999984</v>
      </c>
      <c r="T1302" t="str">
        <f t="shared" si="82"/>
        <v>UNIQUE</v>
      </c>
      <c r="U1302" t="str">
        <f>IF(ISBLANK(Table1[[#This Row],[SizeOption]]),"NOT AVAILABLE",Table1[[#This Row],[SizeOption]])</f>
        <v>S, M, L, XL, XXL, 3XL</v>
      </c>
      <c r="Y1302" t="str">
        <f>IF(Table2[[#This Row],[Column1]]&gt;50%,"HIGH DISCOUNT","LOW DISCOUNT")</f>
        <v>HIGH DISCOUNT</v>
      </c>
    </row>
    <row r="1303" spans="1:25" x14ac:dyDescent="0.25">
      <c r="A1303" s="2" t="s">
        <v>2883</v>
      </c>
      <c r="B1303" s="2">
        <v>10856466</v>
      </c>
      <c r="C1303" s="2" t="s">
        <v>14</v>
      </c>
      <c r="D1303" s="2" t="s">
        <v>41</v>
      </c>
      <c r="E1303" s="2" t="s">
        <v>48</v>
      </c>
      <c r="F1303" s="2" t="s">
        <v>36</v>
      </c>
      <c r="G1303" s="2" t="s">
        <v>2884</v>
      </c>
      <c r="I1303" s="2">
        <v>1499</v>
      </c>
      <c r="J1303" s="2" t="s">
        <v>84</v>
      </c>
      <c r="K1303" s="2" t="s">
        <v>45</v>
      </c>
      <c r="L1303" s="2">
        <v>3.9</v>
      </c>
      <c r="M1303" s="2">
        <v>788</v>
      </c>
      <c r="P1303" t="str">
        <f t="shared" si="83"/>
        <v>50%</v>
      </c>
      <c r="Q1303" s="12">
        <f t="shared" si="80"/>
        <v>0.5</v>
      </c>
      <c r="R1303" s="9">
        <f t="shared" si="81"/>
        <v>749.5</v>
      </c>
      <c r="S1303" s="9">
        <f>IF(R1303="",AVERAGEIF(Table1[Category],Table1[[#This Row],[Category]],Table2[orignal data]),Table2[[#This Row],[orignal data]])</f>
        <v>749.5</v>
      </c>
      <c r="T1303" t="str">
        <f t="shared" si="82"/>
        <v>UNIQUE</v>
      </c>
      <c r="U1303" t="str">
        <f>IF(ISBLANK(Table1[[#This Row],[SizeOption]]),"NOT AVAILABLE",Table1[[#This Row],[SizeOption]])</f>
        <v>XS, S, M, L, XL</v>
      </c>
      <c r="Y1303" t="str">
        <f>IF(Table2[[#This Row],[Column1]]&gt;50%,"HIGH DISCOUNT","LOW DISCOUNT")</f>
        <v>LOW DISCOUNT</v>
      </c>
    </row>
    <row r="1304" spans="1:25" x14ac:dyDescent="0.25">
      <c r="A1304" s="1" t="s">
        <v>2885</v>
      </c>
      <c r="B1304" s="1">
        <v>10774686</v>
      </c>
      <c r="C1304" s="1" t="s">
        <v>102</v>
      </c>
      <c r="D1304" s="1" t="s">
        <v>41</v>
      </c>
      <c r="E1304" s="1" t="s">
        <v>16</v>
      </c>
      <c r="F1304" s="1" t="s">
        <v>36</v>
      </c>
      <c r="G1304" s="1" t="s">
        <v>2886</v>
      </c>
      <c r="I1304" s="1">
        <v>1899</v>
      </c>
      <c r="J1304" s="1" t="s">
        <v>758</v>
      </c>
      <c r="K1304" s="1" t="s">
        <v>428</v>
      </c>
      <c r="L1304" s="1">
        <v>4.2</v>
      </c>
      <c r="M1304" s="1">
        <v>788</v>
      </c>
      <c r="P1304" t="str">
        <f t="shared" si="83"/>
        <v>47%</v>
      </c>
      <c r="Q1304" s="12">
        <f t="shared" si="80"/>
        <v>0.47</v>
      </c>
      <c r="R1304" s="9">
        <f t="shared" si="81"/>
        <v>1006.47</v>
      </c>
      <c r="S1304" s="9">
        <f>IF(R1304="",AVERAGEIF(Table1[Category],Table1[[#This Row],[Category]],Table2[orignal data]),Table2[[#This Row],[orignal data]])</f>
        <v>1006.47</v>
      </c>
      <c r="T1304" t="str">
        <f t="shared" si="82"/>
        <v>UNIQUE</v>
      </c>
      <c r="U1304" t="str">
        <f>IF(ISBLANK(Table1[[#This Row],[SizeOption]]),"NOT AVAILABLE",Table1[[#This Row],[SizeOption]])</f>
        <v>26, 28, 30, 32, 34</v>
      </c>
      <c r="Y1304" t="str">
        <f>IF(Table2[[#This Row],[Column1]]&gt;50%,"HIGH DISCOUNT","LOW DISCOUNT")</f>
        <v>LOW DISCOUNT</v>
      </c>
    </row>
    <row r="1305" spans="1:25" x14ac:dyDescent="0.25">
      <c r="A1305" s="2" t="s">
        <v>2887</v>
      </c>
      <c r="B1305" s="2">
        <v>13995574</v>
      </c>
      <c r="C1305" s="2" t="s">
        <v>2888</v>
      </c>
      <c r="D1305" s="2" t="s">
        <v>41</v>
      </c>
      <c r="E1305" s="2" t="s">
        <v>148</v>
      </c>
      <c r="F1305" s="2" t="s">
        <v>36</v>
      </c>
      <c r="G1305" s="2" t="s">
        <v>2889</v>
      </c>
      <c r="I1305" s="2">
        <v>2499</v>
      </c>
      <c r="J1305" s="2" t="s">
        <v>416</v>
      </c>
      <c r="K1305" s="2" t="s">
        <v>45</v>
      </c>
      <c r="L1305" s="2">
        <v>4.4000000000000004</v>
      </c>
      <c r="M1305" s="2">
        <v>788</v>
      </c>
      <c r="P1305" t="str">
        <f t="shared" si="83"/>
        <v>64%</v>
      </c>
      <c r="Q1305" s="12">
        <f t="shared" si="80"/>
        <v>0.64</v>
      </c>
      <c r="R1305" s="9">
        <f t="shared" si="81"/>
        <v>899.63999999999987</v>
      </c>
      <c r="S1305" s="9">
        <f>IF(R1305="",AVERAGEIF(Table1[Category],Table1[[#This Row],[Category]],Table2[orignal data]),Table2[[#This Row],[orignal data]])</f>
        <v>899.63999999999987</v>
      </c>
      <c r="T1305" t="str">
        <f t="shared" si="82"/>
        <v>UNIQUE</v>
      </c>
      <c r="U1305" t="str">
        <f>IF(ISBLANK(Table1[[#This Row],[SizeOption]]),"NOT AVAILABLE",Table1[[#This Row],[SizeOption]])</f>
        <v>XS, S, M, L, XL</v>
      </c>
      <c r="Y1305" t="str">
        <f>IF(Table2[[#This Row],[Column1]]&gt;50%,"HIGH DISCOUNT","LOW DISCOUNT")</f>
        <v>HIGH DISCOUNT</v>
      </c>
    </row>
    <row r="1306" spans="1:25" x14ac:dyDescent="0.25">
      <c r="A1306" s="1" t="s">
        <v>2890</v>
      </c>
      <c r="B1306" s="1">
        <v>12004884</v>
      </c>
      <c r="C1306" s="1" t="s">
        <v>102</v>
      </c>
      <c r="D1306" s="1" t="s">
        <v>41</v>
      </c>
      <c r="E1306" s="1" t="s">
        <v>137</v>
      </c>
      <c r="F1306" s="1" t="s">
        <v>36</v>
      </c>
      <c r="G1306" s="1" t="s">
        <v>2891</v>
      </c>
      <c r="I1306" s="1">
        <v>899</v>
      </c>
      <c r="J1306" s="1" t="s">
        <v>758</v>
      </c>
      <c r="K1306" s="1" t="s">
        <v>105</v>
      </c>
      <c r="L1306" s="1">
        <v>4.4000000000000004</v>
      </c>
      <c r="M1306" s="1">
        <v>788</v>
      </c>
      <c r="P1306" t="str">
        <f t="shared" si="83"/>
        <v>47%</v>
      </c>
      <c r="Q1306" s="12">
        <f t="shared" si="80"/>
        <v>0.47</v>
      </c>
      <c r="R1306" s="9">
        <f t="shared" si="81"/>
        <v>476.47</v>
      </c>
      <c r="S1306" s="9">
        <f>IF(R1306="",AVERAGEIF(Table1[Category],Table1[[#This Row],[Category]],Table2[orignal data]),Table2[[#This Row],[orignal data]])</f>
        <v>476.47</v>
      </c>
      <c r="T1306" t="str">
        <f t="shared" si="82"/>
        <v>UNIQUE</v>
      </c>
      <c r="U1306" t="str">
        <f>IF(ISBLANK(Table1[[#This Row],[SizeOption]]),"NOT AVAILABLE",Table1[[#This Row],[SizeOption]])</f>
        <v>28, 30, 32, 34</v>
      </c>
      <c r="Y1306" t="str">
        <f>IF(Table2[[#This Row],[Column1]]&gt;50%,"HIGH DISCOUNT","LOW DISCOUNT")</f>
        <v>LOW DISCOUNT</v>
      </c>
    </row>
    <row r="1307" spans="1:25" x14ac:dyDescent="0.25">
      <c r="A1307" s="2" t="s">
        <v>2892</v>
      </c>
      <c r="B1307" s="2">
        <v>17383488</v>
      </c>
      <c r="C1307" s="2" t="s">
        <v>14</v>
      </c>
      <c r="D1307" s="2" t="s">
        <v>41</v>
      </c>
      <c r="E1307" s="2" t="s">
        <v>42</v>
      </c>
      <c r="F1307" s="2" t="s">
        <v>36</v>
      </c>
      <c r="G1307" s="2" t="s">
        <v>2893</v>
      </c>
      <c r="I1307" s="2">
        <v>1598</v>
      </c>
      <c r="J1307" s="2"/>
      <c r="K1307" s="2" t="s">
        <v>146</v>
      </c>
      <c r="L1307" s="2">
        <v>4.3</v>
      </c>
      <c r="M1307" s="2">
        <v>788</v>
      </c>
      <c r="P1307" t="str">
        <f t="shared" si="83"/>
        <v/>
      </c>
      <c r="Q1307" s="12" t="str">
        <f t="shared" si="80"/>
        <v/>
      </c>
      <c r="R1307" s="9" t="str">
        <f t="shared" si="81"/>
        <v/>
      </c>
      <c r="S1307" s="9">
        <f>IF(R1307="",AVERAGEIF(Table1[Category],Table1[[#This Row],[Category]],Table2[orignal data]),Table2[[#This Row],[orignal data]])</f>
        <v>715.78890751086249</v>
      </c>
      <c r="T1307" t="str">
        <f t="shared" si="82"/>
        <v>UNIQUE</v>
      </c>
      <c r="U1307" t="str">
        <f>IF(ISBLANK(Table1[[#This Row],[SizeOption]]),"NOT AVAILABLE",Table1[[#This Row],[SizeOption]])</f>
        <v>L, M, S, XS, XL</v>
      </c>
      <c r="Y1307" t="str">
        <f>IF(Table2[[#This Row],[Column1]]&gt;50%,"HIGH DISCOUNT","LOW DISCOUNT")</f>
        <v>HIGH DISCOUNT</v>
      </c>
    </row>
    <row r="1308" spans="1:25" x14ac:dyDescent="0.25">
      <c r="A1308" s="1" t="s">
        <v>2894</v>
      </c>
      <c r="B1308" s="1">
        <v>12965780</v>
      </c>
      <c r="C1308" s="1" t="s">
        <v>2895</v>
      </c>
      <c r="D1308" s="1" t="s">
        <v>15</v>
      </c>
      <c r="E1308" s="1" t="s">
        <v>137</v>
      </c>
      <c r="F1308" s="1" t="s">
        <v>17</v>
      </c>
      <c r="G1308" s="1" t="s">
        <v>2896</v>
      </c>
      <c r="H1308">
        <v>692</v>
      </c>
      <c r="I1308" s="1">
        <v>699</v>
      </c>
      <c r="J1308" s="1" t="s">
        <v>2897</v>
      </c>
      <c r="K1308" s="1" t="s">
        <v>2898</v>
      </c>
      <c r="L1308" s="1">
        <v>4.2</v>
      </c>
      <c r="M1308" s="1">
        <v>787</v>
      </c>
      <c r="P1308" t="str">
        <f t="shared" si="83"/>
        <v>1%</v>
      </c>
      <c r="Q1308" s="12">
        <f t="shared" si="80"/>
        <v>0.01</v>
      </c>
      <c r="R1308" s="9">
        <f t="shared" si="81"/>
        <v>692.01</v>
      </c>
      <c r="S1308" s="9">
        <f>IF(R1308="",AVERAGEIF(Table1[Category],Table1[[#This Row],[Category]],Table2[orignal data]),Table2[[#This Row],[orignal data]])</f>
        <v>692.01</v>
      </c>
      <c r="T1308" t="str">
        <f t="shared" si="82"/>
        <v>UNIQUE</v>
      </c>
      <c r="U1308" t="str">
        <f>IF(ISBLANK(Table1[[#This Row],[SizeOption]]),"NOT AVAILABLE",Table1[[#This Row],[SizeOption]])</f>
        <v>29, 31, 32, 34, 36, 41, 42, 48</v>
      </c>
      <c r="Y1308" t="str">
        <f>IF(Table2[[#This Row],[Column1]]&gt;50%,"HIGH DISCOUNT","LOW DISCOUNT")</f>
        <v>LOW DISCOUNT</v>
      </c>
    </row>
    <row r="1309" spans="1:25" x14ac:dyDescent="0.25">
      <c r="A1309" s="2" t="s">
        <v>2899</v>
      </c>
      <c r="B1309" s="2">
        <v>5556622</v>
      </c>
      <c r="C1309" s="2" t="s">
        <v>169</v>
      </c>
      <c r="D1309" s="2" t="s">
        <v>15</v>
      </c>
      <c r="E1309" s="2" t="s">
        <v>16</v>
      </c>
      <c r="F1309" s="2" t="s">
        <v>17</v>
      </c>
      <c r="G1309" s="2" t="s">
        <v>2900</v>
      </c>
      <c r="H1309">
        <v>1819</v>
      </c>
      <c r="I1309" s="2">
        <v>2799</v>
      </c>
      <c r="J1309" s="2" t="s">
        <v>44</v>
      </c>
      <c r="K1309" s="2" t="s">
        <v>171</v>
      </c>
      <c r="L1309" s="2">
        <v>4.2</v>
      </c>
      <c r="M1309" s="2">
        <v>787</v>
      </c>
      <c r="P1309" t="str">
        <f t="shared" si="83"/>
        <v>35%</v>
      </c>
      <c r="Q1309" s="12">
        <f t="shared" si="80"/>
        <v>0.35</v>
      </c>
      <c r="R1309" s="9">
        <f t="shared" si="81"/>
        <v>1819.35</v>
      </c>
      <c r="S1309" s="9">
        <f>IF(R1309="",AVERAGEIF(Table1[Category],Table1[[#This Row],[Category]],Table2[orignal data]),Table2[[#This Row],[orignal data]])</f>
        <v>1819.35</v>
      </c>
      <c r="T1309" t="str">
        <f t="shared" si="82"/>
        <v>UNIQUE</v>
      </c>
      <c r="U1309" t="str">
        <f>IF(ISBLANK(Table1[[#This Row],[SizeOption]]),"NOT AVAILABLE",Table1[[#This Row],[SizeOption]])</f>
        <v>28, 30, 32, 34, 36, 38</v>
      </c>
      <c r="Y1309" t="str">
        <f>IF(Table2[[#This Row],[Column1]]&gt;50%,"HIGH DISCOUNT","LOW DISCOUNT")</f>
        <v>LOW DISCOUNT</v>
      </c>
    </row>
    <row r="1310" spans="1:25" x14ac:dyDescent="0.25">
      <c r="A1310" s="1" t="s">
        <v>2901</v>
      </c>
      <c r="B1310" s="1">
        <v>7255220</v>
      </c>
      <c r="C1310" s="1" t="s">
        <v>430</v>
      </c>
      <c r="D1310" s="1" t="s">
        <v>15</v>
      </c>
      <c r="E1310" s="1" t="s">
        <v>16</v>
      </c>
      <c r="F1310" s="1" t="s">
        <v>17</v>
      </c>
      <c r="G1310" s="1" t="s">
        <v>2902</v>
      </c>
      <c r="H1310">
        <v>999</v>
      </c>
      <c r="I1310" s="1">
        <v>1999</v>
      </c>
      <c r="J1310" s="1" t="s">
        <v>84</v>
      </c>
      <c r="K1310" s="1" t="s">
        <v>171</v>
      </c>
      <c r="L1310" s="1">
        <v>4</v>
      </c>
      <c r="M1310" s="1">
        <v>787</v>
      </c>
      <c r="P1310" t="str">
        <f t="shared" si="83"/>
        <v>50%</v>
      </c>
      <c r="Q1310" s="12">
        <f t="shared" si="80"/>
        <v>0.5</v>
      </c>
      <c r="R1310" s="9">
        <f t="shared" si="81"/>
        <v>999.5</v>
      </c>
      <c r="S1310" s="9">
        <f>IF(R1310="",AVERAGEIF(Table1[Category],Table1[[#This Row],[Category]],Table2[orignal data]),Table2[[#This Row],[orignal data]])</f>
        <v>999.5</v>
      </c>
      <c r="T1310" t="str">
        <f t="shared" si="82"/>
        <v>UNIQUE</v>
      </c>
      <c r="U1310" t="str">
        <f>IF(ISBLANK(Table1[[#This Row],[SizeOption]]),"NOT AVAILABLE",Table1[[#This Row],[SizeOption]])</f>
        <v>28, 30, 32, 34, 36, 38</v>
      </c>
      <c r="Y1310" t="str">
        <f>IF(Table2[[#This Row],[Column1]]&gt;50%,"HIGH DISCOUNT","LOW DISCOUNT")</f>
        <v>LOW DISCOUNT</v>
      </c>
    </row>
    <row r="1311" spans="1:25" x14ac:dyDescent="0.25">
      <c r="A1311" s="2" t="s">
        <v>2903</v>
      </c>
      <c r="B1311" s="2">
        <v>2358019</v>
      </c>
      <c r="C1311" s="2" t="s">
        <v>841</v>
      </c>
      <c r="D1311" s="2" t="s">
        <v>28</v>
      </c>
      <c r="E1311" s="2" t="s">
        <v>29</v>
      </c>
      <c r="F1311" s="2" t="s">
        <v>17</v>
      </c>
      <c r="G1311" s="2" t="s">
        <v>2904</v>
      </c>
      <c r="H1311">
        <v>899</v>
      </c>
      <c r="I1311" s="2">
        <v>1999</v>
      </c>
      <c r="J1311" s="2" t="s">
        <v>25</v>
      </c>
      <c r="K1311" s="2" t="s">
        <v>253</v>
      </c>
      <c r="L1311" s="2">
        <v>4.3</v>
      </c>
      <c r="M1311" s="2">
        <v>787</v>
      </c>
      <c r="P1311" t="str">
        <f t="shared" si="83"/>
        <v>55%</v>
      </c>
      <c r="Q1311" s="12">
        <f t="shared" si="80"/>
        <v>0.55000000000000004</v>
      </c>
      <c r="R1311" s="9">
        <f t="shared" si="81"/>
        <v>899.55</v>
      </c>
      <c r="S1311" s="9">
        <f>IF(R1311="",AVERAGEIF(Table1[Category],Table1[[#This Row],[Category]],Table2[orignal data]),Table2[[#This Row],[orignal data]])</f>
        <v>899.55</v>
      </c>
      <c r="T1311" t="str">
        <f t="shared" si="82"/>
        <v>UNIQUE</v>
      </c>
      <c r="U1311" t="str">
        <f>IF(ISBLANK(Table1[[#This Row],[SizeOption]]),"NOT AVAILABLE",Table1[[#This Row],[SizeOption]])</f>
        <v>38, 40, 42, 44</v>
      </c>
      <c r="Y1311" t="str">
        <f>IF(Table2[[#This Row],[Column1]]&gt;50%,"HIGH DISCOUNT","LOW DISCOUNT")</f>
        <v>HIGH DISCOUNT</v>
      </c>
    </row>
    <row r="1312" spans="1:25" x14ac:dyDescent="0.25">
      <c r="A1312" s="1" t="s">
        <v>2905</v>
      </c>
      <c r="B1312" s="1">
        <v>12754022</v>
      </c>
      <c r="C1312" s="1" t="s">
        <v>837</v>
      </c>
      <c r="D1312" s="1" t="s">
        <v>76</v>
      </c>
      <c r="E1312" s="1" t="s">
        <v>320</v>
      </c>
      <c r="F1312" s="1" t="s">
        <v>36</v>
      </c>
      <c r="G1312" s="1" t="s">
        <v>2906</v>
      </c>
      <c r="H1312">
        <v>795</v>
      </c>
      <c r="I1312" s="1">
        <v>2653</v>
      </c>
      <c r="J1312" s="1" t="s">
        <v>79</v>
      </c>
      <c r="K1312" s="1" t="s">
        <v>164</v>
      </c>
      <c r="L1312" s="1">
        <v>4.0999999999999996</v>
      </c>
      <c r="M1312" s="1">
        <v>787</v>
      </c>
      <c r="P1312" t="str">
        <f t="shared" si="83"/>
        <v>70%</v>
      </c>
      <c r="Q1312" s="12">
        <f t="shared" si="80"/>
        <v>0.7</v>
      </c>
      <c r="R1312" s="9">
        <f t="shared" si="81"/>
        <v>795.90000000000009</v>
      </c>
      <c r="S1312" s="9">
        <f>IF(R1312="",AVERAGEIF(Table1[Category],Table1[[#This Row],[Category]],Table2[orignal data]),Table2[[#This Row],[orignal data]])</f>
        <v>795.90000000000009</v>
      </c>
      <c r="T1312" t="str">
        <f t="shared" si="82"/>
        <v>UNIQUE</v>
      </c>
      <c r="U1312" t="str">
        <f>IF(ISBLANK(Table1[[#This Row],[SizeOption]]),"NOT AVAILABLE",Table1[[#This Row],[SizeOption]])</f>
        <v>Onesize</v>
      </c>
      <c r="Y1312" t="str">
        <f>IF(Table2[[#This Row],[Column1]]&gt;50%,"HIGH DISCOUNT","LOW DISCOUNT")</f>
        <v>HIGH DISCOUNT</v>
      </c>
    </row>
    <row r="1313" spans="1:25" x14ac:dyDescent="0.25">
      <c r="A1313" s="2" t="s">
        <v>2907</v>
      </c>
      <c r="B1313" s="2">
        <v>14489504</v>
      </c>
      <c r="C1313" s="2" t="s">
        <v>277</v>
      </c>
      <c r="D1313" s="2" t="s">
        <v>76</v>
      </c>
      <c r="E1313" s="2" t="s">
        <v>93</v>
      </c>
      <c r="F1313" s="2" t="s">
        <v>36</v>
      </c>
      <c r="G1313" s="2" t="s">
        <v>2908</v>
      </c>
      <c r="H1313">
        <v>991</v>
      </c>
      <c r="I1313" s="2">
        <v>3199</v>
      </c>
      <c r="J1313" s="2" t="s">
        <v>731</v>
      </c>
      <c r="K1313" s="2" t="s">
        <v>39</v>
      </c>
      <c r="L1313" s="2">
        <v>4</v>
      </c>
      <c r="M1313" s="2">
        <v>787</v>
      </c>
      <c r="P1313" t="str">
        <f t="shared" si="83"/>
        <v>69%</v>
      </c>
      <c r="Q1313" s="12">
        <f t="shared" si="80"/>
        <v>0.69</v>
      </c>
      <c r="R1313" s="9">
        <f t="shared" si="81"/>
        <v>991.69</v>
      </c>
      <c r="S1313" s="9">
        <f>IF(R1313="",AVERAGEIF(Table1[Category],Table1[[#This Row],[Category]],Table2[orignal data]),Table2[[#This Row],[orignal data]])</f>
        <v>991.69</v>
      </c>
      <c r="T1313" t="str">
        <f t="shared" si="82"/>
        <v>UNIQUE</v>
      </c>
      <c r="U1313" t="str">
        <f>IF(ISBLANK(Table1[[#This Row],[SizeOption]]),"NOT AVAILABLE",Table1[[#This Row],[SizeOption]])</f>
        <v>S, M, L, XL, XXL</v>
      </c>
      <c r="Y1313" t="str">
        <f>IF(Table2[[#This Row],[Column1]]&gt;50%,"HIGH DISCOUNT","LOW DISCOUNT")</f>
        <v>HIGH DISCOUNT</v>
      </c>
    </row>
    <row r="1314" spans="1:25" x14ac:dyDescent="0.25">
      <c r="A1314" s="1" t="s">
        <v>2909</v>
      </c>
      <c r="B1314" s="1">
        <v>12657168</v>
      </c>
      <c r="C1314" s="1" t="s">
        <v>152</v>
      </c>
      <c r="D1314" s="1" t="s">
        <v>34</v>
      </c>
      <c r="E1314" s="1" t="s">
        <v>2910</v>
      </c>
      <c r="F1314" s="1" t="s">
        <v>36</v>
      </c>
      <c r="G1314" s="1" t="s">
        <v>2911</v>
      </c>
      <c r="H1314">
        <v>697</v>
      </c>
      <c r="I1314" s="1">
        <v>1549</v>
      </c>
      <c r="J1314" s="1" t="s">
        <v>25</v>
      </c>
      <c r="K1314" s="1" t="s">
        <v>732</v>
      </c>
      <c r="L1314" s="1">
        <v>4.0999999999999996</v>
      </c>
      <c r="M1314" s="1">
        <v>787</v>
      </c>
      <c r="P1314" t="str">
        <f t="shared" si="83"/>
        <v>55%</v>
      </c>
      <c r="Q1314" s="12">
        <f t="shared" si="80"/>
        <v>0.55000000000000004</v>
      </c>
      <c r="R1314" s="9">
        <f t="shared" si="81"/>
        <v>697.05</v>
      </c>
      <c r="S1314" s="9">
        <f>IF(R1314="",AVERAGEIF(Table1[Category],Table1[[#This Row],[Category]],Table2[orignal data]),Table2[[#This Row],[orignal data]])</f>
        <v>697.05</v>
      </c>
      <c r="T1314" t="str">
        <f t="shared" si="82"/>
        <v>UNIQUE</v>
      </c>
      <c r="U1314" t="str">
        <f>IF(ISBLANK(Table1[[#This Row],[SizeOption]]),"NOT AVAILABLE",Table1[[#This Row],[SizeOption]])</f>
        <v>S, M, L, XL, XXL, 3XL, 4XL, 5XL</v>
      </c>
      <c r="Y1314" t="str">
        <f>IF(Table2[[#This Row],[Column1]]&gt;50%,"HIGH DISCOUNT","LOW DISCOUNT")</f>
        <v>HIGH DISCOUNT</v>
      </c>
    </row>
    <row r="1315" spans="1:25" x14ac:dyDescent="0.25">
      <c r="A1315" s="2" t="s">
        <v>2912</v>
      </c>
      <c r="B1315" s="2">
        <v>11862240</v>
      </c>
      <c r="C1315" s="2" t="s">
        <v>67</v>
      </c>
      <c r="D1315" s="2" t="s">
        <v>34</v>
      </c>
      <c r="E1315" s="2" t="s">
        <v>118</v>
      </c>
      <c r="F1315" s="2" t="s">
        <v>36</v>
      </c>
      <c r="G1315" s="2" t="s">
        <v>2913</v>
      </c>
      <c r="H1315">
        <v>764</v>
      </c>
      <c r="I1315" s="2">
        <v>1699</v>
      </c>
      <c r="J1315" s="2" t="s">
        <v>25</v>
      </c>
      <c r="K1315" s="2" t="s">
        <v>45</v>
      </c>
      <c r="L1315" s="2">
        <v>4.4000000000000004</v>
      </c>
      <c r="M1315" s="2">
        <v>787</v>
      </c>
      <c r="P1315" t="str">
        <f t="shared" si="83"/>
        <v>55%</v>
      </c>
      <c r="Q1315" s="12">
        <f t="shared" si="80"/>
        <v>0.55000000000000004</v>
      </c>
      <c r="R1315" s="9">
        <f t="shared" si="81"/>
        <v>764.55</v>
      </c>
      <c r="S1315" s="9">
        <f>IF(R1315="",AVERAGEIF(Table1[Category],Table1[[#This Row],[Category]],Table2[orignal data]),Table2[[#This Row],[orignal data]])</f>
        <v>764.55</v>
      </c>
      <c r="T1315" t="str">
        <f t="shared" si="82"/>
        <v>UNIQUE</v>
      </c>
      <c r="U1315" t="str">
        <f>IF(ISBLANK(Table1[[#This Row],[SizeOption]]),"NOT AVAILABLE",Table1[[#This Row],[SizeOption]])</f>
        <v>XS, S, M, L, XL</v>
      </c>
      <c r="Y1315" t="str">
        <f>IF(Table2[[#This Row],[Column1]]&gt;50%,"HIGH DISCOUNT","LOW DISCOUNT")</f>
        <v>HIGH DISCOUNT</v>
      </c>
    </row>
    <row r="1316" spans="1:25" x14ac:dyDescent="0.25">
      <c r="A1316" s="1" t="s">
        <v>2914</v>
      </c>
      <c r="B1316" s="1">
        <v>10821268</v>
      </c>
      <c r="C1316" s="1" t="s">
        <v>184</v>
      </c>
      <c r="D1316" s="1" t="s">
        <v>41</v>
      </c>
      <c r="E1316" s="1" t="s">
        <v>48</v>
      </c>
      <c r="F1316" s="1" t="s">
        <v>36</v>
      </c>
      <c r="G1316" s="1" t="s">
        <v>2915</v>
      </c>
      <c r="I1316" s="1">
        <v>1199</v>
      </c>
      <c r="J1316" s="1" t="s">
        <v>150</v>
      </c>
      <c r="K1316" s="1" t="s">
        <v>39</v>
      </c>
      <c r="L1316" s="1">
        <v>3.8</v>
      </c>
      <c r="M1316" s="1">
        <v>787</v>
      </c>
      <c r="P1316" t="str">
        <f t="shared" si="83"/>
        <v>65%</v>
      </c>
      <c r="Q1316" s="12">
        <f t="shared" si="80"/>
        <v>0.65</v>
      </c>
      <c r="R1316" s="9">
        <f t="shared" si="81"/>
        <v>419.65</v>
      </c>
      <c r="S1316" s="9">
        <f>IF(R1316="",AVERAGEIF(Table1[Category],Table1[[#This Row],[Category]],Table2[orignal data]),Table2[[#This Row],[orignal data]])</f>
        <v>419.65</v>
      </c>
      <c r="T1316" t="str">
        <f t="shared" si="82"/>
        <v>UNIQUE</v>
      </c>
      <c r="U1316" t="str">
        <f>IF(ISBLANK(Table1[[#This Row],[SizeOption]]),"NOT AVAILABLE",Table1[[#This Row],[SizeOption]])</f>
        <v>S, M, L, XL, XXL</v>
      </c>
      <c r="Y1316" t="str">
        <f>IF(Table2[[#This Row],[Column1]]&gt;50%,"HIGH DISCOUNT","LOW DISCOUNT")</f>
        <v>HIGH DISCOUNT</v>
      </c>
    </row>
    <row r="1317" spans="1:25" x14ac:dyDescent="0.25">
      <c r="A1317" s="2" t="s">
        <v>2916</v>
      </c>
      <c r="B1317" s="2">
        <v>12696136</v>
      </c>
      <c r="C1317" s="2" t="s">
        <v>490</v>
      </c>
      <c r="D1317" s="2" t="s">
        <v>41</v>
      </c>
      <c r="E1317" s="2" t="s">
        <v>137</v>
      </c>
      <c r="F1317" s="2" t="s">
        <v>36</v>
      </c>
      <c r="G1317" s="2" t="s">
        <v>2917</v>
      </c>
      <c r="I1317" s="2">
        <v>699</v>
      </c>
      <c r="J1317" s="2"/>
      <c r="K1317" s="2" t="s">
        <v>2918</v>
      </c>
      <c r="L1317" s="2">
        <v>4.5999999999999996</v>
      </c>
      <c r="M1317" s="2">
        <v>787</v>
      </c>
      <c r="P1317" t="str">
        <f t="shared" si="83"/>
        <v/>
      </c>
      <c r="Q1317" s="12" t="str">
        <f t="shared" si="80"/>
        <v/>
      </c>
      <c r="R1317" s="9" t="str">
        <f t="shared" si="81"/>
        <v/>
      </c>
      <c r="S1317" s="9">
        <f>IF(R1317="",AVERAGEIF(Table1[Category],Table1[[#This Row],[Category]],Table2[orignal data]),Table2[[#This Row],[orignal data]])</f>
        <v>715.78890751086249</v>
      </c>
      <c r="T1317" t="str">
        <f t="shared" si="82"/>
        <v>UNIQUE</v>
      </c>
      <c r="U1317" t="str">
        <f>IF(ISBLANK(Table1[[#This Row],[SizeOption]]),"NOT AVAILABLE",Table1[[#This Row],[SizeOption]])</f>
        <v>25, 28, 31, 34</v>
      </c>
      <c r="Y1317" t="str">
        <f>IF(Table2[[#This Row],[Column1]]&gt;50%,"HIGH DISCOUNT","LOW DISCOUNT")</f>
        <v>HIGH DISCOUNT</v>
      </c>
    </row>
    <row r="1318" spans="1:25" x14ac:dyDescent="0.25">
      <c r="A1318" s="1" t="s">
        <v>2919</v>
      </c>
      <c r="B1318" s="1">
        <v>8962389</v>
      </c>
      <c r="C1318" s="1" t="s">
        <v>14</v>
      </c>
      <c r="D1318" s="1" t="s">
        <v>15</v>
      </c>
      <c r="E1318" s="1" t="s">
        <v>16</v>
      </c>
      <c r="F1318" s="1" t="s">
        <v>17</v>
      </c>
      <c r="G1318" s="1" t="s">
        <v>2920</v>
      </c>
      <c r="I1318" s="1">
        <v>1799</v>
      </c>
      <c r="J1318" s="1"/>
      <c r="K1318" s="1" t="s">
        <v>134</v>
      </c>
      <c r="L1318" s="1">
        <v>4</v>
      </c>
      <c r="M1318" s="1">
        <v>786</v>
      </c>
      <c r="P1318" t="str">
        <f t="shared" si="83"/>
        <v/>
      </c>
      <c r="Q1318" s="12" t="str">
        <f t="shared" si="80"/>
        <v/>
      </c>
      <c r="R1318" s="9" t="str">
        <f t="shared" si="81"/>
        <v/>
      </c>
      <c r="S1318" s="9">
        <f>IF(R1318="",AVERAGEIF(Table1[Category],Table1[[#This Row],[Category]],Table2[orignal data]),Table2[[#This Row],[orignal data]])</f>
        <v>892.27590339892538</v>
      </c>
      <c r="T1318" t="str">
        <f t="shared" si="82"/>
        <v>UNIQUE</v>
      </c>
      <c r="U1318" t="str">
        <f>IF(ISBLANK(Table1[[#This Row],[SizeOption]]),"NOT AVAILABLE",Table1[[#This Row],[SizeOption]])</f>
        <v>26, 28, 30, 32, 34, 36</v>
      </c>
      <c r="Y1318" t="str">
        <f>IF(Table2[[#This Row],[Column1]]&gt;50%,"HIGH DISCOUNT","LOW DISCOUNT")</f>
        <v>HIGH DISCOUNT</v>
      </c>
    </row>
    <row r="1319" spans="1:25" x14ac:dyDescent="0.25">
      <c r="A1319" s="2" t="s">
        <v>2921</v>
      </c>
      <c r="B1319" s="2">
        <v>2119003</v>
      </c>
      <c r="C1319" s="2" t="s">
        <v>14</v>
      </c>
      <c r="D1319" s="2" t="s">
        <v>15</v>
      </c>
      <c r="E1319" s="2" t="s">
        <v>53</v>
      </c>
      <c r="F1319" s="2" t="s">
        <v>17</v>
      </c>
      <c r="G1319" s="2" t="s">
        <v>2922</v>
      </c>
      <c r="H1319">
        <v>839</v>
      </c>
      <c r="I1319" s="2">
        <v>2099</v>
      </c>
      <c r="J1319" s="2" t="s">
        <v>55</v>
      </c>
      <c r="K1319" s="2" t="s">
        <v>195</v>
      </c>
      <c r="L1319" s="2">
        <v>4</v>
      </c>
      <c r="M1319" s="2">
        <v>786</v>
      </c>
      <c r="P1319" t="str">
        <f t="shared" si="83"/>
        <v>60%</v>
      </c>
      <c r="Q1319" s="12">
        <f t="shared" si="80"/>
        <v>0.6</v>
      </c>
      <c r="R1319" s="9">
        <f t="shared" si="81"/>
        <v>839.60000000000014</v>
      </c>
      <c r="S1319" s="9">
        <f>IF(R1319="",AVERAGEIF(Table1[Category],Table1[[#This Row],[Category]],Table2[orignal data]),Table2[[#This Row],[orignal data]])</f>
        <v>839.60000000000014</v>
      </c>
      <c r="T1319" t="str">
        <f t="shared" si="82"/>
        <v>UNIQUE</v>
      </c>
      <c r="U1319" t="str">
        <f>IF(ISBLANK(Table1[[#This Row],[SizeOption]]),"NOT AVAILABLE",Table1[[#This Row],[SizeOption]])</f>
        <v>28, 30, 32, 34, 36, 38, 40</v>
      </c>
      <c r="Y1319" t="str">
        <f>IF(Table2[[#This Row],[Column1]]&gt;50%,"HIGH DISCOUNT","LOW DISCOUNT")</f>
        <v>HIGH DISCOUNT</v>
      </c>
    </row>
    <row r="1320" spans="1:25" x14ac:dyDescent="0.25">
      <c r="A1320" s="1" t="s">
        <v>2923</v>
      </c>
      <c r="B1320" s="1">
        <v>4451370</v>
      </c>
      <c r="C1320" s="1" t="s">
        <v>639</v>
      </c>
      <c r="D1320" s="1" t="s">
        <v>15</v>
      </c>
      <c r="E1320" s="1" t="s">
        <v>16</v>
      </c>
      <c r="F1320" s="1" t="s">
        <v>17</v>
      </c>
      <c r="G1320" s="1" t="s">
        <v>640</v>
      </c>
      <c r="H1320">
        <v>799</v>
      </c>
      <c r="I1320" s="1">
        <v>1999</v>
      </c>
      <c r="J1320" s="1" t="s">
        <v>55</v>
      </c>
      <c r="K1320" s="1" t="s">
        <v>20</v>
      </c>
      <c r="L1320" s="1">
        <v>3.8</v>
      </c>
      <c r="M1320" s="1">
        <v>786</v>
      </c>
      <c r="P1320" t="str">
        <f t="shared" si="83"/>
        <v>60%</v>
      </c>
      <c r="Q1320" s="12">
        <f t="shared" si="80"/>
        <v>0.6</v>
      </c>
      <c r="R1320" s="9">
        <f t="shared" si="81"/>
        <v>799.60000000000014</v>
      </c>
      <c r="S1320" s="9">
        <f>IF(R1320="",AVERAGEIF(Table1[Category],Table1[[#This Row],[Category]],Table2[orignal data]),Table2[[#This Row],[orignal data]])</f>
        <v>799.60000000000014</v>
      </c>
      <c r="T1320" t="str">
        <f t="shared" si="82"/>
        <v>UNIQUE</v>
      </c>
      <c r="U1320" t="str">
        <f>IF(ISBLANK(Table1[[#This Row],[SizeOption]]),"NOT AVAILABLE",Table1[[#This Row],[SizeOption]])</f>
        <v>28, 30, 32, 34, 36</v>
      </c>
      <c r="Y1320" t="str">
        <f>IF(Table2[[#This Row],[Column1]]&gt;50%,"HIGH DISCOUNT","LOW DISCOUNT")</f>
        <v>HIGH DISCOUNT</v>
      </c>
    </row>
    <row r="1321" spans="1:25" x14ac:dyDescent="0.25">
      <c r="A1321" s="2" t="s">
        <v>2924</v>
      </c>
      <c r="B1321" s="2">
        <v>3855192</v>
      </c>
      <c r="C1321" s="2" t="s">
        <v>52</v>
      </c>
      <c r="D1321" s="2" t="s">
        <v>15</v>
      </c>
      <c r="E1321" s="2" t="s">
        <v>16</v>
      </c>
      <c r="F1321" s="2" t="s">
        <v>17</v>
      </c>
      <c r="G1321" s="2" t="s">
        <v>2925</v>
      </c>
      <c r="H1321">
        <v>628</v>
      </c>
      <c r="I1321" s="2">
        <v>1699</v>
      </c>
      <c r="J1321" s="2" t="s">
        <v>476</v>
      </c>
      <c r="K1321" s="2" t="s">
        <v>816</v>
      </c>
      <c r="L1321" s="2">
        <v>4</v>
      </c>
      <c r="M1321" s="2">
        <v>786</v>
      </c>
      <c r="P1321" t="str">
        <f t="shared" si="83"/>
        <v>63%</v>
      </c>
      <c r="Q1321" s="12">
        <f t="shared" si="80"/>
        <v>0.63</v>
      </c>
      <c r="R1321" s="9">
        <f t="shared" si="81"/>
        <v>628.62999999999988</v>
      </c>
      <c r="S1321" s="9">
        <f>IF(R1321="",AVERAGEIF(Table1[Category],Table1[[#This Row],[Category]],Table2[orignal data]),Table2[[#This Row],[orignal data]])</f>
        <v>628.62999999999988</v>
      </c>
      <c r="T1321" t="str">
        <f t="shared" si="82"/>
        <v>UNIQUE</v>
      </c>
      <c r="U1321" t="str">
        <f>IF(ISBLANK(Table1[[#This Row],[SizeOption]]),"NOT AVAILABLE",Table1[[#This Row],[SizeOption]])</f>
        <v>30, 32, 34, 36, 38</v>
      </c>
      <c r="Y1321" t="str">
        <f>IF(Table2[[#This Row],[Column1]]&gt;50%,"HIGH DISCOUNT","LOW DISCOUNT")</f>
        <v>HIGH DISCOUNT</v>
      </c>
    </row>
    <row r="1322" spans="1:25" x14ac:dyDescent="0.25">
      <c r="A1322" s="1" t="s">
        <v>2926</v>
      </c>
      <c r="B1322" s="1">
        <v>10106267</v>
      </c>
      <c r="C1322" s="1" t="s">
        <v>67</v>
      </c>
      <c r="D1322" s="1" t="s">
        <v>68</v>
      </c>
      <c r="E1322" s="1" t="s">
        <v>42</v>
      </c>
      <c r="F1322" s="1" t="s">
        <v>17</v>
      </c>
      <c r="G1322" s="1" t="s">
        <v>2927</v>
      </c>
      <c r="H1322">
        <v>539</v>
      </c>
      <c r="I1322" s="1">
        <v>899</v>
      </c>
      <c r="J1322" s="1" t="s">
        <v>50</v>
      </c>
      <c r="K1322" s="1" t="s">
        <v>39</v>
      </c>
      <c r="L1322" s="1">
        <v>4.4000000000000004</v>
      </c>
      <c r="M1322" s="1">
        <v>786</v>
      </c>
      <c r="P1322" t="str">
        <f t="shared" si="83"/>
        <v>40%</v>
      </c>
      <c r="Q1322" s="12">
        <f t="shared" si="80"/>
        <v>0.4</v>
      </c>
      <c r="R1322" s="9">
        <f t="shared" si="81"/>
        <v>539.4</v>
      </c>
      <c r="S1322" s="9">
        <f>IF(R1322="",AVERAGEIF(Table1[Category],Table1[[#This Row],[Category]],Table2[orignal data]),Table2[[#This Row],[orignal data]])</f>
        <v>539.4</v>
      </c>
      <c r="T1322" t="str">
        <f t="shared" si="82"/>
        <v>UNIQUE</v>
      </c>
      <c r="U1322" t="str">
        <f>IF(ISBLANK(Table1[[#This Row],[SizeOption]]),"NOT AVAILABLE",Table1[[#This Row],[SizeOption]])</f>
        <v>S, M, L, XL, XXL</v>
      </c>
      <c r="Y1322" t="str">
        <f>IF(Table2[[#This Row],[Column1]]&gt;50%,"HIGH DISCOUNT","LOW DISCOUNT")</f>
        <v>LOW DISCOUNT</v>
      </c>
    </row>
    <row r="1323" spans="1:25" x14ac:dyDescent="0.25">
      <c r="A1323" s="2" t="s">
        <v>2928</v>
      </c>
      <c r="B1323" s="2">
        <v>11007440</v>
      </c>
      <c r="C1323" s="2" t="s">
        <v>47</v>
      </c>
      <c r="D1323" s="2" t="s">
        <v>28</v>
      </c>
      <c r="E1323" s="2" t="s">
        <v>29</v>
      </c>
      <c r="F1323" s="2" t="s">
        <v>17</v>
      </c>
      <c r="G1323" s="2" t="s">
        <v>2929</v>
      </c>
      <c r="H1323">
        <v>934</v>
      </c>
      <c r="I1323" s="2">
        <v>1699</v>
      </c>
      <c r="J1323" s="2" t="s">
        <v>19</v>
      </c>
      <c r="K1323" s="2" t="s">
        <v>253</v>
      </c>
      <c r="L1323" s="2">
        <v>4.2</v>
      </c>
      <c r="M1323" s="2">
        <v>786</v>
      </c>
      <c r="P1323" t="str">
        <f t="shared" si="83"/>
        <v>45%</v>
      </c>
      <c r="Q1323" s="12">
        <f t="shared" si="80"/>
        <v>0.45</v>
      </c>
      <c r="R1323" s="9">
        <f t="shared" si="81"/>
        <v>934.44999999999993</v>
      </c>
      <c r="S1323" s="9">
        <f>IF(R1323="",AVERAGEIF(Table1[Category],Table1[[#This Row],[Category]],Table2[orignal data]),Table2[[#This Row],[orignal data]])</f>
        <v>934.44999999999993</v>
      </c>
      <c r="T1323" t="str">
        <f t="shared" si="82"/>
        <v>UNIQUE</v>
      </c>
      <c r="U1323" t="str">
        <f>IF(ISBLANK(Table1[[#This Row],[SizeOption]]),"NOT AVAILABLE",Table1[[#This Row],[SizeOption]])</f>
        <v>38, 40, 42, 44</v>
      </c>
      <c r="Y1323" t="str">
        <f>IF(Table2[[#This Row],[Column1]]&gt;50%,"HIGH DISCOUNT","LOW DISCOUNT")</f>
        <v>LOW DISCOUNT</v>
      </c>
    </row>
    <row r="1324" spans="1:25" x14ac:dyDescent="0.25">
      <c r="A1324" s="1" t="s">
        <v>2930</v>
      </c>
      <c r="B1324" s="1">
        <v>13905666</v>
      </c>
      <c r="C1324" s="1" t="s">
        <v>113</v>
      </c>
      <c r="D1324" s="1" t="s">
        <v>76</v>
      </c>
      <c r="E1324" s="1" t="s">
        <v>93</v>
      </c>
      <c r="F1324" s="1" t="s">
        <v>36</v>
      </c>
      <c r="G1324" s="1" t="s">
        <v>2931</v>
      </c>
      <c r="H1324">
        <v>449</v>
      </c>
      <c r="I1324" s="1">
        <v>999</v>
      </c>
      <c r="J1324" s="1" t="s">
        <v>25</v>
      </c>
      <c r="K1324" s="1" t="s">
        <v>115</v>
      </c>
      <c r="L1324" s="1">
        <v>3.9</v>
      </c>
      <c r="M1324" s="1">
        <v>786</v>
      </c>
      <c r="P1324" t="str">
        <f t="shared" si="83"/>
        <v>55%</v>
      </c>
      <c r="Q1324" s="12">
        <f t="shared" si="80"/>
        <v>0.55000000000000004</v>
      </c>
      <c r="R1324" s="9">
        <f t="shared" si="81"/>
        <v>449.54999999999995</v>
      </c>
      <c r="S1324" s="9">
        <f>IF(R1324="",AVERAGEIF(Table1[Category],Table1[[#This Row],[Category]],Table2[orignal data]),Table2[[#This Row],[orignal data]])</f>
        <v>449.54999999999995</v>
      </c>
      <c r="T1324" t="str">
        <f t="shared" si="82"/>
        <v>UNIQUE</v>
      </c>
      <c r="U1324" t="str">
        <f>IF(ISBLANK(Table1[[#This Row],[SizeOption]]),"NOT AVAILABLE",Table1[[#This Row],[SizeOption]])</f>
        <v>XS, S, M, L, XL, XXL</v>
      </c>
      <c r="Y1324" t="str">
        <f>IF(Table2[[#This Row],[Column1]]&gt;50%,"HIGH DISCOUNT","LOW DISCOUNT")</f>
        <v>HIGH DISCOUNT</v>
      </c>
    </row>
    <row r="1325" spans="1:25" x14ac:dyDescent="0.25">
      <c r="A1325" s="2" t="s">
        <v>2932</v>
      </c>
      <c r="B1325" s="2">
        <v>12524786</v>
      </c>
      <c r="C1325" s="2" t="s">
        <v>64</v>
      </c>
      <c r="D1325" s="2" t="s">
        <v>98</v>
      </c>
      <c r="E1325" s="2" t="s">
        <v>93</v>
      </c>
      <c r="F1325" s="2" t="s">
        <v>36</v>
      </c>
      <c r="G1325" s="2" t="s">
        <v>2933</v>
      </c>
      <c r="H1325">
        <v>324</v>
      </c>
      <c r="I1325" s="2">
        <v>1299</v>
      </c>
      <c r="J1325" s="2" t="s">
        <v>109</v>
      </c>
      <c r="K1325" s="2" t="s">
        <v>100</v>
      </c>
      <c r="L1325" s="2">
        <v>3.9</v>
      </c>
      <c r="M1325" s="2">
        <v>786</v>
      </c>
      <c r="P1325" t="str">
        <f t="shared" si="83"/>
        <v>75%</v>
      </c>
      <c r="Q1325" s="12">
        <f t="shared" si="80"/>
        <v>0.75</v>
      </c>
      <c r="R1325" s="9">
        <f t="shared" si="81"/>
        <v>324.75</v>
      </c>
      <c r="S1325" s="9">
        <f>IF(R1325="",AVERAGEIF(Table1[Category],Table1[[#This Row],[Category]],Table2[orignal data]),Table2[[#This Row],[orignal data]])</f>
        <v>324.75</v>
      </c>
      <c r="T1325" t="str">
        <f t="shared" si="82"/>
        <v>UNIQUE</v>
      </c>
      <c r="U1325" t="str">
        <f>IF(ISBLANK(Table1[[#This Row],[SizeOption]]),"NOT AVAILABLE",Table1[[#This Row],[SizeOption]])</f>
        <v>XS, S, M, L, XL, XXL, 3XL</v>
      </c>
      <c r="Y1325" t="str">
        <f>IF(Table2[[#This Row],[Column1]]&gt;50%,"HIGH DISCOUNT","LOW DISCOUNT")</f>
        <v>HIGH DISCOUNT</v>
      </c>
    </row>
    <row r="1326" spans="1:25" x14ac:dyDescent="0.25">
      <c r="A1326" s="1" t="s">
        <v>2934</v>
      </c>
      <c r="B1326" s="1">
        <v>7032960</v>
      </c>
      <c r="C1326" s="1" t="s">
        <v>271</v>
      </c>
      <c r="D1326" s="1" t="s">
        <v>41</v>
      </c>
      <c r="E1326" s="1" t="s">
        <v>148</v>
      </c>
      <c r="F1326" s="1" t="s">
        <v>36</v>
      </c>
      <c r="G1326" s="1" t="s">
        <v>2935</v>
      </c>
      <c r="I1326" s="1">
        <v>1999</v>
      </c>
      <c r="J1326" s="1" t="s">
        <v>150</v>
      </c>
      <c r="K1326" s="1" t="s">
        <v>45</v>
      </c>
      <c r="L1326" s="1">
        <v>4.2</v>
      </c>
      <c r="M1326" s="1">
        <v>786</v>
      </c>
      <c r="P1326" t="str">
        <f t="shared" si="83"/>
        <v>65%</v>
      </c>
      <c r="Q1326" s="12">
        <f t="shared" si="80"/>
        <v>0.65</v>
      </c>
      <c r="R1326" s="9">
        <f t="shared" si="81"/>
        <v>699.64999999999986</v>
      </c>
      <c r="S1326" s="9">
        <f>IF(R1326="",AVERAGEIF(Table1[Category],Table1[[#This Row],[Category]],Table2[orignal data]),Table2[[#This Row],[orignal data]])</f>
        <v>699.64999999999986</v>
      </c>
      <c r="T1326" t="str">
        <f t="shared" si="82"/>
        <v>UNIQUE</v>
      </c>
      <c r="U1326" t="str">
        <f>IF(ISBLANK(Table1[[#This Row],[SizeOption]]),"NOT AVAILABLE",Table1[[#This Row],[SizeOption]])</f>
        <v>XS, S, M, L, XL</v>
      </c>
      <c r="Y1326" t="str">
        <f>IF(Table2[[#This Row],[Column1]]&gt;50%,"HIGH DISCOUNT","LOW DISCOUNT")</f>
        <v>HIGH DISCOUNT</v>
      </c>
    </row>
    <row r="1327" spans="1:25" x14ac:dyDescent="0.25">
      <c r="A1327" s="2" t="s">
        <v>2936</v>
      </c>
      <c r="B1327" s="2">
        <v>10944448</v>
      </c>
      <c r="C1327" s="2" t="s">
        <v>14</v>
      </c>
      <c r="D1327" s="2" t="s">
        <v>28</v>
      </c>
      <c r="E1327" s="2" t="s">
        <v>29</v>
      </c>
      <c r="F1327" s="2" t="s">
        <v>17</v>
      </c>
      <c r="G1327" s="2" t="s">
        <v>2937</v>
      </c>
      <c r="H1327">
        <v>779</v>
      </c>
      <c r="I1327" s="2">
        <v>1299</v>
      </c>
      <c r="J1327" s="2" t="s">
        <v>50</v>
      </c>
      <c r="K1327" s="2" t="s">
        <v>253</v>
      </c>
      <c r="L1327" s="2">
        <v>4.3</v>
      </c>
      <c r="M1327" s="2">
        <v>785</v>
      </c>
      <c r="P1327" t="str">
        <f t="shared" si="83"/>
        <v>40%</v>
      </c>
      <c r="Q1327" s="12">
        <f t="shared" si="80"/>
        <v>0.4</v>
      </c>
      <c r="R1327" s="9">
        <f t="shared" si="81"/>
        <v>779.4</v>
      </c>
      <c r="S1327" s="9">
        <f>IF(R1327="",AVERAGEIF(Table1[Category],Table1[[#This Row],[Category]],Table2[orignal data]),Table2[[#This Row],[orignal data]])</f>
        <v>779.4</v>
      </c>
      <c r="T1327" t="str">
        <f t="shared" si="82"/>
        <v>UNIQUE</v>
      </c>
      <c r="U1327" t="str">
        <f>IF(ISBLANK(Table1[[#This Row],[SizeOption]]),"NOT AVAILABLE",Table1[[#This Row],[SizeOption]])</f>
        <v>38, 40, 42, 44</v>
      </c>
      <c r="Y1327" t="str">
        <f>IF(Table2[[#This Row],[Column1]]&gt;50%,"HIGH DISCOUNT","LOW DISCOUNT")</f>
        <v>LOW DISCOUNT</v>
      </c>
    </row>
    <row r="1328" spans="1:25" x14ac:dyDescent="0.25">
      <c r="A1328" s="1" t="s">
        <v>2938</v>
      </c>
      <c r="B1328" s="1">
        <v>9768167</v>
      </c>
      <c r="C1328" s="1" t="s">
        <v>169</v>
      </c>
      <c r="D1328" s="1" t="s">
        <v>28</v>
      </c>
      <c r="E1328" s="1" t="s">
        <v>42</v>
      </c>
      <c r="F1328" s="1" t="s">
        <v>17</v>
      </c>
      <c r="G1328" s="1" t="s">
        <v>2939</v>
      </c>
      <c r="H1328">
        <v>649</v>
      </c>
      <c r="I1328" s="1">
        <v>1299</v>
      </c>
      <c r="J1328" s="1" t="s">
        <v>84</v>
      </c>
      <c r="K1328" s="1" t="s">
        <v>39</v>
      </c>
      <c r="L1328" s="1">
        <v>4.4000000000000004</v>
      </c>
      <c r="M1328" s="1">
        <v>785</v>
      </c>
      <c r="P1328" t="str">
        <f t="shared" si="83"/>
        <v>50%</v>
      </c>
      <c r="Q1328" s="12">
        <f t="shared" si="80"/>
        <v>0.5</v>
      </c>
      <c r="R1328" s="9">
        <f t="shared" si="81"/>
        <v>649.5</v>
      </c>
      <c r="S1328" s="9">
        <f>IF(R1328="",AVERAGEIF(Table1[Category],Table1[[#This Row],[Category]],Table2[orignal data]),Table2[[#This Row],[orignal data]])</f>
        <v>649.5</v>
      </c>
      <c r="T1328" t="str">
        <f t="shared" si="82"/>
        <v>UNIQUE</v>
      </c>
      <c r="U1328" t="str">
        <f>IF(ISBLANK(Table1[[#This Row],[SizeOption]]),"NOT AVAILABLE",Table1[[#This Row],[SizeOption]])</f>
        <v>S, M, L, XL, XXL</v>
      </c>
      <c r="Y1328" t="str">
        <f>IF(Table2[[#This Row],[Column1]]&gt;50%,"HIGH DISCOUNT","LOW DISCOUNT")</f>
        <v>LOW DISCOUNT</v>
      </c>
    </row>
    <row r="1329" spans="1:25" x14ac:dyDescent="0.25">
      <c r="A1329" s="2" t="s">
        <v>2940</v>
      </c>
      <c r="B1329" s="2">
        <v>12716474</v>
      </c>
      <c r="C1329" s="2" t="s">
        <v>430</v>
      </c>
      <c r="D1329" s="2" t="s">
        <v>41</v>
      </c>
      <c r="E1329" s="2" t="s">
        <v>42</v>
      </c>
      <c r="F1329" s="2" t="s">
        <v>36</v>
      </c>
      <c r="G1329" s="2" t="s">
        <v>2941</v>
      </c>
      <c r="I1329" s="2">
        <v>1099</v>
      </c>
      <c r="J1329" s="2" t="s">
        <v>50</v>
      </c>
      <c r="K1329" s="2" t="s">
        <v>115</v>
      </c>
      <c r="L1329" s="2">
        <v>4.4000000000000004</v>
      </c>
      <c r="M1329" s="2">
        <v>785</v>
      </c>
      <c r="P1329" t="str">
        <f t="shared" si="83"/>
        <v>40%</v>
      </c>
      <c r="Q1329" s="12">
        <f t="shared" si="80"/>
        <v>0.4</v>
      </c>
      <c r="R1329" s="9">
        <f t="shared" si="81"/>
        <v>659.4</v>
      </c>
      <c r="S1329" s="9">
        <f>IF(R1329="",AVERAGEIF(Table1[Category],Table1[[#This Row],[Category]],Table2[orignal data]),Table2[[#This Row],[orignal data]])</f>
        <v>659.4</v>
      </c>
      <c r="T1329" t="str">
        <f t="shared" si="82"/>
        <v>UNIQUE</v>
      </c>
      <c r="U1329" t="str">
        <f>IF(ISBLANK(Table1[[#This Row],[SizeOption]]),"NOT AVAILABLE",Table1[[#This Row],[SizeOption]])</f>
        <v>XS, S, M, L, XL, XXL</v>
      </c>
      <c r="Y1329" t="str">
        <f>IF(Table2[[#This Row],[Column1]]&gt;50%,"HIGH DISCOUNT","LOW DISCOUNT")</f>
        <v>LOW DISCOUNT</v>
      </c>
    </row>
    <row r="1330" spans="1:25" x14ac:dyDescent="0.25">
      <c r="A1330" s="1" t="s">
        <v>2942</v>
      </c>
      <c r="B1330" s="1">
        <v>12722432</v>
      </c>
      <c r="C1330" s="1" t="s">
        <v>1345</v>
      </c>
      <c r="D1330" s="1" t="s">
        <v>41</v>
      </c>
      <c r="E1330" s="1" t="s">
        <v>16</v>
      </c>
      <c r="F1330" s="1" t="s">
        <v>36</v>
      </c>
      <c r="G1330" s="1" t="s">
        <v>2943</v>
      </c>
      <c r="I1330" s="1">
        <v>1249</v>
      </c>
      <c r="J1330" s="1" t="s">
        <v>44</v>
      </c>
      <c r="K1330" s="1" t="s">
        <v>195</v>
      </c>
      <c r="L1330" s="1">
        <v>4.3</v>
      </c>
      <c r="M1330" s="1">
        <v>785</v>
      </c>
      <c r="P1330" t="str">
        <f t="shared" si="83"/>
        <v>35%</v>
      </c>
      <c r="Q1330" s="12">
        <f t="shared" si="80"/>
        <v>0.35</v>
      </c>
      <c r="R1330" s="9">
        <f t="shared" si="81"/>
        <v>811.85</v>
      </c>
      <c r="S1330" s="9">
        <f>IF(R1330="",AVERAGEIF(Table1[Category],Table1[[#This Row],[Category]],Table2[orignal data]),Table2[[#This Row],[orignal data]])</f>
        <v>811.85</v>
      </c>
      <c r="T1330" t="str">
        <f t="shared" si="82"/>
        <v>UNIQUE</v>
      </c>
      <c r="U1330" t="str">
        <f>IF(ISBLANK(Table1[[#This Row],[SizeOption]]),"NOT AVAILABLE",Table1[[#This Row],[SizeOption]])</f>
        <v>28, 30, 32, 34, 36, 38, 40</v>
      </c>
      <c r="Y1330" t="str">
        <f>IF(Table2[[#This Row],[Column1]]&gt;50%,"HIGH DISCOUNT","LOW DISCOUNT")</f>
        <v>LOW DISCOUNT</v>
      </c>
    </row>
    <row r="1331" spans="1:25" x14ac:dyDescent="0.25">
      <c r="A1331" s="2" t="s">
        <v>2944</v>
      </c>
      <c r="B1331" s="2">
        <v>7772515</v>
      </c>
      <c r="C1331" s="2" t="s">
        <v>290</v>
      </c>
      <c r="D1331" s="2" t="s">
        <v>41</v>
      </c>
      <c r="E1331" s="2" t="s">
        <v>189</v>
      </c>
      <c r="F1331" s="2" t="s">
        <v>36</v>
      </c>
      <c r="G1331" s="2" t="s">
        <v>2945</v>
      </c>
      <c r="I1331" s="2">
        <v>1899</v>
      </c>
      <c r="J1331" s="2" t="s">
        <v>84</v>
      </c>
      <c r="K1331" s="2" t="s">
        <v>45</v>
      </c>
      <c r="L1331" s="2">
        <v>4.2</v>
      </c>
      <c r="M1331" s="2">
        <v>785</v>
      </c>
      <c r="P1331" t="str">
        <f t="shared" si="83"/>
        <v>50%</v>
      </c>
      <c r="Q1331" s="12">
        <f t="shared" si="80"/>
        <v>0.5</v>
      </c>
      <c r="R1331" s="9">
        <f t="shared" si="81"/>
        <v>949.5</v>
      </c>
      <c r="S1331" s="9">
        <f>IF(R1331="",AVERAGEIF(Table1[Category],Table1[[#This Row],[Category]],Table2[orignal data]),Table2[[#This Row],[orignal data]])</f>
        <v>949.5</v>
      </c>
      <c r="T1331" t="str">
        <f t="shared" si="82"/>
        <v>UNIQUE</v>
      </c>
      <c r="U1331" t="str">
        <f>IF(ISBLANK(Table1[[#This Row],[SizeOption]]),"NOT AVAILABLE",Table1[[#This Row],[SizeOption]])</f>
        <v>XS, S, M, L, XL</v>
      </c>
      <c r="Y1331" t="str">
        <f>IF(Table2[[#This Row],[Column1]]&gt;50%,"HIGH DISCOUNT","LOW DISCOUNT")</f>
        <v>LOW DISCOUNT</v>
      </c>
    </row>
    <row r="1332" spans="1:25" x14ac:dyDescent="0.25">
      <c r="A1332" s="1" t="s">
        <v>2946</v>
      </c>
      <c r="B1332" s="1">
        <v>12959196</v>
      </c>
      <c r="C1332" s="1" t="s">
        <v>784</v>
      </c>
      <c r="D1332" s="1" t="s">
        <v>15</v>
      </c>
      <c r="E1332" s="1" t="s">
        <v>137</v>
      </c>
      <c r="F1332" s="1" t="s">
        <v>17</v>
      </c>
      <c r="G1332" s="1" t="s">
        <v>2947</v>
      </c>
      <c r="H1332">
        <v>959</v>
      </c>
      <c r="I1332" s="1">
        <v>1199</v>
      </c>
      <c r="J1332" s="1" t="s">
        <v>412</v>
      </c>
      <c r="K1332" s="1" t="s">
        <v>56</v>
      </c>
      <c r="L1332" s="1">
        <v>4.4000000000000004</v>
      </c>
      <c r="M1332" s="1">
        <v>784</v>
      </c>
      <c r="P1332" t="str">
        <f t="shared" si="83"/>
        <v>20%</v>
      </c>
      <c r="Q1332" s="12">
        <f t="shared" si="80"/>
        <v>0.2</v>
      </c>
      <c r="R1332" s="9">
        <f t="shared" si="81"/>
        <v>959.2</v>
      </c>
      <c r="S1332" s="9">
        <f>IF(R1332="",AVERAGEIF(Table1[Category],Table1[[#This Row],[Category]],Table2[orignal data]),Table2[[#This Row],[orignal data]])</f>
        <v>959.2</v>
      </c>
      <c r="T1332" t="str">
        <f t="shared" si="82"/>
        <v>UNIQUE</v>
      </c>
      <c r="U1332" t="str">
        <f>IF(ISBLANK(Table1[[#This Row],[SizeOption]]),"NOT AVAILABLE",Table1[[#This Row],[SizeOption]])</f>
        <v>30, 32, 34, 36</v>
      </c>
      <c r="Y1332" t="str">
        <f>IF(Table2[[#This Row],[Column1]]&gt;50%,"HIGH DISCOUNT","LOW DISCOUNT")</f>
        <v>LOW DISCOUNT</v>
      </c>
    </row>
    <row r="1333" spans="1:25" x14ac:dyDescent="0.25">
      <c r="A1333" s="2" t="s">
        <v>2948</v>
      </c>
      <c r="B1333" s="2">
        <v>652387</v>
      </c>
      <c r="C1333" s="2" t="s">
        <v>349</v>
      </c>
      <c r="D1333" s="2" t="s">
        <v>197</v>
      </c>
      <c r="E1333" s="2" t="s">
        <v>939</v>
      </c>
      <c r="F1333" s="2" t="s">
        <v>17</v>
      </c>
      <c r="G1333" s="2" t="s">
        <v>2949</v>
      </c>
      <c r="I1333" s="2">
        <v>798</v>
      </c>
      <c r="J1333" s="2"/>
      <c r="K1333" s="2" t="s">
        <v>39</v>
      </c>
      <c r="L1333" s="2">
        <v>4.3</v>
      </c>
      <c r="M1333" s="2">
        <v>784</v>
      </c>
      <c r="P1333" t="str">
        <f t="shared" si="83"/>
        <v/>
      </c>
      <c r="Q1333" s="12" t="str">
        <f t="shared" si="80"/>
        <v/>
      </c>
      <c r="R1333" s="9" t="str">
        <f t="shared" si="81"/>
        <v/>
      </c>
      <c r="S1333" s="9">
        <f>IF(R1333="",AVERAGEIF(Table1[Category],Table1[[#This Row],[Category]],Table2[orignal data]),Table2[[#This Row],[orignal data]])</f>
        <v>552.70900000000006</v>
      </c>
      <c r="T1333" t="str">
        <f t="shared" si="82"/>
        <v>UNIQUE</v>
      </c>
      <c r="U1333" t="str">
        <f>IF(ISBLANK(Table1[[#This Row],[SizeOption]]),"NOT AVAILABLE",Table1[[#This Row],[SizeOption]])</f>
        <v>S, M, L, XL, XXL</v>
      </c>
      <c r="Y1333" t="str">
        <f>IF(Table2[[#This Row],[Column1]]&gt;50%,"HIGH DISCOUNT","LOW DISCOUNT")</f>
        <v>HIGH DISCOUNT</v>
      </c>
    </row>
    <row r="1334" spans="1:25" x14ac:dyDescent="0.25">
      <c r="A1334" s="1" t="s">
        <v>2950</v>
      </c>
      <c r="B1334" s="1">
        <v>11326290</v>
      </c>
      <c r="C1334" s="1" t="s">
        <v>14</v>
      </c>
      <c r="D1334" s="1" t="s">
        <v>28</v>
      </c>
      <c r="E1334" s="1" t="s">
        <v>29</v>
      </c>
      <c r="F1334" s="1" t="s">
        <v>17</v>
      </c>
      <c r="G1334" s="1" t="s">
        <v>2951</v>
      </c>
      <c r="I1334" s="1">
        <v>1299</v>
      </c>
      <c r="J1334" s="1"/>
      <c r="K1334" s="1" t="s">
        <v>253</v>
      </c>
      <c r="L1334" s="1">
        <v>4.0999999999999996</v>
      </c>
      <c r="M1334" s="1">
        <v>784</v>
      </c>
      <c r="P1334" t="str">
        <f t="shared" si="83"/>
        <v/>
      </c>
      <c r="Q1334" s="12" t="str">
        <f t="shared" si="80"/>
        <v/>
      </c>
      <c r="R1334" s="9" t="str">
        <f t="shared" si="81"/>
        <v/>
      </c>
      <c r="S1334" s="9">
        <f>IF(R1334="",AVERAGEIF(Table1[Category],Table1[[#This Row],[Category]],Table2[orignal data]),Table2[[#This Row],[orignal data]])</f>
        <v>671.7823941958867</v>
      </c>
      <c r="T1334" t="str">
        <f t="shared" si="82"/>
        <v>UNIQUE</v>
      </c>
      <c r="U1334" t="str">
        <f>IF(ISBLANK(Table1[[#This Row],[SizeOption]]),"NOT AVAILABLE",Table1[[#This Row],[SizeOption]])</f>
        <v>38, 40, 42, 44</v>
      </c>
      <c r="Y1334" t="str">
        <f>IF(Table2[[#This Row],[Column1]]&gt;50%,"HIGH DISCOUNT","LOW DISCOUNT")</f>
        <v>HIGH DISCOUNT</v>
      </c>
    </row>
    <row r="1335" spans="1:25" x14ac:dyDescent="0.25">
      <c r="A1335" s="2" t="s">
        <v>2952</v>
      </c>
      <c r="B1335" s="2">
        <v>9971485</v>
      </c>
      <c r="C1335" s="2" t="s">
        <v>92</v>
      </c>
      <c r="D1335" s="2" t="s">
        <v>76</v>
      </c>
      <c r="E1335" s="2" t="s">
        <v>93</v>
      </c>
      <c r="F1335" s="2" t="s">
        <v>36</v>
      </c>
      <c r="G1335" s="2" t="s">
        <v>2953</v>
      </c>
      <c r="H1335">
        <v>379</v>
      </c>
      <c r="I1335" s="2">
        <v>1149</v>
      </c>
      <c r="J1335" s="2" t="s">
        <v>543</v>
      </c>
      <c r="K1335" s="2" t="s">
        <v>39</v>
      </c>
      <c r="L1335" s="2">
        <v>4.0999999999999996</v>
      </c>
      <c r="M1335" s="2">
        <v>784</v>
      </c>
      <c r="P1335" t="str">
        <f t="shared" si="83"/>
        <v>67%</v>
      </c>
      <c r="Q1335" s="12">
        <f t="shared" si="80"/>
        <v>0.67</v>
      </c>
      <c r="R1335" s="9">
        <f t="shared" si="81"/>
        <v>379.16999999999996</v>
      </c>
      <c r="S1335" s="9">
        <f>IF(R1335="",AVERAGEIF(Table1[Category],Table1[[#This Row],[Category]],Table2[orignal data]),Table2[[#This Row],[orignal data]])</f>
        <v>379.16999999999996</v>
      </c>
      <c r="T1335" t="str">
        <f t="shared" si="82"/>
        <v>UNIQUE</v>
      </c>
      <c r="U1335" t="str">
        <f>IF(ISBLANK(Table1[[#This Row],[SizeOption]]),"NOT AVAILABLE",Table1[[#This Row],[SizeOption]])</f>
        <v>S, M, L, XL, XXL</v>
      </c>
      <c r="Y1335" t="str">
        <f>IF(Table2[[#This Row],[Column1]]&gt;50%,"HIGH DISCOUNT","LOW DISCOUNT")</f>
        <v>HIGH DISCOUNT</v>
      </c>
    </row>
    <row r="1336" spans="1:25" x14ac:dyDescent="0.25">
      <c r="A1336" s="1" t="s">
        <v>2954</v>
      </c>
      <c r="B1336" s="1">
        <v>12916814</v>
      </c>
      <c r="C1336" s="1" t="s">
        <v>2955</v>
      </c>
      <c r="D1336" s="1" t="s">
        <v>76</v>
      </c>
      <c r="E1336" s="1" t="s">
        <v>93</v>
      </c>
      <c r="F1336" s="1" t="s">
        <v>36</v>
      </c>
      <c r="G1336" s="1" t="s">
        <v>2956</v>
      </c>
      <c r="H1336">
        <v>758</v>
      </c>
      <c r="I1336" s="1">
        <v>1995</v>
      </c>
      <c r="J1336" s="1" t="s">
        <v>126</v>
      </c>
      <c r="K1336" s="1" t="s">
        <v>234</v>
      </c>
      <c r="L1336" s="1">
        <v>4.3</v>
      </c>
      <c r="M1336" s="1">
        <v>784</v>
      </c>
      <c r="P1336" t="str">
        <f t="shared" si="83"/>
        <v>62%</v>
      </c>
      <c r="Q1336" s="12">
        <f t="shared" si="80"/>
        <v>0.62</v>
      </c>
      <c r="R1336" s="9">
        <f t="shared" si="81"/>
        <v>758.09999999999991</v>
      </c>
      <c r="S1336" s="9">
        <f>IF(R1336="",AVERAGEIF(Table1[Category],Table1[[#This Row],[Category]],Table2[orignal data]),Table2[[#This Row],[orignal data]])</f>
        <v>758.09999999999991</v>
      </c>
      <c r="T1336" t="str">
        <f t="shared" si="82"/>
        <v>UNIQUE</v>
      </c>
      <c r="U1336" t="str">
        <f>IF(ISBLANK(Table1[[#This Row],[SizeOption]]),"NOT AVAILABLE",Table1[[#This Row],[SizeOption]])</f>
        <v>S, M, L, XL, XXL, 3XL</v>
      </c>
      <c r="Y1336" t="str">
        <f>IF(Table2[[#This Row],[Column1]]&gt;50%,"HIGH DISCOUNT","LOW DISCOUNT")</f>
        <v>HIGH DISCOUNT</v>
      </c>
    </row>
    <row r="1337" spans="1:25" x14ac:dyDescent="0.25">
      <c r="A1337" s="2" t="s">
        <v>2957</v>
      </c>
      <c r="B1337" s="2">
        <v>1939809</v>
      </c>
      <c r="C1337" s="2" t="s">
        <v>623</v>
      </c>
      <c r="D1337" s="2" t="s">
        <v>34</v>
      </c>
      <c r="E1337" s="2" t="s">
        <v>35</v>
      </c>
      <c r="F1337" s="2" t="s">
        <v>36</v>
      </c>
      <c r="G1337" s="2" t="s">
        <v>2958</v>
      </c>
      <c r="I1337" s="2">
        <v>1999</v>
      </c>
      <c r="J1337" s="2"/>
      <c r="K1337" s="2" t="s">
        <v>39</v>
      </c>
      <c r="L1337" s="2">
        <v>3.6</v>
      </c>
      <c r="M1337" s="2">
        <v>784</v>
      </c>
      <c r="P1337" t="str">
        <f t="shared" si="83"/>
        <v/>
      </c>
      <c r="Q1337" s="12" t="str">
        <f t="shared" si="80"/>
        <v/>
      </c>
      <c r="R1337" s="9" t="str">
        <f t="shared" si="81"/>
        <v/>
      </c>
      <c r="S1337" s="9">
        <f>IF(R1337="",AVERAGEIF(Table1[Category],Table1[[#This Row],[Category]],Table2[orignal data]),Table2[[#This Row],[orignal data]])</f>
        <v>608.88518518518481</v>
      </c>
      <c r="T1337" t="str">
        <f t="shared" si="82"/>
        <v>UNIQUE</v>
      </c>
      <c r="U1337" t="str">
        <f>IF(ISBLANK(Table1[[#This Row],[SizeOption]]),"NOT AVAILABLE",Table1[[#This Row],[SizeOption]])</f>
        <v>S, M, L, XL, XXL</v>
      </c>
      <c r="Y1337" t="str">
        <f>IF(Table2[[#This Row],[Column1]]&gt;50%,"HIGH DISCOUNT","LOW DISCOUNT")</f>
        <v>HIGH DISCOUNT</v>
      </c>
    </row>
    <row r="1338" spans="1:25" x14ac:dyDescent="0.25">
      <c r="A1338" s="1" t="s">
        <v>2959</v>
      </c>
      <c r="B1338" s="1">
        <v>17383370</v>
      </c>
      <c r="C1338" s="1" t="s">
        <v>14</v>
      </c>
      <c r="D1338" s="1" t="s">
        <v>41</v>
      </c>
      <c r="E1338" s="1" t="s">
        <v>42</v>
      </c>
      <c r="F1338" s="1" t="s">
        <v>36</v>
      </c>
      <c r="G1338" s="1" t="s">
        <v>2960</v>
      </c>
      <c r="I1338" s="1">
        <v>1598</v>
      </c>
      <c r="J1338" s="1" t="s">
        <v>84</v>
      </c>
      <c r="K1338" s="1" t="s">
        <v>146</v>
      </c>
      <c r="L1338" s="1">
        <v>4.2</v>
      </c>
      <c r="M1338" s="1">
        <v>784</v>
      </c>
      <c r="P1338" t="str">
        <f t="shared" si="83"/>
        <v>50%</v>
      </c>
      <c r="Q1338" s="12">
        <f t="shared" si="80"/>
        <v>0.5</v>
      </c>
      <c r="R1338" s="9">
        <f t="shared" si="81"/>
        <v>799</v>
      </c>
      <c r="S1338" s="9">
        <f>IF(R1338="",AVERAGEIF(Table1[Category],Table1[[#This Row],[Category]],Table2[orignal data]),Table2[[#This Row],[orignal data]])</f>
        <v>799</v>
      </c>
      <c r="T1338" t="str">
        <f t="shared" si="82"/>
        <v>UNIQUE</v>
      </c>
      <c r="U1338" t="str">
        <f>IF(ISBLANK(Table1[[#This Row],[SizeOption]]),"NOT AVAILABLE",Table1[[#This Row],[SizeOption]])</f>
        <v>L, M, S, XS, XL</v>
      </c>
      <c r="Y1338" t="str">
        <f>IF(Table2[[#This Row],[Column1]]&gt;50%,"HIGH DISCOUNT","LOW DISCOUNT")</f>
        <v>LOW DISCOUNT</v>
      </c>
    </row>
    <row r="1339" spans="1:25" x14ac:dyDescent="0.25">
      <c r="A1339" s="2" t="s">
        <v>2961</v>
      </c>
      <c r="B1339" s="2">
        <v>10365193</v>
      </c>
      <c r="C1339" s="2" t="s">
        <v>107</v>
      </c>
      <c r="D1339" s="2" t="s">
        <v>41</v>
      </c>
      <c r="E1339" s="2" t="s">
        <v>16</v>
      </c>
      <c r="F1339" s="2" t="s">
        <v>36</v>
      </c>
      <c r="G1339" s="2" t="s">
        <v>488</v>
      </c>
      <c r="I1339" s="2">
        <v>1899</v>
      </c>
      <c r="J1339" s="2" t="s">
        <v>44</v>
      </c>
      <c r="K1339" s="2" t="s">
        <v>134</v>
      </c>
      <c r="L1339" s="2">
        <v>3.9</v>
      </c>
      <c r="M1339" s="2">
        <v>784</v>
      </c>
      <c r="P1339" t="str">
        <f t="shared" si="83"/>
        <v>35%</v>
      </c>
      <c r="Q1339" s="12">
        <f t="shared" si="80"/>
        <v>0.35</v>
      </c>
      <c r="R1339" s="9">
        <f t="shared" si="81"/>
        <v>1234.3499999999999</v>
      </c>
      <c r="S1339" s="9">
        <f>IF(R1339="",AVERAGEIF(Table1[Category],Table1[[#This Row],[Category]],Table2[orignal data]),Table2[[#This Row],[orignal data]])</f>
        <v>1234.3499999999999</v>
      </c>
      <c r="T1339" t="str">
        <f t="shared" si="82"/>
        <v>UNIQUE</v>
      </c>
      <c r="U1339" t="str">
        <f>IF(ISBLANK(Table1[[#This Row],[SizeOption]]),"NOT AVAILABLE",Table1[[#This Row],[SizeOption]])</f>
        <v>26, 28, 30, 32, 34, 36</v>
      </c>
      <c r="Y1339" t="str">
        <f>IF(Table2[[#This Row],[Column1]]&gt;50%,"HIGH DISCOUNT","LOW DISCOUNT")</f>
        <v>LOW DISCOUNT</v>
      </c>
    </row>
    <row r="1340" spans="1:25" x14ac:dyDescent="0.25">
      <c r="A1340" s="1" t="s">
        <v>2962</v>
      </c>
      <c r="B1340" s="1">
        <v>16159528</v>
      </c>
      <c r="C1340" s="1" t="s">
        <v>490</v>
      </c>
      <c r="D1340" s="1" t="s">
        <v>41</v>
      </c>
      <c r="E1340" s="1" t="s">
        <v>1881</v>
      </c>
      <c r="F1340" s="1" t="s">
        <v>36</v>
      </c>
      <c r="G1340" s="1" t="s">
        <v>2963</v>
      </c>
      <c r="I1340" s="1">
        <v>799</v>
      </c>
      <c r="J1340" s="1"/>
      <c r="K1340" s="1" t="s">
        <v>45</v>
      </c>
      <c r="L1340" s="1">
        <v>4.5999999999999996</v>
      </c>
      <c r="M1340" s="1">
        <v>784</v>
      </c>
      <c r="P1340" t="str">
        <f t="shared" si="83"/>
        <v/>
      </c>
      <c r="Q1340" s="12" t="str">
        <f t="shared" si="80"/>
        <v/>
      </c>
      <c r="R1340" s="9" t="str">
        <f t="shared" si="81"/>
        <v/>
      </c>
      <c r="S1340" s="9">
        <f>IF(R1340="",AVERAGEIF(Table1[Category],Table1[[#This Row],[Category]],Table2[orignal data]),Table2[[#This Row],[orignal data]])</f>
        <v>715.78890751086249</v>
      </c>
      <c r="T1340" t="str">
        <f t="shared" si="82"/>
        <v>UNIQUE</v>
      </c>
      <c r="U1340" t="str">
        <f>IF(ISBLANK(Table1[[#This Row],[SizeOption]]),"NOT AVAILABLE",Table1[[#This Row],[SizeOption]])</f>
        <v>XS, S, M, L, XL</v>
      </c>
      <c r="Y1340" t="str">
        <f>IF(Table2[[#This Row],[Column1]]&gt;50%,"HIGH DISCOUNT","LOW DISCOUNT")</f>
        <v>HIGH DISCOUNT</v>
      </c>
    </row>
    <row r="1341" spans="1:25" x14ac:dyDescent="0.25">
      <c r="A1341" s="2" t="s">
        <v>2964</v>
      </c>
      <c r="B1341" s="2">
        <v>10356889</v>
      </c>
      <c r="C1341" s="2" t="s">
        <v>113</v>
      </c>
      <c r="D1341" s="2" t="s">
        <v>28</v>
      </c>
      <c r="E1341" s="2" t="s">
        <v>29</v>
      </c>
      <c r="F1341" s="2" t="s">
        <v>17</v>
      </c>
      <c r="G1341" s="2" t="s">
        <v>2965</v>
      </c>
      <c r="H1341">
        <v>639</v>
      </c>
      <c r="I1341" s="2">
        <v>1599</v>
      </c>
      <c r="J1341" s="2" t="s">
        <v>55</v>
      </c>
      <c r="K1341" s="2" t="s">
        <v>361</v>
      </c>
      <c r="L1341" s="2">
        <v>3.8</v>
      </c>
      <c r="M1341" s="2">
        <v>783</v>
      </c>
      <c r="P1341" t="str">
        <f t="shared" si="83"/>
        <v>60%</v>
      </c>
      <c r="Q1341" s="12">
        <f t="shared" si="80"/>
        <v>0.6</v>
      </c>
      <c r="R1341" s="9">
        <f t="shared" si="81"/>
        <v>639.6</v>
      </c>
      <c r="S1341" s="9">
        <f>IF(R1341="",AVERAGEIF(Table1[Category],Table1[[#This Row],[Category]],Table2[orignal data]),Table2[[#This Row],[orignal data]])</f>
        <v>639.6</v>
      </c>
      <c r="T1341" t="str">
        <f t="shared" si="82"/>
        <v>UNIQUE</v>
      </c>
      <c r="U1341" t="str">
        <f>IF(ISBLANK(Table1[[#This Row],[SizeOption]]),"NOT AVAILABLE",Table1[[#This Row],[SizeOption]])</f>
        <v>38, 40, 42, 44, 46</v>
      </c>
      <c r="Y1341" t="str">
        <f>IF(Table2[[#This Row],[Column1]]&gt;50%,"HIGH DISCOUNT","LOW DISCOUNT")</f>
        <v>HIGH DISCOUNT</v>
      </c>
    </row>
    <row r="1342" spans="1:25" x14ac:dyDescent="0.25">
      <c r="A1342" s="1" t="s">
        <v>2966</v>
      </c>
      <c r="B1342" s="1">
        <v>13494310</v>
      </c>
      <c r="C1342" s="1" t="s">
        <v>865</v>
      </c>
      <c r="D1342" s="1" t="s">
        <v>76</v>
      </c>
      <c r="E1342" s="1" t="s">
        <v>77</v>
      </c>
      <c r="F1342" s="1" t="s">
        <v>36</v>
      </c>
      <c r="G1342" s="1" t="s">
        <v>2967</v>
      </c>
      <c r="H1342">
        <v>2399</v>
      </c>
      <c r="I1342" s="1">
        <v>5999</v>
      </c>
      <c r="J1342" s="1" t="s">
        <v>55</v>
      </c>
      <c r="K1342" s="1" t="s">
        <v>39</v>
      </c>
      <c r="L1342" s="1">
        <v>4.0999999999999996</v>
      </c>
      <c r="M1342" s="1">
        <v>783</v>
      </c>
      <c r="P1342" t="str">
        <f t="shared" si="83"/>
        <v>60%</v>
      </c>
      <c r="Q1342" s="12">
        <f t="shared" si="80"/>
        <v>0.6</v>
      </c>
      <c r="R1342" s="9">
        <f t="shared" si="81"/>
        <v>2399.6</v>
      </c>
      <c r="S1342" s="9">
        <f>IF(R1342="",AVERAGEIF(Table1[Category],Table1[[#This Row],[Category]],Table2[orignal data]),Table2[[#This Row],[orignal data]])</f>
        <v>2399.6</v>
      </c>
      <c r="T1342" t="str">
        <f t="shared" si="82"/>
        <v>UNIQUE</v>
      </c>
      <c r="U1342" t="str">
        <f>IF(ISBLANK(Table1[[#This Row],[SizeOption]]),"NOT AVAILABLE",Table1[[#This Row],[SizeOption]])</f>
        <v>S, M, L, XL, XXL</v>
      </c>
      <c r="Y1342" t="str">
        <f>IF(Table2[[#This Row],[Column1]]&gt;50%,"HIGH DISCOUNT","LOW DISCOUNT")</f>
        <v>HIGH DISCOUNT</v>
      </c>
    </row>
    <row r="1343" spans="1:25" x14ac:dyDescent="0.25">
      <c r="A1343" s="2" t="s">
        <v>2968</v>
      </c>
      <c r="B1343" s="2">
        <v>393686</v>
      </c>
      <c r="C1343" s="2" t="s">
        <v>349</v>
      </c>
      <c r="D1343" s="2" t="s">
        <v>34</v>
      </c>
      <c r="E1343" s="2" t="s">
        <v>296</v>
      </c>
      <c r="F1343" s="2" t="s">
        <v>36</v>
      </c>
      <c r="G1343" s="2" t="s">
        <v>2969</v>
      </c>
      <c r="I1343" s="2">
        <v>399</v>
      </c>
      <c r="J1343" s="2"/>
      <c r="K1343" s="2" t="s">
        <v>39</v>
      </c>
      <c r="L1343" s="2">
        <v>4.2</v>
      </c>
      <c r="M1343" s="2">
        <v>783</v>
      </c>
      <c r="P1343" t="str">
        <f t="shared" si="83"/>
        <v/>
      </c>
      <c r="Q1343" s="12" t="str">
        <f t="shared" si="80"/>
        <v/>
      </c>
      <c r="R1343" s="9" t="str">
        <f t="shared" si="81"/>
        <v/>
      </c>
      <c r="S1343" s="9">
        <f>IF(R1343="",AVERAGEIF(Table1[Category],Table1[[#This Row],[Category]],Table2[orignal data]),Table2[[#This Row],[orignal data]])</f>
        <v>608.88518518518481</v>
      </c>
      <c r="T1343" t="str">
        <f t="shared" si="82"/>
        <v>UNIQUE</v>
      </c>
      <c r="U1343" t="str">
        <f>IF(ISBLANK(Table1[[#This Row],[SizeOption]]),"NOT AVAILABLE",Table1[[#This Row],[SizeOption]])</f>
        <v>S, M, L, XL, XXL</v>
      </c>
      <c r="Y1343" t="str">
        <f>IF(Table2[[#This Row],[Column1]]&gt;50%,"HIGH DISCOUNT","LOW DISCOUNT")</f>
        <v>HIGH DISCOUNT</v>
      </c>
    </row>
    <row r="1344" spans="1:25" x14ac:dyDescent="0.25">
      <c r="A1344" s="1" t="s">
        <v>2970</v>
      </c>
      <c r="B1344" s="1">
        <v>17382828</v>
      </c>
      <c r="C1344" s="1" t="s">
        <v>14</v>
      </c>
      <c r="D1344" s="1" t="s">
        <v>41</v>
      </c>
      <c r="E1344" s="1" t="s">
        <v>42</v>
      </c>
      <c r="F1344" s="1" t="s">
        <v>36</v>
      </c>
      <c r="G1344" s="1" t="s">
        <v>380</v>
      </c>
      <c r="I1344" s="1">
        <v>1598</v>
      </c>
      <c r="J1344" s="1" t="s">
        <v>84</v>
      </c>
      <c r="K1344" s="1" t="s">
        <v>1234</v>
      </c>
      <c r="L1344" s="1">
        <v>4.2</v>
      </c>
      <c r="M1344" s="1">
        <v>783</v>
      </c>
      <c r="P1344" t="str">
        <f t="shared" si="83"/>
        <v>50%</v>
      </c>
      <c r="Q1344" s="12">
        <f t="shared" si="80"/>
        <v>0.5</v>
      </c>
      <c r="R1344" s="9">
        <f t="shared" si="81"/>
        <v>799</v>
      </c>
      <c r="S1344" s="9">
        <f>IF(R1344="",AVERAGEIF(Table1[Category],Table1[[#This Row],[Category]],Table2[orignal data]),Table2[[#This Row],[orignal data]])</f>
        <v>799</v>
      </c>
      <c r="T1344" t="str">
        <f t="shared" si="82"/>
        <v>UNIQUE</v>
      </c>
      <c r="U1344" t="str">
        <f>IF(ISBLANK(Table1[[#This Row],[SizeOption]]),"NOT AVAILABLE",Table1[[#This Row],[SizeOption]])</f>
        <v>XL, L, M, S, XS</v>
      </c>
      <c r="Y1344" t="str">
        <f>IF(Table2[[#This Row],[Column1]]&gt;50%,"HIGH DISCOUNT","LOW DISCOUNT")</f>
        <v>LOW DISCOUNT</v>
      </c>
    </row>
    <row r="1345" spans="1:25" x14ac:dyDescent="0.25">
      <c r="A1345" s="2" t="s">
        <v>2971</v>
      </c>
      <c r="B1345" s="2">
        <v>9265953</v>
      </c>
      <c r="C1345" s="2" t="s">
        <v>676</v>
      </c>
      <c r="D1345" s="2" t="s">
        <v>41</v>
      </c>
      <c r="E1345" s="2" t="s">
        <v>148</v>
      </c>
      <c r="F1345" s="2" t="s">
        <v>36</v>
      </c>
      <c r="G1345" s="2" t="s">
        <v>2972</v>
      </c>
      <c r="I1345" s="2">
        <v>2999</v>
      </c>
      <c r="J1345" s="2" t="s">
        <v>25</v>
      </c>
      <c r="K1345" s="2" t="s">
        <v>26</v>
      </c>
      <c r="L1345" s="2">
        <v>3.7</v>
      </c>
      <c r="M1345" s="2">
        <v>783</v>
      </c>
      <c r="P1345" t="str">
        <f t="shared" si="83"/>
        <v>55%</v>
      </c>
      <c r="Q1345" s="12">
        <f t="shared" si="80"/>
        <v>0.55000000000000004</v>
      </c>
      <c r="R1345" s="9">
        <f t="shared" si="81"/>
        <v>1349.55</v>
      </c>
      <c r="S1345" s="9">
        <f>IF(R1345="",AVERAGEIF(Table1[Category],Table1[[#This Row],[Category]],Table2[orignal data]),Table2[[#This Row],[orignal data]])</f>
        <v>1349.55</v>
      </c>
      <c r="T1345" t="str">
        <f t="shared" si="82"/>
        <v>UNIQUE</v>
      </c>
      <c r="U1345" t="str">
        <f>IF(ISBLANK(Table1[[#This Row],[SizeOption]]),"NOT AVAILABLE",Table1[[#This Row],[SizeOption]])</f>
        <v>S, M, L, XL</v>
      </c>
      <c r="Y1345" t="str">
        <f>IF(Table2[[#This Row],[Column1]]&gt;50%,"HIGH DISCOUNT","LOW DISCOUNT")</f>
        <v>HIGH DISCOUNT</v>
      </c>
    </row>
    <row r="1346" spans="1:25" x14ac:dyDescent="0.25">
      <c r="A1346" s="1" t="s">
        <v>2973</v>
      </c>
      <c r="B1346" s="1">
        <v>2224769</v>
      </c>
      <c r="C1346" s="1" t="s">
        <v>47</v>
      </c>
      <c r="D1346" s="1" t="s">
        <v>41</v>
      </c>
      <c r="E1346" s="1" t="s">
        <v>42</v>
      </c>
      <c r="F1346" s="1" t="s">
        <v>36</v>
      </c>
      <c r="G1346" s="1" t="s">
        <v>2974</v>
      </c>
      <c r="I1346" s="1">
        <v>749</v>
      </c>
      <c r="J1346" s="1" t="s">
        <v>55</v>
      </c>
      <c r="K1346" s="1" t="s">
        <v>45</v>
      </c>
      <c r="L1346" s="1">
        <v>4.0999999999999996</v>
      </c>
      <c r="M1346" s="1">
        <v>783</v>
      </c>
      <c r="P1346" t="str">
        <f t="shared" si="83"/>
        <v>60%</v>
      </c>
      <c r="Q1346" s="12">
        <f t="shared" ref="Q1346:Q1409" si="84">IF(P1346="","",IF(ISNUMBER(SEARCH("%",P1346)),P1346,P1346/I1346)*100%)</f>
        <v>0.6</v>
      </c>
      <c r="R1346" s="9">
        <f t="shared" ref="R1346:R1409" si="85">IF(P1346="","",I1346-(I1346*Q1346))</f>
        <v>299.60000000000002</v>
      </c>
      <c r="S1346" s="9">
        <f>IF(R1346="",AVERAGEIF(Table1[Category],Table1[[#This Row],[Category]],Table2[orignal data]),Table2[[#This Row],[orignal data]])</f>
        <v>299.60000000000002</v>
      </c>
      <c r="T1346" t="str">
        <f t="shared" ref="T1346:T1409" si="86">IF(COUNTIF($B$2:$B$5000,B1346)&gt;1,"DUPLICATE","UNIQUE")</f>
        <v>UNIQUE</v>
      </c>
      <c r="U1346" t="str">
        <f>IF(ISBLANK(Table1[[#This Row],[SizeOption]]),"NOT AVAILABLE",Table1[[#This Row],[SizeOption]])</f>
        <v>XS, S, M, L, XL</v>
      </c>
      <c r="Y1346" t="str">
        <f>IF(Table2[[#This Row],[Column1]]&gt;50%,"HIGH DISCOUNT","LOW DISCOUNT")</f>
        <v>HIGH DISCOUNT</v>
      </c>
    </row>
    <row r="1347" spans="1:25" x14ac:dyDescent="0.25">
      <c r="A1347" s="2" t="s">
        <v>2975</v>
      </c>
      <c r="B1347" s="2">
        <v>13194568</v>
      </c>
      <c r="C1347" s="2" t="s">
        <v>102</v>
      </c>
      <c r="D1347" s="2" t="s">
        <v>41</v>
      </c>
      <c r="E1347" s="2" t="s">
        <v>48</v>
      </c>
      <c r="F1347" s="2" t="s">
        <v>36</v>
      </c>
      <c r="G1347" s="2" t="s">
        <v>2976</v>
      </c>
      <c r="I1347" s="2">
        <v>899</v>
      </c>
      <c r="J1347" s="2" t="s">
        <v>89</v>
      </c>
      <c r="K1347" s="2" t="s">
        <v>26</v>
      </c>
      <c r="L1347" s="2">
        <v>3.8</v>
      </c>
      <c r="M1347" s="2">
        <v>783</v>
      </c>
      <c r="P1347" t="str">
        <f t="shared" ref="P1347:P1410" si="87">TRIM(SUBSTITUTE(SUBSTITUTE(SUBSTITUTE(SUBSTITUTE(J1347,"OFF",""),"Rs.",""),"Hurry*",""),",",""))</f>
        <v>53%</v>
      </c>
      <c r="Q1347" s="12">
        <f t="shared" si="84"/>
        <v>0.53</v>
      </c>
      <c r="R1347" s="9">
        <f t="shared" si="85"/>
        <v>422.53</v>
      </c>
      <c r="S1347" s="9">
        <f>IF(R1347="",AVERAGEIF(Table1[Category],Table1[[#This Row],[Category]],Table2[orignal data]),Table2[[#This Row],[orignal data]])</f>
        <v>422.53</v>
      </c>
      <c r="T1347" t="str">
        <f t="shared" si="86"/>
        <v>UNIQUE</v>
      </c>
      <c r="U1347" t="str">
        <f>IF(ISBLANK(Table1[[#This Row],[SizeOption]]),"NOT AVAILABLE",Table1[[#This Row],[SizeOption]])</f>
        <v>S, M, L, XL</v>
      </c>
      <c r="Y1347" t="str">
        <f>IF(Table2[[#This Row],[Column1]]&gt;50%,"HIGH DISCOUNT","LOW DISCOUNT")</f>
        <v>HIGH DISCOUNT</v>
      </c>
    </row>
    <row r="1348" spans="1:25" x14ac:dyDescent="0.25">
      <c r="A1348" s="1" t="s">
        <v>2977</v>
      </c>
      <c r="B1348" s="1">
        <v>13126922</v>
      </c>
      <c r="C1348" s="1" t="s">
        <v>14</v>
      </c>
      <c r="D1348" s="1" t="s">
        <v>41</v>
      </c>
      <c r="E1348" s="1" t="s">
        <v>42</v>
      </c>
      <c r="F1348" s="1" t="s">
        <v>36</v>
      </c>
      <c r="G1348" s="1" t="s">
        <v>2978</v>
      </c>
      <c r="I1348" s="1">
        <v>699</v>
      </c>
      <c r="J1348" s="1"/>
      <c r="K1348" s="1" t="s">
        <v>45</v>
      </c>
      <c r="L1348" s="1">
        <v>4.4000000000000004</v>
      </c>
      <c r="M1348" s="1">
        <v>783</v>
      </c>
      <c r="P1348" t="str">
        <f t="shared" si="87"/>
        <v/>
      </c>
      <c r="Q1348" s="12" t="str">
        <f t="shared" si="84"/>
        <v/>
      </c>
      <c r="R1348" s="9" t="str">
        <f t="shared" si="85"/>
        <v/>
      </c>
      <c r="S1348" s="9">
        <f>IF(R1348="",AVERAGEIF(Table1[Category],Table1[[#This Row],[Category]],Table2[orignal data]),Table2[[#This Row],[orignal data]])</f>
        <v>715.78890751086249</v>
      </c>
      <c r="T1348" t="str">
        <f t="shared" si="86"/>
        <v>UNIQUE</v>
      </c>
      <c r="U1348" t="str">
        <f>IF(ISBLANK(Table1[[#This Row],[SizeOption]]),"NOT AVAILABLE",Table1[[#This Row],[SizeOption]])</f>
        <v>XS, S, M, L, XL</v>
      </c>
      <c r="Y1348" t="str">
        <f>IF(Table2[[#This Row],[Column1]]&gt;50%,"HIGH DISCOUNT","LOW DISCOUNT")</f>
        <v>HIGH DISCOUNT</v>
      </c>
    </row>
    <row r="1349" spans="1:25" x14ac:dyDescent="0.25">
      <c r="A1349" s="2" t="s">
        <v>2979</v>
      </c>
      <c r="B1349" s="2">
        <v>2485348</v>
      </c>
      <c r="C1349" s="2" t="s">
        <v>47</v>
      </c>
      <c r="D1349" s="2" t="s">
        <v>15</v>
      </c>
      <c r="E1349" s="2" t="s">
        <v>16</v>
      </c>
      <c r="F1349" s="2" t="s">
        <v>17</v>
      </c>
      <c r="G1349" s="2" t="s">
        <v>1297</v>
      </c>
      <c r="H1349">
        <v>879</v>
      </c>
      <c r="I1349" s="2">
        <v>2199</v>
      </c>
      <c r="J1349" s="2" t="s">
        <v>55</v>
      </c>
      <c r="K1349" s="2" t="s">
        <v>20</v>
      </c>
      <c r="L1349" s="2">
        <v>3.7</v>
      </c>
      <c r="M1349" s="2">
        <v>782</v>
      </c>
      <c r="P1349" t="str">
        <f t="shared" si="87"/>
        <v>60%</v>
      </c>
      <c r="Q1349" s="12">
        <f t="shared" si="84"/>
        <v>0.6</v>
      </c>
      <c r="R1349" s="9">
        <f t="shared" si="85"/>
        <v>879.60000000000014</v>
      </c>
      <c r="S1349" s="9">
        <f>IF(R1349="",AVERAGEIF(Table1[Category],Table1[[#This Row],[Category]],Table2[orignal data]),Table2[[#This Row],[orignal data]])</f>
        <v>879.60000000000014</v>
      </c>
      <c r="T1349" t="str">
        <f t="shared" si="86"/>
        <v>UNIQUE</v>
      </c>
      <c r="U1349" t="str">
        <f>IF(ISBLANK(Table1[[#This Row],[SizeOption]]),"NOT AVAILABLE",Table1[[#This Row],[SizeOption]])</f>
        <v>28, 30, 32, 34, 36</v>
      </c>
      <c r="Y1349" t="str">
        <f>IF(Table2[[#This Row],[Column1]]&gt;50%,"HIGH DISCOUNT","LOW DISCOUNT")</f>
        <v>HIGH DISCOUNT</v>
      </c>
    </row>
    <row r="1350" spans="1:25" x14ac:dyDescent="0.25">
      <c r="A1350" s="1" t="s">
        <v>2980</v>
      </c>
      <c r="B1350" s="1">
        <v>11895972</v>
      </c>
      <c r="C1350" s="1" t="s">
        <v>14</v>
      </c>
      <c r="D1350" s="1" t="s">
        <v>28</v>
      </c>
      <c r="E1350" s="1" t="s">
        <v>29</v>
      </c>
      <c r="F1350" s="1" t="s">
        <v>17</v>
      </c>
      <c r="G1350" s="1" t="s">
        <v>2981</v>
      </c>
      <c r="H1350">
        <v>599</v>
      </c>
      <c r="I1350" s="1">
        <v>1499</v>
      </c>
      <c r="J1350" s="1" t="s">
        <v>55</v>
      </c>
      <c r="K1350" s="1" t="s">
        <v>31</v>
      </c>
      <c r="L1350" s="1">
        <v>4.3</v>
      </c>
      <c r="M1350" s="1">
        <v>782</v>
      </c>
      <c r="P1350" t="str">
        <f t="shared" si="87"/>
        <v>60%</v>
      </c>
      <c r="Q1350" s="12">
        <f t="shared" si="84"/>
        <v>0.6</v>
      </c>
      <c r="R1350" s="9">
        <f t="shared" si="85"/>
        <v>599.6</v>
      </c>
      <c r="S1350" s="9">
        <f>IF(R1350="",AVERAGEIF(Table1[Category],Table1[[#This Row],[Category]],Table2[orignal data]),Table2[[#This Row],[orignal data]])</f>
        <v>599.6</v>
      </c>
      <c r="T1350" t="str">
        <f t="shared" si="86"/>
        <v>UNIQUE</v>
      </c>
      <c r="U1350" t="str">
        <f>IF(ISBLANK(Table1[[#This Row],[SizeOption]]),"NOT AVAILABLE",Table1[[#This Row],[SizeOption]])</f>
        <v>38, 40, 42, 44, 46, 48</v>
      </c>
      <c r="Y1350" t="str">
        <f>IF(Table2[[#This Row],[Column1]]&gt;50%,"HIGH DISCOUNT","LOW DISCOUNT")</f>
        <v>HIGH DISCOUNT</v>
      </c>
    </row>
    <row r="1351" spans="1:25" x14ac:dyDescent="0.25">
      <c r="A1351" s="2" t="s">
        <v>2982</v>
      </c>
      <c r="B1351" s="2">
        <v>8352591</v>
      </c>
      <c r="C1351" s="2" t="s">
        <v>1299</v>
      </c>
      <c r="D1351" s="2" t="s">
        <v>28</v>
      </c>
      <c r="E1351" s="2" t="s">
        <v>29</v>
      </c>
      <c r="F1351" s="2" t="s">
        <v>17</v>
      </c>
      <c r="G1351" s="2" t="s">
        <v>2983</v>
      </c>
      <c r="H1351">
        <v>899</v>
      </c>
      <c r="I1351" s="2">
        <v>1999</v>
      </c>
      <c r="J1351" s="2" t="s">
        <v>25</v>
      </c>
      <c r="K1351" s="2" t="s">
        <v>1674</v>
      </c>
      <c r="L1351" s="2">
        <v>4.4000000000000004</v>
      </c>
      <c r="M1351" s="2">
        <v>782</v>
      </c>
      <c r="P1351" t="str">
        <f t="shared" si="87"/>
        <v>55%</v>
      </c>
      <c r="Q1351" s="12">
        <f t="shared" si="84"/>
        <v>0.55000000000000004</v>
      </c>
      <c r="R1351" s="9">
        <f t="shared" si="85"/>
        <v>899.55</v>
      </c>
      <c r="S1351" s="9">
        <f>IF(R1351="",AVERAGEIF(Table1[Category],Table1[[#This Row],[Category]],Table2[orignal data]),Table2[[#This Row],[orignal data]])</f>
        <v>899.55</v>
      </c>
      <c r="T1351" t="str">
        <f t="shared" si="86"/>
        <v>UNIQUE</v>
      </c>
      <c r="U1351" t="str">
        <f>IF(ISBLANK(Table1[[#This Row],[SizeOption]]),"NOT AVAILABLE",Table1[[#This Row],[SizeOption]])</f>
        <v>38, 39, 40, 42, 44</v>
      </c>
      <c r="Y1351" t="str">
        <f>IF(Table2[[#This Row],[Column1]]&gt;50%,"HIGH DISCOUNT","LOW DISCOUNT")</f>
        <v>HIGH DISCOUNT</v>
      </c>
    </row>
    <row r="1352" spans="1:25" x14ac:dyDescent="0.25">
      <c r="A1352" s="1" t="s">
        <v>2984</v>
      </c>
      <c r="B1352" s="1">
        <v>1279418</v>
      </c>
      <c r="C1352" s="1" t="s">
        <v>14</v>
      </c>
      <c r="D1352" s="1" t="s">
        <v>28</v>
      </c>
      <c r="E1352" s="1" t="s">
        <v>189</v>
      </c>
      <c r="F1352" s="1" t="s">
        <v>17</v>
      </c>
      <c r="G1352" s="1" t="s">
        <v>2985</v>
      </c>
      <c r="H1352">
        <v>1359</v>
      </c>
      <c r="I1352" s="1">
        <v>3399</v>
      </c>
      <c r="J1352" s="1" t="s">
        <v>55</v>
      </c>
      <c r="K1352" s="1" t="s">
        <v>39</v>
      </c>
      <c r="L1352" s="1">
        <v>4.2</v>
      </c>
      <c r="M1352" s="1">
        <v>782</v>
      </c>
      <c r="P1352" t="str">
        <f t="shared" si="87"/>
        <v>60%</v>
      </c>
      <c r="Q1352" s="12">
        <f t="shared" si="84"/>
        <v>0.6</v>
      </c>
      <c r="R1352" s="9">
        <f t="shared" si="85"/>
        <v>1359.6000000000001</v>
      </c>
      <c r="S1352" s="9">
        <f>IF(R1352="",AVERAGEIF(Table1[Category],Table1[[#This Row],[Category]],Table2[orignal data]),Table2[[#This Row],[orignal data]])</f>
        <v>1359.6000000000001</v>
      </c>
      <c r="T1352" t="str">
        <f t="shared" si="86"/>
        <v>UNIQUE</v>
      </c>
      <c r="U1352" t="str">
        <f>IF(ISBLANK(Table1[[#This Row],[SizeOption]]),"NOT AVAILABLE",Table1[[#This Row],[SizeOption]])</f>
        <v>S, M, L, XL, XXL</v>
      </c>
      <c r="Y1352" t="str">
        <f>IF(Table2[[#This Row],[Column1]]&gt;50%,"HIGH DISCOUNT","LOW DISCOUNT")</f>
        <v>HIGH DISCOUNT</v>
      </c>
    </row>
    <row r="1353" spans="1:25" x14ac:dyDescent="0.25">
      <c r="A1353" s="2" t="s">
        <v>2986</v>
      </c>
      <c r="B1353" s="2">
        <v>11545200</v>
      </c>
      <c r="C1353" s="2" t="s">
        <v>14</v>
      </c>
      <c r="D1353" s="2" t="s">
        <v>28</v>
      </c>
      <c r="E1353" s="2" t="s">
        <v>42</v>
      </c>
      <c r="F1353" s="2" t="s">
        <v>17</v>
      </c>
      <c r="G1353" s="2" t="s">
        <v>2987</v>
      </c>
      <c r="H1353">
        <v>499</v>
      </c>
      <c r="I1353" s="2">
        <v>999</v>
      </c>
      <c r="J1353" s="2" t="s">
        <v>84</v>
      </c>
      <c r="K1353" s="2" t="s">
        <v>73</v>
      </c>
      <c r="L1353" s="2">
        <v>4.0999999999999996</v>
      </c>
      <c r="M1353" s="2">
        <v>782</v>
      </c>
      <c r="P1353" t="str">
        <f t="shared" si="87"/>
        <v>50%</v>
      </c>
      <c r="Q1353" s="12">
        <f t="shared" si="84"/>
        <v>0.5</v>
      </c>
      <c r="R1353" s="9">
        <f t="shared" si="85"/>
        <v>499.5</v>
      </c>
      <c r="S1353" s="9">
        <f>IF(R1353="",AVERAGEIF(Table1[Category],Table1[[#This Row],[Category]],Table2[orignal data]),Table2[[#This Row],[orignal data]])</f>
        <v>499.5</v>
      </c>
      <c r="T1353" t="str">
        <f t="shared" si="86"/>
        <v>UNIQUE</v>
      </c>
      <c r="U1353" t="str">
        <f>IF(ISBLANK(Table1[[#This Row],[SizeOption]]),"NOT AVAILABLE",Table1[[#This Row],[SizeOption]])</f>
        <v>XS, S, M, L, XL, XXL, 3XL, 4XL</v>
      </c>
      <c r="Y1353" t="str">
        <f>IF(Table2[[#This Row],[Column1]]&gt;50%,"HIGH DISCOUNT","LOW DISCOUNT")</f>
        <v>LOW DISCOUNT</v>
      </c>
    </row>
    <row r="1354" spans="1:25" x14ac:dyDescent="0.25">
      <c r="A1354" s="1" t="s">
        <v>2988</v>
      </c>
      <c r="B1354" s="1">
        <v>13791184</v>
      </c>
      <c r="C1354" s="1" t="s">
        <v>397</v>
      </c>
      <c r="D1354" s="1" t="s">
        <v>76</v>
      </c>
      <c r="E1354" s="1" t="s">
        <v>77</v>
      </c>
      <c r="F1354" s="1" t="s">
        <v>36</v>
      </c>
      <c r="G1354" s="1" t="s">
        <v>2989</v>
      </c>
      <c r="H1354">
        <v>1461</v>
      </c>
      <c r="I1354" s="1">
        <v>4299</v>
      </c>
      <c r="J1354" s="1" t="s">
        <v>403</v>
      </c>
      <c r="K1354" s="1" t="s">
        <v>234</v>
      </c>
      <c r="L1354" s="1">
        <v>4</v>
      </c>
      <c r="M1354" s="1">
        <v>782</v>
      </c>
      <c r="P1354" t="str">
        <f t="shared" si="87"/>
        <v>66%</v>
      </c>
      <c r="Q1354" s="12">
        <f t="shared" si="84"/>
        <v>0.66</v>
      </c>
      <c r="R1354" s="9">
        <f t="shared" si="85"/>
        <v>1461.6599999999999</v>
      </c>
      <c r="S1354" s="9">
        <f>IF(R1354="",AVERAGEIF(Table1[Category],Table1[[#This Row],[Category]],Table2[orignal data]),Table2[[#This Row],[orignal data]])</f>
        <v>1461.6599999999999</v>
      </c>
      <c r="T1354" t="str">
        <f t="shared" si="86"/>
        <v>UNIQUE</v>
      </c>
      <c r="U1354" t="str">
        <f>IF(ISBLANK(Table1[[#This Row],[SizeOption]]),"NOT AVAILABLE",Table1[[#This Row],[SizeOption]])</f>
        <v>S, M, L, XL, XXL, 3XL</v>
      </c>
      <c r="Y1354" t="str">
        <f>IF(Table2[[#This Row],[Column1]]&gt;50%,"HIGH DISCOUNT","LOW DISCOUNT")</f>
        <v>HIGH DISCOUNT</v>
      </c>
    </row>
    <row r="1355" spans="1:25" x14ac:dyDescent="0.25">
      <c r="A1355" s="2" t="s">
        <v>2990</v>
      </c>
      <c r="B1355" s="2">
        <v>8160695</v>
      </c>
      <c r="C1355" s="2" t="s">
        <v>290</v>
      </c>
      <c r="D1355" s="2" t="s">
        <v>41</v>
      </c>
      <c r="E1355" s="2" t="s">
        <v>148</v>
      </c>
      <c r="F1355" s="2" t="s">
        <v>36</v>
      </c>
      <c r="G1355" s="2" t="s">
        <v>2991</v>
      </c>
      <c r="I1355" s="2">
        <v>1899</v>
      </c>
      <c r="J1355" s="2" t="s">
        <v>84</v>
      </c>
      <c r="K1355" s="2" t="s">
        <v>45</v>
      </c>
      <c r="L1355" s="2">
        <v>4.4000000000000004</v>
      </c>
      <c r="M1355" s="2">
        <v>782</v>
      </c>
      <c r="P1355" t="str">
        <f t="shared" si="87"/>
        <v>50%</v>
      </c>
      <c r="Q1355" s="12">
        <f t="shared" si="84"/>
        <v>0.5</v>
      </c>
      <c r="R1355" s="9">
        <f t="shared" si="85"/>
        <v>949.5</v>
      </c>
      <c r="S1355" s="9">
        <f>IF(R1355="",AVERAGEIF(Table1[Category],Table1[[#This Row],[Category]],Table2[orignal data]),Table2[[#This Row],[orignal data]])</f>
        <v>949.5</v>
      </c>
      <c r="T1355" t="str">
        <f t="shared" si="86"/>
        <v>UNIQUE</v>
      </c>
      <c r="U1355" t="str">
        <f>IF(ISBLANK(Table1[[#This Row],[SizeOption]]),"NOT AVAILABLE",Table1[[#This Row],[SizeOption]])</f>
        <v>XS, S, M, L, XL</v>
      </c>
      <c r="Y1355" t="str">
        <f>IF(Table2[[#This Row],[Column1]]&gt;50%,"HIGH DISCOUNT","LOW DISCOUNT")</f>
        <v>LOW DISCOUNT</v>
      </c>
    </row>
    <row r="1356" spans="1:25" x14ac:dyDescent="0.25">
      <c r="A1356" s="1" t="s">
        <v>2992</v>
      </c>
      <c r="B1356" s="1">
        <v>12738032</v>
      </c>
      <c r="C1356" s="1" t="s">
        <v>181</v>
      </c>
      <c r="D1356" s="1" t="s">
        <v>41</v>
      </c>
      <c r="E1356" s="1" t="s">
        <v>189</v>
      </c>
      <c r="F1356" s="1" t="s">
        <v>36</v>
      </c>
      <c r="G1356" s="1" t="s">
        <v>2993</v>
      </c>
      <c r="I1356" s="1">
        <v>2199</v>
      </c>
      <c r="J1356" s="1" t="s">
        <v>55</v>
      </c>
      <c r="K1356" s="1" t="s">
        <v>115</v>
      </c>
      <c r="L1356" s="1">
        <v>4.0999999999999996</v>
      </c>
      <c r="M1356" s="1">
        <v>782</v>
      </c>
      <c r="P1356" t="str">
        <f t="shared" si="87"/>
        <v>60%</v>
      </c>
      <c r="Q1356" s="12">
        <f t="shared" si="84"/>
        <v>0.6</v>
      </c>
      <c r="R1356" s="9">
        <f t="shared" si="85"/>
        <v>879.60000000000014</v>
      </c>
      <c r="S1356" s="9">
        <f>IF(R1356="",AVERAGEIF(Table1[Category],Table1[[#This Row],[Category]],Table2[orignal data]),Table2[[#This Row],[orignal data]])</f>
        <v>879.60000000000014</v>
      </c>
      <c r="T1356" t="str">
        <f t="shared" si="86"/>
        <v>UNIQUE</v>
      </c>
      <c r="U1356" t="str">
        <f>IF(ISBLANK(Table1[[#This Row],[SizeOption]]),"NOT AVAILABLE",Table1[[#This Row],[SizeOption]])</f>
        <v>XS, S, M, L, XL, XXL</v>
      </c>
      <c r="Y1356" t="str">
        <f>IF(Table2[[#This Row],[Column1]]&gt;50%,"HIGH DISCOUNT","LOW DISCOUNT")</f>
        <v>HIGH DISCOUNT</v>
      </c>
    </row>
    <row r="1357" spans="1:25" x14ac:dyDescent="0.25">
      <c r="A1357" s="2" t="s">
        <v>2994</v>
      </c>
      <c r="B1357" s="2">
        <v>2490952</v>
      </c>
      <c r="C1357" s="2" t="s">
        <v>47</v>
      </c>
      <c r="D1357" s="2" t="s">
        <v>41</v>
      </c>
      <c r="E1357" s="2" t="s">
        <v>48</v>
      </c>
      <c r="F1357" s="2" t="s">
        <v>36</v>
      </c>
      <c r="G1357" s="2" t="s">
        <v>2995</v>
      </c>
      <c r="I1357" s="2">
        <v>599</v>
      </c>
      <c r="J1357" s="2" t="s">
        <v>50</v>
      </c>
      <c r="K1357" s="2" t="s">
        <v>45</v>
      </c>
      <c r="L1357" s="2">
        <v>4.3</v>
      </c>
      <c r="M1357" s="2">
        <v>782</v>
      </c>
      <c r="P1357" t="str">
        <f t="shared" si="87"/>
        <v>40%</v>
      </c>
      <c r="Q1357" s="12">
        <f t="shared" si="84"/>
        <v>0.4</v>
      </c>
      <c r="R1357" s="9">
        <f t="shared" si="85"/>
        <v>359.4</v>
      </c>
      <c r="S1357" s="9">
        <f>IF(R1357="",AVERAGEIF(Table1[Category],Table1[[#This Row],[Category]],Table2[orignal data]),Table2[[#This Row],[orignal data]])</f>
        <v>359.4</v>
      </c>
      <c r="T1357" t="str">
        <f t="shared" si="86"/>
        <v>UNIQUE</v>
      </c>
      <c r="U1357" t="str">
        <f>IF(ISBLANK(Table1[[#This Row],[SizeOption]]),"NOT AVAILABLE",Table1[[#This Row],[SizeOption]])</f>
        <v>XS, S, M, L, XL</v>
      </c>
      <c r="Y1357" t="str">
        <f>IF(Table2[[#This Row],[Column1]]&gt;50%,"HIGH DISCOUNT","LOW DISCOUNT")</f>
        <v>LOW DISCOUNT</v>
      </c>
    </row>
    <row r="1358" spans="1:25" x14ac:dyDescent="0.25">
      <c r="A1358" s="1" t="s">
        <v>2996</v>
      </c>
      <c r="B1358" s="1">
        <v>10064545</v>
      </c>
      <c r="C1358" s="1" t="s">
        <v>14</v>
      </c>
      <c r="D1358" s="1" t="s">
        <v>15</v>
      </c>
      <c r="E1358" s="1" t="s">
        <v>16</v>
      </c>
      <c r="F1358" s="1" t="s">
        <v>17</v>
      </c>
      <c r="G1358" s="1" t="s">
        <v>1066</v>
      </c>
      <c r="H1358">
        <v>899</v>
      </c>
      <c r="I1358" s="1">
        <v>1999</v>
      </c>
      <c r="J1358" s="1" t="s">
        <v>25</v>
      </c>
      <c r="K1358" s="1" t="s">
        <v>20</v>
      </c>
      <c r="L1358" s="1">
        <v>4</v>
      </c>
      <c r="M1358" s="1">
        <v>781</v>
      </c>
      <c r="P1358" t="str">
        <f t="shared" si="87"/>
        <v>55%</v>
      </c>
      <c r="Q1358" s="12">
        <f t="shared" si="84"/>
        <v>0.55000000000000004</v>
      </c>
      <c r="R1358" s="9">
        <f t="shared" si="85"/>
        <v>899.55</v>
      </c>
      <c r="S1358" s="9">
        <f>IF(R1358="",AVERAGEIF(Table1[Category],Table1[[#This Row],[Category]],Table2[orignal data]),Table2[[#This Row],[orignal data]])</f>
        <v>899.55</v>
      </c>
      <c r="T1358" t="str">
        <f t="shared" si="86"/>
        <v>UNIQUE</v>
      </c>
      <c r="U1358" t="str">
        <f>IF(ISBLANK(Table1[[#This Row],[SizeOption]]),"NOT AVAILABLE",Table1[[#This Row],[SizeOption]])</f>
        <v>28, 30, 32, 34, 36</v>
      </c>
      <c r="Y1358" t="str">
        <f>IF(Table2[[#This Row],[Column1]]&gt;50%,"HIGH DISCOUNT","LOW DISCOUNT")</f>
        <v>HIGH DISCOUNT</v>
      </c>
    </row>
    <row r="1359" spans="1:25" x14ac:dyDescent="0.25">
      <c r="A1359" s="2" t="s">
        <v>2997</v>
      </c>
      <c r="B1359" s="2">
        <v>11519690</v>
      </c>
      <c r="C1359" s="2" t="s">
        <v>52</v>
      </c>
      <c r="D1359" s="2" t="s">
        <v>15</v>
      </c>
      <c r="E1359" s="2" t="s">
        <v>137</v>
      </c>
      <c r="F1359" s="2" t="s">
        <v>17</v>
      </c>
      <c r="G1359" s="2" t="s">
        <v>2998</v>
      </c>
      <c r="H1359">
        <v>591</v>
      </c>
      <c r="I1359" s="2">
        <v>1599</v>
      </c>
      <c r="J1359" s="2" t="s">
        <v>476</v>
      </c>
      <c r="K1359" s="2" t="s">
        <v>816</v>
      </c>
      <c r="L1359" s="2">
        <v>4</v>
      </c>
      <c r="M1359" s="2">
        <v>781</v>
      </c>
      <c r="P1359" t="str">
        <f t="shared" si="87"/>
        <v>63%</v>
      </c>
      <c r="Q1359" s="12">
        <f t="shared" si="84"/>
        <v>0.63</v>
      </c>
      <c r="R1359" s="9">
        <f t="shared" si="85"/>
        <v>591.63</v>
      </c>
      <c r="S1359" s="9">
        <f>IF(R1359="",AVERAGEIF(Table1[Category],Table1[[#This Row],[Category]],Table2[orignal data]),Table2[[#This Row],[orignal data]])</f>
        <v>591.63</v>
      </c>
      <c r="T1359" t="str">
        <f t="shared" si="86"/>
        <v>UNIQUE</v>
      </c>
      <c r="U1359" t="str">
        <f>IF(ISBLANK(Table1[[#This Row],[SizeOption]]),"NOT AVAILABLE",Table1[[#This Row],[SizeOption]])</f>
        <v>30, 32, 34, 36, 38</v>
      </c>
      <c r="Y1359" t="str">
        <f>IF(Table2[[#This Row],[Column1]]&gt;50%,"HIGH DISCOUNT","LOW DISCOUNT")</f>
        <v>HIGH DISCOUNT</v>
      </c>
    </row>
    <row r="1360" spans="1:25" x14ac:dyDescent="0.25">
      <c r="A1360" s="1" t="s">
        <v>2999</v>
      </c>
      <c r="B1360" s="1">
        <v>12402760</v>
      </c>
      <c r="C1360" s="1" t="s">
        <v>169</v>
      </c>
      <c r="D1360" s="1" t="s">
        <v>197</v>
      </c>
      <c r="E1360" s="1" t="s">
        <v>198</v>
      </c>
      <c r="F1360" s="1" t="s">
        <v>17</v>
      </c>
      <c r="G1360" s="1" t="s">
        <v>3000</v>
      </c>
      <c r="H1360">
        <v>454</v>
      </c>
      <c r="I1360" s="1">
        <v>649</v>
      </c>
      <c r="J1360" s="1" t="s">
        <v>186</v>
      </c>
      <c r="K1360" s="1" t="s">
        <v>164</v>
      </c>
      <c r="L1360" s="1">
        <v>4.3</v>
      </c>
      <c r="M1360" s="1">
        <v>781</v>
      </c>
      <c r="P1360" t="str">
        <f t="shared" si="87"/>
        <v>30%</v>
      </c>
      <c r="Q1360" s="12">
        <f t="shared" si="84"/>
        <v>0.3</v>
      </c>
      <c r="R1360" s="9">
        <f t="shared" si="85"/>
        <v>454.3</v>
      </c>
      <c r="S1360" s="9">
        <f>IF(R1360="",AVERAGEIF(Table1[Category],Table1[[#This Row],[Category]],Table2[orignal data]),Table2[[#This Row],[orignal data]])</f>
        <v>454.3</v>
      </c>
      <c r="T1360" t="str">
        <f t="shared" si="86"/>
        <v>UNIQUE</v>
      </c>
      <c r="U1360" t="str">
        <f>IF(ISBLANK(Table1[[#This Row],[SizeOption]]),"NOT AVAILABLE",Table1[[#This Row],[SizeOption]])</f>
        <v>Onesize</v>
      </c>
      <c r="Y1360" t="str">
        <f>IF(Table2[[#This Row],[Column1]]&gt;50%,"HIGH DISCOUNT","LOW DISCOUNT")</f>
        <v>LOW DISCOUNT</v>
      </c>
    </row>
    <row r="1361" spans="1:25" x14ac:dyDescent="0.25">
      <c r="A1361" s="2" t="s">
        <v>3001</v>
      </c>
      <c r="B1361" s="2">
        <v>9966837</v>
      </c>
      <c r="C1361" s="2" t="s">
        <v>938</v>
      </c>
      <c r="D1361" s="2" t="s">
        <v>197</v>
      </c>
      <c r="E1361" s="2" t="s">
        <v>939</v>
      </c>
      <c r="F1361" s="2" t="s">
        <v>17</v>
      </c>
      <c r="G1361" s="2" t="s">
        <v>3002</v>
      </c>
      <c r="H1361">
        <v>629</v>
      </c>
      <c r="I1361" s="2">
        <v>1499</v>
      </c>
      <c r="J1361" s="2" t="s">
        <v>60</v>
      </c>
      <c r="K1361" s="2" t="s">
        <v>39</v>
      </c>
      <c r="L1361" s="2">
        <v>4.2</v>
      </c>
      <c r="M1361" s="2">
        <v>781</v>
      </c>
      <c r="P1361" t="str">
        <f t="shared" si="87"/>
        <v>58%</v>
      </c>
      <c r="Q1361" s="12">
        <f t="shared" si="84"/>
        <v>0.57999999999999996</v>
      </c>
      <c r="R1361" s="9">
        <f t="shared" si="85"/>
        <v>629.58000000000004</v>
      </c>
      <c r="S1361" s="9">
        <f>IF(R1361="",AVERAGEIF(Table1[Category],Table1[[#This Row],[Category]],Table2[orignal data]),Table2[[#This Row],[orignal data]])</f>
        <v>629.58000000000004</v>
      </c>
      <c r="T1361" t="str">
        <f t="shared" si="86"/>
        <v>UNIQUE</v>
      </c>
      <c r="U1361" t="str">
        <f>IF(ISBLANK(Table1[[#This Row],[SizeOption]]),"NOT AVAILABLE",Table1[[#This Row],[SizeOption]])</f>
        <v>S, M, L, XL, XXL</v>
      </c>
      <c r="Y1361" t="str">
        <f>IF(Table2[[#This Row],[Column1]]&gt;50%,"HIGH DISCOUNT","LOW DISCOUNT")</f>
        <v>HIGH DISCOUNT</v>
      </c>
    </row>
    <row r="1362" spans="1:25" x14ac:dyDescent="0.25">
      <c r="A1362" s="1" t="s">
        <v>3003</v>
      </c>
      <c r="B1362" s="1">
        <v>8938857</v>
      </c>
      <c r="C1362" s="1" t="s">
        <v>14</v>
      </c>
      <c r="D1362" s="1" t="s">
        <v>28</v>
      </c>
      <c r="E1362" s="1" t="s">
        <v>42</v>
      </c>
      <c r="F1362" s="1" t="s">
        <v>17</v>
      </c>
      <c r="G1362" s="1" t="s">
        <v>3004</v>
      </c>
      <c r="I1362" s="1">
        <v>1099</v>
      </c>
      <c r="J1362" s="1"/>
      <c r="K1362" s="1" t="s">
        <v>73</v>
      </c>
      <c r="L1362" s="1">
        <v>4</v>
      </c>
      <c r="M1362" s="1">
        <v>781</v>
      </c>
      <c r="P1362" t="str">
        <f t="shared" si="87"/>
        <v/>
      </c>
      <c r="Q1362" s="12" t="str">
        <f t="shared" si="84"/>
        <v/>
      </c>
      <c r="R1362" s="9" t="str">
        <f t="shared" si="85"/>
        <v/>
      </c>
      <c r="S1362" s="9">
        <f>IF(R1362="",AVERAGEIF(Table1[Category],Table1[[#This Row],[Category]],Table2[orignal data]),Table2[[#This Row],[orignal data]])</f>
        <v>671.7823941958867</v>
      </c>
      <c r="T1362" t="str">
        <f t="shared" si="86"/>
        <v>UNIQUE</v>
      </c>
      <c r="U1362" t="str">
        <f>IF(ISBLANK(Table1[[#This Row],[SizeOption]]),"NOT AVAILABLE",Table1[[#This Row],[SizeOption]])</f>
        <v>XS, S, M, L, XL, XXL, 3XL, 4XL</v>
      </c>
      <c r="Y1362" t="str">
        <f>IF(Table2[[#This Row],[Column1]]&gt;50%,"HIGH DISCOUNT","LOW DISCOUNT")</f>
        <v>HIGH DISCOUNT</v>
      </c>
    </row>
    <row r="1363" spans="1:25" x14ac:dyDescent="0.25">
      <c r="A1363" s="2" t="s">
        <v>3005</v>
      </c>
      <c r="B1363" s="2">
        <v>8920443</v>
      </c>
      <c r="C1363" s="2" t="s">
        <v>14</v>
      </c>
      <c r="D1363" s="2" t="s">
        <v>28</v>
      </c>
      <c r="E1363" s="2" t="s">
        <v>29</v>
      </c>
      <c r="F1363" s="2" t="s">
        <v>17</v>
      </c>
      <c r="G1363" s="2" t="s">
        <v>3006</v>
      </c>
      <c r="H1363">
        <v>839</v>
      </c>
      <c r="I1363" s="2">
        <v>1399</v>
      </c>
      <c r="J1363" s="2" t="s">
        <v>50</v>
      </c>
      <c r="K1363" s="2" t="s">
        <v>31</v>
      </c>
      <c r="L1363" s="2">
        <v>4.3</v>
      </c>
      <c r="M1363" s="2">
        <v>781</v>
      </c>
      <c r="P1363" t="str">
        <f t="shared" si="87"/>
        <v>40%</v>
      </c>
      <c r="Q1363" s="12">
        <f t="shared" si="84"/>
        <v>0.4</v>
      </c>
      <c r="R1363" s="9">
        <f t="shared" si="85"/>
        <v>839.4</v>
      </c>
      <c r="S1363" s="9">
        <f>IF(R1363="",AVERAGEIF(Table1[Category],Table1[[#This Row],[Category]],Table2[orignal data]),Table2[[#This Row],[orignal data]])</f>
        <v>839.4</v>
      </c>
      <c r="T1363" t="str">
        <f t="shared" si="86"/>
        <v>UNIQUE</v>
      </c>
      <c r="U1363" t="str">
        <f>IF(ISBLANK(Table1[[#This Row],[SizeOption]]),"NOT AVAILABLE",Table1[[#This Row],[SizeOption]])</f>
        <v>38, 40, 42, 44, 46, 48</v>
      </c>
      <c r="Y1363" t="str">
        <f>IF(Table2[[#This Row],[Column1]]&gt;50%,"HIGH DISCOUNT","LOW DISCOUNT")</f>
        <v>LOW DISCOUNT</v>
      </c>
    </row>
    <row r="1364" spans="1:25" x14ac:dyDescent="0.25">
      <c r="A1364" s="1" t="s">
        <v>3007</v>
      </c>
      <c r="B1364" s="1">
        <v>10737442</v>
      </c>
      <c r="C1364" s="1" t="s">
        <v>277</v>
      </c>
      <c r="D1364" s="1" t="s">
        <v>76</v>
      </c>
      <c r="E1364" s="1" t="s">
        <v>93</v>
      </c>
      <c r="F1364" s="1" t="s">
        <v>36</v>
      </c>
      <c r="G1364" s="1" t="s">
        <v>3008</v>
      </c>
      <c r="H1364">
        <v>873</v>
      </c>
      <c r="I1364" s="1">
        <v>2299</v>
      </c>
      <c r="J1364" s="1" t="s">
        <v>126</v>
      </c>
      <c r="K1364" s="1" t="s">
        <v>39</v>
      </c>
      <c r="L1364" s="1">
        <v>4</v>
      </c>
      <c r="M1364" s="1">
        <v>781</v>
      </c>
      <c r="P1364" t="str">
        <f t="shared" si="87"/>
        <v>62%</v>
      </c>
      <c r="Q1364" s="12">
        <f t="shared" si="84"/>
        <v>0.62</v>
      </c>
      <c r="R1364" s="9">
        <f t="shared" si="85"/>
        <v>873.62000000000012</v>
      </c>
      <c r="S1364" s="9">
        <f>IF(R1364="",AVERAGEIF(Table1[Category],Table1[[#This Row],[Category]],Table2[orignal data]),Table2[[#This Row],[orignal data]])</f>
        <v>873.62000000000012</v>
      </c>
      <c r="T1364" t="str">
        <f t="shared" si="86"/>
        <v>UNIQUE</v>
      </c>
      <c r="U1364" t="str">
        <f>IF(ISBLANK(Table1[[#This Row],[SizeOption]]),"NOT AVAILABLE",Table1[[#This Row],[SizeOption]])</f>
        <v>S, M, L, XL, XXL</v>
      </c>
      <c r="Y1364" t="str">
        <f>IF(Table2[[#This Row],[Column1]]&gt;50%,"HIGH DISCOUNT","LOW DISCOUNT")</f>
        <v>HIGH DISCOUNT</v>
      </c>
    </row>
    <row r="1365" spans="1:25" x14ac:dyDescent="0.25">
      <c r="A1365" s="2" t="s">
        <v>3009</v>
      </c>
      <c r="B1365" s="2">
        <v>9478599</v>
      </c>
      <c r="C1365" s="2" t="s">
        <v>14</v>
      </c>
      <c r="D1365" s="2" t="s">
        <v>41</v>
      </c>
      <c r="E1365" s="2" t="s">
        <v>1881</v>
      </c>
      <c r="F1365" s="2" t="s">
        <v>36</v>
      </c>
      <c r="G1365" s="2" t="s">
        <v>3010</v>
      </c>
      <c r="I1365" s="2">
        <v>1399</v>
      </c>
      <c r="J1365" s="2" t="s">
        <v>79</v>
      </c>
      <c r="K1365" s="2" t="s">
        <v>115</v>
      </c>
      <c r="L1365" s="2">
        <v>3.7</v>
      </c>
      <c r="M1365" s="2">
        <v>781</v>
      </c>
      <c r="P1365" t="str">
        <f t="shared" si="87"/>
        <v>70%</v>
      </c>
      <c r="Q1365" s="12">
        <f t="shared" si="84"/>
        <v>0.7</v>
      </c>
      <c r="R1365" s="9">
        <f t="shared" si="85"/>
        <v>419.70000000000005</v>
      </c>
      <c r="S1365" s="9">
        <f>IF(R1365="",AVERAGEIF(Table1[Category],Table1[[#This Row],[Category]],Table2[orignal data]),Table2[[#This Row],[orignal data]])</f>
        <v>419.70000000000005</v>
      </c>
      <c r="T1365" t="str">
        <f t="shared" si="86"/>
        <v>UNIQUE</v>
      </c>
      <c r="U1365" t="str">
        <f>IF(ISBLANK(Table1[[#This Row],[SizeOption]]),"NOT AVAILABLE",Table1[[#This Row],[SizeOption]])</f>
        <v>XS, S, M, L, XL, XXL</v>
      </c>
      <c r="Y1365" t="str">
        <f>IF(Table2[[#This Row],[Column1]]&gt;50%,"HIGH DISCOUNT","LOW DISCOUNT")</f>
        <v>HIGH DISCOUNT</v>
      </c>
    </row>
    <row r="1366" spans="1:25" x14ac:dyDescent="0.25">
      <c r="A1366" s="1" t="s">
        <v>3011</v>
      </c>
      <c r="B1366" s="1">
        <v>12960764</v>
      </c>
      <c r="C1366" s="1" t="s">
        <v>3012</v>
      </c>
      <c r="D1366" s="1" t="s">
        <v>15</v>
      </c>
      <c r="E1366" s="1" t="s">
        <v>137</v>
      </c>
      <c r="F1366" s="1" t="s">
        <v>17</v>
      </c>
      <c r="G1366" s="1" t="s">
        <v>3013</v>
      </c>
      <c r="H1366">
        <v>573</v>
      </c>
      <c r="I1366" s="1">
        <v>699</v>
      </c>
      <c r="J1366" s="1" t="s">
        <v>3014</v>
      </c>
      <c r="K1366" s="1" t="s">
        <v>1691</v>
      </c>
      <c r="L1366" s="1">
        <v>4</v>
      </c>
      <c r="M1366" s="1">
        <v>780</v>
      </c>
      <c r="P1366" t="str">
        <f t="shared" si="87"/>
        <v>18%</v>
      </c>
      <c r="Q1366" s="12">
        <f t="shared" si="84"/>
        <v>0.18</v>
      </c>
      <c r="R1366" s="9">
        <f t="shared" si="85"/>
        <v>573.18000000000006</v>
      </c>
      <c r="S1366" s="9">
        <f>IF(R1366="",AVERAGEIF(Table1[Category],Table1[[#This Row],[Category]],Table2[orignal data]),Table2[[#This Row],[orignal data]])</f>
        <v>573.18000000000006</v>
      </c>
      <c r="T1366" t="str">
        <f t="shared" si="86"/>
        <v>UNIQUE</v>
      </c>
      <c r="U1366" t="str">
        <f>IF(ISBLANK(Table1[[#This Row],[SizeOption]]),"NOT AVAILABLE",Table1[[#This Row],[SizeOption]])</f>
        <v>30, 32, 34, 37, 41</v>
      </c>
      <c r="Y1366" t="str">
        <f>IF(Table2[[#This Row],[Column1]]&gt;50%,"HIGH DISCOUNT","LOW DISCOUNT")</f>
        <v>LOW DISCOUNT</v>
      </c>
    </row>
    <row r="1367" spans="1:25" x14ac:dyDescent="0.25">
      <c r="A1367" s="2" t="s">
        <v>3015</v>
      </c>
      <c r="B1367" s="2">
        <v>7416286</v>
      </c>
      <c r="C1367" s="2" t="s">
        <v>3016</v>
      </c>
      <c r="D1367" s="2" t="s">
        <v>15</v>
      </c>
      <c r="E1367" s="2" t="s">
        <v>53</v>
      </c>
      <c r="F1367" s="2" t="s">
        <v>17</v>
      </c>
      <c r="G1367" s="2" t="s">
        <v>3017</v>
      </c>
      <c r="H1367">
        <v>824</v>
      </c>
      <c r="I1367" s="2">
        <v>1799</v>
      </c>
      <c r="J1367" s="2" t="s">
        <v>3018</v>
      </c>
      <c r="K1367" s="2" t="s">
        <v>20</v>
      </c>
      <c r="L1367" s="2">
        <v>3.7</v>
      </c>
      <c r="M1367" s="2">
        <v>780</v>
      </c>
      <c r="P1367" t="str">
        <f t="shared" si="87"/>
        <v>975</v>
      </c>
      <c r="Q1367" s="12">
        <f t="shared" si="84"/>
        <v>0.54196775986659251</v>
      </c>
      <c r="R1367" s="9">
        <f t="shared" si="85"/>
        <v>824.00000000000011</v>
      </c>
      <c r="S1367" s="9">
        <f>IF(R1367="",AVERAGEIF(Table1[Category],Table1[[#This Row],[Category]],Table2[orignal data]),Table2[[#This Row],[orignal data]])</f>
        <v>824.00000000000011</v>
      </c>
      <c r="T1367" t="str">
        <f t="shared" si="86"/>
        <v>UNIQUE</v>
      </c>
      <c r="U1367" t="str">
        <f>IF(ISBLANK(Table1[[#This Row],[SizeOption]]),"NOT AVAILABLE",Table1[[#This Row],[SizeOption]])</f>
        <v>28, 30, 32, 34, 36</v>
      </c>
      <c r="Y1367" t="str">
        <f>IF(Table2[[#This Row],[Column1]]&gt;50%,"HIGH DISCOUNT","LOW DISCOUNT")</f>
        <v>HIGH DISCOUNT</v>
      </c>
    </row>
    <row r="1368" spans="1:25" x14ac:dyDescent="0.25">
      <c r="A1368" s="1" t="s">
        <v>3019</v>
      </c>
      <c r="B1368" s="1">
        <v>14562580</v>
      </c>
      <c r="C1368" s="1" t="s">
        <v>67</v>
      </c>
      <c r="D1368" s="1" t="s">
        <v>68</v>
      </c>
      <c r="E1368" s="1" t="s">
        <v>189</v>
      </c>
      <c r="F1368" s="1" t="s">
        <v>17</v>
      </c>
      <c r="G1368" s="1" t="s">
        <v>3020</v>
      </c>
      <c r="H1368">
        <v>1399</v>
      </c>
      <c r="I1368" s="1">
        <v>3999</v>
      </c>
      <c r="J1368" s="1" t="s">
        <v>150</v>
      </c>
      <c r="K1368" s="1" t="s">
        <v>39</v>
      </c>
      <c r="L1368" s="1">
        <v>4.2</v>
      </c>
      <c r="M1368" s="1">
        <v>780</v>
      </c>
      <c r="P1368" t="str">
        <f t="shared" si="87"/>
        <v>65%</v>
      </c>
      <c r="Q1368" s="12">
        <f t="shared" si="84"/>
        <v>0.65</v>
      </c>
      <c r="R1368" s="9">
        <f t="shared" si="85"/>
        <v>1399.65</v>
      </c>
      <c r="S1368" s="9">
        <f>IF(R1368="",AVERAGEIF(Table1[Category],Table1[[#This Row],[Category]],Table2[orignal data]),Table2[[#This Row],[orignal data]])</f>
        <v>1399.65</v>
      </c>
      <c r="T1368" t="str">
        <f t="shared" si="86"/>
        <v>UNIQUE</v>
      </c>
      <c r="U1368" t="str">
        <f>IF(ISBLANK(Table1[[#This Row],[SizeOption]]),"NOT AVAILABLE",Table1[[#This Row],[SizeOption]])</f>
        <v>S, M, L, XL, XXL</v>
      </c>
      <c r="Y1368" t="str">
        <f>IF(Table2[[#This Row],[Column1]]&gt;50%,"HIGH DISCOUNT","LOW DISCOUNT")</f>
        <v>HIGH DISCOUNT</v>
      </c>
    </row>
    <row r="1369" spans="1:25" x14ac:dyDescent="0.25">
      <c r="A1369" s="2" t="s">
        <v>3021</v>
      </c>
      <c r="B1369" s="2">
        <v>10169021</v>
      </c>
      <c r="C1369" s="2" t="s">
        <v>47</v>
      </c>
      <c r="D1369" s="2" t="s">
        <v>28</v>
      </c>
      <c r="E1369" s="2" t="s">
        <v>29</v>
      </c>
      <c r="F1369" s="2" t="s">
        <v>17</v>
      </c>
      <c r="G1369" s="2" t="s">
        <v>3022</v>
      </c>
      <c r="H1369">
        <v>759</v>
      </c>
      <c r="I1369" s="2">
        <v>1899</v>
      </c>
      <c r="J1369" s="2" t="s">
        <v>55</v>
      </c>
      <c r="K1369" s="2" t="s">
        <v>253</v>
      </c>
      <c r="L1369" s="2">
        <v>4.0999999999999996</v>
      </c>
      <c r="M1369" s="2">
        <v>780</v>
      </c>
      <c r="P1369" t="str">
        <f t="shared" si="87"/>
        <v>60%</v>
      </c>
      <c r="Q1369" s="12">
        <f t="shared" si="84"/>
        <v>0.6</v>
      </c>
      <c r="R1369" s="9">
        <f t="shared" si="85"/>
        <v>759.60000000000014</v>
      </c>
      <c r="S1369" s="9">
        <f>IF(R1369="",AVERAGEIF(Table1[Category],Table1[[#This Row],[Category]],Table2[orignal data]),Table2[[#This Row],[orignal data]])</f>
        <v>759.60000000000014</v>
      </c>
      <c r="T1369" t="str">
        <f t="shared" si="86"/>
        <v>UNIQUE</v>
      </c>
      <c r="U1369" t="str">
        <f>IF(ISBLANK(Table1[[#This Row],[SizeOption]]),"NOT AVAILABLE",Table1[[#This Row],[SizeOption]])</f>
        <v>38, 40, 42, 44</v>
      </c>
      <c r="Y1369" t="str">
        <f>IF(Table2[[#This Row],[Column1]]&gt;50%,"HIGH DISCOUNT","LOW DISCOUNT")</f>
        <v>HIGH DISCOUNT</v>
      </c>
    </row>
    <row r="1370" spans="1:25" x14ac:dyDescent="0.25">
      <c r="A1370" s="1" t="s">
        <v>3023</v>
      </c>
      <c r="B1370" s="1">
        <v>10483708</v>
      </c>
      <c r="C1370" s="1" t="s">
        <v>221</v>
      </c>
      <c r="D1370" s="1" t="s">
        <v>98</v>
      </c>
      <c r="E1370" s="1" t="s">
        <v>53</v>
      </c>
      <c r="F1370" s="1" t="s">
        <v>36</v>
      </c>
      <c r="G1370" s="1" t="s">
        <v>3024</v>
      </c>
      <c r="H1370">
        <v>626</v>
      </c>
      <c r="I1370" s="1">
        <v>1790</v>
      </c>
      <c r="J1370" s="1" t="s">
        <v>150</v>
      </c>
      <c r="K1370" s="1" t="s">
        <v>195</v>
      </c>
      <c r="L1370" s="1">
        <v>4.4000000000000004</v>
      </c>
      <c r="M1370" s="1">
        <v>780</v>
      </c>
      <c r="P1370" t="str">
        <f t="shared" si="87"/>
        <v>65%</v>
      </c>
      <c r="Q1370" s="12">
        <f t="shared" si="84"/>
        <v>0.65</v>
      </c>
      <c r="R1370" s="9">
        <f t="shared" si="85"/>
        <v>626.5</v>
      </c>
      <c r="S1370" s="9">
        <f>IF(R1370="",AVERAGEIF(Table1[Category],Table1[[#This Row],[Category]],Table2[orignal data]),Table2[[#This Row],[orignal data]])</f>
        <v>626.5</v>
      </c>
      <c r="T1370" t="str">
        <f t="shared" si="86"/>
        <v>UNIQUE</v>
      </c>
      <c r="U1370" t="str">
        <f>IF(ISBLANK(Table1[[#This Row],[SizeOption]]),"NOT AVAILABLE",Table1[[#This Row],[SizeOption]])</f>
        <v>28, 30, 32, 34, 36, 38, 40</v>
      </c>
      <c r="Y1370" t="str">
        <f>IF(Table2[[#This Row],[Column1]]&gt;50%,"HIGH DISCOUNT","LOW DISCOUNT")</f>
        <v>HIGH DISCOUNT</v>
      </c>
    </row>
    <row r="1371" spans="1:25" x14ac:dyDescent="0.25">
      <c r="A1371" s="2" t="s">
        <v>3025</v>
      </c>
      <c r="B1371" s="2">
        <v>7271375</v>
      </c>
      <c r="C1371" s="2" t="s">
        <v>221</v>
      </c>
      <c r="D1371" s="2" t="s">
        <v>98</v>
      </c>
      <c r="E1371" s="2" t="s">
        <v>148</v>
      </c>
      <c r="F1371" s="2" t="s">
        <v>36</v>
      </c>
      <c r="G1371" s="2" t="s">
        <v>3026</v>
      </c>
      <c r="H1371">
        <v>770</v>
      </c>
      <c r="I1371" s="2">
        <v>2569</v>
      </c>
      <c r="J1371" s="2" t="s">
        <v>79</v>
      </c>
      <c r="K1371" s="2" t="s">
        <v>223</v>
      </c>
      <c r="L1371" s="2">
        <v>4.2</v>
      </c>
      <c r="M1371" s="2">
        <v>780</v>
      </c>
      <c r="P1371" t="str">
        <f t="shared" si="87"/>
        <v>70%</v>
      </c>
      <c r="Q1371" s="12">
        <f t="shared" si="84"/>
        <v>0.7</v>
      </c>
      <c r="R1371" s="9">
        <f t="shared" si="85"/>
        <v>770.7</v>
      </c>
      <c r="S1371" s="9">
        <f>IF(R1371="",AVERAGEIF(Table1[Category],Table1[[#This Row],[Category]],Table2[orignal data]),Table2[[#This Row],[orignal data]])</f>
        <v>770.7</v>
      </c>
      <c r="T1371" t="str">
        <f t="shared" si="86"/>
        <v>UNIQUE</v>
      </c>
      <c r="U1371" t="str">
        <f>IF(ISBLANK(Table1[[#This Row],[SizeOption]]),"NOT AVAILABLE",Table1[[#This Row],[SizeOption]])</f>
        <v>S, M, L, XL, XXL, 3XL, 4XL</v>
      </c>
      <c r="Y1371" t="str">
        <f>IF(Table2[[#This Row],[Column1]]&gt;50%,"HIGH DISCOUNT","LOW DISCOUNT")</f>
        <v>HIGH DISCOUNT</v>
      </c>
    </row>
    <row r="1372" spans="1:25" x14ac:dyDescent="0.25">
      <c r="A1372" s="1" t="s">
        <v>3027</v>
      </c>
      <c r="B1372" s="1">
        <v>2338316</v>
      </c>
      <c r="C1372" s="1" t="s">
        <v>169</v>
      </c>
      <c r="D1372" s="1" t="s">
        <v>15</v>
      </c>
      <c r="E1372" s="1" t="s">
        <v>16</v>
      </c>
      <c r="F1372" s="1" t="s">
        <v>17</v>
      </c>
      <c r="G1372" s="1" t="s">
        <v>3028</v>
      </c>
      <c r="H1372">
        <v>1649</v>
      </c>
      <c r="I1372" s="1">
        <v>3299</v>
      </c>
      <c r="J1372" s="1" t="s">
        <v>84</v>
      </c>
      <c r="K1372" s="1" t="s">
        <v>171</v>
      </c>
      <c r="L1372" s="1">
        <v>4</v>
      </c>
      <c r="M1372" s="1">
        <v>779</v>
      </c>
      <c r="P1372" t="str">
        <f t="shared" si="87"/>
        <v>50%</v>
      </c>
      <c r="Q1372" s="12">
        <f t="shared" si="84"/>
        <v>0.5</v>
      </c>
      <c r="R1372" s="9">
        <f t="shared" si="85"/>
        <v>1649.5</v>
      </c>
      <c r="S1372" s="9">
        <f>IF(R1372="",AVERAGEIF(Table1[Category],Table1[[#This Row],[Category]],Table2[orignal data]),Table2[[#This Row],[orignal data]])</f>
        <v>1649.5</v>
      </c>
      <c r="T1372" t="str">
        <f t="shared" si="86"/>
        <v>UNIQUE</v>
      </c>
      <c r="U1372" t="str">
        <f>IF(ISBLANK(Table1[[#This Row],[SizeOption]]),"NOT AVAILABLE",Table1[[#This Row],[SizeOption]])</f>
        <v>28, 30, 32, 34, 36, 38</v>
      </c>
      <c r="Y1372" t="str">
        <f>IF(Table2[[#This Row],[Column1]]&gt;50%,"HIGH DISCOUNT","LOW DISCOUNT")</f>
        <v>LOW DISCOUNT</v>
      </c>
    </row>
    <row r="1373" spans="1:25" x14ac:dyDescent="0.25">
      <c r="A1373" s="2" t="s">
        <v>3029</v>
      </c>
      <c r="B1373" s="2">
        <v>13269470</v>
      </c>
      <c r="C1373" s="2" t="s">
        <v>3030</v>
      </c>
      <c r="D1373" s="2" t="s">
        <v>76</v>
      </c>
      <c r="E1373" s="2" t="s">
        <v>77</v>
      </c>
      <c r="F1373" s="2" t="s">
        <v>17</v>
      </c>
      <c r="G1373" s="2" t="s">
        <v>3031</v>
      </c>
      <c r="H1373">
        <v>999</v>
      </c>
      <c r="I1373" s="2">
        <v>2499</v>
      </c>
      <c r="J1373" s="2" t="s">
        <v>55</v>
      </c>
      <c r="K1373" s="2" t="s">
        <v>39</v>
      </c>
      <c r="L1373" s="2">
        <v>4.0999999999999996</v>
      </c>
      <c r="M1373" s="2">
        <v>779</v>
      </c>
      <c r="P1373" t="str">
        <f t="shared" si="87"/>
        <v>60%</v>
      </c>
      <c r="Q1373" s="12">
        <f t="shared" si="84"/>
        <v>0.6</v>
      </c>
      <c r="R1373" s="9">
        <f t="shared" si="85"/>
        <v>999.60000000000014</v>
      </c>
      <c r="S1373" s="9">
        <f>IF(R1373="",AVERAGEIF(Table1[Category],Table1[[#This Row],[Category]],Table2[orignal data]),Table2[[#This Row],[orignal data]])</f>
        <v>999.60000000000014</v>
      </c>
      <c r="T1373" t="str">
        <f t="shared" si="86"/>
        <v>UNIQUE</v>
      </c>
      <c r="U1373" t="str">
        <f>IF(ISBLANK(Table1[[#This Row],[SizeOption]]),"NOT AVAILABLE",Table1[[#This Row],[SizeOption]])</f>
        <v>S, M, L, XL, XXL</v>
      </c>
      <c r="Y1373" t="str">
        <f>IF(Table2[[#This Row],[Column1]]&gt;50%,"HIGH DISCOUNT","LOW DISCOUNT")</f>
        <v>HIGH DISCOUNT</v>
      </c>
    </row>
    <row r="1374" spans="1:25" x14ac:dyDescent="0.25">
      <c r="A1374" s="1" t="s">
        <v>3032</v>
      </c>
      <c r="B1374" s="1">
        <v>11607366</v>
      </c>
      <c r="C1374" s="1" t="s">
        <v>47</v>
      </c>
      <c r="D1374" s="1" t="s">
        <v>28</v>
      </c>
      <c r="E1374" s="1" t="s">
        <v>42</v>
      </c>
      <c r="F1374" s="1" t="s">
        <v>17</v>
      </c>
      <c r="G1374" s="1" t="s">
        <v>3033</v>
      </c>
      <c r="I1374" s="1">
        <v>604</v>
      </c>
      <c r="J1374" s="1"/>
      <c r="K1374" s="1" t="s">
        <v>26</v>
      </c>
      <c r="L1374" s="1">
        <v>4</v>
      </c>
      <c r="M1374" s="1">
        <v>779</v>
      </c>
      <c r="P1374" t="str">
        <f t="shared" si="87"/>
        <v/>
      </c>
      <c r="Q1374" s="12" t="str">
        <f t="shared" si="84"/>
        <v/>
      </c>
      <c r="R1374" s="9" t="str">
        <f t="shared" si="85"/>
        <v/>
      </c>
      <c r="S1374" s="9">
        <f>IF(R1374="",AVERAGEIF(Table1[Category],Table1[[#This Row],[Category]],Table2[orignal data]),Table2[[#This Row],[orignal data]])</f>
        <v>671.7823941958867</v>
      </c>
      <c r="T1374" t="str">
        <f t="shared" si="86"/>
        <v>UNIQUE</v>
      </c>
      <c r="U1374" t="str">
        <f>IF(ISBLANK(Table1[[#This Row],[SizeOption]]),"NOT AVAILABLE",Table1[[#This Row],[SizeOption]])</f>
        <v>S, M, L, XL</v>
      </c>
      <c r="Y1374" t="str">
        <f>IF(Table2[[#This Row],[Column1]]&gt;50%,"HIGH DISCOUNT","LOW DISCOUNT")</f>
        <v>HIGH DISCOUNT</v>
      </c>
    </row>
    <row r="1375" spans="1:25" x14ac:dyDescent="0.25">
      <c r="A1375" s="2" t="s">
        <v>3034</v>
      </c>
      <c r="B1375" s="2">
        <v>1445626</v>
      </c>
      <c r="C1375" s="2" t="s">
        <v>3035</v>
      </c>
      <c r="D1375" s="2" t="s">
        <v>34</v>
      </c>
      <c r="E1375" s="2" t="s">
        <v>118</v>
      </c>
      <c r="F1375" s="2" t="s">
        <v>36</v>
      </c>
      <c r="G1375" s="2" t="s">
        <v>3036</v>
      </c>
      <c r="H1375">
        <v>388</v>
      </c>
      <c r="I1375" s="2">
        <v>598</v>
      </c>
      <c r="J1375" s="2" t="s">
        <v>44</v>
      </c>
      <c r="K1375" s="2" t="s">
        <v>765</v>
      </c>
      <c r="L1375" s="2">
        <v>3.8</v>
      </c>
      <c r="M1375" s="2">
        <v>779</v>
      </c>
      <c r="P1375" t="str">
        <f t="shared" si="87"/>
        <v>35%</v>
      </c>
      <c r="Q1375" s="12">
        <f t="shared" si="84"/>
        <v>0.35</v>
      </c>
      <c r="R1375" s="9">
        <f t="shared" si="85"/>
        <v>388.70000000000005</v>
      </c>
      <c r="S1375" s="9">
        <f>IF(R1375="",AVERAGEIF(Table1[Category],Table1[[#This Row],[Category]],Table2[orignal data]),Table2[[#This Row],[orignal data]])</f>
        <v>388.70000000000005</v>
      </c>
      <c r="T1375" t="str">
        <f t="shared" si="86"/>
        <v>UNIQUE</v>
      </c>
      <c r="U1375" t="str">
        <f>IF(ISBLANK(Table1[[#This Row],[SizeOption]]),"NOT AVAILABLE",Table1[[#This Row],[SizeOption]])</f>
        <v>30B, 32B, 34B, 36B, 38B, 40B</v>
      </c>
      <c r="Y1375" t="str">
        <f>IF(Table2[[#This Row],[Column1]]&gt;50%,"HIGH DISCOUNT","LOW DISCOUNT")</f>
        <v>LOW DISCOUNT</v>
      </c>
    </row>
    <row r="1376" spans="1:25" x14ac:dyDescent="0.25">
      <c r="A1376" s="1" t="s">
        <v>3037</v>
      </c>
      <c r="B1376" s="1">
        <v>7188688</v>
      </c>
      <c r="C1376" s="1" t="s">
        <v>181</v>
      </c>
      <c r="D1376" s="1" t="s">
        <v>41</v>
      </c>
      <c r="E1376" s="1" t="s">
        <v>368</v>
      </c>
      <c r="F1376" s="1" t="s">
        <v>36</v>
      </c>
      <c r="G1376" s="1" t="s">
        <v>3038</v>
      </c>
      <c r="I1376" s="1">
        <v>1599</v>
      </c>
      <c r="J1376" s="1" t="s">
        <v>84</v>
      </c>
      <c r="K1376" s="1" t="s">
        <v>134</v>
      </c>
      <c r="L1376" s="1">
        <v>4.3</v>
      </c>
      <c r="M1376" s="1">
        <v>779</v>
      </c>
      <c r="P1376" t="str">
        <f t="shared" si="87"/>
        <v>50%</v>
      </c>
      <c r="Q1376" s="12">
        <f t="shared" si="84"/>
        <v>0.5</v>
      </c>
      <c r="R1376" s="9">
        <f t="shared" si="85"/>
        <v>799.5</v>
      </c>
      <c r="S1376" s="9">
        <f>IF(R1376="",AVERAGEIF(Table1[Category],Table1[[#This Row],[Category]],Table2[orignal data]),Table2[[#This Row],[orignal data]])</f>
        <v>799.5</v>
      </c>
      <c r="T1376" t="str">
        <f t="shared" si="86"/>
        <v>UNIQUE</v>
      </c>
      <c r="U1376" t="str">
        <f>IF(ISBLANK(Table1[[#This Row],[SizeOption]]),"NOT AVAILABLE",Table1[[#This Row],[SizeOption]])</f>
        <v>26, 28, 30, 32, 34, 36</v>
      </c>
      <c r="Y1376" t="str">
        <f>IF(Table2[[#This Row],[Column1]]&gt;50%,"HIGH DISCOUNT","LOW DISCOUNT")</f>
        <v>LOW DISCOUNT</v>
      </c>
    </row>
    <row r="1377" spans="1:25" x14ac:dyDescent="0.25">
      <c r="A1377" s="2" t="s">
        <v>3039</v>
      </c>
      <c r="B1377" s="2">
        <v>12303736</v>
      </c>
      <c r="C1377" s="2" t="s">
        <v>14</v>
      </c>
      <c r="D1377" s="2" t="s">
        <v>15</v>
      </c>
      <c r="E1377" s="2" t="s">
        <v>16</v>
      </c>
      <c r="F1377" s="2" t="s">
        <v>17</v>
      </c>
      <c r="G1377" s="2" t="s">
        <v>2765</v>
      </c>
      <c r="H1377">
        <v>764</v>
      </c>
      <c r="I1377" s="2">
        <v>1699</v>
      </c>
      <c r="J1377" s="2" t="s">
        <v>25</v>
      </c>
      <c r="K1377" s="2" t="s">
        <v>20</v>
      </c>
      <c r="L1377" s="2">
        <v>3.9</v>
      </c>
      <c r="M1377" s="2">
        <v>778</v>
      </c>
      <c r="P1377" t="str">
        <f t="shared" si="87"/>
        <v>55%</v>
      </c>
      <c r="Q1377" s="12">
        <f t="shared" si="84"/>
        <v>0.55000000000000004</v>
      </c>
      <c r="R1377" s="9">
        <f t="shared" si="85"/>
        <v>764.55</v>
      </c>
      <c r="S1377" s="9">
        <f>IF(R1377="",AVERAGEIF(Table1[Category],Table1[[#This Row],[Category]],Table2[orignal data]),Table2[[#This Row],[orignal data]])</f>
        <v>764.55</v>
      </c>
      <c r="T1377" t="str">
        <f t="shared" si="86"/>
        <v>UNIQUE</v>
      </c>
      <c r="U1377" t="str">
        <f>IF(ISBLANK(Table1[[#This Row],[SizeOption]]),"NOT AVAILABLE",Table1[[#This Row],[SizeOption]])</f>
        <v>28, 30, 32, 34, 36</v>
      </c>
      <c r="Y1377" t="str">
        <f>IF(Table2[[#This Row],[Column1]]&gt;50%,"HIGH DISCOUNT","LOW DISCOUNT")</f>
        <v>HIGH DISCOUNT</v>
      </c>
    </row>
    <row r="1378" spans="1:25" x14ac:dyDescent="0.25">
      <c r="A1378" s="1" t="s">
        <v>3040</v>
      </c>
      <c r="B1378" s="1">
        <v>8325311</v>
      </c>
      <c r="C1378" s="1" t="s">
        <v>47</v>
      </c>
      <c r="D1378" s="1" t="s">
        <v>28</v>
      </c>
      <c r="E1378" s="1" t="s">
        <v>42</v>
      </c>
      <c r="F1378" s="1" t="s">
        <v>17</v>
      </c>
      <c r="G1378" s="1" t="s">
        <v>3041</v>
      </c>
      <c r="H1378">
        <v>649</v>
      </c>
      <c r="I1378" s="1">
        <v>1299</v>
      </c>
      <c r="J1378" s="1" t="s">
        <v>84</v>
      </c>
      <c r="K1378" s="1" t="s">
        <v>26</v>
      </c>
      <c r="L1378" s="1">
        <v>4.4000000000000004</v>
      </c>
      <c r="M1378" s="1">
        <v>778</v>
      </c>
      <c r="P1378" t="str">
        <f t="shared" si="87"/>
        <v>50%</v>
      </c>
      <c r="Q1378" s="12">
        <f t="shared" si="84"/>
        <v>0.5</v>
      </c>
      <c r="R1378" s="9">
        <f t="shared" si="85"/>
        <v>649.5</v>
      </c>
      <c r="S1378" s="9">
        <f>IF(R1378="",AVERAGEIF(Table1[Category],Table1[[#This Row],[Category]],Table2[orignal data]),Table2[[#This Row],[orignal data]])</f>
        <v>649.5</v>
      </c>
      <c r="T1378" t="str">
        <f t="shared" si="86"/>
        <v>UNIQUE</v>
      </c>
      <c r="U1378" t="str">
        <f>IF(ISBLANK(Table1[[#This Row],[SizeOption]]),"NOT AVAILABLE",Table1[[#This Row],[SizeOption]])</f>
        <v>S, M, L, XL</v>
      </c>
      <c r="Y1378" t="str">
        <f>IF(Table2[[#This Row],[Column1]]&gt;50%,"HIGH DISCOUNT","LOW DISCOUNT")</f>
        <v>LOW DISCOUNT</v>
      </c>
    </row>
    <row r="1379" spans="1:25" x14ac:dyDescent="0.25">
      <c r="A1379" s="2" t="s">
        <v>3042</v>
      </c>
      <c r="B1379" s="2">
        <v>7255964</v>
      </c>
      <c r="C1379" s="2" t="s">
        <v>14</v>
      </c>
      <c r="D1379" s="2" t="s">
        <v>28</v>
      </c>
      <c r="E1379" s="2" t="s">
        <v>29</v>
      </c>
      <c r="F1379" s="2" t="s">
        <v>17</v>
      </c>
      <c r="G1379" s="2" t="s">
        <v>3043</v>
      </c>
      <c r="H1379">
        <v>674</v>
      </c>
      <c r="I1379" s="2">
        <v>1499</v>
      </c>
      <c r="J1379" s="2" t="s">
        <v>25</v>
      </c>
      <c r="K1379" s="2" t="s">
        <v>253</v>
      </c>
      <c r="L1379" s="2">
        <v>4.2</v>
      </c>
      <c r="M1379" s="2">
        <v>778</v>
      </c>
      <c r="P1379" t="str">
        <f t="shared" si="87"/>
        <v>55%</v>
      </c>
      <c r="Q1379" s="12">
        <f t="shared" si="84"/>
        <v>0.55000000000000004</v>
      </c>
      <c r="R1379" s="9">
        <f t="shared" si="85"/>
        <v>674.55</v>
      </c>
      <c r="S1379" s="9">
        <f>IF(R1379="",AVERAGEIF(Table1[Category],Table1[[#This Row],[Category]],Table2[orignal data]),Table2[[#This Row],[orignal data]])</f>
        <v>674.55</v>
      </c>
      <c r="T1379" t="str">
        <f t="shared" si="86"/>
        <v>UNIQUE</v>
      </c>
      <c r="U1379" t="str">
        <f>IF(ISBLANK(Table1[[#This Row],[SizeOption]]),"NOT AVAILABLE",Table1[[#This Row],[SizeOption]])</f>
        <v>38, 40, 42, 44</v>
      </c>
      <c r="Y1379" t="str">
        <f>IF(Table2[[#This Row],[Column1]]&gt;50%,"HIGH DISCOUNT","LOW DISCOUNT")</f>
        <v>HIGH DISCOUNT</v>
      </c>
    </row>
    <row r="1380" spans="1:25" x14ac:dyDescent="0.25">
      <c r="A1380" s="1" t="s">
        <v>3044</v>
      </c>
      <c r="B1380" s="1">
        <v>8363939</v>
      </c>
      <c r="C1380" s="1" t="s">
        <v>346</v>
      </c>
      <c r="D1380" s="1" t="s">
        <v>28</v>
      </c>
      <c r="E1380" s="1" t="s">
        <v>42</v>
      </c>
      <c r="F1380" s="1" t="s">
        <v>17</v>
      </c>
      <c r="G1380" s="1" t="s">
        <v>3045</v>
      </c>
      <c r="H1380">
        <v>314</v>
      </c>
      <c r="I1380" s="1">
        <v>699</v>
      </c>
      <c r="J1380" s="1" t="s">
        <v>25</v>
      </c>
      <c r="K1380" s="1" t="s">
        <v>39</v>
      </c>
      <c r="L1380" s="1">
        <v>4</v>
      </c>
      <c r="M1380" s="1">
        <v>778</v>
      </c>
      <c r="P1380" t="str">
        <f t="shared" si="87"/>
        <v>55%</v>
      </c>
      <c r="Q1380" s="12">
        <f t="shared" si="84"/>
        <v>0.55000000000000004</v>
      </c>
      <c r="R1380" s="9">
        <f t="shared" si="85"/>
        <v>314.54999999999995</v>
      </c>
      <c r="S1380" s="9">
        <f>IF(R1380="",AVERAGEIF(Table1[Category],Table1[[#This Row],[Category]],Table2[orignal data]),Table2[[#This Row],[orignal data]])</f>
        <v>314.54999999999995</v>
      </c>
      <c r="T1380" t="str">
        <f t="shared" si="86"/>
        <v>UNIQUE</v>
      </c>
      <c r="U1380" t="str">
        <f>IF(ISBLANK(Table1[[#This Row],[SizeOption]]),"NOT AVAILABLE",Table1[[#This Row],[SizeOption]])</f>
        <v>S, M, L, XL, XXL</v>
      </c>
      <c r="Y1380" t="str">
        <f>IF(Table2[[#This Row],[Column1]]&gt;50%,"HIGH DISCOUNT","LOW DISCOUNT")</f>
        <v>HIGH DISCOUNT</v>
      </c>
    </row>
    <row r="1381" spans="1:25" x14ac:dyDescent="0.25">
      <c r="A1381" s="2" t="s">
        <v>3046</v>
      </c>
      <c r="B1381" s="2">
        <v>1757974</v>
      </c>
      <c r="C1381" s="2" t="s">
        <v>201</v>
      </c>
      <c r="D1381" s="2" t="s">
        <v>76</v>
      </c>
      <c r="E1381" s="2" t="s">
        <v>93</v>
      </c>
      <c r="F1381" s="2" t="s">
        <v>36</v>
      </c>
      <c r="G1381" s="2" t="s">
        <v>3047</v>
      </c>
      <c r="H1381">
        <v>769</v>
      </c>
      <c r="I1381" s="2">
        <v>1399</v>
      </c>
      <c r="J1381" s="2" t="s">
        <v>19</v>
      </c>
      <c r="K1381" s="2" t="s">
        <v>100</v>
      </c>
      <c r="L1381" s="2">
        <v>4.0999999999999996</v>
      </c>
      <c r="M1381" s="2">
        <v>778</v>
      </c>
      <c r="P1381" t="str">
        <f t="shared" si="87"/>
        <v>45%</v>
      </c>
      <c r="Q1381" s="12">
        <f t="shared" si="84"/>
        <v>0.45</v>
      </c>
      <c r="R1381" s="9">
        <f t="shared" si="85"/>
        <v>769.44999999999993</v>
      </c>
      <c r="S1381" s="9">
        <f>IF(R1381="",AVERAGEIF(Table1[Category],Table1[[#This Row],[Category]],Table2[orignal data]),Table2[[#This Row],[orignal data]])</f>
        <v>769.44999999999993</v>
      </c>
      <c r="T1381" t="str">
        <f t="shared" si="86"/>
        <v>UNIQUE</v>
      </c>
      <c r="U1381" t="str">
        <f>IF(ISBLANK(Table1[[#This Row],[SizeOption]]),"NOT AVAILABLE",Table1[[#This Row],[SizeOption]])</f>
        <v>XS, S, M, L, XL, XXL, 3XL</v>
      </c>
      <c r="Y1381" t="str">
        <f>IF(Table2[[#This Row],[Column1]]&gt;50%,"HIGH DISCOUNT","LOW DISCOUNT")</f>
        <v>LOW DISCOUNT</v>
      </c>
    </row>
    <row r="1382" spans="1:25" x14ac:dyDescent="0.25">
      <c r="A1382" s="1" t="s">
        <v>3048</v>
      </c>
      <c r="B1382" s="1">
        <v>110269</v>
      </c>
      <c r="C1382" s="1" t="s">
        <v>3049</v>
      </c>
      <c r="D1382" s="1" t="s">
        <v>76</v>
      </c>
      <c r="E1382" s="1" t="s">
        <v>365</v>
      </c>
      <c r="F1382" s="1" t="s">
        <v>36</v>
      </c>
      <c r="G1382" s="1" t="s">
        <v>3050</v>
      </c>
      <c r="H1382">
        <v>999</v>
      </c>
      <c r="I1382" s="1">
        <v>2499</v>
      </c>
      <c r="J1382" s="1" t="s">
        <v>55</v>
      </c>
      <c r="K1382" s="1" t="s">
        <v>115</v>
      </c>
      <c r="L1382" s="1">
        <v>3.6</v>
      </c>
      <c r="M1382" s="1">
        <v>778</v>
      </c>
      <c r="P1382" t="str">
        <f t="shared" si="87"/>
        <v>60%</v>
      </c>
      <c r="Q1382" s="12">
        <f t="shared" si="84"/>
        <v>0.6</v>
      </c>
      <c r="R1382" s="9">
        <f t="shared" si="85"/>
        <v>999.60000000000014</v>
      </c>
      <c r="S1382" s="9">
        <f>IF(R1382="",AVERAGEIF(Table1[Category],Table1[[#This Row],[Category]],Table2[orignal data]),Table2[[#This Row],[orignal data]])</f>
        <v>999.60000000000014</v>
      </c>
      <c r="T1382" t="str">
        <f t="shared" si="86"/>
        <v>UNIQUE</v>
      </c>
      <c r="U1382" t="str">
        <f>IF(ISBLANK(Table1[[#This Row],[SizeOption]]),"NOT AVAILABLE",Table1[[#This Row],[SizeOption]])</f>
        <v>XS, S, M, L, XL, XXL</v>
      </c>
      <c r="Y1382" t="str">
        <f>IF(Table2[[#This Row],[Column1]]&gt;50%,"HIGH DISCOUNT","LOW DISCOUNT")</f>
        <v>HIGH DISCOUNT</v>
      </c>
    </row>
    <row r="1383" spans="1:25" x14ac:dyDescent="0.25">
      <c r="A1383" s="2" t="s">
        <v>3051</v>
      </c>
      <c r="B1383" s="2">
        <v>7726509</v>
      </c>
      <c r="C1383" s="2" t="s">
        <v>92</v>
      </c>
      <c r="D1383" s="2" t="s">
        <v>76</v>
      </c>
      <c r="E1383" s="2" t="s">
        <v>148</v>
      </c>
      <c r="F1383" s="2" t="s">
        <v>36</v>
      </c>
      <c r="G1383" s="2" t="s">
        <v>3052</v>
      </c>
      <c r="H1383">
        <v>1739</v>
      </c>
      <c r="I1383" s="2">
        <v>4349</v>
      </c>
      <c r="J1383" s="2" t="s">
        <v>55</v>
      </c>
      <c r="K1383" s="2" t="s">
        <v>39</v>
      </c>
      <c r="L1383" s="2">
        <v>4.0999999999999996</v>
      </c>
      <c r="M1383" s="2">
        <v>778</v>
      </c>
      <c r="P1383" t="str">
        <f t="shared" si="87"/>
        <v>60%</v>
      </c>
      <c r="Q1383" s="12">
        <f t="shared" si="84"/>
        <v>0.6</v>
      </c>
      <c r="R1383" s="9">
        <f t="shared" si="85"/>
        <v>1739.6</v>
      </c>
      <c r="S1383" s="9">
        <f>IF(R1383="",AVERAGEIF(Table1[Category],Table1[[#This Row],[Category]],Table2[orignal data]),Table2[[#This Row],[orignal data]])</f>
        <v>1739.6</v>
      </c>
      <c r="T1383" t="str">
        <f t="shared" si="86"/>
        <v>UNIQUE</v>
      </c>
      <c r="U1383" t="str">
        <f>IF(ISBLANK(Table1[[#This Row],[SizeOption]]),"NOT AVAILABLE",Table1[[#This Row],[SizeOption]])</f>
        <v>S, M, L, XL, XXL</v>
      </c>
      <c r="Y1383" t="str">
        <f>IF(Table2[[#This Row],[Column1]]&gt;50%,"HIGH DISCOUNT","LOW DISCOUNT")</f>
        <v>HIGH DISCOUNT</v>
      </c>
    </row>
    <row r="1384" spans="1:25" x14ac:dyDescent="0.25">
      <c r="A1384" s="1" t="s">
        <v>3053</v>
      </c>
      <c r="B1384" s="1">
        <v>11005690</v>
      </c>
      <c r="C1384" s="1" t="s">
        <v>107</v>
      </c>
      <c r="D1384" s="1" t="s">
        <v>41</v>
      </c>
      <c r="E1384" s="1" t="s">
        <v>148</v>
      </c>
      <c r="F1384" s="1" t="s">
        <v>36</v>
      </c>
      <c r="G1384" s="1" t="s">
        <v>3054</v>
      </c>
      <c r="I1384" s="1">
        <v>2199</v>
      </c>
      <c r="J1384" s="1" t="s">
        <v>84</v>
      </c>
      <c r="K1384" s="1" t="s">
        <v>45</v>
      </c>
      <c r="L1384" s="1">
        <v>4.5999999999999996</v>
      </c>
      <c r="M1384" s="1">
        <v>778</v>
      </c>
      <c r="P1384" t="str">
        <f t="shared" si="87"/>
        <v>50%</v>
      </c>
      <c r="Q1384" s="12">
        <f t="shared" si="84"/>
        <v>0.5</v>
      </c>
      <c r="R1384" s="9">
        <f t="shared" si="85"/>
        <v>1099.5</v>
      </c>
      <c r="S1384" s="9">
        <f>IF(R1384="",AVERAGEIF(Table1[Category],Table1[[#This Row],[Category]],Table2[orignal data]),Table2[[#This Row],[orignal data]])</f>
        <v>1099.5</v>
      </c>
      <c r="T1384" t="str">
        <f t="shared" si="86"/>
        <v>UNIQUE</v>
      </c>
      <c r="U1384" t="str">
        <f>IF(ISBLANK(Table1[[#This Row],[SizeOption]]),"NOT AVAILABLE",Table1[[#This Row],[SizeOption]])</f>
        <v>XS, S, M, L, XL</v>
      </c>
      <c r="Y1384" t="str">
        <f>IF(Table2[[#This Row],[Column1]]&gt;50%,"HIGH DISCOUNT","LOW DISCOUNT")</f>
        <v>LOW DISCOUNT</v>
      </c>
    </row>
    <row r="1385" spans="1:25" x14ac:dyDescent="0.25">
      <c r="A1385" s="2" t="s">
        <v>3055</v>
      </c>
      <c r="B1385" s="2">
        <v>2522850</v>
      </c>
      <c r="C1385" s="2" t="s">
        <v>107</v>
      </c>
      <c r="D1385" s="2" t="s">
        <v>41</v>
      </c>
      <c r="E1385" s="2" t="s">
        <v>42</v>
      </c>
      <c r="F1385" s="2" t="s">
        <v>36</v>
      </c>
      <c r="G1385" s="2" t="s">
        <v>3056</v>
      </c>
      <c r="I1385" s="2">
        <v>999</v>
      </c>
      <c r="J1385" s="2" t="s">
        <v>79</v>
      </c>
      <c r="K1385" s="2" t="s">
        <v>26</v>
      </c>
      <c r="L1385" s="2">
        <v>4.2</v>
      </c>
      <c r="M1385" s="2">
        <v>778</v>
      </c>
      <c r="P1385" t="str">
        <f t="shared" si="87"/>
        <v>70%</v>
      </c>
      <c r="Q1385" s="12">
        <f t="shared" si="84"/>
        <v>0.7</v>
      </c>
      <c r="R1385" s="9">
        <f t="shared" si="85"/>
        <v>299.70000000000005</v>
      </c>
      <c r="S1385" s="9">
        <f>IF(R1385="",AVERAGEIF(Table1[Category],Table1[[#This Row],[Category]],Table2[orignal data]),Table2[[#This Row],[orignal data]])</f>
        <v>299.70000000000005</v>
      </c>
      <c r="T1385" t="str">
        <f t="shared" si="86"/>
        <v>UNIQUE</v>
      </c>
      <c r="U1385" t="str">
        <f>IF(ISBLANK(Table1[[#This Row],[SizeOption]]),"NOT AVAILABLE",Table1[[#This Row],[SizeOption]])</f>
        <v>S, M, L, XL</v>
      </c>
      <c r="Y1385" t="str">
        <f>IF(Table2[[#This Row],[Column1]]&gt;50%,"HIGH DISCOUNT","LOW DISCOUNT")</f>
        <v>HIGH DISCOUNT</v>
      </c>
    </row>
    <row r="1386" spans="1:25" x14ac:dyDescent="0.25">
      <c r="A1386" s="1" t="s">
        <v>3057</v>
      </c>
      <c r="B1386" s="1">
        <v>10415114</v>
      </c>
      <c r="C1386" s="1" t="s">
        <v>841</v>
      </c>
      <c r="D1386" s="1" t="s">
        <v>15</v>
      </c>
      <c r="E1386" s="1" t="s">
        <v>16</v>
      </c>
      <c r="F1386" s="1" t="s">
        <v>17</v>
      </c>
      <c r="G1386" s="1" t="s">
        <v>3058</v>
      </c>
      <c r="H1386">
        <v>1138</v>
      </c>
      <c r="I1386" s="1">
        <v>1898</v>
      </c>
      <c r="J1386" s="1" t="s">
        <v>50</v>
      </c>
      <c r="K1386" s="1" t="s">
        <v>20</v>
      </c>
      <c r="L1386" s="1">
        <v>3.3</v>
      </c>
      <c r="M1386" s="1">
        <v>777</v>
      </c>
      <c r="P1386" t="str">
        <f t="shared" si="87"/>
        <v>40%</v>
      </c>
      <c r="Q1386" s="12">
        <f t="shared" si="84"/>
        <v>0.4</v>
      </c>
      <c r="R1386" s="9">
        <f t="shared" si="85"/>
        <v>1138.8</v>
      </c>
      <c r="S1386" s="9">
        <f>IF(R1386="",AVERAGEIF(Table1[Category],Table1[[#This Row],[Category]],Table2[orignal data]),Table2[[#This Row],[orignal data]])</f>
        <v>1138.8</v>
      </c>
      <c r="T1386" t="str">
        <f t="shared" si="86"/>
        <v>UNIQUE</v>
      </c>
      <c r="U1386" t="str">
        <f>IF(ISBLANK(Table1[[#This Row],[SizeOption]]),"NOT AVAILABLE",Table1[[#This Row],[SizeOption]])</f>
        <v>28, 30, 32, 34, 36</v>
      </c>
      <c r="Y1386" t="str">
        <f>IF(Table2[[#This Row],[Column1]]&gt;50%,"HIGH DISCOUNT","LOW DISCOUNT")</f>
        <v>LOW DISCOUNT</v>
      </c>
    </row>
    <row r="1387" spans="1:25" x14ac:dyDescent="0.25">
      <c r="A1387" s="2" t="s">
        <v>3059</v>
      </c>
      <c r="B1387" s="2">
        <v>10398073</v>
      </c>
      <c r="C1387" s="2" t="s">
        <v>14</v>
      </c>
      <c r="D1387" s="2" t="s">
        <v>28</v>
      </c>
      <c r="E1387" s="2" t="s">
        <v>29</v>
      </c>
      <c r="F1387" s="2" t="s">
        <v>17</v>
      </c>
      <c r="G1387" s="2" t="s">
        <v>3060</v>
      </c>
      <c r="H1387">
        <v>899</v>
      </c>
      <c r="I1387" s="2">
        <v>1499</v>
      </c>
      <c r="J1387" s="2" t="s">
        <v>50</v>
      </c>
      <c r="K1387" s="2" t="s">
        <v>253</v>
      </c>
      <c r="L1387" s="2">
        <v>4.2</v>
      </c>
      <c r="M1387" s="2">
        <v>777</v>
      </c>
      <c r="P1387" t="str">
        <f t="shared" si="87"/>
        <v>40%</v>
      </c>
      <c r="Q1387" s="12">
        <f t="shared" si="84"/>
        <v>0.4</v>
      </c>
      <c r="R1387" s="9">
        <f t="shared" si="85"/>
        <v>899.4</v>
      </c>
      <c r="S1387" s="9">
        <f>IF(R1387="",AVERAGEIF(Table1[Category],Table1[[#This Row],[Category]],Table2[orignal data]),Table2[[#This Row],[orignal data]])</f>
        <v>899.4</v>
      </c>
      <c r="T1387" t="str">
        <f t="shared" si="86"/>
        <v>UNIQUE</v>
      </c>
      <c r="U1387" t="str">
        <f>IF(ISBLANK(Table1[[#This Row],[SizeOption]]),"NOT AVAILABLE",Table1[[#This Row],[SizeOption]])</f>
        <v>38, 40, 42, 44</v>
      </c>
      <c r="Y1387" t="str">
        <f>IF(Table2[[#This Row],[Column1]]&gt;50%,"HIGH DISCOUNT","LOW DISCOUNT")</f>
        <v>LOW DISCOUNT</v>
      </c>
    </row>
    <row r="1388" spans="1:25" x14ac:dyDescent="0.25">
      <c r="A1388" s="1" t="s">
        <v>3061</v>
      </c>
      <c r="B1388" s="1">
        <v>13592722</v>
      </c>
      <c r="C1388" s="1" t="s">
        <v>75</v>
      </c>
      <c r="D1388" s="1" t="s">
        <v>76</v>
      </c>
      <c r="E1388" s="1" t="s">
        <v>406</v>
      </c>
      <c r="F1388" s="1" t="s">
        <v>36</v>
      </c>
      <c r="G1388" s="1" t="s">
        <v>3062</v>
      </c>
      <c r="H1388">
        <v>961</v>
      </c>
      <c r="I1388" s="1">
        <v>2599</v>
      </c>
      <c r="J1388" s="1" t="s">
        <v>476</v>
      </c>
      <c r="K1388" s="1" t="s">
        <v>39</v>
      </c>
      <c r="L1388" s="1">
        <v>3.9</v>
      </c>
      <c r="M1388" s="1">
        <v>777</v>
      </c>
      <c r="P1388" t="str">
        <f t="shared" si="87"/>
        <v>63%</v>
      </c>
      <c r="Q1388" s="12">
        <f t="shared" si="84"/>
        <v>0.63</v>
      </c>
      <c r="R1388" s="9">
        <f t="shared" si="85"/>
        <v>961.62999999999988</v>
      </c>
      <c r="S1388" s="9">
        <f>IF(R1388="",AVERAGEIF(Table1[Category],Table1[[#This Row],[Category]],Table2[orignal data]),Table2[[#This Row],[orignal data]])</f>
        <v>961.62999999999988</v>
      </c>
      <c r="T1388" t="str">
        <f t="shared" si="86"/>
        <v>UNIQUE</v>
      </c>
      <c r="U1388" t="str">
        <f>IF(ISBLANK(Table1[[#This Row],[SizeOption]]),"NOT AVAILABLE",Table1[[#This Row],[SizeOption]])</f>
        <v>S, M, L, XL, XXL</v>
      </c>
      <c r="Y1388" t="str">
        <f>IF(Table2[[#This Row],[Column1]]&gt;50%,"HIGH DISCOUNT","LOW DISCOUNT")</f>
        <v>HIGH DISCOUNT</v>
      </c>
    </row>
    <row r="1389" spans="1:25" x14ac:dyDescent="0.25">
      <c r="A1389" s="2" t="s">
        <v>3063</v>
      </c>
      <c r="B1389" s="2">
        <v>7674432</v>
      </c>
      <c r="C1389" s="2" t="s">
        <v>64</v>
      </c>
      <c r="D1389" s="2" t="s">
        <v>98</v>
      </c>
      <c r="E1389" s="2" t="s">
        <v>189</v>
      </c>
      <c r="F1389" s="2" t="s">
        <v>36</v>
      </c>
      <c r="G1389" s="2" t="s">
        <v>3064</v>
      </c>
      <c r="H1389">
        <v>749</v>
      </c>
      <c r="I1389" s="2">
        <v>2999</v>
      </c>
      <c r="J1389" s="2" t="s">
        <v>109</v>
      </c>
      <c r="K1389" s="2" t="s">
        <v>115</v>
      </c>
      <c r="L1389" s="2">
        <v>4.4000000000000004</v>
      </c>
      <c r="M1389" s="2">
        <v>777</v>
      </c>
      <c r="P1389" t="str">
        <f t="shared" si="87"/>
        <v>75%</v>
      </c>
      <c r="Q1389" s="12">
        <f t="shared" si="84"/>
        <v>0.75</v>
      </c>
      <c r="R1389" s="9">
        <f t="shared" si="85"/>
        <v>749.75</v>
      </c>
      <c r="S1389" s="9">
        <f>IF(R1389="",AVERAGEIF(Table1[Category],Table1[[#This Row],[Category]],Table2[orignal data]),Table2[[#This Row],[orignal data]])</f>
        <v>749.75</v>
      </c>
      <c r="T1389" t="str">
        <f t="shared" si="86"/>
        <v>UNIQUE</v>
      </c>
      <c r="U1389" t="str">
        <f>IF(ISBLANK(Table1[[#This Row],[SizeOption]]),"NOT AVAILABLE",Table1[[#This Row],[SizeOption]])</f>
        <v>XS, S, M, L, XL, XXL</v>
      </c>
      <c r="Y1389" t="str">
        <f>IF(Table2[[#This Row],[Column1]]&gt;50%,"HIGH DISCOUNT","LOW DISCOUNT")</f>
        <v>HIGH DISCOUNT</v>
      </c>
    </row>
    <row r="1390" spans="1:25" x14ac:dyDescent="0.25">
      <c r="A1390" s="1" t="s">
        <v>3065</v>
      </c>
      <c r="B1390" s="1">
        <v>11739156</v>
      </c>
      <c r="C1390" s="1" t="s">
        <v>64</v>
      </c>
      <c r="D1390" s="1" t="s">
        <v>15</v>
      </c>
      <c r="E1390" s="1" t="s">
        <v>16</v>
      </c>
      <c r="F1390" s="1" t="s">
        <v>17</v>
      </c>
      <c r="G1390" s="1" t="s">
        <v>3066</v>
      </c>
      <c r="H1390">
        <v>979</v>
      </c>
      <c r="I1390" s="1">
        <v>2799</v>
      </c>
      <c r="J1390" s="1" t="s">
        <v>150</v>
      </c>
      <c r="K1390" s="1" t="s">
        <v>20</v>
      </c>
      <c r="L1390" s="1">
        <v>3.8</v>
      </c>
      <c r="M1390" s="1">
        <v>776</v>
      </c>
      <c r="P1390" t="str">
        <f t="shared" si="87"/>
        <v>65%</v>
      </c>
      <c r="Q1390" s="12">
        <f t="shared" si="84"/>
        <v>0.65</v>
      </c>
      <c r="R1390" s="9">
        <f t="shared" si="85"/>
        <v>979.64999999999986</v>
      </c>
      <c r="S1390" s="9">
        <f>IF(R1390="",AVERAGEIF(Table1[Category],Table1[[#This Row],[Category]],Table2[orignal data]),Table2[[#This Row],[orignal data]])</f>
        <v>979.64999999999986</v>
      </c>
      <c r="T1390" t="str">
        <f t="shared" si="86"/>
        <v>UNIQUE</v>
      </c>
      <c r="U1390" t="str">
        <f>IF(ISBLANK(Table1[[#This Row],[SizeOption]]),"NOT AVAILABLE",Table1[[#This Row],[SizeOption]])</f>
        <v>28, 30, 32, 34, 36</v>
      </c>
      <c r="Y1390" t="str">
        <f>IF(Table2[[#This Row],[Column1]]&gt;50%,"HIGH DISCOUNT","LOW DISCOUNT")</f>
        <v>HIGH DISCOUNT</v>
      </c>
    </row>
    <row r="1391" spans="1:25" x14ac:dyDescent="0.25">
      <c r="A1391" s="2" t="s">
        <v>3067</v>
      </c>
      <c r="B1391" s="2">
        <v>7733672</v>
      </c>
      <c r="C1391" s="2" t="s">
        <v>14</v>
      </c>
      <c r="D1391" s="2" t="s">
        <v>15</v>
      </c>
      <c r="E1391" s="2" t="s">
        <v>16</v>
      </c>
      <c r="F1391" s="2" t="s">
        <v>17</v>
      </c>
      <c r="G1391" s="2" t="s">
        <v>3068</v>
      </c>
      <c r="H1391">
        <v>854</v>
      </c>
      <c r="I1391" s="2">
        <v>1899</v>
      </c>
      <c r="J1391" s="2" t="s">
        <v>25</v>
      </c>
      <c r="K1391" s="2" t="s">
        <v>20</v>
      </c>
      <c r="L1391" s="2">
        <v>3.9</v>
      </c>
      <c r="M1391" s="2">
        <v>776</v>
      </c>
      <c r="P1391" t="str">
        <f t="shared" si="87"/>
        <v>55%</v>
      </c>
      <c r="Q1391" s="12">
        <f t="shared" si="84"/>
        <v>0.55000000000000004</v>
      </c>
      <c r="R1391" s="9">
        <f t="shared" si="85"/>
        <v>854.55</v>
      </c>
      <c r="S1391" s="9">
        <f>IF(R1391="",AVERAGEIF(Table1[Category],Table1[[#This Row],[Category]],Table2[orignal data]),Table2[[#This Row],[orignal data]])</f>
        <v>854.55</v>
      </c>
      <c r="T1391" t="str">
        <f t="shared" si="86"/>
        <v>UNIQUE</v>
      </c>
      <c r="U1391" t="str">
        <f>IF(ISBLANK(Table1[[#This Row],[SizeOption]]),"NOT AVAILABLE",Table1[[#This Row],[SizeOption]])</f>
        <v>28, 30, 32, 34, 36</v>
      </c>
      <c r="Y1391" t="str">
        <f>IF(Table2[[#This Row],[Column1]]&gt;50%,"HIGH DISCOUNT","LOW DISCOUNT")</f>
        <v>HIGH DISCOUNT</v>
      </c>
    </row>
    <row r="1392" spans="1:25" x14ac:dyDescent="0.25">
      <c r="A1392" s="1" t="s">
        <v>3069</v>
      </c>
      <c r="B1392" s="1">
        <v>13662282</v>
      </c>
      <c r="C1392" s="1" t="s">
        <v>52</v>
      </c>
      <c r="D1392" s="1" t="s">
        <v>15</v>
      </c>
      <c r="E1392" s="1" t="s">
        <v>16</v>
      </c>
      <c r="F1392" s="1" t="s">
        <v>17</v>
      </c>
      <c r="G1392" s="1" t="s">
        <v>3070</v>
      </c>
      <c r="H1392">
        <v>681</v>
      </c>
      <c r="I1392" s="1">
        <v>1449</v>
      </c>
      <c r="J1392" s="1" t="s">
        <v>89</v>
      </c>
      <c r="K1392" s="1" t="s">
        <v>816</v>
      </c>
      <c r="L1392" s="1">
        <v>3.8</v>
      </c>
      <c r="M1392" s="1">
        <v>776</v>
      </c>
      <c r="P1392" t="str">
        <f t="shared" si="87"/>
        <v>53%</v>
      </c>
      <c r="Q1392" s="12">
        <f t="shared" si="84"/>
        <v>0.53</v>
      </c>
      <c r="R1392" s="9">
        <f t="shared" si="85"/>
        <v>681.03</v>
      </c>
      <c r="S1392" s="9">
        <f>IF(R1392="",AVERAGEIF(Table1[Category],Table1[[#This Row],[Category]],Table2[orignal data]),Table2[[#This Row],[orignal data]])</f>
        <v>681.03</v>
      </c>
      <c r="T1392" t="str">
        <f t="shared" si="86"/>
        <v>UNIQUE</v>
      </c>
      <c r="U1392" t="str">
        <f>IF(ISBLANK(Table1[[#This Row],[SizeOption]]),"NOT AVAILABLE",Table1[[#This Row],[SizeOption]])</f>
        <v>30, 32, 34, 36, 38</v>
      </c>
      <c r="Y1392" t="str">
        <f>IF(Table2[[#This Row],[Column1]]&gt;50%,"HIGH DISCOUNT","LOW DISCOUNT")</f>
        <v>HIGH DISCOUNT</v>
      </c>
    </row>
    <row r="1393" spans="1:25" x14ac:dyDescent="0.25">
      <c r="A1393" s="2" t="s">
        <v>3071</v>
      </c>
      <c r="B1393" s="2">
        <v>11896672</v>
      </c>
      <c r="C1393" s="2" t="s">
        <v>47</v>
      </c>
      <c r="D1393" s="2" t="s">
        <v>28</v>
      </c>
      <c r="E1393" s="2" t="s">
        <v>42</v>
      </c>
      <c r="F1393" s="2" t="s">
        <v>17</v>
      </c>
      <c r="G1393" s="2" t="s">
        <v>3072</v>
      </c>
      <c r="H1393">
        <v>769</v>
      </c>
      <c r="I1393" s="2">
        <v>1399</v>
      </c>
      <c r="J1393" s="2" t="s">
        <v>19</v>
      </c>
      <c r="K1393" s="2" t="s">
        <v>26</v>
      </c>
      <c r="L1393" s="2">
        <v>4.3</v>
      </c>
      <c r="M1393" s="2">
        <v>776</v>
      </c>
      <c r="P1393" t="str">
        <f t="shared" si="87"/>
        <v>45%</v>
      </c>
      <c r="Q1393" s="12">
        <f t="shared" si="84"/>
        <v>0.45</v>
      </c>
      <c r="R1393" s="9">
        <f t="shared" si="85"/>
        <v>769.44999999999993</v>
      </c>
      <c r="S1393" s="9">
        <f>IF(R1393="",AVERAGEIF(Table1[Category],Table1[[#This Row],[Category]],Table2[orignal data]),Table2[[#This Row],[orignal data]])</f>
        <v>769.44999999999993</v>
      </c>
      <c r="T1393" t="str">
        <f t="shared" si="86"/>
        <v>UNIQUE</v>
      </c>
      <c r="U1393" t="str">
        <f>IF(ISBLANK(Table1[[#This Row],[SizeOption]]),"NOT AVAILABLE",Table1[[#This Row],[SizeOption]])</f>
        <v>S, M, L, XL</v>
      </c>
      <c r="Y1393" t="str">
        <f>IF(Table2[[#This Row],[Column1]]&gt;50%,"HIGH DISCOUNT","LOW DISCOUNT")</f>
        <v>LOW DISCOUNT</v>
      </c>
    </row>
    <row r="1394" spans="1:25" x14ac:dyDescent="0.25">
      <c r="A1394" s="1" t="s">
        <v>3073</v>
      </c>
      <c r="B1394" s="1">
        <v>10605240</v>
      </c>
      <c r="C1394" s="1" t="s">
        <v>420</v>
      </c>
      <c r="D1394" s="1" t="s">
        <v>28</v>
      </c>
      <c r="E1394" s="1" t="s">
        <v>306</v>
      </c>
      <c r="F1394" s="1" t="s">
        <v>17</v>
      </c>
      <c r="G1394" s="1" t="s">
        <v>3074</v>
      </c>
      <c r="H1394">
        <v>730</v>
      </c>
      <c r="I1394" s="1">
        <v>1699</v>
      </c>
      <c r="J1394" s="1" t="s">
        <v>130</v>
      </c>
      <c r="K1394" s="1" t="s">
        <v>26</v>
      </c>
      <c r="L1394" s="1">
        <v>4.0999999999999996</v>
      </c>
      <c r="M1394" s="1">
        <v>776</v>
      </c>
      <c r="P1394" t="str">
        <f t="shared" si="87"/>
        <v>57%</v>
      </c>
      <c r="Q1394" s="12">
        <f t="shared" si="84"/>
        <v>0.56999999999999995</v>
      </c>
      <c r="R1394" s="9">
        <f t="shared" si="85"/>
        <v>730.57</v>
      </c>
      <c r="S1394" s="9">
        <f>IF(R1394="",AVERAGEIF(Table1[Category],Table1[[#This Row],[Category]],Table2[orignal data]),Table2[[#This Row],[orignal data]])</f>
        <v>730.57</v>
      </c>
      <c r="T1394" t="str">
        <f t="shared" si="86"/>
        <v>UNIQUE</v>
      </c>
      <c r="U1394" t="str">
        <f>IF(ISBLANK(Table1[[#This Row],[SizeOption]]),"NOT AVAILABLE",Table1[[#This Row],[SizeOption]])</f>
        <v>S, M, L, XL</v>
      </c>
      <c r="Y1394" t="str">
        <f>IF(Table2[[#This Row],[Column1]]&gt;50%,"HIGH DISCOUNT","LOW DISCOUNT")</f>
        <v>HIGH DISCOUNT</v>
      </c>
    </row>
    <row r="1395" spans="1:25" x14ac:dyDescent="0.25">
      <c r="A1395" s="2" t="s">
        <v>3075</v>
      </c>
      <c r="B1395" s="2">
        <v>2518699</v>
      </c>
      <c r="C1395" s="2" t="s">
        <v>47</v>
      </c>
      <c r="D1395" s="2" t="s">
        <v>28</v>
      </c>
      <c r="E1395" s="2" t="s">
        <v>29</v>
      </c>
      <c r="F1395" s="2" t="s">
        <v>17</v>
      </c>
      <c r="G1395" s="2" t="s">
        <v>3076</v>
      </c>
      <c r="H1395">
        <v>839</v>
      </c>
      <c r="I1395" s="2">
        <v>2099</v>
      </c>
      <c r="J1395" s="2" t="s">
        <v>55</v>
      </c>
      <c r="K1395" s="2" t="s">
        <v>253</v>
      </c>
      <c r="L1395" s="2">
        <v>4.2</v>
      </c>
      <c r="M1395" s="2">
        <v>776</v>
      </c>
      <c r="P1395" t="str">
        <f t="shared" si="87"/>
        <v>60%</v>
      </c>
      <c r="Q1395" s="12">
        <f t="shared" si="84"/>
        <v>0.6</v>
      </c>
      <c r="R1395" s="9">
        <f t="shared" si="85"/>
        <v>839.60000000000014</v>
      </c>
      <c r="S1395" s="9">
        <f>IF(R1395="",AVERAGEIF(Table1[Category],Table1[[#This Row],[Category]],Table2[orignal data]),Table2[[#This Row],[orignal data]])</f>
        <v>839.60000000000014</v>
      </c>
      <c r="T1395" t="str">
        <f t="shared" si="86"/>
        <v>UNIQUE</v>
      </c>
      <c r="U1395" t="str">
        <f>IF(ISBLANK(Table1[[#This Row],[SizeOption]]),"NOT AVAILABLE",Table1[[#This Row],[SizeOption]])</f>
        <v>38, 40, 42, 44</v>
      </c>
      <c r="Y1395" t="str">
        <f>IF(Table2[[#This Row],[Column1]]&gt;50%,"HIGH DISCOUNT","LOW DISCOUNT")</f>
        <v>HIGH DISCOUNT</v>
      </c>
    </row>
    <row r="1396" spans="1:25" x14ac:dyDescent="0.25">
      <c r="A1396" s="1" t="s">
        <v>3077</v>
      </c>
      <c r="B1396" s="1">
        <v>16718166</v>
      </c>
      <c r="C1396" s="1" t="s">
        <v>490</v>
      </c>
      <c r="D1396" s="1" t="s">
        <v>28</v>
      </c>
      <c r="E1396" s="1" t="s">
        <v>42</v>
      </c>
      <c r="F1396" s="1" t="s">
        <v>17</v>
      </c>
      <c r="G1396" s="1" t="s">
        <v>3078</v>
      </c>
      <c r="I1396" s="1">
        <v>399</v>
      </c>
      <c r="J1396" s="1"/>
      <c r="K1396" s="1" t="s">
        <v>115</v>
      </c>
      <c r="L1396" s="1">
        <v>4.4000000000000004</v>
      </c>
      <c r="M1396" s="1">
        <v>776</v>
      </c>
      <c r="P1396" t="str">
        <f t="shared" si="87"/>
        <v/>
      </c>
      <c r="Q1396" s="12" t="str">
        <f t="shared" si="84"/>
        <v/>
      </c>
      <c r="R1396" s="9" t="str">
        <f t="shared" si="85"/>
        <v/>
      </c>
      <c r="S1396" s="9">
        <f>IF(R1396="",AVERAGEIF(Table1[Category],Table1[[#This Row],[Category]],Table2[orignal data]),Table2[[#This Row],[orignal data]])</f>
        <v>671.7823941958867</v>
      </c>
      <c r="T1396" t="str">
        <f t="shared" si="86"/>
        <v>UNIQUE</v>
      </c>
      <c r="U1396" t="str">
        <f>IF(ISBLANK(Table1[[#This Row],[SizeOption]]),"NOT AVAILABLE",Table1[[#This Row],[SizeOption]])</f>
        <v>XS, S, M, L, XL, XXL</v>
      </c>
      <c r="Y1396" t="str">
        <f>IF(Table2[[#This Row],[Column1]]&gt;50%,"HIGH DISCOUNT","LOW DISCOUNT")</f>
        <v>HIGH DISCOUNT</v>
      </c>
    </row>
    <row r="1397" spans="1:25" x14ac:dyDescent="0.25">
      <c r="A1397" s="2" t="s">
        <v>3079</v>
      </c>
      <c r="B1397" s="2">
        <v>9000219</v>
      </c>
      <c r="C1397" s="2" t="s">
        <v>377</v>
      </c>
      <c r="D1397" s="2" t="s">
        <v>76</v>
      </c>
      <c r="E1397" s="2" t="s">
        <v>93</v>
      </c>
      <c r="F1397" s="2" t="s">
        <v>36</v>
      </c>
      <c r="G1397" s="2" t="s">
        <v>3080</v>
      </c>
      <c r="H1397">
        <v>730</v>
      </c>
      <c r="I1397" s="2">
        <v>1699</v>
      </c>
      <c r="J1397" s="2" t="s">
        <v>130</v>
      </c>
      <c r="K1397" s="2" t="s">
        <v>39</v>
      </c>
      <c r="L1397" s="2">
        <v>4.4000000000000004</v>
      </c>
      <c r="M1397" s="2">
        <v>776</v>
      </c>
      <c r="P1397" t="str">
        <f t="shared" si="87"/>
        <v>57%</v>
      </c>
      <c r="Q1397" s="12">
        <f t="shared" si="84"/>
        <v>0.56999999999999995</v>
      </c>
      <c r="R1397" s="9">
        <f t="shared" si="85"/>
        <v>730.57</v>
      </c>
      <c r="S1397" s="9">
        <f>IF(R1397="",AVERAGEIF(Table1[Category],Table1[[#This Row],[Category]],Table2[orignal data]),Table2[[#This Row],[orignal data]])</f>
        <v>730.57</v>
      </c>
      <c r="T1397" t="str">
        <f t="shared" si="86"/>
        <v>UNIQUE</v>
      </c>
      <c r="U1397" t="str">
        <f>IF(ISBLANK(Table1[[#This Row],[SizeOption]]),"NOT AVAILABLE",Table1[[#This Row],[SizeOption]])</f>
        <v>S, M, L, XL, XXL</v>
      </c>
      <c r="Y1397" t="str">
        <f>IF(Table2[[#This Row],[Column1]]&gt;50%,"HIGH DISCOUNT","LOW DISCOUNT")</f>
        <v>HIGH DISCOUNT</v>
      </c>
    </row>
    <row r="1398" spans="1:25" x14ac:dyDescent="0.25">
      <c r="A1398" s="1" t="s">
        <v>3081</v>
      </c>
      <c r="B1398" s="1">
        <v>11099600</v>
      </c>
      <c r="C1398" s="1" t="s">
        <v>800</v>
      </c>
      <c r="D1398" s="1" t="s">
        <v>41</v>
      </c>
      <c r="E1398" s="1" t="s">
        <v>148</v>
      </c>
      <c r="F1398" s="1" t="s">
        <v>36</v>
      </c>
      <c r="G1398" s="1" t="s">
        <v>3082</v>
      </c>
      <c r="I1398" s="1">
        <v>1699</v>
      </c>
      <c r="J1398" s="1" t="s">
        <v>55</v>
      </c>
      <c r="K1398" s="1" t="s">
        <v>39</v>
      </c>
      <c r="L1398" s="1">
        <v>3.7</v>
      </c>
      <c r="M1398" s="1">
        <v>776</v>
      </c>
      <c r="P1398" t="str">
        <f t="shared" si="87"/>
        <v>60%</v>
      </c>
      <c r="Q1398" s="12">
        <f t="shared" si="84"/>
        <v>0.6</v>
      </c>
      <c r="R1398" s="9">
        <f t="shared" si="85"/>
        <v>679.6</v>
      </c>
      <c r="S1398" s="9">
        <f>IF(R1398="",AVERAGEIF(Table1[Category],Table1[[#This Row],[Category]],Table2[orignal data]),Table2[[#This Row],[orignal data]])</f>
        <v>679.6</v>
      </c>
      <c r="T1398" t="str">
        <f t="shared" si="86"/>
        <v>UNIQUE</v>
      </c>
      <c r="U1398" t="str">
        <f>IF(ISBLANK(Table1[[#This Row],[SizeOption]]),"NOT AVAILABLE",Table1[[#This Row],[SizeOption]])</f>
        <v>S, M, L, XL, XXL</v>
      </c>
      <c r="Y1398" t="str">
        <f>IF(Table2[[#This Row],[Column1]]&gt;50%,"HIGH DISCOUNT","LOW DISCOUNT")</f>
        <v>HIGH DISCOUNT</v>
      </c>
    </row>
    <row r="1399" spans="1:25" x14ac:dyDescent="0.25">
      <c r="A1399" s="2" t="s">
        <v>3083</v>
      </c>
      <c r="B1399" s="2">
        <v>17525606</v>
      </c>
      <c r="C1399" s="2" t="s">
        <v>47</v>
      </c>
      <c r="D1399" s="2" t="s">
        <v>41</v>
      </c>
      <c r="E1399" s="2" t="s">
        <v>42</v>
      </c>
      <c r="F1399" s="2" t="s">
        <v>36</v>
      </c>
      <c r="G1399" s="2" t="s">
        <v>3084</v>
      </c>
      <c r="I1399" s="2">
        <v>1598</v>
      </c>
      <c r="J1399" s="2"/>
      <c r="K1399" s="2" t="s">
        <v>703</v>
      </c>
      <c r="L1399" s="2">
        <v>4.0999999999999996</v>
      </c>
      <c r="M1399" s="2">
        <v>776</v>
      </c>
      <c r="P1399" t="str">
        <f t="shared" si="87"/>
        <v/>
      </c>
      <c r="Q1399" s="12" t="str">
        <f t="shared" si="84"/>
        <v/>
      </c>
      <c r="R1399" s="9" t="str">
        <f t="shared" si="85"/>
        <v/>
      </c>
      <c r="S1399" s="9">
        <f>IF(R1399="",AVERAGEIF(Table1[Category],Table1[[#This Row],[Category]],Table2[orignal data]),Table2[[#This Row],[orignal data]])</f>
        <v>715.78890751086249</v>
      </c>
      <c r="T1399" t="str">
        <f t="shared" si="86"/>
        <v>UNIQUE</v>
      </c>
      <c r="U1399" t="str">
        <f>IF(ISBLANK(Table1[[#This Row],[SizeOption]]),"NOT AVAILABLE",Table1[[#This Row],[SizeOption]])</f>
        <v>S, XS, XL, L, M</v>
      </c>
      <c r="Y1399" t="str">
        <f>IF(Table2[[#This Row],[Column1]]&gt;50%,"HIGH DISCOUNT","LOW DISCOUNT")</f>
        <v>HIGH DISCOUNT</v>
      </c>
    </row>
    <row r="1400" spans="1:25" x14ac:dyDescent="0.25">
      <c r="A1400" s="1" t="s">
        <v>3085</v>
      </c>
      <c r="B1400" s="1">
        <v>2059978</v>
      </c>
      <c r="C1400" s="1" t="s">
        <v>14</v>
      </c>
      <c r="D1400" s="1" t="s">
        <v>15</v>
      </c>
      <c r="E1400" s="1" t="s">
        <v>16</v>
      </c>
      <c r="F1400" s="1" t="s">
        <v>17</v>
      </c>
      <c r="G1400" s="1" t="s">
        <v>2846</v>
      </c>
      <c r="H1400">
        <v>944</v>
      </c>
      <c r="I1400" s="1">
        <v>2699</v>
      </c>
      <c r="J1400" s="1" t="s">
        <v>150</v>
      </c>
      <c r="K1400" s="1" t="s">
        <v>20</v>
      </c>
      <c r="L1400" s="1">
        <v>3.9</v>
      </c>
      <c r="M1400" s="1">
        <v>775</v>
      </c>
      <c r="P1400" t="str">
        <f t="shared" si="87"/>
        <v>65%</v>
      </c>
      <c r="Q1400" s="12">
        <f t="shared" si="84"/>
        <v>0.65</v>
      </c>
      <c r="R1400" s="9">
        <f t="shared" si="85"/>
        <v>944.64999999999986</v>
      </c>
      <c r="S1400" s="9">
        <f>IF(R1400="",AVERAGEIF(Table1[Category],Table1[[#This Row],[Category]],Table2[orignal data]),Table2[[#This Row],[orignal data]])</f>
        <v>944.64999999999986</v>
      </c>
      <c r="T1400" t="str">
        <f t="shared" si="86"/>
        <v>UNIQUE</v>
      </c>
      <c r="U1400" t="str">
        <f>IF(ISBLANK(Table1[[#This Row],[SizeOption]]),"NOT AVAILABLE",Table1[[#This Row],[SizeOption]])</f>
        <v>28, 30, 32, 34, 36</v>
      </c>
      <c r="Y1400" t="str">
        <f>IF(Table2[[#This Row],[Column1]]&gt;50%,"HIGH DISCOUNT","LOW DISCOUNT")</f>
        <v>HIGH DISCOUNT</v>
      </c>
    </row>
    <row r="1401" spans="1:25" x14ac:dyDescent="0.25">
      <c r="A1401" s="2" t="s">
        <v>3086</v>
      </c>
      <c r="B1401" s="2">
        <v>1414791</v>
      </c>
      <c r="C1401" s="2" t="s">
        <v>346</v>
      </c>
      <c r="D1401" s="2" t="s">
        <v>15</v>
      </c>
      <c r="E1401" s="2" t="s">
        <v>16</v>
      </c>
      <c r="F1401" s="2" t="s">
        <v>17</v>
      </c>
      <c r="G1401" s="2" t="s">
        <v>3087</v>
      </c>
      <c r="H1401">
        <v>1044</v>
      </c>
      <c r="I1401" s="2">
        <v>1899</v>
      </c>
      <c r="J1401" s="2" t="s">
        <v>19</v>
      </c>
      <c r="K1401" s="2" t="s">
        <v>20</v>
      </c>
      <c r="L1401" s="2">
        <v>3.7</v>
      </c>
      <c r="M1401" s="2">
        <v>775</v>
      </c>
      <c r="P1401" t="str">
        <f t="shared" si="87"/>
        <v>45%</v>
      </c>
      <c r="Q1401" s="12">
        <f t="shared" si="84"/>
        <v>0.45</v>
      </c>
      <c r="R1401" s="9">
        <f t="shared" si="85"/>
        <v>1044.4499999999998</v>
      </c>
      <c r="S1401" s="9">
        <f>IF(R1401="",AVERAGEIF(Table1[Category],Table1[[#This Row],[Category]],Table2[orignal data]),Table2[[#This Row],[orignal data]])</f>
        <v>1044.4499999999998</v>
      </c>
      <c r="T1401" t="str">
        <f t="shared" si="86"/>
        <v>UNIQUE</v>
      </c>
      <c r="U1401" t="str">
        <f>IF(ISBLANK(Table1[[#This Row],[SizeOption]]),"NOT AVAILABLE",Table1[[#This Row],[SizeOption]])</f>
        <v>28, 30, 32, 34, 36</v>
      </c>
      <c r="Y1401" t="str">
        <f>IF(Table2[[#This Row],[Column1]]&gt;50%,"HIGH DISCOUNT","LOW DISCOUNT")</f>
        <v>LOW DISCOUNT</v>
      </c>
    </row>
    <row r="1402" spans="1:25" x14ac:dyDescent="0.25">
      <c r="A1402" s="1" t="s">
        <v>3088</v>
      </c>
      <c r="B1402" s="1">
        <v>2296001</v>
      </c>
      <c r="C1402" s="1" t="s">
        <v>14</v>
      </c>
      <c r="D1402" s="1" t="s">
        <v>15</v>
      </c>
      <c r="E1402" s="1" t="s">
        <v>16</v>
      </c>
      <c r="F1402" s="1" t="s">
        <v>17</v>
      </c>
      <c r="G1402" s="1" t="s">
        <v>2560</v>
      </c>
      <c r="I1402" s="1">
        <v>1499</v>
      </c>
      <c r="J1402" s="1"/>
      <c r="K1402" s="1" t="s">
        <v>195</v>
      </c>
      <c r="L1402" s="1">
        <v>3.7</v>
      </c>
      <c r="M1402" s="1">
        <v>775</v>
      </c>
      <c r="P1402" t="str">
        <f t="shared" si="87"/>
        <v/>
      </c>
      <c r="Q1402" s="12" t="str">
        <f t="shared" si="84"/>
        <v/>
      </c>
      <c r="R1402" s="9" t="str">
        <f t="shared" si="85"/>
        <v/>
      </c>
      <c r="S1402" s="9">
        <f>IF(R1402="",AVERAGEIF(Table1[Category],Table1[[#This Row],[Category]],Table2[orignal data]),Table2[[#This Row],[orignal data]])</f>
        <v>892.27590339892538</v>
      </c>
      <c r="T1402" t="str">
        <f t="shared" si="86"/>
        <v>UNIQUE</v>
      </c>
      <c r="U1402" t="str">
        <f>IF(ISBLANK(Table1[[#This Row],[SizeOption]]),"NOT AVAILABLE",Table1[[#This Row],[SizeOption]])</f>
        <v>28, 30, 32, 34, 36, 38, 40</v>
      </c>
      <c r="Y1402" t="str">
        <f>IF(Table2[[#This Row],[Column1]]&gt;50%,"HIGH DISCOUNT","LOW DISCOUNT")</f>
        <v>HIGH DISCOUNT</v>
      </c>
    </row>
    <row r="1403" spans="1:25" x14ac:dyDescent="0.25">
      <c r="A1403" s="2" t="s">
        <v>3089</v>
      </c>
      <c r="B1403" s="2">
        <v>10381477</v>
      </c>
      <c r="C1403" s="2" t="s">
        <v>52</v>
      </c>
      <c r="D1403" s="2" t="s">
        <v>28</v>
      </c>
      <c r="E1403" s="2" t="s">
        <v>29</v>
      </c>
      <c r="F1403" s="2" t="s">
        <v>17</v>
      </c>
      <c r="G1403" s="2" t="s">
        <v>3090</v>
      </c>
      <c r="H1403">
        <v>479</v>
      </c>
      <c r="I1403" s="2">
        <v>1199</v>
      </c>
      <c r="J1403" s="2" t="s">
        <v>55</v>
      </c>
      <c r="K1403" s="2" t="s">
        <v>90</v>
      </c>
      <c r="L1403" s="2">
        <v>4.0999999999999996</v>
      </c>
      <c r="M1403" s="2">
        <v>775</v>
      </c>
      <c r="P1403" t="str">
        <f t="shared" si="87"/>
        <v>60%</v>
      </c>
      <c r="Q1403" s="12">
        <f t="shared" si="84"/>
        <v>0.6</v>
      </c>
      <c r="R1403" s="9">
        <f t="shared" si="85"/>
        <v>479.6</v>
      </c>
      <c r="S1403" s="9">
        <f>IF(R1403="",AVERAGEIF(Table1[Category],Table1[[#This Row],[Category]],Table2[orignal data]),Table2[[#This Row],[orignal data]])</f>
        <v>479.6</v>
      </c>
      <c r="T1403" t="str">
        <f t="shared" si="86"/>
        <v>UNIQUE</v>
      </c>
      <c r="U1403" t="str">
        <f>IF(ISBLANK(Table1[[#This Row],[SizeOption]]),"NOT AVAILABLE",Table1[[#This Row],[SizeOption]])</f>
        <v>39, 40, 42, 44</v>
      </c>
      <c r="Y1403" t="str">
        <f>IF(Table2[[#This Row],[Column1]]&gt;50%,"HIGH DISCOUNT","LOW DISCOUNT")</f>
        <v>HIGH DISCOUNT</v>
      </c>
    </row>
    <row r="1404" spans="1:25" x14ac:dyDescent="0.25">
      <c r="A1404" s="1" t="s">
        <v>3091</v>
      </c>
      <c r="B1404" s="1">
        <v>11049786</v>
      </c>
      <c r="C1404" s="1" t="s">
        <v>64</v>
      </c>
      <c r="D1404" s="1" t="s">
        <v>28</v>
      </c>
      <c r="E1404" s="1" t="s">
        <v>29</v>
      </c>
      <c r="F1404" s="1" t="s">
        <v>17</v>
      </c>
      <c r="G1404" s="1" t="s">
        <v>3092</v>
      </c>
      <c r="H1404">
        <v>989</v>
      </c>
      <c r="I1404" s="1">
        <v>2199</v>
      </c>
      <c r="J1404" s="1" t="s">
        <v>25</v>
      </c>
      <c r="K1404" s="1" t="s">
        <v>361</v>
      </c>
      <c r="L1404" s="1">
        <v>4.3</v>
      </c>
      <c r="M1404" s="1">
        <v>775</v>
      </c>
      <c r="P1404" t="str">
        <f t="shared" si="87"/>
        <v>55%</v>
      </c>
      <c r="Q1404" s="12">
        <f t="shared" si="84"/>
        <v>0.55000000000000004</v>
      </c>
      <c r="R1404" s="9">
        <f t="shared" si="85"/>
        <v>989.55</v>
      </c>
      <c r="S1404" s="9">
        <f>IF(R1404="",AVERAGEIF(Table1[Category],Table1[[#This Row],[Category]],Table2[orignal data]),Table2[[#This Row],[orignal data]])</f>
        <v>989.55</v>
      </c>
      <c r="T1404" t="str">
        <f t="shared" si="86"/>
        <v>UNIQUE</v>
      </c>
      <c r="U1404" t="str">
        <f>IF(ISBLANK(Table1[[#This Row],[SizeOption]]),"NOT AVAILABLE",Table1[[#This Row],[SizeOption]])</f>
        <v>38, 40, 42, 44, 46</v>
      </c>
      <c r="Y1404" t="str">
        <f>IF(Table2[[#This Row],[Column1]]&gt;50%,"HIGH DISCOUNT","LOW DISCOUNT")</f>
        <v>HIGH DISCOUNT</v>
      </c>
    </row>
    <row r="1405" spans="1:25" x14ac:dyDescent="0.25">
      <c r="A1405" s="2" t="s">
        <v>3093</v>
      </c>
      <c r="B1405" s="2">
        <v>10410508</v>
      </c>
      <c r="C1405" s="2" t="s">
        <v>169</v>
      </c>
      <c r="D1405" s="2" t="s">
        <v>28</v>
      </c>
      <c r="E1405" s="2" t="s">
        <v>42</v>
      </c>
      <c r="F1405" s="2" t="s">
        <v>17</v>
      </c>
      <c r="G1405" s="2" t="s">
        <v>3094</v>
      </c>
      <c r="H1405">
        <v>439</v>
      </c>
      <c r="I1405" s="2">
        <v>799</v>
      </c>
      <c r="J1405" s="2" t="s">
        <v>19</v>
      </c>
      <c r="K1405" s="2" t="s">
        <v>39</v>
      </c>
      <c r="L1405" s="2">
        <v>4.2</v>
      </c>
      <c r="M1405" s="2">
        <v>775</v>
      </c>
      <c r="P1405" t="str">
        <f t="shared" si="87"/>
        <v>45%</v>
      </c>
      <c r="Q1405" s="12">
        <f t="shared" si="84"/>
        <v>0.45</v>
      </c>
      <c r="R1405" s="9">
        <f t="shared" si="85"/>
        <v>439.45</v>
      </c>
      <c r="S1405" s="9">
        <f>IF(R1405="",AVERAGEIF(Table1[Category],Table1[[#This Row],[Category]],Table2[orignal data]),Table2[[#This Row],[orignal data]])</f>
        <v>439.45</v>
      </c>
      <c r="T1405" t="str">
        <f t="shared" si="86"/>
        <v>UNIQUE</v>
      </c>
      <c r="U1405" t="str">
        <f>IF(ISBLANK(Table1[[#This Row],[SizeOption]]),"NOT AVAILABLE",Table1[[#This Row],[SizeOption]])</f>
        <v>S, M, L, XL, XXL</v>
      </c>
      <c r="Y1405" t="str">
        <f>IF(Table2[[#This Row],[Column1]]&gt;50%,"HIGH DISCOUNT","LOW DISCOUNT")</f>
        <v>LOW DISCOUNT</v>
      </c>
    </row>
    <row r="1406" spans="1:25" x14ac:dyDescent="0.25">
      <c r="A1406" s="1" t="s">
        <v>3095</v>
      </c>
      <c r="B1406" s="1">
        <v>2339026</v>
      </c>
      <c r="C1406" s="1" t="s">
        <v>169</v>
      </c>
      <c r="D1406" s="1" t="s">
        <v>28</v>
      </c>
      <c r="E1406" s="1" t="s">
        <v>42</v>
      </c>
      <c r="F1406" s="1" t="s">
        <v>17</v>
      </c>
      <c r="G1406" s="1" t="s">
        <v>3096</v>
      </c>
      <c r="H1406">
        <v>499</v>
      </c>
      <c r="I1406" s="1">
        <v>999</v>
      </c>
      <c r="J1406" s="1" t="s">
        <v>84</v>
      </c>
      <c r="K1406" s="1" t="s">
        <v>39</v>
      </c>
      <c r="L1406" s="1">
        <v>4.3</v>
      </c>
      <c r="M1406" s="1">
        <v>775</v>
      </c>
      <c r="P1406" t="str">
        <f t="shared" si="87"/>
        <v>50%</v>
      </c>
      <c r="Q1406" s="12">
        <f t="shared" si="84"/>
        <v>0.5</v>
      </c>
      <c r="R1406" s="9">
        <f t="shared" si="85"/>
        <v>499.5</v>
      </c>
      <c r="S1406" s="9">
        <f>IF(R1406="",AVERAGEIF(Table1[Category],Table1[[#This Row],[Category]],Table2[orignal data]),Table2[[#This Row],[orignal data]])</f>
        <v>499.5</v>
      </c>
      <c r="T1406" t="str">
        <f t="shared" si="86"/>
        <v>UNIQUE</v>
      </c>
      <c r="U1406" t="str">
        <f>IF(ISBLANK(Table1[[#This Row],[SizeOption]]),"NOT AVAILABLE",Table1[[#This Row],[SizeOption]])</f>
        <v>S, M, L, XL, XXL</v>
      </c>
      <c r="Y1406" t="str">
        <f>IF(Table2[[#This Row],[Column1]]&gt;50%,"HIGH DISCOUNT","LOW DISCOUNT")</f>
        <v>LOW DISCOUNT</v>
      </c>
    </row>
    <row r="1407" spans="1:25" x14ac:dyDescent="0.25">
      <c r="A1407" s="2" t="s">
        <v>3097</v>
      </c>
      <c r="B1407" s="2">
        <v>12524826</v>
      </c>
      <c r="C1407" s="2" t="s">
        <v>64</v>
      </c>
      <c r="D1407" s="2" t="s">
        <v>76</v>
      </c>
      <c r="E1407" s="2" t="s">
        <v>93</v>
      </c>
      <c r="F1407" s="2" t="s">
        <v>36</v>
      </c>
      <c r="G1407" s="2" t="s">
        <v>3098</v>
      </c>
      <c r="H1407">
        <v>899</v>
      </c>
      <c r="I1407" s="2">
        <v>1499</v>
      </c>
      <c r="J1407" s="2" t="s">
        <v>50</v>
      </c>
      <c r="K1407" s="2" t="s">
        <v>100</v>
      </c>
      <c r="L1407" s="2">
        <v>4.2</v>
      </c>
      <c r="M1407" s="2">
        <v>775</v>
      </c>
      <c r="P1407" t="str">
        <f t="shared" si="87"/>
        <v>40%</v>
      </c>
      <c r="Q1407" s="12">
        <f t="shared" si="84"/>
        <v>0.4</v>
      </c>
      <c r="R1407" s="9">
        <f t="shared" si="85"/>
        <v>899.4</v>
      </c>
      <c r="S1407" s="9">
        <f>IF(R1407="",AVERAGEIF(Table1[Category],Table1[[#This Row],[Category]],Table2[orignal data]),Table2[[#This Row],[orignal data]])</f>
        <v>899.4</v>
      </c>
      <c r="T1407" t="str">
        <f t="shared" si="86"/>
        <v>UNIQUE</v>
      </c>
      <c r="U1407" t="str">
        <f>IF(ISBLANK(Table1[[#This Row],[SizeOption]]),"NOT AVAILABLE",Table1[[#This Row],[SizeOption]])</f>
        <v>XS, S, M, L, XL, XXL, 3XL</v>
      </c>
      <c r="Y1407" t="str">
        <f>IF(Table2[[#This Row],[Column1]]&gt;50%,"HIGH DISCOUNT","LOW DISCOUNT")</f>
        <v>LOW DISCOUNT</v>
      </c>
    </row>
    <row r="1408" spans="1:25" x14ac:dyDescent="0.25">
      <c r="A1408" s="1" t="s">
        <v>3099</v>
      </c>
      <c r="B1408" s="1">
        <v>9478083</v>
      </c>
      <c r="C1408" s="1" t="s">
        <v>14</v>
      </c>
      <c r="D1408" s="1" t="s">
        <v>41</v>
      </c>
      <c r="E1408" s="1" t="s">
        <v>306</v>
      </c>
      <c r="F1408" s="1" t="s">
        <v>36</v>
      </c>
      <c r="G1408" s="1" t="s">
        <v>3100</v>
      </c>
      <c r="I1408" s="1">
        <v>1599</v>
      </c>
      <c r="J1408" s="1" t="s">
        <v>79</v>
      </c>
      <c r="K1408" s="1" t="s">
        <v>115</v>
      </c>
      <c r="L1408" s="1">
        <v>4.3</v>
      </c>
      <c r="M1408" s="1">
        <v>775</v>
      </c>
      <c r="P1408" t="str">
        <f t="shared" si="87"/>
        <v>70%</v>
      </c>
      <c r="Q1408" s="12">
        <f t="shared" si="84"/>
        <v>0.7</v>
      </c>
      <c r="R1408" s="9">
        <f t="shared" si="85"/>
        <v>479.70000000000005</v>
      </c>
      <c r="S1408" s="9">
        <f>IF(R1408="",AVERAGEIF(Table1[Category],Table1[[#This Row],[Category]],Table2[orignal data]),Table2[[#This Row],[orignal data]])</f>
        <v>479.70000000000005</v>
      </c>
      <c r="T1408" t="str">
        <f t="shared" si="86"/>
        <v>UNIQUE</v>
      </c>
      <c r="U1408" t="str">
        <f>IF(ISBLANK(Table1[[#This Row],[SizeOption]]),"NOT AVAILABLE",Table1[[#This Row],[SizeOption]])</f>
        <v>XS, S, M, L, XL, XXL</v>
      </c>
      <c r="Y1408" t="str">
        <f>IF(Table2[[#This Row],[Column1]]&gt;50%,"HIGH DISCOUNT","LOW DISCOUNT")</f>
        <v>HIGH DISCOUNT</v>
      </c>
    </row>
    <row r="1409" spans="1:25" x14ac:dyDescent="0.25">
      <c r="A1409" s="2" t="s">
        <v>3101</v>
      </c>
      <c r="B1409" s="2">
        <v>10562402</v>
      </c>
      <c r="C1409" s="2" t="s">
        <v>14</v>
      </c>
      <c r="D1409" s="2" t="s">
        <v>41</v>
      </c>
      <c r="E1409" s="2" t="s">
        <v>189</v>
      </c>
      <c r="F1409" s="2" t="s">
        <v>36</v>
      </c>
      <c r="G1409" s="2" t="s">
        <v>3102</v>
      </c>
      <c r="I1409" s="2">
        <v>2499</v>
      </c>
      <c r="J1409" s="2" t="s">
        <v>79</v>
      </c>
      <c r="K1409" s="2" t="s">
        <v>115</v>
      </c>
      <c r="L1409" s="2">
        <v>4.3</v>
      </c>
      <c r="M1409" s="2">
        <v>775</v>
      </c>
      <c r="P1409" t="str">
        <f t="shared" si="87"/>
        <v>70%</v>
      </c>
      <c r="Q1409" s="12">
        <f t="shared" si="84"/>
        <v>0.7</v>
      </c>
      <c r="R1409" s="9">
        <f t="shared" si="85"/>
        <v>749.7</v>
      </c>
      <c r="S1409" s="9">
        <f>IF(R1409="",AVERAGEIF(Table1[Category],Table1[[#This Row],[Category]],Table2[orignal data]),Table2[[#This Row],[orignal data]])</f>
        <v>749.7</v>
      </c>
      <c r="T1409" t="str">
        <f t="shared" si="86"/>
        <v>UNIQUE</v>
      </c>
      <c r="U1409" t="str">
        <f>IF(ISBLANK(Table1[[#This Row],[SizeOption]]),"NOT AVAILABLE",Table1[[#This Row],[SizeOption]])</f>
        <v>XS, S, M, L, XL, XXL</v>
      </c>
      <c r="Y1409" t="str">
        <f>IF(Table2[[#This Row],[Column1]]&gt;50%,"HIGH DISCOUNT","LOW DISCOUNT")</f>
        <v>HIGH DISCOUNT</v>
      </c>
    </row>
    <row r="1410" spans="1:25" x14ac:dyDescent="0.25">
      <c r="A1410" s="1" t="s">
        <v>3103</v>
      </c>
      <c r="B1410" s="1">
        <v>10064493</v>
      </c>
      <c r="C1410" s="1" t="s">
        <v>14</v>
      </c>
      <c r="D1410" s="1" t="s">
        <v>15</v>
      </c>
      <c r="E1410" s="1" t="s">
        <v>16</v>
      </c>
      <c r="F1410" s="1" t="s">
        <v>17</v>
      </c>
      <c r="G1410" s="1" t="s">
        <v>2670</v>
      </c>
      <c r="H1410">
        <v>899</v>
      </c>
      <c r="I1410" s="1">
        <v>1999</v>
      </c>
      <c r="J1410" s="1" t="s">
        <v>25</v>
      </c>
      <c r="K1410" s="1" t="s">
        <v>20</v>
      </c>
      <c r="L1410" s="1">
        <v>3.8</v>
      </c>
      <c r="M1410" s="1">
        <v>774</v>
      </c>
      <c r="P1410" t="str">
        <f t="shared" si="87"/>
        <v>55%</v>
      </c>
      <c r="Q1410" s="12">
        <f t="shared" ref="Q1410:Q1473" si="88">IF(P1410="","",IF(ISNUMBER(SEARCH("%",P1410)),P1410,P1410/I1410)*100%)</f>
        <v>0.55000000000000004</v>
      </c>
      <c r="R1410" s="9">
        <f t="shared" ref="R1410:R1473" si="89">IF(P1410="","",I1410-(I1410*Q1410))</f>
        <v>899.55</v>
      </c>
      <c r="S1410" s="9">
        <f>IF(R1410="",AVERAGEIF(Table1[Category],Table1[[#This Row],[Category]],Table2[orignal data]),Table2[[#This Row],[orignal data]])</f>
        <v>899.55</v>
      </c>
      <c r="T1410" t="str">
        <f t="shared" ref="T1410:T1473" si="90">IF(COUNTIF($B$2:$B$5000,B1410)&gt;1,"DUPLICATE","UNIQUE")</f>
        <v>UNIQUE</v>
      </c>
      <c r="U1410" t="str">
        <f>IF(ISBLANK(Table1[[#This Row],[SizeOption]]),"NOT AVAILABLE",Table1[[#This Row],[SizeOption]])</f>
        <v>28, 30, 32, 34, 36</v>
      </c>
      <c r="Y1410" t="str">
        <f>IF(Table2[[#This Row],[Column1]]&gt;50%,"HIGH DISCOUNT","LOW DISCOUNT")</f>
        <v>HIGH DISCOUNT</v>
      </c>
    </row>
    <row r="1411" spans="1:25" x14ac:dyDescent="0.25">
      <c r="A1411" s="2" t="s">
        <v>3104</v>
      </c>
      <c r="B1411" s="2">
        <v>8851935</v>
      </c>
      <c r="C1411" s="2" t="s">
        <v>67</v>
      </c>
      <c r="D1411" s="2" t="s">
        <v>15</v>
      </c>
      <c r="E1411" s="2" t="s">
        <v>137</v>
      </c>
      <c r="F1411" s="2" t="s">
        <v>17</v>
      </c>
      <c r="G1411" s="2" t="s">
        <v>3105</v>
      </c>
      <c r="H1411">
        <v>489</v>
      </c>
      <c r="I1411" s="2">
        <v>1399</v>
      </c>
      <c r="J1411" s="2" t="s">
        <v>150</v>
      </c>
      <c r="K1411" s="2" t="s">
        <v>20</v>
      </c>
      <c r="L1411" s="2">
        <v>3.8</v>
      </c>
      <c r="M1411" s="2">
        <v>774</v>
      </c>
      <c r="P1411" t="str">
        <f t="shared" ref="P1411:P1474" si="91">TRIM(SUBSTITUTE(SUBSTITUTE(SUBSTITUTE(SUBSTITUTE(J1411,"OFF",""),"Rs.",""),"Hurry*",""),",",""))</f>
        <v>65%</v>
      </c>
      <c r="Q1411" s="12">
        <f t="shared" si="88"/>
        <v>0.65</v>
      </c>
      <c r="R1411" s="9">
        <f t="shared" si="89"/>
        <v>489.65</v>
      </c>
      <c r="S1411" s="9">
        <f>IF(R1411="",AVERAGEIF(Table1[Category],Table1[[#This Row],[Category]],Table2[orignal data]),Table2[[#This Row],[orignal data]])</f>
        <v>489.65</v>
      </c>
      <c r="T1411" t="str">
        <f t="shared" si="90"/>
        <v>UNIQUE</v>
      </c>
      <c r="U1411" t="str">
        <f>IF(ISBLANK(Table1[[#This Row],[SizeOption]]),"NOT AVAILABLE",Table1[[#This Row],[SizeOption]])</f>
        <v>28, 30, 32, 34, 36</v>
      </c>
      <c r="Y1411" t="str">
        <f>IF(Table2[[#This Row],[Column1]]&gt;50%,"HIGH DISCOUNT","LOW DISCOUNT")</f>
        <v>HIGH DISCOUNT</v>
      </c>
    </row>
    <row r="1412" spans="1:25" x14ac:dyDescent="0.25">
      <c r="A1412" s="1" t="s">
        <v>3106</v>
      </c>
      <c r="B1412" s="1">
        <v>11545308</v>
      </c>
      <c r="C1412" s="1" t="s">
        <v>14</v>
      </c>
      <c r="D1412" s="1" t="s">
        <v>28</v>
      </c>
      <c r="E1412" s="1" t="s">
        <v>42</v>
      </c>
      <c r="F1412" s="1" t="s">
        <v>17</v>
      </c>
      <c r="G1412" s="1" t="s">
        <v>3107</v>
      </c>
      <c r="H1412">
        <v>359</v>
      </c>
      <c r="I1412" s="1">
        <v>799</v>
      </c>
      <c r="J1412" s="1" t="s">
        <v>25</v>
      </c>
      <c r="K1412" s="1" t="s">
        <v>73</v>
      </c>
      <c r="L1412" s="1">
        <v>4.0999999999999996</v>
      </c>
      <c r="M1412" s="1">
        <v>774</v>
      </c>
      <c r="P1412" t="str">
        <f t="shared" si="91"/>
        <v>55%</v>
      </c>
      <c r="Q1412" s="12">
        <f t="shared" si="88"/>
        <v>0.55000000000000004</v>
      </c>
      <c r="R1412" s="9">
        <f t="shared" si="89"/>
        <v>359.54999999999995</v>
      </c>
      <c r="S1412" s="9">
        <f>IF(R1412="",AVERAGEIF(Table1[Category],Table1[[#This Row],[Category]],Table2[orignal data]),Table2[[#This Row],[orignal data]])</f>
        <v>359.54999999999995</v>
      </c>
      <c r="T1412" t="str">
        <f t="shared" si="90"/>
        <v>UNIQUE</v>
      </c>
      <c r="U1412" t="str">
        <f>IF(ISBLANK(Table1[[#This Row],[SizeOption]]),"NOT AVAILABLE",Table1[[#This Row],[SizeOption]])</f>
        <v>XS, S, M, L, XL, XXL, 3XL, 4XL</v>
      </c>
      <c r="Y1412" t="str">
        <f>IF(Table2[[#This Row],[Column1]]&gt;50%,"HIGH DISCOUNT","LOW DISCOUNT")</f>
        <v>HIGH DISCOUNT</v>
      </c>
    </row>
    <row r="1413" spans="1:25" x14ac:dyDescent="0.25">
      <c r="A1413" s="2" t="s">
        <v>3108</v>
      </c>
      <c r="B1413" s="2">
        <v>17382702</v>
      </c>
      <c r="C1413" s="2" t="s">
        <v>14</v>
      </c>
      <c r="D1413" s="2" t="s">
        <v>41</v>
      </c>
      <c r="E1413" s="2" t="s">
        <v>42</v>
      </c>
      <c r="F1413" s="2" t="s">
        <v>36</v>
      </c>
      <c r="G1413" s="2" t="s">
        <v>380</v>
      </c>
      <c r="I1413" s="2">
        <v>1598</v>
      </c>
      <c r="J1413" s="2" t="s">
        <v>84</v>
      </c>
      <c r="K1413" s="2" t="s">
        <v>45</v>
      </c>
      <c r="L1413" s="2">
        <v>4.3</v>
      </c>
      <c r="M1413" s="2">
        <v>774</v>
      </c>
      <c r="P1413" t="str">
        <f t="shared" si="91"/>
        <v>50%</v>
      </c>
      <c r="Q1413" s="12">
        <f t="shared" si="88"/>
        <v>0.5</v>
      </c>
      <c r="R1413" s="9">
        <f t="shared" si="89"/>
        <v>799</v>
      </c>
      <c r="S1413" s="9">
        <f>IF(R1413="",AVERAGEIF(Table1[Category],Table1[[#This Row],[Category]],Table2[orignal data]),Table2[[#This Row],[orignal data]])</f>
        <v>799</v>
      </c>
      <c r="T1413" t="str">
        <f t="shared" si="90"/>
        <v>UNIQUE</v>
      </c>
      <c r="U1413" t="str">
        <f>IF(ISBLANK(Table1[[#This Row],[SizeOption]]),"NOT AVAILABLE",Table1[[#This Row],[SizeOption]])</f>
        <v>XS, S, M, L, XL</v>
      </c>
      <c r="Y1413" t="str">
        <f>IF(Table2[[#This Row],[Column1]]&gt;50%,"HIGH DISCOUNT","LOW DISCOUNT")</f>
        <v>LOW DISCOUNT</v>
      </c>
    </row>
    <row r="1414" spans="1:25" x14ac:dyDescent="0.25">
      <c r="A1414" s="1" t="s">
        <v>3109</v>
      </c>
      <c r="B1414" s="1">
        <v>13594624</v>
      </c>
      <c r="C1414" s="1" t="s">
        <v>14</v>
      </c>
      <c r="D1414" s="1" t="s">
        <v>41</v>
      </c>
      <c r="E1414" s="1" t="s">
        <v>42</v>
      </c>
      <c r="F1414" s="1" t="s">
        <v>36</v>
      </c>
      <c r="G1414" s="1" t="s">
        <v>3110</v>
      </c>
      <c r="I1414" s="1">
        <v>699</v>
      </c>
      <c r="J1414" s="1" t="s">
        <v>50</v>
      </c>
      <c r="K1414" s="1" t="s">
        <v>45</v>
      </c>
      <c r="L1414" s="1">
        <v>4.2</v>
      </c>
      <c r="M1414" s="1">
        <v>774</v>
      </c>
      <c r="P1414" t="str">
        <f t="shared" si="91"/>
        <v>40%</v>
      </c>
      <c r="Q1414" s="12">
        <f t="shared" si="88"/>
        <v>0.4</v>
      </c>
      <c r="R1414" s="9">
        <f t="shared" si="89"/>
        <v>419.4</v>
      </c>
      <c r="S1414" s="9">
        <f>IF(R1414="",AVERAGEIF(Table1[Category],Table1[[#This Row],[Category]],Table2[orignal data]),Table2[[#This Row],[orignal data]])</f>
        <v>419.4</v>
      </c>
      <c r="T1414" t="str">
        <f t="shared" si="90"/>
        <v>UNIQUE</v>
      </c>
      <c r="U1414" t="str">
        <f>IF(ISBLANK(Table1[[#This Row],[SizeOption]]),"NOT AVAILABLE",Table1[[#This Row],[SizeOption]])</f>
        <v>XS, S, M, L, XL</v>
      </c>
      <c r="Y1414" t="str">
        <f>IF(Table2[[#This Row],[Column1]]&gt;50%,"HIGH DISCOUNT","LOW DISCOUNT")</f>
        <v>LOW DISCOUNT</v>
      </c>
    </row>
    <row r="1415" spans="1:25" x14ac:dyDescent="0.25">
      <c r="A1415" s="2" t="s">
        <v>3111</v>
      </c>
      <c r="B1415" s="2">
        <v>11976912</v>
      </c>
      <c r="C1415" s="2" t="s">
        <v>14</v>
      </c>
      <c r="D1415" s="2" t="s">
        <v>41</v>
      </c>
      <c r="E1415" s="2" t="s">
        <v>42</v>
      </c>
      <c r="F1415" s="2" t="s">
        <v>36</v>
      </c>
      <c r="G1415" s="2" t="s">
        <v>3112</v>
      </c>
      <c r="I1415" s="2">
        <v>699</v>
      </c>
      <c r="J1415" s="2" t="s">
        <v>282</v>
      </c>
      <c r="K1415" s="2" t="s">
        <v>45</v>
      </c>
      <c r="L1415" s="2">
        <v>4.4000000000000004</v>
      </c>
      <c r="M1415" s="2">
        <v>774</v>
      </c>
      <c r="P1415" t="str">
        <f t="shared" si="91"/>
        <v>25%</v>
      </c>
      <c r="Q1415" s="12">
        <f t="shared" si="88"/>
        <v>0.25</v>
      </c>
      <c r="R1415" s="9">
        <f t="shared" si="89"/>
        <v>524.25</v>
      </c>
      <c r="S1415" s="9">
        <f>IF(R1415="",AVERAGEIF(Table1[Category],Table1[[#This Row],[Category]],Table2[orignal data]),Table2[[#This Row],[orignal data]])</f>
        <v>524.25</v>
      </c>
      <c r="T1415" t="str">
        <f t="shared" si="90"/>
        <v>UNIQUE</v>
      </c>
      <c r="U1415" t="str">
        <f>IF(ISBLANK(Table1[[#This Row],[SizeOption]]),"NOT AVAILABLE",Table1[[#This Row],[SizeOption]])</f>
        <v>XS, S, M, L, XL</v>
      </c>
      <c r="Y1415" t="str">
        <f>IF(Table2[[#This Row],[Column1]]&gt;50%,"HIGH DISCOUNT","LOW DISCOUNT")</f>
        <v>LOW DISCOUNT</v>
      </c>
    </row>
    <row r="1416" spans="1:25" x14ac:dyDescent="0.25">
      <c r="A1416" s="1" t="s">
        <v>3113</v>
      </c>
      <c r="B1416" s="1">
        <v>8211455</v>
      </c>
      <c r="C1416" s="1" t="s">
        <v>52</v>
      </c>
      <c r="D1416" s="1" t="s">
        <v>15</v>
      </c>
      <c r="E1416" s="1" t="s">
        <v>16</v>
      </c>
      <c r="F1416" s="1" t="s">
        <v>17</v>
      </c>
      <c r="G1416" s="1" t="s">
        <v>3114</v>
      </c>
      <c r="H1416">
        <v>702</v>
      </c>
      <c r="I1416" s="1">
        <v>1899</v>
      </c>
      <c r="J1416" s="1" t="s">
        <v>476</v>
      </c>
      <c r="K1416" s="1" t="s">
        <v>816</v>
      </c>
      <c r="L1416" s="1">
        <v>3.9</v>
      </c>
      <c r="M1416" s="1">
        <v>773</v>
      </c>
      <c r="P1416" t="str">
        <f t="shared" si="91"/>
        <v>63%</v>
      </c>
      <c r="Q1416" s="12">
        <f t="shared" si="88"/>
        <v>0.63</v>
      </c>
      <c r="R1416" s="9">
        <f t="shared" si="89"/>
        <v>702.62999999999988</v>
      </c>
      <c r="S1416" s="9">
        <f>IF(R1416="",AVERAGEIF(Table1[Category],Table1[[#This Row],[Category]],Table2[orignal data]),Table2[[#This Row],[orignal data]])</f>
        <v>702.62999999999988</v>
      </c>
      <c r="T1416" t="str">
        <f t="shared" si="90"/>
        <v>UNIQUE</v>
      </c>
      <c r="U1416" t="str">
        <f>IF(ISBLANK(Table1[[#This Row],[SizeOption]]),"NOT AVAILABLE",Table1[[#This Row],[SizeOption]])</f>
        <v>30, 32, 34, 36, 38</v>
      </c>
      <c r="Y1416" t="str">
        <f>IF(Table2[[#This Row],[Column1]]&gt;50%,"HIGH DISCOUNT","LOW DISCOUNT")</f>
        <v>HIGH DISCOUNT</v>
      </c>
    </row>
    <row r="1417" spans="1:25" x14ac:dyDescent="0.25">
      <c r="A1417" s="2" t="s">
        <v>3115</v>
      </c>
      <c r="B1417" s="2">
        <v>1844184</v>
      </c>
      <c r="C1417" s="2" t="s">
        <v>14</v>
      </c>
      <c r="D1417" s="2" t="s">
        <v>28</v>
      </c>
      <c r="E1417" s="2" t="s">
        <v>42</v>
      </c>
      <c r="F1417" s="2" t="s">
        <v>17</v>
      </c>
      <c r="G1417" s="2" t="s">
        <v>3116</v>
      </c>
      <c r="H1417">
        <v>549</v>
      </c>
      <c r="I1417" s="2">
        <v>1099</v>
      </c>
      <c r="J1417" s="2" t="s">
        <v>84</v>
      </c>
      <c r="K1417" s="2" t="s">
        <v>26</v>
      </c>
      <c r="L1417" s="2">
        <v>4.3</v>
      </c>
      <c r="M1417" s="2">
        <v>773</v>
      </c>
      <c r="P1417" t="str">
        <f t="shared" si="91"/>
        <v>50%</v>
      </c>
      <c r="Q1417" s="12">
        <f t="shared" si="88"/>
        <v>0.5</v>
      </c>
      <c r="R1417" s="9">
        <f t="shared" si="89"/>
        <v>549.5</v>
      </c>
      <c r="S1417" s="9">
        <f>IF(R1417="",AVERAGEIF(Table1[Category],Table1[[#This Row],[Category]],Table2[orignal data]),Table2[[#This Row],[orignal data]])</f>
        <v>549.5</v>
      </c>
      <c r="T1417" t="str">
        <f t="shared" si="90"/>
        <v>UNIQUE</v>
      </c>
      <c r="U1417" t="str">
        <f>IF(ISBLANK(Table1[[#This Row],[SizeOption]]),"NOT AVAILABLE",Table1[[#This Row],[SizeOption]])</f>
        <v>S, M, L, XL</v>
      </c>
      <c r="Y1417" t="str">
        <f>IF(Table2[[#This Row],[Column1]]&gt;50%,"HIGH DISCOUNT","LOW DISCOUNT")</f>
        <v>LOW DISCOUNT</v>
      </c>
    </row>
    <row r="1418" spans="1:25" x14ac:dyDescent="0.25">
      <c r="A1418" s="1" t="s">
        <v>3117</v>
      </c>
      <c r="B1418" s="1">
        <v>11536950</v>
      </c>
      <c r="C1418" s="1" t="s">
        <v>97</v>
      </c>
      <c r="D1418" s="1" t="s">
        <v>98</v>
      </c>
      <c r="E1418" s="1" t="s">
        <v>77</v>
      </c>
      <c r="F1418" s="1" t="s">
        <v>36</v>
      </c>
      <c r="G1418" s="1" t="s">
        <v>3118</v>
      </c>
      <c r="H1418">
        <v>699</v>
      </c>
      <c r="I1418" s="1">
        <v>1999</v>
      </c>
      <c r="J1418" s="1" t="s">
        <v>150</v>
      </c>
      <c r="K1418" s="1" t="s">
        <v>100</v>
      </c>
      <c r="L1418" s="1">
        <v>4.0999999999999996</v>
      </c>
      <c r="M1418" s="1">
        <v>773</v>
      </c>
      <c r="P1418" t="str">
        <f t="shared" si="91"/>
        <v>65%</v>
      </c>
      <c r="Q1418" s="12">
        <f t="shared" si="88"/>
        <v>0.65</v>
      </c>
      <c r="R1418" s="9">
        <f t="shared" si="89"/>
        <v>699.64999999999986</v>
      </c>
      <c r="S1418" s="9">
        <f>IF(R1418="",AVERAGEIF(Table1[Category],Table1[[#This Row],[Category]],Table2[orignal data]),Table2[[#This Row],[orignal data]])</f>
        <v>699.64999999999986</v>
      </c>
      <c r="T1418" t="str">
        <f t="shared" si="90"/>
        <v>UNIQUE</v>
      </c>
      <c r="U1418" t="str">
        <f>IF(ISBLANK(Table1[[#This Row],[SizeOption]]),"NOT AVAILABLE",Table1[[#This Row],[SizeOption]])</f>
        <v>XS, S, M, L, XL, XXL, 3XL</v>
      </c>
      <c r="Y1418" t="str">
        <f>IF(Table2[[#This Row],[Column1]]&gt;50%,"HIGH DISCOUNT","LOW DISCOUNT")</f>
        <v>HIGH DISCOUNT</v>
      </c>
    </row>
    <row r="1419" spans="1:25" x14ac:dyDescent="0.25">
      <c r="A1419" s="2" t="s">
        <v>3119</v>
      </c>
      <c r="B1419" s="2">
        <v>11271806</v>
      </c>
      <c r="C1419" s="2" t="s">
        <v>107</v>
      </c>
      <c r="D1419" s="2" t="s">
        <v>41</v>
      </c>
      <c r="E1419" s="2" t="s">
        <v>48</v>
      </c>
      <c r="F1419" s="2" t="s">
        <v>36</v>
      </c>
      <c r="G1419" s="2" t="s">
        <v>3120</v>
      </c>
      <c r="I1419" s="2">
        <v>1399</v>
      </c>
      <c r="J1419" s="2" t="s">
        <v>84</v>
      </c>
      <c r="K1419" s="2" t="s">
        <v>45</v>
      </c>
      <c r="L1419" s="2">
        <v>4.4000000000000004</v>
      </c>
      <c r="M1419" s="2">
        <v>773</v>
      </c>
      <c r="P1419" t="str">
        <f t="shared" si="91"/>
        <v>50%</v>
      </c>
      <c r="Q1419" s="12">
        <f t="shared" si="88"/>
        <v>0.5</v>
      </c>
      <c r="R1419" s="9">
        <f t="shared" si="89"/>
        <v>699.5</v>
      </c>
      <c r="S1419" s="9">
        <f>IF(R1419="",AVERAGEIF(Table1[Category],Table1[[#This Row],[Category]],Table2[orignal data]),Table2[[#This Row],[orignal data]])</f>
        <v>699.5</v>
      </c>
      <c r="T1419" t="str">
        <f t="shared" si="90"/>
        <v>UNIQUE</v>
      </c>
      <c r="U1419" t="str">
        <f>IF(ISBLANK(Table1[[#This Row],[SizeOption]]),"NOT AVAILABLE",Table1[[#This Row],[SizeOption]])</f>
        <v>XS, S, M, L, XL</v>
      </c>
      <c r="Y1419" t="str">
        <f>IF(Table2[[#This Row],[Column1]]&gt;50%,"HIGH DISCOUNT","LOW DISCOUNT")</f>
        <v>LOW DISCOUNT</v>
      </c>
    </row>
    <row r="1420" spans="1:25" x14ac:dyDescent="0.25">
      <c r="A1420" s="1" t="s">
        <v>3121</v>
      </c>
      <c r="B1420" s="1">
        <v>9981511</v>
      </c>
      <c r="C1420" s="1" t="s">
        <v>47</v>
      </c>
      <c r="D1420" s="1" t="s">
        <v>41</v>
      </c>
      <c r="E1420" s="1" t="s">
        <v>148</v>
      </c>
      <c r="F1420" s="1" t="s">
        <v>36</v>
      </c>
      <c r="G1420" s="1" t="s">
        <v>3122</v>
      </c>
      <c r="I1420" s="1">
        <v>1899</v>
      </c>
      <c r="J1420" s="1" t="s">
        <v>273</v>
      </c>
      <c r="K1420" s="1" t="s">
        <v>45</v>
      </c>
      <c r="L1420" s="1">
        <v>4.4000000000000004</v>
      </c>
      <c r="M1420" s="1">
        <v>773</v>
      </c>
      <c r="P1420" t="str">
        <f t="shared" si="91"/>
        <v>45 %</v>
      </c>
      <c r="Q1420" s="12">
        <f t="shared" si="88"/>
        <v>0.45</v>
      </c>
      <c r="R1420" s="9">
        <f t="shared" si="89"/>
        <v>1044.4499999999998</v>
      </c>
      <c r="S1420" s="9">
        <f>IF(R1420="",AVERAGEIF(Table1[Category],Table1[[#This Row],[Category]],Table2[orignal data]),Table2[[#This Row],[orignal data]])</f>
        <v>1044.4499999999998</v>
      </c>
      <c r="T1420" t="str">
        <f t="shared" si="90"/>
        <v>UNIQUE</v>
      </c>
      <c r="U1420" t="str">
        <f>IF(ISBLANK(Table1[[#This Row],[SizeOption]]),"NOT AVAILABLE",Table1[[#This Row],[SizeOption]])</f>
        <v>XS, S, M, L, XL</v>
      </c>
      <c r="Y1420" t="str">
        <f>IF(Table2[[#This Row],[Column1]]&gt;50%,"HIGH DISCOUNT","LOW DISCOUNT")</f>
        <v>LOW DISCOUNT</v>
      </c>
    </row>
    <row r="1421" spans="1:25" x14ac:dyDescent="0.25">
      <c r="A1421" s="2" t="s">
        <v>3123</v>
      </c>
      <c r="B1421" s="2">
        <v>11700064</v>
      </c>
      <c r="C1421" s="2" t="s">
        <v>47</v>
      </c>
      <c r="D1421" s="2" t="s">
        <v>41</v>
      </c>
      <c r="E1421" s="2" t="s">
        <v>42</v>
      </c>
      <c r="F1421" s="2" t="s">
        <v>36</v>
      </c>
      <c r="G1421" s="2" t="s">
        <v>3124</v>
      </c>
      <c r="I1421" s="2">
        <v>699</v>
      </c>
      <c r="J1421" s="2" t="s">
        <v>55</v>
      </c>
      <c r="K1421" s="2" t="s">
        <v>45</v>
      </c>
      <c r="L1421" s="2">
        <v>4</v>
      </c>
      <c r="M1421" s="2">
        <v>773</v>
      </c>
      <c r="P1421" t="str">
        <f t="shared" si="91"/>
        <v>60%</v>
      </c>
      <c r="Q1421" s="12">
        <f t="shared" si="88"/>
        <v>0.6</v>
      </c>
      <c r="R1421" s="9">
        <f t="shared" si="89"/>
        <v>279.60000000000002</v>
      </c>
      <c r="S1421" s="9">
        <f>IF(R1421="",AVERAGEIF(Table1[Category],Table1[[#This Row],[Category]],Table2[orignal data]),Table2[[#This Row],[orignal data]])</f>
        <v>279.60000000000002</v>
      </c>
      <c r="T1421" t="str">
        <f t="shared" si="90"/>
        <v>UNIQUE</v>
      </c>
      <c r="U1421" t="str">
        <f>IF(ISBLANK(Table1[[#This Row],[SizeOption]]),"NOT AVAILABLE",Table1[[#This Row],[SizeOption]])</f>
        <v>XS, S, M, L, XL</v>
      </c>
      <c r="Y1421" t="str">
        <f>IF(Table2[[#This Row],[Column1]]&gt;50%,"HIGH DISCOUNT","LOW DISCOUNT")</f>
        <v>HIGH DISCOUNT</v>
      </c>
    </row>
    <row r="1422" spans="1:25" x14ac:dyDescent="0.25">
      <c r="A1422" s="1" t="s">
        <v>3125</v>
      </c>
      <c r="B1422" s="1">
        <v>2343634</v>
      </c>
      <c r="C1422" s="1" t="s">
        <v>52</v>
      </c>
      <c r="D1422" s="1" t="s">
        <v>15</v>
      </c>
      <c r="E1422" s="1" t="s">
        <v>53</v>
      </c>
      <c r="F1422" s="1" t="s">
        <v>17</v>
      </c>
      <c r="G1422" s="1" t="s">
        <v>3126</v>
      </c>
      <c r="H1422">
        <v>775</v>
      </c>
      <c r="I1422" s="1">
        <v>1649</v>
      </c>
      <c r="J1422" s="1" t="s">
        <v>89</v>
      </c>
      <c r="K1422" s="1" t="s">
        <v>56</v>
      </c>
      <c r="L1422" s="1">
        <v>4</v>
      </c>
      <c r="M1422" s="1">
        <v>772</v>
      </c>
      <c r="P1422" t="str">
        <f t="shared" si="91"/>
        <v>53%</v>
      </c>
      <c r="Q1422" s="12">
        <f t="shared" si="88"/>
        <v>0.53</v>
      </c>
      <c r="R1422" s="9">
        <f t="shared" si="89"/>
        <v>775.03</v>
      </c>
      <c r="S1422" s="9">
        <f>IF(R1422="",AVERAGEIF(Table1[Category],Table1[[#This Row],[Category]],Table2[orignal data]),Table2[[#This Row],[orignal data]])</f>
        <v>775.03</v>
      </c>
      <c r="T1422" t="str">
        <f t="shared" si="90"/>
        <v>UNIQUE</v>
      </c>
      <c r="U1422" t="str">
        <f>IF(ISBLANK(Table1[[#This Row],[SizeOption]]),"NOT AVAILABLE",Table1[[#This Row],[SizeOption]])</f>
        <v>30, 32, 34, 36</v>
      </c>
      <c r="Y1422" t="str">
        <f>IF(Table2[[#This Row],[Column1]]&gt;50%,"HIGH DISCOUNT","LOW DISCOUNT")</f>
        <v>HIGH DISCOUNT</v>
      </c>
    </row>
    <row r="1423" spans="1:25" x14ac:dyDescent="0.25">
      <c r="A1423" s="2" t="s">
        <v>3127</v>
      </c>
      <c r="B1423" s="2">
        <v>11326758</v>
      </c>
      <c r="C1423" s="2" t="s">
        <v>14</v>
      </c>
      <c r="D1423" s="2" t="s">
        <v>28</v>
      </c>
      <c r="E1423" s="2" t="s">
        <v>29</v>
      </c>
      <c r="F1423" s="2" t="s">
        <v>17</v>
      </c>
      <c r="G1423" s="2" t="s">
        <v>3128</v>
      </c>
      <c r="H1423">
        <v>539</v>
      </c>
      <c r="I1423" s="2">
        <v>1199</v>
      </c>
      <c r="J1423" s="2" t="s">
        <v>25</v>
      </c>
      <c r="K1423" s="2" t="s">
        <v>253</v>
      </c>
      <c r="L1423" s="2">
        <v>4.4000000000000004</v>
      </c>
      <c r="M1423" s="2">
        <v>772</v>
      </c>
      <c r="P1423" t="str">
        <f t="shared" si="91"/>
        <v>55%</v>
      </c>
      <c r="Q1423" s="12">
        <f t="shared" si="88"/>
        <v>0.55000000000000004</v>
      </c>
      <c r="R1423" s="9">
        <f t="shared" si="89"/>
        <v>539.54999999999995</v>
      </c>
      <c r="S1423" s="9">
        <f>IF(R1423="",AVERAGEIF(Table1[Category],Table1[[#This Row],[Category]],Table2[orignal data]),Table2[[#This Row],[orignal data]])</f>
        <v>539.54999999999995</v>
      </c>
      <c r="T1423" t="str">
        <f t="shared" si="90"/>
        <v>UNIQUE</v>
      </c>
      <c r="U1423" t="str">
        <f>IF(ISBLANK(Table1[[#This Row],[SizeOption]]),"NOT AVAILABLE",Table1[[#This Row],[SizeOption]])</f>
        <v>38, 40, 42, 44</v>
      </c>
      <c r="Y1423" t="str">
        <f>IF(Table2[[#This Row],[Column1]]&gt;50%,"HIGH DISCOUNT","LOW DISCOUNT")</f>
        <v>HIGH DISCOUNT</v>
      </c>
    </row>
    <row r="1424" spans="1:25" x14ac:dyDescent="0.25">
      <c r="A1424" s="1" t="s">
        <v>3129</v>
      </c>
      <c r="B1424" s="1">
        <v>10074605</v>
      </c>
      <c r="C1424" s="1" t="s">
        <v>92</v>
      </c>
      <c r="D1424" s="1" t="s">
        <v>76</v>
      </c>
      <c r="E1424" s="1" t="s">
        <v>533</v>
      </c>
      <c r="F1424" s="1" t="s">
        <v>36</v>
      </c>
      <c r="G1424" s="1" t="s">
        <v>3130</v>
      </c>
      <c r="H1424">
        <v>461</v>
      </c>
      <c r="I1424" s="1">
        <v>1099</v>
      </c>
      <c r="J1424" s="1" t="s">
        <v>60</v>
      </c>
      <c r="K1424" s="1" t="s">
        <v>20</v>
      </c>
      <c r="L1424" s="1">
        <v>4.2</v>
      </c>
      <c r="M1424" s="1">
        <v>772</v>
      </c>
      <c r="P1424" t="str">
        <f t="shared" si="91"/>
        <v>58%</v>
      </c>
      <c r="Q1424" s="12">
        <f t="shared" si="88"/>
        <v>0.57999999999999996</v>
      </c>
      <c r="R1424" s="9">
        <f t="shared" si="89"/>
        <v>461.58000000000004</v>
      </c>
      <c r="S1424" s="9">
        <f>IF(R1424="",AVERAGEIF(Table1[Category],Table1[[#This Row],[Category]],Table2[orignal data]),Table2[[#This Row],[orignal data]])</f>
        <v>461.58000000000004</v>
      </c>
      <c r="T1424" t="str">
        <f t="shared" si="90"/>
        <v>UNIQUE</v>
      </c>
      <c r="U1424" t="str">
        <f>IF(ISBLANK(Table1[[#This Row],[SizeOption]]),"NOT AVAILABLE",Table1[[#This Row],[SizeOption]])</f>
        <v>28, 30, 32, 34, 36</v>
      </c>
      <c r="Y1424" t="str">
        <f>IF(Table2[[#This Row],[Column1]]&gt;50%,"HIGH DISCOUNT","LOW DISCOUNT")</f>
        <v>HIGH DISCOUNT</v>
      </c>
    </row>
    <row r="1425" spans="1:25" x14ac:dyDescent="0.25">
      <c r="A1425" s="2" t="s">
        <v>3131</v>
      </c>
      <c r="B1425" s="2">
        <v>10158753</v>
      </c>
      <c r="C1425" s="2" t="s">
        <v>107</v>
      </c>
      <c r="D1425" s="2" t="s">
        <v>41</v>
      </c>
      <c r="E1425" s="2" t="s">
        <v>16</v>
      </c>
      <c r="F1425" s="2" t="s">
        <v>36</v>
      </c>
      <c r="G1425" s="2" t="s">
        <v>3132</v>
      </c>
      <c r="I1425" s="2">
        <v>2199</v>
      </c>
      <c r="J1425" s="2" t="s">
        <v>79</v>
      </c>
      <c r="K1425" s="2" t="s">
        <v>134</v>
      </c>
      <c r="L1425" s="2">
        <v>4</v>
      </c>
      <c r="M1425" s="2">
        <v>772</v>
      </c>
      <c r="P1425" t="str">
        <f t="shared" si="91"/>
        <v>70%</v>
      </c>
      <c r="Q1425" s="12">
        <f t="shared" si="88"/>
        <v>0.7</v>
      </c>
      <c r="R1425" s="9">
        <f t="shared" si="89"/>
        <v>659.7</v>
      </c>
      <c r="S1425" s="9">
        <f>IF(R1425="",AVERAGEIF(Table1[Category],Table1[[#This Row],[Category]],Table2[orignal data]),Table2[[#This Row],[orignal data]])</f>
        <v>659.7</v>
      </c>
      <c r="T1425" t="str">
        <f t="shared" si="90"/>
        <v>UNIQUE</v>
      </c>
      <c r="U1425" t="str">
        <f>IF(ISBLANK(Table1[[#This Row],[SizeOption]]),"NOT AVAILABLE",Table1[[#This Row],[SizeOption]])</f>
        <v>26, 28, 30, 32, 34, 36</v>
      </c>
      <c r="Y1425" t="str">
        <f>IF(Table2[[#This Row],[Column1]]&gt;50%,"HIGH DISCOUNT","LOW DISCOUNT")</f>
        <v>HIGH DISCOUNT</v>
      </c>
    </row>
    <row r="1426" spans="1:25" x14ac:dyDescent="0.25">
      <c r="A1426" s="1" t="s">
        <v>3133</v>
      </c>
      <c r="B1426" s="1">
        <v>2490935</v>
      </c>
      <c r="C1426" s="1" t="s">
        <v>47</v>
      </c>
      <c r="D1426" s="1" t="s">
        <v>41</v>
      </c>
      <c r="E1426" s="1" t="s">
        <v>42</v>
      </c>
      <c r="F1426" s="1" t="s">
        <v>36</v>
      </c>
      <c r="G1426" s="1" t="s">
        <v>3134</v>
      </c>
      <c r="I1426" s="1">
        <v>699</v>
      </c>
      <c r="J1426" s="1" t="s">
        <v>50</v>
      </c>
      <c r="K1426" s="1" t="s">
        <v>45</v>
      </c>
      <c r="L1426" s="1">
        <v>4.4000000000000004</v>
      </c>
      <c r="M1426" s="1">
        <v>772</v>
      </c>
      <c r="P1426" t="str">
        <f t="shared" si="91"/>
        <v>40%</v>
      </c>
      <c r="Q1426" s="12">
        <f t="shared" si="88"/>
        <v>0.4</v>
      </c>
      <c r="R1426" s="9">
        <f t="shared" si="89"/>
        <v>419.4</v>
      </c>
      <c r="S1426" s="9">
        <f>IF(R1426="",AVERAGEIF(Table1[Category],Table1[[#This Row],[Category]],Table2[orignal data]),Table2[[#This Row],[orignal data]])</f>
        <v>419.4</v>
      </c>
      <c r="T1426" t="str">
        <f t="shared" si="90"/>
        <v>UNIQUE</v>
      </c>
      <c r="U1426" t="str">
        <f>IF(ISBLANK(Table1[[#This Row],[SizeOption]]),"NOT AVAILABLE",Table1[[#This Row],[SizeOption]])</f>
        <v>XS, S, M, L, XL</v>
      </c>
      <c r="Y1426" t="str">
        <f>IF(Table2[[#This Row],[Column1]]&gt;50%,"HIGH DISCOUNT","LOW DISCOUNT")</f>
        <v>LOW DISCOUNT</v>
      </c>
    </row>
    <row r="1427" spans="1:25" x14ac:dyDescent="0.25">
      <c r="A1427" s="2" t="s">
        <v>3135</v>
      </c>
      <c r="B1427" s="2">
        <v>11489552</v>
      </c>
      <c r="C1427" s="2" t="s">
        <v>14</v>
      </c>
      <c r="D1427" s="2" t="s">
        <v>41</v>
      </c>
      <c r="E1427" s="2" t="s">
        <v>137</v>
      </c>
      <c r="F1427" s="2" t="s">
        <v>36</v>
      </c>
      <c r="G1427" s="2" t="s">
        <v>143</v>
      </c>
      <c r="I1427" s="2">
        <v>999</v>
      </c>
      <c r="J1427" s="2" t="s">
        <v>19</v>
      </c>
      <c r="K1427" s="2" t="s">
        <v>134</v>
      </c>
      <c r="L1427" s="2">
        <v>4.4000000000000004</v>
      </c>
      <c r="M1427" s="2">
        <v>772</v>
      </c>
      <c r="P1427" t="str">
        <f t="shared" si="91"/>
        <v>45%</v>
      </c>
      <c r="Q1427" s="12">
        <f t="shared" si="88"/>
        <v>0.45</v>
      </c>
      <c r="R1427" s="9">
        <f t="shared" si="89"/>
        <v>549.45000000000005</v>
      </c>
      <c r="S1427" s="9">
        <f>IF(R1427="",AVERAGEIF(Table1[Category],Table1[[#This Row],[Category]],Table2[orignal data]),Table2[[#This Row],[orignal data]])</f>
        <v>549.45000000000005</v>
      </c>
      <c r="T1427" t="str">
        <f t="shared" si="90"/>
        <v>UNIQUE</v>
      </c>
      <c r="U1427" t="str">
        <f>IF(ISBLANK(Table1[[#This Row],[SizeOption]]),"NOT AVAILABLE",Table1[[#This Row],[SizeOption]])</f>
        <v>26, 28, 30, 32, 34, 36</v>
      </c>
      <c r="Y1427" t="str">
        <f>IF(Table2[[#This Row],[Column1]]&gt;50%,"HIGH DISCOUNT","LOW DISCOUNT")</f>
        <v>LOW DISCOUNT</v>
      </c>
    </row>
    <row r="1428" spans="1:25" x14ac:dyDescent="0.25">
      <c r="A1428" s="1" t="s">
        <v>3136</v>
      </c>
      <c r="B1428" s="1">
        <v>14121300</v>
      </c>
      <c r="C1428" s="1" t="s">
        <v>52</v>
      </c>
      <c r="D1428" s="1" t="s">
        <v>15</v>
      </c>
      <c r="E1428" s="1" t="s">
        <v>137</v>
      </c>
      <c r="F1428" s="1" t="s">
        <v>17</v>
      </c>
      <c r="G1428" s="1" t="s">
        <v>3137</v>
      </c>
      <c r="H1428">
        <v>610</v>
      </c>
      <c r="I1428" s="1">
        <v>1299</v>
      </c>
      <c r="J1428" s="1" t="s">
        <v>89</v>
      </c>
      <c r="K1428" s="1" t="s">
        <v>56</v>
      </c>
      <c r="L1428" s="1">
        <v>4.3</v>
      </c>
      <c r="M1428" s="1">
        <v>771</v>
      </c>
      <c r="P1428" t="str">
        <f t="shared" si="91"/>
        <v>53%</v>
      </c>
      <c r="Q1428" s="12">
        <f t="shared" si="88"/>
        <v>0.53</v>
      </c>
      <c r="R1428" s="9">
        <f t="shared" si="89"/>
        <v>610.53</v>
      </c>
      <c r="S1428" s="9">
        <f>IF(R1428="",AVERAGEIF(Table1[Category],Table1[[#This Row],[Category]],Table2[orignal data]),Table2[[#This Row],[orignal data]])</f>
        <v>610.53</v>
      </c>
      <c r="T1428" t="str">
        <f t="shared" si="90"/>
        <v>UNIQUE</v>
      </c>
      <c r="U1428" t="str">
        <f>IF(ISBLANK(Table1[[#This Row],[SizeOption]]),"NOT AVAILABLE",Table1[[#This Row],[SizeOption]])</f>
        <v>30, 32, 34, 36</v>
      </c>
      <c r="Y1428" t="str">
        <f>IF(Table2[[#This Row],[Column1]]&gt;50%,"HIGH DISCOUNT","LOW DISCOUNT")</f>
        <v>HIGH DISCOUNT</v>
      </c>
    </row>
    <row r="1429" spans="1:25" x14ac:dyDescent="0.25">
      <c r="A1429" s="2" t="s">
        <v>3138</v>
      </c>
      <c r="B1429" s="2">
        <v>14196610</v>
      </c>
      <c r="C1429" s="2" t="s">
        <v>1641</v>
      </c>
      <c r="D1429" s="2" t="s">
        <v>28</v>
      </c>
      <c r="E1429" s="2" t="s">
        <v>42</v>
      </c>
      <c r="F1429" s="2" t="s">
        <v>17</v>
      </c>
      <c r="G1429" s="2" t="s">
        <v>3139</v>
      </c>
      <c r="H1429">
        <v>719</v>
      </c>
      <c r="I1429" s="2">
        <v>1199</v>
      </c>
      <c r="J1429" s="2" t="s">
        <v>50</v>
      </c>
      <c r="K1429" s="2" t="s">
        <v>100</v>
      </c>
      <c r="L1429" s="2">
        <v>4.2</v>
      </c>
      <c r="M1429" s="2">
        <v>771</v>
      </c>
      <c r="P1429" t="str">
        <f t="shared" si="91"/>
        <v>40%</v>
      </c>
      <c r="Q1429" s="12">
        <f t="shared" si="88"/>
        <v>0.4</v>
      </c>
      <c r="R1429" s="9">
        <f t="shared" si="89"/>
        <v>719.4</v>
      </c>
      <c r="S1429" s="9">
        <f>IF(R1429="",AVERAGEIF(Table1[Category],Table1[[#This Row],[Category]],Table2[orignal data]),Table2[[#This Row],[orignal data]])</f>
        <v>719.4</v>
      </c>
      <c r="T1429" t="str">
        <f t="shared" si="90"/>
        <v>UNIQUE</v>
      </c>
      <c r="U1429" t="str">
        <f>IF(ISBLANK(Table1[[#This Row],[SizeOption]]),"NOT AVAILABLE",Table1[[#This Row],[SizeOption]])</f>
        <v>XS, S, M, L, XL, XXL, 3XL</v>
      </c>
      <c r="Y1429" t="str">
        <f>IF(Table2[[#This Row],[Column1]]&gt;50%,"HIGH DISCOUNT","LOW DISCOUNT")</f>
        <v>LOW DISCOUNT</v>
      </c>
    </row>
    <row r="1430" spans="1:25" x14ac:dyDescent="0.25">
      <c r="A1430" s="1" t="s">
        <v>3140</v>
      </c>
      <c r="B1430" s="1">
        <v>10669536</v>
      </c>
      <c r="C1430" s="1" t="s">
        <v>2823</v>
      </c>
      <c r="D1430" s="1" t="s">
        <v>28</v>
      </c>
      <c r="E1430" s="1" t="s">
        <v>42</v>
      </c>
      <c r="F1430" s="1" t="s">
        <v>17</v>
      </c>
      <c r="G1430" s="1" t="s">
        <v>3141</v>
      </c>
      <c r="H1430">
        <v>659</v>
      </c>
      <c r="I1430" s="1">
        <v>1998</v>
      </c>
      <c r="J1430" s="1" t="s">
        <v>543</v>
      </c>
      <c r="K1430" s="1" t="s">
        <v>39</v>
      </c>
      <c r="L1430" s="1">
        <v>4.0999999999999996</v>
      </c>
      <c r="M1430" s="1">
        <v>771</v>
      </c>
      <c r="P1430" t="str">
        <f t="shared" si="91"/>
        <v>67%</v>
      </c>
      <c r="Q1430" s="12">
        <f t="shared" si="88"/>
        <v>0.67</v>
      </c>
      <c r="R1430" s="9">
        <f t="shared" si="89"/>
        <v>659.33999999999992</v>
      </c>
      <c r="S1430" s="9">
        <f>IF(R1430="",AVERAGEIF(Table1[Category],Table1[[#This Row],[Category]],Table2[orignal data]),Table2[[#This Row],[orignal data]])</f>
        <v>659.33999999999992</v>
      </c>
      <c r="T1430" t="str">
        <f t="shared" si="90"/>
        <v>UNIQUE</v>
      </c>
      <c r="U1430" t="str">
        <f>IF(ISBLANK(Table1[[#This Row],[SizeOption]]),"NOT AVAILABLE",Table1[[#This Row],[SizeOption]])</f>
        <v>S, M, L, XL, XXL</v>
      </c>
      <c r="Y1430" t="str">
        <f>IF(Table2[[#This Row],[Column1]]&gt;50%,"HIGH DISCOUNT","LOW DISCOUNT")</f>
        <v>HIGH DISCOUNT</v>
      </c>
    </row>
    <row r="1431" spans="1:25" x14ac:dyDescent="0.25">
      <c r="A1431" s="2" t="s">
        <v>3142</v>
      </c>
      <c r="B1431" s="2">
        <v>11495626</v>
      </c>
      <c r="C1431" s="2" t="s">
        <v>1375</v>
      </c>
      <c r="D1431" s="2" t="s">
        <v>76</v>
      </c>
      <c r="E1431" s="2" t="s">
        <v>320</v>
      </c>
      <c r="F1431" s="2" t="s">
        <v>36</v>
      </c>
      <c r="G1431" s="2" t="s">
        <v>3143</v>
      </c>
      <c r="H1431">
        <v>1499</v>
      </c>
      <c r="I1431" s="2">
        <v>4999</v>
      </c>
      <c r="J1431" s="2" t="s">
        <v>79</v>
      </c>
      <c r="K1431" s="2" t="s">
        <v>164</v>
      </c>
      <c r="L1431" s="2">
        <v>4</v>
      </c>
      <c r="M1431" s="2">
        <v>771</v>
      </c>
      <c r="P1431" t="str">
        <f t="shared" si="91"/>
        <v>70%</v>
      </c>
      <c r="Q1431" s="12">
        <f t="shared" si="88"/>
        <v>0.7</v>
      </c>
      <c r="R1431" s="9">
        <f t="shared" si="89"/>
        <v>1499.7000000000003</v>
      </c>
      <c r="S1431" s="9">
        <f>IF(R1431="",AVERAGEIF(Table1[Category],Table1[[#This Row],[Category]],Table2[orignal data]),Table2[[#This Row],[orignal data]])</f>
        <v>1499.7000000000003</v>
      </c>
      <c r="T1431" t="str">
        <f t="shared" si="90"/>
        <v>UNIQUE</v>
      </c>
      <c r="U1431" t="str">
        <f>IF(ISBLANK(Table1[[#This Row],[SizeOption]]),"NOT AVAILABLE",Table1[[#This Row],[SizeOption]])</f>
        <v>Onesize</v>
      </c>
      <c r="Y1431" t="str">
        <f>IF(Table2[[#This Row],[Column1]]&gt;50%,"HIGH DISCOUNT","LOW DISCOUNT")</f>
        <v>HIGH DISCOUNT</v>
      </c>
    </row>
    <row r="1432" spans="1:25" x14ac:dyDescent="0.25">
      <c r="A1432" s="1" t="s">
        <v>3144</v>
      </c>
      <c r="B1432" s="1">
        <v>8238855</v>
      </c>
      <c r="C1432" s="1" t="s">
        <v>102</v>
      </c>
      <c r="D1432" s="1" t="s">
        <v>41</v>
      </c>
      <c r="E1432" s="1" t="s">
        <v>48</v>
      </c>
      <c r="F1432" s="1" t="s">
        <v>36</v>
      </c>
      <c r="G1432" s="1" t="s">
        <v>3145</v>
      </c>
      <c r="I1432" s="1">
        <v>1199</v>
      </c>
      <c r="J1432" s="1" t="s">
        <v>758</v>
      </c>
      <c r="K1432" s="1" t="s">
        <v>26</v>
      </c>
      <c r="L1432" s="1">
        <v>4.0999999999999996</v>
      </c>
      <c r="M1432" s="1">
        <v>771</v>
      </c>
      <c r="P1432" t="str">
        <f t="shared" si="91"/>
        <v>47%</v>
      </c>
      <c r="Q1432" s="12">
        <f t="shared" si="88"/>
        <v>0.47</v>
      </c>
      <c r="R1432" s="9">
        <f t="shared" si="89"/>
        <v>635.47</v>
      </c>
      <c r="S1432" s="9">
        <f>IF(R1432="",AVERAGEIF(Table1[Category],Table1[[#This Row],[Category]],Table2[orignal data]),Table2[[#This Row],[orignal data]])</f>
        <v>635.47</v>
      </c>
      <c r="T1432" t="str">
        <f t="shared" si="90"/>
        <v>UNIQUE</v>
      </c>
      <c r="U1432" t="str">
        <f>IF(ISBLANK(Table1[[#This Row],[SizeOption]]),"NOT AVAILABLE",Table1[[#This Row],[SizeOption]])</f>
        <v>S, M, L, XL</v>
      </c>
      <c r="Y1432" t="str">
        <f>IF(Table2[[#This Row],[Column1]]&gt;50%,"HIGH DISCOUNT","LOW DISCOUNT")</f>
        <v>LOW DISCOUNT</v>
      </c>
    </row>
    <row r="1433" spans="1:25" x14ac:dyDescent="0.25">
      <c r="A1433" s="2" t="s">
        <v>3146</v>
      </c>
      <c r="B1433" s="2">
        <v>17384666</v>
      </c>
      <c r="C1433" s="2" t="s">
        <v>14</v>
      </c>
      <c r="D1433" s="2" t="s">
        <v>41</v>
      </c>
      <c r="E1433" s="2" t="s">
        <v>42</v>
      </c>
      <c r="F1433" s="2" t="s">
        <v>36</v>
      </c>
      <c r="G1433" s="2" t="s">
        <v>1405</v>
      </c>
      <c r="I1433" s="2">
        <v>1498</v>
      </c>
      <c r="J1433" s="2"/>
      <c r="K1433" s="2" t="s">
        <v>45</v>
      </c>
      <c r="L1433" s="2">
        <v>4.2</v>
      </c>
      <c r="M1433" s="2">
        <v>771</v>
      </c>
      <c r="P1433" t="str">
        <f t="shared" si="91"/>
        <v/>
      </c>
      <c r="Q1433" s="12" t="str">
        <f t="shared" si="88"/>
        <v/>
      </c>
      <c r="R1433" s="9" t="str">
        <f t="shared" si="89"/>
        <v/>
      </c>
      <c r="S1433" s="9">
        <f>IF(R1433="",AVERAGEIF(Table1[Category],Table1[[#This Row],[Category]],Table2[orignal data]),Table2[[#This Row],[orignal data]])</f>
        <v>715.78890751086249</v>
      </c>
      <c r="T1433" t="str">
        <f t="shared" si="90"/>
        <v>UNIQUE</v>
      </c>
      <c r="U1433" t="str">
        <f>IF(ISBLANK(Table1[[#This Row],[SizeOption]]),"NOT AVAILABLE",Table1[[#This Row],[SizeOption]])</f>
        <v>XS, S, M, L, XL</v>
      </c>
      <c r="Y1433" t="str">
        <f>IF(Table2[[#This Row],[Column1]]&gt;50%,"HIGH DISCOUNT","LOW DISCOUNT")</f>
        <v>HIGH DISCOUNT</v>
      </c>
    </row>
    <row r="1434" spans="1:25" x14ac:dyDescent="0.25">
      <c r="A1434" s="1" t="s">
        <v>3147</v>
      </c>
      <c r="B1434" s="1">
        <v>12364798</v>
      </c>
      <c r="C1434" s="1" t="s">
        <v>128</v>
      </c>
      <c r="D1434" s="1" t="s">
        <v>41</v>
      </c>
      <c r="E1434" s="1" t="s">
        <v>48</v>
      </c>
      <c r="F1434" s="1" t="s">
        <v>36</v>
      </c>
      <c r="G1434" s="1" t="s">
        <v>3148</v>
      </c>
      <c r="I1434" s="1">
        <v>1590</v>
      </c>
      <c r="J1434" s="1" t="s">
        <v>126</v>
      </c>
      <c r="K1434" s="1" t="s">
        <v>26</v>
      </c>
      <c r="L1434" s="1">
        <v>4</v>
      </c>
      <c r="M1434" s="1">
        <v>771</v>
      </c>
      <c r="P1434" t="str">
        <f t="shared" si="91"/>
        <v>62%</v>
      </c>
      <c r="Q1434" s="12">
        <f t="shared" si="88"/>
        <v>0.62</v>
      </c>
      <c r="R1434" s="9">
        <f t="shared" si="89"/>
        <v>604.20000000000005</v>
      </c>
      <c r="S1434" s="9">
        <f>IF(R1434="",AVERAGEIF(Table1[Category],Table1[[#This Row],[Category]],Table2[orignal data]),Table2[[#This Row],[orignal data]])</f>
        <v>604.20000000000005</v>
      </c>
      <c r="T1434" t="str">
        <f t="shared" si="90"/>
        <v>UNIQUE</v>
      </c>
      <c r="U1434" t="str">
        <f>IF(ISBLANK(Table1[[#This Row],[SizeOption]]),"NOT AVAILABLE",Table1[[#This Row],[SizeOption]])</f>
        <v>S, M, L, XL</v>
      </c>
      <c r="Y1434" t="str">
        <f>IF(Table2[[#This Row],[Column1]]&gt;50%,"HIGH DISCOUNT","LOW DISCOUNT")</f>
        <v>HIGH DISCOUNT</v>
      </c>
    </row>
    <row r="1435" spans="1:25" x14ac:dyDescent="0.25">
      <c r="A1435" s="2" t="s">
        <v>3149</v>
      </c>
      <c r="B1435" s="2">
        <v>1226060</v>
      </c>
      <c r="C1435" s="2" t="s">
        <v>3150</v>
      </c>
      <c r="D1435" s="2" t="s">
        <v>41</v>
      </c>
      <c r="E1435" s="2" t="s">
        <v>592</v>
      </c>
      <c r="F1435" s="2" t="s">
        <v>36</v>
      </c>
      <c r="G1435" s="2" t="s">
        <v>3151</v>
      </c>
      <c r="I1435" s="2">
        <v>999</v>
      </c>
      <c r="J1435" s="2" t="s">
        <v>44</v>
      </c>
      <c r="K1435" s="2" t="s">
        <v>234</v>
      </c>
      <c r="L1435" s="2">
        <v>3.8</v>
      </c>
      <c r="M1435" s="2">
        <v>771</v>
      </c>
      <c r="P1435" t="str">
        <f t="shared" si="91"/>
        <v>35%</v>
      </c>
      <c r="Q1435" s="12">
        <f t="shared" si="88"/>
        <v>0.35</v>
      </c>
      <c r="R1435" s="9">
        <f t="shared" si="89"/>
        <v>649.35</v>
      </c>
      <c r="S1435" s="9">
        <f>IF(R1435="",AVERAGEIF(Table1[Category],Table1[[#This Row],[Category]],Table2[orignal data]),Table2[[#This Row],[orignal data]])</f>
        <v>649.35</v>
      </c>
      <c r="T1435" t="str">
        <f t="shared" si="90"/>
        <v>UNIQUE</v>
      </c>
      <c r="U1435" t="str">
        <f>IF(ISBLANK(Table1[[#This Row],[SizeOption]]),"NOT AVAILABLE",Table1[[#This Row],[SizeOption]])</f>
        <v>S, M, L, XL, XXL, 3XL</v>
      </c>
      <c r="Y1435" t="str">
        <f>IF(Table2[[#This Row],[Column1]]&gt;50%,"HIGH DISCOUNT","LOW DISCOUNT")</f>
        <v>LOW DISCOUNT</v>
      </c>
    </row>
    <row r="1436" spans="1:25" x14ac:dyDescent="0.25">
      <c r="A1436" s="1" t="s">
        <v>3152</v>
      </c>
      <c r="B1436" s="1">
        <v>12970010</v>
      </c>
      <c r="C1436" s="1" t="s">
        <v>1506</v>
      </c>
      <c r="D1436" s="1" t="s">
        <v>15</v>
      </c>
      <c r="E1436" s="1" t="s">
        <v>23</v>
      </c>
      <c r="F1436" s="1" t="s">
        <v>17</v>
      </c>
      <c r="G1436" s="1" t="s">
        <v>3153</v>
      </c>
      <c r="H1436">
        <v>764</v>
      </c>
      <c r="I1436" s="1">
        <v>1699</v>
      </c>
      <c r="J1436" s="1" t="s">
        <v>25</v>
      </c>
      <c r="K1436" s="1" t="s">
        <v>881</v>
      </c>
      <c r="L1436" s="1">
        <v>3.6</v>
      </c>
      <c r="M1436" s="1">
        <v>770</v>
      </c>
      <c r="P1436" t="str">
        <f t="shared" si="91"/>
        <v>55%</v>
      </c>
      <c r="Q1436" s="12">
        <f t="shared" si="88"/>
        <v>0.55000000000000004</v>
      </c>
      <c r="R1436" s="9">
        <f t="shared" si="89"/>
        <v>764.55</v>
      </c>
      <c r="S1436" s="9">
        <f>IF(R1436="",AVERAGEIF(Table1[Category],Table1[[#This Row],[Category]],Table2[orignal data]),Table2[[#This Row],[orignal data]])</f>
        <v>764.55</v>
      </c>
      <c r="T1436" t="str">
        <f t="shared" si="90"/>
        <v>UNIQUE</v>
      </c>
      <c r="U1436" t="str">
        <f>IF(ISBLANK(Table1[[#This Row],[SizeOption]]),"NOT AVAILABLE",Table1[[#This Row],[SizeOption]])</f>
        <v>M, L, XL, XXL</v>
      </c>
      <c r="Y1436" t="str">
        <f>IF(Table2[[#This Row],[Column1]]&gt;50%,"HIGH DISCOUNT","LOW DISCOUNT")</f>
        <v>HIGH DISCOUNT</v>
      </c>
    </row>
    <row r="1437" spans="1:25" x14ac:dyDescent="0.25">
      <c r="A1437" s="2" t="s">
        <v>3154</v>
      </c>
      <c r="B1437" s="2">
        <v>4110959</v>
      </c>
      <c r="C1437" s="2" t="s">
        <v>47</v>
      </c>
      <c r="D1437" s="2" t="s">
        <v>15</v>
      </c>
      <c r="E1437" s="2" t="s">
        <v>53</v>
      </c>
      <c r="F1437" s="2" t="s">
        <v>17</v>
      </c>
      <c r="G1437" s="2" t="s">
        <v>3155</v>
      </c>
      <c r="H1437">
        <v>679</v>
      </c>
      <c r="I1437" s="2">
        <v>1699</v>
      </c>
      <c r="J1437" s="2" t="s">
        <v>55</v>
      </c>
      <c r="K1437" s="2" t="s">
        <v>134</v>
      </c>
      <c r="L1437" s="2">
        <v>4</v>
      </c>
      <c r="M1437" s="2">
        <v>770</v>
      </c>
      <c r="P1437" t="str">
        <f t="shared" si="91"/>
        <v>60%</v>
      </c>
      <c r="Q1437" s="12">
        <f t="shared" si="88"/>
        <v>0.6</v>
      </c>
      <c r="R1437" s="9">
        <f t="shared" si="89"/>
        <v>679.6</v>
      </c>
      <c r="S1437" s="9">
        <f>IF(R1437="",AVERAGEIF(Table1[Category],Table1[[#This Row],[Category]],Table2[orignal data]),Table2[[#This Row],[orignal data]])</f>
        <v>679.6</v>
      </c>
      <c r="T1437" t="str">
        <f t="shared" si="90"/>
        <v>UNIQUE</v>
      </c>
      <c r="U1437" t="str">
        <f>IF(ISBLANK(Table1[[#This Row],[SizeOption]]),"NOT AVAILABLE",Table1[[#This Row],[SizeOption]])</f>
        <v>26, 28, 30, 32, 34, 36</v>
      </c>
      <c r="Y1437" t="str">
        <f>IF(Table2[[#This Row],[Column1]]&gt;50%,"HIGH DISCOUNT","LOW DISCOUNT")</f>
        <v>HIGH DISCOUNT</v>
      </c>
    </row>
    <row r="1438" spans="1:25" x14ac:dyDescent="0.25">
      <c r="A1438" s="1" t="s">
        <v>3156</v>
      </c>
      <c r="B1438" s="1">
        <v>13676450</v>
      </c>
      <c r="C1438" s="1" t="s">
        <v>563</v>
      </c>
      <c r="D1438" s="1" t="s">
        <v>197</v>
      </c>
      <c r="E1438" s="1" t="s">
        <v>518</v>
      </c>
      <c r="F1438" s="1" t="s">
        <v>17</v>
      </c>
      <c r="G1438" s="1" t="s">
        <v>1590</v>
      </c>
      <c r="H1438">
        <v>988</v>
      </c>
      <c r="I1438" s="1">
        <v>1798</v>
      </c>
      <c r="J1438" s="1" t="s">
        <v>19</v>
      </c>
      <c r="K1438" s="1" t="s">
        <v>39</v>
      </c>
      <c r="L1438" s="1">
        <v>4.0999999999999996</v>
      </c>
      <c r="M1438" s="1">
        <v>770</v>
      </c>
      <c r="P1438" t="str">
        <f t="shared" si="91"/>
        <v>45%</v>
      </c>
      <c r="Q1438" s="12">
        <f t="shared" si="88"/>
        <v>0.45</v>
      </c>
      <c r="R1438" s="9">
        <f t="shared" si="89"/>
        <v>988.9</v>
      </c>
      <c r="S1438" s="9">
        <f>IF(R1438="",AVERAGEIF(Table1[Category],Table1[[#This Row],[Category]],Table2[orignal data]),Table2[[#This Row],[orignal data]])</f>
        <v>988.9</v>
      </c>
      <c r="T1438" t="str">
        <f t="shared" si="90"/>
        <v>UNIQUE</v>
      </c>
      <c r="U1438" t="str">
        <f>IF(ISBLANK(Table1[[#This Row],[SizeOption]]),"NOT AVAILABLE",Table1[[#This Row],[SizeOption]])</f>
        <v>S, M, L, XL, XXL</v>
      </c>
      <c r="Y1438" t="str">
        <f>IF(Table2[[#This Row],[Column1]]&gt;50%,"HIGH DISCOUNT","LOW DISCOUNT")</f>
        <v>LOW DISCOUNT</v>
      </c>
    </row>
    <row r="1439" spans="1:25" x14ac:dyDescent="0.25">
      <c r="A1439" s="2" t="s">
        <v>3157</v>
      </c>
      <c r="B1439" s="2">
        <v>11361250</v>
      </c>
      <c r="C1439" s="2" t="s">
        <v>169</v>
      </c>
      <c r="D1439" s="2" t="s">
        <v>28</v>
      </c>
      <c r="E1439" s="2" t="s">
        <v>29</v>
      </c>
      <c r="F1439" s="2" t="s">
        <v>17</v>
      </c>
      <c r="G1439" s="2" t="s">
        <v>3158</v>
      </c>
      <c r="H1439">
        <v>1199</v>
      </c>
      <c r="I1439" s="2">
        <v>2399</v>
      </c>
      <c r="J1439" s="2" t="s">
        <v>84</v>
      </c>
      <c r="K1439" s="2" t="s">
        <v>484</v>
      </c>
      <c r="L1439" s="2">
        <v>4.2</v>
      </c>
      <c r="M1439" s="2">
        <v>770</v>
      </c>
      <c r="P1439" t="str">
        <f t="shared" si="91"/>
        <v>50%</v>
      </c>
      <c r="Q1439" s="12">
        <f t="shared" si="88"/>
        <v>0.5</v>
      </c>
      <c r="R1439" s="9">
        <f t="shared" si="89"/>
        <v>1199.5</v>
      </c>
      <c r="S1439" s="9">
        <f>IF(R1439="",AVERAGEIF(Table1[Category],Table1[[#This Row],[Category]],Table2[orignal data]),Table2[[#This Row],[orignal data]])</f>
        <v>1199.5</v>
      </c>
      <c r="T1439" t="str">
        <f t="shared" si="90"/>
        <v>UNIQUE</v>
      </c>
      <c r="U1439" t="str">
        <f>IF(ISBLANK(Table1[[#This Row],[SizeOption]]),"NOT AVAILABLE",Table1[[#This Row],[SizeOption]])</f>
        <v>39, 40, 42, 44, 46</v>
      </c>
      <c r="Y1439" t="str">
        <f>IF(Table2[[#This Row],[Column1]]&gt;50%,"HIGH DISCOUNT","LOW DISCOUNT")</f>
        <v>LOW DISCOUNT</v>
      </c>
    </row>
    <row r="1440" spans="1:25" x14ac:dyDescent="0.25">
      <c r="A1440" s="1" t="s">
        <v>3159</v>
      </c>
      <c r="B1440" s="1">
        <v>11126656</v>
      </c>
      <c r="C1440" s="1" t="s">
        <v>14</v>
      </c>
      <c r="D1440" s="1" t="s">
        <v>28</v>
      </c>
      <c r="E1440" s="1" t="s">
        <v>42</v>
      </c>
      <c r="F1440" s="1" t="s">
        <v>17</v>
      </c>
      <c r="G1440" s="1" t="s">
        <v>3160</v>
      </c>
      <c r="I1440" s="1">
        <v>269</v>
      </c>
      <c r="J1440" s="1"/>
      <c r="K1440" s="1" t="s">
        <v>45</v>
      </c>
      <c r="L1440" s="1">
        <v>4.0999999999999996</v>
      </c>
      <c r="M1440" s="1">
        <v>770</v>
      </c>
      <c r="P1440" t="str">
        <f t="shared" si="91"/>
        <v/>
      </c>
      <c r="Q1440" s="12" t="str">
        <f t="shared" si="88"/>
        <v/>
      </c>
      <c r="R1440" s="9" t="str">
        <f t="shared" si="89"/>
        <v/>
      </c>
      <c r="S1440" s="9">
        <f>IF(R1440="",AVERAGEIF(Table1[Category],Table1[[#This Row],[Category]],Table2[orignal data]),Table2[[#This Row],[orignal data]])</f>
        <v>671.7823941958867</v>
      </c>
      <c r="T1440" t="str">
        <f t="shared" si="90"/>
        <v>UNIQUE</v>
      </c>
      <c r="U1440" t="str">
        <f>IF(ISBLANK(Table1[[#This Row],[SizeOption]]),"NOT AVAILABLE",Table1[[#This Row],[SizeOption]])</f>
        <v>XS, S, M, L, XL</v>
      </c>
      <c r="Y1440" t="str">
        <f>IF(Table2[[#This Row],[Column1]]&gt;50%,"HIGH DISCOUNT","LOW DISCOUNT")</f>
        <v>HIGH DISCOUNT</v>
      </c>
    </row>
    <row r="1441" spans="1:25" x14ac:dyDescent="0.25">
      <c r="A1441" s="2" t="s">
        <v>3161</v>
      </c>
      <c r="B1441" s="2">
        <v>12151760</v>
      </c>
      <c r="C1441" s="2" t="s">
        <v>1127</v>
      </c>
      <c r="D1441" s="2" t="s">
        <v>76</v>
      </c>
      <c r="E1441" s="2" t="s">
        <v>48</v>
      </c>
      <c r="F1441" s="2" t="s">
        <v>36</v>
      </c>
      <c r="G1441" s="2" t="s">
        <v>3162</v>
      </c>
      <c r="H1441">
        <v>779</v>
      </c>
      <c r="I1441" s="2">
        <v>1499</v>
      </c>
      <c r="J1441" s="2" t="s">
        <v>602</v>
      </c>
      <c r="K1441" s="2" t="s">
        <v>26</v>
      </c>
      <c r="L1441" s="2">
        <v>4.0999999999999996</v>
      </c>
      <c r="M1441" s="2">
        <v>770</v>
      </c>
      <c r="P1441" t="str">
        <f t="shared" si="91"/>
        <v>48%</v>
      </c>
      <c r="Q1441" s="12">
        <f t="shared" si="88"/>
        <v>0.48</v>
      </c>
      <c r="R1441" s="9">
        <f t="shared" si="89"/>
        <v>779.48</v>
      </c>
      <c r="S1441" s="9">
        <f>IF(R1441="",AVERAGEIF(Table1[Category],Table1[[#This Row],[Category]],Table2[orignal data]),Table2[[#This Row],[orignal data]])</f>
        <v>779.48</v>
      </c>
      <c r="T1441" t="str">
        <f t="shared" si="90"/>
        <v>UNIQUE</v>
      </c>
      <c r="U1441" t="str">
        <f>IF(ISBLANK(Table1[[#This Row],[SizeOption]]),"NOT AVAILABLE",Table1[[#This Row],[SizeOption]])</f>
        <v>S, M, L, XL</v>
      </c>
      <c r="Y1441" t="str">
        <f>IF(Table2[[#This Row],[Column1]]&gt;50%,"HIGH DISCOUNT","LOW DISCOUNT")</f>
        <v>LOW DISCOUNT</v>
      </c>
    </row>
    <row r="1442" spans="1:25" x14ac:dyDescent="0.25">
      <c r="A1442" s="1" t="s">
        <v>3163</v>
      </c>
      <c r="B1442" s="1">
        <v>7570699</v>
      </c>
      <c r="C1442" s="1" t="s">
        <v>92</v>
      </c>
      <c r="D1442" s="1" t="s">
        <v>76</v>
      </c>
      <c r="E1442" s="1" t="s">
        <v>93</v>
      </c>
      <c r="F1442" s="1" t="s">
        <v>36</v>
      </c>
      <c r="G1442" s="1" t="s">
        <v>3164</v>
      </c>
      <c r="H1442">
        <v>838</v>
      </c>
      <c r="I1442" s="1">
        <v>1949</v>
      </c>
      <c r="J1442" s="1" t="s">
        <v>130</v>
      </c>
      <c r="K1442" s="1" t="s">
        <v>39</v>
      </c>
      <c r="L1442" s="1">
        <v>4.4000000000000004</v>
      </c>
      <c r="M1442" s="1">
        <v>770</v>
      </c>
      <c r="P1442" t="str">
        <f t="shared" si="91"/>
        <v>57%</v>
      </c>
      <c r="Q1442" s="12">
        <f t="shared" si="88"/>
        <v>0.56999999999999995</v>
      </c>
      <c r="R1442" s="9">
        <f t="shared" si="89"/>
        <v>838.07000000000016</v>
      </c>
      <c r="S1442" s="9">
        <f>IF(R1442="",AVERAGEIF(Table1[Category],Table1[[#This Row],[Category]],Table2[orignal data]),Table2[[#This Row],[orignal data]])</f>
        <v>838.07000000000016</v>
      </c>
      <c r="T1442" t="str">
        <f t="shared" si="90"/>
        <v>UNIQUE</v>
      </c>
      <c r="U1442" t="str">
        <f>IF(ISBLANK(Table1[[#This Row],[SizeOption]]),"NOT AVAILABLE",Table1[[#This Row],[SizeOption]])</f>
        <v>S, M, L, XL, XXL</v>
      </c>
      <c r="Y1442" t="str">
        <f>IF(Table2[[#This Row],[Column1]]&gt;50%,"HIGH DISCOUNT","LOW DISCOUNT")</f>
        <v>HIGH DISCOUNT</v>
      </c>
    </row>
    <row r="1443" spans="1:25" x14ac:dyDescent="0.25">
      <c r="A1443" s="2" t="s">
        <v>3165</v>
      </c>
      <c r="B1443" s="2">
        <v>14984816</v>
      </c>
      <c r="C1443" s="2" t="s">
        <v>545</v>
      </c>
      <c r="D1443" s="2" t="s">
        <v>76</v>
      </c>
      <c r="E1443" s="2" t="s">
        <v>320</v>
      </c>
      <c r="F1443" s="2" t="s">
        <v>36</v>
      </c>
      <c r="G1443" s="2" t="s">
        <v>3166</v>
      </c>
      <c r="H1443">
        <v>1359</v>
      </c>
      <c r="I1443" s="2">
        <v>3999</v>
      </c>
      <c r="J1443" s="2" t="s">
        <v>403</v>
      </c>
      <c r="K1443" s="2" t="s">
        <v>164</v>
      </c>
      <c r="L1443" s="2">
        <v>4.3</v>
      </c>
      <c r="M1443" s="2">
        <v>770</v>
      </c>
      <c r="P1443" t="str">
        <f t="shared" si="91"/>
        <v>66%</v>
      </c>
      <c r="Q1443" s="12">
        <f t="shared" si="88"/>
        <v>0.66</v>
      </c>
      <c r="R1443" s="9">
        <f t="shared" si="89"/>
        <v>1359.6599999999999</v>
      </c>
      <c r="S1443" s="9">
        <f>IF(R1443="",AVERAGEIF(Table1[Category],Table1[[#This Row],[Category]],Table2[orignal data]),Table2[[#This Row],[orignal data]])</f>
        <v>1359.6599999999999</v>
      </c>
      <c r="T1443" t="str">
        <f t="shared" si="90"/>
        <v>UNIQUE</v>
      </c>
      <c r="U1443" t="str">
        <f>IF(ISBLANK(Table1[[#This Row],[SizeOption]]),"NOT AVAILABLE",Table1[[#This Row],[SizeOption]])</f>
        <v>Onesize</v>
      </c>
      <c r="Y1443" t="str">
        <f>IF(Table2[[#This Row],[Column1]]&gt;50%,"HIGH DISCOUNT","LOW DISCOUNT")</f>
        <v>HIGH DISCOUNT</v>
      </c>
    </row>
    <row r="1444" spans="1:25" x14ac:dyDescent="0.25">
      <c r="A1444" s="1" t="s">
        <v>3167</v>
      </c>
      <c r="B1444" s="1">
        <v>851435</v>
      </c>
      <c r="C1444" s="1" t="s">
        <v>762</v>
      </c>
      <c r="D1444" s="1" t="s">
        <v>34</v>
      </c>
      <c r="E1444" s="1" t="s">
        <v>118</v>
      </c>
      <c r="F1444" s="1" t="s">
        <v>36</v>
      </c>
      <c r="G1444" s="1" t="s">
        <v>3168</v>
      </c>
      <c r="H1444">
        <v>966</v>
      </c>
      <c r="I1444" s="1">
        <v>1017</v>
      </c>
      <c r="J1444" s="1" t="s">
        <v>764</v>
      </c>
      <c r="K1444" s="1" t="s">
        <v>765</v>
      </c>
      <c r="L1444" s="1">
        <v>4.3</v>
      </c>
      <c r="M1444" s="1">
        <v>770</v>
      </c>
      <c r="P1444" t="str">
        <f t="shared" si="91"/>
        <v>5%</v>
      </c>
      <c r="Q1444" s="12">
        <f t="shared" si="88"/>
        <v>0.05</v>
      </c>
      <c r="R1444" s="9">
        <f t="shared" si="89"/>
        <v>966.15</v>
      </c>
      <c r="S1444" s="9">
        <f>IF(R1444="",AVERAGEIF(Table1[Category],Table1[[#This Row],[Category]],Table2[orignal data]),Table2[[#This Row],[orignal data]])</f>
        <v>966.15</v>
      </c>
      <c r="T1444" t="str">
        <f t="shared" si="90"/>
        <v>UNIQUE</v>
      </c>
      <c r="U1444" t="str">
        <f>IF(ISBLANK(Table1[[#This Row],[SizeOption]]),"NOT AVAILABLE",Table1[[#This Row],[SizeOption]])</f>
        <v>30B, 32B, 34B, 36B, 38B, 40B</v>
      </c>
      <c r="Y1444" t="str">
        <f>IF(Table2[[#This Row],[Column1]]&gt;50%,"HIGH DISCOUNT","LOW DISCOUNT")</f>
        <v>LOW DISCOUNT</v>
      </c>
    </row>
    <row r="1445" spans="1:25" x14ac:dyDescent="0.25">
      <c r="A1445" s="2" t="s">
        <v>3169</v>
      </c>
      <c r="B1445" s="2">
        <v>2322605</v>
      </c>
      <c r="C1445" s="2" t="s">
        <v>14</v>
      </c>
      <c r="D1445" s="2" t="s">
        <v>41</v>
      </c>
      <c r="E1445" s="2" t="s">
        <v>16</v>
      </c>
      <c r="F1445" s="2" t="s">
        <v>36</v>
      </c>
      <c r="G1445" s="2" t="s">
        <v>3170</v>
      </c>
      <c r="I1445" s="2">
        <v>2299</v>
      </c>
      <c r="J1445" s="2" t="s">
        <v>55</v>
      </c>
      <c r="K1445" s="2" t="s">
        <v>134</v>
      </c>
      <c r="L1445" s="2">
        <v>3.9</v>
      </c>
      <c r="M1445" s="2">
        <v>770</v>
      </c>
      <c r="P1445" t="str">
        <f t="shared" si="91"/>
        <v>60%</v>
      </c>
      <c r="Q1445" s="12">
        <f t="shared" si="88"/>
        <v>0.6</v>
      </c>
      <c r="R1445" s="9">
        <f t="shared" si="89"/>
        <v>919.60000000000014</v>
      </c>
      <c r="S1445" s="9">
        <f>IF(R1445="",AVERAGEIF(Table1[Category],Table1[[#This Row],[Category]],Table2[orignal data]),Table2[[#This Row],[orignal data]])</f>
        <v>919.60000000000014</v>
      </c>
      <c r="T1445" t="str">
        <f t="shared" si="90"/>
        <v>UNIQUE</v>
      </c>
      <c r="U1445" t="str">
        <f>IF(ISBLANK(Table1[[#This Row],[SizeOption]]),"NOT AVAILABLE",Table1[[#This Row],[SizeOption]])</f>
        <v>26, 28, 30, 32, 34, 36</v>
      </c>
      <c r="Y1445" t="str">
        <f>IF(Table2[[#This Row],[Column1]]&gt;50%,"HIGH DISCOUNT","LOW DISCOUNT")</f>
        <v>HIGH DISCOUNT</v>
      </c>
    </row>
    <row r="1446" spans="1:25" x14ac:dyDescent="0.25">
      <c r="A1446" s="1" t="s">
        <v>3171</v>
      </c>
      <c r="B1446" s="1">
        <v>1768591</v>
      </c>
      <c r="C1446" s="1" t="s">
        <v>14</v>
      </c>
      <c r="D1446" s="1" t="s">
        <v>41</v>
      </c>
      <c r="E1446" s="1" t="s">
        <v>42</v>
      </c>
      <c r="F1446" s="1" t="s">
        <v>36</v>
      </c>
      <c r="G1446" s="1" t="s">
        <v>3172</v>
      </c>
      <c r="I1446" s="1">
        <v>999</v>
      </c>
      <c r="J1446" s="1" t="s">
        <v>528</v>
      </c>
      <c r="K1446" s="1" t="s">
        <v>45</v>
      </c>
      <c r="L1446" s="1">
        <v>3.9</v>
      </c>
      <c r="M1446" s="1">
        <v>770</v>
      </c>
      <c r="P1446" t="str">
        <f t="shared" si="91"/>
        <v>500</v>
      </c>
      <c r="Q1446" s="12">
        <f t="shared" si="88"/>
        <v>0.50050050050050054</v>
      </c>
      <c r="R1446" s="9">
        <f t="shared" si="89"/>
        <v>498.99999999999994</v>
      </c>
      <c r="S1446" s="9">
        <f>IF(R1446="",AVERAGEIF(Table1[Category],Table1[[#This Row],[Category]],Table2[orignal data]),Table2[[#This Row],[orignal data]])</f>
        <v>498.99999999999994</v>
      </c>
      <c r="T1446" t="str">
        <f t="shared" si="90"/>
        <v>UNIQUE</v>
      </c>
      <c r="U1446" t="str">
        <f>IF(ISBLANK(Table1[[#This Row],[SizeOption]]),"NOT AVAILABLE",Table1[[#This Row],[SizeOption]])</f>
        <v>XS, S, M, L, XL</v>
      </c>
      <c r="Y1446" t="str">
        <f>IF(Table2[[#This Row],[Column1]]&gt;50%,"HIGH DISCOUNT","LOW DISCOUNT")</f>
        <v>HIGH DISCOUNT</v>
      </c>
    </row>
    <row r="1447" spans="1:25" x14ac:dyDescent="0.25">
      <c r="A1447" s="2" t="s">
        <v>3173</v>
      </c>
      <c r="B1447" s="2">
        <v>14156018</v>
      </c>
      <c r="C1447" s="2" t="s">
        <v>52</v>
      </c>
      <c r="D1447" s="2" t="s">
        <v>15</v>
      </c>
      <c r="E1447" s="2" t="s">
        <v>23</v>
      </c>
      <c r="F1447" s="2" t="s">
        <v>17</v>
      </c>
      <c r="G1447" s="2" t="s">
        <v>3174</v>
      </c>
      <c r="H1447">
        <v>512</v>
      </c>
      <c r="I1447" s="2">
        <v>899</v>
      </c>
      <c r="J1447" s="2" t="s">
        <v>509</v>
      </c>
      <c r="K1447" s="2" t="s">
        <v>26</v>
      </c>
      <c r="L1447" s="2">
        <v>4.2</v>
      </c>
      <c r="M1447" s="2">
        <v>769</v>
      </c>
      <c r="P1447" t="str">
        <f t="shared" si="91"/>
        <v>43%</v>
      </c>
      <c r="Q1447" s="12">
        <f t="shared" si="88"/>
        <v>0.43</v>
      </c>
      <c r="R1447" s="9">
        <f t="shared" si="89"/>
        <v>512.43000000000006</v>
      </c>
      <c r="S1447" s="9">
        <f>IF(R1447="",AVERAGEIF(Table1[Category],Table1[[#This Row],[Category]],Table2[orignal data]),Table2[[#This Row],[orignal data]])</f>
        <v>512.43000000000006</v>
      </c>
      <c r="T1447" t="str">
        <f t="shared" si="90"/>
        <v>UNIQUE</v>
      </c>
      <c r="U1447" t="str">
        <f>IF(ISBLANK(Table1[[#This Row],[SizeOption]]),"NOT AVAILABLE",Table1[[#This Row],[SizeOption]])</f>
        <v>S, M, L, XL</v>
      </c>
      <c r="Y1447" t="str">
        <f>IF(Table2[[#This Row],[Column1]]&gt;50%,"HIGH DISCOUNT","LOW DISCOUNT")</f>
        <v>LOW DISCOUNT</v>
      </c>
    </row>
    <row r="1448" spans="1:25" x14ac:dyDescent="0.25">
      <c r="A1448" s="1" t="s">
        <v>3175</v>
      </c>
      <c r="B1448" s="1">
        <v>11729938</v>
      </c>
      <c r="C1448" s="1" t="s">
        <v>420</v>
      </c>
      <c r="D1448" s="1" t="s">
        <v>15</v>
      </c>
      <c r="E1448" s="1" t="s">
        <v>16</v>
      </c>
      <c r="F1448" s="1" t="s">
        <v>17</v>
      </c>
      <c r="G1448" s="1" t="s">
        <v>3176</v>
      </c>
      <c r="H1448">
        <v>859</v>
      </c>
      <c r="I1448" s="1">
        <v>1999</v>
      </c>
      <c r="J1448" s="1" t="s">
        <v>130</v>
      </c>
      <c r="K1448" s="1" t="s">
        <v>20</v>
      </c>
      <c r="L1448" s="1">
        <v>3.8</v>
      </c>
      <c r="M1448" s="1">
        <v>769</v>
      </c>
      <c r="P1448" t="str">
        <f t="shared" si="91"/>
        <v>57%</v>
      </c>
      <c r="Q1448" s="12">
        <f t="shared" si="88"/>
        <v>0.56999999999999995</v>
      </c>
      <c r="R1448" s="9">
        <f t="shared" si="89"/>
        <v>859.57000000000016</v>
      </c>
      <c r="S1448" s="9">
        <f>IF(R1448="",AVERAGEIF(Table1[Category],Table1[[#This Row],[Category]],Table2[orignal data]),Table2[[#This Row],[orignal data]])</f>
        <v>859.57000000000016</v>
      </c>
      <c r="T1448" t="str">
        <f t="shared" si="90"/>
        <v>UNIQUE</v>
      </c>
      <c r="U1448" t="str">
        <f>IF(ISBLANK(Table1[[#This Row],[SizeOption]]),"NOT AVAILABLE",Table1[[#This Row],[SizeOption]])</f>
        <v>28, 30, 32, 34, 36</v>
      </c>
      <c r="Y1448" t="str">
        <f>IF(Table2[[#This Row],[Column1]]&gt;50%,"HIGH DISCOUNT","LOW DISCOUNT")</f>
        <v>HIGH DISCOUNT</v>
      </c>
    </row>
    <row r="1449" spans="1:25" x14ac:dyDescent="0.25">
      <c r="A1449" s="2" t="s">
        <v>3177</v>
      </c>
      <c r="B1449" s="2">
        <v>8735275</v>
      </c>
      <c r="C1449" s="2" t="s">
        <v>779</v>
      </c>
      <c r="D1449" s="2" t="s">
        <v>34</v>
      </c>
      <c r="E1449" s="2" t="s">
        <v>296</v>
      </c>
      <c r="F1449" s="2" t="s">
        <v>36</v>
      </c>
      <c r="G1449" s="2" t="s">
        <v>3178</v>
      </c>
      <c r="I1449" s="2">
        <v>699</v>
      </c>
      <c r="J1449" s="2"/>
      <c r="K1449" s="2" t="s">
        <v>39</v>
      </c>
      <c r="L1449" s="2">
        <v>4.4000000000000004</v>
      </c>
      <c r="M1449" s="2">
        <v>769</v>
      </c>
      <c r="P1449" t="str">
        <f t="shared" si="91"/>
        <v/>
      </c>
      <c r="Q1449" s="12" t="str">
        <f t="shared" si="88"/>
        <v/>
      </c>
      <c r="R1449" s="9" t="str">
        <f t="shared" si="89"/>
        <v/>
      </c>
      <c r="S1449" s="9">
        <f>IF(R1449="",AVERAGEIF(Table1[Category],Table1[[#This Row],[Category]],Table2[orignal data]),Table2[[#This Row],[orignal data]])</f>
        <v>608.88518518518481</v>
      </c>
      <c r="T1449" t="str">
        <f t="shared" si="90"/>
        <v>UNIQUE</v>
      </c>
      <c r="U1449" t="str">
        <f>IF(ISBLANK(Table1[[#This Row],[SizeOption]]),"NOT AVAILABLE",Table1[[#This Row],[SizeOption]])</f>
        <v>S, M, L, XL, XXL</v>
      </c>
      <c r="Y1449" t="str">
        <f>IF(Table2[[#This Row],[Column1]]&gt;50%,"HIGH DISCOUNT","LOW DISCOUNT")</f>
        <v>HIGH DISCOUNT</v>
      </c>
    </row>
    <row r="1450" spans="1:25" x14ac:dyDescent="0.25">
      <c r="A1450" s="1" t="s">
        <v>3179</v>
      </c>
      <c r="B1450" s="1">
        <v>4369960</v>
      </c>
      <c r="C1450" s="1" t="s">
        <v>33</v>
      </c>
      <c r="D1450" s="1" t="s">
        <v>34</v>
      </c>
      <c r="E1450" s="1" t="s">
        <v>118</v>
      </c>
      <c r="F1450" s="1" t="s">
        <v>36</v>
      </c>
      <c r="G1450" s="1" t="s">
        <v>3180</v>
      </c>
      <c r="H1450">
        <v>547</v>
      </c>
      <c r="I1450" s="1">
        <v>995</v>
      </c>
      <c r="J1450" s="1" t="s">
        <v>19</v>
      </c>
      <c r="K1450" s="1" t="s">
        <v>2412</v>
      </c>
      <c r="L1450" s="1">
        <v>3.6</v>
      </c>
      <c r="M1450" s="1">
        <v>769</v>
      </c>
      <c r="P1450" t="str">
        <f t="shared" si="91"/>
        <v>45%</v>
      </c>
      <c r="Q1450" s="12">
        <f t="shared" si="88"/>
        <v>0.45</v>
      </c>
      <c r="R1450" s="9">
        <f t="shared" si="89"/>
        <v>547.25</v>
      </c>
      <c r="S1450" s="9">
        <f>IF(R1450="",AVERAGEIF(Table1[Category],Table1[[#This Row],[Category]],Table2[orignal data]),Table2[[#This Row],[orignal data]])</f>
        <v>547.25</v>
      </c>
      <c r="T1450" t="str">
        <f t="shared" si="90"/>
        <v>UNIQUE</v>
      </c>
      <c r="U1450" t="str">
        <f>IF(ISBLANK(Table1[[#This Row],[SizeOption]]),"NOT AVAILABLE",Table1[[#This Row],[SizeOption]])</f>
        <v>34DD, 34E, 36D, 36DD, 36E, 38D, 38DD, 38E, 40C, 40D, 40DD, 42C, 42D, 42DD</v>
      </c>
      <c r="Y1450" t="str">
        <f>IF(Table2[[#This Row],[Column1]]&gt;50%,"HIGH DISCOUNT","LOW DISCOUNT")</f>
        <v>LOW DISCOUNT</v>
      </c>
    </row>
    <row r="1451" spans="1:25" x14ac:dyDescent="0.25">
      <c r="A1451" s="2" t="s">
        <v>3181</v>
      </c>
      <c r="B1451" s="2">
        <v>10667858</v>
      </c>
      <c r="C1451" s="2" t="s">
        <v>221</v>
      </c>
      <c r="D1451" s="2" t="s">
        <v>98</v>
      </c>
      <c r="E1451" s="2" t="s">
        <v>48</v>
      </c>
      <c r="F1451" s="2" t="s">
        <v>36</v>
      </c>
      <c r="G1451" s="2" t="s">
        <v>3182</v>
      </c>
      <c r="H1451">
        <v>594</v>
      </c>
      <c r="I1451" s="2">
        <v>1699</v>
      </c>
      <c r="J1451" s="2" t="s">
        <v>150</v>
      </c>
      <c r="K1451" s="2" t="s">
        <v>223</v>
      </c>
      <c r="L1451" s="2">
        <v>4</v>
      </c>
      <c r="M1451" s="2">
        <v>769</v>
      </c>
      <c r="P1451" t="str">
        <f t="shared" si="91"/>
        <v>65%</v>
      </c>
      <c r="Q1451" s="12">
        <f t="shared" si="88"/>
        <v>0.65</v>
      </c>
      <c r="R1451" s="9">
        <f t="shared" si="89"/>
        <v>594.64999999999986</v>
      </c>
      <c r="S1451" s="9">
        <f>IF(R1451="",AVERAGEIF(Table1[Category],Table1[[#This Row],[Category]],Table2[orignal data]),Table2[[#This Row],[orignal data]])</f>
        <v>594.64999999999986</v>
      </c>
      <c r="T1451" t="str">
        <f t="shared" si="90"/>
        <v>UNIQUE</v>
      </c>
      <c r="U1451" t="str">
        <f>IF(ISBLANK(Table1[[#This Row],[SizeOption]]),"NOT AVAILABLE",Table1[[#This Row],[SizeOption]])</f>
        <v>S, M, L, XL, XXL, 3XL, 4XL</v>
      </c>
      <c r="Y1451" t="str">
        <f>IF(Table2[[#This Row],[Column1]]&gt;50%,"HIGH DISCOUNT","LOW DISCOUNT")</f>
        <v>HIGH DISCOUNT</v>
      </c>
    </row>
    <row r="1452" spans="1:25" x14ac:dyDescent="0.25">
      <c r="A1452" s="1" t="s">
        <v>3183</v>
      </c>
      <c r="B1452" s="1">
        <v>2372790</v>
      </c>
      <c r="C1452" s="1" t="s">
        <v>841</v>
      </c>
      <c r="D1452" s="1" t="s">
        <v>41</v>
      </c>
      <c r="E1452" s="1" t="s">
        <v>42</v>
      </c>
      <c r="F1452" s="1" t="s">
        <v>36</v>
      </c>
      <c r="G1452" s="1" t="s">
        <v>3184</v>
      </c>
      <c r="I1452" s="1">
        <v>998</v>
      </c>
      <c r="J1452" s="1" t="s">
        <v>50</v>
      </c>
      <c r="K1452" s="1" t="s">
        <v>26</v>
      </c>
      <c r="L1452" s="1">
        <v>4</v>
      </c>
      <c r="M1452" s="1">
        <v>769</v>
      </c>
      <c r="P1452" t="str">
        <f t="shared" si="91"/>
        <v>40%</v>
      </c>
      <c r="Q1452" s="12">
        <f t="shared" si="88"/>
        <v>0.4</v>
      </c>
      <c r="R1452" s="9">
        <f t="shared" si="89"/>
        <v>598.79999999999995</v>
      </c>
      <c r="S1452" s="9">
        <f>IF(R1452="",AVERAGEIF(Table1[Category],Table1[[#This Row],[Category]],Table2[orignal data]),Table2[[#This Row],[orignal data]])</f>
        <v>598.79999999999995</v>
      </c>
      <c r="T1452" t="str">
        <f t="shared" si="90"/>
        <v>UNIQUE</v>
      </c>
      <c r="U1452" t="str">
        <f>IF(ISBLANK(Table1[[#This Row],[SizeOption]]),"NOT AVAILABLE",Table1[[#This Row],[SizeOption]])</f>
        <v>S, M, L, XL</v>
      </c>
      <c r="Y1452" t="str">
        <f>IF(Table2[[#This Row],[Column1]]&gt;50%,"HIGH DISCOUNT","LOW DISCOUNT")</f>
        <v>LOW DISCOUNT</v>
      </c>
    </row>
    <row r="1453" spans="1:25" x14ac:dyDescent="0.25">
      <c r="A1453" s="2" t="s">
        <v>3185</v>
      </c>
      <c r="B1453" s="2">
        <v>17382168</v>
      </c>
      <c r="C1453" s="2" t="s">
        <v>14</v>
      </c>
      <c r="D1453" s="2" t="s">
        <v>41</v>
      </c>
      <c r="E1453" s="2" t="s">
        <v>42</v>
      </c>
      <c r="F1453" s="2" t="s">
        <v>36</v>
      </c>
      <c r="G1453" s="2" t="s">
        <v>696</v>
      </c>
      <c r="I1453" s="2">
        <v>1598</v>
      </c>
      <c r="J1453" s="2"/>
      <c r="K1453" s="2" t="s">
        <v>45</v>
      </c>
      <c r="L1453" s="2">
        <v>4.0999999999999996</v>
      </c>
      <c r="M1453" s="2">
        <v>769</v>
      </c>
      <c r="P1453" t="str">
        <f t="shared" si="91"/>
        <v/>
      </c>
      <c r="Q1453" s="12" t="str">
        <f t="shared" si="88"/>
        <v/>
      </c>
      <c r="R1453" s="9" t="str">
        <f t="shared" si="89"/>
        <v/>
      </c>
      <c r="S1453" s="9">
        <f>IF(R1453="",AVERAGEIF(Table1[Category],Table1[[#This Row],[Category]],Table2[orignal data]),Table2[[#This Row],[orignal data]])</f>
        <v>715.78890751086249</v>
      </c>
      <c r="T1453" t="str">
        <f t="shared" si="90"/>
        <v>UNIQUE</v>
      </c>
      <c r="U1453" t="str">
        <f>IF(ISBLANK(Table1[[#This Row],[SizeOption]]),"NOT AVAILABLE",Table1[[#This Row],[SizeOption]])</f>
        <v>XS, S, M, L, XL</v>
      </c>
      <c r="Y1453" t="str">
        <f>IF(Table2[[#This Row],[Column1]]&gt;50%,"HIGH DISCOUNT","LOW DISCOUNT")</f>
        <v>HIGH DISCOUNT</v>
      </c>
    </row>
    <row r="1454" spans="1:25" x14ac:dyDescent="0.25">
      <c r="A1454" s="1" t="s">
        <v>3186</v>
      </c>
      <c r="B1454" s="1">
        <v>2356414</v>
      </c>
      <c r="C1454" s="1" t="s">
        <v>14</v>
      </c>
      <c r="D1454" s="1" t="s">
        <v>15</v>
      </c>
      <c r="E1454" s="1" t="s">
        <v>16</v>
      </c>
      <c r="F1454" s="1" t="s">
        <v>17</v>
      </c>
      <c r="G1454" s="1" t="s">
        <v>2560</v>
      </c>
      <c r="I1454" s="1">
        <v>1799</v>
      </c>
      <c r="J1454" s="1"/>
      <c r="K1454" s="1" t="s">
        <v>195</v>
      </c>
      <c r="L1454" s="1">
        <v>3.6</v>
      </c>
      <c r="M1454" s="1">
        <v>768</v>
      </c>
      <c r="P1454" t="str">
        <f t="shared" si="91"/>
        <v/>
      </c>
      <c r="Q1454" s="12" t="str">
        <f t="shared" si="88"/>
        <v/>
      </c>
      <c r="R1454" s="9" t="str">
        <f t="shared" si="89"/>
        <v/>
      </c>
      <c r="S1454" s="9">
        <f>IF(R1454="",AVERAGEIF(Table1[Category],Table1[[#This Row],[Category]],Table2[orignal data]),Table2[[#This Row],[orignal data]])</f>
        <v>892.27590339892538</v>
      </c>
      <c r="T1454" t="str">
        <f t="shared" si="90"/>
        <v>UNIQUE</v>
      </c>
      <c r="U1454" t="str">
        <f>IF(ISBLANK(Table1[[#This Row],[SizeOption]]),"NOT AVAILABLE",Table1[[#This Row],[SizeOption]])</f>
        <v>28, 30, 32, 34, 36, 38, 40</v>
      </c>
      <c r="Y1454" t="str">
        <f>IF(Table2[[#This Row],[Column1]]&gt;50%,"HIGH DISCOUNT","LOW DISCOUNT")</f>
        <v>HIGH DISCOUNT</v>
      </c>
    </row>
    <row r="1455" spans="1:25" x14ac:dyDescent="0.25">
      <c r="A1455" s="2" t="s">
        <v>3187</v>
      </c>
      <c r="B1455" s="2">
        <v>11201232</v>
      </c>
      <c r="C1455" s="2" t="s">
        <v>14</v>
      </c>
      <c r="D1455" s="2" t="s">
        <v>15</v>
      </c>
      <c r="E1455" s="2" t="s">
        <v>53</v>
      </c>
      <c r="F1455" s="2" t="s">
        <v>17</v>
      </c>
      <c r="G1455" s="2" t="s">
        <v>3188</v>
      </c>
      <c r="H1455">
        <v>944</v>
      </c>
      <c r="I1455" s="2">
        <v>2099</v>
      </c>
      <c r="J1455" s="2" t="s">
        <v>25</v>
      </c>
      <c r="K1455" s="2" t="s">
        <v>20</v>
      </c>
      <c r="L1455" s="2">
        <v>4.2</v>
      </c>
      <c r="M1455" s="2">
        <v>768</v>
      </c>
      <c r="P1455" t="str">
        <f t="shared" si="91"/>
        <v>55%</v>
      </c>
      <c r="Q1455" s="12">
        <f t="shared" si="88"/>
        <v>0.55000000000000004</v>
      </c>
      <c r="R1455" s="9">
        <f t="shared" si="89"/>
        <v>944.55</v>
      </c>
      <c r="S1455" s="9">
        <f>IF(R1455="",AVERAGEIF(Table1[Category],Table1[[#This Row],[Category]],Table2[orignal data]),Table2[[#This Row],[orignal data]])</f>
        <v>944.55</v>
      </c>
      <c r="T1455" t="str">
        <f t="shared" si="90"/>
        <v>UNIQUE</v>
      </c>
      <c r="U1455" t="str">
        <f>IF(ISBLANK(Table1[[#This Row],[SizeOption]]),"NOT AVAILABLE",Table1[[#This Row],[SizeOption]])</f>
        <v>28, 30, 32, 34, 36</v>
      </c>
      <c r="Y1455" t="str">
        <f>IF(Table2[[#This Row],[Column1]]&gt;50%,"HIGH DISCOUNT","LOW DISCOUNT")</f>
        <v>HIGH DISCOUNT</v>
      </c>
    </row>
    <row r="1456" spans="1:25" x14ac:dyDescent="0.25">
      <c r="A1456" s="1" t="s">
        <v>3189</v>
      </c>
      <c r="B1456" s="1">
        <v>7305613</v>
      </c>
      <c r="C1456" s="1" t="s">
        <v>604</v>
      </c>
      <c r="D1456" s="1" t="s">
        <v>15</v>
      </c>
      <c r="E1456" s="1" t="s">
        <v>53</v>
      </c>
      <c r="F1456" s="1" t="s">
        <v>17</v>
      </c>
      <c r="G1456" s="1" t="s">
        <v>3190</v>
      </c>
      <c r="H1456">
        <v>747</v>
      </c>
      <c r="I1456" s="1">
        <v>1699</v>
      </c>
      <c r="J1456" s="1" t="s">
        <v>1204</v>
      </c>
      <c r="K1456" s="1" t="s">
        <v>816</v>
      </c>
      <c r="L1456" s="1">
        <v>4</v>
      </c>
      <c r="M1456" s="1">
        <v>768</v>
      </c>
      <c r="P1456" t="str">
        <f t="shared" si="91"/>
        <v>56%</v>
      </c>
      <c r="Q1456" s="12">
        <f t="shared" si="88"/>
        <v>0.56000000000000005</v>
      </c>
      <c r="R1456" s="9">
        <f t="shared" si="89"/>
        <v>747.56</v>
      </c>
      <c r="S1456" s="9">
        <f>IF(R1456="",AVERAGEIF(Table1[Category],Table1[[#This Row],[Category]],Table2[orignal data]),Table2[[#This Row],[orignal data]])</f>
        <v>747.56</v>
      </c>
      <c r="T1456" t="str">
        <f t="shared" si="90"/>
        <v>UNIQUE</v>
      </c>
      <c r="U1456" t="str">
        <f>IF(ISBLANK(Table1[[#This Row],[SizeOption]]),"NOT AVAILABLE",Table1[[#This Row],[SizeOption]])</f>
        <v>30, 32, 34, 36, 38</v>
      </c>
      <c r="Y1456" t="str">
        <f>IF(Table2[[#This Row],[Column1]]&gt;50%,"HIGH DISCOUNT","LOW DISCOUNT")</f>
        <v>HIGH DISCOUNT</v>
      </c>
    </row>
    <row r="1457" spans="1:25" x14ac:dyDescent="0.25">
      <c r="A1457" s="2" t="s">
        <v>3191</v>
      </c>
      <c r="B1457" s="2">
        <v>1847849</v>
      </c>
      <c r="C1457" s="2" t="s">
        <v>1608</v>
      </c>
      <c r="D1457" s="2" t="s">
        <v>15</v>
      </c>
      <c r="E1457" s="2" t="s">
        <v>53</v>
      </c>
      <c r="F1457" s="2" t="s">
        <v>17</v>
      </c>
      <c r="G1457" s="2" t="s">
        <v>3192</v>
      </c>
      <c r="H1457">
        <v>742</v>
      </c>
      <c r="I1457" s="2">
        <v>1649</v>
      </c>
      <c r="J1457" s="2" t="s">
        <v>25</v>
      </c>
      <c r="K1457" s="2" t="s">
        <v>56</v>
      </c>
      <c r="L1457" s="2">
        <v>4.0999999999999996</v>
      </c>
      <c r="M1457" s="2">
        <v>768</v>
      </c>
      <c r="P1457" t="str">
        <f t="shared" si="91"/>
        <v>55%</v>
      </c>
      <c r="Q1457" s="12">
        <f t="shared" si="88"/>
        <v>0.55000000000000004</v>
      </c>
      <c r="R1457" s="9">
        <f t="shared" si="89"/>
        <v>742.05</v>
      </c>
      <c r="S1457" s="9">
        <f>IF(R1457="",AVERAGEIF(Table1[Category],Table1[[#This Row],[Category]],Table2[orignal data]),Table2[[#This Row],[orignal data]])</f>
        <v>742.05</v>
      </c>
      <c r="T1457" t="str">
        <f t="shared" si="90"/>
        <v>UNIQUE</v>
      </c>
      <c r="U1457" t="str">
        <f>IF(ISBLANK(Table1[[#This Row],[SizeOption]]),"NOT AVAILABLE",Table1[[#This Row],[SizeOption]])</f>
        <v>30, 32, 34, 36</v>
      </c>
      <c r="Y1457" t="str">
        <f>IF(Table2[[#This Row],[Column1]]&gt;50%,"HIGH DISCOUNT","LOW DISCOUNT")</f>
        <v>HIGH DISCOUNT</v>
      </c>
    </row>
    <row r="1458" spans="1:25" x14ac:dyDescent="0.25">
      <c r="A1458" s="1" t="s">
        <v>3193</v>
      </c>
      <c r="B1458" s="1">
        <v>10945120</v>
      </c>
      <c r="C1458" s="1" t="s">
        <v>14</v>
      </c>
      <c r="D1458" s="1" t="s">
        <v>28</v>
      </c>
      <c r="E1458" s="1" t="s">
        <v>29</v>
      </c>
      <c r="F1458" s="1" t="s">
        <v>17</v>
      </c>
      <c r="G1458" s="1" t="s">
        <v>3194</v>
      </c>
      <c r="H1458">
        <v>519</v>
      </c>
      <c r="I1458" s="1">
        <v>1299</v>
      </c>
      <c r="J1458" s="1" t="s">
        <v>55</v>
      </c>
      <c r="K1458" s="1" t="s">
        <v>253</v>
      </c>
      <c r="L1458" s="1">
        <v>4.3</v>
      </c>
      <c r="M1458" s="1">
        <v>768</v>
      </c>
      <c r="P1458" t="str">
        <f t="shared" si="91"/>
        <v>60%</v>
      </c>
      <c r="Q1458" s="12">
        <f t="shared" si="88"/>
        <v>0.6</v>
      </c>
      <c r="R1458" s="9">
        <f t="shared" si="89"/>
        <v>519.6</v>
      </c>
      <c r="S1458" s="9">
        <f>IF(R1458="",AVERAGEIF(Table1[Category],Table1[[#This Row],[Category]],Table2[orignal data]),Table2[[#This Row],[orignal data]])</f>
        <v>519.6</v>
      </c>
      <c r="T1458" t="str">
        <f t="shared" si="90"/>
        <v>UNIQUE</v>
      </c>
      <c r="U1458" t="str">
        <f>IF(ISBLANK(Table1[[#This Row],[SizeOption]]),"NOT AVAILABLE",Table1[[#This Row],[SizeOption]])</f>
        <v>38, 40, 42, 44</v>
      </c>
      <c r="Y1458" t="str">
        <f>IF(Table2[[#This Row],[Column1]]&gt;50%,"HIGH DISCOUNT","LOW DISCOUNT")</f>
        <v>HIGH DISCOUNT</v>
      </c>
    </row>
    <row r="1459" spans="1:25" x14ac:dyDescent="0.25">
      <c r="A1459" s="2" t="s">
        <v>3195</v>
      </c>
      <c r="B1459" s="2">
        <v>10856186</v>
      </c>
      <c r="C1459" s="2" t="s">
        <v>181</v>
      </c>
      <c r="D1459" s="2" t="s">
        <v>41</v>
      </c>
      <c r="E1459" s="2" t="s">
        <v>48</v>
      </c>
      <c r="F1459" s="2" t="s">
        <v>36</v>
      </c>
      <c r="G1459" s="2" t="s">
        <v>3196</v>
      </c>
      <c r="I1459" s="2">
        <v>1199</v>
      </c>
      <c r="J1459" s="2" t="s">
        <v>55</v>
      </c>
      <c r="K1459" s="2" t="s">
        <v>115</v>
      </c>
      <c r="L1459" s="2">
        <v>4.2</v>
      </c>
      <c r="M1459" s="2">
        <v>768</v>
      </c>
      <c r="P1459" t="str">
        <f t="shared" si="91"/>
        <v>60%</v>
      </c>
      <c r="Q1459" s="12">
        <f t="shared" si="88"/>
        <v>0.6</v>
      </c>
      <c r="R1459" s="9">
        <f t="shared" si="89"/>
        <v>479.6</v>
      </c>
      <c r="S1459" s="9">
        <f>IF(R1459="",AVERAGEIF(Table1[Category],Table1[[#This Row],[Category]],Table2[orignal data]),Table2[[#This Row],[orignal data]])</f>
        <v>479.6</v>
      </c>
      <c r="T1459" t="str">
        <f t="shared" si="90"/>
        <v>UNIQUE</v>
      </c>
      <c r="U1459" t="str">
        <f>IF(ISBLANK(Table1[[#This Row],[SizeOption]]),"NOT AVAILABLE",Table1[[#This Row],[SizeOption]])</f>
        <v>XS, S, M, L, XL, XXL</v>
      </c>
      <c r="Y1459" t="str">
        <f>IF(Table2[[#This Row],[Column1]]&gt;50%,"HIGH DISCOUNT","LOW DISCOUNT")</f>
        <v>HIGH DISCOUNT</v>
      </c>
    </row>
    <row r="1460" spans="1:25" x14ac:dyDescent="0.25">
      <c r="A1460" s="1" t="s">
        <v>3197</v>
      </c>
      <c r="B1460" s="1">
        <v>17384170</v>
      </c>
      <c r="C1460" s="1" t="s">
        <v>14</v>
      </c>
      <c r="D1460" s="1" t="s">
        <v>41</v>
      </c>
      <c r="E1460" s="1" t="s">
        <v>42</v>
      </c>
      <c r="F1460" s="1" t="s">
        <v>36</v>
      </c>
      <c r="G1460" s="1" t="s">
        <v>3198</v>
      </c>
      <c r="I1460" s="1">
        <v>1398</v>
      </c>
      <c r="J1460" s="1" t="s">
        <v>84</v>
      </c>
      <c r="K1460" s="1" t="s">
        <v>45</v>
      </c>
      <c r="L1460" s="1">
        <v>4</v>
      </c>
      <c r="M1460" s="1">
        <v>768</v>
      </c>
      <c r="P1460" t="str">
        <f t="shared" si="91"/>
        <v>50%</v>
      </c>
      <c r="Q1460" s="12">
        <f t="shared" si="88"/>
        <v>0.5</v>
      </c>
      <c r="R1460" s="9">
        <f t="shared" si="89"/>
        <v>699</v>
      </c>
      <c r="S1460" s="9">
        <f>IF(R1460="",AVERAGEIF(Table1[Category],Table1[[#This Row],[Category]],Table2[orignal data]),Table2[[#This Row],[orignal data]])</f>
        <v>699</v>
      </c>
      <c r="T1460" t="str">
        <f t="shared" si="90"/>
        <v>UNIQUE</v>
      </c>
      <c r="U1460" t="str">
        <f>IF(ISBLANK(Table1[[#This Row],[SizeOption]]),"NOT AVAILABLE",Table1[[#This Row],[SizeOption]])</f>
        <v>XS, S, M, L, XL</v>
      </c>
      <c r="Y1460" t="str">
        <f>IF(Table2[[#This Row],[Column1]]&gt;50%,"HIGH DISCOUNT","LOW DISCOUNT")</f>
        <v>LOW DISCOUNT</v>
      </c>
    </row>
    <row r="1461" spans="1:25" x14ac:dyDescent="0.25">
      <c r="A1461" s="2" t="s">
        <v>3199</v>
      </c>
      <c r="B1461" s="2">
        <v>17381620</v>
      </c>
      <c r="C1461" s="2" t="s">
        <v>14</v>
      </c>
      <c r="D1461" s="2" t="s">
        <v>41</v>
      </c>
      <c r="E1461" s="2" t="s">
        <v>42</v>
      </c>
      <c r="F1461" s="2" t="s">
        <v>36</v>
      </c>
      <c r="G1461" s="2" t="s">
        <v>2359</v>
      </c>
      <c r="I1461" s="2">
        <v>1798</v>
      </c>
      <c r="J1461" s="2" t="s">
        <v>84</v>
      </c>
      <c r="K1461" s="2" t="s">
        <v>45</v>
      </c>
      <c r="L1461" s="2">
        <v>4.2</v>
      </c>
      <c r="M1461" s="2">
        <v>768</v>
      </c>
      <c r="P1461" t="str">
        <f t="shared" si="91"/>
        <v>50%</v>
      </c>
      <c r="Q1461" s="12">
        <f t="shared" si="88"/>
        <v>0.5</v>
      </c>
      <c r="R1461" s="9">
        <f t="shared" si="89"/>
        <v>899</v>
      </c>
      <c r="S1461" s="9">
        <f>IF(R1461="",AVERAGEIF(Table1[Category],Table1[[#This Row],[Category]],Table2[orignal data]),Table2[[#This Row],[orignal data]])</f>
        <v>899</v>
      </c>
      <c r="T1461" t="str">
        <f t="shared" si="90"/>
        <v>UNIQUE</v>
      </c>
      <c r="U1461" t="str">
        <f>IF(ISBLANK(Table1[[#This Row],[SizeOption]]),"NOT AVAILABLE",Table1[[#This Row],[SizeOption]])</f>
        <v>XS, S, M, L, XL</v>
      </c>
      <c r="Y1461" t="str">
        <f>IF(Table2[[#This Row],[Column1]]&gt;50%,"HIGH DISCOUNT","LOW DISCOUNT")</f>
        <v>LOW DISCOUNT</v>
      </c>
    </row>
    <row r="1462" spans="1:25" x14ac:dyDescent="0.25">
      <c r="A1462" s="1" t="s">
        <v>3200</v>
      </c>
      <c r="B1462" s="1">
        <v>8278697</v>
      </c>
      <c r="C1462" s="1" t="s">
        <v>107</v>
      </c>
      <c r="D1462" s="1" t="s">
        <v>41</v>
      </c>
      <c r="E1462" s="1" t="s">
        <v>148</v>
      </c>
      <c r="F1462" s="1" t="s">
        <v>36</v>
      </c>
      <c r="G1462" s="1" t="s">
        <v>3201</v>
      </c>
      <c r="I1462" s="1">
        <v>2099</v>
      </c>
      <c r="J1462" s="1" t="s">
        <v>55</v>
      </c>
      <c r="K1462" s="1" t="s">
        <v>45</v>
      </c>
      <c r="L1462" s="1">
        <v>4.2</v>
      </c>
      <c r="M1462" s="1">
        <v>768</v>
      </c>
      <c r="P1462" t="str">
        <f t="shared" si="91"/>
        <v>60%</v>
      </c>
      <c r="Q1462" s="12">
        <f t="shared" si="88"/>
        <v>0.6</v>
      </c>
      <c r="R1462" s="9">
        <f t="shared" si="89"/>
        <v>839.60000000000014</v>
      </c>
      <c r="S1462" s="9">
        <f>IF(R1462="",AVERAGEIF(Table1[Category],Table1[[#This Row],[Category]],Table2[orignal data]),Table2[[#This Row],[orignal data]])</f>
        <v>839.60000000000014</v>
      </c>
      <c r="T1462" t="str">
        <f t="shared" si="90"/>
        <v>UNIQUE</v>
      </c>
      <c r="U1462" t="str">
        <f>IF(ISBLANK(Table1[[#This Row],[SizeOption]]),"NOT AVAILABLE",Table1[[#This Row],[SizeOption]])</f>
        <v>XS, S, M, L, XL</v>
      </c>
      <c r="Y1462" t="str">
        <f>IF(Table2[[#This Row],[Column1]]&gt;50%,"HIGH DISCOUNT","LOW DISCOUNT")</f>
        <v>HIGH DISCOUNT</v>
      </c>
    </row>
    <row r="1463" spans="1:25" x14ac:dyDescent="0.25">
      <c r="A1463" s="2" t="s">
        <v>3202</v>
      </c>
      <c r="B1463" s="2">
        <v>17383946</v>
      </c>
      <c r="C1463" s="2" t="s">
        <v>14</v>
      </c>
      <c r="D1463" s="2" t="s">
        <v>41</v>
      </c>
      <c r="E1463" s="2" t="s">
        <v>42</v>
      </c>
      <c r="F1463" s="2" t="s">
        <v>36</v>
      </c>
      <c r="G1463" s="2" t="s">
        <v>3203</v>
      </c>
      <c r="I1463" s="2">
        <v>1398</v>
      </c>
      <c r="J1463" s="2"/>
      <c r="K1463" s="2" t="s">
        <v>45</v>
      </c>
      <c r="L1463" s="2">
        <v>4.3</v>
      </c>
      <c r="M1463" s="2">
        <v>768</v>
      </c>
      <c r="P1463" t="str">
        <f t="shared" si="91"/>
        <v/>
      </c>
      <c r="Q1463" s="12" t="str">
        <f t="shared" si="88"/>
        <v/>
      </c>
      <c r="R1463" s="9" t="str">
        <f t="shared" si="89"/>
        <v/>
      </c>
      <c r="S1463" s="9">
        <f>IF(R1463="",AVERAGEIF(Table1[Category],Table1[[#This Row],[Category]],Table2[orignal data]),Table2[[#This Row],[orignal data]])</f>
        <v>715.78890751086249</v>
      </c>
      <c r="T1463" t="str">
        <f t="shared" si="90"/>
        <v>UNIQUE</v>
      </c>
      <c r="U1463" t="str">
        <f>IF(ISBLANK(Table1[[#This Row],[SizeOption]]),"NOT AVAILABLE",Table1[[#This Row],[SizeOption]])</f>
        <v>XS, S, M, L, XL</v>
      </c>
      <c r="Y1463" t="str">
        <f>IF(Table2[[#This Row],[Column1]]&gt;50%,"HIGH DISCOUNT","LOW DISCOUNT")</f>
        <v>HIGH DISCOUNT</v>
      </c>
    </row>
    <row r="1464" spans="1:25" x14ac:dyDescent="0.25">
      <c r="A1464" s="1" t="s">
        <v>3204</v>
      </c>
      <c r="B1464" s="1">
        <v>11998906</v>
      </c>
      <c r="C1464" s="1" t="s">
        <v>67</v>
      </c>
      <c r="D1464" s="1" t="s">
        <v>15</v>
      </c>
      <c r="E1464" s="1" t="s">
        <v>23</v>
      </c>
      <c r="F1464" s="1" t="s">
        <v>17</v>
      </c>
      <c r="G1464" s="1" t="s">
        <v>3205</v>
      </c>
      <c r="H1464">
        <v>679</v>
      </c>
      <c r="I1464" s="1">
        <v>1699</v>
      </c>
      <c r="J1464" s="1" t="s">
        <v>55</v>
      </c>
      <c r="K1464" s="1" t="s">
        <v>39</v>
      </c>
      <c r="L1464" s="1">
        <v>4.0999999999999996</v>
      </c>
      <c r="M1464" s="1">
        <v>767</v>
      </c>
      <c r="P1464" t="str">
        <f t="shared" si="91"/>
        <v>60%</v>
      </c>
      <c r="Q1464" s="12">
        <f t="shared" si="88"/>
        <v>0.6</v>
      </c>
      <c r="R1464" s="9">
        <f t="shared" si="89"/>
        <v>679.6</v>
      </c>
      <c r="S1464" s="9">
        <f>IF(R1464="",AVERAGEIF(Table1[Category],Table1[[#This Row],[Category]],Table2[orignal data]),Table2[[#This Row],[orignal data]])</f>
        <v>679.6</v>
      </c>
      <c r="T1464" t="str">
        <f t="shared" si="90"/>
        <v>UNIQUE</v>
      </c>
      <c r="U1464" t="str">
        <f>IF(ISBLANK(Table1[[#This Row],[SizeOption]]),"NOT AVAILABLE",Table1[[#This Row],[SizeOption]])</f>
        <v>S, M, L, XL, XXL</v>
      </c>
      <c r="Y1464" t="str">
        <f>IF(Table2[[#This Row],[Column1]]&gt;50%,"HIGH DISCOUNT","LOW DISCOUNT")</f>
        <v>HIGH DISCOUNT</v>
      </c>
    </row>
    <row r="1465" spans="1:25" x14ac:dyDescent="0.25">
      <c r="A1465" s="2" t="s">
        <v>3206</v>
      </c>
      <c r="B1465" s="2">
        <v>11217412</v>
      </c>
      <c r="C1465" s="2" t="s">
        <v>1091</v>
      </c>
      <c r="D1465" s="2" t="s">
        <v>197</v>
      </c>
      <c r="E1465" s="2" t="s">
        <v>350</v>
      </c>
      <c r="F1465" s="2" t="s">
        <v>17</v>
      </c>
      <c r="G1465" s="2" t="s">
        <v>3207</v>
      </c>
      <c r="H1465">
        <v>527</v>
      </c>
      <c r="I1465" s="2">
        <v>648</v>
      </c>
      <c r="J1465" s="2" t="s">
        <v>3208</v>
      </c>
      <c r="K1465" s="2" t="s">
        <v>39</v>
      </c>
      <c r="L1465" s="2">
        <v>4.4000000000000004</v>
      </c>
      <c r="M1465" s="2">
        <v>767</v>
      </c>
      <c r="P1465" t="str">
        <f t="shared" si="91"/>
        <v>121</v>
      </c>
      <c r="Q1465" s="12">
        <f t="shared" si="88"/>
        <v>0.18672839506172839</v>
      </c>
      <c r="R1465" s="9">
        <f t="shared" si="89"/>
        <v>527</v>
      </c>
      <c r="S1465" s="9">
        <f>IF(R1465="",AVERAGEIF(Table1[Category],Table1[[#This Row],[Category]],Table2[orignal data]),Table2[[#This Row],[orignal data]])</f>
        <v>527</v>
      </c>
      <c r="T1465" t="str">
        <f t="shared" si="90"/>
        <v>UNIQUE</v>
      </c>
      <c r="U1465" t="str">
        <f>IF(ISBLANK(Table1[[#This Row],[SizeOption]]),"NOT AVAILABLE",Table1[[#This Row],[SizeOption]])</f>
        <v>S, M, L, XL, XXL</v>
      </c>
      <c r="Y1465" t="str">
        <f>IF(Table2[[#This Row],[Column1]]&gt;50%,"HIGH DISCOUNT","LOW DISCOUNT")</f>
        <v>LOW DISCOUNT</v>
      </c>
    </row>
    <row r="1466" spans="1:25" x14ac:dyDescent="0.25">
      <c r="A1466" s="1" t="s">
        <v>3209</v>
      </c>
      <c r="B1466" s="1">
        <v>11529160</v>
      </c>
      <c r="C1466" s="1" t="s">
        <v>938</v>
      </c>
      <c r="D1466" s="1" t="s">
        <v>197</v>
      </c>
      <c r="E1466" s="1" t="s">
        <v>939</v>
      </c>
      <c r="F1466" s="1" t="s">
        <v>17</v>
      </c>
      <c r="G1466" s="1" t="s">
        <v>3210</v>
      </c>
      <c r="H1466">
        <v>674</v>
      </c>
      <c r="I1466" s="1">
        <v>1499</v>
      </c>
      <c r="J1466" s="1" t="s">
        <v>25</v>
      </c>
      <c r="K1466" s="1" t="s">
        <v>39</v>
      </c>
      <c r="L1466" s="1">
        <v>4.2</v>
      </c>
      <c r="M1466" s="1">
        <v>767</v>
      </c>
      <c r="P1466" t="str">
        <f t="shared" si="91"/>
        <v>55%</v>
      </c>
      <c r="Q1466" s="12">
        <f t="shared" si="88"/>
        <v>0.55000000000000004</v>
      </c>
      <c r="R1466" s="9">
        <f t="shared" si="89"/>
        <v>674.55</v>
      </c>
      <c r="S1466" s="9">
        <f>IF(R1466="",AVERAGEIF(Table1[Category],Table1[[#This Row],[Category]],Table2[orignal data]),Table2[[#This Row],[orignal data]])</f>
        <v>674.55</v>
      </c>
      <c r="T1466" t="str">
        <f t="shared" si="90"/>
        <v>UNIQUE</v>
      </c>
      <c r="U1466" t="str">
        <f>IF(ISBLANK(Table1[[#This Row],[SizeOption]]),"NOT AVAILABLE",Table1[[#This Row],[SizeOption]])</f>
        <v>S, M, L, XL, XXL</v>
      </c>
      <c r="Y1466" t="str">
        <f>IF(Table2[[#This Row],[Column1]]&gt;50%,"HIGH DISCOUNT","LOW DISCOUNT")</f>
        <v>HIGH DISCOUNT</v>
      </c>
    </row>
    <row r="1467" spans="1:25" x14ac:dyDescent="0.25">
      <c r="A1467" s="2" t="s">
        <v>3211</v>
      </c>
      <c r="B1467" s="2">
        <v>3009821</v>
      </c>
      <c r="C1467" s="2" t="s">
        <v>67</v>
      </c>
      <c r="D1467" s="2" t="s">
        <v>68</v>
      </c>
      <c r="E1467" s="2" t="s">
        <v>42</v>
      </c>
      <c r="F1467" s="2" t="s">
        <v>17</v>
      </c>
      <c r="G1467" s="2" t="s">
        <v>3212</v>
      </c>
      <c r="I1467" s="2">
        <v>999</v>
      </c>
      <c r="J1467" s="2"/>
      <c r="K1467" s="2" t="s">
        <v>39</v>
      </c>
      <c r="L1467" s="2">
        <v>4.5</v>
      </c>
      <c r="M1467" s="2">
        <v>767</v>
      </c>
      <c r="P1467" t="str">
        <f t="shared" si="91"/>
        <v/>
      </c>
      <c r="Q1467" s="12" t="str">
        <f t="shared" si="88"/>
        <v/>
      </c>
      <c r="R1467" s="9" t="str">
        <f t="shared" si="89"/>
        <v/>
      </c>
      <c r="S1467" s="9">
        <f>IF(R1467="",AVERAGEIF(Table1[Category],Table1[[#This Row],[Category]],Table2[orignal data]),Table2[[#This Row],[orignal data]])</f>
        <v>734.32085365853686</v>
      </c>
      <c r="T1467" t="str">
        <f t="shared" si="90"/>
        <v>UNIQUE</v>
      </c>
      <c r="U1467" t="str">
        <f>IF(ISBLANK(Table1[[#This Row],[SizeOption]]),"NOT AVAILABLE",Table1[[#This Row],[SizeOption]])</f>
        <v>S, M, L, XL, XXL</v>
      </c>
      <c r="Y1467" t="str">
        <f>IF(Table2[[#This Row],[Column1]]&gt;50%,"HIGH DISCOUNT","LOW DISCOUNT")</f>
        <v>HIGH DISCOUNT</v>
      </c>
    </row>
    <row r="1468" spans="1:25" x14ac:dyDescent="0.25">
      <c r="A1468" s="1" t="s">
        <v>3213</v>
      </c>
      <c r="B1468" s="1">
        <v>17383610</v>
      </c>
      <c r="C1468" s="1" t="s">
        <v>14</v>
      </c>
      <c r="D1468" s="1" t="s">
        <v>41</v>
      </c>
      <c r="E1468" s="1" t="s">
        <v>42</v>
      </c>
      <c r="F1468" s="1" t="s">
        <v>36</v>
      </c>
      <c r="G1468" s="1" t="s">
        <v>3214</v>
      </c>
      <c r="I1468" s="1">
        <v>1598</v>
      </c>
      <c r="J1468" s="1" t="s">
        <v>84</v>
      </c>
      <c r="K1468" s="1" t="s">
        <v>3215</v>
      </c>
      <c r="L1468" s="1">
        <v>4.3</v>
      </c>
      <c r="M1468" s="1">
        <v>767</v>
      </c>
      <c r="P1468" t="str">
        <f t="shared" si="91"/>
        <v>50%</v>
      </c>
      <c r="Q1468" s="12">
        <f t="shared" si="88"/>
        <v>0.5</v>
      </c>
      <c r="R1468" s="9">
        <f t="shared" si="89"/>
        <v>799</v>
      </c>
      <c r="S1468" s="9">
        <f>IF(R1468="",AVERAGEIF(Table1[Category],Table1[[#This Row],[Category]],Table2[orignal data]),Table2[[#This Row],[orignal data]])</f>
        <v>799</v>
      </c>
      <c r="T1468" t="str">
        <f t="shared" si="90"/>
        <v>UNIQUE</v>
      </c>
      <c r="U1468" t="str">
        <f>IF(ISBLANK(Table1[[#This Row],[SizeOption]]),"NOT AVAILABLE",Table1[[#This Row],[SizeOption]])</f>
        <v>XS, XL, L, M, S</v>
      </c>
      <c r="Y1468" t="str">
        <f>IF(Table2[[#This Row],[Column1]]&gt;50%,"HIGH DISCOUNT","LOW DISCOUNT")</f>
        <v>LOW DISCOUNT</v>
      </c>
    </row>
    <row r="1469" spans="1:25" x14ac:dyDescent="0.25">
      <c r="A1469" s="2" t="s">
        <v>3216</v>
      </c>
      <c r="B1469" s="2">
        <v>12595580</v>
      </c>
      <c r="C1469" s="2" t="s">
        <v>499</v>
      </c>
      <c r="D1469" s="2" t="s">
        <v>41</v>
      </c>
      <c r="E1469" s="2" t="s">
        <v>148</v>
      </c>
      <c r="F1469" s="2" t="s">
        <v>36</v>
      </c>
      <c r="G1469" s="2" t="s">
        <v>3217</v>
      </c>
      <c r="I1469" s="2">
        <v>2569</v>
      </c>
      <c r="J1469" s="2" t="s">
        <v>84</v>
      </c>
      <c r="K1469" s="2" t="s">
        <v>115</v>
      </c>
      <c r="L1469" s="2">
        <v>4.2</v>
      </c>
      <c r="M1469" s="2">
        <v>767</v>
      </c>
      <c r="P1469" t="str">
        <f t="shared" si="91"/>
        <v>50%</v>
      </c>
      <c r="Q1469" s="12">
        <f t="shared" si="88"/>
        <v>0.5</v>
      </c>
      <c r="R1469" s="9">
        <f t="shared" si="89"/>
        <v>1284.5</v>
      </c>
      <c r="S1469" s="9">
        <f>IF(R1469="",AVERAGEIF(Table1[Category],Table1[[#This Row],[Category]],Table2[orignal data]),Table2[[#This Row],[orignal data]])</f>
        <v>1284.5</v>
      </c>
      <c r="T1469" t="str">
        <f t="shared" si="90"/>
        <v>UNIQUE</v>
      </c>
      <c r="U1469" t="str">
        <f>IF(ISBLANK(Table1[[#This Row],[SizeOption]]),"NOT AVAILABLE",Table1[[#This Row],[SizeOption]])</f>
        <v>XS, S, M, L, XL, XXL</v>
      </c>
      <c r="Y1469" t="str">
        <f>IF(Table2[[#This Row],[Column1]]&gt;50%,"HIGH DISCOUNT","LOW DISCOUNT")</f>
        <v>LOW DISCOUNT</v>
      </c>
    </row>
    <row r="1470" spans="1:25" x14ac:dyDescent="0.25">
      <c r="A1470" s="1" t="s">
        <v>3218</v>
      </c>
      <c r="B1470" s="1">
        <v>9801601</v>
      </c>
      <c r="C1470" s="1" t="s">
        <v>102</v>
      </c>
      <c r="D1470" s="1" t="s">
        <v>41</v>
      </c>
      <c r="E1470" s="1" t="s">
        <v>48</v>
      </c>
      <c r="F1470" s="1" t="s">
        <v>36</v>
      </c>
      <c r="G1470" s="1" t="s">
        <v>3219</v>
      </c>
      <c r="I1470" s="1">
        <v>849</v>
      </c>
      <c r="J1470" s="1" t="s">
        <v>758</v>
      </c>
      <c r="K1470" s="1" t="s">
        <v>26</v>
      </c>
      <c r="L1470" s="1">
        <v>4</v>
      </c>
      <c r="M1470" s="1">
        <v>767</v>
      </c>
      <c r="P1470" t="str">
        <f t="shared" si="91"/>
        <v>47%</v>
      </c>
      <c r="Q1470" s="12">
        <f t="shared" si="88"/>
        <v>0.47</v>
      </c>
      <c r="R1470" s="9">
        <f t="shared" si="89"/>
        <v>449.97</v>
      </c>
      <c r="S1470" s="9">
        <f>IF(R1470="",AVERAGEIF(Table1[Category],Table1[[#This Row],[Category]],Table2[orignal data]),Table2[[#This Row],[orignal data]])</f>
        <v>449.97</v>
      </c>
      <c r="T1470" t="str">
        <f t="shared" si="90"/>
        <v>UNIQUE</v>
      </c>
      <c r="U1470" t="str">
        <f>IF(ISBLANK(Table1[[#This Row],[SizeOption]]),"NOT AVAILABLE",Table1[[#This Row],[SizeOption]])</f>
        <v>S, M, L, XL</v>
      </c>
      <c r="Y1470" t="str">
        <f>IF(Table2[[#This Row],[Column1]]&gt;50%,"HIGH DISCOUNT","LOW DISCOUNT")</f>
        <v>LOW DISCOUNT</v>
      </c>
    </row>
    <row r="1471" spans="1:25" x14ac:dyDescent="0.25">
      <c r="A1471" s="2" t="s">
        <v>3220</v>
      </c>
      <c r="B1471" s="2">
        <v>10106533</v>
      </c>
      <c r="C1471" s="2" t="s">
        <v>67</v>
      </c>
      <c r="D1471" s="2" t="s">
        <v>15</v>
      </c>
      <c r="E1471" s="2" t="s">
        <v>137</v>
      </c>
      <c r="F1471" s="2" t="s">
        <v>17</v>
      </c>
      <c r="G1471" s="2" t="s">
        <v>3221</v>
      </c>
      <c r="H1471">
        <v>454</v>
      </c>
      <c r="I1471" s="2">
        <v>1299</v>
      </c>
      <c r="J1471" s="2" t="s">
        <v>150</v>
      </c>
      <c r="K1471" s="2" t="s">
        <v>20</v>
      </c>
      <c r="L1471" s="2">
        <v>4.2</v>
      </c>
      <c r="M1471" s="2">
        <v>766</v>
      </c>
      <c r="P1471" t="str">
        <f t="shared" si="91"/>
        <v>65%</v>
      </c>
      <c r="Q1471" s="12">
        <f t="shared" si="88"/>
        <v>0.65</v>
      </c>
      <c r="R1471" s="9">
        <f t="shared" si="89"/>
        <v>454.65</v>
      </c>
      <c r="S1471" s="9">
        <f>IF(R1471="",AVERAGEIF(Table1[Category],Table1[[#This Row],[Category]],Table2[orignal data]),Table2[[#This Row],[orignal data]])</f>
        <v>454.65</v>
      </c>
      <c r="T1471" t="str">
        <f t="shared" si="90"/>
        <v>UNIQUE</v>
      </c>
      <c r="U1471" t="str">
        <f>IF(ISBLANK(Table1[[#This Row],[SizeOption]]),"NOT AVAILABLE",Table1[[#This Row],[SizeOption]])</f>
        <v>28, 30, 32, 34, 36</v>
      </c>
      <c r="Y1471" t="str">
        <f>IF(Table2[[#This Row],[Column1]]&gt;50%,"HIGH DISCOUNT","LOW DISCOUNT")</f>
        <v>HIGH DISCOUNT</v>
      </c>
    </row>
    <row r="1472" spans="1:25" x14ac:dyDescent="0.25">
      <c r="A1472" s="1" t="s">
        <v>3222</v>
      </c>
      <c r="B1472" s="1">
        <v>11887886</v>
      </c>
      <c r="C1472" s="1" t="s">
        <v>1461</v>
      </c>
      <c r="D1472" s="1" t="s">
        <v>76</v>
      </c>
      <c r="E1472" s="1" t="s">
        <v>3223</v>
      </c>
      <c r="F1472" s="1" t="s">
        <v>17</v>
      </c>
      <c r="G1472" s="1" t="s">
        <v>3224</v>
      </c>
      <c r="H1472">
        <v>851</v>
      </c>
      <c r="I1472" s="1">
        <v>1199</v>
      </c>
      <c r="J1472" s="1" t="s">
        <v>3225</v>
      </c>
      <c r="K1472" s="1" t="s">
        <v>26</v>
      </c>
      <c r="L1472" s="1">
        <v>4.2</v>
      </c>
      <c r="M1472" s="1">
        <v>766</v>
      </c>
      <c r="P1472" t="str">
        <f t="shared" si="91"/>
        <v>29%</v>
      </c>
      <c r="Q1472" s="12">
        <f t="shared" si="88"/>
        <v>0.28999999999999998</v>
      </c>
      <c r="R1472" s="9">
        <f t="shared" si="89"/>
        <v>851.29</v>
      </c>
      <c r="S1472" s="9">
        <f>IF(R1472="",AVERAGEIF(Table1[Category],Table1[[#This Row],[Category]],Table2[orignal data]),Table2[[#This Row],[orignal data]])</f>
        <v>851.29</v>
      </c>
      <c r="T1472" t="str">
        <f t="shared" si="90"/>
        <v>UNIQUE</v>
      </c>
      <c r="U1472" t="str">
        <f>IF(ISBLANK(Table1[[#This Row],[SizeOption]]),"NOT AVAILABLE",Table1[[#This Row],[SizeOption]])</f>
        <v>S, M, L, XL</v>
      </c>
      <c r="Y1472" t="str">
        <f>IF(Table2[[#This Row],[Column1]]&gt;50%,"HIGH DISCOUNT","LOW DISCOUNT")</f>
        <v>LOW DISCOUNT</v>
      </c>
    </row>
    <row r="1473" spans="1:25" x14ac:dyDescent="0.25">
      <c r="A1473" s="2" t="s">
        <v>3226</v>
      </c>
      <c r="B1473" s="2">
        <v>2338895</v>
      </c>
      <c r="C1473" s="2" t="s">
        <v>169</v>
      </c>
      <c r="D1473" s="2" t="s">
        <v>28</v>
      </c>
      <c r="E1473" s="2" t="s">
        <v>42</v>
      </c>
      <c r="F1473" s="2" t="s">
        <v>17</v>
      </c>
      <c r="G1473" s="2" t="s">
        <v>3227</v>
      </c>
      <c r="H1473">
        <v>479</v>
      </c>
      <c r="I1473" s="2">
        <v>799</v>
      </c>
      <c r="J1473" s="2" t="s">
        <v>50</v>
      </c>
      <c r="K1473" s="2" t="s">
        <v>39</v>
      </c>
      <c r="L1473" s="2">
        <v>4.0999999999999996</v>
      </c>
      <c r="M1473" s="2">
        <v>766</v>
      </c>
      <c r="P1473" t="str">
        <f t="shared" si="91"/>
        <v>40%</v>
      </c>
      <c r="Q1473" s="12">
        <f t="shared" si="88"/>
        <v>0.4</v>
      </c>
      <c r="R1473" s="9">
        <f t="shared" si="89"/>
        <v>479.4</v>
      </c>
      <c r="S1473" s="9">
        <f>IF(R1473="",AVERAGEIF(Table1[Category],Table1[[#This Row],[Category]],Table2[orignal data]),Table2[[#This Row],[orignal data]])</f>
        <v>479.4</v>
      </c>
      <c r="T1473" t="str">
        <f t="shared" si="90"/>
        <v>UNIQUE</v>
      </c>
      <c r="U1473" t="str">
        <f>IF(ISBLANK(Table1[[#This Row],[SizeOption]]),"NOT AVAILABLE",Table1[[#This Row],[SizeOption]])</f>
        <v>S, M, L, XL, XXL</v>
      </c>
      <c r="Y1473" t="str">
        <f>IF(Table2[[#This Row],[Column1]]&gt;50%,"HIGH DISCOUNT","LOW DISCOUNT")</f>
        <v>LOW DISCOUNT</v>
      </c>
    </row>
    <row r="1474" spans="1:25" x14ac:dyDescent="0.25">
      <c r="A1474" s="1" t="s">
        <v>3228</v>
      </c>
      <c r="B1474" s="1">
        <v>10941354</v>
      </c>
      <c r="C1474" s="1" t="s">
        <v>14</v>
      </c>
      <c r="D1474" s="1" t="s">
        <v>28</v>
      </c>
      <c r="E1474" s="1" t="s">
        <v>42</v>
      </c>
      <c r="F1474" s="1" t="s">
        <v>17</v>
      </c>
      <c r="G1474" s="1" t="s">
        <v>3229</v>
      </c>
      <c r="H1474">
        <v>404</v>
      </c>
      <c r="I1474" s="1">
        <v>899</v>
      </c>
      <c r="J1474" s="1" t="s">
        <v>25</v>
      </c>
      <c r="K1474" s="1" t="s">
        <v>45</v>
      </c>
      <c r="L1474" s="1">
        <v>3.9</v>
      </c>
      <c r="M1474" s="1">
        <v>766</v>
      </c>
      <c r="P1474" t="str">
        <f t="shared" si="91"/>
        <v>55%</v>
      </c>
      <c r="Q1474" s="12">
        <f t="shared" ref="Q1474:Q1537" si="92">IF(P1474="","",IF(ISNUMBER(SEARCH("%",P1474)),P1474,P1474/I1474)*100%)</f>
        <v>0.55000000000000004</v>
      </c>
      <c r="R1474" s="9">
        <f t="shared" ref="R1474:R1537" si="93">IF(P1474="","",I1474-(I1474*Q1474))</f>
        <v>404.54999999999995</v>
      </c>
      <c r="S1474" s="9">
        <f>IF(R1474="",AVERAGEIF(Table1[Category],Table1[[#This Row],[Category]],Table2[orignal data]),Table2[[#This Row],[orignal data]])</f>
        <v>404.54999999999995</v>
      </c>
      <c r="T1474" t="str">
        <f t="shared" ref="T1474:T1537" si="94">IF(COUNTIF($B$2:$B$5000,B1474)&gt;1,"DUPLICATE","UNIQUE")</f>
        <v>UNIQUE</v>
      </c>
      <c r="U1474" t="str">
        <f>IF(ISBLANK(Table1[[#This Row],[SizeOption]]),"NOT AVAILABLE",Table1[[#This Row],[SizeOption]])</f>
        <v>XS, S, M, L, XL</v>
      </c>
      <c r="Y1474" t="str">
        <f>IF(Table2[[#This Row],[Column1]]&gt;50%,"HIGH DISCOUNT","LOW DISCOUNT")</f>
        <v>HIGH DISCOUNT</v>
      </c>
    </row>
    <row r="1475" spans="1:25" x14ac:dyDescent="0.25">
      <c r="A1475" s="2" t="s">
        <v>3230</v>
      </c>
      <c r="B1475" s="2">
        <v>10692626</v>
      </c>
      <c r="C1475" s="2" t="s">
        <v>1546</v>
      </c>
      <c r="D1475" s="2" t="s">
        <v>76</v>
      </c>
      <c r="E1475" s="2" t="s">
        <v>148</v>
      </c>
      <c r="F1475" s="2" t="s">
        <v>36</v>
      </c>
      <c r="G1475" s="2" t="s">
        <v>3231</v>
      </c>
      <c r="H1475">
        <v>959</v>
      </c>
      <c r="I1475" s="2">
        <v>1999</v>
      </c>
      <c r="J1475" s="2" t="s">
        <v>208</v>
      </c>
      <c r="K1475" s="2" t="s">
        <v>115</v>
      </c>
      <c r="L1475" s="2">
        <v>4</v>
      </c>
      <c r="M1475" s="2">
        <v>766</v>
      </c>
      <c r="P1475" t="str">
        <f t="shared" ref="P1475:P1538" si="95">TRIM(SUBSTITUTE(SUBSTITUTE(SUBSTITUTE(SUBSTITUTE(J1475,"OFF",""),"Rs.",""),"Hurry*",""),",",""))</f>
        <v>52%</v>
      </c>
      <c r="Q1475" s="12">
        <f t="shared" si="92"/>
        <v>0.52</v>
      </c>
      <c r="R1475" s="9">
        <f t="shared" si="93"/>
        <v>959.52</v>
      </c>
      <c r="S1475" s="9">
        <f>IF(R1475="",AVERAGEIF(Table1[Category],Table1[[#This Row],[Category]],Table2[orignal data]),Table2[[#This Row],[orignal data]])</f>
        <v>959.52</v>
      </c>
      <c r="T1475" t="str">
        <f t="shared" si="94"/>
        <v>UNIQUE</v>
      </c>
      <c r="U1475" t="str">
        <f>IF(ISBLANK(Table1[[#This Row],[SizeOption]]),"NOT AVAILABLE",Table1[[#This Row],[SizeOption]])</f>
        <v>XS, S, M, L, XL, XXL</v>
      </c>
      <c r="Y1475" t="str">
        <f>IF(Table2[[#This Row],[Column1]]&gt;50%,"HIGH DISCOUNT","LOW DISCOUNT")</f>
        <v>HIGH DISCOUNT</v>
      </c>
    </row>
    <row r="1476" spans="1:25" x14ac:dyDescent="0.25">
      <c r="A1476" s="1" t="s">
        <v>3232</v>
      </c>
      <c r="B1476" s="1">
        <v>11263900</v>
      </c>
      <c r="C1476" s="1" t="s">
        <v>319</v>
      </c>
      <c r="D1476" s="1" t="s">
        <v>76</v>
      </c>
      <c r="E1476" s="1" t="s">
        <v>320</v>
      </c>
      <c r="F1476" s="1" t="s">
        <v>36</v>
      </c>
      <c r="G1476" s="1" t="s">
        <v>3233</v>
      </c>
      <c r="H1476">
        <v>1799</v>
      </c>
      <c r="I1476" s="1">
        <v>3998</v>
      </c>
      <c r="J1476" s="1" t="s">
        <v>25</v>
      </c>
      <c r="K1476" s="1" t="s">
        <v>164</v>
      </c>
      <c r="L1476" s="1">
        <v>4.5</v>
      </c>
      <c r="M1476" s="1">
        <v>766</v>
      </c>
      <c r="P1476" t="str">
        <f t="shared" si="95"/>
        <v>55%</v>
      </c>
      <c r="Q1476" s="12">
        <f t="shared" si="92"/>
        <v>0.55000000000000004</v>
      </c>
      <c r="R1476" s="9">
        <f t="shared" si="93"/>
        <v>1799.1</v>
      </c>
      <c r="S1476" s="9">
        <f>IF(R1476="",AVERAGEIF(Table1[Category],Table1[[#This Row],[Category]],Table2[orignal data]),Table2[[#This Row],[orignal data]])</f>
        <v>1799.1</v>
      </c>
      <c r="T1476" t="str">
        <f t="shared" si="94"/>
        <v>UNIQUE</v>
      </c>
      <c r="U1476" t="str">
        <f>IF(ISBLANK(Table1[[#This Row],[SizeOption]]),"NOT AVAILABLE",Table1[[#This Row],[SizeOption]])</f>
        <v>Onesize</v>
      </c>
      <c r="Y1476" t="str">
        <f>IF(Table2[[#This Row],[Column1]]&gt;50%,"HIGH DISCOUNT","LOW DISCOUNT")</f>
        <v>HIGH DISCOUNT</v>
      </c>
    </row>
    <row r="1477" spans="1:25" x14ac:dyDescent="0.25">
      <c r="A1477" s="2" t="s">
        <v>3234</v>
      </c>
      <c r="B1477" s="2">
        <v>11532788</v>
      </c>
      <c r="C1477" s="2" t="s">
        <v>117</v>
      </c>
      <c r="D1477" s="2" t="s">
        <v>34</v>
      </c>
      <c r="E1477" s="2" t="s">
        <v>518</v>
      </c>
      <c r="F1477" s="2" t="s">
        <v>36</v>
      </c>
      <c r="G1477" s="2" t="s">
        <v>3235</v>
      </c>
      <c r="I1477" s="2">
        <v>1049</v>
      </c>
      <c r="J1477" s="2"/>
      <c r="K1477" s="2" t="s">
        <v>26</v>
      </c>
      <c r="L1477" s="2">
        <v>4.3</v>
      </c>
      <c r="M1477" s="2">
        <v>766</v>
      </c>
      <c r="P1477" t="str">
        <f t="shared" si="95"/>
        <v/>
      </c>
      <c r="Q1477" s="12" t="str">
        <f t="shared" si="92"/>
        <v/>
      </c>
      <c r="R1477" s="9" t="str">
        <f t="shared" si="93"/>
        <v/>
      </c>
      <c r="S1477" s="9">
        <f>IF(R1477="",AVERAGEIF(Table1[Category],Table1[[#This Row],[Category]],Table2[orignal data]),Table2[[#This Row],[orignal data]])</f>
        <v>608.88518518518481</v>
      </c>
      <c r="T1477" t="str">
        <f t="shared" si="94"/>
        <v>UNIQUE</v>
      </c>
      <c r="U1477" t="str">
        <f>IF(ISBLANK(Table1[[#This Row],[SizeOption]]),"NOT AVAILABLE",Table1[[#This Row],[SizeOption]])</f>
        <v>S, M, L, XL</v>
      </c>
      <c r="Y1477" t="str">
        <f>IF(Table2[[#This Row],[Column1]]&gt;50%,"HIGH DISCOUNT","LOW DISCOUNT")</f>
        <v>HIGH DISCOUNT</v>
      </c>
    </row>
    <row r="1478" spans="1:25" x14ac:dyDescent="0.25">
      <c r="A1478" s="1" t="s">
        <v>3236</v>
      </c>
      <c r="B1478" s="1">
        <v>12851396</v>
      </c>
      <c r="C1478" s="1" t="s">
        <v>64</v>
      </c>
      <c r="D1478" s="1" t="s">
        <v>98</v>
      </c>
      <c r="E1478" s="1" t="s">
        <v>93</v>
      </c>
      <c r="F1478" s="1" t="s">
        <v>36</v>
      </c>
      <c r="G1478" s="1" t="s">
        <v>3237</v>
      </c>
      <c r="H1478">
        <v>479</v>
      </c>
      <c r="I1478" s="1">
        <v>1599</v>
      </c>
      <c r="J1478" s="1" t="s">
        <v>79</v>
      </c>
      <c r="K1478" s="1" t="s">
        <v>100</v>
      </c>
      <c r="L1478" s="1">
        <v>4</v>
      </c>
      <c r="M1478" s="1">
        <v>766</v>
      </c>
      <c r="P1478" t="str">
        <f t="shared" si="95"/>
        <v>70%</v>
      </c>
      <c r="Q1478" s="12">
        <f t="shared" si="92"/>
        <v>0.7</v>
      </c>
      <c r="R1478" s="9">
        <f t="shared" si="93"/>
        <v>479.70000000000005</v>
      </c>
      <c r="S1478" s="9">
        <f>IF(R1478="",AVERAGEIF(Table1[Category],Table1[[#This Row],[Category]],Table2[orignal data]),Table2[[#This Row],[orignal data]])</f>
        <v>479.70000000000005</v>
      </c>
      <c r="T1478" t="str">
        <f t="shared" si="94"/>
        <v>UNIQUE</v>
      </c>
      <c r="U1478" t="str">
        <f>IF(ISBLANK(Table1[[#This Row],[SizeOption]]),"NOT AVAILABLE",Table1[[#This Row],[SizeOption]])</f>
        <v>XS, S, M, L, XL, XXL, 3XL</v>
      </c>
      <c r="Y1478" t="str">
        <f>IF(Table2[[#This Row],[Column1]]&gt;50%,"HIGH DISCOUNT","LOW DISCOUNT")</f>
        <v>HIGH DISCOUNT</v>
      </c>
    </row>
    <row r="1479" spans="1:25" x14ac:dyDescent="0.25">
      <c r="A1479" s="2" t="s">
        <v>3238</v>
      </c>
      <c r="B1479" s="2">
        <v>12031382</v>
      </c>
      <c r="C1479" s="2" t="s">
        <v>81</v>
      </c>
      <c r="D1479" s="2" t="s">
        <v>41</v>
      </c>
      <c r="E1479" s="2" t="s">
        <v>48</v>
      </c>
      <c r="F1479" s="2" t="s">
        <v>36</v>
      </c>
      <c r="G1479" s="2" t="s">
        <v>3239</v>
      </c>
      <c r="I1479" s="2">
        <v>1499</v>
      </c>
      <c r="J1479" s="2" t="s">
        <v>403</v>
      </c>
      <c r="K1479" s="2" t="s">
        <v>115</v>
      </c>
      <c r="L1479" s="2">
        <v>4.2</v>
      </c>
      <c r="M1479" s="2">
        <v>766</v>
      </c>
      <c r="P1479" t="str">
        <f t="shared" si="95"/>
        <v>66%</v>
      </c>
      <c r="Q1479" s="12">
        <f t="shared" si="92"/>
        <v>0.66</v>
      </c>
      <c r="R1479" s="9">
        <f t="shared" si="93"/>
        <v>509.65999999999997</v>
      </c>
      <c r="S1479" s="9">
        <f>IF(R1479="",AVERAGEIF(Table1[Category],Table1[[#This Row],[Category]],Table2[orignal data]),Table2[[#This Row],[orignal data]])</f>
        <v>509.65999999999997</v>
      </c>
      <c r="T1479" t="str">
        <f t="shared" si="94"/>
        <v>UNIQUE</v>
      </c>
      <c r="U1479" t="str">
        <f>IF(ISBLANK(Table1[[#This Row],[SizeOption]]),"NOT AVAILABLE",Table1[[#This Row],[SizeOption]])</f>
        <v>XS, S, M, L, XL, XXL</v>
      </c>
      <c r="Y1479" t="str">
        <f>IF(Table2[[#This Row],[Column1]]&gt;50%,"HIGH DISCOUNT","LOW DISCOUNT")</f>
        <v>HIGH DISCOUNT</v>
      </c>
    </row>
    <row r="1480" spans="1:25" x14ac:dyDescent="0.25">
      <c r="A1480" s="1" t="s">
        <v>3240</v>
      </c>
      <c r="B1480" s="1">
        <v>10080501</v>
      </c>
      <c r="C1480" s="1" t="s">
        <v>102</v>
      </c>
      <c r="D1480" s="1" t="s">
        <v>41</v>
      </c>
      <c r="E1480" s="1" t="s">
        <v>148</v>
      </c>
      <c r="F1480" s="1" t="s">
        <v>36</v>
      </c>
      <c r="G1480" s="1" t="s">
        <v>3241</v>
      </c>
      <c r="I1480" s="1">
        <v>1949</v>
      </c>
      <c r="J1480" s="1" t="s">
        <v>25</v>
      </c>
      <c r="K1480" s="1" t="s">
        <v>26</v>
      </c>
      <c r="L1480" s="1">
        <v>4.4000000000000004</v>
      </c>
      <c r="M1480" s="1">
        <v>766</v>
      </c>
      <c r="P1480" t="str">
        <f t="shared" si="95"/>
        <v>55%</v>
      </c>
      <c r="Q1480" s="12">
        <f t="shared" si="92"/>
        <v>0.55000000000000004</v>
      </c>
      <c r="R1480" s="9">
        <f t="shared" si="93"/>
        <v>877.05</v>
      </c>
      <c r="S1480" s="9">
        <f>IF(R1480="",AVERAGEIF(Table1[Category],Table1[[#This Row],[Category]],Table2[orignal data]),Table2[[#This Row],[orignal data]])</f>
        <v>877.05</v>
      </c>
      <c r="T1480" t="str">
        <f t="shared" si="94"/>
        <v>UNIQUE</v>
      </c>
      <c r="U1480" t="str">
        <f>IF(ISBLANK(Table1[[#This Row],[SizeOption]]),"NOT AVAILABLE",Table1[[#This Row],[SizeOption]])</f>
        <v>S, M, L, XL</v>
      </c>
      <c r="Y1480" t="str">
        <f>IF(Table2[[#This Row],[Column1]]&gt;50%,"HIGH DISCOUNT","LOW DISCOUNT")</f>
        <v>HIGH DISCOUNT</v>
      </c>
    </row>
    <row r="1481" spans="1:25" x14ac:dyDescent="0.25">
      <c r="A1481" s="2" t="s">
        <v>3242</v>
      </c>
      <c r="B1481" s="2">
        <v>8590437</v>
      </c>
      <c r="C1481" s="2" t="s">
        <v>420</v>
      </c>
      <c r="D1481" s="2" t="s">
        <v>15</v>
      </c>
      <c r="E1481" s="2" t="s">
        <v>137</v>
      </c>
      <c r="F1481" s="2" t="s">
        <v>17</v>
      </c>
      <c r="G1481" s="2" t="s">
        <v>3243</v>
      </c>
      <c r="H1481">
        <v>839</v>
      </c>
      <c r="I1481" s="2">
        <v>1399</v>
      </c>
      <c r="J1481" s="2" t="s">
        <v>50</v>
      </c>
      <c r="K1481" s="2" t="s">
        <v>20</v>
      </c>
      <c r="L1481" s="2">
        <v>4</v>
      </c>
      <c r="M1481" s="2">
        <v>765</v>
      </c>
      <c r="P1481" t="str">
        <f t="shared" si="95"/>
        <v>40%</v>
      </c>
      <c r="Q1481" s="12">
        <f t="shared" si="92"/>
        <v>0.4</v>
      </c>
      <c r="R1481" s="9">
        <f t="shared" si="93"/>
        <v>839.4</v>
      </c>
      <c r="S1481" s="9">
        <f>IF(R1481="",AVERAGEIF(Table1[Category],Table1[[#This Row],[Category]],Table2[orignal data]),Table2[[#This Row],[orignal data]])</f>
        <v>839.4</v>
      </c>
      <c r="T1481" t="str">
        <f t="shared" si="94"/>
        <v>UNIQUE</v>
      </c>
      <c r="U1481" t="str">
        <f>IF(ISBLANK(Table1[[#This Row],[SizeOption]]),"NOT AVAILABLE",Table1[[#This Row],[SizeOption]])</f>
        <v>28, 30, 32, 34, 36</v>
      </c>
      <c r="Y1481" t="str">
        <f>IF(Table2[[#This Row],[Column1]]&gt;50%,"HIGH DISCOUNT","LOW DISCOUNT")</f>
        <v>LOW DISCOUNT</v>
      </c>
    </row>
    <row r="1482" spans="1:25" x14ac:dyDescent="0.25">
      <c r="A1482" s="1" t="s">
        <v>3244</v>
      </c>
      <c r="B1482" s="1">
        <v>9367419</v>
      </c>
      <c r="C1482" s="1" t="s">
        <v>113</v>
      </c>
      <c r="D1482" s="1" t="s">
        <v>76</v>
      </c>
      <c r="E1482" s="1" t="s">
        <v>93</v>
      </c>
      <c r="F1482" s="1" t="s">
        <v>17</v>
      </c>
      <c r="G1482" s="1" t="s">
        <v>3245</v>
      </c>
      <c r="H1482">
        <v>719</v>
      </c>
      <c r="I1482" s="1">
        <v>1799</v>
      </c>
      <c r="J1482" s="1" t="s">
        <v>55</v>
      </c>
      <c r="K1482" s="1" t="s">
        <v>39</v>
      </c>
      <c r="L1482" s="1">
        <v>4</v>
      </c>
      <c r="M1482" s="1">
        <v>765</v>
      </c>
      <c r="P1482" t="str">
        <f t="shared" si="95"/>
        <v>60%</v>
      </c>
      <c r="Q1482" s="12">
        <f t="shared" si="92"/>
        <v>0.6</v>
      </c>
      <c r="R1482" s="9">
        <f t="shared" si="93"/>
        <v>719.60000000000014</v>
      </c>
      <c r="S1482" s="9">
        <f>IF(R1482="",AVERAGEIF(Table1[Category],Table1[[#This Row],[Category]],Table2[orignal data]),Table2[[#This Row],[orignal data]])</f>
        <v>719.60000000000014</v>
      </c>
      <c r="T1482" t="str">
        <f t="shared" si="94"/>
        <v>UNIQUE</v>
      </c>
      <c r="U1482" t="str">
        <f>IF(ISBLANK(Table1[[#This Row],[SizeOption]]),"NOT AVAILABLE",Table1[[#This Row],[SizeOption]])</f>
        <v>S, M, L, XL, XXL</v>
      </c>
      <c r="Y1482" t="str">
        <f>IF(Table2[[#This Row],[Column1]]&gt;50%,"HIGH DISCOUNT","LOW DISCOUNT")</f>
        <v>HIGH DISCOUNT</v>
      </c>
    </row>
    <row r="1483" spans="1:25" x14ac:dyDescent="0.25">
      <c r="A1483" s="2" t="s">
        <v>3246</v>
      </c>
      <c r="B1483" s="2">
        <v>11363446</v>
      </c>
      <c r="C1483" s="2" t="s">
        <v>169</v>
      </c>
      <c r="D1483" s="2" t="s">
        <v>28</v>
      </c>
      <c r="E1483" s="2" t="s">
        <v>42</v>
      </c>
      <c r="F1483" s="2" t="s">
        <v>17</v>
      </c>
      <c r="G1483" s="2" t="s">
        <v>3247</v>
      </c>
      <c r="H1483">
        <v>649</v>
      </c>
      <c r="I1483" s="2">
        <v>1299</v>
      </c>
      <c r="J1483" s="2" t="s">
        <v>84</v>
      </c>
      <c r="K1483" s="2" t="s">
        <v>39</v>
      </c>
      <c r="L1483" s="2">
        <v>4.0999999999999996</v>
      </c>
      <c r="M1483" s="2">
        <v>765</v>
      </c>
      <c r="P1483" t="str">
        <f t="shared" si="95"/>
        <v>50%</v>
      </c>
      <c r="Q1483" s="12">
        <f t="shared" si="92"/>
        <v>0.5</v>
      </c>
      <c r="R1483" s="9">
        <f t="shared" si="93"/>
        <v>649.5</v>
      </c>
      <c r="S1483" s="9">
        <f>IF(R1483="",AVERAGEIF(Table1[Category],Table1[[#This Row],[Category]],Table2[orignal data]),Table2[[#This Row],[orignal data]])</f>
        <v>649.5</v>
      </c>
      <c r="T1483" t="str">
        <f t="shared" si="94"/>
        <v>UNIQUE</v>
      </c>
      <c r="U1483" t="str">
        <f>IF(ISBLANK(Table1[[#This Row],[SizeOption]]),"NOT AVAILABLE",Table1[[#This Row],[SizeOption]])</f>
        <v>S, M, L, XL, XXL</v>
      </c>
      <c r="Y1483" t="str">
        <f>IF(Table2[[#This Row],[Column1]]&gt;50%,"HIGH DISCOUNT","LOW DISCOUNT")</f>
        <v>LOW DISCOUNT</v>
      </c>
    </row>
    <row r="1484" spans="1:25" x14ac:dyDescent="0.25">
      <c r="A1484" s="1" t="s">
        <v>3248</v>
      </c>
      <c r="B1484" s="1">
        <v>10398447</v>
      </c>
      <c r="C1484" s="1" t="s">
        <v>14</v>
      </c>
      <c r="D1484" s="1" t="s">
        <v>28</v>
      </c>
      <c r="E1484" s="1" t="s">
        <v>29</v>
      </c>
      <c r="F1484" s="1" t="s">
        <v>17</v>
      </c>
      <c r="G1484" s="1" t="s">
        <v>3249</v>
      </c>
      <c r="H1484">
        <v>1319</v>
      </c>
      <c r="I1484" s="1">
        <v>2199</v>
      </c>
      <c r="J1484" s="1" t="s">
        <v>50</v>
      </c>
      <c r="K1484" s="1" t="s">
        <v>253</v>
      </c>
      <c r="L1484" s="1">
        <v>4.3</v>
      </c>
      <c r="M1484" s="1">
        <v>765</v>
      </c>
      <c r="P1484" t="str">
        <f t="shared" si="95"/>
        <v>40%</v>
      </c>
      <c r="Q1484" s="12">
        <f t="shared" si="92"/>
        <v>0.4</v>
      </c>
      <c r="R1484" s="9">
        <f t="shared" si="93"/>
        <v>1319.4</v>
      </c>
      <c r="S1484" s="9">
        <f>IF(R1484="",AVERAGEIF(Table1[Category],Table1[[#This Row],[Category]],Table2[orignal data]),Table2[[#This Row],[orignal data]])</f>
        <v>1319.4</v>
      </c>
      <c r="T1484" t="str">
        <f t="shared" si="94"/>
        <v>UNIQUE</v>
      </c>
      <c r="U1484" t="str">
        <f>IF(ISBLANK(Table1[[#This Row],[SizeOption]]),"NOT AVAILABLE",Table1[[#This Row],[SizeOption]])</f>
        <v>38, 40, 42, 44</v>
      </c>
      <c r="Y1484" t="str">
        <f>IF(Table2[[#This Row],[Column1]]&gt;50%,"HIGH DISCOUNT","LOW DISCOUNT")</f>
        <v>LOW DISCOUNT</v>
      </c>
    </row>
    <row r="1485" spans="1:25" x14ac:dyDescent="0.25">
      <c r="A1485" s="2" t="s">
        <v>3250</v>
      </c>
      <c r="B1485" s="2">
        <v>2498504</v>
      </c>
      <c r="C1485" s="2" t="s">
        <v>14</v>
      </c>
      <c r="D1485" s="2" t="s">
        <v>28</v>
      </c>
      <c r="E1485" s="2" t="s">
        <v>42</v>
      </c>
      <c r="F1485" s="2" t="s">
        <v>17</v>
      </c>
      <c r="G1485" s="2" t="s">
        <v>3251</v>
      </c>
      <c r="H1485">
        <v>299</v>
      </c>
      <c r="I1485" s="2">
        <v>499</v>
      </c>
      <c r="J1485" s="2" t="s">
        <v>50</v>
      </c>
      <c r="K1485" s="2" t="s">
        <v>73</v>
      </c>
      <c r="L1485" s="2">
        <v>4.2</v>
      </c>
      <c r="M1485" s="2">
        <v>765</v>
      </c>
      <c r="P1485" t="str">
        <f t="shared" si="95"/>
        <v>40%</v>
      </c>
      <c r="Q1485" s="12">
        <f t="shared" si="92"/>
        <v>0.4</v>
      </c>
      <c r="R1485" s="9">
        <f t="shared" si="93"/>
        <v>299.39999999999998</v>
      </c>
      <c r="S1485" s="9">
        <f>IF(R1485="",AVERAGEIF(Table1[Category],Table1[[#This Row],[Category]],Table2[orignal data]),Table2[[#This Row],[orignal data]])</f>
        <v>299.39999999999998</v>
      </c>
      <c r="T1485" t="str">
        <f t="shared" si="94"/>
        <v>UNIQUE</v>
      </c>
      <c r="U1485" t="str">
        <f>IF(ISBLANK(Table1[[#This Row],[SizeOption]]),"NOT AVAILABLE",Table1[[#This Row],[SizeOption]])</f>
        <v>XS, S, M, L, XL, XXL, 3XL, 4XL</v>
      </c>
      <c r="Y1485" t="str">
        <f>IF(Table2[[#This Row],[Column1]]&gt;50%,"HIGH DISCOUNT","LOW DISCOUNT")</f>
        <v>LOW DISCOUNT</v>
      </c>
    </row>
    <row r="1486" spans="1:25" x14ac:dyDescent="0.25">
      <c r="A1486" s="1" t="s">
        <v>3252</v>
      </c>
      <c r="B1486" s="1">
        <v>10503328</v>
      </c>
      <c r="C1486" s="1" t="s">
        <v>92</v>
      </c>
      <c r="D1486" s="1" t="s">
        <v>76</v>
      </c>
      <c r="E1486" s="1" t="s">
        <v>93</v>
      </c>
      <c r="F1486" s="1" t="s">
        <v>36</v>
      </c>
      <c r="G1486" s="1" t="s">
        <v>3253</v>
      </c>
      <c r="H1486">
        <v>573</v>
      </c>
      <c r="I1486" s="1">
        <v>1399</v>
      </c>
      <c r="J1486" s="1" t="s">
        <v>95</v>
      </c>
      <c r="K1486" s="1" t="s">
        <v>39</v>
      </c>
      <c r="L1486" s="1">
        <v>4.3</v>
      </c>
      <c r="M1486" s="1">
        <v>765</v>
      </c>
      <c r="P1486" t="str">
        <f t="shared" si="95"/>
        <v>59%</v>
      </c>
      <c r="Q1486" s="12">
        <f t="shared" si="92"/>
        <v>0.59</v>
      </c>
      <c r="R1486" s="9">
        <f t="shared" si="93"/>
        <v>573.59</v>
      </c>
      <c r="S1486" s="9">
        <f>IF(R1486="",AVERAGEIF(Table1[Category],Table1[[#This Row],[Category]],Table2[orignal data]),Table2[[#This Row],[orignal data]])</f>
        <v>573.59</v>
      </c>
      <c r="T1486" t="str">
        <f t="shared" si="94"/>
        <v>UNIQUE</v>
      </c>
      <c r="U1486" t="str">
        <f>IF(ISBLANK(Table1[[#This Row],[SizeOption]]),"NOT AVAILABLE",Table1[[#This Row],[SizeOption]])</f>
        <v>S, M, L, XL, XXL</v>
      </c>
      <c r="Y1486" t="str">
        <f>IF(Table2[[#This Row],[Column1]]&gt;50%,"HIGH DISCOUNT","LOW DISCOUNT")</f>
        <v>HIGH DISCOUNT</v>
      </c>
    </row>
    <row r="1487" spans="1:25" x14ac:dyDescent="0.25">
      <c r="A1487" s="2" t="s">
        <v>3254</v>
      </c>
      <c r="B1487" s="2">
        <v>15034280</v>
      </c>
      <c r="C1487" s="2" t="s">
        <v>349</v>
      </c>
      <c r="D1487" s="2" t="s">
        <v>34</v>
      </c>
      <c r="E1487" s="2" t="s">
        <v>296</v>
      </c>
      <c r="F1487" s="2" t="s">
        <v>36</v>
      </c>
      <c r="G1487" s="2" t="s">
        <v>3255</v>
      </c>
      <c r="I1487" s="2">
        <v>209</v>
      </c>
      <c r="J1487" s="2"/>
      <c r="K1487" s="2" t="s">
        <v>352</v>
      </c>
      <c r="L1487" s="2">
        <v>4.5</v>
      </c>
      <c r="M1487" s="2">
        <v>765</v>
      </c>
      <c r="P1487" t="str">
        <f t="shared" si="95"/>
        <v/>
      </c>
      <c r="Q1487" s="12" t="str">
        <f t="shared" si="92"/>
        <v/>
      </c>
      <c r="R1487" s="9" t="str">
        <f t="shared" si="93"/>
        <v/>
      </c>
      <c r="S1487" s="9">
        <f>IF(R1487="",AVERAGEIF(Table1[Category],Table1[[#This Row],[Category]],Table2[orignal data]),Table2[[#This Row],[orignal data]])</f>
        <v>608.88518518518481</v>
      </c>
      <c r="T1487" t="str">
        <f t="shared" si="94"/>
        <v>UNIQUE</v>
      </c>
      <c r="U1487" t="str">
        <f>IF(ISBLANK(Table1[[#This Row],[SizeOption]]),"NOT AVAILABLE",Table1[[#This Row],[SizeOption]])</f>
        <v>S, M, L</v>
      </c>
      <c r="Y1487" t="str">
        <f>IF(Table2[[#This Row],[Column1]]&gt;50%,"HIGH DISCOUNT","LOW DISCOUNT")</f>
        <v>HIGH DISCOUNT</v>
      </c>
    </row>
    <row r="1488" spans="1:25" x14ac:dyDescent="0.25">
      <c r="A1488" s="1" t="s">
        <v>3256</v>
      </c>
      <c r="B1488" s="1">
        <v>10019885</v>
      </c>
      <c r="C1488" s="1" t="s">
        <v>2353</v>
      </c>
      <c r="D1488" s="1" t="s">
        <v>41</v>
      </c>
      <c r="E1488" s="1" t="s">
        <v>48</v>
      </c>
      <c r="F1488" s="1" t="s">
        <v>36</v>
      </c>
      <c r="G1488" s="1" t="s">
        <v>3257</v>
      </c>
      <c r="I1488" s="1">
        <v>1590</v>
      </c>
      <c r="J1488" s="1" t="s">
        <v>89</v>
      </c>
      <c r="K1488" s="1" t="s">
        <v>45</v>
      </c>
      <c r="L1488" s="1">
        <v>4</v>
      </c>
      <c r="M1488" s="1">
        <v>765</v>
      </c>
      <c r="P1488" t="str">
        <f t="shared" si="95"/>
        <v>53%</v>
      </c>
      <c r="Q1488" s="12">
        <f t="shared" si="92"/>
        <v>0.53</v>
      </c>
      <c r="R1488" s="9">
        <f t="shared" si="93"/>
        <v>747.3</v>
      </c>
      <c r="S1488" s="9">
        <f>IF(R1488="",AVERAGEIF(Table1[Category],Table1[[#This Row],[Category]],Table2[orignal data]),Table2[[#This Row],[orignal data]])</f>
        <v>747.3</v>
      </c>
      <c r="T1488" t="str">
        <f t="shared" si="94"/>
        <v>UNIQUE</v>
      </c>
      <c r="U1488" t="str">
        <f>IF(ISBLANK(Table1[[#This Row],[SizeOption]]),"NOT AVAILABLE",Table1[[#This Row],[SizeOption]])</f>
        <v>XS, S, M, L, XL</v>
      </c>
      <c r="Y1488" t="str">
        <f>IF(Table2[[#This Row],[Column1]]&gt;50%,"HIGH DISCOUNT","LOW DISCOUNT")</f>
        <v>HIGH DISCOUNT</v>
      </c>
    </row>
    <row r="1489" spans="1:25" x14ac:dyDescent="0.25">
      <c r="A1489" s="2" t="s">
        <v>3258</v>
      </c>
      <c r="B1489" s="2">
        <v>11900428</v>
      </c>
      <c r="C1489" s="2" t="s">
        <v>346</v>
      </c>
      <c r="D1489" s="2" t="s">
        <v>41</v>
      </c>
      <c r="E1489" s="2" t="s">
        <v>42</v>
      </c>
      <c r="F1489" s="2" t="s">
        <v>36</v>
      </c>
      <c r="G1489" s="2" t="s">
        <v>3259</v>
      </c>
      <c r="I1489" s="2">
        <v>599</v>
      </c>
      <c r="J1489" s="2" t="s">
        <v>19</v>
      </c>
      <c r="K1489" s="2" t="s">
        <v>45</v>
      </c>
      <c r="L1489" s="2">
        <v>4</v>
      </c>
      <c r="M1489" s="2">
        <v>765</v>
      </c>
      <c r="P1489" t="str">
        <f t="shared" si="95"/>
        <v>45%</v>
      </c>
      <c r="Q1489" s="12">
        <f t="shared" si="92"/>
        <v>0.45</v>
      </c>
      <c r="R1489" s="9">
        <f t="shared" si="93"/>
        <v>329.45</v>
      </c>
      <c r="S1489" s="9">
        <f>IF(R1489="",AVERAGEIF(Table1[Category],Table1[[#This Row],[Category]],Table2[orignal data]),Table2[[#This Row],[orignal data]])</f>
        <v>329.45</v>
      </c>
      <c r="T1489" t="str">
        <f t="shared" si="94"/>
        <v>UNIQUE</v>
      </c>
      <c r="U1489" t="str">
        <f>IF(ISBLANK(Table1[[#This Row],[SizeOption]]),"NOT AVAILABLE",Table1[[#This Row],[SizeOption]])</f>
        <v>XS, S, M, L, XL</v>
      </c>
      <c r="Y1489" t="str">
        <f>IF(Table2[[#This Row],[Column1]]&gt;50%,"HIGH DISCOUNT","LOW DISCOUNT")</f>
        <v>LOW DISCOUNT</v>
      </c>
    </row>
    <row r="1490" spans="1:25" x14ac:dyDescent="0.25">
      <c r="A1490" s="1" t="s">
        <v>3260</v>
      </c>
      <c r="B1490" s="1">
        <v>15808980</v>
      </c>
      <c r="C1490" s="1" t="s">
        <v>490</v>
      </c>
      <c r="D1490" s="1" t="s">
        <v>41</v>
      </c>
      <c r="E1490" s="1" t="s">
        <v>306</v>
      </c>
      <c r="F1490" s="1" t="s">
        <v>36</v>
      </c>
      <c r="G1490" s="1" t="s">
        <v>3261</v>
      </c>
      <c r="I1490" s="1">
        <v>799</v>
      </c>
      <c r="J1490" s="1"/>
      <c r="K1490" s="1" t="s">
        <v>1875</v>
      </c>
      <c r="L1490" s="1">
        <v>4.3</v>
      </c>
      <c r="M1490" s="1">
        <v>765</v>
      </c>
      <c r="P1490" t="str">
        <f t="shared" si="95"/>
        <v/>
      </c>
      <c r="Q1490" s="12" t="str">
        <f t="shared" si="92"/>
        <v/>
      </c>
      <c r="R1490" s="9" t="str">
        <f t="shared" si="93"/>
        <v/>
      </c>
      <c r="S1490" s="9">
        <f>IF(R1490="",AVERAGEIF(Table1[Category],Table1[[#This Row],[Category]],Table2[orignal data]),Table2[[#This Row],[orignal data]])</f>
        <v>715.78890751086249</v>
      </c>
      <c r="T1490" t="str">
        <f t="shared" si="94"/>
        <v>UNIQUE</v>
      </c>
      <c r="U1490" t="str">
        <f>IF(ISBLANK(Table1[[#This Row],[SizeOption]]),"NOT AVAILABLE",Table1[[#This Row],[SizeOption]])</f>
        <v>XXS, XS, S, M, L, XL</v>
      </c>
      <c r="Y1490" t="str">
        <f>IF(Table2[[#This Row],[Column1]]&gt;50%,"HIGH DISCOUNT","LOW DISCOUNT")</f>
        <v>HIGH DISCOUNT</v>
      </c>
    </row>
    <row r="1491" spans="1:25" x14ac:dyDescent="0.25">
      <c r="A1491" s="2" t="s">
        <v>3262</v>
      </c>
      <c r="B1491" s="2">
        <v>12816470</v>
      </c>
      <c r="C1491" s="2" t="s">
        <v>64</v>
      </c>
      <c r="D1491" s="2" t="s">
        <v>28</v>
      </c>
      <c r="E1491" s="2" t="s">
        <v>42</v>
      </c>
      <c r="F1491" s="2" t="s">
        <v>17</v>
      </c>
      <c r="G1491" s="2" t="s">
        <v>3263</v>
      </c>
      <c r="H1491">
        <v>269</v>
      </c>
      <c r="I1491" s="2">
        <v>599</v>
      </c>
      <c r="J1491" s="2" t="s">
        <v>25</v>
      </c>
      <c r="K1491" s="2" t="s">
        <v>26</v>
      </c>
      <c r="L1491" s="2">
        <v>4.0999999999999996</v>
      </c>
      <c r="M1491" s="2">
        <v>764</v>
      </c>
      <c r="P1491" t="str">
        <f t="shared" si="95"/>
        <v>55%</v>
      </c>
      <c r="Q1491" s="12">
        <f t="shared" si="92"/>
        <v>0.55000000000000004</v>
      </c>
      <c r="R1491" s="9">
        <f t="shared" si="93"/>
        <v>269.54999999999995</v>
      </c>
      <c r="S1491" s="9">
        <f>IF(R1491="",AVERAGEIF(Table1[Category],Table1[[#This Row],[Category]],Table2[orignal data]),Table2[[#This Row],[orignal data]])</f>
        <v>269.54999999999995</v>
      </c>
      <c r="T1491" t="str">
        <f t="shared" si="94"/>
        <v>UNIQUE</v>
      </c>
      <c r="U1491" t="str">
        <f>IF(ISBLANK(Table1[[#This Row],[SizeOption]]),"NOT AVAILABLE",Table1[[#This Row],[SizeOption]])</f>
        <v>S, M, L, XL</v>
      </c>
      <c r="Y1491" t="str">
        <f>IF(Table2[[#This Row],[Column1]]&gt;50%,"HIGH DISCOUNT","LOW DISCOUNT")</f>
        <v>HIGH DISCOUNT</v>
      </c>
    </row>
    <row r="1492" spans="1:25" x14ac:dyDescent="0.25">
      <c r="A1492" s="1" t="s">
        <v>3264</v>
      </c>
      <c r="B1492" s="1">
        <v>7372858</v>
      </c>
      <c r="C1492" s="1" t="s">
        <v>232</v>
      </c>
      <c r="D1492" s="1" t="s">
        <v>76</v>
      </c>
      <c r="E1492" s="1" t="s">
        <v>93</v>
      </c>
      <c r="F1492" s="1" t="s">
        <v>36</v>
      </c>
      <c r="G1492" s="1" t="s">
        <v>3265</v>
      </c>
      <c r="H1492">
        <v>467</v>
      </c>
      <c r="I1492" s="1">
        <v>1799</v>
      </c>
      <c r="J1492" s="1" t="s">
        <v>2469</v>
      </c>
      <c r="K1492" s="1" t="s">
        <v>234</v>
      </c>
      <c r="L1492" s="1">
        <v>4.0999999999999996</v>
      </c>
      <c r="M1492" s="1">
        <v>764</v>
      </c>
      <c r="P1492" t="str">
        <f t="shared" si="95"/>
        <v>74%</v>
      </c>
      <c r="Q1492" s="12">
        <f t="shared" si="92"/>
        <v>0.74</v>
      </c>
      <c r="R1492" s="9">
        <f t="shared" si="93"/>
        <v>467.74</v>
      </c>
      <c r="S1492" s="9">
        <f>IF(R1492="",AVERAGEIF(Table1[Category],Table1[[#This Row],[Category]],Table2[orignal data]),Table2[[#This Row],[orignal data]])</f>
        <v>467.74</v>
      </c>
      <c r="T1492" t="str">
        <f t="shared" si="94"/>
        <v>UNIQUE</v>
      </c>
      <c r="U1492" t="str">
        <f>IF(ISBLANK(Table1[[#This Row],[SizeOption]]),"NOT AVAILABLE",Table1[[#This Row],[SizeOption]])</f>
        <v>S, M, L, XL, XXL, 3XL</v>
      </c>
      <c r="Y1492" t="str">
        <f>IF(Table2[[#This Row],[Column1]]&gt;50%,"HIGH DISCOUNT","LOW DISCOUNT")</f>
        <v>HIGH DISCOUNT</v>
      </c>
    </row>
    <row r="1493" spans="1:25" x14ac:dyDescent="0.25">
      <c r="A1493" s="2" t="s">
        <v>3266</v>
      </c>
      <c r="B1493" s="2">
        <v>12530332</v>
      </c>
      <c r="C1493" s="2" t="s">
        <v>64</v>
      </c>
      <c r="D1493" s="2" t="s">
        <v>98</v>
      </c>
      <c r="E1493" s="2" t="s">
        <v>93</v>
      </c>
      <c r="F1493" s="2" t="s">
        <v>36</v>
      </c>
      <c r="G1493" s="2" t="s">
        <v>1040</v>
      </c>
      <c r="H1493">
        <v>479</v>
      </c>
      <c r="I1493" s="2">
        <v>1599</v>
      </c>
      <c r="J1493" s="2" t="s">
        <v>1566</v>
      </c>
      <c r="K1493" s="2" t="s">
        <v>234</v>
      </c>
      <c r="L1493" s="2">
        <v>4.2</v>
      </c>
      <c r="M1493" s="2">
        <v>764</v>
      </c>
      <c r="P1493" t="str">
        <f t="shared" si="95"/>
        <v>70%</v>
      </c>
      <c r="Q1493" s="12">
        <f t="shared" si="92"/>
        <v>0.7</v>
      </c>
      <c r="R1493" s="9">
        <f t="shared" si="93"/>
        <v>479.70000000000005</v>
      </c>
      <c r="S1493" s="9">
        <f>IF(R1493="",AVERAGEIF(Table1[Category],Table1[[#This Row],[Category]],Table2[orignal data]),Table2[[#This Row],[orignal data]])</f>
        <v>479.70000000000005</v>
      </c>
      <c r="T1493" t="str">
        <f t="shared" si="94"/>
        <v>UNIQUE</v>
      </c>
      <c r="U1493" t="str">
        <f>IF(ISBLANK(Table1[[#This Row],[SizeOption]]),"NOT AVAILABLE",Table1[[#This Row],[SizeOption]])</f>
        <v>S, M, L, XL, XXL, 3XL</v>
      </c>
      <c r="Y1493" t="str">
        <f>IF(Table2[[#This Row],[Column1]]&gt;50%,"HIGH DISCOUNT","LOW DISCOUNT")</f>
        <v>HIGH DISCOUNT</v>
      </c>
    </row>
    <row r="1494" spans="1:25" x14ac:dyDescent="0.25">
      <c r="A1494" s="1" t="s">
        <v>3267</v>
      </c>
      <c r="B1494" s="1">
        <v>11002110</v>
      </c>
      <c r="C1494" s="1" t="s">
        <v>107</v>
      </c>
      <c r="D1494" s="1" t="s">
        <v>41</v>
      </c>
      <c r="E1494" s="1" t="s">
        <v>48</v>
      </c>
      <c r="F1494" s="1" t="s">
        <v>36</v>
      </c>
      <c r="G1494" s="1" t="s">
        <v>3268</v>
      </c>
      <c r="I1494" s="1">
        <v>1199</v>
      </c>
      <c r="J1494" s="1" t="s">
        <v>44</v>
      </c>
      <c r="K1494" s="1" t="s">
        <v>45</v>
      </c>
      <c r="L1494" s="1">
        <v>4.5</v>
      </c>
      <c r="M1494" s="1">
        <v>764</v>
      </c>
      <c r="P1494" t="str">
        <f t="shared" si="95"/>
        <v>35%</v>
      </c>
      <c r="Q1494" s="12">
        <f t="shared" si="92"/>
        <v>0.35</v>
      </c>
      <c r="R1494" s="9">
        <f t="shared" si="93"/>
        <v>779.35</v>
      </c>
      <c r="S1494" s="9">
        <f>IF(R1494="",AVERAGEIF(Table1[Category],Table1[[#This Row],[Category]],Table2[orignal data]),Table2[[#This Row],[orignal data]])</f>
        <v>779.35</v>
      </c>
      <c r="T1494" t="str">
        <f t="shared" si="94"/>
        <v>UNIQUE</v>
      </c>
      <c r="U1494" t="str">
        <f>IF(ISBLANK(Table1[[#This Row],[SizeOption]]),"NOT AVAILABLE",Table1[[#This Row],[SizeOption]])</f>
        <v>XS, S, M, L, XL</v>
      </c>
      <c r="Y1494" t="str">
        <f>IF(Table2[[#This Row],[Column1]]&gt;50%,"HIGH DISCOUNT","LOW DISCOUNT")</f>
        <v>LOW DISCOUNT</v>
      </c>
    </row>
    <row r="1495" spans="1:25" x14ac:dyDescent="0.25">
      <c r="A1495" s="2" t="s">
        <v>3269</v>
      </c>
      <c r="B1495" s="2">
        <v>11636294</v>
      </c>
      <c r="C1495" s="2" t="s">
        <v>1656</v>
      </c>
      <c r="D1495" s="2" t="s">
        <v>41</v>
      </c>
      <c r="E1495" s="2" t="s">
        <v>48</v>
      </c>
      <c r="F1495" s="2" t="s">
        <v>36</v>
      </c>
      <c r="G1495" s="2" t="s">
        <v>3270</v>
      </c>
      <c r="I1495" s="2">
        <v>1199</v>
      </c>
      <c r="J1495" s="2" t="s">
        <v>602</v>
      </c>
      <c r="K1495" s="2" t="s">
        <v>115</v>
      </c>
      <c r="L1495" s="2">
        <v>4.5</v>
      </c>
      <c r="M1495" s="2">
        <v>764</v>
      </c>
      <c r="P1495" t="str">
        <f t="shared" si="95"/>
        <v>48%</v>
      </c>
      <c r="Q1495" s="12">
        <f t="shared" si="92"/>
        <v>0.48</v>
      </c>
      <c r="R1495" s="9">
        <f t="shared" si="93"/>
        <v>623.48</v>
      </c>
      <c r="S1495" s="9">
        <f>IF(R1495="",AVERAGEIF(Table1[Category],Table1[[#This Row],[Category]],Table2[orignal data]),Table2[[#This Row],[orignal data]])</f>
        <v>623.48</v>
      </c>
      <c r="T1495" t="str">
        <f t="shared" si="94"/>
        <v>UNIQUE</v>
      </c>
      <c r="U1495" t="str">
        <f>IF(ISBLANK(Table1[[#This Row],[SizeOption]]),"NOT AVAILABLE",Table1[[#This Row],[SizeOption]])</f>
        <v>XS, S, M, L, XL, XXL</v>
      </c>
      <c r="Y1495" t="str">
        <f>IF(Table2[[#This Row],[Column1]]&gt;50%,"HIGH DISCOUNT","LOW DISCOUNT")</f>
        <v>LOW DISCOUNT</v>
      </c>
    </row>
    <row r="1496" spans="1:25" x14ac:dyDescent="0.25">
      <c r="A1496" s="1" t="s">
        <v>3271</v>
      </c>
      <c r="B1496" s="1">
        <v>12791492</v>
      </c>
      <c r="C1496" s="1" t="s">
        <v>887</v>
      </c>
      <c r="D1496" s="1" t="s">
        <v>41</v>
      </c>
      <c r="E1496" s="1" t="s">
        <v>148</v>
      </c>
      <c r="F1496" s="1" t="s">
        <v>36</v>
      </c>
      <c r="G1496" s="1" t="s">
        <v>3272</v>
      </c>
      <c r="I1496" s="1">
        <v>1399</v>
      </c>
      <c r="J1496" s="1" t="s">
        <v>208</v>
      </c>
      <c r="K1496" s="1" t="s">
        <v>26</v>
      </c>
      <c r="L1496" s="1">
        <v>4.2</v>
      </c>
      <c r="M1496" s="1">
        <v>764</v>
      </c>
      <c r="P1496" t="str">
        <f t="shared" si="95"/>
        <v>52%</v>
      </c>
      <c r="Q1496" s="12">
        <f t="shared" si="92"/>
        <v>0.52</v>
      </c>
      <c r="R1496" s="9">
        <f t="shared" si="93"/>
        <v>671.52</v>
      </c>
      <c r="S1496" s="9">
        <f>IF(R1496="",AVERAGEIF(Table1[Category],Table1[[#This Row],[Category]],Table2[orignal data]),Table2[[#This Row],[orignal data]])</f>
        <v>671.52</v>
      </c>
      <c r="T1496" t="str">
        <f t="shared" si="94"/>
        <v>UNIQUE</v>
      </c>
      <c r="U1496" t="str">
        <f>IF(ISBLANK(Table1[[#This Row],[SizeOption]]),"NOT AVAILABLE",Table1[[#This Row],[SizeOption]])</f>
        <v>S, M, L, XL</v>
      </c>
      <c r="Y1496" t="str">
        <f>IF(Table2[[#This Row],[Column1]]&gt;50%,"HIGH DISCOUNT","LOW DISCOUNT")</f>
        <v>HIGH DISCOUNT</v>
      </c>
    </row>
    <row r="1497" spans="1:25" x14ac:dyDescent="0.25">
      <c r="A1497" s="2" t="s">
        <v>3273</v>
      </c>
      <c r="B1497" s="2">
        <v>2314010</v>
      </c>
      <c r="C1497" s="2" t="s">
        <v>1299</v>
      </c>
      <c r="D1497" s="2" t="s">
        <v>28</v>
      </c>
      <c r="E1497" s="2" t="s">
        <v>29</v>
      </c>
      <c r="F1497" s="2" t="s">
        <v>17</v>
      </c>
      <c r="G1497" s="2" t="s">
        <v>3274</v>
      </c>
      <c r="H1497">
        <v>809</v>
      </c>
      <c r="I1497" s="2">
        <v>1799</v>
      </c>
      <c r="J1497" s="2" t="s">
        <v>25</v>
      </c>
      <c r="K1497" s="2" t="s">
        <v>1674</v>
      </c>
      <c r="L1497" s="2">
        <v>4.2</v>
      </c>
      <c r="M1497" s="2">
        <v>763</v>
      </c>
      <c r="P1497" t="str">
        <f t="shared" si="95"/>
        <v>55%</v>
      </c>
      <c r="Q1497" s="12">
        <f t="shared" si="92"/>
        <v>0.55000000000000004</v>
      </c>
      <c r="R1497" s="9">
        <f t="shared" si="93"/>
        <v>809.55</v>
      </c>
      <c r="S1497" s="9">
        <f>IF(R1497="",AVERAGEIF(Table1[Category],Table1[[#This Row],[Category]],Table2[orignal data]),Table2[[#This Row],[orignal data]])</f>
        <v>809.55</v>
      </c>
      <c r="T1497" t="str">
        <f t="shared" si="94"/>
        <v>UNIQUE</v>
      </c>
      <c r="U1497" t="str">
        <f>IF(ISBLANK(Table1[[#This Row],[SizeOption]]),"NOT AVAILABLE",Table1[[#This Row],[SizeOption]])</f>
        <v>38, 39, 40, 42, 44</v>
      </c>
      <c r="Y1497" t="str">
        <f>IF(Table2[[#This Row],[Column1]]&gt;50%,"HIGH DISCOUNT","LOW DISCOUNT")</f>
        <v>HIGH DISCOUNT</v>
      </c>
    </row>
    <row r="1498" spans="1:25" x14ac:dyDescent="0.25">
      <c r="A1498" s="1" t="s">
        <v>3275</v>
      </c>
      <c r="B1498" s="1">
        <v>13238718</v>
      </c>
      <c r="C1498" s="1" t="s">
        <v>113</v>
      </c>
      <c r="D1498" s="1" t="s">
        <v>76</v>
      </c>
      <c r="E1498" s="1" t="s">
        <v>93</v>
      </c>
      <c r="F1498" s="1" t="s">
        <v>36</v>
      </c>
      <c r="G1498" s="1" t="s">
        <v>3276</v>
      </c>
      <c r="H1498">
        <v>719</v>
      </c>
      <c r="I1498" s="1">
        <v>1599</v>
      </c>
      <c r="J1498" s="1" t="s">
        <v>25</v>
      </c>
      <c r="K1498" s="1" t="s">
        <v>115</v>
      </c>
      <c r="L1498" s="1">
        <v>3.9</v>
      </c>
      <c r="M1498" s="1">
        <v>763</v>
      </c>
      <c r="P1498" t="str">
        <f t="shared" si="95"/>
        <v>55%</v>
      </c>
      <c r="Q1498" s="12">
        <f t="shared" si="92"/>
        <v>0.55000000000000004</v>
      </c>
      <c r="R1498" s="9">
        <f t="shared" si="93"/>
        <v>719.55</v>
      </c>
      <c r="S1498" s="9">
        <f>IF(R1498="",AVERAGEIF(Table1[Category],Table1[[#This Row],[Category]],Table2[orignal data]),Table2[[#This Row],[orignal data]])</f>
        <v>719.55</v>
      </c>
      <c r="T1498" t="str">
        <f t="shared" si="94"/>
        <v>UNIQUE</v>
      </c>
      <c r="U1498" t="str">
        <f>IF(ISBLANK(Table1[[#This Row],[SizeOption]]),"NOT AVAILABLE",Table1[[#This Row],[SizeOption]])</f>
        <v>XS, S, M, L, XL, XXL</v>
      </c>
      <c r="Y1498" t="str">
        <f>IF(Table2[[#This Row],[Column1]]&gt;50%,"HIGH DISCOUNT","LOW DISCOUNT")</f>
        <v>HIGH DISCOUNT</v>
      </c>
    </row>
    <row r="1499" spans="1:25" x14ac:dyDescent="0.25">
      <c r="A1499" s="2" t="s">
        <v>3277</v>
      </c>
      <c r="B1499" s="2">
        <v>10513912</v>
      </c>
      <c r="C1499" s="2" t="s">
        <v>75</v>
      </c>
      <c r="D1499" s="2" t="s">
        <v>76</v>
      </c>
      <c r="E1499" s="2" t="s">
        <v>93</v>
      </c>
      <c r="F1499" s="2" t="s">
        <v>36</v>
      </c>
      <c r="G1499" s="2" t="s">
        <v>3278</v>
      </c>
      <c r="H1499">
        <v>509</v>
      </c>
      <c r="I1499" s="2">
        <v>1699</v>
      </c>
      <c r="J1499" s="2" t="s">
        <v>79</v>
      </c>
      <c r="K1499" s="2" t="s">
        <v>39</v>
      </c>
      <c r="L1499" s="2">
        <v>4.3</v>
      </c>
      <c r="M1499" s="2">
        <v>763</v>
      </c>
      <c r="P1499" t="str">
        <f t="shared" si="95"/>
        <v>70%</v>
      </c>
      <c r="Q1499" s="12">
        <f t="shared" si="92"/>
        <v>0.7</v>
      </c>
      <c r="R1499" s="9">
        <f t="shared" si="93"/>
        <v>509.70000000000005</v>
      </c>
      <c r="S1499" s="9">
        <f>IF(R1499="",AVERAGEIF(Table1[Category],Table1[[#This Row],[Category]],Table2[orignal data]),Table2[[#This Row],[orignal data]])</f>
        <v>509.70000000000005</v>
      </c>
      <c r="T1499" t="str">
        <f t="shared" si="94"/>
        <v>UNIQUE</v>
      </c>
      <c r="U1499" t="str">
        <f>IF(ISBLANK(Table1[[#This Row],[SizeOption]]),"NOT AVAILABLE",Table1[[#This Row],[SizeOption]])</f>
        <v>S, M, L, XL, XXL</v>
      </c>
      <c r="Y1499" t="str">
        <f>IF(Table2[[#This Row],[Column1]]&gt;50%,"HIGH DISCOUNT","LOW DISCOUNT")</f>
        <v>HIGH DISCOUNT</v>
      </c>
    </row>
    <row r="1500" spans="1:25" x14ac:dyDescent="0.25">
      <c r="A1500" s="1" t="s">
        <v>3279</v>
      </c>
      <c r="B1500" s="1">
        <v>8350401</v>
      </c>
      <c r="C1500" s="1" t="s">
        <v>97</v>
      </c>
      <c r="D1500" s="1" t="s">
        <v>98</v>
      </c>
      <c r="E1500" s="1" t="s">
        <v>93</v>
      </c>
      <c r="F1500" s="1" t="s">
        <v>36</v>
      </c>
      <c r="G1500" s="1" t="s">
        <v>3280</v>
      </c>
      <c r="H1500">
        <v>449</v>
      </c>
      <c r="I1500" s="1">
        <v>1499</v>
      </c>
      <c r="J1500" s="1" t="s">
        <v>79</v>
      </c>
      <c r="K1500" s="1" t="s">
        <v>115</v>
      </c>
      <c r="L1500" s="1">
        <v>3.9</v>
      </c>
      <c r="M1500" s="1">
        <v>763</v>
      </c>
      <c r="P1500" t="str">
        <f t="shared" si="95"/>
        <v>70%</v>
      </c>
      <c r="Q1500" s="12">
        <f t="shared" si="92"/>
        <v>0.7</v>
      </c>
      <c r="R1500" s="9">
        <f t="shared" si="93"/>
        <v>449.70000000000005</v>
      </c>
      <c r="S1500" s="9">
        <f>IF(R1500="",AVERAGEIF(Table1[Category],Table1[[#This Row],[Category]],Table2[orignal data]),Table2[[#This Row],[orignal data]])</f>
        <v>449.70000000000005</v>
      </c>
      <c r="T1500" t="str">
        <f t="shared" si="94"/>
        <v>UNIQUE</v>
      </c>
      <c r="U1500" t="str">
        <f>IF(ISBLANK(Table1[[#This Row],[SizeOption]]),"NOT AVAILABLE",Table1[[#This Row],[SizeOption]])</f>
        <v>XS, S, M, L, XL, XXL</v>
      </c>
      <c r="Y1500" t="str">
        <f>IF(Table2[[#This Row],[Column1]]&gt;50%,"HIGH DISCOUNT","LOW DISCOUNT")</f>
        <v>HIGH DISCOUNT</v>
      </c>
    </row>
    <row r="1501" spans="1:25" x14ac:dyDescent="0.25">
      <c r="A1501" s="2" t="s">
        <v>3281</v>
      </c>
      <c r="B1501" s="2">
        <v>5447385</v>
      </c>
      <c r="C1501" s="2" t="s">
        <v>14</v>
      </c>
      <c r="D1501" s="2" t="s">
        <v>41</v>
      </c>
      <c r="E1501" s="2" t="s">
        <v>1881</v>
      </c>
      <c r="F1501" s="2" t="s">
        <v>36</v>
      </c>
      <c r="G1501" s="2" t="s">
        <v>3282</v>
      </c>
      <c r="I1501" s="2">
        <v>1399</v>
      </c>
      <c r="J1501" s="2" t="s">
        <v>3283</v>
      </c>
      <c r="K1501" s="2" t="s">
        <v>115</v>
      </c>
      <c r="L1501" s="2">
        <v>3.9</v>
      </c>
      <c r="M1501" s="2">
        <v>763</v>
      </c>
      <c r="P1501" t="str">
        <f t="shared" si="95"/>
        <v>900</v>
      </c>
      <c r="Q1501" s="12">
        <f t="shared" si="92"/>
        <v>0.64331665475339528</v>
      </c>
      <c r="R1501" s="9">
        <f t="shared" si="93"/>
        <v>499</v>
      </c>
      <c r="S1501" s="9">
        <f>IF(R1501="",AVERAGEIF(Table1[Category],Table1[[#This Row],[Category]],Table2[orignal data]),Table2[[#This Row],[orignal data]])</f>
        <v>499</v>
      </c>
      <c r="T1501" t="str">
        <f t="shared" si="94"/>
        <v>UNIQUE</v>
      </c>
      <c r="U1501" t="str">
        <f>IF(ISBLANK(Table1[[#This Row],[SizeOption]]),"NOT AVAILABLE",Table1[[#This Row],[SizeOption]])</f>
        <v>XS, S, M, L, XL, XXL</v>
      </c>
      <c r="Y1501" t="str">
        <f>IF(Table2[[#This Row],[Column1]]&gt;50%,"HIGH DISCOUNT","LOW DISCOUNT")</f>
        <v>HIGH DISCOUNT</v>
      </c>
    </row>
    <row r="1502" spans="1:25" x14ac:dyDescent="0.25">
      <c r="A1502" s="1" t="s">
        <v>3284</v>
      </c>
      <c r="B1502" s="1">
        <v>11489506</v>
      </c>
      <c r="C1502" s="1" t="s">
        <v>14</v>
      </c>
      <c r="D1502" s="1" t="s">
        <v>41</v>
      </c>
      <c r="E1502" s="1" t="s">
        <v>579</v>
      </c>
      <c r="F1502" s="1" t="s">
        <v>36</v>
      </c>
      <c r="G1502" s="1" t="s">
        <v>3285</v>
      </c>
      <c r="I1502" s="1">
        <v>1499</v>
      </c>
      <c r="J1502" s="1" t="s">
        <v>55</v>
      </c>
      <c r="K1502" s="1" t="s">
        <v>134</v>
      </c>
      <c r="L1502" s="1">
        <v>4.3</v>
      </c>
      <c r="M1502" s="1">
        <v>763</v>
      </c>
      <c r="P1502" t="str">
        <f t="shared" si="95"/>
        <v>60%</v>
      </c>
      <c r="Q1502" s="12">
        <f t="shared" si="92"/>
        <v>0.6</v>
      </c>
      <c r="R1502" s="9">
        <f t="shared" si="93"/>
        <v>599.6</v>
      </c>
      <c r="S1502" s="9">
        <f>IF(R1502="",AVERAGEIF(Table1[Category],Table1[[#This Row],[Category]],Table2[orignal data]),Table2[[#This Row],[orignal data]])</f>
        <v>599.6</v>
      </c>
      <c r="T1502" t="str">
        <f t="shared" si="94"/>
        <v>UNIQUE</v>
      </c>
      <c r="U1502" t="str">
        <f>IF(ISBLANK(Table1[[#This Row],[SizeOption]]),"NOT AVAILABLE",Table1[[#This Row],[SizeOption]])</f>
        <v>26, 28, 30, 32, 34, 36</v>
      </c>
      <c r="Y1502" t="str">
        <f>IF(Table2[[#This Row],[Column1]]&gt;50%,"HIGH DISCOUNT","LOW DISCOUNT")</f>
        <v>HIGH DISCOUNT</v>
      </c>
    </row>
    <row r="1503" spans="1:25" x14ac:dyDescent="0.25">
      <c r="A1503" s="2" t="s">
        <v>3286</v>
      </c>
      <c r="B1503" s="2">
        <v>12876636</v>
      </c>
      <c r="C1503" s="2" t="s">
        <v>102</v>
      </c>
      <c r="D1503" s="2" t="s">
        <v>41</v>
      </c>
      <c r="E1503" s="2" t="s">
        <v>16</v>
      </c>
      <c r="F1503" s="2" t="s">
        <v>36</v>
      </c>
      <c r="G1503" s="2" t="s">
        <v>3287</v>
      </c>
      <c r="I1503" s="2">
        <v>1699</v>
      </c>
      <c r="J1503" s="2" t="s">
        <v>130</v>
      </c>
      <c r="K1503" s="2" t="s">
        <v>428</v>
      </c>
      <c r="L1503" s="2">
        <v>4.0999999999999996</v>
      </c>
      <c r="M1503" s="2">
        <v>763</v>
      </c>
      <c r="P1503" t="str">
        <f t="shared" si="95"/>
        <v>57%</v>
      </c>
      <c r="Q1503" s="12">
        <f t="shared" si="92"/>
        <v>0.56999999999999995</v>
      </c>
      <c r="R1503" s="9">
        <f t="shared" si="93"/>
        <v>730.57</v>
      </c>
      <c r="S1503" s="9">
        <f>IF(R1503="",AVERAGEIF(Table1[Category],Table1[[#This Row],[Category]],Table2[orignal data]),Table2[[#This Row],[orignal data]])</f>
        <v>730.57</v>
      </c>
      <c r="T1503" t="str">
        <f t="shared" si="94"/>
        <v>UNIQUE</v>
      </c>
      <c r="U1503" t="str">
        <f>IF(ISBLANK(Table1[[#This Row],[SizeOption]]),"NOT AVAILABLE",Table1[[#This Row],[SizeOption]])</f>
        <v>26, 28, 30, 32, 34</v>
      </c>
      <c r="Y1503" t="str">
        <f>IF(Table2[[#This Row],[Column1]]&gt;50%,"HIGH DISCOUNT","LOW DISCOUNT")</f>
        <v>HIGH DISCOUNT</v>
      </c>
    </row>
    <row r="1504" spans="1:25" x14ac:dyDescent="0.25">
      <c r="A1504" s="1" t="s">
        <v>3288</v>
      </c>
      <c r="B1504" s="1">
        <v>11541668</v>
      </c>
      <c r="C1504" s="1" t="s">
        <v>14</v>
      </c>
      <c r="D1504" s="1" t="s">
        <v>41</v>
      </c>
      <c r="E1504" s="1" t="s">
        <v>16</v>
      </c>
      <c r="F1504" s="1" t="s">
        <v>36</v>
      </c>
      <c r="G1504" s="1" t="s">
        <v>3289</v>
      </c>
      <c r="I1504" s="1">
        <v>1499</v>
      </c>
      <c r="J1504" s="1"/>
      <c r="K1504" s="1" t="s">
        <v>134</v>
      </c>
      <c r="L1504" s="1">
        <v>4.2</v>
      </c>
      <c r="M1504" s="1">
        <v>763</v>
      </c>
      <c r="P1504" t="str">
        <f t="shared" si="95"/>
        <v/>
      </c>
      <c r="Q1504" s="12" t="str">
        <f t="shared" si="92"/>
        <v/>
      </c>
      <c r="R1504" s="9" t="str">
        <f t="shared" si="93"/>
        <v/>
      </c>
      <c r="S1504" s="9">
        <f>IF(R1504="",AVERAGEIF(Table1[Category],Table1[[#This Row],[Category]],Table2[orignal data]),Table2[[#This Row],[orignal data]])</f>
        <v>715.78890751086249</v>
      </c>
      <c r="T1504" t="str">
        <f t="shared" si="94"/>
        <v>UNIQUE</v>
      </c>
      <c r="U1504" t="str">
        <f>IF(ISBLANK(Table1[[#This Row],[SizeOption]]),"NOT AVAILABLE",Table1[[#This Row],[SizeOption]])</f>
        <v>26, 28, 30, 32, 34, 36</v>
      </c>
      <c r="Y1504" t="str">
        <f>IF(Table2[[#This Row],[Column1]]&gt;50%,"HIGH DISCOUNT","LOW DISCOUNT")</f>
        <v>HIGH DISCOUNT</v>
      </c>
    </row>
    <row r="1505" spans="1:25" x14ac:dyDescent="0.25">
      <c r="A1505" s="2" t="s">
        <v>3290</v>
      </c>
      <c r="B1505" s="2">
        <v>11451786</v>
      </c>
      <c r="C1505" s="2" t="s">
        <v>3291</v>
      </c>
      <c r="D1505" s="2" t="s">
        <v>15</v>
      </c>
      <c r="E1505" s="2" t="s">
        <v>23</v>
      </c>
      <c r="F1505" s="2" t="s">
        <v>17</v>
      </c>
      <c r="G1505" s="2" t="s">
        <v>3292</v>
      </c>
      <c r="H1505">
        <v>2499</v>
      </c>
      <c r="I1505" s="2">
        <v>4999</v>
      </c>
      <c r="J1505" s="2" t="s">
        <v>84</v>
      </c>
      <c r="K1505" s="2" t="s">
        <v>115</v>
      </c>
      <c r="L1505" s="2">
        <v>4.5</v>
      </c>
      <c r="M1505" s="2">
        <v>762</v>
      </c>
      <c r="P1505" t="str">
        <f t="shared" si="95"/>
        <v>50%</v>
      </c>
      <c r="Q1505" s="12">
        <f t="shared" si="92"/>
        <v>0.5</v>
      </c>
      <c r="R1505" s="9">
        <f t="shared" si="93"/>
        <v>2499.5</v>
      </c>
      <c r="S1505" s="9">
        <f>IF(R1505="",AVERAGEIF(Table1[Category],Table1[[#This Row],[Category]],Table2[orignal data]),Table2[[#This Row],[orignal data]])</f>
        <v>2499.5</v>
      </c>
      <c r="T1505" t="str">
        <f t="shared" si="94"/>
        <v>UNIQUE</v>
      </c>
      <c r="U1505" t="str">
        <f>IF(ISBLANK(Table1[[#This Row],[SizeOption]]),"NOT AVAILABLE",Table1[[#This Row],[SizeOption]])</f>
        <v>XS, S, M, L, XL, XXL</v>
      </c>
      <c r="Y1505" t="str">
        <f>IF(Table2[[#This Row],[Column1]]&gt;50%,"HIGH DISCOUNT","LOW DISCOUNT")</f>
        <v>LOW DISCOUNT</v>
      </c>
    </row>
    <row r="1506" spans="1:25" x14ac:dyDescent="0.25">
      <c r="A1506" s="1" t="s">
        <v>3293</v>
      </c>
      <c r="B1506" s="1">
        <v>11269116</v>
      </c>
      <c r="C1506" s="1" t="s">
        <v>201</v>
      </c>
      <c r="D1506" s="1" t="s">
        <v>28</v>
      </c>
      <c r="E1506" s="1" t="s">
        <v>42</v>
      </c>
      <c r="F1506" s="1" t="s">
        <v>17</v>
      </c>
      <c r="G1506" s="1" t="s">
        <v>3294</v>
      </c>
      <c r="H1506">
        <v>359</v>
      </c>
      <c r="I1506" s="1">
        <v>899</v>
      </c>
      <c r="J1506" s="1" t="s">
        <v>55</v>
      </c>
      <c r="K1506" s="1" t="s">
        <v>26</v>
      </c>
      <c r="L1506" s="1">
        <v>4</v>
      </c>
      <c r="M1506" s="1">
        <v>762</v>
      </c>
      <c r="P1506" t="str">
        <f t="shared" si="95"/>
        <v>60%</v>
      </c>
      <c r="Q1506" s="12">
        <f t="shared" si="92"/>
        <v>0.6</v>
      </c>
      <c r="R1506" s="9">
        <f t="shared" si="93"/>
        <v>359.6</v>
      </c>
      <c r="S1506" s="9">
        <f>IF(R1506="",AVERAGEIF(Table1[Category],Table1[[#This Row],[Category]],Table2[orignal data]),Table2[[#This Row],[orignal data]])</f>
        <v>359.6</v>
      </c>
      <c r="T1506" t="str">
        <f t="shared" si="94"/>
        <v>UNIQUE</v>
      </c>
      <c r="U1506" t="str">
        <f>IF(ISBLANK(Table1[[#This Row],[SizeOption]]),"NOT AVAILABLE",Table1[[#This Row],[SizeOption]])</f>
        <v>S, M, L, XL</v>
      </c>
      <c r="Y1506" t="str">
        <f>IF(Table2[[#This Row],[Column1]]&gt;50%,"HIGH DISCOUNT","LOW DISCOUNT")</f>
        <v>HIGH DISCOUNT</v>
      </c>
    </row>
    <row r="1507" spans="1:25" x14ac:dyDescent="0.25">
      <c r="A1507" s="2" t="s">
        <v>3295</v>
      </c>
      <c r="B1507" s="2">
        <v>11201602</v>
      </c>
      <c r="C1507" s="2" t="s">
        <v>113</v>
      </c>
      <c r="D1507" s="2" t="s">
        <v>76</v>
      </c>
      <c r="E1507" s="2" t="s">
        <v>93</v>
      </c>
      <c r="F1507" s="2" t="s">
        <v>36</v>
      </c>
      <c r="G1507" s="2" t="s">
        <v>3296</v>
      </c>
      <c r="H1507">
        <v>559</v>
      </c>
      <c r="I1507" s="2">
        <v>1399</v>
      </c>
      <c r="J1507" s="2" t="s">
        <v>55</v>
      </c>
      <c r="K1507" s="2" t="s">
        <v>115</v>
      </c>
      <c r="L1507" s="2">
        <v>4.0999999999999996</v>
      </c>
      <c r="M1507" s="2">
        <v>762</v>
      </c>
      <c r="P1507" t="str">
        <f t="shared" si="95"/>
        <v>60%</v>
      </c>
      <c r="Q1507" s="12">
        <f t="shared" si="92"/>
        <v>0.6</v>
      </c>
      <c r="R1507" s="9">
        <f t="shared" si="93"/>
        <v>559.6</v>
      </c>
      <c r="S1507" s="9">
        <f>IF(R1507="",AVERAGEIF(Table1[Category],Table1[[#This Row],[Category]],Table2[orignal data]),Table2[[#This Row],[orignal data]])</f>
        <v>559.6</v>
      </c>
      <c r="T1507" t="str">
        <f t="shared" si="94"/>
        <v>UNIQUE</v>
      </c>
      <c r="U1507" t="str">
        <f>IF(ISBLANK(Table1[[#This Row],[SizeOption]]),"NOT AVAILABLE",Table1[[#This Row],[SizeOption]])</f>
        <v>XS, S, M, L, XL, XXL</v>
      </c>
      <c r="Y1507" t="str">
        <f>IF(Table2[[#This Row],[Column1]]&gt;50%,"HIGH DISCOUNT","LOW DISCOUNT")</f>
        <v>HIGH DISCOUNT</v>
      </c>
    </row>
    <row r="1508" spans="1:25" x14ac:dyDescent="0.25">
      <c r="A1508" s="1" t="s">
        <v>3297</v>
      </c>
      <c r="B1508" s="1">
        <v>8255321</v>
      </c>
      <c r="C1508" s="1" t="s">
        <v>92</v>
      </c>
      <c r="D1508" s="1" t="s">
        <v>76</v>
      </c>
      <c r="E1508" s="1" t="s">
        <v>77</v>
      </c>
      <c r="F1508" s="1" t="s">
        <v>36</v>
      </c>
      <c r="G1508" s="1" t="s">
        <v>3298</v>
      </c>
      <c r="H1508">
        <v>1291</v>
      </c>
      <c r="I1508" s="1">
        <v>3149</v>
      </c>
      <c r="J1508" s="1" t="s">
        <v>95</v>
      </c>
      <c r="K1508" s="1" t="s">
        <v>39</v>
      </c>
      <c r="L1508" s="1">
        <v>4.3</v>
      </c>
      <c r="M1508" s="1">
        <v>762</v>
      </c>
      <c r="P1508" t="str">
        <f t="shared" si="95"/>
        <v>59%</v>
      </c>
      <c r="Q1508" s="12">
        <f t="shared" si="92"/>
        <v>0.59</v>
      </c>
      <c r="R1508" s="9">
        <f t="shared" si="93"/>
        <v>1291.0900000000001</v>
      </c>
      <c r="S1508" s="9">
        <f>IF(R1508="",AVERAGEIF(Table1[Category],Table1[[#This Row],[Category]],Table2[orignal data]),Table2[[#This Row],[orignal data]])</f>
        <v>1291.0900000000001</v>
      </c>
      <c r="T1508" t="str">
        <f t="shared" si="94"/>
        <v>UNIQUE</v>
      </c>
      <c r="U1508" t="str">
        <f>IF(ISBLANK(Table1[[#This Row],[SizeOption]]),"NOT AVAILABLE",Table1[[#This Row],[SizeOption]])</f>
        <v>S, M, L, XL, XXL</v>
      </c>
      <c r="Y1508" t="str">
        <f>IF(Table2[[#This Row],[Column1]]&gt;50%,"HIGH DISCOUNT","LOW DISCOUNT")</f>
        <v>HIGH DISCOUNT</v>
      </c>
    </row>
    <row r="1509" spans="1:25" x14ac:dyDescent="0.25">
      <c r="A1509" s="2" t="s">
        <v>3299</v>
      </c>
      <c r="B1509" s="2">
        <v>11521904</v>
      </c>
      <c r="C1509" s="2" t="s">
        <v>81</v>
      </c>
      <c r="D1509" s="2" t="s">
        <v>41</v>
      </c>
      <c r="E1509" s="2" t="s">
        <v>53</v>
      </c>
      <c r="F1509" s="2" t="s">
        <v>36</v>
      </c>
      <c r="G1509" s="2" t="s">
        <v>3300</v>
      </c>
      <c r="I1509" s="2">
        <v>1799</v>
      </c>
      <c r="J1509" s="2" t="s">
        <v>130</v>
      </c>
      <c r="K1509" s="2" t="s">
        <v>134</v>
      </c>
      <c r="L1509" s="2">
        <v>4.2</v>
      </c>
      <c r="M1509" s="2">
        <v>762</v>
      </c>
      <c r="P1509" t="str">
        <f t="shared" si="95"/>
        <v>57%</v>
      </c>
      <c r="Q1509" s="12">
        <f t="shared" si="92"/>
        <v>0.56999999999999995</v>
      </c>
      <c r="R1509" s="9">
        <f t="shared" si="93"/>
        <v>773.57000000000016</v>
      </c>
      <c r="S1509" s="9">
        <f>IF(R1509="",AVERAGEIF(Table1[Category],Table1[[#This Row],[Category]],Table2[orignal data]),Table2[[#This Row],[orignal data]])</f>
        <v>773.57000000000016</v>
      </c>
      <c r="T1509" t="str">
        <f t="shared" si="94"/>
        <v>UNIQUE</v>
      </c>
      <c r="U1509" t="str">
        <f>IF(ISBLANK(Table1[[#This Row],[SizeOption]]),"NOT AVAILABLE",Table1[[#This Row],[SizeOption]])</f>
        <v>26, 28, 30, 32, 34, 36</v>
      </c>
      <c r="Y1509" t="str">
        <f>IF(Table2[[#This Row],[Column1]]&gt;50%,"HIGH DISCOUNT","LOW DISCOUNT")</f>
        <v>HIGH DISCOUNT</v>
      </c>
    </row>
    <row r="1510" spans="1:25" x14ac:dyDescent="0.25">
      <c r="A1510" s="1" t="s">
        <v>3301</v>
      </c>
      <c r="B1510" s="1">
        <v>10964478</v>
      </c>
      <c r="C1510" s="1" t="s">
        <v>14</v>
      </c>
      <c r="D1510" s="1" t="s">
        <v>41</v>
      </c>
      <c r="E1510" s="1" t="s">
        <v>48</v>
      </c>
      <c r="F1510" s="1" t="s">
        <v>36</v>
      </c>
      <c r="G1510" s="1" t="s">
        <v>3302</v>
      </c>
      <c r="I1510" s="1">
        <v>599</v>
      </c>
      <c r="J1510" s="1" t="s">
        <v>84</v>
      </c>
      <c r="K1510" s="1" t="s">
        <v>45</v>
      </c>
      <c r="L1510" s="1">
        <v>4</v>
      </c>
      <c r="M1510" s="1">
        <v>762</v>
      </c>
      <c r="P1510" t="str">
        <f t="shared" si="95"/>
        <v>50%</v>
      </c>
      <c r="Q1510" s="12">
        <f t="shared" si="92"/>
        <v>0.5</v>
      </c>
      <c r="R1510" s="9">
        <f t="shared" si="93"/>
        <v>299.5</v>
      </c>
      <c r="S1510" s="9">
        <f>IF(R1510="",AVERAGEIF(Table1[Category],Table1[[#This Row],[Category]],Table2[orignal data]),Table2[[#This Row],[orignal data]])</f>
        <v>299.5</v>
      </c>
      <c r="T1510" t="str">
        <f t="shared" si="94"/>
        <v>UNIQUE</v>
      </c>
      <c r="U1510" t="str">
        <f>IF(ISBLANK(Table1[[#This Row],[SizeOption]]),"NOT AVAILABLE",Table1[[#This Row],[SizeOption]])</f>
        <v>XS, S, M, L, XL</v>
      </c>
      <c r="Y1510" t="str">
        <f>IF(Table2[[#This Row],[Column1]]&gt;50%,"HIGH DISCOUNT","LOW DISCOUNT")</f>
        <v>LOW DISCOUNT</v>
      </c>
    </row>
    <row r="1511" spans="1:25" x14ac:dyDescent="0.25">
      <c r="A1511" s="2" t="s">
        <v>3303</v>
      </c>
      <c r="B1511" s="2">
        <v>1406107</v>
      </c>
      <c r="C1511" s="2" t="s">
        <v>952</v>
      </c>
      <c r="D1511" s="2" t="s">
        <v>41</v>
      </c>
      <c r="E1511" s="2" t="s">
        <v>48</v>
      </c>
      <c r="F1511" s="2" t="s">
        <v>36</v>
      </c>
      <c r="G1511" s="2" t="s">
        <v>3304</v>
      </c>
      <c r="I1511" s="2">
        <v>799</v>
      </c>
      <c r="J1511" s="2" t="s">
        <v>282</v>
      </c>
      <c r="K1511" s="2" t="s">
        <v>45</v>
      </c>
      <c r="L1511" s="2">
        <v>4.3</v>
      </c>
      <c r="M1511" s="2">
        <v>762</v>
      </c>
      <c r="P1511" t="str">
        <f t="shared" si="95"/>
        <v>25%</v>
      </c>
      <c r="Q1511" s="12">
        <f t="shared" si="92"/>
        <v>0.25</v>
      </c>
      <c r="R1511" s="9">
        <f t="shared" si="93"/>
        <v>599.25</v>
      </c>
      <c r="S1511" s="9">
        <f>IF(R1511="",AVERAGEIF(Table1[Category],Table1[[#This Row],[Category]],Table2[orignal data]),Table2[[#This Row],[orignal data]])</f>
        <v>599.25</v>
      </c>
      <c r="T1511" t="str">
        <f t="shared" si="94"/>
        <v>UNIQUE</v>
      </c>
      <c r="U1511" t="str">
        <f>IF(ISBLANK(Table1[[#This Row],[SizeOption]]),"NOT AVAILABLE",Table1[[#This Row],[SizeOption]])</f>
        <v>XS, S, M, L, XL</v>
      </c>
      <c r="Y1511" t="str">
        <f>IF(Table2[[#This Row],[Column1]]&gt;50%,"HIGH DISCOUNT","LOW DISCOUNT")</f>
        <v>LOW DISCOUNT</v>
      </c>
    </row>
    <row r="1512" spans="1:25" x14ac:dyDescent="0.25">
      <c r="A1512" s="1" t="s">
        <v>3305</v>
      </c>
      <c r="B1512" s="1">
        <v>12425532</v>
      </c>
      <c r="C1512" s="1" t="s">
        <v>52</v>
      </c>
      <c r="D1512" s="1" t="s">
        <v>15</v>
      </c>
      <c r="E1512" s="1" t="s">
        <v>16</v>
      </c>
      <c r="F1512" s="1" t="s">
        <v>17</v>
      </c>
      <c r="G1512" s="1" t="s">
        <v>3306</v>
      </c>
      <c r="H1512">
        <v>749</v>
      </c>
      <c r="I1512" s="1">
        <v>1499</v>
      </c>
      <c r="J1512" s="1" t="s">
        <v>84</v>
      </c>
      <c r="K1512" s="1" t="s">
        <v>816</v>
      </c>
      <c r="L1512" s="1">
        <v>3.8</v>
      </c>
      <c r="M1512" s="1">
        <v>761</v>
      </c>
      <c r="P1512" t="str">
        <f t="shared" si="95"/>
        <v>50%</v>
      </c>
      <c r="Q1512" s="12">
        <f t="shared" si="92"/>
        <v>0.5</v>
      </c>
      <c r="R1512" s="9">
        <f t="shared" si="93"/>
        <v>749.5</v>
      </c>
      <c r="S1512" s="9">
        <f>IF(R1512="",AVERAGEIF(Table1[Category],Table1[[#This Row],[Category]],Table2[orignal data]),Table2[[#This Row],[orignal data]])</f>
        <v>749.5</v>
      </c>
      <c r="T1512" t="str">
        <f t="shared" si="94"/>
        <v>UNIQUE</v>
      </c>
      <c r="U1512" t="str">
        <f>IF(ISBLANK(Table1[[#This Row],[SizeOption]]),"NOT AVAILABLE",Table1[[#This Row],[SizeOption]])</f>
        <v>30, 32, 34, 36, 38</v>
      </c>
      <c r="Y1512" t="str">
        <f>IF(Table2[[#This Row],[Column1]]&gt;50%,"HIGH DISCOUNT","LOW DISCOUNT")</f>
        <v>LOW DISCOUNT</v>
      </c>
    </row>
    <row r="1513" spans="1:25" x14ac:dyDescent="0.25">
      <c r="A1513" s="2" t="s">
        <v>3307</v>
      </c>
      <c r="B1513" s="2">
        <v>6518468</v>
      </c>
      <c r="C1513" s="2" t="s">
        <v>3308</v>
      </c>
      <c r="D1513" s="2" t="s">
        <v>76</v>
      </c>
      <c r="E1513" s="2" t="s">
        <v>77</v>
      </c>
      <c r="F1513" s="2" t="s">
        <v>17</v>
      </c>
      <c r="G1513" s="2" t="s">
        <v>3309</v>
      </c>
      <c r="H1513">
        <v>2199</v>
      </c>
      <c r="I1513" s="2">
        <v>5499</v>
      </c>
      <c r="J1513" s="2" t="s">
        <v>55</v>
      </c>
      <c r="K1513" s="2" t="s">
        <v>881</v>
      </c>
      <c r="L1513" s="2">
        <v>3.7</v>
      </c>
      <c r="M1513" s="2">
        <v>761</v>
      </c>
      <c r="P1513" t="str">
        <f t="shared" si="95"/>
        <v>60%</v>
      </c>
      <c r="Q1513" s="12">
        <f t="shared" si="92"/>
        <v>0.6</v>
      </c>
      <c r="R1513" s="9">
        <f t="shared" si="93"/>
        <v>2199.6</v>
      </c>
      <c r="S1513" s="9">
        <f>IF(R1513="",AVERAGEIF(Table1[Category],Table1[[#This Row],[Category]],Table2[orignal data]),Table2[[#This Row],[orignal data]])</f>
        <v>2199.6</v>
      </c>
      <c r="T1513" t="str">
        <f t="shared" si="94"/>
        <v>UNIQUE</v>
      </c>
      <c r="U1513" t="str">
        <f>IF(ISBLANK(Table1[[#This Row],[SizeOption]]),"NOT AVAILABLE",Table1[[#This Row],[SizeOption]])</f>
        <v>M, L, XL, XXL</v>
      </c>
      <c r="Y1513" t="str">
        <f>IF(Table2[[#This Row],[Column1]]&gt;50%,"HIGH DISCOUNT","LOW DISCOUNT")</f>
        <v>HIGH DISCOUNT</v>
      </c>
    </row>
    <row r="1514" spans="1:25" x14ac:dyDescent="0.25">
      <c r="A1514" s="1" t="s">
        <v>3310</v>
      </c>
      <c r="B1514" s="1">
        <v>2314408</v>
      </c>
      <c r="C1514" s="1" t="s">
        <v>67</v>
      </c>
      <c r="D1514" s="1" t="s">
        <v>68</v>
      </c>
      <c r="E1514" s="1" t="s">
        <v>42</v>
      </c>
      <c r="F1514" s="1" t="s">
        <v>17</v>
      </c>
      <c r="G1514" s="1" t="s">
        <v>3311</v>
      </c>
      <c r="H1514">
        <v>494</v>
      </c>
      <c r="I1514" s="1">
        <v>899</v>
      </c>
      <c r="J1514" s="1" t="s">
        <v>19</v>
      </c>
      <c r="K1514" s="1" t="s">
        <v>39</v>
      </c>
      <c r="L1514" s="1">
        <v>4.4000000000000004</v>
      </c>
      <c r="M1514" s="1">
        <v>761</v>
      </c>
      <c r="P1514" t="str">
        <f t="shared" si="95"/>
        <v>45%</v>
      </c>
      <c r="Q1514" s="12">
        <f t="shared" si="92"/>
        <v>0.45</v>
      </c>
      <c r="R1514" s="9">
        <f t="shared" si="93"/>
        <v>494.45</v>
      </c>
      <c r="S1514" s="9">
        <f>IF(R1514="",AVERAGEIF(Table1[Category],Table1[[#This Row],[Category]],Table2[orignal data]),Table2[[#This Row],[orignal data]])</f>
        <v>494.45</v>
      </c>
      <c r="T1514" t="str">
        <f t="shared" si="94"/>
        <v>UNIQUE</v>
      </c>
      <c r="U1514" t="str">
        <f>IF(ISBLANK(Table1[[#This Row],[SizeOption]]),"NOT AVAILABLE",Table1[[#This Row],[SizeOption]])</f>
        <v>S, M, L, XL, XXL</v>
      </c>
      <c r="Y1514" t="str">
        <f>IF(Table2[[#This Row],[Column1]]&gt;50%,"HIGH DISCOUNT","LOW DISCOUNT")</f>
        <v>LOW DISCOUNT</v>
      </c>
    </row>
    <row r="1515" spans="1:25" x14ac:dyDescent="0.25">
      <c r="A1515" s="2" t="s">
        <v>3312</v>
      </c>
      <c r="B1515" s="2">
        <v>10941216</v>
      </c>
      <c r="C1515" s="2" t="s">
        <v>14</v>
      </c>
      <c r="D1515" s="2" t="s">
        <v>28</v>
      </c>
      <c r="E1515" s="2" t="s">
        <v>42</v>
      </c>
      <c r="F1515" s="2" t="s">
        <v>17</v>
      </c>
      <c r="G1515" s="2" t="s">
        <v>3313</v>
      </c>
      <c r="H1515">
        <v>499</v>
      </c>
      <c r="I1515" s="2">
        <v>999</v>
      </c>
      <c r="J1515" s="2" t="s">
        <v>84</v>
      </c>
      <c r="K1515" s="2" t="s">
        <v>73</v>
      </c>
      <c r="L1515" s="2">
        <v>4.2</v>
      </c>
      <c r="M1515" s="2">
        <v>761</v>
      </c>
      <c r="P1515" t="str">
        <f t="shared" si="95"/>
        <v>50%</v>
      </c>
      <c r="Q1515" s="12">
        <f t="shared" si="92"/>
        <v>0.5</v>
      </c>
      <c r="R1515" s="9">
        <f t="shared" si="93"/>
        <v>499.5</v>
      </c>
      <c r="S1515" s="9">
        <f>IF(R1515="",AVERAGEIF(Table1[Category],Table1[[#This Row],[Category]],Table2[orignal data]),Table2[[#This Row],[orignal data]])</f>
        <v>499.5</v>
      </c>
      <c r="T1515" t="str">
        <f t="shared" si="94"/>
        <v>UNIQUE</v>
      </c>
      <c r="U1515" t="str">
        <f>IF(ISBLANK(Table1[[#This Row],[SizeOption]]),"NOT AVAILABLE",Table1[[#This Row],[SizeOption]])</f>
        <v>XS, S, M, L, XL, XXL, 3XL, 4XL</v>
      </c>
      <c r="Y1515" t="str">
        <f>IF(Table2[[#This Row],[Column1]]&gt;50%,"HIGH DISCOUNT","LOW DISCOUNT")</f>
        <v>LOW DISCOUNT</v>
      </c>
    </row>
    <row r="1516" spans="1:25" x14ac:dyDescent="0.25">
      <c r="A1516" s="1" t="s">
        <v>3314</v>
      </c>
      <c r="B1516" s="1">
        <v>12441578</v>
      </c>
      <c r="C1516" s="1" t="s">
        <v>620</v>
      </c>
      <c r="D1516" s="1" t="s">
        <v>34</v>
      </c>
      <c r="E1516" s="1" t="s">
        <v>406</v>
      </c>
      <c r="F1516" s="1" t="s">
        <v>36</v>
      </c>
      <c r="G1516" s="1" t="s">
        <v>3315</v>
      </c>
      <c r="H1516">
        <v>949</v>
      </c>
      <c r="I1516" s="1">
        <v>1899</v>
      </c>
      <c r="J1516" s="1" t="s">
        <v>1154</v>
      </c>
      <c r="K1516" s="1" t="s">
        <v>39</v>
      </c>
      <c r="L1516" s="1">
        <v>4</v>
      </c>
      <c r="M1516" s="1">
        <v>761</v>
      </c>
      <c r="P1516" t="str">
        <f t="shared" si="95"/>
        <v>50 %</v>
      </c>
      <c r="Q1516" s="12">
        <f t="shared" si="92"/>
        <v>0.5</v>
      </c>
      <c r="R1516" s="9">
        <f t="shared" si="93"/>
        <v>949.5</v>
      </c>
      <c r="S1516" s="9">
        <f>IF(R1516="",AVERAGEIF(Table1[Category],Table1[[#This Row],[Category]],Table2[orignal data]),Table2[[#This Row],[orignal data]])</f>
        <v>949.5</v>
      </c>
      <c r="T1516" t="str">
        <f t="shared" si="94"/>
        <v>UNIQUE</v>
      </c>
      <c r="U1516" t="str">
        <f>IF(ISBLANK(Table1[[#This Row],[SizeOption]]),"NOT AVAILABLE",Table1[[#This Row],[SizeOption]])</f>
        <v>S, M, L, XL, XXL</v>
      </c>
      <c r="Y1516" t="str">
        <f>IF(Table2[[#This Row],[Column1]]&gt;50%,"HIGH DISCOUNT","LOW DISCOUNT")</f>
        <v>LOW DISCOUNT</v>
      </c>
    </row>
    <row r="1517" spans="1:25" x14ac:dyDescent="0.25">
      <c r="A1517" s="2" t="s">
        <v>3316</v>
      </c>
      <c r="B1517" s="2">
        <v>17383600</v>
      </c>
      <c r="C1517" s="2" t="s">
        <v>14</v>
      </c>
      <c r="D1517" s="2" t="s">
        <v>41</v>
      </c>
      <c r="E1517" s="2" t="s">
        <v>42</v>
      </c>
      <c r="F1517" s="2" t="s">
        <v>36</v>
      </c>
      <c r="G1517" s="2" t="s">
        <v>3317</v>
      </c>
      <c r="I1517" s="2">
        <v>1598</v>
      </c>
      <c r="J1517" s="2" t="s">
        <v>84</v>
      </c>
      <c r="K1517" s="2" t="s">
        <v>146</v>
      </c>
      <c r="L1517" s="2">
        <v>4.3</v>
      </c>
      <c r="M1517" s="2">
        <v>761</v>
      </c>
      <c r="P1517" t="str">
        <f t="shared" si="95"/>
        <v>50%</v>
      </c>
      <c r="Q1517" s="12">
        <f t="shared" si="92"/>
        <v>0.5</v>
      </c>
      <c r="R1517" s="9">
        <f t="shared" si="93"/>
        <v>799</v>
      </c>
      <c r="S1517" s="9">
        <f>IF(R1517="",AVERAGEIF(Table1[Category],Table1[[#This Row],[Category]],Table2[orignal data]),Table2[[#This Row],[orignal data]])</f>
        <v>799</v>
      </c>
      <c r="T1517" t="str">
        <f t="shared" si="94"/>
        <v>UNIQUE</v>
      </c>
      <c r="U1517" t="str">
        <f>IF(ISBLANK(Table1[[#This Row],[SizeOption]]),"NOT AVAILABLE",Table1[[#This Row],[SizeOption]])</f>
        <v>L, M, S, XS, XL</v>
      </c>
      <c r="Y1517" t="str">
        <f>IF(Table2[[#This Row],[Column1]]&gt;50%,"HIGH DISCOUNT","LOW DISCOUNT")</f>
        <v>LOW DISCOUNT</v>
      </c>
    </row>
    <row r="1518" spans="1:25" x14ac:dyDescent="0.25">
      <c r="A1518" s="1" t="s">
        <v>3318</v>
      </c>
      <c r="B1518" s="1">
        <v>11259996</v>
      </c>
      <c r="C1518" s="1" t="s">
        <v>14</v>
      </c>
      <c r="D1518" s="1" t="s">
        <v>15</v>
      </c>
      <c r="E1518" s="1" t="s">
        <v>16</v>
      </c>
      <c r="F1518" s="1" t="s">
        <v>17</v>
      </c>
      <c r="G1518" s="1" t="s">
        <v>478</v>
      </c>
      <c r="H1518">
        <v>879</v>
      </c>
      <c r="I1518" s="1">
        <v>2199</v>
      </c>
      <c r="J1518" s="1" t="s">
        <v>55</v>
      </c>
      <c r="K1518" s="1" t="s">
        <v>20</v>
      </c>
      <c r="L1518" s="1">
        <v>4</v>
      </c>
      <c r="M1518" s="1">
        <v>760</v>
      </c>
      <c r="P1518" t="str">
        <f t="shared" si="95"/>
        <v>60%</v>
      </c>
      <c r="Q1518" s="12">
        <f t="shared" si="92"/>
        <v>0.6</v>
      </c>
      <c r="R1518" s="9">
        <f t="shared" si="93"/>
        <v>879.60000000000014</v>
      </c>
      <c r="S1518" s="9">
        <f>IF(R1518="",AVERAGEIF(Table1[Category],Table1[[#This Row],[Category]],Table2[orignal data]),Table2[[#This Row],[orignal data]])</f>
        <v>879.60000000000014</v>
      </c>
      <c r="T1518" t="str">
        <f t="shared" si="94"/>
        <v>UNIQUE</v>
      </c>
      <c r="U1518" t="str">
        <f>IF(ISBLANK(Table1[[#This Row],[SizeOption]]),"NOT AVAILABLE",Table1[[#This Row],[SizeOption]])</f>
        <v>28, 30, 32, 34, 36</v>
      </c>
      <c r="Y1518" t="str">
        <f>IF(Table2[[#This Row],[Column1]]&gt;50%,"HIGH DISCOUNT","LOW DISCOUNT")</f>
        <v>HIGH DISCOUNT</v>
      </c>
    </row>
    <row r="1519" spans="1:25" x14ac:dyDescent="0.25">
      <c r="A1519" s="2" t="s">
        <v>3319</v>
      </c>
      <c r="B1519" s="2">
        <v>12358326</v>
      </c>
      <c r="C1519" s="2" t="s">
        <v>14</v>
      </c>
      <c r="D1519" s="2" t="s">
        <v>15</v>
      </c>
      <c r="E1519" s="2" t="s">
        <v>16</v>
      </c>
      <c r="F1519" s="2" t="s">
        <v>17</v>
      </c>
      <c r="G1519" s="2" t="s">
        <v>2765</v>
      </c>
      <c r="H1519">
        <v>799</v>
      </c>
      <c r="I1519" s="2">
        <v>1999</v>
      </c>
      <c r="J1519" s="2" t="s">
        <v>55</v>
      </c>
      <c r="K1519" s="2" t="s">
        <v>20</v>
      </c>
      <c r="L1519" s="2">
        <v>3.6</v>
      </c>
      <c r="M1519" s="2">
        <v>760</v>
      </c>
      <c r="P1519" t="str">
        <f t="shared" si="95"/>
        <v>60%</v>
      </c>
      <c r="Q1519" s="12">
        <f t="shared" si="92"/>
        <v>0.6</v>
      </c>
      <c r="R1519" s="9">
        <f t="shared" si="93"/>
        <v>799.60000000000014</v>
      </c>
      <c r="S1519" s="9">
        <f>IF(R1519="",AVERAGEIF(Table1[Category],Table1[[#This Row],[Category]],Table2[orignal data]),Table2[[#This Row],[orignal data]])</f>
        <v>799.60000000000014</v>
      </c>
      <c r="T1519" t="str">
        <f t="shared" si="94"/>
        <v>UNIQUE</v>
      </c>
      <c r="U1519" t="str">
        <f>IF(ISBLANK(Table1[[#This Row],[SizeOption]]),"NOT AVAILABLE",Table1[[#This Row],[SizeOption]])</f>
        <v>28, 30, 32, 34, 36</v>
      </c>
      <c r="Y1519" t="str">
        <f>IF(Table2[[#This Row],[Column1]]&gt;50%,"HIGH DISCOUNT","LOW DISCOUNT")</f>
        <v>HIGH DISCOUNT</v>
      </c>
    </row>
    <row r="1520" spans="1:25" x14ac:dyDescent="0.25">
      <c r="A1520" s="1" t="s">
        <v>3320</v>
      </c>
      <c r="B1520" s="1">
        <v>13134624</v>
      </c>
      <c r="C1520" s="1" t="s">
        <v>64</v>
      </c>
      <c r="D1520" s="1" t="s">
        <v>15</v>
      </c>
      <c r="E1520" s="1" t="s">
        <v>16</v>
      </c>
      <c r="F1520" s="1" t="s">
        <v>17</v>
      </c>
      <c r="G1520" s="1" t="s">
        <v>3321</v>
      </c>
      <c r="H1520">
        <v>474</v>
      </c>
      <c r="I1520" s="1">
        <v>1899</v>
      </c>
      <c r="J1520" s="1" t="s">
        <v>109</v>
      </c>
      <c r="K1520" s="1" t="s">
        <v>20</v>
      </c>
      <c r="L1520" s="1">
        <v>3.8</v>
      </c>
      <c r="M1520" s="1">
        <v>760</v>
      </c>
      <c r="P1520" t="str">
        <f t="shared" si="95"/>
        <v>75%</v>
      </c>
      <c r="Q1520" s="12">
        <f t="shared" si="92"/>
        <v>0.75</v>
      </c>
      <c r="R1520" s="9">
        <f t="shared" si="93"/>
        <v>474.75</v>
      </c>
      <c r="S1520" s="9">
        <f>IF(R1520="",AVERAGEIF(Table1[Category],Table1[[#This Row],[Category]],Table2[orignal data]),Table2[[#This Row],[orignal data]])</f>
        <v>474.75</v>
      </c>
      <c r="T1520" t="str">
        <f t="shared" si="94"/>
        <v>UNIQUE</v>
      </c>
      <c r="U1520" t="str">
        <f>IF(ISBLANK(Table1[[#This Row],[SizeOption]]),"NOT AVAILABLE",Table1[[#This Row],[SizeOption]])</f>
        <v>28, 30, 32, 34, 36</v>
      </c>
      <c r="Y1520" t="str">
        <f>IF(Table2[[#This Row],[Column1]]&gt;50%,"HIGH DISCOUNT","LOW DISCOUNT")</f>
        <v>HIGH DISCOUNT</v>
      </c>
    </row>
    <row r="1521" spans="1:25" x14ac:dyDescent="0.25">
      <c r="A1521" s="2" t="s">
        <v>3322</v>
      </c>
      <c r="B1521" s="2">
        <v>14491548</v>
      </c>
      <c r="C1521" s="2" t="s">
        <v>784</v>
      </c>
      <c r="D1521" s="2" t="s">
        <v>68</v>
      </c>
      <c r="E1521" s="2" t="s">
        <v>189</v>
      </c>
      <c r="F1521" s="2" t="s">
        <v>17</v>
      </c>
      <c r="G1521" s="2" t="s">
        <v>3323</v>
      </c>
      <c r="H1521">
        <v>956</v>
      </c>
      <c r="I1521" s="2">
        <v>1099</v>
      </c>
      <c r="J1521" s="2" t="s">
        <v>3324</v>
      </c>
      <c r="K1521" s="2" t="s">
        <v>39</v>
      </c>
      <c r="L1521" s="2">
        <v>4.2</v>
      </c>
      <c r="M1521" s="2">
        <v>760</v>
      </c>
      <c r="P1521" t="str">
        <f t="shared" si="95"/>
        <v>13%</v>
      </c>
      <c r="Q1521" s="12">
        <f t="shared" si="92"/>
        <v>0.13</v>
      </c>
      <c r="R1521" s="9">
        <f t="shared" si="93"/>
        <v>956.13</v>
      </c>
      <c r="S1521" s="9">
        <f>IF(R1521="",AVERAGEIF(Table1[Category],Table1[[#This Row],[Category]],Table2[orignal data]),Table2[[#This Row],[orignal data]])</f>
        <v>956.13</v>
      </c>
      <c r="T1521" t="str">
        <f t="shared" si="94"/>
        <v>UNIQUE</v>
      </c>
      <c r="U1521" t="str">
        <f>IF(ISBLANK(Table1[[#This Row],[SizeOption]]),"NOT AVAILABLE",Table1[[#This Row],[SizeOption]])</f>
        <v>S, M, L, XL, XXL</v>
      </c>
      <c r="Y1521" t="str">
        <f>IF(Table2[[#This Row],[Column1]]&gt;50%,"HIGH DISCOUNT","LOW DISCOUNT")</f>
        <v>LOW DISCOUNT</v>
      </c>
    </row>
    <row r="1522" spans="1:25" x14ac:dyDescent="0.25">
      <c r="A1522" s="1" t="s">
        <v>3325</v>
      </c>
      <c r="B1522" s="1">
        <v>10004155</v>
      </c>
      <c r="C1522" s="1" t="s">
        <v>52</v>
      </c>
      <c r="D1522" s="1" t="s">
        <v>28</v>
      </c>
      <c r="E1522" s="1" t="s">
        <v>29</v>
      </c>
      <c r="F1522" s="1" t="s">
        <v>17</v>
      </c>
      <c r="G1522" s="1" t="s">
        <v>3326</v>
      </c>
      <c r="H1522">
        <v>487</v>
      </c>
      <c r="I1522" s="1">
        <v>1249</v>
      </c>
      <c r="J1522" s="1" t="s">
        <v>104</v>
      </c>
      <c r="K1522" s="1" t="s">
        <v>90</v>
      </c>
      <c r="L1522" s="1">
        <v>4</v>
      </c>
      <c r="M1522" s="1">
        <v>760</v>
      </c>
      <c r="P1522" t="str">
        <f t="shared" si="95"/>
        <v>61%</v>
      </c>
      <c r="Q1522" s="12">
        <f t="shared" si="92"/>
        <v>0.61</v>
      </c>
      <c r="R1522" s="9">
        <f t="shared" si="93"/>
        <v>487.11</v>
      </c>
      <c r="S1522" s="9">
        <f>IF(R1522="",AVERAGEIF(Table1[Category],Table1[[#This Row],[Category]],Table2[orignal data]),Table2[[#This Row],[orignal data]])</f>
        <v>487.11</v>
      </c>
      <c r="T1522" t="str">
        <f t="shared" si="94"/>
        <v>UNIQUE</v>
      </c>
      <c r="U1522" t="str">
        <f>IF(ISBLANK(Table1[[#This Row],[SizeOption]]),"NOT AVAILABLE",Table1[[#This Row],[SizeOption]])</f>
        <v>39, 40, 42, 44</v>
      </c>
      <c r="Y1522" t="str">
        <f>IF(Table2[[#This Row],[Column1]]&gt;50%,"HIGH DISCOUNT","LOW DISCOUNT")</f>
        <v>HIGH DISCOUNT</v>
      </c>
    </row>
    <row r="1523" spans="1:25" x14ac:dyDescent="0.25">
      <c r="A1523" s="2" t="s">
        <v>3327</v>
      </c>
      <c r="B1523" s="2">
        <v>6626369</v>
      </c>
      <c r="C1523" s="2" t="s">
        <v>613</v>
      </c>
      <c r="D1523" s="2" t="s">
        <v>28</v>
      </c>
      <c r="E1523" s="2" t="s">
        <v>29</v>
      </c>
      <c r="F1523" s="2" t="s">
        <v>17</v>
      </c>
      <c r="G1523" s="2" t="s">
        <v>3328</v>
      </c>
      <c r="H1523">
        <v>684</v>
      </c>
      <c r="I1523" s="2">
        <v>1849</v>
      </c>
      <c r="J1523" s="2" t="s">
        <v>476</v>
      </c>
      <c r="K1523" s="2" t="s">
        <v>361</v>
      </c>
      <c r="L1523" s="2">
        <v>4.3</v>
      </c>
      <c r="M1523" s="2">
        <v>760</v>
      </c>
      <c r="P1523" t="str">
        <f t="shared" si="95"/>
        <v>63%</v>
      </c>
      <c r="Q1523" s="12">
        <f t="shared" si="92"/>
        <v>0.63</v>
      </c>
      <c r="R1523" s="9">
        <f t="shared" si="93"/>
        <v>684.12999999999988</v>
      </c>
      <c r="S1523" s="9">
        <f>IF(R1523="",AVERAGEIF(Table1[Category],Table1[[#This Row],[Category]],Table2[orignal data]),Table2[[#This Row],[orignal data]])</f>
        <v>684.12999999999988</v>
      </c>
      <c r="T1523" t="str">
        <f t="shared" si="94"/>
        <v>UNIQUE</v>
      </c>
      <c r="U1523" t="str">
        <f>IF(ISBLANK(Table1[[#This Row],[SizeOption]]),"NOT AVAILABLE",Table1[[#This Row],[SizeOption]])</f>
        <v>38, 40, 42, 44, 46</v>
      </c>
      <c r="Y1523" t="str">
        <f>IF(Table2[[#This Row],[Column1]]&gt;50%,"HIGH DISCOUNT","LOW DISCOUNT")</f>
        <v>HIGH DISCOUNT</v>
      </c>
    </row>
    <row r="1524" spans="1:25" x14ac:dyDescent="0.25">
      <c r="A1524" s="1" t="s">
        <v>3329</v>
      </c>
      <c r="B1524" s="1">
        <v>2038068</v>
      </c>
      <c r="C1524" s="1" t="s">
        <v>14</v>
      </c>
      <c r="D1524" s="1" t="s">
        <v>28</v>
      </c>
      <c r="E1524" s="1" t="s">
        <v>29</v>
      </c>
      <c r="F1524" s="1" t="s">
        <v>17</v>
      </c>
      <c r="G1524" s="1" t="s">
        <v>3330</v>
      </c>
      <c r="H1524">
        <v>1619</v>
      </c>
      <c r="I1524" s="1">
        <v>2699</v>
      </c>
      <c r="J1524" s="1" t="s">
        <v>50</v>
      </c>
      <c r="K1524" s="1" t="s">
        <v>253</v>
      </c>
      <c r="L1524" s="1">
        <v>4.2</v>
      </c>
      <c r="M1524" s="1">
        <v>760</v>
      </c>
      <c r="P1524" t="str">
        <f t="shared" si="95"/>
        <v>40%</v>
      </c>
      <c r="Q1524" s="12">
        <f t="shared" si="92"/>
        <v>0.4</v>
      </c>
      <c r="R1524" s="9">
        <f t="shared" si="93"/>
        <v>1619.3999999999999</v>
      </c>
      <c r="S1524" s="9">
        <f>IF(R1524="",AVERAGEIF(Table1[Category],Table1[[#This Row],[Category]],Table2[orignal data]),Table2[[#This Row],[orignal data]])</f>
        <v>1619.3999999999999</v>
      </c>
      <c r="T1524" t="str">
        <f t="shared" si="94"/>
        <v>UNIQUE</v>
      </c>
      <c r="U1524" t="str">
        <f>IF(ISBLANK(Table1[[#This Row],[SizeOption]]),"NOT AVAILABLE",Table1[[#This Row],[SizeOption]])</f>
        <v>38, 40, 42, 44</v>
      </c>
      <c r="Y1524" t="str">
        <f>IF(Table2[[#This Row],[Column1]]&gt;50%,"HIGH DISCOUNT","LOW DISCOUNT")</f>
        <v>LOW DISCOUNT</v>
      </c>
    </row>
    <row r="1525" spans="1:25" x14ac:dyDescent="0.25">
      <c r="A1525" s="2" t="s">
        <v>3331</v>
      </c>
      <c r="B1525" s="2">
        <v>1997464</v>
      </c>
      <c r="C1525" s="2" t="s">
        <v>14</v>
      </c>
      <c r="D1525" s="2" t="s">
        <v>28</v>
      </c>
      <c r="E1525" s="2" t="s">
        <v>42</v>
      </c>
      <c r="F1525" s="2" t="s">
        <v>17</v>
      </c>
      <c r="G1525" s="2" t="s">
        <v>3332</v>
      </c>
      <c r="H1525">
        <v>499</v>
      </c>
      <c r="I1525" s="2">
        <v>999</v>
      </c>
      <c r="J1525" s="2" t="s">
        <v>84</v>
      </c>
      <c r="K1525" s="2" t="s">
        <v>26</v>
      </c>
      <c r="L1525" s="2">
        <v>4.0999999999999996</v>
      </c>
      <c r="M1525" s="2">
        <v>760</v>
      </c>
      <c r="P1525" t="str">
        <f t="shared" si="95"/>
        <v>50%</v>
      </c>
      <c r="Q1525" s="12">
        <f t="shared" si="92"/>
        <v>0.5</v>
      </c>
      <c r="R1525" s="9">
        <f t="shared" si="93"/>
        <v>499.5</v>
      </c>
      <c r="S1525" s="9">
        <f>IF(R1525="",AVERAGEIF(Table1[Category],Table1[[#This Row],[Category]],Table2[orignal data]),Table2[[#This Row],[orignal data]])</f>
        <v>499.5</v>
      </c>
      <c r="T1525" t="str">
        <f t="shared" si="94"/>
        <v>UNIQUE</v>
      </c>
      <c r="U1525" t="str">
        <f>IF(ISBLANK(Table1[[#This Row],[SizeOption]]),"NOT AVAILABLE",Table1[[#This Row],[SizeOption]])</f>
        <v>S, M, L, XL</v>
      </c>
      <c r="Y1525" t="str">
        <f>IF(Table2[[#This Row],[Column1]]&gt;50%,"HIGH DISCOUNT","LOW DISCOUNT")</f>
        <v>LOW DISCOUNT</v>
      </c>
    </row>
    <row r="1526" spans="1:25" x14ac:dyDescent="0.25">
      <c r="A1526" s="1" t="s">
        <v>3333</v>
      </c>
      <c r="B1526" s="1">
        <v>10513934</v>
      </c>
      <c r="C1526" s="1" t="s">
        <v>75</v>
      </c>
      <c r="D1526" s="1" t="s">
        <v>76</v>
      </c>
      <c r="E1526" s="1" t="s">
        <v>365</v>
      </c>
      <c r="F1526" s="1" t="s">
        <v>36</v>
      </c>
      <c r="G1526" s="1" t="s">
        <v>3334</v>
      </c>
      <c r="H1526">
        <v>584</v>
      </c>
      <c r="I1526" s="1">
        <v>1299</v>
      </c>
      <c r="J1526" s="1" t="s">
        <v>25</v>
      </c>
      <c r="K1526" s="1" t="s">
        <v>39</v>
      </c>
      <c r="L1526" s="1">
        <v>4.2</v>
      </c>
      <c r="M1526" s="1">
        <v>760</v>
      </c>
      <c r="P1526" t="str">
        <f t="shared" si="95"/>
        <v>55%</v>
      </c>
      <c r="Q1526" s="12">
        <f t="shared" si="92"/>
        <v>0.55000000000000004</v>
      </c>
      <c r="R1526" s="9">
        <f t="shared" si="93"/>
        <v>584.54999999999995</v>
      </c>
      <c r="S1526" s="9">
        <f>IF(R1526="",AVERAGEIF(Table1[Category],Table1[[#This Row],[Category]],Table2[orignal data]),Table2[[#This Row],[orignal data]])</f>
        <v>584.54999999999995</v>
      </c>
      <c r="T1526" t="str">
        <f t="shared" si="94"/>
        <v>UNIQUE</v>
      </c>
      <c r="U1526" t="str">
        <f>IF(ISBLANK(Table1[[#This Row],[SizeOption]]),"NOT AVAILABLE",Table1[[#This Row],[SizeOption]])</f>
        <v>S, M, L, XL, XXL</v>
      </c>
      <c r="Y1526" t="str">
        <f>IF(Table2[[#This Row],[Column1]]&gt;50%,"HIGH DISCOUNT","LOW DISCOUNT")</f>
        <v>HIGH DISCOUNT</v>
      </c>
    </row>
    <row r="1527" spans="1:25" x14ac:dyDescent="0.25">
      <c r="A1527" s="2" t="s">
        <v>3335</v>
      </c>
      <c r="B1527" s="2">
        <v>10736380</v>
      </c>
      <c r="C1527" s="2" t="s">
        <v>397</v>
      </c>
      <c r="D1527" s="2" t="s">
        <v>76</v>
      </c>
      <c r="E1527" s="2" t="s">
        <v>93</v>
      </c>
      <c r="F1527" s="2" t="s">
        <v>36</v>
      </c>
      <c r="G1527" s="2" t="s">
        <v>3336</v>
      </c>
      <c r="H1527">
        <v>895</v>
      </c>
      <c r="I1527" s="2">
        <v>1599</v>
      </c>
      <c r="J1527" s="2" t="s">
        <v>1340</v>
      </c>
      <c r="K1527" s="2" t="s">
        <v>234</v>
      </c>
      <c r="L1527" s="2">
        <v>4</v>
      </c>
      <c r="M1527" s="2">
        <v>760</v>
      </c>
      <c r="P1527" t="str">
        <f t="shared" si="95"/>
        <v>44%</v>
      </c>
      <c r="Q1527" s="12">
        <f t="shared" si="92"/>
        <v>0.44</v>
      </c>
      <c r="R1527" s="9">
        <f t="shared" si="93"/>
        <v>895.43999999999994</v>
      </c>
      <c r="S1527" s="9">
        <f>IF(R1527="",AVERAGEIF(Table1[Category],Table1[[#This Row],[Category]],Table2[orignal data]),Table2[[#This Row],[orignal data]])</f>
        <v>895.43999999999994</v>
      </c>
      <c r="T1527" t="str">
        <f t="shared" si="94"/>
        <v>UNIQUE</v>
      </c>
      <c r="U1527" t="str">
        <f>IF(ISBLANK(Table1[[#This Row],[SizeOption]]),"NOT AVAILABLE",Table1[[#This Row],[SizeOption]])</f>
        <v>S, M, L, XL, XXL, 3XL</v>
      </c>
      <c r="Y1527" t="str">
        <f>IF(Table2[[#This Row],[Column1]]&gt;50%,"HIGH DISCOUNT","LOW DISCOUNT")</f>
        <v>LOW DISCOUNT</v>
      </c>
    </row>
    <row r="1528" spans="1:25" x14ac:dyDescent="0.25">
      <c r="A1528" s="1" t="s">
        <v>3337</v>
      </c>
      <c r="B1528" s="1">
        <v>2976285</v>
      </c>
      <c r="C1528" s="1" t="s">
        <v>92</v>
      </c>
      <c r="D1528" s="1" t="s">
        <v>76</v>
      </c>
      <c r="E1528" s="1" t="s">
        <v>93</v>
      </c>
      <c r="F1528" s="1" t="s">
        <v>36</v>
      </c>
      <c r="G1528" s="1" t="s">
        <v>3338</v>
      </c>
      <c r="H1528">
        <v>577</v>
      </c>
      <c r="I1528" s="1">
        <v>1649</v>
      </c>
      <c r="J1528" s="1" t="s">
        <v>150</v>
      </c>
      <c r="K1528" s="1" t="s">
        <v>39</v>
      </c>
      <c r="L1528" s="1">
        <v>4.0999999999999996</v>
      </c>
      <c r="M1528" s="1">
        <v>760</v>
      </c>
      <c r="P1528" t="str">
        <f t="shared" si="95"/>
        <v>65%</v>
      </c>
      <c r="Q1528" s="12">
        <f t="shared" si="92"/>
        <v>0.65</v>
      </c>
      <c r="R1528" s="9">
        <f t="shared" si="93"/>
        <v>577.14999999999986</v>
      </c>
      <c r="S1528" s="9">
        <f>IF(R1528="",AVERAGEIF(Table1[Category],Table1[[#This Row],[Category]],Table2[orignal data]),Table2[[#This Row],[orignal data]])</f>
        <v>577.14999999999986</v>
      </c>
      <c r="T1528" t="str">
        <f t="shared" si="94"/>
        <v>UNIQUE</v>
      </c>
      <c r="U1528" t="str">
        <f>IF(ISBLANK(Table1[[#This Row],[SizeOption]]),"NOT AVAILABLE",Table1[[#This Row],[SizeOption]])</f>
        <v>S, M, L, XL, XXL</v>
      </c>
      <c r="Y1528" t="str">
        <f>IF(Table2[[#This Row],[Column1]]&gt;50%,"HIGH DISCOUNT","LOW DISCOUNT")</f>
        <v>HIGH DISCOUNT</v>
      </c>
    </row>
    <row r="1529" spans="1:25" x14ac:dyDescent="0.25">
      <c r="A1529" s="2" t="s">
        <v>3339</v>
      </c>
      <c r="B1529" s="2">
        <v>10634670</v>
      </c>
      <c r="C1529" s="2" t="s">
        <v>3340</v>
      </c>
      <c r="D1529" s="2" t="s">
        <v>76</v>
      </c>
      <c r="E1529" s="2" t="s">
        <v>77</v>
      </c>
      <c r="F1529" s="2" t="s">
        <v>36</v>
      </c>
      <c r="G1529" s="2" t="s">
        <v>3341</v>
      </c>
      <c r="H1529">
        <v>879</v>
      </c>
      <c r="I1529" s="2">
        <v>1999</v>
      </c>
      <c r="J1529" s="2" t="s">
        <v>1204</v>
      </c>
      <c r="K1529" s="2" t="s">
        <v>39</v>
      </c>
      <c r="L1529" s="2">
        <v>3.8</v>
      </c>
      <c r="M1529" s="2">
        <v>760</v>
      </c>
      <c r="P1529" t="str">
        <f t="shared" si="95"/>
        <v>56%</v>
      </c>
      <c r="Q1529" s="12">
        <f t="shared" si="92"/>
        <v>0.56000000000000005</v>
      </c>
      <c r="R1529" s="9">
        <f t="shared" si="93"/>
        <v>879.56</v>
      </c>
      <c r="S1529" s="9">
        <f>IF(R1529="",AVERAGEIF(Table1[Category],Table1[[#This Row],[Category]],Table2[orignal data]),Table2[[#This Row],[orignal data]])</f>
        <v>879.56</v>
      </c>
      <c r="T1529" t="str">
        <f t="shared" si="94"/>
        <v>UNIQUE</v>
      </c>
      <c r="U1529" t="str">
        <f>IF(ISBLANK(Table1[[#This Row],[SizeOption]]),"NOT AVAILABLE",Table1[[#This Row],[SizeOption]])</f>
        <v>S, M, L, XL, XXL</v>
      </c>
      <c r="Y1529" t="str">
        <f>IF(Table2[[#This Row],[Column1]]&gt;50%,"HIGH DISCOUNT","LOW DISCOUNT")</f>
        <v>HIGH DISCOUNT</v>
      </c>
    </row>
    <row r="1530" spans="1:25" x14ac:dyDescent="0.25">
      <c r="A1530" s="1" t="s">
        <v>3342</v>
      </c>
      <c r="B1530" s="1">
        <v>7485921</v>
      </c>
      <c r="C1530" s="1" t="s">
        <v>107</v>
      </c>
      <c r="D1530" s="1" t="s">
        <v>41</v>
      </c>
      <c r="E1530" s="1" t="s">
        <v>29</v>
      </c>
      <c r="F1530" s="1" t="s">
        <v>36</v>
      </c>
      <c r="G1530" s="1" t="s">
        <v>3343</v>
      </c>
      <c r="I1530" s="1">
        <v>1499</v>
      </c>
      <c r="J1530" s="1" t="s">
        <v>25</v>
      </c>
      <c r="K1530" s="1" t="s">
        <v>45</v>
      </c>
      <c r="L1530" s="1">
        <v>4.4000000000000004</v>
      </c>
      <c r="M1530" s="1">
        <v>760</v>
      </c>
      <c r="P1530" t="str">
        <f t="shared" si="95"/>
        <v>55%</v>
      </c>
      <c r="Q1530" s="12">
        <f t="shared" si="92"/>
        <v>0.55000000000000004</v>
      </c>
      <c r="R1530" s="9">
        <f t="shared" si="93"/>
        <v>674.55</v>
      </c>
      <c r="S1530" s="9">
        <f>IF(R1530="",AVERAGEIF(Table1[Category],Table1[[#This Row],[Category]],Table2[orignal data]),Table2[[#This Row],[orignal data]])</f>
        <v>674.55</v>
      </c>
      <c r="T1530" t="str">
        <f t="shared" si="94"/>
        <v>UNIQUE</v>
      </c>
      <c r="U1530" t="str">
        <f>IF(ISBLANK(Table1[[#This Row],[SizeOption]]),"NOT AVAILABLE",Table1[[#This Row],[SizeOption]])</f>
        <v>XS, S, M, L, XL</v>
      </c>
      <c r="Y1530" t="str">
        <f>IF(Table2[[#This Row],[Column1]]&gt;50%,"HIGH DISCOUNT","LOW DISCOUNT")</f>
        <v>HIGH DISCOUNT</v>
      </c>
    </row>
    <row r="1531" spans="1:25" x14ac:dyDescent="0.25">
      <c r="A1531" s="2" t="s">
        <v>3344</v>
      </c>
      <c r="B1531" s="2">
        <v>12737878</v>
      </c>
      <c r="C1531" s="2" t="s">
        <v>181</v>
      </c>
      <c r="D1531" s="2" t="s">
        <v>41</v>
      </c>
      <c r="E1531" s="2" t="s">
        <v>306</v>
      </c>
      <c r="F1531" s="2" t="s">
        <v>36</v>
      </c>
      <c r="G1531" s="2" t="s">
        <v>3345</v>
      </c>
      <c r="I1531" s="2">
        <v>1799</v>
      </c>
      <c r="J1531" s="2" t="s">
        <v>55</v>
      </c>
      <c r="K1531" s="2" t="s">
        <v>45</v>
      </c>
      <c r="L1531" s="2">
        <v>4.3</v>
      </c>
      <c r="M1531" s="2">
        <v>760</v>
      </c>
      <c r="P1531" t="str">
        <f t="shared" si="95"/>
        <v>60%</v>
      </c>
      <c r="Q1531" s="12">
        <f t="shared" si="92"/>
        <v>0.6</v>
      </c>
      <c r="R1531" s="9">
        <f t="shared" si="93"/>
        <v>719.60000000000014</v>
      </c>
      <c r="S1531" s="9">
        <f>IF(R1531="",AVERAGEIF(Table1[Category],Table1[[#This Row],[Category]],Table2[orignal data]),Table2[[#This Row],[orignal data]])</f>
        <v>719.60000000000014</v>
      </c>
      <c r="T1531" t="str">
        <f t="shared" si="94"/>
        <v>UNIQUE</v>
      </c>
      <c r="U1531" t="str">
        <f>IF(ISBLANK(Table1[[#This Row],[SizeOption]]),"NOT AVAILABLE",Table1[[#This Row],[SizeOption]])</f>
        <v>XS, S, M, L, XL</v>
      </c>
      <c r="Y1531" t="str">
        <f>IF(Table2[[#This Row],[Column1]]&gt;50%,"HIGH DISCOUNT","LOW DISCOUNT")</f>
        <v>HIGH DISCOUNT</v>
      </c>
    </row>
    <row r="1532" spans="1:25" x14ac:dyDescent="0.25">
      <c r="A1532" s="1" t="s">
        <v>3346</v>
      </c>
      <c r="B1532" s="1">
        <v>13904152</v>
      </c>
      <c r="C1532" s="1" t="s">
        <v>81</v>
      </c>
      <c r="D1532" s="1" t="s">
        <v>41</v>
      </c>
      <c r="E1532" s="1" t="s">
        <v>148</v>
      </c>
      <c r="F1532" s="1" t="s">
        <v>36</v>
      </c>
      <c r="G1532" s="1" t="s">
        <v>3347</v>
      </c>
      <c r="I1532" s="1">
        <v>2499</v>
      </c>
      <c r="J1532" s="1" t="s">
        <v>130</v>
      </c>
      <c r="K1532" s="1" t="s">
        <v>115</v>
      </c>
      <c r="L1532" s="1">
        <v>4.4000000000000004</v>
      </c>
      <c r="M1532" s="1">
        <v>760</v>
      </c>
      <c r="P1532" t="str">
        <f t="shared" si="95"/>
        <v>57%</v>
      </c>
      <c r="Q1532" s="12">
        <f t="shared" si="92"/>
        <v>0.56999999999999995</v>
      </c>
      <c r="R1532" s="9">
        <f t="shared" si="93"/>
        <v>1074.5700000000002</v>
      </c>
      <c r="S1532" s="9">
        <f>IF(R1532="",AVERAGEIF(Table1[Category],Table1[[#This Row],[Category]],Table2[orignal data]),Table2[[#This Row],[orignal data]])</f>
        <v>1074.5700000000002</v>
      </c>
      <c r="T1532" t="str">
        <f t="shared" si="94"/>
        <v>UNIQUE</v>
      </c>
      <c r="U1532" t="str">
        <f>IF(ISBLANK(Table1[[#This Row],[SizeOption]]),"NOT AVAILABLE",Table1[[#This Row],[SizeOption]])</f>
        <v>XS, S, M, L, XL, XXL</v>
      </c>
      <c r="Y1532" t="str">
        <f>IF(Table2[[#This Row],[Column1]]&gt;50%,"HIGH DISCOUNT","LOW DISCOUNT")</f>
        <v>HIGH DISCOUNT</v>
      </c>
    </row>
    <row r="1533" spans="1:25" x14ac:dyDescent="0.25">
      <c r="A1533" s="2" t="s">
        <v>3348</v>
      </c>
      <c r="B1533" s="2">
        <v>11007034</v>
      </c>
      <c r="C1533" s="2" t="s">
        <v>155</v>
      </c>
      <c r="D1533" s="2" t="s">
        <v>41</v>
      </c>
      <c r="E1533" s="2" t="s">
        <v>82</v>
      </c>
      <c r="F1533" s="2" t="s">
        <v>36</v>
      </c>
      <c r="G1533" s="2" t="s">
        <v>3349</v>
      </c>
      <c r="I1533" s="2">
        <v>2959</v>
      </c>
      <c r="J1533" s="2" t="s">
        <v>25</v>
      </c>
      <c r="K1533" s="2" t="s">
        <v>45</v>
      </c>
      <c r="L1533" s="2">
        <v>4</v>
      </c>
      <c r="M1533" s="2">
        <v>760</v>
      </c>
      <c r="P1533" t="str">
        <f t="shared" si="95"/>
        <v>55%</v>
      </c>
      <c r="Q1533" s="12">
        <f t="shared" si="92"/>
        <v>0.55000000000000004</v>
      </c>
      <c r="R1533" s="9">
        <f t="shared" si="93"/>
        <v>1331.55</v>
      </c>
      <c r="S1533" s="9">
        <f>IF(R1533="",AVERAGEIF(Table1[Category],Table1[[#This Row],[Category]],Table2[orignal data]),Table2[[#This Row],[orignal data]])</f>
        <v>1331.55</v>
      </c>
      <c r="T1533" t="str">
        <f t="shared" si="94"/>
        <v>UNIQUE</v>
      </c>
      <c r="U1533" t="str">
        <f>IF(ISBLANK(Table1[[#This Row],[SizeOption]]),"NOT AVAILABLE",Table1[[#This Row],[SizeOption]])</f>
        <v>XS, S, M, L, XL</v>
      </c>
      <c r="Y1533" t="str">
        <f>IF(Table2[[#This Row],[Column1]]&gt;50%,"HIGH DISCOUNT","LOW DISCOUNT")</f>
        <v>HIGH DISCOUNT</v>
      </c>
    </row>
    <row r="1534" spans="1:25" x14ac:dyDescent="0.25">
      <c r="A1534" s="1" t="s">
        <v>3350</v>
      </c>
      <c r="B1534" s="1">
        <v>12645740</v>
      </c>
      <c r="C1534" s="1" t="s">
        <v>1385</v>
      </c>
      <c r="D1534" s="1" t="s">
        <v>41</v>
      </c>
      <c r="E1534" s="1" t="s">
        <v>42</v>
      </c>
      <c r="F1534" s="1" t="s">
        <v>36</v>
      </c>
      <c r="G1534" s="1" t="s">
        <v>3351</v>
      </c>
      <c r="I1534" s="1">
        <v>799</v>
      </c>
      <c r="J1534" s="1" t="s">
        <v>55</v>
      </c>
      <c r="K1534" s="1" t="s">
        <v>45</v>
      </c>
      <c r="L1534" s="1">
        <v>3.9</v>
      </c>
      <c r="M1534" s="1">
        <v>760</v>
      </c>
      <c r="P1534" t="str">
        <f t="shared" si="95"/>
        <v>60%</v>
      </c>
      <c r="Q1534" s="12">
        <f t="shared" si="92"/>
        <v>0.6</v>
      </c>
      <c r="R1534" s="9">
        <f t="shared" si="93"/>
        <v>319.60000000000002</v>
      </c>
      <c r="S1534" s="9">
        <f>IF(R1534="",AVERAGEIF(Table1[Category],Table1[[#This Row],[Category]],Table2[orignal data]),Table2[[#This Row],[orignal data]])</f>
        <v>319.60000000000002</v>
      </c>
      <c r="T1534" t="str">
        <f t="shared" si="94"/>
        <v>UNIQUE</v>
      </c>
      <c r="U1534" t="str">
        <f>IF(ISBLANK(Table1[[#This Row],[SizeOption]]),"NOT AVAILABLE",Table1[[#This Row],[SizeOption]])</f>
        <v>XS, S, M, L, XL</v>
      </c>
      <c r="Y1534" t="str">
        <f>IF(Table2[[#This Row],[Column1]]&gt;50%,"HIGH DISCOUNT","LOW DISCOUNT")</f>
        <v>HIGH DISCOUNT</v>
      </c>
    </row>
    <row r="1535" spans="1:25" x14ac:dyDescent="0.25">
      <c r="A1535" s="2" t="s">
        <v>3352</v>
      </c>
      <c r="B1535" s="2">
        <v>9697405</v>
      </c>
      <c r="C1535" s="2" t="s">
        <v>14</v>
      </c>
      <c r="D1535" s="2" t="s">
        <v>41</v>
      </c>
      <c r="E1535" s="2" t="s">
        <v>42</v>
      </c>
      <c r="F1535" s="2" t="s">
        <v>36</v>
      </c>
      <c r="G1535" s="2" t="s">
        <v>3353</v>
      </c>
      <c r="I1535" s="2">
        <v>799</v>
      </c>
      <c r="J1535" s="2" t="s">
        <v>79</v>
      </c>
      <c r="K1535" s="2" t="s">
        <v>45</v>
      </c>
      <c r="L1535" s="2">
        <v>4.0999999999999996</v>
      </c>
      <c r="M1535" s="2">
        <v>760</v>
      </c>
      <c r="P1535" t="str">
        <f t="shared" si="95"/>
        <v>70%</v>
      </c>
      <c r="Q1535" s="12">
        <f t="shared" si="92"/>
        <v>0.7</v>
      </c>
      <c r="R1535" s="9">
        <f t="shared" si="93"/>
        <v>239.70000000000005</v>
      </c>
      <c r="S1535" s="9">
        <f>IF(R1535="",AVERAGEIF(Table1[Category],Table1[[#This Row],[Category]],Table2[orignal data]),Table2[[#This Row],[orignal data]])</f>
        <v>239.70000000000005</v>
      </c>
      <c r="T1535" t="str">
        <f t="shared" si="94"/>
        <v>UNIQUE</v>
      </c>
      <c r="U1535" t="str">
        <f>IF(ISBLANK(Table1[[#This Row],[SizeOption]]),"NOT AVAILABLE",Table1[[#This Row],[SizeOption]])</f>
        <v>XS, S, M, L, XL</v>
      </c>
      <c r="Y1535" t="str">
        <f>IF(Table2[[#This Row],[Column1]]&gt;50%,"HIGH DISCOUNT","LOW DISCOUNT")</f>
        <v>HIGH DISCOUNT</v>
      </c>
    </row>
    <row r="1536" spans="1:25" x14ac:dyDescent="0.25">
      <c r="A1536" s="1" t="s">
        <v>3354</v>
      </c>
      <c r="B1536" s="1">
        <v>2510318</v>
      </c>
      <c r="C1536" s="1" t="s">
        <v>67</v>
      </c>
      <c r="D1536" s="1" t="s">
        <v>197</v>
      </c>
      <c r="E1536" s="1" t="s">
        <v>198</v>
      </c>
      <c r="F1536" s="1" t="s">
        <v>17</v>
      </c>
      <c r="G1536" s="1" t="s">
        <v>1325</v>
      </c>
      <c r="I1536" s="1">
        <v>499</v>
      </c>
      <c r="J1536" s="1"/>
      <c r="K1536" s="1" t="s">
        <v>164</v>
      </c>
      <c r="L1536" s="1">
        <v>4.5</v>
      </c>
      <c r="M1536" s="1">
        <v>759</v>
      </c>
      <c r="P1536" t="str">
        <f t="shared" si="95"/>
        <v/>
      </c>
      <c r="Q1536" s="12" t="str">
        <f t="shared" si="92"/>
        <v/>
      </c>
      <c r="R1536" s="9" t="str">
        <f t="shared" si="93"/>
        <v/>
      </c>
      <c r="S1536" s="9">
        <f>IF(R1536="",AVERAGEIF(Table1[Category],Table1[[#This Row],[Category]],Table2[orignal data]),Table2[[#This Row],[orignal data]])</f>
        <v>552.70900000000006</v>
      </c>
      <c r="T1536" t="str">
        <f t="shared" si="94"/>
        <v>UNIQUE</v>
      </c>
      <c r="U1536" t="str">
        <f>IF(ISBLANK(Table1[[#This Row],[SizeOption]]),"NOT AVAILABLE",Table1[[#This Row],[SizeOption]])</f>
        <v>Onesize</v>
      </c>
      <c r="Y1536" t="str">
        <f>IF(Table2[[#This Row],[Column1]]&gt;50%,"HIGH DISCOUNT","LOW DISCOUNT")</f>
        <v>HIGH DISCOUNT</v>
      </c>
    </row>
    <row r="1537" spans="1:25" x14ac:dyDescent="0.25">
      <c r="A1537" s="2" t="s">
        <v>3355</v>
      </c>
      <c r="B1537" s="2">
        <v>11195048</v>
      </c>
      <c r="C1537" s="2" t="s">
        <v>47</v>
      </c>
      <c r="D1537" s="2" t="s">
        <v>28</v>
      </c>
      <c r="E1537" s="2" t="s">
        <v>29</v>
      </c>
      <c r="F1537" s="2" t="s">
        <v>17</v>
      </c>
      <c r="G1537" s="2" t="s">
        <v>3356</v>
      </c>
      <c r="H1537">
        <v>879</v>
      </c>
      <c r="I1537" s="2">
        <v>2199</v>
      </c>
      <c r="J1537" s="2" t="s">
        <v>55</v>
      </c>
      <c r="K1537" s="2" t="s">
        <v>253</v>
      </c>
      <c r="L1537" s="2">
        <v>4.2</v>
      </c>
      <c r="M1537" s="2">
        <v>759</v>
      </c>
      <c r="P1537" t="str">
        <f t="shared" si="95"/>
        <v>60%</v>
      </c>
      <c r="Q1537" s="12">
        <f t="shared" si="92"/>
        <v>0.6</v>
      </c>
      <c r="R1537" s="9">
        <f t="shared" si="93"/>
        <v>879.60000000000014</v>
      </c>
      <c r="S1537" s="9">
        <f>IF(R1537="",AVERAGEIF(Table1[Category],Table1[[#This Row],[Category]],Table2[orignal data]),Table2[[#This Row],[orignal data]])</f>
        <v>879.60000000000014</v>
      </c>
      <c r="T1537" t="str">
        <f t="shared" si="94"/>
        <v>UNIQUE</v>
      </c>
      <c r="U1537" t="str">
        <f>IF(ISBLANK(Table1[[#This Row],[SizeOption]]),"NOT AVAILABLE",Table1[[#This Row],[SizeOption]])</f>
        <v>38, 40, 42, 44</v>
      </c>
      <c r="Y1537" t="str">
        <f>IF(Table2[[#This Row],[Column1]]&gt;50%,"HIGH DISCOUNT","LOW DISCOUNT")</f>
        <v>HIGH DISCOUNT</v>
      </c>
    </row>
    <row r="1538" spans="1:25" x14ac:dyDescent="0.25">
      <c r="A1538" s="1" t="s">
        <v>3357</v>
      </c>
      <c r="B1538" s="1">
        <v>8810391</v>
      </c>
      <c r="C1538" s="1" t="s">
        <v>14</v>
      </c>
      <c r="D1538" s="1" t="s">
        <v>41</v>
      </c>
      <c r="E1538" s="1" t="s">
        <v>16</v>
      </c>
      <c r="F1538" s="1" t="s">
        <v>36</v>
      </c>
      <c r="G1538" s="1" t="s">
        <v>2437</v>
      </c>
      <c r="I1538" s="1">
        <v>2299</v>
      </c>
      <c r="J1538" s="1" t="s">
        <v>126</v>
      </c>
      <c r="K1538" s="1" t="s">
        <v>134</v>
      </c>
      <c r="L1538" s="1">
        <v>4.2</v>
      </c>
      <c r="M1538" s="1">
        <v>759</v>
      </c>
      <c r="P1538" t="str">
        <f t="shared" si="95"/>
        <v>62%</v>
      </c>
      <c r="Q1538" s="12">
        <f t="shared" ref="Q1538:Q1601" si="96">IF(P1538="","",IF(ISNUMBER(SEARCH("%",P1538)),P1538,P1538/I1538)*100%)</f>
        <v>0.62</v>
      </c>
      <c r="R1538" s="9">
        <f t="shared" ref="R1538:R1601" si="97">IF(P1538="","",I1538-(I1538*Q1538))</f>
        <v>873.62000000000012</v>
      </c>
      <c r="S1538" s="9">
        <f>IF(R1538="",AVERAGEIF(Table1[Category],Table1[[#This Row],[Category]],Table2[orignal data]),Table2[[#This Row],[orignal data]])</f>
        <v>873.62000000000012</v>
      </c>
      <c r="T1538" t="str">
        <f t="shared" ref="T1538:T1601" si="98">IF(COUNTIF($B$2:$B$5000,B1538)&gt;1,"DUPLICATE","UNIQUE")</f>
        <v>UNIQUE</v>
      </c>
      <c r="U1538" t="str">
        <f>IF(ISBLANK(Table1[[#This Row],[SizeOption]]),"NOT AVAILABLE",Table1[[#This Row],[SizeOption]])</f>
        <v>26, 28, 30, 32, 34, 36</v>
      </c>
      <c r="Y1538" t="str">
        <f>IF(Table2[[#This Row],[Column1]]&gt;50%,"HIGH DISCOUNT","LOW DISCOUNT")</f>
        <v>HIGH DISCOUNT</v>
      </c>
    </row>
    <row r="1539" spans="1:25" x14ac:dyDescent="0.25">
      <c r="A1539" s="2" t="s">
        <v>3358</v>
      </c>
      <c r="B1539" s="2">
        <v>9740187</v>
      </c>
      <c r="C1539" s="2" t="s">
        <v>14</v>
      </c>
      <c r="D1539" s="2" t="s">
        <v>41</v>
      </c>
      <c r="E1539" s="2" t="s">
        <v>42</v>
      </c>
      <c r="F1539" s="2" t="s">
        <v>36</v>
      </c>
      <c r="G1539" s="2" t="s">
        <v>3359</v>
      </c>
      <c r="I1539" s="2">
        <v>599</v>
      </c>
      <c r="J1539" s="2" t="s">
        <v>19</v>
      </c>
      <c r="K1539" s="2" t="s">
        <v>45</v>
      </c>
      <c r="L1539" s="2">
        <v>4.2</v>
      </c>
      <c r="M1539" s="2">
        <v>759</v>
      </c>
      <c r="P1539" t="str">
        <f t="shared" ref="P1539:P1602" si="99">TRIM(SUBSTITUTE(SUBSTITUTE(SUBSTITUTE(SUBSTITUTE(J1539,"OFF",""),"Rs.",""),"Hurry*",""),",",""))</f>
        <v>45%</v>
      </c>
      <c r="Q1539" s="12">
        <f t="shared" si="96"/>
        <v>0.45</v>
      </c>
      <c r="R1539" s="9">
        <f t="shared" si="97"/>
        <v>329.45</v>
      </c>
      <c r="S1539" s="9">
        <f>IF(R1539="",AVERAGEIF(Table1[Category],Table1[[#This Row],[Category]],Table2[orignal data]),Table2[[#This Row],[orignal data]])</f>
        <v>329.45</v>
      </c>
      <c r="T1539" t="str">
        <f t="shared" si="98"/>
        <v>UNIQUE</v>
      </c>
      <c r="U1539" t="str">
        <f>IF(ISBLANK(Table1[[#This Row],[SizeOption]]),"NOT AVAILABLE",Table1[[#This Row],[SizeOption]])</f>
        <v>XS, S, M, L, XL</v>
      </c>
      <c r="Y1539" t="str">
        <f>IF(Table2[[#This Row],[Column1]]&gt;50%,"HIGH DISCOUNT","LOW DISCOUNT")</f>
        <v>LOW DISCOUNT</v>
      </c>
    </row>
    <row r="1540" spans="1:25" x14ac:dyDescent="0.25">
      <c r="A1540" s="1" t="s">
        <v>3360</v>
      </c>
      <c r="B1540" s="1">
        <v>12983710</v>
      </c>
      <c r="C1540" s="1" t="s">
        <v>47</v>
      </c>
      <c r="D1540" s="1" t="s">
        <v>15</v>
      </c>
      <c r="E1540" s="1" t="s">
        <v>16</v>
      </c>
      <c r="F1540" s="1" t="s">
        <v>17</v>
      </c>
      <c r="G1540" s="1" t="s">
        <v>2821</v>
      </c>
      <c r="H1540">
        <v>719</v>
      </c>
      <c r="I1540" s="1">
        <v>1799</v>
      </c>
      <c r="J1540" s="1" t="s">
        <v>55</v>
      </c>
      <c r="K1540" s="1" t="s">
        <v>20</v>
      </c>
      <c r="L1540" s="1">
        <v>3.9</v>
      </c>
      <c r="M1540" s="1">
        <v>758</v>
      </c>
      <c r="P1540" t="str">
        <f t="shared" si="99"/>
        <v>60%</v>
      </c>
      <c r="Q1540" s="12">
        <f t="shared" si="96"/>
        <v>0.6</v>
      </c>
      <c r="R1540" s="9">
        <f t="shared" si="97"/>
        <v>719.60000000000014</v>
      </c>
      <c r="S1540" s="9">
        <f>IF(R1540="",AVERAGEIF(Table1[Category],Table1[[#This Row],[Category]],Table2[orignal data]),Table2[[#This Row],[orignal data]])</f>
        <v>719.60000000000014</v>
      </c>
      <c r="T1540" t="str">
        <f t="shared" si="98"/>
        <v>UNIQUE</v>
      </c>
      <c r="U1540" t="str">
        <f>IF(ISBLANK(Table1[[#This Row],[SizeOption]]),"NOT AVAILABLE",Table1[[#This Row],[SizeOption]])</f>
        <v>28, 30, 32, 34, 36</v>
      </c>
      <c r="Y1540" t="str">
        <f>IF(Table2[[#This Row],[Column1]]&gt;50%,"HIGH DISCOUNT","LOW DISCOUNT")</f>
        <v>HIGH DISCOUNT</v>
      </c>
    </row>
    <row r="1541" spans="1:25" x14ac:dyDescent="0.25">
      <c r="A1541" s="2" t="s">
        <v>3361</v>
      </c>
      <c r="B1541" s="2">
        <v>12402736</v>
      </c>
      <c r="C1541" s="2" t="s">
        <v>169</v>
      </c>
      <c r="D1541" s="2" t="s">
        <v>197</v>
      </c>
      <c r="E1541" s="2" t="s">
        <v>198</v>
      </c>
      <c r="F1541" s="2" t="s">
        <v>17</v>
      </c>
      <c r="G1541" s="2" t="s">
        <v>3362</v>
      </c>
      <c r="H1541">
        <v>324</v>
      </c>
      <c r="I1541" s="2">
        <v>499</v>
      </c>
      <c r="J1541" s="2" t="s">
        <v>44</v>
      </c>
      <c r="K1541" s="2" t="s">
        <v>164</v>
      </c>
      <c r="L1541" s="2">
        <v>4.2</v>
      </c>
      <c r="M1541" s="2">
        <v>758</v>
      </c>
      <c r="P1541" t="str">
        <f t="shared" si="99"/>
        <v>35%</v>
      </c>
      <c r="Q1541" s="12">
        <f t="shared" si="96"/>
        <v>0.35</v>
      </c>
      <c r="R1541" s="9">
        <f t="shared" si="97"/>
        <v>324.35000000000002</v>
      </c>
      <c r="S1541" s="9">
        <f>IF(R1541="",AVERAGEIF(Table1[Category],Table1[[#This Row],[Category]],Table2[orignal data]),Table2[[#This Row],[orignal data]])</f>
        <v>324.35000000000002</v>
      </c>
      <c r="T1541" t="str">
        <f t="shared" si="98"/>
        <v>UNIQUE</v>
      </c>
      <c r="U1541" t="str">
        <f>IF(ISBLANK(Table1[[#This Row],[SizeOption]]),"NOT AVAILABLE",Table1[[#This Row],[SizeOption]])</f>
        <v>Onesize</v>
      </c>
      <c r="Y1541" t="str">
        <f>IF(Table2[[#This Row],[Column1]]&gt;50%,"HIGH DISCOUNT","LOW DISCOUNT")</f>
        <v>LOW DISCOUNT</v>
      </c>
    </row>
    <row r="1542" spans="1:25" x14ac:dyDescent="0.25">
      <c r="A1542" s="1" t="s">
        <v>3363</v>
      </c>
      <c r="B1542" s="1">
        <v>11148496</v>
      </c>
      <c r="C1542" s="1" t="s">
        <v>92</v>
      </c>
      <c r="D1542" s="1" t="s">
        <v>76</v>
      </c>
      <c r="E1542" s="1" t="s">
        <v>93</v>
      </c>
      <c r="F1542" s="1" t="s">
        <v>36</v>
      </c>
      <c r="G1542" s="1" t="s">
        <v>3364</v>
      </c>
      <c r="H1542">
        <v>527</v>
      </c>
      <c r="I1542" s="1">
        <v>1649</v>
      </c>
      <c r="J1542" s="1" t="s">
        <v>839</v>
      </c>
      <c r="K1542" s="1" t="s">
        <v>39</v>
      </c>
      <c r="L1542" s="1">
        <v>4.2</v>
      </c>
      <c r="M1542" s="1">
        <v>758</v>
      </c>
      <c r="P1542" t="str">
        <f t="shared" si="99"/>
        <v>68%</v>
      </c>
      <c r="Q1542" s="12">
        <f t="shared" si="96"/>
        <v>0.68</v>
      </c>
      <c r="R1542" s="9">
        <f t="shared" si="97"/>
        <v>527.67999999999984</v>
      </c>
      <c r="S1542" s="9">
        <f>IF(R1542="",AVERAGEIF(Table1[Category],Table1[[#This Row],[Category]],Table2[orignal data]),Table2[[#This Row],[orignal data]])</f>
        <v>527.67999999999984</v>
      </c>
      <c r="T1542" t="str">
        <f t="shared" si="98"/>
        <v>UNIQUE</v>
      </c>
      <c r="U1542" t="str">
        <f>IF(ISBLANK(Table1[[#This Row],[SizeOption]]),"NOT AVAILABLE",Table1[[#This Row],[SizeOption]])</f>
        <v>S, M, L, XL, XXL</v>
      </c>
      <c r="Y1542" t="str">
        <f>IF(Table2[[#This Row],[Column1]]&gt;50%,"HIGH DISCOUNT","LOW DISCOUNT")</f>
        <v>HIGH DISCOUNT</v>
      </c>
    </row>
    <row r="1543" spans="1:25" x14ac:dyDescent="0.25">
      <c r="A1543" s="2" t="s">
        <v>3365</v>
      </c>
      <c r="B1543" s="2">
        <v>5872481</v>
      </c>
      <c r="C1543" s="2" t="s">
        <v>779</v>
      </c>
      <c r="D1543" s="2" t="s">
        <v>68</v>
      </c>
      <c r="E1543" s="2" t="s">
        <v>2784</v>
      </c>
      <c r="F1543" s="2" t="s">
        <v>36</v>
      </c>
      <c r="G1543" s="2" t="s">
        <v>3366</v>
      </c>
      <c r="H1543">
        <v>674</v>
      </c>
      <c r="I1543" s="2">
        <v>899</v>
      </c>
      <c r="J1543" s="2" t="s">
        <v>282</v>
      </c>
      <c r="K1543" s="2" t="s">
        <v>39</v>
      </c>
      <c r="L1543" s="2">
        <v>4</v>
      </c>
      <c r="M1543" s="2">
        <v>758</v>
      </c>
      <c r="P1543" t="str">
        <f t="shared" si="99"/>
        <v>25%</v>
      </c>
      <c r="Q1543" s="12">
        <f t="shared" si="96"/>
        <v>0.25</v>
      </c>
      <c r="R1543" s="9">
        <f t="shared" si="97"/>
        <v>674.25</v>
      </c>
      <c r="S1543" s="9">
        <f>IF(R1543="",AVERAGEIF(Table1[Category],Table1[[#This Row],[Category]],Table2[orignal data]),Table2[[#This Row],[orignal data]])</f>
        <v>674.25</v>
      </c>
      <c r="T1543" t="str">
        <f t="shared" si="98"/>
        <v>UNIQUE</v>
      </c>
      <c r="U1543" t="str">
        <f>IF(ISBLANK(Table1[[#This Row],[SizeOption]]),"NOT AVAILABLE",Table1[[#This Row],[SizeOption]])</f>
        <v>S, M, L, XL, XXL</v>
      </c>
      <c r="Y1543" t="str">
        <f>IF(Table2[[#This Row],[Column1]]&gt;50%,"HIGH DISCOUNT","LOW DISCOUNT")</f>
        <v>LOW DISCOUNT</v>
      </c>
    </row>
    <row r="1544" spans="1:25" x14ac:dyDescent="0.25">
      <c r="A1544" s="1" t="s">
        <v>3367</v>
      </c>
      <c r="B1544" s="1">
        <v>14154092</v>
      </c>
      <c r="C1544" s="1" t="s">
        <v>102</v>
      </c>
      <c r="D1544" s="1" t="s">
        <v>41</v>
      </c>
      <c r="E1544" s="1" t="s">
        <v>23</v>
      </c>
      <c r="F1544" s="1" t="s">
        <v>36</v>
      </c>
      <c r="G1544" s="1" t="s">
        <v>3368</v>
      </c>
      <c r="I1544" s="1">
        <v>1049</v>
      </c>
      <c r="J1544" s="1" t="s">
        <v>602</v>
      </c>
      <c r="K1544" s="1" t="s">
        <v>26</v>
      </c>
      <c r="L1544" s="1">
        <v>4</v>
      </c>
      <c r="M1544" s="1">
        <v>758</v>
      </c>
      <c r="P1544" t="str">
        <f t="shared" si="99"/>
        <v>48%</v>
      </c>
      <c r="Q1544" s="12">
        <f t="shared" si="96"/>
        <v>0.48</v>
      </c>
      <c r="R1544" s="9">
        <f t="shared" si="97"/>
        <v>545.48</v>
      </c>
      <c r="S1544" s="9">
        <f>IF(R1544="",AVERAGEIF(Table1[Category],Table1[[#This Row],[Category]],Table2[orignal data]),Table2[[#This Row],[orignal data]])</f>
        <v>545.48</v>
      </c>
      <c r="T1544" t="str">
        <f t="shared" si="98"/>
        <v>UNIQUE</v>
      </c>
      <c r="U1544" t="str">
        <f>IF(ISBLANK(Table1[[#This Row],[SizeOption]]),"NOT AVAILABLE",Table1[[#This Row],[SizeOption]])</f>
        <v>S, M, L, XL</v>
      </c>
      <c r="Y1544" t="str">
        <f>IF(Table2[[#This Row],[Column1]]&gt;50%,"HIGH DISCOUNT","LOW DISCOUNT")</f>
        <v>LOW DISCOUNT</v>
      </c>
    </row>
    <row r="1545" spans="1:25" x14ac:dyDescent="0.25">
      <c r="A1545" s="2" t="s">
        <v>3369</v>
      </c>
      <c r="B1545" s="2">
        <v>4882924</v>
      </c>
      <c r="C1545" s="2" t="s">
        <v>181</v>
      </c>
      <c r="D1545" s="2" t="s">
        <v>41</v>
      </c>
      <c r="E1545" s="2" t="s">
        <v>82</v>
      </c>
      <c r="F1545" s="2" t="s">
        <v>36</v>
      </c>
      <c r="G1545" s="2" t="s">
        <v>3370</v>
      </c>
      <c r="I1545" s="2">
        <v>1399</v>
      </c>
      <c r="J1545" s="2" t="s">
        <v>1204</v>
      </c>
      <c r="K1545" s="2" t="s">
        <v>311</v>
      </c>
      <c r="L1545" s="2">
        <v>4.4000000000000004</v>
      </c>
      <c r="M1545" s="2">
        <v>758</v>
      </c>
      <c r="P1545" t="str">
        <f t="shared" si="99"/>
        <v>56%</v>
      </c>
      <c r="Q1545" s="12">
        <f t="shared" si="96"/>
        <v>0.56000000000000005</v>
      </c>
      <c r="R1545" s="9">
        <f t="shared" si="97"/>
        <v>615.55999999999995</v>
      </c>
      <c r="S1545" s="9">
        <f>IF(R1545="",AVERAGEIF(Table1[Category],Table1[[#This Row],[Category]],Table2[orignal data]),Table2[[#This Row],[orignal data]])</f>
        <v>615.55999999999995</v>
      </c>
      <c r="T1545" t="str">
        <f t="shared" si="98"/>
        <v>UNIQUE</v>
      </c>
      <c r="U1545" t="str">
        <f>IF(ISBLANK(Table1[[#This Row],[SizeOption]]),"NOT AVAILABLE",Table1[[#This Row],[SizeOption]])</f>
        <v>XS, S, M, L</v>
      </c>
      <c r="Y1545" t="str">
        <f>IF(Table2[[#This Row],[Column1]]&gt;50%,"HIGH DISCOUNT","LOW DISCOUNT")</f>
        <v>HIGH DISCOUNT</v>
      </c>
    </row>
    <row r="1546" spans="1:25" x14ac:dyDescent="0.25">
      <c r="A1546" s="1" t="s">
        <v>3371</v>
      </c>
      <c r="B1546" s="1">
        <v>11144166</v>
      </c>
      <c r="C1546" s="1" t="s">
        <v>47</v>
      </c>
      <c r="D1546" s="1" t="s">
        <v>41</v>
      </c>
      <c r="E1546" s="1" t="s">
        <v>148</v>
      </c>
      <c r="F1546" s="1" t="s">
        <v>36</v>
      </c>
      <c r="G1546" s="1" t="s">
        <v>3372</v>
      </c>
      <c r="I1546" s="1">
        <v>1999</v>
      </c>
      <c r="J1546" s="1" t="s">
        <v>19</v>
      </c>
      <c r="K1546" s="1" t="s">
        <v>45</v>
      </c>
      <c r="L1546" s="1">
        <v>4.5</v>
      </c>
      <c r="M1546" s="1">
        <v>758</v>
      </c>
      <c r="P1546" t="str">
        <f t="shared" si="99"/>
        <v>45%</v>
      </c>
      <c r="Q1546" s="12">
        <f t="shared" si="96"/>
        <v>0.45</v>
      </c>
      <c r="R1546" s="9">
        <f t="shared" si="97"/>
        <v>1099.4499999999998</v>
      </c>
      <c r="S1546" s="9">
        <f>IF(R1546="",AVERAGEIF(Table1[Category],Table1[[#This Row],[Category]],Table2[orignal data]),Table2[[#This Row],[orignal data]])</f>
        <v>1099.4499999999998</v>
      </c>
      <c r="T1546" t="str">
        <f t="shared" si="98"/>
        <v>UNIQUE</v>
      </c>
      <c r="U1546" t="str">
        <f>IF(ISBLANK(Table1[[#This Row],[SizeOption]]),"NOT AVAILABLE",Table1[[#This Row],[SizeOption]])</f>
        <v>XS, S, M, L, XL</v>
      </c>
      <c r="Y1546" t="str">
        <f>IF(Table2[[#This Row],[Column1]]&gt;50%,"HIGH DISCOUNT","LOW DISCOUNT")</f>
        <v>LOW DISCOUNT</v>
      </c>
    </row>
    <row r="1547" spans="1:25" x14ac:dyDescent="0.25">
      <c r="A1547" s="2" t="s">
        <v>3373</v>
      </c>
      <c r="B1547" s="2">
        <v>10778936</v>
      </c>
      <c r="C1547" s="2" t="s">
        <v>128</v>
      </c>
      <c r="D1547" s="2" t="s">
        <v>41</v>
      </c>
      <c r="E1547" s="2" t="s">
        <v>148</v>
      </c>
      <c r="F1547" s="2" t="s">
        <v>36</v>
      </c>
      <c r="G1547" s="2" t="s">
        <v>3374</v>
      </c>
      <c r="I1547" s="2">
        <v>2099</v>
      </c>
      <c r="J1547" s="2" t="s">
        <v>130</v>
      </c>
      <c r="K1547" s="2" t="s">
        <v>26</v>
      </c>
      <c r="L1547" s="2">
        <v>4.3</v>
      </c>
      <c r="M1547" s="2">
        <v>758</v>
      </c>
      <c r="P1547" t="str">
        <f t="shared" si="99"/>
        <v>57%</v>
      </c>
      <c r="Q1547" s="12">
        <f t="shared" si="96"/>
        <v>0.56999999999999995</v>
      </c>
      <c r="R1547" s="9">
        <f t="shared" si="97"/>
        <v>902.57000000000016</v>
      </c>
      <c r="S1547" s="9">
        <f>IF(R1547="",AVERAGEIF(Table1[Category],Table1[[#This Row],[Category]],Table2[orignal data]),Table2[[#This Row],[orignal data]])</f>
        <v>902.57000000000016</v>
      </c>
      <c r="T1547" t="str">
        <f t="shared" si="98"/>
        <v>UNIQUE</v>
      </c>
      <c r="U1547" t="str">
        <f>IF(ISBLANK(Table1[[#This Row],[SizeOption]]),"NOT AVAILABLE",Table1[[#This Row],[SizeOption]])</f>
        <v>S, M, L, XL</v>
      </c>
      <c r="Y1547" t="str">
        <f>IF(Table2[[#This Row],[Column1]]&gt;50%,"HIGH DISCOUNT","LOW DISCOUNT")</f>
        <v>HIGH DISCOUNT</v>
      </c>
    </row>
    <row r="1548" spans="1:25" x14ac:dyDescent="0.25">
      <c r="A1548" s="1" t="s">
        <v>3375</v>
      </c>
      <c r="B1548" s="1">
        <v>2521066</v>
      </c>
      <c r="C1548" s="1" t="s">
        <v>107</v>
      </c>
      <c r="D1548" s="1" t="s">
        <v>41</v>
      </c>
      <c r="E1548" s="1" t="s">
        <v>148</v>
      </c>
      <c r="F1548" s="1" t="s">
        <v>36</v>
      </c>
      <c r="G1548" s="1" t="s">
        <v>3376</v>
      </c>
      <c r="I1548" s="1">
        <v>2199</v>
      </c>
      <c r="J1548" s="1" t="s">
        <v>55</v>
      </c>
      <c r="K1548" s="1" t="s">
        <v>45</v>
      </c>
      <c r="L1548" s="1">
        <v>4.0999999999999996</v>
      </c>
      <c r="M1548" s="1">
        <v>758</v>
      </c>
      <c r="P1548" t="str">
        <f t="shared" si="99"/>
        <v>60%</v>
      </c>
      <c r="Q1548" s="12">
        <f t="shared" si="96"/>
        <v>0.6</v>
      </c>
      <c r="R1548" s="9">
        <f t="shared" si="97"/>
        <v>879.60000000000014</v>
      </c>
      <c r="S1548" s="9">
        <f>IF(R1548="",AVERAGEIF(Table1[Category],Table1[[#This Row],[Category]],Table2[orignal data]),Table2[[#This Row],[orignal data]])</f>
        <v>879.60000000000014</v>
      </c>
      <c r="T1548" t="str">
        <f t="shared" si="98"/>
        <v>UNIQUE</v>
      </c>
      <c r="U1548" t="str">
        <f>IF(ISBLANK(Table1[[#This Row],[SizeOption]]),"NOT AVAILABLE",Table1[[#This Row],[SizeOption]])</f>
        <v>XS, S, M, L, XL</v>
      </c>
      <c r="Y1548" t="str">
        <f>IF(Table2[[#This Row],[Column1]]&gt;50%,"HIGH DISCOUNT","LOW DISCOUNT")</f>
        <v>HIGH DISCOUNT</v>
      </c>
    </row>
    <row r="1549" spans="1:25" x14ac:dyDescent="0.25">
      <c r="A1549" s="2" t="s">
        <v>3377</v>
      </c>
      <c r="B1549" s="2">
        <v>9242647</v>
      </c>
      <c r="C1549" s="2" t="s">
        <v>14</v>
      </c>
      <c r="D1549" s="2" t="s">
        <v>28</v>
      </c>
      <c r="E1549" s="2" t="s">
        <v>42</v>
      </c>
      <c r="F1549" s="2" t="s">
        <v>17</v>
      </c>
      <c r="G1549" s="2" t="s">
        <v>3378</v>
      </c>
      <c r="H1549">
        <v>714</v>
      </c>
      <c r="I1549" s="2">
        <v>1299</v>
      </c>
      <c r="J1549" s="2" t="s">
        <v>19</v>
      </c>
      <c r="K1549" s="2" t="s">
        <v>26</v>
      </c>
      <c r="L1549" s="2">
        <v>4</v>
      </c>
      <c r="M1549" s="2">
        <v>757</v>
      </c>
      <c r="P1549" t="str">
        <f t="shared" si="99"/>
        <v>45%</v>
      </c>
      <c r="Q1549" s="12">
        <f t="shared" si="96"/>
        <v>0.45</v>
      </c>
      <c r="R1549" s="9">
        <f t="shared" si="97"/>
        <v>714.44999999999993</v>
      </c>
      <c r="S1549" s="9">
        <f>IF(R1549="",AVERAGEIF(Table1[Category],Table1[[#This Row],[Category]],Table2[orignal data]),Table2[[#This Row],[orignal data]])</f>
        <v>714.44999999999993</v>
      </c>
      <c r="T1549" t="str">
        <f t="shared" si="98"/>
        <v>UNIQUE</v>
      </c>
      <c r="U1549" t="str">
        <f>IF(ISBLANK(Table1[[#This Row],[SizeOption]]),"NOT AVAILABLE",Table1[[#This Row],[SizeOption]])</f>
        <v>S, M, L, XL</v>
      </c>
      <c r="Y1549" t="str">
        <f>IF(Table2[[#This Row],[Column1]]&gt;50%,"HIGH DISCOUNT","LOW DISCOUNT")</f>
        <v>LOW DISCOUNT</v>
      </c>
    </row>
    <row r="1550" spans="1:25" x14ac:dyDescent="0.25">
      <c r="A1550" s="1" t="s">
        <v>3379</v>
      </c>
      <c r="B1550" s="1">
        <v>130966</v>
      </c>
      <c r="C1550" s="1" t="s">
        <v>117</v>
      </c>
      <c r="D1550" s="1" t="s">
        <v>34</v>
      </c>
      <c r="E1550" s="1" t="s">
        <v>118</v>
      </c>
      <c r="F1550" s="1" t="s">
        <v>36</v>
      </c>
      <c r="G1550" s="1" t="s">
        <v>3380</v>
      </c>
      <c r="I1550" s="1">
        <v>779</v>
      </c>
      <c r="J1550" s="1"/>
      <c r="K1550" s="1" t="s">
        <v>237</v>
      </c>
      <c r="L1550" s="1">
        <v>4.5</v>
      </c>
      <c r="M1550" s="1">
        <v>757</v>
      </c>
      <c r="P1550" t="str">
        <f t="shared" si="99"/>
        <v/>
      </c>
      <c r="Q1550" s="12" t="str">
        <f t="shared" si="96"/>
        <v/>
      </c>
      <c r="R1550" s="9" t="str">
        <f t="shared" si="97"/>
        <v/>
      </c>
      <c r="S1550" s="9">
        <f>IF(R1550="",AVERAGEIF(Table1[Category],Table1[[#This Row],[Category]],Table2[orignal data]),Table2[[#This Row],[orignal data]])</f>
        <v>608.88518518518481</v>
      </c>
      <c r="T1550" t="str">
        <f t="shared" si="98"/>
        <v>UNIQUE</v>
      </c>
      <c r="U1550" t="str">
        <f>IF(ISBLANK(Table1[[#This Row],[SizeOption]]),"NOT AVAILABLE",Table1[[#This Row],[SizeOption]])</f>
        <v>34B, 34C, 34D, 36B, 36C, 36D, 38B, 38C, 38D, 40B, 40C, 40D, 42B, 42C, 42D</v>
      </c>
      <c r="Y1550" t="str">
        <f>IF(Table2[[#This Row],[Column1]]&gt;50%,"HIGH DISCOUNT","LOW DISCOUNT")</f>
        <v>HIGH DISCOUNT</v>
      </c>
    </row>
    <row r="1551" spans="1:25" x14ac:dyDescent="0.25">
      <c r="A1551" s="2" t="s">
        <v>3381</v>
      </c>
      <c r="B1551" s="2">
        <v>12150616</v>
      </c>
      <c r="C1551" s="2" t="s">
        <v>221</v>
      </c>
      <c r="D1551" s="2" t="s">
        <v>98</v>
      </c>
      <c r="E1551" s="2" t="s">
        <v>48</v>
      </c>
      <c r="F1551" s="2" t="s">
        <v>36</v>
      </c>
      <c r="G1551" s="2" t="s">
        <v>3382</v>
      </c>
      <c r="H1551">
        <v>607</v>
      </c>
      <c r="I1551" s="2">
        <v>1599</v>
      </c>
      <c r="J1551" s="2" t="s">
        <v>126</v>
      </c>
      <c r="K1551" s="2" t="s">
        <v>223</v>
      </c>
      <c r="L1551" s="2">
        <v>4.4000000000000004</v>
      </c>
      <c r="M1551" s="2">
        <v>757</v>
      </c>
      <c r="P1551" t="str">
        <f t="shared" si="99"/>
        <v>62%</v>
      </c>
      <c r="Q1551" s="12">
        <f t="shared" si="96"/>
        <v>0.62</v>
      </c>
      <c r="R1551" s="9">
        <f t="shared" si="97"/>
        <v>607.62</v>
      </c>
      <c r="S1551" s="9">
        <f>IF(R1551="",AVERAGEIF(Table1[Category],Table1[[#This Row],[Category]],Table2[orignal data]),Table2[[#This Row],[orignal data]])</f>
        <v>607.62</v>
      </c>
      <c r="T1551" t="str">
        <f t="shared" si="98"/>
        <v>UNIQUE</v>
      </c>
      <c r="U1551" t="str">
        <f>IF(ISBLANK(Table1[[#This Row],[SizeOption]]),"NOT AVAILABLE",Table1[[#This Row],[SizeOption]])</f>
        <v>S, M, L, XL, XXL, 3XL, 4XL</v>
      </c>
      <c r="Y1551" t="str">
        <f>IF(Table2[[#This Row],[Column1]]&gt;50%,"HIGH DISCOUNT","LOW DISCOUNT")</f>
        <v>HIGH DISCOUNT</v>
      </c>
    </row>
    <row r="1552" spans="1:25" x14ac:dyDescent="0.25">
      <c r="A1552" s="1" t="s">
        <v>3383</v>
      </c>
      <c r="B1552" s="1">
        <v>6397681</v>
      </c>
      <c r="C1552" s="1" t="s">
        <v>14</v>
      </c>
      <c r="D1552" s="1" t="s">
        <v>41</v>
      </c>
      <c r="E1552" s="1" t="s">
        <v>1881</v>
      </c>
      <c r="F1552" s="1" t="s">
        <v>36</v>
      </c>
      <c r="G1552" s="1" t="s">
        <v>3384</v>
      </c>
      <c r="I1552" s="1">
        <v>1299</v>
      </c>
      <c r="J1552" s="1" t="s">
        <v>19</v>
      </c>
      <c r="K1552" s="1" t="s">
        <v>115</v>
      </c>
      <c r="L1552" s="1">
        <v>4</v>
      </c>
      <c r="M1552" s="1">
        <v>757</v>
      </c>
      <c r="P1552" t="str">
        <f t="shared" si="99"/>
        <v>45%</v>
      </c>
      <c r="Q1552" s="12">
        <f t="shared" si="96"/>
        <v>0.45</v>
      </c>
      <c r="R1552" s="9">
        <f t="shared" si="97"/>
        <v>714.44999999999993</v>
      </c>
      <c r="S1552" s="9">
        <f>IF(R1552="",AVERAGEIF(Table1[Category],Table1[[#This Row],[Category]],Table2[orignal data]),Table2[[#This Row],[orignal data]])</f>
        <v>714.44999999999993</v>
      </c>
      <c r="T1552" t="str">
        <f t="shared" si="98"/>
        <v>UNIQUE</v>
      </c>
      <c r="U1552" t="str">
        <f>IF(ISBLANK(Table1[[#This Row],[SizeOption]]),"NOT AVAILABLE",Table1[[#This Row],[SizeOption]])</f>
        <v>XS, S, M, L, XL, XXL</v>
      </c>
      <c r="Y1552" t="str">
        <f>IF(Table2[[#This Row],[Column1]]&gt;50%,"HIGH DISCOUNT","LOW DISCOUNT")</f>
        <v>LOW DISCOUNT</v>
      </c>
    </row>
    <row r="1553" spans="1:25" x14ac:dyDescent="0.25">
      <c r="A1553" s="2" t="s">
        <v>3385</v>
      </c>
      <c r="B1553" s="2">
        <v>2053499</v>
      </c>
      <c r="C1553" s="2" t="s">
        <v>325</v>
      </c>
      <c r="D1553" s="2" t="s">
        <v>41</v>
      </c>
      <c r="E1553" s="2" t="s">
        <v>189</v>
      </c>
      <c r="F1553" s="2" t="s">
        <v>36</v>
      </c>
      <c r="G1553" s="2" t="s">
        <v>3386</v>
      </c>
      <c r="I1553" s="2">
        <v>1599</v>
      </c>
      <c r="J1553" s="2" t="s">
        <v>55</v>
      </c>
      <c r="K1553" s="2" t="s">
        <v>39</v>
      </c>
      <c r="L1553" s="2">
        <v>3.8</v>
      </c>
      <c r="M1553" s="2">
        <v>757</v>
      </c>
      <c r="P1553" t="str">
        <f t="shared" si="99"/>
        <v>60%</v>
      </c>
      <c r="Q1553" s="12">
        <f t="shared" si="96"/>
        <v>0.6</v>
      </c>
      <c r="R1553" s="9">
        <f t="shared" si="97"/>
        <v>639.6</v>
      </c>
      <c r="S1553" s="9">
        <f>IF(R1553="",AVERAGEIF(Table1[Category],Table1[[#This Row],[Category]],Table2[orignal data]),Table2[[#This Row],[orignal data]])</f>
        <v>639.6</v>
      </c>
      <c r="T1553" t="str">
        <f t="shared" si="98"/>
        <v>UNIQUE</v>
      </c>
      <c r="U1553" t="str">
        <f>IF(ISBLANK(Table1[[#This Row],[SizeOption]]),"NOT AVAILABLE",Table1[[#This Row],[SizeOption]])</f>
        <v>S, M, L, XL, XXL</v>
      </c>
      <c r="Y1553" t="str">
        <f>IF(Table2[[#This Row],[Column1]]&gt;50%,"HIGH DISCOUNT","LOW DISCOUNT")</f>
        <v>HIGH DISCOUNT</v>
      </c>
    </row>
    <row r="1554" spans="1:25" x14ac:dyDescent="0.25">
      <c r="A1554" s="1" t="s">
        <v>3387</v>
      </c>
      <c r="B1554" s="1">
        <v>10778710</v>
      </c>
      <c r="C1554" s="1" t="s">
        <v>14</v>
      </c>
      <c r="D1554" s="1" t="s">
        <v>41</v>
      </c>
      <c r="E1554" s="1" t="s">
        <v>42</v>
      </c>
      <c r="F1554" s="1" t="s">
        <v>36</v>
      </c>
      <c r="G1554" s="1" t="s">
        <v>3388</v>
      </c>
      <c r="I1554" s="1">
        <v>599</v>
      </c>
      <c r="J1554" s="1" t="s">
        <v>19</v>
      </c>
      <c r="K1554" s="1" t="s">
        <v>45</v>
      </c>
      <c r="L1554" s="1">
        <v>4.3</v>
      </c>
      <c r="M1554" s="1">
        <v>757</v>
      </c>
      <c r="P1554" t="str">
        <f t="shared" si="99"/>
        <v>45%</v>
      </c>
      <c r="Q1554" s="12">
        <f t="shared" si="96"/>
        <v>0.45</v>
      </c>
      <c r="R1554" s="9">
        <f t="shared" si="97"/>
        <v>329.45</v>
      </c>
      <c r="S1554" s="9">
        <f>IF(R1554="",AVERAGEIF(Table1[Category],Table1[[#This Row],[Category]],Table2[orignal data]),Table2[[#This Row],[orignal data]])</f>
        <v>329.45</v>
      </c>
      <c r="T1554" t="str">
        <f t="shared" si="98"/>
        <v>UNIQUE</v>
      </c>
      <c r="U1554" t="str">
        <f>IF(ISBLANK(Table1[[#This Row],[SizeOption]]),"NOT AVAILABLE",Table1[[#This Row],[SizeOption]])</f>
        <v>XS, S, M, L, XL</v>
      </c>
      <c r="Y1554" t="str">
        <f>IF(Table2[[#This Row],[Column1]]&gt;50%,"HIGH DISCOUNT","LOW DISCOUNT")</f>
        <v>LOW DISCOUNT</v>
      </c>
    </row>
    <row r="1555" spans="1:25" x14ac:dyDescent="0.25">
      <c r="A1555" s="2" t="s">
        <v>3389</v>
      </c>
      <c r="B1555" s="2">
        <v>10806144</v>
      </c>
      <c r="C1555" s="2" t="s">
        <v>33</v>
      </c>
      <c r="D1555" s="2" t="s">
        <v>34</v>
      </c>
      <c r="E1555" s="2" t="s">
        <v>118</v>
      </c>
      <c r="F1555" s="2" t="s">
        <v>36</v>
      </c>
      <c r="G1555" s="2" t="s">
        <v>3390</v>
      </c>
      <c r="I1555" s="2">
        <v>449</v>
      </c>
      <c r="J1555" s="2"/>
      <c r="K1555" s="2" t="s">
        <v>1113</v>
      </c>
      <c r="L1555" s="2">
        <v>4.3</v>
      </c>
      <c r="M1555" s="2">
        <v>756</v>
      </c>
      <c r="P1555" t="str">
        <f t="shared" si="99"/>
        <v/>
      </c>
      <c r="Q1555" s="12" t="str">
        <f t="shared" si="96"/>
        <v/>
      </c>
      <c r="R1555" s="9" t="str">
        <f t="shared" si="97"/>
        <v/>
      </c>
      <c r="S1555" s="9">
        <f>IF(R1555="",AVERAGEIF(Table1[Category],Table1[[#This Row],[Category]],Table2[orignal data]),Table2[[#This Row],[orignal data]])</f>
        <v>608.88518518518481</v>
      </c>
      <c r="T1555" t="str">
        <f t="shared" si="98"/>
        <v>UNIQUE</v>
      </c>
      <c r="U1555" t="str">
        <f>IF(ISBLANK(Table1[[#This Row],[SizeOption]]),"NOT AVAILABLE",Table1[[#This Row],[SizeOption]])</f>
        <v>32B, 32C, 32D, 34B, 34C, 34D, 36B, 36C, 36D, 38B, 38C, 38D</v>
      </c>
      <c r="Y1555" t="str">
        <f>IF(Table2[[#This Row],[Column1]]&gt;50%,"HIGH DISCOUNT","LOW DISCOUNT")</f>
        <v>HIGH DISCOUNT</v>
      </c>
    </row>
    <row r="1556" spans="1:25" x14ac:dyDescent="0.25">
      <c r="A1556" s="1" t="s">
        <v>3391</v>
      </c>
      <c r="B1556" s="1">
        <v>13404388</v>
      </c>
      <c r="C1556" s="1" t="s">
        <v>64</v>
      </c>
      <c r="D1556" s="1" t="s">
        <v>98</v>
      </c>
      <c r="E1556" s="1" t="s">
        <v>93</v>
      </c>
      <c r="F1556" s="1" t="s">
        <v>36</v>
      </c>
      <c r="G1556" s="1" t="s">
        <v>3392</v>
      </c>
      <c r="H1556">
        <v>439</v>
      </c>
      <c r="I1556" s="1">
        <v>1099</v>
      </c>
      <c r="J1556" s="1" t="s">
        <v>55</v>
      </c>
      <c r="K1556" s="1" t="s">
        <v>100</v>
      </c>
      <c r="L1556" s="1">
        <v>3.8</v>
      </c>
      <c r="M1556" s="1">
        <v>756</v>
      </c>
      <c r="P1556" t="str">
        <f t="shared" si="99"/>
        <v>60%</v>
      </c>
      <c r="Q1556" s="12">
        <f t="shared" si="96"/>
        <v>0.6</v>
      </c>
      <c r="R1556" s="9">
        <f t="shared" si="97"/>
        <v>439.6</v>
      </c>
      <c r="S1556" s="9">
        <f>IF(R1556="",AVERAGEIF(Table1[Category],Table1[[#This Row],[Category]],Table2[orignal data]),Table2[[#This Row],[orignal data]])</f>
        <v>439.6</v>
      </c>
      <c r="T1556" t="str">
        <f t="shared" si="98"/>
        <v>UNIQUE</v>
      </c>
      <c r="U1556" t="str">
        <f>IF(ISBLANK(Table1[[#This Row],[SizeOption]]),"NOT AVAILABLE",Table1[[#This Row],[SizeOption]])</f>
        <v>XS, S, M, L, XL, XXL, 3XL</v>
      </c>
      <c r="Y1556" t="str">
        <f>IF(Table2[[#This Row],[Column1]]&gt;50%,"HIGH DISCOUNT","LOW DISCOUNT")</f>
        <v>HIGH DISCOUNT</v>
      </c>
    </row>
    <row r="1557" spans="1:25" x14ac:dyDescent="0.25">
      <c r="A1557" s="2" t="s">
        <v>3393</v>
      </c>
      <c r="B1557" s="2">
        <v>13843086</v>
      </c>
      <c r="C1557" s="2" t="s">
        <v>181</v>
      </c>
      <c r="D1557" s="2" t="s">
        <v>41</v>
      </c>
      <c r="E1557" s="2" t="s">
        <v>579</v>
      </c>
      <c r="F1557" s="2" t="s">
        <v>36</v>
      </c>
      <c r="G1557" s="2" t="s">
        <v>3394</v>
      </c>
      <c r="I1557" s="2">
        <v>1899</v>
      </c>
      <c r="J1557" s="2" t="s">
        <v>19</v>
      </c>
      <c r="K1557" s="2" t="s">
        <v>134</v>
      </c>
      <c r="L1557" s="2">
        <v>4.3</v>
      </c>
      <c r="M1557" s="2">
        <v>756</v>
      </c>
      <c r="P1557" t="str">
        <f t="shared" si="99"/>
        <v>45%</v>
      </c>
      <c r="Q1557" s="12">
        <f t="shared" si="96"/>
        <v>0.45</v>
      </c>
      <c r="R1557" s="9">
        <f t="shared" si="97"/>
        <v>1044.4499999999998</v>
      </c>
      <c r="S1557" s="9">
        <f>IF(R1557="",AVERAGEIF(Table1[Category],Table1[[#This Row],[Category]],Table2[orignal data]),Table2[[#This Row],[orignal data]])</f>
        <v>1044.4499999999998</v>
      </c>
      <c r="T1557" t="str">
        <f t="shared" si="98"/>
        <v>UNIQUE</v>
      </c>
      <c r="U1557" t="str">
        <f>IF(ISBLANK(Table1[[#This Row],[SizeOption]]),"NOT AVAILABLE",Table1[[#This Row],[SizeOption]])</f>
        <v>26, 28, 30, 32, 34, 36</v>
      </c>
      <c r="Y1557" t="str">
        <f>IF(Table2[[#This Row],[Column1]]&gt;50%,"HIGH DISCOUNT","LOW DISCOUNT")</f>
        <v>LOW DISCOUNT</v>
      </c>
    </row>
    <row r="1558" spans="1:25" x14ac:dyDescent="0.25">
      <c r="A1558" s="1" t="s">
        <v>3395</v>
      </c>
      <c r="B1558" s="1">
        <v>10685308</v>
      </c>
      <c r="C1558" s="1" t="s">
        <v>169</v>
      </c>
      <c r="D1558" s="1" t="s">
        <v>15</v>
      </c>
      <c r="E1558" s="1" t="s">
        <v>16</v>
      </c>
      <c r="F1558" s="1" t="s">
        <v>17</v>
      </c>
      <c r="G1558" s="1" t="s">
        <v>173</v>
      </c>
      <c r="H1558">
        <v>1319</v>
      </c>
      <c r="I1558" s="1">
        <v>2399</v>
      </c>
      <c r="J1558" s="1" t="s">
        <v>19</v>
      </c>
      <c r="K1558" s="1" t="s">
        <v>171</v>
      </c>
      <c r="L1558" s="1">
        <v>4.2</v>
      </c>
      <c r="M1558" s="1">
        <v>755</v>
      </c>
      <c r="P1558" t="str">
        <f t="shared" si="99"/>
        <v>45%</v>
      </c>
      <c r="Q1558" s="12">
        <f t="shared" si="96"/>
        <v>0.45</v>
      </c>
      <c r="R1558" s="9">
        <f t="shared" si="97"/>
        <v>1319.45</v>
      </c>
      <c r="S1558" s="9">
        <f>IF(R1558="",AVERAGEIF(Table1[Category],Table1[[#This Row],[Category]],Table2[orignal data]),Table2[[#This Row],[orignal data]])</f>
        <v>1319.45</v>
      </c>
      <c r="T1558" t="str">
        <f t="shared" si="98"/>
        <v>UNIQUE</v>
      </c>
      <c r="U1558" t="str">
        <f>IF(ISBLANK(Table1[[#This Row],[SizeOption]]),"NOT AVAILABLE",Table1[[#This Row],[SizeOption]])</f>
        <v>28, 30, 32, 34, 36, 38</v>
      </c>
      <c r="Y1558" t="str">
        <f>IF(Table2[[#This Row],[Column1]]&gt;50%,"HIGH DISCOUNT","LOW DISCOUNT")</f>
        <v>LOW DISCOUNT</v>
      </c>
    </row>
    <row r="1559" spans="1:25" x14ac:dyDescent="0.25">
      <c r="A1559" s="2" t="s">
        <v>3396</v>
      </c>
      <c r="B1559" s="2">
        <v>7278581</v>
      </c>
      <c r="C1559" s="2" t="s">
        <v>14</v>
      </c>
      <c r="D1559" s="2" t="s">
        <v>15</v>
      </c>
      <c r="E1559" s="2" t="s">
        <v>16</v>
      </c>
      <c r="F1559" s="2" t="s">
        <v>17</v>
      </c>
      <c r="G1559" s="2" t="s">
        <v>918</v>
      </c>
      <c r="H1559">
        <v>759</v>
      </c>
      <c r="I1559" s="2">
        <v>1899</v>
      </c>
      <c r="J1559" s="2" t="s">
        <v>55</v>
      </c>
      <c r="K1559" s="2" t="s">
        <v>20</v>
      </c>
      <c r="L1559" s="2">
        <v>3.9</v>
      </c>
      <c r="M1559" s="2">
        <v>755</v>
      </c>
      <c r="P1559" t="str">
        <f t="shared" si="99"/>
        <v>60%</v>
      </c>
      <c r="Q1559" s="12">
        <f t="shared" si="96"/>
        <v>0.6</v>
      </c>
      <c r="R1559" s="9">
        <f t="shared" si="97"/>
        <v>759.60000000000014</v>
      </c>
      <c r="S1559" s="9">
        <f>IF(R1559="",AVERAGEIF(Table1[Category],Table1[[#This Row],[Category]],Table2[orignal data]),Table2[[#This Row],[orignal data]])</f>
        <v>759.60000000000014</v>
      </c>
      <c r="T1559" t="str">
        <f t="shared" si="98"/>
        <v>UNIQUE</v>
      </c>
      <c r="U1559" t="str">
        <f>IF(ISBLANK(Table1[[#This Row],[SizeOption]]),"NOT AVAILABLE",Table1[[#This Row],[SizeOption]])</f>
        <v>28, 30, 32, 34, 36</v>
      </c>
      <c r="Y1559" t="str">
        <f>IF(Table2[[#This Row],[Column1]]&gt;50%,"HIGH DISCOUNT","LOW DISCOUNT")</f>
        <v>HIGH DISCOUNT</v>
      </c>
    </row>
    <row r="1560" spans="1:25" x14ac:dyDescent="0.25">
      <c r="A1560" s="1" t="s">
        <v>3397</v>
      </c>
      <c r="B1560" s="1">
        <v>13842342</v>
      </c>
      <c r="C1560" s="1" t="s">
        <v>52</v>
      </c>
      <c r="D1560" s="1" t="s">
        <v>28</v>
      </c>
      <c r="E1560" s="1" t="s">
        <v>29</v>
      </c>
      <c r="F1560" s="1" t="s">
        <v>17</v>
      </c>
      <c r="G1560" s="1" t="s">
        <v>3398</v>
      </c>
      <c r="H1560">
        <v>516</v>
      </c>
      <c r="I1560" s="1">
        <v>1099</v>
      </c>
      <c r="J1560" s="1" t="s">
        <v>89</v>
      </c>
      <c r="K1560" s="1" t="s">
        <v>90</v>
      </c>
      <c r="L1560" s="1">
        <v>4.2</v>
      </c>
      <c r="M1560" s="1">
        <v>755</v>
      </c>
      <c r="P1560" t="str">
        <f t="shared" si="99"/>
        <v>53%</v>
      </c>
      <c r="Q1560" s="12">
        <f t="shared" si="96"/>
        <v>0.53</v>
      </c>
      <c r="R1560" s="9">
        <f t="shared" si="97"/>
        <v>516.53</v>
      </c>
      <c r="S1560" s="9">
        <f>IF(R1560="",AVERAGEIF(Table1[Category],Table1[[#This Row],[Category]],Table2[orignal data]),Table2[[#This Row],[orignal data]])</f>
        <v>516.53</v>
      </c>
      <c r="T1560" t="str">
        <f t="shared" si="98"/>
        <v>UNIQUE</v>
      </c>
      <c r="U1560" t="str">
        <f>IF(ISBLANK(Table1[[#This Row],[SizeOption]]),"NOT AVAILABLE",Table1[[#This Row],[SizeOption]])</f>
        <v>39, 40, 42, 44</v>
      </c>
      <c r="Y1560" t="str">
        <f>IF(Table2[[#This Row],[Column1]]&gt;50%,"HIGH DISCOUNT","LOW DISCOUNT")</f>
        <v>HIGH DISCOUNT</v>
      </c>
    </row>
    <row r="1561" spans="1:25" x14ac:dyDescent="0.25">
      <c r="A1561" s="2" t="s">
        <v>3399</v>
      </c>
      <c r="B1561" s="2">
        <v>6791055</v>
      </c>
      <c r="C1561" s="2" t="s">
        <v>67</v>
      </c>
      <c r="D1561" s="2" t="s">
        <v>28</v>
      </c>
      <c r="E1561" s="2" t="s">
        <v>42</v>
      </c>
      <c r="F1561" s="2" t="s">
        <v>17</v>
      </c>
      <c r="G1561" s="2" t="s">
        <v>3400</v>
      </c>
      <c r="H1561">
        <v>384</v>
      </c>
      <c r="I1561" s="2">
        <v>1099</v>
      </c>
      <c r="J1561" s="2" t="s">
        <v>150</v>
      </c>
      <c r="K1561" s="2" t="s">
        <v>39</v>
      </c>
      <c r="L1561" s="2">
        <v>4</v>
      </c>
      <c r="M1561" s="2">
        <v>755</v>
      </c>
      <c r="P1561" t="str">
        <f t="shared" si="99"/>
        <v>65%</v>
      </c>
      <c r="Q1561" s="12">
        <f t="shared" si="96"/>
        <v>0.65</v>
      </c>
      <c r="R1561" s="9">
        <f t="shared" si="97"/>
        <v>384.65</v>
      </c>
      <c r="S1561" s="9">
        <f>IF(R1561="",AVERAGEIF(Table1[Category],Table1[[#This Row],[Category]],Table2[orignal data]),Table2[[#This Row],[orignal data]])</f>
        <v>384.65</v>
      </c>
      <c r="T1561" t="str">
        <f t="shared" si="98"/>
        <v>UNIQUE</v>
      </c>
      <c r="U1561" t="str">
        <f>IF(ISBLANK(Table1[[#This Row],[SizeOption]]),"NOT AVAILABLE",Table1[[#This Row],[SizeOption]])</f>
        <v>S, M, L, XL, XXL</v>
      </c>
      <c r="Y1561" t="str">
        <f>IF(Table2[[#This Row],[Column1]]&gt;50%,"HIGH DISCOUNT","LOW DISCOUNT")</f>
        <v>HIGH DISCOUNT</v>
      </c>
    </row>
    <row r="1562" spans="1:25" x14ac:dyDescent="0.25">
      <c r="A1562" s="1" t="s">
        <v>3401</v>
      </c>
      <c r="B1562" s="1">
        <v>8571065</v>
      </c>
      <c r="C1562" s="1" t="s">
        <v>3402</v>
      </c>
      <c r="D1562" s="1" t="s">
        <v>28</v>
      </c>
      <c r="E1562" s="1" t="s">
        <v>29</v>
      </c>
      <c r="F1562" s="1" t="s">
        <v>17</v>
      </c>
      <c r="G1562" s="1" t="s">
        <v>3403</v>
      </c>
      <c r="H1562">
        <v>649</v>
      </c>
      <c r="I1562" s="1">
        <v>999</v>
      </c>
      <c r="J1562" s="1" t="s">
        <v>44</v>
      </c>
      <c r="K1562" s="1" t="s">
        <v>253</v>
      </c>
      <c r="L1562" s="1">
        <v>4</v>
      </c>
      <c r="M1562" s="1">
        <v>755</v>
      </c>
      <c r="P1562" t="str">
        <f t="shared" si="99"/>
        <v>35%</v>
      </c>
      <c r="Q1562" s="12">
        <f t="shared" si="96"/>
        <v>0.35</v>
      </c>
      <c r="R1562" s="9">
        <f t="shared" si="97"/>
        <v>649.35</v>
      </c>
      <c r="S1562" s="9">
        <f>IF(R1562="",AVERAGEIF(Table1[Category],Table1[[#This Row],[Category]],Table2[orignal data]),Table2[[#This Row],[orignal data]])</f>
        <v>649.35</v>
      </c>
      <c r="T1562" t="str">
        <f t="shared" si="98"/>
        <v>UNIQUE</v>
      </c>
      <c r="U1562" t="str">
        <f>IF(ISBLANK(Table1[[#This Row],[SizeOption]]),"NOT AVAILABLE",Table1[[#This Row],[SizeOption]])</f>
        <v>38, 40, 42, 44</v>
      </c>
      <c r="Y1562" t="str">
        <f>IF(Table2[[#This Row],[Column1]]&gt;50%,"HIGH DISCOUNT","LOW DISCOUNT")</f>
        <v>LOW DISCOUNT</v>
      </c>
    </row>
    <row r="1563" spans="1:25" x14ac:dyDescent="0.25">
      <c r="A1563" s="2" t="s">
        <v>3404</v>
      </c>
      <c r="B1563" s="2">
        <v>12135010</v>
      </c>
      <c r="C1563" s="2" t="s">
        <v>113</v>
      </c>
      <c r="D1563" s="2" t="s">
        <v>76</v>
      </c>
      <c r="E1563" s="2" t="s">
        <v>93</v>
      </c>
      <c r="F1563" s="2" t="s">
        <v>36</v>
      </c>
      <c r="G1563" s="2" t="s">
        <v>3405</v>
      </c>
      <c r="H1563">
        <v>629</v>
      </c>
      <c r="I1563" s="2">
        <v>1399</v>
      </c>
      <c r="J1563" s="2" t="s">
        <v>25</v>
      </c>
      <c r="K1563" s="2" t="s">
        <v>115</v>
      </c>
      <c r="L1563" s="2">
        <v>4.0999999999999996</v>
      </c>
      <c r="M1563" s="2">
        <v>755</v>
      </c>
      <c r="P1563" t="str">
        <f t="shared" si="99"/>
        <v>55%</v>
      </c>
      <c r="Q1563" s="12">
        <f t="shared" si="96"/>
        <v>0.55000000000000004</v>
      </c>
      <c r="R1563" s="9">
        <f t="shared" si="97"/>
        <v>629.54999999999995</v>
      </c>
      <c r="S1563" s="9">
        <f>IF(R1563="",AVERAGEIF(Table1[Category],Table1[[#This Row],[Category]],Table2[orignal data]),Table2[[#This Row],[orignal data]])</f>
        <v>629.54999999999995</v>
      </c>
      <c r="T1563" t="str">
        <f t="shared" si="98"/>
        <v>UNIQUE</v>
      </c>
      <c r="U1563" t="str">
        <f>IF(ISBLANK(Table1[[#This Row],[SizeOption]]),"NOT AVAILABLE",Table1[[#This Row],[SizeOption]])</f>
        <v>XS, S, M, L, XL, XXL</v>
      </c>
      <c r="Y1563" t="str">
        <f>IF(Table2[[#This Row],[Column1]]&gt;50%,"HIGH DISCOUNT","LOW DISCOUNT")</f>
        <v>HIGH DISCOUNT</v>
      </c>
    </row>
    <row r="1564" spans="1:25" x14ac:dyDescent="0.25">
      <c r="A1564" s="1" t="s">
        <v>3406</v>
      </c>
      <c r="B1564" s="1">
        <v>15268846</v>
      </c>
      <c r="C1564" s="1" t="s">
        <v>277</v>
      </c>
      <c r="D1564" s="1" t="s">
        <v>76</v>
      </c>
      <c r="E1564" s="1" t="s">
        <v>93</v>
      </c>
      <c r="F1564" s="1" t="s">
        <v>36</v>
      </c>
      <c r="G1564" s="1" t="s">
        <v>3407</v>
      </c>
      <c r="H1564">
        <v>824</v>
      </c>
      <c r="I1564" s="1">
        <v>3299</v>
      </c>
      <c r="J1564" s="1" t="s">
        <v>109</v>
      </c>
      <c r="K1564" s="1" t="s">
        <v>39</v>
      </c>
      <c r="L1564" s="1">
        <v>4.2</v>
      </c>
      <c r="M1564" s="1">
        <v>755</v>
      </c>
      <c r="P1564" t="str">
        <f t="shared" si="99"/>
        <v>75%</v>
      </c>
      <c r="Q1564" s="12">
        <f t="shared" si="96"/>
        <v>0.75</v>
      </c>
      <c r="R1564" s="9">
        <f t="shared" si="97"/>
        <v>824.75</v>
      </c>
      <c r="S1564" s="9">
        <f>IF(R1564="",AVERAGEIF(Table1[Category],Table1[[#This Row],[Category]],Table2[orignal data]),Table2[[#This Row],[orignal data]])</f>
        <v>824.75</v>
      </c>
      <c r="T1564" t="str">
        <f t="shared" si="98"/>
        <v>UNIQUE</v>
      </c>
      <c r="U1564" t="str">
        <f>IF(ISBLANK(Table1[[#This Row],[SizeOption]]),"NOT AVAILABLE",Table1[[#This Row],[SizeOption]])</f>
        <v>S, M, L, XL, XXL</v>
      </c>
      <c r="Y1564" t="str">
        <f>IF(Table2[[#This Row],[Column1]]&gt;50%,"HIGH DISCOUNT","LOW DISCOUNT")</f>
        <v>HIGH DISCOUNT</v>
      </c>
    </row>
    <row r="1565" spans="1:25" x14ac:dyDescent="0.25">
      <c r="A1565" s="2" t="s">
        <v>3408</v>
      </c>
      <c r="B1565" s="2">
        <v>10316807</v>
      </c>
      <c r="C1565" s="2" t="s">
        <v>405</v>
      </c>
      <c r="D1565" s="2" t="s">
        <v>34</v>
      </c>
      <c r="E1565" s="2" t="s">
        <v>406</v>
      </c>
      <c r="F1565" s="2" t="s">
        <v>36</v>
      </c>
      <c r="G1565" s="2" t="s">
        <v>3409</v>
      </c>
      <c r="H1565">
        <v>1044</v>
      </c>
      <c r="I1565" s="2">
        <v>1899</v>
      </c>
      <c r="J1565" s="2" t="s">
        <v>19</v>
      </c>
      <c r="K1565" s="2" t="s">
        <v>26</v>
      </c>
      <c r="L1565" s="2">
        <v>4.0999999999999996</v>
      </c>
      <c r="M1565" s="2">
        <v>755</v>
      </c>
      <c r="P1565" t="str">
        <f t="shared" si="99"/>
        <v>45%</v>
      </c>
      <c r="Q1565" s="12">
        <f t="shared" si="96"/>
        <v>0.45</v>
      </c>
      <c r="R1565" s="9">
        <f t="shared" si="97"/>
        <v>1044.4499999999998</v>
      </c>
      <c r="S1565" s="9">
        <f>IF(R1565="",AVERAGEIF(Table1[Category],Table1[[#This Row],[Category]],Table2[orignal data]),Table2[[#This Row],[orignal data]])</f>
        <v>1044.4499999999998</v>
      </c>
      <c r="T1565" t="str">
        <f t="shared" si="98"/>
        <v>UNIQUE</v>
      </c>
      <c r="U1565" t="str">
        <f>IF(ISBLANK(Table1[[#This Row],[SizeOption]]),"NOT AVAILABLE",Table1[[#This Row],[SizeOption]])</f>
        <v>S, M, L, XL</v>
      </c>
      <c r="Y1565" t="str">
        <f>IF(Table2[[#This Row],[Column1]]&gt;50%,"HIGH DISCOUNT","LOW DISCOUNT")</f>
        <v>LOW DISCOUNT</v>
      </c>
    </row>
    <row r="1566" spans="1:25" x14ac:dyDescent="0.25">
      <c r="A1566" s="1" t="s">
        <v>3410</v>
      </c>
      <c r="B1566" s="1">
        <v>10742396</v>
      </c>
      <c r="C1566" s="1" t="s">
        <v>102</v>
      </c>
      <c r="D1566" s="1" t="s">
        <v>41</v>
      </c>
      <c r="E1566" s="1" t="s">
        <v>189</v>
      </c>
      <c r="F1566" s="1" t="s">
        <v>36</v>
      </c>
      <c r="G1566" s="1" t="s">
        <v>3411</v>
      </c>
      <c r="I1566" s="1">
        <v>1599</v>
      </c>
      <c r="J1566" s="1" t="s">
        <v>282</v>
      </c>
      <c r="K1566" s="1" t="s">
        <v>26</v>
      </c>
      <c r="L1566" s="1">
        <v>4.4000000000000004</v>
      </c>
      <c r="M1566" s="1">
        <v>755</v>
      </c>
      <c r="P1566" t="str">
        <f t="shared" si="99"/>
        <v>25%</v>
      </c>
      <c r="Q1566" s="12">
        <f t="shared" si="96"/>
        <v>0.25</v>
      </c>
      <c r="R1566" s="9">
        <f t="shared" si="97"/>
        <v>1199.25</v>
      </c>
      <c r="S1566" s="9">
        <f>IF(R1566="",AVERAGEIF(Table1[Category],Table1[[#This Row],[Category]],Table2[orignal data]),Table2[[#This Row],[orignal data]])</f>
        <v>1199.25</v>
      </c>
      <c r="T1566" t="str">
        <f t="shared" si="98"/>
        <v>UNIQUE</v>
      </c>
      <c r="U1566" t="str">
        <f>IF(ISBLANK(Table1[[#This Row],[SizeOption]]),"NOT AVAILABLE",Table1[[#This Row],[SizeOption]])</f>
        <v>S, M, L, XL</v>
      </c>
      <c r="Y1566" t="str">
        <f>IF(Table2[[#This Row],[Column1]]&gt;50%,"HIGH DISCOUNT","LOW DISCOUNT")</f>
        <v>LOW DISCOUNT</v>
      </c>
    </row>
    <row r="1567" spans="1:25" x14ac:dyDescent="0.25">
      <c r="A1567" s="2" t="s">
        <v>3412</v>
      </c>
      <c r="B1567" s="2">
        <v>13843254</v>
      </c>
      <c r="C1567" s="2" t="s">
        <v>181</v>
      </c>
      <c r="D1567" s="2" t="s">
        <v>41</v>
      </c>
      <c r="E1567" s="2" t="s">
        <v>579</v>
      </c>
      <c r="F1567" s="2" t="s">
        <v>36</v>
      </c>
      <c r="G1567" s="2" t="s">
        <v>3394</v>
      </c>
      <c r="I1567" s="2">
        <v>1899</v>
      </c>
      <c r="J1567" s="2" t="s">
        <v>84</v>
      </c>
      <c r="K1567" s="2" t="s">
        <v>134</v>
      </c>
      <c r="L1567" s="2">
        <v>4.3</v>
      </c>
      <c r="M1567" s="2">
        <v>755</v>
      </c>
      <c r="P1567" t="str">
        <f t="shared" si="99"/>
        <v>50%</v>
      </c>
      <c r="Q1567" s="12">
        <f t="shared" si="96"/>
        <v>0.5</v>
      </c>
      <c r="R1567" s="9">
        <f t="shared" si="97"/>
        <v>949.5</v>
      </c>
      <c r="S1567" s="9">
        <f>IF(R1567="",AVERAGEIF(Table1[Category],Table1[[#This Row],[Category]],Table2[orignal data]),Table2[[#This Row],[orignal data]])</f>
        <v>949.5</v>
      </c>
      <c r="T1567" t="str">
        <f t="shared" si="98"/>
        <v>UNIQUE</v>
      </c>
      <c r="U1567" t="str">
        <f>IF(ISBLANK(Table1[[#This Row],[SizeOption]]),"NOT AVAILABLE",Table1[[#This Row],[SizeOption]])</f>
        <v>26, 28, 30, 32, 34, 36</v>
      </c>
      <c r="Y1567" t="str">
        <f>IF(Table2[[#This Row],[Column1]]&gt;50%,"HIGH DISCOUNT","LOW DISCOUNT")</f>
        <v>LOW DISCOUNT</v>
      </c>
    </row>
    <row r="1568" spans="1:25" x14ac:dyDescent="0.25">
      <c r="A1568" s="1" t="s">
        <v>3413</v>
      </c>
      <c r="B1568" s="1">
        <v>10720136</v>
      </c>
      <c r="C1568" s="1" t="s">
        <v>107</v>
      </c>
      <c r="D1568" s="1" t="s">
        <v>41</v>
      </c>
      <c r="E1568" s="1" t="s">
        <v>148</v>
      </c>
      <c r="F1568" s="1" t="s">
        <v>36</v>
      </c>
      <c r="G1568" s="1" t="s">
        <v>3414</v>
      </c>
      <c r="I1568" s="1">
        <v>1999</v>
      </c>
      <c r="J1568" s="1" t="s">
        <v>79</v>
      </c>
      <c r="K1568" s="1" t="s">
        <v>45</v>
      </c>
      <c r="L1568" s="1">
        <v>4.2</v>
      </c>
      <c r="M1568" s="1">
        <v>755</v>
      </c>
      <c r="P1568" t="str">
        <f t="shared" si="99"/>
        <v>70%</v>
      </c>
      <c r="Q1568" s="12">
        <f t="shared" si="96"/>
        <v>0.7</v>
      </c>
      <c r="R1568" s="9">
        <f t="shared" si="97"/>
        <v>599.70000000000005</v>
      </c>
      <c r="S1568" s="9">
        <f>IF(R1568="",AVERAGEIF(Table1[Category],Table1[[#This Row],[Category]],Table2[orignal data]),Table2[[#This Row],[orignal data]])</f>
        <v>599.70000000000005</v>
      </c>
      <c r="T1568" t="str">
        <f t="shared" si="98"/>
        <v>UNIQUE</v>
      </c>
      <c r="U1568" t="str">
        <f>IF(ISBLANK(Table1[[#This Row],[SizeOption]]),"NOT AVAILABLE",Table1[[#This Row],[SizeOption]])</f>
        <v>XS, S, M, L, XL</v>
      </c>
      <c r="Y1568" t="str">
        <f>IF(Table2[[#This Row],[Column1]]&gt;50%,"HIGH DISCOUNT","LOW DISCOUNT")</f>
        <v>HIGH DISCOUNT</v>
      </c>
    </row>
    <row r="1569" spans="1:25" x14ac:dyDescent="0.25">
      <c r="A1569" s="2" t="s">
        <v>3415</v>
      </c>
      <c r="B1569" s="2">
        <v>12303596</v>
      </c>
      <c r="C1569" s="2" t="s">
        <v>14</v>
      </c>
      <c r="D1569" s="2" t="s">
        <v>15</v>
      </c>
      <c r="E1569" s="2" t="s">
        <v>16</v>
      </c>
      <c r="F1569" s="2" t="s">
        <v>17</v>
      </c>
      <c r="G1569" s="2" t="s">
        <v>3416</v>
      </c>
      <c r="I1569" s="2">
        <v>1799</v>
      </c>
      <c r="J1569" s="2"/>
      <c r="K1569" s="2" t="s">
        <v>20</v>
      </c>
      <c r="L1569" s="2">
        <v>3.9</v>
      </c>
      <c r="M1569" s="2">
        <v>754</v>
      </c>
      <c r="P1569" t="str">
        <f t="shared" si="99"/>
        <v/>
      </c>
      <c r="Q1569" s="12" t="str">
        <f t="shared" si="96"/>
        <v/>
      </c>
      <c r="R1569" s="9" t="str">
        <f t="shared" si="97"/>
        <v/>
      </c>
      <c r="S1569" s="9">
        <f>IF(R1569="",AVERAGEIF(Table1[Category],Table1[[#This Row],[Category]],Table2[orignal data]),Table2[[#This Row],[orignal data]])</f>
        <v>892.27590339892538</v>
      </c>
      <c r="T1569" t="str">
        <f t="shared" si="98"/>
        <v>UNIQUE</v>
      </c>
      <c r="U1569" t="str">
        <f>IF(ISBLANK(Table1[[#This Row],[SizeOption]]),"NOT AVAILABLE",Table1[[#This Row],[SizeOption]])</f>
        <v>28, 30, 32, 34, 36</v>
      </c>
      <c r="Y1569" t="str">
        <f>IF(Table2[[#This Row],[Column1]]&gt;50%,"HIGH DISCOUNT","LOW DISCOUNT")</f>
        <v>HIGH DISCOUNT</v>
      </c>
    </row>
    <row r="1570" spans="1:25" x14ac:dyDescent="0.25">
      <c r="A1570" s="1" t="s">
        <v>3417</v>
      </c>
      <c r="B1570" s="1">
        <v>10938454</v>
      </c>
      <c r="C1570" s="1" t="s">
        <v>14</v>
      </c>
      <c r="D1570" s="1" t="s">
        <v>28</v>
      </c>
      <c r="E1570" s="1" t="s">
        <v>42</v>
      </c>
      <c r="F1570" s="1" t="s">
        <v>17</v>
      </c>
      <c r="G1570" s="1" t="s">
        <v>3418</v>
      </c>
      <c r="H1570">
        <v>499</v>
      </c>
      <c r="I1570" s="1">
        <v>999</v>
      </c>
      <c r="J1570" s="1" t="s">
        <v>84</v>
      </c>
      <c r="K1570" s="1" t="s">
        <v>45</v>
      </c>
      <c r="L1570" s="1">
        <v>4.0999999999999996</v>
      </c>
      <c r="M1570" s="1">
        <v>754</v>
      </c>
      <c r="P1570" t="str">
        <f t="shared" si="99"/>
        <v>50%</v>
      </c>
      <c r="Q1570" s="12">
        <f t="shared" si="96"/>
        <v>0.5</v>
      </c>
      <c r="R1570" s="9">
        <f t="shared" si="97"/>
        <v>499.5</v>
      </c>
      <c r="S1570" s="9">
        <f>IF(R1570="",AVERAGEIF(Table1[Category],Table1[[#This Row],[Category]],Table2[orignal data]),Table2[[#This Row],[orignal data]])</f>
        <v>499.5</v>
      </c>
      <c r="T1570" t="str">
        <f t="shared" si="98"/>
        <v>UNIQUE</v>
      </c>
      <c r="U1570" t="str">
        <f>IF(ISBLANK(Table1[[#This Row],[SizeOption]]),"NOT AVAILABLE",Table1[[#This Row],[SizeOption]])</f>
        <v>XS, S, M, L, XL</v>
      </c>
      <c r="Y1570" t="str">
        <f>IF(Table2[[#This Row],[Column1]]&gt;50%,"HIGH DISCOUNT","LOW DISCOUNT")</f>
        <v>LOW DISCOUNT</v>
      </c>
    </row>
    <row r="1571" spans="1:25" x14ac:dyDescent="0.25">
      <c r="A1571" s="2" t="s">
        <v>3419</v>
      </c>
      <c r="B1571" s="2">
        <v>11053760</v>
      </c>
      <c r="C1571" s="2" t="s">
        <v>75</v>
      </c>
      <c r="D1571" s="2" t="s">
        <v>76</v>
      </c>
      <c r="E1571" s="2" t="s">
        <v>365</v>
      </c>
      <c r="F1571" s="2" t="s">
        <v>36</v>
      </c>
      <c r="G1571" s="2" t="s">
        <v>3420</v>
      </c>
      <c r="H1571">
        <v>639</v>
      </c>
      <c r="I1571" s="2">
        <v>1599</v>
      </c>
      <c r="J1571" s="2" t="s">
        <v>55</v>
      </c>
      <c r="K1571" s="2" t="s">
        <v>39</v>
      </c>
      <c r="L1571" s="2">
        <v>4.4000000000000004</v>
      </c>
      <c r="M1571" s="2">
        <v>754</v>
      </c>
      <c r="P1571" t="str">
        <f t="shared" si="99"/>
        <v>60%</v>
      </c>
      <c r="Q1571" s="12">
        <f t="shared" si="96"/>
        <v>0.6</v>
      </c>
      <c r="R1571" s="9">
        <f t="shared" si="97"/>
        <v>639.6</v>
      </c>
      <c r="S1571" s="9">
        <f>IF(R1571="",AVERAGEIF(Table1[Category],Table1[[#This Row],[Category]],Table2[orignal data]),Table2[[#This Row],[orignal data]])</f>
        <v>639.6</v>
      </c>
      <c r="T1571" t="str">
        <f t="shared" si="98"/>
        <v>UNIQUE</v>
      </c>
      <c r="U1571" t="str">
        <f>IF(ISBLANK(Table1[[#This Row],[SizeOption]]),"NOT AVAILABLE",Table1[[#This Row],[SizeOption]])</f>
        <v>S, M, L, XL, XXL</v>
      </c>
      <c r="Y1571" t="str">
        <f>IF(Table2[[#This Row],[Column1]]&gt;50%,"HIGH DISCOUNT","LOW DISCOUNT")</f>
        <v>HIGH DISCOUNT</v>
      </c>
    </row>
    <row r="1572" spans="1:25" x14ac:dyDescent="0.25">
      <c r="A1572" s="1" t="s">
        <v>3421</v>
      </c>
      <c r="B1572" s="1">
        <v>6820287</v>
      </c>
      <c r="C1572" s="1" t="s">
        <v>33</v>
      </c>
      <c r="D1572" s="1" t="s">
        <v>34</v>
      </c>
      <c r="E1572" s="1" t="s">
        <v>118</v>
      </c>
      <c r="F1572" s="1" t="s">
        <v>36</v>
      </c>
      <c r="G1572" s="1" t="s">
        <v>3422</v>
      </c>
      <c r="H1572">
        <v>447</v>
      </c>
      <c r="I1572" s="1">
        <v>995</v>
      </c>
      <c r="J1572" s="1" t="s">
        <v>25</v>
      </c>
      <c r="K1572" s="1" t="s">
        <v>1113</v>
      </c>
      <c r="L1572" s="1">
        <v>4.2</v>
      </c>
      <c r="M1572" s="1">
        <v>754</v>
      </c>
      <c r="P1572" t="str">
        <f t="shared" si="99"/>
        <v>55%</v>
      </c>
      <c r="Q1572" s="12">
        <f t="shared" si="96"/>
        <v>0.55000000000000004</v>
      </c>
      <c r="R1572" s="9">
        <f t="shared" si="97"/>
        <v>447.75</v>
      </c>
      <c r="S1572" s="9">
        <f>IF(R1572="",AVERAGEIF(Table1[Category],Table1[[#This Row],[Category]],Table2[orignal data]),Table2[[#This Row],[orignal data]])</f>
        <v>447.75</v>
      </c>
      <c r="T1572" t="str">
        <f t="shared" si="98"/>
        <v>UNIQUE</v>
      </c>
      <c r="U1572" t="str">
        <f>IF(ISBLANK(Table1[[#This Row],[SizeOption]]),"NOT AVAILABLE",Table1[[#This Row],[SizeOption]])</f>
        <v>32B, 32C, 32D, 34B, 34C, 34D, 36B, 36C, 36D, 38B, 38C, 38D</v>
      </c>
      <c r="Y1572" t="str">
        <f>IF(Table2[[#This Row],[Column1]]&gt;50%,"HIGH DISCOUNT","LOW DISCOUNT")</f>
        <v>HIGH DISCOUNT</v>
      </c>
    </row>
    <row r="1573" spans="1:25" x14ac:dyDescent="0.25">
      <c r="A1573" s="2" t="s">
        <v>3423</v>
      </c>
      <c r="B1573" s="2">
        <v>12142722</v>
      </c>
      <c r="C1573" s="2" t="s">
        <v>1024</v>
      </c>
      <c r="D1573" s="2" t="s">
        <v>76</v>
      </c>
      <c r="E1573" s="2" t="s">
        <v>93</v>
      </c>
      <c r="F1573" s="2" t="s">
        <v>36</v>
      </c>
      <c r="G1573" s="2" t="s">
        <v>3424</v>
      </c>
      <c r="H1573">
        <v>1300</v>
      </c>
      <c r="I1573" s="2">
        <v>2600</v>
      </c>
      <c r="J1573" s="2" t="s">
        <v>84</v>
      </c>
      <c r="K1573" s="2" t="s">
        <v>73</v>
      </c>
      <c r="L1573" s="2">
        <v>4.2</v>
      </c>
      <c r="M1573" s="2">
        <v>753</v>
      </c>
      <c r="P1573" t="str">
        <f t="shared" si="99"/>
        <v>50%</v>
      </c>
      <c r="Q1573" s="12">
        <f t="shared" si="96"/>
        <v>0.5</v>
      </c>
      <c r="R1573" s="9">
        <f t="shared" si="97"/>
        <v>1300</v>
      </c>
      <c r="S1573" s="9">
        <f>IF(R1573="",AVERAGEIF(Table1[Category],Table1[[#This Row],[Category]],Table2[orignal data]),Table2[[#This Row],[orignal data]])</f>
        <v>1300</v>
      </c>
      <c r="T1573" t="str">
        <f t="shared" si="98"/>
        <v>UNIQUE</v>
      </c>
      <c r="U1573" t="str">
        <f>IF(ISBLANK(Table1[[#This Row],[SizeOption]]),"NOT AVAILABLE",Table1[[#This Row],[SizeOption]])</f>
        <v>XS, S, M, L, XL, XXL, 3XL, 4XL</v>
      </c>
      <c r="Y1573" t="str">
        <f>IF(Table2[[#This Row],[Column1]]&gt;50%,"HIGH DISCOUNT","LOW DISCOUNT")</f>
        <v>LOW DISCOUNT</v>
      </c>
    </row>
    <row r="1574" spans="1:25" x14ac:dyDescent="0.25">
      <c r="A1574" s="1" t="s">
        <v>3425</v>
      </c>
      <c r="B1574" s="1">
        <v>12026426</v>
      </c>
      <c r="C1574" s="1" t="s">
        <v>102</v>
      </c>
      <c r="D1574" s="1" t="s">
        <v>41</v>
      </c>
      <c r="E1574" s="1" t="s">
        <v>53</v>
      </c>
      <c r="F1574" s="1" t="s">
        <v>36</v>
      </c>
      <c r="G1574" s="1" t="s">
        <v>3426</v>
      </c>
      <c r="I1574" s="1">
        <v>1249</v>
      </c>
      <c r="J1574" s="1" t="s">
        <v>602</v>
      </c>
      <c r="K1574" s="1" t="s">
        <v>105</v>
      </c>
      <c r="L1574" s="1">
        <v>4.0999999999999996</v>
      </c>
      <c r="M1574" s="1">
        <v>753</v>
      </c>
      <c r="P1574" t="str">
        <f t="shared" si="99"/>
        <v>48%</v>
      </c>
      <c r="Q1574" s="12">
        <f t="shared" si="96"/>
        <v>0.48</v>
      </c>
      <c r="R1574" s="9">
        <f t="shared" si="97"/>
        <v>649.48</v>
      </c>
      <c r="S1574" s="9">
        <f>IF(R1574="",AVERAGEIF(Table1[Category],Table1[[#This Row],[Category]],Table2[orignal data]),Table2[[#This Row],[orignal data]])</f>
        <v>649.48</v>
      </c>
      <c r="T1574" t="str">
        <f t="shared" si="98"/>
        <v>UNIQUE</v>
      </c>
      <c r="U1574" t="str">
        <f>IF(ISBLANK(Table1[[#This Row],[SizeOption]]),"NOT AVAILABLE",Table1[[#This Row],[SizeOption]])</f>
        <v>28, 30, 32, 34</v>
      </c>
      <c r="Y1574" t="str">
        <f>IF(Table2[[#This Row],[Column1]]&gt;50%,"HIGH DISCOUNT","LOW DISCOUNT")</f>
        <v>LOW DISCOUNT</v>
      </c>
    </row>
    <row r="1575" spans="1:25" x14ac:dyDescent="0.25">
      <c r="A1575" s="2" t="s">
        <v>3427</v>
      </c>
      <c r="B1575" s="2">
        <v>17384844</v>
      </c>
      <c r="C1575" s="2" t="s">
        <v>14</v>
      </c>
      <c r="D1575" s="2" t="s">
        <v>41</v>
      </c>
      <c r="E1575" s="2" t="s">
        <v>42</v>
      </c>
      <c r="F1575" s="2" t="s">
        <v>36</v>
      </c>
      <c r="G1575" s="2" t="s">
        <v>1405</v>
      </c>
      <c r="I1575" s="2">
        <v>1398</v>
      </c>
      <c r="J1575" s="2" t="s">
        <v>84</v>
      </c>
      <c r="K1575" s="2" t="s">
        <v>45</v>
      </c>
      <c r="L1575" s="2">
        <v>4.4000000000000004</v>
      </c>
      <c r="M1575" s="2">
        <v>753</v>
      </c>
      <c r="P1575" t="str">
        <f t="shared" si="99"/>
        <v>50%</v>
      </c>
      <c r="Q1575" s="12">
        <f t="shared" si="96"/>
        <v>0.5</v>
      </c>
      <c r="R1575" s="9">
        <f t="shared" si="97"/>
        <v>699</v>
      </c>
      <c r="S1575" s="9">
        <f>IF(R1575="",AVERAGEIF(Table1[Category],Table1[[#This Row],[Category]],Table2[orignal data]),Table2[[#This Row],[orignal data]])</f>
        <v>699</v>
      </c>
      <c r="T1575" t="str">
        <f t="shared" si="98"/>
        <v>UNIQUE</v>
      </c>
      <c r="U1575" t="str">
        <f>IF(ISBLANK(Table1[[#This Row],[SizeOption]]),"NOT AVAILABLE",Table1[[#This Row],[SizeOption]])</f>
        <v>XS, S, M, L, XL</v>
      </c>
      <c r="Y1575" t="str">
        <f>IF(Table2[[#This Row],[Column1]]&gt;50%,"HIGH DISCOUNT","LOW DISCOUNT")</f>
        <v>LOW DISCOUNT</v>
      </c>
    </row>
    <row r="1576" spans="1:25" x14ac:dyDescent="0.25">
      <c r="A1576" s="1" t="s">
        <v>3428</v>
      </c>
      <c r="B1576" s="1">
        <v>4451372</v>
      </c>
      <c r="C1576" s="1" t="s">
        <v>639</v>
      </c>
      <c r="D1576" s="1" t="s">
        <v>15</v>
      </c>
      <c r="E1576" s="1" t="s">
        <v>16</v>
      </c>
      <c r="F1576" s="1" t="s">
        <v>17</v>
      </c>
      <c r="G1576" s="1" t="s">
        <v>3429</v>
      </c>
      <c r="H1576">
        <v>759</v>
      </c>
      <c r="I1576" s="1">
        <v>1899</v>
      </c>
      <c r="J1576" s="1" t="s">
        <v>55</v>
      </c>
      <c r="K1576" s="1" t="s">
        <v>20</v>
      </c>
      <c r="L1576" s="1">
        <v>3.9</v>
      </c>
      <c r="M1576" s="1">
        <v>752</v>
      </c>
      <c r="P1576" t="str">
        <f t="shared" si="99"/>
        <v>60%</v>
      </c>
      <c r="Q1576" s="12">
        <f t="shared" si="96"/>
        <v>0.6</v>
      </c>
      <c r="R1576" s="9">
        <f t="shared" si="97"/>
        <v>759.60000000000014</v>
      </c>
      <c r="S1576" s="9">
        <f>IF(R1576="",AVERAGEIF(Table1[Category],Table1[[#This Row],[Category]],Table2[orignal data]),Table2[[#This Row],[orignal data]])</f>
        <v>759.60000000000014</v>
      </c>
      <c r="T1576" t="str">
        <f t="shared" si="98"/>
        <v>UNIQUE</v>
      </c>
      <c r="U1576" t="str">
        <f>IF(ISBLANK(Table1[[#This Row],[SizeOption]]),"NOT AVAILABLE",Table1[[#This Row],[SizeOption]])</f>
        <v>28, 30, 32, 34, 36</v>
      </c>
      <c r="Y1576" t="str">
        <f>IF(Table2[[#This Row],[Column1]]&gt;50%,"HIGH DISCOUNT","LOW DISCOUNT")</f>
        <v>HIGH DISCOUNT</v>
      </c>
    </row>
    <row r="1577" spans="1:25" x14ac:dyDescent="0.25">
      <c r="A1577" s="2" t="s">
        <v>3430</v>
      </c>
      <c r="B1577" s="2">
        <v>12252860</v>
      </c>
      <c r="C1577" s="2" t="s">
        <v>420</v>
      </c>
      <c r="D1577" s="2" t="s">
        <v>28</v>
      </c>
      <c r="E1577" s="2" t="s">
        <v>189</v>
      </c>
      <c r="F1577" s="2" t="s">
        <v>17</v>
      </c>
      <c r="G1577" s="2" t="s">
        <v>3431</v>
      </c>
      <c r="H1577">
        <v>923</v>
      </c>
      <c r="I1577" s="2">
        <v>2799</v>
      </c>
      <c r="J1577" s="2" t="s">
        <v>543</v>
      </c>
      <c r="K1577" s="2" t="s">
        <v>26</v>
      </c>
      <c r="L1577" s="2">
        <v>4</v>
      </c>
      <c r="M1577" s="2">
        <v>752</v>
      </c>
      <c r="P1577" t="str">
        <f t="shared" si="99"/>
        <v>67%</v>
      </c>
      <c r="Q1577" s="12">
        <f t="shared" si="96"/>
        <v>0.67</v>
      </c>
      <c r="R1577" s="9">
        <f t="shared" si="97"/>
        <v>923.66999999999985</v>
      </c>
      <c r="S1577" s="9">
        <f>IF(R1577="",AVERAGEIF(Table1[Category],Table1[[#This Row],[Category]],Table2[orignal data]),Table2[[#This Row],[orignal data]])</f>
        <v>923.66999999999985</v>
      </c>
      <c r="T1577" t="str">
        <f t="shared" si="98"/>
        <v>UNIQUE</v>
      </c>
      <c r="U1577" t="str">
        <f>IF(ISBLANK(Table1[[#This Row],[SizeOption]]),"NOT AVAILABLE",Table1[[#This Row],[SizeOption]])</f>
        <v>S, M, L, XL</v>
      </c>
      <c r="Y1577" t="str">
        <f>IF(Table2[[#This Row],[Column1]]&gt;50%,"HIGH DISCOUNT","LOW DISCOUNT")</f>
        <v>HIGH DISCOUNT</v>
      </c>
    </row>
    <row r="1578" spans="1:25" x14ac:dyDescent="0.25">
      <c r="A1578" s="1" t="s">
        <v>3432</v>
      </c>
      <c r="B1578" s="1">
        <v>17384220</v>
      </c>
      <c r="C1578" s="1" t="s">
        <v>14</v>
      </c>
      <c r="D1578" s="1" t="s">
        <v>41</v>
      </c>
      <c r="E1578" s="1" t="s">
        <v>42</v>
      </c>
      <c r="F1578" s="1" t="s">
        <v>36</v>
      </c>
      <c r="G1578" s="1" t="s">
        <v>3433</v>
      </c>
      <c r="I1578" s="1">
        <v>1398</v>
      </c>
      <c r="J1578" s="1"/>
      <c r="K1578" s="1" t="s">
        <v>45</v>
      </c>
      <c r="L1578" s="1">
        <v>4.0999999999999996</v>
      </c>
      <c r="M1578" s="1">
        <v>752</v>
      </c>
      <c r="P1578" t="str">
        <f t="shared" si="99"/>
        <v/>
      </c>
      <c r="Q1578" s="12" t="str">
        <f t="shared" si="96"/>
        <v/>
      </c>
      <c r="R1578" s="9" t="str">
        <f t="shared" si="97"/>
        <v/>
      </c>
      <c r="S1578" s="9">
        <f>IF(R1578="",AVERAGEIF(Table1[Category],Table1[[#This Row],[Category]],Table2[orignal data]),Table2[[#This Row],[orignal data]])</f>
        <v>715.78890751086249</v>
      </c>
      <c r="T1578" t="str">
        <f t="shared" si="98"/>
        <v>UNIQUE</v>
      </c>
      <c r="U1578" t="str">
        <f>IF(ISBLANK(Table1[[#This Row],[SizeOption]]),"NOT AVAILABLE",Table1[[#This Row],[SizeOption]])</f>
        <v>XS, S, M, L, XL</v>
      </c>
      <c r="Y1578" t="str">
        <f>IF(Table2[[#This Row],[Column1]]&gt;50%,"HIGH DISCOUNT","LOW DISCOUNT")</f>
        <v>HIGH DISCOUNT</v>
      </c>
    </row>
    <row r="1579" spans="1:25" x14ac:dyDescent="0.25">
      <c r="A1579" s="2" t="s">
        <v>3434</v>
      </c>
      <c r="B1579" s="2">
        <v>11117228</v>
      </c>
      <c r="C1579" s="2" t="s">
        <v>52</v>
      </c>
      <c r="D1579" s="2" t="s">
        <v>15</v>
      </c>
      <c r="E1579" s="2" t="s">
        <v>16</v>
      </c>
      <c r="F1579" s="2" t="s">
        <v>17</v>
      </c>
      <c r="G1579" s="2" t="s">
        <v>3435</v>
      </c>
      <c r="H1579">
        <v>892</v>
      </c>
      <c r="I1579" s="2">
        <v>1899</v>
      </c>
      <c r="J1579" s="2" t="s">
        <v>89</v>
      </c>
      <c r="K1579" s="2" t="s">
        <v>816</v>
      </c>
      <c r="L1579" s="2">
        <v>3.9</v>
      </c>
      <c r="M1579" s="2">
        <v>751</v>
      </c>
      <c r="P1579" t="str">
        <f t="shared" si="99"/>
        <v>53%</v>
      </c>
      <c r="Q1579" s="12">
        <f t="shared" si="96"/>
        <v>0.53</v>
      </c>
      <c r="R1579" s="9">
        <f t="shared" si="97"/>
        <v>892.53</v>
      </c>
      <c r="S1579" s="9">
        <f>IF(R1579="",AVERAGEIF(Table1[Category],Table1[[#This Row],[Category]],Table2[orignal data]),Table2[[#This Row],[orignal data]])</f>
        <v>892.53</v>
      </c>
      <c r="T1579" t="str">
        <f t="shared" si="98"/>
        <v>UNIQUE</v>
      </c>
      <c r="U1579" t="str">
        <f>IF(ISBLANK(Table1[[#This Row],[SizeOption]]),"NOT AVAILABLE",Table1[[#This Row],[SizeOption]])</f>
        <v>30, 32, 34, 36, 38</v>
      </c>
      <c r="Y1579" t="str">
        <f>IF(Table2[[#This Row],[Column1]]&gt;50%,"HIGH DISCOUNT","LOW DISCOUNT")</f>
        <v>HIGH DISCOUNT</v>
      </c>
    </row>
    <row r="1580" spans="1:25" x14ac:dyDescent="0.25">
      <c r="A1580" s="1" t="s">
        <v>3436</v>
      </c>
      <c r="B1580" s="1">
        <v>2463353</v>
      </c>
      <c r="C1580" s="1" t="s">
        <v>47</v>
      </c>
      <c r="D1580" s="1" t="s">
        <v>15</v>
      </c>
      <c r="E1580" s="1" t="s">
        <v>23</v>
      </c>
      <c r="F1580" s="1" t="s">
        <v>17</v>
      </c>
      <c r="G1580" s="1" t="s">
        <v>3437</v>
      </c>
      <c r="H1580">
        <v>899</v>
      </c>
      <c r="I1580" s="1">
        <v>1799</v>
      </c>
      <c r="J1580" s="1" t="s">
        <v>84</v>
      </c>
      <c r="K1580" s="1" t="s">
        <v>115</v>
      </c>
      <c r="L1580" s="1">
        <v>3.7</v>
      </c>
      <c r="M1580" s="1">
        <v>751</v>
      </c>
      <c r="P1580" t="str">
        <f t="shared" si="99"/>
        <v>50%</v>
      </c>
      <c r="Q1580" s="12">
        <f t="shared" si="96"/>
        <v>0.5</v>
      </c>
      <c r="R1580" s="9">
        <f t="shared" si="97"/>
        <v>899.5</v>
      </c>
      <c r="S1580" s="9">
        <f>IF(R1580="",AVERAGEIF(Table1[Category],Table1[[#This Row],[Category]],Table2[orignal data]),Table2[[#This Row],[orignal data]])</f>
        <v>899.5</v>
      </c>
      <c r="T1580" t="str">
        <f t="shared" si="98"/>
        <v>UNIQUE</v>
      </c>
      <c r="U1580" t="str">
        <f>IF(ISBLANK(Table1[[#This Row],[SizeOption]]),"NOT AVAILABLE",Table1[[#This Row],[SizeOption]])</f>
        <v>XS, S, M, L, XL, XXL</v>
      </c>
      <c r="Y1580" t="str">
        <f>IF(Table2[[#This Row],[Column1]]&gt;50%,"HIGH DISCOUNT","LOW DISCOUNT")</f>
        <v>LOW DISCOUNT</v>
      </c>
    </row>
    <row r="1581" spans="1:25" x14ac:dyDescent="0.25">
      <c r="A1581" s="2" t="s">
        <v>3438</v>
      </c>
      <c r="B1581" s="2">
        <v>3736649</v>
      </c>
      <c r="C1581" s="2" t="s">
        <v>3439</v>
      </c>
      <c r="D1581" s="2" t="s">
        <v>76</v>
      </c>
      <c r="E1581" s="2" t="s">
        <v>93</v>
      </c>
      <c r="F1581" s="2" t="s">
        <v>17</v>
      </c>
      <c r="G1581" s="2" t="s">
        <v>3440</v>
      </c>
      <c r="H1581">
        <v>749</v>
      </c>
      <c r="I1581" s="2">
        <v>1499</v>
      </c>
      <c r="J1581" s="2" t="s">
        <v>84</v>
      </c>
      <c r="K1581" s="2" t="s">
        <v>26</v>
      </c>
      <c r="L1581" s="2">
        <v>4.4000000000000004</v>
      </c>
      <c r="M1581" s="2">
        <v>751</v>
      </c>
      <c r="P1581" t="str">
        <f t="shared" si="99"/>
        <v>50%</v>
      </c>
      <c r="Q1581" s="12">
        <f t="shared" si="96"/>
        <v>0.5</v>
      </c>
      <c r="R1581" s="9">
        <f t="shared" si="97"/>
        <v>749.5</v>
      </c>
      <c r="S1581" s="9">
        <f>IF(R1581="",AVERAGEIF(Table1[Category],Table1[[#This Row],[Category]],Table2[orignal data]),Table2[[#This Row],[orignal data]])</f>
        <v>749.5</v>
      </c>
      <c r="T1581" t="str">
        <f t="shared" si="98"/>
        <v>UNIQUE</v>
      </c>
      <c r="U1581" t="str">
        <f>IF(ISBLANK(Table1[[#This Row],[SizeOption]]),"NOT AVAILABLE",Table1[[#This Row],[SizeOption]])</f>
        <v>S, M, L, XL</v>
      </c>
      <c r="Y1581" t="str">
        <f>IF(Table2[[#This Row],[Column1]]&gt;50%,"HIGH DISCOUNT","LOW DISCOUNT")</f>
        <v>LOW DISCOUNT</v>
      </c>
    </row>
    <row r="1582" spans="1:25" x14ac:dyDescent="0.25">
      <c r="A1582" s="1" t="s">
        <v>3441</v>
      </c>
      <c r="B1582" s="1">
        <v>9236625</v>
      </c>
      <c r="C1582" s="1" t="s">
        <v>277</v>
      </c>
      <c r="D1582" s="1" t="s">
        <v>76</v>
      </c>
      <c r="E1582" s="1" t="s">
        <v>93</v>
      </c>
      <c r="F1582" s="1" t="s">
        <v>36</v>
      </c>
      <c r="G1582" s="1" t="s">
        <v>3442</v>
      </c>
      <c r="H1582">
        <v>683</v>
      </c>
      <c r="I1582" s="1">
        <v>1799</v>
      </c>
      <c r="J1582" s="1" t="s">
        <v>126</v>
      </c>
      <c r="K1582" s="1" t="s">
        <v>39</v>
      </c>
      <c r="L1582" s="1">
        <v>4</v>
      </c>
      <c r="M1582" s="1">
        <v>751</v>
      </c>
      <c r="P1582" t="str">
        <f t="shared" si="99"/>
        <v>62%</v>
      </c>
      <c r="Q1582" s="12">
        <f t="shared" si="96"/>
        <v>0.62</v>
      </c>
      <c r="R1582" s="9">
        <f t="shared" si="97"/>
        <v>683.62000000000012</v>
      </c>
      <c r="S1582" s="9">
        <f>IF(R1582="",AVERAGEIF(Table1[Category],Table1[[#This Row],[Category]],Table2[orignal data]),Table2[[#This Row],[orignal data]])</f>
        <v>683.62000000000012</v>
      </c>
      <c r="T1582" t="str">
        <f t="shared" si="98"/>
        <v>UNIQUE</v>
      </c>
      <c r="U1582" t="str">
        <f>IF(ISBLANK(Table1[[#This Row],[SizeOption]]),"NOT AVAILABLE",Table1[[#This Row],[SizeOption]])</f>
        <v>S, M, L, XL, XXL</v>
      </c>
      <c r="Y1582" t="str">
        <f>IF(Table2[[#This Row],[Column1]]&gt;50%,"HIGH DISCOUNT","LOW DISCOUNT")</f>
        <v>HIGH DISCOUNT</v>
      </c>
    </row>
    <row r="1583" spans="1:25" x14ac:dyDescent="0.25">
      <c r="A1583" s="2" t="s">
        <v>3443</v>
      </c>
      <c r="B1583" s="2">
        <v>17383444</v>
      </c>
      <c r="C1583" s="2" t="s">
        <v>14</v>
      </c>
      <c r="D1583" s="2" t="s">
        <v>41</v>
      </c>
      <c r="E1583" s="2" t="s">
        <v>42</v>
      </c>
      <c r="F1583" s="2" t="s">
        <v>36</v>
      </c>
      <c r="G1583" s="2" t="s">
        <v>3444</v>
      </c>
      <c r="I1583" s="2">
        <v>1598</v>
      </c>
      <c r="J1583" s="2" t="s">
        <v>84</v>
      </c>
      <c r="K1583" s="2" t="s">
        <v>1234</v>
      </c>
      <c r="L1583" s="2">
        <v>4.2</v>
      </c>
      <c r="M1583" s="2">
        <v>751</v>
      </c>
      <c r="P1583" t="str">
        <f t="shared" si="99"/>
        <v>50%</v>
      </c>
      <c r="Q1583" s="12">
        <f t="shared" si="96"/>
        <v>0.5</v>
      </c>
      <c r="R1583" s="9">
        <f t="shared" si="97"/>
        <v>799</v>
      </c>
      <c r="S1583" s="9">
        <f>IF(R1583="",AVERAGEIF(Table1[Category],Table1[[#This Row],[Category]],Table2[orignal data]),Table2[[#This Row],[orignal data]])</f>
        <v>799</v>
      </c>
      <c r="T1583" t="str">
        <f t="shared" si="98"/>
        <v>UNIQUE</v>
      </c>
      <c r="U1583" t="str">
        <f>IF(ISBLANK(Table1[[#This Row],[SizeOption]]),"NOT AVAILABLE",Table1[[#This Row],[SizeOption]])</f>
        <v>XL, L, M, S, XS</v>
      </c>
      <c r="Y1583" t="str">
        <f>IF(Table2[[#This Row],[Column1]]&gt;50%,"HIGH DISCOUNT","LOW DISCOUNT")</f>
        <v>LOW DISCOUNT</v>
      </c>
    </row>
    <row r="1584" spans="1:25" x14ac:dyDescent="0.25">
      <c r="A1584" s="1" t="s">
        <v>3445</v>
      </c>
      <c r="B1584" s="1">
        <v>8352597</v>
      </c>
      <c r="C1584" s="1" t="s">
        <v>1299</v>
      </c>
      <c r="D1584" s="1" t="s">
        <v>28</v>
      </c>
      <c r="E1584" s="1" t="s">
        <v>29</v>
      </c>
      <c r="F1584" s="1" t="s">
        <v>17</v>
      </c>
      <c r="G1584" s="1" t="s">
        <v>3446</v>
      </c>
      <c r="H1584">
        <v>759</v>
      </c>
      <c r="I1584" s="1">
        <v>1899</v>
      </c>
      <c r="J1584" s="1" t="s">
        <v>55</v>
      </c>
      <c r="K1584" s="1" t="s">
        <v>1674</v>
      </c>
      <c r="L1584" s="1">
        <v>4.0999999999999996</v>
      </c>
      <c r="M1584" s="1">
        <v>750</v>
      </c>
      <c r="P1584" t="str">
        <f t="shared" si="99"/>
        <v>60%</v>
      </c>
      <c r="Q1584" s="12">
        <f t="shared" si="96"/>
        <v>0.6</v>
      </c>
      <c r="R1584" s="9">
        <f t="shared" si="97"/>
        <v>759.60000000000014</v>
      </c>
      <c r="S1584" s="9">
        <f>IF(R1584="",AVERAGEIF(Table1[Category],Table1[[#This Row],[Category]],Table2[orignal data]),Table2[[#This Row],[orignal data]])</f>
        <v>759.60000000000014</v>
      </c>
      <c r="T1584" t="str">
        <f t="shared" si="98"/>
        <v>UNIQUE</v>
      </c>
      <c r="U1584" t="str">
        <f>IF(ISBLANK(Table1[[#This Row],[SizeOption]]),"NOT AVAILABLE",Table1[[#This Row],[SizeOption]])</f>
        <v>38, 39, 40, 42, 44</v>
      </c>
      <c r="Y1584" t="str">
        <f>IF(Table2[[#This Row],[Column1]]&gt;50%,"HIGH DISCOUNT","LOW DISCOUNT")</f>
        <v>HIGH DISCOUNT</v>
      </c>
    </row>
    <row r="1585" spans="1:25" x14ac:dyDescent="0.25">
      <c r="A1585" s="2" t="s">
        <v>3447</v>
      </c>
      <c r="B1585" s="2">
        <v>9951473</v>
      </c>
      <c r="C1585" s="2" t="s">
        <v>14</v>
      </c>
      <c r="D1585" s="2" t="s">
        <v>28</v>
      </c>
      <c r="E1585" s="2" t="s">
        <v>29</v>
      </c>
      <c r="F1585" s="2" t="s">
        <v>17</v>
      </c>
      <c r="G1585" s="2" t="s">
        <v>3448</v>
      </c>
      <c r="H1585">
        <v>759</v>
      </c>
      <c r="I1585" s="2">
        <v>1899</v>
      </c>
      <c r="J1585" s="2" t="s">
        <v>55</v>
      </c>
      <c r="K1585" s="2" t="s">
        <v>31</v>
      </c>
      <c r="L1585" s="2">
        <v>4.3</v>
      </c>
      <c r="M1585" s="2">
        <v>750</v>
      </c>
      <c r="P1585" t="str">
        <f t="shared" si="99"/>
        <v>60%</v>
      </c>
      <c r="Q1585" s="12">
        <f t="shared" si="96"/>
        <v>0.6</v>
      </c>
      <c r="R1585" s="9">
        <f t="shared" si="97"/>
        <v>759.60000000000014</v>
      </c>
      <c r="S1585" s="9">
        <f>IF(R1585="",AVERAGEIF(Table1[Category],Table1[[#This Row],[Category]],Table2[orignal data]),Table2[[#This Row],[orignal data]])</f>
        <v>759.60000000000014</v>
      </c>
      <c r="T1585" t="str">
        <f t="shared" si="98"/>
        <v>UNIQUE</v>
      </c>
      <c r="U1585" t="str">
        <f>IF(ISBLANK(Table1[[#This Row],[SizeOption]]),"NOT AVAILABLE",Table1[[#This Row],[SizeOption]])</f>
        <v>38, 40, 42, 44, 46, 48</v>
      </c>
      <c r="Y1585" t="str">
        <f>IF(Table2[[#This Row],[Column1]]&gt;50%,"HIGH DISCOUNT","LOW DISCOUNT")</f>
        <v>HIGH DISCOUNT</v>
      </c>
    </row>
    <row r="1586" spans="1:25" x14ac:dyDescent="0.25">
      <c r="A1586" s="1" t="s">
        <v>3449</v>
      </c>
      <c r="B1586" s="1">
        <v>12834804</v>
      </c>
      <c r="C1586" s="1" t="s">
        <v>517</v>
      </c>
      <c r="D1586" s="1" t="s">
        <v>28</v>
      </c>
      <c r="E1586" s="1" t="s">
        <v>189</v>
      </c>
      <c r="F1586" s="1" t="s">
        <v>17</v>
      </c>
      <c r="G1586" s="1" t="s">
        <v>3450</v>
      </c>
      <c r="H1586">
        <v>999</v>
      </c>
      <c r="I1586" s="1">
        <v>1999</v>
      </c>
      <c r="J1586" s="1" t="s">
        <v>84</v>
      </c>
      <c r="K1586" s="1" t="s">
        <v>26</v>
      </c>
      <c r="L1586" s="1">
        <v>3.8</v>
      </c>
      <c r="M1586" s="1">
        <v>750</v>
      </c>
      <c r="P1586" t="str">
        <f t="shared" si="99"/>
        <v>50%</v>
      </c>
      <c r="Q1586" s="12">
        <f t="shared" si="96"/>
        <v>0.5</v>
      </c>
      <c r="R1586" s="9">
        <f t="shared" si="97"/>
        <v>999.5</v>
      </c>
      <c r="S1586" s="9">
        <f>IF(R1586="",AVERAGEIF(Table1[Category],Table1[[#This Row],[Category]],Table2[orignal data]),Table2[[#This Row],[orignal data]])</f>
        <v>999.5</v>
      </c>
      <c r="T1586" t="str">
        <f t="shared" si="98"/>
        <v>UNIQUE</v>
      </c>
      <c r="U1586" t="str">
        <f>IF(ISBLANK(Table1[[#This Row],[SizeOption]]),"NOT AVAILABLE",Table1[[#This Row],[SizeOption]])</f>
        <v>S, M, L, XL</v>
      </c>
      <c r="Y1586" t="str">
        <f>IF(Table2[[#This Row],[Column1]]&gt;50%,"HIGH DISCOUNT","LOW DISCOUNT")</f>
        <v>LOW DISCOUNT</v>
      </c>
    </row>
    <row r="1587" spans="1:25" x14ac:dyDescent="0.25">
      <c r="A1587" s="2" t="s">
        <v>3451</v>
      </c>
      <c r="B1587" s="2">
        <v>1847239</v>
      </c>
      <c r="C1587" s="2" t="s">
        <v>841</v>
      </c>
      <c r="D1587" s="2" t="s">
        <v>28</v>
      </c>
      <c r="E1587" s="2" t="s">
        <v>29</v>
      </c>
      <c r="F1587" s="2" t="s">
        <v>17</v>
      </c>
      <c r="G1587" s="2" t="s">
        <v>3452</v>
      </c>
      <c r="H1587">
        <v>899</v>
      </c>
      <c r="I1587" s="2">
        <v>1999</v>
      </c>
      <c r="J1587" s="2" t="s">
        <v>25</v>
      </c>
      <c r="K1587" s="2" t="s">
        <v>253</v>
      </c>
      <c r="L1587" s="2">
        <v>3.7</v>
      </c>
      <c r="M1587" s="2">
        <v>750</v>
      </c>
      <c r="P1587" t="str">
        <f t="shared" si="99"/>
        <v>55%</v>
      </c>
      <c r="Q1587" s="12">
        <f t="shared" si="96"/>
        <v>0.55000000000000004</v>
      </c>
      <c r="R1587" s="9">
        <f t="shared" si="97"/>
        <v>899.55</v>
      </c>
      <c r="S1587" s="9">
        <f>IF(R1587="",AVERAGEIF(Table1[Category],Table1[[#This Row],[Category]],Table2[orignal data]),Table2[[#This Row],[orignal data]])</f>
        <v>899.55</v>
      </c>
      <c r="T1587" t="str">
        <f t="shared" si="98"/>
        <v>UNIQUE</v>
      </c>
      <c r="U1587" t="str">
        <f>IF(ISBLANK(Table1[[#This Row],[SizeOption]]),"NOT AVAILABLE",Table1[[#This Row],[SizeOption]])</f>
        <v>38, 40, 42, 44</v>
      </c>
      <c r="Y1587" t="str">
        <f>IF(Table2[[#This Row],[Column1]]&gt;50%,"HIGH DISCOUNT","LOW DISCOUNT")</f>
        <v>HIGH DISCOUNT</v>
      </c>
    </row>
    <row r="1588" spans="1:25" x14ac:dyDescent="0.25">
      <c r="A1588" s="1" t="s">
        <v>3453</v>
      </c>
      <c r="B1588" s="1">
        <v>9079605</v>
      </c>
      <c r="C1588" s="1" t="s">
        <v>841</v>
      </c>
      <c r="D1588" s="1" t="s">
        <v>28</v>
      </c>
      <c r="E1588" s="1" t="s">
        <v>42</v>
      </c>
      <c r="F1588" s="1" t="s">
        <v>17</v>
      </c>
      <c r="G1588" s="1" t="s">
        <v>3454</v>
      </c>
      <c r="H1588">
        <v>549</v>
      </c>
      <c r="I1588" s="1">
        <v>999</v>
      </c>
      <c r="J1588" s="1" t="s">
        <v>19</v>
      </c>
      <c r="K1588" s="1" t="s">
        <v>39</v>
      </c>
      <c r="L1588" s="1">
        <v>3.9</v>
      </c>
      <c r="M1588" s="1">
        <v>750</v>
      </c>
      <c r="P1588" t="str">
        <f t="shared" si="99"/>
        <v>45%</v>
      </c>
      <c r="Q1588" s="12">
        <f t="shared" si="96"/>
        <v>0.45</v>
      </c>
      <c r="R1588" s="9">
        <f t="shared" si="97"/>
        <v>549.45000000000005</v>
      </c>
      <c r="S1588" s="9">
        <f>IF(R1588="",AVERAGEIF(Table1[Category],Table1[[#This Row],[Category]],Table2[orignal data]),Table2[[#This Row],[orignal data]])</f>
        <v>549.45000000000005</v>
      </c>
      <c r="T1588" t="str">
        <f t="shared" si="98"/>
        <v>UNIQUE</v>
      </c>
      <c r="U1588" t="str">
        <f>IF(ISBLANK(Table1[[#This Row],[SizeOption]]),"NOT AVAILABLE",Table1[[#This Row],[SizeOption]])</f>
        <v>S, M, L, XL, XXL</v>
      </c>
      <c r="Y1588" t="str">
        <f>IF(Table2[[#This Row],[Column1]]&gt;50%,"HIGH DISCOUNT","LOW DISCOUNT")</f>
        <v>LOW DISCOUNT</v>
      </c>
    </row>
    <row r="1589" spans="1:25" x14ac:dyDescent="0.25">
      <c r="A1589" s="2" t="s">
        <v>3455</v>
      </c>
      <c r="B1589" s="2">
        <v>13895576</v>
      </c>
      <c r="C1589" s="2" t="s">
        <v>924</v>
      </c>
      <c r="D1589" s="2" t="s">
        <v>76</v>
      </c>
      <c r="E1589" s="2" t="s">
        <v>93</v>
      </c>
      <c r="F1589" s="2" t="s">
        <v>36</v>
      </c>
      <c r="G1589" s="2" t="s">
        <v>3456</v>
      </c>
      <c r="H1589">
        <v>1427</v>
      </c>
      <c r="I1589" s="2">
        <v>3399</v>
      </c>
      <c r="J1589" s="2" t="s">
        <v>60</v>
      </c>
      <c r="K1589" s="2" t="s">
        <v>115</v>
      </c>
      <c r="L1589" s="2">
        <v>4.5</v>
      </c>
      <c r="M1589" s="2">
        <v>750</v>
      </c>
      <c r="P1589" t="str">
        <f t="shared" si="99"/>
        <v>58%</v>
      </c>
      <c r="Q1589" s="12">
        <f t="shared" si="96"/>
        <v>0.57999999999999996</v>
      </c>
      <c r="R1589" s="9">
        <f t="shared" si="97"/>
        <v>1427.5800000000002</v>
      </c>
      <c r="S1589" s="9">
        <f>IF(R1589="",AVERAGEIF(Table1[Category],Table1[[#This Row],[Category]],Table2[orignal data]),Table2[[#This Row],[orignal data]])</f>
        <v>1427.5800000000002</v>
      </c>
      <c r="T1589" t="str">
        <f t="shared" si="98"/>
        <v>UNIQUE</v>
      </c>
      <c r="U1589" t="str">
        <f>IF(ISBLANK(Table1[[#This Row],[SizeOption]]),"NOT AVAILABLE",Table1[[#This Row],[SizeOption]])</f>
        <v>XS, S, M, L, XL, XXL</v>
      </c>
      <c r="Y1589" t="str">
        <f>IF(Table2[[#This Row],[Column1]]&gt;50%,"HIGH DISCOUNT","LOW DISCOUNT")</f>
        <v>HIGH DISCOUNT</v>
      </c>
    </row>
    <row r="1590" spans="1:25" x14ac:dyDescent="0.25">
      <c r="A1590" s="1" t="s">
        <v>3457</v>
      </c>
      <c r="B1590" s="1">
        <v>3013729</v>
      </c>
      <c r="C1590" s="1" t="s">
        <v>349</v>
      </c>
      <c r="D1590" s="1" t="s">
        <v>34</v>
      </c>
      <c r="E1590" s="1" t="s">
        <v>118</v>
      </c>
      <c r="F1590" s="1" t="s">
        <v>36</v>
      </c>
      <c r="G1590" s="1" t="s">
        <v>3458</v>
      </c>
      <c r="I1590" s="1">
        <v>958</v>
      </c>
      <c r="J1590" s="1"/>
      <c r="K1590" s="1" t="s">
        <v>2723</v>
      </c>
      <c r="L1590" s="1">
        <v>4</v>
      </c>
      <c r="M1590" s="1">
        <v>750</v>
      </c>
      <c r="P1590" t="str">
        <f t="shared" si="99"/>
        <v/>
      </c>
      <c r="Q1590" s="12" t="str">
        <f t="shared" si="96"/>
        <v/>
      </c>
      <c r="R1590" s="9" t="str">
        <f t="shared" si="97"/>
        <v/>
      </c>
      <c r="S1590" s="9">
        <f>IF(R1590="",AVERAGEIF(Table1[Category],Table1[[#This Row],[Category]],Table2[orignal data]),Table2[[#This Row],[orignal data]])</f>
        <v>608.88518518518481</v>
      </c>
      <c r="T1590" t="str">
        <f t="shared" si="98"/>
        <v>UNIQUE</v>
      </c>
      <c r="U1590" t="str">
        <f>IF(ISBLANK(Table1[[#This Row],[SizeOption]]),"NOT AVAILABLE",Table1[[#This Row],[SizeOption]])</f>
        <v>30B, 32B, 34B</v>
      </c>
      <c r="Y1590" t="str">
        <f>IF(Table2[[#This Row],[Column1]]&gt;50%,"HIGH DISCOUNT","LOW DISCOUNT")</f>
        <v>HIGH DISCOUNT</v>
      </c>
    </row>
    <row r="1591" spans="1:25" x14ac:dyDescent="0.25">
      <c r="A1591" s="2" t="s">
        <v>3459</v>
      </c>
      <c r="B1591" s="2">
        <v>12729384</v>
      </c>
      <c r="C1591" s="2" t="s">
        <v>1083</v>
      </c>
      <c r="D1591" s="2" t="s">
        <v>41</v>
      </c>
      <c r="E1591" s="2" t="s">
        <v>42</v>
      </c>
      <c r="F1591" s="2" t="s">
        <v>36</v>
      </c>
      <c r="G1591" s="2" t="s">
        <v>3460</v>
      </c>
      <c r="I1591" s="2">
        <v>1199</v>
      </c>
      <c r="J1591" s="2" t="s">
        <v>163</v>
      </c>
      <c r="K1591" s="2" t="s">
        <v>45</v>
      </c>
      <c r="L1591" s="2">
        <v>4.3</v>
      </c>
      <c r="M1591" s="2">
        <v>750</v>
      </c>
      <c r="P1591" t="str">
        <f t="shared" si="99"/>
        <v>51%</v>
      </c>
      <c r="Q1591" s="12">
        <f t="shared" si="96"/>
        <v>0.51</v>
      </c>
      <c r="R1591" s="9">
        <f t="shared" si="97"/>
        <v>587.51</v>
      </c>
      <c r="S1591" s="9">
        <f>IF(R1591="",AVERAGEIF(Table1[Category],Table1[[#This Row],[Category]],Table2[orignal data]),Table2[[#This Row],[orignal data]])</f>
        <v>587.51</v>
      </c>
      <c r="T1591" t="str">
        <f t="shared" si="98"/>
        <v>UNIQUE</v>
      </c>
      <c r="U1591" t="str">
        <f>IF(ISBLANK(Table1[[#This Row],[SizeOption]]),"NOT AVAILABLE",Table1[[#This Row],[SizeOption]])</f>
        <v>XS, S, M, L, XL</v>
      </c>
      <c r="Y1591" t="str">
        <f>IF(Table2[[#This Row],[Column1]]&gt;50%,"HIGH DISCOUNT","LOW DISCOUNT")</f>
        <v>HIGH DISCOUNT</v>
      </c>
    </row>
    <row r="1592" spans="1:25" x14ac:dyDescent="0.25">
      <c r="A1592" s="1" t="s">
        <v>3461</v>
      </c>
      <c r="B1592" s="1">
        <v>17383510</v>
      </c>
      <c r="C1592" s="1" t="s">
        <v>14</v>
      </c>
      <c r="D1592" s="1" t="s">
        <v>41</v>
      </c>
      <c r="E1592" s="1" t="s">
        <v>42</v>
      </c>
      <c r="F1592" s="1" t="s">
        <v>36</v>
      </c>
      <c r="G1592" s="1" t="s">
        <v>3462</v>
      </c>
      <c r="I1592" s="1">
        <v>1598</v>
      </c>
      <c r="J1592" s="1" t="s">
        <v>84</v>
      </c>
      <c r="K1592" s="1" t="s">
        <v>146</v>
      </c>
      <c r="L1592" s="1">
        <v>4.3</v>
      </c>
      <c r="M1592" s="1">
        <v>750</v>
      </c>
      <c r="P1592" t="str">
        <f t="shared" si="99"/>
        <v>50%</v>
      </c>
      <c r="Q1592" s="12">
        <f t="shared" si="96"/>
        <v>0.5</v>
      </c>
      <c r="R1592" s="9">
        <f t="shared" si="97"/>
        <v>799</v>
      </c>
      <c r="S1592" s="9">
        <f>IF(R1592="",AVERAGEIF(Table1[Category],Table1[[#This Row],[Category]],Table2[orignal data]),Table2[[#This Row],[orignal data]])</f>
        <v>799</v>
      </c>
      <c r="T1592" t="str">
        <f t="shared" si="98"/>
        <v>UNIQUE</v>
      </c>
      <c r="U1592" t="str">
        <f>IF(ISBLANK(Table1[[#This Row],[SizeOption]]),"NOT AVAILABLE",Table1[[#This Row],[SizeOption]])</f>
        <v>L, M, S, XS, XL</v>
      </c>
      <c r="Y1592" t="str">
        <f>IF(Table2[[#This Row],[Column1]]&gt;50%,"HIGH DISCOUNT","LOW DISCOUNT")</f>
        <v>LOW DISCOUNT</v>
      </c>
    </row>
    <row r="1593" spans="1:25" x14ac:dyDescent="0.25">
      <c r="A1593" s="2" t="s">
        <v>3463</v>
      </c>
      <c r="B1593" s="2">
        <v>17381996</v>
      </c>
      <c r="C1593" s="2" t="s">
        <v>14</v>
      </c>
      <c r="D1593" s="2" t="s">
        <v>41</v>
      </c>
      <c r="E1593" s="2" t="s">
        <v>42</v>
      </c>
      <c r="F1593" s="2" t="s">
        <v>36</v>
      </c>
      <c r="G1593" s="2" t="s">
        <v>62</v>
      </c>
      <c r="I1593" s="2">
        <v>1598</v>
      </c>
      <c r="J1593" s="2" t="s">
        <v>84</v>
      </c>
      <c r="K1593" s="2" t="s">
        <v>45</v>
      </c>
      <c r="L1593" s="2">
        <v>4</v>
      </c>
      <c r="M1593" s="2">
        <v>750</v>
      </c>
      <c r="P1593" t="str">
        <f t="shared" si="99"/>
        <v>50%</v>
      </c>
      <c r="Q1593" s="12">
        <f t="shared" si="96"/>
        <v>0.5</v>
      </c>
      <c r="R1593" s="9">
        <f t="shared" si="97"/>
        <v>799</v>
      </c>
      <c r="S1593" s="9">
        <f>IF(R1593="",AVERAGEIF(Table1[Category],Table1[[#This Row],[Category]],Table2[orignal data]),Table2[[#This Row],[orignal data]])</f>
        <v>799</v>
      </c>
      <c r="T1593" t="str">
        <f t="shared" si="98"/>
        <v>UNIQUE</v>
      </c>
      <c r="U1593" t="str">
        <f>IF(ISBLANK(Table1[[#This Row],[SizeOption]]),"NOT AVAILABLE",Table1[[#This Row],[SizeOption]])</f>
        <v>XS, S, M, L, XL</v>
      </c>
      <c r="Y1593" t="str">
        <f>IF(Table2[[#This Row],[Column1]]&gt;50%,"HIGH DISCOUNT","LOW DISCOUNT")</f>
        <v>LOW DISCOUNT</v>
      </c>
    </row>
    <row r="1594" spans="1:25" x14ac:dyDescent="0.25">
      <c r="A1594" s="1" t="s">
        <v>3464</v>
      </c>
      <c r="B1594" s="1">
        <v>17524566</v>
      </c>
      <c r="C1594" s="1" t="s">
        <v>47</v>
      </c>
      <c r="D1594" s="1" t="s">
        <v>41</v>
      </c>
      <c r="E1594" s="1" t="s">
        <v>42</v>
      </c>
      <c r="F1594" s="1" t="s">
        <v>36</v>
      </c>
      <c r="G1594" s="1" t="s">
        <v>1316</v>
      </c>
      <c r="I1594" s="1">
        <v>1598</v>
      </c>
      <c r="J1594" s="1" t="s">
        <v>84</v>
      </c>
      <c r="K1594" s="1" t="s">
        <v>703</v>
      </c>
      <c r="L1594" s="1">
        <v>4.0999999999999996</v>
      </c>
      <c r="M1594" s="1">
        <v>750</v>
      </c>
      <c r="P1594" t="str">
        <f t="shared" si="99"/>
        <v>50%</v>
      </c>
      <c r="Q1594" s="12">
        <f t="shared" si="96"/>
        <v>0.5</v>
      </c>
      <c r="R1594" s="9">
        <f t="shared" si="97"/>
        <v>799</v>
      </c>
      <c r="S1594" s="9">
        <f>IF(R1594="",AVERAGEIF(Table1[Category],Table1[[#This Row],[Category]],Table2[orignal data]),Table2[[#This Row],[orignal data]])</f>
        <v>799</v>
      </c>
      <c r="T1594" t="str">
        <f t="shared" si="98"/>
        <v>UNIQUE</v>
      </c>
      <c r="U1594" t="str">
        <f>IF(ISBLANK(Table1[[#This Row],[SizeOption]]),"NOT AVAILABLE",Table1[[#This Row],[SizeOption]])</f>
        <v>S, XS, XL, L, M</v>
      </c>
      <c r="Y1594" t="str">
        <f>IF(Table2[[#This Row],[Column1]]&gt;50%,"HIGH DISCOUNT","LOW DISCOUNT")</f>
        <v>LOW DISCOUNT</v>
      </c>
    </row>
    <row r="1595" spans="1:25" x14ac:dyDescent="0.25">
      <c r="A1595" s="2" t="s">
        <v>3465</v>
      </c>
      <c r="B1595" s="2">
        <v>10555458</v>
      </c>
      <c r="C1595" s="2" t="s">
        <v>3466</v>
      </c>
      <c r="D1595" s="2" t="s">
        <v>41</v>
      </c>
      <c r="E1595" s="2" t="s">
        <v>579</v>
      </c>
      <c r="F1595" s="2" t="s">
        <v>36</v>
      </c>
      <c r="G1595" s="2" t="s">
        <v>3467</v>
      </c>
      <c r="I1595" s="2">
        <v>1999</v>
      </c>
      <c r="J1595" s="2" t="s">
        <v>602</v>
      </c>
      <c r="K1595" s="2" t="s">
        <v>171</v>
      </c>
      <c r="L1595" s="2">
        <v>4.4000000000000004</v>
      </c>
      <c r="M1595" s="2">
        <v>750</v>
      </c>
      <c r="P1595" t="str">
        <f t="shared" si="99"/>
        <v>48%</v>
      </c>
      <c r="Q1595" s="12">
        <f t="shared" si="96"/>
        <v>0.48</v>
      </c>
      <c r="R1595" s="9">
        <f t="shared" si="97"/>
        <v>1039.48</v>
      </c>
      <c r="S1595" s="9">
        <f>IF(R1595="",AVERAGEIF(Table1[Category],Table1[[#This Row],[Category]],Table2[orignal data]),Table2[[#This Row],[orignal data]])</f>
        <v>1039.48</v>
      </c>
      <c r="T1595" t="str">
        <f t="shared" si="98"/>
        <v>UNIQUE</v>
      </c>
      <c r="U1595" t="str">
        <f>IF(ISBLANK(Table1[[#This Row],[SizeOption]]),"NOT AVAILABLE",Table1[[#This Row],[SizeOption]])</f>
        <v>28, 30, 32, 34, 36, 38</v>
      </c>
      <c r="Y1595" t="str">
        <f>IF(Table2[[#This Row],[Column1]]&gt;50%,"HIGH DISCOUNT","LOW DISCOUNT")</f>
        <v>LOW DISCOUNT</v>
      </c>
    </row>
    <row r="1596" spans="1:25" x14ac:dyDescent="0.25">
      <c r="A1596" s="1" t="s">
        <v>3468</v>
      </c>
      <c r="B1596" s="1">
        <v>8810403</v>
      </c>
      <c r="C1596" s="1" t="s">
        <v>14</v>
      </c>
      <c r="D1596" s="1" t="s">
        <v>41</v>
      </c>
      <c r="E1596" s="1" t="s">
        <v>16</v>
      </c>
      <c r="F1596" s="1" t="s">
        <v>36</v>
      </c>
      <c r="G1596" s="1" t="s">
        <v>3469</v>
      </c>
      <c r="I1596" s="1">
        <v>1999</v>
      </c>
      <c r="J1596" s="1" t="s">
        <v>55</v>
      </c>
      <c r="K1596" s="1" t="s">
        <v>134</v>
      </c>
      <c r="L1596" s="1">
        <v>4.0999999999999996</v>
      </c>
      <c r="M1596" s="1">
        <v>750</v>
      </c>
      <c r="P1596" t="str">
        <f t="shared" si="99"/>
        <v>60%</v>
      </c>
      <c r="Q1596" s="12">
        <f t="shared" si="96"/>
        <v>0.6</v>
      </c>
      <c r="R1596" s="9">
        <f t="shared" si="97"/>
        <v>799.60000000000014</v>
      </c>
      <c r="S1596" s="9">
        <f>IF(R1596="",AVERAGEIF(Table1[Category],Table1[[#This Row],[Category]],Table2[orignal data]),Table2[[#This Row],[orignal data]])</f>
        <v>799.60000000000014</v>
      </c>
      <c r="T1596" t="str">
        <f t="shared" si="98"/>
        <v>UNIQUE</v>
      </c>
      <c r="U1596" t="str">
        <f>IF(ISBLANK(Table1[[#This Row],[SizeOption]]),"NOT AVAILABLE",Table1[[#This Row],[SizeOption]])</f>
        <v>26, 28, 30, 32, 34, 36</v>
      </c>
      <c r="Y1596" t="str">
        <f>IF(Table2[[#This Row],[Column1]]&gt;50%,"HIGH DISCOUNT","LOW DISCOUNT")</f>
        <v>HIGH DISCOUNT</v>
      </c>
    </row>
    <row r="1597" spans="1:25" x14ac:dyDescent="0.25">
      <c r="A1597" s="2" t="s">
        <v>3470</v>
      </c>
      <c r="B1597" s="2">
        <v>2091633</v>
      </c>
      <c r="C1597" s="2" t="s">
        <v>563</v>
      </c>
      <c r="D1597" s="2" t="s">
        <v>197</v>
      </c>
      <c r="E1597" s="2" t="s">
        <v>518</v>
      </c>
      <c r="F1597" s="2" t="s">
        <v>17</v>
      </c>
      <c r="G1597" s="2" t="s">
        <v>3471</v>
      </c>
      <c r="H1597">
        <v>602</v>
      </c>
      <c r="I1597" s="2">
        <v>899</v>
      </c>
      <c r="J1597" s="2" t="s">
        <v>3472</v>
      </c>
      <c r="K1597" s="2" t="s">
        <v>39</v>
      </c>
      <c r="L1597" s="2">
        <v>4.0999999999999996</v>
      </c>
      <c r="M1597" s="2">
        <v>749</v>
      </c>
      <c r="P1597" t="str">
        <f t="shared" si="99"/>
        <v>33%</v>
      </c>
      <c r="Q1597" s="12">
        <f t="shared" si="96"/>
        <v>0.33</v>
      </c>
      <c r="R1597" s="9">
        <f t="shared" si="97"/>
        <v>602.32999999999993</v>
      </c>
      <c r="S1597" s="9">
        <f>IF(R1597="",AVERAGEIF(Table1[Category],Table1[[#This Row],[Category]],Table2[orignal data]),Table2[[#This Row],[orignal data]])</f>
        <v>602.32999999999993</v>
      </c>
      <c r="T1597" t="str">
        <f t="shared" si="98"/>
        <v>UNIQUE</v>
      </c>
      <c r="U1597" t="str">
        <f>IF(ISBLANK(Table1[[#This Row],[SizeOption]]),"NOT AVAILABLE",Table1[[#This Row],[SizeOption]])</f>
        <v>S, M, L, XL, XXL</v>
      </c>
      <c r="Y1597" t="str">
        <f>IF(Table2[[#This Row],[Column1]]&gt;50%,"HIGH DISCOUNT","LOW DISCOUNT")</f>
        <v>LOW DISCOUNT</v>
      </c>
    </row>
    <row r="1598" spans="1:25" x14ac:dyDescent="0.25">
      <c r="A1598" s="1" t="s">
        <v>3473</v>
      </c>
      <c r="B1598" s="1">
        <v>11849720</v>
      </c>
      <c r="C1598" s="1" t="s">
        <v>563</v>
      </c>
      <c r="D1598" s="1" t="s">
        <v>197</v>
      </c>
      <c r="E1598" s="1" t="s">
        <v>518</v>
      </c>
      <c r="F1598" s="1" t="s">
        <v>17</v>
      </c>
      <c r="G1598" s="1" t="s">
        <v>3474</v>
      </c>
      <c r="H1598">
        <v>881</v>
      </c>
      <c r="I1598" s="1">
        <v>1798</v>
      </c>
      <c r="J1598" s="1" t="s">
        <v>163</v>
      </c>
      <c r="K1598" s="1" t="s">
        <v>39</v>
      </c>
      <c r="L1598" s="1">
        <v>4.0999999999999996</v>
      </c>
      <c r="M1598" s="1">
        <v>749</v>
      </c>
      <c r="P1598" t="str">
        <f t="shared" si="99"/>
        <v>51%</v>
      </c>
      <c r="Q1598" s="12">
        <f t="shared" si="96"/>
        <v>0.51</v>
      </c>
      <c r="R1598" s="9">
        <f t="shared" si="97"/>
        <v>881.02</v>
      </c>
      <c r="S1598" s="9">
        <f>IF(R1598="",AVERAGEIF(Table1[Category],Table1[[#This Row],[Category]],Table2[orignal data]),Table2[[#This Row],[orignal data]])</f>
        <v>881.02</v>
      </c>
      <c r="T1598" t="str">
        <f t="shared" si="98"/>
        <v>UNIQUE</v>
      </c>
      <c r="U1598" t="str">
        <f>IF(ISBLANK(Table1[[#This Row],[SizeOption]]),"NOT AVAILABLE",Table1[[#This Row],[SizeOption]])</f>
        <v>S, M, L, XL, XXL</v>
      </c>
      <c r="Y1598" t="str">
        <f>IF(Table2[[#This Row],[Column1]]&gt;50%,"HIGH DISCOUNT","LOW DISCOUNT")</f>
        <v>HIGH DISCOUNT</v>
      </c>
    </row>
    <row r="1599" spans="1:25" x14ac:dyDescent="0.25">
      <c r="A1599" s="2" t="s">
        <v>3475</v>
      </c>
      <c r="B1599" s="2">
        <v>13955204</v>
      </c>
      <c r="C1599" s="2" t="s">
        <v>22</v>
      </c>
      <c r="D1599" s="2" t="s">
        <v>28</v>
      </c>
      <c r="E1599" s="2" t="s">
        <v>29</v>
      </c>
      <c r="F1599" s="2" t="s">
        <v>17</v>
      </c>
      <c r="G1599" s="2" t="s">
        <v>3476</v>
      </c>
      <c r="H1599">
        <v>412</v>
      </c>
      <c r="I1599" s="2">
        <v>1249</v>
      </c>
      <c r="J1599" s="2" t="s">
        <v>543</v>
      </c>
      <c r="K1599" s="2" t="s">
        <v>90</v>
      </c>
      <c r="L1599" s="2">
        <v>4.3</v>
      </c>
      <c r="M1599" s="2">
        <v>749</v>
      </c>
      <c r="P1599" t="str">
        <f t="shared" si="99"/>
        <v>67%</v>
      </c>
      <c r="Q1599" s="12">
        <f t="shared" si="96"/>
        <v>0.67</v>
      </c>
      <c r="R1599" s="9">
        <f t="shared" si="97"/>
        <v>412.16999999999996</v>
      </c>
      <c r="S1599" s="9">
        <f>IF(R1599="",AVERAGEIF(Table1[Category],Table1[[#This Row],[Category]],Table2[orignal data]),Table2[[#This Row],[orignal data]])</f>
        <v>412.16999999999996</v>
      </c>
      <c r="T1599" t="str">
        <f t="shared" si="98"/>
        <v>UNIQUE</v>
      </c>
      <c r="U1599" t="str">
        <f>IF(ISBLANK(Table1[[#This Row],[SizeOption]]),"NOT AVAILABLE",Table1[[#This Row],[SizeOption]])</f>
        <v>39, 40, 42, 44</v>
      </c>
      <c r="Y1599" t="str">
        <f>IF(Table2[[#This Row],[Column1]]&gt;50%,"HIGH DISCOUNT","LOW DISCOUNT")</f>
        <v>HIGH DISCOUNT</v>
      </c>
    </row>
    <row r="1600" spans="1:25" x14ac:dyDescent="0.25">
      <c r="A1600" s="1" t="s">
        <v>3477</v>
      </c>
      <c r="B1600" s="1">
        <v>11350332</v>
      </c>
      <c r="C1600" s="1" t="s">
        <v>64</v>
      </c>
      <c r="D1600" s="1" t="s">
        <v>28</v>
      </c>
      <c r="E1600" s="1" t="s">
        <v>29</v>
      </c>
      <c r="F1600" s="1" t="s">
        <v>17</v>
      </c>
      <c r="G1600" s="1" t="s">
        <v>3478</v>
      </c>
      <c r="H1600">
        <v>734</v>
      </c>
      <c r="I1600" s="1">
        <v>2099</v>
      </c>
      <c r="J1600" s="1" t="s">
        <v>150</v>
      </c>
      <c r="K1600" s="1" t="s">
        <v>361</v>
      </c>
      <c r="L1600" s="1">
        <v>4.2</v>
      </c>
      <c r="M1600" s="1">
        <v>749</v>
      </c>
      <c r="P1600" t="str">
        <f t="shared" si="99"/>
        <v>65%</v>
      </c>
      <c r="Q1600" s="12">
        <f t="shared" si="96"/>
        <v>0.65</v>
      </c>
      <c r="R1600" s="9">
        <f t="shared" si="97"/>
        <v>734.64999999999986</v>
      </c>
      <c r="S1600" s="9">
        <f>IF(R1600="",AVERAGEIF(Table1[Category],Table1[[#This Row],[Category]],Table2[orignal data]),Table2[[#This Row],[orignal data]])</f>
        <v>734.64999999999986</v>
      </c>
      <c r="T1600" t="str">
        <f t="shared" si="98"/>
        <v>UNIQUE</v>
      </c>
      <c r="U1600" t="str">
        <f>IF(ISBLANK(Table1[[#This Row],[SizeOption]]),"NOT AVAILABLE",Table1[[#This Row],[SizeOption]])</f>
        <v>38, 40, 42, 44, 46</v>
      </c>
      <c r="Y1600" t="str">
        <f>IF(Table2[[#This Row],[Column1]]&gt;50%,"HIGH DISCOUNT","LOW DISCOUNT")</f>
        <v>HIGH DISCOUNT</v>
      </c>
    </row>
    <row r="1601" spans="1:25" x14ac:dyDescent="0.25">
      <c r="A1601" s="2" t="s">
        <v>3479</v>
      </c>
      <c r="B1601" s="2">
        <v>10409970</v>
      </c>
      <c r="C1601" s="2" t="s">
        <v>169</v>
      </c>
      <c r="D1601" s="2" t="s">
        <v>28</v>
      </c>
      <c r="E1601" s="2" t="s">
        <v>29</v>
      </c>
      <c r="F1601" s="2" t="s">
        <v>17</v>
      </c>
      <c r="G1601" s="2" t="s">
        <v>3480</v>
      </c>
      <c r="H1601">
        <v>1439</v>
      </c>
      <c r="I1601" s="2">
        <v>2399</v>
      </c>
      <c r="J1601" s="2" t="s">
        <v>50</v>
      </c>
      <c r="K1601" s="2" t="s">
        <v>484</v>
      </c>
      <c r="L1601" s="2">
        <v>4.3</v>
      </c>
      <c r="M1601" s="2">
        <v>749</v>
      </c>
      <c r="P1601" t="str">
        <f t="shared" si="99"/>
        <v>40%</v>
      </c>
      <c r="Q1601" s="12">
        <f t="shared" si="96"/>
        <v>0.4</v>
      </c>
      <c r="R1601" s="9">
        <f t="shared" si="97"/>
        <v>1439.4</v>
      </c>
      <c r="S1601" s="9">
        <f>IF(R1601="",AVERAGEIF(Table1[Category],Table1[[#This Row],[Category]],Table2[orignal data]),Table2[[#This Row],[orignal data]])</f>
        <v>1439.4</v>
      </c>
      <c r="T1601" t="str">
        <f t="shared" si="98"/>
        <v>UNIQUE</v>
      </c>
      <c r="U1601" t="str">
        <f>IF(ISBLANK(Table1[[#This Row],[SizeOption]]),"NOT AVAILABLE",Table1[[#This Row],[SizeOption]])</f>
        <v>39, 40, 42, 44, 46</v>
      </c>
      <c r="Y1601" t="str">
        <f>IF(Table2[[#This Row],[Column1]]&gt;50%,"HIGH DISCOUNT","LOW DISCOUNT")</f>
        <v>LOW DISCOUNT</v>
      </c>
    </row>
    <row r="1602" spans="1:25" x14ac:dyDescent="0.25">
      <c r="A1602" s="1" t="s">
        <v>3481</v>
      </c>
      <c r="B1602" s="1">
        <v>7119168</v>
      </c>
      <c r="C1602" s="1" t="s">
        <v>64</v>
      </c>
      <c r="D1602" s="1" t="s">
        <v>76</v>
      </c>
      <c r="E1602" s="1" t="s">
        <v>148</v>
      </c>
      <c r="F1602" s="1" t="s">
        <v>36</v>
      </c>
      <c r="G1602" s="1" t="s">
        <v>3482</v>
      </c>
      <c r="H1602">
        <v>1119</v>
      </c>
      <c r="I1602" s="1">
        <v>2799</v>
      </c>
      <c r="J1602" s="1" t="s">
        <v>55</v>
      </c>
      <c r="K1602" s="1" t="s">
        <v>115</v>
      </c>
      <c r="L1602" s="1">
        <v>4</v>
      </c>
      <c r="M1602" s="1">
        <v>749</v>
      </c>
      <c r="P1602" t="str">
        <f t="shared" si="99"/>
        <v>60%</v>
      </c>
      <c r="Q1602" s="12">
        <f t="shared" ref="Q1602:Q1665" si="100">IF(P1602="","",IF(ISNUMBER(SEARCH("%",P1602)),P1602,P1602/I1602)*100%)</f>
        <v>0.6</v>
      </c>
      <c r="R1602" s="9">
        <f t="shared" ref="R1602:R1665" si="101">IF(P1602="","",I1602-(I1602*Q1602))</f>
        <v>1119.6000000000001</v>
      </c>
      <c r="S1602" s="9">
        <f>IF(R1602="",AVERAGEIF(Table1[Category],Table1[[#This Row],[Category]],Table2[orignal data]),Table2[[#This Row],[orignal data]])</f>
        <v>1119.6000000000001</v>
      </c>
      <c r="T1602" t="str">
        <f t="shared" ref="T1602:T1665" si="102">IF(COUNTIF($B$2:$B$5000,B1602)&gt;1,"DUPLICATE","UNIQUE")</f>
        <v>UNIQUE</v>
      </c>
      <c r="U1602" t="str">
        <f>IF(ISBLANK(Table1[[#This Row],[SizeOption]]),"NOT AVAILABLE",Table1[[#This Row],[SizeOption]])</f>
        <v>XS, S, M, L, XL, XXL</v>
      </c>
      <c r="Y1602" t="str">
        <f>IF(Table2[[#This Row],[Column1]]&gt;50%,"HIGH DISCOUNT","LOW DISCOUNT")</f>
        <v>HIGH DISCOUNT</v>
      </c>
    </row>
    <row r="1603" spans="1:25" x14ac:dyDescent="0.25">
      <c r="A1603" s="2" t="s">
        <v>3483</v>
      </c>
      <c r="B1603" s="2">
        <v>12631312</v>
      </c>
      <c r="C1603" s="2" t="s">
        <v>924</v>
      </c>
      <c r="D1603" s="2" t="s">
        <v>76</v>
      </c>
      <c r="E1603" s="2" t="s">
        <v>320</v>
      </c>
      <c r="F1603" s="2" t="s">
        <v>36</v>
      </c>
      <c r="G1603" s="2" t="s">
        <v>3484</v>
      </c>
      <c r="H1603">
        <v>836</v>
      </c>
      <c r="I1603" s="2">
        <v>3099</v>
      </c>
      <c r="J1603" s="2" t="s">
        <v>735</v>
      </c>
      <c r="K1603" s="2" t="s">
        <v>164</v>
      </c>
      <c r="L1603" s="2">
        <v>4.2</v>
      </c>
      <c r="M1603" s="2">
        <v>749</v>
      </c>
      <c r="P1603" t="str">
        <f t="shared" ref="P1603:P1666" si="103">TRIM(SUBSTITUTE(SUBSTITUTE(SUBSTITUTE(SUBSTITUTE(J1603,"OFF",""),"Rs.",""),"Hurry*",""),",",""))</f>
        <v>73%</v>
      </c>
      <c r="Q1603" s="12">
        <f t="shared" si="100"/>
        <v>0.73</v>
      </c>
      <c r="R1603" s="9">
        <f t="shared" si="101"/>
        <v>836.73</v>
      </c>
      <c r="S1603" s="9">
        <f>IF(R1603="",AVERAGEIF(Table1[Category],Table1[[#This Row],[Category]],Table2[orignal data]),Table2[[#This Row],[orignal data]])</f>
        <v>836.73</v>
      </c>
      <c r="T1603" t="str">
        <f t="shared" si="102"/>
        <v>UNIQUE</v>
      </c>
      <c r="U1603" t="str">
        <f>IF(ISBLANK(Table1[[#This Row],[SizeOption]]),"NOT AVAILABLE",Table1[[#This Row],[SizeOption]])</f>
        <v>Onesize</v>
      </c>
      <c r="Y1603" t="str">
        <f>IF(Table2[[#This Row],[Column1]]&gt;50%,"HIGH DISCOUNT","LOW DISCOUNT")</f>
        <v>HIGH DISCOUNT</v>
      </c>
    </row>
    <row r="1604" spans="1:25" x14ac:dyDescent="0.25">
      <c r="A1604" s="1" t="s">
        <v>3485</v>
      </c>
      <c r="B1604" s="1">
        <v>11239052</v>
      </c>
      <c r="C1604" s="1" t="s">
        <v>865</v>
      </c>
      <c r="D1604" s="1" t="s">
        <v>76</v>
      </c>
      <c r="E1604" s="1" t="s">
        <v>77</v>
      </c>
      <c r="F1604" s="1" t="s">
        <v>36</v>
      </c>
      <c r="G1604" s="1" t="s">
        <v>3486</v>
      </c>
      <c r="H1604">
        <v>2024</v>
      </c>
      <c r="I1604" s="1">
        <v>4499</v>
      </c>
      <c r="J1604" s="1" t="s">
        <v>25</v>
      </c>
      <c r="K1604" s="1" t="s">
        <v>39</v>
      </c>
      <c r="L1604" s="1">
        <v>4.0999999999999996</v>
      </c>
      <c r="M1604" s="1">
        <v>749</v>
      </c>
      <c r="P1604" t="str">
        <f t="shared" si="103"/>
        <v>55%</v>
      </c>
      <c r="Q1604" s="12">
        <f t="shared" si="100"/>
        <v>0.55000000000000004</v>
      </c>
      <c r="R1604" s="9">
        <f t="shared" si="101"/>
        <v>2024.5499999999997</v>
      </c>
      <c r="S1604" s="9">
        <f>IF(R1604="",AVERAGEIF(Table1[Category],Table1[[#This Row],[Category]],Table2[orignal data]),Table2[[#This Row],[orignal data]])</f>
        <v>2024.5499999999997</v>
      </c>
      <c r="T1604" t="str">
        <f t="shared" si="102"/>
        <v>UNIQUE</v>
      </c>
      <c r="U1604" t="str">
        <f>IF(ISBLANK(Table1[[#This Row],[SizeOption]]),"NOT AVAILABLE",Table1[[#This Row],[SizeOption]])</f>
        <v>S, M, L, XL, XXL</v>
      </c>
      <c r="Y1604" t="str">
        <f>IF(Table2[[#This Row],[Column1]]&gt;50%,"HIGH DISCOUNT","LOW DISCOUNT")</f>
        <v>HIGH DISCOUNT</v>
      </c>
    </row>
    <row r="1605" spans="1:25" x14ac:dyDescent="0.25">
      <c r="A1605" s="2" t="s">
        <v>3487</v>
      </c>
      <c r="B1605" s="2">
        <v>1081753</v>
      </c>
      <c r="C1605" s="2" t="s">
        <v>3488</v>
      </c>
      <c r="D1605" s="2" t="s">
        <v>34</v>
      </c>
      <c r="E1605" s="2" t="s">
        <v>2910</v>
      </c>
      <c r="F1605" s="2" t="s">
        <v>36</v>
      </c>
      <c r="G1605" s="2" t="s">
        <v>3489</v>
      </c>
      <c r="H1605">
        <v>539</v>
      </c>
      <c r="I1605" s="2">
        <v>999</v>
      </c>
      <c r="J1605" s="2" t="s">
        <v>3490</v>
      </c>
      <c r="K1605" s="2" t="s">
        <v>164</v>
      </c>
      <c r="L1605" s="2">
        <v>4</v>
      </c>
      <c r="M1605" s="2">
        <v>749</v>
      </c>
      <c r="P1605" t="str">
        <f t="shared" si="103"/>
        <v>46 %</v>
      </c>
      <c r="Q1605" s="12">
        <f t="shared" si="100"/>
        <v>0.46</v>
      </c>
      <c r="R1605" s="9">
        <f t="shared" si="101"/>
        <v>539.46</v>
      </c>
      <c r="S1605" s="9">
        <f>IF(R1605="",AVERAGEIF(Table1[Category],Table1[[#This Row],[Category]],Table2[orignal data]),Table2[[#This Row],[orignal data]])</f>
        <v>539.46</v>
      </c>
      <c r="T1605" t="str">
        <f t="shared" si="102"/>
        <v>UNIQUE</v>
      </c>
      <c r="U1605" t="str">
        <f>IF(ISBLANK(Table1[[#This Row],[SizeOption]]),"NOT AVAILABLE",Table1[[#This Row],[SizeOption]])</f>
        <v>Onesize</v>
      </c>
      <c r="Y1605" t="str">
        <f>IF(Table2[[#This Row],[Column1]]&gt;50%,"HIGH DISCOUNT","LOW DISCOUNT")</f>
        <v>LOW DISCOUNT</v>
      </c>
    </row>
    <row r="1606" spans="1:25" x14ac:dyDescent="0.25">
      <c r="A1606" s="1" t="s">
        <v>3491</v>
      </c>
      <c r="B1606" s="1">
        <v>10565494</v>
      </c>
      <c r="C1606" s="1" t="s">
        <v>67</v>
      </c>
      <c r="D1606" s="1" t="s">
        <v>68</v>
      </c>
      <c r="E1606" s="1" t="s">
        <v>42</v>
      </c>
      <c r="F1606" s="1" t="s">
        <v>36</v>
      </c>
      <c r="G1606" s="1" t="s">
        <v>3492</v>
      </c>
      <c r="H1606">
        <v>439</v>
      </c>
      <c r="I1606" s="1">
        <v>1099</v>
      </c>
      <c r="J1606" s="1" t="s">
        <v>55</v>
      </c>
      <c r="K1606" s="1" t="s">
        <v>45</v>
      </c>
      <c r="L1606" s="1">
        <v>4.5</v>
      </c>
      <c r="M1606" s="1">
        <v>749</v>
      </c>
      <c r="P1606" t="str">
        <f t="shared" si="103"/>
        <v>60%</v>
      </c>
      <c r="Q1606" s="12">
        <f t="shared" si="100"/>
        <v>0.6</v>
      </c>
      <c r="R1606" s="9">
        <f t="shared" si="101"/>
        <v>439.6</v>
      </c>
      <c r="S1606" s="9">
        <f>IF(R1606="",AVERAGEIF(Table1[Category],Table1[[#This Row],[Category]],Table2[orignal data]),Table2[[#This Row],[orignal data]])</f>
        <v>439.6</v>
      </c>
      <c r="T1606" t="str">
        <f t="shared" si="102"/>
        <v>UNIQUE</v>
      </c>
      <c r="U1606" t="str">
        <f>IF(ISBLANK(Table1[[#This Row],[SizeOption]]),"NOT AVAILABLE",Table1[[#This Row],[SizeOption]])</f>
        <v>XS, S, M, L, XL</v>
      </c>
      <c r="Y1606" t="str">
        <f>IF(Table2[[#This Row],[Column1]]&gt;50%,"HIGH DISCOUNT","LOW DISCOUNT")</f>
        <v>HIGH DISCOUNT</v>
      </c>
    </row>
    <row r="1607" spans="1:25" x14ac:dyDescent="0.25">
      <c r="A1607" s="2" t="s">
        <v>3493</v>
      </c>
      <c r="B1607" s="2">
        <v>11395996</v>
      </c>
      <c r="C1607" s="2" t="s">
        <v>102</v>
      </c>
      <c r="D1607" s="2" t="s">
        <v>41</v>
      </c>
      <c r="E1607" s="2" t="s">
        <v>16</v>
      </c>
      <c r="F1607" s="2" t="s">
        <v>36</v>
      </c>
      <c r="G1607" s="2" t="s">
        <v>3494</v>
      </c>
      <c r="I1607" s="2">
        <v>1349</v>
      </c>
      <c r="J1607" s="2" t="s">
        <v>758</v>
      </c>
      <c r="K1607" s="2" t="s">
        <v>428</v>
      </c>
      <c r="L1607" s="2">
        <v>3.9</v>
      </c>
      <c r="M1607" s="2">
        <v>749</v>
      </c>
      <c r="P1607" t="str">
        <f t="shared" si="103"/>
        <v>47%</v>
      </c>
      <c r="Q1607" s="12">
        <f t="shared" si="100"/>
        <v>0.47</v>
      </c>
      <c r="R1607" s="9">
        <f t="shared" si="101"/>
        <v>714.97</v>
      </c>
      <c r="S1607" s="9">
        <f>IF(R1607="",AVERAGEIF(Table1[Category],Table1[[#This Row],[Category]],Table2[orignal data]),Table2[[#This Row],[orignal data]])</f>
        <v>714.97</v>
      </c>
      <c r="T1607" t="str">
        <f t="shared" si="102"/>
        <v>UNIQUE</v>
      </c>
      <c r="U1607" t="str">
        <f>IF(ISBLANK(Table1[[#This Row],[SizeOption]]),"NOT AVAILABLE",Table1[[#This Row],[SizeOption]])</f>
        <v>26, 28, 30, 32, 34</v>
      </c>
      <c r="Y1607" t="str">
        <f>IF(Table2[[#This Row],[Column1]]&gt;50%,"HIGH DISCOUNT","LOW DISCOUNT")</f>
        <v>LOW DISCOUNT</v>
      </c>
    </row>
    <row r="1608" spans="1:25" x14ac:dyDescent="0.25">
      <c r="A1608" s="1" t="s">
        <v>3495</v>
      </c>
      <c r="B1608" s="1">
        <v>17385768</v>
      </c>
      <c r="C1608" s="1" t="s">
        <v>14</v>
      </c>
      <c r="D1608" s="1" t="s">
        <v>41</v>
      </c>
      <c r="E1608" s="1" t="s">
        <v>42</v>
      </c>
      <c r="F1608" s="1" t="s">
        <v>36</v>
      </c>
      <c r="G1608" s="1" t="s">
        <v>2443</v>
      </c>
      <c r="I1608" s="1">
        <v>1398</v>
      </c>
      <c r="J1608" s="1" t="s">
        <v>84</v>
      </c>
      <c r="K1608" s="1" t="s">
        <v>45</v>
      </c>
      <c r="L1608" s="1">
        <v>4.2</v>
      </c>
      <c r="M1608" s="1">
        <v>749</v>
      </c>
      <c r="P1608" t="str">
        <f t="shared" si="103"/>
        <v>50%</v>
      </c>
      <c r="Q1608" s="12">
        <f t="shared" si="100"/>
        <v>0.5</v>
      </c>
      <c r="R1608" s="9">
        <f t="shared" si="101"/>
        <v>699</v>
      </c>
      <c r="S1608" s="9">
        <f>IF(R1608="",AVERAGEIF(Table1[Category],Table1[[#This Row],[Category]],Table2[orignal data]),Table2[[#This Row],[orignal data]])</f>
        <v>699</v>
      </c>
      <c r="T1608" t="str">
        <f t="shared" si="102"/>
        <v>UNIQUE</v>
      </c>
      <c r="U1608" t="str">
        <f>IF(ISBLANK(Table1[[#This Row],[SizeOption]]),"NOT AVAILABLE",Table1[[#This Row],[SizeOption]])</f>
        <v>XS, S, M, L, XL</v>
      </c>
      <c r="Y1608" t="str">
        <f>IF(Table2[[#This Row],[Column1]]&gt;50%,"HIGH DISCOUNT","LOW DISCOUNT")</f>
        <v>LOW DISCOUNT</v>
      </c>
    </row>
    <row r="1609" spans="1:25" x14ac:dyDescent="0.25">
      <c r="A1609" s="2" t="s">
        <v>3496</v>
      </c>
      <c r="B1609" s="2">
        <v>11118514</v>
      </c>
      <c r="C1609" s="2" t="s">
        <v>14</v>
      </c>
      <c r="D1609" s="2" t="s">
        <v>41</v>
      </c>
      <c r="E1609" s="2" t="s">
        <v>16</v>
      </c>
      <c r="F1609" s="2" t="s">
        <v>36</v>
      </c>
      <c r="G1609" s="2" t="s">
        <v>3497</v>
      </c>
      <c r="I1609" s="2">
        <v>2199</v>
      </c>
      <c r="J1609" s="2" t="s">
        <v>150</v>
      </c>
      <c r="K1609" s="2" t="s">
        <v>134</v>
      </c>
      <c r="L1609" s="2">
        <v>4.0999999999999996</v>
      </c>
      <c r="M1609" s="2">
        <v>749</v>
      </c>
      <c r="P1609" t="str">
        <f t="shared" si="103"/>
        <v>65%</v>
      </c>
      <c r="Q1609" s="12">
        <f t="shared" si="100"/>
        <v>0.65</v>
      </c>
      <c r="R1609" s="9">
        <f t="shared" si="101"/>
        <v>769.64999999999986</v>
      </c>
      <c r="S1609" s="9">
        <f>IF(R1609="",AVERAGEIF(Table1[Category],Table1[[#This Row],[Category]],Table2[orignal data]),Table2[[#This Row],[orignal data]])</f>
        <v>769.64999999999986</v>
      </c>
      <c r="T1609" t="str">
        <f t="shared" si="102"/>
        <v>UNIQUE</v>
      </c>
      <c r="U1609" t="str">
        <f>IF(ISBLANK(Table1[[#This Row],[SizeOption]]),"NOT AVAILABLE",Table1[[#This Row],[SizeOption]])</f>
        <v>26, 28, 30, 32, 34, 36</v>
      </c>
      <c r="Y1609" t="str">
        <f>IF(Table2[[#This Row],[Column1]]&gt;50%,"HIGH DISCOUNT","LOW DISCOUNT")</f>
        <v>HIGH DISCOUNT</v>
      </c>
    </row>
    <row r="1610" spans="1:25" x14ac:dyDescent="0.25">
      <c r="A1610" s="1" t="s">
        <v>3498</v>
      </c>
      <c r="B1610" s="1">
        <v>8330195</v>
      </c>
      <c r="C1610" s="1" t="s">
        <v>14</v>
      </c>
      <c r="D1610" s="1" t="s">
        <v>41</v>
      </c>
      <c r="E1610" s="1" t="s">
        <v>48</v>
      </c>
      <c r="F1610" s="1" t="s">
        <v>36</v>
      </c>
      <c r="G1610" s="1" t="s">
        <v>3499</v>
      </c>
      <c r="I1610" s="1">
        <v>499</v>
      </c>
      <c r="J1610" s="1" t="s">
        <v>50</v>
      </c>
      <c r="K1610" s="1" t="s">
        <v>45</v>
      </c>
      <c r="L1610" s="1">
        <v>4.2</v>
      </c>
      <c r="M1610" s="1">
        <v>749</v>
      </c>
      <c r="P1610" t="str">
        <f t="shared" si="103"/>
        <v>40%</v>
      </c>
      <c r="Q1610" s="12">
        <f t="shared" si="100"/>
        <v>0.4</v>
      </c>
      <c r="R1610" s="9">
        <f t="shared" si="101"/>
        <v>299.39999999999998</v>
      </c>
      <c r="S1610" s="9">
        <f>IF(R1610="",AVERAGEIF(Table1[Category],Table1[[#This Row],[Category]],Table2[orignal data]),Table2[[#This Row],[orignal data]])</f>
        <v>299.39999999999998</v>
      </c>
      <c r="T1610" t="str">
        <f t="shared" si="102"/>
        <v>UNIQUE</v>
      </c>
      <c r="U1610" t="str">
        <f>IF(ISBLANK(Table1[[#This Row],[SizeOption]]),"NOT AVAILABLE",Table1[[#This Row],[SizeOption]])</f>
        <v>XS, S, M, L, XL</v>
      </c>
      <c r="Y1610" t="str">
        <f>IF(Table2[[#This Row],[Column1]]&gt;50%,"HIGH DISCOUNT","LOW DISCOUNT")</f>
        <v>LOW DISCOUNT</v>
      </c>
    </row>
    <row r="1611" spans="1:25" x14ac:dyDescent="0.25">
      <c r="A1611" s="2" t="s">
        <v>3500</v>
      </c>
      <c r="B1611" s="2">
        <v>8851929</v>
      </c>
      <c r="C1611" s="2" t="s">
        <v>67</v>
      </c>
      <c r="D1611" s="2" t="s">
        <v>15</v>
      </c>
      <c r="E1611" s="2" t="s">
        <v>137</v>
      </c>
      <c r="F1611" s="2" t="s">
        <v>17</v>
      </c>
      <c r="G1611" s="2" t="s">
        <v>3501</v>
      </c>
      <c r="I1611" s="2">
        <v>1399</v>
      </c>
      <c r="J1611" s="2"/>
      <c r="K1611" s="2" t="s">
        <v>171</v>
      </c>
      <c r="L1611" s="2">
        <v>3.9</v>
      </c>
      <c r="M1611" s="2">
        <v>748</v>
      </c>
      <c r="P1611" t="str">
        <f t="shared" si="103"/>
        <v/>
      </c>
      <c r="Q1611" s="12" t="str">
        <f t="shared" si="100"/>
        <v/>
      </c>
      <c r="R1611" s="9" t="str">
        <f t="shared" si="101"/>
        <v/>
      </c>
      <c r="S1611" s="9">
        <f>IF(R1611="",AVERAGEIF(Table1[Category],Table1[[#This Row],[Category]],Table2[orignal data]),Table2[[#This Row],[orignal data]])</f>
        <v>892.27590339892538</v>
      </c>
      <c r="T1611" t="str">
        <f t="shared" si="102"/>
        <v>UNIQUE</v>
      </c>
      <c r="U1611" t="str">
        <f>IF(ISBLANK(Table1[[#This Row],[SizeOption]]),"NOT AVAILABLE",Table1[[#This Row],[SizeOption]])</f>
        <v>28, 30, 32, 34, 36, 38</v>
      </c>
      <c r="Y1611" t="str">
        <f>IF(Table2[[#This Row],[Column1]]&gt;50%,"HIGH DISCOUNT","LOW DISCOUNT")</f>
        <v>HIGH DISCOUNT</v>
      </c>
    </row>
    <row r="1612" spans="1:25" x14ac:dyDescent="0.25">
      <c r="A1612" s="1" t="s">
        <v>3502</v>
      </c>
      <c r="B1612" s="1">
        <v>9436571</v>
      </c>
      <c r="C1612" s="1" t="s">
        <v>1176</v>
      </c>
      <c r="D1612" s="1" t="s">
        <v>15</v>
      </c>
      <c r="E1612" s="1" t="s">
        <v>23</v>
      </c>
      <c r="F1612" s="1" t="s">
        <v>17</v>
      </c>
      <c r="G1612" s="1" t="s">
        <v>1339</v>
      </c>
      <c r="H1612">
        <v>654</v>
      </c>
      <c r="I1612" s="1">
        <v>1109</v>
      </c>
      <c r="J1612" s="1" t="s">
        <v>1109</v>
      </c>
      <c r="K1612" s="1" t="s">
        <v>1341</v>
      </c>
      <c r="L1612" s="1">
        <v>3.8</v>
      </c>
      <c r="M1612" s="1">
        <v>748</v>
      </c>
      <c r="P1612" t="str">
        <f t="shared" si="103"/>
        <v>41%</v>
      </c>
      <c r="Q1612" s="12">
        <f t="shared" si="100"/>
        <v>0.41</v>
      </c>
      <c r="R1612" s="9">
        <f t="shared" si="101"/>
        <v>654.30999999999995</v>
      </c>
      <c r="S1612" s="9">
        <f>IF(R1612="",AVERAGEIF(Table1[Category],Table1[[#This Row],[Category]],Table2[orignal data]),Table2[[#This Row],[orignal data]])</f>
        <v>654.30999999999995</v>
      </c>
      <c r="T1612" t="str">
        <f t="shared" si="102"/>
        <v>UNIQUE</v>
      </c>
      <c r="U1612" t="str">
        <f>IF(ISBLANK(Table1[[#This Row],[SizeOption]]),"NOT AVAILABLE",Table1[[#This Row],[SizeOption]])</f>
        <v>M, L, XL</v>
      </c>
      <c r="Y1612" t="str">
        <f>IF(Table2[[#This Row],[Column1]]&gt;50%,"HIGH DISCOUNT","LOW DISCOUNT")</f>
        <v>LOW DISCOUNT</v>
      </c>
    </row>
    <row r="1613" spans="1:25" x14ac:dyDescent="0.25">
      <c r="A1613" s="2" t="s">
        <v>3503</v>
      </c>
      <c r="B1613" s="2">
        <v>11326622</v>
      </c>
      <c r="C1613" s="2" t="s">
        <v>14</v>
      </c>
      <c r="D1613" s="2" t="s">
        <v>28</v>
      </c>
      <c r="E1613" s="2" t="s">
        <v>29</v>
      </c>
      <c r="F1613" s="2" t="s">
        <v>17</v>
      </c>
      <c r="G1613" s="2" t="s">
        <v>3504</v>
      </c>
      <c r="H1613">
        <v>599</v>
      </c>
      <c r="I1613" s="2">
        <v>1499</v>
      </c>
      <c r="J1613" s="2" t="s">
        <v>55</v>
      </c>
      <c r="K1613" s="2" t="s">
        <v>31</v>
      </c>
      <c r="L1613" s="2">
        <v>4.3</v>
      </c>
      <c r="M1613" s="2">
        <v>748</v>
      </c>
      <c r="P1613" t="str">
        <f t="shared" si="103"/>
        <v>60%</v>
      </c>
      <c r="Q1613" s="12">
        <f t="shared" si="100"/>
        <v>0.6</v>
      </c>
      <c r="R1613" s="9">
        <f t="shared" si="101"/>
        <v>599.6</v>
      </c>
      <c r="S1613" s="9">
        <f>IF(R1613="",AVERAGEIF(Table1[Category],Table1[[#This Row],[Category]],Table2[orignal data]),Table2[[#This Row],[orignal data]])</f>
        <v>599.6</v>
      </c>
      <c r="T1613" t="str">
        <f t="shared" si="102"/>
        <v>UNIQUE</v>
      </c>
      <c r="U1613" t="str">
        <f>IF(ISBLANK(Table1[[#This Row],[SizeOption]]),"NOT AVAILABLE",Table1[[#This Row],[SizeOption]])</f>
        <v>38, 40, 42, 44, 46, 48</v>
      </c>
      <c r="Y1613" t="str">
        <f>IF(Table2[[#This Row],[Column1]]&gt;50%,"HIGH DISCOUNT","LOW DISCOUNT")</f>
        <v>HIGH DISCOUNT</v>
      </c>
    </row>
    <row r="1614" spans="1:25" x14ac:dyDescent="0.25">
      <c r="A1614" s="1" t="s">
        <v>3505</v>
      </c>
      <c r="B1614" s="1">
        <v>10397911</v>
      </c>
      <c r="C1614" s="1" t="s">
        <v>14</v>
      </c>
      <c r="D1614" s="1" t="s">
        <v>28</v>
      </c>
      <c r="E1614" s="1" t="s">
        <v>29</v>
      </c>
      <c r="F1614" s="1" t="s">
        <v>17</v>
      </c>
      <c r="G1614" s="1" t="s">
        <v>3506</v>
      </c>
      <c r="H1614">
        <v>879</v>
      </c>
      <c r="I1614" s="1">
        <v>1599</v>
      </c>
      <c r="J1614" s="1" t="s">
        <v>19</v>
      </c>
      <c r="K1614" s="1" t="s">
        <v>253</v>
      </c>
      <c r="L1614" s="1">
        <v>4.5</v>
      </c>
      <c r="M1614" s="1">
        <v>748</v>
      </c>
      <c r="P1614" t="str">
        <f t="shared" si="103"/>
        <v>45%</v>
      </c>
      <c r="Q1614" s="12">
        <f t="shared" si="100"/>
        <v>0.45</v>
      </c>
      <c r="R1614" s="9">
        <f t="shared" si="101"/>
        <v>879.44999999999993</v>
      </c>
      <c r="S1614" s="9">
        <f>IF(R1614="",AVERAGEIF(Table1[Category],Table1[[#This Row],[Category]],Table2[orignal data]),Table2[[#This Row],[orignal data]])</f>
        <v>879.44999999999993</v>
      </c>
      <c r="T1614" t="str">
        <f t="shared" si="102"/>
        <v>UNIQUE</v>
      </c>
      <c r="U1614" t="str">
        <f>IF(ISBLANK(Table1[[#This Row],[SizeOption]]),"NOT AVAILABLE",Table1[[#This Row],[SizeOption]])</f>
        <v>38, 40, 42, 44</v>
      </c>
      <c r="Y1614" t="str">
        <f>IF(Table2[[#This Row],[Column1]]&gt;50%,"HIGH DISCOUNT","LOW DISCOUNT")</f>
        <v>LOW DISCOUNT</v>
      </c>
    </row>
    <row r="1615" spans="1:25" x14ac:dyDescent="0.25">
      <c r="A1615" s="2" t="s">
        <v>3507</v>
      </c>
      <c r="B1615" s="2">
        <v>10944412</v>
      </c>
      <c r="C1615" s="2" t="s">
        <v>14</v>
      </c>
      <c r="D1615" s="2" t="s">
        <v>28</v>
      </c>
      <c r="E1615" s="2" t="s">
        <v>29</v>
      </c>
      <c r="F1615" s="2" t="s">
        <v>17</v>
      </c>
      <c r="G1615" s="2" t="s">
        <v>3508</v>
      </c>
      <c r="H1615">
        <v>799</v>
      </c>
      <c r="I1615" s="2">
        <v>1999</v>
      </c>
      <c r="J1615" s="2" t="s">
        <v>55</v>
      </c>
      <c r="K1615" s="2" t="s">
        <v>253</v>
      </c>
      <c r="L1615" s="2">
        <v>4</v>
      </c>
      <c r="M1615" s="2">
        <v>748</v>
      </c>
      <c r="P1615" t="str">
        <f t="shared" si="103"/>
        <v>60%</v>
      </c>
      <c r="Q1615" s="12">
        <f t="shared" si="100"/>
        <v>0.6</v>
      </c>
      <c r="R1615" s="9">
        <f t="shared" si="101"/>
        <v>799.60000000000014</v>
      </c>
      <c r="S1615" s="9">
        <f>IF(R1615="",AVERAGEIF(Table1[Category],Table1[[#This Row],[Category]],Table2[orignal data]),Table2[[#This Row],[orignal data]])</f>
        <v>799.60000000000014</v>
      </c>
      <c r="T1615" t="str">
        <f t="shared" si="102"/>
        <v>UNIQUE</v>
      </c>
      <c r="U1615" t="str">
        <f>IF(ISBLANK(Table1[[#This Row],[SizeOption]]),"NOT AVAILABLE",Table1[[#This Row],[SizeOption]])</f>
        <v>38, 40, 42, 44</v>
      </c>
      <c r="Y1615" t="str">
        <f>IF(Table2[[#This Row],[Column1]]&gt;50%,"HIGH DISCOUNT","LOW DISCOUNT")</f>
        <v>HIGH DISCOUNT</v>
      </c>
    </row>
    <row r="1616" spans="1:25" x14ac:dyDescent="0.25">
      <c r="A1616" s="1" t="s">
        <v>3509</v>
      </c>
      <c r="B1616" s="1">
        <v>9442835</v>
      </c>
      <c r="C1616" s="1" t="s">
        <v>3510</v>
      </c>
      <c r="D1616" s="1" t="s">
        <v>34</v>
      </c>
      <c r="E1616" s="1" t="s">
        <v>118</v>
      </c>
      <c r="F1616" s="1" t="s">
        <v>36</v>
      </c>
      <c r="G1616" s="1" t="s">
        <v>3511</v>
      </c>
      <c r="I1616" s="1">
        <v>1049</v>
      </c>
      <c r="J1616" s="1"/>
      <c r="K1616" s="1" t="s">
        <v>549</v>
      </c>
      <c r="L1616" s="1">
        <v>4.4000000000000004</v>
      </c>
      <c r="M1616" s="1">
        <v>748</v>
      </c>
      <c r="P1616" t="str">
        <f t="shared" si="103"/>
        <v/>
      </c>
      <c r="Q1616" s="12" t="str">
        <f t="shared" si="100"/>
        <v/>
      </c>
      <c r="R1616" s="9" t="str">
        <f t="shared" si="101"/>
        <v/>
      </c>
      <c r="S1616" s="9">
        <f>IF(R1616="",AVERAGEIF(Table1[Category],Table1[[#This Row],[Category]],Table2[orignal data]),Table2[[#This Row],[orignal data]])</f>
        <v>608.88518518518481</v>
      </c>
      <c r="T1616" t="str">
        <f t="shared" si="102"/>
        <v>UNIQUE</v>
      </c>
      <c r="U1616" t="str">
        <f>IF(ISBLANK(Table1[[#This Row],[SizeOption]]),"NOT AVAILABLE",Table1[[#This Row],[SizeOption]])</f>
        <v>32B, 32C, 34B, 34C, 34D, 36B, 36C, 36D, 38B, 38C, 38D</v>
      </c>
      <c r="Y1616" t="str">
        <f>IF(Table2[[#This Row],[Column1]]&gt;50%,"HIGH DISCOUNT","LOW DISCOUNT")</f>
        <v>HIGH DISCOUNT</v>
      </c>
    </row>
    <row r="1617" spans="1:25" x14ac:dyDescent="0.25">
      <c r="A1617" s="2" t="s">
        <v>3512</v>
      </c>
      <c r="B1617" s="2">
        <v>13592720</v>
      </c>
      <c r="C1617" s="2" t="s">
        <v>75</v>
      </c>
      <c r="D1617" s="2" t="s">
        <v>34</v>
      </c>
      <c r="E1617" s="2" t="s">
        <v>406</v>
      </c>
      <c r="F1617" s="2" t="s">
        <v>36</v>
      </c>
      <c r="G1617" s="2" t="s">
        <v>3513</v>
      </c>
      <c r="H1617">
        <v>961</v>
      </c>
      <c r="I1617" s="2">
        <v>2599</v>
      </c>
      <c r="J1617" s="2" t="s">
        <v>476</v>
      </c>
      <c r="K1617" s="2" t="s">
        <v>39</v>
      </c>
      <c r="L1617" s="2">
        <v>3.9</v>
      </c>
      <c r="M1617" s="2">
        <v>748</v>
      </c>
      <c r="P1617" t="str">
        <f t="shared" si="103"/>
        <v>63%</v>
      </c>
      <c r="Q1617" s="12">
        <f t="shared" si="100"/>
        <v>0.63</v>
      </c>
      <c r="R1617" s="9">
        <f t="shared" si="101"/>
        <v>961.62999999999988</v>
      </c>
      <c r="S1617" s="9">
        <f>IF(R1617="",AVERAGEIF(Table1[Category],Table1[[#This Row],[Category]],Table2[orignal data]),Table2[[#This Row],[orignal data]])</f>
        <v>961.62999999999988</v>
      </c>
      <c r="T1617" t="str">
        <f t="shared" si="102"/>
        <v>UNIQUE</v>
      </c>
      <c r="U1617" t="str">
        <f>IF(ISBLANK(Table1[[#This Row],[SizeOption]]),"NOT AVAILABLE",Table1[[#This Row],[SizeOption]])</f>
        <v>S, M, L, XL, XXL</v>
      </c>
      <c r="Y1617" t="str">
        <f>IF(Table2[[#This Row],[Column1]]&gt;50%,"HIGH DISCOUNT","LOW DISCOUNT")</f>
        <v>HIGH DISCOUNT</v>
      </c>
    </row>
    <row r="1618" spans="1:25" x14ac:dyDescent="0.25">
      <c r="A1618" s="1" t="s">
        <v>3514</v>
      </c>
      <c r="B1618" s="1">
        <v>1718904</v>
      </c>
      <c r="C1618" s="1" t="s">
        <v>841</v>
      </c>
      <c r="D1618" s="1" t="s">
        <v>41</v>
      </c>
      <c r="E1618" s="1" t="s">
        <v>29</v>
      </c>
      <c r="F1618" s="1" t="s">
        <v>36</v>
      </c>
      <c r="G1618" s="1" t="s">
        <v>3515</v>
      </c>
      <c r="I1618" s="1">
        <v>1599</v>
      </c>
      <c r="J1618" s="1" t="s">
        <v>55</v>
      </c>
      <c r="K1618" s="1" t="s">
        <v>26</v>
      </c>
      <c r="L1618" s="1">
        <v>4.3</v>
      </c>
      <c r="M1618" s="1">
        <v>748</v>
      </c>
      <c r="P1618" t="str">
        <f t="shared" si="103"/>
        <v>60%</v>
      </c>
      <c r="Q1618" s="12">
        <f t="shared" si="100"/>
        <v>0.6</v>
      </c>
      <c r="R1618" s="9">
        <f t="shared" si="101"/>
        <v>639.6</v>
      </c>
      <c r="S1618" s="9">
        <f>IF(R1618="",AVERAGEIF(Table1[Category],Table1[[#This Row],[Category]],Table2[orignal data]),Table2[[#This Row],[orignal data]])</f>
        <v>639.6</v>
      </c>
      <c r="T1618" t="str">
        <f t="shared" si="102"/>
        <v>UNIQUE</v>
      </c>
      <c r="U1618" t="str">
        <f>IF(ISBLANK(Table1[[#This Row],[SizeOption]]),"NOT AVAILABLE",Table1[[#This Row],[SizeOption]])</f>
        <v>S, M, L, XL</v>
      </c>
      <c r="Y1618" t="str">
        <f>IF(Table2[[#This Row],[Column1]]&gt;50%,"HIGH DISCOUNT","LOW DISCOUNT")</f>
        <v>HIGH DISCOUNT</v>
      </c>
    </row>
    <row r="1619" spans="1:25" x14ac:dyDescent="0.25">
      <c r="A1619" s="2" t="s">
        <v>3516</v>
      </c>
      <c r="B1619" s="2">
        <v>10778656</v>
      </c>
      <c r="C1619" s="2" t="s">
        <v>14</v>
      </c>
      <c r="D1619" s="2" t="s">
        <v>41</v>
      </c>
      <c r="E1619" s="2" t="s">
        <v>42</v>
      </c>
      <c r="F1619" s="2" t="s">
        <v>36</v>
      </c>
      <c r="G1619" s="2" t="s">
        <v>43</v>
      </c>
      <c r="I1619" s="2">
        <v>699</v>
      </c>
      <c r="J1619" s="2" t="s">
        <v>50</v>
      </c>
      <c r="K1619" s="2" t="s">
        <v>45</v>
      </c>
      <c r="L1619" s="2">
        <v>4.0999999999999996</v>
      </c>
      <c r="M1619" s="2">
        <v>748</v>
      </c>
      <c r="P1619" t="str">
        <f t="shared" si="103"/>
        <v>40%</v>
      </c>
      <c r="Q1619" s="12">
        <f t="shared" si="100"/>
        <v>0.4</v>
      </c>
      <c r="R1619" s="9">
        <f t="shared" si="101"/>
        <v>419.4</v>
      </c>
      <c r="S1619" s="9">
        <f>IF(R1619="",AVERAGEIF(Table1[Category],Table1[[#This Row],[Category]],Table2[orignal data]),Table2[[#This Row],[orignal data]])</f>
        <v>419.4</v>
      </c>
      <c r="T1619" t="str">
        <f t="shared" si="102"/>
        <v>UNIQUE</v>
      </c>
      <c r="U1619" t="str">
        <f>IF(ISBLANK(Table1[[#This Row],[SizeOption]]),"NOT AVAILABLE",Table1[[#This Row],[SizeOption]])</f>
        <v>XS, S, M, L, XL</v>
      </c>
      <c r="Y1619" t="str">
        <f>IF(Table2[[#This Row],[Column1]]&gt;50%,"HIGH DISCOUNT","LOW DISCOUNT")</f>
        <v>LOW DISCOUNT</v>
      </c>
    </row>
    <row r="1620" spans="1:25" x14ac:dyDescent="0.25">
      <c r="A1620" s="1" t="s">
        <v>3517</v>
      </c>
      <c r="B1620" s="1">
        <v>13167660</v>
      </c>
      <c r="C1620" s="1" t="s">
        <v>2895</v>
      </c>
      <c r="D1620" s="1" t="s">
        <v>68</v>
      </c>
      <c r="E1620" s="1" t="s">
        <v>3518</v>
      </c>
      <c r="F1620" s="1" t="s">
        <v>36</v>
      </c>
      <c r="G1620" s="1" t="s">
        <v>3519</v>
      </c>
      <c r="H1620">
        <v>827</v>
      </c>
      <c r="I1620" s="1">
        <v>899</v>
      </c>
      <c r="J1620" s="1" t="s">
        <v>3520</v>
      </c>
      <c r="K1620" s="1" t="s">
        <v>3521</v>
      </c>
      <c r="L1620" s="1">
        <v>4.0999999999999996</v>
      </c>
      <c r="M1620" s="1">
        <v>747</v>
      </c>
      <c r="P1620" t="str">
        <f t="shared" si="103"/>
        <v>8%</v>
      </c>
      <c r="Q1620" s="12">
        <f t="shared" si="100"/>
        <v>0.08</v>
      </c>
      <c r="R1620" s="9">
        <f t="shared" si="101"/>
        <v>827.08</v>
      </c>
      <c r="S1620" s="9">
        <f>IF(R1620="",AVERAGEIF(Table1[Category],Table1[[#This Row],[Category]],Table2[orignal data]),Table2[[#This Row],[orignal data]])</f>
        <v>827.08</v>
      </c>
      <c r="T1620" t="str">
        <f t="shared" si="102"/>
        <v>UNIQUE</v>
      </c>
      <c r="U1620" t="str">
        <f>IF(ISBLANK(Table1[[#This Row],[SizeOption]]),"NOT AVAILABLE",Table1[[#This Row],[SizeOption]])</f>
        <v>UK3, UK4, UK5, UK5.5, UK6.5, UK7, UK8, UK8.5, UK9.5, UK10.5, UK11, UK12</v>
      </c>
      <c r="Y1620" t="str">
        <f>IF(Table2[[#This Row],[Column1]]&gt;50%,"HIGH DISCOUNT","LOW DISCOUNT")</f>
        <v>LOW DISCOUNT</v>
      </c>
    </row>
    <row r="1621" spans="1:25" x14ac:dyDescent="0.25">
      <c r="A1621" s="2" t="s">
        <v>3522</v>
      </c>
      <c r="B1621" s="2">
        <v>9722997</v>
      </c>
      <c r="C1621" s="2" t="s">
        <v>952</v>
      </c>
      <c r="D1621" s="2" t="s">
        <v>41</v>
      </c>
      <c r="E1621" s="2" t="s">
        <v>48</v>
      </c>
      <c r="F1621" s="2" t="s">
        <v>36</v>
      </c>
      <c r="G1621" s="2" t="s">
        <v>3523</v>
      </c>
      <c r="I1621" s="2">
        <v>1849</v>
      </c>
      <c r="J1621" s="2" t="s">
        <v>130</v>
      </c>
      <c r="K1621" s="2" t="s">
        <v>45</v>
      </c>
      <c r="L1621" s="2">
        <v>4.3</v>
      </c>
      <c r="M1621" s="2">
        <v>747</v>
      </c>
      <c r="P1621" t="str">
        <f t="shared" si="103"/>
        <v>57%</v>
      </c>
      <c r="Q1621" s="12">
        <f t="shared" si="100"/>
        <v>0.56999999999999995</v>
      </c>
      <c r="R1621" s="9">
        <f t="shared" si="101"/>
        <v>795.07000000000016</v>
      </c>
      <c r="S1621" s="9">
        <f>IF(R1621="",AVERAGEIF(Table1[Category],Table1[[#This Row],[Category]],Table2[orignal data]),Table2[[#This Row],[orignal data]])</f>
        <v>795.07000000000016</v>
      </c>
      <c r="T1621" t="str">
        <f t="shared" si="102"/>
        <v>UNIQUE</v>
      </c>
      <c r="U1621" t="str">
        <f>IF(ISBLANK(Table1[[#This Row],[SizeOption]]),"NOT AVAILABLE",Table1[[#This Row],[SizeOption]])</f>
        <v>XS, S, M, L, XL</v>
      </c>
      <c r="Y1621" t="str">
        <f>IF(Table2[[#This Row],[Column1]]&gt;50%,"HIGH DISCOUNT","LOW DISCOUNT")</f>
        <v>HIGH DISCOUNT</v>
      </c>
    </row>
    <row r="1622" spans="1:25" x14ac:dyDescent="0.25">
      <c r="A1622" s="1" t="s">
        <v>3524</v>
      </c>
      <c r="B1622" s="1">
        <v>8426355</v>
      </c>
      <c r="C1622" s="1" t="s">
        <v>169</v>
      </c>
      <c r="D1622" s="1" t="s">
        <v>28</v>
      </c>
      <c r="E1622" s="1" t="s">
        <v>42</v>
      </c>
      <c r="F1622" s="1" t="s">
        <v>17</v>
      </c>
      <c r="G1622" s="1" t="s">
        <v>3525</v>
      </c>
      <c r="H1622">
        <v>599</v>
      </c>
      <c r="I1622" s="1">
        <v>1199</v>
      </c>
      <c r="J1622" s="1" t="s">
        <v>84</v>
      </c>
      <c r="K1622" s="1" t="s">
        <v>39</v>
      </c>
      <c r="L1622" s="1">
        <v>4.3</v>
      </c>
      <c r="M1622" s="1">
        <v>746</v>
      </c>
      <c r="P1622" t="str">
        <f t="shared" si="103"/>
        <v>50%</v>
      </c>
      <c r="Q1622" s="12">
        <f t="shared" si="100"/>
        <v>0.5</v>
      </c>
      <c r="R1622" s="9">
        <f t="shared" si="101"/>
        <v>599.5</v>
      </c>
      <c r="S1622" s="9">
        <f>IF(R1622="",AVERAGEIF(Table1[Category],Table1[[#This Row],[Category]],Table2[orignal data]),Table2[[#This Row],[orignal data]])</f>
        <v>599.5</v>
      </c>
      <c r="T1622" t="str">
        <f t="shared" si="102"/>
        <v>UNIQUE</v>
      </c>
      <c r="U1622" t="str">
        <f>IF(ISBLANK(Table1[[#This Row],[SizeOption]]),"NOT AVAILABLE",Table1[[#This Row],[SizeOption]])</f>
        <v>S, M, L, XL, XXL</v>
      </c>
      <c r="Y1622" t="str">
        <f>IF(Table2[[#This Row],[Column1]]&gt;50%,"HIGH DISCOUNT","LOW DISCOUNT")</f>
        <v>LOW DISCOUNT</v>
      </c>
    </row>
    <row r="1623" spans="1:25" x14ac:dyDescent="0.25">
      <c r="A1623" s="2" t="s">
        <v>3526</v>
      </c>
      <c r="B1623" s="2">
        <v>14376546</v>
      </c>
      <c r="C1623" s="2" t="s">
        <v>113</v>
      </c>
      <c r="D1623" s="2" t="s">
        <v>76</v>
      </c>
      <c r="E1623" s="2" t="s">
        <v>93</v>
      </c>
      <c r="F1623" s="2" t="s">
        <v>36</v>
      </c>
      <c r="G1623" s="2" t="s">
        <v>3527</v>
      </c>
      <c r="H1623">
        <v>679</v>
      </c>
      <c r="I1623" s="2">
        <v>1699</v>
      </c>
      <c r="J1623" s="2" t="s">
        <v>55</v>
      </c>
      <c r="K1623" s="2" t="s">
        <v>115</v>
      </c>
      <c r="L1623" s="2">
        <v>4.4000000000000004</v>
      </c>
      <c r="M1623" s="2">
        <v>746</v>
      </c>
      <c r="P1623" t="str">
        <f t="shared" si="103"/>
        <v>60%</v>
      </c>
      <c r="Q1623" s="12">
        <f t="shared" si="100"/>
        <v>0.6</v>
      </c>
      <c r="R1623" s="9">
        <f t="shared" si="101"/>
        <v>679.6</v>
      </c>
      <c r="S1623" s="9">
        <f>IF(R1623="",AVERAGEIF(Table1[Category],Table1[[#This Row],[Category]],Table2[orignal data]),Table2[[#This Row],[orignal data]])</f>
        <v>679.6</v>
      </c>
      <c r="T1623" t="str">
        <f t="shared" si="102"/>
        <v>UNIQUE</v>
      </c>
      <c r="U1623" t="str">
        <f>IF(ISBLANK(Table1[[#This Row],[SizeOption]]),"NOT AVAILABLE",Table1[[#This Row],[SizeOption]])</f>
        <v>XS, S, M, L, XL, XXL</v>
      </c>
      <c r="Y1623" t="str">
        <f>IF(Table2[[#This Row],[Column1]]&gt;50%,"HIGH DISCOUNT","LOW DISCOUNT")</f>
        <v>HIGH DISCOUNT</v>
      </c>
    </row>
    <row r="1624" spans="1:25" x14ac:dyDescent="0.25">
      <c r="A1624" s="1" t="s">
        <v>3528</v>
      </c>
      <c r="B1624" s="1">
        <v>2295687</v>
      </c>
      <c r="C1624" s="1" t="s">
        <v>117</v>
      </c>
      <c r="D1624" s="1" t="s">
        <v>34</v>
      </c>
      <c r="E1624" s="1" t="s">
        <v>296</v>
      </c>
      <c r="F1624" s="1" t="s">
        <v>36</v>
      </c>
      <c r="G1624" s="1" t="s">
        <v>3529</v>
      </c>
      <c r="I1624" s="1">
        <v>579</v>
      </c>
      <c r="J1624" s="1"/>
      <c r="K1624" s="1" t="s">
        <v>26</v>
      </c>
      <c r="L1624" s="1">
        <v>4</v>
      </c>
      <c r="M1624" s="1">
        <v>746</v>
      </c>
      <c r="P1624" t="str">
        <f t="shared" si="103"/>
        <v/>
      </c>
      <c r="Q1624" s="12" t="str">
        <f t="shared" si="100"/>
        <v/>
      </c>
      <c r="R1624" s="9" t="str">
        <f t="shared" si="101"/>
        <v/>
      </c>
      <c r="S1624" s="9">
        <f>IF(R1624="",AVERAGEIF(Table1[Category],Table1[[#This Row],[Category]],Table2[orignal data]),Table2[[#This Row],[orignal data]])</f>
        <v>608.88518518518481</v>
      </c>
      <c r="T1624" t="str">
        <f t="shared" si="102"/>
        <v>UNIQUE</v>
      </c>
      <c r="U1624" t="str">
        <f>IF(ISBLANK(Table1[[#This Row],[SizeOption]]),"NOT AVAILABLE",Table1[[#This Row],[SizeOption]])</f>
        <v>S, M, L, XL</v>
      </c>
      <c r="Y1624" t="str">
        <f>IF(Table2[[#This Row],[Column1]]&gt;50%,"HIGH DISCOUNT","LOW DISCOUNT")</f>
        <v>HIGH DISCOUNT</v>
      </c>
    </row>
    <row r="1625" spans="1:25" x14ac:dyDescent="0.25">
      <c r="A1625" s="2" t="s">
        <v>3530</v>
      </c>
      <c r="B1625" s="2">
        <v>10939824</v>
      </c>
      <c r="C1625" s="2" t="s">
        <v>107</v>
      </c>
      <c r="D1625" s="2" t="s">
        <v>34</v>
      </c>
      <c r="E1625" s="2" t="s">
        <v>118</v>
      </c>
      <c r="F1625" s="2" t="s">
        <v>36</v>
      </c>
      <c r="G1625" s="2" t="s">
        <v>3531</v>
      </c>
      <c r="H1625">
        <v>239</v>
      </c>
      <c r="I1625" s="2">
        <v>799</v>
      </c>
      <c r="J1625" s="2" t="s">
        <v>79</v>
      </c>
      <c r="K1625" s="2" t="s">
        <v>549</v>
      </c>
      <c r="L1625" s="2">
        <v>4.4000000000000004</v>
      </c>
      <c r="M1625" s="2">
        <v>746</v>
      </c>
      <c r="P1625" t="str">
        <f t="shared" si="103"/>
        <v>70%</v>
      </c>
      <c r="Q1625" s="12">
        <f t="shared" si="100"/>
        <v>0.7</v>
      </c>
      <c r="R1625" s="9">
        <f t="shared" si="101"/>
        <v>239.70000000000005</v>
      </c>
      <c r="S1625" s="9">
        <f>IF(R1625="",AVERAGEIF(Table1[Category],Table1[[#This Row],[Category]],Table2[orignal data]),Table2[[#This Row],[orignal data]])</f>
        <v>239.70000000000005</v>
      </c>
      <c r="T1625" t="str">
        <f t="shared" si="102"/>
        <v>UNIQUE</v>
      </c>
      <c r="U1625" t="str">
        <f>IF(ISBLANK(Table1[[#This Row],[SizeOption]]),"NOT AVAILABLE",Table1[[#This Row],[SizeOption]])</f>
        <v>32B, 32C, 34B, 34C, 34D, 36B, 36C, 36D, 38B, 38C, 38D</v>
      </c>
      <c r="Y1625" t="str">
        <f>IF(Table2[[#This Row],[Column1]]&gt;50%,"HIGH DISCOUNT","LOW DISCOUNT")</f>
        <v>HIGH DISCOUNT</v>
      </c>
    </row>
    <row r="1626" spans="1:25" x14ac:dyDescent="0.25">
      <c r="A1626" s="1" t="s">
        <v>3532</v>
      </c>
      <c r="B1626" s="1">
        <v>4696509</v>
      </c>
      <c r="C1626" s="1" t="s">
        <v>64</v>
      </c>
      <c r="D1626" s="1" t="s">
        <v>98</v>
      </c>
      <c r="E1626" s="1" t="s">
        <v>93</v>
      </c>
      <c r="F1626" s="1" t="s">
        <v>36</v>
      </c>
      <c r="G1626" s="1" t="s">
        <v>3533</v>
      </c>
      <c r="H1626">
        <v>719</v>
      </c>
      <c r="I1626" s="1">
        <v>1799</v>
      </c>
      <c r="J1626" s="1" t="s">
        <v>55</v>
      </c>
      <c r="K1626" s="1" t="s">
        <v>100</v>
      </c>
      <c r="L1626" s="1">
        <v>4.2</v>
      </c>
      <c r="M1626" s="1">
        <v>746</v>
      </c>
      <c r="P1626" t="str">
        <f t="shared" si="103"/>
        <v>60%</v>
      </c>
      <c r="Q1626" s="12">
        <f t="shared" si="100"/>
        <v>0.6</v>
      </c>
      <c r="R1626" s="9">
        <f t="shared" si="101"/>
        <v>719.60000000000014</v>
      </c>
      <c r="S1626" s="9">
        <f>IF(R1626="",AVERAGEIF(Table1[Category],Table1[[#This Row],[Category]],Table2[orignal data]),Table2[[#This Row],[orignal data]])</f>
        <v>719.60000000000014</v>
      </c>
      <c r="T1626" t="str">
        <f t="shared" si="102"/>
        <v>UNIQUE</v>
      </c>
      <c r="U1626" t="str">
        <f>IF(ISBLANK(Table1[[#This Row],[SizeOption]]),"NOT AVAILABLE",Table1[[#This Row],[SizeOption]])</f>
        <v>XS, S, M, L, XL, XXL, 3XL</v>
      </c>
      <c r="Y1626" t="str">
        <f>IF(Table2[[#This Row],[Column1]]&gt;50%,"HIGH DISCOUNT","LOW DISCOUNT")</f>
        <v>HIGH DISCOUNT</v>
      </c>
    </row>
    <row r="1627" spans="1:25" x14ac:dyDescent="0.25">
      <c r="A1627" s="2" t="s">
        <v>3534</v>
      </c>
      <c r="B1627" s="2">
        <v>17385208</v>
      </c>
      <c r="C1627" s="2" t="s">
        <v>14</v>
      </c>
      <c r="D1627" s="2" t="s">
        <v>41</v>
      </c>
      <c r="E1627" s="2" t="s">
        <v>42</v>
      </c>
      <c r="F1627" s="2" t="s">
        <v>36</v>
      </c>
      <c r="G1627" s="2" t="s">
        <v>111</v>
      </c>
      <c r="I1627" s="2">
        <v>1398</v>
      </c>
      <c r="J1627" s="2" t="s">
        <v>84</v>
      </c>
      <c r="K1627" s="2" t="s">
        <v>45</v>
      </c>
      <c r="L1627" s="2">
        <v>4.3</v>
      </c>
      <c r="M1627" s="2">
        <v>746</v>
      </c>
      <c r="P1627" t="str">
        <f t="shared" si="103"/>
        <v>50%</v>
      </c>
      <c r="Q1627" s="12">
        <f t="shared" si="100"/>
        <v>0.5</v>
      </c>
      <c r="R1627" s="9">
        <f t="shared" si="101"/>
        <v>699</v>
      </c>
      <c r="S1627" s="9">
        <f>IF(R1627="",AVERAGEIF(Table1[Category],Table1[[#This Row],[Category]],Table2[orignal data]),Table2[[#This Row],[orignal data]])</f>
        <v>699</v>
      </c>
      <c r="T1627" t="str">
        <f t="shared" si="102"/>
        <v>UNIQUE</v>
      </c>
      <c r="U1627" t="str">
        <f>IF(ISBLANK(Table1[[#This Row],[SizeOption]]),"NOT AVAILABLE",Table1[[#This Row],[SizeOption]])</f>
        <v>XS, S, M, L, XL</v>
      </c>
      <c r="Y1627" t="str">
        <f>IF(Table2[[#This Row],[Column1]]&gt;50%,"HIGH DISCOUNT","LOW DISCOUNT")</f>
        <v>LOW DISCOUNT</v>
      </c>
    </row>
    <row r="1628" spans="1:25" x14ac:dyDescent="0.25">
      <c r="A1628" s="1" t="s">
        <v>3535</v>
      </c>
      <c r="B1628" s="1">
        <v>2393019</v>
      </c>
      <c r="C1628" s="1" t="s">
        <v>107</v>
      </c>
      <c r="D1628" s="1" t="s">
        <v>41</v>
      </c>
      <c r="E1628" s="1" t="s">
        <v>48</v>
      </c>
      <c r="F1628" s="1" t="s">
        <v>36</v>
      </c>
      <c r="G1628" s="1" t="s">
        <v>3536</v>
      </c>
      <c r="I1628" s="1">
        <v>1399</v>
      </c>
      <c r="J1628" s="1" t="s">
        <v>3283</v>
      </c>
      <c r="K1628" s="1" t="s">
        <v>45</v>
      </c>
      <c r="L1628" s="1">
        <v>4.2</v>
      </c>
      <c r="M1628" s="1">
        <v>746</v>
      </c>
      <c r="P1628" t="str">
        <f t="shared" si="103"/>
        <v>900</v>
      </c>
      <c r="Q1628" s="12">
        <f t="shared" si="100"/>
        <v>0.64331665475339528</v>
      </c>
      <c r="R1628" s="9">
        <f t="shared" si="101"/>
        <v>499</v>
      </c>
      <c r="S1628" s="9">
        <f>IF(R1628="",AVERAGEIF(Table1[Category],Table1[[#This Row],[Category]],Table2[orignal data]),Table2[[#This Row],[orignal data]])</f>
        <v>499</v>
      </c>
      <c r="T1628" t="str">
        <f t="shared" si="102"/>
        <v>UNIQUE</v>
      </c>
      <c r="U1628" t="str">
        <f>IF(ISBLANK(Table1[[#This Row],[SizeOption]]),"NOT AVAILABLE",Table1[[#This Row],[SizeOption]])</f>
        <v>XS, S, M, L, XL</v>
      </c>
      <c r="Y1628" t="str">
        <f>IF(Table2[[#This Row],[Column1]]&gt;50%,"HIGH DISCOUNT","LOW DISCOUNT")</f>
        <v>HIGH DISCOUNT</v>
      </c>
    </row>
    <row r="1629" spans="1:25" x14ac:dyDescent="0.25">
      <c r="A1629" s="2" t="s">
        <v>3537</v>
      </c>
      <c r="B1629" s="2">
        <v>8237591</v>
      </c>
      <c r="C1629" s="2" t="s">
        <v>14</v>
      </c>
      <c r="D1629" s="2" t="s">
        <v>15</v>
      </c>
      <c r="E1629" s="2" t="s">
        <v>53</v>
      </c>
      <c r="F1629" s="2" t="s">
        <v>17</v>
      </c>
      <c r="G1629" s="2" t="s">
        <v>3538</v>
      </c>
      <c r="H1629">
        <v>1079</v>
      </c>
      <c r="I1629" s="2">
        <v>2399</v>
      </c>
      <c r="J1629" s="2" t="s">
        <v>25</v>
      </c>
      <c r="K1629" s="2" t="s">
        <v>195</v>
      </c>
      <c r="L1629" s="2">
        <v>4.0999999999999996</v>
      </c>
      <c r="M1629" s="2">
        <v>745</v>
      </c>
      <c r="P1629" t="str">
        <f t="shared" si="103"/>
        <v>55%</v>
      </c>
      <c r="Q1629" s="12">
        <f t="shared" si="100"/>
        <v>0.55000000000000004</v>
      </c>
      <c r="R1629" s="9">
        <f t="shared" si="101"/>
        <v>1079.55</v>
      </c>
      <c r="S1629" s="9">
        <f>IF(R1629="",AVERAGEIF(Table1[Category],Table1[[#This Row],[Category]],Table2[orignal data]),Table2[[#This Row],[orignal data]])</f>
        <v>1079.55</v>
      </c>
      <c r="T1629" t="str">
        <f t="shared" si="102"/>
        <v>UNIQUE</v>
      </c>
      <c r="U1629" t="str">
        <f>IF(ISBLANK(Table1[[#This Row],[SizeOption]]),"NOT AVAILABLE",Table1[[#This Row],[SizeOption]])</f>
        <v>28, 30, 32, 34, 36, 38, 40</v>
      </c>
      <c r="Y1629" t="str">
        <f>IF(Table2[[#This Row],[Column1]]&gt;50%,"HIGH DISCOUNT","LOW DISCOUNT")</f>
        <v>HIGH DISCOUNT</v>
      </c>
    </row>
    <row r="1630" spans="1:25" x14ac:dyDescent="0.25">
      <c r="A1630" s="1" t="s">
        <v>3539</v>
      </c>
      <c r="B1630" s="1">
        <v>13040630</v>
      </c>
      <c r="C1630" s="1" t="s">
        <v>67</v>
      </c>
      <c r="D1630" s="1" t="s">
        <v>68</v>
      </c>
      <c r="E1630" s="1" t="s">
        <v>42</v>
      </c>
      <c r="F1630" s="1" t="s">
        <v>17</v>
      </c>
      <c r="G1630" s="1" t="s">
        <v>3540</v>
      </c>
      <c r="I1630" s="1">
        <v>899</v>
      </c>
      <c r="J1630" s="1"/>
      <c r="K1630" s="1" t="s">
        <v>39</v>
      </c>
      <c r="L1630" s="1">
        <v>4.4000000000000004</v>
      </c>
      <c r="M1630" s="1">
        <v>745</v>
      </c>
      <c r="P1630" t="str">
        <f t="shared" si="103"/>
        <v/>
      </c>
      <c r="Q1630" s="12" t="str">
        <f t="shared" si="100"/>
        <v/>
      </c>
      <c r="R1630" s="9" t="str">
        <f t="shared" si="101"/>
        <v/>
      </c>
      <c r="S1630" s="9">
        <f>IF(R1630="",AVERAGEIF(Table1[Category],Table1[[#This Row],[Category]],Table2[orignal data]),Table2[[#This Row],[orignal data]])</f>
        <v>734.32085365853686</v>
      </c>
      <c r="T1630" t="str">
        <f t="shared" si="102"/>
        <v>UNIQUE</v>
      </c>
      <c r="U1630" t="str">
        <f>IF(ISBLANK(Table1[[#This Row],[SizeOption]]),"NOT AVAILABLE",Table1[[#This Row],[SizeOption]])</f>
        <v>S, M, L, XL, XXL</v>
      </c>
      <c r="Y1630" t="str">
        <f>IF(Table2[[#This Row],[Column1]]&gt;50%,"HIGH DISCOUNT","LOW DISCOUNT")</f>
        <v>HIGH DISCOUNT</v>
      </c>
    </row>
    <row r="1631" spans="1:25" x14ac:dyDescent="0.25">
      <c r="A1631" s="2" t="s">
        <v>3541</v>
      </c>
      <c r="B1631" s="2">
        <v>5151921</v>
      </c>
      <c r="C1631" s="2" t="s">
        <v>14</v>
      </c>
      <c r="D1631" s="2" t="s">
        <v>28</v>
      </c>
      <c r="E1631" s="2" t="s">
        <v>1881</v>
      </c>
      <c r="F1631" s="2" t="s">
        <v>17</v>
      </c>
      <c r="G1631" s="2" t="s">
        <v>3542</v>
      </c>
      <c r="I1631" s="2">
        <v>1999</v>
      </c>
      <c r="J1631" s="2"/>
      <c r="K1631" s="2" t="s">
        <v>115</v>
      </c>
      <c r="L1631" s="2">
        <v>4.3</v>
      </c>
      <c r="M1631" s="2">
        <v>745</v>
      </c>
      <c r="P1631" t="str">
        <f t="shared" si="103"/>
        <v/>
      </c>
      <c r="Q1631" s="12" t="str">
        <f t="shared" si="100"/>
        <v/>
      </c>
      <c r="R1631" s="9" t="str">
        <f t="shared" si="101"/>
        <v/>
      </c>
      <c r="S1631" s="9">
        <f>IF(R1631="",AVERAGEIF(Table1[Category],Table1[[#This Row],[Category]],Table2[orignal data]),Table2[[#This Row],[orignal data]])</f>
        <v>671.7823941958867</v>
      </c>
      <c r="T1631" t="str">
        <f t="shared" si="102"/>
        <v>UNIQUE</v>
      </c>
      <c r="U1631" t="str">
        <f>IF(ISBLANK(Table1[[#This Row],[SizeOption]]),"NOT AVAILABLE",Table1[[#This Row],[SizeOption]])</f>
        <v>XS, S, M, L, XL, XXL</v>
      </c>
      <c r="Y1631" t="str">
        <f>IF(Table2[[#This Row],[Column1]]&gt;50%,"HIGH DISCOUNT","LOW DISCOUNT")</f>
        <v>HIGH DISCOUNT</v>
      </c>
    </row>
    <row r="1632" spans="1:25" x14ac:dyDescent="0.25">
      <c r="A1632" s="1" t="s">
        <v>3543</v>
      </c>
      <c r="B1632" s="1">
        <v>1272494</v>
      </c>
      <c r="C1632" s="1" t="s">
        <v>52</v>
      </c>
      <c r="D1632" s="1" t="s">
        <v>28</v>
      </c>
      <c r="E1632" s="1" t="s">
        <v>29</v>
      </c>
      <c r="F1632" s="1" t="s">
        <v>17</v>
      </c>
      <c r="G1632" s="1" t="s">
        <v>3544</v>
      </c>
      <c r="H1632">
        <v>569</v>
      </c>
      <c r="I1632" s="1">
        <v>999</v>
      </c>
      <c r="J1632" s="1" t="s">
        <v>509</v>
      </c>
      <c r="K1632" s="1" t="s">
        <v>484</v>
      </c>
      <c r="L1632" s="1">
        <v>4.2</v>
      </c>
      <c r="M1632" s="1">
        <v>745</v>
      </c>
      <c r="P1632" t="str">
        <f t="shared" si="103"/>
        <v>43%</v>
      </c>
      <c r="Q1632" s="12">
        <f t="shared" si="100"/>
        <v>0.43</v>
      </c>
      <c r="R1632" s="9">
        <f t="shared" si="101"/>
        <v>569.43000000000006</v>
      </c>
      <c r="S1632" s="9">
        <f>IF(R1632="",AVERAGEIF(Table1[Category],Table1[[#This Row],[Category]],Table2[orignal data]),Table2[[#This Row],[orignal data]])</f>
        <v>569.43000000000006</v>
      </c>
      <c r="T1632" t="str">
        <f t="shared" si="102"/>
        <v>UNIQUE</v>
      </c>
      <c r="U1632" t="str">
        <f>IF(ISBLANK(Table1[[#This Row],[SizeOption]]),"NOT AVAILABLE",Table1[[#This Row],[SizeOption]])</f>
        <v>39, 40, 42, 44, 46</v>
      </c>
      <c r="Y1632" t="str">
        <f>IF(Table2[[#This Row],[Column1]]&gt;50%,"HIGH DISCOUNT","LOW DISCOUNT")</f>
        <v>LOW DISCOUNT</v>
      </c>
    </row>
    <row r="1633" spans="1:25" x14ac:dyDescent="0.25">
      <c r="A1633" s="2" t="s">
        <v>3545</v>
      </c>
      <c r="B1633" s="2">
        <v>4921219</v>
      </c>
      <c r="C1633" s="2" t="s">
        <v>64</v>
      </c>
      <c r="D1633" s="2" t="s">
        <v>98</v>
      </c>
      <c r="E1633" s="2" t="s">
        <v>77</v>
      </c>
      <c r="F1633" s="2" t="s">
        <v>36</v>
      </c>
      <c r="G1633" s="2" t="s">
        <v>3546</v>
      </c>
      <c r="H1633">
        <v>719</v>
      </c>
      <c r="I1633" s="2">
        <v>2399</v>
      </c>
      <c r="J1633" s="2" t="s">
        <v>79</v>
      </c>
      <c r="K1633" s="2" t="s">
        <v>115</v>
      </c>
      <c r="L1633" s="2">
        <v>4.2</v>
      </c>
      <c r="M1633" s="2">
        <v>745</v>
      </c>
      <c r="P1633" t="str">
        <f t="shared" si="103"/>
        <v>70%</v>
      </c>
      <c r="Q1633" s="12">
        <f t="shared" si="100"/>
        <v>0.7</v>
      </c>
      <c r="R1633" s="9">
        <f t="shared" si="101"/>
        <v>719.7</v>
      </c>
      <c r="S1633" s="9">
        <f>IF(R1633="",AVERAGEIF(Table1[Category],Table1[[#This Row],[Category]],Table2[orignal data]),Table2[[#This Row],[orignal data]])</f>
        <v>719.7</v>
      </c>
      <c r="T1633" t="str">
        <f t="shared" si="102"/>
        <v>UNIQUE</v>
      </c>
      <c r="U1633" t="str">
        <f>IF(ISBLANK(Table1[[#This Row],[SizeOption]]),"NOT AVAILABLE",Table1[[#This Row],[SizeOption]])</f>
        <v>XS, S, M, L, XL, XXL</v>
      </c>
      <c r="Y1633" t="str">
        <f>IF(Table2[[#This Row],[Column1]]&gt;50%,"HIGH DISCOUNT","LOW DISCOUNT")</f>
        <v>HIGH DISCOUNT</v>
      </c>
    </row>
    <row r="1634" spans="1:25" x14ac:dyDescent="0.25">
      <c r="A1634" s="1" t="s">
        <v>3547</v>
      </c>
      <c r="B1634" s="1">
        <v>6620324</v>
      </c>
      <c r="C1634" s="1" t="s">
        <v>3548</v>
      </c>
      <c r="D1634" s="1" t="s">
        <v>41</v>
      </c>
      <c r="E1634" s="1" t="s">
        <v>148</v>
      </c>
      <c r="F1634" s="1" t="s">
        <v>36</v>
      </c>
      <c r="G1634" s="1" t="s">
        <v>3549</v>
      </c>
      <c r="I1634" s="1">
        <v>1099</v>
      </c>
      <c r="J1634" s="1" t="s">
        <v>1204</v>
      </c>
      <c r="K1634" s="1" t="s">
        <v>45</v>
      </c>
      <c r="L1634" s="1">
        <v>4</v>
      </c>
      <c r="M1634" s="1">
        <v>745</v>
      </c>
      <c r="P1634" t="str">
        <f t="shared" si="103"/>
        <v>56%</v>
      </c>
      <c r="Q1634" s="12">
        <f t="shared" si="100"/>
        <v>0.56000000000000005</v>
      </c>
      <c r="R1634" s="9">
        <f t="shared" si="101"/>
        <v>483.55999999999995</v>
      </c>
      <c r="S1634" s="9">
        <f>IF(R1634="",AVERAGEIF(Table1[Category],Table1[[#This Row],[Category]],Table2[orignal data]),Table2[[#This Row],[orignal data]])</f>
        <v>483.55999999999995</v>
      </c>
      <c r="T1634" t="str">
        <f t="shared" si="102"/>
        <v>UNIQUE</v>
      </c>
      <c r="U1634" t="str">
        <f>IF(ISBLANK(Table1[[#This Row],[SizeOption]]),"NOT AVAILABLE",Table1[[#This Row],[SizeOption]])</f>
        <v>XS, S, M, L, XL</v>
      </c>
      <c r="Y1634" t="str">
        <f>IF(Table2[[#This Row],[Column1]]&gt;50%,"HIGH DISCOUNT","LOW DISCOUNT")</f>
        <v>HIGH DISCOUNT</v>
      </c>
    </row>
    <row r="1635" spans="1:25" x14ac:dyDescent="0.25">
      <c r="A1635" s="2" t="s">
        <v>3550</v>
      </c>
      <c r="B1635" s="2">
        <v>9477715</v>
      </c>
      <c r="C1635" s="2" t="s">
        <v>14</v>
      </c>
      <c r="D1635" s="2" t="s">
        <v>41</v>
      </c>
      <c r="E1635" s="2" t="s">
        <v>306</v>
      </c>
      <c r="F1635" s="2" t="s">
        <v>36</v>
      </c>
      <c r="G1635" s="2" t="s">
        <v>3551</v>
      </c>
      <c r="I1635" s="2">
        <v>1299</v>
      </c>
      <c r="J1635" s="2" t="s">
        <v>55</v>
      </c>
      <c r="K1635" s="2" t="s">
        <v>115</v>
      </c>
      <c r="L1635" s="2">
        <v>4.2</v>
      </c>
      <c r="M1635" s="2">
        <v>745</v>
      </c>
      <c r="P1635" t="str">
        <f t="shared" si="103"/>
        <v>60%</v>
      </c>
      <c r="Q1635" s="12">
        <f t="shared" si="100"/>
        <v>0.6</v>
      </c>
      <c r="R1635" s="9">
        <f t="shared" si="101"/>
        <v>519.6</v>
      </c>
      <c r="S1635" s="9">
        <f>IF(R1635="",AVERAGEIF(Table1[Category],Table1[[#This Row],[Category]],Table2[orignal data]),Table2[[#This Row],[orignal data]])</f>
        <v>519.6</v>
      </c>
      <c r="T1635" t="str">
        <f t="shared" si="102"/>
        <v>UNIQUE</v>
      </c>
      <c r="U1635" t="str">
        <f>IF(ISBLANK(Table1[[#This Row],[SizeOption]]),"NOT AVAILABLE",Table1[[#This Row],[SizeOption]])</f>
        <v>XS, S, M, L, XL, XXL</v>
      </c>
      <c r="Y1635" t="str">
        <f>IF(Table2[[#This Row],[Column1]]&gt;50%,"HIGH DISCOUNT","LOW DISCOUNT")</f>
        <v>HIGH DISCOUNT</v>
      </c>
    </row>
    <row r="1636" spans="1:25" x14ac:dyDescent="0.25">
      <c r="A1636" s="1" t="s">
        <v>3552</v>
      </c>
      <c r="B1636" s="1">
        <v>1749040</v>
      </c>
      <c r="C1636" s="1" t="s">
        <v>1299</v>
      </c>
      <c r="D1636" s="1" t="s">
        <v>15</v>
      </c>
      <c r="E1636" s="1" t="s">
        <v>53</v>
      </c>
      <c r="F1636" s="1" t="s">
        <v>17</v>
      </c>
      <c r="G1636" s="1" t="s">
        <v>3553</v>
      </c>
      <c r="H1636">
        <v>1099</v>
      </c>
      <c r="I1636" s="1">
        <v>1999</v>
      </c>
      <c r="J1636" s="1" t="s">
        <v>19</v>
      </c>
      <c r="K1636" s="1" t="s">
        <v>56</v>
      </c>
      <c r="L1636" s="1">
        <v>3.8</v>
      </c>
      <c r="M1636" s="1">
        <v>744</v>
      </c>
      <c r="P1636" t="str">
        <f t="shared" si="103"/>
        <v>45%</v>
      </c>
      <c r="Q1636" s="12">
        <f t="shared" si="100"/>
        <v>0.45</v>
      </c>
      <c r="R1636" s="9">
        <f t="shared" si="101"/>
        <v>1099.4499999999998</v>
      </c>
      <c r="S1636" s="9">
        <f>IF(R1636="",AVERAGEIF(Table1[Category],Table1[[#This Row],[Category]],Table2[orignal data]),Table2[[#This Row],[orignal data]])</f>
        <v>1099.4499999999998</v>
      </c>
      <c r="T1636" t="str">
        <f t="shared" si="102"/>
        <v>UNIQUE</v>
      </c>
      <c r="U1636" t="str">
        <f>IF(ISBLANK(Table1[[#This Row],[SizeOption]]),"NOT AVAILABLE",Table1[[#This Row],[SizeOption]])</f>
        <v>30, 32, 34, 36</v>
      </c>
      <c r="Y1636" t="str">
        <f>IF(Table2[[#This Row],[Column1]]&gt;50%,"HIGH DISCOUNT","LOW DISCOUNT")</f>
        <v>LOW DISCOUNT</v>
      </c>
    </row>
    <row r="1637" spans="1:25" x14ac:dyDescent="0.25">
      <c r="A1637" s="2" t="s">
        <v>3554</v>
      </c>
      <c r="B1637" s="2">
        <v>11903994</v>
      </c>
      <c r="C1637" s="2" t="s">
        <v>14</v>
      </c>
      <c r="D1637" s="2" t="s">
        <v>28</v>
      </c>
      <c r="E1637" s="2" t="s">
        <v>29</v>
      </c>
      <c r="F1637" s="2" t="s">
        <v>17</v>
      </c>
      <c r="G1637" s="2" t="s">
        <v>3555</v>
      </c>
      <c r="H1637">
        <v>649</v>
      </c>
      <c r="I1637" s="2">
        <v>1299</v>
      </c>
      <c r="J1637" s="2" t="s">
        <v>84</v>
      </c>
      <c r="K1637" s="2" t="s">
        <v>253</v>
      </c>
      <c r="L1637" s="2">
        <v>4.2</v>
      </c>
      <c r="M1637" s="2">
        <v>744</v>
      </c>
      <c r="P1637" t="str">
        <f t="shared" si="103"/>
        <v>50%</v>
      </c>
      <c r="Q1637" s="12">
        <f t="shared" si="100"/>
        <v>0.5</v>
      </c>
      <c r="R1637" s="9">
        <f t="shared" si="101"/>
        <v>649.5</v>
      </c>
      <c r="S1637" s="9">
        <f>IF(R1637="",AVERAGEIF(Table1[Category],Table1[[#This Row],[Category]],Table2[orignal data]),Table2[[#This Row],[orignal data]])</f>
        <v>649.5</v>
      </c>
      <c r="T1637" t="str">
        <f t="shared" si="102"/>
        <v>UNIQUE</v>
      </c>
      <c r="U1637" t="str">
        <f>IF(ISBLANK(Table1[[#This Row],[SizeOption]]),"NOT AVAILABLE",Table1[[#This Row],[SizeOption]])</f>
        <v>38, 40, 42, 44</v>
      </c>
      <c r="Y1637" t="str">
        <f>IF(Table2[[#This Row],[Column1]]&gt;50%,"HIGH DISCOUNT","LOW DISCOUNT")</f>
        <v>LOW DISCOUNT</v>
      </c>
    </row>
    <row r="1638" spans="1:25" x14ac:dyDescent="0.25">
      <c r="A1638" s="1" t="s">
        <v>3556</v>
      </c>
      <c r="B1638" s="1">
        <v>8426223</v>
      </c>
      <c r="C1638" s="1" t="s">
        <v>169</v>
      </c>
      <c r="D1638" s="1" t="s">
        <v>28</v>
      </c>
      <c r="E1638" s="1" t="s">
        <v>29</v>
      </c>
      <c r="F1638" s="1" t="s">
        <v>17</v>
      </c>
      <c r="G1638" s="1" t="s">
        <v>3557</v>
      </c>
      <c r="H1638">
        <v>1199</v>
      </c>
      <c r="I1638" s="1">
        <v>2399</v>
      </c>
      <c r="J1638" s="1" t="s">
        <v>84</v>
      </c>
      <c r="K1638" s="1" t="s">
        <v>484</v>
      </c>
      <c r="L1638" s="1">
        <v>4.3</v>
      </c>
      <c r="M1638" s="1">
        <v>744</v>
      </c>
      <c r="P1638" t="str">
        <f t="shared" si="103"/>
        <v>50%</v>
      </c>
      <c r="Q1638" s="12">
        <f t="shared" si="100"/>
        <v>0.5</v>
      </c>
      <c r="R1638" s="9">
        <f t="shared" si="101"/>
        <v>1199.5</v>
      </c>
      <c r="S1638" s="9">
        <f>IF(R1638="",AVERAGEIF(Table1[Category],Table1[[#This Row],[Category]],Table2[orignal data]),Table2[[#This Row],[orignal data]])</f>
        <v>1199.5</v>
      </c>
      <c r="T1638" t="str">
        <f t="shared" si="102"/>
        <v>UNIQUE</v>
      </c>
      <c r="U1638" t="str">
        <f>IF(ISBLANK(Table1[[#This Row],[SizeOption]]),"NOT AVAILABLE",Table1[[#This Row],[SizeOption]])</f>
        <v>39, 40, 42, 44, 46</v>
      </c>
      <c r="Y1638" t="str">
        <f>IF(Table2[[#This Row],[Column1]]&gt;50%,"HIGH DISCOUNT","LOW DISCOUNT")</f>
        <v>LOW DISCOUNT</v>
      </c>
    </row>
    <row r="1639" spans="1:25" x14ac:dyDescent="0.25">
      <c r="A1639" s="2" t="s">
        <v>3558</v>
      </c>
      <c r="B1639" s="2">
        <v>8949487</v>
      </c>
      <c r="C1639" s="2" t="s">
        <v>3559</v>
      </c>
      <c r="D1639" s="2" t="s">
        <v>76</v>
      </c>
      <c r="E1639" s="2" t="s">
        <v>77</v>
      </c>
      <c r="F1639" s="2" t="s">
        <v>36</v>
      </c>
      <c r="G1639" s="2" t="s">
        <v>3560</v>
      </c>
      <c r="H1639">
        <v>1519</v>
      </c>
      <c r="I1639" s="2">
        <v>3799</v>
      </c>
      <c r="J1639" s="2" t="s">
        <v>55</v>
      </c>
      <c r="K1639" s="2" t="s">
        <v>39</v>
      </c>
      <c r="L1639" s="2">
        <v>4.4000000000000004</v>
      </c>
      <c r="M1639" s="2">
        <v>744</v>
      </c>
      <c r="P1639" t="str">
        <f t="shared" si="103"/>
        <v>60%</v>
      </c>
      <c r="Q1639" s="12">
        <f t="shared" si="100"/>
        <v>0.6</v>
      </c>
      <c r="R1639" s="9">
        <f t="shared" si="101"/>
        <v>1519.6</v>
      </c>
      <c r="S1639" s="9">
        <f>IF(R1639="",AVERAGEIF(Table1[Category],Table1[[#This Row],[Category]],Table2[orignal data]),Table2[[#This Row],[orignal data]])</f>
        <v>1519.6</v>
      </c>
      <c r="T1639" t="str">
        <f t="shared" si="102"/>
        <v>UNIQUE</v>
      </c>
      <c r="U1639" t="str">
        <f>IF(ISBLANK(Table1[[#This Row],[SizeOption]]),"NOT AVAILABLE",Table1[[#This Row],[SizeOption]])</f>
        <v>S, M, L, XL, XXL</v>
      </c>
      <c r="Y1639" t="str">
        <f>IF(Table2[[#This Row],[Column1]]&gt;50%,"HIGH DISCOUNT","LOW DISCOUNT")</f>
        <v>HIGH DISCOUNT</v>
      </c>
    </row>
    <row r="1640" spans="1:25" x14ac:dyDescent="0.25">
      <c r="A1640" s="1" t="s">
        <v>3561</v>
      </c>
      <c r="B1640" s="1">
        <v>8903681</v>
      </c>
      <c r="C1640" s="1" t="s">
        <v>14</v>
      </c>
      <c r="D1640" s="1" t="s">
        <v>15</v>
      </c>
      <c r="E1640" s="1" t="s">
        <v>16</v>
      </c>
      <c r="F1640" s="1" t="s">
        <v>17</v>
      </c>
      <c r="G1640" s="1" t="s">
        <v>3562</v>
      </c>
      <c r="I1640" s="1">
        <v>2699</v>
      </c>
      <c r="J1640" s="1"/>
      <c r="K1640" s="1" t="s">
        <v>20</v>
      </c>
      <c r="L1640" s="1">
        <v>3.7</v>
      </c>
      <c r="M1640" s="1">
        <v>743</v>
      </c>
      <c r="P1640" t="str">
        <f t="shared" si="103"/>
        <v/>
      </c>
      <c r="Q1640" s="12" t="str">
        <f t="shared" si="100"/>
        <v/>
      </c>
      <c r="R1640" s="9" t="str">
        <f t="shared" si="101"/>
        <v/>
      </c>
      <c r="S1640" s="9">
        <f>IF(R1640="",AVERAGEIF(Table1[Category],Table1[[#This Row],[Category]],Table2[orignal data]),Table2[[#This Row],[orignal data]])</f>
        <v>892.27590339892538</v>
      </c>
      <c r="T1640" t="str">
        <f t="shared" si="102"/>
        <v>UNIQUE</v>
      </c>
      <c r="U1640" t="str">
        <f>IF(ISBLANK(Table1[[#This Row],[SizeOption]]),"NOT AVAILABLE",Table1[[#This Row],[SizeOption]])</f>
        <v>28, 30, 32, 34, 36</v>
      </c>
      <c r="Y1640" t="str">
        <f>IF(Table2[[#This Row],[Column1]]&gt;50%,"HIGH DISCOUNT","LOW DISCOUNT")</f>
        <v>HIGH DISCOUNT</v>
      </c>
    </row>
    <row r="1641" spans="1:25" x14ac:dyDescent="0.25">
      <c r="A1641" s="2" t="s">
        <v>3563</v>
      </c>
      <c r="B1641" s="2">
        <v>6812996</v>
      </c>
      <c r="C1641" s="2" t="s">
        <v>52</v>
      </c>
      <c r="D1641" s="2" t="s">
        <v>15</v>
      </c>
      <c r="E1641" s="2" t="s">
        <v>53</v>
      </c>
      <c r="F1641" s="2" t="s">
        <v>17</v>
      </c>
      <c r="G1641" s="2" t="s">
        <v>3564</v>
      </c>
      <c r="H1641">
        <v>798</v>
      </c>
      <c r="I1641" s="2">
        <v>1699</v>
      </c>
      <c r="J1641" s="2" t="s">
        <v>89</v>
      </c>
      <c r="K1641" s="2" t="s">
        <v>56</v>
      </c>
      <c r="L1641" s="2">
        <v>4.3</v>
      </c>
      <c r="M1641" s="2">
        <v>743</v>
      </c>
      <c r="P1641" t="str">
        <f t="shared" si="103"/>
        <v>53%</v>
      </c>
      <c r="Q1641" s="12">
        <f t="shared" si="100"/>
        <v>0.53</v>
      </c>
      <c r="R1641" s="9">
        <f t="shared" si="101"/>
        <v>798.53</v>
      </c>
      <c r="S1641" s="9">
        <f>IF(R1641="",AVERAGEIF(Table1[Category],Table1[[#This Row],[Category]],Table2[orignal data]),Table2[[#This Row],[orignal data]])</f>
        <v>798.53</v>
      </c>
      <c r="T1641" t="str">
        <f t="shared" si="102"/>
        <v>UNIQUE</v>
      </c>
      <c r="U1641" t="str">
        <f>IF(ISBLANK(Table1[[#This Row],[SizeOption]]),"NOT AVAILABLE",Table1[[#This Row],[SizeOption]])</f>
        <v>30, 32, 34, 36</v>
      </c>
      <c r="Y1641" t="str">
        <f>IF(Table2[[#This Row],[Column1]]&gt;50%,"HIGH DISCOUNT","LOW DISCOUNT")</f>
        <v>HIGH DISCOUNT</v>
      </c>
    </row>
    <row r="1642" spans="1:25" x14ac:dyDescent="0.25">
      <c r="A1642" s="1" t="s">
        <v>3565</v>
      </c>
      <c r="B1642" s="1">
        <v>11744680</v>
      </c>
      <c r="C1642" s="1" t="s">
        <v>14</v>
      </c>
      <c r="D1642" s="1" t="s">
        <v>28</v>
      </c>
      <c r="E1642" s="1" t="s">
        <v>42</v>
      </c>
      <c r="F1642" s="1" t="s">
        <v>17</v>
      </c>
      <c r="G1642" s="1" t="s">
        <v>3566</v>
      </c>
      <c r="H1642">
        <v>519</v>
      </c>
      <c r="I1642" s="1">
        <v>1299</v>
      </c>
      <c r="J1642" s="1" t="s">
        <v>55</v>
      </c>
      <c r="K1642" s="1" t="s">
        <v>45</v>
      </c>
      <c r="L1642" s="1">
        <v>4.4000000000000004</v>
      </c>
      <c r="M1642" s="1">
        <v>743</v>
      </c>
      <c r="P1642" t="str">
        <f t="shared" si="103"/>
        <v>60%</v>
      </c>
      <c r="Q1642" s="12">
        <f t="shared" si="100"/>
        <v>0.6</v>
      </c>
      <c r="R1642" s="9">
        <f t="shared" si="101"/>
        <v>519.6</v>
      </c>
      <c r="S1642" s="9">
        <f>IF(R1642="",AVERAGEIF(Table1[Category],Table1[[#This Row],[Category]],Table2[orignal data]),Table2[[#This Row],[orignal data]])</f>
        <v>519.6</v>
      </c>
      <c r="T1642" t="str">
        <f t="shared" si="102"/>
        <v>UNIQUE</v>
      </c>
      <c r="U1642" t="str">
        <f>IF(ISBLANK(Table1[[#This Row],[SizeOption]]),"NOT AVAILABLE",Table1[[#This Row],[SizeOption]])</f>
        <v>XS, S, M, L, XL</v>
      </c>
      <c r="Y1642" t="str">
        <f>IF(Table2[[#This Row],[Column1]]&gt;50%,"HIGH DISCOUNT","LOW DISCOUNT")</f>
        <v>HIGH DISCOUNT</v>
      </c>
    </row>
    <row r="1643" spans="1:25" x14ac:dyDescent="0.25">
      <c r="A1643" s="2" t="s">
        <v>3567</v>
      </c>
      <c r="B1643" s="2">
        <v>11361588</v>
      </c>
      <c r="C1643" s="2" t="s">
        <v>169</v>
      </c>
      <c r="D1643" s="2" t="s">
        <v>28</v>
      </c>
      <c r="E1643" s="2" t="s">
        <v>29</v>
      </c>
      <c r="F1643" s="2" t="s">
        <v>17</v>
      </c>
      <c r="G1643" s="2" t="s">
        <v>3480</v>
      </c>
      <c r="H1643">
        <v>1559</v>
      </c>
      <c r="I1643" s="2">
        <v>2399</v>
      </c>
      <c r="J1643" s="2" t="s">
        <v>44</v>
      </c>
      <c r="K1643" s="2" t="s">
        <v>484</v>
      </c>
      <c r="L1643" s="2">
        <v>4.4000000000000004</v>
      </c>
      <c r="M1643" s="2">
        <v>743</v>
      </c>
      <c r="P1643" t="str">
        <f t="shared" si="103"/>
        <v>35%</v>
      </c>
      <c r="Q1643" s="12">
        <f t="shared" si="100"/>
        <v>0.35</v>
      </c>
      <c r="R1643" s="9">
        <f t="shared" si="101"/>
        <v>1559.35</v>
      </c>
      <c r="S1643" s="9">
        <f>IF(R1643="",AVERAGEIF(Table1[Category],Table1[[#This Row],[Category]],Table2[orignal data]),Table2[[#This Row],[orignal data]])</f>
        <v>1559.35</v>
      </c>
      <c r="T1643" t="str">
        <f t="shared" si="102"/>
        <v>UNIQUE</v>
      </c>
      <c r="U1643" t="str">
        <f>IF(ISBLANK(Table1[[#This Row],[SizeOption]]),"NOT AVAILABLE",Table1[[#This Row],[SizeOption]])</f>
        <v>39, 40, 42, 44, 46</v>
      </c>
      <c r="Y1643" t="str">
        <f>IF(Table2[[#This Row],[Column1]]&gt;50%,"HIGH DISCOUNT","LOW DISCOUNT")</f>
        <v>LOW DISCOUNT</v>
      </c>
    </row>
    <row r="1644" spans="1:25" x14ac:dyDescent="0.25">
      <c r="A1644" s="1" t="s">
        <v>3568</v>
      </c>
      <c r="B1644" s="1">
        <v>11008048</v>
      </c>
      <c r="C1644" s="1" t="s">
        <v>3569</v>
      </c>
      <c r="D1644" s="1" t="s">
        <v>76</v>
      </c>
      <c r="E1644" s="1" t="s">
        <v>93</v>
      </c>
      <c r="F1644" s="1" t="s">
        <v>36</v>
      </c>
      <c r="G1644" s="1" t="s">
        <v>3570</v>
      </c>
      <c r="H1644">
        <v>974</v>
      </c>
      <c r="I1644" s="1">
        <v>2499</v>
      </c>
      <c r="J1644" s="1" t="s">
        <v>104</v>
      </c>
      <c r="K1644" s="1" t="s">
        <v>3571</v>
      </c>
      <c r="L1644" s="1">
        <v>4.0999999999999996</v>
      </c>
      <c r="M1644" s="1">
        <v>743</v>
      </c>
      <c r="P1644" t="str">
        <f t="shared" si="103"/>
        <v>61%</v>
      </c>
      <c r="Q1644" s="12">
        <f t="shared" si="100"/>
        <v>0.61</v>
      </c>
      <c r="R1644" s="9">
        <f t="shared" si="101"/>
        <v>974.61000000000013</v>
      </c>
      <c r="S1644" s="9">
        <f>IF(R1644="",AVERAGEIF(Table1[Category],Table1[[#This Row],[Category]],Table2[orignal data]),Table2[[#This Row],[orignal data]])</f>
        <v>974.61000000000013</v>
      </c>
      <c r="T1644" t="str">
        <f t="shared" si="102"/>
        <v>UNIQUE</v>
      </c>
      <c r="U1644" t="str">
        <f>IF(ISBLANK(Table1[[#This Row],[SizeOption]]),"NOT AVAILABLE",Table1[[#This Row],[SizeOption]])</f>
        <v>XS, S, M, L, XL, XXL, 3XL, 4XL, 5XL</v>
      </c>
      <c r="Y1644" t="str">
        <f>IF(Table2[[#This Row],[Column1]]&gt;50%,"HIGH DISCOUNT","LOW DISCOUNT")</f>
        <v>HIGH DISCOUNT</v>
      </c>
    </row>
    <row r="1645" spans="1:25" x14ac:dyDescent="0.25">
      <c r="A1645" s="2" t="s">
        <v>3572</v>
      </c>
      <c r="B1645" s="2">
        <v>9003071</v>
      </c>
      <c r="C1645" s="2" t="s">
        <v>551</v>
      </c>
      <c r="D1645" s="2" t="s">
        <v>34</v>
      </c>
      <c r="E1645" s="2" t="s">
        <v>118</v>
      </c>
      <c r="F1645" s="2" t="s">
        <v>36</v>
      </c>
      <c r="G1645" s="2" t="s">
        <v>3573</v>
      </c>
      <c r="H1645">
        <v>475</v>
      </c>
      <c r="I1645" s="2">
        <v>699</v>
      </c>
      <c r="J1645" s="2" t="s">
        <v>3574</v>
      </c>
      <c r="K1645" s="2" t="s">
        <v>3575</v>
      </c>
      <c r="L1645" s="2">
        <v>4.2</v>
      </c>
      <c r="M1645" s="2">
        <v>743</v>
      </c>
      <c r="P1645" t="str">
        <f t="shared" si="103"/>
        <v>32%</v>
      </c>
      <c r="Q1645" s="12">
        <f t="shared" si="100"/>
        <v>0.32</v>
      </c>
      <c r="R1645" s="9">
        <f t="shared" si="101"/>
        <v>475.32</v>
      </c>
      <c r="S1645" s="9">
        <f>IF(R1645="",AVERAGEIF(Table1[Category],Table1[[#This Row],[Category]],Table2[orignal data]),Table2[[#This Row],[orignal data]])</f>
        <v>475.32</v>
      </c>
      <c r="T1645" t="str">
        <f t="shared" si="102"/>
        <v>UNIQUE</v>
      </c>
      <c r="U1645" t="str">
        <f>IF(ISBLANK(Table1[[#This Row],[SizeOption]]),"NOT AVAILABLE",Table1[[#This Row],[SizeOption]])</f>
        <v>30, 32, 34</v>
      </c>
      <c r="Y1645" t="str">
        <f>IF(Table2[[#This Row],[Column1]]&gt;50%,"HIGH DISCOUNT","LOW DISCOUNT")</f>
        <v>LOW DISCOUNT</v>
      </c>
    </row>
    <row r="1646" spans="1:25" x14ac:dyDescent="0.25">
      <c r="A1646" s="1" t="s">
        <v>3576</v>
      </c>
      <c r="B1646" s="1">
        <v>11640002</v>
      </c>
      <c r="C1646" s="1" t="s">
        <v>67</v>
      </c>
      <c r="D1646" s="1" t="s">
        <v>68</v>
      </c>
      <c r="E1646" s="1" t="s">
        <v>42</v>
      </c>
      <c r="F1646" s="1" t="s">
        <v>36</v>
      </c>
      <c r="G1646" s="1" t="s">
        <v>3577</v>
      </c>
      <c r="H1646">
        <v>449</v>
      </c>
      <c r="I1646" s="1">
        <v>999</v>
      </c>
      <c r="J1646" s="1" t="s">
        <v>25</v>
      </c>
      <c r="K1646" s="1" t="s">
        <v>45</v>
      </c>
      <c r="L1646" s="1">
        <v>4.5</v>
      </c>
      <c r="M1646" s="1">
        <v>743</v>
      </c>
      <c r="P1646" t="str">
        <f t="shared" si="103"/>
        <v>55%</v>
      </c>
      <c r="Q1646" s="12">
        <f t="shared" si="100"/>
        <v>0.55000000000000004</v>
      </c>
      <c r="R1646" s="9">
        <f t="shared" si="101"/>
        <v>449.54999999999995</v>
      </c>
      <c r="S1646" s="9">
        <f>IF(R1646="",AVERAGEIF(Table1[Category],Table1[[#This Row],[Category]],Table2[orignal data]),Table2[[#This Row],[orignal data]])</f>
        <v>449.54999999999995</v>
      </c>
      <c r="T1646" t="str">
        <f t="shared" si="102"/>
        <v>UNIQUE</v>
      </c>
      <c r="U1646" t="str">
        <f>IF(ISBLANK(Table1[[#This Row],[SizeOption]]),"NOT AVAILABLE",Table1[[#This Row],[SizeOption]])</f>
        <v>XS, S, M, L, XL</v>
      </c>
      <c r="Y1646" t="str">
        <f>IF(Table2[[#This Row],[Column1]]&gt;50%,"HIGH DISCOUNT","LOW DISCOUNT")</f>
        <v>HIGH DISCOUNT</v>
      </c>
    </row>
    <row r="1647" spans="1:25" x14ac:dyDescent="0.25">
      <c r="A1647" s="2" t="s">
        <v>3578</v>
      </c>
      <c r="B1647" s="2">
        <v>9901953</v>
      </c>
      <c r="C1647" s="2" t="s">
        <v>14</v>
      </c>
      <c r="D1647" s="2" t="s">
        <v>41</v>
      </c>
      <c r="E1647" s="2" t="s">
        <v>306</v>
      </c>
      <c r="F1647" s="2" t="s">
        <v>36</v>
      </c>
      <c r="G1647" s="2" t="s">
        <v>3579</v>
      </c>
      <c r="I1647" s="2">
        <v>1099</v>
      </c>
      <c r="J1647" s="2" t="s">
        <v>186</v>
      </c>
      <c r="K1647" s="2" t="s">
        <v>115</v>
      </c>
      <c r="L1647" s="2">
        <v>4.4000000000000004</v>
      </c>
      <c r="M1647" s="2">
        <v>743</v>
      </c>
      <c r="P1647" t="str">
        <f t="shared" si="103"/>
        <v>30%</v>
      </c>
      <c r="Q1647" s="12">
        <f t="shared" si="100"/>
        <v>0.3</v>
      </c>
      <c r="R1647" s="9">
        <f t="shared" si="101"/>
        <v>769.3</v>
      </c>
      <c r="S1647" s="9">
        <f>IF(R1647="",AVERAGEIF(Table1[Category],Table1[[#This Row],[Category]],Table2[orignal data]),Table2[[#This Row],[orignal data]])</f>
        <v>769.3</v>
      </c>
      <c r="T1647" t="str">
        <f t="shared" si="102"/>
        <v>UNIQUE</v>
      </c>
      <c r="U1647" t="str">
        <f>IF(ISBLANK(Table1[[#This Row],[SizeOption]]),"NOT AVAILABLE",Table1[[#This Row],[SizeOption]])</f>
        <v>XS, S, M, L, XL, XXL</v>
      </c>
      <c r="Y1647" t="str">
        <f>IF(Table2[[#This Row],[Column1]]&gt;50%,"HIGH DISCOUNT","LOW DISCOUNT")</f>
        <v>LOW DISCOUNT</v>
      </c>
    </row>
    <row r="1648" spans="1:25" x14ac:dyDescent="0.25">
      <c r="A1648" s="1" t="s">
        <v>3580</v>
      </c>
      <c r="B1648" s="1">
        <v>9791491</v>
      </c>
      <c r="C1648" s="1" t="s">
        <v>3581</v>
      </c>
      <c r="D1648" s="1" t="s">
        <v>41</v>
      </c>
      <c r="E1648" s="1" t="s">
        <v>592</v>
      </c>
      <c r="F1648" s="1" t="s">
        <v>36</v>
      </c>
      <c r="G1648" s="1" t="s">
        <v>3582</v>
      </c>
      <c r="I1648" s="1">
        <v>399</v>
      </c>
      <c r="J1648" s="1"/>
      <c r="K1648" s="1" t="s">
        <v>26</v>
      </c>
      <c r="L1648" s="1">
        <v>4.2</v>
      </c>
      <c r="M1648" s="1">
        <v>743</v>
      </c>
      <c r="P1648" t="str">
        <f t="shared" si="103"/>
        <v/>
      </c>
      <c r="Q1648" s="12" t="str">
        <f t="shared" si="100"/>
        <v/>
      </c>
      <c r="R1648" s="9" t="str">
        <f t="shared" si="101"/>
        <v/>
      </c>
      <c r="S1648" s="9">
        <f>IF(R1648="",AVERAGEIF(Table1[Category],Table1[[#This Row],[Category]],Table2[orignal data]),Table2[[#This Row],[orignal data]])</f>
        <v>715.78890751086249</v>
      </c>
      <c r="T1648" t="str">
        <f t="shared" si="102"/>
        <v>UNIQUE</v>
      </c>
      <c r="U1648" t="str">
        <f>IF(ISBLANK(Table1[[#This Row],[SizeOption]]),"NOT AVAILABLE",Table1[[#This Row],[SizeOption]])</f>
        <v>S, M, L, XL</v>
      </c>
      <c r="Y1648" t="str">
        <f>IF(Table2[[#This Row],[Column1]]&gt;50%,"HIGH DISCOUNT","LOW DISCOUNT")</f>
        <v>HIGH DISCOUNT</v>
      </c>
    </row>
    <row r="1649" spans="1:25" x14ac:dyDescent="0.25">
      <c r="A1649" s="2" t="s">
        <v>3583</v>
      </c>
      <c r="B1649" s="2">
        <v>9587533</v>
      </c>
      <c r="C1649" s="2" t="s">
        <v>14</v>
      </c>
      <c r="D1649" s="2" t="s">
        <v>28</v>
      </c>
      <c r="E1649" s="2" t="s">
        <v>189</v>
      </c>
      <c r="F1649" s="2" t="s">
        <v>17</v>
      </c>
      <c r="G1649" s="2" t="s">
        <v>3584</v>
      </c>
      <c r="H1649">
        <v>1574</v>
      </c>
      <c r="I1649" s="2">
        <v>3499</v>
      </c>
      <c r="J1649" s="2" t="s">
        <v>25</v>
      </c>
      <c r="K1649" s="2" t="s">
        <v>234</v>
      </c>
      <c r="L1649" s="2">
        <v>4.2</v>
      </c>
      <c r="M1649" s="2">
        <v>742</v>
      </c>
      <c r="P1649" t="str">
        <f t="shared" si="103"/>
        <v>55%</v>
      </c>
      <c r="Q1649" s="12">
        <f t="shared" si="100"/>
        <v>0.55000000000000004</v>
      </c>
      <c r="R1649" s="9">
        <f t="shared" si="101"/>
        <v>1574.55</v>
      </c>
      <c r="S1649" s="9">
        <f>IF(R1649="",AVERAGEIF(Table1[Category],Table1[[#This Row],[Category]],Table2[orignal data]),Table2[[#This Row],[orignal data]])</f>
        <v>1574.55</v>
      </c>
      <c r="T1649" t="str">
        <f t="shared" si="102"/>
        <v>UNIQUE</v>
      </c>
      <c r="U1649" t="str">
        <f>IF(ISBLANK(Table1[[#This Row],[SizeOption]]),"NOT AVAILABLE",Table1[[#This Row],[SizeOption]])</f>
        <v>S, M, L, XL, XXL, 3XL</v>
      </c>
      <c r="Y1649" t="str">
        <f>IF(Table2[[#This Row],[Column1]]&gt;50%,"HIGH DISCOUNT","LOW DISCOUNT")</f>
        <v>HIGH DISCOUNT</v>
      </c>
    </row>
    <row r="1650" spans="1:25" x14ac:dyDescent="0.25">
      <c r="A1650" s="1" t="s">
        <v>3585</v>
      </c>
      <c r="B1650" s="1">
        <v>13437260</v>
      </c>
      <c r="C1650" s="1" t="s">
        <v>97</v>
      </c>
      <c r="D1650" s="1" t="s">
        <v>98</v>
      </c>
      <c r="E1650" s="1" t="s">
        <v>93</v>
      </c>
      <c r="F1650" s="1" t="s">
        <v>36</v>
      </c>
      <c r="G1650" s="1" t="s">
        <v>3586</v>
      </c>
      <c r="H1650">
        <v>779</v>
      </c>
      <c r="I1650" s="1">
        <v>1299</v>
      </c>
      <c r="J1650" s="1" t="s">
        <v>50</v>
      </c>
      <c r="K1650" s="1" t="s">
        <v>100</v>
      </c>
      <c r="L1650" s="1">
        <v>3.9</v>
      </c>
      <c r="M1650" s="1">
        <v>742</v>
      </c>
      <c r="P1650" t="str">
        <f t="shared" si="103"/>
        <v>40%</v>
      </c>
      <c r="Q1650" s="12">
        <f t="shared" si="100"/>
        <v>0.4</v>
      </c>
      <c r="R1650" s="9">
        <f t="shared" si="101"/>
        <v>779.4</v>
      </c>
      <c r="S1650" s="9">
        <f>IF(R1650="",AVERAGEIF(Table1[Category],Table1[[#This Row],[Category]],Table2[orignal data]),Table2[[#This Row],[orignal data]])</f>
        <v>779.4</v>
      </c>
      <c r="T1650" t="str">
        <f t="shared" si="102"/>
        <v>UNIQUE</v>
      </c>
      <c r="U1650" t="str">
        <f>IF(ISBLANK(Table1[[#This Row],[SizeOption]]),"NOT AVAILABLE",Table1[[#This Row],[SizeOption]])</f>
        <v>XS, S, M, L, XL, XXL, 3XL</v>
      </c>
      <c r="Y1650" t="str">
        <f>IF(Table2[[#This Row],[Column1]]&gt;50%,"HIGH DISCOUNT","LOW DISCOUNT")</f>
        <v>LOW DISCOUNT</v>
      </c>
    </row>
    <row r="1651" spans="1:25" x14ac:dyDescent="0.25">
      <c r="A1651" s="2" t="s">
        <v>3587</v>
      </c>
      <c r="B1651" s="2">
        <v>3014458</v>
      </c>
      <c r="C1651" s="2" t="s">
        <v>64</v>
      </c>
      <c r="D1651" s="2" t="s">
        <v>98</v>
      </c>
      <c r="E1651" s="2" t="s">
        <v>77</v>
      </c>
      <c r="F1651" s="2" t="s">
        <v>36</v>
      </c>
      <c r="G1651" s="2" t="s">
        <v>3588</v>
      </c>
      <c r="H1651">
        <v>1039</v>
      </c>
      <c r="I1651" s="2">
        <v>2599</v>
      </c>
      <c r="J1651" s="2" t="s">
        <v>55</v>
      </c>
      <c r="K1651" s="2" t="s">
        <v>115</v>
      </c>
      <c r="L1651" s="2">
        <v>4.3</v>
      </c>
      <c r="M1651" s="2">
        <v>742</v>
      </c>
      <c r="P1651" t="str">
        <f t="shared" si="103"/>
        <v>60%</v>
      </c>
      <c r="Q1651" s="12">
        <f t="shared" si="100"/>
        <v>0.6</v>
      </c>
      <c r="R1651" s="9">
        <f t="shared" si="101"/>
        <v>1039.6000000000001</v>
      </c>
      <c r="S1651" s="9">
        <f>IF(R1651="",AVERAGEIF(Table1[Category],Table1[[#This Row],[Category]],Table2[orignal data]),Table2[[#This Row],[orignal data]])</f>
        <v>1039.6000000000001</v>
      </c>
      <c r="T1651" t="str">
        <f t="shared" si="102"/>
        <v>UNIQUE</v>
      </c>
      <c r="U1651" t="str">
        <f>IF(ISBLANK(Table1[[#This Row],[SizeOption]]),"NOT AVAILABLE",Table1[[#This Row],[SizeOption]])</f>
        <v>XS, S, M, L, XL, XXL</v>
      </c>
      <c r="Y1651" t="str">
        <f>IF(Table2[[#This Row],[Column1]]&gt;50%,"HIGH DISCOUNT","LOW DISCOUNT")</f>
        <v>HIGH DISCOUNT</v>
      </c>
    </row>
    <row r="1652" spans="1:25" x14ac:dyDescent="0.25">
      <c r="A1652" s="1" t="s">
        <v>3589</v>
      </c>
      <c r="B1652" s="1">
        <v>10584392</v>
      </c>
      <c r="C1652" s="1" t="s">
        <v>420</v>
      </c>
      <c r="D1652" s="1" t="s">
        <v>41</v>
      </c>
      <c r="E1652" s="1" t="s">
        <v>306</v>
      </c>
      <c r="F1652" s="1" t="s">
        <v>36</v>
      </c>
      <c r="G1652" s="1" t="s">
        <v>3590</v>
      </c>
      <c r="I1652" s="1">
        <v>1699</v>
      </c>
      <c r="J1652" s="1" t="s">
        <v>84</v>
      </c>
      <c r="K1652" s="1" t="s">
        <v>26</v>
      </c>
      <c r="L1652" s="1">
        <v>4.0999999999999996</v>
      </c>
      <c r="M1652" s="1">
        <v>742</v>
      </c>
      <c r="P1652" t="str">
        <f t="shared" si="103"/>
        <v>50%</v>
      </c>
      <c r="Q1652" s="12">
        <f t="shared" si="100"/>
        <v>0.5</v>
      </c>
      <c r="R1652" s="9">
        <f t="shared" si="101"/>
        <v>849.5</v>
      </c>
      <c r="S1652" s="9">
        <f>IF(R1652="",AVERAGEIF(Table1[Category],Table1[[#This Row],[Category]],Table2[orignal data]),Table2[[#This Row],[orignal data]])</f>
        <v>849.5</v>
      </c>
      <c r="T1652" t="str">
        <f t="shared" si="102"/>
        <v>UNIQUE</v>
      </c>
      <c r="U1652" t="str">
        <f>IF(ISBLANK(Table1[[#This Row],[SizeOption]]),"NOT AVAILABLE",Table1[[#This Row],[SizeOption]])</f>
        <v>S, M, L, XL</v>
      </c>
      <c r="Y1652" t="str">
        <f>IF(Table2[[#This Row],[Column1]]&gt;50%,"HIGH DISCOUNT","LOW DISCOUNT")</f>
        <v>LOW DISCOUNT</v>
      </c>
    </row>
    <row r="1653" spans="1:25" x14ac:dyDescent="0.25">
      <c r="A1653" s="2" t="s">
        <v>3591</v>
      </c>
      <c r="B1653" s="2">
        <v>1744901</v>
      </c>
      <c r="C1653" s="2" t="s">
        <v>47</v>
      </c>
      <c r="D1653" s="2" t="s">
        <v>41</v>
      </c>
      <c r="E1653" s="2" t="s">
        <v>16</v>
      </c>
      <c r="F1653" s="2" t="s">
        <v>36</v>
      </c>
      <c r="G1653" s="2" t="s">
        <v>3592</v>
      </c>
      <c r="I1653" s="2">
        <v>1799</v>
      </c>
      <c r="J1653" s="2" t="s">
        <v>44</v>
      </c>
      <c r="K1653" s="2" t="s">
        <v>134</v>
      </c>
      <c r="L1653" s="2">
        <v>4.0999999999999996</v>
      </c>
      <c r="M1653" s="2">
        <v>742</v>
      </c>
      <c r="P1653" t="str">
        <f t="shared" si="103"/>
        <v>35%</v>
      </c>
      <c r="Q1653" s="12">
        <f t="shared" si="100"/>
        <v>0.35</v>
      </c>
      <c r="R1653" s="9">
        <f t="shared" si="101"/>
        <v>1169.3499999999999</v>
      </c>
      <c r="S1653" s="9">
        <f>IF(R1653="",AVERAGEIF(Table1[Category],Table1[[#This Row],[Category]],Table2[orignal data]),Table2[[#This Row],[orignal data]])</f>
        <v>1169.3499999999999</v>
      </c>
      <c r="T1653" t="str">
        <f t="shared" si="102"/>
        <v>UNIQUE</v>
      </c>
      <c r="U1653" t="str">
        <f>IF(ISBLANK(Table1[[#This Row],[SizeOption]]),"NOT AVAILABLE",Table1[[#This Row],[SizeOption]])</f>
        <v>26, 28, 30, 32, 34, 36</v>
      </c>
      <c r="Y1653" t="str">
        <f>IF(Table2[[#This Row],[Column1]]&gt;50%,"HIGH DISCOUNT","LOW DISCOUNT")</f>
        <v>LOW DISCOUNT</v>
      </c>
    </row>
    <row r="1654" spans="1:25" x14ac:dyDescent="0.25">
      <c r="A1654" s="1" t="s">
        <v>3593</v>
      </c>
      <c r="B1654" s="1">
        <v>10964506</v>
      </c>
      <c r="C1654" s="1" t="s">
        <v>14</v>
      </c>
      <c r="D1654" s="1" t="s">
        <v>41</v>
      </c>
      <c r="E1654" s="1" t="s">
        <v>48</v>
      </c>
      <c r="F1654" s="1" t="s">
        <v>36</v>
      </c>
      <c r="G1654" s="1" t="s">
        <v>3594</v>
      </c>
      <c r="I1654" s="1">
        <v>599</v>
      </c>
      <c r="J1654" s="1" t="s">
        <v>19</v>
      </c>
      <c r="K1654" s="1" t="s">
        <v>45</v>
      </c>
      <c r="L1654" s="1">
        <v>4.2</v>
      </c>
      <c r="M1654" s="1">
        <v>742</v>
      </c>
      <c r="P1654" t="str">
        <f t="shared" si="103"/>
        <v>45%</v>
      </c>
      <c r="Q1654" s="12">
        <f t="shared" si="100"/>
        <v>0.45</v>
      </c>
      <c r="R1654" s="9">
        <f t="shared" si="101"/>
        <v>329.45</v>
      </c>
      <c r="S1654" s="9">
        <f>IF(R1654="",AVERAGEIF(Table1[Category],Table1[[#This Row],[Category]],Table2[orignal data]),Table2[[#This Row],[orignal data]])</f>
        <v>329.45</v>
      </c>
      <c r="T1654" t="str">
        <f t="shared" si="102"/>
        <v>UNIQUE</v>
      </c>
      <c r="U1654" t="str">
        <f>IF(ISBLANK(Table1[[#This Row],[SizeOption]]),"NOT AVAILABLE",Table1[[#This Row],[SizeOption]])</f>
        <v>XS, S, M, L, XL</v>
      </c>
      <c r="Y1654" t="str">
        <f>IF(Table2[[#This Row],[Column1]]&gt;50%,"HIGH DISCOUNT","LOW DISCOUNT")</f>
        <v>LOW DISCOUNT</v>
      </c>
    </row>
    <row r="1655" spans="1:25" x14ac:dyDescent="0.25">
      <c r="A1655" s="2" t="s">
        <v>3595</v>
      </c>
      <c r="B1655" s="2">
        <v>11193818</v>
      </c>
      <c r="C1655" s="2" t="s">
        <v>1385</v>
      </c>
      <c r="D1655" s="2" t="s">
        <v>41</v>
      </c>
      <c r="E1655" s="2" t="s">
        <v>48</v>
      </c>
      <c r="F1655" s="2" t="s">
        <v>36</v>
      </c>
      <c r="G1655" s="2" t="s">
        <v>3596</v>
      </c>
      <c r="I1655" s="2">
        <v>999</v>
      </c>
      <c r="J1655" s="2" t="s">
        <v>528</v>
      </c>
      <c r="K1655" s="2" t="s">
        <v>45</v>
      </c>
      <c r="L1655" s="2">
        <v>3.7</v>
      </c>
      <c r="M1655" s="2">
        <v>742</v>
      </c>
      <c r="P1655" t="str">
        <f t="shared" si="103"/>
        <v>500</v>
      </c>
      <c r="Q1655" s="12">
        <f t="shared" si="100"/>
        <v>0.50050050050050054</v>
      </c>
      <c r="R1655" s="9">
        <f t="shared" si="101"/>
        <v>498.99999999999994</v>
      </c>
      <c r="S1655" s="9">
        <f>IF(R1655="",AVERAGEIF(Table1[Category],Table1[[#This Row],[Category]],Table2[orignal data]),Table2[[#This Row],[orignal data]])</f>
        <v>498.99999999999994</v>
      </c>
      <c r="T1655" t="str">
        <f t="shared" si="102"/>
        <v>UNIQUE</v>
      </c>
      <c r="U1655" t="str">
        <f>IF(ISBLANK(Table1[[#This Row],[SizeOption]]),"NOT AVAILABLE",Table1[[#This Row],[SizeOption]])</f>
        <v>XS, S, M, L, XL</v>
      </c>
      <c r="Y1655" t="str">
        <f>IF(Table2[[#This Row],[Column1]]&gt;50%,"HIGH DISCOUNT","LOW DISCOUNT")</f>
        <v>HIGH DISCOUNT</v>
      </c>
    </row>
    <row r="1656" spans="1:25" x14ac:dyDescent="0.25">
      <c r="A1656" s="1" t="s">
        <v>3597</v>
      </c>
      <c r="B1656" s="1">
        <v>10106171</v>
      </c>
      <c r="C1656" s="1" t="s">
        <v>67</v>
      </c>
      <c r="D1656" s="1" t="s">
        <v>68</v>
      </c>
      <c r="E1656" s="1" t="s">
        <v>42</v>
      </c>
      <c r="F1656" s="1" t="s">
        <v>17</v>
      </c>
      <c r="G1656" s="1" t="s">
        <v>3598</v>
      </c>
      <c r="H1656">
        <v>659</v>
      </c>
      <c r="I1656" s="1">
        <v>1099</v>
      </c>
      <c r="J1656" s="1" t="s">
        <v>50</v>
      </c>
      <c r="K1656" s="1" t="s">
        <v>39</v>
      </c>
      <c r="L1656" s="1">
        <v>4.3</v>
      </c>
      <c r="M1656" s="1">
        <v>741</v>
      </c>
      <c r="P1656" t="str">
        <f t="shared" si="103"/>
        <v>40%</v>
      </c>
      <c r="Q1656" s="12">
        <f t="shared" si="100"/>
        <v>0.4</v>
      </c>
      <c r="R1656" s="9">
        <f t="shared" si="101"/>
        <v>659.4</v>
      </c>
      <c r="S1656" s="9">
        <f>IF(R1656="",AVERAGEIF(Table1[Category],Table1[[#This Row],[Category]],Table2[orignal data]),Table2[[#This Row],[orignal data]])</f>
        <v>659.4</v>
      </c>
      <c r="T1656" t="str">
        <f t="shared" si="102"/>
        <v>UNIQUE</v>
      </c>
      <c r="U1656" t="str">
        <f>IF(ISBLANK(Table1[[#This Row],[SizeOption]]),"NOT AVAILABLE",Table1[[#This Row],[SizeOption]])</f>
        <v>S, M, L, XL, XXL</v>
      </c>
      <c r="Y1656" t="str">
        <f>IF(Table2[[#This Row],[Column1]]&gt;50%,"HIGH DISCOUNT","LOW DISCOUNT")</f>
        <v>LOW DISCOUNT</v>
      </c>
    </row>
    <row r="1657" spans="1:25" x14ac:dyDescent="0.25">
      <c r="A1657" s="2" t="s">
        <v>3599</v>
      </c>
      <c r="B1657" s="2">
        <v>11044444</v>
      </c>
      <c r="C1657" s="2" t="s">
        <v>52</v>
      </c>
      <c r="D1657" s="2" t="s">
        <v>28</v>
      </c>
      <c r="E1657" s="2" t="s">
        <v>29</v>
      </c>
      <c r="F1657" s="2" t="s">
        <v>17</v>
      </c>
      <c r="G1657" s="2" t="s">
        <v>3600</v>
      </c>
      <c r="H1657">
        <v>574</v>
      </c>
      <c r="I1657" s="2">
        <v>1149</v>
      </c>
      <c r="J1657" s="2" t="s">
        <v>84</v>
      </c>
      <c r="K1657" s="2" t="s">
        <v>90</v>
      </c>
      <c r="L1657" s="2">
        <v>3.9</v>
      </c>
      <c r="M1657" s="2">
        <v>741</v>
      </c>
      <c r="P1657" t="str">
        <f t="shared" si="103"/>
        <v>50%</v>
      </c>
      <c r="Q1657" s="12">
        <f t="shared" si="100"/>
        <v>0.5</v>
      </c>
      <c r="R1657" s="9">
        <f t="shared" si="101"/>
        <v>574.5</v>
      </c>
      <c r="S1657" s="9">
        <f>IF(R1657="",AVERAGEIF(Table1[Category],Table1[[#This Row],[Category]],Table2[orignal data]),Table2[[#This Row],[orignal data]])</f>
        <v>574.5</v>
      </c>
      <c r="T1657" t="str">
        <f t="shared" si="102"/>
        <v>UNIQUE</v>
      </c>
      <c r="U1657" t="str">
        <f>IF(ISBLANK(Table1[[#This Row],[SizeOption]]),"NOT AVAILABLE",Table1[[#This Row],[SizeOption]])</f>
        <v>39, 40, 42, 44</v>
      </c>
      <c r="Y1657" t="str">
        <f>IF(Table2[[#This Row],[Column1]]&gt;50%,"HIGH DISCOUNT","LOW DISCOUNT")</f>
        <v>LOW DISCOUNT</v>
      </c>
    </row>
    <row r="1658" spans="1:25" x14ac:dyDescent="0.25">
      <c r="A1658" s="1" t="s">
        <v>3601</v>
      </c>
      <c r="B1658" s="1">
        <v>8985541</v>
      </c>
      <c r="C1658" s="1" t="s">
        <v>14</v>
      </c>
      <c r="D1658" s="1" t="s">
        <v>28</v>
      </c>
      <c r="E1658" s="1" t="s">
        <v>29</v>
      </c>
      <c r="F1658" s="1" t="s">
        <v>17</v>
      </c>
      <c r="G1658" s="1" t="s">
        <v>3602</v>
      </c>
      <c r="H1658">
        <v>639</v>
      </c>
      <c r="I1658" s="1">
        <v>1599</v>
      </c>
      <c r="J1658" s="1" t="s">
        <v>55</v>
      </c>
      <c r="K1658" s="1" t="s">
        <v>253</v>
      </c>
      <c r="L1658" s="1">
        <v>4.3</v>
      </c>
      <c r="M1658" s="1">
        <v>741</v>
      </c>
      <c r="P1658" t="str">
        <f t="shared" si="103"/>
        <v>60%</v>
      </c>
      <c r="Q1658" s="12">
        <f t="shared" si="100"/>
        <v>0.6</v>
      </c>
      <c r="R1658" s="9">
        <f t="shared" si="101"/>
        <v>639.6</v>
      </c>
      <c r="S1658" s="9">
        <f>IF(R1658="",AVERAGEIF(Table1[Category],Table1[[#This Row],[Category]],Table2[orignal data]),Table2[[#This Row],[orignal data]])</f>
        <v>639.6</v>
      </c>
      <c r="T1658" t="str">
        <f t="shared" si="102"/>
        <v>UNIQUE</v>
      </c>
      <c r="U1658" t="str">
        <f>IF(ISBLANK(Table1[[#This Row],[SizeOption]]),"NOT AVAILABLE",Table1[[#This Row],[SizeOption]])</f>
        <v>38, 40, 42, 44</v>
      </c>
      <c r="Y1658" t="str">
        <f>IF(Table2[[#This Row],[Column1]]&gt;50%,"HIGH DISCOUNT","LOW DISCOUNT")</f>
        <v>HIGH DISCOUNT</v>
      </c>
    </row>
    <row r="1659" spans="1:25" x14ac:dyDescent="0.25">
      <c r="A1659" s="2" t="s">
        <v>3603</v>
      </c>
      <c r="B1659" s="2">
        <v>5125742</v>
      </c>
      <c r="C1659" s="2" t="s">
        <v>92</v>
      </c>
      <c r="D1659" s="2" t="s">
        <v>76</v>
      </c>
      <c r="E1659" s="2" t="s">
        <v>93</v>
      </c>
      <c r="F1659" s="2" t="s">
        <v>36</v>
      </c>
      <c r="G1659" s="2" t="s">
        <v>3604</v>
      </c>
      <c r="H1659">
        <v>544</v>
      </c>
      <c r="I1659" s="2">
        <v>1649</v>
      </c>
      <c r="J1659" s="2" t="s">
        <v>543</v>
      </c>
      <c r="K1659" s="2" t="s">
        <v>39</v>
      </c>
      <c r="L1659" s="2">
        <v>4.0999999999999996</v>
      </c>
      <c r="M1659" s="2">
        <v>741</v>
      </c>
      <c r="P1659" t="str">
        <f t="shared" si="103"/>
        <v>67%</v>
      </c>
      <c r="Q1659" s="12">
        <f t="shared" si="100"/>
        <v>0.67</v>
      </c>
      <c r="R1659" s="9">
        <f t="shared" si="101"/>
        <v>544.16999999999985</v>
      </c>
      <c r="S1659" s="9">
        <f>IF(R1659="",AVERAGEIF(Table1[Category],Table1[[#This Row],[Category]],Table2[orignal data]),Table2[[#This Row],[orignal data]])</f>
        <v>544.16999999999985</v>
      </c>
      <c r="T1659" t="str">
        <f t="shared" si="102"/>
        <v>UNIQUE</v>
      </c>
      <c r="U1659" t="str">
        <f>IF(ISBLANK(Table1[[#This Row],[SizeOption]]),"NOT AVAILABLE",Table1[[#This Row],[SizeOption]])</f>
        <v>S, M, L, XL, XXL</v>
      </c>
      <c r="Y1659" t="str">
        <f>IF(Table2[[#This Row],[Column1]]&gt;50%,"HIGH DISCOUNT","LOW DISCOUNT")</f>
        <v>HIGH DISCOUNT</v>
      </c>
    </row>
    <row r="1660" spans="1:25" x14ac:dyDescent="0.25">
      <c r="A1660" s="1" t="s">
        <v>3605</v>
      </c>
      <c r="B1660" s="1">
        <v>13502984</v>
      </c>
      <c r="C1660" s="1" t="s">
        <v>3606</v>
      </c>
      <c r="D1660" s="1" t="s">
        <v>41</v>
      </c>
      <c r="E1660" s="1" t="s">
        <v>42</v>
      </c>
      <c r="F1660" s="1" t="s">
        <v>36</v>
      </c>
      <c r="G1660" s="1" t="s">
        <v>3607</v>
      </c>
      <c r="I1660" s="1">
        <v>1199</v>
      </c>
      <c r="J1660" s="1" t="s">
        <v>3608</v>
      </c>
      <c r="K1660" s="1" t="s">
        <v>234</v>
      </c>
      <c r="L1660" s="1">
        <v>4.4000000000000004</v>
      </c>
      <c r="M1660" s="1">
        <v>741</v>
      </c>
      <c r="P1660" t="str">
        <f t="shared" si="103"/>
        <v>750</v>
      </c>
      <c r="Q1660" s="12">
        <f t="shared" si="100"/>
        <v>0.62552126772310257</v>
      </c>
      <c r="R1660" s="9">
        <f t="shared" si="101"/>
        <v>449</v>
      </c>
      <c r="S1660" s="9">
        <f>IF(R1660="",AVERAGEIF(Table1[Category],Table1[[#This Row],[Category]],Table2[orignal data]),Table2[[#This Row],[orignal data]])</f>
        <v>449</v>
      </c>
      <c r="T1660" t="str">
        <f t="shared" si="102"/>
        <v>UNIQUE</v>
      </c>
      <c r="U1660" t="str">
        <f>IF(ISBLANK(Table1[[#This Row],[SizeOption]]),"NOT AVAILABLE",Table1[[#This Row],[SizeOption]])</f>
        <v>S, M, L, XL, XXL, 3XL</v>
      </c>
      <c r="Y1660" t="str">
        <f>IF(Table2[[#This Row],[Column1]]&gt;50%,"HIGH DISCOUNT","LOW DISCOUNT")</f>
        <v>HIGH DISCOUNT</v>
      </c>
    </row>
    <row r="1661" spans="1:25" x14ac:dyDescent="0.25">
      <c r="A1661" s="2" t="s">
        <v>3609</v>
      </c>
      <c r="B1661" s="2">
        <v>12288126</v>
      </c>
      <c r="C1661" s="2" t="s">
        <v>181</v>
      </c>
      <c r="D1661" s="2" t="s">
        <v>41</v>
      </c>
      <c r="E1661" s="2" t="s">
        <v>368</v>
      </c>
      <c r="F1661" s="2" t="s">
        <v>36</v>
      </c>
      <c r="G1661" s="2" t="s">
        <v>3610</v>
      </c>
      <c r="I1661" s="2">
        <v>1399</v>
      </c>
      <c r="J1661" s="2" t="s">
        <v>84</v>
      </c>
      <c r="K1661" s="2" t="s">
        <v>428</v>
      </c>
      <c r="L1661" s="2">
        <v>4.2</v>
      </c>
      <c r="M1661" s="2">
        <v>741</v>
      </c>
      <c r="P1661" t="str">
        <f t="shared" si="103"/>
        <v>50%</v>
      </c>
      <c r="Q1661" s="12">
        <f t="shared" si="100"/>
        <v>0.5</v>
      </c>
      <c r="R1661" s="9">
        <f t="shared" si="101"/>
        <v>699.5</v>
      </c>
      <c r="S1661" s="9">
        <f>IF(R1661="",AVERAGEIF(Table1[Category],Table1[[#This Row],[Category]],Table2[orignal data]),Table2[[#This Row],[orignal data]])</f>
        <v>699.5</v>
      </c>
      <c r="T1661" t="str">
        <f t="shared" si="102"/>
        <v>UNIQUE</v>
      </c>
      <c r="U1661" t="str">
        <f>IF(ISBLANK(Table1[[#This Row],[SizeOption]]),"NOT AVAILABLE",Table1[[#This Row],[SizeOption]])</f>
        <v>26, 28, 30, 32, 34</v>
      </c>
      <c r="Y1661" t="str">
        <f>IF(Table2[[#This Row],[Column1]]&gt;50%,"HIGH DISCOUNT","LOW DISCOUNT")</f>
        <v>LOW DISCOUNT</v>
      </c>
    </row>
    <row r="1662" spans="1:25" x14ac:dyDescent="0.25">
      <c r="A1662" s="1" t="s">
        <v>3611</v>
      </c>
      <c r="B1662" s="1">
        <v>10934794</v>
      </c>
      <c r="C1662" s="1" t="s">
        <v>124</v>
      </c>
      <c r="D1662" s="1" t="s">
        <v>41</v>
      </c>
      <c r="E1662" s="1" t="s">
        <v>48</v>
      </c>
      <c r="F1662" s="1" t="s">
        <v>36</v>
      </c>
      <c r="G1662" s="1" t="s">
        <v>3612</v>
      </c>
      <c r="I1662" s="1">
        <v>1599</v>
      </c>
      <c r="J1662" s="1" t="s">
        <v>130</v>
      </c>
      <c r="K1662" s="1" t="s">
        <v>115</v>
      </c>
      <c r="L1662" s="1">
        <v>4.2</v>
      </c>
      <c r="M1662" s="1">
        <v>741</v>
      </c>
      <c r="P1662" t="str">
        <f t="shared" si="103"/>
        <v>57%</v>
      </c>
      <c r="Q1662" s="12">
        <f t="shared" si="100"/>
        <v>0.56999999999999995</v>
      </c>
      <c r="R1662" s="9">
        <f t="shared" si="101"/>
        <v>687.57</v>
      </c>
      <c r="S1662" s="9">
        <f>IF(R1662="",AVERAGEIF(Table1[Category],Table1[[#This Row],[Category]],Table2[orignal data]),Table2[[#This Row],[orignal data]])</f>
        <v>687.57</v>
      </c>
      <c r="T1662" t="str">
        <f t="shared" si="102"/>
        <v>UNIQUE</v>
      </c>
      <c r="U1662" t="str">
        <f>IF(ISBLANK(Table1[[#This Row],[SizeOption]]),"NOT AVAILABLE",Table1[[#This Row],[SizeOption]])</f>
        <v>XS, S, M, L, XL, XXL</v>
      </c>
      <c r="Y1662" t="str">
        <f>IF(Table2[[#This Row],[Column1]]&gt;50%,"HIGH DISCOUNT","LOW DISCOUNT")</f>
        <v>HIGH DISCOUNT</v>
      </c>
    </row>
    <row r="1663" spans="1:25" x14ac:dyDescent="0.25">
      <c r="A1663" s="2" t="s">
        <v>3613</v>
      </c>
      <c r="B1663" s="2">
        <v>11306968</v>
      </c>
      <c r="C1663" s="2" t="s">
        <v>107</v>
      </c>
      <c r="D1663" s="2" t="s">
        <v>41</v>
      </c>
      <c r="E1663" s="2" t="s">
        <v>16</v>
      </c>
      <c r="F1663" s="2" t="s">
        <v>36</v>
      </c>
      <c r="G1663" s="2" t="s">
        <v>3614</v>
      </c>
      <c r="I1663" s="2">
        <v>2099</v>
      </c>
      <c r="J1663" s="2" t="s">
        <v>79</v>
      </c>
      <c r="K1663" s="2" t="s">
        <v>134</v>
      </c>
      <c r="L1663" s="2">
        <v>4</v>
      </c>
      <c r="M1663" s="2">
        <v>741</v>
      </c>
      <c r="P1663" t="str">
        <f t="shared" si="103"/>
        <v>70%</v>
      </c>
      <c r="Q1663" s="12">
        <f t="shared" si="100"/>
        <v>0.7</v>
      </c>
      <c r="R1663" s="9">
        <f t="shared" si="101"/>
        <v>629.70000000000005</v>
      </c>
      <c r="S1663" s="9">
        <f>IF(R1663="",AVERAGEIF(Table1[Category],Table1[[#This Row],[Category]],Table2[orignal data]),Table2[[#This Row],[orignal data]])</f>
        <v>629.70000000000005</v>
      </c>
      <c r="T1663" t="str">
        <f t="shared" si="102"/>
        <v>UNIQUE</v>
      </c>
      <c r="U1663" t="str">
        <f>IF(ISBLANK(Table1[[#This Row],[SizeOption]]),"NOT AVAILABLE",Table1[[#This Row],[SizeOption]])</f>
        <v>26, 28, 30, 32, 34, 36</v>
      </c>
      <c r="Y1663" t="str">
        <f>IF(Table2[[#This Row],[Column1]]&gt;50%,"HIGH DISCOUNT","LOW DISCOUNT")</f>
        <v>HIGH DISCOUNT</v>
      </c>
    </row>
    <row r="1664" spans="1:25" x14ac:dyDescent="0.25">
      <c r="A1664" s="1" t="s">
        <v>3615</v>
      </c>
      <c r="B1664" s="1">
        <v>11893634</v>
      </c>
      <c r="C1664" s="1" t="s">
        <v>14</v>
      </c>
      <c r="D1664" s="1" t="s">
        <v>41</v>
      </c>
      <c r="E1664" s="1" t="s">
        <v>42</v>
      </c>
      <c r="F1664" s="1" t="s">
        <v>36</v>
      </c>
      <c r="G1664" s="1" t="s">
        <v>250</v>
      </c>
      <c r="I1664" s="1">
        <v>799</v>
      </c>
      <c r="J1664" s="1" t="s">
        <v>150</v>
      </c>
      <c r="K1664" s="1" t="s">
        <v>45</v>
      </c>
      <c r="L1664" s="1">
        <v>4</v>
      </c>
      <c r="M1664" s="1">
        <v>741</v>
      </c>
      <c r="P1664" t="str">
        <f t="shared" si="103"/>
        <v>65%</v>
      </c>
      <c r="Q1664" s="12">
        <f t="shared" si="100"/>
        <v>0.65</v>
      </c>
      <c r="R1664" s="9">
        <f t="shared" si="101"/>
        <v>279.64999999999998</v>
      </c>
      <c r="S1664" s="9">
        <f>IF(R1664="",AVERAGEIF(Table1[Category],Table1[[#This Row],[Category]],Table2[orignal data]),Table2[[#This Row],[orignal data]])</f>
        <v>279.64999999999998</v>
      </c>
      <c r="T1664" t="str">
        <f t="shared" si="102"/>
        <v>UNIQUE</v>
      </c>
      <c r="U1664" t="str">
        <f>IF(ISBLANK(Table1[[#This Row],[SizeOption]]),"NOT AVAILABLE",Table1[[#This Row],[SizeOption]])</f>
        <v>XS, S, M, L, XL</v>
      </c>
      <c r="Y1664" t="str">
        <f>IF(Table2[[#This Row],[Column1]]&gt;50%,"HIGH DISCOUNT","LOW DISCOUNT")</f>
        <v>HIGH DISCOUNT</v>
      </c>
    </row>
    <row r="1665" spans="1:25" x14ac:dyDescent="0.25">
      <c r="A1665" s="2" t="s">
        <v>3616</v>
      </c>
      <c r="B1665" s="2">
        <v>9801593</v>
      </c>
      <c r="C1665" s="2" t="s">
        <v>102</v>
      </c>
      <c r="D1665" s="2" t="s">
        <v>41</v>
      </c>
      <c r="E1665" s="2" t="s">
        <v>48</v>
      </c>
      <c r="F1665" s="2" t="s">
        <v>36</v>
      </c>
      <c r="G1665" s="2" t="s">
        <v>3617</v>
      </c>
      <c r="I1665" s="2">
        <v>849</v>
      </c>
      <c r="J1665" s="2" t="s">
        <v>758</v>
      </c>
      <c r="K1665" s="2" t="s">
        <v>26</v>
      </c>
      <c r="L1665" s="2">
        <v>4.0999999999999996</v>
      </c>
      <c r="M1665" s="2">
        <v>741</v>
      </c>
      <c r="P1665" t="str">
        <f t="shared" si="103"/>
        <v>47%</v>
      </c>
      <c r="Q1665" s="12">
        <f t="shared" si="100"/>
        <v>0.47</v>
      </c>
      <c r="R1665" s="9">
        <f t="shared" si="101"/>
        <v>449.97</v>
      </c>
      <c r="S1665" s="9">
        <f>IF(R1665="",AVERAGEIF(Table1[Category],Table1[[#This Row],[Category]],Table2[orignal data]),Table2[[#This Row],[orignal data]])</f>
        <v>449.97</v>
      </c>
      <c r="T1665" t="str">
        <f t="shared" si="102"/>
        <v>UNIQUE</v>
      </c>
      <c r="U1665" t="str">
        <f>IF(ISBLANK(Table1[[#This Row],[SizeOption]]),"NOT AVAILABLE",Table1[[#This Row],[SizeOption]])</f>
        <v>S, M, L, XL</v>
      </c>
      <c r="Y1665" t="str">
        <f>IF(Table2[[#This Row],[Column1]]&gt;50%,"HIGH DISCOUNT","LOW DISCOUNT")</f>
        <v>LOW DISCOUNT</v>
      </c>
    </row>
    <row r="1666" spans="1:25" x14ac:dyDescent="0.25">
      <c r="A1666" s="1" t="s">
        <v>3618</v>
      </c>
      <c r="B1666" s="1">
        <v>11097714</v>
      </c>
      <c r="C1666" s="1" t="s">
        <v>3569</v>
      </c>
      <c r="D1666" s="1" t="s">
        <v>76</v>
      </c>
      <c r="E1666" s="1" t="s">
        <v>148</v>
      </c>
      <c r="F1666" s="1" t="s">
        <v>36</v>
      </c>
      <c r="G1666" s="1" t="s">
        <v>3619</v>
      </c>
      <c r="H1666">
        <v>1146</v>
      </c>
      <c r="I1666" s="1">
        <v>3699</v>
      </c>
      <c r="J1666" s="1" t="s">
        <v>731</v>
      </c>
      <c r="K1666" s="1" t="s">
        <v>732</v>
      </c>
      <c r="L1666" s="1">
        <v>4.2</v>
      </c>
      <c r="M1666" s="1">
        <v>740</v>
      </c>
      <c r="P1666" t="str">
        <f t="shared" si="103"/>
        <v>69%</v>
      </c>
      <c r="Q1666" s="12">
        <f t="shared" ref="Q1666:Q1729" si="104">IF(P1666="","",IF(ISNUMBER(SEARCH("%",P1666)),P1666,P1666/I1666)*100%)</f>
        <v>0.69</v>
      </c>
      <c r="R1666" s="9">
        <f t="shared" ref="R1666:R1729" si="105">IF(P1666="","",I1666-(I1666*Q1666))</f>
        <v>1146.69</v>
      </c>
      <c r="S1666" s="9">
        <f>IF(R1666="",AVERAGEIF(Table1[Category],Table1[[#This Row],[Category]],Table2[orignal data]),Table2[[#This Row],[orignal data]])</f>
        <v>1146.69</v>
      </c>
      <c r="T1666" t="str">
        <f t="shared" ref="T1666:T1729" si="106">IF(COUNTIF($B$2:$B$5000,B1666)&gt;1,"DUPLICATE","UNIQUE")</f>
        <v>UNIQUE</v>
      </c>
      <c r="U1666" t="str">
        <f>IF(ISBLANK(Table1[[#This Row],[SizeOption]]),"NOT AVAILABLE",Table1[[#This Row],[SizeOption]])</f>
        <v>S, M, L, XL, XXL, 3XL, 4XL, 5XL</v>
      </c>
      <c r="Y1666" t="str">
        <f>IF(Table2[[#This Row],[Column1]]&gt;50%,"HIGH DISCOUNT","LOW DISCOUNT")</f>
        <v>HIGH DISCOUNT</v>
      </c>
    </row>
    <row r="1667" spans="1:25" x14ac:dyDescent="0.25">
      <c r="A1667" s="2" t="s">
        <v>3620</v>
      </c>
      <c r="B1667" s="2">
        <v>13581038</v>
      </c>
      <c r="C1667" s="2" t="s">
        <v>181</v>
      </c>
      <c r="D1667" s="2" t="s">
        <v>41</v>
      </c>
      <c r="E1667" s="2" t="s">
        <v>148</v>
      </c>
      <c r="F1667" s="2" t="s">
        <v>36</v>
      </c>
      <c r="G1667" s="2" t="s">
        <v>3621</v>
      </c>
      <c r="I1667" s="2">
        <v>1899</v>
      </c>
      <c r="J1667" s="2" t="s">
        <v>19</v>
      </c>
      <c r="K1667" s="2" t="s">
        <v>115</v>
      </c>
      <c r="L1667" s="2">
        <v>4.3</v>
      </c>
      <c r="M1667" s="2">
        <v>740</v>
      </c>
      <c r="P1667" t="str">
        <f t="shared" ref="P1667:P1730" si="107">TRIM(SUBSTITUTE(SUBSTITUTE(SUBSTITUTE(SUBSTITUTE(J1667,"OFF",""),"Rs.",""),"Hurry*",""),",",""))</f>
        <v>45%</v>
      </c>
      <c r="Q1667" s="12">
        <f t="shared" si="104"/>
        <v>0.45</v>
      </c>
      <c r="R1667" s="9">
        <f t="shared" si="105"/>
        <v>1044.4499999999998</v>
      </c>
      <c r="S1667" s="9">
        <f>IF(R1667="",AVERAGEIF(Table1[Category],Table1[[#This Row],[Category]],Table2[orignal data]),Table2[[#This Row],[orignal data]])</f>
        <v>1044.4499999999998</v>
      </c>
      <c r="T1667" t="str">
        <f t="shared" si="106"/>
        <v>UNIQUE</v>
      </c>
      <c r="U1667" t="str">
        <f>IF(ISBLANK(Table1[[#This Row],[SizeOption]]),"NOT AVAILABLE",Table1[[#This Row],[SizeOption]])</f>
        <v>XS, S, M, L, XL, XXL</v>
      </c>
      <c r="Y1667" t="str">
        <f>IF(Table2[[#This Row],[Column1]]&gt;50%,"HIGH DISCOUNT","LOW DISCOUNT")</f>
        <v>LOW DISCOUNT</v>
      </c>
    </row>
    <row r="1668" spans="1:25" x14ac:dyDescent="0.25">
      <c r="A1668" s="1" t="s">
        <v>3622</v>
      </c>
      <c r="B1668" s="1">
        <v>2354862</v>
      </c>
      <c r="C1668" s="1" t="s">
        <v>107</v>
      </c>
      <c r="D1668" s="1" t="s">
        <v>41</v>
      </c>
      <c r="E1668" s="1" t="s">
        <v>148</v>
      </c>
      <c r="F1668" s="1" t="s">
        <v>36</v>
      </c>
      <c r="G1668" s="1" t="s">
        <v>2623</v>
      </c>
      <c r="I1668" s="1">
        <v>2199</v>
      </c>
      <c r="J1668" s="1" t="s">
        <v>55</v>
      </c>
      <c r="K1668" s="1" t="s">
        <v>45</v>
      </c>
      <c r="L1668" s="1">
        <v>4.3</v>
      </c>
      <c r="M1668" s="1">
        <v>740</v>
      </c>
      <c r="P1668" t="str">
        <f t="shared" si="107"/>
        <v>60%</v>
      </c>
      <c r="Q1668" s="12">
        <f t="shared" si="104"/>
        <v>0.6</v>
      </c>
      <c r="R1668" s="9">
        <f t="shared" si="105"/>
        <v>879.60000000000014</v>
      </c>
      <c r="S1668" s="9">
        <f>IF(R1668="",AVERAGEIF(Table1[Category],Table1[[#This Row],[Category]],Table2[orignal data]),Table2[[#This Row],[orignal data]])</f>
        <v>879.60000000000014</v>
      </c>
      <c r="T1668" t="str">
        <f t="shared" si="106"/>
        <v>UNIQUE</v>
      </c>
      <c r="U1668" t="str">
        <f>IF(ISBLANK(Table1[[#This Row],[SizeOption]]),"NOT AVAILABLE",Table1[[#This Row],[SizeOption]])</f>
        <v>XS, S, M, L, XL</v>
      </c>
      <c r="Y1668" t="str">
        <f>IF(Table2[[#This Row],[Column1]]&gt;50%,"HIGH DISCOUNT","LOW DISCOUNT")</f>
        <v>HIGH DISCOUNT</v>
      </c>
    </row>
    <row r="1669" spans="1:25" x14ac:dyDescent="0.25">
      <c r="A1669" s="2" t="s">
        <v>3623</v>
      </c>
      <c r="B1669" s="2">
        <v>12989794</v>
      </c>
      <c r="C1669" s="2" t="s">
        <v>541</v>
      </c>
      <c r="D1669" s="2" t="s">
        <v>76</v>
      </c>
      <c r="E1669" s="2" t="s">
        <v>77</v>
      </c>
      <c r="F1669" s="2" t="s">
        <v>36</v>
      </c>
      <c r="G1669" s="2" t="s">
        <v>3624</v>
      </c>
      <c r="H1669">
        <v>1049</v>
      </c>
      <c r="I1669" s="2">
        <v>2999</v>
      </c>
      <c r="J1669" s="2" t="s">
        <v>150</v>
      </c>
      <c r="K1669" s="2" t="s">
        <v>39</v>
      </c>
      <c r="L1669" s="2">
        <v>4.3</v>
      </c>
      <c r="M1669" s="2">
        <v>739</v>
      </c>
      <c r="P1669" t="str">
        <f t="shared" si="107"/>
        <v>65%</v>
      </c>
      <c r="Q1669" s="12">
        <f t="shared" si="104"/>
        <v>0.65</v>
      </c>
      <c r="R1669" s="9">
        <f t="shared" si="105"/>
        <v>1049.6499999999999</v>
      </c>
      <c r="S1669" s="9">
        <f>IF(R1669="",AVERAGEIF(Table1[Category],Table1[[#This Row],[Category]],Table2[orignal data]),Table2[[#This Row],[orignal data]])</f>
        <v>1049.6499999999999</v>
      </c>
      <c r="T1669" t="str">
        <f t="shared" si="106"/>
        <v>UNIQUE</v>
      </c>
      <c r="U1669" t="str">
        <f>IF(ISBLANK(Table1[[#This Row],[SizeOption]]),"NOT AVAILABLE",Table1[[#This Row],[SizeOption]])</f>
        <v>S, M, L, XL, XXL</v>
      </c>
      <c r="Y1669" t="str">
        <f>IF(Table2[[#This Row],[Column1]]&gt;50%,"HIGH DISCOUNT","LOW DISCOUNT")</f>
        <v>HIGH DISCOUNT</v>
      </c>
    </row>
    <row r="1670" spans="1:25" x14ac:dyDescent="0.25">
      <c r="A1670" s="1" t="s">
        <v>3625</v>
      </c>
      <c r="B1670" s="1">
        <v>6011985</v>
      </c>
      <c r="C1670" s="1" t="s">
        <v>14</v>
      </c>
      <c r="D1670" s="1" t="s">
        <v>41</v>
      </c>
      <c r="E1670" s="1" t="s">
        <v>306</v>
      </c>
      <c r="F1670" s="1" t="s">
        <v>36</v>
      </c>
      <c r="G1670" s="1" t="s">
        <v>3626</v>
      </c>
      <c r="I1670" s="1">
        <v>1199</v>
      </c>
      <c r="J1670" s="1" t="s">
        <v>79</v>
      </c>
      <c r="K1670" s="1" t="s">
        <v>115</v>
      </c>
      <c r="L1670" s="1">
        <v>3.8</v>
      </c>
      <c r="M1670" s="1">
        <v>739</v>
      </c>
      <c r="P1670" t="str">
        <f t="shared" si="107"/>
        <v>70%</v>
      </c>
      <c r="Q1670" s="12">
        <f t="shared" si="104"/>
        <v>0.7</v>
      </c>
      <c r="R1670" s="9">
        <f t="shared" si="105"/>
        <v>359.70000000000005</v>
      </c>
      <c r="S1670" s="9">
        <f>IF(R1670="",AVERAGEIF(Table1[Category],Table1[[#This Row],[Category]],Table2[orignal data]),Table2[[#This Row],[orignal data]])</f>
        <v>359.70000000000005</v>
      </c>
      <c r="T1670" t="str">
        <f t="shared" si="106"/>
        <v>UNIQUE</v>
      </c>
      <c r="U1670" t="str">
        <f>IF(ISBLANK(Table1[[#This Row],[SizeOption]]),"NOT AVAILABLE",Table1[[#This Row],[SizeOption]])</f>
        <v>XS, S, M, L, XL, XXL</v>
      </c>
      <c r="Y1670" t="str">
        <f>IF(Table2[[#This Row],[Column1]]&gt;50%,"HIGH DISCOUNT","LOW DISCOUNT")</f>
        <v>HIGH DISCOUNT</v>
      </c>
    </row>
    <row r="1671" spans="1:25" x14ac:dyDescent="0.25">
      <c r="A1671" s="2" t="s">
        <v>3627</v>
      </c>
      <c r="B1671" s="2">
        <v>8883945</v>
      </c>
      <c r="C1671" s="2" t="s">
        <v>107</v>
      </c>
      <c r="D1671" s="2" t="s">
        <v>41</v>
      </c>
      <c r="E1671" s="2" t="s">
        <v>29</v>
      </c>
      <c r="F1671" s="2" t="s">
        <v>36</v>
      </c>
      <c r="G1671" s="2" t="s">
        <v>3628</v>
      </c>
      <c r="I1671" s="2">
        <v>1399</v>
      </c>
      <c r="J1671" s="2" t="s">
        <v>25</v>
      </c>
      <c r="K1671" s="2" t="s">
        <v>26</v>
      </c>
      <c r="L1671" s="2">
        <v>4.3</v>
      </c>
      <c r="M1671" s="2">
        <v>739</v>
      </c>
      <c r="P1671" t="str">
        <f t="shared" si="107"/>
        <v>55%</v>
      </c>
      <c r="Q1671" s="12">
        <f t="shared" si="104"/>
        <v>0.55000000000000004</v>
      </c>
      <c r="R1671" s="9">
        <f t="shared" si="105"/>
        <v>629.54999999999995</v>
      </c>
      <c r="S1671" s="9">
        <f>IF(R1671="",AVERAGEIF(Table1[Category],Table1[[#This Row],[Category]],Table2[orignal data]),Table2[[#This Row],[orignal data]])</f>
        <v>629.54999999999995</v>
      </c>
      <c r="T1671" t="str">
        <f t="shared" si="106"/>
        <v>UNIQUE</v>
      </c>
      <c r="U1671" t="str">
        <f>IF(ISBLANK(Table1[[#This Row],[SizeOption]]),"NOT AVAILABLE",Table1[[#This Row],[SizeOption]])</f>
        <v>S, M, L, XL</v>
      </c>
      <c r="Y1671" t="str">
        <f>IF(Table2[[#This Row],[Column1]]&gt;50%,"HIGH DISCOUNT","LOW DISCOUNT")</f>
        <v>HIGH DISCOUNT</v>
      </c>
    </row>
    <row r="1672" spans="1:25" x14ac:dyDescent="0.25">
      <c r="A1672" s="1" t="s">
        <v>3629</v>
      </c>
      <c r="B1672" s="1">
        <v>11711804</v>
      </c>
      <c r="C1672" s="1" t="s">
        <v>47</v>
      </c>
      <c r="D1672" s="1" t="s">
        <v>41</v>
      </c>
      <c r="E1672" s="1" t="s">
        <v>29</v>
      </c>
      <c r="F1672" s="1" t="s">
        <v>36</v>
      </c>
      <c r="G1672" s="1" t="s">
        <v>3630</v>
      </c>
      <c r="I1672" s="1">
        <v>1699</v>
      </c>
      <c r="J1672" s="1" t="s">
        <v>50</v>
      </c>
      <c r="K1672" s="1" t="s">
        <v>45</v>
      </c>
      <c r="L1672" s="1">
        <v>4.2</v>
      </c>
      <c r="M1672" s="1">
        <v>739</v>
      </c>
      <c r="P1672" t="str">
        <f t="shared" si="107"/>
        <v>40%</v>
      </c>
      <c r="Q1672" s="12">
        <f t="shared" si="104"/>
        <v>0.4</v>
      </c>
      <c r="R1672" s="9">
        <f t="shared" si="105"/>
        <v>1019.4</v>
      </c>
      <c r="S1672" s="9">
        <f>IF(R1672="",AVERAGEIF(Table1[Category],Table1[[#This Row],[Category]],Table2[orignal data]),Table2[[#This Row],[orignal data]])</f>
        <v>1019.4</v>
      </c>
      <c r="T1672" t="str">
        <f t="shared" si="106"/>
        <v>UNIQUE</v>
      </c>
      <c r="U1672" t="str">
        <f>IF(ISBLANK(Table1[[#This Row],[SizeOption]]),"NOT AVAILABLE",Table1[[#This Row],[SizeOption]])</f>
        <v>XS, S, M, L, XL</v>
      </c>
      <c r="Y1672" t="str">
        <f>IF(Table2[[#This Row],[Column1]]&gt;50%,"HIGH DISCOUNT","LOW DISCOUNT")</f>
        <v>LOW DISCOUNT</v>
      </c>
    </row>
    <row r="1673" spans="1:25" x14ac:dyDescent="0.25">
      <c r="A1673" s="2" t="s">
        <v>3631</v>
      </c>
      <c r="B1673" s="2">
        <v>17381782</v>
      </c>
      <c r="C1673" s="2" t="s">
        <v>14</v>
      </c>
      <c r="D1673" s="2" t="s">
        <v>41</v>
      </c>
      <c r="E1673" s="2" t="s">
        <v>42</v>
      </c>
      <c r="F1673" s="2" t="s">
        <v>36</v>
      </c>
      <c r="G1673" s="2" t="s">
        <v>3632</v>
      </c>
      <c r="I1673" s="2">
        <v>1998</v>
      </c>
      <c r="J1673" s="2" t="s">
        <v>84</v>
      </c>
      <c r="K1673" s="2" t="s">
        <v>45</v>
      </c>
      <c r="L1673" s="2">
        <v>4.2</v>
      </c>
      <c r="M1673" s="2">
        <v>739</v>
      </c>
      <c r="P1673" t="str">
        <f t="shared" si="107"/>
        <v>50%</v>
      </c>
      <c r="Q1673" s="12">
        <f t="shared" si="104"/>
        <v>0.5</v>
      </c>
      <c r="R1673" s="9">
        <f t="shared" si="105"/>
        <v>999</v>
      </c>
      <c r="S1673" s="9">
        <f>IF(R1673="",AVERAGEIF(Table1[Category],Table1[[#This Row],[Category]],Table2[orignal data]),Table2[[#This Row],[orignal data]])</f>
        <v>999</v>
      </c>
      <c r="T1673" t="str">
        <f t="shared" si="106"/>
        <v>UNIQUE</v>
      </c>
      <c r="U1673" t="str">
        <f>IF(ISBLANK(Table1[[#This Row],[SizeOption]]),"NOT AVAILABLE",Table1[[#This Row],[SizeOption]])</f>
        <v>XS, S, M, L, XL</v>
      </c>
      <c r="Y1673" t="str">
        <f>IF(Table2[[#This Row],[Column1]]&gt;50%,"HIGH DISCOUNT","LOW DISCOUNT")</f>
        <v>LOW DISCOUNT</v>
      </c>
    </row>
    <row r="1674" spans="1:25" x14ac:dyDescent="0.25">
      <c r="A1674" s="1" t="s">
        <v>3633</v>
      </c>
      <c r="B1674" s="1">
        <v>11530308</v>
      </c>
      <c r="C1674" s="1" t="s">
        <v>14</v>
      </c>
      <c r="D1674" s="1" t="s">
        <v>41</v>
      </c>
      <c r="E1674" s="1" t="s">
        <v>16</v>
      </c>
      <c r="F1674" s="1" t="s">
        <v>36</v>
      </c>
      <c r="G1674" s="1" t="s">
        <v>269</v>
      </c>
      <c r="I1674" s="1">
        <v>2399</v>
      </c>
      <c r="J1674" s="1" t="s">
        <v>55</v>
      </c>
      <c r="K1674" s="1" t="s">
        <v>134</v>
      </c>
      <c r="L1674" s="1">
        <v>3.9</v>
      </c>
      <c r="M1674" s="1">
        <v>739</v>
      </c>
      <c r="P1674" t="str">
        <f t="shared" si="107"/>
        <v>60%</v>
      </c>
      <c r="Q1674" s="12">
        <f t="shared" si="104"/>
        <v>0.6</v>
      </c>
      <c r="R1674" s="9">
        <f t="shared" si="105"/>
        <v>959.60000000000014</v>
      </c>
      <c r="S1674" s="9">
        <f>IF(R1674="",AVERAGEIF(Table1[Category],Table1[[#This Row],[Category]],Table2[orignal data]),Table2[[#This Row],[orignal data]])</f>
        <v>959.60000000000014</v>
      </c>
      <c r="T1674" t="str">
        <f t="shared" si="106"/>
        <v>UNIQUE</v>
      </c>
      <c r="U1674" t="str">
        <f>IF(ISBLANK(Table1[[#This Row],[SizeOption]]),"NOT AVAILABLE",Table1[[#This Row],[SizeOption]])</f>
        <v>26, 28, 30, 32, 34, 36</v>
      </c>
      <c r="Y1674" t="str">
        <f>IF(Table2[[#This Row],[Column1]]&gt;50%,"HIGH DISCOUNT","LOW DISCOUNT")</f>
        <v>HIGH DISCOUNT</v>
      </c>
    </row>
    <row r="1675" spans="1:25" x14ac:dyDescent="0.25">
      <c r="A1675" s="2" t="s">
        <v>3634</v>
      </c>
      <c r="B1675" s="2">
        <v>2471562</v>
      </c>
      <c r="C1675" s="2" t="s">
        <v>14</v>
      </c>
      <c r="D1675" s="2" t="s">
        <v>41</v>
      </c>
      <c r="E1675" s="2" t="s">
        <v>3635</v>
      </c>
      <c r="F1675" s="2" t="s">
        <v>36</v>
      </c>
      <c r="G1675" s="2" t="s">
        <v>3636</v>
      </c>
      <c r="I1675" s="2">
        <v>3599</v>
      </c>
      <c r="J1675" s="2" t="s">
        <v>150</v>
      </c>
      <c r="K1675" s="2" t="s">
        <v>134</v>
      </c>
      <c r="L1675" s="2">
        <v>4.2</v>
      </c>
      <c r="M1675" s="2">
        <v>739</v>
      </c>
      <c r="P1675" t="str">
        <f t="shared" si="107"/>
        <v>65%</v>
      </c>
      <c r="Q1675" s="12">
        <f t="shared" si="104"/>
        <v>0.65</v>
      </c>
      <c r="R1675" s="9">
        <f t="shared" si="105"/>
        <v>1259.6500000000001</v>
      </c>
      <c r="S1675" s="9">
        <f>IF(R1675="",AVERAGEIF(Table1[Category],Table1[[#This Row],[Category]],Table2[orignal data]),Table2[[#This Row],[orignal data]])</f>
        <v>1259.6500000000001</v>
      </c>
      <c r="T1675" t="str">
        <f t="shared" si="106"/>
        <v>UNIQUE</v>
      </c>
      <c r="U1675" t="str">
        <f>IF(ISBLANK(Table1[[#This Row],[SizeOption]]),"NOT AVAILABLE",Table1[[#This Row],[SizeOption]])</f>
        <v>26, 28, 30, 32, 34, 36</v>
      </c>
      <c r="Y1675" t="str">
        <f>IF(Table2[[#This Row],[Column1]]&gt;50%,"HIGH DISCOUNT","LOW DISCOUNT")</f>
        <v>HIGH DISCOUNT</v>
      </c>
    </row>
    <row r="1676" spans="1:25" x14ac:dyDescent="0.25">
      <c r="A1676" s="1" t="s">
        <v>3637</v>
      </c>
      <c r="B1676" s="1">
        <v>7271326</v>
      </c>
      <c r="C1676" s="1" t="s">
        <v>935</v>
      </c>
      <c r="D1676" s="1" t="s">
        <v>15</v>
      </c>
      <c r="E1676" s="1" t="s">
        <v>53</v>
      </c>
      <c r="F1676" s="1" t="s">
        <v>17</v>
      </c>
      <c r="G1676" s="1" t="s">
        <v>3638</v>
      </c>
      <c r="H1676">
        <v>783</v>
      </c>
      <c r="I1676" s="1">
        <v>1599</v>
      </c>
      <c r="J1676" s="1" t="s">
        <v>163</v>
      </c>
      <c r="K1676" s="1" t="s">
        <v>3639</v>
      </c>
      <c r="L1676" s="1">
        <v>3.7</v>
      </c>
      <c r="M1676" s="1">
        <v>738</v>
      </c>
      <c r="P1676" t="str">
        <f t="shared" si="107"/>
        <v>51%</v>
      </c>
      <c r="Q1676" s="12">
        <f t="shared" si="104"/>
        <v>0.51</v>
      </c>
      <c r="R1676" s="9">
        <f t="shared" si="105"/>
        <v>783.51</v>
      </c>
      <c r="S1676" s="9">
        <f>IF(R1676="",AVERAGEIF(Table1[Category],Table1[[#This Row],[Category]],Table2[orignal data]),Table2[[#This Row],[orignal data]])</f>
        <v>783.51</v>
      </c>
      <c r="T1676" t="str">
        <f t="shared" si="106"/>
        <v>UNIQUE</v>
      </c>
      <c r="U1676" t="str">
        <f>IF(ISBLANK(Table1[[#This Row],[SizeOption]]),"NOT AVAILABLE",Table1[[#This Row],[SizeOption]])</f>
        <v>28, 30, 32, 34, 36, 38, 40, 42, 44, 46, 48, 50, 52</v>
      </c>
      <c r="Y1676" t="str">
        <f>IF(Table2[[#This Row],[Column1]]&gt;50%,"HIGH DISCOUNT","LOW DISCOUNT")</f>
        <v>HIGH DISCOUNT</v>
      </c>
    </row>
    <row r="1677" spans="1:25" x14ac:dyDescent="0.25">
      <c r="A1677" s="2" t="s">
        <v>3640</v>
      </c>
      <c r="B1677" s="2">
        <v>6687387</v>
      </c>
      <c r="C1677" s="2" t="s">
        <v>14</v>
      </c>
      <c r="D1677" s="2" t="s">
        <v>28</v>
      </c>
      <c r="E1677" s="2" t="s">
        <v>29</v>
      </c>
      <c r="F1677" s="2" t="s">
        <v>17</v>
      </c>
      <c r="G1677" s="2" t="s">
        <v>3641</v>
      </c>
      <c r="H1677">
        <v>1099</v>
      </c>
      <c r="I1677" s="2">
        <v>1999</v>
      </c>
      <c r="J1677" s="2" t="s">
        <v>19</v>
      </c>
      <c r="K1677" s="2" t="s">
        <v>253</v>
      </c>
      <c r="L1677" s="2">
        <v>4.2</v>
      </c>
      <c r="M1677" s="2">
        <v>738</v>
      </c>
      <c r="P1677" t="str">
        <f t="shared" si="107"/>
        <v>45%</v>
      </c>
      <c r="Q1677" s="12">
        <f t="shared" si="104"/>
        <v>0.45</v>
      </c>
      <c r="R1677" s="9">
        <f t="shared" si="105"/>
        <v>1099.4499999999998</v>
      </c>
      <c r="S1677" s="9">
        <f>IF(R1677="",AVERAGEIF(Table1[Category],Table1[[#This Row],[Category]],Table2[orignal data]),Table2[[#This Row],[orignal data]])</f>
        <v>1099.4499999999998</v>
      </c>
      <c r="T1677" t="str">
        <f t="shared" si="106"/>
        <v>UNIQUE</v>
      </c>
      <c r="U1677" t="str">
        <f>IF(ISBLANK(Table1[[#This Row],[SizeOption]]),"NOT AVAILABLE",Table1[[#This Row],[SizeOption]])</f>
        <v>38, 40, 42, 44</v>
      </c>
      <c r="Y1677" t="str">
        <f>IF(Table2[[#This Row],[Column1]]&gt;50%,"HIGH DISCOUNT","LOW DISCOUNT")</f>
        <v>LOW DISCOUNT</v>
      </c>
    </row>
    <row r="1678" spans="1:25" x14ac:dyDescent="0.25">
      <c r="A1678" s="1" t="s">
        <v>3642</v>
      </c>
      <c r="B1678" s="1">
        <v>11132180</v>
      </c>
      <c r="C1678" s="1" t="s">
        <v>3643</v>
      </c>
      <c r="D1678" s="1" t="s">
        <v>28</v>
      </c>
      <c r="E1678" s="1" t="s">
        <v>29</v>
      </c>
      <c r="F1678" s="1" t="s">
        <v>17</v>
      </c>
      <c r="G1678" s="1" t="s">
        <v>3644</v>
      </c>
      <c r="H1678">
        <v>608</v>
      </c>
      <c r="I1678" s="1">
        <v>2099</v>
      </c>
      <c r="J1678" s="1" t="s">
        <v>279</v>
      </c>
      <c r="K1678" s="1" t="s">
        <v>361</v>
      </c>
      <c r="L1678" s="1">
        <v>4.2</v>
      </c>
      <c r="M1678" s="1">
        <v>738</v>
      </c>
      <c r="P1678" t="str">
        <f t="shared" si="107"/>
        <v>71%</v>
      </c>
      <c r="Q1678" s="12">
        <f t="shared" si="104"/>
        <v>0.71</v>
      </c>
      <c r="R1678" s="9">
        <f t="shared" si="105"/>
        <v>608.71</v>
      </c>
      <c r="S1678" s="9">
        <f>IF(R1678="",AVERAGEIF(Table1[Category],Table1[[#This Row],[Category]],Table2[orignal data]),Table2[[#This Row],[orignal data]])</f>
        <v>608.71</v>
      </c>
      <c r="T1678" t="str">
        <f t="shared" si="106"/>
        <v>UNIQUE</v>
      </c>
      <c r="U1678" t="str">
        <f>IF(ISBLANK(Table1[[#This Row],[SizeOption]]),"NOT AVAILABLE",Table1[[#This Row],[SizeOption]])</f>
        <v>38, 40, 42, 44, 46</v>
      </c>
      <c r="Y1678" t="str">
        <f>IF(Table2[[#This Row],[Column1]]&gt;50%,"HIGH DISCOUNT","LOW DISCOUNT")</f>
        <v>HIGH DISCOUNT</v>
      </c>
    </row>
    <row r="1679" spans="1:25" x14ac:dyDescent="0.25">
      <c r="A1679" s="2" t="s">
        <v>3645</v>
      </c>
      <c r="B1679" s="2">
        <v>8566957</v>
      </c>
      <c r="C1679" s="2" t="s">
        <v>2408</v>
      </c>
      <c r="D1679" s="2" t="s">
        <v>76</v>
      </c>
      <c r="E1679" s="2" t="s">
        <v>77</v>
      </c>
      <c r="F1679" s="2" t="s">
        <v>36</v>
      </c>
      <c r="G1679" s="2" t="s">
        <v>3646</v>
      </c>
      <c r="H1679">
        <v>1249</v>
      </c>
      <c r="I1679" s="2">
        <v>2499</v>
      </c>
      <c r="J1679" s="2" t="s">
        <v>84</v>
      </c>
      <c r="K1679" s="2" t="s">
        <v>39</v>
      </c>
      <c r="L1679" s="2">
        <v>4.2</v>
      </c>
      <c r="M1679" s="2">
        <v>738</v>
      </c>
      <c r="P1679" t="str">
        <f t="shared" si="107"/>
        <v>50%</v>
      </c>
      <c r="Q1679" s="12">
        <f t="shared" si="104"/>
        <v>0.5</v>
      </c>
      <c r="R1679" s="9">
        <f t="shared" si="105"/>
        <v>1249.5</v>
      </c>
      <c r="S1679" s="9">
        <f>IF(R1679="",AVERAGEIF(Table1[Category],Table1[[#This Row],[Category]],Table2[orignal data]),Table2[[#This Row],[orignal data]])</f>
        <v>1249.5</v>
      </c>
      <c r="T1679" t="str">
        <f t="shared" si="106"/>
        <v>UNIQUE</v>
      </c>
      <c r="U1679" t="str">
        <f>IF(ISBLANK(Table1[[#This Row],[SizeOption]]),"NOT AVAILABLE",Table1[[#This Row],[SizeOption]])</f>
        <v>S, M, L, XL, XXL</v>
      </c>
      <c r="Y1679" t="str">
        <f>IF(Table2[[#This Row],[Column1]]&gt;50%,"HIGH DISCOUNT","LOW DISCOUNT")</f>
        <v>LOW DISCOUNT</v>
      </c>
    </row>
    <row r="1680" spans="1:25" x14ac:dyDescent="0.25">
      <c r="A1680" s="1" t="s">
        <v>3647</v>
      </c>
      <c r="B1680" s="1">
        <v>762420</v>
      </c>
      <c r="C1680" s="1" t="s">
        <v>762</v>
      </c>
      <c r="D1680" s="1" t="s">
        <v>34</v>
      </c>
      <c r="E1680" s="1" t="s">
        <v>118</v>
      </c>
      <c r="F1680" s="1" t="s">
        <v>36</v>
      </c>
      <c r="G1680" s="1" t="s">
        <v>2226</v>
      </c>
      <c r="H1680">
        <v>844</v>
      </c>
      <c r="I1680" s="1">
        <v>938</v>
      </c>
      <c r="J1680" s="1" t="s">
        <v>1005</v>
      </c>
      <c r="K1680" s="1" t="s">
        <v>2227</v>
      </c>
      <c r="L1680" s="1">
        <v>4.0999999999999996</v>
      </c>
      <c r="M1680" s="1">
        <v>738</v>
      </c>
      <c r="P1680" t="str">
        <f t="shared" si="107"/>
        <v>10%</v>
      </c>
      <c r="Q1680" s="12">
        <f t="shared" si="104"/>
        <v>0.1</v>
      </c>
      <c r="R1680" s="9">
        <f t="shared" si="105"/>
        <v>844.2</v>
      </c>
      <c r="S1680" s="9">
        <f>IF(R1680="",AVERAGEIF(Table1[Category],Table1[[#This Row],[Category]],Table2[orignal data]),Table2[[#This Row],[orignal data]])</f>
        <v>844.2</v>
      </c>
      <c r="T1680" t="str">
        <f t="shared" si="106"/>
        <v>UNIQUE</v>
      </c>
      <c r="U1680" t="str">
        <f>IF(ISBLANK(Table1[[#This Row],[SizeOption]]),"NOT AVAILABLE",Table1[[#This Row],[SizeOption]])</f>
        <v>32B, 34B, 36B, 38B, 40B</v>
      </c>
      <c r="Y1680" t="str">
        <f>IF(Table2[[#This Row],[Column1]]&gt;50%,"HIGH DISCOUNT","LOW DISCOUNT")</f>
        <v>LOW DISCOUNT</v>
      </c>
    </row>
    <row r="1681" spans="1:25" x14ac:dyDescent="0.25">
      <c r="A1681" s="2" t="s">
        <v>3648</v>
      </c>
      <c r="B1681" s="2">
        <v>8328167</v>
      </c>
      <c r="C1681" s="2" t="s">
        <v>67</v>
      </c>
      <c r="D1681" s="2" t="s">
        <v>68</v>
      </c>
      <c r="E1681" s="2" t="s">
        <v>137</v>
      </c>
      <c r="F1681" s="2" t="s">
        <v>36</v>
      </c>
      <c r="G1681" s="2" t="s">
        <v>3649</v>
      </c>
      <c r="I1681" s="2">
        <v>1099</v>
      </c>
      <c r="J1681" s="2"/>
      <c r="K1681" s="2" t="s">
        <v>134</v>
      </c>
      <c r="L1681" s="2">
        <v>4.3</v>
      </c>
      <c r="M1681" s="2">
        <v>738</v>
      </c>
      <c r="P1681" t="str">
        <f t="shared" si="107"/>
        <v/>
      </c>
      <c r="Q1681" s="12" t="str">
        <f t="shared" si="104"/>
        <v/>
      </c>
      <c r="R1681" s="9" t="str">
        <f t="shared" si="105"/>
        <v/>
      </c>
      <c r="S1681" s="9">
        <f>IF(R1681="",AVERAGEIF(Table1[Category],Table1[[#This Row],[Category]],Table2[orignal data]),Table2[[#This Row],[orignal data]])</f>
        <v>734.32085365853686</v>
      </c>
      <c r="T1681" t="str">
        <f t="shared" si="106"/>
        <v>UNIQUE</v>
      </c>
      <c r="U1681" t="str">
        <f>IF(ISBLANK(Table1[[#This Row],[SizeOption]]),"NOT AVAILABLE",Table1[[#This Row],[SizeOption]])</f>
        <v>26, 28, 30, 32, 34, 36</v>
      </c>
      <c r="Y1681" t="str">
        <f>IF(Table2[[#This Row],[Column1]]&gt;50%,"HIGH DISCOUNT","LOW DISCOUNT")</f>
        <v>HIGH DISCOUNT</v>
      </c>
    </row>
    <row r="1682" spans="1:25" x14ac:dyDescent="0.25">
      <c r="A1682" s="1" t="s">
        <v>3650</v>
      </c>
      <c r="B1682" s="1">
        <v>10968552</v>
      </c>
      <c r="C1682" s="1" t="s">
        <v>14</v>
      </c>
      <c r="D1682" s="1" t="s">
        <v>41</v>
      </c>
      <c r="E1682" s="1" t="s">
        <v>42</v>
      </c>
      <c r="F1682" s="1" t="s">
        <v>36</v>
      </c>
      <c r="G1682" s="1" t="s">
        <v>3651</v>
      </c>
      <c r="I1682" s="1">
        <v>799</v>
      </c>
      <c r="J1682" s="1" t="s">
        <v>25</v>
      </c>
      <c r="K1682" s="1" t="s">
        <v>45</v>
      </c>
      <c r="L1682" s="1">
        <v>4.2</v>
      </c>
      <c r="M1682" s="1">
        <v>738</v>
      </c>
      <c r="P1682" t="str">
        <f t="shared" si="107"/>
        <v>55%</v>
      </c>
      <c r="Q1682" s="12">
        <f t="shared" si="104"/>
        <v>0.55000000000000004</v>
      </c>
      <c r="R1682" s="9">
        <f t="shared" si="105"/>
        <v>359.54999999999995</v>
      </c>
      <c r="S1682" s="9">
        <f>IF(R1682="",AVERAGEIF(Table1[Category],Table1[[#This Row],[Category]],Table2[orignal data]),Table2[[#This Row],[orignal data]])</f>
        <v>359.54999999999995</v>
      </c>
      <c r="T1682" t="str">
        <f t="shared" si="106"/>
        <v>UNIQUE</v>
      </c>
      <c r="U1682" t="str">
        <f>IF(ISBLANK(Table1[[#This Row],[SizeOption]]),"NOT AVAILABLE",Table1[[#This Row],[SizeOption]])</f>
        <v>XS, S, M, L, XL</v>
      </c>
      <c r="Y1682" t="str">
        <f>IF(Table2[[#This Row],[Column1]]&gt;50%,"HIGH DISCOUNT","LOW DISCOUNT")</f>
        <v>HIGH DISCOUNT</v>
      </c>
    </row>
    <row r="1683" spans="1:25" x14ac:dyDescent="0.25">
      <c r="A1683" s="2" t="s">
        <v>3652</v>
      </c>
      <c r="B1683" s="2">
        <v>14852062</v>
      </c>
      <c r="C1683" s="2" t="s">
        <v>295</v>
      </c>
      <c r="D1683" s="2" t="s">
        <v>15</v>
      </c>
      <c r="E1683" s="2" t="s">
        <v>16</v>
      </c>
      <c r="F1683" s="2" t="s">
        <v>17</v>
      </c>
      <c r="G1683" s="2" t="s">
        <v>3653</v>
      </c>
      <c r="H1683">
        <v>1949</v>
      </c>
      <c r="I1683" s="2">
        <v>2999</v>
      </c>
      <c r="J1683" s="2" t="s">
        <v>44</v>
      </c>
      <c r="K1683" s="2" t="s">
        <v>195</v>
      </c>
      <c r="L1683" s="2">
        <v>4.4000000000000004</v>
      </c>
      <c r="M1683" s="2">
        <v>737</v>
      </c>
      <c r="P1683" t="str">
        <f t="shared" si="107"/>
        <v>35%</v>
      </c>
      <c r="Q1683" s="12">
        <f t="shared" si="104"/>
        <v>0.35</v>
      </c>
      <c r="R1683" s="9">
        <f t="shared" si="105"/>
        <v>1949.3500000000001</v>
      </c>
      <c r="S1683" s="9">
        <f>IF(R1683="",AVERAGEIF(Table1[Category],Table1[[#This Row],[Category]],Table2[orignal data]),Table2[[#This Row],[orignal data]])</f>
        <v>1949.3500000000001</v>
      </c>
      <c r="T1683" t="str">
        <f t="shared" si="106"/>
        <v>UNIQUE</v>
      </c>
      <c r="U1683" t="str">
        <f>IF(ISBLANK(Table1[[#This Row],[SizeOption]]),"NOT AVAILABLE",Table1[[#This Row],[SizeOption]])</f>
        <v>28, 30, 32, 34, 36, 38, 40</v>
      </c>
      <c r="Y1683" t="str">
        <f>IF(Table2[[#This Row],[Column1]]&gt;50%,"HIGH DISCOUNT","LOW DISCOUNT")</f>
        <v>LOW DISCOUNT</v>
      </c>
    </row>
    <row r="1684" spans="1:25" x14ac:dyDescent="0.25">
      <c r="A1684" s="1" t="s">
        <v>3654</v>
      </c>
      <c r="B1684" s="1">
        <v>9445791</v>
      </c>
      <c r="C1684" s="1" t="s">
        <v>67</v>
      </c>
      <c r="D1684" s="1" t="s">
        <v>68</v>
      </c>
      <c r="E1684" s="1" t="s">
        <v>189</v>
      </c>
      <c r="F1684" s="1" t="s">
        <v>17</v>
      </c>
      <c r="G1684" s="1" t="s">
        <v>3655</v>
      </c>
      <c r="H1684">
        <v>1259</v>
      </c>
      <c r="I1684" s="1">
        <v>2799</v>
      </c>
      <c r="J1684" s="1" t="s">
        <v>25</v>
      </c>
      <c r="K1684" s="1" t="s">
        <v>39</v>
      </c>
      <c r="L1684" s="1">
        <v>4.2</v>
      </c>
      <c r="M1684" s="1">
        <v>737</v>
      </c>
      <c r="P1684" t="str">
        <f t="shared" si="107"/>
        <v>55%</v>
      </c>
      <c r="Q1684" s="12">
        <f t="shared" si="104"/>
        <v>0.55000000000000004</v>
      </c>
      <c r="R1684" s="9">
        <f t="shared" si="105"/>
        <v>1259.55</v>
      </c>
      <c r="S1684" s="9">
        <f>IF(R1684="",AVERAGEIF(Table1[Category],Table1[[#This Row],[Category]],Table2[orignal data]),Table2[[#This Row],[orignal data]])</f>
        <v>1259.55</v>
      </c>
      <c r="T1684" t="str">
        <f t="shared" si="106"/>
        <v>UNIQUE</v>
      </c>
      <c r="U1684" t="str">
        <f>IF(ISBLANK(Table1[[#This Row],[SizeOption]]),"NOT AVAILABLE",Table1[[#This Row],[SizeOption]])</f>
        <v>S, M, L, XL, XXL</v>
      </c>
      <c r="Y1684" t="str">
        <f>IF(Table2[[#This Row],[Column1]]&gt;50%,"HIGH DISCOUNT","LOW DISCOUNT")</f>
        <v>HIGH DISCOUNT</v>
      </c>
    </row>
    <row r="1685" spans="1:25" x14ac:dyDescent="0.25">
      <c r="A1685" s="2" t="s">
        <v>3656</v>
      </c>
      <c r="B1685" s="2">
        <v>14346052</v>
      </c>
      <c r="C1685" s="2" t="s">
        <v>1465</v>
      </c>
      <c r="D1685" s="2" t="s">
        <v>76</v>
      </c>
      <c r="E1685" s="2" t="s">
        <v>93</v>
      </c>
      <c r="F1685" s="2" t="s">
        <v>36</v>
      </c>
      <c r="G1685" s="2" t="s">
        <v>3657</v>
      </c>
      <c r="H1685">
        <v>597</v>
      </c>
      <c r="I1685" s="2">
        <v>1299</v>
      </c>
      <c r="J1685" s="2" t="s">
        <v>606</v>
      </c>
      <c r="K1685" s="2" t="s">
        <v>234</v>
      </c>
      <c r="L1685" s="2">
        <v>4.0999999999999996</v>
      </c>
      <c r="M1685" s="2">
        <v>737</v>
      </c>
      <c r="P1685" t="str">
        <f t="shared" si="107"/>
        <v>54%</v>
      </c>
      <c r="Q1685" s="12">
        <f t="shared" si="104"/>
        <v>0.54</v>
      </c>
      <c r="R1685" s="9">
        <f t="shared" si="105"/>
        <v>597.54</v>
      </c>
      <c r="S1685" s="9">
        <f>IF(R1685="",AVERAGEIF(Table1[Category],Table1[[#This Row],[Category]],Table2[orignal data]),Table2[[#This Row],[orignal data]])</f>
        <v>597.54</v>
      </c>
      <c r="T1685" t="str">
        <f t="shared" si="106"/>
        <v>UNIQUE</v>
      </c>
      <c r="U1685" t="str">
        <f>IF(ISBLANK(Table1[[#This Row],[SizeOption]]),"NOT AVAILABLE",Table1[[#This Row],[SizeOption]])</f>
        <v>S, M, L, XL, XXL, 3XL</v>
      </c>
      <c r="Y1685" t="str">
        <f>IF(Table2[[#This Row],[Column1]]&gt;50%,"HIGH DISCOUNT","LOW DISCOUNT")</f>
        <v>HIGH DISCOUNT</v>
      </c>
    </row>
    <row r="1686" spans="1:25" x14ac:dyDescent="0.25">
      <c r="A1686" s="1" t="s">
        <v>3658</v>
      </c>
      <c r="B1686" s="1">
        <v>10264739</v>
      </c>
      <c r="C1686" s="1" t="s">
        <v>545</v>
      </c>
      <c r="D1686" s="1" t="s">
        <v>76</v>
      </c>
      <c r="E1686" s="1" t="s">
        <v>320</v>
      </c>
      <c r="F1686" s="1" t="s">
        <v>36</v>
      </c>
      <c r="G1686" s="1" t="s">
        <v>3659</v>
      </c>
      <c r="H1686">
        <v>959</v>
      </c>
      <c r="I1686" s="1">
        <v>3199</v>
      </c>
      <c r="J1686" s="1" t="s">
        <v>79</v>
      </c>
      <c r="K1686" s="1" t="s">
        <v>164</v>
      </c>
      <c r="L1686" s="1">
        <v>4.3</v>
      </c>
      <c r="M1686" s="1">
        <v>737</v>
      </c>
      <c r="P1686" t="str">
        <f t="shared" si="107"/>
        <v>70%</v>
      </c>
      <c r="Q1686" s="12">
        <f t="shared" si="104"/>
        <v>0.7</v>
      </c>
      <c r="R1686" s="9">
        <f t="shared" si="105"/>
        <v>959.70000000000027</v>
      </c>
      <c r="S1686" s="9">
        <f>IF(R1686="",AVERAGEIF(Table1[Category],Table1[[#This Row],[Category]],Table2[orignal data]),Table2[[#This Row],[orignal data]])</f>
        <v>959.70000000000027</v>
      </c>
      <c r="T1686" t="str">
        <f t="shared" si="106"/>
        <v>UNIQUE</v>
      </c>
      <c r="U1686" t="str">
        <f>IF(ISBLANK(Table1[[#This Row],[SizeOption]]),"NOT AVAILABLE",Table1[[#This Row],[SizeOption]])</f>
        <v>Onesize</v>
      </c>
      <c r="Y1686" t="str">
        <f>IF(Table2[[#This Row],[Column1]]&gt;50%,"HIGH DISCOUNT","LOW DISCOUNT")</f>
        <v>HIGH DISCOUNT</v>
      </c>
    </row>
    <row r="1687" spans="1:25" x14ac:dyDescent="0.25">
      <c r="A1687" s="2" t="s">
        <v>3660</v>
      </c>
      <c r="B1687" s="2">
        <v>7436261</v>
      </c>
      <c r="C1687" s="2" t="s">
        <v>551</v>
      </c>
      <c r="D1687" s="2" t="s">
        <v>34</v>
      </c>
      <c r="E1687" s="2" t="s">
        <v>118</v>
      </c>
      <c r="F1687" s="2" t="s">
        <v>36</v>
      </c>
      <c r="G1687" s="2" t="s">
        <v>3661</v>
      </c>
      <c r="H1687">
        <v>395</v>
      </c>
      <c r="I1687" s="2">
        <v>599</v>
      </c>
      <c r="J1687" s="2" t="s">
        <v>3662</v>
      </c>
      <c r="K1687" s="2" t="s">
        <v>56</v>
      </c>
      <c r="L1687" s="2">
        <v>3.6</v>
      </c>
      <c r="M1687" s="2">
        <v>737</v>
      </c>
      <c r="P1687" t="str">
        <f t="shared" si="107"/>
        <v>34%</v>
      </c>
      <c r="Q1687" s="12">
        <f t="shared" si="104"/>
        <v>0.34</v>
      </c>
      <c r="R1687" s="9">
        <f t="shared" si="105"/>
        <v>395.34</v>
      </c>
      <c r="S1687" s="9">
        <f>IF(R1687="",AVERAGEIF(Table1[Category],Table1[[#This Row],[Category]],Table2[orignal data]),Table2[[#This Row],[orignal data]])</f>
        <v>395.34</v>
      </c>
      <c r="T1687" t="str">
        <f t="shared" si="106"/>
        <v>UNIQUE</v>
      </c>
      <c r="U1687" t="str">
        <f>IF(ISBLANK(Table1[[#This Row],[SizeOption]]),"NOT AVAILABLE",Table1[[#This Row],[SizeOption]])</f>
        <v>30, 32, 34, 36</v>
      </c>
      <c r="Y1687" t="str">
        <f>IF(Table2[[#This Row],[Column1]]&gt;50%,"HIGH DISCOUNT","LOW DISCOUNT")</f>
        <v>LOW DISCOUNT</v>
      </c>
    </row>
    <row r="1688" spans="1:25" x14ac:dyDescent="0.25">
      <c r="A1688" s="1" t="s">
        <v>3663</v>
      </c>
      <c r="B1688" s="1">
        <v>13404404</v>
      </c>
      <c r="C1688" s="1" t="s">
        <v>64</v>
      </c>
      <c r="D1688" s="1" t="s">
        <v>98</v>
      </c>
      <c r="E1688" s="1" t="s">
        <v>93</v>
      </c>
      <c r="F1688" s="1" t="s">
        <v>36</v>
      </c>
      <c r="G1688" s="1" t="s">
        <v>3664</v>
      </c>
      <c r="H1688">
        <v>604</v>
      </c>
      <c r="I1688" s="1">
        <v>1099</v>
      </c>
      <c r="J1688" s="1" t="s">
        <v>19</v>
      </c>
      <c r="K1688" s="1" t="s">
        <v>100</v>
      </c>
      <c r="L1688" s="1">
        <v>3.9</v>
      </c>
      <c r="M1688" s="1">
        <v>737</v>
      </c>
      <c r="P1688" t="str">
        <f t="shared" si="107"/>
        <v>45%</v>
      </c>
      <c r="Q1688" s="12">
        <f t="shared" si="104"/>
        <v>0.45</v>
      </c>
      <c r="R1688" s="9">
        <f t="shared" si="105"/>
        <v>604.45000000000005</v>
      </c>
      <c r="S1688" s="9">
        <f>IF(R1688="",AVERAGEIF(Table1[Category],Table1[[#This Row],[Category]],Table2[orignal data]),Table2[[#This Row],[orignal data]])</f>
        <v>604.45000000000005</v>
      </c>
      <c r="T1688" t="str">
        <f t="shared" si="106"/>
        <v>UNIQUE</v>
      </c>
      <c r="U1688" t="str">
        <f>IF(ISBLANK(Table1[[#This Row],[SizeOption]]),"NOT AVAILABLE",Table1[[#This Row],[SizeOption]])</f>
        <v>XS, S, M, L, XL, XXL, 3XL</v>
      </c>
      <c r="Y1688" t="str">
        <f>IF(Table2[[#This Row],[Column1]]&gt;50%,"HIGH DISCOUNT","LOW DISCOUNT")</f>
        <v>LOW DISCOUNT</v>
      </c>
    </row>
    <row r="1689" spans="1:25" x14ac:dyDescent="0.25">
      <c r="A1689" s="2" t="s">
        <v>3665</v>
      </c>
      <c r="B1689" s="2">
        <v>7161750</v>
      </c>
      <c r="C1689" s="2" t="s">
        <v>3666</v>
      </c>
      <c r="D1689" s="2" t="s">
        <v>41</v>
      </c>
      <c r="E1689" s="2" t="s">
        <v>53</v>
      </c>
      <c r="F1689" s="2" t="s">
        <v>36</v>
      </c>
      <c r="G1689" s="2" t="s">
        <v>3667</v>
      </c>
      <c r="I1689" s="2">
        <v>1199</v>
      </c>
      <c r="J1689" s="2" t="s">
        <v>84</v>
      </c>
      <c r="K1689" s="2" t="s">
        <v>20</v>
      </c>
      <c r="L1689" s="2">
        <v>3.9</v>
      </c>
      <c r="M1689" s="2">
        <v>737</v>
      </c>
      <c r="P1689" t="str">
        <f t="shared" si="107"/>
        <v>50%</v>
      </c>
      <c r="Q1689" s="12">
        <f t="shared" si="104"/>
        <v>0.5</v>
      </c>
      <c r="R1689" s="9">
        <f t="shared" si="105"/>
        <v>599.5</v>
      </c>
      <c r="S1689" s="9">
        <f>IF(R1689="",AVERAGEIF(Table1[Category],Table1[[#This Row],[Category]],Table2[orignal data]),Table2[[#This Row],[orignal data]])</f>
        <v>599.5</v>
      </c>
      <c r="T1689" t="str">
        <f t="shared" si="106"/>
        <v>UNIQUE</v>
      </c>
      <c r="U1689" t="str">
        <f>IF(ISBLANK(Table1[[#This Row],[SizeOption]]),"NOT AVAILABLE",Table1[[#This Row],[SizeOption]])</f>
        <v>28, 30, 32, 34, 36</v>
      </c>
      <c r="Y1689" t="str">
        <f>IF(Table2[[#This Row],[Column1]]&gt;50%,"HIGH DISCOUNT","LOW DISCOUNT")</f>
        <v>LOW DISCOUNT</v>
      </c>
    </row>
    <row r="1690" spans="1:25" x14ac:dyDescent="0.25">
      <c r="A1690" s="1" t="s">
        <v>3668</v>
      </c>
      <c r="B1690" s="1">
        <v>2311117</v>
      </c>
      <c r="C1690" s="1" t="s">
        <v>102</v>
      </c>
      <c r="D1690" s="1" t="s">
        <v>41</v>
      </c>
      <c r="E1690" s="1" t="s">
        <v>148</v>
      </c>
      <c r="F1690" s="1" t="s">
        <v>36</v>
      </c>
      <c r="G1690" s="1" t="s">
        <v>3669</v>
      </c>
      <c r="I1690" s="1">
        <v>2099</v>
      </c>
      <c r="J1690" s="1" t="s">
        <v>476</v>
      </c>
      <c r="K1690" s="1" t="s">
        <v>26</v>
      </c>
      <c r="L1690" s="1">
        <v>4.2</v>
      </c>
      <c r="M1690" s="1">
        <v>737</v>
      </c>
      <c r="P1690" t="str">
        <f t="shared" si="107"/>
        <v>63%</v>
      </c>
      <c r="Q1690" s="12">
        <f t="shared" si="104"/>
        <v>0.63</v>
      </c>
      <c r="R1690" s="9">
        <f t="shared" si="105"/>
        <v>776.62999999999988</v>
      </c>
      <c r="S1690" s="9">
        <f>IF(R1690="",AVERAGEIF(Table1[Category],Table1[[#This Row],[Category]],Table2[orignal data]),Table2[[#This Row],[orignal data]])</f>
        <v>776.62999999999988</v>
      </c>
      <c r="T1690" t="str">
        <f t="shared" si="106"/>
        <v>UNIQUE</v>
      </c>
      <c r="U1690" t="str">
        <f>IF(ISBLANK(Table1[[#This Row],[SizeOption]]),"NOT AVAILABLE",Table1[[#This Row],[SizeOption]])</f>
        <v>S, M, L, XL</v>
      </c>
      <c r="Y1690" t="str">
        <f>IF(Table2[[#This Row],[Column1]]&gt;50%,"HIGH DISCOUNT","LOW DISCOUNT")</f>
        <v>HIGH DISCOUNT</v>
      </c>
    </row>
    <row r="1691" spans="1:25" x14ac:dyDescent="0.25">
      <c r="A1691" s="2" t="s">
        <v>3670</v>
      </c>
      <c r="B1691" s="2">
        <v>13859094</v>
      </c>
      <c r="C1691" s="2" t="s">
        <v>14</v>
      </c>
      <c r="D1691" s="2" t="s">
        <v>15</v>
      </c>
      <c r="E1691" s="2" t="s">
        <v>53</v>
      </c>
      <c r="F1691" s="2" t="s">
        <v>17</v>
      </c>
      <c r="G1691" s="2" t="s">
        <v>3671</v>
      </c>
      <c r="H1691">
        <v>584</v>
      </c>
      <c r="I1691" s="2">
        <v>1299</v>
      </c>
      <c r="J1691" s="2" t="s">
        <v>25</v>
      </c>
      <c r="K1691" s="2" t="s">
        <v>20</v>
      </c>
      <c r="L1691" s="2">
        <v>4</v>
      </c>
      <c r="M1691" s="2">
        <v>736</v>
      </c>
      <c r="P1691" t="str">
        <f t="shared" si="107"/>
        <v>55%</v>
      </c>
      <c r="Q1691" s="12">
        <f t="shared" si="104"/>
        <v>0.55000000000000004</v>
      </c>
      <c r="R1691" s="9">
        <f t="shared" si="105"/>
        <v>584.54999999999995</v>
      </c>
      <c r="S1691" s="9">
        <f>IF(R1691="",AVERAGEIF(Table1[Category],Table1[[#This Row],[Category]],Table2[orignal data]),Table2[[#This Row],[orignal data]])</f>
        <v>584.54999999999995</v>
      </c>
      <c r="T1691" t="str">
        <f t="shared" si="106"/>
        <v>UNIQUE</v>
      </c>
      <c r="U1691" t="str">
        <f>IF(ISBLANK(Table1[[#This Row],[SizeOption]]),"NOT AVAILABLE",Table1[[#This Row],[SizeOption]])</f>
        <v>28, 30, 32, 34, 36</v>
      </c>
      <c r="Y1691" t="str">
        <f>IF(Table2[[#This Row],[Column1]]&gt;50%,"HIGH DISCOUNT","LOW DISCOUNT")</f>
        <v>HIGH DISCOUNT</v>
      </c>
    </row>
    <row r="1692" spans="1:25" x14ac:dyDescent="0.25">
      <c r="A1692" s="1" t="s">
        <v>3672</v>
      </c>
      <c r="B1692" s="1">
        <v>8006471</v>
      </c>
      <c r="C1692" s="1" t="s">
        <v>3673</v>
      </c>
      <c r="D1692" s="1" t="s">
        <v>76</v>
      </c>
      <c r="E1692" s="1" t="s">
        <v>93</v>
      </c>
      <c r="F1692" s="1" t="s">
        <v>17</v>
      </c>
      <c r="G1692" s="1" t="s">
        <v>3674</v>
      </c>
      <c r="H1692">
        <v>794</v>
      </c>
      <c r="I1692" s="1">
        <v>2099</v>
      </c>
      <c r="J1692" s="1" t="s">
        <v>3675</v>
      </c>
      <c r="K1692" s="1" t="s">
        <v>39</v>
      </c>
      <c r="L1692" s="1">
        <v>4.3</v>
      </c>
      <c r="M1692" s="1">
        <v>736</v>
      </c>
      <c r="P1692" t="str">
        <f t="shared" si="107"/>
        <v>1305</v>
      </c>
      <c r="Q1692" s="12">
        <f t="shared" si="104"/>
        <v>0.62172463077656026</v>
      </c>
      <c r="R1692" s="9">
        <f t="shared" si="105"/>
        <v>794</v>
      </c>
      <c r="S1692" s="9">
        <f>IF(R1692="",AVERAGEIF(Table1[Category],Table1[[#This Row],[Category]],Table2[orignal data]),Table2[[#This Row],[orignal data]])</f>
        <v>794</v>
      </c>
      <c r="T1692" t="str">
        <f t="shared" si="106"/>
        <v>UNIQUE</v>
      </c>
      <c r="U1692" t="str">
        <f>IF(ISBLANK(Table1[[#This Row],[SizeOption]]),"NOT AVAILABLE",Table1[[#This Row],[SizeOption]])</f>
        <v>S, M, L, XL, XXL</v>
      </c>
      <c r="Y1692" t="str">
        <f>IF(Table2[[#This Row],[Column1]]&gt;50%,"HIGH DISCOUNT","LOW DISCOUNT")</f>
        <v>HIGH DISCOUNT</v>
      </c>
    </row>
    <row r="1693" spans="1:25" x14ac:dyDescent="0.25">
      <c r="A1693" s="2" t="s">
        <v>3676</v>
      </c>
      <c r="B1693" s="2">
        <v>1462085</v>
      </c>
      <c r="C1693" s="2" t="s">
        <v>346</v>
      </c>
      <c r="D1693" s="2" t="s">
        <v>28</v>
      </c>
      <c r="E1693" s="2" t="s">
        <v>42</v>
      </c>
      <c r="F1693" s="2" t="s">
        <v>17</v>
      </c>
      <c r="G1693" s="2" t="s">
        <v>3677</v>
      </c>
      <c r="H1693">
        <v>399</v>
      </c>
      <c r="I1693" s="2">
        <v>799</v>
      </c>
      <c r="J1693" s="2" t="s">
        <v>84</v>
      </c>
      <c r="K1693" s="2" t="s">
        <v>39</v>
      </c>
      <c r="L1693" s="2">
        <v>4.0999999999999996</v>
      </c>
      <c r="M1693" s="2">
        <v>736</v>
      </c>
      <c r="P1693" t="str">
        <f t="shared" si="107"/>
        <v>50%</v>
      </c>
      <c r="Q1693" s="12">
        <f t="shared" si="104"/>
        <v>0.5</v>
      </c>
      <c r="R1693" s="9">
        <f t="shared" si="105"/>
        <v>399.5</v>
      </c>
      <c r="S1693" s="9">
        <f>IF(R1693="",AVERAGEIF(Table1[Category],Table1[[#This Row],[Category]],Table2[orignal data]),Table2[[#This Row],[orignal data]])</f>
        <v>399.5</v>
      </c>
      <c r="T1693" t="str">
        <f t="shared" si="106"/>
        <v>UNIQUE</v>
      </c>
      <c r="U1693" t="str">
        <f>IF(ISBLANK(Table1[[#This Row],[SizeOption]]),"NOT AVAILABLE",Table1[[#This Row],[SizeOption]])</f>
        <v>S, M, L, XL, XXL</v>
      </c>
      <c r="Y1693" t="str">
        <f>IF(Table2[[#This Row],[Column1]]&gt;50%,"HIGH DISCOUNT","LOW DISCOUNT")</f>
        <v>LOW DISCOUNT</v>
      </c>
    </row>
    <row r="1694" spans="1:25" x14ac:dyDescent="0.25">
      <c r="A1694" s="1" t="s">
        <v>3678</v>
      </c>
      <c r="B1694" s="1">
        <v>11681582</v>
      </c>
      <c r="C1694" s="1" t="s">
        <v>14</v>
      </c>
      <c r="D1694" s="1" t="s">
        <v>41</v>
      </c>
      <c r="E1694" s="1" t="s">
        <v>29</v>
      </c>
      <c r="F1694" s="1" t="s">
        <v>36</v>
      </c>
      <c r="G1694" s="1" t="s">
        <v>3679</v>
      </c>
      <c r="I1694" s="1">
        <v>1399</v>
      </c>
      <c r="J1694" s="1" t="s">
        <v>84</v>
      </c>
      <c r="K1694" s="1" t="s">
        <v>115</v>
      </c>
      <c r="L1694" s="1">
        <v>4.4000000000000004</v>
      </c>
      <c r="M1694" s="1">
        <v>736</v>
      </c>
      <c r="P1694" t="str">
        <f t="shared" si="107"/>
        <v>50%</v>
      </c>
      <c r="Q1694" s="12">
        <f t="shared" si="104"/>
        <v>0.5</v>
      </c>
      <c r="R1694" s="9">
        <f t="shared" si="105"/>
        <v>699.5</v>
      </c>
      <c r="S1694" s="9">
        <f>IF(R1694="",AVERAGEIF(Table1[Category],Table1[[#This Row],[Category]],Table2[orignal data]),Table2[[#This Row],[orignal data]])</f>
        <v>699.5</v>
      </c>
      <c r="T1694" t="str">
        <f t="shared" si="106"/>
        <v>UNIQUE</v>
      </c>
      <c r="U1694" t="str">
        <f>IF(ISBLANK(Table1[[#This Row],[SizeOption]]),"NOT AVAILABLE",Table1[[#This Row],[SizeOption]])</f>
        <v>XS, S, M, L, XL, XXL</v>
      </c>
      <c r="Y1694" t="str">
        <f>IF(Table2[[#This Row],[Column1]]&gt;50%,"HIGH DISCOUNT","LOW DISCOUNT")</f>
        <v>LOW DISCOUNT</v>
      </c>
    </row>
    <row r="1695" spans="1:25" x14ac:dyDescent="0.25">
      <c r="A1695" s="2" t="s">
        <v>3680</v>
      </c>
      <c r="B1695" s="2">
        <v>2475351</v>
      </c>
      <c r="C1695" s="2" t="s">
        <v>1385</v>
      </c>
      <c r="D1695" s="2" t="s">
        <v>41</v>
      </c>
      <c r="E1695" s="2" t="s">
        <v>16</v>
      </c>
      <c r="F1695" s="2" t="s">
        <v>36</v>
      </c>
      <c r="G1695" s="2" t="s">
        <v>3681</v>
      </c>
      <c r="I1695" s="2">
        <v>2299</v>
      </c>
      <c r="J1695" s="2" t="s">
        <v>84</v>
      </c>
      <c r="K1695" s="2" t="s">
        <v>428</v>
      </c>
      <c r="L1695" s="2">
        <v>4</v>
      </c>
      <c r="M1695" s="2">
        <v>736</v>
      </c>
      <c r="P1695" t="str">
        <f t="shared" si="107"/>
        <v>50%</v>
      </c>
      <c r="Q1695" s="12">
        <f t="shared" si="104"/>
        <v>0.5</v>
      </c>
      <c r="R1695" s="9">
        <f t="shared" si="105"/>
        <v>1149.5</v>
      </c>
      <c r="S1695" s="9">
        <f>IF(R1695="",AVERAGEIF(Table1[Category],Table1[[#This Row],[Category]],Table2[orignal data]),Table2[[#This Row],[orignal data]])</f>
        <v>1149.5</v>
      </c>
      <c r="T1695" t="str">
        <f t="shared" si="106"/>
        <v>UNIQUE</v>
      </c>
      <c r="U1695" t="str">
        <f>IF(ISBLANK(Table1[[#This Row],[SizeOption]]),"NOT AVAILABLE",Table1[[#This Row],[SizeOption]])</f>
        <v>26, 28, 30, 32, 34</v>
      </c>
      <c r="Y1695" t="str">
        <f>IF(Table2[[#This Row],[Column1]]&gt;50%,"HIGH DISCOUNT","LOW DISCOUNT")</f>
        <v>LOW DISCOUNT</v>
      </c>
    </row>
    <row r="1696" spans="1:25" x14ac:dyDescent="0.25">
      <c r="A1696" s="1" t="s">
        <v>3682</v>
      </c>
      <c r="B1696" s="1">
        <v>2529712</v>
      </c>
      <c r="C1696" s="1" t="s">
        <v>107</v>
      </c>
      <c r="D1696" s="1" t="s">
        <v>41</v>
      </c>
      <c r="E1696" s="1" t="s">
        <v>148</v>
      </c>
      <c r="F1696" s="1" t="s">
        <v>36</v>
      </c>
      <c r="G1696" s="1" t="s">
        <v>3683</v>
      </c>
      <c r="I1696" s="1">
        <v>2499</v>
      </c>
      <c r="J1696" s="1" t="s">
        <v>150</v>
      </c>
      <c r="K1696" s="1" t="s">
        <v>45</v>
      </c>
      <c r="L1696" s="1">
        <v>4.3</v>
      </c>
      <c r="M1696" s="1">
        <v>736</v>
      </c>
      <c r="P1696" t="str">
        <f t="shared" si="107"/>
        <v>65%</v>
      </c>
      <c r="Q1696" s="12">
        <f t="shared" si="104"/>
        <v>0.65</v>
      </c>
      <c r="R1696" s="9">
        <f t="shared" si="105"/>
        <v>874.64999999999986</v>
      </c>
      <c r="S1696" s="9">
        <f>IF(R1696="",AVERAGEIF(Table1[Category],Table1[[#This Row],[Category]],Table2[orignal data]),Table2[[#This Row],[orignal data]])</f>
        <v>874.64999999999986</v>
      </c>
      <c r="T1696" t="str">
        <f t="shared" si="106"/>
        <v>UNIQUE</v>
      </c>
      <c r="U1696" t="str">
        <f>IF(ISBLANK(Table1[[#This Row],[SizeOption]]),"NOT AVAILABLE",Table1[[#This Row],[SizeOption]])</f>
        <v>XS, S, M, L, XL</v>
      </c>
      <c r="Y1696" t="str">
        <f>IF(Table2[[#This Row],[Column1]]&gt;50%,"HIGH DISCOUNT","LOW DISCOUNT")</f>
        <v>HIGH DISCOUNT</v>
      </c>
    </row>
    <row r="1697" spans="1:25" x14ac:dyDescent="0.25">
      <c r="A1697" s="2" t="s">
        <v>3684</v>
      </c>
      <c r="B1697" s="2">
        <v>10423014</v>
      </c>
      <c r="C1697" s="2" t="s">
        <v>3685</v>
      </c>
      <c r="D1697" s="2" t="s">
        <v>41</v>
      </c>
      <c r="E1697" s="2" t="s">
        <v>48</v>
      </c>
      <c r="F1697" s="2" t="s">
        <v>36</v>
      </c>
      <c r="G1697" s="2" t="s">
        <v>3686</v>
      </c>
      <c r="I1697" s="2">
        <v>2999</v>
      </c>
      <c r="J1697" s="2" t="s">
        <v>84</v>
      </c>
      <c r="K1697" s="2" t="s">
        <v>26</v>
      </c>
      <c r="L1697" s="2">
        <v>4.3</v>
      </c>
      <c r="M1697" s="2">
        <v>736</v>
      </c>
      <c r="P1697" t="str">
        <f t="shared" si="107"/>
        <v>50%</v>
      </c>
      <c r="Q1697" s="12">
        <f t="shared" si="104"/>
        <v>0.5</v>
      </c>
      <c r="R1697" s="9">
        <f t="shared" si="105"/>
        <v>1499.5</v>
      </c>
      <c r="S1697" s="9">
        <f>IF(R1697="",AVERAGEIF(Table1[Category],Table1[[#This Row],[Category]],Table2[orignal data]),Table2[[#This Row],[orignal data]])</f>
        <v>1499.5</v>
      </c>
      <c r="T1697" t="str">
        <f t="shared" si="106"/>
        <v>UNIQUE</v>
      </c>
      <c r="U1697" t="str">
        <f>IF(ISBLANK(Table1[[#This Row],[SizeOption]]),"NOT AVAILABLE",Table1[[#This Row],[SizeOption]])</f>
        <v>S, M, L, XL</v>
      </c>
      <c r="Y1697" t="str">
        <f>IF(Table2[[#This Row],[Column1]]&gt;50%,"HIGH DISCOUNT","LOW DISCOUNT")</f>
        <v>LOW DISCOUNT</v>
      </c>
    </row>
    <row r="1698" spans="1:25" x14ac:dyDescent="0.25">
      <c r="A1698" s="1" t="s">
        <v>3687</v>
      </c>
      <c r="B1698" s="1">
        <v>7224489</v>
      </c>
      <c r="C1698" s="1" t="s">
        <v>67</v>
      </c>
      <c r="D1698" s="1" t="s">
        <v>15</v>
      </c>
      <c r="E1698" s="1" t="s">
        <v>23</v>
      </c>
      <c r="F1698" s="1" t="s">
        <v>17</v>
      </c>
      <c r="G1698" s="1" t="s">
        <v>3688</v>
      </c>
      <c r="H1698">
        <v>849</v>
      </c>
      <c r="I1698" s="1">
        <v>1699</v>
      </c>
      <c r="J1698" s="1" t="s">
        <v>84</v>
      </c>
      <c r="K1698" s="1" t="s">
        <v>39</v>
      </c>
      <c r="L1698" s="1">
        <v>4.0999999999999996</v>
      </c>
      <c r="M1698" s="1">
        <v>735</v>
      </c>
      <c r="P1698" t="str">
        <f t="shared" si="107"/>
        <v>50%</v>
      </c>
      <c r="Q1698" s="12">
        <f t="shared" si="104"/>
        <v>0.5</v>
      </c>
      <c r="R1698" s="9">
        <f t="shared" si="105"/>
        <v>849.5</v>
      </c>
      <c r="S1698" s="9">
        <f>IF(R1698="",AVERAGEIF(Table1[Category],Table1[[#This Row],[Category]],Table2[orignal data]),Table2[[#This Row],[orignal data]])</f>
        <v>849.5</v>
      </c>
      <c r="T1698" t="str">
        <f t="shared" si="106"/>
        <v>UNIQUE</v>
      </c>
      <c r="U1698" t="str">
        <f>IF(ISBLANK(Table1[[#This Row],[SizeOption]]),"NOT AVAILABLE",Table1[[#This Row],[SizeOption]])</f>
        <v>S, M, L, XL, XXL</v>
      </c>
      <c r="Y1698" t="str">
        <f>IF(Table2[[#This Row],[Column1]]&gt;50%,"HIGH DISCOUNT","LOW DISCOUNT")</f>
        <v>LOW DISCOUNT</v>
      </c>
    </row>
    <row r="1699" spans="1:25" x14ac:dyDescent="0.25">
      <c r="A1699" s="2" t="s">
        <v>3689</v>
      </c>
      <c r="B1699" s="2">
        <v>8962397</v>
      </c>
      <c r="C1699" s="2" t="s">
        <v>14</v>
      </c>
      <c r="D1699" s="2" t="s">
        <v>15</v>
      </c>
      <c r="E1699" s="2" t="s">
        <v>16</v>
      </c>
      <c r="F1699" s="2" t="s">
        <v>17</v>
      </c>
      <c r="G1699" s="2" t="s">
        <v>3690</v>
      </c>
      <c r="H1699">
        <v>934</v>
      </c>
      <c r="I1699" s="2">
        <v>1699</v>
      </c>
      <c r="J1699" s="2" t="s">
        <v>19</v>
      </c>
      <c r="K1699" s="2" t="s">
        <v>134</v>
      </c>
      <c r="L1699" s="2">
        <v>3.9</v>
      </c>
      <c r="M1699" s="2">
        <v>735</v>
      </c>
      <c r="P1699" t="str">
        <f t="shared" si="107"/>
        <v>45%</v>
      </c>
      <c r="Q1699" s="12">
        <f t="shared" si="104"/>
        <v>0.45</v>
      </c>
      <c r="R1699" s="9">
        <f t="shared" si="105"/>
        <v>934.44999999999993</v>
      </c>
      <c r="S1699" s="9">
        <f>IF(R1699="",AVERAGEIF(Table1[Category],Table1[[#This Row],[Category]],Table2[orignal data]),Table2[[#This Row],[orignal data]])</f>
        <v>934.44999999999993</v>
      </c>
      <c r="T1699" t="str">
        <f t="shared" si="106"/>
        <v>UNIQUE</v>
      </c>
      <c r="U1699" t="str">
        <f>IF(ISBLANK(Table1[[#This Row],[SizeOption]]),"NOT AVAILABLE",Table1[[#This Row],[SizeOption]])</f>
        <v>26, 28, 30, 32, 34, 36</v>
      </c>
      <c r="Y1699" t="str">
        <f>IF(Table2[[#This Row],[Column1]]&gt;50%,"HIGH DISCOUNT","LOW DISCOUNT")</f>
        <v>LOW DISCOUNT</v>
      </c>
    </row>
    <row r="1700" spans="1:25" x14ac:dyDescent="0.25">
      <c r="A1700" s="1" t="s">
        <v>3691</v>
      </c>
      <c r="B1700" s="1">
        <v>9261263</v>
      </c>
      <c r="C1700" s="1" t="s">
        <v>295</v>
      </c>
      <c r="D1700" s="1" t="s">
        <v>197</v>
      </c>
      <c r="E1700" s="1" t="s">
        <v>350</v>
      </c>
      <c r="F1700" s="1" t="s">
        <v>17</v>
      </c>
      <c r="G1700" s="1" t="s">
        <v>3692</v>
      </c>
      <c r="H1700">
        <v>474</v>
      </c>
      <c r="I1700" s="1">
        <v>499</v>
      </c>
      <c r="J1700" s="1" t="s">
        <v>764</v>
      </c>
      <c r="K1700" s="1" t="s">
        <v>26</v>
      </c>
      <c r="L1700" s="1">
        <v>4.4000000000000004</v>
      </c>
      <c r="M1700" s="1">
        <v>735</v>
      </c>
      <c r="P1700" t="str">
        <f t="shared" si="107"/>
        <v>5%</v>
      </c>
      <c r="Q1700" s="12">
        <f t="shared" si="104"/>
        <v>0.05</v>
      </c>
      <c r="R1700" s="9">
        <f t="shared" si="105"/>
        <v>474.05</v>
      </c>
      <c r="S1700" s="9">
        <f>IF(R1700="",AVERAGEIF(Table1[Category],Table1[[#This Row],[Category]],Table2[orignal data]),Table2[[#This Row],[orignal data]])</f>
        <v>474.05</v>
      </c>
      <c r="T1700" t="str">
        <f t="shared" si="106"/>
        <v>UNIQUE</v>
      </c>
      <c r="U1700" t="str">
        <f>IF(ISBLANK(Table1[[#This Row],[SizeOption]]),"NOT AVAILABLE",Table1[[#This Row],[SizeOption]])</f>
        <v>S, M, L, XL</v>
      </c>
      <c r="Y1700" t="str">
        <f>IF(Table2[[#This Row],[Column1]]&gt;50%,"HIGH DISCOUNT","LOW DISCOUNT")</f>
        <v>LOW DISCOUNT</v>
      </c>
    </row>
    <row r="1701" spans="1:25" x14ac:dyDescent="0.25">
      <c r="A1701" s="2" t="s">
        <v>3693</v>
      </c>
      <c r="B1701" s="2">
        <v>10498720</v>
      </c>
      <c r="C1701" s="2" t="s">
        <v>67</v>
      </c>
      <c r="D1701" s="2" t="s">
        <v>68</v>
      </c>
      <c r="E1701" s="2" t="s">
        <v>3694</v>
      </c>
      <c r="F1701" s="2" t="s">
        <v>17</v>
      </c>
      <c r="G1701" s="2" t="s">
        <v>3695</v>
      </c>
      <c r="H1701">
        <v>1484</v>
      </c>
      <c r="I1701" s="2">
        <v>3299</v>
      </c>
      <c r="J1701" s="2" t="s">
        <v>25</v>
      </c>
      <c r="K1701" s="2" t="s">
        <v>39</v>
      </c>
      <c r="L1701" s="2">
        <v>3.9</v>
      </c>
      <c r="M1701" s="2">
        <v>735</v>
      </c>
      <c r="P1701" t="str">
        <f t="shared" si="107"/>
        <v>55%</v>
      </c>
      <c r="Q1701" s="12">
        <f t="shared" si="104"/>
        <v>0.55000000000000004</v>
      </c>
      <c r="R1701" s="9">
        <f t="shared" si="105"/>
        <v>1484.55</v>
      </c>
      <c r="S1701" s="9">
        <f>IF(R1701="",AVERAGEIF(Table1[Category],Table1[[#This Row],[Category]],Table2[orignal data]),Table2[[#This Row],[orignal data]])</f>
        <v>1484.55</v>
      </c>
      <c r="T1701" t="str">
        <f t="shared" si="106"/>
        <v>UNIQUE</v>
      </c>
      <c r="U1701" t="str">
        <f>IF(ISBLANK(Table1[[#This Row],[SizeOption]]),"NOT AVAILABLE",Table1[[#This Row],[SizeOption]])</f>
        <v>S, M, L, XL, XXL</v>
      </c>
      <c r="Y1701" t="str">
        <f>IF(Table2[[#This Row],[Column1]]&gt;50%,"HIGH DISCOUNT","LOW DISCOUNT")</f>
        <v>HIGH DISCOUNT</v>
      </c>
    </row>
    <row r="1702" spans="1:25" x14ac:dyDescent="0.25">
      <c r="A1702" s="1" t="s">
        <v>3696</v>
      </c>
      <c r="B1702" s="1">
        <v>16323144</v>
      </c>
      <c r="C1702" s="1" t="s">
        <v>67</v>
      </c>
      <c r="D1702" s="1" t="s">
        <v>68</v>
      </c>
      <c r="E1702" s="1" t="s">
        <v>42</v>
      </c>
      <c r="F1702" s="1" t="s">
        <v>17</v>
      </c>
      <c r="G1702" s="1" t="s">
        <v>3697</v>
      </c>
      <c r="I1702" s="1">
        <v>2398</v>
      </c>
      <c r="J1702" s="1"/>
      <c r="K1702" s="1" t="s">
        <v>1188</v>
      </c>
      <c r="L1702" s="1">
        <v>4.2</v>
      </c>
      <c r="M1702" s="1">
        <v>735</v>
      </c>
      <c r="P1702" t="str">
        <f t="shared" si="107"/>
        <v/>
      </c>
      <c r="Q1702" s="12" t="str">
        <f t="shared" si="104"/>
        <v/>
      </c>
      <c r="R1702" s="9" t="str">
        <f t="shared" si="105"/>
        <v/>
      </c>
      <c r="S1702" s="9">
        <f>IF(R1702="",AVERAGEIF(Table1[Category],Table1[[#This Row],[Category]],Table2[orignal data]),Table2[[#This Row],[orignal data]])</f>
        <v>734.32085365853686</v>
      </c>
      <c r="T1702" t="str">
        <f t="shared" si="106"/>
        <v>UNIQUE</v>
      </c>
      <c r="U1702" t="str">
        <f>IF(ISBLANK(Table1[[#This Row],[SizeOption]]),"NOT AVAILABLE",Table1[[#This Row],[SizeOption]])</f>
        <v>S, M, XL, XXL, L</v>
      </c>
      <c r="Y1702" t="str">
        <f>IF(Table2[[#This Row],[Column1]]&gt;50%,"HIGH DISCOUNT","LOW DISCOUNT")</f>
        <v>HIGH DISCOUNT</v>
      </c>
    </row>
    <row r="1703" spans="1:25" x14ac:dyDescent="0.25">
      <c r="A1703" s="2" t="s">
        <v>3698</v>
      </c>
      <c r="B1703" s="2">
        <v>9478117</v>
      </c>
      <c r="C1703" s="2" t="s">
        <v>14</v>
      </c>
      <c r="D1703" s="2" t="s">
        <v>41</v>
      </c>
      <c r="E1703" s="2" t="s">
        <v>306</v>
      </c>
      <c r="F1703" s="2" t="s">
        <v>36</v>
      </c>
      <c r="G1703" s="2" t="s">
        <v>3699</v>
      </c>
      <c r="I1703" s="2">
        <v>1599</v>
      </c>
      <c r="J1703" s="2" t="s">
        <v>150</v>
      </c>
      <c r="K1703" s="2" t="s">
        <v>115</v>
      </c>
      <c r="L1703" s="2">
        <v>4.0999999999999996</v>
      </c>
      <c r="M1703" s="2">
        <v>735</v>
      </c>
      <c r="P1703" t="str">
        <f t="shared" si="107"/>
        <v>65%</v>
      </c>
      <c r="Q1703" s="12">
        <f t="shared" si="104"/>
        <v>0.65</v>
      </c>
      <c r="R1703" s="9">
        <f t="shared" si="105"/>
        <v>559.64999999999986</v>
      </c>
      <c r="S1703" s="9">
        <f>IF(R1703="",AVERAGEIF(Table1[Category],Table1[[#This Row],[Category]],Table2[orignal data]),Table2[[#This Row],[orignal data]])</f>
        <v>559.64999999999986</v>
      </c>
      <c r="T1703" t="str">
        <f t="shared" si="106"/>
        <v>UNIQUE</v>
      </c>
      <c r="U1703" t="str">
        <f>IF(ISBLANK(Table1[[#This Row],[SizeOption]]),"NOT AVAILABLE",Table1[[#This Row],[SizeOption]])</f>
        <v>XS, S, M, L, XL, XXL</v>
      </c>
      <c r="Y1703" t="str">
        <f>IF(Table2[[#This Row],[Column1]]&gt;50%,"HIGH DISCOUNT","LOW DISCOUNT")</f>
        <v>HIGH DISCOUNT</v>
      </c>
    </row>
    <row r="1704" spans="1:25" x14ac:dyDescent="0.25">
      <c r="A1704" s="1" t="s">
        <v>3700</v>
      </c>
      <c r="B1704" s="1">
        <v>17525226</v>
      </c>
      <c r="C1704" s="1" t="s">
        <v>47</v>
      </c>
      <c r="D1704" s="1" t="s">
        <v>41</v>
      </c>
      <c r="E1704" s="1" t="s">
        <v>42</v>
      </c>
      <c r="F1704" s="1" t="s">
        <v>36</v>
      </c>
      <c r="G1704" s="1" t="s">
        <v>3701</v>
      </c>
      <c r="I1704" s="1">
        <v>1548</v>
      </c>
      <c r="J1704" s="1"/>
      <c r="K1704" s="1" t="s">
        <v>45</v>
      </c>
      <c r="L1704" s="1">
        <v>4.0999999999999996</v>
      </c>
      <c r="M1704" s="1">
        <v>735</v>
      </c>
      <c r="P1704" t="str">
        <f t="shared" si="107"/>
        <v/>
      </c>
      <c r="Q1704" s="12" t="str">
        <f t="shared" si="104"/>
        <v/>
      </c>
      <c r="R1704" s="9" t="str">
        <f t="shared" si="105"/>
        <v/>
      </c>
      <c r="S1704" s="9">
        <f>IF(R1704="",AVERAGEIF(Table1[Category],Table1[[#This Row],[Category]],Table2[orignal data]),Table2[[#This Row],[orignal data]])</f>
        <v>715.78890751086249</v>
      </c>
      <c r="T1704" t="str">
        <f t="shared" si="106"/>
        <v>UNIQUE</v>
      </c>
      <c r="U1704" t="str">
        <f>IF(ISBLANK(Table1[[#This Row],[SizeOption]]),"NOT AVAILABLE",Table1[[#This Row],[SizeOption]])</f>
        <v>XS, S, M, L, XL</v>
      </c>
      <c r="Y1704" t="str">
        <f>IF(Table2[[#This Row],[Column1]]&gt;50%,"HIGH DISCOUNT","LOW DISCOUNT")</f>
        <v>HIGH DISCOUNT</v>
      </c>
    </row>
    <row r="1705" spans="1:25" x14ac:dyDescent="0.25">
      <c r="A1705" s="2" t="s">
        <v>3702</v>
      </c>
      <c r="B1705" s="2">
        <v>13858426</v>
      </c>
      <c r="C1705" s="2" t="s">
        <v>52</v>
      </c>
      <c r="D1705" s="2" t="s">
        <v>15</v>
      </c>
      <c r="E1705" s="2" t="s">
        <v>137</v>
      </c>
      <c r="F1705" s="2" t="s">
        <v>17</v>
      </c>
      <c r="G1705" s="2" t="s">
        <v>3703</v>
      </c>
      <c r="H1705">
        <v>363</v>
      </c>
      <c r="I1705" s="2">
        <v>699</v>
      </c>
      <c r="J1705" s="2" t="s">
        <v>602</v>
      </c>
      <c r="K1705" s="2" t="s">
        <v>56</v>
      </c>
      <c r="L1705" s="2">
        <v>4.3</v>
      </c>
      <c r="M1705" s="2">
        <v>734</v>
      </c>
      <c r="P1705" t="str">
        <f t="shared" si="107"/>
        <v>48%</v>
      </c>
      <c r="Q1705" s="12">
        <f t="shared" si="104"/>
        <v>0.48</v>
      </c>
      <c r="R1705" s="9">
        <f t="shared" si="105"/>
        <v>363.48</v>
      </c>
      <c r="S1705" s="9">
        <f>IF(R1705="",AVERAGEIF(Table1[Category],Table1[[#This Row],[Category]],Table2[orignal data]),Table2[[#This Row],[orignal data]])</f>
        <v>363.48</v>
      </c>
      <c r="T1705" t="str">
        <f t="shared" si="106"/>
        <v>UNIQUE</v>
      </c>
      <c r="U1705" t="str">
        <f>IF(ISBLANK(Table1[[#This Row],[SizeOption]]),"NOT AVAILABLE",Table1[[#This Row],[SizeOption]])</f>
        <v>30, 32, 34, 36</v>
      </c>
      <c r="Y1705" t="str">
        <f>IF(Table2[[#This Row],[Column1]]&gt;50%,"HIGH DISCOUNT","LOW DISCOUNT")</f>
        <v>LOW DISCOUNT</v>
      </c>
    </row>
    <row r="1706" spans="1:25" x14ac:dyDescent="0.25">
      <c r="A1706" s="1" t="s">
        <v>3704</v>
      </c>
      <c r="B1706" s="1">
        <v>11467504</v>
      </c>
      <c r="C1706" s="1" t="s">
        <v>52</v>
      </c>
      <c r="D1706" s="1" t="s">
        <v>28</v>
      </c>
      <c r="E1706" s="1" t="s">
        <v>29</v>
      </c>
      <c r="F1706" s="1" t="s">
        <v>17</v>
      </c>
      <c r="G1706" s="1" t="s">
        <v>3705</v>
      </c>
      <c r="H1706">
        <v>649</v>
      </c>
      <c r="I1706" s="1">
        <v>1299</v>
      </c>
      <c r="J1706" s="1" t="s">
        <v>84</v>
      </c>
      <c r="K1706" s="1" t="s">
        <v>90</v>
      </c>
      <c r="L1706" s="1">
        <v>4.2</v>
      </c>
      <c r="M1706" s="1">
        <v>734</v>
      </c>
      <c r="P1706" t="str">
        <f t="shared" si="107"/>
        <v>50%</v>
      </c>
      <c r="Q1706" s="12">
        <f t="shared" si="104"/>
        <v>0.5</v>
      </c>
      <c r="R1706" s="9">
        <f t="shared" si="105"/>
        <v>649.5</v>
      </c>
      <c r="S1706" s="9">
        <f>IF(R1706="",AVERAGEIF(Table1[Category],Table1[[#This Row],[Category]],Table2[orignal data]),Table2[[#This Row],[orignal data]])</f>
        <v>649.5</v>
      </c>
      <c r="T1706" t="str">
        <f t="shared" si="106"/>
        <v>UNIQUE</v>
      </c>
      <c r="U1706" t="str">
        <f>IF(ISBLANK(Table1[[#This Row],[SizeOption]]),"NOT AVAILABLE",Table1[[#This Row],[SizeOption]])</f>
        <v>39, 40, 42, 44</v>
      </c>
      <c r="Y1706" t="str">
        <f>IF(Table2[[#This Row],[Column1]]&gt;50%,"HIGH DISCOUNT","LOW DISCOUNT")</f>
        <v>LOW DISCOUNT</v>
      </c>
    </row>
    <row r="1707" spans="1:25" x14ac:dyDescent="0.25">
      <c r="A1707" s="2" t="s">
        <v>3706</v>
      </c>
      <c r="B1707" s="2">
        <v>14014824</v>
      </c>
      <c r="C1707" s="2" t="s">
        <v>22</v>
      </c>
      <c r="D1707" s="2" t="s">
        <v>28</v>
      </c>
      <c r="E1707" s="2" t="s">
        <v>29</v>
      </c>
      <c r="F1707" s="2" t="s">
        <v>17</v>
      </c>
      <c r="G1707" s="2" t="s">
        <v>3707</v>
      </c>
      <c r="H1707">
        <v>571</v>
      </c>
      <c r="I1707" s="2">
        <v>1299</v>
      </c>
      <c r="J1707" s="2" t="s">
        <v>1204</v>
      </c>
      <c r="K1707" s="2" t="s">
        <v>90</v>
      </c>
      <c r="L1707" s="2">
        <v>4.0999999999999996</v>
      </c>
      <c r="M1707" s="2">
        <v>734</v>
      </c>
      <c r="P1707" t="str">
        <f t="shared" si="107"/>
        <v>56%</v>
      </c>
      <c r="Q1707" s="12">
        <f t="shared" si="104"/>
        <v>0.56000000000000005</v>
      </c>
      <c r="R1707" s="9">
        <f t="shared" si="105"/>
        <v>571.55999999999995</v>
      </c>
      <c r="S1707" s="9">
        <f>IF(R1707="",AVERAGEIF(Table1[Category],Table1[[#This Row],[Category]],Table2[orignal data]),Table2[[#This Row],[orignal data]])</f>
        <v>571.55999999999995</v>
      </c>
      <c r="T1707" t="str">
        <f t="shared" si="106"/>
        <v>UNIQUE</v>
      </c>
      <c r="U1707" t="str">
        <f>IF(ISBLANK(Table1[[#This Row],[SizeOption]]),"NOT AVAILABLE",Table1[[#This Row],[SizeOption]])</f>
        <v>39, 40, 42, 44</v>
      </c>
      <c r="Y1707" t="str">
        <f>IF(Table2[[#This Row],[Column1]]&gt;50%,"HIGH DISCOUNT","LOW DISCOUNT")</f>
        <v>HIGH DISCOUNT</v>
      </c>
    </row>
    <row r="1708" spans="1:25" x14ac:dyDescent="0.25">
      <c r="A1708" s="1" t="s">
        <v>3708</v>
      </c>
      <c r="B1708" s="1">
        <v>8302427</v>
      </c>
      <c r="C1708" s="1" t="s">
        <v>47</v>
      </c>
      <c r="D1708" s="1" t="s">
        <v>28</v>
      </c>
      <c r="E1708" s="1" t="s">
        <v>42</v>
      </c>
      <c r="F1708" s="1" t="s">
        <v>17</v>
      </c>
      <c r="G1708" s="1" t="s">
        <v>3709</v>
      </c>
      <c r="H1708">
        <v>519</v>
      </c>
      <c r="I1708" s="1">
        <v>1299</v>
      </c>
      <c r="J1708" s="1" t="s">
        <v>55</v>
      </c>
      <c r="K1708" s="1" t="s">
        <v>26</v>
      </c>
      <c r="L1708" s="1">
        <v>4.2</v>
      </c>
      <c r="M1708" s="1">
        <v>734</v>
      </c>
      <c r="P1708" t="str">
        <f t="shared" si="107"/>
        <v>60%</v>
      </c>
      <c r="Q1708" s="12">
        <f t="shared" si="104"/>
        <v>0.6</v>
      </c>
      <c r="R1708" s="9">
        <f t="shared" si="105"/>
        <v>519.6</v>
      </c>
      <c r="S1708" s="9">
        <f>IF(R1708="",AVERAGEIF(Table1[Category],Table1[[#This Row],[Category]],Table2[orignal data]),Table2[[#This Row],[orignal data]])</f>
        <v>519.6</v>
      </c>
      <c r="T1708" t="str">
        <f t="shared" si="106"/>
        <v>UNIQUE</v>
      </c>
      <c r="U1708" t="str">
        <f>IF(ISBLANK(Table1[[#This Row],[SizeOption]]),"NOT AVAILABLE",Table1[[#This Row],[SizeOption]])</f>
        <v>S, M, L, XL</v>
      </c>
      <c r="Y1708" t="str">
        <f>IF(Table2[[#This Row],[Column1]]&gt;50%,"HIGH DISCOUNT","LOW DISCOUNT")</f>
        <v>HIGH DISCOUNT</v>
      </c>
    </row>
    <row r="1709" spans="1:25" x14ac:dyDescent="0.25">
      <c r="A1709" s="2" t="s">
        <v>3710</v>
      </c>
      <c r="B1709" s="2">
        <v>10534218</v>
      </c>
      <c r="C1709" s="2" t="s">
        <v>22</v>
      </c>
      <c r="D1709" s="2" t="s">
        <v>28</v>
      </c>
      <c r="E1709" s="2" t="s">
        <v>29</v>
      </c>
      <c r="F1709" s="2" t="s">
        <v>17</v>
      </c>
      <c r="G1709" s="2" t="s">
        <v>3711</v>
      </c>
      <c r="H1709">
        <v>517</v>
      </c>
      <c r="I1709" s="2">
        <v>1399</v>
      </c>
      <c r="J1709" s="2" t="s">
        <v>476</v>
      </c>
      <c r="K1709" s="2" t="s">
        <v>90</v>
      </c>
      <c r="L1709" s="2">
        <v>4.3</v>
      </c>
      <c r="M1709" s="2">
        <v>734</v>
      </c>
      <c r="P1709" t="str">
        <f t="shared" si="107"/>
        <v>63%</v>
      </c>
      <c r="Q1709" s="12">
        <f t="shared" si="104"/>
        <v>0.63</v>
      </c>
      <c r="R1709" s="9">
        <f t="shared" si="105"/>
        <v>517.63</v>
      </c>
      <c r="S1709" s="9">
        <f>IF(R1709="",AVERAGEIF(Table1[Category],Table1[[#This Row],[Category]],Table2[orignal data]),Table2[[#This Row],[orignal data]])</f>
        <v>517.63</v>
      </c>
      <c r="T1709" t="str">
        <f t="shared" si="106"/>
        <v>UNIQUE</v>
      </c>
      <c r="U1709" t="str">
        <f>IF(ISBLANK(Table1[[#This Row],[SizeOption]]),"NOT AVAILABLE",Table1[[#This Row],[SizeOption]])</f>
        <v>39, 40, 42, 44</v>
      </c>
      <c r="Y1709" t="str">
        <f>IF(Table2[[#This Row],[Column1]]&gt;50%,"HIGH DISCOUNT","LOW DISCOUNT")</f>
        <v>HIGH DISCOUNT</v>
      </c>
    </row>
    <row r="1710" spans="1:25" x14ac:dyDescent="0.25">
      <c r="A1710" s="1" t="s">
        <v>3712</v>
      </c>
      <c r="B1710" s="1">
        <v>486791</v>
      </c>
      <c r="C1710" s="1" t="s">
        <v>1299</v>
      </c>
      <c r="D1710" s="1" t="s">
        <v>28</v>
      </c>
      <c r="E1710" s="1" t="s">
        <v>29</v>
      </c>
      <c r="F1710" s="1" t="s">
        <v>17</v>
      </c>
      <c r="G1710" s="1" t="s">
        <v>3713</v>
      </c>
      <c r="H1710">
        <v>879</v>
      </c>
      <c r="I1710" s="1">
        <v>1599</v>
      </c>
      <c r="J1710" s="1" t="s">
        <v>19</v>
      </c>
      <c r="K1710" s="1" t="s">
        <v>3714</v>
      </c>
      <c r="L1710" s="1">
        <v>4.0999999999999996</v>
      </c>
      <c r="M1710" s="1">
        <v>734</v>
      </c>
      <c r="P1710" t="str">
        <f t="shared" si="107"/>
        <v>45%</v>
      </c>
      <c r="Q1710" s="12">
        <f t="shared" si="104"/>
        <v>0.45</v>
      </c>
      <c r="R1710" s="9">
        <f t="shared" si="105"/>
        <v>879.44999999999993</v>
      </c>
      <c r="S1710" s="9">
        <f>IF(R1710="",AVERAGEIF(Table1[Category],Table1[[#This Row],[Category]],Table2[orignal data]),Table2[[#This Row],[orignal data]])</f>
        <v>879.44999999999993</v>
      </c>
      <c r="T1710" t="str">
        <f t="shared" si="106"/>
        <v>UNIQUE</v>
      </c>
      <c r="U1710" t="str">
        <f>IF(ISBLANK(Table1[[#This Row],[SizeOption]]),"NOT AVAILABLE",Table1[[#This Row],[SizeOption]])</f>
        <v>37, 38, 39, 40, 42, 44</v>
      </c>
      <c r="Y1710" t="str">
        <f>IF(Table2[[#This Row],[Column1]]&gt;50%,"HIGH DISCOUNT","LOW DISCOUNT")</f>
        <v>LOW DISCOUNT</v>
      </c>
    </row>
    <row r="1711" spans="1:25" x14ac:dyDescent="0.25">
      <c r="A1711" s="2" t="s">
        <v>3715</v>
      </c>
      <c r="B1711" s="2">
        <v>6970699</v>
      </c>
      <c r="C1711" s="2" t="s">
        <v>1299</v>
      </c>
      <c r="D1711" s="2" t="s">
        <v>28</v>
      </c>
      <c r="E1711" s="2" t="s">
        <v>29</v>
      </c>
      <c r="F1711" s="2" t="s">
        <v>17</v>
      </c>
      <c r="G1711" s="2" t="s">
        <v>3716</v>
      </c>
      <c r="H1711">
        <v>999</v>
      </c>
      <c r="I1711" s="2">
        <v>1999</v>
      </c>
      <c r="J1711" s="2" t="s">
        <v>84</v>
      </c>
      <c r="K1711" s="2" t="s">
        <v>1674</v>
      </c>
      <c r="L1711" s="2">
        <v>4.3</v>
      </c>
      <c r="M1711" s="2">
        <v>734</v>
      </c>
      <c r="P1711" t="str">
        <f t="shared" si="107"/>
        <v>50%</v>
      </c>
      <c r="Q1711" s="12">
        <f t="shared" si="104"/>
        <v>0.5</v>
      </c>
      <c r="R1711" s="9">
        <f t="shared" si="105"/>
        <v>999.5</v>
      </c>
      <c r="S1711" s="9">
        <f>IF(R1711="",AVERAGEIF(Table1[Category],Table1[[#This Row],[Category]],Table2[orignal data]),Table2[[#This Row],[orignal data]])</f>
        <v>999.5</v>
      </c>
      <c r="T1711" t="str">
        <f t="shared" si="106"/>
        <v>UNIQUE</v>
      </c>
      <c r="U1711" t="str">
        <f>IF(ISBLANK(Table1[[#This Row],[SizeOption]]),"NOT AVAILABLE",Table1[[#This Row],[SizeOption]])</f>
        <v>38, 39, 40, 42, 44</v>
      </c>
      <c r="Y1711" t="str">
        <f>IF(Table2[[#This Row],[Column1]]&gt;50%,"HIGH DISCOUNT","LOW DISCOUNT")</f>
        <v>LOW DISCOUNT</v>
      </c>
    </row>
    <row r="1712" spans="1:25" x14ac:dyDescent="0.25">
      <c r="A1712" s="1" t="s">
        <v>3717</v>
      </c>
      <c r="B1712" s="1">
        <v>10535832</v>
      </c>
      <c r="C1712" s="1" t="s">
        <v>102</v>
      </c>
      <c r="D1712" s="1" t="s">
        <v>41</v>
      </c>
      <c r="E1712" s="1" t="s">
        <v>48</v>
      </c>
      <c r="F1712" s="1" t="s">
        <v>36</v>
      </c>
      <c r="G1712" s="1" t="s">
        <v>3718</v>
      </c>
      <c r="I1712" s="1">
        <v>1299</v>
      </c>
      <c r="J1712" s="1" t="s">
        <v>602</v>
      </c>
      <c r="K1712" s="1" t="s">
        <v>26</v>
      </c>
      <c r="L1712" s="1">
        <v>4.0999999999999996</v>
      </c>
      <c r="M1712" s="1">
        <v>734</v>
      </c>
      <c r="P1712" t="str">
        <f t="shared" si="107"/>
        <v>48%</v>
      </c>
      <c r="Q1712" s="12">
        <f t="shared" si="104"/>
        <v>0.48</v>
      </c>
      <c r="R1712" s="9">
        <f t="shared" si="105"/>
        <v>675.48</v>
      </c>
      <c r="S1712" s="9">
        <f>IF(R1712="",AVERAGEIF(Table1[Category],Table1[[#This Row],[Category]],Table2[orignal data]),Table2[[#This Row],[orignal data]])</f>
        <v>675.48</v>
      </c>
      <c r="T1712" t="str">
        <f t="shared" si="106"/>
        <v>UNIQUE</v>
      </c>
      <c r="U1712" t="str">
        <f>IF(ISBLANK(Table1[[#This Row],[SizeOption]]),"NOT AVAILABLE",Table1[[#This Row],[SizeOption]])</f>
        <v>S, M, L, XL</v>
      </c>
      <c r="Y1712" t="str">
        <f>IF(Table2[[#This Row],[Column1]]&gt;50%,"HIGH DISCOUNT","LOW DISCOUNT")</f>
        <v>LOW DISCOUNT</v>
      </c>
    </row>
    <row r="1713" spans="1:25" x14ac:dyDescent="0.25">
      <c r="A1713" s="2" t="s">
        <v>3719</v>
      </c>
      <c r="B1713" s="2">
        <v>13555072</v>
      </c>
      <c r="C1713" s="2" t="s">
        <v>800</v>
      </c>
      <c r="D1713" s="2" t="s">
        <v>41</v>
      </c>
      <c r="E1713" s="2" t="s">
        <v>148</v>
      </c>
      <c r="F1713" s="2" t="s">
        <v>36</v>
      </c>
      <c r="G1713" s="2" t="s">
        <v>3720</v>
      </c>
      <c r="I1713" s="2">
        <v>1699</v>
      </c>
      <c r="J1713" s="2" t="s">
        <v>416</v>
      </c>
      <c r="K1713" s="2" t="s">
        <v>26</v>
      </c>
      <c r="L1713" s="2">
        <v>3.5</v>
      </c>
      <c r="M1713" s="2">
        <v>734</v>
      </c>
      <c r="P1713" t="str">
        <f t="shared" si="107"/>
        <v>64%</v>
      </c>
      <c r="Q1713" s="12">
        <f t="shared" si="104"/>
        <v>0.64</v>
      </c>
      <c r="R1713" s="9">
        <f t="shared" si="105"/>
        <v>611.63999999999987</v>
      </c>
      <c r="S1713" s="9">
        <f>IF(R1713="",AVERAGEIF(Table1[Category],Table1[[#This Row],[Category]],Table2[orignal data]),Table2[[#This Row],[orignal data]])</f>
        <v>611.63999999999987</v>
      </c>
      <c r="T1713" t="str">
        <f t="shared" si="106"/>
        <v>UNIQUE</v>
      </c>
      <c r="U1713" t="str">
        <f>IF(ISBLANK(Table1[[#This Row],[SizeOption]]),"NOT AVAILABLE",Table1[[#This Row],[SizeOption]])</f>
        <v>S, M, L, XL</v>
      </c>
      <c r="Y1713" t="str">
        <f>IF(Table2[[#This Row],[Column1]]&gt;50%,"HIGH DISCOUNT","LOW DISCOUNT")</f>
        <v>HIGH DISCOUNT</v>
      </c>
    </row>
    <row r="1714" spans="1:25" x14ac:dyDescent="0.25">
      <c r="A1714" s="1" t="s">
        <v>3721</v>
      </c>
      <c r="B1714" s="1">
        <v>7766127</v>
      </c>
      <c r="C1714" s="1" t="s">
        <v>102</v>
      </c>
      <c r="D1714" s="1" t="s">
        <v>41</v>
      </c>
      <c r="E1714" s="1" t="s">
        <v>16</v>
      </c>
      <c r="F1714" s="1" t="s">
        <v>36</v>
      </c>
      <c r="G1714" s="1" t="s">
        <v>3722</v>
      </c>
      <c r="I1714" s="1">
        <v>1899</v>
      </c>
      <c r="J1714" s="1" t="s">
        <v>126</v>
      </c>
      <c r="K1714" s="1" t="s">
        <v>428</v>
      </c>
      <c r="L1714" s="1">
        <v>4</v>
      </c>
      <c r="M1714" s="1">
        <v>734</v>
      </c>
      <c r="P1714" t="str">
        <f t="shared" si="107"/>
        <v>62%</v>
      </c>
      <c r="Q1714" s="12">
        <f t="shared" si="104"/>
        <v>0.62</v>
      </c>
      <c r="R1714" s="9">
        <f t="shared" si="105"/>
        <v>721.62000000000012</v>
      </c>
      <c r="S1714" s="9">
        <f>IF(R1714="",AVERAGEIF(Table1[Category],Table1[[#This Row],[Category]],Table2[orignal data]),Table2[[#This Row],[orignal data]])</f>
        <v>721.62000000000012</v>
      </c>
      <c r="T1714" t="str">
        <f t="shared" si="106"/>
        <v>UNIQUE</v>
      </c>
      <c r="U1714" t="str">
        <f>IF(ISBLANK(Table1[[#This Row],[SizeOption]]),"NOT AVAILABLE",Table1[[#This Row],[SizeOption]])</f>
        <v>26, 28, 30, 32, 34</v>
      </c>
      <c r="Y1714" t="str">
        <f>IF(Table2[[#This Row],[Column1]]&gt;50%,"HIGH DISCOUNT","LOW DISCOUNT")</f>
        <v>HIGH DISCOUNT</v>
      </c>
    </row>
    <row r="1715" spans="1:25" x14ac:dyDescent="0.25">
      <c r="A1715" s="2" t="s">
        <v>3723</v>
      </c>
      <c r="B1715" s="2">
        <v>11242132</v>
      </c>
      <c r="C1715" s="2" t="s">
        <v>1773</v>
      </c>
      <c r="D1715" s="2" t="s">
        <v>41</v>
      </c>
      <c r="E1715" s="2" t="s">
        <v>42</v>
      </c>
      <c r="F1715" s="2" t="s">
        <v>36</v>
      </c>
      <c r="G1715" s="2" t="s">
        <v>3724</v>
      </c>
      <c r="I1715" s="2">
        <v>899</v>
      </c>
      <c r="J1715" s="2" t="s">
        <v>55</v>
      </c>
      <c r="K1715" s="2" t="s">
        <v>45</v>
      </c>
      <c r="L1715" s="2">
        <v>4.3</v>
      </c>
      <c r="M1715" s="2">
        <v>734</v>
      </c>
      <c r="P1715" t="str">
        <f t="shared" si="107"/>
        <v>60%</v>
      </c>
      <c r="Q1715" s="12">
        <f t="shared" si="104"/>
        <v>0.6</v>
      </c>
      <c r="R1715" s="9">
        <f t="shared" si="105"/>
        <v>359.6</v>
      </c>
      <c r="S1715" s="9">
        <f>IF(R1715="",AVERAGEIF(Table1[Category],Table1[[#This Row],[Category]],Table2[orignal data]),Table2[[#This Row],[orignal data]])</f>
        <v>359.6</v>
      </c>
      <c r="T1715" t="str">
        <f t="shared" si="106"/>
        <v>UNIQUE</v>
      </c>
      <c r="U1715" t="str">
        <f>IF(ISBLANK(Table1[[#This Row],[SizeOption]]),"NOT AVAILABLE",Table1[[#This Row],[SizeOption]])</f>
        <v>XS, S, M, L, XL</v>
      </c>
      <c r="Y1715" t="str">
        <f>IF(Table2[[#This Row],[Column1]]&gt;50%,"HIGH DISCOUNT","LOW DISCOUNT")</f>
        <v>HIGH DISCOUNT</v>
      </c>
    </row>
    <row r="1716" spans="1:25" x14ac:dyDescent="0.25">
      <c r="A1716" s="1" t="s">
        <v>3725</v>
      </c>
      <c r="B1716" s="1">
        <v>12220464</v>
      </c>
      <c r="C1716" s="1" t="s">
        <v>184</v>
      </c>
      <c r="D1716" s="1" t="s">
        <v>41</v>
      </c>
      <c r="E1716" s="1" t="s">
        <v>148</v>
      </c>
      <c r="F1716" s="1" t="s">
        <v>36</v>
      </c>
      <c r="G1716" s="1" t="s">
        <v>3726</v>
      </c>
      <c r="I1716" s="1">
        <v>999</v>
      </c>
      <c r="J1716" s="1" t="s">
        <v>528</v>
      </c>
      <c r="K1716" s="1" t="s">
        <v>39</v>
      </c>
      <c r="L1716" s="1">
        <v>4.3</v>
      </c>
      <c r="M1716" s="1">
        <v>734</v>
      </c>
      <c r="P1716" t="str">
        <f t="shared" si="107"/>
        <v>500</v>
      </c>
      <c r="Q1716" s="12">
        <f t="shared" si="104"/>
        <v>0.50050050050050054</v>
      </c>
      <c r="R1716" s="9">
        <f t="shared" si="105"/>
        <v>498.99999999999994</v>
      </c>
      <c r="S1716" s="9">
        <f>IF(R1716="",AVERAGEIF(Table1[Category],Table1[[#This Row],[Category]],Table2[orignal data]),Table2[[#This Row],[orignal data]])</f>
        <v>498.99999999999994</v>
      </c>
      <c r="T1716" t="str">
        <f t="shared" si="106"/>
        <v>UNIQUE</v>
      </c>
      <c r="U1716" t="str">
        <f>IF(ISBLANK(Table1[[#This Row],[SizeOption]]),"NOT AVAILABLE",Table1[[#This Row],[SizeOption]])</f>
        <v>S, M, L, XL, XXL</v>
      </c>
      <c r="Y1716" t="str">
        <f>IF(Table2[[#This Row],[Column1]]&gt;50%,"HIGH DISCOUNT","LOW DISCOUNT")</f>
        <v>HIGH DISCOUNT</v>
      </c>
    </row>
    <row r="1717" spans="1:25" x14ac:dyDescent="0.25">
      <c r="A1717" s="2" t="s">
        <v>3727</v>
      </c>
      <c r="B1717" s="2">
        <v>11363516</v>
      </c>
      <c r="C1717" s="2" t="s">
        <v>169</v>
      </c>
      <c r="D1717" s="2" t="s">
        <v>28</v>
      </c>
      <c r="E1717" s="2" t="s">
        <v>42</v>
      </c>
      <c r="F1717" s="2" t="s">
        <v>17</v>
      </c>
      <c r="G1717" s="2" t="s">
        <v>3728</v>
      </c>
      <c r="H1717">
        <v>599</v>
      </c>
      <c r="I1717" s="2">
        <v>1199</v>
      </c>
      <c r="J1717" s="2" t="s">
        <v>84</v>
      </c>
      <c r="K1717" s="2" t="s">
        <v>39</v>
      </c>
      <c r="L1717" s="2">
        <v>4.4000000000000004</v>
      </c>
      <c r="M1717" s="2">
        <v>733</v>
      </c>
      <c r="P1717" t="str">
        <f t="shared" si="107"/>
        <v>50%</v>
      </c>
      <c r="Q1717" s="12">
        <f t="shared" si="104"/>
        <v>0.5</v>
      </c>
      <c r="R1717" s="9">
        <f t="shared" si="105"/>
        <v>599.5</v>
      </c>
      <c r="S1717" s="9">
        <f>IF(R1717="",AVERAGEIF(Table1[Category],Table1[[#This Row],[Category]],Table2[orignal data]),Table2[[#This Row],[orignal data]])</f>
        <v>599.5</v>
      </c>
      <c r="T1717" t="str">
        <f t="shared" si="106"/>
        <v>UNIQUE</v>
      </c>
      <c r="U1717" t="str">
        <f>IF(ISBLANK(Table1[[#This Row],[SizeOption]]),"NOT AVAILABLE",Table1[[#This Row],[SizeOption]])</f>
        <v>S, M, L, XL, XXL</v>
      </c>
      <c r="Y1717" t="str">
        <f>IF(Table2[[#This Row],[Column1]]&gt;50%,"HIGH DISCOUNT","LOW DISCOUNT")</f>
        <v>LOW DISCOUNT</v>
      </c>
    </row>
    <row r="1718" spans="1:25" x14ac:dyDescent="0.25">
      <c r="A1718" s="1" t="s">
        <v>3729</v>
      </c>
      <c r="B1718" s="1">
        <v>10356877</v>
      </c>
      <c r="C1718" s="1" t="s">
        <v>113</v>
      </c>
      <c r="D1718" s="1" t="s">
        <v>28</v>
      </c>
      <c r="E1718" s="1" t="s">
        <v>29</v>
      </c>
      <c r="F1718" s="1" t="s">
        <v>17</v>
      </c>
      <c r="G1718" s="1" t="s">
        <v>3730</v>
      </c>
      <c r="H1718">
        <v>674</v>
      </c>
      <c r="I1718" s="1">
        <v>1499</v>
      </c>
      <c r="J1718" s="1" t="s">
        <v>25</v>
      </c>
      <c r="K1718" s="1" t="s">
        <v>361</v>
      </c>
      <c r="L1718" s="1">
        <v>4.0999999999999996</v>
      </c>
      <c r="M1718" s="1">
        <v>733</v>
      </c>
      <c r="P1718" t="str">
        <f t="shared" si="107"/>
        <v>55%</v>
      </c>
      <c r="Q1718" s="12">
        <f t="shared" si="104"/>
        <v>0.55000000000000004</v>
      </c>
      <c r="R1718" s="9">
        <f t="shared" si="105"/>
        <v>674.55</v>
      </c>
      <c r="S1718" s="9">
        <f>IF(R1718="",AVERAGEIF(Table1[Category],Table1[[#This Row],[Category]],Table2[orignal data]),Table2[[#This Row],[orignal data]])</f>
        <v>674.55</v>
      </c>
      <c r="T1718" t="str">
        <f t="shared" si="106"/>
        <v>UNIQUE</v>
      </c>
      <c r="U1718" t="str">
        <f>IF(ISBLANK(Table1[[#This Row],[SizeOption]]),"NOT AVAILABLE",Table1[[#This Row],[SizeOption]])</f>
        <v>38, 40, 42, 44, 46</v>
      </c>
      <c r="Y1718" t="str">
        <f>IF(Table2[[#This Row],[Column1]]&gt;50%,"HIGH DISCOUNT","LOW DISCOUNT")</f>
        <v>HIGH DISCOUNT</v>
      </c>
    </row>
    <row r="1719" spans="1:25" x14ac:dyDescent="0.25">
      <c r="A1719" s="2" t="s">
        <v>3731</v>
      </c>
      <c r="B1719" s="2">
        <v>2232091</v>
      </c>
      <c r="C1719" s="2" t="s">
        <v>47</v>
      </c>
      <c r="D1719" s="2" t="s">
        <v>28</v>
      </c>
      <c r="E1719" s="2" t="s">
        <v>42</v>
      </c>
      <c r="F1719" s="2" t="s">
        <v>17</v>
      </c>
      <c r="G1719" s="2" t="s">
        <v>3732</v>
      </c>
      <c r="H1719">
        <v>239</v>
      </c>
      <c r="I1719" s="2">
        <v>599</v>
      </c>
      <c r="J1719" s="2" t="s">
        <v>55</v>
      </c>
      <c r="K1719" s="2" t="s">
        <v>26</v>
      </c>
      <c r="L1719" s="2">
        <v>4.3</v>
      </c>
      <c r="M1719" s="2">
        <v>733</v>
      </c>
      <c r="P1719" t="str">
        <f t="shared" si="107"/>
        <v>60%</v>
      </c>
      <c r="Q1719" s="12">
        <f t="shared" si="104"/>
        <v>0.6</v>
      </c>
      <c r="R1719" s="9">
        <f t="shared" si="105"/>
        <v>239.60000000000002</v>
      </c>
      <c r="S1719" s="9">
        <f>IF(R1719="",AVERAGEIF(Table1[Category],Table1[[#This Row],[Category]],Table2[orignal data]),Table2[[#This Row],[orignal data]])</f>
        <v>239.60000000000002</v>
      </c>
      <c r="T1719" t="str">
        <f t="shared" si="106"/>
        <v>UNIQUE</v>
      </c>
      <c r="U1719" t="str">
        <f>IF(ISBLANK(Table1[[#This Row],[SizeOption]]),"NOT AVAILABLE",Table1[[#This Row],[SizeOption]])</f>
        <v>S, M, L, XL</v>
      </c>
      <c r="Y1719" t="str">
        <f>IF(Table2[[#This Row],[Column1]]&gt;50%,"HIGH DISCOUNT","LOW DISCOUNT")</f>
        <v>HIGH DISCOUNT</v>
      </c>
    </row>
    <row r="1720" spans="1:25" x14ac:dyDescent="0.25">
      <c r="A1720" s="1" t="s">
        <v>3733</v>
      </c>
      <c r="B1720" s="1">
        <v>13237744</v>
      </c>
      <c r="C1720" s="1" t="s">
        <v>113</v>
      </c>
      <c r="D1720" s="1" t="s">
        <v>76</v>
      </c>
      <c r="E1720" s="1" t="s">
        <v>77</v>
      </c>
      <c r="F1720" s="1" t="s">
        <v>36</v>
      </c>
      <c r="G1720" s="1" t="s">
        <v>3734</v>
      </c>
      <c r="H1720">
        <v>629</v>
      </c>
      <c r="I1720" s="1">
        <v>1799</v>
      </c>
      <c r="J1720" s="1" t="s">
        <v>150</v>
      </c>
      <c r="K1720" s="1" t="s">
        <v>115</v>
      </c>
      <c r="L1720" s="1">
        <v>3.9</v>
      </c>
      <c r="M1720" s="1">
        <v>733</v>
      </c>
      <c r="P1720" t="str">
        <f t="shared" si="107"/>
        <v>65%</v>
      </c>
      <c r="Q1720" s="12">
        <f t="shared" si="104"/>
        <v>0.65</v>
      </c>
      <c r="R1720" s="9">
        <f t="shared" si="105"/>
        <v>629.64999999999986</v>
      </c>
      <c r="S1720" s="9">
        <f>IF(R1720="",AVERAGEIF(Table1[Category],Table1[[#This Row],[Category]],Table2[orignal data]),Table2[[#This Row],[orignal data]])</f>
        <v>629.64999999999986</v>
      </c>
      <c r="T1720" t="str">
        <f t="shared" si="106"/>
        <v>UNIQUE</v>
      </c>
      <c r="U1720" t="str">
        <f>IF(ISBLANK(Table1[[#This Row],[SizeOption]]),"NOT AVAILABLE",Table1[[#This Row],[SizeOption]])</f>
        <v>XS, S, M, L, XL, XXL</v>
      </c>
      <c r="Y1720" t="str">
        <f>IF(Table2[[#This Row],[Column1]]&gt;50%,"HIGH DISCOUNT","LOW DISCOUNT")</f>
        <v>HIGH DISCOUNT</v>
      </c>
    </row>
    <row r="1721" spans="1:25" x14ac:dyDescent="0.25">
      <c r="A1721" s="2" t="s">
        <v>3735</v>
      </c>
      <c r="B1721" s="2">
        <v>11048812</v>
      </c>
      <c r="C1721" s="2" t="s">
        <v>3736</v>
      </c>
      <c r="D1721" s="2" t="s">
        <v>76</v>
      </c>
      <c r="E1721" s="2" t="s">
        <v>93</v>
      </c>
      <c r="F1721" s="2" t="s">
        <v>36</v>
      </c>
      <c r="G1721" s="2" t="s">
        <v>3737</v>
      </c>
      <c r="H1721">
        <v>1078</v>
      </c>
      <c r="I1721" s="2">
        <v>2200</v>
      </c>
      <c r="J1721" s="2" t="s">
        <v>163</v>
      </c>
      <c r="K1721" s="2" t="s">
        <v>115</v>
      </c>
      <c r="L1721" s="2">
        <v>4.5</v>
      </c>
      <c r="M1721" s="2">
        <v>733</v>
      </c>
      <c r="P1721" t="str">
        <f t="shared" si="107"/>
        <v>51%</v>
      </c>
      <c r="Q1721" s="12">
        <f t="shared" si="104"/>
        <v>0.51</v>
      </c>
      <c r="R1721" s="9">
        <f t="shared" si="105"/>
        <v>1078</v>
      </c>
      <c r="S1721" s="9">
        <f>IF(R1721="",AVERAGEIF(Table1[Category],Table1[[#This Row],[Category]],Table2[orignal data]),Table2[[#This Row],[orignal data]])</f>
        <v>1078</v>
      </c>
      <c r="T1721" t="str">
        <f t="shared" si="106"/>
        <v>UNIQUE</v>
      </c>
      <c r="U1721" t="str">
        <f>IF(ISBLANK(Table1[[#This Row],[SizeOption]]),"NOT AVAILABLE",Table1[[#This Row],[SizeOption]])</f>
        <v>XS, S, M, L, XL, XXL</v>
      </c>
      <c r="Y1721" t="str">
        <f>IF(Table2[[#This Row],[Column1]]&gt;50%,"HIGH DISCOUNT","LOW DISCOUNT")</f>
        <v>HIGH DISCOUNT</v>
      </c>
    </row>
    <row r="1722" spans="1:25" x14ac:dyDescent="0.25">
      <c r="A1722" s="1" t="s">
        <v>3738</v>
      </c>
      <c r="B1722" s="1">
        <v>8349555</v>
      </c>
      <c r="C1722" s="1" t="s">
        <v>97</v>
      </c>
      <c r="D1722" s="1" t="s">
        <v>98</v>
      </c>
      <c r="E1722" s="1" t="s">
        <v>1708</v>
      </c>
      <c r="F1722" s="1" t="s">
        <v>36</v>
      </c>
      <c r="G1722" s="1" t="s">
        <v>3739</v>
      </c>
      <c r="H1722">
        <v>1099</v>
      </c>
      <c r="I1722" s="1">
        <v>1999</v>
      </c>
      <c r="J1722" s="1" t="s">
        <v>19</v>
      </c>
      <c r="K1722" s="1" t="s">
        <v>100</v>
      </c>
      <c r="L1722" s="1">
        <v>4.3</v>
      </c>
      <c r="M1722" s="1">
        <v>733</v>
      </c>
      <c r="P1722" t="str">
        <f t="shared" si="107"/>
        <v>45%</v>
      </c>
      <c r="Q1722" s="12">
        <f t="shared" si="104"/>
        <v>0.45</v>
      </c>
      <c r="R1722" s="9">
        <f t="shared" si="105"/>
        <v>1099.4499999999998</v>
      </c>
      <c r="S1722" s="9">
        <f>IF(R1722="",AVERAGEIF(Table1[Category],Table1[[#This Row],[Category]],Table2[orignal data]),Table2[[#This Row],[orignal data]])</f>
        <v>1099.4499999999998</v>
      </c>
      <c r="T1722" t="str">
        <f t="shared" si="106"/>
        <v>UNIQUE</v>
      </c>
      <c r="U1722" t="str">
        <f>IF(ISBLANK(Table1[[#This Row],[SizeOption]]),"NOT AVAILABLE",Table1[[#This Row],[SizeOption]])</f>
        <v>XS, S, M, L, XL, XXL, 3XL</v>
      </c>
      <c r="Y1722" t="str">
        <f>IF(Table2[[#This Row],[Column1]]&gt;50%,"HIGH DISCOUNT","LOW DISCOUNT")</f>
        <v>LOW DISCOUNT</v>
      </c>
    </row>
    <row r="1723" spans="1:25" x14ac:dyDescent="0.25">
      <c r="A1723" s="2" t="s">
        <v>3740</v>
      </c>
      <c r="B1723" s="2">
        <v>13735306</v>
      </c>
      <c r="C1723" s="2" t="s">
        <v>3741</v>
      </c>
      <c r="D1723" s="2" t="s">
        <v>68</v>
      </c>
      <c r="E1723" s="2" t="s">
        <v>69</v>
      </c>
      <c r="F1723" s="2" t="s">
        <v>36</v>
      </c>
      <c r="G1723" s="2" t="s">
        <v>3742</v>
      </c>
      <c r="H1723">
        <v>1317</v>
      </c>
      <c r="I1723" s="2">
        <v>2195</v>
      </c>
      <c r="J1723" s="2" t="s">
        <v>50</v>
      </c>
      <c r="K1723" s="2" t="s">
        <v>115</v>
      </c>
      <c r="L1723" s="2">
        <v>4.0999999999999996</v>
      </c>
      <c r="M1723" s="2">
        <v>733</v>
      </c>
      <c r="P1723" t="str">
        <f t="shared" si="107"/>
        <v>40%</v>
      </c>
      <c r="Q1723" s="12">
        <f t="shared" si="104"/>
        <v>0.4</v>
      </c>
      <c r="R1723" s="9">
        <f t="shared" si="105"/>
        <v>1317</v>
      </c>
      <c r="S1723" s="9">
        <f>IF(R1723="",AVERAGEIF(Table1[Category],Table1[[#This Row],[Category]],Table2[orignal data]),Table2[[#This Row],[orignal data]])</f>
        <v>1317</v>
      </c>
      <c r="T1723" t="str">
        <f t="shared" si="106"/>
        <v>UNIQUE</v>
      </c>
      <c r="U1723" t="str">
        <f>IF(ISBLANK(Table1[[#This Row],[SizeOption]]),"NOT AVAILABLE",Table1[[#This Row],[SizeOption]])</f>
        <v>XS, S, M, L, XL, XXL</v>
      </c>
      <c r="Y1723" t="str">
        <f>IF(Table2[[#This Row],[Column1]]&gt;50%,"HIGH DISCOUNT","LOW DISCOUNT")</f>
        <v>LOW DISCOUNT</v>
      </c>
    </row>
    <row r="1724" spans="1:25" x14ac:dyDescent="0.25">
      <c r="A1724" s="1" t="s">
        <v>3743</v>
      </c>
      <c r="B1724" s="1">
        <v>10658938</v>
      </c>
      <c r="C1724" s="1" t="s">
        <v>124</v>
      </c>
      <c r="D1724" s="1" t="s">
        <v>41</v>
      </c>
      <c r="E1724" s="1" t="s">
        <v>29</v>
      </c>
      <c r="F1724" s="1" t="s">
        <v>36</v>
      </c>
      <c r="G1724" s="1" t="s">
        <v>3744</v>
      </c>
      <c r="I1724" s="1">
        <v>1199</v>
      </c>
      <c r="J1724" s="1" t="s">
        <v>25</v>
      </c>
      <c r="K1724" s="1" t="s">
        <v>115</v>
      </c>
      <c r="L1724" s="1">
        <v>4.2</v>
      </c>
      <c r="M1724" s="1">
        <v>733</v>
      </c>
      <c r="P1724" t="str">
        <f t="shared" si="107"/>
        <v>55%</v>
      </c>
      <c r="Q1724" s="12">
        <f t="shared" si="104"/>
        <v>0.55000000000000004</v>
      </c>
      <c r="R1724" s="9">
        <f t="shared" si="105"/>
        <v>539.54999999999995</v>
      </c>
      <c r="S1724" s="9">
        <f>IF(R1724="",AVERAGEIF(Table1[Category],Table1[[#This Row],[Category]],Table2[orignal data]),Table2[[#This Row],[orignal data]])</f>
        <v>539.54999999999995</v>
      </c>
      <c r="T1724" t="str">
        <f t="shared" si="106"/>
        <v>UNIQUE</v>
      </c>
      <c r="U1724" t="str">
        <f>IF(ISBLANK(Table1[[#This Row],[SizeOption]]),"NOT AVAILABLE",Table1[[#This Row],[SizeOption]])</f>
        <v>XS, S, M, L, XL, XXL</v>
      </c>
      <c r="Y1724" t="str">
        <f>IF(Table2[[#This Row],[Column1]]&gt;50%,"HIGH DISCOUNT","LOW DISCOUNT")</f>
        <v>HIGH DISCOUNT</v>
      </c>
    </row>
    <row r="1725" spans="1:25" x14ac:dyDescent="0.25">
      <c r="A1725" s="2" t="s">
        <v>3745</v>
      </c>
      <c r="B1725" s="2">
        <v>9404673</v>
      </c>
      <c r="C1725" s="2" t="s">
        <v>2641</v>
      </c>
      <c r="D1725" s="2" t="s">
        <v>41</v>
      </c>
      <c r="E1725" s="2" t="s">
        <v>368</v>
      </c>
      <c r="F1725" s="2" t="s">
        <v>36</v>
      </c>
      <c r="G1725" s="2" t="s">
        <v>3746</v>
      </c>
      <c r="I1725" s="2">
        <v>1399</v>
      </c>
      <c r="J1725" s="2" t="s">
        <v>55</v>
      </c>
      <c r="K1725" s="2" t="s">
        <v>1252</v>
      </c>
      <c r="L1725" s="2">
        <v>4</v>
      </c>
      <c r="M1725" s="2">
        <v>733</v>
      </c>
      <c r="P1725" t="str">
        <f t="shared" si="107"/>
        <v>60%</v>
      </c>
      <c r="Q1725" s="12">
        <f t="shared" si="104"/>
        <v>0.6</v>
      </c>
      <c r="R1725" s="9">
        <f t="shared" si="105"/>
        <v>559.6</v>
      </c>
      <c r="S1725" s="9">
        <f>IF(R1725="",AVERAGEIF(Table1[Category],Table1[[#This Row],[Category]],Table2[orignal data]),Table2[[#This Row],[orignal data]])</f>
        <v>559.6</v>
      </c>
      <c r="T1725" t="str">
        <f t="shared" si="106"/>
        <v>UNIQUE</v>
      </c>
      <c r="U1725" t="str">
        <f>IF(ISBLANK(Table1[[#This Row],[SizeOption]]),"NOT AVAILABLE",Table1[[#This Row],[SizeOption]])</f>
        <v>26, 28, 30, 32</v>
      </c>
      <c r="Y1725" t="str">
        <f>IF(Table2[[#This Row],[Column1]]&gt;50%,"HIGH DISCOUNT","LOW DISCOUNT")</f>
        <v>HIGH DISCOUNT</v>
      </c>
    </row>
    <row r="1726" spans="1:25" x14ac:dyDescent="0.25">
      <c r="A1726" s="1" t="s">
        <v>3747</v>
      </c>
      <c r="B1726" s="1">
        <v>11991116</v>
      </c>
      <c r="C1726" s="1" t="s">
        <v>14</v>
      </c>
      <c r="D1726" s="1" t="s">
        <v>41</v>
      </c>
      <c r="E1726" s="1" t="s">
        <v>306</v>
      </c>
      <c r="F1726" s="1" t="s">
        <v>36</v>
      </c>
      <c r="G1726" s="1" t="s">
        <v>3748</v>
      </c>
      <c r="I1726" s="1">
        <v>999</v>
      </c>
      <c r="J1726" s="1" t="s">
        <v>186</v>
      </c>
      <c r="K1726" s="1" t="s">
        <v>115</v>
      </c>
      <c r="L1726" s="1">
        <v>4.3</v>
      </c>
      <c r="M1726" s="1">
        <v>733</v>
      </c>
      <c r="P1726" t="str">
        <f t="shared" si="107"/>
        <v>30%</v>
      </c>
      <c r="Q1726" s="12">
        <f t="shared" si="104"/>
        <v>0.3</v>
      </c>
      <c r="R1726" s="9">
        <f t="shared" si="105"/>
        <v>699.3</v>
      </c>
      <c r="S1726" s="9">
        <f>IF(R1726="",AVERAGEIF(Table1[Category],Table1[[#This Row],[Category]],Table2[orignal data]),Table2[[#This Row],[orignal data]])</f>
        <v>699.3</v>
      </c>
      <c r="T1726" t="str">
        <f t="shared" si="106"/>
        <v>UNIQUE</v>
      </c>
      <c r="U1726" t="str">
        <f>IF(ISBLANK(Table1[[#This Row],[SizeOption]]),"NOT AVAILABLE",Table1[[#This Row],[SizeOption]])</f>
        <v>XS, S, M, L, XL, XXL</v>
      </c>
      <c r="Y1726" t="str">
        <f>IF(Table2[[#This Row],[Column1]]&gt;50%,"HIGH DISCOUNT","LOW DISCOUNT")</f>
        <v>LOW DISCOUNT</v>
      </c>
    </row>
    <row r="1727" spans="1:25" x14ac:dyDescent="0.25">
      <c r="A1727" s="2" t="s">
        <v>3749</v>
      </c>
      <c r="B1727" s="2">
        <v>1874587</v>
      </c>
      <c r="C1727" s="2" t="s">
        <v>841</v>
      </c>
      <c r="D1727" s="2" t="s">
        <v>15</v>
      </c>
      <c r="E1727" s="2" t="s">
        <v>137</v>
      </c>
      <c r="F1727" s="2" t="s">
        <v>17</v>
      </c>
      <c r="G1727" s="2" t="s">
        <v>3750</v>
      </c>
      <c r="H1727">
        <v>899</v>
      </c>
      <c r="I1727" s="2">
        <v>1499</v>
      </c>
      <c r="J1727" s="2" t="s">
        <v>50</v>
      </c>
      <c r="K1727" s="2" t="s">
        <v>20</v>
      </c>
      <c r="L1727" s="2">
        <v>4.4000000000000004</v>
      </c>
      <c r="M1727" s="2">
        <v>732</v>
      </c>
      <c r="P1727" t="str">
        <f t="shared" si="107"/>
        <v>40%</v>
      </c>
      <c r="Q1727" s="12">
        <f t="shared" si="104"/>
        <v>0.4</v>
      </c>
      <c r="R1727" s="9">
        <f t="shared" si="105"/>
        <v>899.4</v>
      </c>
      <c r="S1727" s="9">
        <f>IF(R1727="",AVERAGEIF(Table1[Category],Table1[[#This Row],[Category]],Table2[orignal data]),Table2[[#This Row],[orignal data]])</f>
        <v>899.4</v>
      </c>
      <c r="T1727" t="str">
        <f t="shared" si="106"/>
        <v>UNIQUE</v>
      </c>
      <c r="U1727" t="str">
        <f>IF(ISBLANK(Table1[[#This Row],[SizeOption]]),"NOT AVAILABLE",Table1[[#This Row],[SizeOption]])</f>
        <v>28, 30, 32, 34, 36</v>
      </c>
      <c r="Y1727" t="str">
        <f>IF(Table2[[#This Row],[Column1]]&gt;50%,"HIGH DISCOUNT","LOW DISCOUNT")</f>
        <v>LOW DISCOUNT</v>
      </c>
    </row>
    <row r="1728" spans="1:25" x14ac:dyDescent="0.25">
      <c r="A1728" s="1" t="s">
        <v>3751</v>
      </c>
      <c r="B1728" s="1">
        <v>6831812</v>
      </c>
      <c r="C1728" s="1" t="s">
        <v>14</v>
      </c>
      <c r="D1728" s="1" t="s">
        <v>197</v>
      </c>
      <c r="E1728" s="1" t="s">
        <v>198</v>
      </c>
      <c r="F1728" s="1" t="s">
        <v>17</v>
      </c>
      <c r="G1728" s="1" t="s">
        <v>3752</v>
      </c>
      <c r="H1728">
        <v>314</v>
      </c>
      <c r="I1728" s="1">
        <v>449</v>
      </c>
      <c r="J1728" s="1" t="s">
        <v>186</v>
      </c>
      <c r="K1728" s="1" t="s">
        <v>164</v>
      </c>
      <c r="L1728" s="1">
        <v>4.0999999999999996</v>
      </c>
      <c r="M1728" s="1">
        <v>732</v>
      </c>
      <c r="P1728" t="str">
        <f t="shared" si="107"/>
        <v>30%</v>
      </c>
      <c r="Q1728" s="12">
        <f t="shared" si="104"/>
        <v>0.3</v>
      </c>
      <c r="R1728" s="9">
        <f t="shared" si="105"/>
        <v>314.3</v>
      </c>
      <c r="S1728" s="9">
        <f>IF(R1728="",AVERAGEIF(Table1[Category],Table1[[#This Row],[Category]],Table2[orignal data]),Table2[[#This Row],[orignal data]])</f>
        <v>314.3</v>
      </c>
      <c r="T1728" t="str">
        <f t="shared" si="106"/>
        <v>UNIQUE</v>
      </c>
      <c r="U1728" t="str">
        <f>IF(ISBLANK(Table1[[#This Row],[SizeOption]]),"NOT AVAILABLE",Table1[[#This Row],[SizeOption]])</f>
        <v>Onesize</v>
      </c>
      <c r="Y1728" t="str">
        <f>IF(Table2[[#This Row],[Column1]]&gt;50%,"HIGH DISCOUNT","LOW DISCOUNT")</f>
        <v>LOW DISCOUNT</v>
      </c>
    </row>
    <row r="1729" spans="1:25" x14ac:dyDescent="0.25">
      <c r="A1729" s="2" t="s">
        <v>3753</v>
      </c>
      <c r="B1729" s="2">
        <v>11807564</v>
      </c>
      <c r="C1729" s="2" t="s">
        <v>563</v>
      </c>
      <c r="D1729" s="2" t="s">
        <v>197</v>
      </c>
      <c r="E1729" s="2" t="s">
        <v>518</v>
      </c>
      <c r="F1729" s="2" t="s">
        <v>17</v>
      </c>
      <c r="G1729" s="2" t="s">
        <v>3754</v>
      </c>
      <c r="H1729">
        <v>988</v>
      </c>
      <c r="I1729" s="2">
        <v>1798</v>
      </c>
      <c r="J1729" s="2" t="s">
        <v>19</v>
      </c>
      <c r="K1729" s="2" t="s">
        <v>39</v>
      </c>
      <c r="L1729" s="2">
        <v>4</v>
      </c>
      <c r="M1729" s="2">
        <v>732</v>
      </c>
      <c r="P1729" t="str">
        <f t="shared" si="107"/>
        <v>45%</v>
      </c>
      <c r="Q1729" s="12">
        <f t="shared" si="104"/>
        <v>0.45</v>
      </c>
      <c r="R1729" s="9">
        <f t="shared" si="105"/>
        <v>988.9</v>
      </c>
      <c r="S1729" s="9">
        <f>IF(R1729="",AVERAGEIF(Table1[Category],Table1[[#This Row],[Category]],Table2[orignal data]),Table2[[#This Row],[orignal data]])</f>
        <v>988.9</v>
      </c>
      <c r="T1729" t="str">
        <f t="shared" si="106"/>
        <v>UNIQUE</v>
      </c>
      <c r="U1729" t="str">
        <f>IF(ISBLANK(Table1[[#This Row],[SizeOption]]),"NOT AVAILABLE",Table1[[#This Row],[SizeOption]])</f>
        <v>S, M, L, XL, XXL</v>
      </c>
      <c r="Y1729" t="str">
        <f>IF(Table2[[#This Row],[Column1]]&gt;50%,"HIGH DISCOUNT","LOW DISCOUNT")</f>
        <v>LOW DISCOUNT</v>
      </c>
    </row>
    <row r="1730" spans="1:25" x14ac:dyDescent="0.25">
      <c r="A1730" s="1" t="s">
        <v>3755</v>
      </c>
      <c r="B1730" s="1">
        <v>2340658</v>
      </c>
      <c r="C1730" s="1" t="s">
        <v>14</v>
      </c>
      <c r="D1730" s="1" t="s">
        <v>28</v>
      </c>
      <c r="E1730" s="1" t="s">
        <v>42</v>
      </c>
      <c r="F1730" s="1" t="s">
        <v>17</v>
      </c>
      <c r="G1730" s="1" t="s">
        <v>3756</v>
      </c>
      <c r="I1730" s="1">
        <v>699</v>
      </c>
      <c r="J1730" s="1"/>
      <c r="K1730" s="1" t="s">
        <v>100</v>
      </c>
      <c r="L1730" s="1">
        <v>4.2</v>
      </c>
      <c r="M1730" s="1">
        <v>732</v>
      </c>
      <c r="P1730" t="str">
        <f t="shared" si="107"/>
        <v/>
      </c>
      <c r="Q1730" s="12" t="str">
        <f t="shared" ref="Q1730:Q1793" si="108">IF(P1730="","",IF(ISNUMBER(SEARCH("%",P1730)),P1730,P1730/I1730)*100%)</f>
        <v/>
      </c>
      <c r="R1730" s="9" t="str">
        <f t="shared" ref="R1730:R1793" si="109">IF(P1730="","",I1730-(I1730*Q1730))</f>
        <v/>
      </c>
      <c r="S1730" s="9">
        <f>IF(R1730="",AVERAGEIF(Table1[Category],Table1[[#This Row],[Category]],Table2[orignal data]),Table2[[#This Row],[orignal data]])</f>
        <v>671.7823941958867</v>
      </c>
      <c r="T1730" t="str">
        <f t="shared" ref="T1730:T1793" si="110">IF(COUNTIF($B$2:$B$5000,B1730)&gt;1,"DUPLICATE","UNIQUE")</f>
        <v>UNIQUE</v>
      </c>
      <c r="U1730" t="str">
        <f>IF(ISBLANK(Table1[[#This Row],[SizeOption]]),"NOT AVAILABLE",Table1[[#This Row],[SizeOption]])</f>
        <v>XS, S, M, L, XL, XXL, 3XL</v>
      </c>
      <c r="Y1730" t="str">
        <f>IF(Table2[[#This Row],[Column1]]&gt;50%,"HIGH DISCOUNT","LOW DISCOUNT")</f>
        <v>HIGH DISCOUNT</v>
      </c>
    </row>
    <row r="1731" spans="1:25" x14ac:dyDescent="0.25">
      <c r="A1731" s="2" t="s">
        <v>3757</v>
      </c>
      <c r="B1731" s="2">
        <v>10579766</v>
      </c>
      <c r="C1731" s="2" t="s">
        <v>3466</v>
      </c>
      <c r="D1731" s="2" t="s">
        <v>76</v>
      </c>
      <c r="E1731" s="2" t="s">
        <v>148</v>
      </c>
      <c r="F1731" s="2" t="s">
        <v>36</v>
      </c>
      <c r="G1731" s="2" t="s">
        <v>3758</v>
      </c>
      <c r="H1731">
        <v>1039</v>
      </c>
      <c r="I1731" s="2">
        <v>1999</v>
      </c>
      <c r="J1731" s="2" t="s">
        <v>602</v>
      </c>
      <c r="K1731" s="2" t="s">
        <v>100</v>
      </c>
      <c r="L1731" s="2">
        <v>4</v>
      </c>
      <c r="M1731" s="2">
        <v>732</v>
      </c>
      <c r="P1731" t="str">
        <f t="shared" ref="P1731:P1794" si="111">TRIM(SUBSTITUTE(SUBSTITUTE(SUBSTITUTE(SUBSTITUTE(J1731,"OFF",""),"Rs.",""),"Hurry*",""),",",""))</f>
        <v>48%</v>
      </c>
      <c r="Q1731" s="12">
        <f t="shared" si="108"/>
        <v>0.48</v>
      </c>
      <c r="R1731" s="9">
        <f t="shared" si="109"/>
        <v>1039.48</v>
      </c>
      <c r="S1731" s="9">
        <f>IF(R1731="",AVERAGEIF(Table1[Category],Table1[[#This Row],[Category]],Table2[orignal data]),Table2[[#This Row],[orignal data]])</f>
        <v>1039.48</v>
      </c>
      <c r="T1731" t="str">
        <f t="shared" si="110"/>
        <v>UNIQUE</v>
      </c>
      <c r="U1731" t="str">
        <f>IF(ISBLANK(Table1[[#This Row],[SizeOption]]),"NOT AVAILABLE",Table1[[#This Row],[SizeOption]])</f>
        <v>XS, S, M, L, XL, XXL, 3XL</v>
      </c>
      <c r="Y1731" t="str">
        <f>IF(Table2[[#This Row],[Column1]]&gt;50%,"HIGH DISCOUNT","LOW DISCOUNT")</f>
        <v>LOW DISCOUNT</v>
      </c>
    </row>
    <row r="1732" spans="1:25" x14ac:dyDescent="0.25">
      <c r="A1732" s="1" t="s">
        <v>3759</v>
      </c>
      <c r="B1732" s="1">
        <v>9478741</v>
      </c>
      <c r="C1732" s="1" t="s">
        <v>14</v>
      </c>
      <c r="D1732" s="1" t="s">
        <v>41</v>
      </c>
      <c r="E1732" s="1" t="s">
        <v>189</v>
      </c>
      <c r="F1732" s="1" t="s">
        <v>36</v>
      </c>
      <c r="G1732" s="1" t="s">
        <v>3760</v>
      </c>
      <c r="I1732" s="1">
        <v>2999</v>
      </c>
      <c r="J1732" s="1" t="s">
        <v>150</v>
      </c>
      <c r="K1732" s="1" t="s">
        <v>115</v>
      </c>
      <c r="L1732" s="1">
        <v>4.3</v>
      </c>
      <c r="M1732" s="1">
        <v>732</v>
      </c>
      <c r="P1732" t="str">
        <f t="shared" si="111"/>
        <v>65%</v>
      </c>
      <c r="Q1732" s="12">
        <f t="shared" si="108"/>
        <v>0.65</v>
      </c>
      <c r="R1732" s="9">
        <f t="shared" si="109"/>
        <v>1049.6499999999999</v>
      </c>
      <c r="S1732" s="9">
        <f>IF(R1732="",AVERAGEIF(Table1[Category],Table1[[#This Row],[Category]],Table2[orignal data]),Table2[[#This Row],[orignal data]])</f>
        <v>1049.6499999999999</v>
      </c>
      <c r="T1732" t="str">
        <f t="shared" si="110"/>
        <v>UNIQUE</v>
      </c>
      <c r="U1732" t="str">
        <f>IF(ISBLANK(Table1[[#This Row],[SizeOption]]),"NOT AVAILABLE",Table1[[#This Row],[SizeOption]])</f>
        <v>XS, S, M, L, XL, XXL</v>
      </c>
      <c r="Y1732" t="str">
        <f>IF(Table2[[#This Row],[Column1]]&gt;50%,"HIGH DISCOUNT","LOW DISCOUNT")</f>
        <v>HIGH DISCOUNT</v>
      </c>
    </row>
    <row r="1733" spans="1:25" x14ac:dyDescent="0.25">
      <c r="A1733" s="2" t="s">
        <v>3761</v>
      </c>
      <c r="B1733" s="2">
        <v>12822658</v>
      </c>
      <c r="C1733" s="2" t="s">
        <v>92</v>
      </c>
      <c r="D1733" s="2" t="s">
        <v>41</v>
      </c>
      <c r="E1733" s="2" t="s">
        <v>48</v>
      </c>
      <c r="F1733" s="2" t="s">
        <v>36</v>
      </c>
      <c r="G1733" s="2" t="s">
        <v>3762</v>
      </c>
      <c r="I1733" s="2">
        <v>949</v>
      </c>
      <c r="J1733" s="2" t="s">
        <v>60</v>
      </c>
      <c r="K1733" s="2" t="s">
        <v>26</v>
      </c>
      <c r="L1733" s="2">
        <v>4.0999999999999996</v>
      </c>
      <c r="M1733" s="2">
        <v>732</v>
      </c>
      <c r="P1733" t="str">
        <f t="shared" si="111"/>
        <v>58%</v>
      </c>
      <c r="Q1733" s="12">
        <f t="shared" si="108"/>
        <v>0.57999999999999996</v>
      </c>
      <c r="R1733" s="9">
        <f t="shared" si="109"/>
        <v>398.58000000000004</v>
      </c>
      <c r="S1733" s="9">
        <f>IF(R1733="",AVERAGEIF(Table1[Category],Table1[[#This Row],[Category]],Table2[orignal data]),Table2[[#This Row],[orignal data]])</f>
        <v>398.58000000000004</v>
      </c>
      <c r="T1733" t="str">
        <f t="shared" si="110"/>
        <v>UNIQUE</v>
      </c>
      <c r="U1733" t="str">
        <f>IF(ISBLANK(Table1[[#This Row],[SizeOption]]),"NOT AVAILABLE",Table1[[#This Row],[SizeOption]])</f>
        <v>S, M, L, XL</v>
      </c>
      <c r="Y1733" t="str">
        <f>IF(Table2[[#This Row],[Column1]]&gt;50%,"HIGH DISCOUNT","LOW DISCOUNT")</f>
        <v>HIGH DISCOUNT</v>
      </c>
    </row>
    <row r="1734" spans="1:25" x14ac:dyDescent="0.25">
      <c r="A1734" s="1" t="s">
        <v>3763</v>
      </c>
      <c r="B1734" s="1">
        <v>8903579</v>
      </c>
      <c r="C1734" s="1" t="s">
        <v>14</v>
      </c>
      <c r="D1734" s="1" t="s">
        <v>15</v>
      </c>
      <c r="E1734" s="1" t="s">
        <v>16</v>
      </c>
      <c r="F1734" s="1" t="s">
        <v>17</v>
      </c>
      <c r="G1734" s="1" t="s">
        <v>3764</v>
      </c>
      <c r="H1734">
        <v>1499</v>
      </c>
      <c r="I1734" s="1">
        <v>2999</v>
      </c>
      <c r="J1734" s="1" t="s">
        <v>84</v>
      </c>
      <c r="K1734" s="1" t="s">
        <v>20</v>
      </c>
      <c r="L1734" s="1">
        <v>3.9</v>
      </c>
      <c r="M1734" s="1">
        <v>731</v>
      </c>
      <c r="P1734" t="str">
        <f t="shared" si="111"/>
        <v>50%</v>
      </c>
      <c r="Q1734" s="12">
        <f t="shared" si="108"/>
        <v>0.5</v>
      </c>
      <c r="R1734" s="9">
        <f t="shared" si="109"/>
        <v>1499.5</v>
      </c>
      <c r="S1734" s="9">
        <f>IF(R1734="",AVERAGEIF(Table1[Category],Table1[[#This Row],[Category]],Table2[orignal data]),Table2[[#This Row],[orignal data]])</f>
        <v>1499.5</v>
      </c>
      <c r="T1734" t="str">
        <f t="shared" si="110"/>
        <v>UNIQUE</v>
      </c>
      <c r="U1734" t="str">
        <f>IF(ISBLANK(Table1[[#This Row],[SizeOption]]),"NOT AVAILABLE",Table1[[#This Row],[SizeOption]])</f>
        <v>28, 30, 32, 34, 36</v>
      </c>
      <c r="Y1734" t="str">
        <f>IF(Table2[[#This Row],[Column1]]&gt;50%,"HIGH DISCOUNT","LOW DISCOUNT")</f>
        <v>LOW DISCOUNT</v>
      </c>
    </row>
    <row r="1735" spans="1:25" x14ac:dyDescent="0.25">
      <c r="A1735" s="2" t="s">
        <v>3765</v>
      </c>
      <c r="B1735" s="2">
        <v>11942980</v>
      </c>
      <c r="C1735" s="2" t="s">
        <v>14</v>
      </c>
      <c r="D1735" s="2" t="s">
        <v>15</v>
      </c>
      <c r="E1735" s="2" t="s">
        <v>137</v>
      </c>
      <c r="F1735" s="2" t="s">
        <v>17</v>
      </c>
      <c r="G1735" s="2" t="s">
        <v>3766</v>
      </c>
      <c r="H1735">
        <v>759</v>
      </c>
      <c r="I1735" s="2">
        <v>1899</v>
      </c>
      <c r="J1735" s="2" t="s">
        <v>55</v>
      </c>
      <c r="K1735" s="2" t="s">
        <v>20</v>
      </c>
      <c r="L1735" s="2">
        <v>4.3</v>
      </c>
      <c r="M1735" s="2">
        <v>731</v>
      </c>
      <c r="P1735" t="str">
        <f t="shared" si="111"/>
        <v>60%</v>
      </c>
      <c r="Q1735" s="12">
        <f t="shared" si="108"/>
        <v>0.6</v>
      </c>
      <c r="R1735" s="9">
        <f t="shared" si="109"/>
        <v>759.60000000000014</v>
      </c>
      <c r="S1735" s="9">
        <f>IF(R1735="",AVERAGEIF(Table1[Category],Table1[[#This Row],[Category]],Table2[orignal data]),Table2[[#This Row],[orignal data]])</f>
        <v>759.60000000000014</v>
      </c>
      <c r="T1735" t="str">
        <f t="shared" si="110"/>
        <v>UNIQUE</v>
      </c>
      <c r="U1735" t="str">
        <f>IF(ISBLANK(Table1[[#This Row],[SizeOption]]),"NOT AVAILABLE",Table1[[#This Row],[SizeOption]])</f>
        <v>28, 30, 32, 34, 36</v>
      </c>
      <c r="Y1735" t="str">
        <f>IF(Table2[[#This Row],[Column1]]&gt;50%,"HIGH DISCOUNT","LOW DISCOUNT")</f>
        <v>HIGH DISCOUNT</v>
      </c>
    </row>
    <row r="1736" spans="1:25" x14ac:dyDescent="0.25">
      <c r="A1736" s="1" t="s">
        <v>3767</v>
      </c>
      <c r="B1736" s="1">
        <v>11158202</v>
      </c>
      <c r="C1736" s="1" t="s">
        <v>67</v>
      </c>
      <c r="D1736" s="1" t="s">
        <v>34</v>
      </c>
      <c r="E1736" s="1" t="s">
        <v>118</v>
      </c>
      <c r="F1736" s="1" t="s">
        <v>36</v>
      </c>
      <c r="G1736" s="1" t="s">
        <v>3768</v>
      </c>
      <c r="H1736">
        <v>719</v>
      </c>
      <c r="I1736" s="1">
        <v>1799</v>
      </c>
      <c r="J1736" s="1" t="s">
        <v>55</v>
      </c>
      <c r="K1736" s="1" t="s">
        <v>45</v>
      </c>
      <c r="L1736" s="1">
        <v>4.3</v>
      </c>
      <c r="M1736" s="1">
        <v>731</v>
      </c>
      <c r="P1736" t="str">
        <f t="shared" si="111"/>
        <v>60%</v>
      </c>
      <c r="Q1736" s="12">
        <f t="shared" si="108"/>
        <v>0.6</v>
      </c>
      <c r="R1736" s="9">
        <f t="shared" si="109"/>
        <v>719.60000000000014</v>
      </c>
      <c r="S1736" s="9">
        <f>IF(R1736="",AVERAGEIF(Table1[Category],Table1[[#This Row],[Category]],Table2[orignal data]),Table2[[#This Row],[orignal data]])</f>
        <v>719.60000000000014</v>
      </c>
      <c r="T1736" t="str">
        <f t="shared" si="110"/>
        <v>UNIQUE</v>
      </c>
      <c r="U1736" t="str">
        <f>IF(ISBLANK(Table1[[#This Row],[SizeOption]]),"NOT AVAILABLE",Table1[[#This Row],[SizeOption]])</f>
        <v>XS, S, M, L, XL</v>
      </c>
      <c r="Y1736" t="str">
        <f>IF(Table2[[#This Row],[Column1]]&gt;50%,"HIGH DISCOUNT","LOW DISCOUNT")</f>
        <v>HIGH DISCOUNT</v>
      </c>
    </row>
    <row r="1737" spans="1:25" x14ac:dyDescent="0.25">
      <c r="A1737" s="2" t="s">
        <v>3769</v>
      </c>
      <c r="B1737" s="2">
        <v>9075131</v>
      </c>
      <c r="C1737" s="2" t="s">
        <v>64</v>
      </c>
      <c r="D1737" s="2" t="s">
        <v>98</v>
      </c>
      <c r="E1737" s="2" t="s">
        <v>93</v>
      </c>
      <c r="F1737" s="2" t="s">
        <v>36</v>
      </c>
      <c r="G1737" s="2" t="s">
        <v>3770</v>
      </c>
      <c r="H1737">
        <v>719</v>
      </c>
      <c r="I1737" s="2">
        <v>2399</v>
      </c>
      <c r="J1737" s="2" t="s">
        <v>1566</v>
      </c>
      <c r="K1737" s="2" t="s">
        <v>100</v>
      </c>
      <c r="L1737" s="2">
        <v>4.2</v>
      </c>
      <c r="M1737" s="2">
        <v>731</v>
      </c>
      <c r="P1737" t="str">
        <f t="shared" si="111"/>
        <v>70%</v>
      </c>
      <c r="Q1737" s="12">
        <f t="shared" si="108"/>
        <v>0.7</v>
      </c>
      <c r="R1737" s="9">
        <f t="shared" si="109"/>
        <v>719.7</v>
      </c>
      <c r="S1737" s="9">
        <f>IF(R1737="",AVERAGEIF(Table1[Category],Table1[[#This Row],[Category]],Table2[orignal data]),Table2[[#This Row],[orignal data]])</f>
        <v>719.7</v>
      </c>
      <c r="T1737" t="str">
        <f t="shared" si="110"/>
        <v>UNIQUE</v>
      </c>
      <c r="U1737" t="str">
        <f>IF(ISBLANK(Table1[[#This Row],[SizeOption]]),"NOT AVAILABLE",Table1[[#This Row],[SizeOption]])</f>
        <v>XS, S, M, L, XL, XXL, 3XL</v>
      </c>
      <c r="Y1737" t="str">
        <f>IF(Table2[[#This Row],[Column1]]&gt;50%,"HIGH DISCOUNT","LOW DISCOUNT")</f>
        <v>HIGH DISCOUNT</v>
      </c>
    </row>
    <row r="1738" spans="1:25" x14ac:dyDescent="0.25">
      <c r="A1738" s="1" t="s">
        <v>3771</v>
      </c>
      <c r="B1738" s="1">
        <v>9686617</v>
      </c>
      <c r="C1738" s="1" t="s">
        <v>64</v>
      </c>
      <c r="D1738" s="1" t="s">
        <v>98</v>
      </c>
      <c r="E1738" s="1" t="s">
        <v>189</v>
      </c>
      <c r="F1738" s="1" t="s">
        <v>36</v>
      </c>
      <c r="G1738" s="1" t="s">
        <v>3772</v>
      </c>
      <c r="H1738">
        <v>839</v>
      </c>
      <c r="I1738" s="1">
        <v>2799</v>
      </c>
      <c r="J1738" s="1" t="s">
        <v>1566</v>
      </c>
      <c r="K1738" s="1" t="s">
        <v>115</v>
      </c>
      <c r="L1738" s="1">
        <v>4.5</v>
      </c>
      <c r="M1738" s="1">
        <v>731</v>
      </c>
      <c r="P1738" t="str">
        <f t="shared" si="111"/>
        <v>70%</v>
      </c>
      <c r="Q1738" s="12">
        <f t="shared" si="108"/>
        <v>0.7</v>
      </c>
      <c r="R1738" s="9">
        <f t="shared" si="109"/>
        <v>839.7</v>
      </c>
      <c r="S1738" s="9">
        <f>IF(R1738="",AVERAGEIF(Table1[Category],Table1[[#This Row],[Category]],Table2[orignal data]),Table2[[#This Row],[orignal data]])</f>
        <v>839.7</v>
      </c>
      <c r="T1738" t="str">
        <f t="shared" si="110"/>
        <v>UNIQUE</v>
      </c>
      <c r="U1738" t="str">
        <f>IF(ISBLANK(Table1[[#This Row],[SizeOption]]),"NOT AVAILABLE",Table1[[#This Row],[SizeOption]])</f>
        <v>XS, S, M, L, XL, XXL</v>
      </c>
      <c r="Y1738" t="str">
        <f>IF(Table2[[#This Row],[Column1]]&gt;50%,"HIGH DISCOUNT","LOW DISCOUNT")</f>
        <v>HIGH DISCOUNT</v>
      </c>
    </row>
    <row r="1739" spans="1:25" x14ac:dyDescent="0.25">
      <c r="A1739" s="2" t="s">
        <v>3773</v>
      </c>
      <c r="B1739" s="2">
        <v>8643235</v>
      </c>
      <c r="C1739" s="2" t="s">
        <v>181</v>
      </c>
      <c r="D1739" s="2" t="s">
        <v>41</v>
      </c>
      <c r="E1739" s="2" t="s">
        <v>48</v>
      </c>
      <c r="F1739" s="2" t="s">
        <v>36</v>
      </c>
      <c r="G1739" s="2" t="s">
        <v>3774</v>
      </c>
      <c r="I1739" s="2">
        <v>1299</v>
      </c>
      <c r="J1739" s="2" t="s">
        <v>25</v>
      </c>
      <c r="K1739" s="2" t="s">
        <v>45</v>
      </c>
      <c r="L1739" s="2">
        <v>4.2</v>
      </c>
      <c r="M1739" s="2">
        <v>731</v>
      </c>
      <c r="P1739" t="str">
        <f t="shared" si="111"/>
        <v>55%</v>
      </c>
      <c r="Q1739" s="12">
        <f t="shared" si="108"/>
        <v>0.55000000000000004</v>
      </c>
      <c r="R1739" s="9">
        <f t="shared" si="109"/>
        <v>584.54999999999995</v>
      </c>
      <c r="S1739" s="9">
        <f>IF(R1739="",AVERAGEIF(Table1[Category],Table1[[#This Row],[Category]],Table2[orignal data]),Table2[[#This Row],[orignal data]])</f>
        <v>584.54999999999995</v>
      </c>
      <c r="T1739" t="str">
        <f t="shared" si="110"/>
        <v>UNIQUE</v>
      </c>
      <c r="U1739" t="str">
        <f>IF(ISBLANK(Table1[[#This Row],[SizeOption]]),"NOT AVAILABLE",Table1[[#This Row],[SizeOption]])</f>
        <v>XS, S, M, L, XL</v>
      </c>
      <c r="Y1739" t="str">
        <f>IF(Table2[[#This Row],[Column1]]&gt;50%,"HIGH DISCOUNT","LOW DISCOUNT")</f>
        <v>HIGH DISCOUNT</v>
      </c>
    </row>
    <row r="1740" spans="1:25" x14ac:dyDescent="0.25">
      <c r="A1740" s="1" t="s">
        <v>3775</v>
      </c>
      <c r="B1740" s="1">
        <v>12151584</v>
      </c>
      <c r="C1740" s="1" t="s">
        <v>3776</v>
      </c>
      <c r="D1740" s="1" t="s">
        <v>41</v>
      </c>
      <c r="E1740" s="1" t="s">
        <v>48</v>
      </c>
      <c r="F1740" s="1" t="s">
        <v>36</v>
      </c>
      <c r="G1740" s="1" t="s">
        <v>3777</v>
      </c>
      <c r="I1740" s="1">
        <v>645</v>
      </c>
      <c r="J1740" s="1" t="s">
        <v>3778</v>
      </c>
      <c r="K1740" s="1" t="s">
        <v>45</v>
      </c>
      <c r="L1740" s="1">
        <v>4.3</v>
      </c>
      <c r="M1740" s="1">
        <v>731</v>
      </c>
      <c r="P1740" t="str">
        <f t="shared" si="111"/>
        <v>2%</v>
      </c>
      <c r="Q1740" s="12">
        <f t="shared" si="108"/>
        <v>0.02</v>
      </c>
      <c r="R1740" s="9">
        <f t="shared" si="109"/>
        <v>632.1</v>
      </c>
      <c r="S1740" s="9">
        <f>IF(R1740="",AVERAGEIF(Table1[Category],Table1[[#This Row],[Category]],Table2[orignal data]),Table2[[#This Row],[orignal data]])</f>
        <v>632.1</v>
      </c>
      <c r="T1740" t="str">
        <f t="shared" si="110"/>
        <v>UNIQUE</v>
      </c>
      <c r="U1740" t="str">
        <f>IF(ISBLANK(Table1[[#This Row],[SizeOption]]),"NOT AVAILABLE",Table1[[#This Row],[SizeOption]])</f>
        <v>XS, S, M, L, XL</v>
      </c>
      <c r="Y1740" t="str">
        <f>IF(Table2[[#This Row],[Column1]]&gt;50%,"HIGH DISCOUNT","LOW DISCOUNT")</f>
        <v>LOW DISCOUNT</v>
      </c>
    </row>
    <row r="1741" spans="1:25" x14ac:dyDescent="0.25">
      <c r="A1741" s="2" t="s">
        <v>3779</v>
      </c>
      <c r="B1741" s="2">
        <v>12560202</v>
      </c>
      <c r="C1741" s="2" t="s">
        <v>64</v>
      </c>
      <c r="D1741" s="2" t="s">
        <v>15</v>
      </c>
      <c r="E1741" s="2" t="s">
        <v>16</v>
      </c>
      <c r="F1741" s="2" t="s">
        <v>17</v>
      </c>
      <c r="G1741" s="2" t="s">
        <v>3780</v>
      </c>
      <c r="H1741">
        <v>769</v>
      </c>
      <c r="I1741" s="2">
        <v>2199</v>
      </c>
      <c r="J1741" s="2" t="s">
        <v>150</v>
      </c>
      <c r="K1741" s="2" t="s">
        <v>20</v>
      </c>
      <c r="L1741" s="2">
        <v>3.7</v>
      </c>
      <c r="M1741" s="2">
        <v>730</v>
      </c>
      <c r="P1741" t="str">
        <f t="shared" si="111"/>
        <v>65%</v>
      </c>
      <c r="Q1741" s="12">
        <f t="shared" si="108"/>
        <v>0.65</v>
      </c>
      <c r="R1741" s="9">
        <f t="shared" si="109"/>
        <v>769.64999999999986</v>
      </c>
      <c r="S1741" s="9">
        <f>IF(R1741="",AVERAGEIF(Table1[Category],Table1[[#This Row],[Category]],Table2[orignal data]),Table2[[#This Row],[orignal data]])</f>
        <v>769.64999999999986</v>
      </c>
      <c r="T1741" t="str">
        <f t="shared" si="110"/>
        <v>UNIQUE</v>
      </c>
      <c r="U1741" t="str">
        <f>IF(ISBLANK(Table1[[#This Row],[SizeOption]]),"NOT AVAILABLE",Table1[[#This Row],[SizeOption]])</f>
        <v>28, 30, 32, 34, 36</v>
      </c>
      <c r="Y1741" t="str">
        <f>IF(Table2[[#This Row],[Column1]]&gt;50%,"HIGH DISCOUNT","LOW DISCOUNT")</f>
        <v>HIGH DISCOUNT</v>
      </c>
    </row>
    <row r="1742" spans="1:25" x14ac:dyDescent="0.25">
      <c r="A1742" s="1" t="s">
        <v>3781</v>
      </c>
      <c r="B1742" s="1">
        <v>10943374</v>
      </c>
      <c r="C1742" s="1" t="s">
        <v>14</v>
      </c>
      <c r="D1742" s="1" t="s">
        <v>28</v>
      </c>
      <c r="E1742" s="1" t="s">
        <v>42</v>
      </c>
      <c r="F1742" s="1" t="s">
        <v>17</v>
      </c>
      <c r="G1742" s="1" t="s">
        <v>3782</v>
      </c>
      <c r="H1742">
        <v>714</v>
      </c>
      <c r="I1742" s="1">
        <v>1299</v>
      </c>
      <c r="J1742" s="1" t="s">
        <v>19</v>
      </c>
      <c r="K1742" s="1" t="s">
        <v>26</v>
      </c>
      <c r="L1742" s="1">
        <v>4.0999999999999996</v>
      </c>
      <c r="M1742" s="1">
        <v>730</v>
      </c>
      <c r="P1742" t="str">
        <f t="shared" si="111"/>
        <v>45%</v>
      </c>
      <c r="Q1742" s="12">
        <f t="shared" si="108"/>
        <v>0.45</v>
      </c>
      <c r="R1742" s="9">
        <f t="shared" si="109"/>
        <v>714.44999999999993</v>
      </c>
      <c r="S1742" s="9">
        <f>IF(R1742="",AVERAGEIF(Table1[Category],Table1[[#This Row],[Category]],Table2[orignal data]),Table2[[#This Row],[orignal data]])</f>
        <v>714.44999999999993</v>
      </c>
      <c r="T1742" t="str">
        <f t="shared" si="110"/>
        <v>UNIQUE</v>
      </c>
      <c r="U1742" t="str">
        <f>IF(ISBLANK(Table1[[#This Row],[SizeOption]]),"NOT AVAILABLE",Table1[[#This Row],[SizeOption]])</f>
        <v>S, M, L, XL</v>
      </c>
      <c r="Y1742" t="str">
        <f>IF(Table2[[#This Row],[Column1]]&gt;50%,"HIGH DISCOUNT","LOW DISCOUNT")</f>
        <v>LOW DISCOUNT</v>
      </c>
    </row>
    <row r="1743" spans="1:25" x14ac:dyDescent="0.25">
      <c r="A1743" s="2" t="s">
        <v>3783</v>
      </c>
      <c r="B1743" s="2">
        <v>10132009</v>
      </c>
      <c r="C1743" s="2" t="s">
        <v>52</v>
      </c>
      <c r="D1743" s="2" t="s">
        <v>28</v>
      </c>
      <c r="E1743" s="2" t="s">
        <v>29</v>
      </c>
      <c r="F1743" s="2" t="s">
        <v>17</v>
      </c>
      <c r="G1743" s="2" t="s">
        <v>219</v>
      </c>
      <c r="H1743">
        <v>526</v>
      </c>
      <c r="I1743" s="2">
        <v>1349</v>
      </c>
      <c r="J1743" s="2" t="s">
        <v>104</v>
      </c>
      <c r="K1743" s="2" t="s">
        <v>90</v>
      </c>
      <c r="L1743" s="2">
        <v>4.2</v>
      </c>
      <c r="M1743" s="2">
        <v>730</v>
      </c>
      <c r="P1743" t="str">
        <f t="shared" si="111"/>
        <v>61%</v>
      </c>
      <c r="Q1743" s="12">
        <f t="shared" si="108"/>
        <v>0.61</v>
      </c>
      <c r="R1743" s="9">
        <f t="shared" si="109"/>
        <v>526.11</v>
      </c>
      <c r="S1743" s="9">
        <f>IF(R1743="",AVERAGEIF(Table1[Category],Table1[[#This Row],[Category]],Table2[orignal data]),Table2[[#This Row],[orignal data]])</f>
        <v>526.11</v>
      </c>
      <c r="T1743" t="str">
        <f t="shared" si="110"/>
        <v>UNIQUE</v>
      </c>
      <c r="U1743" t="str">
        <f>IF(ISBLANK(Table1[[#This Row],[SizeOption]]),"NOT AVAILABLE",Table1[[#This Row],[SizeOption]])</f>
        <v>39, 40, 42, 44</v>
      </c>
      <c r="Y1743" t="str">
        <f>IF(Table2[[#This Row],[Column1]]&gt;50%,"HIGH DISCOUNT","LOW DISCOUNT")</f>
        <v>HIGH DISCOUNT</v>
      </c>
    </row>
    <row r="1744" spans="1:25" x14ac:dyDescent="0.25">
      <c r="A1744" s="1" t="s">
        <v>3784</v>
      </c>
      <c r="B1744" s="1">
        <v>6149797</v>
      </c>
      <c r="C1744" s="1" t="s">
        <v>14</v>
      </c>
      <c r="D1744" s="1" t="s">
        <v>28</v>
      </c>
      <c r="E1744" s="1" t="s">
        <v>42</v>
      </c>
      <c r="F1744" s="1" t="s">
        <v>17</v>
      </c>
      <c r="G1744" s="1" t="s">
        <v>3785</v>
      </c>
      <c r="H1744">
        <v>449</v>
      </c>
      <c r="I1744" s="1">
        <v>999</v>
      </c>
      <c r="J1744" s="1" t="s">
        <v>25</v>
      </c>
      <c r="K1744" s="1" t="s">
        <v>73</v>
      </c>
      <c r="L1744" s="1">
        <v>3.9</v>
      </c>
      <c r="M1744" s="1">
        <v>730</v>
      </c>
      <c r="P1744" t="str">
        <f t="shared" si="111"/>
        <v>55%</v>
      </c>
      <c r="Q1744" s="12">
        <f t="shared" si="108"/>
        <v>0.55000000000000004</v>
      </c>
      <c r="R1744" s="9">
        <f t="shared" si="109"/>
        <v>449.54999999999995</v>
      </c>
      <c r="S1744" s="9">
        <f>IF(R1744="",AVERAGEIF(Table1[Category],Table1[[#This Row],[Category]],Table2[orignal data]),Table2[[#This Row],[orignal data]])</f>
        <v>449.54999999999995</v>
      </c>
      <c r="T1744" t="str">
        <f t="shared" si="110"/>
        <v>UNIQUE</v>
      </c>
      <c r="U1744" t="str">
        <f>IF(ISBLANK(Table1[[#This Row],[SizeOption]]),"NOT AVAILABLE",Table1[[#This Row],[SizeOption]])</f>
        <v>XS, S, M, L, XL, XXL, 3XL, 4XL</v>
      </c>
      <c r="Y1744" t="str">
        <f>IF(Table2[[#This Row],[Column1]]&gt;50%,"HIGH DISCOUNT","LOW DISCOUNT")</f>
        <v>HIGH DISCOUNT</v>
      </c>
    </row>
    <row r="1745" spans="1:25" x14ac:dyDescent="0.25">
      <c r="A1745" s="2" t="s">
        <v>3786</v>
      </c>
      <c r="B1745" s="2">
        <v>10498744</v>
      </c>
      <c r="C1745" s="2" t="s">
        <v>67</v>
      </c>
      <c r="D1745" s="2" t="s">
        <v>68</v>
      </c>
      <c r="E1745" s="2" t="s">
        <v>42</v>
      </c>
      <c r="F1745" s="2" t="s">
        <v>36</v>
      </c>
      <c r="G1745" s="2" t="s">
        <v>3787</v>
      </c>
      <c r="H1745">
        <v>479</v>
      </c>
      <c r="I1745" s="2">
        <v>1199</v>
      </c>
      <c r="J1745" s="2" t="s">
        <v>55</v>
      </c>
      <c r="K1745" s="2" t="s">
        <v>45</v>
      </c>
      <c r="L1745" s="2">
        <v>4.0999999999999996</v>
      </c>
      <c r="M1745" s="2">
        <v>730</v>
      </c>
      <c r="P1745" t="str">
        <f t="shared" si="111"/>
        <v>60%</v>
      </c>
      <c r="Q1745" s="12">
        <f t="shared" si="108"/>
        <v>0.6</v>
      </c>
      <c r="R1745" s="9">
        <f t="shared" si="109"/>
        <v>479.6</v>
      </c>
      <c r="S1745" s="9">
        <f>IF(R1745="",AVERAGEIF(Table1[Category],Table1[[#This Row],[Category]],Table2[orignal data]),Table2[[#This Row],[orignal data]])</f>
        <v>479.6</v>
      </c>
      <c r="T1745" t="str">
        <f t="shared" si="110"/>
        <v>UNIQUE</v>
      </c>
      <c r="U1745" t="str">
        <f>IF(ISBLANK(Table1[[#This Row],[SizeOption]]),"NOT AVAILABLE",Table1[[#This Row],[SizeOption]])</f>
        <v>XS, S, M, L, XL</v>
      </c>
      <c r="Y1745" t="str">
        <f>IF(Table2[[#This Row],[Column1]]&gt;50%,"HIGH DISCOUNT","LOW DISCOUNT")</f>
        <v>HIGH DISCOUNT</v>
      </c>
    </row>
    <row r="1746" spans="1:25" x14ac:dyDescent="0.25">
      <c r="A1746" s="1" t="s">
        <v>3788</v>
      </c>
      <c r="B1746" s="1">
        <v>11003558</v>
      </c>
      <c r="C1746" s="1" t="s">
        <v>107</v>
      </c>
      <c r="D1746" s="1" t="s">
        <v>68</v>
      </c>
      <c r="E1746" s="1" t="s">
        <v>23</v>
      </c>
      <c r="F1746" s="1" t="s">
        <v>36</v>
      </c>
      <c r="G1746" s="1" t="s">
        <v>3789</v>
      </c>
      <c r="H1746">
        <v>559</v>
      </c>
      <c r="I1746" s="1">
        <v>1599</v>
      </c>
      <c r="J1746" s="1" t="s">
        <v>150</v>
      </c>
      <c r="K1746" s="1" t="s">
        <v>115</v>
      </c>
      <c r="L1746" s="1">
        <v>4</v>
      </c>
      <c r="M1746" s="1">
        <v>730</v>
      </c>
      <c r="P1746" t="str">
        <f t="shared" si="111"/>
        <v>65%</v>
      </c>
      <c r="Q1746" s="12">
        <f t="shared" si="108"/>
        <v>0.65</v>
      </c>
      <c r="R1746" s="9">
        <f t="shared" si="109"/>
        <v>559.64999999999986</v>
      </c>
      <c r="S1746" s="9">
        <f>IF(R1746="",AVERAGEIF(Table1[Category],Table1[[#This Row],[Category]],Table2[orignal data]),Table2[[#This Row],[orignal data]])</f>
        <v>559.64999999999986</v>
      </c>
      <c r="T1746" t="str">
        <f t="shared" si="110"/>
        <v>UNIQUE</v>
      </c>
      <c r="U1746" t="str">
        <f>IF(ISBLANK(Table1[[#This Row],[SizeOption]]),"NOT AVAILABLE",Table1[[#This Row],[SizeOption]])</f>
        <v>XS, S, M, L, XL, XXL</v>
      </c>
      <c r="Y1746" t="str">
        <f>IF(Table2[[#This Row],[Column1]]&gt;50%,"HIGH DISCOUNT","LOW DISCOUNT")</f>
        <v>HIGH DISCOUNT</v>
      </c>
    </row>
    <row r="1747" spans="1:25" x14ac:dyDescent="0.25">
      <c r="A1747" s="2" t="s">
        <v>3790</v>
      </c>
      <c r="B1747" s="2">
        <v>1643043</v>
      </c>
      <c r="C1747" s="2" t="s">
        <v>325</v>
      </c>
      <c r="D1747" s="2" t="s">
        <v>41</v>
      </c>
      <c r="E1747" s="2" t="s">
        <v>306</v>
      </c>
      <c r="F1747" s="2" t="s">
        <v>36</v>
      </c>
      <c r="G1747" s="2" t="s">
        <v>3791</v>
      </c>
      <c r="I1747" s="2">
        <v>1199</v>
      </c>
      <c r="J1747" s="2" t="s">
        <v>84</v>
      </c>
      <c r="K1747" s="2" t="s">
        <v>39</v>
      </c>
      <c r="L1747" s="2">
        <v>3.8</v>
      </c>
      <c r="M1747" s="2">
        <v>730</v>
      </c>
      <c r="P1747" t="str">
        <f t="shared" si="111"/>
        <v>50%</v>
      </c>
      <c r="Q1747" s="12">
        <f t="shared" si="108"/>
        <v>0.5</v>
      </c>
      <c r="R1747" s="9">
        <f t="shared" si="109"/>
        <v>599.5</v>
      </c>
      <c r="S1747" s="9">
        <f>IF(R1747="",AVERAGEIF(Table1[Category],Table1[[#This Row],[Category]],Table2[orignal data]),Table2[[#This Row],[orignal data]])</f>
        <v>599.5</v>
      </c>
      <c r="T1747" t="str">
        <f t="shared" si="110"/>
        <v>UNIQUE</v>
      </c>
      <c r="U1747" t="str">
        <f>IF(ISBLANK(Table1[[#This Row],[SizeOption]]),"NOT AVAILABLE",Table1[[#This Row],[SizeOption]])</f>
        <v>S, M, L, XL, XXL</v>
      </c>
      <c r="Y1747" t="str">
        <f>IF(Table2[[#This Row],[Column1]]&gt;50%,"HIGH DISCOUNT","LOW DISCOUNT")</f>
        <v>LOW DISCOUNT</v>
      </c>
    </row>
    <row r="1748" spans="1:25" x14ac:dyDescent="0.25">
      <c r="A1748" s="1" t="s">
        <v>3792</v>
      </c>
      <c r="B1748" s="1">
        <v>15745912</v>
      </c>
      <c r="C1748" s="1" t="s">
        <v>67</v>
      </c>
      <c r="D1748" s="1" t="s">
        <v>15</v>
      </c>
      <c r="E1748" s="1" t="s">
        <v>23</v>
      </c>
      <c r="F1748" s="1" t="s">
        <v>17</v>
      </c>
      <c r="G1748" s="1" t="s">
        <v>3793</v>
      </c>
      <c r="I1748" s="1">
        <v>3398</v>
      </c>
      <c r="J1748" s="1"/>
      <c r="K1748" s="1" t="s">
        <v>3794</v>
      </c>
      <c r="L1748" s="1">
        <v>4.0999999999999996</v>
      </c>
      <c r="M1748" s="1">
        <v>729</v>
      </c>
      <c r="P1748" t="str">
        <f t="shared" si="111"/>
        <v/>
      </c>
      <c r="Q1748" s="12" t="str">
        <f t="shared" si="108"/>
        <v/>
      </c>
      <c r="R1748" s="9" t="str">
        <f t="shared" si="109"/>
        <v/>
      </c>
      <c r="S1748" s="9">
        <f>IF(R1748="",AVERAGEIF(Table1[Category],Table1[[#This Row],[Category]],Table2[orignal data]),Table2[[#This Row],[orignal data]])</f>
        <v>892.27590339892538</v>
      </c>
      <c r="T1748" t="str">
        <f t="shared" si="110"/>
        <v>UNIQUE</v>
      </c>
      <c r="U1748" t="str">
        <f>IF(ISBLANK(Table1[[#This Row],[SizeOption]]),"NOT AVAILABLE",Table1[[#This Row],[SizeOption]])</f>
        <v>XL, M, L, XXL, S</v>
      </c>
      <c r="Y1748" t="str">
        <f>IF(Table2[[#This Row],[Column1]]&gt;50%,"HIGH DISCOUNT","LOW DISCOUNT")</f>
        <v>HIGH DISCOUNT</v>
      </c>
    </row>
    <row r="1749" spans="1:25" x14ac:dyDescent="0.25">
      <c r="A1749" s="2" t="s">
        <v>3795</v>
      </c>
      <c r="B1749" s="2">
        <v>14568520</v>
      </c>
      <c r="C1749" s="2" t="s">
        <v>3796</v>
      </c>
      <c r="D1749" s="2" t="s">
        <v>41</v>
      </c>
      <c r="E1749" s="2" t="s">
        <v>48</v>
      </c>
      <c r="F1749" s="2" t="s">
        <v>36</v>
      </c>
      <c r="G1749" s="2" t="s">
        <v>3797</v>
      </c>
      <c r="I1749" s="2">
        <v>999</v>
      </c>
      <c r="J1749" s="2" t="s">
        <v>3798</v>
      </c>
      <c r="K1749" s="2" t="s">
        <v>26</v>
      </c>
      <c r="L1749" s="2">
        <v>3.6</v>
      </c>
      <c r="M1749" s="2">
        <v>729</v>
      </c>
      <c r="P1749" t="str">
        <f t="shared" si="111"/>
        <v>10</v>
      </c>
      <c r="Q1749" s="12">
        <f t="shared" si="108"/>
        <v>1.001001001001001E-2</v>
      </c>
      <c r="R1749" s="9">
        <f t="shared" si="109"/>
        <v>989</v>
      </c>
      <c r="S1749" s="9">
        <f>IF(R1749="",AVERAGEIF(Table1[Category],Table1[[#This Row],[Category]],Table2[orignal data]),Table2[[#This Row],[orignal data]])</f>
        <v>989</v>
      </c>
      <c r="T1749" t="str">
        <f t="shared" si="110"/>
        <v>UNIQUE</v>
      </c>
      <c r="U1749" t="str">
        <f>IF(ISBLANK(Table1[[#This Row],[SizeOption]]),"NOT AVAILABLE",Table1[[#This Row],[SizeOption]])</f>
        <v>S, M, L, XL</v>
      </c>
      <c r="Y1749" t="str">
        <f>IF(Table2[[#This Row],[Column1]]&gt;50%,"HIGH DISCOUNT","LOW DISCOUNT")</f>
        <v>LOW DISCOUNT</v>
      </c>
    </row>
    <row r="1750" spans="1:25" x14ac:dyDescent="0.25">
      <c r="A1750" s="1" t="s">
        <v>3799</v>
      </c>
      <c r="B1750" s="1">
        <v>10685342</v>
      </c>
      <c r="C1750" s="1" t="s">
        <v>169</v>
      </c>
      <c r="D1750" s="1" t="s">
        <v>15</v>
      </c>
      <c r="E1750" s="1" t="s">
        <v>16</v>
      </c>
      <c r="F1750" s="1" t="s">
        <v>17</v>
      </c>
      <c r="G1750" s="1" t="s">
        <v>3800</v>
      </c>
      <c r="H1750">
        <v>1799</v>
      </c>
      <c r="I1750" s="1">
        <v>2999</v>
      </c>
      <c r="J1750" s="1" t="s">
        <v>50</v>
      </c>
      <c r="K1750" s="1" t="s">
        <v>171</v>
      </c>
      <c r="L1750" s="1">
        <v>4</v>
      </c>
      <c r="M1750" s="1">
        <v>728</v>
      </c>
      <c r="P1750" t="str">
        <f t="shared" si="111"/>
        <v>40%</v>
      </c>
      <c r="Q1750" s="12">
        <f t="shared" si="108"/>
        <v>0.4</v>
      </c>
      <c r="R1750" s="9">
        <f t="shared" si="109"/>
        <v>1799.3999999999999</v>
      </c>
      <c r="S1750" s="9">
        <f>IF(R1750="",AVERAGEIF(Table1[Category],Table1[[#This Row],[Category]],Table2[orignal data]),Table2[[#This Row],[orignal data]])</f>
        <v>1799.3999999999999</v>
      </c>
      <c r="T1750" t="str">
        <f t="shared" si="110"/>
        <v>UNIQUE</v>
      </c>
      <c r="U1750" t="str">
        <f>IF(ISBLANK(Table1[[#This Row],[SizeOption]]),"NOT AVAILABLE",Table1[[#This Row],[SizeOption]])</f>
        <v>28, 30, 32, 34, 36, 38</v>
      </c>
      <c r="Y1750" t="str">
        <f>IF(Table2[[#This Row],[Column1]]&gt;50%,"HIGH DISCOUNT","LOW DISCOUNT")</f>
        <v>LOW DISCOUNT</v>
      </c>
    </row>
    <row r="1751" spans="1:25" x14ac:dyDescent="0.25">
      <c r="A1751" s="2" t="s">
        <v>3801</v>
      </c>
      <c r="B1751" s="2">
        <v>15474976</v>
      </c>
      <c r="C1751" s="2" t="s">
        <v>794</v>
      </c>
      <c r="D1751" s="2" t="s">
        <v>197</v>
      </c>
      <c r="E1751" s="2" t="s">
        <v>350</v>
      </c>
      <c r="F1751" s="2" t="s">
        <v>17</v>
      </c>
      <c r="G1751" s="2" t="s">
        <v>3802</v>
      </c>
      <c r="H1751">
        <v>646</v>
      </c>
      <c r="I1751" s="2">
        <v>718</v>
      </c>
      <c r="J1751" s="2" t="s">
        <v>1005</v>
      </c>
      <c r="K1751" s="2" t="s">
        <v>352</v>
      </c>
      <c r="L1751" s="2">
        <v>4.0999999999999996</v>
      </c>
      <c r="M1751" s="2">
        <v>728</v>
      </c>
      <c r="P1751" t="str">
        <f t="shared" si="111"/>
        <v>10%</v>
      </c>
      <c r="Q1751" s="12">
        <f t="shared" si="108"/>
        <v>0.1</v>
      </c>
      <c r="R1751" s="9">
        <f t="shared" si="109"/>
        <v>646.20000000000005</v>
      </c>
      <c r="S1751" s="9">
        <f>IF(R1751="",AVERAGEIF(Table1[Category],Table1[[#This Row],[Category]],Table2[orignal data]),Table2[[#This Row],[orignal data]])</f>
        <v>646.20000000000005</v>
      </c>
      <c r="T1751" t="str">
        <f t="shared" si="110"/>
        <v>UNIQUE</v>
      </c>
      <c r="U1751" t="str">
        <f>IF(ISBLANK(Table1[[#This Row],[SizeOption]]),"NOT AVAILABLE",Table1[[#This Row],[SizeOption]])</f>
        <v>S, M, L</v>
      </c>
      <c r="Y1751" t="str">
        <f>IF(Table2[[#This Row],[Column1]]&gt;50%,"HIGH DISCOUNT","LOW DISCOUNT")</f>
        <v>LOW DISCOUNT</v>
      </c>
    </row>
    <row r="1752" spans="1:25" x14ac:dyDescent="0.25">
      <c r="A1752" s="1" t="s">
        <v>3803</v>
      </c>
      <c r="B1752" s="1">
        <v>8936383</v>
      </c>
      <c r="C1752" s="1" t="s">
        <v>3804</v>
      </c>
      <c r="D1752" s="1" t="s">
        <v>197</v>
      </c>
      <c r="E1752" s="1" t="s">
        <v>296</v>
      </c>
      <c r="F1752" s="1" t="s">
        <v>17</v>
      </c>
      <c r="G1752" s="1" t="s">
        <v>3805</v>
      </c>
      <c r="H1752">
        <v>314</v>
      </c>
      <c r="I1752" s="1">
        <v>349</v>
      </c>
      <c r="J1752" s="1" t="s">
        <v>1005</v>
      </c>
      <c r="K1752" s="1" t="s">
        <v>352</v>
      </c>
      <c r="L1752" s="1">
        <v>4.4000000000000004</v>
      </c>
      <c r="M1752" s="1">
        <v>728</v>
      </c>
      <c r="P1752" t="str">
        <f t="shared" si="111"/>
        <v>10%</v>
      </c>
      <c r="Q1752" s="12">
        <f t="shared" si="108"/>
        <v>0.1</v>
      </c>
      <c r="R1752" s="9">
        <f t="shared" si="109"/>
        <v>314.10000000000002</v>
      </c>
      <c r="S1752" s="9">
        <f>IF(R1752="",AVERAGEIF(Table1[Category],Table1[[#This Row],[Category]],Table2[orignal data]),Table2[[#This Row],[orignal data]])</f>
        <v>314.10000000000002</v>
      </c>
      <c r="T1752" t="str">
        <f t="shared" si="110"/>
        <v>UNIQUE</v>
      </c>
      <c r="U1752" t="str">
        <f>IF(ISBLANK(Table1[[#This Row],[SizeOption]]),"NOT AVAILABLE",Table1[[#This Row],[SizeOption]])</f>
        <v>S, M, L</v>
      </c>
      <c r="Y1752" t="str">
        <f>IF(Table2[[#This Row],[Column1]]&gt;50%,"HIGH DISCOUNT","LOW DISCOUNT")</f>
        <v>LOW DISCOUNT</v>
      </c>
    </row>
    <row r="1753" spans="1:25" x14ac:dyDescent="0.25">
      <c r="A1753" s="2" t="s">
        <v>3806</v>
      </c>
      <c r="B1753" s="2">
        <v>9901897</v>
      </c>
      <c r="C1753" s="2" t="s">
        <v>349</v>
      </c>
      <c r="D1753" s="2" t="s">
        <v>34</v>
      </c>
      <c r="E1753" s="2" t="s">
        <v>3807</v>
      </c>
      <c r="F1753" s="2" t="s">
        <v>36</v>
      </c>
      <c r="G1753" s="2" t="s">
        <v>3808</v>
      </c>
      <c r="I1753" s="2">
        <v>299</v>
      </c>
      <c r="J1753" s="2"/>
      <c r="K1753" s="2" t="s">
        <v>352</v>
      </c>
      <c r="L1753" s="2">
        <v>4.5</v>
      </c>
      <c r="M1753" s="2">
        <v>728</v>
      </c>
      <c r="P1753" t="str">
        <f t="shared" si="111"/>
        <v/>
      </c>
      <c r="Q1753" s="12" t="str">
        <f t="shared" si="108"/>
        <v/>
      </c>
      <c r="R1753" s="9" t="str">
        <f t="shared" si="109"/>
        <v/>
      </c>
      <c r="S1753" s="9">
        <f>IF(R1753="",AVERAGEIF(Table1[Category],Table1[[#This Row],[Category]],Table2[orignal data]),Table2[[#This Row],[orignal data]])</f>
        <v>608.88518518518481</v>
      </c>
      <c r="T1753" t="str">
        <f t="shared" si="110"/>
        <v>UNIQUE</v>
      </c>
      <c r="U1753" t="str">
        <f>IF(ISBLANK(Table1[[#This Row],[SizeOption]]),"NOT AVAILABLE",Table1[[#This Row],[SizeOption]])</f>
        <v>S, M, L</v>
      </c>
      <c r="Y1753" t="str">
        <f>IF(Table2[[#This Row],[Column1]]&gt;50%,"HIGH DISCOUNT","LOW DISCOUNT")</f>
        <v>HIGH DISCOUNT</v>
      </c>
    </row>
    <row r="1754" spans="1:25" x14ac:dyDescent="0.25">
      <c r="A1754" s="1" t="s">
        <v>3809</v>
      </c>
      <c r="B1754" s="1">
        <v>7525447</v>
      </c>
      <c r="C1754" s="1" t="s">
        <v>551</v>
      </c>
      <c r="D1754" s="1" t="s">
        <v>34</v>
      </c>
      <c r="E1754" s="1" t="s">
        <v>118</v>
      </c>
      <c r="F1754" s="1" t="s">
        <v>36</v>
      </c>
      <c r="G1754" s="1" t="s">
        <v>3810</v>
      </c>
      <c r="H1754">
        <v>395</v>
      </c>
      <c r="I1754" s="1">
        <v>599</v>
      </c>
      <c r="J1754" s="1" t="s">
        <v>3662</v>
      </c>
      <c r="K1754" s="1" t="s">
        <v>56</v>
      </c>
      <c r="L1754" s="1">
        <v>3.8</v>
      </c>
      <c r="M1754" s="1">
        <v>728</v>
      </c>
      <c r="P1754" t="str">
        <f t="shared" si="111"/>
        <v>34%</v>
      </c>
      <c r="Q1754" s="12">
        <f t="shared" si="108"/>
        <v>0.34</v>
      </c>
      <c r="R1754" s="9">
        <f t="shared" si="109"/>
        <v>395.34</v>
      </c>
      <c r="S1754" s="9">
        <f>IF(R1754="",AVERAGEIF(Table1[Category],Table1[[#This Row],[Category]],Table2[orignal data]),Table2[[#This Row],[orignal data]])</f>
        <v>395.34</v>
      </c>
      <c r="T1754" t="str">
        <f t="shared" si="110"/>
        <v>UNIQUE</v>
      </c>
      <c r="U1754" t="str">
        <f>IF(ISBLANK(Table1[[#This Row],[SizeOption]]),"NOT AVAILABLE",Table1[[#This Row],[SizeOption]])</f>
        <v>30, 32, 34, 36</v>
      </c>
      <c r="Y1754" t="str">
        <f>IF(Table2[[#This Row],[Column1]]&gt;50%,"HIGH DISCOUNT","LOW DISCOUNT")</f>
        <v>LOW DISCOUNT</v>
      </c>
    </row>
    <row r="1755" spans="1:25" x14ac:dyDescent="0.25">
      <c r="A1755" s="2" t="s">
        <v>3811</v>
      </c>
      <c r="B1755" s="2">
        <v>10365239</v>
      </c>
      <c r="C1755" s="2" t="s">
        <v>107</v>
      </c>
      <c r="D1755" s="2" t="s">
        <v>41</v>
      </c>
      <c r="E1755" s="2" t="s">
        <v>16</v>
      </c>
      <c r="F1755" s="2" t="s">
        <v>36</v>
      </c>
      <c r="G1755" s="2" t="s">
        <v>488</v>
      </c>
      <c r="I1755" s="2">
        <v>1799</v>
      </c>
      <c r="J1755" s="2" t="s">
        <v>55</v>
      </c>
      <c r="K1755" s="2" t="s">
        <v>134</v>
      </c>
      <c r="L1755" s="2">
        <v>4.0999999999999996</v>
      </c>
      <c r="M1755" s="2">
        <v>728</v>
      </c>
      <c r="P1755" t="str">
        <f t="shared" si="111"/>
        <v>60%</v>
      </c>
      <c r="Q1755" s="12">
        <f t="shared" si="108"/>
        <v>0.6</v>
      </c>
      <c r="R1755" s="9">
        <f t="shared" si="109"/>
        <v>719.60000000000014</v>
      </c>
      <c r="S1755" s="9">
        <f>IF(R1755="",AVERAGEIF(Table1[Category],Table1[[#This Row],[Category]],Table2[orignal data]),Table2[[#This Row],[orignal data]])</f>
        <v>719.60000000000014</v>
      </c>
      <c r="T1755" t="str">
        <f t="shared" si="110"/>
        <v>UNIQUE</v>
      </c>
      <c r="U1755" t="str">
        <f>IF(ISBLANK(Table1[[#This Row],[SizeOption]]),"NOT AVAILABLE",Table1[[#This Row],[SizeOption]])</f>
        <v>26, 28, 30, 32, 34, 36</v>
      </c>
      <c r="Y1755" t="str">
        <f>IF(Table2[[#This Row],[Column1]]&gt;50%,"HIGH DISCOUNT","LOW DISCOUNT")</f>
        <v>HIGH DISCOUNT</v>
      </c>
    </row>
    <row r="1756" spans="1:25" x14ac:dyDescent="0.25">
      <c r="A1756" s="1" t="s">
        <v>3812</v>
      </c>
      <c r="B1756" s="1">
        <v>14602180</v>
      </c>
      <c r="C1756" s="1" t="s">
        <v>1489</v>
      </c>
      <c r="D1756" s="1" t="s">
        <v>76</v>
      </c>
      <c r="E1756" s="1" t="s">
        <v>77</v>
      </c>
      <c r="F1756" s="1" t="s">
        <v>36</v>
      </c>
      <c r="G1756" s="1" t="s">
        <v>3813</v>
      </c>
      <c r="H1756">
        <v>1763</v>
      </c>
      <c r="I1756" s="1">
        <v>3599</v>
      </c>
      <c r="J1756" s="1" t="s">
        <v>163</v>
      </c>
      <c r="K1756" s="1" t="s">
        <v>115</v>
      </c>
      <c r="L1756" s="1">
        <v>4</v>
      </c>
      <c r="M1756" s="1">
        <v>727</v>
      </c>
      <c r="P1756" t="str">
        <f t="shared" si="111"/>
        <v>51%</v>
      </c>
      <c r="Q1756" s="12">
        <f t="shared" si="108"/>
        <v>0.51</v>
      </c>
      <c r="R1756" s="9">
        <f t="shared" si="109"/>
        <v>1763.51</v>
      </c>
      <c r="S1756" s="9">
        <f>IF(R1756="",AVERAGEIF(Table1[Category],Table1[[#This Row],[Category]],Table2[orignal data]),Table2[[#This Row],[orignal data]])</f>
        <v>1763.51</v>
      </c>
      <c r="T1756" t="str">
        <f t="shared" si="110"/>
        <v>UNIQUE</v>
      </c>
      <c r="U1756" t="str">
        <f>IF(ISBLANK(Table1[[#This Row],[SizeOption]]),"NOT AVAILABLE",Table1[[#This Row],[SizeOption]])</f>
        <v>XS, S, M, L, XL, XXL</v>
      </c>
      <c r="Y1756" t="str">
        <f>IF(Table2[[#This Row],[Column1]]&gt;50%,"HIGH DISCOUNT","LOW DISCOUNT")</f>
        <v>HIGH DISCOUNT</v>
      </c>
    </row>
    <row r="1757" spans="1:25" x14ac:dyDescent="0.25">
      <c r="A1757" s="2" t="s">
        <v>3814</v>
      </c>
      <c r="B1757" s="2">
        <v>914994</v>
      </c>
      <c r="C1757" s="2" t="s">
        <v>762</v>
      </c>
      <c r="D1757" s="2" t="s">
        <v>34</v>
      </c>
      <c r="E1757" s="2" t="s">
        <v>118</v>
      </c>
      <c r="F1757" s="2" t="s">
        <v>36</v>
      </c>
      <c r="G1757" s="2" t="s">
        <v>3815</v>
      </c>
      <c r="H1757">
        <v>952</v>
      </c>
      <c r="I1757" s="2">
        <v>1058</v>
      </c>
      <c r="J1757" s="2" t="s">
        <v>1005</v>
      </c>
      <c r="K1757" s="2" t="s">
        <v>765</v>
      </c>
      <c r="L1757" s="2">
        <v>4.3</v>
      </c>
      <c r="M1757" s="2">
        <v>727</v>
      </c>
      <c r="P1757" t="str">
        <f t="shared" si="111"/>
        <v>10%</v>
      </c>
      <c r="Q1757" s="12">
        <f t="shared" si="108"/>
        <v>0.1</v>
      </c>
      <c r="R1757" s="9">
        <f t="shared" si="109"/>
        <v>952.2</v>
      </c>
      <c r="S1757" s="9">
        <f>IF(R1757="",AVERAGEIF(Table1[Category],Table1[[#This Row],[Category]],Table2[orignal data]),Table2[[#This Row],[orignal data]])</f>
        <v>952.2</v>
      </c>
      <c r="T1757" t="str">
        <f t="shared" si="110"/>
        <v>UNIQUE</v>
      </c>
      <c r="U1757" t="str">
        <f>IF(ISBLANK(Table1[[#This Row],[SizeOption]]),"NOT AVAILABLE",Table1[[#This Row],[SizeOption]])</f>
        <v>30B, 32B, 34B, 36B, 38B, 40B</v>
      </c>
      <c r="Y1757" t="str">
        <f>IF(Table2[[#This Row],[Column1]]&gt;50%,"HIGH DISCOUNT","LOW DISCOUNT")</f>
        <v>LOW DISCOUNT</v>
      </c>
    </row>
    <row r="1758" spans="1:25" x14ac:dyDescent="0.25">
      <c r="A1758" s="1" t="s">
        <v>3816</v>
      </c>
      <c r="B1758" s="1">
        <v>12218494</v>
      </c>
      <c r="C1758" s="1" t="s">
        <v>3817</v>
      </c>
      <c r="D1758" s="1" t="s">
        <v>34</v>
      </c>
      <c r="E1758" s="1" t="s">
        <v>118</v>
      </c>
      <c r="F1758" s="1" t="s">
        <v>36</v>
      </c>
      <c r="G1758" s="1" t="s">
        <v>3818</v>
      </c>
      <c r="H1758">
        <v>433</v>
      </c>
      <c r="I1758" s="1">
        <v>699</v>
      </c>
      <c r="J1758" s="1" t="s">
        <v>408</v>
      </c>
      <c r="K1758" s="1" t="s">
        <v>3819</v>
      </c>
      <c r="L1758" s="1">
        <v>4.2</v>
      </c>
      <c r="M1758" s="1">
        <v>727</v>
      </c>
      <c r="P1758" t="str">
        <f t="shared" si="111"/>
        <v>38%</v>
      </c>
      <c r="Q1758" s="12">
        <f t="shared" si="108"/>
        <v>0.38</v>
      </c>
      <c r="R1758" s="9">
        <f t="shared" si="109"/>
        <v>433.38</v>
      </c>
      <c r="S1758" s="9">
        <f>IF(R1758="",AVERAGEIF(Table1[Category],Table1[[#This Row],[Category]],Table2[orignal data]),Table2[[#This Row],[orignal data]])</f>
        <v>433.38</v>
      </c>
      <c r="T1758" t="str">
        <f t="shared" si="110"/>
        <v>UNIQUE</v>
      </c>
      <c r="U1758" t="str">
        <f>IF(ISBLANK(Table1[[#This Row],[SizeOption]]),"NOT AVAILABLE",Table1[[#This Row],[SizeOption]])</f>
        <v>30B, 32B, 34B, 34C, 36B, 36C, 38B, 38C</v>
      </c>
      <c r="Y1758" t="str">
        <f>IF(Table2[[#This Row],[Column1]]&gt;50%,"HIGH DISCOUNT","LOW DISCOUNT")</f>
        <v>LOW DISCOUNT</v>
      </c>
    </row>
    <row r="1759" spans="1:25" x14ac:dyDescent="0.25">
      <c r="A1759" s="2" t="s">
        <v>3820</v>
      </c>
      <c r="B1759" s="2">
        <v>1987115</v>
      </c>
      <c r="C1759" s="2" t="s">
        <v>67</v>
      </c>
      <c r="D1759" s="2" t="s">
        <v>68</v>
      </c>
      <c r="E1759" s="2" t="s">
        <v>69</v>
      </c>
      <c r="F1759" s="2" t="s">
        <v>36</v>
      </c>
      <c r="G1759" s="2" t="s">
        <v>3821</v>
      </c>
      <c r="H1759">
        <v>1044</v>
      </c>
      <c r="I1759" s="2">
        <v>1899</v>
      </c>
      <c r="J1759" s="2" t="s">
        <v>19</v>
      </c>
      <c r="K1759" s="2" t="s">
        <v>115</v>
      </c>
      <c r="L1759" s="2">
        <v>4.3</v>
      </c>
      <c r="M1759" s="2">
        <v>727</v>
      </c>
      <c r="P1759" t="str">
        <f t="shared" si="111"/>
        <v>45%</v>
      </c>
      <c r="Q1759" s="12">
        <f t="shared" si="108"/>
        <v>0.45</v>
      </c>
      <c r="R1759" s="9">
        <f t="shared" si="109"/>
        <v>1044.4499999999998</v>
      </c>
      <c r="S1759" s="9">
        <f>IF(R1759="",AVERAGEIF(Table1[Category],Table1[[#This Row],[Category]],Table2[orignal data]),Table2[[#This Row],[orignal data]])</f>
        <v>1044.4499999999998</v>
      </c>
      <c r="T1759" t="str">
        <f t="shared" si="110"/>
        <v>UNIQUE</v>
      </c>
      <c r="U1759" t="str">
        <f>IF(ISBLANK(Table1[[#This Row],[SizeOption]]),"NOT AVAILABLE",Table1[[#This Row],[SizeOption]])</f>
        <v>XS, S, M, L, XL, XXL</v>
      </c>
      <c r="Y1759" t="str">
        <f>IF(Table2[[#This Row],[Column1]]&gt;50%,"HIGH DISCOUNT","LOW DISCOUNT")</f>
        <v>LOW DISCOUNT</v>
      </c>
    </row>
    <row r="1760" spans="1:25" x14ac:dyDescent="0.25">
      <c r="A1760" s="1" t="s">
        <v>3822</v>
      </c>
      <c r="B1760" s="1">
        <v>11930858</v>
      </c>
      <c r="C1760" s="1" t="s">
        <v>14</v>
      </c>
      <c r="D1760" s="1" t="s">
        <v>41</v>
      </c>
      <c r="E1760" s="1" t="s">
        <v>16</v>
      </c>
      <c r="F1760" s="1" t="s">
        <v>36</v>
      </c>
      <c r="G1760" s="1" t="s">
        <v>2437</v>
      </c>
      <c r="I1760" s="1">
        <v>1749</v>
      </c>
      <c r="J1760" s="1" t="s">
        <v>84</v>
      </c>
      <c r="K1760" s="1" t="s">
        <v>134</v>
      </c>
      <c r="L1760" s="1">
        <v>4.0999999999999996</v>
      </c>
      <c r="M1760" s="1">
        <v>727</v>
      </c>
      <c r="P1760" t="str">
        <f t="shared" si="111"/>
        <v>50%</v>
      </c>
      <c r="Q1760" s="12">
        <f t="shared" si="108"/>
        <v>0.5</v>
      </c>
      <c r="R1760" s="9">
        <f t="shared" si="109"/>
        <v>874.5</v>
      </c>
      <c r="S1760" s="9">
        <f>IF(R1760="",AVERAGEIF(Table1[Category],Table1[[#This Row],[Category]],Table2[orignal data]),Table2[[#This Row],[orignal data]])</f>
        <v>874.5</v>
      </c>
      <c r="T1760" t="str">
        <f t="shared" si="110"/>
        <v>UNIQUE</v>
      </c>
      <c r="U1760" t="str">
        <f>IF(ISBLANK(Table1[[#This Row],[SizeOption]]),"NOT AVAILABLE",Table1[[#This Row],[SizeOption]])</f>
        <v>26, 28, 30, 32, 34, 36</v>
      </c>
      <c r="Y1760" t="str">
        <f>IF(Table2[[#This Row],[Column1]]&gt;50%,"HIGH DISCOUNT","LOW DISCOUNT")</f>
        <v>LOW DISCOUNT</v>
      </c>
    </row>
    <row r="1761" spans="1:25" x14ac:dyDescent="0.25">
      <c r="A1761" s="2" t="s">
        <v>3823</v>
      </c>
      <c r="B1761" s="2">
        <v>13000570</v>
      </c>
      <c r="C1761" s="2" t="s">
        <v>181</v>
      </c>
      <c r="D1761" s="2" t="s">
        <v>41</v>
      </c>
      <c r="E1761" s="2" t="s">
        <v>16</v>
      </c>
      <c r="F1761" s="2" t="s">
        <v>36</v>
      </c>
      <c r="G1761" s="2" t="s">
        <v>3824</v>
      </c>
      <c r="I1761" s="2">
        <v>1999</v>
      </c>
      <c r="J1761" s="2" t="s">
        <v>84</v>
      </c>
      <c r="K1761" s="2" t="s">
        <v>134</v>
      </c>
      <c r="L1761" s="2">
        <v>4.2</v>
      </c>
      <c r="M1761" s="2">
        <v>727</v>
      </c>
      <c r="P1761" t="str">
        <f t="shared" si="111"/>
        <v>50%</v>
      </c>
      <c r="Q1761" s="12">
        <f t="shared" si="108"/>
        <v>0.5</v>
      </c>
      <c r="R1761" s="9">
        <f t="shared" si="109"/>
        <v>999.5</v>
      </c>
      <c r="S1761" s="9">
        <f>IF(R1761="",AVERAGEIF(Table1[Category],Table1[[#This Row],[Category]],Table2[orignal data]),Table2[[#This Row],[orignal data]])</f>
        <v>999.5</v>
      </c>
      <c r="T1761" t="str">
        <f t="shared" si="110"/>
        <v>UNIQUE</v>
      </c>
      <c r="U1761" t="str">
        <f>IF(ISBLANK(Table1[[#This Row],[SizeOption]]),"NOT AVAILABLE",Table1[[#This Row],[SizeOption]])</f>
        <v>26, 28, 30, 32, 34, 36</v>
      </c>
      <c r="Y1761" t="str">
        <f>IF(Table2[[#This Row],[Column1]]&gt;50%,"HIGH DISCOUNT","LOW DISCOUNT")</f>
        <v>LOW DISCOUNT</v>
      </c>
    </row>
    <row r="1762" spans="1:25" x14ac:dyDescent="0.25">
      <c r="A1762" s="1" t="s">
        <v>3825</v>
      </c>
      <c r="B1762" s="1">
        <v>17382154</v>
      </c>
      <c r="C1762" s="1" t="s">
        <v>14</v>
      </c>
      <c r="D1762" s="1" t="s">
        <v>41</v>
      </c>
      <c r="E1762" s="1" t="s">
        <v>42</v>
      </c>
      <c r="F1762" s="1" t="s">
        <v>36</v>
      </c>
      <c r="G1762" s="1" t="s">
        <v>2359</v>
      </c>
      <c r="I1762" s="1">
        <v>1698</v>
      </c>
      <c r="J1762" s="1"/>
      <c r="K1762" s="1" t="s">
        <v>45</v>
      </c>
      <c r="L1762" s="1">
        <v>3.9</v>
      </c>
      <c r="M1762" s="1">
        <v>727</v>
      </c>
      <c r="P1762" t="str">
        <f t="shared" si="111"/>
        <v/>
      </c>
      <c r="Q1762" s="12" t="str">
        <f t="shared" si="108"/>
        <v/>
      </c>
      <c r="R1762" s="9" t="str">
        <f t="shared" si="109"/>
        <v/>
      </c>
      <c r="S1762" s="9">
        <f>IF(R1762="",AVERAGEIF(Table1[Category],Table1[[#This Row],[Category]],Table2[orignal data]),Table2[[#This Row],[orignal data]])</f>
        <v>715.78890751086249</v>
      </c>
      <c r="T1762" t="str">
        <f t="shared" si="110"/>
        <v>UNIQUE</v>
      </c>
      <c r="U1762" t="str">
        <f>IF(ISBLANK(Table1[[#This Row],[SizeOption]]),"NOT AVAILABLE",Table1[[#This Row],[SizeOption]])</f>
        <v>XS, S, M, L, XL</v>
      </c>
      <c r="Y1762" t="str">
        <f>IF(Table2[[#This Row],[Column1]]&gt;50%,"HIGH DISCOUNT","LOW DISCOUNT")</f>
        <v>HIGH DISCOUNT</v>
      </c>
    </row>
    <row r="1763" spans="1:25" x14ac:dyDescent="0.25">
      <c r="A1763" s="2" t="s">
        <v>3826</v>
      </c>
      <c r="B1763" s="2">
        <v>11326746</v>
      </c>
      <c r="C1763" s="2" t="s">
        <v>14</v>
      </c>
      <c r="D1763" s="2" t="s">
        <v>28</v>
      </c>
      <c r="E1763" s="2" t="s">
        <v>29</v>
      </c>
      <c r="F1763" s="2" t="s">
        <v>17</v>
      </c>
      <c r="G1763" s="2" t="s">
        <v>3827</v>
      </c>
      <c r="H1763">
        <v>749</v>
      </c>
      <c r="I1763" s="2">
        <v>1499</v>
      </c>
      <c r="J1763" s="2" t="s">
        <v>84</v>
      </c>
      <c r="K1763" s="2" t="s">
        <v>253</v>
      </c>
      <c r="L1763" s="2">
        <v>4.3</v>
      </c>
      <c r="M1763" s="2">
        <v>726</v>
      </c>
      <c r="P1763" t="str">
        <f t="shared" si="111"/>
        <v>50%</v>
      </c>
      <c r="Q1763" s="12">
        <f t="shared" si="108"/>
        <v>0.5</v>
      </c>
      <c r="R1763" s="9">
        <f t="shared" si="109"/>
        <v>749.5</v>
      </c>
      <c r="S1763" s="9">
        <f>IF(R1763="",AVERAGEIF(Table1[Category],Table1[[#This Row],[Category]],Table2[orignal data]),Table2[[#This Row],[orignal data]])</f>
        <v>749.5</v>
      </c>
      <c r="T1763" t="str">
        <f t="shared" si="110"/>
        <v>UNIQUE</v>
      </c>
      <c r="U1763" t="str">
        <f>IF(ISBLANK(Table1[[#This Row],[SizeOption]]),"NOT AVAILABLE",Table1[[#This Row],[SizeOption]])</f>
        <v>38, 40, 42, 44</v>
      </c>
      <c r="Y1763" t="str">
        <f>IF(Table2[[#This Row],[Column1]]&gt;50%,"HIGH DISCOUNT","LOW DISCOUNT")</f>
        <v>LOW DISCOUNT</v>
      </c>
    </row>
    <row r="1764" spans="1:25" x14ac:dyDescent="0.25">
      <c r="A1764" s="1" t="s">
        <v>3828</v>
      </c>
      <c r="B1764" s="1">
        <v>11363586</v>
      </c>
      <c r="C1764" s="1" t="s">
        <v>169</v>
      </c>
      <c r="D1764" s="1" t="s">
        <v>28</v>
      </c>
      <c r="E1764" s="1" t="s">
        <v>42</v>
      </c>
      <c r="F1764" s="1" t="s">
        <v>17</v>
      </c>
      <c r="G1764" s="1" t="s">
        <v>3829</v>
      </c>
      <c r="H1764">
        <v>899</v>
      </c>
      <c r="I1764" s="1">
        <v>1499</v>
      </c>
      <c r="J1764" s="1" t="s">
        <v>50</v>
      </c>
      <c r="K1764" s="1" t="s">
        <v>39</v>
      </c>
      <c r="L1764" s="1">
        <v>4.4000000000000004</v>
      </c>
      <c r="M1764" s="1">
        <v>726</v>
      </c>
      <c r="P1764" t="str">
        <f t="shared" si="111"/>
        <v>40%</v>
      </c>
      <c r="Q1764" s="12">
        <f t="shared" si="108"/>
        <v>0.4</v>
      </c>
      <c r="R1764" s="9">
        <f t="shared" si="109"/>
        <v>899.4</v>
      </c>
      <c r="S1764" s="9">
        <f>IF(R1764="",AVERAGEIF(Table1[Category],Table1[[#This Row],[Category]],Table2[orignal data]),Table2[[#This Row],[orignal data]])</f>
        <v>899.4</v>
      </c>
      <c r="T1764" t="str">
        <f t="shared" si="110"/>
        <v>UNIQUE</v>
      </c>
      <c r="U1764" t="str">
        <f>IF(ISBLANK(Table1[[#This Row],[SizeOption]]),"NOT AVAILABLE",Table1[[#This Row],[SizeOption]])</f>
        <v>S, M, L, XL, XXL</v>
      </c>
      <c r="Y1764" t="str">
        <f>IF(Table2[[#This Row],[Column1]]&gt;50%,"HIGH DISCOUNT","LOW DISCOUNT")</f>
        <v>LOW DISCOUNT</v>
      </c>
    </row>
    <row r="1765" spans="1:25" x14ac:dyDescent="0.25">
      <c r="A1765" s="2" t="s">
        <v>3830</v>
      </c>
      <c r="B1765" s="2">
        <v>2339444</v>
      </c>
      <c r="C1765" s="2" t="s">
        <v>169</v>
      </c>
      <c r="D1765" s="2" t="s">
        <v>28</v>
      </c>
      <c r="E1765" s="2" t="s">
        <v>42</v>
      </c>
      <c r="F1765" s="2" t="s">
        <v>17</v>
      </c>
      <c r="G1765" s="2" t="s">
        <v>3831</v>
      </c>
      <c r="H1765">
        <v>749</v>
      </c>
      <c r="I1765" s="2">
        <v>1499</v>
      </c>
      <c r="J1765" s="2" t="s">
        <v>84</v>
      </c>
      <c r="K1765" s="2" t="s">
        <v>39</v>
      </c>
      <c r="L1765" s="2">
        <v>4.0999999999999996</v>
      </c>
      <c r="M1765" s="2">
        <v>726</v>
      </c>
      <c r="P1765" t="str">
        <f t="shared" si="111"/>
        <v>50%</v>
      </c>
      <c r="Q1765" s="12">
        <f t="shared" si="108"/>
        <v>0.5</v>
      </c>
      <c r="R1765" s="9">
        <f t="shared" si="109"/>
        <v>749.5</v>
      </c>
      <c r="S1765" s="9">
        <f>IF(R1765="",AVERAGEIF(Table1[Category],Table1[[#This Row],[Category]],Table2[orignal data]),Table2[[#This Row],[orignal data]])</f>
        <v>749.5</v>
      </c>
      <c r="T1765" t="str">
        <f t="shared" si="110"/>
        <v>UNIQUE</v>
      </c>
      <c r="U1765" t="str">
        <f>IF(ISBLANK(Table1[[#This Row],[SizeOption]]),"NOT AVAILABLE",Table1[[#This Row],[SizeOption]])</f>
        <v>S, M, L, XL, XXL</v>
      </c>
      <c r="Y1765" t="str">
        <f>IF(Table2[[#This Row],[Column1]]&gt;50%,"HIGH DISCOUNT","LOW DISCOUNT")</f>
        <v>LOW DISCOUNT</v>
      </c>
    </row>
    <row r="1766" spans="1:25" x14ac:dyDescent="0.25">
      <c r="A1766" s="1" t="s">
        <v>3832</v>
      </c>
      <c r="B1766" s="1">
        <v>10020075</v>
      </c>
      <c r="C1766" s="1" t="s">
        <v>22</v>
      </c>
      <c r="D1766" s="1" t="s">
        <v>28</v>
      </c>
      <c r="E1766" s="1" t="s">
        <v>29</v>
      </c>
      <c r="F1766" s="1" t="s">
        <v>17</v>
      </c>
      <c r="G1766" s="1" t="s">
        <v>3833</v>
      </c>
      <c r="H1766">
        <v>543</v>
      </c>
      <c r="I1766" s="1">
        <v>1599</v>
      </c>
      <c r="J1766" s="1" t="s">
        <v>403</v>
      </c>
      <c r="K1766" s="1" t="s">
        <v>90</v>
      </c>
      <c r="L1766" s="1">
        <v>4</v>
      </c>
      <c r="M1766" s="1">
        <v>726</v>
      </c>
      <c r="P1766" t="str">
        <f t="shared" si="111"/>
        <v>66%</v>
      </c>
      <c r="Q1766" s="12">
        <f t="shared" si="108"/>
        <v>0.66</v>
      </c>
      <c r="R1766" s="9">
        <f t="shared" si="109"/>
        <v>543.65999999999985</v>
      </c>
      <c r="S1766" s="9">
        <f>IF(R1766="",AVERAGEIF(Table1[Category],Table1[[#This Row],[Category]],Table2[orignal data]),Table2[[#This Row],[orignal data]])</f>
        <v>543.65999999999985</v>
      </c>
      <c r="T1766" t="str">
        <f t="shared" si="110"/>
        <v>UNIQUE</v>
      </c>
      <c r="U1766" t="str">
        <f>IF(ISBLANK(Table1[[#This Row],[SizeOption]]),"NOT AVAILABLE",Table1[[#This Row],[SizeOption]])</f>
        <v>39, 40, 42, 44</v>
      </c>
      <c r="Y1766" t="str">
        <f>IF(Table2[[#This Row],[Column1]]&gt;50%,"HIGH DISCOUNT","LOW DISCOUNT")</f>
        <v>HIGH DISCOUNT</v>
      </c>
    </row>
    <row r="1767" spans="1:25" x14ac:dyDescent="0.25">
      <c r="A1767" s="2" t="s">
        <v>3834</v>
      </c>
      <c r="B1767" s="2">
        <v>13988092</v>
      </c>
      <c r="C1767" s="2" t="s">
        <v>545</v>
      </c>
      <c r="D1767" s="2" t="s">
        <v>76</v>
      </c>
      <c r="E1767" s="2" t="s">
        <v>320</v>
      </c>
      <c r="F1767" s="2" t="s">
        <v>36</v>
      </c>
      <c r="G1767" s="2" t="s">
        <v>3835</v>
      </c>
      <c r="H1767">
        <v>895</v>
      </c>
      <c r="I1767" s="2">
        <v>2799</v>
      </c>
      <c r="J1767" s="2" t="s">
        <v>839</v>
      </c>
      <c r="K1767" s="2" t="s">
        <v>164</v>
      </c>
      <c r="L1767" s="2">
        <v>4.0999999999999996</v>
      </c>
      <c r="M1767" s="2">
        <v>726</v>
      </c>
      <c r="P1767" t="str">
        <f t="shared" si="111"/>
        <v>68%</v>
      </c>
      <c r="Q1767" s="12">
        <f t="shared" si="108"/>
        <v>0.68</v>
      </c>
      <c r="R1767" s="9">
        <f t="shared" si="109"/>
        <v>895.67999999999984</v>
      </c>
      <c r="S1767" s="9">
        <f>IF(R1767="",AVERAGEIF(Table1[Category],Table1[[#This Row],[Category]],Table2[orignal data]),Table2[[#This Row],[orignal data]])</f>
        <v>895.67999999999984</v>
      </c>
      <c r="T1767" t="str">
        <f t="shared" si="110"/>
        <v>UNIQUE</v>
      </c>
      <c r="U1767" t="str">
        <f>IF(ISBLANK(Table1[[#This Row],[SizeOption]]),"NOT AVAILABLE",Table1[[#This Row],[SizeOption]])</f>
        <v>Onesize</v>
      </c>
      <c r="Y1767" t="str">
        <f>IF(Table2[[#This Row],[Column1]]&gt;50%,"HIGH DISCOUNT","LOW DISCOUNT")</f>
        <v>HIGH DISCOUNT</v>
      </c>
    </row>
    <row r="1768" spans="1:25" x14ac:dyDescent="0.25">
      <c r="A1768" s="1" t="s">
        <v>3836</v>
      </c>
      <c r="B1768" s="1">
        <v>13983650</v>
      </c>
      <c r="C1768" s="1" t="s">
        <v>107</v>
      </c>
      <c r="D1768" s="1" t="s">
        <v>34</v>
      </c>
      <c r="E1768" s="1" t="s">
        <v>118</v>
      </c>
      <c r="F1768" s="1" t="s">
        <v>36</v>
      </c>
      <c r="G1768" s="1" t="s">
        <v>3837</v>
      </c>
      <c r="H1768">
        <v>164</v>
      </c>
      <c r="I1768" s="1">
        <v>549</v>
      </c>
      <c r="J1768" s="1" t="s">
        <v>79</v>
      </c>
      <c r="K1768" s="1" t="s">
        <v>26</v>
      </c>
      <c r="L1768" s="1">
        <v>4.4000000000000004</v>
      </c>
      <c r="M1768" s="1">
        <v>726</v>
      </c>
      <c r="P1768" t="str">
        <f t="shared" si="111"/>
        <v>70%</v>
      </c>
      <c r="Q1768" s="12">
        <f t="shared" si="108"/>
        <v>0.7</v>
      </c>
      <c r="R1768" s="9">
        <f t="shared" si="109"/>
        <v>164.70000000000005</v>
      </c>
      <c r="S1768" s="9">
        <f>IF(R1768="",AVERAGEIF(Table1[Category],Table1[[#This Row],[Category]],Table2[orignal data]),Table2[[#This Row],[orignal data]])</f>
        <v>164.70000000000005</v>
      </c>
      <c r="T1768" t="str">
        <f t="shared" si="110"/>
        <v>UNIQUE</v>
      </c>
      <c r="U1768" t="str">
        <f>IF(ISBLANK(Table1[[#This Row],[SizeOption]]),"NOT AVAILABLE",Table1[[#This Row],[SizeOption]])</f>
        <v>S, M, L, XL</v>
      </c>
      <c r="Y1768" t="str">
        <f>IF(Table2[[#This Row],[Column1]]&gt;50%,"HIGH DISCOUNT","LOW DISCOUNT")</f>
        <v>HIGH DISCOUNT</v>
      </c>
    </row>
    <row r="1769" spans="1:25" x14ac:dyDescent="0.25">
      <c r="A1769" s="2" t="s">
        <v>3838</v>
      </c>
      <c r="B1769" s="2">
        <v>9371023</v>
      </c>
      <c r="C1769" s="2" t="s">
        <v>97</v>
      </c>
      <c r="D1769" s="2" t="s">
        <v>98</v>
      </c>
      <c r="E1769" s="2" t="s">
        <v>93</v>
      </c>
      <c r="F1769" s="2" t="s">
        <v>36</v>
      </c>
      <c r="G1769" s="2" t="s">
        <v>3839</v>
      </c>
      <c r="H1769">
        <v>599</v>
      </c>
      <c r="I1769" s="2">
        <v>1199</v>
      </c>
      <c r="J1769" s="2" t="s">
        <v>84</v>
      </c>
      <c r="K1769" s="2" t="s">
        <v>100</v>
      </c>
      <c r="L1769" s="2">
        <v>3.9</v>
      </c>
      <c r="M1769" s="2">
        <v>726</v>
      </c>
      <c r="P1769" t="str">
        <f t="shared" si="111"/>
        <v>50%</v>
      </c>
      <c r="Q1769" s="12">
        <f t="shared" si="108"/>
        <v>0.5</v>
      </c>
      <c r="R1769" s="9">
        <f t="shared" si="109"/>
        <v>599.5</v>
      </c>
      <c r="S1769" s="9">
        <f>IF(R1769="",AVERAGEIF(Table1[Category],Table1[[#This Row],[Category]],Table2[orignal data]),Table2[[#This Row],[orignal data]])</f>
        <v>599.5</v>
      </c>
      <c r="T1769" t="str">
        <f t="shared" si="110"/>
        <v>UNIQUE</v>
      </c>
      <c r="U1769" t="str">
        <f>IF(ISBLANK(Table1[[#This Row],[SizeOption]]),"NOT AVAILABLE",Table1[[#This Row],[SizeOption]])</f>
        <v>XS, S, M, L, XL, XXL, 3XL</v>
      </c>
      <c r="Y1769" t="str">
        <f>IF(Table2[[#This Row],[Column1]]&gt;50%,"HIGH DISCOUNT","LOW DISCOUNT")</f>
        <v>LOW DISCOUNT</v>
      </c>
    </row>
    <row r="1770" spans="1:25" x14ac:dyDescent="0.25">
      <c r="A1770" s="1" t="s">
        <v>3840</v>
      </c>
      <c r="B1770" s="1">
        <v>9528617</v>
      </c>
      <c r="C1770" s="1" t="s">
        <v>107</v>
      </c>
      <c r="D1770" s="1" t="s">
        <v>41</v>
      </c>
      <c r="E1770" s="1" t="s">
        <v>48</v>
      </c>
      <c r="F1770" s="1" t="s">
        <v>36</v>
      </c>
      <c r="G1770" s="1" t="s">
        <v>3841</v>
      </c>
      <c r="I1770" s="1">
        <v>1099</v>
      </c>
      <c r="J1770" s="1" t="s">
        <v>150</v>
      </c>
      <c r="K1770" s="1" t="s">
        <v>45</v>
      </c>
      <c r="L1770" s="1">
        <v>4.4000000000000004</v>
      </c>
      <c r="M1770" s="1">
        <v>726</v>
      </c>
      <c r="P1770" t="str">
        <f t="shared" si="111"/>
        <v>65%</v>
      </c>
      <c r="Q1770" s="12">
        <f t="shared" si="108"/>
        <v>0.65</v>
      </c>
      <c r="R1770" s="9">
        <f t="shared" si="109"/>
        <v>384.65</v>
      </c>
      <c r="S1770" s="9">
        <f>IF(R1770="",AVERAGEIF(Table1[Category],Table1[[#This Row],[Category]],Table2[orignal data]),Table2[[#This Row],[orignal data]])</f>
        <v>384.65</v>
      </c>
      <c r="T1770" t="str">
        <f t="shared" si="110"/>
        <v>UNIQUE</v>
      </c>
      <c r="U1770" t="str">
        <f>IF(ISBLANK(Table1[[#This Row],[SizeOption]]),"NOT AVAILABLE",Table1[[#This Row],[SizeOption]])</f>
        <v>XS, S, M, L, XL</v>
      </c>
      <c r="Y1770" t="str">
        <f>IF(Table2[[#This Row],[Column1]]&gt;50%,"HIGH DISCOUNT","LOW DISCOUNT")</f>
        <v>HIGH DISCOUNT</v>
      </c>
    </row>
    <row r="1771" spans="1:25" x14ac:dyDescent="0.25">
      <c r="A1771" s="2" t="s">
        <v>3842</v>
      </c>
      <c r="B1771" s="2">
        <v>1735166</v>
      </c>
      <c r="C1771" s="2" t="s">
        <v>47</v>
      </c>
      <c r="D1771" s="2" t="s">
        <v>41</v>
      </c>
      <c r="E1771" s="2" t="s">
        <v>148</v>
      </c>
      <c r="F1771" s="2" t="s">
        <v>36</v>
      </c>
      <c r="G1771" s="2" t="s">
        <v>3843</v>
      </c>
      <c r="I1771" s="2">
        <v>1799</v>
      </c>
      <c r="J1771" s="2" t="s">
        <v>19</v>
      </c>
      <c r="K1771" s="2" t="s">
        <v>45</v>
      </c>
      <c r="L1771" s="2">
        <v>3.9</v>
      </c>
      <c r="M1771" s="2">
        <v>726</v>
      </c>
      <c r="P1771" t="str">
        <f t="shared" si="111"/>
        <v>45%</v>
      </c>
      <c r="Q1771" s="12">
        <f t="shared" si="108"/>
        <v>0.45</v>
      </c>
      <c r="R1771" s="9">
        <f t="shared" si="109"/>
        <v>989.44999999999993</v>
      </c>
      <c r="S1771" s="9">
        <f>IF(R1771="",AVERAGEIF(Table1[Category],Table1[[#This Row],[Category]],Table2[orignal data]),Table2[[#This Row],[orignal data]])</f>
        <v>989.44999999999993</v>
      </c>
      <c r="T1771" t="str">
        <f t="shared" si="110"/>
        <v>UNIQUE</v>
      </c>
      <c r="U1771" t="str">
        <f>IF(ISBLANK(Table1[[#This Row],[SizeOption]]),"NOT AVAILABLE",Table1[[#This Row],[SizeOption]])</f>
        <v>XS, S, M, L, XL</v>
      </c>
      <c r="Y1771" t="str">
        <f>IF(Table2[[#This Row],[Column1]]&gt;50%,"HIGH DISCOUNT","LOW DISCOUNT")</f>
        <v>LOW DISCOUNT</v>
      </c>
    </row>
    <row r="1772" spans="1:25" x14ac:dyDescent="0.25">
      <c r="A1772" s="1" t="s">
        <v>3844</v>
      </c>
      <c r="B1772" s="1">
        <v>2383108</v>
      </c>
      <c r="C1772" s="1" t="s">
        <v>47</v>
      </c>
      <c r="D1772" s="1" t="s">
        <v>15</v>
      </c>
      <c r="E1772" s="1" t="s">
        <v>16</v>
      </c>
      <c r="F1772" s="1" t="s">
        <v>17</v>
      </c>
      <c r="G1772" s="1" t="s">
        <v>3845</v>
      </c>
      <c r="H1772">
        <v>1099</v>
      </c>
      <c r="I1772" s="1">
        <v>2199</v>
      </c>
      <c r="J1772" s="1" t="s">
        <v>84</v>
      </c>
      <c r="K1772" s="1" t="s">
        <v>20</v>
      </c>
      <c r="L1772" s="1">
        <v>3.8</v>
      </c>
      <c r="M1772" s="1">
        <v>725</v>
      </c>
      <c r="P1772" t="str">
        <f t="shared" si="111"/>
        <v>50%</v>
      </c>
      <c r="Q1772" s="12">
        <f t="shared" si="108"/>
        <v>0.5</v>
      </c>
      <c r="R1772" s="9">
        <f t="shared" si="109"/>
        <v>1099.5</v>
      </c>
      <c r="S1772" s="9">
        <f>IF(R1772="",AVERAGEIF(Table1[Category],Table1[[#This Row],[Category]],Table2[orignal data]),Table2[[#This Row],[orignal data]])</f>
        <v>1099.5</v>
      </c>
      <c r="T1772" t="str">
        <f t="shared" si="110"/>
        <v>UNIQUE</v>
      </c>
      <c r="U1772" t="str">
        <f>IF(ISBLANK(Table1[[#This Row],[SizeOption]]),"NOT AVAILABLE",Table1[[#This Row],[SizeOption]])</f>
        <v>28, 30, 32, 34, 36</v>
      </c>
      <c r="Y1772" t="str">
        <f>IF(Table2[[#This Row],[Column1]]&gt;50%,"HIGH DISCOUNT","LOW DISCOUNT")</f>
        <v>LOW DISCOUNT</v>
      </c>
    </row>
    <row r="1773" spans="1:25" x14ac:dyDescent="0.25">
      <c r="A1773" s="2" t="s">
        <v>3846</v>
      </c>
      <c r="B1773" s="2">
        <v>12135120</v>
      </c>
      <c r="C1773" s="2" t="s">
        <v>113</v>
      </c>
      <c r="D1773" s="2" t="s">
        <v>76</v>
      </c>
      <c r="E1773" s="2" t="s">
        <v>93</v>
      </c>
      <c r="F1773" s="2" t="s">
        <v>17</v>
      </c>
      <c r="G1773" s="2" t="s">
        <v>3847</v>
      </c>
      <c r="H1773">
        <v>599</v>
      </c>
      <c r="I1773" s="2">
        <v>1499</v>
      </c>
      <c r="J1773" s="2" t="s">
        <v>55</v>
      </c>
      <c r="K1773" s="2" t="s">
        <v>39</v>
      </c>
      <c r="L1773" s="2">
        <v>3.8</v>
      </c>
      <c r="M1773" s="2">
        <v>725</v>
      </c>
      <c r="P1773" t="str">
        <f t="shared" si="111"/>
        <v>60%</v>
      </c>
      <c r="Q1773" s="12">
        <f t="shared" si="108"/>
        <v>0.6</v>
      </c>
      <c r="R1773" s="9">
        <f t="shared" si="109"/>
        <v>599.6</v>
      </c>
      <c r="S1773" s="9">
        <f>IF(R1773="",AVERAGEIF(Table1[Category],Table1[[#This Row],[Category]],Table2[orignal data]),Table2[[#This Row],[orignal data]])</f>
        <v>599.6</v>
      </c>
      <c r="T1773" t="str">
        <f t="shared" si="110"/>
        <v>UNIQUE</v>
      </c>
      <c r="U1773" t="str">
        <f>IF(ISBLANK(Table1[[#This Row],[SizeOption]]),"NOT AVAILABLE",Table1[[#This Row],[SizeOption]])</f>
        <v>S, M, L, XL, XXL</v>
      </c>
      <c r="Y1773" t="str">
        <f>IF(Table2[[#This Row],[Column1]]&gt;50%,"HIGH DISCOUNT","LOW DISCOUNT")</f>
        <v>HIGH DISCOUNT</v>
      </c>
    </row>
    <row r="1774" spans="1:25" x14ac:dyDescent="0.25">
      <c r="A1774" s="1" t="s">
        <v>3848</v>
      </c>
      <c r="B1774" s="1">
        <v>1616326</v>
      </c>
      <c r="C1774" s="1" t="s">
        <v>47</v>
      </c>
      <c r="D1774" s="1" t="s">
        <v>197</v>
      </c>
      <c r="E1774" s="1" t="s">
        <v>198</v>
      </c>
      <c r="F1774" s="1" t="s">
        <v>17</v>
      </c>
      <c r="G1774" s="1" t="s">
        <v>3849</v>
      </c>
      <c r="H1774">
        <v>319</v>
      </c>
      <c r="I1774" s="1">
        <v>399</v>
      </c>
      <c r="J1774" s="1" t="s">
        <v>412</v>
      </c>
      <c r="K1774" s="1" t="s">
        <v>164</v>
      </c>
      <c r="L1774" s="1">
        <v>4.4000000000000004</v>
      </c>
      <c r="M1774" s="1">
        <v>725</v>
      </c>
      <c r="P1774" t="str">
        <f t="shared" si="111"/>
        <v>20%</v>
      </c>
      <c r="Q1774" s="12">
        <f t="shared" si="108"/>
        <v>0.2</v>
      </c>
      <c r="R1774" s="9">
        <f t="shared" si="109"/>
        <v>319.2</v>
      </c>
      <c r="S1774" s="9">
        <f>IF(R1774="",AVERAGEIF(Table1[Category],Table1[[#This Row],[Category]],Table2[orignal data]),Table2[[#This Row],[orignal data]])</f>
        <v>319.2</v>
      </c>
      <c r="T1774" t="str">
        <f t="shared" si="110"/>
        <v>UNIQUE</v>
      </c>
      <c r="U1774" t="str">
        <f>IF(ISBLANK(Table1[[#This Row],[SizeOption]]),"NOT AVAILABLE",Table1[[#This Row],[SizeOption]])</f>
        <v>Onesize</v>
      </c>
      <c r="Y1774" t="str">
        <f>IF(Table2[[#This Row],[Column1]]&gt;50%,"HIGH DISCOUNT","LOW DISCOUNT")</f>
        <v>LOW DISCOUNT</v>
      </c>
    </row>
    <row r="1775" spans="1:25" x14ac:dyDescent="0.25">
      <c r="A1775" s="2" t="s">
        <v>3850</v>
      </c>
      <c r="B1775" s="2">
        <v>1996790</v>
      </c>
      <c r="C1775" s="2" t="s">
        <v>14</v>
      </c>
      <c r="D1775" s="2" t="s">
        <v>28</v>
      </c>
      <c r="E1775" s="2" t="s">
        <v>42</v>
      </c>
      <c r="F1775" s="2" t="s">
        <v>17</v>
      </c>
      <c r="G1775" s="2" t="s">
        <v>3851</v>
      </c>
      <c r="H1775">
        <v>349</v>
      </c>
      <c r="I1775" s="2">
        <v>699</v>
      </c>
      <c r="J1775" s="2" t="s">
        <v>84</v>
      </c>
      <c r="K1775" s="2" t="s">
        <v>45</v>
      </c>
      <c r="L1775" s="2">
        <v>3.9</v>
      </c>
      <c r="M1775" s="2">
        <v>725</v>
      </c>
      <c r="P1775" t="str">
        <f t="shared" si="111"/>
        <v>50%</v>
      </c>
      <c r="Q1775" s="12">
        <f t="shared" si="108"/>
        <v>0.5</v>
      </c>
      <c r="R1775" s="9">
        <f t="shared" si="109"/>
        <v>349.5</v>
      </c>
      <c r="S1775" s="9">
        <f>IF(R1775="",AVERAGEIF(Table1[Category],Table1[[#This Row],[Category]],Table2[orignal data]),Table2[[#This Row],[orignal data]])</f>
        <v>349.5</v>
      </c>
      <c r="T1775" t="str">
        <f t="shared" si="110"/>
        <v>UNIQUE</v>
      </c>
      <c r="U1775" t="str">
        <f>IF(ISBLANK(Table1[[#This Row],[SizeOption]]),"NOT AVAILABLE",Table1[[#This Row],[SizeOption]])</f>
        <v>XS, S, M, L, XL</v>
      </c>
      <c r="Y1775" t="str">
        <f>IF(Table2[[#This Row],[Column1]]&gt;50%,"HIGH DISCOUNT","LOW DISCOUNT")</f>
        <v>LOW DISCOUNT</v>
      </c>
    </row>
    <row r="1776" spans="1:25" x14ac:dyDescent="0.25">
      <c r="A1776" s="1" t="s">
        <v>3852</v>
      </c>
      <c r="B1776" s="1">
        <v>13503134</v>
      </c>
      <c r="C1776" s="1" t="s">
        <v>75</v>
      </c>
      <c r="D1776" s="1" t="s">
        <v>76</v>
      </c>
      <c r="E1776" s="1" t="s">
        <v>148</v>
      </c>
      <c r="F1776" s="1" t="s">
        <v>36</v>
      </c>
      <c r="G1776" s="1" t="s">
        <v>3853</v>
      </c>
      <c r="H1776">
        <v>1199</v>
      </c>
      <c r="I1776" s="1">
        <v>2999</v>
      </c>
      <c r="J1776" s="1" t="s">
        <v>55</v>
      </c>
      <c r="K1776" s="1" t="s">
        <v>39</v>
      </c>
      <c r="L1776" s="1">
        <v>4.2</v>
      </c>
      <c r="M1776" s="1">
        <v>725</v>
      </c>
      <c r="P1776" t="str">
        <f t="shared" si="111"/>
        <v>60%</v>
      </c>
      <c r="Q1776" s="12">
        <f t="shared" si="108"/>
        <v>0.6</v>
      </c>
      <c r="R1776" s="9">
        <f t="shared" si="109"/>
        <v>1199.6000000000001</v>
      </c>
      <c r="S1776" s="9">
        <f>IF(R1776="",AVERAGEIF(Table1[Category],Table1[[#This Row],[Category]],Table2[orignal data]),Table2[[#This Row],[orignal data]])</f>
        <v>1199.6000000000001</v>
      </c>
      <c r="T1776" t="str">
        <f t="shared" si="110"/>
        <v>UNIQUE</v>
      </c>
      <c r="U1776" t="str">
        <f>IF(ISBLANK(Table1[[#This Row],[SizeOption]]),"NOT AVAILABLE",Table1[[#This Row],[SizeOption]])</f>
        <v>S, M, L, XL, XXL</v>
      </c>
      <c r="Y1776" t="str">
        <f>IF(Table2[[#This Row],[Column1]]&gt;50%,"HIGH DISCOUNT","LOW DISCOUNT")</f>
        <v>HIGH DISCOUNT</v>
      </c>
    </row>
    <row r="1777" spans="1:25" x14ac:dyDescent="0.25">
      <c r="A1777" s="2" t="s">
        <v>3854</v>
      </c>
      <c r="B1777" s="2">
        <v>11514858</v>
      </c>
      <c r="C1777" s="2" t="s">
        <v>3855</v>
      </c>
      <c r="D1777" s="2" t="s">
        <v>76</v>
      </c>
      <c r="E1777" s="2" t="s">
        <v>1411</v>
      </c>
      <c r="F1777" s="2" t="s">
        <v>36</v>
      </c>
      <c r="G1777" s="2" t="s">
        <v>3856</v>
      </c>
      <c r="H1777">
        <v>449</v>
      </c>
      <c r="I1777" s="2">
        <v>899</v>
      </c>
      <c r="J1777" s="2" t="s">
        <v>84</v>
      </c>
      <c r="K1777" s="2" t="s">
        <v>164</v>
      </c>
      <c r="L1777" s="2">
        <v>4.3</v>
      </c>
      <c r="M1777" s="2">
        <v>725</v>
      </c>
      <c r="P1777" t="str">
        <f t="shared" si="111"/>
        <v>50%</v>
      </c>
      <c r="Q1777" s="12">
        <f t="shared" si="108"/>
        <v>0.5</v>
      </c>
      <c r="R1777" s="9">
        <f t="shared" si="109"/>
        <v>449.5</v>
      </c>
      <c r="S1777" s="9">
        <f>IF(R1777="",AVERAGEIF(Table1[Category],Table1[[#This Row],[Category]],Table2[orignal data]),Table2[[#This Row],[orignal data]])</f>
        <v>449.5</v>
      </c>
      <c r="T1777" t="str">
        <f t="shared" si="110"/>
        <v>UNIQUE</v>
      </c>
      <c r="U1777" t="str">
        <f>IF(ISBLANK(Table1[[#This Row],[SizeOption]]),"NOT AVAILABLE",Table1[[#This Row],[SizeOption]])</f>
        <v>Onesize</v>
      </c>
      <c r="Y1777" t="str">
        <f>IF(Table2[[#This Row],[Column1]]&gt;50%,"HIGH DISCOUNT","LOW DISCOUNT")</f>
        <v>LOW DISCOUNT</v>
      </c>
    </row>
    <row r="1778" spans="1:25" x14ac:dyDescent="0.25">
      <c r="A1778" s="1" t="s">
        <v>3857</v>
      </c>
      <c r="B1778" s="1">
        <v>10106263</v>
      </c>
      <c r="C1778" s="1" t="s">
        <v>67</v>
      </c>
      <c r="D1778" s="1" t="s">
        <v>68</v>
      </c>
      <c r="E1778" s="1" t="s">
        <v>42</v>
      </c>
      <c r="F1778" s="1" t="s">
        <v>36</v>
      </c>
      <c r="G1778" s="1" t="s">
        <v>3858</v>
      </c>
      <c r="H1778">
        <v>404</v>
      </c>
      <c r="I1778" s="1">
        <v>899</v>
      </c>
      <c r="J1778" s="1" t="s">
        <v>25</v>
      </c>
      <c r="K1778" s="1" t="s">
        <v>45</v>
      </c>
      <c r="L1778" s="1">
        <v>4.0999999999999996</v>
      </c>
      <c r="M1778" s="1">
        <v>725</v>
      </c>
      <c r="P1778" t="str">
        <f t="shared" si="111"/>
        <v>55%</v>
      </c>
      <c r="Q1778" s="12">
        <f t="shared" si="108"/>
        <v>0.55000000000000004</v>
      </c>
      <c r="R1778" s="9">
        <f t="shared" si="109"/>
        <v>404.54999999999995</v>
      </c>
      <c r="S1778" s="9">
        <f>IF(R1778="",AVERAGEIF(Table1[Category],Table1[[#This Row],[Category]],Table2[orignal data]),Table2[[#This Row],[orignal data]])</f>
        <v>404.54999999999995</v>
      </c>
      <c r="T1778" t="str">
        <f t="shared" si="110"/>
        <v>UNIQUE</v>
      </c>
      <c r="U1778" t="str">
        <f>IF(ISBLANK(Table1[[#This Row],[SizeOption]]),"NOT AVAILABLE",Table1[[#This Row],[SizeOption]])</f>
        <v>XS, S, M, L, XL</v>
      </c>
      <c r="Y1778" t="str">
        <f>IF(Table2[[#This Row],[Column1]]&gt;50%,"HIGH DISCOUNT","LOW DISCOUNT")</f>
        <v>HIGH DISCOUNT</v>
      </c>
    </row>
    <row r="1779" spans="1:25" x14ac:dyDescent="0.25">
      <c r="A1779" s="2" t="s">
        <v>3859</v>
      </c>
      <c r="B1779" s="2">
        <v>12382156</v>
      </c>
      <c r="C1779" s="2" t="s">
        <v>887</v>
      </c>
      <c r="D1779" s="2" t="s">
        <v>41</v>
      </c>
      <c r="E1779" s="2" t="s">
        <v>48</v>
      </c>
      <c r="F1779" s="2" t="s">
        <v>36</v>
      </c>
      <c r="G1779" s="2" t="s">
        <v>3860</v>
      </c>
      <c r="I1779" s="2">
        <v>1399</v>
      </c>
      <c r="J1779" s="2" t="s">
        <v>60</v>
      </c>
      <c r="K1779" s="2" t="s">
        <v>26</v>
      </c>
      <c r="L1779" s="2">
        <v>4.3</v>
      </c>
      <c r="M1779" s="2">
        <v>725</v>
      </c>
      <c r="P1779" t="str">
        <f t="shared" si="111"/>
        <v>58%</v>
      </c>
      <c r="Q1779" s="12">
        <f t="shared" si="108"/>
        <v>0.57999999999999996</v>
      </c>
      <c r="R1779" s="9">
        <f t="shared" si="109"/>
        <v>587.58000000000004</v>
      </c>
      <c r="S1779" s="9">
        <f>IF(R1779="",AVERAGEIF(Table1[Category],Table1[[#This Row],[Category]],Table2[orignal data]),Table2[[#This Row],[orignal data]])</f>
        <v>587.58000000000004</v>
      </c>
      <c r="T1779" t="str">
        <f t="shared" si="110"/>
        <v>UNIQUE</v>
      </c>
      <c r="U1779" t="str">
        <f>IF(ISBLANK(Table1[[#This Row],[SizeOption]]),"NOT AVAILABLE",Table1[[#This Row],[SizeOption]])</f>
        <v>S, M, L, XL</v>
      </c>
      <c r="Y1779" t="str">
        <f>IF(Table2[[#This Row],[Column1]]&gt;50%,"HIGH DISCOUNT","LOW DISCOUNT")</f>
        <v>HIGH DISCOUNT</v>
      </c>
    </row>
    <row r="1780" spans="1:25" x14ac:dyDescent="0.25">
      <c r="A1780" s="1" t="s">
        <v>3861</v>
      </c>
      <c r="B1780" s="1">
        <v>12277594</v>
      </c>
      <c r="C1780" s="1" t="s">
        <v>290</v>
      </c>
      <c r="D1780" s="1" t="s">
        <v>41</v>
      </c>
      <c r="E1780" s="1" t="s">
        <v>53</v>
      </c>
      <c r="F1780" s="1" t="s">
        <v>36</v>
      </c>
      <c r="G1780" s="1" t="s">
        <v>3862</v>
      </c>
      <c r="I1780" s="1">
        <v>1799</v>
      </c>
      <c r="J1780" s="1" t="s">
        <v>84</v>
      </c>
      <c r="K1780" s="1" t="s">
        <v>428</v>
      </c>
      <c r="L1780" s="1">
        <v>4.4000000000000004</v>
      </c>
      <c r="M1780" s="1">
        <v>725</v>
      </c>
      <c r="P1780" t="str">
        <f t="shared" si="111"/>
        <v>50%</v>
      </c>
      <c r="Q1780" s="12">
        <f t="shared" si="108"/>
        <v>0.5</v>
      </c>
      <c r="R1780" s="9">
        <f t="shared" si="109"/>
        <v>899.5</v>
      </c>
      <c r="S1780" s="9">
        <f>IF(R1780="",AVERAGEIF(Table1[Category],Table1[[#This Row],[Category]],Table2[orignal data]),Table2[[#This Row],[orignal data]])</f>
        <v>899.5</v>
      </c>
      <c r="T1780" t="str">
        <f t="shared" si="110"/>
        <v>UNIQUE</v>
      </c>
      <c r="U1780" t="str">
        <f>IF(ISBLANK(Table1[[#This Row],[SizeOption]]),"NOT AVAILABLE",Table1[[#This Row],[SizeOption]])</f>
        <v>26, 28, 30, 32, 34</v>
      </c>
      <c r="Y1780" t="str">
        <f>IF(Table2[[#This Row],[Column1]]&gt;50%,"HIGH DISCOUNT","LOW DISCOUNT")</f>
        <v>LOW DISCOUNT</v>
      </c>
    </row>
    <row r="1781" spans="1:25" x14ac:dyDescent="0.25">
      <c r="A1781" s="2" t="s">
        <v>3863</v>
      </c>
      <c r="B1781" s="2">
        <v>9697349</v>
      </c>
      <c r="C1781" s="2" t="s">
        <v>14</v>
      </c>
      <c r="D1781" s="2" t="s">
        <v>41</v>
      </c>
      <c r="E1781" s="2" t="s">
        <v>42</v>
      </c>
      <c r="F1781" s="2" t="s">
        <v>36</v>
      </c>
      <c r="G1781" s="2" t="s">
        <v>3864</v>
      </c>
      <c r="I1781" s="2">
        <v>499</v>
      </c>
      <c r="J1781" s="2" t="s">
        <v>19</v>
      </c>
      <c r="K1781" s="2" t="s">
        <v>45</v>
      </c>
      <c r="L1781" s="2">
        <v>4.0999999999999996</v>
      </c>
      <c r="M1781" s="2">
        <v>725</v>
      </c>
      <c r="P1781" t="str">
        <f t="shared" si="111"/>
        <v>45%</v>
      </c>
      <c r="Q1781" s="12">
        <f t="shared" si="108"/>
        <v>0.45</v>
      </c>
      <c r="R1781" s="9">
        <f t="shared" si="109"/>
        <v>274.45</v>
      </c>
      <c r="S1781" s="9">
        <f>IF(R1781="",AVERAGEIF(Table1[Category],Table1[[#This Row],[Category]],Table2[orignal data]),Table2[[#This Row],[orignal data]])</f>
        <v>274.45</v>
      </c>
      <c r="T1781" t="str">
        <f t="shared" si="110"/>
        <v>UNIQUE</v>
      </c>
      <c r="U1781" t="str">
        <f>IF(ISBLANK(Table1[[#This Row],[SizeOption]]),"NOT AVAILABLE",Table1[[#This Row],[SizeOption]])</f>
        <v>XS, S, M, L, XL</v>
      </c>
      <c r="Y1781" t="str">
        <f>IF(Table2[[#This Row],[Column1]]&gt;50%,"HIGH DISCOUNT","LOW DISCOUNT")</f>
        <v>LOW DISCOUNT</v>
      </c>
    </row>
    <row r="1782" spans="1:25" x14ac:dyDescent="0.25">
      <c r="A1782" s="1" t="s">
        <v>3865</v>
      </c>
      <c r="B1782" s="1">
        <v>14447640</v>
      </c>
      <c r="C1782" s="1" t="s">
        <v>295</v>
      </c>
      <c r="D1782" s="1" t="s">
        <v>197</v>
      </c>
      <c r="E1782" s="1" t="s">
        <v>350</v>
      </c>
      <c r="F1782" s="1" t="s">
        <v>17</v>
      </c>
      <c r="G1782" s="1" t="s">
        <v>3866</v>
      </c>
      <c r="H1782">
        <v>466</v>
      </c>
      <c r="I1782" s="1">
        <v>518</v>
      </c>
      <c r="J1782" s="1" t="s">
        <v>1005</v>
      </c>
      <c r="K1782" s="1" t="s">
        <v>26</v>
      </c>
      <c r="L1782" s="1">
        <v>4.0999999999999996</v>
      </c>
      <c r="M1782" s="1">
        <v>724</v>
      </c>
      <c r="P1782" t="str">
        <f t="shared" si="111"/>
        <v>10%</v>
      </c>
      <c r="Q1782" s="12">
        <f t="shared" si="108"/>
        <v>0.1</v>
      </c>
      <c r="R1782" s="9">
        <f t="shared" si="109"/>
        <v>466.2</v>
      </c>
      <c r="S1782" s="9">
        <f>IF(R1782="",AVERAGEIF(Table1[Category],Table1[[#This Row],[Category]],Table2[orignal data]),Table2[[#This Row],[orignal data]])</f>
        <v>466.2</v>
      </c>
      <c r="T1782" t="str">
        <f t="shared" si="110"/>
        <v>UNIQUE</v>
      </c>
      <c r="U1782" t="str">
        <f>IF(ISBLANK(Table1[[#This Row],[SizeOption]]),"NOT AVAILABLE",Table1[[#This Row],[SizeOption]])</f>
        <v>S, M, L, XL</v>
      </c>
      <c r="Y1782" t="str">
        <f>IF(Table2[[#This Row],[Column1]]&gt;50%,"HIGH DISCOUNT","LOW DISCOUNT")</f>
        <v>LOW DISCOUNT</v>
      </c>
    </row>
    <row r="1783" spans="1:25" x14ac:dyDescent="0.25">
      <c r="A1783" s="2" t="s">
        <v>3867</v>
      </c>
      <c r="B1783" s="2">
        <v>7223697</v>
      </c>
      <c r="C1783" s="2" t="s">
        <v>67</v>
      </c>
      <c r="D1783" s="2" t="s">
        <v>68</v>
      </c>
      <c r="E1783" s="2" t="s">
        <v>23</v>
      </c>
      <c r="F1783" s="2" t="s">
        <v>17</v>
      </c>
      <c r="G1783" s="2" t="s">
        <v>3868</v>
      </c>
      <c r="H1783">
        <v>664</v>
      </c>
      <c r="I1783" s="2">
        <v>1899</v>
      </c>
      <c r="J1783" s="2" t="s">
        <v>150</v>
      </c>
      <c r="K1783" s="2" t="s">
        <v>39</v>
      </c>
      <c r="L1783" s="2">
        <v>4.3</v>
      </c>
      <c r="M1783" s="2">
        <v>724</v>
      </c>
      <c r="P1783" t="str">
        <f t="shared" si="111"/>
        <v>65%</v>
      </c>
      <c r="Q1783" s="12">
        <f t="shared" si="108"/>
        <v>0.65</v>
      </c>
      <c r="R1783" s="9">
        <f t="shared" si="109"/>
        <v>664.64999999999986</v>
      </c>
      <c r="S1783" s="9">
        <f>IF(R1783="",AVERAGEIF(Table1[Category],Table1[[#This Row],[Category]],Table2[orignal data]),Table2[[#This Row],[orignal data]])</f>
        <v>664.64999999999986</v>
      </c>
      <c r="T1783" t="str">
        <f t="shared" si="110"/>
        <v>UNIQUE</v>
      </c>
      <c r="U1783" t="str">
        <f>IF(ISBLANK(Table1[[#This Row],[SizeOption]]),"NOT AVAILABLE",Table1[[#This Row],[SizeOption]])</f>
        <v>S, M, L, XL, XXL</v>
      </c>
      <c r="Y1783" t="str">
        <f>IF(Table2[[#This Row],[Column1]]&gt;50%,"HIGH DISCOUNT","LOW DISCOUNT")</f>
        <v>HIGH DISCOUNT</v>
      </c>
    </row>
    <row r="1784" spans="1:25" x14ac:dyDescent="0.25">
      <c r="A1784" s="1" t="s">
        <v>3869</v>
      </c>
      <c r="B1784" s="1">
        <v>11639896</v>
      </c>
      <c r="C1784" s="1" t="s">
        <v>67</v>
      </c>
      <c r="D1784" s="1" t="s">
        <v>68</v>
      </c>
      <c r="E1784" s="1" t="s">
        <v>42</v>
      </c>
      <c r="F1784" s="1" t="s">
        <v>17</v>
      </c>
      <c r="G1784" s="1" t="s">
        <v>3870</v>
      </c>
      <c r="I1784" s="1">
        <v>1099</v>
      </c>
      <c r="J1784" s="1"/>
      <c r="K1784" s="1" t="s">
        <v>39</v>
      </c>
      <c r="L1784" s="1">
        <v>4.4000000000000004</v>
      </c>
      <c r="M1784" s="1">
        <v>724</v>
      </c>
      <c r="P1784" t="str">
        <f t="shared" si="111"/>
        <v/>
      </c>
      <c r="Q1784" s="12" t="str">
        <f t="shared" si="108"/>
        <v/>
      </c>
      <c r="R1784" s="9" t="str">
        <f t="shared" si="109"/>
        <v/>
      </c>
      <c r="S1784" s="9">
        <f>IF(R1784="",AVERAGEIF(Table1[Category],Table1[[#This Row],[Category]],Table2[orignal data]),Table2[[#This Row],[orignal data]])</f>
        <v>734.32085365853686</v>
      </c>
      <c r="T1784" t="str">
        <f t="shared" si="110"/>
        <v>UNIQUE</v>
      </c>
      <c r="U1784" t="str">
        <f>IF(ISBLANK(Table1[[#This Row],[SizeOption]]),"NOT AVAILABLE",Table1[[#This Row],[SizeOption]])</f>
        <v>S, M, L, XL, XXL</v>
      </c>
      <c r="Y1784" t="str">
        <f>IF(Table2[[#This Row],[Column1]]&gt;50%,"HIGH DISCOUNT","LOW DISCOUNT")</f>
        <v>HIGH DISCOUNT</v>
      </c>
    </row>
    <row r="1785" spans="1:25" x14ac:dyDescent="0.25">
      <c r="A1785" s="2" t="s">
        <v>3871</v>
      </c>
      <c r="B1785" s="2">
        <v>11896076</v>
      </c>
      <c r="C1785" s="2" t="s">
        <v>14</v>
      </c>
      <c r="D1785" s="2" t="s">
        <v>28</v>
      </c>
      <c r="E1785" s="2" t="s">
        <v>29</v>
      </c>
      <c r="F1785" s="2" t="s">
        <v>17</v>
      </c>
      <c r="G1785" s="2" t="s">
        <v>3872</v>
      </c>
      <c r="H1785">
        <v>749</v>
      </c>
      <c r="I1785" s="2">
        <v>1499</v>
      </c>
      <c r="J1785" s="2" t="s">
        <v>84</v>
      </c>
      <c r="K1785" s="2" t="s">
        <v>31</v>
      </c>
      <c r="L1785" s="2">
        <v>4.3</v>
      </c>
      <c r="M1785" s="2">
        <v>724</v>
      </c>
      <c r="P1785" t="str">
        <f t="shared" si="111"/>
        <v>50%</v>
      </c>
      <c r="Q1785" s="12">
        <f t="shared" si="108"/>
        <v>0.5</v>
      </c>
      <c r="R1785" s="9">
        <f t="shared" si="109"/>
        <v>749.5</v>
      </c>
      <c r="S1785" s="9">
        <f>IF(R1785="",AVERAGEIF(Table1[Category],Table1[[#This Row],[Category]],Table2[orignal data]),Table2[[#This Row],[orignal data]])</f>
        <v>749.5</v>
      </c>
      <c r="T1785" t="str">
        <f t="shared" si="110"/>
        <v>UNIQUE</v>
      </c>
      <c r="U1785" t="str">
        <f>IF(ISBLANK(Table1[[#This Row],[SizeOption]]),"NOT AVAILABLE",Table1[[#This Row],[SizeOption]])</f>
        <v>38, 40, 42, 44, 46, 48</v>
      </c>
      <c r="Y1785" t="str">
        <f>IF(Table2[[#This Row],[Column1]]&gt;50%,"HIGH DISCOUNT","LOW DISCOUNT")</f>
        <v>LOW DISCOUNT</v>
      </c>
    </row>
    <row r="1786" spans="1:25" x14ac:dyDescent="0.25">
      <c r="A1786" s="1" t="s">
        <v>3873</v>
      </c>
      <c r="B1786" s="1">
        <v>5393440</v>
      </c>
      <c r="C1786" s="1" t="s">
        <v>67</v>
      </c>
      <c r="D1786" s="1" t="s">
        <v>28</v>
      </c>
      <c r="E1786" s="1" t="s">
        <v>189</v>
      </c>
      <c r="F1786" s="1" t="s">
        <v>17</v>
      </c>
      <c r="G1786" s="1" t="s">
        <v>3874</v>
      </c>
      <c r="H1786">
        <v>1329</v>
      </c>
      <c r="I1786" s="1">
        <v>3799</v>
      </c>
      <c r="J1786" s="1" t="s">
        <v>150</v>
      </c>
      <c r="K1786" s="1" t="s">
        <v>39</v>
      </c>
      <c r="L1786" s="1">
        <v>4.0999999999999996</v>
      </c>
      <c r="M1786" s="1">
        <v>724</v>
      </c>
      <c r="P1786" t="str">
        <f t="shared" si="111"/>
        <v>65%</v>
      </c>
      <c r="Q1786" s="12">
        <f t="shared" si="108"/>
        <v>0.65</v>
      </c>
      <c r="R1786" s="9">
        <f t="shared" si="109"/>
        <v>1329.65</v>
      </c>
      <c r="S1786" s="9">
        <f>IF(R1786="",AVERAGEIF(Table1[Category],Table1[[#This Row],[Category]],Table2[orignal data]),Table2[[#This Row],[orignal data]])</f>
        <v>1329.65</v>
      </c>
      <c r="T1786" t="str">
        <f t="shared" si="110"/>
        <v>UNIQUE</v>
      </c>
      <c r="U1786" t="str">
        <f>IF(ISBLANK(Table1[[#This Row],[SizeOption]]),"NOT AVAILABLE",Table1[[#This Row],[SizeOption]])</f>
        <v>S, M, L, XL, XXL</v>
      </c>
      <c r="Y1786" t="str">
        <f>IF(Table2[[#This Row],[Column1]]&gt;50%,"HIGH DISCOUNT","LOW DISCOUNT")</f>
        <v>HIGH DISCOUNT</v>
      </c>
    </row>
    <row r="1787" spans="1:25" x14ac:dyDescent="0.25">
      <c r="A1787" s="2" t="s">
        <v>3875</v>
      </c>
      <c r="B1787" s="2">
        <v>12277564</v>
      </c>
      <c r="C1787" s="2" t="s">
        <v>92</v>
      </c>
      <c r="D1787" s="2" t="s">
        <v>76</v>
      </c>
      <c r="E1787" s="2" t="s">
        <v>93</v>
      </c>
      <c r="F1787" s="2" t="s">
        <v>36</v>
      </c>
      <c r="G1787" s="2" t="s">
        <v>1049</v>
      </c>
      <c r="H1787">
        <v>482</v>
      </c>
      <c r="I1787" s="2">
        <v>1149</v>
      </c>
      <c r="J1787" s="2" t="s">
        <v>60</v>
      </c>
      <c r="K1787" s="2" t="s">
        <v>39</v>
      </c>
      <c r="L1787" s="2">
        <v>4.0999999999999996</v>
      </c>
      <c r="M1787" s="2">
        <v>724</v>
      </c>
      <c r="P1787" t="str">
        <f t="shared" si="111"/>
        <v>58%</v>
      </c>
      <c r="Q1787" s="12">
        <f t="shared" si="108"/>
        <v>0.57999999999999996</v>
      </c>
      <c r="R1787" s="9">
        <f t="shared" si="109"/>
        <v>482.58000000000004</v>
      </c>
      <c r="S1787" s="9">
        <f>IF(R1787="",AVERAGEIF(Table1[Category],Table1[[#This Row],[Category]],Table2[orignal data]),Table2[[#This Row],[orignal data]])</f>
        <v>482.58000000000004</v>
      </c>
      <c r="T1787" t="str">
        <f t="shared" si="110"/>
        <v>UNIQUE</v>
      </c>
      <c r="U1787" t="str">
        <f>IF(ISBLANK(Table1[[#This Row],[SizeOption]]),"NOT AVAILABLE",Table1[[#This Row],[SizeOption]])</f>
        <v>S, M, L, XL, XXL</v>
      </c>
      <c r="Y1787" t="str">
        <f>IF(Table2[[#This Row],[Column1]]&gt;50%,"HIGH DISCOUNT","LOW DISCOUNT")</f>
        <v>HIGH DISCOUNT</v>
      </c>
    </row>
    <row r="1788" spans="1:25" x14ac:dyDescent="0.25">
      <c r="A1788" s="1" t="s">
        <v>3876</v>
      </c>
      <c r="B1788" s="1">
        <v>13771260</v>
      </c>
      <c r="C1788" s="1" t="s">
        <v>1465</v>
      </c>
      <c r="D1788" s="1" t="s">
        <v>76</v>
      </c>
      <c r="E1788" s="1" t="s">
        <v>77</v>
      </c>
      <c r="F1788" s="1" t="s">
        <v>36</v>
      </c>
      <c r="G1788" s="1" t="s">
        <v>3877</v>
      </c>
      <c r="H1788">
        <v>1259</v>
      </c>
      <c r="I1788" s="1">
        <v>3499</v>
      </c>
      <c r="J1788" s="1" t="s">
        <v>416</v>
      </c>
      <c r="K1788" s="1" t="s">
        <v>234</v>
      </c>
      <c r="L1788" s="1">
        <v>4</v>
      </c>
      <c r="M1788" s="1">
        <v>724</v>
      </c>
      <c r="P1788" t="str">
        <f t="shared" si="111"/>
        <v>64%</v>
      </c>
      <c r="Q1788" s="12">
        <f t="shared" si="108"/>
        <v>0.64</v>
      </c>
      <c r="R1788" s="9">
        <f t="shared" si="109"/>
        <v>1259.6399999999999</v>
      </c>
      <c r="S1788" s="9">
        <f>IF(R1788="",AVERAGEIF(Table1[Category],Table1[[#This Row],[Category]],Table2[orignal data]),Table2[[#This Row],[orignal data]])</f>
        <v>1259.6399999999999</v>
      </c>
      <c r="T1788" t="str">
        <f t="shared" si="110"/>
        <v>UNIQUE</v>
      </c>
      <c r="U1788" t="str">
        <f>IF(ISBLANK(Table1[[#This Row],[SizeOption]]),"NOT AVAILABLE",Table1[[#This Row],[SizeOption]])</f>
        <v>S, M, L, XL, XXL, 3XL</v>
      </c>
      <c r="Y1788" t="str">
        <f>IF(Table2[[#This Row],[Column1]]&gt;50%,"HIGH DISCOUNT","LOW DISCOUNT")</f>
        <v>HIGH DISCOUNT</v>
      </c>
    </row>
    <row r="1789" spans="1:25" x14ac:dyDescent="0.25">
      <c r="A1789" s="2" t="s">
        <v>3878</v>
      </c>
      <c r="B1789" s="2">
        <v>12894728</v>
      </c>
      <c r="C1789" s="2" t="s">
        <v>232</v>
      </c>
      <c r="D1789" s="2" t="s">
        <v>76</v>
      </c>
      <c r="E1789" s="2" t="s">
        <v>77</v>
      </c>
      <c r="F1789" s="2" t="s">
        <v>36</v>
      </c>
      <c r="G1789" s="2" t="s">
        <v>3879</v>
      </c>
      <c r="H1789">
        <v>1709</v>
      </c>
      <c r="I1789" s="2">
        <v>3799</v>
      </c>
      <c r="J1789" s="2" t="s">
        <v>25</v>
      </c>
      <c r="K1789" s="2" t="s">
        <v>234</v>
      </c>
      <c r="L1789" s="2">
        <v>4.3</v>
      </c>
      <c r="M1789" s="2">
        <v>724</v>
      </c>
      <c r="P1789" t="str">
        <f t="shared" si="111"/>
        <v>55%</v>
      </c>
      <c r="Q1789" s="12">
        <f t="shared" si="108"/>
        <v>0.55000000000000004</v>
      </c>
      <c r="R1789" s="9">
        <f t="shared" si="109"/>
        <v>1709.5499999999997</v>
      </c>
      <c r="S1789" s="9">
        <f>IF(R1789="",AVERAGEIF(Table1[Category],Table1[[#This Row],[Category]],Table2[orignal data]),Table2[[#This Row],[orignal data]])</f>
        <v>1709.5499999999997</v>
      </c>
      <c r="T1789" t="str">
        <f t="shared" si="110"/>
        <v>UNIQUE</v>
      </c>
      <c r="U1789" t="str">
        <f>IF(ISBLANK(Table1[[#This Row],[SizeOption]]),"NOT AVAILABLE",Table1[[#This Row],[SizeOption]])</f>
        <v>S, M, L, XL, XXL, 3XL</v>
      </c>
      <c r="Y1789" t="str">
        <f>IF(Table2[[#This Row],[Column1]]&gt;50%,"HIGH DISCOUNT","LOW DISCOUNT")</f>
        <v>HIGH DISCOUNT</v>
      </c>
    </row>
    <row r="1790" spans="1:25" x14ac:dyDescent="0.25">
      <c r="A1790" s="1" t="s">
        <v>3880</v>
      </c>
      <c r="B1790" s="1">
        <v>7139255</v>
      </c>
      <c r="C1790" s="1" t="s">
        <v>14</v>
      </c>
      <c r="D1790" s="1" t="s">
        <v>41</v>
      </c>
      <c r="E1790" s="1" t="s">
        <v>16</v>
      </c>
      <c r="F1790" s="1" t="s">
        <v>36</v>
      </c>
      <c r="G1790" s="1" t="s">
        <v>313</v>
      </c>
      <c r="I1790" s="1">
        <v>1899</v>
      </c>
      <c r="J1790" s="1" t="s">
        <v>25</v>
      </c>
      <c r="K1790" s="1" t="s">
        <v>134</v>
      </c>
      <c r="L1790" s="1">
        <v>3.9</v>
      </c>
      <c r="M1790" s="1">
        <v>724</v>
      </c>
      <c r="P1790" t="str">
        <f t="shared" si="111"/>
        <v>55%</v>
      </c>
      <c r="Q1790" s="12">
        <f t="shared" si="108"/>
        <v>0.55000000000000004</v>
      </c>
      <c r="R1790" s="9">
        <f t="shared" si="109"/>
        <v>854.55</v>
      </c>
      <c r="S1790" s="9">
        <f>IF(R1790="",AVERAGEIF(Table1[Category],Table1[[#This Row],[Category]],Table2[orignal data]),Table2[[#This Row],[orignal data]])</f>
        <v>854.55</v>
      </c>
      <c r="T1790" t="str">
        <f t="shared" si="110"/>
        <v>UNIQUE</v>
      </c>
      <c r="U1790" t="str">
        <f>IF(ISBLANK(Table1[[#This Row],[SizeOption]]),"NOT AVAILABLE",Table1[[#This Row],[SizeOption]])</f>
        <v>26, 28, 30, 32, 34, 36</v>
      </c>
      <c r="Y1790" t="str">
        <f>IF(Table2[[#This Row],[Column1]]&gt;50%,"HIGH DISCOUNT","LOW DISCOUNT")</f>
        <v>HIGH DISCOUNT</v>
      </c>
    </row>
    <row r="1791" spans="1:25" x14ac:dyDescent="0.25">
      <c r="A1791" s="2" t="s">
        <v>3881</v>
      </c>
      <c r="B1791" s="2">
        <v>452660</v>
      </c>
      <c r="C1791" s="2" t="s">
        <v>1299</v>
      </c>
      <c r="D1791" s="2" t="s">
        <v>28</v>
      </c>
      <c r="E1791" s="2" t="s">
        <v>29</v>
      </c>
      <c r="F1791" s="2" t="s">
        <v>17</v>
      </c>
      <c r="G1791" s="2" t="s">
        <v>3882</v>
      </c>
      <c r="H1791">
        <v>949</v>
      </c>
      <c r="I1791" s="2">
        <v>1899</v>
      </c>
      <c r="J1791" s="2" t="s">
        <v>84</v>
      </c>
      <c r="K1791" s="2" t="s">
        <v>3714</v>
      </c>
      <c r="L1791" s="2">
        <v>4.0999999999999996</v>
      </c>
      <c r="M1791" s="2">
        <v>723</v>
      </c>
      <c r="P1791" t="str">
        <f t="shared" si="111"/>
        <v>50%</v>
      </c>
      <c r="Q1791" s="12">
        <f t="shared" si="108"/>
        <v>0.5</v>
      </c>
      <c r="R1791" s="9">
        <f t="shared" si="109"/>
        <v>949.5</v>
      </c>
      <c r="S1791" s="9">
        <f>IF(R1791="",AVERAGEIF(Table1[Category],Table1[[#This Row],[Category]],Table2[orignal data]),Table2[[#This Row],[orignal data]])</f>
        <v>949.5</v>
      </c>
      <c r="T1791" t="str">
        <f t="shared" si="110"/>
        <v>UNIQUE</v>
      </c>
      <c r="U1791" t="str">
        <f>IF(ISBLANK(Table1[[#This Row],[SizeOption]]),"NOT AVAILABLE",Table1[[#This Row],[SizeOption]])</f>
        <v>37, 38, 39, 40, 42, 44</v>
      </c>
      <c r="Y1791" t="str">
        <f>IF(Table2[[#This Row],[Column1]]&gt;50%,"HIGH DISCOUNT","LOW DISCOUNT")</f>
        <v>LOW DISCOUNT</v>
      </c>
    </row>
    <row r="1792" spans="1:25" x14ac:dyDescent="0.25">
      <c r="A1792" s="1" t="s">
        <v>3883</v>
      </c>
      <c r="B1792" s="1">
        <v>10938508</v>
      </c>
      <c r="C1792" s="1" t="s">
        <v>14</v>
      </c>
      <c r="D1792" s="1" t="s">
        <v>28</v>
      </c>
      <c r="E1792" s="1" t="s">
        <v>42</v>
      </c>
      <c r="F1792" s="1" t="s">
        <v>17</v>
      </c>
      <c r="G1792" s="1" t="s">
        <v>3884</v>
      </c>
      <c r="H1792">
        <v>359</v>
      </c>
      <c r="I1792" s="1">
        <v>799</v>
      </c>
      <c r="J1792" s="1" t="s">
        <v>25</v>
      </c>
      <c r="K1792" s="1" t="s">
        <v>73</v>
      </c>
      <c r="L1792" s="1">
        <v>4</v>
      </c>
      <c r="M1792" s="1">
        <v>723</v>
      </c>
      <c r="P1792" t="str">
        <f t="shared" si="111"/>
        <v>55%</v>
      </c>
      <c r="Q1792" s="12">
        <f t="shared" si="108"/>
        <v>0.55000000000000004</v>
      </c>
      <c r="R1792" s="9">
        <f t="shared" si="109"/>
        <v>359.54999999999995</v>
      </c>
      <c r="S1792" s="9">
        <f>IF(R1792="",AVERAGEIF(Table1[Category],Table1[[#This Row],[Category]],Table2[orignal data]),Table2[[#This Row],[orignal data]])</f>
        <v>359.54999999999995</v>
      </c>
      <c r="T1792" t="str">
        <f t="shared" si="110"/>
        <v>UNIQUE</v>
      </c>
      <c r="U1792" t="str">
        <f>IF(ISBLANK(Table1[[#This Row],[SizeOption]]),"NOT AVAILABLE",Table1[[#This Row],[SizeOption]])</f>
        <v>XS, S, M, L, XL, XXL, 3XL, 4XL</v>
      </c>
      <c r="Y1792" t="str">
        <f>IF(Table2[[#This Row],[Column1]]&gt;50%,"HIGH DISCOUNT","LOW DISCOUNT")</f>
        <v>HIGH DISCOUNT</v>
      </c>
    </row>
    <row r="1793" spans="1:25" x14ac:dyDescent="0.25">
      <c r="A1793" s="2" t="s">
        <v>3885</v>
      </c>
      <c r="B1793" s="2">
        <v>15318634</v>
      </c>
      <c r="C1793" s="2" t="s">
        <v>405</v>
      </c>
      <c r="D1793" s="2" t="s">
        <v>34</v>
      </c>
      <c r="E1793" s="2" t="s">
        <v>406</v>
      </c>
      <c r="F1793" s="2" t="s">
        <v>36</v>
      </c>
      <c r="G1793" s="2" t="s">
        <v>3886</v>
      </c>
      <c r="H1793">
        <v>934</v>
      </c>
      <c r="I1793" s="2">
        <v>1699</v>
      </c>
      <c r="J1793" s="2" t="s">
        <v>19</v>
      </c>
      <c r="K1793" s="2" t="s">
        <v>26</v>
      </c>
      <c r="L1793" s="2">
        <v>4.3</v>
      </c>
      <c r="M1793" s="2">
        <v>723</v>
      </c>
      <c r="P1793" t="str">
        <f t="shared" si="111"/>
        <v>45%</v>
      </c>
      <c r="Q1793" s="12">
        <f t="shared" si="108"/>
        <v>0.45</v>
      </c>
      <c r="R1793" s="9">
        <f t="shared" si="109"/>
        <v>934.44999999999993</v>
      </c>
      <c r="S1793" s="9">
        <f>IF(R1793="",AVERAGEIF(Table1[Category],Table1[[#This Row],[Category]],Table2[orignal data]),Table2[[#This Row],[orignal data]])</f>
        <v>934.44999999999993</v>
      </c>
      <c r="T1793" t="str">
        <f t="shared" si="110"/>
        <v>UNIQUE</v>
      </c>
      <c r="U1793" t="str">
        <f>IF(ISBLANK(Table1[[#This Row],[SizeOption]]),"NOT AVAILABLE",Table1[[#This Row],[SizeOption]])</f>
        <v>S, M, L, XL</v>
      </c>
      <c r="Y1793" t="str">
        <f>IF(Table2[[#This Row],[Column1]]&gt;50%,"HIGH DISCOUNT","LOW DISCOUNT")</f>
        <v>LOW DISCOUNT</v>
      </c>
    </row>
    <row r="1794" spans="1:25" x14ac:dyDescent="0.25">
      <c r="A1794" s="1" t="s">
        <v>3887</v>
      </c>
      <c r="B1794" s="1">
        <v>12430640</v>
      </c>
      <c r="C1794" s="1" t="s">
        <v>33</v>
      </c>
      <c r="D1794" s="1" t="s">
        <v>34</v>
      </c>
      <c r="E1794" s="1" t="s">
        <v>118</v>
      </c>
      <c r="F1794" s="1" t="s">
        <v>36</v>
      </c>
      <c r="G1794" s="1" t="s">
        <v>3888</v>
      </c>
      <c r="H1794">
        <v>396</v>
      </c>
      <c r="I1794" s="1">
        <v>749</v>
      </c>
      <c r="J1794" s="1" t="s">
        <v>758</v>
      </c>
      <c r="K1794" s="1" t="s">
        <v>1113</v>
      </c>
      <c r="L1794" s="1">
        <v>4.0999999999999996</v>
      </c>
      <c r="M1794" s="1">
        <v>723</v>
      </c>
      <c r="P1794" t="str">
        <f t="shared" si="111"/>
        <v>47%</v>
      </c>
      <c r="Q1794" s="12">
        <f t="shared" ref="Q1794:Q1857" si="112">IF(P1794="","",IF(ISNUMBER(SEARCH("%",P1794)),P1794,P1794/I1794)*100%)</f>
        <v>0.47</v>
      </c>
      <c r="R1794" s="9">
        <f t="shared" ref="R1794:R1857" si="113">IF(P1794="","",I1794-(I1794*Q1794))</f>
        <v>396.97</v>
      </c>
      <c r="S1794" s="9">
        <f>IF(R1794="",AVERAGEIF(Table1[Category],Table1[[#This Row],[Category]],Table2[orignal data]),Table2[[#This Row],[orignal data]])</f>
        <v>396.97</v>
      </c>
      <c r="T1794" t="str">
        <f t="shared" ref="T1794:T1857" si="114">IF(COUNTIF($B$2:$B$5000,B1794)&gt;1,"DUPLICATE","UNIQUE")</f>
        <v>UNIQUE</v>
      </c>
      <c r="U1794" t="str">
        <f>IF(ISBLANK(Table1[[#This Row],[SizeOption]]),"NOT AVAILABLE",Table1[[#This Row],[SizeOption]])</f>
        <v>32B, 32C, 32D, 34B, 34C, 34D, 36B, 36C, 36D, 38B, 38C, 38D</v>
      </c>
      <c r="Y1794" t="str">
        <f>IF(Table2[[#This Row],[Column1]]&gt;50%,"HIGH DISCOUNT","LOW DISCOUNT")</f>
        <v>LOW DISCOUNT</v>
      </c>
    </row>
    <row r="1795" spans="1:25" x14ac:dyDescent="0.25">
      <c r="A1795" s="2" t="s">
        <v>3889</v>
      </c>
      <c r="B1795" s="2">
        <v>11109816</v>
      </c>
      <c r="C1795" s="2" t="s">
        <v>841</v>
      </c>
      <c r="D1795" s="2" t="s">
        <v>68</v>
      </c>
      <c r="E1795" s="2" t="s">
        <v>23</v>
      </c>
      <c r="F1795" s="2" t="s">
        <v>36</v>
      </c>
      <c r="G1795" s="2" t="s">
        <v>3890</v>
      </c>
      <c r="H1795">
        <v>584</v>
      </c>
      <c r="I1795" s="2">
        <v>1299</v>
      </c>
      <c r="J1795" s="2" t="s">
        <v>25</v>
      </c>
      <c r="K1795" s="2" t="s">
        <v>26</v>
      </c>
      <c r="L1795" s="2">
        <v>4.0999999999999996</v>
      </c>
      <c r="M1795" s="2">
        <v>723</v>
      </c>
      <c r="P1795" t="str">
        <f t="shared" ref="P1795:P1858" si="115">TRIM(SUBSTITUTE(SUBSTITUTE(SUBSTITUTE(SUBSTITUTE(J1795,"OFF",""),"Rs.",""),"Hurry*",""),",",""))</f>
        <v>55%</v>
      </c>
      <c r="Q1795" s="12">
        <f t="shared" si="112"/>
        <v>0.55000000000000004</v>
      </c>
      <c r="R1795" s="9">
        <f t="shared" si="113"/>
        <v>584.54999999999995</v>
      </c>
      <c r="S1795" s="9">
        <f>IF(R1795="",AVERAGEIF(Table1[Category],Table1[[#This Row],[Category]],Table2[orignal data]),Table2[[#This Row],[orignal data]])</f>
        <v>584.54999999999995</v>
      </c>
      <c r="T1795" t="str">
        <f t="shared" si="114"/>
        <v>UNIQUE</v>
      </c>
      <c r="U1795" t="str">
        <f>IF(ISBLANK(Table1[[#This Row],[SizeOption]]),"NOT AVAILABLE",Table1[[#This Row],[SizeOption]])</f>
        <v>S, M, L, XL</v>
      </c>
      <c r="Y1795" t="str">
        <f>IF(Table2[[#This Row],[Column1]]&gt;50%,"HIGH DISCOUNT","LOW DISCOUNT")</f>
        <v>HIGH DISCOUNT</v>
      </c>
    </row>
    <row r="1796" spans="1:25" x14ac:dyDescent="0.25">
      <c r="A1796" s="1" t="s">
        <v>3891</v>
      </c>
      <c r="B1796" s="1">
        <v>11037108</v>
      </c>
      <c r="C1796" s="1" t="s">
        <v>67</v>
      </c>
      <c r="D1796" s="1" t="s">
        <v>68</v>
      </c>
      <c r="E1796" s="1" t="s">
        <v>42</v>
      </c>
      <c r="F1796" s="1" t="s">
        <v>36</v>
      </c>
      <c r="G1796" s="1" t="s">
        <v>3892</v>
      </c>
      <c r="H1796">
        <v>404</v>
      </c>
      <c r="I1796" s="1">
        <v>899</v>
      </c>
      <c r="J1796" s="1" t="s">
        <v>25</v>
      </c>
      <c r="K1796" s="1" t="s">
        <v>45</v>
      </c>
      <c r="L1796" s="1">
        <v>4.4000000000000004</v>
      </c>
      <c r="M1796" s="1">
        <v>723</v>
      </c>
      <c r="P1796" t="str">
        <f t="shared" si="115"/>
        <v>55%</v>
      </c>
      <c r="Q1796" s="12">
        <f t="shared" si="112"/>
        <v>0.55000000000000004</v>
      </c>
      <c r="R1796" s="9">
        <f t="shared" si="113"/>
        <v>404.54999999999995</v>
      </c>
      <c r="S1796" s="9">
        <f>IF(R1796="",AVERAGEIF(Table1[Category],Table1[[#This Row],[Category]],Table2[orignal data]),Table2[[#This Row],[orignal data]])</f>
        <v>404.54999999999995</v>
      </c>
      <c r="T1796" t="str">
        <f t="shared" si="114"/>
        <v>UNIQUE</v>
      </c>
      <c r="U1796" t="str">
        <f>IF(ISBLANK(Table1[[#This Row],[SizeOption]]),"NOT AVAILABLE",Table1[[#This Row],[SizeOption]])</f>
        <v>XS, S, M, L, XL</v>
      </c>
      <c r="Y1796" t="str">
        <f>IF(Table2[[#This Row],[Column1]]&gt;50%,"HIGH DISCOUNT","LOW DISCOUNT")</f>
        <v>HIGH DISCOUNT</v>
      </c>
    </row>
    <row r="1797" spans="1:25" x14ac:dyDescent="0.25">
      <c r="A1797" s="2" t="s">
        <v>3893</v>
      </c>
      <c r="B1797" s="2">
        <v>13843124</v>
      </c>
      <c r="C1797" s="2" t="s">
        <v>181</v>
      </c>
      <c r="D1797" s="2" t="s">
        <v>41</v>
      </c>
      <c r="E1797" s="2" t="s">
        <v>53</v>
      </c>
      <c r="F1797" s="2" t="s">
        <v>36</v>
      </c>
      <c r="G1797" s="2" t="s">
        <v>3894</v>
      </c>
      <c r="I1797" s="2">
        <v>1799</v>
      </c>
      <c r="J1797" s="2" t="s">
        <v>84</v>
      </c>
      <c r="K1797" s="2" t="s">
        <v>134</v>
      </c>
      <c r="L1797" s="2">
        <v>4.0999999999999996</v>
      </c>
      <c r="M1797" s="2">
        <v>723</v>
      </c>
      <c r="P1797" t="str">
        <f t="shared" si="115"/>
        <v>50%</v>
      </c>
      <c r="Q1797" s="12">
        <f t="shared" si="112"/>
        <v>0.5</v>
      </c>
      <c r="R1797" s="9">
        <f t="shared" si="113"/>
        <v>899.5</v>
      </c>
      <c r="S1797" s="9">
        <f>IF(R1797="",AVERAGEIF(Table1[Category],Table1[[#This Row],[Category]],Table2[orignal data]),Table2[[#This Row],[orignal data]])</f>
        <v>899.5</v>
      </c>
      <c r="T1797" t="str">
        <f t="shared" si="114"/>
        <v>UNIQUE</v>
      </c>
      <c r="U1797" t="str">
        <f>IF(ISBLANK(Table1[[#This Row],[SizeOption]]),"NOT AVAILABLE",Table1[[#This Row],[SizeOption]])</f>
        <v>26, 28, 30, 32, 34, 36</v>
      </c>
      <c r="Y1797" t="str">
        <f>IF(Table2[[#This Row],[Column1]]&gt;50%,"HIGH DISCOUNT","LOW DISCOUNT")</f>
        <v>LOW DISCOUNT</v>
      </c>
    </row>
    <row r="1798" spans="1:25" x14ac:dyDescent="0.25">
      <c r="A1798" s="1" t="s">
        <v>3895</v>
      </c>
      <c r="B1798" s="1">
        <v>11683422</v>
      </c>
      <c r="C1798" s="1" t="s">
        <v>420</v>
      </c>
      <c r="D1798" s="1" t="s">
        <v>41</v>
      </c>
      <c r="E1798" s="1" t="s">
        <v>48</v>
      </c>
      <c r="F1798" s="1" t="s">
        <v>36</v>
      </c>
      <c r="G1798" s="1" t="s">
        <v>3896</v>
      </c>
      <c r="I1798" s="1">
        <v>899</v>
      </c>
      <c r="J1798" s="1" t="s">
        <v>84</v>
      </c>
      <c r="K1798" s="1" t="s">
        <v>26</v>
      </c>
      <c r="L1798" s="1">
        <v>4.2</v>
      </c>
      <c r="M1798" s="1">
        <v>723</v>
      </c>
      <c r="P1798" t="str">
        <f t="shared" si="115"/>
        <v>50%</v>
      </c>
      <c r="Q1798" s="12">
        <f t="shared" si="112"/>
        <v>0.5</v>
      </c>
      <c r="R1798" s="9">
        <f t="shared" si="113"/>
        <v>449.5</v>
      </c>
      <c r="S1798" s="9">
        <f>IF(R1798="",AVERAGEIF(Table1[Category],Table1[[#This Row],[Category]],Table2[orignal data]),Table2[[#This Row],[orignal data]])</f>
        <v>449.5</v>
      </c>
      <c r="T1798" t="str">
        <f t="shared" si="114"/>
        <v>UNIQUE</v>
      </c>
      <c r="U1798" t="str">
        <f>IF(ISBLANK(Table1[[#This Row],[SizeOption]]),"NOT AVAILABLE",Table1[[#This Row],[SizeOption]])</f>
        <v>S, M, L, XL</v>
      </c>
      <c r="Y1798" t="str">
        <f>IF(Table2[[#This Row],[Column1]]&gt;50%,"HIGH DISCOUNT","LOW DISCOUNT")</f>
        <v>LOW DISCOUNT</v>
      </c>
    </row>
    <row r="1799" spans="1:25" x14ac:dyDescent="0.25">
      <c r="A1799" s="2" t="s">
        <v>3897</v>
      </c>
      <c r="B1799" s="2">
        <v>11863660</v>
      </c>
      <c r="C1799" s="2" t="s">
        <v>349</v>
      </c>
      <c r="D1799" s="2" t="s">
        <v>197</v>
      </c>
      <c r="E1799" s="2" t="s">
        <v>350</v>
      </c>
      <c r="F1799" s="2" t="s">
        <v>17</v>
      </c>
      <c r="G1799" s="2" t="s">
        <v>3898</v>
      </c>
      <c r="I1799" s="2">
        <v>299</v>
      </c>
      <c r="J1799" s="2"/>
      <c r="K1799" s="2" t="s">
        <v>352</v>
      </c>
      <c r="L1799" s="2">
        <v>4.2</v>
      </c>
      <c r="M1799" s="2">
        <v>722</v>
      </c>
      <c r="P1799" t="str">
        <f t="shared" si="115"/>
        <v/>
      </c>
      <c r="Q1799" s="12" t="str">
        <f t="shared" si="112"/>
        <v/>
      </c>
      <c r="R1799" s="9" t="str">
        <f t="shared" si="113"/>
        <v/>
      </c>
      <c r="S1799" s="9">
        <f>IF(R1799="",AVERAGEIF(Table1[Category],Table1[[#This Row],[Category]],Table2[orignal data]),Table2[[#This Row],[orignal data]])</f>
        <v>552.70900000000006</v>
      </c>
      <c r="T1799" t="str">
        <f t="shared" si="114"/>
        <v>UNIQUE</v>
      </c>
      <c r="U1799" t="str">
        <f>IF(ISBLANK(Table1[[#This Row],[SizeOption]]),"NOT AVAILABLE",Table1[[#This Row],[SizeOption]])</f>
        <v>S, M, L</v>
      </c>
      <c r="Y1799" t="str">
        <f>IF(Table2[[#This Row],[Column1]]&gt;50%,"HIGH DISCOUNT","LOW DISCOUNT")</f>
        <v>HIGH DISCOUNT</v>
      </c>
    </row>
    <row r="1800" spans="1:25" x14ac:dyDescent="0.25">
      <c r="A1800" s="1" t="s">
        <v>3899</v>
      </c>
      <c r="B1800" s="1">
        <v>13938106</v>
      </c>
      <c r="C1800" s="1" t="s">
        <v>52</v>
      </c>
      <c r="D1800" s="1" t="s">
        <v>28</v>
      </c>
      <c r="E1800" s="1" t="s">
        <v>29</v>
      </c>
      <c r="F1800" s="1" t="s">
        <v>17</v>
      </c>
      <c r="G1800" s="1" t="s">
        <v>3398</v>
      </c>
      <c r="H1800">
        <v>419</v>
      </c>
      <c r="I1800" s="1">
        <v>1049</v>
      </c>
      <c r="J1800" s="1" t="s">
        <v>55</v>
      </c>
      <c r="K1800" s="1" t="s">
        <v>90</v>
      </c>
      <c r="L1800" s="1">
        <v>4.0999999999999996</v>
      </c>
      <c r="M1800" s="1">
        <v>722</v>
      </c>
      <c r="P1800" t="str">
        <f t="shared" si="115"/>
        <v>60%</v>
      </c>
      <c r="Q1800" s="12">
        <f t="shared" si="112"/>
        <v>0.6</v>
      </c>
      <c r="R1800" s="9">
        <f t="shared" si="113"/>
        <v>419.6</v>
      </c>
      <c r="S1800" s="9">
        <f>IF(R1800="",AVERAGEIF(Table1[Category],Table1[[#This Row],[Category]],Table2[orignal data]),Table2[[#This Row],[orignal data]])</f>
        <v>419.6</v>
      </c>
      <c r="T1800" t="str">
        <f t="shared" si="114"/>
        <v>UNIQUE</v>
      </c>
      <c r="U1800" t="str">
        <f>IF(ISBLANK(Table1[[#This Row],[SizeOption]]),"NOT AVAILABLE",Table1[[#This Row],[SizeOption]])</f>
        <v>39, 40, 42, 44</v>
      </c>
      <c r="Y1800" t="str">
        <f>IF(Table2[[#This Row],[Column1]]&gt;50%,"HIGH DISCOUNT","LOW DISCOUNT")</f>
        <v>HIGH DISCOUNT</v>
      </c>
    </row>
    <row r="1801" spans="1:25" x14ac:dyDescent="0.25">
      <c r="A1801" s="2" t="s">
        <v>3900</v>
      </c>
      <c r="B1801" s="2">
        <v>2478310</v>
      </c>
      <c r="C1801" s="2" t="s">
        <v>169</v>
      </c>
      <c r="D1801" s="2" t="s">
        <v>28</v>
      </c>
      <c r="E1801" s="2" t="s">
        <v>42</v>
      </c>
      <c r="F1801" s="2" t="s">
        <v>17</v>
      </c>
      <c r="G1801" s="2" t="s">
        <v>3901</v>
      </c>
      <c r="H1801">
        <v>699</v>
      </c>
      <c r="I1801" s="2">
        <v>1399</v>
      </c>
      <c r="J1801" s="2" t="s">
        <v>84</v>
      </c>
      <c r="K1801" s="2" t="s">
        <v>39</v>
      </c>
      <c r="L1801" s="2">
        <v>3.7</v>
      </c>
      <c r="M1801" s="2">
        <v>722</v>
      </c>
      <c r="P1801" t="str">
        <f t="shared" si="115"/>
        <v>50%</v>
      </c>
      <c r="Q1801" s="12">
        <f t="shared" si="112"/>
        <v>0.5</v>
      </c>
      <c r="R1801" s="9">
        <f t="shared" si="113"/>
        <v>699.5</v>
      </c>
      <c r="S1801" s="9">
        <f>IF(R1801="",AVERAGEIF(Table1[Category],Table1[[#This Row],[Category]],Table2[orignal data]),Table2[[#This Row],[orignal data]])</f>
        <v>699.5</v>
      </c>
      <c r="T1801" t="str">
        <f t="shared" si="114"/>
        <v>UNIQUE</v>
      </c>
      <c r="U1801" t="str">
        <f>IF(ISBLANK(Table1[[#This Row],[SizeOption]]),"NOT AVAILABLE",Table1[[#This Row],[SizeOption]])</f>
        <v>S, M, L, XL, XXL</v>
      </c>
      <c r="Y1801" t="str">
        <f>IF(Table2[[#This Row],[Column1]]&gt;50%,"HIGH DISCOUNT","LOW DISCOUNT")</f>
        <v>LOW DISCOUNT</v>
      </c>
    </row>
    <row r="1802" spans="1:25" x14ac:dyDescent="0.25">
      <c r="A1802" s="1" t="s">
        <v>3902</v>
      </c>
      <c r="B1802" s="1">
        <v>11369664</v>
      </c>
      <c r="C1802" s="1" t="s">
        <v>3903</v>
      </c>
      <c r="D1802" s="1" t="s">
        <v>76</v>
      </c>
      <c r="E1802" s="1" t="s">
        <v>93</v>
      </c>
      <c r="F1802" s="1" t="s">
        <v>36</v>
      </c>
      <c r="G1802" s="1" t="s">
        <v>3904</v>
      </c>
      <c r="H1802">
        <v>1329</v>
      </c>
      <c r="I1802" s="1">
        <v>1899</v>
      </c>
      <c r="J1802" s="1" t="s">
        <v>186</v>
      </c>
      <c r="K1802" s="1" t="s">
        <v>100</v>
      </c>
      <c r="L1802" s="1">
        <v>4.0999999999999996</v>
      </c>
      <c r="M1802" s="1">
        <v>722</v>
      </c>
      <c r="P1802" t="str">
        <f t="shared" si="115"/>
        <v>30%</v>
      </c>
      <c r="Q1802" s="12">
        <f t="shared" si="112"/>
        <v>0.3</v>
      </c>
      <c r="R1802" s="9">
        <f t="shared" si="113"/>
        <v>1329.3000000000002</v>
      </c>
      <c r="S1802" s="9">
        <f>IF(R1802="",AVERAGEIF(Table1[Category],Table1[[#This Row],[Category]],Table2[orignal data]),Table2[[#This Row],[orignal data]])</f>
        <v>1329.3000000000002</v>
      </c>
      <c r="T1802" t="str">
        <f t="shared" si="114"/>
        <v>UNIQUE</v>
      </c>
      <c r="U1802" t="str">
        <f>IF(ISBLANK(Table1[[#This Row],[SizeOption]]),"NOT AVAILABLE",Table1[[#This Row],[SizeOption]])</f>
        <v>XS, S, M, L, XL, XXL, 3XL</v>
      </c>
      <c r="Y1802" t="str">
        <f>IF(Table2[[#This Row],[Column1]]&gt;50%,"HIGH DISCOUNT","LOW DISCOUNT")</f>
        <v>LOW DISCOUNT</v>
      </c>
    </row>
    <row r="1803" spans="1:25" x14ac:dyDescent="0.25">
      <c r="A1803" s="2" t="s">
        <v>3905</v>
      </c>
      <c r="B1803" s="2">
        <v>2486236</v>
      </c>
      <c r="C1803" s="2" t="s">
        <v>762</v>
      </c>
      <c r="D1803" s="2" t="s">
        <v>34</v>
      </c>
      <c r="E1803" s="2" t="s">
        <v>118</v>
      </c>
      <c r="F1803" s="2" t="s">
        <v>36</v>
      </c>
      <c r="G1803" s="2" t="s">
        <v>3906</v>
      </c>
      <c r="H1803">
        <v>853</v>
      </c>
      <c r="I1803" s="2">
        <v>898</v>
      </c>
      <c r="J1803" s="2" t="s">
        <v>764</v>
      </c>
      <c r="K1803" s="2" t="s">
        <v>765</v>
      </c>
      <c r="L1803" s="2">
        <v>4.0999999999999996</v>
      </c>
      <c r="M1803" s="2">
        <v>722</v>
      </c>
      <c r="P1803" t="str">
        <f t="shared" si="115"/>
        <v>5%</v>
      </c>
      <c r="Q1803" s="12">
        <f t="shared" si="112"/>
        <v>0.05</v>
      </c>
      <c r="R1803" s="9">
        <f t="shared" si="113"/>
        <v>853.1</v>
      </c>
      <c r="S1803" s="9">
        <f>IF(R1803="",AVERAGEIF(Table1[Category],Table1[[#This Row],[Category]],Table2[orignal data]),Table2[[#This Row],[orignal data]])</f>
        <v>853.1</v>
      </c>
      <c r="T1803" t="str">
        <f t="shared" si="114"/>
        <v>UNIQUE</v>
      </c>
      <c r="U1803" t="str">
        <f>IF(ISBLANK(Table1[[#This Row],[SizeOption]]),"NOT AVAILABLE",Table1[[#This Row],[SizeOption]])</f>
        <v>30B, 32B, 34B, 36B, 38B, 40B</v>
      </c>
      <c r="Y1803" t="str">
        <f>IF(Table2[[#This Row],[Column1]]&gt;50%,"HIGH DISCOUNT","LOW DISCOUNT")</f>
        <v>LOW DISCOUNT</v>
      </c>
    </row>
    <row r="1804" spans="1:25" x14ac:dyDescent="0.25">
      <c r="A1804" s="1" t="s">
        <v>3907</v>
      </c>
      <c r="B1804" s="1">
        <v>17382686</v>
      </c>
      <c r="C1804" s="1" t="s">
        <v>14</v>
      </c>
      <c r="D1804" s="1" t="s">
        <v>41</v>
      </c>
      <c r="E1804" s="1" t="s">
        <v>42</v>
      </c>
      <c r="F1804" s="1" t="s">
        <v>36</v>
      </c>
      <c r="G1804" s="1" t="s">
        <v>380</v>
      </c>
      <c r="I1804" s="1">
        <v>1598</v>
      </c>
      <c r="J1804" s="1" t="s">
        <v>84</v>
      </c>
      <c r="K1804" s="1" t="s">
        <v>45</v>
      </c>
      <c r="L1804" s="1">
        <v>4.2</v>
      </c>
      <c r="M1804" s="1">
        <v>722</v>
      </c>
      <c r="P1804" t="str">
        <f t="shared" si="115"/>
        <v>50%</v>
      </c>
      <c r="Q1804" s="12">
        <f t="shared" si="112"/>
        <v>0.5</v>
      </c>
      <c r="R1804" s="9">
        <f t="shared" si="113"/>
        <v>799</v>
      </c>
      <c r="S1804" s="9">
        <f>IF(R1804="",AVERAGEIF(Table1[Category],Table1[[#This Row],[Category]],Table2[orignal data]),Table2[[#This Row],[orignal data]])</f>
        <v>799</v>
      </c>
      <c r="T1804" t="str">
        <f t="shared" si="114"/>
        <v>UNIQUE</v>
      </c>
      <c r="U1804" t="str">
        <f>IF(ISBLANK(Table1[[#This Row],[SizeOption]]),"NOT AVAILABLE",Table1[[#This Row],[SizeOption]])</f>
        <v>XS, S, M, L, XL</v>
      </c>
      <c r="Y1804" t="str">
        <f>IF(Table2[[#This Row],[Column1]]&gt;50%,"HIGH DISCOUNT","LOW DISCOUNT")</f>
        <v>LOW DISCOUNT</v>
      </c>
    </row>
    <row r="1805" spans="1:25" x14ac:dyDescent="0.25">
      <c r="A1805" s="2" t="s">
        <v>3908</v>
      </c>
      <c r="B1805" s="2">
        <v>11700058</v>
      </c>
      <c r="C1805" s="2" t="s">
        <v>47</v>
      </c>
      <c r="D1805" s="2" t="s">
        <v>41</v>
      </c>
      <c r="E1805" s="2" t="s">
        <v>42</v>
      </c>
      <c r="F1805" s="2" t="s">
        <v>36</v>
      </c>
      <c r="G1805" s="2" t="s">
        <v>3909</v>
      </c>
      <c r="I1805" s="2">
        <v>699</v>
      </c>
      <c r="J1805" s="2" t="s">
        <v>79</v>
      </c>
      <c r="K1805" s="2" t="s">
        <v>45</v>
      </c>
      <c r="L1805" s="2">
        <v>3.8</v>
      </c>
      <c r="M1805" s="2">
        <v>722</v>
      </c>
      <c r="P1805" t="str">
        <f t="shared" si="115"/>
        <v>70%</v>
      </c>
      <c r="Q1805" s="12">
        <f t="shared" si="112"/>
        <v>0.7</v>
      </c>
      <c r="R1805" s="9">
        <f t="shared" si="113"/>
        <v>209.70000000000005</v>
      </c>
      <c r="S1805" s="9">
        <f>IF(R1805="",AVERAGEIF(Table1[Category],Table1[[#This Row],[Category]],Table2[orignal data]),Table2[[#This Row],[orignal data]])</f>
        <v>209.70000000000005</v>
      </c>
      <c r="T1805" t="str">
        <f t="shared" si="114"/>
        <v>UNIQUE</v>
      </c>
      <c r="U1805" t="str">
        <f>IF(ISBLANK(Table1[[#This Row],[SizeOption]]),"NOT AVAILABLE",Table1[[#This Row],[SizeOption]])</f>
        <v>XS, S, M, L, XL</v>
      </c>
      <c r="Y1805" t="str">
        <f>IF(Table2[[#This Row],[Column1]]&gt;50%,"HIGH DISCOUNT","LOW DISCOUNT")</f>
        <v>HIGH DISCOUNT</v>
      </c>
    </row>
    <row r="1806" spans="1:25" x14ac:dyDescent="0.25">
      <c r="A1806" s="1" t="s">
        <v>3910</v>
      </c>
      <c r="B1806" s="1">
        <v>5345806</v>
      </c>
      <c r="C1806" s="1" t="s">
        <v>3911</v>
      </c>
      <c r="D1806" s="1" t="s">
        <v>15</v>
      </c>
      <c r="E1806" s="1" t="s">
        <v>137</v>
      </c>
      <c r="F1806" s="1" t="s">
        <v>17</v>
      </c>
      <c r="G1806" s="1" t="s">
        <v>3912</v>
      </c>
      <c r="H1806">
        <v>539</v>
      </c>
      <c r="I1806" s="1">
        <v>899</v>
      </c>
      <c r="J1806" s="1" t="s">
        <v>50</v>
      </c>
      <c r="K1806" s="1" t="s">
        <v>171</v>
      </c>
      <c r="L1806" s="1">
        <v>4.0999999999999996</v>
      </c>
      <c r="M1806" s="1">
        <v>721</v>
      </c>
      <c r="P1806" t="str">
        <f t="shared" si="115"/>
        <v>40%</v>
      </c>
      <c r="Q1806" s="12">
        <f t="shared" si="112"/>
        <v>0.4</v>
      </c>
      <c r="R1806" s="9">
        <f t="shared" si="113"/>
        <v>539.4</v>
      </c>
      <c r="S1806" s="9">
        <f>IF(R1806="",AVERAGEIF(Table1[Category],Table1[[#This Row],[Category]],Table2[orignal data]),Table2[[#This Row],[orignal data]])</f>
        <v>539.4</v>
      </c>
      <c r="T1806" t="str">
        <f t="shared" si="114"/>
        <v>UNIQUE</v>
      </c>
      <c r="U1806" t="str">
        <f>IF(ISBLANK(Table1[[#This Row],[SizeOption]]),"NOT AVAILABLE",Table1[[#This Row],[SizeOption]])</f>
        <v>28, 30, 32, 34, 36, 38</v>
      </c>
      <c r="Y1806" t="str">
        <f>IF(Table2[[#This Row],[Column1]]&gt;50%,"HIGH DISCOUNT","LOW DISCOUNT")</f>
        <v>LOW DISCOUNT</v>
      </c>
    </row>
    <row r="1807" spans="1:25" x14ac:dyDescent="0.25">
      <c r="A1807" s="2" t="s">
        <v>3913</v>
      </c>
      <c r="B1807" s="2">
        <v>6610000</v>
      </c>
      <c r="C1807" s="2" t="s">
        <v>935</v>
      </c>
      <c r="D1807" s="2" t="s">
        <v>76</v>
      </c>
      <c r="E1807" s="2" t="s">
        <v>3914</v>
      </c>
      <c r="F1807" s="2" t="s">
        <v>17</v>
      </c>
      <c r="G1807" s="2" t="s">
        <v>3915</v>
      </c>
      <c r="H1807">
        <v>1159</v>
      </c>
      <c r="I1807" s="2">
        <v>3999</v>
      </c>
      <c r="J1807" s="2" t="s">
        <v>279</v>
      </c>
      <c r="K1807" s="2" t="s">
        <v>3916</v>
      </c>
      <c r="L1807" s="2">
        <v>4.2</v>
      </c>
      <c r="M1807" s="2">
        <v>721</v>
      </c>
      <c r="P1807" t="str">
        <f t="shared" si="115"/>
        <v>71%</v>
      </c>
      <c r="Q1807" s="12">
        <f t="shared" si="112"/>
        <v>0.71</v>
      </c>
      <c r="R1807" s="9">
        <f t="shared" si="113"/>
        <v>1159.71</v>
      </c>
      <c r="S1807" s="9">
        <f>IF(R1807="",AVERAGEIF(Table1[Category],Table1[[#This Row],[Category]],Table2[orignal data]),Table2[[#This Row],[orignal data]])</f>
        <v>1159.71</v>
      </c>
      <c r="T1807" t="str">
        <f t="shared" si="114"/>
        <v>UNIQUE</v>
      </c>
      <c r="U1807" t="str">
        <f>IF(ISBLANK(Table1[[#This Row],[SizeOption]]),"NOT AVAILABLE",Table1[[#This Row],[SizeOption]])</f>
        <v>S, M, L, XL, XXL, 3XL, 4XL, 5XL, 6XL</v>
      </c>
      <c r="Y1807" t="str">
        <f>IF(Table2[[#This Row],[Column1]]&gt;50%,"HIGH DISCOUNT","LOW DISCOUNT")</f>
        <v>HIGH DISCOUNT</v>
      </c>
    </row>
    <row r="1808" spans="1:25" x14ac:dyDescent="0.25">
      <c r="A1808" s="1" t="s">
        <v>3917</v>
      </c>
      <c r="B1808" s="1">
        <v>12005980</v>
      </c>
      <c r="C1808" s="1" t="s">
        <v>52</v>
      </c>
      <c r="D1808" s="1" t="s">
        <v>28</v>
      </c>
      <c r="E1808" s="1" t="s">
        <v>29</v>
      </c>
      <c r="F1808" s="1" t="s">
        <v>17</v>
      </c>
      <c r="G1808" s="1" t="s">
        <v>3918</v>
      </c>
      <c r="H1808">
        <v>562</v>
      </c>
      <c r="I1808" s="1">
        <v>1249</v>
      </c>
      <c r="J1808" s="1" t="s">
        <v>25</v>
      </c>
      <c r="K1808" s="1" t="s">
        <v>90</v>
      </c>
      <c r="L1808" s="1">
        <v>4.0999999999999996</v>
      </c>
      <c r="M1808" s="1">
        <v>721</v>
      </c>
      <c r="P1808" t="str">
        <f t="shared" si="115"/>
        <v>55%</v>
      </c>
      <c r="Q1808" s="12">
        <f t="shared" si="112"/>
        <v>0.55000000000000004</v>
      </c>
      <c r="R1808" s="9">
        <f t="shared" si="113"/>
        <v>562.04999999999995</v>
      </c>
      <c r="S1808" s="9">
        <f>IF(R1808="",AVERAGEIF(Table1[Category],Table1[[#This Row],[Category]],Table2[orignal data]),Table2[[#This Row],[orignal data]])</f>
        <v>562.04999999999995</v>
      </c>
      <c r="T1808" t="str">
        <f t="shared" si="114"/>
        <v>UNIQUE</v>
      </c>
      <c r="U1808" t="str">
        <f>IF(ISBLANK(Table1[[#This Row],[SizeOption]]),"NOT AVAILABLE",Table1[[#This Row],[SizeOption]])</f>
        <v>39, 40, 42, 44</v>
      </c>
      <c r="Y1808" t="str">
        <f>IF(Table2[[#This Row],[Column1]]&gt;50%,"HIGH DISCOUNT","LOW DISCOUNT")</f>
        <v>HIGH DISCOUNT</v>
      </c>
    </row>
    <row r="1809" spans="1:25" x14ac:dyDescent="0.25">
      <c r="A1809" s="2" t="s">
        <v>3919</v>
      </c>
      <c r="B1809" s="2">
        <v>1900948</v>
      </c>
      <c r="C1809" s="2" t="s">
        <v>14</v>
      </c>
      <c r="D1809" s="2" t="s">
        <v>28</v>
      </c>
      <c r="E1809" s="2" t="s">
        <v>1881</v>
      </c>
      <c r="F1809" s="2" t="s">
        <v>17</v>
      </c>
      <c r="G1809" s="2" t="s">
        <v>3920</v>
      </c>
      <c r="H1809">
        <v>679</v>
      </c>
      <c r="I1809" s="2">
        <v>1699</v>
      </c>
      <c r="J1809" s="2" t="s">
        <v>55</v>
      </c>
      <c r="K1809" s="2" t="s">
        <v>115</v>
      </c>
      <c r="L1809" s="2">
        <v>3.8</v>
      </c>
      <c r="M1809" s="2">
        <v>721</v>
      </c>
      <c r="P1809" t="str">
        <f t="shared" si="115"/>
        <v>60%</v>
      </c>
      <c r="Q1809" s="12">
        <f t="shared" si="112"/>
        <v>0.6</v>
      </c>
      <c r="R1809" s="9">
        <f t="shared" si="113"/>
        <v>679.6</v>
      </c>
      <c r="S1809" s="9">
        <f>IF(R1809="",AVERAGEIF(Table1[Category],Table1[[#This Row],[Category]],Table2[orignal data]),Table2[[#This Row],[orignal data]])</f>
        <v>679.6</v>
      </c>
      <c r="T1809" t="str">
        <f t="shared" si="114"/>
        <v>UNIQUE</v>
      </c>
      <c r="U1809" t="str">
        <f>IF(ISBLANK(Table1[[#This Row],[SizeOption]]),"NOT AVAILABLE",Table1[[#This Row],[SizeOption]])</f>
        <v>XS, S, M, L, XL, XXL</v>
      </c>
      <c r="Y1809" t="str">
        <f>IF(Table2[[#This Row],[Column1]]&gt;50%,"HIGH DISCOUNT","LOW DISCOUNT")</f>
        <v>HIGH DISCOUNT</v>
      </c>
    </row>
    <row r="1810" spans="1:25" x14ac:dyDescent="0.25">
      <c r="A1810" s="1" t="s">
        <v>3921</v>
      </c>
      <c r="B1810" s="1">
        <v>11896566</v>
      </c>
      <c r="C1810" s="1" t="s">
        <v>47</v>
      </c>
      <c r="D1810" s="1" t="s">
        <v>28</v>
      </c>
      <c r="E1810" s="1" t="s">
        <v>42</v>
      </c>
      <c r="F1810" s="1" t="s">
        <v>17</v>
      </c>
      <c r="G1810" s="1" t="s">
        <v>3922</v>
      </c>
      <c r="H1810">
        <v>319</v>
      </c>
      <c r="I1810" s="1">
        <v>799</v>
      </c>
      <c r="J1810" s="1" t="s">
        <v>55</v>
      </c>
      <c r="K1810" s="1" t="s">
        <v>26</v>
      </c>
      <c r="L1810" s="1">
        <v>4.3</v>
      </c>
      <c r="M1810" s="1">
        <v>721</v>
      </c>
      <c r="P1810" t="str">
        <f t="shared" si="115"/>
        <v>60%</v>
      </c>
      <c r="Q1810" s="12">
        <f t="shared" si="112"/>
        <v>0.6</v>
      </c>
      <c r="R1810" s="9">
        <f t="shared" si="113"/>
        <v>319.60000000000002</v>
      </c>
      <c r="S1810" s="9">
        <f>IF(R1810="",AVERAGEIF(Table1[Category],Table1[[#This Row],[Category]],Table2[orignal data]),Table2[[#This Row],[orignal data]])</f>
        <v>319.60000000000002</v>
      </c>
      <c r="T1810" t="str">
        <f t="shared" si="114"/>
        <v>UNIQUE</v>
      </c>
      <c r="U1810" t="str">
        <f>IF(ISBLANK(Table1[[#This Row],[SizeOption]]),"NOT AVAILABLE",Table1[[#This Row],[SizeOption]])</f>
        <v>S, M, L, XL</v>
      </c>
      <c r="Y1810" t="str">
        <f>IF(Table2[[#This Row],[Column1]]&gt;50%,"HIGH DISCOUNT","LOW DISCOUNT")</f>
        <v>HIGH DISCOUNT</v>
      </c>
    </row>
    <row r="1811" spans="1:25" x14ac:dyDescent="0.25">
      <c r="A1811" s="2" t="s">
        <v>3923</v>
      </c>
      <c r="B1811" s="2">
        <v>14383658</v>
      </c>
      <c r="C1811" s="2" t="s">
        <v>97</v>
      </c>
      <c r="D1811" s="2" t="s">
        <v>76</v>
      </c>
      <c r="E1811" s="2" t="s">
        <v>320</v>
      </c>
      <c r="F1811" s="2" t="s">
        <v>36</v>
      </c>
      <c r="G1811" s="2" t="s">
        <v>3924</v>
      </c>
      <c r="H1811">
        <v>1550</v>
      </c>
      <c r="I1811" s="2">
        <v>3299</v>
      </c>
      <c r="J1811" s="2" t="s">
        <v>89</v>
      </c>
      <c r="K1811" s="2" t="s">
        <v>164</v>
      </c>
      <c r="L1811" s="2">
        <v>4.2</v>
      </c>
      <c r="M1811" s="2">
        <v>721</v>
      </c>
      <c r="P1811" t="str">
        <f t="shared" si="115"/>
        <v>53%</v>
      </c>
      <c r="Q1811" s="12">
        <f t="shared" si="112"/>
        <v>0.53</v>
      </c>
      <c r="R1811" s="9">
        <f t="shared" si="113"/>
        <v>1550.53</v>
      </c>
      <c r="S1811" s="9">
        <f>IF(R1811="",AVERAGEIF(Table1[Category],Table1[[#This Row],[Category]],Table2[orignal data]),Table2[[#This Row],[orignal data]])</f>
        <v>1550.53</v>
      </c>
      <c r="T1811" t="str">
        <f t="shared" si="114"/>
        <v>UNIQUE</v>
      </c>
      <c r="U1811" t="str">
        <f>IF(ISBLANK(Table1[[#This Row],[SizeOption]]),"NOT AVAILABLE",Table1[[#This Row],[SizeOption]])</f>
        <v>Onesize</v>
      </c>
      <c r="Y1811" t="str">
        <f>IF(Table2[[#This Row],[Column1]]&gt;50%,"HIGH DISCOUNT","LOW DISCOUNT")</f>
        <v>HIGH DISCOUNT</v>
      </c>
    </row>
    <row r="1812" spans="1:25" x14ac:dyDescent="0.25">
      <c r="A1812" s="1" t="s">
        <v>3925</v>
      </c>
      <c r="B1812" s="1">
        <v>11263890</v>
      </c>
      <c r="C1812" s="1" t="s">
        <v>319</v>
      </c>
      <c r="D1812" s="1" t="s">
        <v>76</v>
      </c>
      <c r="E1812" s="1" t="s">
        <v>320</v>
      </c>
      <c r="F1812" s="1" t="s">
        <v>36</v>
      </c>
      <c r="G1812" s="1" t="s">
        <v>3926</v>
      </c>
      <c r="H1812">
        <v>1679</v>
      </c>
      <c r="I1812" s="1">
        <v>4198</v>
      </c>
      <c r="J1812" s="1" t="s">
        <v>55</v>
      </c>
      <c r="K1812" s="1" t="s">
        <v>164</v>
      </c>
      <c r="L1812" s="1">
        <v>4</v>
      </c>
      <c r="M1812" s="1">
        <v>721</v>
      </c>
      <c r="P1812" t="str">
        <f t="shared" si="115"/>
        <v>60%</v>
      </c>
      <c r="Q1812" s="12">
        <f t="shared" si="112"/>
        <v>0.6</v>
      </c>
      <c r="R1812" s="9">
        <f t="shared" si="113"/>
        <v>1679.2000000000003</v>
      </c>
      <c r="S1812" s="9">
        <f>IF(R1812="",AVERAGEIF(Table1[Category],Table1[[#This Row],[Category]],Table2[orignal data]),Table2[[#This Row],[orignal data]])</f>
        <v>1679.2000000000003</v>
      </c>
      <c r="T1812" t="str">
        <f t="shared" si="114"/>
        <v>UNIQUE</v>
      </c>
      <c r="U1812" t="str">
        <f>IF(ISBLANK(Table1[[#This Row],[SizeOption]]),"NOT AVAILABLE",Table1[[#This Row],[SizeOption]])</f>
        <v>Onesize</v>
      </c>
      <c r="Y1812" t="str">
        <f>IF(Table2[[#This Row],[Column1]]&gt;50%,"HIGH DISCOUNT","LOW DISCOUNT")</f>
        <v>HIGH DISCOUNT</v>
      </c>
    </row>
    <row r="1813" spans="1:25" x14ac:dyDescent="0.25">
      <c r="A1813" s="2" t="s">
        <v>3927</v>
      </c>
      <c r="B1813" s="2">
        <v>13249354</v>
      </c>
      <c r="C1813" s="2" t="s">
        <v>97</v>
      </c>
      <c r="D1813" s="2" t="s">
        <v>98</v>
      </c>
      <c r="E1813" s="2" t="s">
        <v>148</v>
      </c>
      <c r="F1813" s="2" t="s">
        <v>36</v>
      </c>
      <c r="G1813" s="2" t="s">
        <v>3928</v>
      </c>
      <c r="H1813">
        <v>519</v>
      </c>
      <c r="I1813" s="2">
        <v>1299</v>
      </c>
      <c r="J1813" s="2" t="s">
        <v>141</v>
      </c>
      <c r="K1813" s="2" t="s">
        <v>100</v>
      </c>
      <c r="L1813" s="2">
        <v>4</v>
      </c>
      <c r="M1813" s="2">
        <v>721</v>
      </c>
      <c r="P1813" t="str">
        <f t="shared" si="115"/>
        <v>60%</v>
      </c>
      <c r="Q1813" s="12">
        <f t="shared" si="112"/>
        <v>0.6</v>
      </c>
      <c r="R1813" s="9">
        <f t="shared" si="113"/>
        <v>519.6</v>
      </c>
      <c r="S1813" s="9">
        <f>IF(R1813="",AVERAGEIF(Table1[Category],Table1[[#This Row],[Category]],Table2[orignal data]),Table2[[#This Row],[orignal data]])</f>
        <v>519.6</v>
      </c>
      <c r="T1813" t="str">
        <f t="shared" si="114"/>
        <v>UNIQUE</v>
      </c>
      <c r="U1813" t="str">
        <f>IF(ISBLANK(Table1[[#This Row],[SizeOption]]),"NOT AVAILABLE",Table1[[#This Row],[SizeOption]])</f>
        <v>XS, S, M, L, XL, XXL, 3XL</v>
      </c>
      <c r="Y1813" t="str">
        <f>IF(Table2[[#This Row],[Column1]]&gt;50%,"HIGH DISCOUNT","LOW DISCOUNT")</f>
        <v>HIGH DISCOUNT</v>
      </c>
    </row>
    <row r="1814" spans="1:25" x14ac:dyDescent="0.25">
      <c r="A1814" s="1" t="s">
        <v>3929</v>
      </c>
      <c r="B1814" s="1">
        <v>10967124</v>
      </c>
      <c r="C1814" s="1" t="s">
        <v>107</v>
      </c>
      <c r="D1814" s="1" t="s">
        <v>41</v>
      </c>
      <c r="E1814" s="1" t="s">
        <v>579</v>
      </c>
      <c r="F1814" s="1" t="s">
        <v>36</v>
      </c>
      <c r="G1814" s="1" t="s">
        <v>1379</v>
      </c>
      <c r="I1814" s="1">
        <v>1499</v>
      </c>
      <c r="J1814" s="1" t="s">
        <v>79</v>
      </c>
      <c r="K1814" s="1" t="s">
        <v>134</v>
      </c>
      <c r="L1814" s="1">
        <v>4</v>
      </c>
      <c r="M1814" s="1">
        <v>721</v>
      </c>
      <c r="P1814" t="str">
        <f t="shared" si="115"/>
        <v>70%</v>
      </c>
      <c r="Q1814" s="12">
        <f t="shared" si="112"/>
        <v>0.7</v>
      </c>
      <c r="R1814" s="9">
        <f t="shared" si="113"/>
        <v>449.70000000000005</v>
      </c>
      <c r="S1814" s="9">
        <f>IF(R1814="",AVERAGEIF(Table1[Category],Table1[[#This Row],[Category]],Table2[orignal data]),Table2[[#This Row],[orignal data]])</f>
        <v>449.70000000000005</v>
      </c>
      <c r="T1814" t="str">
        <f t="shared" si="114"/>
        <v>UNIQUE</v>
      </c>
      <c r="U1814" t="str">
        <f>IF(ISBLANK(Table1[[#This Row],[SizeOption]]),"NOT AVAILABLE",Table1[[#This Row],[SizeOption]])</f>
        <v>26, 28, 30, 32, 34, 36</v>
      </c>
      <c r="Y1814" t="str">
        <f>IF(Table2[[#This Row],[Column1]]&gt;50%,"HIGH DISCOUNT","LOW DISCOUNT")</f>
        <v>HIGH DISCOUNT</v>
      </c>
    </row>
    <row r="1815" spans="1:25" x14ac:dyDescent="0.25">
      <c r="A1815" s="2" t="s">
        <v>3930</v>
      </c>
      <c r="B1815" s="2">
        <v>13179752</v>
      </c>
      <c r="C1815" s="2" t="s">
        <v>107</v>
      </c>
      <c r="D1815" s="2" t="s">
        <v>41</v>
      </c>
      <c r="E1815" s="2" t="s">
        <v>48</v>
      </c>
      <c r="F1815" s="2" t="s">
        <v>36</v>
      </c>
      <c r="G1815" s="2" t="s">
        <v>3931</v>
      </c>
      <c r="I1815" s="2">
        <v>999</v>
      </c>
      <c r="J1815" s="2" t="s">
        <v>84</v>
      </c>
      <c r="K1815" s="2" t="s">
        <v>45</v>
      </c>
      <c r="L1815" s="2">
        <v>4.3</v>
      </c>
      <c r="M1815" s="2">
        <v>721</v>
      </c>
      <c r="P1815" t="str">
        <f t="shared" si="115"/>
        <v>50%</v>
      </c>
      <c r="Q1815" s="12">
        <f t="shared" si="112"/>
        <v>0.5</v>
      </c>
      <c r="R1815" s="9">
        <f t="shared" si="113"/>
        <v>499.5</v>
      </c>
      <c r="S1815" s="9">
        <f>IF(R1815="",AVERAGEIF(Table1[Category],Table1[[#This Row],[Category]],Table2[orignal data]),Table2[[#This Row],[orignal data]])</f>
        <v>499.5</v>
      </c>
      <c r="T1815" t="str">
        <f t="shared" si="114"/>
        <v>UNIQUE</v>
      </c>
      <c r="U1815" t="str">
        <f>IF(ISBLANK(Table1[[#This Row],[SizeOption]]),"NOT AVAILABLE",Table1[[#This Row],[SizeOption]])</f>
        <v>XS, S, M, L, XL</v>
      </c>
      <c r="Y1815" t="str">
        <f>IF(Table2[[#This Row],[Column1]]&gt;50%,"HIGH DISCOUNT","LOW DISCOUNT")</f>
        <v>LOW DISCOUNT</v>
      </c>
    </row>
    <row r="1816" spans="1:25" x14ac:dyDescent="0.25">
      <c r="A1816" s="1" t="s">
        <v>3932</v>
      </c>
      <c r="B1816" s="1">
        <v>9054887</v>
      </c>
      <c r="C1816" s="1" t="s">
        <v>1176</v>
      </c>
      <c r="D1816" s="1" t="s">
        <v>15</v>
      </c>
      <c r="E1816" s="1" t="s">
        <v>23</v>
      </c>
      <c r="F1816" s="1" t="s">
        <v>17</v>
      </c>
      <c r="G1816" s="1" t="s">
        <v>1339</v>
      </c>
      <c r="H1816">
        <v>651</v>
      </c>
      <c r="I1816" s="1">
        <v>1329</v>
      </c>
      <c r="J1816" s="1" t="s">
        <v>163</v>
      </c>
      <c r="K1816" s="1" t="s">
        <v>1341</v>
      </c>
      <c r="L1816" s="1">
        <v>3.9</v>
      </c>
      <c r="M1816" s="1">
        <v>720</v>
      </c>
      <c r="P1816" t="str">
        <f t="shared" si="115"/>
        <v>51%</v>
      </c>
      <c r="Q1816" s="12">
        <f t="shared" si="112"/>
        <v>0.51</v>
      </c>
      <c r="R1816" s="9">
        <f t="shared" si="113"/>
        <v>651.21</v>
      </c>
      <c r="S1816" s="9">
        <f>IF(R1816="",AVERAGEIF(Table1[Category],Table1[[#This Row],[Category]],Table2[orignal data]),Table2[[#This Row],[orignal data]])</f>
        <v>651.21</v>
      </c>
      <c r="T1816" t="str">
        <f t="shared" si="114"/>
        <v>UNIQUE</v>
      </c>
      <c r="U1816" t="str">
        <f>IF(ISBLANK(Table1[[#This Row],[SizeOption]]),"NOT AVAILABLE",Table1[[#This Row],[SizeOption]])</f>
        <v>M, L, XL</v>
      </c>
      <c r="Y1816" t="str">
        <f>IF(Table2[[#This Row],[Column1]]&gt;50%,"HIGH DISCOUNT","LOW DISCOUNT")</f>
        <v>HIGH DISCOUNT</v>
      </c>
    </row>
    <row r="1817" spans="1:25" x14ac:dyDescent="0.25">
      <c r="A1817" s="2" t="s">
        <v>3933</v>
      </c>
      <c r="B1817" s="2">
        <v>10308001</v>
      </c>
      <c r="C1817" s="2" t="s">
        <v>113</v>
      </c>
      <c r="D1817" s="2" t="s">
        <v>76</v>
      </c>
      <c r="E1817" s="2" t="s">
        <v>93</v>
      </c>
      <c r="F1817" s="2" t="s">
        <v>17</v>
      </c>
      <c r="G1817" s="2" t="s">
        <v>3934</v>
      </c>
      <c r="H1817">
        <v>679</v>
      </c>
      <c r="I1817" s="2">
        <v>1699</v>
      </c>
      <c r="J1817" s="2" t="s">
        <v>55</v>
      </c>
      <c r="K1817" s="2" t="s">
        <v>39</v>
      </c>
      <c r="L1817" s="2">
        <v>4</v>
      </c>
      <c r="M1817" s="2">
        <v>720</v>
      </c>
      <c r="P1817" t="str">
        <f t="shared" si="115"/>
        <v>60%</v>
      </c>
      <c r="Q1817" s="12">
        <f t="shared" si="112"/>
        <v>0.6</v>
      </c>
      <c r="R1817" s="9">
        <f t="shared" si="113"/>
        <v>679.6</v>
      </c>
      <c r="S1817" s="9">
        <f>IF(R1817="",AVERAGEIF(Table1[Category],Table1[[#This Row],[Category]],Table2[orignal data]),Table2[[#This Row],[orignal data]])</f>
        <v>679.6</v>
      </c>
      <c r="T1817" t="str">
        <f t="shared" si="114"/>
        <v>UNIQUE</v>
      </c>
      <c r="U1817" t="str">
        <f>IF(ISBLANK(Table1[[#This Row],[SizeOption]]),"NOT AVAILABLE",Table1[[#This Row],[SizeOption]])</f>
        <v>S, M, L, XL, XXL</v>
      </c>
      <c r="Y1817" t="str">
        <f>IF(Table2[[#This Row],[Column1]]&gt;50%,"HIGH DISCOUNT","LOW DISCOUNT")</f>
        <v>HIGH DISCOUNT</v>
      </c>
    </row>
    <row r="1818" spans="1:25" x14ac:dyDescent="0.25">
      <c r="A1818" s="1" t="s">
        <v>3935</v>
      </c>
      <c r="B1818" s="1">
        <v>12134602</v>
      </c>
      <c r="C1818" s="1" t="s">
        <v>113</v>
      </c>
      <c r="D1818" s="1" t="s">
        <v>76</v>
      </c>
      <c r="E1818" s="1" t="s">
        <v>148</v>
      </c>
      <c r="F1818" s="1" t="s">
        <v>36</v>
      </c>
      <c r="G1818" s="1" t="s">
        <v>3936</v>
      </c>
      <c r="H1818">
        <v>449</v>
      </c>
      <c r="I1818" s="1">
        <v>1499</v>
      </c>
      <c r="J1818" s="1" t="s">
        <v>79</v>
      </c>
      <c r="K1818" s="1" t="s">
        <v>115</v>
      </c>
      <c r="L1818" s="1">
        <v>4</v>
      </c>
      <c r="M1818" s="1">
        <v>720</v>
      </c>
      <c r="P1818" t="str">
        <f t="shared" si="115"/>
        <v>70%</v>
      </c>
      <c r="Q1818" s="12">
        <f t="shared" si="112"/>
        <v>0.7</v>
      </c>
      <c r="R1818" s="9">
        <f t="shared" si="113"/>
        <v>449.70000000000005</v>
      </c>
      <c r="S1818" s="9">
        <f>IF(R1818="",AVERAGEIF(Table1[Category],Table1[[#This Row],[Category]],Table2[orignal data]),Table2[[#This Row],[orignal data]])</f>
        <v>449.70000000000005</v>
      </c>
      <c r="T1818" t="str">
        <f t="shared" si="114"/>
        <v>UNIQUE</v>
      </c>
      <c r="U1818" t="str">
        <f>IF(ISBLANK(Table1[[#This Row],[SizeOption]]),"NOT AVAILABLE",Table1[[#This Row],[SizeOption]])</f>
        <v>XS, S, M, L, XL, XXL</v>
      </c>
      <c r="Y1818" t="str">
        <f>IF(Table2[[#This Row],[Column1]]&gt;50%,"HIGH DISCOUNT","LOW DISCOUNT")</f>
        <v>HIGH DISCOUNT</v>
      </c>
    </row>
    <row r="1819" spans="1:25" x14ac:dyDescent="0.25">
      <c r="A1819" s="2" t="s">
        <v>3937</v>
      </c>
      <c r="B1819" s="2">
        <v>13027858</v>
      </c>
      <c r="C1819" s="2" t="s">
        <v>397</v>
      </c>
      <c r="D1819" s="2" t="s">
        <v>76</v>
      </c>
      <c r="E1819" s="2" t="s">
        <v>77</v>
      </c>
      <c r="F1819" s="2" t="s">
        <v>36</v>
      </c>
      <c r="G1819" s="2" t="s">
        <v>3938</v>
      </c>
      <c r="H1819">
        <v>1461</v>
      </c>
      <c r="I1819" s="2">
        <v>4299</v>
      </c>
      <c r="J1819" s="2" t="s">
        <v>403</v>
      </c>
      <c r="K1819" s="2" t="s">
        <v>234</v>
      </c>
      <c r="L1819" s="2">
        <v>4.3</v>
      </c>
      <c r="M1819" s="2">
        <v>720</v>
      </c>
      <c r="P1819" t="str">
        <f t="shared" si="115"/>
        <v>66%</v>
      </c>
      <c r="Q1819" s="12">
        <f t="shared" si="112"/>
        <v>0.66</v>
      </c>
      <c r="R1819" s="9">
        <f t="shared" si="113"/>
        <v>1461.6599999999999</v>
      </c>
      <c r="S1819" s="9">
        <f>IF(R1819="",AVERAGEIF(Table1[Category],Table1[[#This Row],[Category]],Table2[orignal data]),Table2[[#This Row],[orignal data]])</f>
        <v>1461.6599999999999</v>
      </c>
      <c r="T1819" t="str">
        <f t="shared" si="114"/>
        <v>UNIQUE</v>
      </c>
      <c r="U1819" t="str">
        <f>IF(ISBLANK(Table1[[#This Row],[SizeOption]]),"NOT AVAILABLE",Table1[[#This Row],[SizeOption]])</f>
        <v>S, M, L, XL, XXL, 3XL</v>
      </c>
      <c r="Y1819" t="str">
        <f>IF(Table2[[#This Row],[Column1]]&gt;50%,"HIGH DISCOUNT","LOW DISCOUNT")</f>
        <v>HIGH DISCOUNT</v>
      </c>
    </row>
    <row r="1820" spans="1:25" x14ac:dyDescent="0.25">
      <c r="A1820" s="1" t="s">
        <v>3939</v>
      </c>
      <c r="B1820" s="1">
        <v>13563606</v>
      </c>
      <c r="C1820" s="1" t="s">
        <v>349</v>
      </c>
      <c r="D1820" s="1" t="s">
        <v>34</v>
      </c>
      <c r="E1820" s="1" t="s">
        <v>296</v>
      </c>
      <c r="F1820" s="1" t="s">
        <v>36</v>
      </c>
      <c r="G1820" s="1" t="s">
        <v>3940</v>
      </c>
      <c r="I1820" s="1">
        <v>478</v>
      </c>
      <c r="J1820" s="1"/>
      <c r="K1820" s="1" t="s">
        <v>3941</v>
      </c>
      <c r="L1820" s="1">
        <v>4.5999999999999996</v>
      </c>
      <c r="M1820" s="1">
        <v>720</v>
      </c>
      <c r="P1820" t="str">
        <f t="shared" si="115"/>
        <v/>
      </c>
      <c r="Q1820" s="12" t="str">
        <f t="shared" si="112"/>
        <v/>
      </c>
      <c r="R1820" s="9" t="str">
        <f t="shared" si="113"/>
        <v/>
      </c>
      <c r="S1820" s="9">
        <f>IF(R1820="",AVERAGEIF(Table1[Category],Table1[[#This Row],[Category]],Table2[orignal data]),Table2[[#This Row],[orignal data]])</f>
        <v>608.88518518518481</v>
      </c>
      <c r="T1820" t="str">
        <f t="shared" si="114"/>
        <v>UNIQUE</v>
      </c>
      <c r="U1820" t="str">
        <f>IF(ISBLANK(Table1[[#This Row],[SizeOption]]),"NOT AVAILABLE",Table1[[#This Row],[SizeOption]])</f>
        <v>S, L, M</v>
      </c>
      <c r="Y1820" t="str">
        <f>IF(Table2[[#This Row],[Column1]]&gt;50%,"HIGH DISCOUNT","LOW DISCOUNT")</f>
        <v>HIGH DISCOUNT</v>
      </c>
    </row>
    <row r="1821" spans="1:25" x14ac:dyDescent="0.25">
      <c r="A1821" s="2" t="s">
        <v>3942</v>
      </c>
      <c r="B1821" s="2">
        <v>13859180</v>
      </c>
      <c r="C1821" s="2" t="s">
        <v>14</v>
      </c>
      <c r="D1821" s="2" t="s">
        <v>15</v>
      </c>
      <c r="E1821" s="2" t="s">
        <v>53</v>
      </c>
      <c r="F1821" s="2" t="s">
        <v>17</v>
      </c>
      <c r="G1821" s="2" t="s">
        <v>3943</v>
      </c>
      <c r="I1821" s="2">
        <v>1299</v>
      </c>
      <c r="J1821" s="2"/>
      <c r="K1821" s="2" t="s">
        <v>20</v>
      </c>
      <c r="L1821" s="2">
        <v>3.8</v>
      </c>
      <c r="M1821" s="2">
        <v>719</v>
      </c>
      <c r="P1821" t="str">
        <f t="shared" si="115"/>
        <v/>
      </c>
      <c r="Q1821" s="12" t="str">
        <f t="shared" si="112"/>
        <v/>
      </c>
      <c r="R1821" s="9" t="str">
        <f t="shared" si="113"/>
        <v/>
      </c>
      <c r="S1821" s="9">
        <f>IF(R1821="",AVERAGEIF(Table1[Category],Table1[[#This Row],[Category]],Table2[orignal data]),Table2[[#This Row],[orignal data]])</f>
        <v>892.27590339892538</v>
      </c>
      <c r="T1821" t="str">
        <f t="shared" si="114"/>
        <v>UNIQUE</v>
      </c>
      <c r="U1821" t="str">
        <f>IF(ISBLANK(Table1[[#This Row],[SizeOption]]),"NOT AVAILABLE",Table1[[#This Row],[SizeOption]])</f>
        <v>28, 30, 32, 34, 36</v>
      </c>
      <c r="Y1821" t="str">
        <f>IF(Table2[[#This Row],[Column1]]&gt;50%,"HIGH DISCOUNT","LOW DISCOUNT")</f>
        <v>HIGH DISCOUNT</v>
      </c>
    </row>
    <row r="1822" spans="1:25" x14ac:dyDescent="0.25">
      <c r="A1822" s="1" t="s">
        <v>3944</v>
      </c>
      <c r="B1822" s="1">
        <v>11017728</v>
      </c>
      <c r="C1822" s="1" t="s">
        <v>47</v>
      </c>
      <c r="D1822" s="1" t="s">
        <v>28</v>
      </c>
      <c r="E1822" s="1" t="s">
        <v>42</v>
      </c>
      <c r="F1822" s="1" t="s">
        <v>17</v>
      </c>
      <c r="G1822" s="1" t="s">
        <v>3945</v>
      </c>
      <c r="H1822">
        <v>519</v>
      </c>
      <c r="I1822" s="1">
        <v>1299</v>
      </c>
      <c r="J1822" s="1" t="s">
        <v>55</v>
      </c>
      <c r="K1822" s="1" t="s">
        <v>26</v>
      </c>
      <c r="L1822" s="1">
        <v>4.2</v>
      </c>
      <c r="M1822" s="1">
        <v>719</v>
      </c>
      <c r="P1822" t="str">
        <f t="shared" si="115"/>
        <v>60%</v>
      </c>
      <c r="Q1822" s="12">
        <f t="shared" si="112"/>
        <v>0.6</v>
      </c>
      <c r="R1822" s="9">
        <f t="shared" si="113"/>
        <v>519.6</v>
      </c>
      <c r="S1822" s="9">
        <f>IF(R1822="",AVERAGEIF(Table1[Category],Table1[[#This Row],[Category]],Table2[orignal data]),Table2[[#This Row],[orignal data]])</f>
        <v>519.6</v>
      </c>
      <c r="T1822" t="str">
        <f t="shared" si="114"/>
        <v>UNIQUE</v>
      </c>
      <c r="U1822" t="str">
        <f>IF(ISBLANK(Table1[[#This Row],[SizeOption]]),"NOT AVAILABLE",Table1[[#This Row],[SizeOption]])</f>
        <v>S, M, L, XL</v>
      </c>
      <c r="Y1822" t="str">
        <f>IF(Table2[[#This Row],[Column1]]&gt;50%,"HIGH DISCOUNT","LOW DISCOUNT")</f>
        <v>HIGH DISCOUNT</v>
      </c>
    </row>
    <row r="1823" spans="1:25" x14ac:dyDescent="0.25">
      <c r="A1823" s="2" t="s">
        <v>3946</v>
      </c>
      <c r="B1823" s="2">
        <v>11076732</v>
      </c>
      <c r="C1823" s="2" t="s">
        <v>1375</v>
      </c>
      <c r="D1823" s="2" t="s">
        <v>76</v>
      </c>
      <c r="E1823" s="2" t="s">
        <v>320</v>
      </c>
      <c r="F1823" s="2" t="s">
        <v>36</v>
      </c>
      <c r="G1823" s="2" t="s">
        <v>3947</v>
      </c>
      <c r="H1823">
        <v>1319</v>
      </c>
      <c r="I1823" s="2">
        <v>5999</v>
      </c>
      <c r="J1823" s="2" t="s">
        <v>1469</v>
      </c>
      <c r="K1823" s="2" t="s">
        <v>164</v>
      </c>
      <c r="L1823" s="2">
        <v>4.0999999999999996</v>
      </c>
      <c r="M1823" s="2">
        <v>719</v>
      </c>
      <c r="P1823" t="str">
        <f t="shared" si="115"/>
        <v>78%</v>
      </c>
      <c r="Q1823" s="12">
        <f t="shared" si="112"/>
        <v>0.78</v>
      </c>
      <c r="R1823" s="9">
        <f t="shared" si="113"/>
        <v>1319.7799999999997</v>
      </c>
      <c r="S1823" s="9">
        <f>IF(R1823="",AVERAGEIF(Table1[Category],Table1[[#This Row],[Category]],Table2[orignal data]),Table2[[#This Row],[orignal data]])</f>
        <v>1319.7799999999997</v>
      </c>
      <c r="T1823" t="str">
        <f t="shared" si="114"/>
        <v>UNIQUE</v>
      </c>
      <c r="U1823" t="str">
        <f>IF(ISBLANK(Table1[[#This Row],[SizeOption]]),"NOT AVAILABLE",Table1[[#This Row],[SizeOption]])</f>
        <v>Onesize</v>
      </c>
      <c r="Y1823" t="str">
        <f>IF(Table2[[#This Row],[Column1]]&gt;50%,"HIGH DISCOUNT","LOW DISCOUNT")</f>
        <v>HIGH DISCOUNT</v>
      </c>
    </row>
    <row r="1824" spans="1:25" x14ac:dyDescent="0.25">
      <c r="A1824" s="1" t="s">
        <v>3948</v>
      </c>
      <c r="B1824" s="1">
        <v>12124942</v>
      </c>
      <c r="C1824" s="1" t="s">
        <v>1555</v>
      </c>
      <c r="D1824" s="1" t="s">
        <v>76</v>
      </c>
      <c r="E1824" s="1" t="s">
        <v>365</v>
      </c>
      <c r="F1824" s="1" t="s">
        <v>36</v>
      </c>
      <c r="G1824" s="1" t="s">
        <v>3949</v>
      </c>
      <c r="H1824">
        <v>549</v>
      </c>
      <c r="I1824" s="1">
        <v>999</v>
      </c>
      <c r="J1824" s="1" t="s">
        <v>19</v>
      </c>
      <c r="K1824" s="1" t="s">
        <v>1558</v>
      </c>
      <c r="L1824" s="1">
        <v>4.4000000000000004</v>
      </c>
      <c r="M1824" s="1">
        <v>719</v>
      </c>
      <c r="P1824" t="str">
        <f t="shared" si="115"/>
        <v>45%</v>
      </c>
      <c r="Q1824" s="12">
        <f t="shared" si="112"/>
        <v>0.45</v>
      </c>
      <c r="R1824" s="9">
        <f t="shared" si="113"/>
        <v>549.45000000000005</v>
      </c>
      <c r="S1824" s="9">
        <f>IF(R1824="",AVERAGEIF(Table1[Category],Table1[[#This Row],[Category]],Table2[orignal data]),Table2[[#This Row],[orignal data]])</f>
        <v>549.45000000000005</v>
      </c>
      <c r="T1824" t="str">
        <f t="shared" si="114"/>
        <v>UNIQUE</v>
      </c>
      <c r="U1824" t="str">
        <f>IF(ISBLANK(Table1[[#This Row],[SizeOption]]),"NOT AVAILABLE",Table1[[#This Row],[SizeOption]])</f>
        <v>XS, S, M, L, XL, XXL, 3XL, 4XL, 5XL, 6XL, 7XL, 8XL</v>
      </c>
      <c r="Y1824" t="str">
        <f>IF(Table2[[#This Row],[Column1]]&gt;50%,"HIGH DISCOUNT","LOW DISCOUNT")</f>
        <v>LOW DISCOUNT</v>
      </c>
    </row>
    <row r="1825" spans="1:25" x14ac:dyDescent="0.25">
      <c r="A1825" s="2" t="s">
        <v>3950</v>
      </c>
      <c r="B1825" s="2">
        <v>11245670</v>
      </c>
      <c r="C1825" s="2" t="s">
        <v>67</v>
      </c>
      <c r="D1825" s="2" t="s">
        <v>34</v>
      </c>
      <c r="E1825" s="2" t="s">
        <v>118</v>
      </c>
      <c r="F1825" s="2" t="s">
        <v>36</v>
      </c>
      <c r="G1825" s="2" t="s">
        <v>3951</v>
      </c>
      <c r="H1825">
        <v>524</v>
      </c>
      <c r="I1825" s="2">
        <v>1499</v>
      </c>
      <c r="J1825" s="2" t="s">
        <v>150</v>
      </c>
      <c r="K1825" s="2" t="s">
        <v>45</v>
      </c>
      <c r="L1825" s="2">
        <v>4.4000000000000004</v>
      </c>
      <c r="M1825" s="2">
        <v>719</v>
      </c>
      <c r="P1825" t="str">
        <f t="shared" si="115"/>
        <v>65%</v>
      </c>
      <c r="Q1825" s="12">
        <f t="shared" si="112"/>
        <v>0.65</v>
      </c>
      <c r="R1825" s="9">
        <f t="shared" si="113"/>
        <v>524.65</v>
      </c>
      <c r="S1825" s="9">
        <f>IF(R1825="",AVERAGEIF(Table1[Category],Table1[[#This Row],[Category]],Table2[orignal data]),Table2[[#This Row],[orignal data]])</f>
        <v>524.65</v>
      </c>
      <c r="T1825" t="str">
        <f t="shared" si="114"/>
        <v>UNIQUE</v>
      </c>
      <c r="U1825" t="str">
        <f>IF(ISBLANK(Table1[[#This Row],[SizeOption]]),"NOT AVAILABLE",Table1[[#This Row],[SizeOption]])</f>
        <v>XS, S, M, L, XL</v>
      </c>
      <c r="Y1825" t="str">
        <f>IF(Table2[[#This Row],[Column1]]&gt;50%,"HIGH DISCOUNT","LOW DISCOUNT")</f>
        <v>HIGH DISCOUNT</v>
      </c>
    </row>
    <row r="1826" spans="1:25" x14ac:dyDescent="0.25">
      <c r="A1826" s="1" t="s">
        <v>3952</v>
      </c>
      <c r="B1826" s="1">
        <v>8999489</v>
      </c>
      <c r="C1826" s="1" t="s">
        <v>3150</v>
      </c>
      <c r="D1826" s="1" t="s">
        <v>41</v>
      </c>
      <c r="E1826" s="1" t="s">
        <v>53</v>
      </c>
      <c r="F1826" s="1" t="s">
        <v>36</v>
      </c>
      <c r="G1826" s="1" t="s">
        <v>3953</v>
      </c>
      <c r="I1826" s="1">
        <v>1199</v>
      </c>
      <c r="J1826" s="1" t="s">
        <v>19</v>
      </c>
      <c r="K1826" s="1" t="s">
        <v>134</v>
      </c>
      <c r="L1826" s="1">
        <v>3.8</v>
      </c>
      <c r="M1826" s="1">
        <v>719</v>
      </c>
      <c r="P1826" t="str">
        <f t="shared" si="115"/>
        <v>45%</v>
      </c>
      <c r="Q1826" s="12">
        <f t="shared" si="112"/>
        <v>0.45</v>
      </c>
      <c r="R1826" s="9">
        <f t="shared" si="113"/>
        <v>659.44999999999993</v>
      </c>
      <c r="S1826" s="9">
        <f>IF(R1826="",AVERAGEIF(Table1[Category],Table1[[#This Row],[Category]],Table2[orignal data]),Table2[[#This Row],[orignal data]])</f>
        <v>659.44999999999993</v>
      </c>
      <c r="T1826" t="str">
        <f t="shared" si="114"/>
        <v>UNIQUE</v>
      </c>
      <c r="U1826" t="str">
        <f>IF(ISBLANK(Table1[[#This Row],[SizeOption]]),"NOT AVAILABLE",Table1[[#This Row],[SizeOption]])</f>
        <v>26, 28, 30, 32, 34, 36</v>
      </c>
      <c r="Y1826" t="str">
        <f>IF(Table2[[#This Row],[Column1]]&gt;50%,"HIGH DISCOUNT","LOW DISCOUNT")</f>
        <v>LOW DISCOUNT</v>
      </c>
    </row>
    <row r="1827" spans="1:25" x14ac:dyDescent="0.25">
      <c r="A1827" s="2" t="s">
        <v>3954</v>
      </c>
      <c r="B1827" s="2">
        <v>4369826</v>
      </c>
      <c r="C1827" s="2" t="s">
        <v>3955</v>
      </c>
      <c r="D1827" s="2" t="s">
        <v>41</v>
      </c>
      <c r="E1827" s="2" t="s">
        <v>48</v>
      </c>
      <c r="F1827" s="2" t="s">
        <v>36</v>
      </c>
      <c r="G1827" s="2" t="s">
        <v>3956</v>
      </c>
      <c r="I1827" s="2">
        <v>1199</v>
      </c>
      <c r="J1827" s="2" t="s">
        <v>25</v>
      </c>
      <c r="K1827" s="2" t="s">
        <v>39</v>
      </c>
      <c r="L1827" s="2">
        <v>4.2</v>
      </c>
      <c r="M1827" s="2">
        <v>719</v>
      </c>
      <c r="P1827" t="str">
        <f t="shared" si="115"/>
        <v>55%</v>
      </c>
      <c r="Q1827" s="12">
        <f t="shared" si="112"/>
        <v>0.55000000000000004</v>
      </c>
      <c r="R1827" s="9">
        <f t="shared" si="113"/>
        <v>539.54999999999995</v>
      </c>
      <c r="S1827" s="9">
        <f>IF(R1827="",AVERAGEIF(Table1[Category],Table1[[#This Row],[Category]],Table2[orignal data]),Table2[[#This Row],[orignal data]])</f>
        <v>539.54999999999995</v>
      </c>
      <c r="T1827" t="str">
        <f t="shared" si="114"/>
        <v>UNIQUE</v>
      </c>
      <c r="U1827" t="str">
        <f>IF(ISBLANK(Table1[[#This Row],[SizeOption]]),"NOT AVAILABLE",Table1[[#This Row],[SizeOption]])</f>
        <v>S, M, L, XL, XXL</v>
      </c>
      <c r="Y1827" t="str">
        <f>IF(Table2[[#This Row],[Column1]]&gt;50%,"HIGH DISCOUNT","LOW DISCOUNT")</f>
        <v>HIGH DISCOUNT</v>
      </c>
    </row>
    <row r="1828" spans="1:25" x14ac:dyDescent="0.25">
      <c r="A1828" s="1" t="s">
        <v>3957</v>
      </c>
      <c r="B1828" s="1">
        <v>6011860</v>
      </c>
      <c r="C1828" s="1" t="s">
        <v>14</v>
      </c>
      <c r="D1828" s="1" t="s">
        <v>41</v>
      </c>
      <c r="E1828" s="1" t="s">
        <v>306</v>
      </c>
      <c r="F1828" s="1" t="s">
        <v>36</v>
      </c>
      <c r="G1828" s="1" t="s">
        <v>1524</v>
      </c>
      <c r="I1828" s="1">
        <v>1399</v>
      </c>
      <c r="J1828" s="1" t="s">
        <v>150</v>
      </c>
      <c r="K1828" s="1" t="s">
        <v>115</v>
      </c>
      <c r="L1828" s="1">
        <v>4.4000000000000004</v>
      </c>
      <c r="M1828" s="1">
        <v>719</v>
      </c>
      <c r="P1828" t="str">
        <f t="shared" si="115"/>
        <v>65%</v>
      </c>
      <c r="Q1828" s="12">
        <f t="shared" si="112"/>
        <v>0.65</v>
      </c>
      <c r="R1828" s="9">
        <f t="shared" si="113"/>
        <v>489.65</v>
      </c>
      <c r="S1828" s="9">
        <f>IF(R1828="",AVERAGEIF(Table1[Category],Table1[[#This Row],[Category]],Table2[orignal data]),Table2[[#This Row],[orignal data]])</f>
        <v>489.65</v>
      </c>
      <c r="T1828" t="str">
        <f t="shared" si="114"/>
        <v>UNIQUE</v>
      </c>
      <c r="U1828" t="str">
        <f>IF(ISBLANK(Table1[[#This Row],[SizeOption]]),"NOT AVAILABLE",Table1[[#This Row],[SizeOption]])</f>
        <v>XS, S, M, L, XL, XXL</v>
      </c>
      <c r="Y1828" t="str">
        <f>IF(Table2[[#This Row],[Column1]]&gt;50%,"HIGH DISCOUNT","LOW DISCOUNT")</f>
        <v>HIGH DISCOUNT</v>
      </c>
    </row>
    <row r="1829" spans="1:25" x14ac:dyDescent="0.25">
      <c r="A1829" s="2" t="s">
        <v>3958</v>
      </c>
      <c r="B1829" s="2">
        <v>17383496</v>
      </c>
      <c r="C1829" s="2" t="s">
        <v>14</v>
      </c>
      <c r="D1829" s="2" t="s">
        <v>41</v>
      </c>
      <c r="E1829" s="2" t="s">
        <v>42</v>
      </c>
      <c r="F1829" s="2" t="s">
        <v>36</v>
      </c>
      <c r="G1829" s="2" t="s">
        <v>3959</v>
      </c>
      <c r="I1829" s="2">
        <v>1598</v>
      </c>
      <c r="J1829" s="2" t="s">
        <v>84</v>
      </c>
      <c r="K1829" s="2" t="s">
        <v>146</v>
      </c>
      <c r="L1829" s="2">
        <v>4.4000000000000004</v>
      </c>
      <c r="M1829" s="2">
        <v>719</v>
      </c>
      <c r="P1829" t="str">
        <f t="shared" si="115"/>
        <v>50%</v>
      </c>
      <c r="Q1829" s="12">
        <f t="shared" si="112"/>
        <v>0.5</v>
      </c>
      <c r="R1829" s="9">
        <f t="shared" si="113"/>
        <v>799</v>
      </c>
      <c r="S1829" s="9">
        <f>IF(R1829="",AVERAGEIF(Table1[Category],Table1[[#This Row],[Category]],Table2[orignal data]),Table2[[#This Row],[orignal data]])</f>
        <v>799</v>
      </c>
      <c r="T1829" t="str">
        <f t="shared" si="114"/>
        <v>UNIQUE</v>
      </c>
      <c r="U1829" t="str">
        <f>IF(ISBLANK(Table1[[#This Row],[SizeOption]]),"NOT AVAILABLE",Table1[[#This Row],[SizeOption]])</f>
        <v>L, M, S, XS, XL</v>
      </c>
      <c r="Y1829" t="str">
        <f>IF(Table2[[#This Row],[Column1]]&gt;50%,"HIGH DISCOUNT","LOW DISCOUNT")</f>
        <v>LOW DISCOUNT</v>
      </c>
    </row>
    <row r="1830" spans="1:25" x14ac:dyDescent="0.25">
      <c r="A1830" s="1" t="s">
        <v>3960</v>
      </c>
      <c r="B1830" s="1">
        <v>10753700</v>
      </c>
      <c r="C1830" s="1" t="s">
        <v>81</v>
      </c>
      <c r="D1830" s="1" t="s">
        <v>41</v>
      </c>
      <c r="E1830" s="1" t="s">
        <v>818</v>
      </c>
      <c r="F1830" s="1" t="s">
        <v>36</v>
      </c>
      <c r="G1830" s="1" t="s">
        <v>3961</v>
      </c>
      <c r="I1830" s="1">
        <v>1995</v>
      </c>
      <c r="J1830" s="1" t="s">
        <v>1109</v>
      </c>
      <c r="K1830" s="1" t="s">
        <v>115</v>
      </c>
      <c r="L1830" s="1">
        <v>4</v>
      </c>
      <c r="M1830" s="1">
        <v>719</v>
      </c>
      <c r="P1830" t="str">
        <f t="shared" si="115"/>
        <v>41%</v>
      </c>
      <c r="Q1830" s="12">
        <f t="shared" si="112"/>
        <v>0.41</v>
      </c>
      <c r="R1830" s="9">
        <f t="shared" si="113"/>
        <v>1177.0500000000002</v>
      </c>
      <c r="S1830" s="9">
        <f>IF(R1830="",AVERAGEIF(Table1[Category],Table1[[#This Row],[Category]],Table2[orignal data]),Table2[[#This Row],[orignal data]])</f>
        <v>1177.0500000000002</v>
      </c>
      <c r="T1830" t="str">
        <f t="shared" si="114"/>
        <v>UNIQUE</v>
      </c>
      <c r="U1830" t="str">
        <f>IF(ISBLANK(Table1[[#This Row],[SizeOption]]),"NOT AVAILABLE",Table1[[#This Row],[SizeOption]])</f>
        <v>XS, S, M, L, XL, XXL</v>
      </c>
      <c r="Y1830" t="str">
        <f>IF(Table2[[#This Row],[Column1]]&gt;50%,"HIGH DISCOUNT","LOW DISCOUNT")</f>
        <v>LOW DISCOUNT</v>
      </c>
    </row>
    <row r="1831" spans="1:25" x14ac:dyDescent="0.25">
      <c r="A1831" s="2" t="s">
        <v>3962</v>
      </c>
      <c r="B1831" s="2">
        <v>2224788</v>
      </c>
      <c r="C1831" s="2" t="s">
        <v>47</v>
      </c>
      <c r="D1831" s="2" t="s">
        <v>41</v>
      </c>
      <c r="E1831" s="2" t="s">
        <v>42</v>
      </c>
      <c r="F1831" s="2" t="s">
        <v>36</v>
      </c>
      <c r="G1831" s="2" t="s">
        <v>3963</v>
      </c>
      <c r="I1831" s="2">
        <v>699</v>
      </c>
      <c r="J1831" s="2" t="s">
        <v>84</v>
      </c>
      <c r="K1831" s="2" t="s">
        <v>45</v>
      </c>
      <c r="L1831" s="2">
        <v>4.0999999999999996</v>
      </c>
      <c r="M1831" s="2">
        <v>719</v>
      </c>
      <c r="P1831" t="str">
        <f t="shared" si="115"/>
        <v>50%</v>
      </c>
      <c r="Q1831" s="12">
        <f t="shared" si="112"/>
        <v>0.5</v>
      </c>
      <c r="R1831" s="9">
        <f t="shared" si="113"/>
        <v>349.5</v>
      </c>
      <c r="S1831" s="9">
        <f>IF(R1831="",AVERAGEIF(Table1[Category],Table1[[#This Row],[Category]],Table2[orignal data]),Table2[[#This Row],[orignal data]])</f>
        <v>349.5</v>
      </c>
      <c r="T1831" t="str">
        <f t="shared" si="114"/>
        <v>UNIQUE</v>
      </c>
      <c r="U1831" t="str">
        <f>IF(ISBLANK(Table1[[#This Row],[SizeOption]]),"NOT AVAILABLE",Table1[[#This Row],[SizeOption]])</f>
        <v>XS, S, M, L, XL</v>
      </c>
      <c r="Y1831" t="str">
        <f>IF(Table2[[#This Row],[Column1]]&gt;50%,"HIGH DISCOUNT","LOW DISCOUNT")</f>
        <v>LOW DISCOUNT</v>
      </c>
    </row>
    <row r="1832" spans="1:25" x14ac:dyDescent="0.25">
      <c r="A1832" s="1" t="s">
        <v>3964</v>
      </c>
      <c r="B1832" s="1">
        <v>17525214</v>
      </c>
      <c r="C1832" s="1" t="s">
        <v>47</v>
      </c>
      <c r="D1832" s="1" t="s">
        <v>41</v>
      </c>
      <c r="E1832" s="1" t="s">
        <v>42</v>
      </c>
      <c r="F1832" s="1" t="s">
        <v>36</v>
      </c>
      <c r="G1832" s="1" t="s">
        <v>1220</v>
      </c>
      <c r="I1832" s="1">
        <v>1548</v>
      </c>
      <c r="J1832" s="1"/>
      <c r="K1832" s="1" t="s">
        <v>3215</v>
      </c>
      <c r="L1832" s="1">
        <v>4.2</v>
      </c>
      <c r="M1832" s="1">
        <v>719</v>
      </c>
      <c r="P1832" t="str">
        <f t="shared" si="115"/>
        <v/>
      </c>
      <c r="Q1832" s="12" t="str">
        <f t="shared" si="112"/>
        <v/>
      </c>
      <c r="R1832" s="9" t="str">
        <f t="shared" si="113"/>
        <v/>
      </c>
      <c r="S1832" s="9">
        <f>IF(R1832="",AVERAGEIF(Table1[Category],Table1[[#This Row],[Category]],Table2[orignal data]),Table2[[#This Row],[orignal data]])</f>
        <v>715.78890751086249</v>
      </c>
      <c r="T1832" t="str">
        <f t="shared" si="114"/>
        <v>UNIQUE</v>
      </c>
      <c r="U1832" t="str">
        <f>IF(ISBLANK(Table1[[#This Row],[SizeOption]]),"NOT AVAILABLE",Table1[[#This Row],[SizeOption]])</f>
        <v>XS, XL, L, M, S</v>
      </c>
      <c r="Y1832" t="str">
        <f>IF(Table2[[#This Row],[Column1]]&gt;50%,"HIGH DISCOUNT","LOW DISCOUNT")</f>
        <v>HIGH DISCOUNT</v>
      </c>
    </row>
    <row r="1833" spans="1:25" x14ac:dyDescent="0.25">
      <c r="A1833" s="2" t="s">
        <v>3965</v>
      </c>
      <c r="B1833" s="2">
        <v>10354553</v>
      </c>
      <c r="C1833" s="2" t="s">
        <v>113</v>
      </c>
      <c r="D1833" s="2" t="s">
        <v>76</v>
      </c>
      <c r="E1833" s="2" t="s">
        <v>77</v>
      </c>
      <c r="F1833" s="2" t="s">
        <v>17</v>
      </c>
      <c r="G1833" s="2" t="s">
        <v>3966</v>
      </c>
      <c r="H1833">
        <v>1159</v>
      </c>
      <c r="I1833" s="2">
        <v>2899</v>
      </c>
      <c r="J1833" s="2" t="s">
        <v>55</v>
      </c>
      <c r="K1833" s="2" t="s">
        <v>39</v>
      </c>
      <c r="L1833" s="2">
        <v>4.2</v>
      </c>
      <c r="M1833" s="2">
        <v>718</v>
      </c>
      <c r="P1833" t="str">
        <f t="shared" si="115"/>
        <v>60%</v>
      </c>
      <c r="Q1833" s="12">
        <f t="shared" si="112"/>
        <v>0.6</v>
      </c>
      <c r="R1833" s="9">
        <f t="shared" si="113"/>
        <v>1159.6000000000001</v>
      </c>
      <c r="S1833" s="9">
        <f>IF(R1833="",AVERAGEIF(Table1[Category],Table1[[#This Row],[Category]],Table2[orignal data]),Table2[[#This Row],[orignal data]])</f>
        <v>1159.6000000000001</v>
      </c>
      <c r="T1833" t="str">
        <f t="shared" si="114"/>
        <v>UNIQUE</v>
      </c>
      <c r="U1833" t="str">
        <f>IF(ISBLANK(Table1[[#This Row],[SizeOption]]),"NOT AVAILABLE",Table1[[#This Row],[SizeOption]])</f>
        <v>S, M, L, XL, XXL</v>
      </c>
      <c r="Y1833" t="str">
        <f>IF(Table2[[#This Row],[Column1]]&gt;50%,"HIGH DISCOUNT","LOW DISCOUNT")</f>
        <v>HIGH DISCOUNT</v>
      </c>
    </row>
    <row r="1834" spans="1:25" x14ac:dyDescent="0.25">
      <c r="A1834" s="1" t="s">
        <v>3967</v>
      </c>
      <c r="B1834" s="1">
        <v>11863532</v>
      </c>
      <c r="C1834" s="1" t="s">
        <v>349</v>
      </c>
      <c r="D1834" s="1" t="s">
        <v>197</v>
      </c>
      <c r="E1834" s="1" t="s">
        <v>350</v>
      </c>
      <c r="F1834" s="1" t="s">
        <v>17</v>
      </c>
      <c r="G1834" s="1" t="s">
        <v>3968</v>
      </c>
      <c r="I1834" s="1">
        <v>478</v>
      </c>
      <c r="J1834" s="1"/>
      <c r="K1834" s="1" t="s">
        <v>352</v>
      </c>
      <c r="L1834" s="1">
        <v>4.4000000000000004</v>
      </c>
      <c r="M1834" s="1">
        <v>718</v>
      </c>
      <c r="P1834" t="str">
        <f t="shared" si="115"/>
        <v/>
      </c>
      <c r="Q1834" s="12" t="str">
        <f t="shared" si="112"/>
        <v/>
      </c>
      <c r="R1834" s="9" t="str">
        <f t="shared" si="113"/>
        <v/>
      </c>
      <c r="S1834" s="9">
        <f>IF(R1834="",AVERAGEIF(Table1[Category],Table1[[#This Row],[Category]],Table2[orignal data]),Table2[[#This Row],[orignal data]])</f>
        <v>552.70900000000006</v>
      </c>
      <c r="T1834" t="str">
        <f t="shared" si="114"/>
        <v>UNIQUE</v>
      </c>
      <c r="U1834" t="str">
        <f>IF(ISBLANK(Table1[[#This Row],[SizeOption]]),"NOT AVAILABLE",Table1[[#This Row],[SizeOption]])</f>
        <v>S, M, L</v>
      </c>
      <c r="Y1834" t="str">
        <f>IF(Table2[[#This Row],[Column1]]&gt;50%,"HIGH DISCOUNT","LOW DISCOUNT")</f>
        <v>HIGH DISCOUNT</v>
      </c>
    </row>
    <row r="1835" spans="1:25" x14ac:dyDescent="0.25">
      <c r="A1835" s="2" t="s">
        <v>3969</v>
      </c>
      <c r="B1835" s="2">
        <v>8897767</v>
      </c>
      <c r="C1835" s="2" t="s">
        <v>67</v>
      </c>
      <c r="D1835" s="2" t="s">
        <v>28</v>
      </c>
      <c r="E1835" s="2" t="s">
        <v>42</v>
      </c>
      <c r="F1835" s="2" t="s">
        <v>17</v>
      </c>
      <c r="G1835" s="2" t="s">
        <v>3970</v>
      </c>
      <c r="H1835">
        <v>499</v>
      </c>
      <c r="I1835" s="2">
        <v>999</v>
      </c>
      <c r="J1835" s="2" t="s">
        <v>84</v>
      </c>
      <c r="K1835" s="2" t="s">
        <v>39</v>
      </c>
      <c r="L1835" s="2">
        <v>4.0999999999999996</v>
      </c>
      <c r="M1835" s="2">
        <v>718</v>
      </c>
      <c r="P1835" t="str">
        <f t="shared" si="115"/>
        <v>50%</v>
      </c>
      <c r="Q1835" s="12">
        <f t="shared" si="112"/>
        <v>0.5</v>
      </c>
      <c r="R1835" s="9">
        <f t="shared" si="113"/>
        <v>499.5</v>
      </c>
      <c r="S1835" s="9">
        <f>IF(R1835="",AVERAGEIF(Table1[Category],Table1[[#This Row],[Category]],Table2[orignal data]),Table2[[#This Row],[orignal data]])</f>
        <v>499.5</v>
      </c>
      <c r="T1835" t="str">
        <f t="shared" si="114"/>
        <v>UNIQUE</v>
      </c>
      <c r="U1835" t="str">
        <f>IF(ISBLANK(Table1[[#This Row],[SizeOption]]),"NOT AVAILABLE",Table1[[#This Row],[SizeOption]])</f>
        <v>S, M, L, XL, XXL</v>
      </c>
      <c r="Y1835" t="str">
        <f>IF(Table2[[#This Row],[Column1]]&gt;50%,"HIGH DISCOUNT","LOW DISCOUNT")</f>
        <v>LOW DISCOUNT</v>
      </c>
    </row>
    <row r="1836" spans="1:25" x14ac:dyDescent="0.25">
      <c r="A1836" s="1" t="s">
        <v>3971</v>
      </c>
      <c r="B1836" s="1">
        <v>12134762</v>
      </c>
      <c r="C1836" s="1" t="s">
        <v>113</v>
      </c>
      <c r="D1836" s="1" t="s">
        <v>76</v>
      </c>
      <c r="E1836" s="1" t="s">
        <v>77</v>
      </c>
      <c r="F1836" s="1" t="s">
        <v>36</v>
      </c>
      <c r="G1836" s="1" t="s">
        <v>3972</v>
      </c>
      <c r="H1836">
        <v>1199</v>
      </c>
      <c r="I1836" s="1">
        <v>2399</v>
      </c>
      <c r="J1836" s="1" t="s">
        <v>84</v>
      </c>
      <c r="K1836" s="1" t="s">
        <v>115</v>
      </c>
      <c r="L1836" s="1">
        <v>4.4000000000000004</v>
      </c>
      <c r="M1836" s="1">
        <v>718</v>
      </c>
      <c r="P1836" t="str">
        <f t="shared" si="115"/>
        <v>50%</v>
      </c>
      <c r="Q1836" s="12">
        <f t="shared" si="112"/>
        <v>0.5</v>
      </c>
      <c r="R1836" s="9">
        <f t="shared" si="113"/>
        <v>1199.5</v>
      </c>
      <c r="S1836" s="9">
        <f>IF(R1836="",AVERAGEIF(Table1[Category],Table1[[#This Row],[Category]],Table2[orignal data]),Table2[[#This Row],[orignal data]])</f>
        <v>1199.5</v>
      </c>
      <c r="T1836" t="str">
        <f t="shared" si="114"/>
        <v>UNIQUE</v>
      </c>
      <c r="U1836" t="str">
        <f>IF(ISBLANK(Table1[[#This Row],[SizeOption]]),"NOT AVAILABLE",Table1[[#This Row],[SizeOption]])</f>
        <v>XS, S, M, L, XL, XXL</v>
      </c>
      <c r="Y1836" t="str">
        <f>IF(Table2[[#This Row],[Column1]]&gt;50%,"HIGH DISCOUNT","LOW DISCOUNT")</f>
        <v>LOW DISCOUNT</v>
      </c>
    </row>
    <row r="1837" spans="1:25" x14ac:dyDescent="0.25">
      <c r="A1837" s="2" t="s">
        <v>3973</v>
      </c>
      <c r="B1837" s="2">
        <v>14399812</v>
      </c>
      <c r="C1837" s="2" t="s">
        <v>113</v>
      </c>
      <c r="D1837" s="2" t="s">
        <v>76</v>
      </c>
      <c r="E1837" s="2" t="s">
        <v>77</v>
      </c>
      <c r="F1837" s="2" t="s">
        <v>36</v>
      </c>
      <c r="G1837" s="2" t="s">
        <v>3974</v>
      </c>
      <c r="H1837">
        <v>1709</v>
      </c>
      <c r="I1837" s="2">
        <v>3799</v>
      </c>
      <c r="J1837" s="2" t="s">
        <v>25</v>
      </c>
      <c r="K1837" s="2" t="s">
        <v>115</v>
      </c>
      <c r="L1837" s="2">
        <v>4.2</v>
      </c>
      <c r="M1837" s="2">
        <v>718</v>
      </c>
      <c r="P1837" t="str">
        <f t="shared" si="115"/>
        <v>55%</v>
      </c>
      <c r="Q1837" s="12">
        <f t="shared" si="112"/>
        <v>0.55000000000000004</v>
      </c>
      <c r="R1837" s="9">
        <f t="shared" si="113"/>
        <v>1709.5499999999997</v>
      </c>
      <c r="S1837" s="9">
        <f>IF(R1837="",AVERAGEIF(Table1[Category],Table1[[#This Row],[Category]],Table2[orignal data]),Table2[[#This Row],[orignal data]])</f>
        <v>1709.5499999999997</v>
      </c>
      <c r="T1837" t="str">
        <f t="shared" si="114"/>
        <v>UNIQUE</v>
      </c>
      <c r="U1837" t="str">
        <f>IF(ISBLANK(Table1[[#This Row],[SizeOption]]),"NOT AVAILABLE",Table1[[#This Row],[SizeOption]])</f>
        <v>XS, S, M, L, XL, XXL</v>
      </c>
      <c r="Y1837" t="str">
        <f>IF(Table2[[#This Row],[Column1]]&gt;50%,"HIGH DISCOUNT","LOW DISCOUNT")</f>
        <v>HIGH DISCOUNT</v>
      </c>
    </row>
    <row r="1838" spans="1:25" x14ac:dyDescent="0.25">
      <c r="A1838" s="1" t="s">
        <v>3975</v>
      </c>
      <c r="B1838" s="1">
        <v>11683428</v>
      </c>
      <c r="C1838" s="1" t="s">
        <v>420</v>
      </c>
      <c r="D1838" s="1" t="s">
        <v>41</v>
      </c>
      <c r="E1838" s="1" t="s">
        <v>48</v>
      </c>
      <c r="F1838" s="1" t="s">
        <v>36</v>
      </c>
      <c r="G1838" s="1" t="s">
        <v>3976</v>
      </c>
      <c r="I1838" s="1">
        <v>799</v>
      </c>
      <c r="J1838" s="1" t="s">
        <v>84</v>
      </c>
      <c r="K1838" s="1" t="s">
        <v>26</v>
      </c>
      <c r="L1838" s="1">
        <v>4</v>
      </c>
      <c r="M1838" s="1">
        <v>718</v>
      </c>
      <c r="P1838" t="str">
        <f t="shared" si="115"/>
        <v>50%</v>
      </c>
      <c r="Q1838" s="12">
        <f t="shared" si="112"/>
        <v>0.5</v>
      </c>
      <c r="R1838" s="9">
        <f t="shared" si="113"/>
        <v>399.5</v>
      </c>
      <c r="S1838" s="9">
        <f>IF(R1838="",AVERAGEIF(Table1[Category],Table1[[#This Row],[Category]],Table2[orignal data]),Table2[[#This Row],[orignal data]])</f>
        <v>399.5</v>
      </c>
      <c r="T1838" t="str">
        <f t="shared" si="114"/>
        <v>UNIQUE</v>
      </c>
      <c r="U1838" t="str">
        <f>IF(ISBLANK(Table1[[#This Row],[SizeOption]]),"NOT AVAILABLE",Table1[[#This Row],[SizeOption]])</f>
        <v>S, M, L, XL</v>
      </c>
      <c r="Y1838" t="str">
        <f>IF(Table2[[#This Row],[Column1]]&gt;50%,"HIGH DISCOUNT","LOW DISCOUNT")</f>
        <v>LOW DISCOUNT</v>
      </c>
    </row>
    <row r="1839" spans="1:25" x14ac:dyDescent="0.25">
      <c r="A1839" s="2" t="s">
        <v>3977</v>
      </c>
      <c r="B1839" s="2">
        <v>13842336</v>
      </c>
      <c r="C1839" s="2" t="s">
        <v>52</v>
      </c>
      <c r="D1839" s="2" t="s">
        <v>15</v>
      </c>
      <c r="E1839" s="2" t="s">
        <v>23</v>
      </c>
      <c r="F1839" s="2" t="s">
        <v>17</v>
      </c>
      <c r="G1839" s="2" t="s">
        <v>813</v>
      </c>
      <c r="H1839">
        <v>540</v>
      </c>
      <c r="I1839" s="2">
        <v>949</v>
      </c>
      <c r="J1839" s="2" t="s">
        <v>509</v>
      </c>
      <c r="K1839" s="2" t="s">
        <v>26</v>
      </c>
      <c r="L1839" s="2">
        <v>4.3</v>
      </c>
      <c r="M1839" s="2">
        <v>717</v>
      </c>
      <c r="P1839" t="str">
        <f t="shared" si="115"/>
        <v>43%</v>
      </c>
      <c r="Q1839" s="12">
        <f t="shared" si="112"/>
        <v>0.43</v>
      </c>
      <c r="R1839" s="9">
        <f t="shared" si="113"/>
        <v>540.93000000000006</v>
      </c>
      <c r="S1839" s="9">
        <f>IF(R1839="",AVERAGEIF(Table1[Category],Table1[[#This Row],[Category]],Table2[orignal data]),Table2[[#This Row],[orignal data]])</f>
        <v>540.93000000000006</v>
      </c>
      <c r="T1839" t="str">
        <f t="shared" si="114"/>
        <v>UNIQUE</v>
      </c>
      <c r="U1839" t="str">
        <f>IF(ISBLANK(Table1[[#This Row],[SizeOption]]),"NOT AVAILABLE",Table1[[#This Row],[SizeOption]])</f>
        <v>S, M, L, XL</v>
      </c>
      <c r="Y1839" t="str">
        <f>IF(Table2[[#This Row],[Column1]]&gt;50%,"HIGH DISCOUNT","LOW DISCOUNT")</f>
        <v>LOW DISCOUNT</v>
      </c>
    </row>
    <row r="1840" spans="1:25" x14ac:dyDescent="0.25">
      <c r="A1840" s="1" t="s">
        <v>3978</v>
      </c>
      <c r="B1840" s="1">
        <v>12086000</v>
      </c>
      <c r="C1840" s="1" t="s">
        <v>52</v>
      </c>
      <c r="D1840" s="1" t="s">
        <v>28</v>
      </c>
      <c r="E1840" s="1" t="s">
        <v>29</v>
      </c>
      <c r="F1840" s="1" t="s">
        <v>17</v>
      </c>
      <c r="G1840" s="1" t="s">
        <v>3979</v>
      </c>
      <c r="H1840">
        <v>439</v>
      </c>
      <c r="I1840" s="1">
        <v>1099</v>
      </c>
      <c r="J1840" s="1" t="s">
        <v>55</v>
      </c>
      <c r="K1840" s="1" t="s">
        <v>90</v>
      </c>
      <c r="L1840" s="1">
        <v>4.2</v>
      </c>
      <c r="M1840" s="1">
        <v>717</v>
      </c>
      <c r="P1840" t="str">
        <f t="shared" si="115"/>
        <v>60%</v>
      </c>
      <c r="Q1840" s="12">
        <f t="shared" si="112"/>
        <v>0.6</v>
      </c>
      <c r="R1840" s="9">
        <f t="shared" si="113"/>
        <v>439.6</v>
      </c>
      <c r="S1840" s="9">
        <f>IF(R1840="",AVERAGEIF(Table1[Category],Table1[[#This Row],[Category]],Table2[orignal data]),Table2[[#This Row],[orignal data]])</f>
        <v>439.6</v>
      </c>
      <c r="T1840" t="str">
        <f t="shared" si="114"/>
        <v>UNIQUE</v>
      </c>
      <c r="U1840" t="str">
        <f>IF(ISBLANK(Table1[[#This Row],[SizeOption]]),"NOT AVAILABLE",Table1[[#This Row],[SizeOption]])</f>
        <v>39, 40, 42, 44</v>
      </c>
      <c r="Y1840" t="str">
        <f>IF(Table2[[#This Row],[Column1]]&gt;50%,"HIGH DISCOUNT","LOW DISCOUNT")</f>
        <v>HIGH DISCOUNT</v>
      </c>
    </row>
    <row r="1841" spans="1:25" x14ac:dyDescent="0.25">
      <c r="A1841" s="2" t="s">
        <v>3980</v>
      </c>
      <c r="B1841" s="2">
        <v>10398271</v>
      </c>
      <c r="C1841" s="2" t="s">
        <v>14</v>
      </c>
      <c r="D1841" s="2" t="s">
        <v>28</v>
      </c>
      <c r="E1841" s="2" t="s">
        <v>29</v>
      </c>
      <c r="F1841" s="2" t="s">
        <v>17</v>
      </c>
      <c r="G1841" s="2" t="s">
        <v>3981</v>
      </c>
      <c r="H1841">
        <v>649</v>
      </c>
      <c r="I1841" s="2">
        <v>1299</v>
      </c>
      <c r="J1841" s="2" t="s">
        <v>84</v>
      </c>
      <c r="K1841" s="2" t="s">
        <v>253</v>
      </c>
      <c r="L1841" s="2">
        <v>4.3</v>
      </c>
      <c r="M1841" s="2">
        <v>717</v>
      </c>
      <c r="P1841" t="str">
        <f t="shared" si="115"/>
        <v>50%</v>
      </c>
      <c r="Q1841" s="12">
        <f t="shared" si="112"/>
        <v>0.5</v>
      </c>
      <c r="R1841" s="9">
        <f t="shared" si="113"/>
        <v>649.5</v>
      </c>
      <c r="S1841" s="9">
        <f>IF(R1841="",AVERAGEIF(Table1[Category],Table1[[#This Row],[Category]],Table2[orignal data]),Table2[[#This Row],[orignal data]])</f>
        <v>649.5</v>
      </c>
      <c r="T1841" t="str">
        <f t="shared" si="114"/>
        <v>UNIQUE</v>
      </c>
      <c r="U1841" t="str">
        <f>IF(ISBLANK(Table1[[#This Row],[SizeOption]]),"NOT AVAILABLE",Table1[[#This Row],[SizeOption]])</f>
        <v>38, 40, 42, 44</v>
      </c>
      <c r="Y1841" t="str">
        <f>IF(Table2[[#This Row],[Column1]]&gt;50%,"HIGH DISCOUNT","LOW DISCOUNT")</f>
        <v>LOW DISCOUNT</v>
      </c>
    </row>
    <row r="1842" spans="1:25" x14ac:dyDescent="0.25">
      <c r="A1842" s="1" t="s">
        <v>3982</v>
      </c>
      <c r="B1842" s="1">
        <v>12115954</v>
      </c>
      <c r="C1842" s="1" t="s">
        <v>47</v>
      </c>
      <c r="D1842" s="1" t="s">
        <v>28</v>
      </c>
      <c r="E1842" s="1" t="s">
        <v>42</v>
      </c>
      <c r="F1842" s="1" t="s">
        <v>17</v>
      </c>
      <c r="G1842" s="1" t="s">
        <v>3983</v>
      </c>
      <c r="H1842">
        <v>319</v>
      </c>
      <c r="I1842" s="1">
        <v>799</v>
      </c>
      <c r="J1842" s="1" t="s">
        <v>55</v>
      </c>
      <c r="K1842" s="1" t="s">
        <v>26</v>
      </c>
      <c r="L1842" s="1">
        <v>4.2</v>
      </c>
      <c r="M1842" s="1">
        <v>717</v>
      </c>
      <c r="P1842" t="str">
        <f t="shared" si="115"/>
        <v>60%</v>
      </c>
      <c r="Q1842" s="12">
        <f t="shared" si="112"/>
        <v>0.6</v>
      </c>
      <c r="R1842" s="9">
        <f t="shared" si="113"/>
        <v>319.60000000000002</v>
      </c>
      <c r="S1842" s="9">
        <f>IF(R1842="",AVERAGEIF(Table1[Category],Table1[[#This Row],[Category]],Table2[orignal data]),Table2[[#This Row],[orignal data]])</f>
        <v>319.60000000000002</v>
      </c>
      <c r="T1842" t="str">
        <f t="shared" si="114"/>
        <v>UNIQUE</v>
      </c>
      <c r="U1842" t="str">
        <f>IF(ISBLANK(Table1[[#This Row],[SizeOption]]),"NOT AVAILABLE",Table1[[#This Row],[SizeOption]])</f>
        <v>S, M, L, XL</v>
      </c>
      <c r="Y1842" t="str">
        <f>IF(Table2[[#This Row],[Column1]]&gt;50%,"HIGH DISCOUNT","LOW DISCOUNT")</f>
        <v>HIGH DISCOUNT</v>
      </c>
    </row>
    <row r="1843" spans="1:25" x14ac:dyDescent="0.25">
      <c r="A1843" s="2" t="s">
        <v>3984</v>
      </c>
      <c r="B1843" s="2">
        <v>12104956</v>
      </c>
      <c r="C1843" s="2" t="s">
        <v>97</v>
      </c>
      <c r="D1843" s="2" t="s">
        <v>76</v>
      </c>
      <c r="E1843" s="2" t="s">
        <v>77</v>
      </c>
      <c r="F1843" s="2" t="s">
        <v>36</v>
      </c>
      <c r="G1843" s="2" t="s">
        <v>3985</v>
      </c>
      <c r="H1843">
        <v>1259</v>
      </c>
      <c r="I1843" s="2">
        <v>2799</v>
      </c>
      <c r="J1843" s="2" t="s">
        <v>25</v>
      </c>
      <c r="K1843" s="2" t="s">
        <v>100</v>
      </c>
      <c r="L1843" s="2">
        <v>4.0999999999999996</v>
      </c>
      <c r="M1843" s="2">
        <v>717</v>
      </c>
      <c r="P1843" t="str">
        <f t="shared" si="115"/>
        <v>55%</v>
      </c>
      <c r="Q1843" s="12">
        <f t="shared" si="112"/>
        <v>0.55000000000000004</v>
      </c>
      <c r="R1843" s="9">
        <f t="shared" si="113"/>
        <v>1259.55</v>
      </c>
      <c r="S1843" s="9">
        <f>IF(R1843="",AVERAGEIF(Table1[Category],Table1[[#This Row],[Category]],Table2[orignal data]),Table2[[#This Row],[orignal data]])</f>
        <v>1259.55</v>
      </c>
      <c r="T1843" t="str">
        <f t="shared" si="114"/>
        <v>UNIQUE</v>
      </c>
      <c r="U1843" t="str">
        <f>IF(ISBLANK(Table1[[#This Row],[SizeOption]]),"NOT AVAILABLE",Table1[[#This Row],[SizeOption]])</f>
        <v>XS, S, M, L, XL, XXL, 3XL</v>
      </c>
      <c r="Y1843" t="str">
        <f>IF(Table2[[#This Row],[Column1]]&gt;50%,"HIGH DISCOUNT","LOW DISCOUNT")</f>
        <v>HIGH DISCOUNT</v>
      </c>
    </row>
    <row r="1844" spans="1:25" x14ac:dyDescent="0.25">
      <c r="A1844" s="1" t="s">
        <v>3986</v>
      </c>
      <c r="B1844" s="1">
        <v>9965737</v>
      </c>
      <c r="C1844" s="1" t="s">
        <v>67</v>
      </c>
      <c r="D1844" s="1" t="s">
        <v>68</v>
      </c>
      <c r="E1844" s="1" t="s">
        <v>306</v>
      </c>
      <c r="F1844" s="1" t="s">
        <v>36</v>
      </c>
      <c r="G1844" s="1" t="s">
        <v>3987</v>
      </c>
      <c r="H1844">
        <v>989</v>
      </c>
      <c r="I1844" s="1">
        <v>1799</v>
      </c>
      <c r="J1844" s="1" t="s">
        <v>19</v>
      </c>
      <c r="K1844" s="1" t="s">
        <v>115</v>
      </c>
      <c r="L1844" s="1">
        <v>4</v>
      </c>
      <c r="M1844" s="1">
        <v>717</v>
      </c>
      <c r="P1844" t="str">
        <f t="shared" si="115"/>
        <v>45%</v>
      </c>
      <c r="Q1844" s="12">
        <f t="shared" si="112"/>
        <v>0.45</v>
      </c>
      <c r="R1844" s="9">
        <f t="shared" si="113"/>
        <v>989.44999999999993</v>
      </c>
      <c r="S1844" s="9">
        <f>IF(R1844="",AVERAGEIF(Table1[Category],Table1[[#This Row],[Category]],Table2[orignal data]),Table2[[#This Row],[orignal data]])</f>
        <v>989.44999999999993</v>
      </c>
      <c r="T1844" t="str">
        <f t="shared" si="114"/>
        <v>UNIQUE</v>
      </c>
      <c r="U1844" t="str">
        <f>IF(ISBLANK(Table1[[#This Row],[SizeOption]]),"NOT AVAILABLE",Table1[[#This Row],[SizeOption]])</f>
        <v>XS, S, M, L, XL, XXL</v>
      </c>
      <c r="Y1844" t="str">
        <f>IF(Table2[[#This Row],[Column1]]&gt;50%,"HIGH DISCOUNT","LOW DISCOUNT")</f>
        <v>LOW DISCOUNT</v>
      </c>
    </row>
    <row r="1845" spans="1:25" x14ac:dyDescent="0.25">
      <c r="A1845" s="2" t="s">
        <v>3988</v>
      </c>
      <c r="B1845" s="2">
        <v>12479236</v>
      </c>
      <c r="C1845" s="2" t="s">
        <v>102</v>
      </c>
      <c r="D1845" s="2" t="s">
        <v>41</v>
      </c>
      <c r="E1845" s="2" t="s">
        <v>29</v>
      </c>
      <c r="F1845" s="2" t="s">
        <v>36</v>
      </c>
      <c r="G1845" s="2" t="s">
        <v>3989</v>
      </c>
      <c r="I1845" s="2">
        <v>1149</v>
      </c>
      <c r="J1845" s="2" t="s">
        <v>606</v>
      </c>
      <c r="K1845" s="2" t="s">
        <v>26</v>
      </c>
      <c r="L1845" s="2">
        <v>4.2</v>
      </c>
      <c r="M1845" s="2">
        <v>717</v>
      </c>
      <c r="P1845" t="str">
        <f t="shared" si="115"/>
        <v>54%</v>
      </c>
      <c r="Q1845" s="12">
        <f t="shared" si="112"/>
        <v>0.54</v>
      </c>
      <c r="R1845" s="9">
        <f t="shared" si="113"/>
        <v>528.54</v>
      </c>
      <c r="S1845" s="9">
        <f>IF(R1845="",AVERAGEIF(Table1[Category],Table1[[#This Row],[Category]],Table2[orignal data]),Table2[[#This Row],[orignal data]])</f>
        <v>528.54</v>
      </c>
      <c r="T1845" t="str">
        <f t="shared" si="114"/>
        <v>UNIQUE</v>
      </c>
      <c r="U1845" t="str">
        <f>IF(ISBLANK(Table1[[#This Row],[SizeOption]]),"NOT AVAILABLE",Table1[[#This Row],[SizeOption]])</f>
        <v>S, M, L, XL</v>
      </c>
      <c r="Y1845" t="str">
        <f>IF(Table2[[#This Row],[Column1]]&gt;50%,"HIGH DISCOUNT","LOW DISCOUNT")</f>
        <v>HIGH DISCOUNT</v>
      </c>
    </row>
    <row r="1846" spans="1:25" x14ac:dyDescent="0.25">
      <c r="A1846" s="1" t="s">
        <v>3990</v>
      </c>
      <c r="B1846" s="1">
        <v>11364470</v>
      </c>
      <c r="C1846" s="1" t="s">
        <v>181</v>
      </c>
      <c r="D1846" s="1" t="s">
        <v>41</v>
      </c>
      <c r="E1846" s="1" t="s">
        <v>48</v>
      </c>
      <c r="F1846" s="1" t="s">
        <v>36</v>
      </c>
      <c r="G1846" s="1" t="s">
        <v>3991</v>
      </c>
      <c r="I1846" s="1">
        <v>1499</v>
      </c>
      <c r="J1846" s="1" t="s">
        <v>89</v>
      </c>
      <c r="K1846" s="1" t="s">
        <v>45</v>
      </c>
      <c r="L1846" s="1">
        <v>4.4000000000000004</v>
      </c>
      <c r="M1846" s="1">
        <v>717</v>
      </c>
      <c r="P1846" t="str">
        <f t="shared" si="115"/>
        <v>53%</v>
      </c>
      <c r="Q1846" s="12">
        <f t="shared" si="112"/>
        <v>0.53</v>
      </c>
      <c r="R1846" s="9">
        <f t="shared" si="113"/>
        <v>704.53</v>
      </c>
      <c r="S1846" s="9">
        <f>IF(R1846="",AVERAGEIF(Table1[Category],Table1[[#This Row],[Category]],Table2[orignal data]),Table2[[#This Row],[orignal data]])</f>
        <v>704.53</v>
      </c>
      <c r="T1846" t="str">
        <f t="shared" si="114"/>
        <v>UNIQUE</v>
      </c>
      <c r="U1846" t="str">
        <f>IF(ISBLANK(Table1[[#This Row],[SizeOption]]),"NOT AVAILABLE",Table1[[#This Row],[SizeOption]])</f>
        <v>XS, S, M, L, XL</v>
      </c>
      <c r="Y1846" t="str">
        <f>IF(Table2[[#This Row],[Column1]]&gt;50%,"HIGH DISCOUNT","LOW DISCOUNT")</f>
        <v>HIGH DISCOUNT</v>
      </c>
    </row>
    <row r="1847" spans="1:25" x14ac:dyDescent="0.25">
      <c r="A1847" s="2" t="s">
        <v>3992</v>
      </c>
      <c r="B1847" s="2">
        <v>7417314</v>
      </c>
      <c r="C1847" s="2" t="s">
        <v>887</v>
      </c>
      <c r="D1847" s="2" t="s">
        <v>41</v>
      </c>
      <c r="E1847" s="2" t="s">
        <v>148</v>
      </c>
      <c r="F1847" s="2" t="s">
        <v>36</v>
      </c>
      <c r="G1847" s="2" t="s">
        <v>3993</v>
      </c>
      <c r="I1847" s="2">
        <v>3499</v>
      </c>
      <c r="J1847" s="2" t="s">
        <v>908</v>
      </c>
      <c r="K1847" s="2" t="s">
        <v>45</v>
      </c>
      <c r="L1847" s="2">
        <v>4.5999999999999996</v>
      </c>
      <c r="M1847" s="2">
        <v>717</v>
      </c>
      <c r="P1847" t="str">
        <f t="shared" si="115"/>
        <v>23%</v>
      </c>
      <c r="Q1847" s="12">
        <f t="shared" si="112"/>
        <v>0.23</v>
      </c>
      <c r="R1847" s="9">
        <f t="shared" si="113"/>
        <v>2694.23</v>
      </c>
      <c r="S1847" s="9">
        <f>IF(R1847="",AVERAGEIF(Table1[Category],Table1[[#This Row],[Category]],Table2[orignal data]),Table2[[#This Row],[orignal data]])</f>
        <v>2694.23</v>
      </c>
      <c r="T1847" t="str">
        <f t="shared" si="114"/>
        <v>UNIQUE</v>
      </c>
      <c r="U1847" t="str">
        <f>IF(ISBLANK(Table1[[#This Row],[SizeOption]]),"NOT AVAILABLE",Table1[[#This Row],[SizeOption]])</f>
        <v>XS, S, M, L, XL</v>
      </c>
      <c r="Y1847" t="str">
        <f>IF(Table2[[#This Row],[Column1]]&gt;50%,"HIGH DISCOUNT","LOW DISCOUNT")</f>
        <v>LOW DISCOUNT</v>
      </c>
    </row>
    <row r="1848" spans="1:25" x14ac:dyDescent="0.25">
      <c r="A1848" s="1" t="s">
        <v>3994</v>
      </c>
      <c r="B1848" s="1">
        <v>17383430</v>
      </c>
      <c r="C1848" s="1" t="s">
        <v>14</v>
      </c>
      <c r="D1848" s="1" t="s">
        <v>41</v>
      </c>
      <c r="E1848" s="1" t="s">
        <v>42</v>
      </c>
      <c r="F1848" s="1" t="s">
        <v>36</v>
      </c>
      <c r="G1848" s="1" t="s">
        <v>3995</v>
      </c>
      <c r="I1848" s="1">
        <v>1598</v>
      </c>
      <c r="J1848" s="1"/>
      <c r="K1848" s="1" t="s">
        <v>447</v>
      </c>
      <c r="L1848" s="1">
        <v>4.2</v>
      </c>
      <c r="M1848" s="1">
        <v>717</v>
      </c>
      <c r="P1848" t="str">
        <f t="shared" si="115"/>
        <v/>
      </c>
      <c r="Q1848" s="12" t="str">
        <f t="shared" si="112"/>
        <v/>
      </c>
      <c r="R1848" s="9" t="str">
        <f t="shared" si="113"/>
        <v/>
      </c>
      <c r="S1848" s="9">
        <f>IF(R1848="",AVERAGEIF(Table1[Category],Table1[[#This Row],[Category]],Table2[orignal data]),Table2[[#This Row],[orignal data]])</f>
        <v>715.78890751086249</v>
      </c>
      <c r="T1848" t="str">
        <f t="shared" si="114"/>
        <v>UNIQUE</v>
      </c>
      <c r="U1848" t="str">
        <f>IF(ISBLANK(Table1[[#This Row],[SizeOption]]),"NOT AVAILABLE",Table1[[#This Row],[SizeOption]])</f>
        <v>M, S, XS, XL, L</v>
      </c>
      <c r="Y1848" t="str">
        <f>IF(Table2[[#This Row],[Column1]]&gt;50%,"HIGH DISCOUNT","LOW DISCOUNT")</f>
        <v>HIGH DISCOUNT</v>
      </c>
    </row>
    <row r="1849" spans="1:25" x14ac:dyDescent="0.25">
      <c r="A1849" s="2" t="s">
        <v>3996</v>
      </c>
      <c r="B1849" s="2">
        <v>1502333</v>
      </c>
      <c r="C1849" s="2" t="s">
        <v>169</v>
      </c>
      <c r="D1849" s="2" t="s">
        <v>15</v>
      </c>
      <c r="E1849" s="2" t="s">
        <v>16</v>
      </c>
      <c r="F1849" s="2" t="s">
        <v>17</v>
      </c>
      <c r="G1849" s="2" t="s">
        <v>3997</v>
      </c>
      <c r="H1849">
        <v>1199</v>
      </c>
      <c r="I1849" s="2">
        <v>2399</v>
      </c>
      <c r="J1849" s="2" t="s">
        <v>84</v>
      </c>
      <c r="K1849" s="2" t="s">
        <v>171</v>
      </c>
      <c r="L1849" s="2">
        <v>4.2</v>
      </c>
      <c r="M1849" s="2">
        <v>716</v>
      </c>
      <c r="P1849" t="str">
        <f t="shared" si="115"/>
        <v>50%</v>
      </c>
      <c r="Q1849" s="12">
        <f t="shared" si="112"/>
        <v>0.5</v>
      </c>
      <c r="R1849" s="9">
        <f t="shared" si="113"/>
        <v>1199.5</v>
      </c>
      <c r="S1849" s="9">
        <f>IF(R1849="",AVERAGEIF(Table1[Category],Table1[[#This Row],[Category]],Table2[orignal data]),Table2[[#This Row],[orignal data]])</f>
        <v>1199.5</v>
      </c>
      <c r="T1849" t="str">
        <f t="shared" si="114"/>
        <v>UNIQUE</v>
      </c>
      <c r="U1849" t="str">
        <f>IF(ISBLANK(Table1[[#This Row],[SizeOption]]),"NOT AVAILABLE",Table1[[#This Row],[SizeOption]])</f>
        <v>28, 30, 32, 34, 36, 38</v>
      </c>
      <c r="Y1849" t="str">
        <f>IF(Table2[[#This Row],[Column1]]&gt;50%,"HIGH DISCOUNT","LOW DISCOUNT")</f>
        <v>LOW DISCOUNT</v>
      </c>
    </row>
    <row r="1850" spans="1:25" x14ac:dyDescent="0.25">
      <c r="A1850" s="1" t="s">
        <v>3998</v>
      </c>
      <c r="B1850" s="1">
        <v>13859302</v>
      </c>
      <c r="C1850" s="1" t="s">
        <v>14</v>
      </c>
      <c r="D1850" s="1" t="s">
        <v>15</v>
      </c>
      <c r="E1850" s="1" t="s">
        <v>53</v>
      </c>
      <c r="F1850" s="1" t="s">
        <v>17</v>
      </c>
      <c r="G1850" s="1" t="s">
        <v>3999</v>
      </c>
      <c r="H1850">
        <v>519</v>
      </c>
      <c r="I1850" s="1">
        <v>1299</v>
      </c>
      <c r="J1850" s="1" t="s">
        <v>55</v>
      </c>
      <c r="K1850" s="1" t="s">
        <v>20</v>
      </c>
      <c r="L1850" s="1">
        <v>3.7</v>
      </c>
      <c r="M1850" s="1">
        <v>716</v>
      </c>
      <c r="P1850" t="str">
        <f t="shared" si="115"/>
        <v>60%</v>
      </c>
      <c r="Q1850" s="12">
        <f t="shared" si="112"/>
        <v>0.6</v>
      </c>
      <c r="R1850" s="9">
        <f t="shared" si="113"/>
        <v>519.6</v>
      </c>
      <c r="S1850" s="9">
        <f>IF(R1850="",AVERAGEIF(Table1[Category],Table1[[#This Row],[Category]],Table2[orignal data]),Table2[[#This Row],[orignal data]])</f>
        <v>519.6</v>
      </c>
      <c r="T1850" t="str">
        <f t="shared" si="114"/>
        <v>UNIQUE</v>
      </c>
      <c r="U1850" t="str">
        <f>IF(ISBLANK(Table1[[#This Row],[SizeOption]]),"NOT AVAILABLE",Table1[[#This Row],[SizeOption]])</f>
        <v>28, 30, 32, 34, 36</v>
      </c>
      <c r="Y1850" t="str">
        <f>IF(Table2[[#This Row],[Column1]]&gt;50%,"HIGH DISCOUNT","LOW DISCOUNT")</f>
        <v>HIGH DISCOUNT</v>
      </c>
    </row>
    <row r="1851" spans="1:25" x14ac:dyDescent="0.25">
      <c r="A1851" s="2" t="s">
        <v>4000</v>
      </c>
      <c r="B1851" s="2">
        <v>11551944</v>
      </c>
      <c r="C1851" s="2" t="s">
        <v>4001</v>
      </c>
      <c r="D1851" s="2" t="s">
        <v>68</v>
      </c>
      <c r="E1851" s="2" t="s">
        <v>42</v>
      </c>
      <c r="F1851" s="2" t="s">
        <v>17</v>
      </c>
      <c r="G1851" s="2" t="s">
        <v>4002</v>
      </c>
      <c r="H1851">
        <v>979</v>
      </c>
      <c r="I1851" s="2">
        <v>1399</v>
      </c>
      <c r="J1851" s="2" t="s">
        <v>186</v>
      </c>
      <c r="K1851" s="2" t="s">
        <v>39</v>
      </c>
      <c r="L1851" s="2">
        <v>4.3</v>
      </c>
      <c r="M1851" s="2">
        <v>716</v>
      </c>
      <c r="P1851" t="str">
        <f t="shared" si="115"/>
        <v>30%</v>
      </c>
      <c r="Q1851" s="12">
        <f t="shared" si="112"/>
        <v>0.3</v>
      </c>
      <c r="R1851" s="9">
        <f t="shared" si="113"/>
        <v>979.3</v>
      </c>
      <c r="S1851" s="9">
        <f>IF(R1851="",AVERAGEIF(Table1[Category],Table1[[#This Row],[Category]],Table2[orignal data]),Table2[[#This Row],[orignal data]])</f>
        <v>979.3</v>
      </c>
      <c r="T1851" t="str">
        <f t="shared" si="114"/>
        <v>UNIQUE</v>
      </c>
      <c r="U1851" t="str">
        <f>IF(ISBLANK(Table1[[#This Row],[SizeOption]]),"NOT AVAILABLE",Table1[[#This Row],[SizeOption]])</f>
        <v>S, M, L, XL, XXL</v>
      </c>
      <c r="Y1851" t="str">
        <f>IF(Table2[[#This Row],[Column1]]&gt;50%,"HIGH DISCOUNT","LOW DISCOUNT")</f>
        <v>LOW DISCOUNT</v>
      </c>
    </row>
    <row r="1852" spans="1:25" x14ac:dyDescent="0.25">
      <c r="A1852" s="1" t="s">
        <v>4003</v>
      </c>
      <c r="B1852" s="1">
        <v>12177872</v>
      </c>
      <c r="C1852" s="1" t="s">
        <v>1299</v>
      </c>
      <c r="D1852" s="1" t="s">
        <v>28</v>
      </c>
      <c r="E1852" s="1" t="s">
        <v>42</v>
      </c>
      <c r="F1852" s="1" t="s">
        <v>17</v>
      </c>
      <c r="G1852" s="1" t="s">
        <v>4004</v>
      </c>
      <c r="H1852">
        <v>359</v>
      </c>
      <c r="I1852" s="1">
        <v>799</v>
      </c>
      <c r="J1852" s="1" t="s">
        <v>25</v>
      </c>
      <c r="K1852" s="1" t="s">
        <v>39</v>
      </c>
      <c r="L1852" s="1">
        <v>3.9</v>
      </c>
      <c r="M1852" s="1">
        <v>716</v>
      </c>
      <c r="P1852" t="str">
        <f t="shared" si="115"/>
        <v>55%</v>
      </c>
      <c r="Q1852" s="12">
        <f t="shared" si="112"/>
        <v>0.55000000000000004</v>
      </c>
      <c r="R1852" s="9">
        <f t="shared" si="113"/>
        <v>359.54999999999995</v>
      </c>
      <c r="S1852" s="9">
        <f>IF(R1852="",AVERAGEIF(Table1[Category],Table1[[#This Row],[Category]],Table2[orignal data]),Table2[[#This Row],[orignal data]])</f>
        <v>359.54999999999995</v>
      </c>
      <c r="T1852" t="str">
        <f t="shared" si="114"/>
        <v>UNIQUE</v>
      </c>
      <c r="U1852" t="str">
        <f>IF(ISBLANK(Table1[[#This Row],[SizeOption]]),"NOT AVAILABLE",Table1[[#This Row],[SizeOption]])</f>
        <v>S, M, L, XL, XXL</v>
      </c>
      <c r="Y1852" t="str">
        <f>IF(Table2[[#This Row],[Column1]]&gt;50%,"HIGH DISCOUNT","LOW DISCOUNT")</f>
        <v>HIGH DISCOUNT</v>
      </c>
    </row>
    <row r="1853" spans="1:25" x14ac:dyDescent="0.25">
      <c r="A1853" s="2" t="s">
        <v>4005</v>
      </c>
      <c r="B1853" s="2">
        <v>10776022</v>
      </c>
      <c r="C1853" s="2" t="s">
        <v>113</v>
      </c>
      <c r="D1853" s="2" t="s">
        <v>76</v>
      </c>
      <c r="E1853" s="2" t="s">
        <v>77</v>
      </c>
      <c r="F1853" s="2" t="s">
        <v>36</v>
      </c>
      <c r="G1853" s="2" t="s">
        <v>4006</v>
      </c>
      <c r="H1853">
        <v>839</v>
      </c>
      <c r="I1853" s="2">
        <v>2099</v>
      </c>
      <c r="J1853" s="2" t="s">
        <v>55</v>
      </c>
      <c r="K1853" s="2" t="s">
        <v>39</v>
      </c>
      <c r="L1853" s="2">
        <v>3.9</v>
      </c>
      <c r="M1853" s="2">
        <v>716</v>
      </c>
      <c r="P1853" t="str">
        <f t="shared" si="115"/>
        <v>60%</v>
      </c>
      <c r="Q1853" s="12">
        <f t="shared" si="112"/>
        <v>0.6</v>
      </c>
      <c r="R1853" s="9">
        <f t="shared" si="113"/>
        <v>839.60000000000014</v>
      </c>
      <c r="S1853" s="9">
        <f>IF(R1853="",AVERAGEIF(Table1[Category],Table1[[#This Row],[Category]],Table2[orignal data]),Table2[[#This Row],[orignal data]])</f>
        <v>839.60000000000014</v>
      </c>
      <c r="T1853" t="str">
        <f t="shared" si="114"/>
        <v>UNIQUE</v>
      </c>
      <c r="U1853" t="str">
        <f>IF(ISBLANK(Table1[[#This Row],[SizeOption]]),"NOT AVAILABLE",Table1[[#This Row],[SizeOption]])</f>
        <v>S, M, L, XL, XXL</v>
      </c>
      <c r="Y1853" t="str">
        <f>IF(Table2[[#This Row],[Column1]]&gt;50%,"HIGH DISCOUNT","LOW DISCOUNT")</f>
        <v>HIGH DISCOUNT</v>
      </c>
    </row>
    <row r="1854" spans="1:25" x14ac:dyDescent="0.25">
      <c r="A1854" s="1" t="s">
        <v>4007</v>
      </c>
      <c r="B1854" s="1">
        <v>6552985</v>
      </c>
      <c r="C1854" s="1" t="s">
        <v>128</v>
      </c>
      <c r="D1854" s="1" t="s">
        <v>41</v>
      </c>
      <c r="E1854" s="1" t="s">
        <v>48</v>
      </c>
      <c r="F1854" s="1" t="s">
        <v>36</v>
      </c>
      <c r="G1854" s="1" t="s">
        <v>4008</v>
      </c>
      <c r="I1854" s="1">
        <v>1199</v>
      </c>
      <c r="J1854" s="1" t="s">
        <v>25</v>
      </c>
      <c r="K1854" s="1" t="s">
        <v>26</v>
      </c>
      <c r="L1854" s="1">
        <v>4.0999999999999996</v>
      </c>
      <c r="M1854" s="1">
        <v>716</v>
      </c>
      <c r="P1854" t="str">
        <f t="shared" si="115"/>
        <v>55%</v>
      </c>
      <c r="Q1854" s="12">
        <f t="shared" si="112"/>
        <v>0.55000000000000004</v>
      </c>
      <c r="R1854" s="9">
        <f t="shared" si="113"/>
        <v>539.54999999999995</v>
      </c>
      <c r="S1854" s="9">
        <f>IF(R1854="",AVERAGEIF(Table1[Category],Table1[[#This Row],[Category]],Table2[orignal data]),Table2[[#This Row],[orignal data]])</f>
        <v>539.54999999999995</v>
      </c>
      <c r="T1854" t="str">
        <f t="shared" si="114"/>
        <v>UNIQUE</v>
      </c>
      <c r="U1854" t="str">
        <f>IF(ISBLANK(Table1[[#This Row],[SizeOption]]),"NOT AVAILABLE",Table1[[#This Row],[SizeOption]])</f>
        <v>S, M, L, XL</v>
      </c>
      <c r="Y1854" t="str">
        <f>IF(Table2[[#This Row],[Column1]]&gt;50%,"HIGH DISCOUNT","LOW DISCOUNT")</f>
        <v>HIGH DISCOUNT</v>
      </c>
    </row>
    <row r="1855" spans="1:25" x14ac:dyDescent="0.25">
      <c r="A1855" s="2" t="s">
        <v>4009</v>
      </c>
      <c r="B1855" s="2">
        <v>6826875</v>
      </c>
      <c r="C1855" s="2" t="s">
        <v>107</v>
      </c>
      <c r="D1855" s="2" t="s">
        <v>41</v>
      </c>
      <c r="E1855" s="2" t="s">
        <v>148</v>
      </c>
      <c r="F1855" s="2" t="s">
        <v>36</v>
      </c>
      <c r="G1855" s="2" t="s">
        <v>4010</v>
      </c>
      <c r="I1855" s="2">
        <v>1999</v>
      </c>
      <c r="J1855" s="2" t="s">
        <v>25</v>
      </c>
      <c r="K1855" s="2" t="s">
        <v>115</v>
      </c>
      <c r="L1855" s="2">
        <v>4.3</v>
      </c>
      <c r="M1855" s="2">
        <v>716</v>
      </c>
      <c r="P1855" t="str">
        <f t="shared" si="115"/>
        <v>55%</v>
      </c>
      <c r="Q1855" s="12">
        <f t="shared" si="112"/>
        <v>0.55000000000000004</v>
      </c>
      <c r="R1855" s="9">
        <f t="shared" si="113"/>
        <v>899.55</v>
      </c>
      <c r="S1855" s="9">
        <f>IF(R1855="",AVERAGEIF(Table1[Category],Table1[[#This Row],[Category]],Table2[orignal data]),Table2[[#This Row],[orignal data]])</f>
        <v>899.55</v>
      </c>
      <c r="T1855" t="str">
        <f t="shared" si="114"/>
        <v>UNIQUE</v>
      </c>
      <c r="U1855" t="str">
        <f>IF(ISBLANK(Table1[[#This Row],[SizeOption]]),"NOT AVAILABLE",Table1[[#This Row],[SizeOption]])</f>
        <v>XS, S, M, L, XL, XXL</v>
      </c>
      <c r="Y1855" t="str">
        <f>IF(Table2[[#This Row],[Column1]]&gt;50%,"HIGH DISCOUNT","LOW DISCOUNT")</f>
        <v>HIGH DISCOUNT</v>
      </c>
    </row>
    <row r="1856" spans="1:25" x14ac:dyDescent="0.25">
      <c r="A1856" s="1" t="s">
        <v>4011</v>
      </c>
      <c r="B1856" s="1">
        <v>7578929</v>
      </c>
      <c r="C1856" s="1" t="s">
        <v>206</v>
      </c>
      <c r="D1856" s="1" t="s">
        <v>41</v>
      </c>
      <c r="E1856" s="1" t="s">
        <v>148</v>
      </c>
      <c r="F1856" s="1" t="s">
        <v>36</v>
      </c>
      <c r="G1856" s="1" t="s">
        <v>4012</v>
      </c>
      <c r="I1856" s="1">
        <v>2099</v>
      </c>
      <c r="J1856" s="1" t="s">
        <v>208</v>
      </c>
      <c r="K1856" s="1" t="s">
        <v>26</v>
      </c>
      <c r="L1856" s="1">
        <v>4.3</v>
      </c>
      <c r="M1856" s="1">
        <v>716</v>
      </c>
      <c r="P1856" t="str">
        <f t="shared" si="115"/>
        <v>52%</v>
      </c>
      <c r="Q1856" s="12">
        <f t="shared" si="112"/>
        <v>0.52</v>
      </c>
      <c r="R1856" s="9">
        <f t="shared" si="113"/>
        <v>1007.52</v>
      </c>
      <c r="S1856" s="9">
        <f>IF(R1856="",AVERAGEIF(Table1[Category],Table1[[#This Row],[Category]],Table2[orignal data]),Table2[[#This Row],[orignal data]])</f>
        <v>1007.52</v>
      </c>
      <c r="T1856" t="str">
        <f t="shared" si="114"/>
        <v>UNIQUE</v>
      </c>
      <c r="U1856" t="str">
        <f>IF(ISBLANK(Table1[[#This Row],[SizeOption]]),"NOT AVAILABLE",Table1[[#This Row],[SizeOption]])</f>
        <v>S, M, L, XL</v>
      </c>
      <c r="Y1856" t="str">
        <f>IF(Table2[[#This Row],[Column1]]&gt;50%,"HIGH DISCOUNT","LOW DISCOUNT")</f>
        <v>HIGH DISCOUNT</v>
      </c>
    </row>
    <row r="1857" spans="1:25" x14ac:dyDescent="0.25">
      <c r="A1857" s="2" t="s">
        <v>4013</v>
      </c>
      <c r="B1857" s="2">
        <v>2414665</v>
      </c>
      <c r="C1857" s="2" t="s">
        <v>430</v>
      </c>
      <c r="D1857" s="2" t="s">
        <v>41</v>
      </c>
      <c r="E1857" s="2" t="s">
        <v>42</v>
      </c>
      <c r="F1857" s="2" t="s">
        <v>36</v>
      </c>
      <c r="G1857" s="2" t="s">
        <v>4014</v>
      </c>
      <c r="I1857" s="2">
        <v>899</v>
      </c>
      <c r="J1857" s="2" t="s">
        <v>55</v>
      </c>
      <c r="K1857" s="2" t="s">
        <v>45</v>
      </c>
      <c r="L1857" s="2">
        <v>4.2</v>
      </c>
      <c r="M1857" s="2">
        <v>716</v>
      </c>
      <c r="P1857" t="str">
        <f t="shared" si="115"/>
        <v>60%</v>
      </c>
      <c r="Q1857" s="12">
        <f t="shared" si="112"/>
        <v>0.6</v>
      </c>
      <c r="R1857" s="9">
        <f t="shared" si="113"/>
        <v>359.6</v>
      </c>
      <c r="S1857" s="9">
        <f>IF(R1857="",AVERAGEIF(Table1[Category],Table1[[#This Row],[Category]],Table2[orignal data]),Table2[[#This Row],[orignal data]])</f>
        <v>359.6</v>
      </c>
      <c r="T1857" t="str">
        <f t="shared" si="114"/>
        <v>UNIQUE</v>
      </c>
      <c r="U1857" t="str">
        <f>IF(ISBLANK(Table1[[#This Row],[SizeOption]]),"NOT AVAILABLE",Table1[[#This Row],[SizeOption]])</f>
        <v>XS, S, M, L, XL</v>
      </c>
      <c r="Y1857" t="str">
        <f>IF(Table2[[#This Row],[Column1]]&gt;50%,"HIGH DISCOUNT","LOW DISCOUNT")</f>
        <v>HIGH DISCOUNT</v>
      </c>
    </row>
    <row r="1858" spans="1:25" x14ac:dyDescent="0.25">
      <c r="A1858" s="1" t="s">
        <v>4015</v>
      </c>
      <c r="B1858" s="1">
        <v>2387570</v>
      </c>
      <c r="C1858" s="1" t="s">
        <v>14</v>
      </c>
      <c r="D1858" s="1" t="s">
        <v>15</v>
      </c>
      <c r="E1858" s="1" t="s">
        <v>137</v>
      </c>
      <c r="F1858" s="1" t="s">
        <v>17</v>
      </c>
      <c r="G1858" s="1" t="s">
        <v>4016</v>
      </c>
      <c r="H1858">
        <v>594</v>
      </c>
      <c r="I1858" s="1">
        <v>1699</v>
      </c>
      <c r="J1858" s="1" t="s">
        <v>150</v>
      </c>
      <c r="K1858" s="1" t="s">
        <v>20</v>
      </c>
      <c r="L1858" s="1">
        <v>4.3</v>
      </c>
      <c r="M1858" s="1">
        <v>715</v>
      </c>
      <c r="P1858" t="str">
        <f t="shared" si="115"/>
        <v>65%</v>
      </c>
      <c r="Q1858" s="12">
        <f t="shared" ref="Q1858:Q1921" si="116">IF(P1858="","",IF(ISNUMBER(SEARCH("%",P1858)),P1858,P1858/I1858)*100%)</f>
        <v>0.65</v>
      </c>
      <c r="R1858" s="9">
        <f t="shared" ref="R1858:R1921" si="117">IF(P1858="","",I1858-(I1858*Q1858))</f>
        <v>594.64999999999986</v>
      </c>
      <c r="S1858" s="9">
        <f>IF(R1858="",AVERAGEIF(Table1[Category],Table1[[#This Row],[Category]],Table2[orignal data]),Table2[[#This Row],[orignal data]])</f>
        <v>594.64999999999986</v>
      </c>
      <c r="T1858" t="str">
        <f t="shared" ref="T1858:T1921" si="118">IF(COUNTIF($B$2:$B$5000,B1858)&gt;1,"DUPLICATE","UNIQUE")</f>
        <v>UNIQUE</v>
      </c>
      <c r="U1858" t="str">
        <f>IF(ISBLANK(Table1[[#This Row],[SizeOption]]),"NOT AVAILABLE",Table1[[#This Row],[SizeOption]])</f>
        <v>28, 30, 32, 34, 36</v>
      </c>
      <c r="Y1858" t="str">
        <f>IF(Table2[[#This Row],[Column1]]&gt;50%,"HIGH DISCOUNT","LOW DISCOUNT")</f>
        <v>HIGH DISCOUNT</v>
      </c>
    </row>
    <row r="1859" spans="1:25" x14ac:dyDescent="0.25">
      <c r="A1859" s="2" t="s">
        <v>4017</v>
      </c>
      <c r="B1859" s="2">
        <v>6747411</v>
      </c>
      <c r="C1859" s="2" t="s">
        <v>67</v>
      </c>
      <c r="D1859" s="2" t="s">
        <v>197</v>
      </c>
      <c r="E1859" s="2" t="s">
        <v>350</v>
      </c>
      <c r="F1859" s="2" t="s">
        <v>17</v>
      </c>
      <c r="G1859" s="2" t="s">
        <v>4018</v>
      </c>
      <c r="H1859">
        <v>439</v>
      </c>
      <c r="I1859" s="2">
        <v>799</v>
      </c>
      <c r="J1859" s="2" t="s">
        <v>19</v>
      </c>
      <c r="K1859" s="2" t="s">
        <v>26</v>
      </c>
      <c r="L1859" s="2">
        <v>4.3</v>
      </c>
      <c r="M1859" s="2">
        <v>715</v>
      </c>
      <c r="P1859" t="str">
        <f t="shared" ref="P1859:P1922" si="119">TRIM(SUBSTITUTE(SUBSTITUTE(SUBSTITUTE(SUBSTITUTE(J1859,"OFF",""),"Rs.",""),"Hurry*",""),",",""))</f>
        <v>45%</v>
      </c>
      <c r="Q1859" s="12">
        <f t="shared" si="116"/>
        <v>0.45</v>
      </c>
      <c r="R1859" s="9">
        <f t="shared" si="117"/>
        <v>439.45</v>
      </c>
      <c r="S1859" s="9">
        <f>IF(R1859="",AVERAGEIF(Table1[Category],Table1[[#This Row],[Category]],Table2[orignal data]),Table2[[#This Row],[orignal data]])</f>
        <v>439.45</v>
      </c>
      <c r="T1859" t="str">
        <f t="shared" si="118"/>
        <v>UNIQUE</v>
      </c>
      <c r="U1859" t="str">
        <f>IF(ISBLANK(Table1[[#This Row],[SizeOption]]),"NOT AVAILABLE",Table1[[#This Row],[SizeOption]])</f>
        <v>S, M, L, XL</v>
      </c>
      <c r="Y1859" t="str">
        <f>IF(Table2[[#This Row],[Column1]]&gt;50%,"HIGH DISCOUNT","LOW DISCOUNT")</f>
        <v>LOW DISCOUNT</v>
      </c>
    </row>
    <row r="1860" spans="1:25" x14ac:dyDescent="0.25">
      <c r="A1860" s="1" t="s">
        <v>4019</v>
      </c>
      <c r="B1860" s="1">
        <v>5362955</v>
      </c>
      <c r="C1860" s="1" t="s">
        <v>377</v>
      </c>
      <c r="D1860" s="1" t="s">
        <v>98</v>
      </c>
      <c r="E1860" s="1" t="s">
        <v>29</v>
      </c>
      <c r="F1860" s="1" t="s">
        <v>36</v>
      </c>
      <c r="G1860" s="1" t="s">
        <v>4020</v>
      </c>
      <c r="H1860">
        <v>562</v>
      </c>
      <c r="I1860" s="1">
        <v>1249</v>
      </c>
      <c r="J1860" s="1" t="s">
        <v>25</v>
      </c>
      <c r="K1860" s="1" t="s">
        <v>39</v>
      </c>
      <c r="L1860" s="1">
        <v>4</v>
      </c>
      <c r="M1860" s="1">
        <v>715</v>
      </c>
      <c r="P1860" t="str">
        <f t="shared" si="119"/>
        <v>55%</v>
      </c>
      <c r="Q1860" s="12">
        <f t="shared" si="116"/>
        <v>0.55000000000000004</v>
      </c>
      <c r="R1860" s="9">
        <f t="shared" si="117"/>
        <v>562.04999999999995</v>
      </c>
      <c r="S1860" s="9">
        <f>IF(R1860="",AVERAGEIF(Table1[Category],Table1[[#This Row],[Category]],Table2[orignal data]),Table2[[#This Row],[orignal data]])</f>
        <v>562.04999999999995</v>
      </c>
      <c r="T1860" t="str">
        <f t="shared" si="118"/>
        <v>UNIQUE</v>
      </c>
      <c r="U1860" t="str">
        <f>IF(ISBLANK(Table1[[#This Row],[SizeOption]]),"NOT AVAILABLE",Table1[[#This Row],[SizeOption]])</f>
        <v>S, M, L, XL, XXL</v>
      </c>
      <c r="Y1860" t="str">
        <f>IF(Table2[[#This Row],[Column1]]&gt;50%,"HIGH DISCOUNT","LOW DISCOUNT")</f>
        <v>HIGH DISCOUNT</v>
      </c>
    </row>
    <row r="1861" spans="1:25" x14ac:dyDescent="0.25">
      <c r="A1861" s="2" t="s">
        <v>4021</v>
      </c>
      <c r="B1861" s="2">
        <v>14145152</v>
      </c>
      <c r="C1861" s="2" t="s">
        <v>102</v>
      </c>
      <c r="D1861" s="2" t="s">
        <v>41</v>
      </c>
      <c r="E1861" s="2" t="s">
        <v>23</v>
      </c>
      <c r="F1861" s="2" t="s">
        <v>36</v>
      </c>
      <c r="G1861" s="2" t="s">
        <v>4022</v>
      </c>
      <c r="I1861" s="2">
        <v>1049</v>
      </c>
      <c r="J1861" s="2" t="s">
        <v>104</v>
      </c>
      <c r="K1861" s="2" t="s">
        <v>26</v>
      </c>
      <c r="L1861" s="2">
        <v>4.2</v>
      </c>
      <c r="M1861" s="2">
        <v>715</v>
      </c>
      <c r="P1861" t="str">
        <f t="shared" si="119"/>
        <v>61%</v>
      </c>
      <c r="Q1861" s="12">
        <f t="shared" si="116"/>
        <v>0.61</v>
      </c>
      <c r="R1861" s="9">
        <f t="shared" si="117"/>
        <v>409.11</v>
      </c>
      <c r="S1861" s="9">
        <f>IF(R1861="",AVERAGEIF(Table1[Category],Table1[[#This Row],[Category]],Table2[orignal data]),Table2[[#This Row],[orignal data]])</f>
        <v>409.11</v>
      </c>
      <c r="T1861" t="str">
        <f t="shared" si="118"/>
        <v>UNIQUE</v>
      </c>
      <c r="U1861" t="str">
        <f>IF(ISBLANK(Table1[[#This Row],[SizeOption]]),"NOT AVAILABLE",Table1[[#This Row],[SizeOption]])</f>
        <v>S, M, L, XL</v>
      </c>
      <c r="Y1861" t="str">
        <f>IF(Table2[[#This Row],[Column1]]&gt;50%,"HIGH DISCOUNT","LOW DISCOUNT")</f>
        <v>HIGH DISCOUNT</v>
      </c>
    </row>
    <row r="1862" spans="1:25" x14ac:dyDescent="0.25">
      <c r="A1862" s="1" t="s">
        <v>4023</v>
      </c>
      <c r="B1862" s="1">
        <v>10604446</v>
      </c>
      <c r="C1862" s="1" t="s">
        <v>181</v>
      </c>
      <c r="D1862" s="1" t="s">
        <v>41</v>
      </c>
      <c r="E1862" s="1" t="s">
        <v>48</v>
      </c>
      <c r="F1862" s="1" t="s">
        <v>36</v>
      </c>
      <c r="G1862" s="1" t="s">
        <v>4024</v>
      </c>
      <c r="I1862" s="1">
        <v>1299</v>
      </c>
      <c r="J1862" s="1" t="s">
        <v>25</v>
      </c>
      <c r="K1862" s="1" t="s">
        <v>115</v>
      </c>
      <c r="L1862" s="1">
        <v>4.2</v>
      </c>
      <c r="M1862" s="1">
        <v>715</v>
      </c>
      <c r="P1862" t="str">
        <f t="shared" si="119"/>
        <v>55%</v>
      </c>
      <c r="Q1862" s="12">
        <f t="shared" si="116"/>
        <v>0.55000000000000004</v>
      </c>
      <c r="R1862" s="9">
        <f t="shared" si="117"/>
        <v>584.54999999999995</v>
      </c>
      <c r="S1862" s="9">
        <f>IF(R1862="",AVERAGEIF(Table1[Category],Table1[[#This Row],[Category]],Table2[orignal data]),Table2[[#This Row],[orignal data]])</f>
        <v>584.54999999999995</v>
      </c>
      <c r="T1862" t="str">
        <f t="shared" si="118"/>
        <v>UNIQUE</v>
      </c>
      <c r="U1862" t="str">
        <f>IF(ISBLANK(Table1[[#This Row],[SizeOption]]),"NOT AVAILABLE",Table1[[#This Row],[SizeOption]])</f>
        <v>XS, S, M, L, XL, XXL</v>
      </c>
      <c r="Y1862" t="str">
        <f>IF(Table2[[#This Row],[Column1]]&gt;50%,"HIGH DISCOUNT","LOW DISCOUNT")</f>
        <v>HIGH DISCOUNT</v>
      </c>
    </row>
    <row r="1863" spans="1:25" x14ac:dyDescent="0.25">
      <c r="A1863" s="2" t="s">
        <v>4025</v>
      </c>
      <c r="B1863" s="2">
        <v>11306966</v>
      </c>
      <c r="C1863" s="2" t="s">
        <v>107</v>
      </c>
      <c r="D1863" s="2" t="s">
        <v>41</v>
      </c>
      <c r="E1863" s="2" t="s">
        <v>16</v>
      </c>
      <c r="F1863" s="2" t="s">
        <v>36</v>
      </c>
      <c r="G1863" s="2" t="s">
        <v>4026</v>
      </c>
      <c r="I1863" s="2">
        <v>1999</v>
      </c>
      <c r="J1863" s="2" t="s">
        <v>44</v>
      </c>
      <c r="K1863" s="2" t="s">
        <v>134</v>
      </c>
      <c r="L1863" s="2">
        <v>4.4000000000000004</v>
      </c>
      <c r="M1863" s="2">
        <v>715</v>
      </c>
      <c r="P1863" t="str">
        <f t="shared" si="119"/>
        <v>35%</v>
      </c>
      <c r="Q1863" s="12">
        <f t="shared" si="116"/>
        <v>0.35</v>
      </c>
      <c r="R1863" s="9">
        <f t="shared" si="117"/>
        <v>1299.3499999999999</v>
      </c>
      <c r="S1863" s="9">
        <f>IF(R1863="",AVERAGEIF(Table1[Category],Table1[[#This Row],[Category]],Table2[orignal data]),Table2[[#This Row],[orignal data]])</f>
        <v>1299.3499999999999</v>
      </c>
      <c r="T1863" t="str">
        <f t="shared" si="118"/>
        <v>UNIQUE</v>
      </c>
      <c r="U1863" t="str">
        <f>IF(ISBLANK(Table1[[#This Row],[SizeOption]]),"NOT AVAILABLE",Table1[[#This Row],[SizeOption]])</f>
        <v>26, 28, 30, 32, 34, 36</v>
      </c>
      <c r="Y1863" t="str">
        <f>IF(Table2[[#This Row],[Column1]]&gt;50%,"HIGH DISCOUNT","LOW DISCOUNT")</f>
        <v>LOW DISCOUNT</v>
      </c>
    </row>
    <row r="1864" spans="1:25" x14ac:dyDescent="0.25">
      <c r="A1864" s="1" t="s">
        <v>4027</v>
      </c>
      <c r="B1864" s="1">
        <v>9740087</v>
      </c>
      <c r="C1864" s="1" t="s">
        <v>14</v>
      </c>
      <c r="D1864" s="1" t="s">
        <v>41</v>
      </c>
      <c r="E1864" s="1" t="s">
        <v>42</v>
      </c>
      <c r="F1864" s="1" t="s">
        <v>36</v>
      </c>
      <c r="G1864" s="1" t="s">
        <v>4028</v>
      </c>
      <c r="I1864" s="1">
        <v>699</v>
      </c>
      <c r="J1864" s="1" t="s">
        <v>50</v>
      </c>
      <c r="K1864" s="1" t="s">
        <v>45</v>
      </c>
      <c r="L1864" s="1">
        <v>4.2</v>
      </c>
      <c r="M1864" s="1">
        <v>715</v>
      </c>
      <c r="P1864" t="str">
        <f t="shared" si="119"/>
        <v>40%</v>
      </c>
      <c r="Q1864" s="12">
        <f t="shared" si="116"/>
        <v>0.4</v>
      </c>
      <c r="R1864" s="9">
        <f t="shared" si="117"/>
        <v>419.4</v>
      </c>
      <c r="S1864" s="9">
        <f>IF(R1864="",AVERAGEIF(Table1[Category],Table1[[#This Row],[Category]],Table2[orignal data]),Table2[[#This Row],[orignal data]])</f>
        <v>419.4</v>
      </c>
      <c r="T1864" t="str">
        <f t="shared" si="118"/>
        <v>UNIQUE</v>
      </c>
      <c r="U1864" t="str">
        <f>IF(ISBLANK(Table1[[#This Row],[SizeOption]]),"NOT AVAILABLE",Table1[[#This Row],[SizeOption]])</f>
        <v>XS, S, M, L, XL</v>
      </c>
      <c r="Y1864" t="str">
        <f>IF(Table2[[#This Row],[Column1]]&gt;50%,"HIGH DISCOUNT","LOW DISCOUNT")</f>
        <v>LOW DISCOUNT</v>
      </c>
    </row>
    <row r="1865" spans="1:25" x14ac:dyDescent="0.25">
      <c r="A1865" s="2" t="s">
        <v>4029</v>
      </c>
      <c r="B1865" s="2">
        <v>13815398</v>
      </c>
      <c r="C1865" s="2" t="s">
        <v>52</v>
      </c>
      <c r="D1865" s="2" t="s">
        <v>15</v>
      </c>
      <c r="E1865" s="2" t="s">
        <v>16</v>
      </c>
      <c r="F1865" s="2" t="s">
        <v>17</v>
      </c>
      <c r="G1865" s="2" t="s">
        <v>4030</v>
      </c>
      <c r="H1865">
        <v>579</v>
      </c>
      <c r="I1865" s="2">
        <v>1449</v>
      </c>
      <c r="J1865" s="2" t="s">
        <v>55</v>
      </c>
      <c r="K1865" s="2" t="s">
        <v>816</v>
      </c>
      <c r="L1865" s="2">
        <v>3.8</v>
      </c>
      <c r="M1865" s="2">
        <v>714</v>
      </c>
      <c r="P1865" t="str">
        <f t="shared" si="119"/>
        <v>60%</v>
      </c>
      <c r="Q1865" s="12">
        <f t="shared" si="116"/>
        <v>0.6</v>
      </c>
      <c r="R1865" s="9">
        <f t="shared" si="117"/>
        <v>579.6</v>
      </c>
      <c r="S1865" s="9">
        <f>IF(R1865="",AVERAGEIF(Table1[Category],Table1[[#This Row],[Category]],Table2[orignal data]),Table2[[#This Row],[orignal data]])</f>
        <v>579.6</v>
      </c>
      <c r="T1865" t="str">
        <f t="shared" si="118"/>
        <v>UNIQUE</v>
      </c>
      <c r="U1865" t="str">
        <f>IF(ISBLANK(Table1[[#This Row],[SizeOption]]),"NOT AVAILABLE",Table1[[#This Row],[SizeOption]])</f>
        <v>30, 32, 34, 36, 38</v>
      </c>
      <c r="Y1865" t="str">
        <f>IF(Table2[[#This Row],[Column1]]&gt;50%,"HIGH DISCOUNT","LOW DISCOUNT")</f>
        <v>HIGH DISCOUNT</v>
      </c>
    </row>
    <row r="1866" spans="1:25" x14ac:dyDescent="0.25">
      <c r="A1866" s="1" t="s">
        <v>4031</v>
      </c>
      <c r="B1866" s="1">
        <v>10622806</v>
      </c>
      <c r="C1866" s="1" t="s">
        <v>420</v>
      </c>
      <c r="D1866" s="1" t="s">
        <v>68</v>
      </c>
      <c r="E1866" s="1" t="s">
        <v>42</v>
      </c>
      <c r="F1866" s="1" t="s">
        <v>17</v>
      </c>
      <c r="G1866" s="1" t="s">
        <v>4032</v>
      </c>
      <c r="H1866">
        <v>499</v>
      </c>
      <c r="I1866" s="1">
        <v>999</v>
      </c>
      <c r="J1866" s="1" t="s">
        <v>84</v>
      </c>
      <c r="K1866" s="1" t="s">
        <v>26</v>
      </c>
      <c r="L1866" s="1">
        <v>4.2</v>
      </c>
      <c r="M1866" s="1">
        <v>714</v>
      </c>
      <c r="P1866" t="str">
        <f t="shared" si="119"/>
        <v>50%</v>
      </c>
      <c r="Q1866" s="12">
        <f t="shared" si="116"/>
        <v>0.5</v>
      </c>
      <c r="R1866" s="9">
        <f t="shared" si="117"/>
        <v>499.5</v>
      </c>
      <c r="S1866" s="9">
        <f>IF(R1866="",AVERAGEIF(Table1[Category],Table1[[#This Row],[Category]],Table2[orignal data]),Table2[[#This Row],[orignal data]])</f>
        <v>499.5</v>
      </c>
      <c r="T1866" t="str">
        <f t="shared" si="118"/>
        <v>UNIQUE</v>
      </c>
      <c r="U1866" t="str">
        <f>IF(ISBLANK(Table1[[#This Row],[SizeOption]]),"NOT AVAILABLE",Table1[[#This Row],[SizeOption]])</f>
        <v>S, M, L, XL</v>
      </c>
      <c r="Y1866" t="str">
        <f>IF(Table2[[#This Row],[Column1]]&gt;50%,"HIGH DISCOUNT","LOW DISCOUNT")</f>
        <v>LOW DISCOUNT</v>
      </c>
    </row>
    <row r="1867" spans="1:25" x14ac:dyDescent="0.25">
      <c r="A1867" s="2" t="s">
        <v>4033</v>
      </c>
      <c r="B1867" s="2">
        <v>10944440</v>
      </c>
      <c r="C1867" s="2" t="s">
        <v>14</v>
      </c>
      <c r="D1867" s="2" t="s">
        <v>28</v>
      </c>
      <c r="E1867" s="2" t="s">
        <v>29</v>
      </c>
      <c r="F1867" s="2" t="s">
        <v>17</v>
      </c>
      <c r="G1867" s="2" t="s">
        <v>4034</v>
      </c>
      <c r="H1867">
        <v>674</v>
      </c>
      <c r="I1867" s="2">
        <v>1499</v>
      </c>
      <c r="J1867" s="2" t="s">
        <v>25</v>
      </c>
      <c r="K1867" s="2" t="s">
        <v>31</v>
      </c>
      <c r="L1867" s="2">
        <v>4.3</v>
      </c>
      <c r="M1867" s="2">
        <v>714</v>
      </c>
      <c r="P1867" t="str">
        <f t="shared" si="119"/>
        <v>55%</v>
      </c>
      <c r="Q1867" s="12">
        <f t="shared" si="116"/>
        <v>0.55000000000000004</v>
      </c>
      <c r="R1867" s="9">
        <f t="shared" si="117"/>
        <v>674.55</v>
      </c>
      <c r="S1867" s="9">
        <f>IF(R1867="",AVERAGEIF(Table1[Category],Table1[[#This Row],[Category]],Table2[orignal data]),Table2[[#This Row],[orignal data]])</f>
        <v>674.55</v>
      </c>
      <c r="T1867" t="str">
        <f t="shared" si="118"/>
        <v>UNIQUE</v>
      </c>
      <c r="U1867" t="str">
        <f>IF(ISBLANK(Table1[[#This Row],[SizeOption]]),"NOT AVAILABLE",Table1[[#This Row],[SizeOption]])</f>
        <v>38, 40, 42, 44, 46, 48</v>
      </c>
      <c r="Y1867" t="str">
        <f>IF(Table2[[#This Row],[Column1]]&gt;50%,"HIGH DISCOUNT","LOW DISCOUNT")</f>
        <v>HIGH DISCOUNT</v>
      </c>
    </row>
    <row r="1868" spans="1:25" x14ac:dyDescent="0.25">
      <c r="A1868" s="1" t="s">
        <v>4035</v>
      </c>
      <c r="B1868" s="1">
        <v>12177900</v>
      </c>
      <c r="C1868" s="1" t="s">
        <v>1299</v>
      </c>
      <c r="D1868" s="1" t="s">
        <v>28</v>
      </c>
      <c r="E1868" s="1" t="s">
        <v>42</v>
      </c>
      <c r="F1868" s="1" t="s">
        <v>17</v>
      </c>
      <c r="G1868" s="1" t="s">
        <v>4036</v>
      </c>
      <c r="H1868">
        <v>399</v>
      </c>
      <c r="I1868" s="1">
        <v>799</v>
      </c>
      <c r="J1868" s="1" t="s">
        <v>84</v>
      </c>
      <c r="K1868" s="1" t="s">
        <v>39</v>
      </c>
      <c r="L1868" s="1">
        <v>4.0999999999999996</v>
      </c>
      <c r="M1868" s="1">
        <v>714</v>
      </c>
      <c r="P1868" t="str">
        <f t="shared" si="119"/>
        <v>50%</v>
      </c>
      <c r="Q1868" s="12">
        <f t="shared" si="116"/>
        <v>0.5</v>
      </c>
      <c r="R1868" s="9">
        <f t="shared" si="117"/>
        <v>399.5</v>
      </c>
      <c r="S1868" s="9">
        <f>IF(R1868="",AVERAGEIF(Table1[Category],Table1[[#This Row],[Category]],Table2[orignal data]),Table2[[#This Row],[orignal data]])</f>
        <v>399.5</v>
      </c>
      <c r="T1868" t="str">
        <f t="shared" si="118"/>
        <v>UNIQUE</v>
      </c>
      <c r="U1868" t="str">
        <f>IF(ISBLANK(Table1[[#This Row],[SizeOption]]),"NOT AVAILABLE",Table1[[#This Row],[SizeOption]])</f>
        <v>S, M, L, XL, XXL</v>
      </c>
      <c r="Y1868" t="str">
        <f>IF(Table2[[#This Row],[Column1]]&gt;50%,"HIGH DISCOUNT","LOW DISCOUNT")</f>
        <v>LOW DISCOUNT</v>
      </c>
    </row>
    <row r="1869" spans="1:25" x14ac:dyDescent="0.25">
      <c r="A1869" s="2" t="s">
        <v>4037</v>
      </c>
      <c r="B1869" s="2">
        <v>11103892</v>
      </c>
      <c r="C1869" s="2" t="s">
        <v>3402</v>
      </c>
      <c r="D1869" s="2" t="s">
        <v>28</v>
      </c>
      <c r="E1869" s="2" t="s">
        <v>29</v>
      </c>
      <c r="F1869" s="2" t="s">
        <v>17</v>
      </c>
      <c r="G1869" s="2" t="s">
        <v>4038</v>
      </c>
      <c r="H1869">
        <v>699</v>
      </c>
      <c r="I1869" s="2">
        <v>999</v>
      </c>
      <c r="J1869" s="2" t="s">
        <v>186</v>
      </c>
      <c r="K1869" s="2" t="s">
        <v>253</v>
      </c>
      <c r="L1869" s="2">
        <v>4.0999999999999996</v>
      </c>
      <c r="M1869" s="2">
        <v>714</v>
      </c>
      <c r="P1869" t="str">
        <f t="shared" si="119"/>
        <v>30%</v>
      </c>
      <c r="Q1869" s="12">
        <f t="shared" si="116"/>
        <v>0.3</v>
      </c>
      <c r="R1869" s="9">
        <f t="shared" si="117"/>
        <v>699.3</v>
      </c>
      <c r="S1869" s="9">
        <f>IF(R1869="",AVERAGEIF(Table1[Category],Table1[[#This Row],[Category]],Table2[orignal data]),Table2[[#This Row],[orignal data]])</f>
        <v>699.3</v>
      </c>
      <c r="T1869" t="str">
        <f t="shared" si="118"/>
        <v>UNIQUE</v>
      </c>
      <c r="U1869" t="str">
        <f>IF(ISBLANK(Table1[[#This Row],[SizeOption]]),"NOT AVAILABLE",Table1[[#This Row],[SizeOption]])</f>
        <v>38, 40, 42, 44</v>
      </c>
      <c r="Y1869" t="str">
        <f>IF(Table2[[#This Row],[Column1]]&gt;50%,"HIGH DISCOUNT","LOW DISCOUNT")</f>
        <v>LOW DISCOUNT</v>
      </c>
    </row>
    <row r="1870" spans="1:25" x14ac:dyDescent="0.25">
      <c r="A1870" s="1" t="s">
        <v>4039</v>
      </c>
      <c r="B1870" s="1">
        <v>13552854</v>
      </c>
      <c r="C1870" s="1" t="s">
        <v>1003</v>
      </c>
      <c r="D1870" s="1" t="s">
        <v>28</v>
      </c>
      <c r="E1870" s="1" t="s">
        <v>42</v>
      </c>
      <c r="F1870" s="1" t="s">
        <v>17</v>
      </c>
      <c r="G1870" s="1" t="s">
        <v>4040</v>
      </c>
      <c r="H1870">
        <v>449</v>
      </c>
      <c r="I1870" s="1">
        <v>999</v>
      </c>
      <c r="J1870" s="1" t="s">
        <v>25</v>
      </c>
      <c r="K1870" s="1" t="s">
        <v>234</v>
      </c>
      <c r="L1870" s="1">
        <v>4.5</v>
      </c>
      <c r="M1870" s="1">
        <v>714</v>
      </c>
      <c r="P1870" t="str">
        <f t="shared" si="119"/>
        <v>55%</v>
      </c>
      <c r="Q1870" s="12">
        <f t="shared" si="116"/>
        <v>0.55000000000000004</v>
      </c>
      <c r="R1870" s="9">
        <f t="shared" si="117"/>
        <v>449.54999999999995</v>
      </c>
      <c r="S1870" s="9">
        <f>IF(R1870="",AVERAGEIF(Table1[Category],Table1[[#This Row],[Category]],Table2[orignal data]),Table2[[#This Row],[orignal data]])</f>
        <v>449.54999999999995</v>
      </c>
      <c r="T1870" t="str">
        <f t="shared" si="118"/>
        <v>UNIQUE</v>
      </c>
      <c r="U1870" t="str">
        <f>IF(ISBLANK(Table1[[#This Row],[SizeOption]]),"NOT AVAILABLE",Table1[[#This Row],[SizeOption]])</f>
        <v>S, M, L, XL, XXL, 3XL</v>
      </c>
      <c r="Y1870" t="str">
        <f>IF(Table2[[#This Row],[Column1]]&gt;50%,"HIGH DISCOUNT","LOW DISCOUNT")</f>
        <v>HIGH DISCOUNT</v>
      </c>
    </row>
    <row r="1871" spans="1:25" x14ac:dyDescent="0.25">
      <c r="A1871" s="2" t="s">
        <v>4041</v>
      </c>
      <c r="B1871" s="2">
        <v>11732974</v>
      </c>
      <c r="C1871" s="2" t="s">
        <v>221</v>
      </c>
      <c r="D1871" s="2" t="s">
        <v>98</v>
      </c>
      <c r="E1871" s="2" t="s">
        <v>48</v>
      </c>
      <c r="F1871" s="2" t="s">
        <v>36</v>
      </c>
      <c r="G1871" s="2" t="s">
        <v>4042</v>
      </c>
      <c r="H1871">
        <v>542</v>
      </c>
      <c r="I1871" s="2">
        <v>1549</v>
      </c>
      <c r="J1871" s="2" t="s">
        <v>150</v>
      </c>
      <c r="K1871" s="2" t="s">
        <v>223</v>
      </c>
      <c r="L1871" s="2">
        <v>3.9</v>
      </c>
      <c r="M1871" s="2">
        <v>714</v>
      </c>
      <c r="P1871" t="str">
        <f t="shared" si="119"/>
        <v>65%</v>
      </c>
      <c r="Q1871" s="12">
        <f t="shared" si="116"/>
        <v>0.65</v>
      </c>
      <c r="R1871" s="9">
        <f t="shared" si="117"/>
        <v>542.15</v>
      </c>
      <c r="S1871" s="9">
        <f>IF(R1871="",AVERAGEIF(Table1[Category],Table1[[#This Row],[Category]],Table2[orignal data]),Table2[[#This Row],[orignal data]])</f>
        <v>542.15</v>
      </c>
      <c r="T1871" t="str">
        <f t="shared" si="118"/>
        <v>UNIQUE</v>
      </c>
      <c r="U1871" t="str">
        <f>IF(ISBLANK(Table1[[#This Row],[SizeOption]]),"NOT AVAILABLE",Table1[[#This Row],[SizeOption]])</f>
        <v>S, M, L, XL, XXL, 3XL, 4XL</v>
      </c>
      <c r="Y1871" t="str">
        <f>IF(Table2[[#This Row],[Column1]]&gt;50%,"HIGH DISCOUNT","LOW DISCOUNT")</f>
        <v>HIGH DISCOUNT</v>
      </c>
    </row>
    <row r="1872" spans="1:25" x14ac:dyDescent="0.25">
      <c r="A1872" s="1" t="s">
        <v>4043</v>
      </c>
      <c r="B1872" s="1">
        <v>10177963</v>
      </c>
      <c r="C1872" s="1" t="s">
        <v>64</v>
      </c>
      <c r="D1872" s="1" t="s">
        <v>98</v>
      </c>
      <c r="E1872" s="1" t="s">
        <v>189</v>
      </c>
      <c r="F1872" s="1" t="s">
        <v>36</v>
      </c>
      <c r="G1872" s="1" t="s">
        <v>4044</v>
      </c>
      <c r="H1872">
        <v>2169</v>
      </c>
      <c r="I1872" s="1">
        <v>6199</v>
      </c>
      <c r="J1872" s="1" t="s">
        <v>150</v>
      </c>
      <c r="K1872" s="1" t="s">
        <v>100</v>
      </c>
      <c r="L1872" s="1">
        <v>4.5</v>
      </c>
      <c r="M1872" s="1">
        <v>714</v>
      </c>
      <c r="P1872" t="str">
        <f t="shared" si="119"/>
        <v>65%</v>
      </c>
      <c r="Q1872" s="12">
        <f t="shared" si="116"/>
        <v>0.65</v>
      </c>
      <c r="R1872" s="9">
        <f t="shared" si="117"/>
        <v>2169.6499999999996</v>
      </c>
      <c r="S1872" s="9">
        <f>IF(R1872="",AVERAGEIF(Table1[Category],Table1[[#This Row],[Category]],Table2[orignal data]),Table2[[#This Row],[orignal data]])</f>
        <v>2169.6499999999996</v>
      </c>
      <c r="T1872" t="str">
        <f t="shared" si="118"/>
        <v>UNIQUE</v>
      </c>
      <c r="U1872" t="str">
        <f>IF(ISBLANK(Table1[[#This Row],[SizeOption]]),"NOT AVAILABLE",Table1[[#This Row],[SizeOption]])</f>
        <v>XS, S, M, L, XL, XXL, 3XL</v>
      </c>
      <c r="Y1872" t="str">
        <f>IF(Table2[[#This Row],[Column1]]&gt;50%,"HIGH DISCOUNT","LOW DISCOUNT")</f>
        <v>HIGH DISCOUNT</v>
      </c>
    </row>
    <row r="1873" spans="1:25" x14ac:dyDescent="0.25">
      <c r="A1873" s="2" t="s">
        <v>4045</v>
      </c>
      <c r="B1873" s="2">
        <v>8813221</v>
      </c>
      <c r="C1873" s="2" t="s">
        <v>201</v>
      </c>
      <c r="D1873" s="2" t="s">
        <v>98</v>
      </c>
      <c r="E1873" s="2" t="s">
        <v>42</v>
      </c>
      <c r="F1873" s="2" t="s">
        <v>36</v>
      </c>
      <c r="G1873" s="2" t="s">
        <v>4046</v>
      </c>
      <c r="H1873">
        <v>399</v>
      </c>
      <c r="I1873" s="2">
        <v>799</v>
      </c>
      <c r="J1873" s="2" t="s">
        <v>84</v>
      </c>
      <c r="K1873" s="2" t="s">
        <v>100</v>
      </c>
      <c r="L1873" s="2">
        <v>3.9</v>
      </c>
      <c r="M1873" s="2">
        <v>714</v>
      </c>
      <c r="P1873" t="str">
        <f t="shared" si="119"/>
        <v>50%</v>
      </c>
      <c r="Q1873" s="12">
        <f t="shared" si="116"/>
        <v>0.5</v>
      </c>
      <c r="R1873" s="9">
        <f t="shared" si="117"/>
        <v>399.5</v>
      </c>
      <c r="S1873" s="9">
        <f>IF(R1873="",AVERAGEIF(Table1[Category],Table1[[#This Row],[Category]],Table2[orignal data]),Table2[[#This Row],[orignal data]])</f>
        <v>399.5</v>
      </c>
      <c r="T1873" t="str">
        <f t="shared" si="118"/>
        <v>UNIQUE</v>
      </c>
      <c r="U1873" t="str">
        <f>IF(ISBLANK(Table1[[#This Row],[SizeOption]]),"NOT AVAILABLE",Table1[[#This Row],[SizeOption]])</f>
        <v>XS, S, M, L, XL, XXL, 3XL</v>
      </c>
      <c r="Y1873" t="str">
        <f>IF(Table2[[#This Row],[Column1]]&gt;50%,"HIGH DISCOUNT","LOW DISCOUNT")</f>
        <v>LOW DISCOUNT</v>
      </c>
    </row>
    <row r="1874" spans="1:25" x14ac:dyDescent="0.25">
      <c r="A1874" s="1" t="s">
        <v>4047</v>
      </c>
      <c r="B1874" s="1">
        <v>8813303</v>
      </c>
      <c r="C1874" s="1" t="s">
        <v>201</v>
      </c>
      <c r="D1874" s="1" t="s">
        <v>98</v>
      </c>
      <c r="E1874" s="1" t="s">
        <v>42</v>
      </c>
      <c r="F1874" s="1" t="s">
        <v>36</v>
      </c>
      <c r="G1874" s="1" t="s">
        <v>4048</v>
      </c>
      <c r="H1874">
        <v>569</v>
      </c>
      <c r="I1874" s="1">
        <v>949</v>
      </c>
      <c r="J1874" s="1" t="s">
        <v>50</v>
      </c>
      <c r="K1874" s="1" t="s">
        <v>100</v>
      </c>
      <c r="L1874" s="1">
        <v>3.8</v>
      </c>
      <c r="M1874" s="1">
        <v>714</v>
      </c>
      <c r="P1874" t="str">
        <f t="shared" si="119"/>
        <v>40%</v>
      </c>
      <c r="Q1874" s="12">
        <f t="shared" si="116"/>
        <v>0.4</v>
      </c>
      <c r="R1874" s="9">
        <f t="shared" si="117"/>
        <v>569.4</v>
      </c>
      <c r="S1874" s="9">
        <f>IF(R1874="",AVERAGEIF(Table1[Category],Table1[[#This Row],[Category]],Table2[orignal data]),Table2[[#This Row],[orignal data]])</f>
        <v>569.4</v>
      </c>
      <c r="T1874" t="str">
        <f t="shared" si="118"/>
        <v>UNIQUE</v>
      </c>
      <c r="U1874" t="str">
        <f>IF(ISBLANK(Table1[[#This Row],[SizeOption]]),"NOT AVAILABLE",Table1[[#This Row],[SizeOption]])</f>
        <v>XS, S, M, L, XL, XXL, 3XL</v>
      </c>
      <c r="Y1874" t="str">
        <f>IF(Table2[[#This Row],[Column1]]&gt;50%,"HIGH DISCOUNT","LOW DISCOUNT")</f>
        <v>LOW DISCOUNT</v>
      </c>
    </row>
    <row r="1875" spans="1:25" x14ac:dyDescent="0.25">
      <c r="A1875" s="2" t="s">
        <v>4049</v>
      </c>
      <c r="B1875" s="2">
        <v>10967442</v>
      </c>
      <c r="C1875" s="2" t="s">
        <v>14</v>
      </c>
      <c r="D1875" s="2" t="s">
        <v>41</v>
      </c>
      <c r="E1875" s="2" t="s">
        <v>579</v>
      </c>
      <c r="F1875" s="2" t="s">
        <v>36</v>
      </c>
      <c r="G1875" s="2" t="s">
        <v>4050</v>
      </c>
      <c r="I1875" s="2">
        <v>1299</v>
      </c>
      <c r="J1875" s="2" t="s">
        <v>19</v>
      </c>
      <c r="K1875" s="2" t="s">
        <v>134</v>
      </c>
      <c r="L1875" s="2">
        <v>4.0999999999999996</v>
      </c>
      <c r="M1875" s="2">
        <v>714</v>
      </c>
      <c r="P1875" t="str">
        <f t="shared" si="119"/>
        <v>45%</v>
      </c>
      <c r="Q1875" s="12">
        <f t="shared" si="116"/>
        <v>0.45</v>
      </c>
      <c r="R1875" s="9">
        <f t="shared" si="117"/>
        <v>714.44999999999993</v>
      </c>
      <c r="S1875" s="9">
        <f>IF(R1875="",AVERAGEIF(Table1[Category],Table1[[#This Row],[Category]],Table2[orignal data]),Table2[[#This Row],[orignal data]])</f>
        <v>714.44999999999993</v>
      </c>
      <c r="T1875" t="str">
        <f t="shared" si="118"/>
        <v>UNIQUE</v>
      </c>
      <c r="U1875" t="str">
        <f>IF(ISBLANK(Table1[[#This Row],[SizeOption]]),"NOT AVAILABLE",Table1[[#This Row],[SizeOption]])</f>
        <v>26, 28, 30, 32, 34, 36</v>
      </c>
      <c r="Y1875" t="str">
        <f>IF(Table2[[#This Row],[Column1]]&gt;50%,"HIGH DISCOUNT","LOW DISCOUNT")</f>
        <v>LOW DISCOUNT</v>
      </c>
    </row>
    <row r="1876" spans="1:25" x14ac:dyDescent="0.25">
      <c r="A1876" s="1" t="s">
        <v>4051</v>
      </c>
      <c r="B1876" s="1">
        <v>17384852</v>
      </c>
      <c r="C1876" s="1" t="s">
        <v>14</v>
      </c>
      <c r="D1876" s="1" t="s">
        <v>41</v>
      </c>
      <c r="E1876" s="1" t="s">
        <v>42</v>
      </c>
      <c r="F1876" s="1" t="s">
        <v>36</v>
      </c>
      <c r="G1876" s="1" t="s">
        <v>1405</v>
      </c>
      <c r="I1876" s="1">
        <v>1398</v>
      </c>
      <c r="J1876" s="1" t="s">
        <v>84</v>
      </c>
      <c r="K1876" s="1" t="s">
        <v>45</v>
      </c>
      <c r="L1876" s="1">
        <v>4.4000000000000004</v>
      </c>
      <c r="M1876" s="1">
        <v>714</v>
      </c>
      <c r="P1876" t="str">
        <f t="shared" si="119"/>
        <v>50%</v>
      </c>
      <c r="Q1876" s="12">
        <f t="shared" si="116"/>
        <v>0.5</v>
      </c>
      <c r="R1876" s="9">
        <f t="shared" si="117"/>
        <v>699</v>
      </c>
      <c r="S1876" s="9">
        <f>IF(R1876="",AVERAGEIF(Table1[Category],Table1[[#This Row],[Category]],Table2[orignal data]),Table2[[#This Row],[orignal data]])</f>
        <v>699</v>
      </c>
      <c r="T1876" t="str">
        <f t="shared" si="118"/>
        <v>UNIQUE</v>
      </c>
      <c r="U1876" t="str">
        <f>IF(ISBLANK(Table1[[#This Row],[SizeOption]]),"NOT AVAILABLE",Table1[[#This Row],[SizeOption]])</f>
        <v>XS, S, M, L, XL</v>
      </c>
      <c r="Y1876" t="str">
        <f>IF(Table2[[#This Row],[Column1]]&gt;50%,"HIGH DISCOUNT","LOW DISCOUNT")</f>
        <v>LOW DISCOUNT</v>
      </c>
    </row>
    <row r="1877" spans="1:25" x14ac:dyDescent="0.25">
      <c r="A1877" s="2" t="s">
        <v>4052</v>
      </c>
      <c r="B1877" s="2">
        <v>11296134</v>
      </c>
      <c r="C1877" s="2" t="s">
        <v>14</v>
      </c>
      <c r="D1877" s="2" t="s">
        <v>41</v>
      </c>
      <c r="E1877" s="2" t="s">
        <v>42</v>
      </c>
      <c r="F1877" s="2" t="s">
        <v>36</v>
      </c>
      <c r="G1877" s="2" t="s">
        <v>4053</v>
      </c>
      <c r="I1877" s="2">
        <v>899</v>
      </c>
      <c r="J1877" s="2" t="s">
        <v>55</v>
      </c>
      <c r="K1877" s="2" t="s">
        <v>45</v>
      </c>
      <c r="L1877" s="2">
        <v>4.0999999999999996</v>
      </c>
      <c r="M1877" s="2">
        <v>714</v>
      </c>
      <c r="P1877" t="str">
        <f t="shared" si="119"/>
        <v>60%</v>
      </c>
      <c r="Q1877" s="12">
        <f t="shared" si="116"/>
        <v>0.6</v>
      </c>
      <c r="R1877" s="9">
        <f t="shared" si="117"/>
        <v>359.6</v>
      </c>
      <c r="S1877" s="9">
        <f>IF(R1877="",AVERAGEIF(Table1[Category],Table1[[#This Row],[Category]],Table2[orignal data]),Table2[[#This Row],[orignal data]])</f>
        <v>359.6</v>
      </c>
      <c r="T1877" t="str">
        <f t="shared" si="118"/>
        <v>UNIQUE</v>
      </c>
      <c r="U1877" t="str">
        <f>IF(ISBLANK(Table1[[#This Row],[SizeOption]]),"NOT AVAILABLE",Table1[[#This Row],[SizeOption]])</f>
        <v>XS, S, M, L, XL</v>
      </c>
      <c r="Y1877" t="str">
        <f>IF(Table2[[#This Row],[Column1]]&gt;50%,"HIGH DISCOUNT","LOW DISCOUNT")</f>
        <v>HIGH DISCOUNT</v>
      </c>
    </row>
    <row r="1878" spans="1:25" x14ac:dyDescent="0.25">
      <c r="A1878" s="1" t="s">
        <v>4054</v>
      </c>
      <c r="B1878" s="1">
        <v>8424729</v>
      </c>
      <c r="C1878" s="1" t="s">
        <v>169</v>
      </c>
      <c r="D1878" s="1" t="s">
        <v>15</v>
      </c>
      <c r="E1878" s="1" t="s">
        <v>16</v>
      </c>
      <c r="F1878" s="1" t="s">
        <v>17</v>
      </c>
      <c r="G1878" s="1" t="s">
        <v>2511</v>
      </c>
      <c r="H1878">
        <v>1429</v>
      </c>
      <c r="I1878" s="1">
        <v>2599</v>
      </c>
      <c r="J1878" s="1" t="s">
        <v>19</v>
      </c>
      <c r="K1878" s="1" t="s">
        <v>171</v>
      </c>
      <c r="L1878" s="1">
        <v>4.0999999999999996</v>
      </c>
      <c r="M1878" s="1">
        <v>713</v>
      </c>
      <c r="P1878" t="str">
        <f t="shared" si="119"/>
        <v>45%</v>
      </c>
      <c r="Q1878" s="12">
        <f t="shared" si="116"/>
        <v>0.45</v>
      </c>
      <c r="R1878" s="9">
        <f t="shared" si="117"/>
        <v>1429.45</v>
      </c>
      <c r="S1878" s="9">
        <f>IF(R1878="",AVERAGEIF(Table1[Category],Table1[[#This Row],[Category]],Table2[orignal data]),Table2[[#This Row],[orignal data]])</f>
        <v>1429.45</v>
      </c>
      <c r="T1878" t="str">
        <f t="shared" si="118"/>
        <v>UNIQUE</v>
      </c>
      <c r="U1878" t="str">
        <f>IF(ISBLANK(Table1[[#This Row],[SizeOption]]),"NOT AVAILABLE",Table1[[#This Row],[SizeOption]])</f>
        <v>28, 30, 32, 34, 36, 38</v>
      </c>
      <c r="Y1878" t="str">
        <f>IF(Table2[[#This Row],[Column1]]&gt;50%,"HIGH DISCOUNT","LOW DISCOUNT")</f>
        <v>LOW DISCOUNT</v>
      </c>
    </row>
    <row r="1879" spans="1:25" x14ac:dyDescent="0.25">
      <c r="A1879" s="2" t="s">
        <v>4055</v>
      </c>
      <c r="B1879" s="2">
        <v>8962323</v>
      </c>
      <c r="C1879" s="2" t="s">
        <v>14</v>
      </c>
      <c r="D1879" s="2" t="s">
        <v>15</v>
      </c>
      <c r="E1879" s="2" t="s">
        <v>16</v>
      </c>
      <c r="F1879" s="2" t="s">
        <v>17</v>
      </c>
      <c r="G1879" s="2" t="s">
        <v>4056</v>
      </c>
      <c r="H1879">
        <v>899</v>
      </c>
      <c r="I1879" s="2">
        <v>1999</v>
      </c>
      <c r="J1879" s="2" t="s">
        <v>25</v>
      </c>
      <c r="K1879" s="2" t="s">
        <v>134</v>
      </c>
      <c r="L1879" s="2">
        <v>3.8</v>
      </c>
      <c r="M1879" s="2">
        <v>713</v>
      </c>
      <c r="P1879" t="str">
        <f t="shared" si="119"/>
        <v>55%</v>
      </c>
      <c r="Q1879" s="12">
        <f t="shared" si="116"/>
        <v>0.55000000000000004</v>
      </c>
      <c r="R1879" s="9">
        <f t="shared" si="117"/>
        <v>899.55</v>
      </c>
      <c r="S1879" s="9">
        <f>IF(R1879="",AVERAGEIF(Table1[Category],Table1[[#This Row],[Category]],Table2[orignal data]),Table2[[#This Row],[orignal data]])</f>
        <v>899.55</v>
      </c>
      <c r="T1879" t="str">
        <f t="shared" si="118"/>
        <v>UNIQUE</v>
      </c>
      <c r="U1879" t="str">
        <f>IF(ISBLANK(Table1[[#This Row],[SizeOption]]),"NOT AVAILABLE",Table1[[#This Row],[SizeOption]])</f>
        <v>26, 28, 30, 32, 34, 36</v>
      </c>
      <c r="Y1879" t="str">
        <f>IF(Table2[[#This Row],[Column1]]&gt;50%,"HIGH DISCOUNT","LOW DISCOUNT")</f>
        <v>HIGH DISCOUNT</v>
      </c>
    </row>
    <row r="1880" spans="1:25" x14ac:dyDescent="0.25">
      <c r="A1880" s="1" t="s">
        <v>4057</v>
      </c>
      <c r="B1880" s="1">
        <v>8375973</v>
      </c>
      <c r="C1880" s="1" t="s">
        <v>420</v>
      </c>
      <c r="D1880" s="1" t="s">
        <v>15</v>
      </c>
      <c r="E1880" s="1" t="s">
        <v>16</v>
      </c>
      <c r="F1880" s="1" t="s">
        <v>17</v>
      </c>
      <c r="G1880" s="1" t="s">
        <v>1514</v>
      </c>
      <c r="H1880">
        <v>781</v>
      </c>
      <c r="I1880" s="1">
        <v>1699</v>
      </c>
      <c r="J1880" s="1" t="s">
        <v>606</v>
      </c>
      <c r="K1880" s="1" t="s">
        <v>56</v>
      </c>
      <c r="L1880" s="1">
        <v>3.4</v>
      </c>
      <c r="M1880" s="1">
        <v>713</v>
      </c>
      <c r="P1880" t="str">
        <f t="shared" si="119"/>
        <v>54%</v>
      </c>
      <c r="Q1880" s="12">
        <f t="shared" si="116"/>
        <v>0.54</v>
      </c>
      <c r="R1880" s="9">
        <f t="shared" si="117"/>
        <v>781.54</v>
      </c>
      <c r="S1880" s="9">
        <f>IF(R1880="",AVERAGEIF(Table1[Category],Table1[[#This Row],[Category]],Table2[orignal data]),Table2[[#This Row],[orignal data]])</f>
        <v>781.54</v>
      </c>
      <c r="T1880" t="str">
        <f t="shared" si="118"/>
        <v>UNIQUE</v>
      </c>
      <c r="U1880" t="str">
        <f>IF(ISBLANK(Table1[[#This Row],[SizeOption]]),"NOT AVAILABLE",Table1[[#This Row],[SizeOption]])</f>
        <v>30, 32, 34, 36</v>
      </c>
      <c r="Y1880" t="str">
        <f>IF(Table2[[#This Row],[Column1]]&gt;50%,"HIGH DISCOUNT","LOW DISCOUNT")</f>
        <v>HIGH DISCOUNT</v>
      </c>
    </row>
    <row r="1881" spans="1:25" x14ac:dyDescent="0.25">
      <c r="A1881" s="2" t="s">
        <v>4058</v>
      </c>
      <c r="B1881" s="2">
        <v>10285707</v>
      </c>
      <c r="C1881" s="2" t="s">
        <v>52</v>
      </c>
      <c r="D1881" s="2" t="s">
        <v>15</v>
      </c>
      <c r="E1881" s="2" t="s">
        <v>137</v>
      </c>
      <c r="F1881" s="2" t="s">
        <v>17</v>
      </c>
      <c r="G1881" s="2" t="s">
        <v>4059</v>
      </c>
      <c r="H1881">
        <v>487</v>
      </c>
      <c r="I1881" s="2">
        <v>1249</v>
      </c>
      <c r="J1881" s="2" t="s">
        <v>104</v>
      </c>
      <c r="K1881" s="2" t="s">
        <v>56</v>
      </c>
      <c r="L1881" s="2">
        <v>4.3</v>
      </c>
      <c r="M1881" s="2">
        <v>713</v>
      </c>
      <c r="P1881" t="str">
        <f t="shared" si="119"/>
        <v>61%</v>
      </c>
      <c r="Q1881" s="12">
        <f t="shared" si="116"/>
        <v>0.61</v>
      </c>
      <c r="R1881" s="9">
        <f t="shared" si="117"/>
        <v>487.11</v>
      </c>
      <c r="S1881" s="9">
        <f>IF(R1881="",AVERAGEIF(Table1[Category],Table1[[#This Row],[Category]],Table2[orignal data]),Table2[[#This Row],[orignal data]])</f>
        <v>487.11</v>
      </c>
      <c r="T1881" t="str">
        <f t="shared" si="118"/>
        <v>UNIQUE</v>
      </c>
      <c r="U1881" t="str">
        <f>IF(ISBLANK(Table1[[#This Row],[SizeOption]]),"NOT AVAILABLE",Table1[[#This Row],[SizeOption]])</f>
        <v>30, 32, 34, 36</v>
      </c>
      <c r="Y1881" t="str">
        <f>IF(Table2[[#This Row],[Column1]]&gt;50%,"HIGH DISCOUNT","LOW DISCOUNT")</f>
        <v>HIGH DISCOUNT</v>
      </c>
    </row>
    <row r="1882" spans="1:25" x14ac:dyDescent="0.25">
      <c r="A1882" s="1" t="s">
        <v>4060</v>
      </c>
      <c r="B1882" s="1">
        <v>7076513</v>
      </c>
      <c r="C1882" s="1" t="s">
        <v>64</v>
      </c>
      <c r="D1882" s="1" t="s">
        <v>28</v>
      </c>
      <c r="E1882" s="1" t="s">
        <v>29</v>
      </c>
      <c r="F1882" s="1" t="s">
        <v>17</v>
      </c>
      <c r="G1882" s="1" t="s">
        <v>4061</v>
      </c>
      <c r="H1882">
        <v>787</v>
      </c>
      <c r="I1882" s="1">
        <v>2249</v>
      </c>
      <c r="J1882" s="1" t="s">
        <v>150</v>
      </c>
      <c r="K1882" s="1" t="s">
        <v>361</v>
      </c>
      <c r="L1882" s="1">
        <v>3.6</v>
      </c>
      <c r="M1882" s="1">
        <v>713</v>
      </c>
      <c r="P1882" t="str">
        <f t="shared" si="119"/>
        <v>65%</v>
      </c>
      <c r="Q1882" s="12">
        <f t="shared" si="116"/>
        <v>0.65</v>
      </c>
      <c r="R1882" s="9">
        <f t="shared" si="117"/>
        <v>787.14999999999986</v>
      </c>
      <c r="S1882" s="9">
        <f>IF(R1882="",AVERAGEIF(Table1[Category],Table1[[#This Row],[Category]],Table2[orignal data]),Table2[[#This Row],[orignal data]])</f>
        <v>787.14999999999986</v>
      </c>
      <c r="T1882" t="str">
        <f t="shared" si="118"/>
        <v>UNIQUE</v>
      </c>
      <c r="U1882" t="str">
        <f>IF(ISBLANK(Table1[[#This Row],[SizeOption]]),"NOT AVAILABLE",Table1[[#This Row],[SizeOption]])</f>
        <v>38, 40, 42, 44, 46</v>
      </c>
      <c r="Y1882" t="str">
        <f>IF(Table2[[#This Row],[Column1]]&gt;50%,"HIGH DISCOUNT","LOW DISCOUNT")</f>
        <v>HIGH DISCOUNT</v>
      </c>
    </row>
    <row r="1883" spans="1:25" x14ac:dyDescent="0.25">
      <c r="A1883" s="2" t="s">
        <v>4062</v>
      </c>
      <c r="B1883" s="2">
        <v>2472406</v>
      </c>
      <c r="C1883" s="2" t="s">
        <v>181</v>
      </c>
      <c r="D1883" s="2" t="s">
        <v>41</v>
      </c>
      <c r="E1883" s="2" t="s">
        <v>48</v>
      </c>
      <c r="F1883" s="2" t="s">
        <v>36</v>
      </c>
      <c r="G1883" s="2" t="s">
        <v>4063</v>
      </c>
      <c r="I1883" s="2">
        <v>1199</v>
      </c>
      <c r="J1883" s="2" t="s">
        <v>84</v>
      </c>
      <c r="K1883" s="2" t="s">
        <v>45</v>
      </c>
      <c r="L1883" s="2">
        <v>4.4000000000000004</v>
      </c>
      <c r="M1883" s="2">
        <v>713</v>
      </c>
      <c r="P1883" t="str">
        <f t="shared" si="119"/>
        <v>50%</v>
      </c>
      <c r="Q1883" s="12">
        <f t="shared" si="116"/>
        <v>0.5</v>
      </c>
      <c r="R1883" s="9">
        <f t="shared" si="117"/>
        <v>599.5</v>
      </c>
      <c r="S1883" s="9">
        <f>IF(R1883="",AVERAGEIF(Table1[Category],Table1[[#This Row],[Category]],Table2[orignal data]),Table2[[#This Row],[orignal data]])</f>
        <v>599.5</v>
      </c>
      <c r="T1883" t="str">
        <f t="shared" si="118"/>
        <v>UNIQUE</v>
      </c>
      <c r="U1883" t="str">
        <f>IF(ISBLANK(Table1[[#This Row],[SizeOption]]),"NOT AVAILABLE",Table1[[#This Row],[SizeOption]])</f>
        <v>XS, S, M, L, XL</v>
      </c>
      <c r="Y1883" t="str">
        <f>IF(Table2[[#This Row],[Column1]]&gt;50%,"HIGH DISCOUNT","LOW DISCOUNT")</f>
        <v>LOW DISCOUNT</v>
      </c>
    </row>
    <row r="1884" spans="1:25" x14ac:dyDescent="0.25">
      <c r="A1884" s="1" t="s">
        <v>4064</v>
      </c>
      <c r="B1884" s="1">
        <v>17523502</v>
      </c>
      <c r="C1884" s="1" t="s">
        <v>47</v>
      </c>
      <c r="D1884" s="1" t="s">
        <v>41</v>
      </c>
      <c r="E1884" s="1" t="s">
        <v>42</v>
      </c>
      <c r="F1884" s="1" t="s">
        <v>36</v>
      </c>
      <c r="G1884" s="1" t="s">
        <v>2637</v>
      </c>
      <c r="I1884" s="1">
        <v>1398</v>
      </c>
      <c r="J1884" s="1" t="s">
        <v>84</v>
      </c>
      <c r="K1884" s="1" t="s">
        <v>45</v>
      </c>
      <c r="L1884" s="1">
        <v>4.3</v>
      </c>
      <c r="M1884" s="1">
        <v>713</v>
      </c>
      <c r="P1884" t="str">
        <f t="shared" si="119"/>
        <v>50%</v>
      </c>
      <c r="Q1884" s="12">
        <f t="shared" si="116"/>
        <v>0.5</v>
      </c>
      <c r="R1884" s="9">
        <f t="shared" si="117"/>
        <v>699</v>
      </c>
      <c r="S1884" s="9">
        <f>IF(R1884="",AVERAGEIF(Table1[Category],Table1[[#This Row],[Category]],Table2[orignal data]),Table2[[#This Row],[orignal data]])</f>
        <v>699</v>
      </c>
      <c r="T1884" t="str">
        <f t="shared" si="118"/>
        <v>UNIQUE</v>
      </c>
      <c r="U1884" t="str">
        <f>IF(ISBLANK(Table1[[#This Row],[SizeOption]]),"NOT AVAILABLE",Table1[[#This Row],[SizeOption]])</f>
        <v>XS, S, M, L, XL</v>
      </c>
      <c r="Y1884" t="str">
        <f>IF(Table2[[#This Row],[Column1]]&gt;50%,"HIGH DISCOUNT","LOW DISCOUNT")</f>
        <v>LOW DISCOUNT</v>
      </c>
    </row>
    <row r="1885" spans="1:25" x14ac:dyDescent="0.25">
      <c r="A1885" s="2" t="s">
        <v>4065</v>
      </c>
      <c r="B1885" s="2">
        <v>8643259</v>
      </c>
      <c r="C1885" s="2" t="s">
        <v>181</v>
      </c>
      <c r="D1885" s="2" t="s">
        <v>41</v>
      </c>
      <c r="E1885" s="2" t="s">
        <v>148</v>
      </c>
      <c r="F1885" s="2" t="s">
        <v>36</v>
      </c>
      <c r="G1885" s="2" t="s">
        <v>4066</v>
      </c>
      <c r="I1885" s="2">
        <v>2299</v>
      </c>
      <c r="J1885" s="2" t="s">
        <v>84</v>
      </c>
      <c r="K1885" s="2" t="s">
        <v>115</v>
      </c>
      <c r="L1885" s="2">
        <v>4.4000000000000004</v>
      </c>
      <c r="M1885" s="2">
        <v>713</v>
      </c>
      <c r="P1885" t="str">
        <f t="shared" si="119"/>
        <v>50%</v>
      </c>
      <c r="Q1885" s="12">
        <f t="shared" si="116"/>
        <v>0.5</v>
      </c>
      <c r="R1885" s="9">
        <f t="shared" si="117"/>
        <v>1149.5</v>
      </c>
      <c r="S1885" s="9">
        <f>IF(R1885="",AVERAGEIF(Table1[Category],Table1[[#This Row],[Category]],Table2[orignal data]),Table2[[#This Row],[orignal data]])</f>
        <v>1149.5</v>
      </c>
      <c r="T1885" t="str">
        <f t="shared" si="118"/>
        <v>UNIQUE</v>
      </c>
      <c r="U1885" t="str">
        <f>IF(ISBLANK(Table1[[#This Row],[SizeOption]]),"NOT AVAILABLE",Table1[[#This Row],[SizeOption]])</f>
        <v>XS, S, M, L, XL, XXL</v>
      </c>
      <c r="Y1885" t="str">
        <f>IF(Table2[[#This Row],[Column1]]&gt;50%,"HIGH DISCOUNT","LOW DISCOUNT")</f>
        <v>LOW DISCOUNT</v>
      </c>
    </row>
    <row r="1886" spans="1:25" x14ac:dyDescent="0.25">
      <c r="A1886" s="1" t="s">
        <v>4067</v>
      </c>
      <c r="B1886" s="1">
        <v>7490098</v>
      </c>
      <c r="C1886" s="1" t="s">
        <v>14</v>
      </c>
      <c r="D1886" s="1" t="s">
        <v>41</v>
      </c>
      <c r="E1886" s="1" t="s">
        <v>42</v>
      </c>
      <c r="F1886" s="1" t="s">
        <v>36</v>
      </c>
      <c r="G1886" s="1" t="s">
        <v>4068</v>
      </c>
      <c r="I1886" s="1">
        <v>699</v>
      </c>
      <c r="J1886" s="1" t="s">
        <v>19</v>
      </c>
      <c r="K1886" s="1" t="s">
        <v>45</v>
      </c>
      <c r="L1886" s="1">
        <v>4.0999999999999996</v>
      </c>
      <c r="M1886" s="1">
        <v>713</v>
      </c>
      <c r="P1886" t="str">
        <f t="shared" si="119"/>
        <v>45%</v>
      </c>
      <c r="Q1886" s="12">
        <f t="shared" si="116"/>
        <v>0.45</v>
      </c>
      <c r="R1886" s="9">
        <f t="shared" si="117"/>
        <v>384.45</v>
      </c>
      <c r="S1886" s="9">
        <f>IF(R1886="",AVERAGEIF(Table1[Category],Table1[[#This Row],[Category]],Table2[orignal data]),Table2[[#This Row],[orignal data]])</f>
        <v>384.45</v>
      </c>
      <c r="T1886" t="str">
        <f t="shared" si="118"/>
        <v>UNIQUE</v>
      </c>
      <c r="U1886" t="str">
        <f>IF(ISBLANK(Table1[[#This Row],[SizeOption]]),"NOT AVAILABLE",Table1[[#This Row],[SizeOption]])</f>
        <v>XS, S, M, L, XL</v>
      </c>
      <c r="Y1886" t="str">
        <f>IF(Table2[[#This Row],[Column1]]&gt;50%,"HIGH DISCOUNT","LOW DISCOUNT")</f>
        <v>LOW DISCOUNT</v>
      </c>
    </row>
    <row r="1887" spans="1:25" x14ac:dyDescent="0.25">
      <c r="A1887" s="2" t="s">
        <v>4069</v>
      </c>
      <c r="B1887" s="2">
        <v>2312844</v>
      </c>
      <c r="C1887" s="2" t="s">
        <v>14</v>
      </c>
      <c r="D1887" s="2" t="s">
        <v>41</v>
      </c>
      <c r="E1887" s="2" t="s">
        <v>48</v>
      </c>
      <c r="F1887" s="2" t="s">
        <v>36</v>
      </c>
      <c r="G1887" s="2" t="s">
        <v>4070</v>
      </c>
      <c r="I1887" s="2">
        <v>799</v>
      </c>
      <c r="J1887" s="2" t="s">
        <v>55</v>
      </c>
      <c r="K1887" s="2" t="s">
        <v>45</v>
      </c>
      <c r="L1887" s="2">
        <v>4.2</v>
      </c>
      <c r="M1887" s="2">
        <v>713</v>
      </c>
      <c r="P1887" t="str">
        <f t="shared" si="119"/>
        <v>60%</v>
      </c>
      <c r="Q1887" s="12">
        <f t="shared" si="116"/>
        <v>0.6</v>
      </c>
      <c r="R1887" s="9">
        <f t="shared" si="117"/>
        <v>319.60000000000002</v>
      </c>
      <c r="S1887" s="9">
        <f>IF(R1887="",AVERAGEIF(Table1[Category],Table1[[#This Row],[Category]],Table2[orignal data]),Table2[[#This Row],[orignal data]])</f>
        <v>319.60000000000002</v>
      </c>
      <c r="T1887" t="str">
        <f t="shared" si="118"/>
        <v>UNIQUE</v>
      </c>
      <c r="U1887" t="str">
        <f>IF(ISBLANK(Table1[[#This Row],[SizeOption]]),"NOT AVAILABLE",Table1[[#This Row],[SizeOption]])</f>
        <v>XS, S, M, L, XL</v>
      </c>
      <c r="Y1887" t="str">
        <f>IF(Table2[[#This Row],[Column1]]&gt;50%,"HIGH DISCOUNT","LOW DISCOUNT")</f>
        <v>HIGH DISCOUNT</v>
      </c>
    </row>
    <row r="1888" spans="1:25" x14ac:dyDescent="0.25">
      <c r="A1888" s="1" t="s">
        <v>4071</v>
      </c>
      <c r="B1888" s="1">
        <v>8325267</v>
      </c>
      <c r="C1888" s="1" t="s">
        <v>47</v>
      </c>
      <c r="D1888" s="1" t="s">
        <v>41</v>
      </c>
      <c r="E1888" s="1" t="s">
        <v>42</v>
      </c>
      <c r="F1888" s="1" t="s">
        <v>36</v>
      </c>
      <c r="G1888" s="1" t="s">
        <v>4072</v>
      </c>
      <c r="I1888" s="1">
        <v>899</v>
      </c>
      <c r="J1888" s="1" t="s">
        <v>44</v>
      </c>
      <c r="K1888" s="1" t="s">
        <v>45</v>
      </c>
      <c r="L1888" s="1">
        <v>4.0999999999999996</v>
      </c>
      <c r="M1888" s="1">
        <v>713</v>
      </c>
      <c r="P1888" t="str">
        <f t="shared" si="119"/>
        <v>35%</v>
      </c>
      <c r="Q1888" s="12">
        <f t="shared" si="116"/>
        <v>0.35</v>
      </c>
      <c r="R1888" s="9">
        <f t="shared" si="117"/>
        <v>584.35</v>
      </c>
      <c r="S1888" s="9">
        <f>IF(R1888="",AVERAGEIF(Table1[Category],Table1[[#This Row],[Category]],Table2[orignal data]),Table2[[#This Row],[orignal data]])</f>
        <v>584.35</v>
      </c>
      <c r="T1888" t="str">
        <f t="shared" si="118"/>
        <v>UNIQUE</v>
      </c>
      <c r="U1888" t="str">
        <f>IF(ISBLANK(Table1[[#This Row],[SizeOption]]),"NOT AVAILABLE",Table1[[#This Row],[SizeOption]])</f>
        <v>XS, S, M, L, XL</v>
      </c>
      <c r="Y1888" t="str">
        <f>IF(Table2[[#This Row],[Column1]]&gt;50%,"HIGH DISCOUNT","LOW DISCOUNT")</f>
        <v>LOW DISCOUNT</v>
      </c>
    </row>
    <row r="1889" spans="1:25" x14ac:dyDescent="0.25">
      <c r="A1889" s="2" t="s">
        <v>4073</v>
      </c>
      <c r="B1889" s="2">
        <v>10046897</v>
      </c>
      <c r="C1889" s="2" t="s">
        <v>14</v>
      </c>
      <c r="D1889" s="2" t="s">
        <v>15</v>
      </c>
      <c r="E1889" s="2" t="s">
        <v>16</v>
      </c>
      <c r="F1889" s="2" t="s">
        <v>17</v>
      </c>
      <c r="G1889" s="2" t="s">
        <v>4074</v>
      </c>
      <c r="H1889">
        <v>679</v>
      </c>
      <c r="I1889" s="2">
        <v>1699</v>
      </c>
      <c r="J1889" s="2" t="s">
        <v>55</v>
      </c>
      <c r="K1889" s="2" t="s">
        <v>20</v>
      </c>
      <c r="L1889" s="2">
        <v>4</v>
      </c>
      <c r="M1889" s="2">
        <v>712</v>
      </c>
      <c r="P1889" t="str">
        <f t="shared" si="119"/>
        <v>60%</v>
      </c>
      <c r="Q1889" s="12">
        <f t="shared" si="116"/>
        <v>0.6</v>
      </c>
      <c r="R1889" s="9">
        <f t="shared" si="117"/>
        <v>679.6</v>
      </c>
      <c r="S1889" s="9">
        <f>IF(R1889="",AVERAGEIF(Table1[Category],Table1[[#This Row],[Category]],Table2[orignal data]),Table2[[#This Row],[orignal data]])</f>
        <v>679.6</v>
      </c>
      <c r="T1889" t="str">
        <f t="shared" si="118"/>
        <v>UNIQUE</v>
      </c>
      <c r="U1889" t="str">
        <f>IF(ISBLANK(Table1[[#This Row],[SizeOption]]),"NOT AVAILABLE",Table1[[#This Row],[SizeOption]])</f>
        <v>28, 30, 32, 34, 36</v>
      </c>
      <c r="Y1889" t="str">
        <f>IF(Table2[[#This Row],[Column1]]&gt;50%,"HIGH DISCOUNT","LOW DISCOUNT")</f>
        <v>HIGH DISCOUNT</v>
      </c>
    </row>
    <row r="1890" spans="1:25" x14ac:dyDescent="0.25">
      <c r="A1890" s="1" t="s">
        <v>4075</v>
      </c>
      <c r="B1890" s="1">
        <v>10004137</v>
      </c>
      <c r="C1890" s="1" t="s">
        <v>52</v>
      </c>
      <c r="D1890" s="1" t="s">
        <v>28</v>
      </c>
      <c r="E1890" s="1" t="s">
        <v>29</v>
      </c>
      <c r="F1890" s="1" t="s">
        <v>17</v>
      </c>
      <c r="G1890" s="1" t="s">
        <v>4076</v>
      </c>
      <c r="H1890">
        <v>519</v>
      </c>
      <c r="I1890" s="1">
        <v>1299</v>
      </c>
      <c r="J1890" s="1" t="s">
        <v>55</v>
      </c>
      <c r="K1890" s="1" t="s">
        <v>90</v>
      </c>
      <c r="L1890" s="1">
        <v>4.0999999999999996</v>
      </c>
      <c r="M1890" s="1">
        <v>712</v>
      </c>
      <c r="P1890" t="str">
        <f t="shared" si="119"/>
        <v>60%</v>
      </c>
      <c r="Q1890" s="12">
        <f t="shared" si="116"/>
        <v>0.6</v>
      </c>
      <c r="R1890" s="9">
        <f t="shared" si="117"/>
        <v>519.6</v>
      </c>
      <c r="S1890" s="9">
        <f>IF(R1890="",AVERAGEIF(Table1[Category],Table1[[#This Row],[Category]],Table2[orignal data]),Table2[[#This Row],[orignal data]])</f>
        <v>519.6</v>
      </c>
      <c r="T1890" t="str">
        <f t="shared" si="118"/>
        <v>UNIQUE</v>
      </c>
      <c r="U1890" t="str">
        <f>IF(ISBLANK(Table1[[#This Row],[SizeOption]]),"NOT AVAILABLE",Table1[[#This Row],[SizeOption]])</f>
        <v>39, 40, 42, 44</v>
      </c>
      <c r="Y1890" t="str">
        <f>IF(Table2[[#This Row],[Column1]]&gt;50%,"HIGH DISCOUNT","LOW DISCOUNT")</f>
        <v>HIGH DISCOUNT</v>
      </c>
    </row>
    <row r="1891" spans="1:25" x14ac:dyDescent="0.25">
      <c r="A1891" s="2" t="s">
        <v>4077</v>
      </c>
      <c r="B1891" s="2">
        <v>10341693</v>
      </c>
      <c r="C1891" s="2" t="s">
        <v>22</v>
      </c>
      <c r="D1891" s="2" t="s">
        <v>28</v>
      </c>
      <c r="E1891" s="2" t="s">
        <v>29</v>
      </c>
      <c r="F1891" s="2" t="s">
        <v>17</v>
      </c>
      <c r="G1891" s="2" t="s">
        <v>4078</v>
      </c>
      <c r="H1891">
        <v>703</v>
      </c>
      <c r="I1891" s="2">
        <v>1599</v>
      </c>
      <c r="J1891" s="2" t="s">
        <v>1204</v>
      </c>
      <c r="K1891" s="2" t="s">
        <v>90</v>
      </c>
      <c r="L1891" s="2">
        <v>4</v>
      </c>
      <c r="M1891" s="2">
        <v>712</v>
      </c>
      <c r="P1891" t="str">
        <f t="shared" si="119"/>
        <v>56%</v>
      </c>
      <c r="Q1891" s="12">
        <f t="shared" si="116"/>
        <v>0.56000000000000005</v>
      </c>
      <c r="R1891" s="9">
        <f t="shared" si="117"/>
        <v>703.56</v>
      </c>
      <c r="S1891" s="9">
        <f>IF(R1891="",AVERAGEIF(Table1[Category],Table1[[#This Row],[Category]],Table2[orignal data]),Table2[[#This Row],[orignal data]])</f>
        <v>703.56</v>
      </c>
      <c r="T1891" t="str">
        <f t="shared" si="118"/>
        <v>UNIQUE</v>
      </c>
      <c r="U1891" t="str">
        <f>IF(ISBLANK(Table1[[#This Row],[SizeOption]]),"NOT AVAILABLE",Table1[[#This Row],[SizeOption]])</f>
        <v>39, 40, 42, 44</v>
      </c>
      <c r="Y1891" t="str">
        <f>IF(Table2[[#This Row],[Column1]]&gt;50%,"HIGH DISCOUNT","LOW DISCOUNT")</f>
        <v>HIGH DISCOUNT</v>
      </c>
    </row>
    <row r="1892" spans="1:25" x14ac:dyDescent="0.25">
      <c r="A1892" s="1" t="s">
        <v>4079</v>
      </c>
      <c r="B1892" s="1">
        <v>2221332</v>
      </c>
      <c r="C1892" s="1" t="s">
        <v>201</v>
      </c>
      <c r="D1892" s="1" t="s">
        <v>28</v>
      </c>
      <c r="E1892" s="1" t="s">
        <v>42</v>
      </c>
      <c r="F1892" s="1" t="s">
        <v>17</v>
      </c>
      <c r="G1892" s="1" t="s">
        <v>4080</v>
      </c>
      <c r="H1892">
        <v>399</v>
      </c>
      <c r="I1892" s="1">
        <v>999</v>
      </c>
      <c r="J1892" s="1" t="s">
        <v>55</v>
      </c>
      <c r="K1892" s="1" t="s">
        <v>39</v>
      </c>
      <c r="L1892" s="1">
        <v>4.0999999999999996</v>
      </c>
      <c r="M1892" s="1">
        <v>712</v>
      </c>
      <c r="P1892" t="str">
        <f t="shared" si="119"/>
        <v>60%</v>
      </c>
      <c r="Q1892" s="12">
        <f t="shared" si="116"/>
        <v>0.6</v>
      </c>
      <c r="R1892" s="9">
        <f t="shared" si="117"/>
        <v>399.6</v>
      </c>
      <c r="S1892" s="9">
        <f>IF(R1892="",AVERAGEIF(Table1[Category],Table1[[#This Row],[Category]],Table2[orignal data]),Table2[[#This Row],[orignal data]])</f>
        <v>399.6</v>
      </c>
      <c r="T1892" t="str">
        <f t="shared" si="118"/>
        <v>UNIQUE</v>
      </c>
      <c r="U1892" t="str">
        <f>IF(ISBLANK(Table1[[#This Row],[SizeOption]]),"NOT AVAILABLE",Table1[[#This Row],[SizeOption]])</f>
        <v>S, M, L, XL, XXL</v>
      </c>
      <c r="Y1892" t="str">
        <f>IF(Table2[[#This Row],[Column1]]&gt;50%,"HIGH DISCOUNT","LOW DISCOUNT")</f>
        <v>HIGH DISCOUNT</v>
      </c>
    </row>
    <row r="1893" spans="1:25" x14ac:dyDescent="0.25">
      <c r="A1893" s="2" t="s">
        <v>4081</v>
      </c>
      <c r="B1893" s="2">
        <v>8429985</v>
      </c>
      <c r="C1893" s="2" t="s">
        <v>3903</v>
      </c>
      <c r="D1893" s="2" t="s">
        <v>76</v>
      </c>
      <c r="E1893" s="2" t="s">
        <v>93</v>
      </c>
      <c r="F1893" s="2" t="s">
        <v>36</v>
      </c>
      <c r="G1893" s="2" t="s">
        <v>4082</v>
      </c>
      <c r="H1893">
        <v>824</v>
      </c>
      <c r="I1893" s="2">
        <v>1499</v>
      </c>
      <c r="J1893" s="2" t="s">
        <v>19</v>
      </c>
      <c r="K1893" s="2" t="s">
        <v>100</v>
      </c>
      <c r="L1893" s="2">
        <v>4</v>
      </c>
      <c r="M1893" s="2">
        <v>712</v>
      </c>
      <c r="P1893" t="str">
        <f t="shared" si="119"/>
        <v>45%</v>
      </c>
      <c r="Q1893" s="12">
        <f t="shared" si="116"/>
        <v>0.45</v>
      </c>
      <c r="R1893" s="9">
        <f t="shared" si="117"/>
        <v>824.44999999999993</v>
      </c>
      <c r="S1893" s="9">
        <f>IF(R1893="",AVERAGEIF(Table1[Category],Table1[[#This Row],[Category]],Table2[orignal data]),Table2[[#This Row],[orignal data]])</f>
        <v>824.44999999999993</v>
      </c>
      <c r="T1893" t="str">
        <f t="shared" si="118"/>
        <v>UNIQUE</v>
      </c>
      <c r="U1893" t="str">
        <f>IF(ISBLANK(Table1[[#This Row],[SizeOption]]),"NOT AVAILABLE",Table1[[#This Row],[SizeOption]])</f>
        <v>XS, S, M, L, XL, XXL, 3XL</v>
      </c>
      <c r="Y1893" t="str">
        <f>IF(Table2[[#This Row],[Column1]]&gt;50%,"HIGH DISCOUNT","LOW DISCOUNT")</f>
        <v>LOW DISCOUNT</v>
      </c>
    </row>
    <row r="1894" spans="1:25" x14ac:dyDescent="0.25">
      <c r="A1894" s="1" t="s">
        <v>4083</v>
      </c>
      <c r="B1894" s="1">
        <v>10016739</v>
      </c>
      <c r="C1894" s="1" t="s">
        <v>92</v>
      </c>
      <c r="D1894" s="1" t="s">
        <v>76</v>
      </c>
      <c r="E1894" s="1" t="s">
        <v>93</v>
      </c>
      <c r="F1894" s="1" t="s">
        <v>36</v>
      </c>
      <c r="G1894" s="1" t="s">
        <v>4084</v>
      </c>
      <c r="H1894">
        <v>730</v>
      </c>
      <c r="I1894" s="1">
        <v>1699</v>
      </c>
      <c r="J1894" s="1" t="s">
        <v>130</v>
      </c>
      <c r="K1894" s="1" t="s">
        <v>39</v>
      </c>
      <c r="L1894" s="1">
        <v>4.2</v>
      </c>
      <c r="M1894" s="1">
        <v>712</v>
      </c>
      <c r="P1894" t="str">
        <f t="shared" si="119"/>
        <v>57%</v>
      </c>
      <c r="Q1894" s="12">
        <f t="shared" si="116"/>
        <v>0.56999999999999995</v>
      </c>
      <c r="R1894" s="9">
        <f t="shared" si="117"/>
        <v>730.57</v>
      </c>
      <c r="S1894" s="9">
        <f>IF(R1894="",AVERAGEIF(Table1[Category],Table1[[#This Row],[Category]],Table2[orignal data]),Table2[[#This Row],[orignal data]])</f>
        <v>730.57</v>
      </c>
      <c r="T1894" t="str">
        <f t="shared" si="118"/>
        <v>UNIQUE</v>
      </c>
      <c r="U1894" t="str">
        <f>IF(ISBLANK(Table1[[#This Row],[SizeOption]]),"NOT AVAILABLE",Table1[[#This Row],[SizeOption]])</f>
        <v>S, M, L, XL, XXL</v>
      </c>
      <c r="Y1894" t="str">
        <f>IF(Table2[[#This Row],[Column1]]&gt;50%,"HIGH DISCOUNT","LOW DISCOUNT")</f>
        <v>HIGH DISCOUNT</v>
      </c>
    </row>
    <row r="1895" spans="1:25" x14ac:dyDescent="0.25">
      <c r="A1895" s="2" t="s">
        <v>4085</v>
      </c>
      <c r="B1895" s="2">
        <v>10561078</v>
      </c>
      <c r="C1895" s="2" t="s">
        <v>97</v>
      </c>
      <c r="D1895" s="2" t="s">
        <v>98</v>
      </c>
      <c r="E1895" s="2" t="s">
        <v>77</v>
      </c>
      <c r="F1895" s="2" t="s">
        <v>36</v>
      </c>
      <c r="G1895" s="2" t="s">
        <v>4086</v>
      </c>
      <c r="H1895">
        <v>1119</v>
      </c>
      <c r="I1895" s="2">
        <v>2799</v>
      </c>
      <c r="J1895" s="2" t="s">
        <v>55</v>
      </c>
      <c r="K1895" s="2" t="s">
        <v>100</v>
      </c>
      <c r="L1895" s="2">
        <v>4.0999999999999996</v>
      </c>
      <c r="M1895" s="2">
        <v>712</v>
      </c>
      <c r="P1895" t="str">
        <f t="shared" si="119"/>
        <v>60%</v>
      </c>
      <c r="Q1895" s="12">
        <f t="shared" si="116"/>
        <v>0.6</v>
      </c>
      <c r="R1895" s="9">
        <f t="shared" si="117"/>
        <v>1119.6000000000001</v>
      </c>
      <c r="S1895" s="9">
        <f>IF(R1895="",AVERAGEIF(Table1[Category],Table1[[#This Row],[Category]],Table2[orignal data]),Table2[[#This Row],[orignal data]])</f>
        <v>1119.6000000000001</v>
      </c>
      <c r="T1895" t="str">
        <f t="shared" si="118"/>
        <v>UNIQUE</v>
      </c>
      <c r="U1895" t="str">
        <f>IF(ISBLANK(Table1[[#This Row],[SizeOption]]),"NOT AVAILABLE",Table1[[#This Row],[SizeOption]])</f>
        <v>XS, S, M, L, XL, XXL, 3XL</v>
      </c>
      <c r="Y1895" t="str">
        <f>IF(Table2[[#This Row],[Column1]]&gt;50%,"HIGH DISCOUNT","LOW DISCOUNT")</f>
        <v>HIGH DISCOUNT</v>
      </c>
    </row>
    <row r="1896" spans="1:25" x14ac:dyDescent="0.25">
      <c r="A1896" s="1" t="s">
        <v>4087</v>
      </c>
      <c r="B1896" s="1">
        <v>1949983</v>
      </c>
      <c r="C1896" s="1" t="s">
        <v>14</v>
      </c>
      <c r="D1896" s="1" t="s">
        <v>41</v>
      </c>
      <c r="E1896" s="1" t="s">
        <v>1881</v>
      </c>
      <c r="F1896" s="1" t="s">
        <v>36</v>
      </c>
      <c r="G1896" s="1" t="s">
        <v>4088</v>
      </c>
      <c r="I1896" s="1">
        <v>1099</v>
      </c>
      <c r="J1896" s="1" t="s">
        <v>25</v>
      </c>
      <c r="K1896" s="1" t="s">
        <v>115</v>
      </c>
      <c r="L1896" s="1">
        <v>4.2</v>
      </c>
      <c r="M1896" s="1">
        <v>712</v>
      </c>
      <c r="P1896" t="str">
        <f t="shared" si="119"/>
        <v>55%</v>
      </c>
      <c r="Q1896" s="12">
        <f t="shared" si="116"/>
        <v>0.55000000000000004</v>
      </c>
      <c r="R1896" s="9">
        <f t="shared" si="117"/>
        <v>494.54999999999995</v>
      </c>
      <c r="S1896" s="9">
        <f>IF(R1896="",AVERAGEIF(Table1[Category],Table1[[#This Row],[Category]],Table2[orignal data]),Table2[[#This Row],[orignal data]])</f>
        <v>494.54999999999995</v>
      </c>
      <c r="T1896" t="str">
        <f t="shared" si="118"/>
        <v>UNIQUE</v>
      </c>
      <c r="U1896" t="str">
        <f>IF(ISBLANK(Table1[[#This Row],[SizeOption]]),"NOT AVAILABLE",Table1[[#This Row],[SizeOption]])</f>
        <v>XS, S, M, L, XL, XXL</v>
      </c>
      <c r="Y1896" t="str">
        <f>IF(Table2[[#This Row],[Column1]]&gt;50%,"HIGH DISCOUNT","LOW DISCOUNT")</f>
        <v>HIGH DISCOUNT</v>
      </c>
    </row>
    <row r="1897" spans="1:25" x14ac:dyDescent="0.25">
      <c r="A1897" s="2" t="s">
        <v>4089</v>
      </c>
      <c r="B1897" s="2">
        <v>1875245</v>
      </c>
      <c r="C1897" s="2" t="s">
        <v>14</v>
      </c>
      <c r="D1897" s="2" t="s">
        <v>41</v>
      </c>
      <c r="E1897" s="2" t="s">
        <v>189</v>
      </c>
      <c r="F1897" s="2" t="s">
        <v>36</v>
      </c>
      <c r="G1897" s="2" t="s">
        <v>4090</v>
      </c>
      <c r="I1897" s="2">
        <v>2699</v>
      </c>
      <c r="J1897" s="2" t="s">
        <v>150</v>
      </c>
      <c r="K1897" s="2" t="s">
        <v>115</v>
      </c>
      <c r="L1897" s="2">
        <v>4.0999999999999996</v>
      </c>
      <c r="M1897" s="2">
        <v>712</v>
      </c>
      <c r="P1897" t="str">
        <f t="shared" si="119"/>
        <v>65%</v>
      </c>
      <c r="Q1897" s="12">
        <f t="shared" si="116"/>
        <v>0.65</v>
      </c>
      <c r="R1897" s="9">
        <f t="shared" si="117"/>
        <v>944.64999999999986</v>
      </c>
      <c r="S1897" s="9">
        <f>IF(R1897="",AVERAGEIF(Table1[Category],Table1[[#This Row],[Category]],Table2[orignal data]),Table2[[#This Row],[orignal data]])</f>
        <v>944.64999999999986</v>
      </c>
      <c r="T1897" t="str">
        <f t="shared" si="118"/>
        <v>UNIQUE</v>
      </c>
      <c r="U1897" t="str">
        <f>IF(ISBLANK(Table1[[#This Row],[SizeOption]]),"NOT AVAILABLE",Table1[[#This Row],[SizeOption]])</f>
        <v>XS, S, M, L, XL, XXL</v>
      </c>
      <c r="Y1897" t="str">
        <f>IF(Table2[[#This Row],[Column1]]&gt;50%,"HIGH DISCOUNT","LOW DISCOUNT")</f>
        <v>HIGH DISCOUNT</v>
      </c>
    </row>
    <row r="1898" spans="1:25" x14ac:dyDescent="0.25">
      <c r="A1898" s="1" t="s">
        <v>4091</v>
      </c>
      <c r="B1898" s="1">
        <v>12645764</v>
      </c>
      <c r="C1898" s="1" t="s">
        <v>1385</v>
      </c>
      <c r="D1898" s="1" t="s">
        <v>41</v>
      </c>
      <c r="E1898" s="1" t="s">
        <v>42</v>
      </c>
      <c r="F1898" s="1" t="s">
        <v>36</v>
      </c>
      <c r="G1898" s="1" t="s">
        <v>4092</v>
      </c>
      <c r="I1898" s="1">
        <v>799</v>
      </c>
      <c r="J1898" s="1" t="s">
        <v>25</v>
      </c>
      <c r="K1898" s="1" t="s">
        <v>45</v>
      </c>
      <c r="L1898" s="1">
        <v>3.8</v>
      </c>
      <c r="M1898" s="1">
        <v>712</v>
      </c>
      <c r="P1898" t="str">
        <f t="shared" si="119"/>
        <v>55%</v>
      </c>
      <c r="Q1898" s="12">
        <f t="shared" si="116"/>
        <v>0.55000000000000004</v>
      </c>
      <c r="R1898" s="9">
        <f t="shared" si="117"/>
        <v>359.54999999999995</v>
      </c>
      <c r="S1898" s="9">
        <f>IF(R1898="",AVERAGEIF(Table1[Category],Table1[[#This Row],[Category]],Table2[orignal data]),Table2[[#This Row],[orignal data]])</f>
        <v>359.54999999999995</v>
      </c>
      <c r="T1898" t="str">
        <f t="shared" si="118"/>
        <v>UNIQUE</v>
      </c>
      <c r="U1898" t="str">
        <f>IF(ISBLANK(Table1[[#This Row],[SizeOption]]),"NOT AVAILABLE",Table1[[#This Row],[SizeOption]])</f>
        <v>XS, S, M, L, XL</v>
      </c>
      <c r="Y1898" t="str">
        <f>IF(Table2[[#This Row],[Column1]]&gt;50%,"HIGH DISCOUNT","LOW DISCOUNT")</f>
        <v>HIGH DISCOUNT</v>
      </c>
    </row>
    <row r="1899" spans="1:25" x14ac:dyDescent="0.25">
      <c r="A1899" s="2" t="s">
        <v>4093</v>
      </c>
      <c r="B1899" s="2">
        <v>12802686</v>
      </c>
      <c r="C1899" s="2" t="s">
        <v>4094</v>
      </c>
      <c r="D1899" s="2" t="s">
        <v>41</v>
      </c>
      <c r="E1899" s="2" t="s">
        <v>48</v>
      </c>
      <c r="F1899" s="2" t="s">
        <v>36</v>
      </c>
      <c r="G1899" s="2" t="s">
        <v>4095</v>
      </c>
      <c r="I1899" s="2">
        <v>978</v>
      </c>
      <c r="J1899" s="2" t="s">
        <v>19</v>
      </c>
      <c r="K1899" s="2" t="s">
        <v>26</v>
      </c>
      <c r="L1899" s="2">
        <v>4.2</v>
      </c>
      <c r="M1899" s="2">
        <v>712</v>
      </c>
      <c r="P1899" t="str">
        <f t="shared" si="119"/>
        <v>45%</v>
      </c>
      <c r="Q1899" s="12">
        <f t="shared" si="116"/>
        <v>0.45</v>
      </c>
      <c r="R1899" s="9">
        <f t="shared" si="117"/>
        <v>537.9</v>
      </c>
      <c r="S1899" s="9">
        <f>IF(R1899="",AVERAGEIF(Table1[Category],Table1[[#This Row],[Category]],Table2[orignal data]),Table2[[#This Row],[orignal data]])</f>
        <v>537.9</v>
      </c>
      <c r="T1899" t="str">
        <f t="shared" si="118"/>
        <v>UNIQUE</v>
      </c>
      <c r="U1899" t="str">
        <f>IF(ISBLANK(Table1[[#This Row],[SizeOption]]),"NOT AVAILABLE",Table1[[#This Row],[SizeOption]])</f>
        <v>S, M, L, XL</v>
      </c>
      <c r="Y1899" t="str">
        <f>IF(Table2[[#This Row],[Column1]]&gt;50%,"HIGH DISCOUNT","LOW DISCOUNT")</f>
        <v>LOW DISCOUNT</v>
      </c>
    </row>
    <row r="1900" spans="1:25" x14ac:dyDescent="0.25">
      <c r="A1900" s="1" t="s">
        <v>4096</v>
      </c>
      <c r="B1900" s="1">
        <v>10144539</v>
      </c>
      <c r="C1900" s="1" t="s">
        <v>22</v>
      </c>
      <c r="D1900" s="1" t="s">
        <v>15</v>
      </c>
      <c r="E1900" s="1" t="s">
        <v>16</v>
      </c>
      <c r="F1900" s="1" t="s">
        <v>17</v>
      </c>
      <c r="G1900" s="1" t="s">
        <v>2708</v>
      </c>
      <c r="H1900">
        <v>849</v>
      </c>
      <c r="I1900" s="1">
        <v>2499</v>
      </c>
      <c r="J1900" s="1" t="s">
        <v>403</v>
      </c>
      <c r="K1900" s="1" t="s">
        <v>56</v>
      </c>
      <c r="L1900" s="1">
        <v>3.7</v>
      </c>
      <c r="M1900" s="1">
        <v>711</v>
      </c>
      <c r="P1900" t="str">
        <f t="shared" si="119"/>
        <v>66%</v>
      </c>
      <c r="Q1900" s="12">
        <f t="shared" si="116"/>
        <v>0.66</v>
      </c>
      <c r="R1900" s="9">
        <f t="shared" si="117"/>
        <v>849.65999999999985</v>
      </c>
      <c r="S1900" s="9">
        <f>IF(R1900="",AVERAGEIF(Table1[Category],Table1[[#This Row],[Category]],Table2[orignal data]),Table2[[#This Row],[orignal data]])</f>
        <v>849.65999999999985</v>
      </c>
      <c r="T1900" t="str">
        <f t="shared" si="118"/>
        <v>UNIQUE</v>
      </c>
      <c r="U1900" t="str">
        <f>IF(ISBLANK(Table1[[#This Row],[SizeOption]]),"NOT AVAILABLE",Table1[[#This Row],[SizeOption]])</f>
        <v>30, 32, 34, 36</v>
      </c>
      <c r="Y1900" t="str">
        <f>IF(Table2[[#This Row],[Column1]]&gt;50%,"HIGH DISCOUNT","LOW DISCOUNT")</f>
        <v>HIGH DISCOUNT</v>
      </c>
    </row>
    <row r="1901" spans="1:25" x14ac:dyDescent="0.25">
      <c r="A1901" s="2" t="s">
        <v>4097</v>
      </c>
      <c r="B1901" s="2">
        <v>11422582</v>
      </c>
      <c r="C1901" s="2" t="s">
        <v>3308</v>
      </c>
      <c r="D1901" s="2" t="s">
        <v>76</v>
      </c>
      <c r="E1901" s="2" t="s">
        <v>93</v>
      </c>
      <c r="F1901" s="2" t="s">
        <v>17</v>
      </c>
      <c r="G1901" s="2" t="s">
        <v>4098</v>
      </c>
      <c r="H1901">
        <v>719</v>
      </c>
      <c r="I1901" s="2">
        <v>1599</v>
      </c>
      <c r="J1901" s="2" t="s">
        <v>25</v>
      </c>
      <c r="K1901" s="2" t="s">
        <v>39</v>
      </c>
      <c r="L1901" s="2">
        <v>4.3</v>
      </c>
      <c r="M1901" s="2">
        <v>711</v>
      </c>
      <c r="P1901" t="str">
        <f t="shared" si="119"/>
        <v>55%</v>
      </c>
      <c r="Q1901" s="12">
        <f t="shared" si="116"/>
        <v>0.55000000000000004</v>
      </c>
      <c r="R1901" s="9">
        <f t="shared" si="117"/>
        <v>719.55</v>
      </c>
      <c r="S1901" s="9">
        <f>IF(R1901="",AVERAGEIF(Table1[Category],Table1[[#This Row],[Category]],Table2[orignal data]),Table2[[#This Row],[orignal data]])</f>
        <v>719.55</v>
      </c>
      <c r="T1901" t="str">
        <f t="shared" si="118"/>
        <v>UNIQUE</v>
      </c>
      <c r="U1901" t="str">
        <f>IF(ISBLANK(Table1[[#This Row],[SizeOption]]),"NOT AVAILABLE",Table1[[#This Row],[SizeOption]])</f>
        <v>S, M, L, XL, XXL</v>
      </c>
      <c r="Y1901" t="str">
        <f>IF(Table2[[#This Row],[Column1]]&gt;50%,"HIGH DISCOUNT","LOW DISCOUNT")</f>
        <v>HIGH DISCOUNT</v>
      </c>
    </row>
    <row r="1902" spans="1:25" x14ac:dyDescent="0.25">
      <c r="A1902" s="1" t="s">
        <v>4099</v>
      </c>
      <c r="B1902" s="1">
        <v>2091637</v>
      </c>
      <c r="C1902" s="1" t="s">
        <v>563</v>
      </c>
      <c r="D1902" s="1" t="s">
        <v>197</v>
      </c>
      <c r="E1902" s="1" t="s">
        <v>518</v>
      </c>
      <c r="F1902" s="1" t="s">
        <v>17</v>
      </c>
      <c r="G1902" s="1" t="s">
        <v>4100</v>
      </c>
      <c r="H1902">
        <v>602</v>
      </c>
      <c r="I1902" s="1">
        <v>899</v>
      </c>
      <c r="J1902" s="1" t="s">
        <v>3472</v>
      </c>
      <c r="K1902" s="1" t="s">
        <v>39</v>
      </c>
      <c r="L1902" s="1">
        <v>4</v>
      </c>
      <c r="M1902" s="1">
        <v>711</v>
      </c>
      <c r="P1902" t="str">
        <f t="shared" si="119"/>
        <v>33%</v>
      </c>
      <c r="Q1902" s="12">
        <f t="shared" si="116"/>
        <v>0.33</v>
      </c>
      <c r="R1902" s="9">
        <f t="shared" si="117"/>
        <v>602.32999999999993</v>
      </c>
      <c r="S1902" s="9">
        <f>IF(R1902="",AVERAGEIF(Table1[Category],Table1[[#This Row],[Category]],Table2[orignal data]),Table2[[#This Row],[orignal data]])</f>
        <v>602.32999999999993</v>
      </c>
      <c r="T1902" t="str">
        <f t="shared" si="118"/>
        <v>UNIQUE</v>
      </c>
      <c r="U1902" t="str">
        <f>IF(ISBLANK(Table1[[#This Row],[SizeOption]]),"NOT AVAILABLE",Table1[[#This Row],[SizeOption]])</f>
        <v>S, M, L, XL, XXL</v>
      </c>
      <c r="Y1902" t="str">
        <f>IF(Table2[[#This Row],[Column1]]&gt;50%,"HIGH DISCOUNT","LOW DISCOUNT")</f>
        <v>LOW DISCOUNT</v>
      </c>
    </row>
    <row r="1903" spans="1:25" x14ac:dyDescent="0.25">
      <c r="A1903" s="2" t="s">
        <v>4101</v>
      </c>
      <c r="B1903" s="2">
        <v>11849718</v>
      </c>
      <c r="C1903" s="2" t="s">
        <v>563</v>
      </c>
      <c r="D1903" s="2" t="s">
        <v>197</v>
      </c>
      <c r="E1903" s="2" t="s">
        <v>518</v>
      </c>
      <c r="F1903" s="2" t="s">
        <v>17</v>
      </c>
      <c r="G1903" s="2" t="s">
        <v>4102</v>
      </c>
      <c r="H1903">
        <v>881</v>
      </c>
      <c r="I1903" s="2">
        <v>1798</v>
      </c>
      <c r="J1903" s="2" t="s">
        <v>163</v>
      </c>
      <c r="K1903" s="2" t="s">
        <v>39</v>
      </c>
      <c r="L1903" s="2">
        <v>4</v>
      </c>
      <c r="M1903" s="2">
        <v>711</v>
      </c>
      <c r="P1903" t="str">
        <f t="shared" si="119"/>
        <v>51%</v>
      </c>
      <c r="Q1903" s="12">
        <f t="shared" si="116"/>
        <v>0.51</v>
      </c>
      <c r="R1903" s="9">
        <f t="shared" si="117"/>
        <v>881.02</v>
      </c>
      <c r="S1903" s="9">
        <f>IF(R1903="",AVERAGEIF(Table1[Category],Table1[[#This Row],[Category]],Table2[orignal data]),Table2[[#This Row],[orignal data]])</f>
        <v>881.02</v>
      </c>
      <c r="T1903" t="str">
        <f t="shared" si="118"/>
        <v>UNIQUE</v>
      </c>
      <c r="U1903" t="str">
        <f>IF(ISBLANK(Table1[[#This Row],[SizeOption]]),"NOT AVAILABLE",Table1[[#This Row],[SizeOption]])</f>
        <v>S, M, L, XL, XXL</v>
      </c>
      <c r="Y1903" t="str">
        <f>IF(Table2[[#This Row],[Column1]]&gt;50%,"HIGH DISCOUNT","LOW DISCOUNT")</f>
        <v>HIGH DISCOUNT</v>
      </c>
    </row>
    <row r="1904" spans="1:25" x14ac:dyDescent="0.25">
      <c r="A1904" s="1" t="s">
        <v>4103</v>
      </c>
      <c r="B1904" s="1">
        <v>10341681</v>
      </c>
      <c r="C1904" s="1" t="s">
        <v>22</v>
      </c>
      <c r="D1904" s="1" t="s">
        <v>28</v>
      </c>
      <c r="E1904" s="1" t="s">
        <v>29</v>
      </c>
      <c r="F1904" s="1" t="s">
        <v>17</v>
      </c>
      <c r="G1904" s="1" t="s">
        <v>4104</v>
      </c>
      <c r="H1904">
        <v>725</v>
      </c>
      <c r="I1904" s="1">
        <v>1649</v>
      </c>
      <c r="J1904" s="1" t="s">
        <v>1204</v>
      </c>
      <c r="K1904" s="1" t="s">
        <v>90</v>
      </c>
      <c r="L1904" s="1">
        <v>4.0999999999999996</v>
      </c>
      <c r="M1904" s="1">
        <v>711</v>
      </c>
      <c r="P1904" t="str">
        <f t="shared" si="119"/>
        <v>56%</v>
      </c>
      <c r="Q1904" s="12">
        <f t="shared" si="116"/>
        <v>0.56000000000000005</v>
      </c>
      <c r="R1904" s="9">
        <f t="shared" si="117"/>
        <v>725.56</v>
      </c>
      <c r="S1904" s="9">
        <f>IF(R1904="",AVERAGEIF(Table1[Category],Table1[[#This Row],[Category]],Table2[orignal data]),Table2[[#This Row],[orignal data]])</f>
        <v>725.56</v>
      </c>
      <c r="T1904" t="str">
        <f t="shared" si="118"/>
        <v>UNIQUE</v>
      </c>
      <c r="U1904" t="str">
        <f>IF(ISBLANK(Table1[[#This Row],[SizeOption]]),"NOT AVAILABLE",Table1[[#This Row],[SizeOption]])</f>
        <v>39, 40, 42, 44</v>
      </c>
      <c r="Y1904" t="str">
        <f>IF(Table2[[#This Row],[Column1]]&gt;50%,"HIGH DISCOUNT","LOW DISCOUNT")</f>
        <v>HIGH DISCOUNT</v>
      </c>
    </row>
    <row r="1905" spans="1:25" x14ac:dyDescent="0.25">
      <c r="A1905" s="2" t="s">
        <v>4105</v>
      </c>
      <c r="B1905" s="2">
        <v>12748270</v>
      </c>
      <c r="C1905" s="2" t="s">
        <v>1375</v>
      </c>
      <c r="D1905" s="2" t="s">
        <v>76</v>
      </c>
      <c r="E1905" s="2" t="s">
        <v>320</v>
      </c>
      <c r="F1905" s="2" t="s">
        <v>36</v>
      </c>
      <c r="G1905" s="2" t="s">
        <v>4106</v>
      </c>
      <c r="H1905">
        <v>1149</v>
      </c>
      <c r="I1905" s="2">
        <v>2364</v>
      </c>
      <c r="J1905" s="2" t="s">
        <v>4107</v>
      </c>
      <c r="K1905" s="2" t="s">
        <v>164</v>
      </c>
      <c r="L1905" s="2">
        <v>4.3</v>
      </c>
      <c r="M1905" s="2">
        <v>711</v>
      </c>
      <c r="P1905" t="str">
        <f t="shared" si="119"/>
        <v>1215</v>
      </c>
      <c r="Q1905" s="12">
        <f t="shared" si="116"/>
        <v>0.51395939086294418</v>
      </c>
      <c r="R1905" s="9">
        <f t="shared" si="117"/>
        <v>1149</v>
      </c>
      <c r="S1905" s="9">
        <f>IF(R1905="",AVERAGEIF(Table1[Category],Table1[[#This Row],[Category]],Table2[orignal data]),Table2[[#This Row],[orignal data]])</f>
        <v>1149</v>
      </c>
      <c r="T1905" t="str">
        <f t="shared" si="118"/>
        <v>UNIQUE</v>
      </c>
      <c r="U1905" t="str">
        <f>IF(ISBLANK(Table1[[#This Row],[SizeOption]]),"NOT AVAILABLE",Table1[[#This Row],[SizeOption]])</f>
        <v>Onesize</v>
      </c>
      <c r="Y1905" t="str">
        <f>IF(Table2[[#This Row],[Column1]]&gt;50%,"HIGH DISCOUNT","LOW DISCOUNT")</f>
        <v>HIGH DISCOUNT</v>
      </c>
    </row>
    <row r="1906" spans="1:25" x14ac:dyDescent="0.25">
      <c r="A1906" s="1" t="s">
        <v>4108</v>
      </c>
      <c r="B1906" s="1">
        <v>10856214</v>
      </c>
      <c r="C1906" s="1" t="s">
        <v>181</v>
      </c>
      <c r="D1906" s="1" t="s">
        <v>41</v>
      </c>
      <c r="E1906" s="1" t="s">
        <v>48</v>
      </c>
      <c r="F1906" s="1" t="s">
        <v>36</v>
      </c>
      <c r="G1906" s="1" t="s">
        <v>4109</v>
      </c>
      <c r="I1906" s="1">
        <v>1299</v>
      </c>
      <c r="J1906" s="1" t="s">
        <v>84</v>
      </c>
      <c r="K1906" s="1" t="s">
        <v>115</v>
      </c>
      <c r="L1906" s="1">
        <v>4.2</v>
      </c>
      <c r="M1906" s="1">
        <v>711</v>
      </c>
      <c r="P1906" t="str">
        <f t="shared" si="119"/>
        <v>50%</v>
      </c>
      <c r="Q1906" s="12">
        <f t="shared" si="116"/>
        <v>0.5</v>
      </c>
      <c r="R1906" s="9">
        <f t="shared" si="117"/>
        <v>649.5</v>
      </c>
      <c r="S1906" s="9">
        <f>IF(R1906="",AVERAGEIF(Table1[Category],Table1[[#This Row],[Category]],Table2[orignal data]),Table2[[#This Row],[orignal data]])</f>
        <v>649.5</v>
      </c>
      <c r="T1906" t="str">
        <f t="shared" si="118"/>
        <v>UNIQUE</v>
      </c>
      <c r="U1906" t="str">
        <f>IF(ISBLANK(Table1[[#This Row],[SizeOption]]),"NOT AVAILABLE",Table1[[#This Row],[SizeOption]])</f>
        <v>XS, S, M, L, XL, XXL</v>
      </c>
      <c r="Y1906" t="str">
        <f>IF(Table2[[#This Row],[Column1]]&gt;50%,"HIGH DISCOUNT","LOW DISCOUNT")</f>
        <v>LOW DISCOUNT</v>
      </c>
    </row>
    <row r="1907" spans="1:25" x14ac:dyDescent="0.25">
      <c r="A1907" s="2" t="s">
        <v>4110</v>
      </c>
      <c r="B1907" s="2">
        <v>17383988</v>
      </c>
      <c r="C1907" s="2" t="s">
        <v>14</v>
      </c>
      <c r="D1907" s="2" t="s">
        <v>41</v>
      </c>
      <c r="E1907" s="2" t="s">
        <v>42</v>
      </c>
      <c r="F1907" s="2" t="s">
        <v>36</v>
      </c>
      <c r="G1907" s="2" t="s">
        <v>696</v>
      </c>
      <c r="I1907" s="2">
        <v>1398</v>
      </c>
      <c r="J1907" s="2" t="s">
        <v>84</v>
      </c>
      <c r="K1907" s="2" t="s">
        <v>146</v>
      </c>
      <c r="L1907" s="2">
        <v>4.3</v>
      </c>
      <c r="M1907" s="2">
        <v>711</v>
      </c>
      <c r="P1907" t="str">
        <f t="shared" si="119"/>
        <v>50%</v>
      </c>
      <c r="Q1907" s="12">
        <f t="shared" si="116"/>
        <v>0.5</v>
      </c>
      <c r="R1907" s="9">
        <f t="shared" si="117"/>
        <v>699</v>
      </c>
      <c r="S1907" s="9">
        <f>IF(R1907="",AVERAGEIF(Table1[Category],Table1[[#This Row],[Category]],Table2[orignal data]),Table2[[#This Row],[orignal data]])</f>
        <v>699</v>
      </c>
      <c r="T1907" t="str">
        <f t="shared" si="118"/>
        <v>UNIQUE</v>
      </c>
      <c r="U1907" t="str">
        <f>IF(ISBLANK(Table1[[#This Row],[SizeOption]]),"NOT AVAILABLE",Table1[[#This Row],[SizeOption]])</f>
        <v>L, M, S, XS, XL</v>
      </c>
      <c r="Y1907" t="str">
        <f>IF(Table2[[#This Row],[Column1]]&gt;50%,"HIGH DISCOUNT","LOW DISCOUNT")</f>
        <v>LOW DISCOUNT</v>
      </c>
    </row>
    <row r="1908" spans="1:25" x14ac:dyDescent="0.25">
      <c r="A1908" s="1" t="s">
        <v>4111</v>
      </c>
      <c r="B1908" s="1">
        <v>10667052</v>
      </c>
      <c r="C1908" s="1" t="s">
        <v>700</v>
      </c>
      <c r="D1908" s="1" t="s">
        <v>41</v>
      </c>
      <c r="E1908" s="1" t="s">
        <v>16</v>
      </c>
      <c r="F1908" s="1" t="s">
        <v>36</v>
      </c>
      <c r="G1908" s="1" t="s">
        <v>4112</v>
      </c>
      <c r="I1908" s="1">
        <v>2399</v>
      </c>
      <c r="J1908" s="1" t="s">
        <v>84</v>
      </c>
      <c r="K1908" s="1" t="s">
        <v>428</v>
      </c>
      <c r="L1908" s="1">
        <v>3.9</v>
      </c>
      <c r="M1908" s="1">
        <v>711</v>
      </c>
      <c r="P1908" t="str">
        <f t="shared" si="119"/>
        <v>50%</v>
      </c>
      <c r="Q1908" s="12">
        <f t="shared" si="116"/>
        <v>0.5</v>
      </c>
      <c r="R1908" s="9">
        <f t="shared" si="117"/>
        <v>1199.5</v>
      </c>
      <c r="S1908" s="9">
        <f>IF(R1908="",AVERAGEIF(Table1[Category],Table1[[#This Row],[Category]],Table2[orignal data]),Table2[[#This Row],[orignal data]])</f>
        <v>1199.5</v>
      </c>
      <c r="T1908" t="str">
        <f t="shared" si="118"/>
        <v>UNIQUE</v>
      </c>
      <c r="U1908" t="str">
        <f>IF(ISBLANK(Table1[[#This Row],[SizeOption]]),"NOT AVAILABLE",Table1[[#This Row],[SizeOption]])</f>
        <v>26, 28, 30, 32, 34</v>
      </c>
      <c r="Y1908" t="str">
        <f>IF(Table2[[#This Row],[Column1]]&gt;50%,"HIGH DISCOUNT","LOW DISCOUNT")</f>
        <v>LOW DISCOUNT</v>
      </c>
    </row>
    <row r="1909" spans="1:25" x14ac:dyDescent="0.25">
      <c r="A1909" s="2" t="s">
        <v>4113</v>
      </c>
      <c r="B1909" s="2">
        <v>10144435</v>
      </c>
      <c r="C1909" s="2" t="s">
        <v>14</v>
      </c>
      <c r="D1909" s="2" t="s">
        <v>41</v>
      </c>
      <c r="E1909" s="2" t="s">
        <v>42</v>
      </c>
      <c r="F1909" s="2" t="s">
        <v>36</v>
      </c>
      <c r="G1909" s="2" t="s">
        <v>4114</v>
      </c>
      <c r="I1909" s="2">
        <v>899</v>
      </c>
      <c r="J1909" s="2" t="s">
        <v>150</v>
      </c>
      <c r="K1909" s="2" t="s">
        <v>45</v>
      </c>
      <c r="L1909" s="2">
        <v>3.8</v>
      </c>
      <c r="M1909" s="2">
        <v>711</v>
      </c>
      <c r="P1909" t="str">
        <f t="shared" si="119"/>
        <v>65%</v>
      </c>
      <c r="Q1909" s="12">
        <f t="shared" si="116"/>
        <v>0.65</v>
      </c>
      <c r="R1909" s="9">
        <f t="shared" si="117"/>
        <v>314.64999999999998</v>
      </c>
      <c r="S1909" s="9">
        <f>IF(R1909="",AVERAGEIF(Table1[Category],Table1[[#This Row],[Category]],Table2[orignal data]),Table2[[#This Row],[orignal data]])</f>
        <v>314.64999999999998</v>
      </c>
      <c r="T1909" t="str">
        <f t="shared" si="118"/>
        <v>UNIQUE</v>
      </c>
      <c r="U1909" t="str">
        <f>IF(ISBLANK(Table1[[#This Row],[SizeOption]]),"NOT AVAILABLE",Table1[[#This Row],[SizeOption]])</f>
        <v>XS, S, M, L, XL</v>
      </c>
      <c r="Y1909" t="str">
        <f>IF(Table2[[#This Row],[Column1]]&gt;50%,"HIGH DISCOUNT","LOW DISCOUNT")</f>
        <v>HIGH DISCOUNT</v>
      </c>
    </row>
    <row r="1910" spans="1:25" x14ac:dyDescent="0.25">
      <c r="A1910" s="1" t="s">
        <v>4115</v>
      </c>
      <c r="B1910" s="1">
        <v>17381874</v>
      </c>
      <c r="C1910" s="1" t="s">
        <v>14</v>
      </c>
      <c r="D1910" s="1" t="s">
        <v>41</v>
      </c>
      <c r="E1910" s="1" t="s">
        <v>42</v>
      </c>
      <c r="F1910" s="1" t="s">
        <v>36</v>
      </c>
      <c r="G1910" s="1" t="s">
        <v>3203</v>
      </c>
      <c r="I1910" s="1">
        <v>1598</v>
      </c>
      <c r="J1910" s="1"/>
      <c r="K1910" s="1" t="s">
        <v>45</v>
      </c>
      <c r="L1910" s="1">
        <v>4.3</v>
      </c>
      <c r="M1910" s="1">
        <v>711</v>
      </c>
      <c r="P1910" t="str">
        <f t="shared" si="119"/>
        <v/>
      </c>
      <c r="Q1910" s="12" t="str">
        <f t="shared" si="116"/>
        <v/>
      </c>
      <c r="R1910" s="9" t="str">
        <f t="shared" si="117"/>
        <v/>
      </c>
      <c r="S1910" s="9">
        <f>IF(R1910="",AVERAGEIF(Table1[Category],Table1[[#This Row],[Category]],Table2[orignal data]),Table2[[#This Row],[orignal data]])</f>
        <v>715.78890751086249</v>
      </c>
      <c r="T1910" t="str">
        <f t="shared" si="118"/>
        <v>UNIQUE</v>
      </c>
      <c r="U1910" t="str">
        <f>IF(ISBLANK(Table1[[#This Row],[SizeOption]]),"NOT AVAILABLE",Table1[[#This Row],[SizeOption]])</f>
        <v>XS, S, M, L, XL</v>
      </c>
      <c r="Y1910" t="str">
        <f>IF(Table2[[#This Row],[Column1]]&gt;50%,"HIGH DISCOUNT","LOW DISCOUNT")</f>
        <v>HIGH DISCOUNT</v>
      </c>
    </row>
    <row r="1911" spans="1:25" x14ac:dyDescent="0.25">
      <c r="A1911" s="2" t="s">
        <v>4116</v>
      </c>
      <c r="B1911" s="2">
        <v>11363114</v>
      </c>
      <c r="C1911" s="2" t="s">
        <v>169</v>
      </c>
      <c r="D1911" s="2" t="s">
        <v>28</v>
      </c>
      <c r="E1911" s="2" t="s">
        <v>42</v>
      </c>
      <c r="F1911" s="2" t="s">
        <v>17</v>
      </c>
      <c r="G1911" s="2" t="s">
        <v>4117</v>
      </c>
      <c r="H1911">
        <v>599</v>
      </c>
      <c r="I1911" s="2">
        <v>1199</v>
      </c>
      <c r="J1911" s="2" t="s">
        <v>84</v>
      </c>
      <c r="K1911" s="2" t="s">
        <v>39</v>
      </c>
      <c r="L1911" s="2">
        <v>4</v>
      </c>
      <c r="M1911" s="2">
        <v>710</v>
      </c>
      <c r="P1911" t="str">
        <f t="shared" si="119"/>
        <v>50%</v>
      </c>
      <c r="Q1911" s="12">
        <f t="shared" si="116"/>
        <v>0.5</v>
      </c>
      <c r="R1911" s="9">
        <f t="shared" si="117"/>
        <v>599.5</v>
      </c>
      <c r="S1911" s="9">
        <f>IF(R1911="",AVERAGEIF(Table1[Category],Table1[[#This Row],[Category]],Table2[orignal data]),Table2[[#This Row],[orignal data]])</f>
        <v>599.5</v>
      </c>
      <c r="T1911" t="str">
        <f t="shared" si="118"/>
        <v>UNIQUE</v>
      </c>
      <c r="U1911" t="str">
        <f>IF(ISBLANK(Table1[[#This Row],[SizeOption]]),"NOT AVAILABLE",Table1[[#This Row],[SizeOption]])</f>
        <v>S, M, L, XL, XXL</v>
      </c>
      <c r="Y1911" t="str">
        <f>IF(Table2[[#This Row],[Column1]]&gt;50%,"HIGH DISCOUNT","LOW DISCOUNT")</f>
        <v>LOW DISCOUNT</v>
      </c>
    </row>
    <row r="1912" spans="1:25" x14ac:dyDescent="0.25">
      <c r="A1912" s="1" t="s">
        <v>4118</v>
      </c>
      <c r="B1912" s="1">
        <v>2279528</v>
      </c>
      <c r="C1912" s="1" t="s">
        <v>14</v>
      </c>
      <c r="D1912" s="1" t="s">
        <v>28</v>
      </c>
      <c r="E1912" s="1" t="s">
        <v>29</v>
      </c>
      <c r="F1912" s="1" t="s">
        <v>17</v>
      </c>
      <c r="G1912" s="1" t="s">
        <v>4119</v>
      </c>
      <c r="H1912">
        <v>1034</v>
      </c>
      <c r="I1912" s="1">
        <v>2299</v>
      </c>
      <c r="J1912" s="1" t="s">
        <v>25</v>
      </c>
      <c r="K1912" s="1" t="s">
        <v>253</v>
      </c>
      <c r="L1912" s="1">
        <v>4.0999999999999996</v>
      </c>
      <c r="M1912" s="1">
        <v>710</v>
      </c>
      <c r="P1912" t="str">
        <f t="shared" si="119"/>
        <v>55%</v>
      </c>
      <c r="Q1912" s="12">
        <f t="shared" si="116"/>
        <v>0.55000000000000004</v>
      </c>
      <c r="R1912" s="9">
        <f t="shared" si="117"/>
        <v>1034.55</v>
      </c>
      <c r="S1912" s="9">
        <f>IF(R1912="",AVERAGEIF(Table1[Category],Table1[[#This Row],[Category]],Table2[orignal data]),Table2[[#This Row],[orignal data]])</f>
        <v>1034.55</v>
      </c>
      <c r="T1912" t="str">
        <f t="shared" si="118"/>
        <v>UNIQUE</v>
      </c>
      <c r="U1912" t="str">
        <f>IF(ISBLANK(Table1[[#This Row],[SizeOption]]),"NOT AVAILABLE",Table1[[#This Row],[SizeOption]])</f>
        <v>38, 40, 42, 44</v>
      </c>
      <c r="Y1912" t="str">
        <f>IF(Table2[[#This Row],[Column1]]&gt;50%,"HIGH DISCOUNT","LOW DISCOUNT")</f>
        <v>HIGH DISCOUNT</v>
      </c>
    </row>
    <row r="1913" spans="1:25" x14ac:dyDescent="0.25">
      <c r="A1913" s="2" t="s">
        <v>4120</v>
      </c>
      <c r="B1913" s="2">
        <v>8529065</v>
      </c>
      <c r="C1913" s="2" t="s">
        <v>277</v>
      </c>
      <c r="D1913" s="2" t="s">
        <v>76</v>
      </c>
      <c r="E1913" s="2" t="s">
        <v>148</v>
      </c>
      <c r="F1913" s="2" t="s">
        <v>36</v>
      </c>
      <c r="G1913" s="2" t="s">
        <v>4121</v>
      </c>
      <c r="H1913">
        <v>967</v>
      </c>
      <c r="I1913" s="2">
        <v>2199</v>
      </c>
      <c r="J1913" s="2" t="s">
        <v>1204</v>
      </c>
      <c r="K1913" s="2" t="s">
        <v>39</v>
      </c>
      <c r="L1913" s="2">
        <v>4</v>
      </c>
      <c r="M1913" s="2">
        <v>710</v>
      </c>
      <c r="P1913" t="str">
        <f t="shared" si="119"/>
        <v>56%</v>
      </c>
      <c r="Q1913" s="12">
        <f t="shared" si="116"/>
        <v>0.56000000000000005</v>
      </c>
      <c r="R1913" s="9">
        <f t="shared" si="117"/>
        <v>967.56</v>
      </c>
      <c r="S1913" s="9">
        <f>IF(R1913="",AVERAGEIF(Table1[Category],Table1[[#This Row],[Category]],Table2[orignal data]),Table2[[#This Row],[orignal data]])</f>
        <v>967.56</v>
      </c>
      <c r="T1913" t="str">
        <f t="shared" si="118"/>
        <v>UNIQUE</v>
      </c>
      <c r="U1913" t="str">
        <f>IF(ISBLANK(Table1[[#This Row],[SizeOption]]),"NOT AVAILABLE",Table1[[#This Row],[SizeOption]])</f>
        <v>S, M, L, XL, XXL</v>
      </c>
      <c r="Y1913" t="str">
        <f>IF(Table2[[#This Row],[Column1]]&gt;50%,"HIGH DISCOUNT","LOW DISCOUNT")</f>
        <v>HIGH DISCOUNT</v>
      </c>
    </row>
    <row r="1914" spans="1:25" x14ac:dyDescent="0.25">
      <c r="A1914" s="1" t="s">
        <v>4122</v>
      </c>
      <c r="B1914" s="1">
        <v>8420283</v>
      </c>
      <c r="C1914" s="1" t="s">
        <v>97</v>
      </c>
      <c r="D1914" s="1" t="s">
        <v>98</v>
      </c>
      <c r="E1914" s="1" t="s">
        <v>77</v>
      </c>
      <c r="F1914" s="1" t="s">
        <v>36</v>
      </c>
      <c r="G1914" s="1" t="s">
        <v>4123</v>
      </c>
      <c r="H1914">
        <v>659</v>
      </c>
      <c r="I1914" s="1">
        <v>2199</v>
      </c>
      <c r="J1914" s="1" t="s">
        <v>79</v>
      </c>
      <c r="K1914" s="1" t="s">
        <v>100</v>
      </c>
      <c r="L1914" s="1">
        <v>4.0999999999999996</v>
      </c>
      <c r="M1914" s="1">
        <v>710</v>
      </c>
      <c r="P1914" t="str">
        <f t="shared" si="119"/>
        <v>70%</v>
      </c>
      <c r="Q1914" s="12">
        <f t="shared" si="116"/>
        <v>0.7</v>
      </c>
      <c r="R1914" s="9">
        <f t="shared" si="117"/>
        <v>659.7</v>
      </c>
      <c r="S1914" s="9">
        <f>IF(R1914="",AVERAGEIF(Table1[Category],Table1[[#This Row],[Category]],Table2[orignal data]),Table2[[#This Row],[orignal data]])</f>
        <v>659.7</v>
      </c>
      <c r="T1914" t="str">
        <f t="shared" si="118"/>
        <v>UNIQUE</v>
      </c>
      <c r="U1914" t="str">
        <f>IF(ISBLANK(Table1[[#This Row],[SizeOption]]),"NOT AVAILABLE",Table1[[#This Row],[SizeOption]])</f>
        <v>XS, S, M, L, XL, XXL, 3XL</v>
      </c>
      <c r="Y1914" t="str">
        <f>IF(Table2[[#This Row],[Column1]]&gt;50%,"HIGH DISCOUNT","LOW DISCOUNT")</f>
        <v>HIGH DISCOUNT</v>
      </c>
    </row>
    <row r="1915" spans="1:25" x14ac:dyDescent="0.25">
      <c r="A1915" s="2" t="s">
        <v>4124</v>
      </c>
      <c r="B1915" s="2">
        <v>5151607</v>
      </c>
      <c r="C1915" s="2" t="s">
        <v>1158</v>
      </c>
      <c r="D1915" s="2" t="s">
        <v>41</v>
      </c>
      <c r="E1915" s="2" t="s">
        <v>48</v>
      </c>
      <c r="F1915" s="2" t="s">
        <v>36</v>
      </c>
      <c r="G1915" s="2" t="s">
        <v>4125</v>
      </c>
      <c r="I1915" s="2">
        <v>1170</v>
      </c>
      <c r="J1915" s="2" t="s">
        <v>55</v>
      </c>
      <c r="K1915" s="2" t="s">
        <v>311</v>
      </c>
      <c r="L1915" s="2">
        <v>4.2</v>
      </c>
      <c r="M1915" s="2">
        <v>710</v>
      </c>
      <c r="P1915" t="str">
        <f t="shared" si="119"/>
        <v>60%</v>
      </c>
      <c r="Q1915" s="12">
        <f t="shared" si="116"/>
        <v>0.6</v>
      </c>
      <c r="R1915" s="9">
        <f t="shared" si="117"/>
        <v>468</v>
      </c>
      <c r="S1915" s="9">
        <f>IF(R1915="",AVERAGEIF(Table1[Category],Table1[[#This Row],[Category]],Table2[orignal data]),Table2[[#This Row],[orignal data]])</f>
        <v>468</v>
      </c>
      <c r="T1915" t="str">
        <f t="shared" si="118"/>
        <v>UNIQUE</v>
      </c>
      <c r="U1915" t="str">
        <f>IF(ISBLANK(Table1[[#This Row],[SizeOption]]),"NOT AVAILABLE",Table1[[#This Row],[SizeOption]])</f>
        <v>XS, S, M, L</v>
      </c>
      <c r="Y1915" t="str">
        <f>IF(Table2[[#This Row],[Column1]]&gt;50%,"HIGH DISCOUNT","LOW DISCOUNT")</f>
        <v>HIGH DISCOUNT</v>
      </c>
    </row>
    <row r="1916" spans="1:25" x14ac:dyDescent="0.25">
      <c r="A1916" s="1" t="s">
        <v>4126</v>
      </c>
      <c r="B1916" s="1">
        <v>14615132</v>
      </c>
      <c r="C1916" s="1" t="s">
        <v>14</v>
      </c>
      <c r="D1916" s="1" t="s">
        <v>41</v>
      </c>
      <c r="E1916" s="1" t="s">
        <v>29</v>
      </c>
      <c r="F1916" s="1" t="s">
        <v>36</v>
      </c>
      <c r="G1916" s="1" t="s">
        <v>4127</v>
      </c>
      <c r="I1916" s="1">
        <v>1299</v>
      </c>
      <c r="J1916" s="1" t="s">
        <v>19</v>
      </c>
      <c r="K1916" s="1" t="s">
        <v>45</v>
      </c>
      <c r="L1916" s="1">
        <v>4.3</v>
      </c>
      <c r="M1916" s="1">
        <v>710</v>
      </c>
      <c r="P1916" t="str">
        <f t="shared" si="119"/>
        <v>45%</v>
      </c>
      <c r="Q1916" s="12">
        <f t="shared" si="116"/>
        <v>0.45</v>
      </c>
      <c r="R1916" s="9">
        <f t="shared" si="117"/>
        <v>714.44999999999993</v>
      </c>
      <c r="S1916" s="9">
        <f>IF(R1916="",AVERAGEIF(Table1[Category],Table1[[#This Row],[Category]],Table2[orignal data]),Table2[[#This Row],[orignal data]])</f>
        <v>714.44999999999993</v>
      </c>
      <c r="T1916" t="str">
        <f t="shared" si="118"/>
        <v>UNIQUE</v>
      </c>
      <c r="U1916" t="str">
        <f>IF(ISBLANK(Table1[[#This Row],[SizeOption]]),"NOT AVAILABLE",Table1[[#This Row],[SizeOption]])</f>
        <v>XS, S, M, L, XL</v>
      </c>
      <c r="Y1916" t="str">
        <f>IF(Table2[[#This Row],[Column1]]&gt;50%,"HIGH DISCOUNT","LOW DISCOUNT")</f>
        <v>LOW DISCOUNT</v>
      </c>
    </row>
    <row r="1917" spans="1:25" x14ac:dyDescent="0.25">
      <c r="A1917" s="2" t="s">
        <v>4128</v>
      </c>
      <c r="B1917" s="2">
        <v>13038904</v>
      </c>
      <c r="C1917" s="2" t="s">
        <v>290</v>
      </c>
      <c r="D1917" s="2" t="s">
        <v>41</v>
      </c>
      <c r="E1917" s="2" t="s">
        <v>148</v>
      </c>
      <c r="F1917" s="2" t="s">
        <v>36</v>
      </c>
      <c r="G1917" s="2" t="s">
        <v>4129</v>
      </c>
      <c r="I1917" s="2">
        <v>1899</v>
      </c>
      <c r="J1917" s="2" t="s">
        <v>84</v>
      </c>
      <c r="K1917" s="2" t="s">
        <v>45</v>
      </c>
      <c r="L1917" s="2">
        <v>4.5</v>
      </c>
      <c r="M1917" s="2">
        <v>710</v>
      </c>
      <c r="P1917" t="str">
        <f t="shared" si="119"/>
        <v>50%</v>
      </c>
      <c r="Q1917" s="12">
        <f t="shared" si="116"/>
        <v>0.5</v>
      </c>
      <c r="R1917" s="9">
        <f t="shared" si="117"/>
        <v>949.5</v>
      </c>
      <c r="S1917" s="9">
        <f>IF(R1917="",AVERAGEIF(Table1[Category],Table1[[#This Row],[Category]],Table2[orignal data]),Table2[[#This Row],[orignal data]])</f>
        <v>949.5</v>
      </c>
      <c r="T1917" t="str">
        <f t="shared" si="118"/>
        <v>UNIQUE</v>
      </c>
      <c r="U1917" t="str">
        <f>IF(ISBLANK(Table1[[#This Row],[SizeOption]]),"NOT AVAILABLE",Table1[[#This Row],[SizeOption]])</f>
        <v>XS, S, M, L, XL</v>
      </c>
      <c r="Y1917" t="str">
        <f>IF(Table2[[#This Row],[Column1]]&gt;50%,"HIGH DISCOUNT","LOW DISCOUNT")</f>
        <v>LOW DISCOUNT</v>
      </c>
    </row>
    <row r="1918" spans="1:25" x14ac:dyDescent="0.25">
      <c r="A1918" s="1" t="s">
        <v>4130</v>
      </c>
      <c r="B1918" s="1">
        <v>14145170</v>
      </c>
      <c r="C1918" s="1" t="s">
        <v>102</v>
      </c>
      <c r="D1918" s="1" t="s">
        <v>41</v>
      </c>
      <c r="E1918" s="1" t="s">
        <v>137</v>
      </c>
      <c r="F1918" s="1" t="s">
        <v>36</v>
      </c>
      <c r="G1918" s="1" t="s">
        <v>4131</v>
      </c>
      <c r="I1918" s="1">
        <v>699</v>
      </c>
      <c r="J1918" s="1" t="s">
        <v>95</v>
      </c>
      <c r="K1918" s="1" t="s">
        <v>1252</v>
      </c>
      <c r="L1918" s="1">
        <v>4.5</v>
      </c>
      <c r="M1918" s="1">
        <v>710</v>
      </c>
      <c r="P1918" t="str">
        <f t="shared" si="119"/>
        <v>59%</v>
      </c>
      <c r="Q1918" s="12">
        <f t="shared" si="116"/>
        <v>0.59</v>
      </c>
      <c r="R1918" s="9">
        <f t="shared" si="117"/>
        <v>286.59000000000003</v>
      </c>
      <c r="S1918" s="9">
        <f>IF(R1918="",AVERAGEIF(Table1[Category],Table1[[#This Row],[Category]],Table2[orignal data]),Table2[[#This Row],[orignal data]])</f>
        <v>286.59000000000003</v>
      </c>
      <c r="T1918" t="str">
        <f t="shared" si="118"/>
        <v>UNIQUE</v>
      </c>
      <c r="U1918" t="str">
        <f>IF(ISBLANK(Table1[[#This Row],[SizeOption]]),"NOT AVAILABLE",Table1[[#This Row],[SizeOption]])</f>
        <v>26, 28, 30, 32</v>
      </c>
      <c r="Y1918" t="str">
        <f>IF(Table2[[#This Row],[Column1]]&gt;50%,"HIGH DISCOUNT","LOW DISCOUNT")</f>
        <v>HIGH DISCOUNT</v>
      </c>
    </row>
    <row r="1919" spans="1:25" x14ac:dyDescent="0.25">
      <c r="A1919" s="2" t="s">
        <v>4132</v>
      </c>
      <c r="B1919" s="2">
        <v>10460328</v>
      </c>
      <c r="C1919" s="2" t="s">
        <v>52</v>
      </c>
      <c r="D1919" s="2" t="s">
        <v>15</v>
      </c>
      <c r="E1919" s="2" t="s">
        <v>16</v>
      </c>
      <c r="F1919" s="2" t="s">
        <v>17</v>
      </c>
      <c r="G1919" s="2" t="s">
        <v>3306</v>
      </c>
      <c r="H1919">
        <v>892</v>
      </c>
      <c r="I1919" s="2">
        <v>1899</v>
      </c>
      <c r="J1919" s="2" t="s">
        <v>89</v>
      </c>
      <c r="K1919" s="2" t="s">
        <v>816</v>
      </c>
      <c r="L1919" s="2">
        <v>4.2</v>
      </c>
      <c r="M1919" s="2">
        <v>709</v>
      </c>
      <c r="P1919" t="str">
        <f t="shared" si="119"/>
        <v>53%</v>
      </c>
      <c r="Q1919" s="12">
        <f t="shared" si="116"/>
        <v>0.53</v>
      </c>
      <c r="R1919" s="9">
        <f t="shared" si="117"/>
        <v>892.53</v>
      </c>
      <c r="S1919" s="9">
        <f>IF(R1919="",AVERAGEIF(Table1[Category],Table1[[#This Row],[Category]],Table2[orignal data]),Table2[[#This Row],[orignal data]])</f>
        <v>892.53</v>
      </c>
      <c r="T1919" t="str">
        <f t="shared" si="118"/>
        <v>UNIQUE</v>
      </c>
      <c r="U1919" t="str">
        <f>IF(ISBLANK(Table1[[#This Row],[SizeOption]]),"NOT AVAILABLE",Table1[[#This Row],[SizeOption]])</f>
        <v>30, 32, 34, 36, 38</v>
      </c>
      <c r="Y1919" t="str">
        <f>IF(Table2[[#This Row],[Column1]]&gt;50%,"HIGH DISCOUNT","LOW DISCOUNT")</f>
        <v>HIGH DISCOUNT</v>
      </c>
    </row>
    <row r="1920" spans="1:25" x14ac:dyDescent="0.25">
      <c r="A1920" s="1" t="s">
        <v>4133</v>
      </c>
      <c r="B1920" s="1">
        <v>12817324</v>
      </c>
      <c r="C1920" s="1" t="s">
        <v>64</v>
      </c>
      <c r="D1920" s="1" t="s">
        <v>28</v>
      </c>
      <c r="E1920" s="1" t="s">
        <v>42</v>
      </c>
      <c r="F1920" s="1" t="s">
        <v>17</v>
      </c>
      <c r="G1920" s="1" t="s">
        <v>1767</v>
      </c>
      <c r="H1920">
        <v>279</v>
      </c>
      <c r="I1920" s="1">
        <v>699</v>
      </c>
      <c r="J1920" s="1" t="s">
        <v>55</v>
      </c>
      <c r="K1920" s="1" t="s">
        <v>26</v>
      </c>
      <c r="L1920" s="1">
        <v>4.2</v>
      </c>
      <c r="M1920" s="1">
        <v>709</v>
      </c>
      <c r="P1920" t="str">
        <f t="shared" si="119"/>
        <v>60%</v>
      </c>
      <c r="Q1920" s="12">
        <f t="shared" si="116"/>
        <v>0.6</v>
      </c>
      <c r="R1920" s="9">
        <f t="shared" si="117"/>
        <v>279.60000000000002</v>
      </c>
      <c r="S1920" s="9">
        <f>IF(R1920="",AVERAGEIF(Table1[Category],Table1[[#This Row],[Category]],Table2[orignal data]),Table2[[#This Row],[orignal data]])</f>
        <v>279.60000000000002</v>
      </c>
      <c r="T1920" t="str">
        <f t="shared" si="118"/>
        <v>UNIQUE</v>
      </c>
      <c r="U1920" t="str">
        <f>IF(ISBLANK(Table1[[#This Row],[SizeOption]]),"NOT AVAILABLE",Table1[[#This Row],[SizeOption]])</f>
        <v>S, M, L, XL</v>
      </c>
      <c r="Y1920" t="str">
        <f>IF(Table2[[#This Row],[Column1]]&gt;50%,"HIGH DISCOUNT","LOW DISCOUNT")</f>
        <v>HIGH DISCOUNT</v>
      </c>
    </row>
    <row r="1921" spans="1:25" x14ac:dyDescent="0.25">
      <c r="A1921" s="2" t="s">
        <v>4134</v>
      </c>
      <c r="B1921" s="2">
        <v>11332928</v>
      </c>
      <c r="C1921" s="2" t="s">
        <v>64</v>
      </c>
      <c r="D1921" s="2" t="s">
        <v>28</v>
      </c>
      <c r="E1921" s="2" t="s">
        <v>42</v>
      </c>
      <c r="F1921" s="2" t="s">
        <v>17</v>
      </c>
      <c r="G1921" s="2" t="s">
        <v>4135</v>
      </c>
      <c r="H1921">
        <v>314</v>
      </c>
      <c r="I1921" s="2">
        <v>899</v>
      </c>
      <c r="J1921" s="2" t="s">
        <v>150</v>
      </c>
      <c r="K1921" s="2" t="s">
        <v>26</v>
      </c>
      <c r="L1921" s="2">
        <v>4.3</v>
      </c>
      <c r="M1921" s="2">
        <v>709</v>
      </c>
      <c r="P1921" t="str">
        <f t="shared" si="119"/>
        <v>65%</v>
      </c>
      <c r="Q1921" s="12">
        <f t="shared" si="116"/>
        <v>0.65</v>
      </c>
      <c r="R1921" s="9">
        <f t="shared" si="117"/>
        <v>314.64999999999998</v>
      </c>
      <c r="S1921" s="9">
        <f>IF(R1921="",AVERAGEIF(Table1[Category],Table1[[#This Row],[Category]],Table2[orignal data]),Table2[[#This Row],[orignal data]])</f>
        <v>314.64999999999998</v>
      </c>
      <c r="T1921" t="str">
        <f t="shared" si="118"/>
        <v>UNIQUE</v>
      </c>
      <c r="U1921" t="str">
        <f>IF(ISBLANK(Table1[[#This Row],[SizeOption]]),"NOT AVAILABLE",Table1[[#This Row],[SizeOption]])</f>
        <v>S, M, L, XL</v>
      </c>
      <c r="Y1921" t="str">
        <f>IF(Table2[[#This Row],[Column1]]&gt;50%,"HIGH DISCOUNT","LOW DISCOUNT")</f>
        <v>HIGH DISCOUNT</v>
      </c>
    </row>
    <row r="1922" spans="1:25" x14ac:dyDescent="0.25">
      <c r="A1922" s="1" t="s">
        <v>4136</v>
      </c>
      <c r="B1922" s="1">
        <v>10832830</v>
      </c>
      <c r="C1922" s="1" t="s">
        <v>14</v>
      </c>
      <c r="D1922" s="1" t="s">
        <v>28</v>
      </c>
      <c r="E1922" s="1" t="s">
        <v>29</v>
      </c>
      <c r="F1922" s="1" t="s">
        <v>17</v>
      </c>
      <c r="G1922" s="1" t="s">
        <v>4137</v>
      </c>
      <c r="H1922">
        <v>799</v>
      </c>
      <c r="I1922" s="1">
        <v>999</v>
      </c>
      <c r="J1922" s="1" t="s">
        <v>412</v>
      </c>
      <c r="K1922" s="1" t="s">
        <v>253</v>
      </c>
      <c r="L1922" s="1">
        <v>4.2</v>
      </c>
      <c r="M1922" s="1">
        <v>709</v>
      </c>
      <c r="P1922" t="str">
        <f t="shared" si="119"/>
        <v>20%</v>
      </c>
      <c r="Q1922" s="12">
        <f t="shared" ref="Q1922:Q1985" si="120">IF(P1922="","",IF(ISNUMBER(SEARCH("%",P1922)),P1922,P1922/I1922)*100%)</f>
        <v>0.2</v>
      </c>
      <c r="R1922" s="9">
        <f t="shared" ref="R1922:R1985" si="121">IF(P1922="","",I1922-(I1922*Q1922))</f>
        <v>799.2</v>
      </c>
      <c r="S1922" s="9">
        <f>IF(R1922="",AVERAGEIF(Table1[Category],Table1[[#This Row],[Category]],Table2[orignal data]),Table2[[#This Row],[orignal data]])</f>
        <v>799.2</v>
      </c>
      <c r="T1922" t="str">
        <f t="shared" ref="T1922:T1985" si="122">IF(COUNTIF($B$2:$B$5000,B1922)&gt;1,"DUPLICATE","UNIQUE")</f>
        <v>UNIQUE</v>
      </c>
      <c r="U1922" t="str">
        <f>IF(ISBLANK(Table1[[#This Row],[SizeOption]]),"NOT AVAILABLE",Table1[[#This Row],[SizeOption]])</f>
        <v>38, 40, 42, 44</v>
      </c>
      <c r="Y1922" t="str">
        <f>IF(Table2[[#This Row],[Column1]]&gt;50%,"HIGH DISCOUNT","LOW DISCOUNT")</f>
        <v>LOW DISCOUNT</v>
      </c>
    </row>
    <row r="1923" spans="1:25" x14ac:dyDescent="0.25">
      <c r="A1923" s="2" t="s">
        <v>4138</v>
      </c>
      <c r="B1923" s="2">
        <v>13769322</v>
      </c>
      <c r="C1923" s="2" t="s">
        <v>92</v>
      </c>
      <c r="D1923" s="2" t="s">
        <v>76</v>
      </c>
      <c r="E1923" s="2" t="s">
        <v>148</v>
      </c>
      <c r="F1923" s="2" t="s">
        <v>36</v>
      </c>
      <c r="G1923" s="2" t="s">
        <v>4139</v>
      </c>
      <c r="H1923">
        <v>584</v>
      </c>
      <c r="I1923" s="2">
        <v>1499</v>
      </c>
      <c r="J1923" s="2" t="s">
        <v>104</v>
      </c>
      <c r="K1923" s="2" t="s">
        <v>39</v>
      </c>
      <c r="L1923" s="2">
        <v>4.3</v>
      </c>
      <c r="M1923" s="2">
        <v>709</v>
      </c>
      <c r="P1923" t="str">
        <f t="shared" ref="P1923:P1986" si="123">TRIM(SUBSTITUTE(SUBSTITUTE(SUBSTITUTE(SUBSTITUTE(J1923,"OFF",""),"Rs.",""),"Hurry*",""),",",""))</f>
        <v>61%</v>
      </c>
      <c r="Q1923" s="12">
        <f t="shared" si="120"/>
        <v>0.61</v>
      </c>
      <c r="R1923" s="9">
        <f t="shared" si="121"/>
        <v>584.61</v>
      </c>
      <c r="S1923" s="9">
        <f>IF(R1923="",AVERAGEIF(Table1[Category],Table1[[#This Row],[Category]],Table2[orignal data]),Table2[[#This Row],[orignal data]])</f>
        <v>584.61</v>
      </c>
      <c r="T1923" t="str">
        <f t="shared" si="122"/>
        <v>UNIQUE</v>
      </c>
      <c r="U1923" t="str">
        <f>IF(ISBLANK(Table1[[#This Row],[SizeOption]]),"NOT AVAILABLE",Table1[[#This Row],[SizeOption]])</f>
        <v>S, M, L, XL, XXL</v>
      </c>
      <c r="Y1923" t="str">
        <f>IF(Table2[[#This Row],[Column1]]&gt;50%,"HIGH DISCOUNT","LOW DISCOUNT")</f>
        <v>HIGH DISCOUNT</v>
      </c>
    </row>
    <row r="1924" spans="1:25" x14ac:dyDescent="0.25">
      <c r="A1924" s="1" t="s">
        <v>4140</v>
      </c>
      <c r="B1924" s="1">
        <v>14141216</v>
      </c>
      <c r="C1924" s="1" t="s">
        <v>221</v>
      </c>
      <c r="D1924" s="1" t="s">
        <v>98</v>
      </c>
      <c r="E1924" s="1" t="s">
        <v>48</v>
      </c>
      <c r="F1924" s="1" t="s">
        <v>36</v>
      </c>
      <c r="G1924" s="1" t="s">
        <v>4141</v>
      </c>
      <c r="H1924">
        <v>489</v>
      </c>
      <c r="I1924" s="1">
        <v>1399</v>
      </c>
      <c r="J1924" s="1" t="s">
        <v>150</v>
      </c>
      <c r="K1924" s="1" t="s">
        <v>223</v>
      </c>
      <c r="L1924" s="1">
        <v>4.3</v>
      </c>
      <c r="M1924" s="1">
        <v>709</v>
      </c>
      <c r="P1924" t="str">
        <f t="shared" si="123"/>
        <v>65%</v>
      </c>
      <c r="Q1924" s="12">
        <f t="shared" si="120"/>
        <v>0.65</v>
      </c>
      <c r="R1924" s="9">
        <f t="shared" si="121"/>
        <v>489.65</v>
      </c>
      <c r="S1924" s="9">
        <f>IF(R1924="",AVERAGEIF(Table1[Category],Table1[[#This Row],[Category]],Table2[orignal data]),Table2[[#This Row],[orignal data]])</f>
        <v>489.65</v>
      </c>
      <c r="T1924" t="str">
        <f t="shared" si="122"/>
        <v>UNIQUE</v>
      </c>
      <c r="U1924" t="str">
        <f>IF(ISBLANK(Table1[[#This Row],[SizeOption]]),"NOT AVAILABLE",Table1[[#This Row],[SizeOption]])</f>
        <v>S, M, L, XL, XXL, 3XL, 4XL</v>
      </c>
      <c r="Y1924" t="str">
        <f>IF(Table2[[#This Row],[Column1]]&gt;50%,"HIGH DISCOUNT","LOW DISCOUNT")</f>
        <v>HIGH DISCOUNT</v>
      </c>
    </row>
    <row r="1925" spans="1:25" x14ac:dyDescent="0.25">
      <c r="A1925" s="2" t="s">
        <v>4142</v>
      </c>
      <c r="B1925" s="2">
        <v>11174406</v>
      </c>
      <c r="C1925" s="2" t="s">
        <v>97</v>
      </c>
      <c r="D1925" s="2" t="s">
        <v>98</v>
      </c>
      <c r="E1925" s="2" t="s">
        <v>77</v>
      </c>
      <c r="F1925" s="2" t="s">
        <v>36</v>
      </c>
      <c r="G1925" s="2" t="s">
        <v>4143</v>
      </c>
      <c r="H1925">
        <v>799</v>
      </c>
      <c r="I1925" s="2">
        <v>1999</v>
      </c>
      <c r="J1925" s="2" t="s">
        <v>141</v>
      </c>
      <c r="K1925" s="2" t="s">
        <v>100</v>
      </c>
      <c r="L1925" s="2">
        <v>4.0999999999999996</v>
      </c>
      <c r="M1925" s="2">
        <v>709</v>
      </c>
      <c r="P1925" t="str">
        <f t="shared" si="123"/>
        <v>60%</v>
      </c>
      <c r="Q1925" s="12">
        <f t="shared" si="120"/>
        <v>0.6</v>
      </c>
      <c r="R1925" s="9">
        <f t="shared" si="121"/>
        <v>799.60000000000014</v>
      </c>
      <c r="S1925" s="9">
        <f>IF(R1925="",AVERAGEIF(Table1[Category],Table1[[#This Row],[Category]],Table2[orignal data]),Table2[[#This Row],[orignal data]])</f>
        <v>799.60000000000014</v>
      </c>
      <c r="T1925" t="str">
        <f t="shared" si="122"/>
        <v>UNIQUE</v>
      </c>
      <c r="U1925" t="str">
        <f>IF(ISBLANK(Table1[[#This Row],[SizeOption]]),"NOT AVAILABLE",Table1[[#This Row],[SizeOption]])</f>
        <v>XS, S, M, L, XL, XXL, 3XL</v>
      </c>
      <c r="Y1925" t="str">
        <f>IF(Table2[[#This Row],[Column1]]&gt;50%,"HIGH DISCOUNT","LOW DISCOUNT")</f>
        <v>HIGH DISCOUNT</v>
      </c>
    </row>
    <row r="1926" spans="1:25" x14ac:dyDescent="0.25">
      <c r="A1926" s="1" t="s">
        <v>4144</v>
      </c>
      <c r="B1926" s="1">
        <v>14154052</v>
      </c>
      <c r="C1926" s="1" t="s">
        <v>102</v>
      </c>
      <c r="D1926" s="1" t="s">
        <v>41</v>
      </c>
      <c r="E1926" s="1" t="s">
        <v>23</v>
      </c>
      <c r="F1926" s="1" t="s">
        <v>36</v>
      </c>
      <c r="G1926" s="1" t="s">
        <v>4145</v>
      </c>
      <c r="I1926" s="1">
        <v>1049</v>
      </c>
      <c r="J1926" s="1" t="s">
        <v>89</v>
      </c>
      <c r="K1926" s="1" t="s">
        <v>26</v>
      </c>
      <c r="L1926" s="1">
        <v>4.3</v>
      </c>
      <c r="M1926" s="1">
        <v>709</v>
      </c>
      <c r="P1926" t="str">
        <f t="shared" si="123"/>
        <v>53%</v>
      </c>
      <c r="Q1926" s="12">
        <f t="shared" si="120"/>
        <v>0.53</v>
      </c>
      <c r="R1926" s="9">
        <f t="shared" si="121"/>
        <v>493.03</v>
      </c>
      <c r="S1926" s="9">
        <f>IF(R1926="",AVERAGEIF(Table1[Category],Table1[[#This Row],[Category]],Table2[orignal data]),Table2[[#This Row],[orignal data]])</f>
        <v>493.03</v>
      </c>
      <c r="T1926" t="str">
        <f t="shared" si="122"/>
        <v>UNIQUE</v>
      </c>
      <c r="U1926" t="str">
        <f>IF(ISBLANK(Table1[[#This Row],[SizeOption]]),"NOT AVAILABLE",Table1[[#This Row],[SizeOption]])</f>
        <v>S, M, L, XL</v>
      </c>
      <c r="Y1926" t="str">
        <f>IF(Table2[[#This Row],[Column1]]&gt;50%,"HIGH DISCOUNT","LOW DISCOUNT")</f>
        <v>HIGH DISCOUNT</v>
      </c>
    </row>
    <row r="1927" spans="1:25" x14ac:dyDescent="0.25">
      <c r="A1927" s="2" t="s">
        <v>4146</v>
      </c>
      <c r="B1927" s="2">
        <v>17384186</v>
      </c>
      <c r="C1927" s="2" t="s">
        <v>14</v>
      </c>
      <c r="D1927" s="2" t="s">
        <v>41</v>
      </c>
      <c r="E1927" s="2" t="s">
        <v>42</v>
      </c>
      <c r="F1927" s="2" t="s">
        <v>36</v>
      </c>
      <c r="G1927" s="2" t="s">
        <v>696</v>
      </c>
      <c r="I1927" s="2">
        <v>1398</v>
      </c>
      <c r="J1927" s="2" t="s">
        <v>84</v>
      </c>
      <c r="K1927" s="2" t="s">
        <v>45</v>
      </c>
      <c r="L1927" s="2">
        <v>4.0999999999999996</v>
      </c>
      <c r="M1927" s="2">
        <v>709</v>
      </c>
      <c r="P1927" t="str">
        <f t="shared" si="123"/>
        <v>50%</v>
      </c>
      <c r="Q1927" s="12">
        <f t="shared" si="120"/>
        <v>0.5</v>
      </c>
      <c r="R1927" s="9">
        <f t="shared" si="121"/>
        <v>699</v>
      </c>
      <c r="S1927" s="9">
        <f>IF(R1927="",AVERAGEIF(Table1[Category],Table1[[#This Row],[Category]],Table2[orignal data]),Table2[[#This Row],[orignal data]])</f>
        <v>699</v>
      </c>
      <c r="T1927" t="str">
        <f t="shared" si="122"/>
        <v>UNIQUE</v>
      </c>
      <c r="U1927" t="str">
        <f>IF(ISBLANK(Table1[[#This Row],[SizeOption]]),"NOT AVAILABLE",Table1[[#This Row],[SizeOption]])</f>
        <v>XS, S, M, L, XL</v>
      </c>
      <c r="Y1927" t="str">
        <f>IF(Table2[[#This Row],[Column1]]&gt;50%,"HIGH DISCOUNT","LOW DISCOUNT")</f>
        <v>LOW DISCOUNT</v>
      </c>
    </row>
    <row r="1928" spans="1:25" x14ac:dyDescent="0.25">
      <c r="A1928" s="1" t="s">
        <v>4147</v>
      </c>
      <c r="B1928" s="1">
        <v>10365295</v>
      </c>
      <c r="C1928" s="1" t="s">
        <v>14</v>
      </c>
      <c r="D1928" s="1" t="s">
        <v>41</v>
      </c>
      <c r="E1928" s="1" t="s">
        <v>579</v>
      </c>
      <c r="F1928" s="1" t="s">
        <v>36</v>
      </c>
      <c r="G1928" s="1" t="s">
        <v>4148</v>
      </c>
      <c r="I1928" s="1">
        <v>1999</v>
      </c>
      <c r="J1928" s="1" t="s">
        <v>150</v>
      </c>
      <c r="K1928" s="1" t="s">
        <v>134</v>
      </c>
      <c r="L1928" s="1">
        <v>4.0999999999999996</v>
      </c>
      <c r="M1928" s="1">
        <v>709</v>
      </c>
      <c r="P1928" t="str">
        <f t="shared" si="123"/>
        <v>65%</v>
      </c>
      <c r="Q1928" s="12">
        <f t="shared" si="120"/>
        <v>0.65</v>
      </c>
      <c r="R1928" s="9">
        <f t="shared" si="121"/>
        <v>699.64999999999986</v>
      </c>
      <c r="S1928" s="9">
        <f>IF(R1928="",AVERAGEIF(Table1[Category],Table1[[#This Row],[Category]],Table2[orignal data]),Table2[[#This Row],[orignal data]])</f>
        <v>699.64999999999986</v>
      </c>
      <c r="T1928" t="str">
        <f t="shared" si="122"/>
        <v>UNIQUE</v>
      </c>
      <c r="U1928" t="str">
        <f>IF(ISBLANK(Table1[[#This Row],[SizeOption]]),"NOT AVAILABLE",Table1[[#This Row],[SizeOption]])</f>
        <v>26, 28, 30, 32, 34, 36</v>
      </c>
      <c r="Y1928" t="str">
        <f>IF(Table2[[#This Row],[Column1]]&gt;50%,"HIGH DISCOUNT","LOW DISCOUNT")</f>
        <v>HIGH DISCOUNT</v>
      </c>
    </row>
    <row r="1929" spans="1:25" x14ac:dyDescent="0.25">
      <c r="A1929" s="2" t="s">
        <v>4149</v>
      </c>
      <c r="B1929" s="2">
        <v>11863556</v>
      </c>
      <c r="C1929" s="2" t="s">
        <v>349</v>
      </c>
      <c r="D1929" s="2" t="s">
        <v>197</v>
      </c>
      <c r="E1929" s="2" t="s">
        <v>350</v>
      </c>
      <c r="F1929" s="2" t="s">
        <v>17</v>
      </c>
      <c r="G1929" s="2" t="s">
        <v>4150</v>
      </c>
      <c r="I1929" s="2">
        <v>299</v>
      </c>
      <c r="J1929" s="2"/>
      <c r="K1929" s="2" t="s">
        <v>352</v>
      </c>
      <c r="L1929" s="2">
        <v>4.2</v>
      </c>
      <c r="M1929" s="2">
        <v>708</v>
      </c>
      <c r="P1929" t="str">
        <f t="shared" si="123"/>
        <v/>
      </c>
      <c r="Q1929" s="12" t="str">
        <f t="shared" si="120"/>
        <v/>
      </c>
      <c r="R1929" s="9" t="str">
        <f t="shared" si="121"/>
        <v/>
      </c>
      <c r="S1929" s="9">
        <f>IF(R1929="",AVERAGEIF(Table1[Category],Table1[[#This Row],[Category]],Table2[orignal data]),Table2[[#This Row],[orignal data]])</f>
        <v>552.70900000000006</v>
      </c>
      <c r="T1929" t="str">
        <f t="shared" si="122"/>
        <v>UNIQUE</v>
      </c>
      <c r="U1929" t="str">
        <f>IF(ISBLANK(Table1[[#This Row],[SizeOption]]),"NOT AVAILABLE",Table1[[#This Row],[SizeOption]])</f>
        <v>S, M, L</v>
      </c>
      <c r="Y1929" t="str">
        <f>IF(Table2[[#This Row],[Column1]]&gt;50%,"HIGH DISCOUNT","LOW DISCOUNT")</f>
        <v>HIGH DISCOUNT</v>
      </c>
    </row>
    <row r="1930" spans="1:25" x14ac:dyDescent="0.25">
      <c r="A1930" s="1" t="s">
        <v>4151</v>
      </c>
      <c r="B1930" s="1">
        <v>11544864</v>
      </c>
      <c r="C1930" s="1" t="s">
        <v>14</v>
      </c>
      <c r="D1930" s="1" t="s">
        <v>28</v>
      </c>
      <c r="E1930" s="1" t="s">
        <v>42</v>
      </c>
      <c r="F1930" s="1" t="s">
        <v>17</v>
      </c>
      <c r="G1930" s="1" t="s">
        <v>4152</v>
      </c>
      <c r="H1930">
        <v>399</v>
      </c>
      <c r="I1930" s="1">
        <v>799</v>
      </c>
      <c r="J1930" s="1" t="s">
        <v>84</v>
      </c>
      <c r="K1930" s="1" t="s">
        <v>45</v>
      </c>
      <c r="L1930" s="1">
        <v>4.2</v>
      </c>
      <c r="M1930" s="1">
        <v>708</v>
      </c>
      <c r="P1930" t="str">
        <f t="shared" si="123"/>
        <v>50%</v>
      </c>
      <c r="Q1930" s="12">
        <f t="shared" si="120"/>
        <v>0.5</v>
      </c>
      <c r="R1930" s="9">
        <f t="shared" si="121"/>
        <v>399.5</v>
      </c>
      <c r="S1930" s="9">
        <f>IF(R1930="",AVERAGEIF(Table1[Category],Table1[[#This Row],[Category]],Table2[orignal data]),Table2[[#This Row],[orignal data]])</f>
        <v>399.5</v>
      </c>
      <c r="T1930" t="str">
        <f t="shared" si="122"/>
        <v>UNIQUE</v>
      </c>
      <c r="U1930" t="str">
        <f>IF(ISBLANK(Table1[[#This Row],[SizeOption]]),"NOT AVAILABLE",Table1[[#This Row],[SizeOption]])</f>
        <v>XS, S, M, L, XL</v>
      </c>
      <c r="Y1930" t="str">
        <f>IF(Table2[[#This Row],[Column1]]&gt;50%,"HIGH DISCOUNT","LOW DISCOUNT")</f>
        <v>LOW DISCOUNT</v>
      </c>
    </row>
    <row r="1931" spans="1:25" x14ac:dyDescent="0.25">
      <c r="A1931" s="2" t="s">
        <v>4153</v>
      </c>
      <c r="B1931" s="2">
        <v>2425411</v>
      </c>
      <c r="C1931" s="2" t="s">
        <v>67</v>
      </c>
      <c r="D1931" s="2" t="s">
        <v>28</v>
      </c>
      <c r="E1931" s="2" t="s">
        <v>42</v>
      </c>
      <c r="F1931" s="2" t="s">
        <v>17</v>
      </c>
      <c r="G1931" s="2" t="s">
        <v>4154</v>
      </c>
      <c r="H1931">
        <v>539</v>
      </c>
      <c r="I1931" s="2">
        <v>899</v>
      </c>
      <c r="J1931" s="2" t="s">
        <v>50</v>
      </c>
      <c r="K1931" s="2" t="s">
        <v>39</v>
      </c>
      <c r="L1931" s="2">
        <v>4.0999999999999996</v>
      </c>
      <c r="M1931" s="2">
        <v>708</v>
      </c>
      <c r="P1931" t="str">
        <f t="shared" si="123"/>
        <v>40%</v>
      </c>
      <c r="Q1931" s="12">
        <f t="shared" si="120"/>
        <v>0.4</v>
      </c>
      <c r="R1931" s="9">
        <f t="shared" si="121"/>
        <v>539.4</v>
      </c>
      <c r="S1931" s="9">
        <f>IF(R1931="",AVERAGEIF(Table1[Category],Table1[[#This Row],[Category]],Table2[orignal data]),Table2[[#This Row],[orignal data]])</f>
        <v>539.4</v>
      </c>
      <c r="T1931" t="str">
        <f t="shared" si="122"/>
        <v>UNIQUE</v>
      </c>
      <c r="U1931" t="str">
        <f>IF(ISBLANK(Table1[[#This Row],[SizeOption]]),"NOT AVAILABLE",Table1[[#This Row],[SizeOption]])</f>
        <v>S, M, L, XL, XXL</v>
      </c>
      <c r="Y1931" t="str">
        <f>IF(Table2[[#This Row],[Column1]]&gt;50%,"HIGH DISCOUNT","LOW DISCOUNT")</f>
        <v>LOW DISCOUNT</v>
      </c>
    </row>
    <row r="1932" spans="1:25" x14ac:dyDescent="0.25">
      <c r="A1932" s="1" t="s">
        <v>4155</v>
      </c>
      <c r="B1932" s="1">
        <v>10891010</v>
      </c>
      <c r="C1932" s="1" t="s">
        <v>420</v>
      </c>
      <c r="D1932" s="1" t="s">
        <v>28</v>
      </c>
      <c r="E1932" s="1" t="s">
        <v>42</v>
      </c>
      <c r="F1932" s="1" t="s">
        <v>17</v>
      </c>
      <c r="G1932" s="1" t="s">
        <v>4156</v>
      </c>
      <c r="H1932">
        <v>479</v>
      </c>
      <c r="I1932" s="1">
        <v>999</v>
      </c>
      <c r="J1932" s="1" t="s">
        <v>208</v>
      </c>
      <c r="K1932" s="1" t="s">
        <v>26</v>
      </c>
      <c r="L1932" s="1">
        <v>4.0999999999999996</v>
      </c>
      <c r="M1932" s="1">
        <v>708</v>
      </c>
      <c r="P1932" t="str">
        <f t="shared" si="123"/>
        <v>52%</v>
      </c>
      <c r="Q1932" s="12">
        <f t="shared" si="120"/>
        <v>0.52</v>
      </c>
      <c r="R1932" s="9">
        <f t="shared" si="121"/>
        <v>479.52</v>
      </c>
      <c r="S1932" s="9">
        <f>IF(R1932="",AVERAGEIF(Table1[Category],Table1[[#This Row],[Category]],Table2[orignal data]),Table2[[#This Row],[orignal data]])</f>
        <v>479.52</v>
      </c>
      <c r="T1932" t="str">
        <f t="shared" si="122"/>
        <v>UNIQUE</v>
      </c>
      <c r="U1932" t="str">
        <f>IF(ISBLANK(Table1[[#This Row],[SizeOption]]),"NOT AVAILABLE",Table1[[#This Row],[SizeOption]])</f>
        <v>S, M, L, XL</v>
      </c>
      <c r="Y1932" t="str">
        <f>IF(Table2[[#This Row],[Column1]]&gt;50%,"HIGH DISCOUNT","LOW DISCOUNT")</f>
        <v>HIGH DISCOUNT</v>
      </c>
    </row>
    <row r="1933" spans="1:25" x14ac:dyDescent="0.25">
      <c r="A1933" s="2" t="s">
        <v>4157</v>
      </c>
      <c r="B1933" s="2">
        <v>11197170</v>
      </c>
      <c r="C1933" s="2" t="s">
        <v>113</v>
      </c>
      <c r="D1933" s="2" t="s">
        <v>76</v>
      </c>
      <c r="E1933" s="2" t="s">
        <v>148</v>
      </c>
      <c r="F1933" s="2" t="s">
        <v>36</v>
      </c>
      <c r="G1933" s="2" t="s">
        <v>4158</v>
      </c>
      <c r="H1933">
        <v>699</v>
      </c>
      <c r="I1933" s="2">
        <v>1999</v>
      </c>
      <c r="J1933" s="2" t="s">
        <v>150</v>
      </c>
      <c r="K1933" s="2" t="s">
        <v>115</v>
      </c>
      <c r="L1933" s="2">
        <v>4.3</v>
      </c>
      <c r="M1933" s="2">
        <v>708</v>
      </c>
      <c r="P1933" t="str">
        <f t="shared" si="123"/>
        <v>65%</v>
      </c>
      <c r="Q1933" s="12">
        <f t="shared" si="120"/>
        <v>0.65</v>
      </c>
      <c r="R1933" s="9">
        <f t="shared" si="121"/>
        <v>699.64999999999986</v>
      </c>
      <c r="S1933" s="9">
        <f>IF(R1933="",AVERAGEIF(Table1[Category],Table1[[#This Row],[Category]],Table2[orignal data]),Table2[[#This Row],[orignal data]])</f>
        <v>699.64999999999986</v>
      </c>
      <c r="T1933" t="str">
        <f t="shared" si="122"/>
        <v>UNIQUE</v>
      </c>
      <c r="U1933" t="str">
        <f>IF(ISBLANK(Table1[[#This Row],[SizeOption]]),"NOT AVAILABLE",Table1[[#This Row],[SizeOption]])</f>
        <v>XS, S, M, L, XL, XXL</v>
      </c>
      <c r="Y1933" t="str">
        <f>IF(Table2[[#This Row],[Column1]]&gt;50%,"HIGH DISCOUNT","LOW DISCOUNT")</f>
        <v>HIGH DISCOUNT</v>
      </c>
    </row>
    <row r="1934" spans="1:25" x14ac:dyDescent="0.25">
      <c r="A1934" s="1" t="s">
        <v>4159</v>
      </c>
      <c r="B1934" s="1">
        <v>14243256</v>
      </c>
      <c r="C1934" s="1" t="s">
        <v>837</v>
      </c>
      <c r="D1934" s="1" t="s">
        <v>76</v>
      </c>
      <c r="E1934" s="1" t="s">
        <v>320</v>
      </c>
      <c r="F1934" s="1" t="s">
        <v>36</v>
      </c>
      <c r="G1934" s="1" t="s">
        <v>4160</v>
      </c>
      <c r="H1934">
        <v>995</v>
      </c>
      <c r="I1934" s="1">
        <v>5533</v>
      </c>
      <c r="J1934" s="1" t="s">
        <v>2349</v>
      </c>
      <c r="K1934" s="1" t="s">
        <v>4161</v>
      </c>
      <c r="L1934" s="1">
        <v>4</v>
      </c>
      <c r="M1934" s="1">
        <v>708</v>
      </c>
      <c r="P1934" t="str">
        <f t="shared" si="123"/>
        <v>82%</v>
      </c>
      <c r="Q1934" s="12">
        <f t="shared" si="120"/>
        <v>0.82</v>
      </c>
      <c r="R1934" s="9">
        <f t="shared" si="121"/>
        <v>995.94000000000051</v>
      </c>
      <c r="S1934" s="9">
        <f>IF(R1934="",AVERAGEIF(Table1[Category],Table1[[#This Row],[Category]],Table2[orignal data]),Table2[[#This Row],[orignal data]])</f>
        <v>995.94000000000051</v>
      </c>
      <c r="T1934" t="str">
        <f t="shared" si="122"/>
        <v>UNIQUE</v>
      </c>
      <c r="U1934" t="str">
        <f>IF(ISBLANK(Table1[[#This Row],[SizeOption]]),"NOT AVAILABLE",Table1[[#This Row],[SizeOption]])</f>
        <v>Pack</v>
      </c>
      <c r="Y1934" t="str">
        <f>IF(Table2[[#This Row],[Column1]]&gt;50%,"HIGH DISCOUNT","LOW DISCOUNT")</f>
        <v>HIGH DISCOUNT</v>
      </c>
    </row>
    <row r="1935" spans="1:25" x14ac:dyDescent="0.25">
      <c r="A1935" s="2" t="s">
        <v>4162</v>
      </c>
      <c r="B1935" s="2">
        <v>11999874</v>
      </c>
      <c r="C1935" s="2" t="s">
        <v>67</v>
      </c>
      <c r="D1935" s="2" t="s">
        <v>68</v>
      </c>
      <c r="E1935" s="2" t="s">
        <v>42</v>
      </c>
      <c r="F1935" s="2" t="s">
        <v>36</v>
      </c>
      <c r="G1935" s="2" t="s">
        <v>4163</v>
      </c>
      <c r="H1935">
        <v>384</v>
      </c>
      <c r="I1935" s="2">
        <v>699</v>
      </c>
      <c r="J1935" s="2" t="s">
        <v>19</v>
      </c>
      <c r="K1935" s="2" t="s">
        <v>45</v>
      </c>
      <c r="L1935" s="2">
        <v>4.5</v>
      </c>
      <c r="M1935" s="2">
        <v>708</v>
      </c>
      <c r="P1935" t="str">
        <f t="shared" si="123"/>
        <v>45%</v>
      </c>
      <c r="Q1935" s="12">
        <f t="shared" si="120"/>
        <v>0.45</v>
      </c>
      <c r="R1935" s="9">
        <f t="shared" si="121"/>
        <v>384.45</v>
      </c>
      <c r="S1935" s="9">
        <f>IF(R1935="",AVERAGEIF(Table1[Category],Table1[[#This Row],[Category]],Table2[orignal data]),Table2[[#This Row],[orignal data]])</f>
        <v>384.45</v>
      </c>
      <c r="T1935" t="str">
        <f t="shared" si="122"/>
        <v>UNIQUE</v>
      </c>
      <c r="U1935" t="str">
        <f>IF(ISBLANK(Table1[[#This Row],[SizeOption]]),"NOT AVAILABLE",Table1[[#This Row],[SizeOption]])</f>
        <v>XS, S, M, L, XL</v>
      </c>
      <c r="Y1935" t="str">
        <f>IF(Table2[[#This Row],[Column1]]&gt;50%,"HIGH DISCOUNT","LOW DISCOUNT")</f>
        <v>LOW DISCOUNT</v>
      </c>
    </row>
    <row r="1936" spans="1:25" x14ac:dyDescent="0.25">
      <c r="A1936" s="1" t="s">
        <v>4164</v>
      </c>
      <c r="B1936" s="1">
        <v>17381528</v>
      </c>
      <c r="C1936" s="1" t="s">
        <v>14</v>
      </c>
      <c r="D1936" s="1" t="s">
        <v>41</v>
      </c>
      <c r="E1936" s="1" t="s">
        <v>42</v>
      </c>
      <c r="F1936" s="1" t="s">
        <v>36</v>
      </c>
      <c r="G1936" s="1" t="s">
        <v>657</v>
      </c>
      <c r="I1936" s="1">
        <v>1198</v>
      </c>
      <c r="J1936" s="1" t="s">
        <v>84</v>
      </c>
      <c r="K1936" s="1" t="s">
        <v>45</v>
      </c>
      <c r="L1936" s="1">
        <v>4.4000000000000004</v>
      </c>
      <c r="M1936" s="1">
        <v>708</v>
      </c>
      <c r="P1936" t="str">
        <f t="shared" si="123"/>
        <v>50%</v>
      </c>
      <c r="Q1936" s="12">
        <f t="shared" si="120"/>
        <v>0.5</v>
      </c>
      <c r="R1936" s="9">
        <f t="shared" si="121"/>
        <v>599</v>
      </c>
      <c r="S1936" s="9">
        <f>IF(R1936="",AVERAGEIF(Table1[Category],Table1[[#This Row],[Category]],Table2[orignal data]),Table2[[#This Row],[orignal data]])</f>
        <v>599</v>
      </c>
      <c r="T1936" t="str">
        <f t="shared" si="122"/>
        <v>UNIQUE</v>
      </c>
      <c r="U1936" t="str">
        <f>IF(ISBLANK(Table1[[#This Row],[SizeOption]]),"NOT AVAILABLE",Table1[[#This Row],[SizeOption]])</f>
        <v>XS, S, M, L, XL</v>
      </c>
      <c r="Y1936" t="str">
        <f>IF(Table2[[#This Row],[Column1]]&gt;50%,"HIGH DISCOUNT","LOW DISCOUNT")</f>
        <v>LOW DISCOUNT</v>
      </c>
    </row>
    <row r="1937" spans="1:25" x14ac:dyDescent="0.25">
      <c r="A1937" s="2" t="s">
        <v>4165</v>
      </c>
      <c r="B1937" s="2">
        <v>1437351</v>
      </c>
      <c r="C1937" s="2" t="s">
        <v>128</v>
      </c>
      <c r="D1937" s="2" t="s">
        <v>41</v>
      </c>
      <c r="E1937" s="2" t="s">
        <v>48</v>
      </c>
      <c r="F1937" s="2" t="s">
        <v>36</v>
      </c>
      <c r="G1937" s="2" t="s">
        <v>4166</v>
      </c>
      <c r="I1937" s="2">
        <v>1199</v>
      </c>
      <c r="J1937" s="2" t="s">
        <v>25</v>
      </c>
      <c r="K1937" s="2" t="s">
        <v>26</v>
      </c>
      <c r="L1937" s="2">
        <v>3.6</v>
      </c>
      <c r="M1937" s="2">
        <v>708</v>
      </c>
      <c r="P1937" t="str">
        <f t="shared" si="123"/>
        <v>55%</v>
      </c>
      <c r="Q1937" s="12">
        <f t="shared" si="120"/>
        <v>0.55000000000000004</v>
      </c>
      <c r="R1937" s="9">
        <f t="shared" si="121"/>
        <v>539.54999999999995</v>
      </c>
      <c r="S1937" s="9">
        <f>IF(R1937="",AVERAGEIF(Table1[Category],Table1[[#This Row],[Category]],Table2[orignal data]),Table2[[#This Row],[orignal data]])</f>
        <v>539.54999999999995</v>
      </c>
      <c r="T1937" t="str">
        <f t="shared" si="122"/>
        <v>UNIQUE</v>
      </c>
      <c r="U1937" t="str">
        <f>IF(ISBLANK(Table1[[#This Row],[SizeOption]]),"NOT AVAILABLE",Table1[[#This Row],[SizeOption]])</f>
        <v>S, M, L, XL</v>
      </c>
      <c r="Y1937" t="str">
        <f>IF(Table2[[#This Row],[Column1]]&gt;50%,"HIGH DISCOUNT","LOW DISCOUNT")</f>
        <v>HIGH DISCOUNT</v>
      </c>
    </row>
    <row r="1938" spans="1:25" x14ac:dyDescent="0.25">
      <c r="A1938" s="1" t="s">
        <v>4167</v>
      </c>
      <c r="B1938" s="1">
        <v>1791090</v>
      </c>
      <c r="C1938" s="1" t="s">
        <v>107</v>
      </c>
      <c r="D1938" s="1" t="s">
        <v>41</v>
      </c>
      <c r="E1938" s="1" t="s">
        <v>48</v>
      </c>
      <c r="F1938" s="1" t="s">
        <v>36</v>
      </c>
      <c r="G1938" s="1" t="s">
        <v>4168</v>
      </c>
      <c r="I1938" s="1">
        <v>1499</v>
      </c>
      <c r="J1938" s="1" t="s">
        <v>55</v>
      </c>
      <c r="K1938" s="1" t="s">
        <v>45</v>
      </c>
      <c r="L1938" s="1">
        <v>4</v>
      </c>
      <c r="M1938" s="1">
        <v>708</v>
      </c>
      <c r="P1938" t="str">
        <f t="shared" si="123"/>
        <v>60%</v>
      </c>
      <c r="Q1938" s="12">
        <f t="shared" si="120"/>
        <v>0.6</v>
      </c>
      <c r="R1938" s="9">
        <f t="shared" si="121"/>
        <v>599.6</v>
      </c>
      <c r="S1938" s="9">
        <f>IF(R1938="",AVERAGEIF(Table1[Category],Table1[[#This Row],[Category]],Table2[orignal data]),Table2[[#This Row],[orignal data]])</f>
        <v>599.6</v>
      </c>
      <c r="T1938" t="str">
        <f t="shared" si="122"/>
        <v>UNIQUE</v>
      </c>
      <c r="U1938" t="str">
        <f>IF(ISBLANK(Table1[[#This Row],[SizeOption]]),"NOT AVAILABLE",Table1[[#This Row],[SizeOption]])</f>
        <v>XS, S, M, L, XL</v>
      </c>
      <c r="Y1938" t="str">
        <f>IF(Table2[[#This Row],[Column1]]&gt;50%,"HIGH DISCOUNT","LOW DISCOUNT")</f>
        <v>HIGH DISCOUNT</v>
      </c>
    </row>
    <row r="1939" spans="1:25" x14ac:dyDescent="0.25">
      <c r="A1939" s="2" t="s">
        <v>4169</v>
      </c>
      <c r="B1939" s="2">
        <v>10426050</v>
      </c>
      <c r="C1939" s="2" t="s">
        <v>1083</v>
      </c>
      <c r="D1939" s="2" t="s">
        <v>41</v>
      </c>
      <c r="E1939" s="2" t="s">
        <v>42</v>
      </c>
      <c r="F1939" s="2" t="s">
        <v>36</v>
      </c>
      <c r="G1939" s="2" t="s">
        <v>4170</v>
      </c>
      <c r="I1939" s="2">
        <v>999</v>
      </c>
      <c r="J1939" s="2" t="s">
        <v>606</v>
      </c>
      <c r="K1939" s="2" t="s">
        <v>45</v>
      </c>
      <c r="L1939" s="2">
        <v>4.3</v>
      </c>
      <c r="M1939" s="2">
        <v>708</v>
      </c>
      <c r="P1939" t="str">
        <f t="shared" si="123"/>
        <v>54%</v>
      </c>
      <c r="Q1939" s="12">
        <f t="shared" si="120"/>
        <v>0.54</v>
      </c>
      <c r="R1939" s="9">
        <f t="shared" si="121"/>
        <v>459.53999999999996</v>
      </c>
      <c r="S1939" s="9">
        <f>IF(R1939="",AVERAGEIF(Table1[Category],Table1[[#This Row],[Category]],Table2[orignal data]),Table2[[#This Row],[orignal data]])</f>
        <v>459.53999999999996</v>
      </c>
      <c r="T1939" t="str">
        <f t="shared" si="122"/>
        <v>UNIQUE</v>
      </c>
      <c r="U1939" t="str">
        <f>IF(ISBLANK(Table1[[#This Row],[SizeOption]]),"NOT AVAILABLE",Table1[[#This Row],[SizeOption]])</f>
        <v>XS, S, M, L, XL</v>
      </c>
      <c r="Y1939" t="str">
        <f>IF(Table2[[#This Row],[Column1]]&gt;50%,"HIGH DISCOUNT","LOW DISCOUNT")</f>
        <v>HIGH DISCOUNT</v>
      </c>
    </row>
    <row r="1940" spans="1:25" x14ac:dyDescent="0.25">
      <c r="A1940" s="1" t="s">
        <v>4171</v>
      </c>
      <c r="B1940" s="1">
        <v>5711095</v>
      </c>
      <c r="C1940" s="1" t="s">
        <v>52</v>
      </c>
      <c r="D1940" s="1" t="s">
        <v>15</v>
      </c>
      <c r="E1940" s="1" t="s">
        <v>53</v>
      </c>
      <c r="F1940" s="1" t="s">
        <v>17</v>
      </c>
      <c r="G1940" s="1" t="s">
        <v>4172</v>
      </c>
      <c r="H1940">
        <v>610</v>
      </c>
      <c r="I1940" s="1">
        <v>1649</v>
      </c>
      <c r="J1940" s="1" t="s">
        <v>476</v>
      </c>
      <c r="K1940" s="1" t="s">
        <v>56</v>
      </c>
      <c r="L1940" s="1">
        <v>4</v>
      </c>
      <c r="M1940" s="1">
        <v>707</v>
      </c>
      <c r="P1940" t="str">
        <f t="shared" si="123"/>
        <v>63%</v>
      </c>
      <c r="Q1940" s="12">
        <f t="shared" si="120"/>
        <v>0.63</v>
      </c>
      <c r="R1940" s="9">
        <f t="shared" si="121"/>
        <v>610.12999999999988</v>
      </c>
      <c r="S1940" s="9">
        <f>IF(R1940="",AVERAGEIF(Table1[Category],Table1[[#This Row],[Category]],Table2[orignal data]),Table2[[#This Row],[orignal data]])</f>
        <v>610.12999999999988</v>
      </c>
      <c r="T1940" t="str">
        <f t="shared" si="122"/>
        <v>UNIQUE</v>
      </c>
      <c r="U1940" t="str">
        <f>IF(ISBLANK(Table1[[#This Row],[SizeOption]]),"NOT AVAILABLE",Table1[[#This Row],[SizeOption]])</f>
        <v>30, 32, 34, 36</v>
      </c>
      <c r="Y1940" t="str">
        <f>IF(Table2[[#This Row],[Column1]]&gt;50%,"HIGH DISCOUNT","LOW DISCOUNT")</f>
        <v>HIGH DISCOUNT</v>
      </c>
    </row>
    <row r="1941" spans="1:25" x14ac:dyDescent="0.25">
      <c r="A1941" s="2" t="s">
        <v>4173</v>
      </c>
      <c r="B1941" s="2">
        <v>8426181</v>
      </c>
      <c r="C1941" s="2" t="s">
        <v>169</v>
      </c>
      <c r="D1941" s="2" t="s">
        <v>28</v>
      </c>
      <c r="E1941" s="2" t="s">
        <v>29</v>
      </c>
      <c r="F1941" s="2" t="s">
        <v>17</v>
      </c>
      <c r="G1941" s="2" t="s">
        <v>4174</v>
      </c>
      <c r="H1941">
        <v>1319</v>
      </c>
      <c r="I1941" s="2">
        <v>2399</v>
      </c>
      <c r="J1941" s="2" t="s">
        <v>19</v>
      </c>
      <c r="K1941" s="2" t="s">
        <v>484</v>
      </c>
      <c r="L1941" s="2">
        <v>4.3</v>
      </c>
      <c r="M1941" s="2">
        <v>707</v>
      </c>
      <c r="P1941" t="str">
        <f t="shared" si="123"/>
        <v>45%</v>
      </c>
      <c r="Q1941" s="12">
        <f t="shared" si="120"/>
        <v>0.45</v>
      </c>
      <c r="R1941" s="9">
        <f t="shared" si="121"/>
        <v>1319.45</v>
      </c>
      <c r="S1941" s="9">
        <f>IF(R1941="",AVERAGEIF(Table1[Category],Table1[[#This Row],[Category]],Table2[orignal data]),Table2[[#This Row],[orignal data]])</f>
        <v>1319.45</v>
      </c>
      <c r="T1941" t="str">
        <f t="shared" si="122"/>
        <v>UNIQUE</v>
      </c>
      <c r="U1941" t="str">
        <f>IF(ISBLANK(Table1[[#This Row],[SizeOption]]),"NOT AVAILABLE",Table1[[#This Row],[SizeOption]])</f>
        <v>39, 40, 42, 44, 46</v>
      </c>
      <c r="Y1941" t="str">
        <f>IF(Table2[[#This Row],[Column1]]&gt;50%,"HIGH DISCOUNT","LOW DISCOUNT")</f>
        <v>LOW DISCOUNT</v>
      </c>
    </row>
    <row r="1942" spans="1:25" x14ac:dyDescent="0.25">
      <c r="A1942" s="1" t="s">
        <v>4175</v>
      </c>
      <c r="B1942" s="1">
        <v>11174110</v>
      </c>
      <c r="C1942" s="1" t="s">
        <v>97</v>
      </c>
      <c r="D1942" s="1" t="s">
        <v>76</v>
      </c>
      <c r="E1942" s="1" t="s">
        <v>93</v>
      </c>
      <c r="F1942" s="1" t="s">
        <v>36</v>
      </c>
      <c r="G1942" s="1" t="s">
        <v>4176</v>
      </c>
      <c r="H1942">
        <v>549</v>
      </c>
      <c r="I1942" s="1">
        <v>1099</v>
      </c>
      <c r="J1942" s="1" t="s">
        <v>84</v>
      </c>
      <c r="K1942" s="1" t="s">
        <v>100</v>
      </c>
      <c r="L1942" s="1">
        <v>3.9</v>
      </c>
      <c r="M1942" s="1">
        <v>707</v>
      </c>
      <c r="P1942" t="str">
        <f t="shared" si="123"/>
        <v>50%</v>
      </c>
      <c r="Q1942" s="12">
        <f t="shared" si="120"/>
        <v>0.5</v>
      </c>
      <c r="R1942" s="9">
        <f t="shared" si="121"/>
        <v>549.5</v>
      </c>
      <c r="S1942" s="9">
        <f>IF(R1942="",AVERAGEIF(Table1[Category],Table1[[#This Row],[Category]],Table2[orignal data]),Table2[[#This Row],[orignal data]])</f>
        <v>549.5</v>
      </c>
      <c r="T1942" t="str">
        <f t="shared" si="122"/>
        <v>UNIQUE</v>
      </c>
      <c r="U1942" t="str">
        <f>IF(ISBLANK(Table1[[#This Row],[SizeOption]]),"NOT AVAILABLE",Table1[[#This Row],[SizeOption]])</f>
        <v>XS, S, M, L, XL, XXL, 3XL</v>
      </c>
      <c r="Y1942" t="str">
        <f>IF(Table2[[#This Row],[Column1]]&gt;50%,"HIGH DISCOUNT","LOW DISCOUNT")</f>
        <v>LOW DISCOUNT</v>
      </c>
    </row>
    <row r="1943" spans="1:25" x14ac:dyDescent="0.25">
      <c r="A1943" s="2" t="s">
        <v>4177</v>
      </c>
      <c r="B1943" s="2">
        <v>11535128</v>
      </c>
      <c r="C1943" s="2" t="s">
        <v>75</v>
      </c>
      <c r="D1943" s="2" t="s">
        <v>76</v>
      </c>
      <c r="E1943" s="2" t="s">
        <v>365</v>
      </c>
      <c r="F1943" s="2" t="s">
        <v>36</v>
      </c>
      <c r="G1943" s="2" t="s">
        <v>4178</v>
      </c>
      <c r="H1943">
        <v>599</v>
      </c>
      <c r="I1943" s="2">
        <v>1499</v>
      </c>
      <c r="J1943" s="2" t="s">
        <v>55</v>
      </c>
      <c r="K1943" s="2" t="s">
        <v>39</v>
      </c>
      <c r="L1943" s="2">
        <v>4.0999999999999996</v>
      </c>
      <c r="M1943" s="2">
        <v>707</v>
      </c>
      <c r="P1943" t="str">
        <f t="shared" si="123"/>
        <v>60%</v>
      </c>
      <c r="Q1943" s="12">
        <f t="shared" si="120"/>
        <v>0.6</v>
      </c>
      <c r="R1943" s="9">
        <f t="shared" si="121"/>
        <v>599.6</v>
      </c>
      <c r="S1943" s="9">
        <f>IF(R1943="",AVERAGEIF(Table1[Category],Table1[[#This Row],[Category]],Table2[orignal data]),Table2[[#This Row],[orignal data]])</f>
        <v>599.6</v>
      </c>
      <c r="T1943" t="str">
        <f t="shared" si="122"/>
        <v>UNIQUE</v>
      </c>
      <c r="U1943" t="str">
        <f>IF(ISBLANK(Table1[[#This Row],[SizeOption]]),"NOT AVAILABLE",Table1[[#This Row],[SizeOption]])</f>
        <v>S, M, L, XL, XXL</v>
      </c>
      <c r="Y1943" t="str">
        <f>IF(Table2[[#This Row],[Column1]]&gt;50%,"HIGH DISCOUNT","LOW DISCOUNT")</f>
        <v>HIGH DISCOUNT</v>
      </c>
    </row>
    <row r="1944" spans="1:25" x14ac:dyDescent="0.25">
      <c r="A1944" s="1" t="s">
        <v>4179</v>
      </c>
      <c r="B1944" s="1">
        <v>11274726</v>
      </c>
      <c r="C1944" s="1" t="s">
        <v>14</v>
      </c>
      <c r="D1944" s="1" t="s">
        <v>15</v>
      </c>
      <c r="E1944" s="1" t="s">
        <v>16</v>
      </c>
      <c r="F1944" s="1" t="s">
        <v>17</v>
      </c>
      <c r="G1944" s="1" t="s">
        <v>3068</v>
      </c>
      <c r="H1944">
        <v>899</v>
      </c>
      <c r="I1944" s="1">
        <v>1999</v>
      </c>
      <c r="J1944" s="1" t="s">
        <v>25</v>
      </c>
      <c r="K1944" s="1" t="s">
        <v>20</v>
      </c>
      <c r="L1944" s="1">
        <v>3.8</v>
      </c>
      <c r="M1944" s="1">
        <v>706</v>
      </c>
      <c r="P1944" t="str">
        <f t="shared" si="123"/>
        <v>55%</v>
      </c>
      <c r="Q1944" s="12">
        <f t="shared" si="120"/>
        <v>0.55000000000000004</v>
      </c>
      <c r="R1944" s="9">
        <f t="shared" si="121"/>
        <v>899.55</v>
      </c>
      <c r="S1944" s="9">
        <f>IF(R1944="",AVERAGEIF(Table1[Category],Table1[[#This Row],[Category]],Table2[orignal data]),Table2[[#This Row],[orignal data]])</f>
        <v>899.55</v>
      </c>
      <c r="T1944" t="str">
        <f t="shared" si="122"/>
        <v>UNIQUE</v>
      </c>
      <c r="U1944" t="str">
        <f>IF(ISBLANK(Table1[[#This Row],[SizeOption]]),"NOT AVAILABLE",Table1[[#This Row],[SizeOption]])</f>
        <v>28, 30, 32, 34, 36</v>
      </c>
      <c r="Y1944" t="str">
        <f>IF(Table2[[#This Row],[Column1]]&gt;50%,"HIGH DISCOUNT","LOW DISCOUNT")</f>
        <v>HIGH DISCOUNT</v>
      </c>
    </row>
    <row r="1945" spans="1:25" x14ac:dyDescent="0.25">
      <c r="A1945" s="2" t="s">
        <v>4180</v>
      </c>
      <c r="B1945" s="2">
        <v>5387866</v>
      </c>
      <c r="C1945" s="2" t="s">
        <v>52</v>
      </c>
      <c r="D1945" s="2" t="s">
        <v>15</v>
      </c>
      <c r="E1945" s="2" t="s">
        <v>53</v>
      </c>
      <c r="F1945" s="2" t="s">
        <v>17</v>
      </c>
      <c r="G1945" s="2" t="s">
        <v>3126</v>
      </c>
      <c r="H1945">
        <v>775</v>
      </c>
      <c r="I1945" s="2">
        <v>1649</v>
      </c>
      <c r="J1945" s="2" t="s">
        <v>89</v>
      </c>
      <c r="K1945" s="2" t="s">
        <v>56</v>
      </c>
      <c r="L1945" s="2">
        <v>4.0999999999999996</v>
      </c>
      <c r="M1945" s="2">
        <v>706</v>
      </c>
      <c r="P1945" t="str">
        <f t="shared" si="123"/>
        <v>53%</v>
      </c>
      <c r="Q1945" s="12">
        <f t="shared" si="120"/>
        <v>0.53</v>
      </c>
      <c r="R1945" s="9">
        <f t="shared" si="121"/>
        <v>775.03</v>
      </c>
      <c r="S1945" s="9">
        <f>IF(R1945="",AVERAGEIF(Table1[Category],Table1[[#This Row],[Category]],Table2[orignal data]),Table2[[#This Row],[orignal data]])</f>
        <v>775.03</v>
      </c>
      <c r="T1945" t="str">
        <f t="shared" si="122"/>
        <v>UNIQUE</v>
      </c>
      <c r="U1945" t="str">
        <f>IF(ISBLANK(Table1[[#This Row],[SizeOption]]),"NOT AVAILABLE",Table1[[#This Row],[SizeOption]])</f>
        <v>30, 32, 34, 36</v>
      </c>
      <c r="Y1945" t="str">
        <f>IF(Table2[[#This Row],[Column1]]&gt;50%,"HIGH DISCOUNT","LOW DISCOUNT")</f>
        <v>HIGH DISCOUNT</v>
      </c>
    </row>
    <row r="1946" spans="1:25" x14ac:dyDescent="0.25">
      <c r="A1946" s="1" t="s">
        <v>4181</v>
      </c>
      <c r="B1946" s="1">
        <v>14838572</v>
      </c>
      <c r="C1946" s="1" t="s">
        <v>349</v>
      </c>
      <c r="D1946" s="1" t="s">
        <v>34</v>
      </c>
      <c r="E1946" s="1" t="s">
        <v>296</v>
      </c>
      <c r="F1946" s="1" t="s">
        <v>36</v>
      </c>
      <c r="G1946" s="1" t="s">
        <v>4182</v>
      </c>
      <c r="I1946" s="1">
        <v>349</v>
      </c>
      <c r="J1946" s="1"/>
      <c r="K1946" s="1" t="s">
        <v>352</v>
      </c>
      <c r="L1946" s="1">
        <v>4.2</v>
      </c>
      <c r="M1946" s="1">
        <v>706</v>
      </c>
      <c r="P1946" t="str">
        <f t="shared" si="123"/>
        <v/>
      </c>
      <c r="Q1946" s="12" t="str">
        <f t="shared" si="120"/>
        <v/>
      </c>
      <c r="R1946" s="9" t="str">
        <f t="shared" si="121"/>
        <v/>
      </c>
      <c r="S1946" s="9">
        <f>IF(R1946="",AVERAGEIF(Table1[Category],Table1[[#This Row],[Category]],Table2[orignal data]),Table2[[#This Row],[orignal data]])</f>
        <v>608.88518518518481</v>
      </c>
      <c r="T1946" t="str">
        <f t="shared" si="122"/>
        <v>UNIQUE</v>
      </c>
      <c r="U1946" t="str">
        <f>IF(ISBLANK(Table1[[#This Row],[SizeOption]]),"NOT AVAILABLE",Table1[[#This Row],[SizeOption]])</f>
        <v>S, M, L</v>
      </c>
      <c r="Y1946" t="str">
        <f>IF(Table2[[#This Row],[Column1]]&gt;50%,"HIGH DISCOUNT","LOW DISCOUNT")</f>
        <v>HIGH DISCOUNT</v>
      </c>
    </row>
    <row r="1947" spans="1:25" x14ac:dyDescent="0.25">
      <c r="A1947" s="2" t="s">
        <v>4183</v>
      </c>
      <c r="B1947" s="2">
        <v>11174248</v>
      </c>
      <c r="C1947" s="2" t="s">
        <v>97</v>
      </c>
      <c r="D1947" s="2" t="s">
        <v>98</v>
      </c>
      <c r="E1947" s="2" t="s">
        <v>148</v>
      </c>
      <c r="F1947" s="2" t="s">
        <v>36</v>
      </c>
      <c r="G1947" s="2" t="s">
        <v>4184</v>
      </c>
      <c r="H1947">
        <v>679</v>
      </c>
      <c r="I1947" s="2">
        <v>1699</v>
      </c>
      <c r="J1947" s="2" t="s">
        <v>55</v>
      </c>
      <c r="K1947" s="2" t="s">
        <v>100</v>
      </c>
      <c r="L1947" s="2">
        <v>4.2</v>
      </c>
      <c r="M1947" s="2">
        <v>706</v>
      </c>
      <c r="P1947" t="str">
        <f t="shared" si="123"/>
        <v>60%</v>
      </c>
      <c r="Q1947" s="12">
        <f t="shared" si="120"/>
        <v>0.6</v>
      </c>
      <c r="R1947" s="9">
        <f t="shared" si="121"/>
        <v>679.6</v>
      </c>
      <c r="S1947" s="9">
        <f>IF(R1947="",AVERAGEIF(Table1[Category],Table1[[#This Row],[Category]],Table2[orignal data]),Table2[[#This Row],[orignal data]])</f>
        <v>679.6</v>
      </c>
      <c r="T1947" t="str">
        <f t="shared" si="122"/>
        <v>UNIQUE</v>
      </c>
      <c r="U1947" t="str">
        <f>IF(ISBLANK(Table1[[#This Row],[SizeOption]]),"NOT AVAILABLE",Table1[[#This Row],[SizeOption]])</f>
        <v>XS, S, M, L, XL, XXL, 3XL</v>
      </c>
      <c r="Y1947" t="str">
        <f>IF(Table2[[#This Row],[Column1]]&gt;50%,"HIGH DISCOUNT","LOW DISCOUNT")</f>
        <v>HIGH DISCOUNT</v>
      </c>
    </row>
    <row r="1948" spans="1:25" x14ac:dyDescent="0.25">
      <c r="A1948" s="1" t="s">
        <v>4185</v>
      </c>
      <c r="B1948" s="1">
        <v>14791710</v>
      </c>
      <c r="C1948" s="1" t="s">
        <v>4186</v>
      </c>
      <c r="D1948" s="1" t="s">
        <v>41</v>
      </c>
      <c r="E1948" s="1" t="s">
        <v>818</v>
      </c>
      <c r="F1948" s="1" t="s">
        <v>36</v>
      </c>
      <c r="G1948" s="1" t="s">
        <v>4187</v>
      </c>
      <c r="I1948" s="1">
        <v>1099</v>
      </c>
      <c r="J1948" s="1" t="s">
        <v>44</v>
      </c>
      <c r="K1948" s="1" t="s">
        <v>115</v>
      </c>
      <c r="L1948" s="1">
        <v>4.5999999999999996</v>
      </c>
      <c r="M1948" s="1">
        <v>706</v>
      </c>
      <c r="P1948" t="str">
        <f t="shared" si="123"/>
        <v>35%</v>
      </c>
      <c r="Q1948" s="12">
        <f t="shared" si="120"/>
        <v>0.35</v>
      </c>
      <c r="R1948" s="9">
        <f t="shared" si="121"/>
        <v>714.35</v>
      </c>
      <c r="S1948" s="9">
        <f>IF(R1948="",AVERAGEIF(Table1[Category],Table1[[#This Row],[Category]],Table2[orignal data]),Table2[[#This Row],[orignal data]])</f>
        <v>714.35</v>
      </c>
      <c r="T1948" t="str">
        <f t="shared" si="122"/>
        <v>UNIQUE</v>
      </c>
      <c r="U1948" t="str">
        <f>IF(ISBLANK(Table1[[#This Row],[SizeOption]]),"NOT AVAILABLE",Table1[[#This Row],[SizeOption]])</f>
        <v>XS, S, M, L, XL, XXL</v>
      </c>
      <c r="Y1948" t="str">
        <f>IF(Table2[[#This Row],[Column1]]&gt;50%,"HIGH DISCOUNT","LOW DISCOUNT")</f>
        <v>LOW DISCOUNT</v>
      </c>
    </row>
    <row r="1949" spans="1:25" x14ac:dyDescent="0.25">
      <c r="A1949" s="2" t="s">
        <v>4188</v>
      </c>
      <c r="B1949" s="2">
        <v>17385194</v>
      </c>
      <c r="C1949" s="2" t="s">
        <v>14</v>
      </c>
      <c r="D1949" s="2" t="s">
        <v>41</v>
      </c>
      <c r="E1949" s="2" t="s">
        <v>42</v>
      </c>
      <c r="F1949" s="2" t="s">
        <v>36</v>
      </c>
      <c r="G1949" s="2" t="s">
        <v>111</v>
      </c>
      <c r="I1949" s="2">
        <v>1398</v>
      </c>
      <c r="J1949" s="2" t="s">
        <v>84</v>
      </c>
      <c r="K1949" s="2" t="s">
        <v>45</v>
      </c>
      <c r="L1949" s="2">
        <v>4.4000000000000004</v>
      </c>
      <c r="M1949" s="2">
        <v>706</v>
      </c>
      <c r="P1949" t="str">
        <f t="shared" si="123"/>
        <v>50%</v>
      </c>
      <c r="Q1949" s="12">
        <f t="shared" si="120"/>
        <v>0.5</v>
      </c>
      <c r="R1949" s="9">
        <f t="shared" si="121"/>
        <v>699</v>
      </c>
      <c r="S1949" s="9">
        <f>IF(R1949="",AVERAGEIF(Table1[Category],Table1[[#This Row],[Category]],Table2[orignal data]),Table2[[#This Row],[orignal data]])</f>
        <v>699</v>
      </c>
      <c r="T1949" t="str">
        <f t="shared" si="122"/>
        <v>UNIQUE</v>
      </c>
      <c r="U1949" t="str">
        <f>IF(ISBLANK(Table1[[#This Row],[SizeOption]]),"NOT AVAILABLE",Table1[[#This Row],[SizeOption]])</f>
        <v>XS, S, M, L, XL</v>
      </c>
      <c r="Y1949" t="str">
        <f>IF(Table2[[#This Row],[Column1]]&gt;50%,"HIGH DISCOUNT","LOW DISCOUNT")</f>
        <v>LOW DISCOUNT</v>
      </c>
    </row>
    <row r="1950" spans="1:25" x14ac:dyDescent="0.25">
      <c r="A1950" s="1" t="s">
        <v>4189</v>
      </c>
      <c r="B1950" s="1">
        <v>11125376</v>
      </c>
      <c r="C1950" s="1" t="s">
        <v>271</v>
      </c>
      <c r="D1950" s="1" t="s">
        <v>41</v>
      </c>
      <c r="E1950" s="1" t="s">
        <v>148</v>
      </c>
      <c r="F1950" s="1" t="s">
        <v>36</v>
      </c>
      <c r="G1950" s="1" t="s">
        <v>4190</v>
      </c>
      <c r="I1950" s="1">
        <v>1799</v>
      </c>
      <c r="J1950" s="1" t="s">
        <v>55</v>
      </c>
      <c r="K1950" s="1" t="s">
        <v>45</v>
      </c>
      <c r="L1950" s="1">
        <v>4.3</v>
      </c>
      <c r="M1950" s="1">
        <v>706</v>
      </c>
      <c r="P1950" t="str">
        <f t="shared" si="123"/>
        <v>60%</v>
      </c>
      <c r="Q1950" s="12">
        <f t="shared" si="120"/>
        <v>0.6</v>
      </c>
      <c r="R1950" s="9">
        <f t="shared" si="121"/>
        <v>719.60000000000014</v>
      </c>
      <c r="S1950" s="9">
        <f>IF(R1950="",AVERAGEIF(Table1[Category],Table1[[#This Row],[Category]],Table2[orignal data]),Table2[[#This Row],[orignal data]])</f>
        <v>719.60000000000014</v>
      </c>
      <c r="T1950" t="str">
        <f t="shared" si="122"/>
        <v>UNIQUE</v>
      </c>
      <c r="U1950" t="str">
        <f>IF(ISBLANK(Table1[[#This Row],[SizeOption]]),"NOT AVAILABLE",Table1[[#This Row],[SizeOption]])</f>
        <v>XS, S, M, L, XL</v>
      </c>
      <c r="Y1950" t="str">
        <f>IF(Table2[[#This Row],[Column1]]&gt;50%,"HIGH DISCOUNT","LOW DISCOUNT")</f>
        <v>HIGH DISCOUNT</v>
      </c>
    </row>
    <row r="1951" spans="1:25" x14ac:dyDescent="0.25">
      <c r="A1951" s="2" t="s">
        <v>4191</v>
      </c>
      <c r="B1951" s="2">
        <v>7713851</v>
      </c>
      <c r="C1951" s="2" t="s">
        <v>14</v>
      </c>
      <c r="D1951" s="2" t="s">
        <v>41</v>
      </c>
      <c r="E1951" s="2" t="s">
        <v>16</v>
      </c>
      <c r="F1951" s="2" t="s">
        <v>36</v>
      </c>
      <c r="G1951" s="2" t="s">
        <v>4192</v>
      </c>
      <c r="I1951" s="2">
        <v>2199</v>
      </c>
      <c r="J1951" s="2" t="s">
        <v>19</v>
      </c>
      <c r="K1951" s="2" t="s">
        <v>134</v>
      </c>
      <c r="L1951" s="2">
        <v>3.8</v>
      </c>
      <c r="M1951" s="2">
        <v>706</v>
      </c>
      <c r="P1951" t="str">
        <f t="shared" si="123"/>
        <v>45%</v>
      </c>
      <c r="Q1951" s="12">
        <f t="shared" si="120"/>
        <v>0.45</v>
      </c>
      <c r="R1951" s="9">
        <f t="shared" si="121"/>
        <v>1209.4499999999998</v>
      </c>
      <c r="S1951" s="9">
        <f>IF(R1951="",AVERAGEIF(Table1[Category],Table1[[#This Row],[Category]],Table2[orignal data]),Table2[[#This Row],[orignal data]])</f>
        <v>1209.4499999999998</v>
      </c>
      <c r="T1951" t="str">
        <f t="shared" si="122"/>
        <v>UNIQUE</v>
      </c>
      <c r="U1951" t="str">
        <f>IF(ISBLANK(Table1[[#This Row],[SizeOption]]),"NOT AVAILABLE",Table1[[#This Row],[SizeOption]])</f>
        <v>26, 28, 30, 32, 34, 36</v>
      </c>
      <c r="Y1951" t="str">
        <f>IF(Table2[[#This Row],[Column1]]&gt;50%,"HIGH DISCOUNT","LOW DISCOUNT")</f>
        <v>LOW DISCOUNT</v>
      </c>
    </row>
    <row r="1952" spans="1:25" x14ac:dyDescent="0.25">
      <c r="A1952" s="1" t="s">
        <v>4193</v>
      </c>
      <c r="B1952" s="1">
        <v>1868206</v>
      </c>
      <c r="C1952" s="1" t="s">
        <v>67</v>
      </c>
      <c r="D1952" s="1" t="s">
        <v>68</v>
      </c>
      <c r="E1952" s="1" t="s">
        <v>189</v>
      </c>
      <c r="F1952" s="1" t="s">
        <v>17</v>
      </c>
      <c r="G1952" s="1" t="s">
        <v>4194</v>
      </c>
      <c r="H1952">
        <v>909</v>
      </c>
      <c r="I1952" s="1">
        <v>2599</v>
      </c>
      <c r="J1952" s="1" t="s">
        <v>150</v>
      </c>
      <c r="K1952" s="1" t="s">
        <v>39</v>
      </c>
      <c r="L1952" s="1">
        <v>3.8</v>
      </c>
      <c r="M1952" s="1">
        <v>705</v>
      </c>
      <c r="P1952" t="str">
        <f t="shared" si="123"/>
        <v>65%</v>
      </c>
      <c r="Q1952" s="12">
        <f t="shared" si="120"/>
        <v>0.65</v>
      </c>
      <c r="R1952" s="9">
        <f t="shared" si="121"/>
        <v>909.64999999999986</v>
      </c>
      <c r="S1952" s="9">
        <f>IF(R1952="",AVERAGEIF(Table1[Category],Table1[[#This Row],[Category]],Table2[orignal data]),Table2[[#This Row],[orignal data]])</f>
        <v>909.64999999999986</v>
      </c>
      <c r="T1952" t="str">
        <f t="shared" si="122"/>
        <v>UNIQUE</v>
      </c>
      <c r="U1952" t="str">
        <f>IF(ISBLANK(Table1[[#This Row],[SizeOption]]),"NOT AVAILABLE",Table1[[#This Row],[SizeOption]])</f>
        <v>S, M, L, XL, XXL</v>
      </c>
      <c r="Y1952" t="str">
        <f>IF(Table2[[#This Row],[Column1]]&gt;50%,"HIGH DISCOUNT","LOW DISCOUNT")</f>
        <v>HIGH DISCOUNT</v>
      </c>
    </row>
    <row r="1953" spans="1:25" x14ac:dyDescent="0.25">
      <c r="A1953" s="2" t="s">
        <v>4195</v>
      </c>
      <c r="B1953" s="2">
        <v>12947508</v>
      </c>
      <c r="C1953" s="2" t="s">
        <v>14</v>
      </c>
      <c r="D1953" s="2" t="s">
        <v>28</v>
      </c>
      <c r="E1953" s="2" t="s">
        <v>29</v>
      </c>
      <c r="F1953" s="2" t="s">
        <v>17</v>
      </c>
      <c r="G1953" s="2" t="s">
        <v>4196</v>
      </c>
      <c r="H1953">
        <v>824</v>
      </c>
      <c r="I1953" s="2">
        <v>1499</v>
      </c>
      <c r="J1953" s="2" t="s">
        <v>19</v>
      </c>
      <c r="K1953" s="2" t="s">
        <v>31</v>
      </c>
      <c r="L1953" s="2">
        <v>4.4000000000000004</v>
      </c>
      <c r="M1953" s="2">
        <v>705</v>
      </c>
      <c r="P1953" t="str">
        <f t="shared" si="123"/>
        <v>45%</v>
      </c>
      <c r="Q1953" s="12">
        <f t="shared" si="120"/>
        <v>0.45</v>
      </c>
      <c r="R1953" s="9">
        <f t="shared" si="121"/>
        <v>824.44999999999993</v>
      </c>
      <c r="S1953" s="9">
        <f>IF(R1953="",AVERAGEIF(Table1[Category],Table1[[#This Row],[Category]],Table2[orignal data]),Table2[[#This Row],[orignal data]])</f>
        <v>824.44999999999993</v>
      </c>
      <c r="T1953" t="str">
        <f t="shared" si="122"/>
        <v>UNIQUE</v>
      </c>
      <c r="U1953" t="str">
        <f>IF(ISBLANK(Table1[[#This Row],[SizeOption]]),"NOT AVAILABLE",Table1[[#This Row],[SizeOption]])</f>
        <v>38, 40, 42, 44, 46, 48</v>
      </c>
      <c r="Y1953" t="str">
        <f>IF(Table2[[#This Row],[Column1]]&gt;50%,"HIGH DISCOUNT","LOW DISCOUNT")</f>
        <v>LOW DISCOUNT</v>
      </c>
    </row>
    <row r="1954" spans="1:25" x14ac:dyDescent="0.25">
      <c r="A1954" s="1" t="s">
        <v>4197</v>
      </c>
      <c r="B1954" s="1">
        <v>10887578</v>
      </c>
      <c r="C1954" s="1" t="s">
        <v>1299</v>
      </c>
      <c r="D1954" s="1" t="s">
        <v>28</v>
      </c>
      <c r="E1954" s="1" t="s">
        <v>29</v>
      </c>
      <c r="F1954" s="1" t="s">
        <v>17</v>
      </c>
      <c r="G1954" s="1" t="s">
        <v>4198</v>
      </c>
      <c r="H1954">
        <v>764</v>
      </c>
      <c r="I1954" s="1">
        <v>1699</v>
      </c>
      <c r="J1954" s="1" t="s">
        <v>25</v>
      </c>
      <c r="K1954" s="1" t="s">
        <v>1674</v>
      </c>
      <c r="L1954" s="1">
        <v>4.3</v>
      </c>
      <c r="M1954" s="1">
        <v>705</v>
      </c>
      <c r="P1954" t="str">
        <f t="shared" si="123"/>
        <v>55%</v>
      </c>
      <c r="Q1954" s="12">
        <f t="shared" si="120"/>
        <v>0.55000000000000004</v>
      </c>
      <c r="R1954" s="9">
        <f t="shared" si="121"/>
        <v>764.55</v>
      </c>
      <c r="S1954" s="9">
        <f>IF(R1954="",AVERAGEIF(Table1[Category],Table1[[#This Row],[Category]],Table2[orignal data]),Table2[[#This Row],[orignal data]])</f>
        <v>764.55</v>
      </c>
      <c r="T1954" t="str">
        <f t="shared" si="122"/>
        <v>UNIQUE</v>
      </c>
      <c r="U1954" t="str">
        <f>IF(ISBLANK(Table1[[#This Row],[SizeOption]]),"NOT AVAILABLE",Table1[[#This Row],[SizeOption]])</f>
        <v>38, 39, 40, 42, 44</v>
      </c>
      <c r="Y1954" t="str">
        <f>IF(Table2[[#This Row],[Column1]]&gt;50%,"HIGH DISCOUNT","LOW DISCOUNT")</f>
        <v>HIGH DISCOUNT</v>
      </c>
    </row>
    <row r="1955" spans="1:25" x14ac:dyDescent="0.25">
      <c r="A1955" s="2" t="s">
        <v>4199</v>
      </c>
      <c r="B1955" s="2">
        <v>2498491</v>
      </c>
      <c r="C1955" s="2" t="s">
        <v>14</v>
      </c>
      <c r="D1955" s="2" t="s">
        <v>28</v>
      </c>
      <c r="E1955" s="2" t="s">
        <v>42</v>
      </c>
      <c r="F1955" s="2" t="s">
        <v>17</v>
      </c>
      <c r="G1955" s="2" t="s">
        <v>4200</v>
      </c>
      <c r="H1955">
        <v>249</v>
      </c>
      <c r="I1955" s="2">
        <v>499</v>
      </c>
      <c r="J1955" s="2" t="s">
        <v>84</v>
      </c>
      <c r="K1955" s="2" t="s">
        <v>45</v>
      </c>
      <c r="L1955" s="2">
        <v>4.0999999999999996</v>
      </c>
      <c r="M1955" s="2">
        <v>705</v>
      </c>
      <c r="P1955" t="str">
        <f t="shared" si="123"/>
        <v>50%</v>
      </c>
      <c r="Q1955" s="12">
        <f t="shared" si="120"/>
        <v>0.5</v>
      </c>
      <c r="R1955" s="9">
        <f t="shared" si="121"/>
        <v>249.5</v>
      </c>
      <c r="S1955" s="9">
        <f>IF(R1955="",AVERAGEIF(Table1[Category],Table1[[#This Row],[Category]],Table2[orignal data]),Table2[[#This Row],[orignal data]])</f>
        <v>249.5</v>
      </c>
      <c r="T1955" t="str">
        <f t="shared" si="122"/>
        <v>UNIQUE</v>
      </c>
      <c r="U1955" t="str">
        <f>IF(ISBLANK(Table1[[#This Row],[SizeOption]]),"NOT AVAILABLE",Table1[[#This Row],[SizeOption]])</f>
        <v>XS, S, M, L, XL</v>
      </c>
      <c r="Y1955" t="str">
        <f>IF(Table2[[#This Row],[Column1]]&gt;50%,"HIGH DISCOUNT","LOW DISCOUNT")</f>
        <v>LOW DISCOUNT</v>
      </c>
    </row>
    <row r="1956" spans="1:25" x14ac:dyDescent="0.25">
      <c r="A1956" s="1" t="s">
        <v>4201</v>
      </c>
      <c r="B1956" s="1">
        <v>1983071</v>
      </c>
      <c r="C1956" s="1" t="s">
        <v>2848</v>
      </c>
      <c r="D1956" s="1" t="s">
        <v>28</v>
      </c>
      <c r="E1956" s="1" t="s">
        <v>29</v>
      </c>
      <c r="F1956" s="1" t="s">
        <v>17</v>
      </c>
      <c r="G1956" s="1" t="s">
        <v>4202</v>
      </c>
      <c r="H1956">
        <v>626</v>
      </c>
      <c r="I1956" s="1">
        <v>995</v>
      </c>
      <c r="J1956" s="1" t="s">
        <v>1557</v>
      </c>
      <c r="K1956" s="1" t="s">
        <v>253</v>
      </c>
      <c r="L1956" s="1">
        <v>4.0999999999999996</v>
      </c>
      <c r="M1956" s="1">
        <v>705</v>
      </c>
      <c r="P1956" t="str">
        <f t="shared" si="123"/>
        <v>37%</v>
      </c>
      <c r="Q1956" s="12">
        <f t="shared" si="120"/>
        <v>0.37</v>
      </c>
      <c r="R1956" s="9">
        <f t="shared" si="121"/>
        <v>626.85</v>
      </c>
      <c r="S1956" s="9">
        <f>IF(R1956="",AVERAGEIF(Table1[Category],Table1[[#This Row],[Category]],Table2[orignal data]),Table2[[#This Row],[orignal data]])</f>
        <v>626.85</v>
      </c>
      <c r="T1956" t="str">
        <f t="shared" si="122"/>
        <v>UNIQUE</v>
      </c>
      <c r="U1956" t="str">
        <f>IF(ISBLANK(Table1[[#This Row],[SizeOption]]),"NOT AVAILABLE",Table1[[#This Row],[SizeOption]])</f>
        <v>38, 40, 42, 44</v>
      </c>
      <c r="Y1956" t="str">
        <f>IF(Table2[[#This Row],[Column1]]&gt;50%,"HIGH DISCOUNT","LOW DISCOUNT")</f>
        <v>LOW DISCOUNT</v>
      </c>
    </row>
    <row r="1957" spans="1:25" x14ac:dyDescent="0.25">
      <c r="A1957" s="2" t="s">
        <v>4203</v>
      </c>
      <c r="B1957" s="2">
        <v>13737536</v>
      </c>
      <c r="C1957" s="2" t="s">
        <v>319</v>
      </c>
      <c r="D1957" s="2" t="s">
        <v>76</v>
      </c>
      <c r="E1957" s="2" t="s">
        <v>320</v>
      </c>
      <c r="F1957" s="2" t="s">
        <v>36</v>
      </c>
      <c r="G1957" s="2" t="s">
        <v>4204</v>
      </c>
      <c r="H1957">
        <v>1819</v>
      </c>
      <c r="I1957" s="2">
        <v>2599</v>
      </c>
      <c r="J1957" s="2" t="s">
        <v>186</v>
      </c>
      <c r="K1957" s="2" t="s">
        <v>164</v>
      </c>
      <c r="L1957" s="2">
        <v>4.2</v>
      </c>
      <c r="M1957" s="2">
        <v>705</v>
      </c>
      <c r="P1957" t="str">
        <f t="shared" si="123"/>
        <v>30%</v>
      </c>
      <c r="Q1957" s="12">
        <f t="shared" si="120"/>
        <v>0.3</v>
      </c>
      <c r="R1957" s="9">
        <f t="shared" si="121"/>
        <v>1819.3000000000002</v>
      </c>
      <c r="S1957" s="9">
        <f>IF(R1957="",AVERAGEIF(Table1[Category],Table1[[#This Row],[Category]],Table2[orignal data]),Table2[[#This Row],[orignal data]])</f>
        <v>1819.3000000000002</v>
      </c>
      <c r="T1957" t="str">
        <f t="shared" si="122"/>
        <v>UNIQUE</v>
      </c>
      <c r="U1957" t="str">
        <f>IF(ISBLANK(Table1[[#This Row],[SizeOption]]),"NOT AVAILABLE",Table1[[#This Row],[SizeOption]])</f>
        <v>Onesize</v>
      </c>
      <c r="Y1957" t="str">
        <f>IF(Table2[[#This Row],[Column1]]&gt;50%,"HIGH DISCOUNT","LOW DISCOUNT")</f>
        <v>LOW DISCOUNT</v>
      </c>
    </row>
    <row r="1958" spans="1:25" x14ac:dyDescent="0.25">
      <c r="A1958" s="1" t="s">
        <v>4205</v>
      </c>
      <c r="B1958" s="1">
        <v>6608568</v>
      </c>
      <c r="C1958" s="1" t="s">
        <v>33</v>
      </c>
      <c r="D1958" s="1" t="s">
        <v>34</v>
      </c>
      <c r="E1958" s="1" t="s">
        <v>118</v>
      </c>
      <c r="F1958" s="1" t="s">
        <v>36</v>
      </c>
      <c r="G1958" s="1" t="s">
        <v>4206</v>
      </c>
      <c r="H1958">
        <v>594</v>
      </c>
      <c r="I1958" s="1">
        <v>849</v>
      </c>
      <c r="J1958" s="1" t="s">
        <v>186</v>
      </c>
      <c r="K1958" s="1" t="s">
        <v>4207</v>
      </c>
      <c r="L1958" s="1">
        <v>4.3</v>
      </c>
      <c r="M1958" s="1">
        <v>705</v>
      </c>
      <c r="P1958" t="str">
        <f t="shared" si="123"/>
        <v>30%</v>
      </c>
      <c r="Q1958" s="12">
        <f t="shared" si="120"/>
        <v>0.3</v>
      </c>
      <c r="R1958" s="9">
        <f t="shared" si="121"/>
        <v>594.29999999999995</v>
      </c>
      <c r="S1958" s="9">
        <f>IF(R1958="",AVERAGEIF(Table1[Category],Table1[[#This Row],[Category]],Table2[orignal data]),Table2[[#This Row],[orignal data]])</f>
        <v>594.29999999999995</v>
      </c>
      <c r="T1958" t="str">
        <f t="shared" si="122"/>
        <v>UNIQUE</v>
      </c>
      <c r="U1958" t="str">
        <f>IF(ISBLANK(Table1[[#This Row],[SizeOption]]),"NOT AVAILABLE",Table1[[#This Row],[SizeOption]])</f>
        <v>34C, 36C, 36D, 38B, 38C</v>
      </c>
      <c r="Y1958" t="str">
        <f>IF(Table2[[#This Row],[Column1]]&gt;50%,"HIGH DISCOUNT","LOW DISCOUNT")</f>
        <v>LOW DISCOUNT</v>
      </c>
    </row>
    <row r="1959" spans="1:25" x14ac:dyDescent="0.25">
      <c r="A1959" s="2" t="s">
        <v>4208</v>
      </c>
      <c r="B1959" s="2">
        <v>12406888</v>
      </c>
      <c r="C1959" s="2" t="s">
        <v>64</v>
      </c>
      <c r="D1959" s="2" t="s">
        <v>98</v>
      </c>
      <c r="E1959" s="2" t="s">
        <v>42</v>
      </c>
      <c r="F1959" s="2" t="s">
        <v>36</v>
      </c>
      <c r="G1959" s="2" t="s">
        <v>4209</v>
      </c>
      <c r="H1959">
        <v>519</v>
      </c>
      <c r="I1959" s="2">
        <v>1299</v>
      </c>
      <c r="J1959" s="2" t="s">
        <v>141</v>
      </c>
      <c r="K1959" s="2" t="s">
        <v>100</v>
      </c>
      <c r="L1959" s="2">
        <v>4.4000000000000004</v>
      </c>
      <c r="M1959" s="2">
        <v>705</v>
      </c>
      <c r="P1959" t="str">
        <f t="shared" si="123"/>
        <v>60%</v>
      </c>
      <c r="Q1959" s="12">
        <f t="shared" si="120"/>
        <v>0.6</v>
      </c>
      <c r="R1959" s="9">
        <f t="shared" si="121"/>
        <v>519.6</v>
      </c>
      <c r="S1959" s="9">
        <f>IF(R1959="",AVERAGEIF(Table1[Category],Table1[[#This Row],[Category]],Table2[orignal data]),Table2[[#This Row],[orignal data]])</f>
        <v>519.6</v>
      </c>
      <c r="T1959" t="str">
        <f t="shared" si="122"/>
        <v>UNIQUE</v>
      </c>
      <c r="U1959" t="str">
        <f>IF(ISBLANK(Table1[[#This Row],[SizeOption]]),"NOT AVAILABLE",Table1[[#This Row],[SizeOption]])</f>
        <v>XS, S, M, L, XL, XXL, 3XL</v>
      </c>
      <c r="Y1959" t="str">
        <f>IF(Table2[[#This Row],[Column1]]&gt;50%,"HIGH DISCOUNT","LOW DISCOUNT")</f>
        <v>HIGH DISCOUNT</v>
      </c>
    </row>
    <row r="1960" spans="1:25" x14ac:dyDescent="0.25">
      <c r="A1960" s="1" t="s">
        <v>4210</v>
      </c>
      <c r="B1960" s="1">
        <v>13495774</v>
      </c>
      <c r="C1960" s="1" t="s">
        <v>64</v>
      </c>
      <c r="D1960" s="1" t="s">
        <v>98</v>
      </c>
      <c r="E1960" s="1" t="s">
        <v>93</v>
      </c>
      <c r="F1960" s="1" t="s">
        <v>36</v>
      </c>
      <c r="G1960" s="1" t="s">
        <v>4211</v>
      </c>
      <c r="H1960">
        <v>559</v>
      </c>
      <c r="I1960" s="1">
        <v>1599</v>
      </c>
      <c r="J1960" s="1" t="s">
        <v>150</v>
      </c>
      <c r="K1960" s="1" t="s">
        <v>100</v>
      </c>
      <c r="L1960" s="1">
        <v>4.3</v>
      </c>
      <c r="M1960" s="1">
        <v>705</v>
      </c>
      <c r="P1960" t="str">
        <f t="shared" si="123"/>
        <v>65%</v>
      </c>
      <c r="Q1960" s="12">
        <f t="shared" si="120"/>
        <v>0.65</v>
      </c>
      <c r="R1960" s="9">
        <f t="shared" si="121"/>
        <v>559.64999999999986</v>
      </c>
      <c r="S1960" s="9">
        <f>IF(R1960="",AVERAGEIF(Table1[Category],Table1[[#This Row],[Category]],Table2[orignal data]),Table2[[#This Row],[orignal data]])</f>
        <v>559.64999999999986</v>
      </c>
      <c r="T1960" t="str">
        <f t="shared" si="122"/>
        <v>UNIQUE</v>
      </c>
      <c r="U1960" t="str">
        <f>IF(ISBLANK(Table1[[#This Row],[SizeOption]]),"NOT AVAILABLE",Table1[[#This Row],[SizeOption]])</f>
        <v>XS, S, M, L, XL, XXL, 3XL</v>
      </c>
      <c r="Y1960" t="str">
        <f>IF(Table2[[#This Row],[Column1]]&gt;50%,"HIGH DISCOUNT","LOW DISCOUNT")</f>
        <v>HIGH DISCOUNT</v>
      </c>
    </row>
    <row r="1961" spans="1:25" x14ac:dyDescent="0.25">
      <c r="A1961" s="2" t="s">
        <v>4212</v>
      </c>
      <c r="B1961" s="2">
        <v>11182394</v>
      </c>
      <c r="C1961" s="2" t="s">
        <v>107</v>
      </c>
      <c r="D1961" s="2" t="s">
        <v>41</v>
      </c>
      <c r="E1961" s="2" t="s">
        <v>48</v>
      </c>
      <c r="F1961" s="2" t="s">
        <v>36</v>
      </c>
      <c r="G1961" s="2" t="s">
        <v>4213</v>
      </c>
      <c r="I1961" s="2">
        <v>1299</v>
      </c>
      <c r="J1961" s="2" t="s">
        <v>55</v>
      </c>
      <c r="K1961" s="2" t="s">
        <v>45</v>
      </c>
      <c r="L1961" s="2">
        <v>4.2</v>
      </c>
      <c r="M1961" s="2">
        <v>705</v>
      </c>
      <c r="P1961" t="str">
        <f t="shared" si="123"/>
        <v>60%</v>
      </c>
      <c r="Q1961" s="12">
        <f t="shared" si="120"/>
        <v>0.6</v>
      </c>
      <c r="R1961" s="9">
        <f t="shared" si="121"/>
        <v>519.6</v>
      </c>
      <c r="S1961" s="9">
        <f>IF(R1961="",AVERAGEIF(Table1[Category],Table1[[#This Row],[Category]],Table2[orignal data]),Table2[[#This Row],[orignal data]])</f>
        <v>519.6</v>
      </c>
      <c r="T1961" t="str">
        <f t="shared" si="122"/>
        <v>UNIQUE</v>
      </c>
      <c r="U1961" t="str">
        <f>IF(ISBLANK(Table1[[#This Row],[SizeOption]]),"NOT AVAILABLE",Table1[[#This Row],[SizeOption]])</f>
        <v>XS, S, M, L, XL</v>
      </c>
      <c r="Y1961" t="str">
        <f>IF(Table2[[#This Row],[Column1]]&gt;50%,"HIGH DISCOUNT","LOW DISCOUNT")</f>
        <v>HIGH DISCOUNT</v>
      </c>
    </row>
    <row r="1962" spans="1:25" x14ac:dyDescent="0.25">
      <c r="A1962" s="1" t="s">
        <v>4214</v>
      </c>
      <c r="B1962" s="1">
        <v>9435913</v>
      </c>
      <c r="C1962" s="1" t="s">
        <v>377</v>
      </c>
      <c r="D1962" s="1" t="s">
        <v>41</v>
      </c>
      <c r="E1962" s="1" t="s">
        <v>53</v>
      </c>
      <c r="F1962" s="1" t="s">
        <v>36</v>
      </c>
      <c r="G1962" s="1" t="s">
        <v>4215</v>
      </c>
      <c r="I1962" s="1">
        <v>1299</v>
      </c>
      <c r="J1962" s="1" t="s">
        <v>208</v>
      </c>
      <c r="K1962" s="1" t="s">
        <v>20</v>
      </c>
      <c r="L1962" s="1">
        <v>3.8</v>
      </c>
      <c r="M1962" s="1">
        <v>705</v>
      </c>
      <c r="P1962" t="str">
        <f t="shared" si="123"/>
        <v>52%</v>
      </c>
      <c r="Q1962" s="12">
        <f t="shared" si="120"/>
        <v>0.52</v>
      </c>
      <c r="R1962" s="9">
        <f t="shared" si="121"/>
        <v>623.52</v>
      </c>
      <c r="S1962" s="9">
        <f>IF(R1962="",AVERAGEIF(Table1[Category],Table1[[#This Row],[Category]],Table2[orignal data]),Table2[[#This Row],[orignal data]])</f>
        <v>623.52</v>
      </c>
      <c r="T1962" t="str">
        <f t="shared" si="122"/>
        <v>UNIQUE</v>
      </c>
      <c r="U1962" t="str">
        <f>IF(ISBLANK(Table1[[#This Row],[SizeOption]]),"NOT AVAILABLE",Table1[[#This Row],[SizeOption]])</f>
        <v>28, 30, 32, 34, 36</v>
      </c>
      <c r="Y1962" t="str">
        <f>IF(Table2[[#This Row],[Column1]]&gt;50%,"HIGH DISCOUNT","LOW DISCOUNT")</f>
        <v>HIGH DISCOUNT</v>
      </c>
    </row>
    <row r="1963" spans="1:25" x14ac:dyDescent="0.25">
      <c r="A1963" s="2" t="s">
        <v>4216</v>
      </c>
      <c r="B1963" s="2">
        <v>10696596</v>
      </c>
      <c r="C1963" s="2" t="s">
        <v>700</v>
      </c>
      <c r="D1963" s="2" t="s">
        <v>41</v>
      </c>
      <c r="E1963" s="2" t="s">
        <v>16</v>
      </c>
      <c r="F1963" s="2" t="s">
        <v>36</v>
      </c>
      <c r="G1963" s="2" t="s">
        <v>4217</v>
      </c>
      <c r="I1963" s="2">
        <v>2299</v>
      </c>
      <c r="J1963" s="2" t="s">
        <v>84</v>
      </c>
      <c r="K1963" s="2" t="s">
        <v>428</v>
      </c>
      <c r="L1963" s="2">
        <v>4.3</v>
      </c>
      <c r="M1963" s="2">
        <v>705</v>
      </c>
      <c r="P1963" t="str">
        <f t="shared" si="123"/>
        <v>50%</v>
      </c>
      <c r="Q1963" s="12">
        <f t="shared" si="120"/>
        <v>0.5</v>
      </c>
      <c r="R1963" s="9">
        <f t="shared" si="121"/>
        <v>1149.5</v>
      </c>
      <c r="S1963" s="9">
        <f>IF(R1963="",AVERAGEIF(Table1[Category],Table1[[#This Row],[Category]],Table2[orignal data]),Table2[[#This Row],[orignal data]])</f>
        <v>1149.5</v>
      </c>
      <c r="T1963" t="str">
        <f t="shared" si="122"/>
        <v>UNIQUE</v>
      </c>
      <c r="U1963" t="str">
        <f>IF(ISBLANK(Table1[[#This Row],[SizeOption]]),"NOT AVAILABLE",Table1[[#This Row],[SizeOption]])</f>
        <v>26, 28, 30, 32, 34</v>
      </c>
      <c r="Y1963" t="str">
        <f>IF(Table2[[#This Row],[Column1]]&gt;50%,"HIGH DISCOUNT","LOW DISCOUNT")</f>
        <v>LOW DISCOUNT</v>
      </c>
    </row>
    <row r="1964" spans="1:25" x14ac:dyDescent="0.25">
      <c r="A1964" s="1" t="s">
        <v>4218</v>
      </c>
      <c r="B1964" s="1">
        <v>17383234</v>
      </c>
      <c r="C1964" s="1" t="s">
        <v>14</v>
      </c>
      <c r="D1964" s="1" t="s">
        <v>41</v>
      </c>
      <c r="E1964" s="1" t="s">
        <v>42</v>
      </c>
      <c r="F1964" s="1" t="s">
        <v>36</v>
      </c>
      <c r="G1964" s="1" t="s">
        <v>4219</v>
      </c>
      <c r="I1964" s="1">
        <v>1598</v>
      </c>
      <c r="J1964" s="1"/>
      <c r="K1964" s="1" t="s">
        <v>146</v>
      </c>
      <c r="L1964" s="1">
        <v>4.2</v>
      </c>
      <c r="M1964" s="1">
        <v>705</v>
      </c>
      <c r="P1964" t="str">
        <f t="shared" si="123"/>
        <v/>
      </c>
      <c r="Q1964" s="12" t="str">
        <f t="shared" si="120"/>
        <v/>
      </c>
      <c r="R1964" s="9" t="str">
        <f t="shared" si="121"/>
        <v/>
      </c>
      <c r="S1964" s="9">
        <f>IF(R1964="",AVERAGEIF(Table1[Category],Table1[[#This Row],[Category]],Table2[orignal data]),Table2[[#This Row],[orignal data]])</f>
        <v>715.78890751086249</v>
      </c>
      <c r="T1964" t="str">
        <f t="shared" si="122"/>
        <v>UNIQUE</v>
      </c>
      <c r="U1964" t="str">
        <f>IF(ISBLANK(Table1[[#This Row],[SizeOption]]),"NOT AVAILABLE",Table1[[#This Row],[SizeOption]])</f>
        <v>L, M, S, XS, XL</v>
      </c>
      <c r="Y1964" t="str">
        <f>IF(Table2[[#This Row],[Column1]]&gt;50%,"HIGH DISCOUNT","LOW DISCOUNT")</f>
        <v>HIGH DISCOUNT</v>
      </c>
    </row>
    <row r="1965" spans="1:25" x14ac:dyDescent="0.25">
      <c r="A1965" s="2" t="s">
        <v>4220</v>
      </c>
      <c r="B1965" s="2">
        <v>13430298</v>
      </c>
      <c r="C1965" s="2" t="s">
        <v>52</v>
      </c>
      <c r="D1965" s="2" t="s">
        <v>15</v>
      </c>
      <c r="E1965" s="2" t="s">
        <v>16</v>
      </c>
      <c r="F1965" s="2" t="s">
        <v>17</v>
      </c>
      <c r="G1965" s="2" t="s">
        <v>4221</v>
      </c>
      <c r="H1965">
        <v>599</v>
      </c>
      <c r="I1965" s="2">
        <v>1499</v>
      </c>
      <c r="J1965" s="2" t="s">
        <v>55</v>
      </c>
      <c r="K1965" s="2" t="s">
        <v>816</v>
      </c>
      <c r="L1965" s="2">
        <v>3.9</v>
      </c>
      <c r="M1965" s="2">
        <v>704</v>
      </c>
      <c r="P1965" t="str">
        <f t="shared" si="123"/>
        <v>60%</v>
      </c>
      <c r="Q1965" s="12">
        <f t="shared" si="120"/>
        <v>0.6</v>
      </c>
      <c r="R1965" s="9">
        <f t="shared" si="121"/>
        <v>599.6</v>
      </c>
      <c r="S1965" s="9">
        <f>IF(R1965="",AVERAGEIF(Table1[Category],Table1[[#This Row],[Category]],Table2[orignal data]),Table2[[#This Row],[orignal data]])</f>
        <v>599.6</v>
      </c>
      <c r="T1965" t="str">
        <f t="shared" si="122"/>
        <v>UNIQUE</v>
      </c>
      <c r="U1965" t="str">
        <f>IF(ISBLANK(Table1[[#This Row],[SizeOption]]),"NOT AVAILABLE",Table1[[#This Row],[SizeOption]])</f>
        <v>30, 32, 34, 36, 38</v>
      </c>
      <c r="Y1965" t="str">
        <f>IF(Table2[[#This Row],[Column1]]&gt;50%,"HIGH DISCOUNT","LOW DISCOUNT")</f>
        <v>HIGH DISCOUNT</v>
      </c>
    </row>
    <row r="1966" spans="1:25" x14ac:dyDescent="0.25">
      <c r="A1966" s="1" t="s">
        <v>4222</v>
      </c>
      <c r="B1966" s="1">
        <v>10460308</v>
      </c>
      <c r="C1966" s="1" t="s">
        <v>52</v>
      </c>
      <c r="D1966" s="1" t="s">
        <v>15</v>
      </c>
      <c r="E1966" s="1" t="s">
        <v>137</v>
      </c>
      <c r="F1966" s="1" t="s">
        <v>17</v>
      </c>
      <c r="G1966" s="1" t="s">
        <v>4223</v>
      </c>
      <c r="H1966">
        <v>499</v>
      </c>
      <c r="I1966" s="1">
        <v>1249</v>
      </c>
      <c r="J1966" s="1" t="s">
        <v>55</v>
      </c>
      <c r="K1966" s="1" t="s">
        <v>56</v>
      </c>
      <c r="L1966" s="1">
        <v>4.0999999999999996</v>
      </c>
      <c r="M1966" s="1">
        <v>704</v>
      </c>
      <c r="P1966" t="str">
        <f t="shared" si="123"/>
        <v>60%</v>
      </c>
      <c r="Q1966" s="12">
        <f t="shared" si="120"/>
        <v>0.6</v>
      </c>
      <c r="R1966" s="9">
        <f t="shared" si="121"/>
        <v>499.6</v>
      </c>
      <c r="S1966" s="9">
        <f>IF(R1966="",AVERAGEIF(Table1[Category],Table1[[#This Row],[Category]],Table2[orignal data]),Table2[[#This Row],[orignal data]])</f>
        <v>499.6</v>
      </c>
      <c r="T1966" t="str">
        <f t="shared" si="122"/>
        <v>UNIQUE</v>
      </c>
      <c r="U1966" t="str">
        <f>IF(ISBLANK(Table1[[#This Row],[SizeOption]]),"NOT AVAILABLE",Table1[[#This Row],[SizeOption]])</f>
        <v>30, 32, 34, 36</v>
      </c>
      <c r="Y1966" t="str">
        <f>IF(Table2[[#This Row],[Column1]]&gt;50%,"HIGH DISCOUNT","LOW DISCOUNT")</f>
        <v>HIGH DISCOUNT</v>
      </c>
    </row>
    <row r="1967" spans="1:25" x14ac:dyDescent="0.25">
      <c r="A1967" s="2" t="s">
        <v>4224</v>
      </c>
      <c r="B1967" s="2">
        <v>14345998</v>
      </c>
      <c r="C1967" s="2" t="s">
        <v>1465</v>
      </c>
      <c r="D1967" s="2" t="s">
        <v>76</v>
      </c>
      <c r="E1967" s="2" t="s">
        <v>148</v>
      </c>
      <c r="F1967" s="2" t="s">
        <v>36</v>
      </c>
      <c r="G1967" s="2" t="s">
        <v>4225</v>
      </c>
      <c r="H1967">
        <v>799</v>
      </c>
      <c r="I1967" s="2">
        <v>1999</v>
      </c>
      <c r="J1967" s="2" t="s">
        <v>55</v>
      </c>
      <c r="K1967" s="2" t="s">
        <v>234</v>
      </c>
      <c r="L1967" s="2">
        <v>4</v>
      </c>
      <c r="M1967" s="2">
        <v>704</v>
      </c>
      <c r="P1967" t="str">
        <f t="shared" si="123"/>
        <v>60%</v>
      </c>
      <c r="Q1967" s="12">
        <f t="shared" si="120"/>
        <v>0.6</v>
      </c>
      <c r="R1967" s="9">
        <f t="shared" si="121"/>
        <v>799.60000000000014</v>
      </c>
      <c r="S1967" s="9">
        <f>IF(R1967="",AVERAGEIF(Table1[Category],Table1[[#This Row],[Category]],Table2[orignal data]),Table2[[#This Row],[orignal data]])</f>
        <v>799.60000000000014</v>
      </c>
      <c r="T1967" t="str">
        <f t="shared" si="122"/>
        <v>UNIQUE</v>
      </c>
      <c r="U1967" t="str">
        <f>IF(ISBLANK(Table1[[#This Row],[SizeOption]]),"NOT AVAILABLE",Table1[[#This Row],[SizeOption]])</f>
        <v>S, M, L, XL, XXL, 3XL</v>
      </c>
      <c r="Y1967" t="str">
        <f>IF(Table2[[#This Row],[Column1]]&gt;50%,"HIGH DISCOUNT","LOW DISCOUNT")</f>
        <v>HIGH DISCOUNT</v>
      </c>
    </row>
    <row r="1968" spans="1:25" x14ac:dyDescent="0.25">
      <c r="A1968" s="1" t="s">
        <v>4226</v>
      </c>
      <c r="B1968" s="1">
        <v>8350257</v>
      </c>
      <c r="C1968" s="1" t="s">
        <v>97</v>
      </c>
      <c r="D1968" s="1" t="s">
        <v>98</v>
      </c>
      <c r="E1968" s="1" t="s">
        <v>93</v>
      </c>
      <c r="F1968" s="1" t="s">
        <v>36</v>
      </c>
      <c r="G1968" s="1" t="s">
        <v>4227</v>
      </c>
      <c r="H1968">
        <v>424</v>
      </c>
      <c r="I1968" s="1">
        <v>1699</v>
      </c>
      <c r="J1968" s="1" t="s">
        <v>109</v>
      </c>
      <c r="K1968" s="1" t="s">
        <v>115</v>
      </c>
      <c r="L1968" s="1">
        <v>4.3</v>
      </c>
      <c r="M1968" s="1">
        <v>704</v>
      </c>
      <c r="P1968" t="str">
        <f t="shared" si="123"/>
        <v>75%</v>
      </c>
      <c r="Q1968" s="12">
        <f t="shared" si="120"/>
        <v>0.75</v>
      </c>
      <c r="R1968" s="9">
        <f t="shared" si="121"/>
        <v>424.75</v>
      </c>
      <c r="S1968" s="9">
        <f>IF(R1968="",AVERAGEIF(Table1[Category],Table1[[#This Row],[Category]],Table2[orignal data]),Table2[[#This Row],[orignal data]])</f>
        <v>424.75</v>
      </c>
      <c r="T1968" t="str">
        <f t="shared" si="122"/>
        <v>UNIQUE</v>
      </c>
      <c r="U1968" t="str">
        <f>IF(ISBLANK(Table1[[#This Row],[SizeOption]]),"NOT AVAILABLE",Table1[[#This Row],[SizeOption]])</f>
        <v>XS, S, M, L, XL, XXL</v>
      </c>
      <c r="Y1968" t="str">
        <f>IF(Table2[[#This Row],[Column1]]&gt;50%,"HIGH DISCOUNT","LOW DISCOUNT")</f>
        <v>HIGH DISCOUNT</v>
      </c>
    </row>
    <row r="1969" spans="1:25" x14ac:dyDescent="0.25">
      <c r="A1969" s="2" t="s">
        <v>4228</v>
      </c>
      <c r="B1969" s="2">
        <v>11948318</v>
      </c>
      <c r="C1969" s="2" t="s">
        <v>14</v>
      </c>
      <c r="D1969" s="2" t="s">
        <v>28</v>
      </c>
      <c r="E1969" s="2" t="s">
        <v>42</v>
      </c>
      <c r="F1969" s="2" t="s">
        <v>17</v>
      </c>
      <c r="G1969" s="2" t="s">
        <v>4229</v>
      </c>
      <c r="H1969">
        <v>299</v>
      </c>
      <c r="I1969" s="2">
        <v>599</v>
      </c>
      <c r="J1969" s="2" t="s">
        <v>84</v>
      </c>
      <c r="K1969" s="2" t="s">
        <v>45</v>
      </c>
      <c r="L1969" s="2">
        <v>4.0999999999999996</v>
      </c>
      <c r="M1969" s="2">
        <v>703</v>
      </c>
      <c r="P1969" t="str">
        <f t="shared" si="123"/>
        <v>50%</v>
      </c>
      <c r="Q1969" s="12">
        <f t="shared" si="120"/>
        <v>0.5</v>
      </c>
      <c r="R1969" s="9">
        <f t="shared" si="121"/>
        <v>299.5</v>
      </c>
      <c r="S1969" s="9">
        <f>IF(R1969="",AVERAGEIF(Table1[Category],Table1[[#This Row],[Category]],Table2[orignal data]),Table2[[#This Row],[orignal data]])</f>
        <v>299.5</v>
      </c>
      <c r="T1969" t="str">
        <f t="shared" si="122"/>
        <v>UNIQUE</v>
      </c>
      <c r="U1969" t="str">
        <f>IF(ISBLANK(Table1[[#This Row],[SizeOption]]),"NOT AVAILABLE",Table1[[#This Row],[SizeOption]])</f>
        <v>XS, S, M, L, XL</v>
      </c>
      <c r="Y1969" t="str">
        <f>IF(Table2[[#This Row],[Column1]]&gt;50%,"HIGH DISCOUNT","LOW DISCOUNT")</f>
        <v>LOW DISCOUNT</v>
      </c>
    </row>
    <row r="1970" spans="1:25" x14ac:dyDescent="0.25">
      <c r="A1970" s="1" t="s">
        <v>4230</v>
      </c>
      <c r="B1970" s="1">
        <v>12134822</v>
      </c>
      <c r="C1970" s="1" t="s">
        <v>113</v>
      </c>
      <c r="D1970" s="1" t="s">
        <v>76</v>
      </c>
      <c r="E1970" s="1" t="s">
        <v>77</v>
      </c>
      <c r="F1970" s="1" t="s">
        <v>36</v>
      </c>
      <c r="G1970" s="1" t="s">
        <v>4231</v>
      </c>
      <c r="H1970">
        <v>1224</v>
      </c>
      <c r="I1970" s="1">
        <v>3499</v>
      </c>
      <c r="J1970" s="1" t="s">
        <v>150</v>
      </c>
      <c r="K1970" s="1" t="s">
        <v>115</v>
      </c>
      <c r="L1970" s="1">
        <v>4.5</v>
      </c>
      <c r="M1970" s="1">
        <v>703</v>
      </c>
      <c r="P1970" t="str">
        <f t="shared" si="123"/>
        <v>65%</v>
      </c>
      <c r="Q1970" s="12">
        <f t="shared" si="120"/>
        <v>0.65</v>
      </c>
      <c r="R1970" s="9">
        <f t="shared" si="121"/>
        <v>1224.6500000000001</v>
      </c>
      <c r="S1970" s="9">
        <f>IF(R1970="",AVERAGEIF(Table1[Category],Table1[[#This Row],[Category]],Table2[orignal data]),Table2[[#This Row],[orignal data]])</f>
        <v>1224.6500000000001</v>
      </c>
      <c r="T1970" t="str">
        <f t="shared" si="122"/>
        <v>UNIQUE</v>
      </c>
      <c r="U1970" t="str">
        <f>IF(ISBLANK(Table1[[#This Row],[SizeOption]]),"NOT AVAILABLE",Table1[[#This Row],[SizeOption]])</f>
        <v>XS, S, M, L, XL, XXL</v>
      </c>
      <c r="Y1970" t="str">
        <f>IF(Table2[[#This Row],[Column1]]&gt;50%,"HIGH DISCOUNT","LOW DISCOUNT")</f>
        <v>HIGH DISCOUNT</v>
      </c>
    </row>
    <row r="1971" spans="1:25" x14ac:dyDescent="0.25">
      <c r="A1971" s="2" t="s">
        <v>4232</v>
      </c>
      <c r="B1971" s="2">
        <v>8420329</v>
      </c>
      <c r="C1971" s="2" t="s">
        <v>97</v>
      </c>
      <c r="D1971" s="2" t="s">
        <v>98</v>
      </c>
      <c r="E1971" s="2" t="s">
        <v>48</v>
      </c>
      <c r="F1971" s="2" t="s">
        <v>36</v>
      </c>
      <c r="G1971" s="2" t="s">
        <v>4233</v>
      </c>
      <c r="H1971">
        <v>1139</v>
      </c>
      <c r="I1971" s="2">
        <v>1899</v>
      </c>
      <c r="J1971" s="2" t="s">
        <v>50</v>
      </c>
      <c r="K1971" s="2" t="s">
        <v>100</v>
      </c>
      <c r="L1971" s="2">
        <v>3.5</v>
      </c>
      <c r="M1971" s="2">
        <v>703</v>
      </c>
      <c r="P1971" t="str">
        <f t="shared" si="123"/>
        <v>40%</v>
      </c>
      <c r="Q1971" s="12">
        <f t="shared" si="120"/>
        <v>0.4</v>
      </c>
      <c r="R1971" s="9">
        <f t="shared" si="121"/>
        <v>1139.4000000000001</v>
      </c>
      <c r="S1971" s="9">
        <f>IF(R1971="",AVERAGEIF(Table1[Category],Table1[[#This Row],[Category]],Table2[orignal data]),Table2[[#This Row],[orignal data]])</f>
        <v>1139.4000000000001</v>
      </c>
      <c r="T1971" t="str">
        <f t="shared" si="122"/>
        <v>UNIQUE</v>
      </c>
      <c r="U1971" t="str">
        <f>IF(ISBLANK(Table1[[#This Row],[SizeOption]]),"NOT AVAILABLE",Table1[[#This Row],[SizeOption]])</f>
        <v>XS, S, M, L, XL, XXL, 3XL</v>
      </c>
      <c r="Y1971" t="str">
        <f>IF(Table2[[#This Row],[Column1]]&gt;50%,"HIGH DISCOUNT","LOW DISCOUNT")</f>
        <v>LOW DISCOUNT</v>
      </c>
    </row>
    <row r="1972" spans="1:25" x14ac:dyDescent="0.25">
      <c r="A1972" s="1" t="s">
        <v>4234</v>
      </c>
      <c r="B1972" s="1">
        <v>10197815</v>
      </c>
      <c r="C1972" s="1" t="s">
        <v>136</v>
      </c>
      <c r="D1972" s="1" t="s">
        <v>41</v>
      </c>
      <c r="E1972" s="1" t="s">
        <v>818</v>
      </c>
      <c r="F1972" s="1" t="s">
        <v>36</v>
      </c>
      <c r="G1972" s="1" t="s">
        <v>4235</v>
      </c>
      <c r="I1972" s="1">
        <v>1199</v>
      </c>
      <c r="J1972" s="1" t="s">
        <v>2415</v>
      </c>
      <c r="K1972" s="1" t="s">
        <v>39</v>
      </c>
      <c r="L1972" s="1">
        <v>4.3</v>
      </c>
      <c r="M1972" s="1">
        <v>703</v>
      </c>
      <c r="P1972" t="str">
        <f t="shared" si="123"/>
        <v>46%</v>
      </c>
      <c r="Q1972" s="12">
        <f t="shared" si="120"/>
        <v>0.46</v>
      </c>
      <c r="R1972" s="9">
        <f t="shared" si="121"/>
        <v>647.45999999999992</v>
      </c>
      <c r="S1972" s="9">
        <f>IF(R1972="",AVERAGEIF(Table1[Category],Table1[[#This Row],[Category]],Table2[orignal data]),Table2[[#This Row],[orignal data]])</f>
        <v>647.45999999999992</v>
      </c>
      <c r="T1972" t="str">
        <f t="shared" si="122"/>
        <v>UNIQUE</v>
      </c>
      <c r="U1972" t="str">
        <f>IF(ISBLANK(Table1[[#This Row],[SizeOption]]),"NOT AVAILABLE",Table1[[#This Row],[SizeOption]])</f>
        <v>S, M, L, XL, XXL</v>
      </c>
      <c r="Y1972" t="str">
        <f>IF(Table2[[#This Row],[Column1]]&gt;50%,"HIGH DISCOUNT","LOW DISCOUNT")</f>
        <v>LOW DISCOUNT</v>
      </c>
    </row>
    <row r="1973" spans="1:25" x14ac:dyDescent="0.25">
      <c r="A1973" s="2" t="s">
        <v>4236</v>
      </c>
      <c r="B1973" s="2">
        <v>10710870</v>
      </c>
      <c r="C1973" s="2" t="s">
        <v>102</v>
      </c>
      <c r="D1973" s="2" t="s">
        <v>41</v>
      </c>
      <c r="E1973" s="2" t="s">
        <v>189</v>
      </c>
      <c r="F1973" s="2" t="s">
        <v>36</v>
      </c>
      <c r="G1973" s="2" t="s">
        <v>4237</v>
      </c>
      <c r="I1973" s="2">
        <v>1749</v>
      </c>
      <c r="J1973" s="2" t="s">
        <v>186</v>
      </c>
      <c r="K1973" s="2" t="s">
        <v>26</v>
      </c>
      <c r="L1973" s="2">
        <v>4.4000000000000004</v>
      </c>
      <c r="M1973" s="2">
        <v>703</v>
      </c>
      <c r="P1973" t="str">
        <f t="shared" si="123"/>
        <v>30%</v>
      </c>
      <c r="Q1973" s="12">
        <f t="shared" si="120"/>
        <v>0.3</v>
      </c>
      <c r="R1973" s="9">
        <f t="shared" si="121"/>
        <v>1224.3000000000002</v>
      </c>
      <c r="S1973" s="9">
        <f>IF(R1973="",AVERAGEIF(Table1[Category],Table1[[#This Row],[Category]],Table2[orignal data]),Table2[[#This Row],[orignal data]])</f>
        <v>1224.3000000000002</v>
      </c>
      <c r="T1973" t="str">
        <f t="shared" si="122"/>
        <v>UNIQUE</v>
      </c>
      <c r="U1973" t="str">
        <f>IF(ISBLANK(Table1[[#This Row],[SizeOption]]),"NOT AVAILABLE",Table1[[#This Row],[SizeOption]])</f>
        <v>S, M, L, XL</v>
      </c>
      <c r="Y1973" t="str">
        <f>IF(Table2[[#This Row],[Column1]]&gt;50%,"HIGH DISCOUNT","LOW DISCOUNT")</f>
        <v>LOW DISCOUNT</v>
      </c>
    </row>
    <row r="1974" spans="1:25" x14ac:dyDescent="0.25">
      <c r="A1974" s="1" t="s">
        <v>4238</v>
      </c>
      <c r="B1974" s="1">
        <v>2297276</v>
      </c>
      <c r="C1974" s="1" t="s">
        <v>277</v>
      </c>
      <c r="D1974" s="1" t="s">
        <v>76</v>
      </c>
      <c r="E1974" s="1" t="s">
        <v>93</v>
      </c>
      <c r="F1974" s="1" t="s">
        <v>36</v>
      </c>
      <c r="G1974" s="1" t="s">
        <v>4239</v>
      </c>
      <c r="H1974">
        <v>579</v>
      </c>
      <c r="I1974" s="1">
        <v>1999</v>
      </c>
      <c r="J1974" s="1" t="s">
        <v>279</v>
      </c>
      <c r="K1974" s="1" t="s">
        <v>39</v>
      </c>
      <c r="L1974" s="1">
        <v>4.0999999999999996</v>
      </c>
      <c r="M1974" s="1">
        <v>702</v>
      </c>
      <c r="P1974" t="str">
        <f t="shared" si="123"/>
        <v>71%</v>
      </c>
      <c r="Q1974" s="12">
        <f t="shared" si="120"/>
        <v>0.71</v>
      </c>
      <c r="R1974" s="9">
        <f t="shared" si="121"/>
        <v>579.71</v>
      </c>
      <c r="S1974" s="9">
        <f>IF(R1974="",AVERAGEIF(Table1[Category],Table1[[#This Row],[Category]],Table2[orignal data]),Table2[[#This Row],[orignal data]])</f>
        <v>579.71</v>
      </c>
      <c r="T1974" t="str">
        <f t="shared" si="122"/>
        <v>UNIQUE</v>
      </c>
      <c r="U1974" t="str">
        <f>IF(ISBLANK(Table1[[#This Row],[SizeOption]]),"NOT AVAILABLE",Table1[[#This Row],[SizeOption]])</f>
        <v>S, M, L, XL, XXL</v>
      </c>
      <c r="Y1974" t="str">
        <f>IF(Table2[[#This Row],[Column1]]&gt;50%,"HIGH DISCOUNT","LOW DISCOUNT")</f>
        <v>HIGH DISCOUNT</v>
      </c>
    </row>
    <row r="1975" spans="1:25" x14ac:dyDescent="0.25">
      <c r="A1975" s="2" t="s">
        <v>4240</v>
      </c>
      <c r="B1975" s="2">
        <v>12541334</v>
      </c>
      <c r="C1975" s="2" t="s">
        <v>277</v>
      </c>
      <c r="D1975" s="2" t="s">
        <v>76</v>
      </c>
      <c r="E1975" s="2" t="s">
        <v>93</v>
      </c>
      <c r="F1975" s="2" t="s">
        <v>36</v>
      </c>
      <c r="G1975" s="2" t="s">
        <v>4241</v>
      </c>
      <c r="H1975">
        <v>899</v>
      </c>
      <c r="I1975" s="2">
        <v>2499</v>
      </c>
      <c r="J1975" s="2" t="s">
        <v>416</v>
      </c>
      <c r="K1975" s="2" t="s">
        <v>39</v>
      </c>
      <c r="L1975" s="2">
        <v>4.2</v>
      </c>
      <c r="M1975" s="2">
        <v>702</v>
      </c>
      <c r="P1975" t="str">
        <f t="shared" si="123"/>
        <v>64%</v>
      </c>
      <c r="Q1975" s="12">
        <f t="shared" si="120"/>
        <v>0.64</v>
      </c>
      <c r="R1975" s="9">
        <f t="shared" si="121"/>
        <v>899.63999999999987</v>
      </c>
      <c r="S1975" s="9">
        <f>IF(R1975="",AVERAGEIF(Table1[Category],Table1[[#This Row],[Category]],Table2[orignal data]),Table2[[#This Row],[orignal data]])</f>
        <v>899.63999999999987</v>
      </c>
      <c r="T1975" t="str">
        <f t="shared" si="122"/>
        <v>UNIQUE</v>
      </c>
      <c r="U1975" t="str">
        <f>IF(ISBLANK(Table1[[#This Row],[SizeOption]]),"NOT AVAILABLE",Table1[[#This Row],[SizeOption]])</f>
        <v>S, M, L, XL, XXL</v>
      </c>
      <c r="Y1975" t="str">
        <f>IF(Table2[[#This Row],[Column1]]&gt;50%,"HIGH DISCOUNT","LOW DISCOUNT")</f>
        <v>HIGH DISCOUNT</v>
      </c>
    </row>
    <row r="1976" spans="1:25" x14ac:dyDescent="0.25">
      <c r="A1976" s="1" t="s">
        <v>4242</v>
      </c>
      <c r="B1976" s="1">
        <v>9340297</v>
      </c>
      <c r="C1976" s="1" t="s">
        <v>290</v>
      </c>
      <c r="D1976" s="1" t="s">
        <v>76</v>
      </c>
      <c r="E1976" s="1" t="s">
        <v>77</v>
      </c>
      <c r="F1976" s="1" t="s">
        <v>36</v>
      </c>
      <c r="G1976" s="1" t="s">
        <v>4243</v>
      </c>
      <c r="H1976">
        <v>1299</v>
      </c>
      <c r="I1976" s="1">
        <v>2599</v>
      </c>
      <c r="J1976" s="1" t="s">
        <v>84</v>
      </c>
      <c r="K1976" s="1" t="s">
        <v>39</v>
      </c>
      <c r="L1976" s="1">
        <v>4.2</v>
      </c>
      <c r="M1976" s="1">
        <v>702</v>
      </c>
      <c r="P1976" t="str">
        <f t="shared" si="123"/>
        <v>50%</v>
      </c>
      <c r="Q1976" s="12">
        <f t="shared" si="120"/>
        <v>0.5</v>
      </c>
      <c r="R1976" s="9">
        <f t="shared" si="121"/>
        <v>1299.5</v>
      </c>
      <c r="S1976" s="9">
        <f>IF(R1976="",AVERAGEIF(Table1[Category],Table1[[#This Row],[Category]],Table2[orignal data]),Table2[[#This Row],[orignal data]])</f>
        <v>1299.5</v>
      </c>
      <c r="T1976" t="str">
        <f t="shared" si="122"/>
        <v>UNIQUE</v>
      </c>
      <c r="U1976" t="str">
        <f>IF(ISBLANK(Table1[[#This Row],[SizeOption]]),"NOT AVAILABLE",Table1[[#This Row],[SizeOption]])</f>
        <v>S, M, L, XL, XXL</v>
      </c>
      <c r="Y1976" t="str">
        <f>IF(Table2[[#This Row],[Column1]]&gt;50%,"HIGH DISCOUNT","LOW DISCOUNT")</f>
        <v>LOW DISCOUNT</v>
      </c>
    </row>
    <row r="1977" spans="1:25" x14ac:dyDescent="0.25">
      <c r="A1977" s="2" t="s">
        <v>4244</v>
      </c>
      <c r="B1977" s="2">
        <v>2263523</v>
      </c>
      <c r="C1977" s="2" t="s">
        <v>4245</v>
      </c>
      <c r="D1977" s="2" t="s">
        <v>76</v>
      </c>
      <c r="E1977" s="2" t="s">
        <v>93</v>
      </c>
      <c r="F1977" s="2" t="s">
        <v>36</v>
      </c>
      <c r="G1977" s="2" t="s">
        <v>4246</v>
      </c>
      <c r="H1977">
        <v>2800</v>
      </c>
      <c r="I1977" s="2">
        <v>3295</v>
      </c>
      <c r="J1977" s="2" t="s">
        <v>786</v>
      </c>
      <c r="K1977" s="2" t="s">
        <v>39</v>
      </c>
      <c r="L1977" s="2">
        <v>4.3</v>
      </c>
      <c r="M1977" s="2">
        <v>702</v>
      </c>
      <c r="P1977" t="str">
        <f t="shared" si="123"/>
        <v>15%</v>
      </c>
      <c r="Q1977" s="12">
        <f t="shared" si="120"/>
        <v>0.15</v>
      </c>
      <c r="R1977" s="9">
        <f t="shared" si="121"/>
        <v>2800.75</v>
      </c>
      <c r="S1977" s="9">
        <f>IF(R1977="",AVERAGEIF(Table1[Category],Table1[[#This Row],[Category]],Table2[orignal data]),Table2[[#This Row],[orignal data]])</f>
        <v>2800.75</v>
      </c>
      <c r="T1977" t="str">
        <f t="shared" si="122"/>
        <v>UNIQUE</v>
      </c>
      <c r="U1977" t="str">
        <f>IF(ISBLANK(Table1[[#This Row],[SizeOption]]),"NOT AVAILABLE",Table1[[#This Row],[SizeOption]])</f>
        <v>S, M, L, XL, XXL</v>
      </c>
      <c r="Y1977" t="str">
        <f>IF(Table2[[#This Row],[Column1]]&gt;50%,"HIGH DISCOUNT","LOW DISCOUNT")</f>
        <v>LOW DISCOUNT</v>
      </c>
    </row>
    <row r="1978" spans="1:25" x14ac:dyDescent="0.25">
      <c r="A1978" s="1" t="s">
        <v>4247</v>
      </c>
      <c r="B1978" s="1">
        <v>8643161</v>
      </c>
      <c r="C1978" s="1" t="s">
        <v>181</v>
      </c>
      <c r="D1978" s="1" t="s">
        <v>41</v>
      </c>
      <c r="E1978" s="1" t="s">
        <v>48</v>
      </c>
      <c r="F1978" s="1" t="s">
        <v>36</v>
      </c>
      <c r="G1978" s="1" t="s">
        <v>4248</v>
      </c>
      <c r="I1978" s="1">
        <v>1199</v>
      </c>
      <c r="J1978" s="1" t="s">
        <v>25</v>
      </c>
      <c r="K1978" s="1" t="s">
        <v>45</v>
      </c>
      <c r="L1978" s="1">
        <v>4.0999999999999996</v>
      </c>
      <c r="M1978" s="1">
        <v>702</v>
      </c>
      <c r="P1978" t="str">
        <f t="shared" si="123"/>
        <v>55%</v>
      </c>
      <c r="Q1978" s="12">
        <f t="shared" si="120"/>
        <v>0.55000000000000004</v>
      </c>
      <c r="R1978" s="9">
        <f t="shared" si="121"/>
        <v>539.54999999999995</v>
      </c>
      <c r="S1978" s="9">
        <f>IF(R1978="",AVERAGEIF(Table1[Category],Table1[[#This Row],[Category]],Table2[orignal data]),Table2[[#This Row],[orignal data]])</f>
        <v>539.54999999999995</v>
      </c>
      <c r="T1978" t="str">
        <f t="shared" si="122"/>
        <v>UNIQUE</v>
      </c>
      <c r="U1978" t="str">
        <f>IF(ISBLANK(Table1[[#This Row],[SizeOption]]),"NOT AVAILABLE",Table1[[#This Row],[SizeOption]])</f>
        <v>XS, S, M, L, XL</v>
      </c>
      <c r="Y1978" t="str">
        <f>IF(Table2[[#This Row],[Column1]]&gt;50%,"HIGH DISCOUNT","LOW DISCOUNT")</f>
        <v>HIGH DISCOUNT</v>
      </c>
    </row>
    <row r="1979" spans="1:25" x14ac:dyDescent="0.25">
      <c r="A1979" s="2" t="s">
        <v>4249</v>
      </c>
      <c r="B1979" s="2">
        <v>2334884</v>
      </c>
      <c r="C1979" s="2" t="s">
        <v>47</v>
      </c>
      <c r="D1979" s="2" t="s">
        <v>41</v>
      </c>
      <c r="E1979" s="2" t="s">
        <v>53</v>
      </c>
      <c r="F1979" s="2" t="s">
        <v>36</v>
      </c>
      <c r="G1979" s="2" t="s">
        <v>4250</v>
      </c>
      <c r="I1979" s="2">
        <v>2199</v>
      </c>
      <c r="J1979" s="2" t="s">
        <v>25</v>
      </c>
      <c r="K1979" s="2" t="s">
        <v>134</v>
      </c>
      <c r="L1979" s="2">
        <v>3.9</v>
      </c>
      <c r="M1979" s="2">
        <v>702</v>
      </c>
      <c r="P1979" t="str">
        <f t="shared" si="123"/>
        <v>55%</v>
      </c>
      <c r="Q1979" s="12">
        <f t="shared" si="120"/>
        <v>0.55000000000000004</v>
      </c>
      <c r="R1979" s="9">
        <f t="shared" si="121"/>
        <v>989.55</v>
      </c>
      <c r="S1979" s="9">
        <f>IF(R1979="",AVERAGEIF(Table1[Category],Table1[[#This Row],[Category]],Table2[orignal data]),Table2[[#This Row],[orignal data]])</f>
        <v>989.55</v>
      </c>
      <c r="T1979" t="str">
        <f t="shared" si="122"/>
        <v>UNIQUE</v>
      </c>
      <c r="U1979" t="str">
        <f>IF(ISBLANK(Table1[[#This Row],[SizeOption]]),"NOT AVAILABLE",Table1[[#This Row],[SizeOption]])</f>
        <v>26, 28, 30, 32, 34, 36</v>
      </c>
      <c r="Y1979" t="str">
        <f>IF(Table2[[#This Row],[Column1]]&gt;50%,"HIGH DISCOUNT","LOW DISCOUNT")</f>
        <v>HIGH DISCOUNT</v>
      </c>
    </row>
    <row r="1980" spans="1:25" x14ac:dyDescent="0.25">
      <c r="A1980" s="1" t="s">
        <v>4251</v>
      </c>
      <c r="B1980" s="1">
        <v>13961904</v>
      </c>
      <c r="C1980" s="1" t="s">
        <v>517</v>
      </c>
      <c r="D1980" s="1" t="s">
        <v>15</v>
      </c>
      <c r="E1980" s="1" t="s">
        <v>23</v>
      </c>
      <c r="F1980" s="1" t="s">
        <v>17</v>
      </c>
      <c r="G1980" s="1" t="s">
        <v>4252</v>
      </c>
      <c r="H1980">
        <v>659</v>
      </c>
      <c r="I1980" s="1">
        <v>1499</v>
      </c>
      <c r="J1980" s="1" t="s">
        <v>1204</v>
      </c>
      <c r="K1980" s="1" t="s">
        <v>26</v>
      </c>
      <c r="L1980" s="1">
        <v>4.0999999999999996</v>
      </c>
      <c r="M1980" s="1">
        <v>701</v>
      </c>
      <c r="P1980" t="str">
        <f t="shared" si="123"/>
        <v>56%</v>
      </c>
      <c r="Q1980" s="12">
        <f t="shared" si="120"/>
        <v>0.56000000000000005</v>
      </c>
      <c r="R1980" s="9">
        <f t="shared" si="121"/>
        <v>659.56</v>
      </c>
      <c r="S1980" s="9">
        <f>IF(R1980="",AVERAGEIF(Table1[Category],Table1[[#This Row],[Category]],Table2[orignal data]),Table2[[#This Row],[orignal data]])</f>
        <v>659.56</v>
      </c>
      <c r="T1980" t="str">
        <f t="shared" si="122"/>
        <v>UNIQUE</v>
      </c>
      <c r="U1980" t="str">
        <f>IF(ISBLANK(Table1[[#This Row],[SizeOption]]),"NOT AVAILABLE",Table1[[#This Row],[SizeOption]])</f>
        <v>S, M, L, XL</v>
      </c>
      <c r="Y1980" t="str">
        <f>IF(Table2[[#This Row],[Column1]]&gt;50%,"HIGH DISCOUNT","LOW DISCOUNT")</f>
        <v>HIGH DISCOUNT</v>
      </c>
    </row>
    <row r="1981" spans="1:25" x14ac:dyDescent="0.25">
      <c r="A1981" s="2" t="s">
        <v>4253</v>
      </c>
      <c r="B1981" s="2">
        <v>2318578</v>
      </c>
      <c r="C1981" s="2" t="s">
        <v>14</v>
      </c>
      <c r="D1981" s="2" t="s">
        <v>28</v>
      </c>
      <c r="E1981" s="2" t="s">
        <v>42</v>
      </c>
      <c r="F1981" s="2" t="s">
        <v>17</v>
      </c>
      <c r="G1981" s="2" t="s">
        <v>4254</v>
      </c>
      <c r="H1981">
        <v>494</v>
      </c>
      <c r="I1981" s="2">
        <v>1099</v>
      </c>
      <c r="J1981" s="2" t="s">
        <v>25</v>
      </c>
      <c r="K1981" s="2" t="s">
        <v>45</v>
      </c>
      <c r="L1981" s="2">
        <v>4.0999999999999996</v>
      </c>
      <c r="M1981" s="2">
        <v>701</v>
      </c>
      <c r="P1981" t="str">
        <f t="shared" si="123"/>
        <v>55%</v>
      </c>
      <c r="Q1981" s="12">
        <f t="shared" si="120"/>
        <v>0.55000000000000004</v>
      </c>
      <c r="R1981" s="9">
        <f t="shared" si="121"/>
        <v>494.54999999999995</v>
      </c>
      <c r="S1981" s="9">
        <f>IF(R1981="",AVERAGEIF(Table1[Category],Table1[[#This Row],[Category]],Table2[orignal data]),Table2[[#This Row],[orignal data]])</f>
        <v>494.54999999999995</v>
      </c>
      <c r="T1981" t="str">
        <f t="shared" si="122"/>
        <v>UNIQUE</v>
      </c>
      <c r="U1981" t="str">
        <f>IF(ISBLANK(Table1[[#This Row],[SizeOption]]),"NOT AVAILABLE",Table1[[#This Row],[SizeOption]])</f>
        <v>XS, S, M, L, XL</v>
      </c>
      <c r="Y1981" t="str">
        <f>IF(Table2[[#This Row],[Column1]]&gt;50%,"HIGH DISCOUNT","LOW DISCOUNT")</f>
        <v>HIGH DISCOUNT</v>
      </c>
    </row>
    <row r="1982" spans="1:25" x14ac:dyDescent="0.25">
      <c r="A1982" s="1" t="s">
        <v>4255</v>
      </c>
      <c r="B1982" s="1">
        <v>8499849</v>
      </c>
      <c r="C1982" s="1" t="s">
        <v>14</v>
      </c>
      <c r="D1982" s="1" t="s">
        <v>28</v>
      </c>
      <c r="E1982" s="1" t="s">
        <v>29</v>
      </c>
      <c r="F1982" s="1" t="s">
        <v>17</v>
      </c>
      <c r="G1982" s="1" t="s">
        <v>4256</v>
      </c>
      <c r="I1982" s="1">
        <v>2199</v>
      </c>
      <c r="J1982" s="1"/>
      <c r="K1982" s="1" t="s">
        <v>31</v>
      </c>
      <c r="L1982" s="1">
        <v>4</v>
      </c>
      <c r="M1982" s="1">
        <v>701</v>
      </c>
      <c r="P1982" t="str">
        <f t="shared" si="123"/>
        <v/>
      </c>
      <c r="Q1982" s="12" t="str">
        <f t="shared" si="120"/>
        <v/>
      </c>
      <c r="R1982" s="9" t="str">
        <f t="shared" si="121"/>
        <v/>
      </c>
      <c r="S1982" s="9">
        <f>IF(R1982="",AVERAGEIF(Table1[Category],Table1[[#This Row],[Category]],Table2[orignal data]),Table2[[#This Row],[orignal data]])</f>
        <v>671.7823941958867</v>
      </c>
      <c r="T1982" t="str">
        <f t="shared" si="122"/>
        <v>UNIQUE</v>
      </c>
      <c r="U1982" t="str">
        <f>IF(ISBLANK(Table1[[#This Row],[SizeOption]]),"NOT AVAILABLE",Table1[[#This Row],[SizeOption]])</f>
        <v>38, 40, 42, 44, 46, 48</v>
      </c>
      <c r="Y1982" t="str">
        <f>IF(Table2[[#This Row],[Column1]]&gt;50%,"HIGH DISCOUNT","LOW DISCOUNT")</f>
        <v>HIGH DISCOUNT</v>
      </c>
    </row>
    <row r="1983" spans="1:25" x14ac:dyDescent="0.25">
      <c r="A1983" s="2" t="s">
        <v>4257</v>
      </c>
      <c r="B1983" s="2">
        <v>7116650</v>
      </c>
      <c r="C1983" s="2" t="s">
        <v>14</v>
      </c>
      <c r="D1983" s="2" t="s">
        <v>28</v>
      </c>
      <c r="E1983" s="2" t="s">
        <v>189</v>
      </c>
      <c r="F1983" s="2" t="s">
        <v>17</v>
      </c>
      <c r="G1983" s="2" t="s">
        <v>4258</v>
      </c>
      <c r="H1983">
        <v>1399</v>
      </c>
      <c r="I1983" s="2">
        <v>3499</v>
      </c>
      <c r="J1983" s="2" t="s">
        <v>55</v>
      </c>
      <c r="K1983" s="2" t="s">
        <v>234</v>
      </c>
      <c r="L1983" s="2">
        <v>4.3</v>
      </c>
      <c r="M1983" s="2">
        <v>701</v>
      </c>
      <c r="P1983" t="str">
        <f t="shared" si="123"/>
        <v>60%</v>
      </c>
      <c r="Q1983" s="12">
        <f t="shared" si="120"/>
        <v>0.6</v>
      </c>
      <c r="R1983" s="9">
        <f t="shared" si="121"/>
        <v>1399.6</v>
      </c>
      <c r="S1983" s="9">
        <f>IF(R1983="",AVERAGEIF(Table1[Category],Table1[[#This Row],[Category]],Table2[orignal data]),Table2[[#This Row],[orignal data]])</f>
        <v>1399.6</v>
      </c>
      <c r="T1983" t="str">
        <f t="shared" si="122"/>
        <v>UNIQUE</v>
      </c>
      <c r="U1983" t="str">
        <f>IF(ISBLANK(Table1[[#This Row],[SizeOption]]),"NOT AVAILABLE",Table1[[#This Row],[SizeOption]])</f>
        <v>S, M, L, XL, XXL, 3XL</v>
      </c>
      <c r="Y1983" t="str">
        <f>IF(Table2[[#This Row],[Column1]]&gt;50%,"HIGH DISCOUNT","LOW DISCOUNT")</f>
        <v>HIGH DISCOUNT</v>
      </c>
    </row>
    <row r="1984" spans="1:25" x14ac:dyDescent="0.25">
      <c r="A1984" s="1" t="s">
        <v>4259</v>
      </c>
      <c r="B1984" s="1">
        <v>11174322</v>
      </c>
      <c r="C1984" s="1" t="s">
        <v>97</v>
      </c>
      <c r="D1984" s="1" t="s">
        <v>76</v>
      </c>
      <c r="E1984" s="1" t="s">
        <v>77</v>
      </c>
      <c r="F1984" s="1" t="s">
        <v>36</v>
      </c>
      <c r="G1984" s="1" t="s">
        <v>4260</v>
      </c>
      <c r="H1984">
        <v>1319</v>
      </c>
      <c r="I1984" s="1">
        <v>2399</v>
      </c>
      <c r="J1984" s="1" t="s">
        <v>19</v>
      </c>
      <c r="K1984" s="1" t="s">
        <v>100</v>
      </c>
      <c r="L1984" s="1">
        <v>4.3</v>
      </c>
      <c r="M1984" s="1">
        <v>701</v>
      </c>
      <c r="P1984" t="str">
        <f t="shared" si="123"/>
        <v>45%</v>
      </c>
      <c r="Q1984" s="12">
        <f t="shared" si="120"/>
        <v>0.45</v>
      </c>
      <c r="R1984" s="9">
        <f t="shared" si="121"/>
        <v>1319.45</v>
      </c>
      <c r="S1984" s="9">
        <f>IF(R1984="",AVERAGEIF(Table1[Category],Table1[[#This Row],[Category]],Table2[orignal data]),Table2[[#This Row],[orignal data]])</f>
        <v>1319.45</v>
      </c>
      <c r="T1984" t="str">
        <f t="shared" si="122"/>
        <v>UNIQUE</v>
      </c>
      <c r="U1984" t="str">
        <f>IF(ISBLANK(Table1[[#This Row],[SizeOption]]),"NOT AVAILABLE",Table1[[#This Row],[SizeOption]])</f>
        <v>XS, S, M, L, XL, XXL, 3XL</v>
      </c>
      <c r="Y1984" t="str">
        <f>IF(Table2[[#This Row],[Column1]]&gt;50%,"HIGH DISCOUNT","LOW DISCOUNT")</f>
        <v>LOW DISCOUNT</v>
      </c>
    </row>
    <row r="1985" spans="1:25" x14ac:dyDescent="0.25">
      <c r="A1985" s="2" t="s">
        <v>4261</v>
      </c>
      <c r="B1985" s="2">
        <v>7572967</v>
      </c>
      <c r="C1985" s="2" t="s">
        <v>92</v>
      </c>
      <c r="D1985" s="2" t="s">
        <v>76</v>
      </c>
      <c r="E1985" s="2" t="s">
        <v>77</v>
      </c>
      <c r="F1985" s="2" t="s">
        <v>36</v>
      </c>
      <c r="G1985" s="2" t="s">
        <v>4262</v>
      </c>
      <c r="H1985">
        <v>1461</v>
      </c>
      <c r="I1985" s="2">
        <v>3399</v>
      </c>
      <c r="J1985" s="2" t="s">
        <v>130</v>
      </c>
      <c r="K1985" s="2" t="s">
        <v>39</v>
      </c>
      <c r="L1985" s="2">
        <v>4.2</v>
      </c>
      <c r="M1985" s="2">
        <v>701</v>
      </c>
      <c r="P1985" t="str">
        <f t="shared" si="123"/>
        <v>57%</v>
      </c>
      <c r="Q1985" s="12">
        <f t="shared" si="120"/>
        <v>0.56999999999999995</v>
      </c>
      <c r="R1985" s="9">
        <f t="shared" si="121"/>
        <v>1461.5700000000002</v>
      </c>
      <c r="S1985" s="9">
        <f>IF(R1985="",AVERAGEIF(Table1[Category],Table1[[#This Row],[Category]],Table2[orignal data]),Table2[[#This Row],[orignal data]])</f>
        <v>1461.5700000000002</v>
      </c>
      <c r="T1985" t="str">
        <f t="shared" si="122"/>
        <v>UNIQUE</v>
      </c>
      <c r="U1985" t="str">
        <f>IF(ISBLANK(Table1[[#This Row],[SizeOption]]),"NOT AVAILABLE",Table1[[#This Row],[SizeOption]])</f>
        <v>S, M, L, XL, XXL</v>
      </c>
      <c r="Y1985" t="str">
        <f>IF(Table2[[#This Row],[Column1]]&gt;50%,"HIGH DISCOUNT","LOW DISCOUNT")</f>
        <v>HIGH DISCOUNT</v>
      </c>
    </row>
    <row r="1986" spans="1:25" x14ac:dyDescent="0.25">
      <c r="A1986" s="1" t="s">
        <v>4263</v>
      </c>
      <c r="B1986" s="1">
        <v>11536956</v>
      </c>
      <c r="C1986" s="1" t="s">
        <v>97</v>
      </c>
      <c r="D1986" s="1" t="s">
        <v>98</v>
      </c>
      <c r="E1986" s="1" t="s">
        <v>77</v>
      </c>
      <c r="F1986" s="1" t="s">
        <v>36</v>
      </c>
      <c r="G1986" s="1" t="s">
        <v>4264</v>
      </c>
      <c r="H1986">
        <v>799</v>
      </c>
      <c r="I1986" s="1">
        <v>1999</v>
      </c>
      <c r="J1986" s="1" t="s">
        <v>141</v>
      </c>
      <c r="K1986" s="1" t="s">
        <v>100</v>
      </c>
      <c r="L1986" s="1">
        <v>3.7</v>
      </c>
      <c r="M1986" s="1">
        <v>701</v>
      </c>
      <c r="P1986" t="str">
        <f t="shared" si="123"/>
        <v>60%</v>
      </c>
      <c r="Q1986" s="12">
        <f t="shared" ref="Q1986:Q2049" si="124">IF(P1986="","",IF(ISNUMBER(SEARCH("%",P1986)),P1986,P1986/I1986)*100%)</f>
        <v>0.6</v>
      </c>
      <c r="R1986" s="9">
        <f t="shared" ref="R1986:R2049" si="125">IF(P1986="","",I1986-(I1986*Q1986))</f>
        <v>799.60000000000014</v>
      </c>
      <c r="S1986" s="9">
        <f>IF(R1986="",AVERAGEIF(Table1[Category],Table1[[#This Row],[Category]],Table2[orignal data]),Table2[[#This Row],[orignal data]])</f>
        <v>799.60000000000014</v>
      </c>
      <c r="T1986" t="str">
        <f t="shared" ref="T1986:T2049" si="126">IF(COUNTIF($B$2:$B$5000,B1986)&gt;1,"DUPLICATE","UNIQUE")</f>
        <v>UNIQUE</v>
      </c>
      <c r="U1986" t="str">
        <f>IF(ISBLANK(Table1[[#This Row],[SizeOption]]),"NOT AVAILABLE",Table1[[#This Row],[SizeOption]])</f>
        <v>XS, S, M, L, XL, XXL, 3XL</v>
      </c>
      <c r="Y1986" t="str">
        <f>IF(Table2[[#This Row],[Column1]]&gt;50%,"HIGH DISCOUNT","LOW DISCOUNT")</f>
        <v>HIGH DISCOUNT</v>
      </c>
    </row>
    <row r="1987" spans="1:25" x14ac:dyDescent="0.25">
      <c r="A1987" s="2" t="s">
        <v>4265</v>
      </c>
      <c r="B1987" s="2">
        <v>12480208</v>
      </c>
      <c r="C1987" s="2" t="s">
        <v>887</v>
      </c>
      <c r="D1987" s="2" t="s">
        <v>41</v>
      </c>
      <c r="E1987" s="2" t="s">
        <v>148</v>
      </c>
      <c r="F1987" s="2" t="s">
        <v>36</v>
      </c>
      <c r="G1987" s="2" t="s">
        <v>4266</v>
      </c>
      <c r="I1987" s="2">
        <v>1499</v>
      </c>
      <c r="J1987" s="2" t="s">
        <v>126</v>
      </c>
      <c r="K1987" s="2" t="s">
        <v>26</v>
      </c>
      <c r="L1987" s="2">
        <v>4.2</v>
      </c>
      <c r="M1987" s="2">
        <v>701</v>
      </c>
      <c r="P1987" t="str">
        <f t="shared" ref="P1987:P2050" si="127">TRIM(SUBSTITUTE(SUBSTITUTE(SUBSTITUTE(SUBSTITUTE(J1987,"OFF",""),"Rs.",""),"Hurry*",""),",",""))</f>
        <v>62%</v>
      </c>
      <c r="Q1987" s="12">
        <f t="shared" si="124"/>
        <v>0.62</v>
      </c>
      <c r="R1987" s="9">
        <f t="shared" si="125"/>
        <v>569.62</v>
      </c>
      <c r="S1987" s="9">
        <f>IF(R1987="",AVERAGEIF(Table1[Category],Table1[[#This Row],[Category]],Table2[orignal data]),Table2[[#This Row],[orignal data]])</f>
        <v>569.62</v>
      </c>
      <c r="T1987" t="str">
        <f t="shared" si="126"/>
        <v>UNIQUE</v>
      </c>
      <c r="U1987" t="str">
        <f>IF(ISBLANK(Table1[[#This Row],[SizeOption]]),"NOT AVAILABLE",Table1[[#This Row],[SizeOption]])</f>
        <v>S, M, L, XL</v>
      </c>
      <c r="Y1987" t="str">
        <f>IF(Table2[[#This Row],[Column1]]&gt;50%,"HIGH DISCOUNT","LOW DISCOUNT")</f>
        <v>HIGH DISCOUNT</v>
      </c>
    </row>
    <row r="1988" spans="1:25" x14ac:dyDescent="0.25">
      <c r="A1988" s="1" t="s">
        <v>4267</v>
      </c>
      <c r="B1988" s="1">
        <v>10308659</v>
      </c>
      <c r="C1988" s="1" t="s">
        <v>181</v>
      </c>
      <c r="D1988" s="1" t="s">
        <v>41</v>
      </c>
      <c r="E1988" s="1" t="s">
        <v>82</v>
      </c>
      <c r="F1988" s="1" t="s">
        <v>36</v>
      </c>
      <c r="G1988" s="1" t="s">
        <v>4268</v>
      </c>
      <c r="I1988" s="1">
        <v>1499</v>
      </c>
      <c r="J1988" s="1" t="s">
        <v>84</v>
      </c>
      <c r="K1988" s="1" t="s">
        <v>115</v>
      </c>
      <c r="L1988" s="1">
        <v>3.7</v>
      </c>
      <c r="M1988" s="1">
        <v>701</v>
      </c>
      <c r="P1988" t="str">
        <f t="shared" si="127"/>
        <v>50%</v>
      </c>
      <c r="Q1988" s="12">
        <f t="shared" si="124"/>
        <v>0.5</v>
      </c>
      <c r="R1988" s="9">
        <f t="shared" si="125"/>
        <v>749.5</v>
      </c>
      <c r="S1988" s="9">
        <f>IF(R1988="",AVERAGEIF(Table1[Category],Table1[[#This Row],[Category]],Table2[orignal data]),Table2[[#This Row],[orignal data]])</f>
        <v>749.5</v>
      </c>
      <c r="T1988" t="str">
        <f t="shared" si="126"/>
        <v>UNIQUE</v>
      </c>
      <c r="U1988" t="str">
        <f>IF(ISBLANK(Table1[[#This Row],[SizeOption]]),"NOT AVAILABLE",Table1[[#This Row],[SizeOption]])</f>
        <v>XS, S, M, L, XL, XXL</v>
      </c>
      <c r="Y1988" t="str">
        <f>IF(Table2[[#This Row],[Column1]]&gt;50%,"HIGH DISCOUNT","LOW DISCOUNT")</f>
        <v>LOW DISCOUNT</v>
      </c>
    </row>
    <row r="1989" spans="1:25" x14ac:dyDescent="0.25">
      <c r="A1989" s="2" t="s">
        <v>4269</v>
      </c>
      <c r="B1989" s="2">
        <v>13237374</v>
      </c>
      <c r="C1989" s="2" t="s">
        <v>113</v>
      </c>
      <c r="D1989" s="2" t="s">
        <v>41</v>
      </c>
      <c r="E1989" s="2" t="s">
        <v>148</v>
      </c>
      <c r="F1989" s="2" t="s">
        <v>36</v>
      </c>
      <c r="G1989" s="2" t="s">
        <v>4270</v>
      </c>
      <c r="I1989" s="2">
        <v>2199</v>
      </c>
      <c r="J1989" s="2" t="s">
        <v>1986</v>
      </c>
      <c r="K1989" s="2" t="s">
        <v>115</v>
      </c>
      <c r="L1989" s="2">
        <v>4.4000000000000004</v>
      </c>
      <c r="M1989" s="2">
        <v>701</v>
      </c>
      <c r="P1989" t="str">
        <f t="shared" si="127"/>
        <v>60 %</v>
      </c>
      <c r="Q1989" s="12">
        <f t="shared" si="124"/>
        <v>0.6</v>
      </c>
      <c r="R1989" s="9">
        <f t="shared" si="125"/>
        <v>879.60000000000014</v>
      </c>
      <c r="S1989" s="9">
        <f>IF(R1989="",AVERAGEIF(Table1[Category],Table1[[#This Row],[Category]],Table2[orignal data]),Table2[[#This Row],[orignal data]])</f>
        <v>879.60000000000014</v>
      </c>
      <c r="T1989" t="str">
        <f t="shared" si="126"/>
        <v>UNIQUE</v>
      </c>
      <c r="U1989" t="str">
        <f>IF(ISBLANK(Table1[[#This Row],[SizeOption]]),"NOT AVAILABLE",Table1[[#This Row],[SizeOption]])</f>
        <v>XS, S, M, L, XL, XXL</v>
      </c>
      <c r="Y1989" t="str">
        <f>IF(Table2[[#This Row],[Column1]]&gt;50%,"HIGH DISCOUNT","LOW DISCOUNT")</f>
        <v>HIGH DISCOUNT</v>
      </c>
    </row>
    <row r="1990" spans="1:25" x14ac:dyDescent="0.25">
      <c r="A1990" s="1" t="s">
        <v>4271</v>
      </c>
      <c r="B1990" s="1">
        <v>11024460</v>
      </c>
      <c r="C1990" s="1" t="s">
        <v>81</v>
      </c>
      <c r="D1990" s="1" t="s">
        <v>41</v>
      </c>
      <c r="E1990" s="1" t="s">
        <v>148</v>
      </c>
      <c r="F1990" s="1" t="s">
        <v>36</v>
      </c>
      <c r="G1990" s="1" t="s">
        <v>4272</v>
      </c>
      <c r="I1990" s="1">
        <v>1799</v>
      </c>
      <c r="J1990" s="1"/>
      <c r="K1990" s="1" t="s">
        <v>115</v>
      </c>
      <c r="L1990" s="1">
        <v>4.2</v>
      </c>
      <c r="M1990" s="1">
        <v>701</v>
      </c>
      <c r="P1990" t="str">
        <f t="shared" si="127"/>
        <v/>
      </c>
      <c r="Q1990" s="12" t="str">
        <f t="shared" si="124"/>
        <v/>
      </c>
      <c r="R1990" s="9" t="str">
        <f t="shared" si="125"/>
        <v/>
      </c>
      <c r="S1990" s="9">
        <f>IF(R1990="",AVERAGEIF(Table1[Category],Table1[[#This Row],[Category]],Table2[orignal data]),Table2[[#This Row],[orignal data]])</f>
        <v>715.78890751086249</v>
      </c>
      <c r="T1990" t="str">
        <f t="shared" si="126"/>
        <v>UNIQUE</v>
      </c>
      <c r="U1990" t="str">
        <f>IF(ISBLANK(Table1[[#This Row],[SizeOption]]),"NOT AVAILABLE",Table1[[#This Row],[SizeOption]])</f>
        <v>XS, S, M, L, XL, XXL</v>
      </c>
      <c r="Y1990" t="str">
        <f>IF(Table2[[#This Row],[Column1]]&gt;50%,"HIGH DISCOUNT","LOW DISCOUNT")</f>
        <v>HIGH DISCOUNT</v>
      </c>
    </row>
    <row r="1991" spans="1:25" x14ac:dyDescent="0.25">
      <c r="A1991" s="2" t="s">
        <v>4273</v>
      </c>
      <c r="B1991" s="2">
        <v>13938110</v>
      </c>
      <c r="C1991" s="2" t="s">
        <v>52</v>
      </c>
      <c r="D1991" s="2" t="s">
        <v>15</v>
      </c>
      <c r="E1991" s="2" t="s">
        <v>16</v>
      </c>
      <c r="F1991" s="2" t="s">
        <v>17</v>
      </c>
      <c r="G1991" s="2" t="s">
        <v>3306</v>
      </c>
      <c r="H1991">
        <v>724</v>
      </c>
      <c r="I1991" s="2">
        <v>1449</v>
      </c>
      <c r="J1991" s="2" t="s">
        <v>84</v>
      </c>
      <c r="K1991" s="2" t="s">
        <v>816</v>
      </c>
      <c r="L1991" s="2">
        <v>3.9</v>
      </c>
      <c r="M1991" s="2">
        <v>700</v>
      </c>
      <c r="P1991" t="str">
        <f t="shared" si="127"/>
        <v>50%</v>
      </c>
      <c r="Q1991" s="12">
        <f t="shared" si="124"/>
        <v>0.5</v>
      </c>
      <c r="R1991" s="9">
        <f t="shared" si="125"/>
        <v>724.5</v>
      </c>
      <c r="S1991" s="9">
        <f>IF(R1991="",AVERAGEIF(Table1[Category],Table1[[#This Row],[Category]],Table2[orignal data]),Table2[[#This Row],[orignal data]])</f>
        <v>724.5</v>
      </c>
      <c r="T1991" t="str">
        <f t="shared" si="126"/>
        <v>UNIQUE</v>
      </c>
      <c r="U1991" t="str">
        <f>IF(ISBLANK(Table1[[#This Row],[SizeOption]]),"NOT AVAILABLE",Table1[[#This Row],[SizeOption]])</f>
        <v>30, 32, 34, 36, 38</v>
      </c>
      <c r="Y1991" t="str">
        <f>IF(Table2[[#This Row],[Column1]]&gt;50%,"HIGH DISCOUNT","LOW DISCOUNT")</f>
        <v>LOW DISCOUNT</v>
      </c>
    </row>
    <row r="1992" spans="1:25" x14ac:dyDescent="0.25">
      <c r="A1992" s="1" t="s">
        <v>4274</v>
      </c>
      <c r="B1992" s="1">
        <v>2358015</v>
      </c>
      <c r="C1992" s="1" t="s">
        <v>841</v>
      </c>
      <c r="D1992" s="1" t="s">
        <v>28</v>
      </c>
      <c r="E1992" s="1" t="s">
        <v>29</v>
      </c>
      <c r="F1992" s="1" t="s">
        <v>17</v>
      </c>
      <c r="G1992" s="1" t="s">
        <v>4275</v>
      </c>
      <c r="H1992">
        <v>949</v>
      </c>
      <c r="I1992" s="1">
        <v>1899</v>
      </c>
      <c r="J1992" s="1" t="s">
        <v>84</v>
      </c>
      <c r="K1992" s="1" t="s">
        <v>253</v>
      </c>
      <c r="L1992" s="1">
        <v>3.9</v>
      </c>
      <c r="M1992" s="1">
        <v>700</v>
      </c>
      <c r="P1992" t="str">
        <f t="shared" si="127"/>
        <v>50%</v>
      </c>
      <c r="Q1992" s="12">
        <f t="shared" si="124"/>
        <v>0.5</v>
      </c>
      <c r="R1992" s="9">
        <f t="shared" si="125"/>
        <v>949.5</v>
      </c>
      <c r="S1992" s="9">
        <f>IF(R1992="",AVERAGEIF(Table1[Category],Table1[[#This Row],[Category]],Table2[orignal data]),Table2[[#This Row],[orignal data]])</f>
        <v>949.5</v>
      </c>
      <c r="T1992" t="str">
        <f t="shared" si="126"/>
        <v>UNIQUE</v>
      </c>
      <c r="U1992" t="str">
        <f>IF(ISBLANK(Table1[[#This Row],[SizeOption]]),"NOT AVAILABLE",Table1[[#This Row],[SizeOption]])</f>
        <v>38, 40, 42, 44</v>
      </c>
      <c r="Y1992" t="str">
        <f>IF(Table2[[#This Row],[Column1]]&gt;50%,"HIGH DISCOUNT","LOW DISCOUNT")</f>
        <v>LOW DISCOUNT</v>
      </c>
    </row>
    <row r="1993" spans="1:25" x14ac:dyDescent="0.25">
      <c r="A1993" s="2" t="s">
        <v>4276</v>
      </c>
      <c r="B1993" s="2">
        <v>9564199</v>
      </c>
      <c r="C1993" s="2" t="s">
        <v>14</v>
      </c>
      <c r="D1993" s="2" t="s">
        <v>28</v>
      </c>
      <c r="E1993" s="2" t="s">
        <v>189</v>
      </c>
      <c r="F1993" s="2" t="s">
        <v>17</v>
      </c>
      <c r="G1993" s="2" t="s">
        <v>4277</v>
      </c>
      <c r="H1993">
        <v>1159</v>
      </c>
      <c r="I1993" s="2">
        <v>2899</v>
      </c>
      <c r="J1993" s="2" t="s">
        <v>55</v>
      </c>
      <c r="K1993" s="2" t="s">
        <v>234</v>
      </c>
      <c r="L1993" s="2">
        <v>4.2</v>
      </c>
      <c r="M1993" s="2">
        <v>700</v>
      </c>
      <c r="P1993" t="str">
        <f t="shared" si="127"/>
        <v>60%</v>
      </c>
      <c r="Q1993" s="12">
        <f t="shared" si="124"/>
        <v>0.6</v>
      </c>
      <c r="R1993" s="9">
        <f t="shared" si="125"/>
        <v>1159.6000000000001</v>
      </c>
      <c r="S1993" s="9">
        <f>IF(R1993="",AVERAGEIF(Table1[Category],Table1[[#This Row],[Category]],Table2[orignal data]),Table2[[#This Row],[orignal data]])</f>
        <v>1159.6000000000001</v>
      </c>
      <c r="T1993" t="str">
        <f t="shared" si="126"/>
        <v>UNIQUE</v>
      </c>
      <c r="U1993" t="str">
        <f>IF(ISBLANK(Table1[[#This Row],[SizeOption]]),"NOT AVAILABLE",Table1[[#This Row],[SizeOption]])</f>
        <v>S, M, L, XL, XXL, 3XL</v>
      </c>
      <c r="Y1993" t="str">
        <f>IF(Table2[[#This Row],[Column1]]&gt;50%,"HIGH DISCOUNT","LOW DISCOUNT")</f>
        <v>HIGH DISCOUNT</v>
      </c>
    </row>
    <row r="1994" spans="1:25" x14ac:dyDescent="0.25">
      <c r="A1994" s="1" t="s">
        <v>4278</v>
      </c>
      <c r="B1994" s="1">
        <v>9539335</v>
      </c>
      <c r="C1994" s="1" t="s">
        <v>924</v>
      </c>
      <c r="D1994" s="1" t="s">
        <v>76</v>
      </c>
      <c r="E1994" s="1" t="s">
        <v>93</v>
      </c>
      <c r="F1994" s="1" t="s">
        <v>36</v>
      </c>
      <c r="G1994" s="1" t="s">
        <v>4279</v>
      </c>
      <c r="H1994">
        <v>911</v>
      </c>
      <c r="I1994" s="1">
        <v>1899</v>
      </c>
      <c r="J1994" s="1" t="s">
        <v>208</v>
      </c>
      <c r="K1994" s="1" t="s">
        <v>39</v>
      </c>
      <c r="L1994" s="1">
        <v>4.3</v>
      </c>
      <c r="M1994" s="1">
        <v>700</v>
      </c>
      <c r="P1994" t="str">
        <f t="shared" si="127"/>
        <v>52%</v>
      </c>
      <c r="Q1994" s="12">
        <f t="shared" si="124"/>
        <v>0.52</v>
      </c>
      <c r="R1994" s="9">
        <f t="shared" si="125"/>
        <v>911.52</v>
      </c>
      <c r="S1994" s="9">
        <f>IF(R1994="",AVERAGEIF(Table1[Category],Table1[[#This Row],[Category]],Table2[orignal data]),Table2[[#This Row],[orignal data]])</f>
        <v>911.52</v>
      </c>
      <c r="T1994" t="str">
        <f t="shared" si="126"/>
        <v>UNIQUE</v>
      </c>
      <c r="U1994" t="str">
        <f>IF(ISBLANK(Table1[[#This Row],[SizeOption]]),"NOT AVAILABLE",Table1[[#This Row],[SizeOption]])</f>
        <v>S, M, L, XL, XXL</v>
      </c>
      <c r="Y1994" t="str">
        <f>IF(Table2[[#This Row],[Column1]]&gt;50%,"HIGH DISCOUNT","LOW DISCOUNT")</f>
        <v>HIGH DISCOUNT</v>
      </c>
    </row>
    <row r="1995" spans="1:25" x14ac:dyDescent="0.25">
      <c r="A1995" s="2" t="s">
        <v>4280</v>
      </c>
      <c r="B1995" s="2">
        <v>14016082</v>
      </c>
      <c r="C1995" s="2" t="s">
        <v>290</v>
      </c>
      <c r="D1995" s="2" t="s">
        <v>76</v>
      </c>
      <c r="E1995" s="2" t="s">
        <v>77</v>
      </c>
      <c r="F1995" s="2" t="s">
        <v>36</v>
      </c>
      <c r="G1995" s="2" t="s">
        <v>4281</v>
      </c>
      <c r="H1995">
        <v>1399</v>
      </c>
      <c r="I1995" s="2">
        <v>2799</v>
      </c>
      <c r="J1995" s="2" t="s">
        <v>84</v>
      </c>
      <c r="K1995" s="2" t="s">
        <v>39</v>
      </c>
      <c r="L1995" s="2">
        <v>4.3</v>
      </c>
      <c r="M1995" s="2">
        <v>700</v>
      </c>
      <c r="P1995" t="str">
        <f t="shared" si="127"/>
        <v>50%</v>
      </c>
      <c r="Q1995" s="12">
        <f t="shared" si="124"/>
        <v>0.5</v>
      </c>
      <c r="R1995" s="9">
        <f t="shared" si="125"/>
        <v>1399.5</v>
      </c>
      <c r="S1995" s="9">
        <f>IF(R1995="",AVERAGEIF(Table1[Category],Table1[[#This Row],[Category]],Table2[orignal data]),Table2[[#This Row],[orignal data]])</f>
        <v>1399.5</v>
      </c>
      <c r="T1995" t="str">
        <f t="shared" si="126"/>
        <v>UNIQUE</v>
      </c>
      <c r="U1995" t="str">
        <f>IF(ISBLANK(Table1[[#This Row],[SizeOption]]),"NOT AVAILABLE",Table1[[#This Row],[SizeOption]])</f>
        <v>S, M, L, XL, XXL</v>
      </c>
      <c r="Y1995" t="str">
        <f>IF(Table2[[#This Row],[Column1]]&gt;50%,"HIGH DISCOUNT","LOW DISCOUNT")</f>
        <v>LOW DISCOUNT</v>
      </c>
    </row>
    <row r="1996" spans="1:25" x14ac:dyDescent="0.25">
      <c r="A1996" s="1" t="s">
        <v>4282</v>
      </c>
      <c r="B1996" s="1">
        <v>15190446</v>
      </c>
      <c r="C1996" s="1" t="s">
        <v>1845</v>
      </c>
      <c r="D1996" s="1" t="s">
        <v>34</v>
      </c>
      <c r="E1996" s="1" t="s">
        <v>406</v>
      </c>
      <c r="F1996" s="1" t="s">
        <v>36</v>
      </c>
      <c r="G1996" s="1" t="s">
        <v>4283</v>
      </c>
      <c r="H1996">
        <v>783</v>
      </c>
      <c r="I1996" s="1">
        <v>1599</v>
      </c>
      <c r="J1996" s="1" t="s">
        <v>163</v>
      </c>
      <c r="K1996" s="1" t="s">
        <v>39</v>
      </c>
      <c r="L1996" s="1">
        <v>4.3</v>
      </c>
      <c r="M1996" s="1">
        <v>700</v>
      </c>
      <c r="P1996" t="str">
        <f t="shared" si="127"/>
        <v>51%</v>
      </c>
      <c r="Q1996" s="12">
        <f t="shared" si="124"/>
        <v>0.51</v>
      </c>
      <c r="R1996" s="9">
        <f t="shared" si="125"/>
        <v>783.51</v>
      </c>
      <c r="S1996" s="9">
        <f>IF(R1996="",AVERAGEIF(Table1[Category],Table1[[#This Row],[Category]],Table2[orignal data]),Table2[[#This Row],[orignal data]])</f>
        <v>783.51</v>
      </c>
      <c r="T1996" t="str">
        <f t="shared" si="126"/>
        <v>UNIQUE</v>
      </c>
      <c r="U1996" t="str">
        <f>IF(ISBLANK(Table1[[#This Row],[SizeOption]]),"NOT AVAILABLE",Table1[[#This Row],[SizeOption]])</f>
        <v>S, M, L, XL, XXL</v>
      </c>
      <c r="Y1996" t="str">
        <f>IF(Table2[[#This Row],[Column1]]&gt;50%,"HIGH DISCOUNT","LOW DISCOUNT")</f>
        <v>HIGH DISCOUNT</v>
      </c>
    </row>
    <row r="1997" spans="1:25" x14ac:dyDescent="0.25">
      <c r="A1997" s="2" t="s">
        <v>4284</v>
      </c>
      <c r="B1997" s="2">
        <v>10243917</v>
      </c>
      <c r="C1997" s="2" t="s">
        <v>64</v>
      </c>
      <c r="D1997" s="2" t="s">
        <v>98</v>
      </c>
      <c r="E1997" s="2" t="s">
        <v>93</v>
      </c>
      <c r="F1997" s="2" t="s">
        <v>36</v>
      </c>
      <c r="G1997" s="2" t="s">
        <v>4285</v>
      </c>
      <c r="H1997">
        <v>539</v>
      </c>
      <c r="I1997" s="2">
        <v>1799</v>
      </c>
      <c r="J1997" s="2" t="s">
        <v>1566</v>
      </c>
      <c r="K1997" s="2" t="s">
        <v>234</v>
      </c>
      <c r="L1997" s="2">
        <v>4.2</v>
      </c>
      <c r="M1997" s="2">
        <v>700</v>
      </c>
      <c r="P1997" t="str">
        <f t="shared" si="127"/>
        <v>70%</v>
      </c>
      <c r="Q1997" s="12">
        <f t="shared" si="124"/>
        <v>0.7</v>
      </c>
      <c r="R1997" s="9">
        <f t="shared" si="125"/>
        <v>539.70000000000005</v>
      </c>
      <c r="S1997" s="9">
        <f>IF(R1997="",AVERAGEIF(Table1[Category],Table1[[#This Row],[Category]],Table2[orignal data]),Table2[[#This Row],[orignal data]])</f>
        <v>539.70000000000005</v>
      </c>
      <c r="T1997" t="str">
        <f t="shared" si="126"/>
        <v>UNIQUE</v>
      </c>
      <c r="U1997" t="str">
        <f>IF(ISBLANK(Table1[[#This Row],[SizeOption]]),"NOT AVAILABLE",Table1[[#This Row],[SizeOption]])</f>
        <v>S, M, L, XL, XXL, 3XL</v>
      </c>
      <c r="Y1997" t="str">
        <f>IF(Table2[[#This Row],[Column1]]&gt;50%,"HIGH DISCOUNT","LOW DISCOUNT")</f>
        <v>HIGH DISCOUNT</v>
      </c>
    </row>
    <row r="1998" spans="1:25" x14ac:dyDescent="0.25">
      <c r="A1998" s="1" t="s">
        <v>4286</v>
      </c>
      <c r="B1998" s="1">
        <v>3014457</v>
      </c>
      <c r="C1998" s="1" t="s">
        <v>64</v>
      </c>
      <c r="D1998" s="1" t="s">
        <v>98</v>
      </c>
      <c r="E1998" s="1" t="s">
        <v>77</v>
      </c>
      <c r="F1998" s="1" t="s">
        <v>36</v>
      </c>
      <c r="G1998" s="1" t="s">
        <v>4287</v>
      </c>
      <c r="H1998">
        <v>779</v>
      </c>
      <c r="I1998" s="1">
        <v>2599</v>
      </c>
      <c r="J1998" s="1" t="s">
        <v>1566</v>
      </c>
      <c r="K1998" s="1" t="s">
        <v>115</v>
      </c>
      <c r="L1998" s="1">
        <v>4.2</v>
      </c>
      <c r="M1998" s="1">
        <v>700</v>
      </c>
      <c r="P1998" t="str">
        <f t="shared" si="127"/>
        <v>70%</v>
      </c>
      <c r="Q1998" s="12">
        <f t="shared" si="124"/>
        <v>0.7</v>
      </c>
      <c r="R1998" s="9">
        <f t="shared" si="125"/>
        <v>779.7</v>
      </c>
      <c r="S1998" s="9">
        <f>IF(R1998="",AVERAGEIF(Table1[Category],Table1[[#This Row],[Category]],Table2[orignal data]),Table2[[#This Row],[orignal data]])</f>
        <v>779.7</v>
      </c>
      <c r="T1998" t="str">
        <f t="shared" si="126"/>
        <v>UNIQUE</v>
      </c>
      <c r="U1998" t="str">
        <f>IF(ISBLANK(Table1[[#This Row],[SizeOption]]),"NOT AVAILABLE",Table1[[#This Row],[SizeOption]])</f>
        <v>XS, S, M, L, XL, XXL</v>
      </c>
      <c r="Y1998" t="str">
        <f>IF(Table2[[#This Row],[Column1]]&gt;50%,"HIGH DISCOUNT","LOW DISCOUNT")</f>
        <v>HIGH DISCOUNT</v>
      </c>
    </row>
    <row r="1999" spans="1:25" x14ac:dyDescent="0.25">
      <c r="A1999" s="2" t="s">
        <v>4288</v>
      </c>
      <c r="B1999" s="2">
        <v>1484032</v>
      </c>
      <c r="C1999" s="2" t="s">
        <v>346</v>
      </c>
      <c r="D1999" s="2" t="s">
        <v>41</v>
      </c>
      <c r="E1999" s="2" t="s">
        <v>306</v>
      </c>
      <c r="F1999" s="2" t="s">
        <v>36</v>
      </c>
      <c r="G1999" s="2" t="s">
        <v>4289</v>
      </c>
      <c r="I1999" s="2">
        <v>1199</v>
      </c>
      <c r="J1999" s="2" t="s">
        <v>79</v>
      </c>
      <c r="K1999" s="2" t="s">
        <v>26</v>
      </c>
      <c r="L1999" s="2">
        <v>4.3</v>
      </c>
      <c r="M1999" s="2">
        <v>700</v>
      </c>
      <c r="P1999" t="str">
        <f t="shared" si="127"/>
        <v>70%</v>
      </c>
      <c r="Q1999" s="12">
        <f t="shared" si="124"/>
        <v>0.7</v>
      </c>
      <c r="R1999" s="9">
        <f t="shared" si="125"/>
        <v>359.70000000000005</v>
      </c>
      <c r="S1999" s="9">
        <f>IF(R1999="",AVERAGEIF(Table1[Category],Table1[[#This Row],[Category]],Table2[orignal data]),Table2[[#This Row],[orignal data]])</f>
        <v>359.70000000000005</v>
      </c>
      <c r="T1999" t="str">
        <f t="shared" si="126"/>
        <v>UNIQUE</v>
      </c>
      <c r="U1999" t="str">
        <f>IF(ISBLANK(Table1[[#This Row],[SizeOption]]),"NOT AVAILABLE",Table1[[#This Row],[SizeOption]])</f>
        <v>S, M, L, XL</v>
      </c>
      <c r="Y1999" t="str">
        <f>IF(Table2[[#This Row],[Column1]]&gt;50%,"HIGH DISCOUNT","LOW DISCOUNT")</f>
        <v>HIGH DISCOUNT</v>
      </c>
    </row>
    <row r="2000" spans="1:25" x14ac:dyDescent="0.25">
      <c r="A2000" s="1" t="s">
        <v>4290</v>
      </c>
      <c r="B2000" s="1">
        <v>11866148</v>
      </c>
      <c r="C2000" s="1" t="s">
        <v>181</v>
      </c>
      <c r="D2000" s="1" t="s">
        <v>41</v>
      </c>
      <c r="E2000" s="1" t="s">
        <v>53</v>
      </c>
      <c r="F2000" s="1" t="s">
        <v>36</v>
      </c>
      <c r="G2000" s="1" t="s">
        <v>4291</v>
      </c>
      <c r="I2000" s="1">
        <v>1499</v>
      </c>
      <c r="J2000" s="1" t="s">
        <v>1204</v>
      </c>
      <c r="K2000" s="1" t="s">
        <v>134</v>
      </c>
      <c r="L2000" s="1">
        <v>4.0999999999999996</v>
      </c>
      <c r="M2000" s="1">
        <v>700</v>
      </c>
      <c r="P2000" t="str">
        <f t="shared" si="127"/>
        <v>56%</v>
      </c>
      <c r="Q2000" s="12">
        <f t="shared" si="124"/>
        <v>0.56000000000000005</v>
      </c>
      <c r="R2000" s="9">
        <f t="shared" si="125"/>
        <v>659.56</v>
      </c>
      <c r="S2000" s="9">
        <f>IF(R2000="",AVERAGEIF(Table1[Category],Table1[[#This Row],[Category]],Table2[orignal data]),Table2[[#This Row],[orignal data]])</f>
        <v>659.56</v>
      </c>
      <c r="T2000" t="str">
        <f t="shared" si="126"/>
        <v>UNIQUE</v>
      </c>
      <c r="U2000" t="str">
        <f>IF(ISBLANK(Table1[[#This Row],[SizeOption]]),"NOT AVAILABLE",Table1[[#This Row],[SizeOption]])</f>
        <v>26, 28, 30, 32, 34, 36</v>
      </c>
      <c r="Y2000" t="str">
        <f>IF(Table2[[#This Row],[Column1]]&gt;50%,"HIGH DISCOUNT","LOW DISCOUNT")</f>
        <v>HIGH DISCOUNT</v>
      </c>
    </row>
    <row r="2001" spans="1:25" x14ac:dyDescent="0.25">
      <c r="A2001" s="2" t="s">
        <v>4292</v>
      </c>
      <c r="B2001" s="2">
        <v>11530274</v>
      </c>
      <c r="C2001" s="2" t="s">
        <v>2848</v>
      </c>
      <c r="D2001" s="2" t="s">
        <v>41</v>
      </c>
      <c r="E2001" s="2" t="s">
        <v>29</v>
      </c>
      <c r="F2001" s="2" t="s">
        <v>36</v>
      </c>
      <c r="G2001" s="2" t="s">
        <v>4293</v>
      </c>
      <c r="I2001" s="2">
        <v>1899</v>
      </c>
      <c r="J2001" s="2" t="s">
        <v>19</v>
      </c>
      <c r="K2001" s="2" t="s">
        <v>26</v>
      </c>
      <c r="L2001" s="2">
        <v>4.3</v>
      </c>
      <c r="M2001" s="2">
        <v>700</v>
      </c>
      <c r="P2001" t="str">
        <f t="shared" si="127"/>
        <v>45%</v>
      </c>
      <c r="Q2001" s="12">
        <f t="shared" si="124"/>
        <v>0.45</v>
      </c>
      <c r="R2001" s="9">
        <f t="shared" si="125"/>
        <v>1044.4499999999998</v>
      </c>
      <c r="S2001" s="9">
        <f>IF(R2001="",AVERAGEIF(Table1[Category],Table1[[#This Row],[Category]],Table2[orignal data]),Table2[[#This Row],[orignal data]])</f>
        <v>1044.4499999999998</v>
      </c>
      <c r="T2001" t="str">
        <f t="shared" si="126"/>
        <v>UNIQUE</v>
      </c>
      <c r="U2001" t="str">
        <f>IF(ISBLANK(Table1[[#This Row],[SizeOption]]),"NOT AVAILABLE",Table1[[#This Row],[SizeOption]])</f>
        <v>S, M, L, XL</v>
      </c>
      <c r="Y2001" t="str">
        <f>IF(Table2[[#This Row],[Column1]]&gt;50%,"HIGH DISCOUNT","LOW DISCOUNT")</f>
        <v>LOW DISCOUNT</v>
      </c>
    </row>
    <row r="2002" spans="1:25" x14ac:dyDescent="0.25">
      <c r="A2002" s="1" t="s">
        <v>4294</v>
      </c>
      <c r="B2002" s="1">
        <v>3003546</v>
      </c>
      <c r="C2002" s="1" t="s">
        <v>3439</v>
      </c>
      <c r="D2002" s="1" t="s">
        <v>76</v>
      </c>
      <c r="E2002" s="1" t="s">
        <v>93</v>
      </c>
      <c r="F2002" s="1" t="s">
        <v>17</v>
      </c>
      <c r="G2002" s="1" t="s">
        <v>4295</v>
      </c>
      <c r="H2002">
        <v>749</v>
      </c>
      <c r="I2002" s="1">
        <v>1499</v>
      </c>
      <c r="J2002" s="1" t="s">
        <v>84</v>
      </c>
      <c r="K2002" s="1" t="s">
        <v>26</v>
      </c>
      <c r="L2002" s="1">
        <v>4.2</v>
      </c>
      <c r="M2002" s="1">
        <v>699</v>
      </c>
      <c r="P2002" t="str">
        <f t="shared" si="127"/>
        <v>50%</v>
      </c>
      <c r="Q2002" s="12">
        <f t="shared" si="124"/>
        <v>0.5</v>
      </c>
      <c r="R2002" s="9">
        <f t="shared" si="125"/>
        <v>749.5</v>
      </c>
      <c r="S2002" s="9">
        <f>IF(R2002="",AVERAGEIF(Table1[Category],Table1[[#This Row],[Category]],Table2[orignal data]),Table2[[#This Row],[orignal data]])</f>
        <v>749.5</v>
      </c>
      <c r="T2002" t="str">
        <f t="shared" si="126"/>
        <v>UNIQUE</v>
      </c>
      <c r="U2002" t="str">
        <f>IF(ISBLANK(Table1[[#This Row],[SizeOption]]),"NOT AVAILABLE",Table1[[#This Row],[SizeOption]])</f>
        <v>S, M, L, XL</v>
      </c>
      <c r="Y2002" t="str">
        <f>IF(Table2[[#This Row],[Column1]]&gt;50%,"HIGH DISCOUNT","LOW DISCOUNT")</f>
        <v>LOW DISCOUNT</v>
      </c>
    </row>
    <row r="2003" spans="1:25" x14ac:dyDescent="0.25">
      <c r="A2003" s="2" t="s">
        <v>4296</v>
      </c>
      <c r="B2003" s="2">
        <v>11607356</v>
      </c>
      <c r="C2003" s="2" t="s">
        <v>47</v>
      </c>
      <c r="D2003" s="2" t="s">
        <v>28</v>
      </c>
      <c r="E2003" s="2" t="s">
        <v>42</v>
      </c>
      <c r="F2003" s="2" t="s">
        <v>17</v>
      </c>
      <c r="G2003" s="2" t="s">
        <v>4297</v>
      </c>
      <c r="H2003">
        <v>549</v>
      </c>
      <c r="I2003" s="2">
        <v>1099</v>
      </c>
      <c r="J2003" s="2" t="s">
        <v>84</v>
      </c>
      <c r="K2003" s="2" t="s">
        <v>26</v>
      </c>
      <c r="L2003" s="2">
        <v>4.2</v>
      </c>
      <c r="M2003" s="2">
        <v>699</v>
      </c>
      <c r="P2003" t="str">
        <f t="shared" si="127"/>
        <v>50%</v>
      </c>
      <c r="Q2003" s="12">
        <f t="shared" si="124"/>
        <v>0.5</v>
      </c>
      <c r="R2003" s="9">
        <f t="shared" si="125"/>
        <v>549.5</v>
      </c>
      <c r="S2003" s="9">
        <f>IF(R2003="",AVERAGEIF(Table1[Category],Table1[[#This Row],[Category]],Table2[orignal data]),Table2[[#This Row],[orignal data]])</f>
        <v>549.5</v>
      </c>
      <c r="T2003" t="str">
        <f t="shared" si="126"/>
        <v>UNIQUE</v>
      </c>
      <c r="U2003" t="str">
        <f>IF(ISBLANK(Table1[[#This Row],[SizeOption]]),"NOT AVAILABLE",Table1[[#This Row],[SizeOption]])</f>
        <v>S, M, L, XL</v>
      </c>
      <c r="Y2003" t="str">
        <f>IF(Table2[[#This Row],[Column1]]&gt;50%,"HIGH DISCOUNT","LOW DISCOUNT")</f>
        <v>LOW DISCOUNT</v>
      </c>
    </row>
    <row r="2004" spans="1:25" x14ac:dyDescent="0.25">
      <c r="A2004" s="1" t="s">
        <v>4298</v>
      </c>
      <c r="B2004" s="1">
        <v>10863410</v>
      </c>
      <c r="C2004" s="1" t="s">
        <v>52</v>
      </c>
      <c r="D2004" s="1" t="s">
        <v>28</v>
      </c>
      <c r="E2004" s="1" t="s">
        <v>29</v>
      </c>
      <c r="F2004" s="1" t="s">
        <v>17</v>
      </c>
      <c r="G2004" s="1" t="s">
        <v>4299</v>
      </c>
      <c r="H2004">
        <v>540</v>
      </c>
      <c r="I2004" s="1">
        <v>1149</v>
      </c>
      <c r="J2004" s="1" t="s">
        <v>89</v>
      </c>
      <c r="K2004" s="1" t="s">
        <v>90</v>
      </c>
      <c r="L2004" s="1">
        <v>3.9</v>
      </c>
      <c r="M2004" s="1">
        <v>699</v>
      </c>
      <c r="P2004" t="str">
        <f t="shared" si="127"/>
        <v>53%</v>
      </c>
      <c r="Q2004" s="12">
        <f t="shared" si="124"/>
        <v>0.53</v>
      </c>
      <c r="R2004" s="9">
        <f t="shared" si="125"/>
        <v>540.03</v>
      </c>
      <c r="S2004" s="9">
        <f>IF(R2004="",AVERAGEIF(Table1[Category],Table1[[#This Row],[Category]],Table2[orignal data]),Table2[[#This Row],[orignal data]])</f>
        <v>540.03</v>
      </c>
      <c r="T2004" t="str">
        <f t="shared" si="126"/>
        <v>UNIQUE</v>
      </c>
      <c r="U2004" t="str">
        <f>IF(ISBLANK(Table1[[#This Row],[SizeOption]]),"NOT AVAILABLE",Table1[[#This Row],[SizeOption]])</f>
        <v>39, 40, 42, 44</v>
      </c>
      <c r="Y2004" t="str">
        <f>IF(Table2[[#This Row],[Column1]]&gt;50%,"HIGH DISCOUNT","LOW DISCOUNT")</f>
        <v>HIGH DISCOUNT</v>
      </c>
    </row>
    <row r="2005" spans="1:25" x14ac:dyDescent="0.25">
      <c r="A2005" s="2" t="s">
        <v>4300</v>
      </c>
      <c r="B2005" s="2">
        <v>11462776</v>
      </c>
      <c r="C2005" s="2" t="s">
        <v>14</v>
      </c>
      <c r="D2005" s="2" t="s">
        <v>28</v>
      </c>
      <c r="E2005" s="2" t="s">
        <v>42</v>
      </c>
      <c r="F2005" s="2" t="s">
        <v>17</v>
      </c>
      <c r="G2005" s="2" t="s">
        <v>4301</v>
      </c>
      <c r="H2005">
        <v>649</v>
      </c>
      <c r="I2005" s="2">
        <v>1299</v>
      </c>
      <c r="J2005" s="2" t="s">
        <v>84</v>
      </c>
      <c r="K2005" s="2" t="s">
        <v>73</v>
      </c>
      <c r="L2005" s="2">
        <v>4</v>
      </c>
      <c r="M2005" s="2">
        <v>699</v>
      </c>
      <c r="P2005" t="str">
        <f t="shared" si="127"/>
        <v>50%</v>
      </c>
      <c r="Q2005" s="12">
        <f t="shared" si="124"/>
        <v>0.5</v>
      </c>
      <c r="R2005" s="9">
        <f t="shared" si="125"/>
        <v>649.5</v>
      </c>
      <c r="S2005" s="9">
        <f>IF(R2005="",AVERAGEIF(Table1[Category],Table1[[#This Row],[Category]],Table2[orignal data]),Table2[[#This Row],[orignal data]])</f>
        <v>649.5</v>
      </c>
      <c r="T2005" t="str">
        <f t="shared" si="126"/>
        <v>UNIQUE</v>
      </c>
      <c r="U2005" t="str">
        <f>IF(ISBLANK(Table1[[#This Row],[SizeOption]]),"NOT AVAILABLE",Table1[[#This Row],[SizeOption]])</f>
        <v>XS, S, M, L, XL, XXL, 3XL, 4XL</v>
      </c>
      <c r="Y2005" t="str">
        <f>IF(Table2[[#This Row],[Column1]]&gt;50%,"HIGH DISCOUNT","LOW DISCOUNT")</f>
        <v>LOW DISCOUNT</v>
      </c>
    </row>
    <row r="2006" spans="1:25" x14ac:dyDescent="0.25">
      <c r="A2006" s="1" t="s">
        <v>4302</v>
      </c>
      <c r="B2006" s="1">
        <v>11895964</v>
      </c>
      <c r="C2006" s="1" t="s">
        <v>14</v>
      </c>
      <c r="D2006" s="1" t="s">
        <v>28</v>
      </c>
      <c r="E2006" s="1" t="s">
        <v>29</v>
      </c>
      <c r="F2006" s="1" t="s">
        <v>17</v>
      </c>
      <c r="G2006" s="1" t="s">
        <v>4303</v>
      </c>
      <c r="H2006">
        <v>599</v>
      </c>
      <c r="I2006" s="1">
        <v>1499</v>
      </c>
      <c r="J2006" s="1" t="s">
        <v>55</v>
      </c>
      <c r="K2006" s="1" t="s">
        <v>253</v>
      </c>
      <c r="L2006" s="1">
        <v>4.4000000000000004</v>
      </c>
      <c r="M2006" s="1">
        <v>699</v>
      </c>
      <c r="P2006" t="str">
        <f t="shared" si="127"/>
        <v>60%</v>
      </c>
      <c r="Q2006" s="12">
        <f t="shared" si="124"/>
        <v>0.6</v>
      </c>
      <c r="R2006" s="9">
        <f t="shared" si="125"/>
        <v>599.6</v>
      </c>
      <c r="S2006" s="9">
        <f>IF(R2006="",AVERAGEIF(Table1[Category],Table1[[#This Row],[Category]],Table2[orignal data]),Table2[[#This Row],[orignal data]])</f>
        <v>599.6</v>
      </c>
      <c r="T2006" t="str">
        <f t="shared" si="126"/>
        <v>UNIQUE</v>
      </c>
      <c r="U2006" t="str">
        <f>IF(ISBLANK(Table1[[#This Row],[SizeOption]]),"NOT AVAILABLE",Table1[[#This Row],[SizeOption]])</f>
        <v>38, 40, 42, 44</v>
      </c>
      <c r="Y2006" t="str">
        <f>IF(Table2[[#This Row],[Column1]]&gt;50%,"HIGH DISCOUNT","LOW DISCOUNT")</f>
        <v>HIGH DISCOUNT</v>
      </c>
    </row>
    <row r="2007" spans="1:25" x14ac:dyDescent="0.25">
      <c r="A2007" s="2" t="s">
        <v>4304</v>
      </c>
      <c r="B2007" s="2">
        <v>11090026</v>
      </c>
      <c r="C2007" s="2" t="s">
        <v>1127</v>
      </c>
      <c r="D2007" s="2" t="s">
        <v>76</v>
      </c>
      <c r="E2007" s="2" t="s">
        <v>1708</v>
      </c>
      <c r="F2007" s="2" t="s">
        <v>36</v>
      </c>
      <c r="G2007" s="2" t="s">
        <v>4305</v>
      </c>
      <c r="H2007">
        <v>899</v>
      </c>
      <c r="I2007" s="2">
        <v>1799</v>
      </c>
      <c r="J2007" s="2" t="s">
        <v>84</v>
      </c>
      <c r="K2007" s="2" t="s">
        <v>26</v>
      </c>
      <c r="L2007" s="2">
        <v>4.2</v>
      </c>
      <c r="M2007" s="2">
        <v>699</v>
      </c>
      <c r="P2007" t="str">
        <f t="shared" si="127"/>
        <v>50%</v>
      </c>
      <c r="Q2007" s="12">
        <f t="shared" si="124"/>
        <v>0.5</v>
      </c>
      <c r="R2007" s="9">
        <f t="shared" si="125"/>
        <v>899.5</v>
      </c>
      <c r="S2007" s="9">
        <f>IF(R2007="",AVERAGEIF(Table1[Category],Table1[[#This Row],[Category]],Table2[orignal data]),Table2[[#This Row],[orignal data]])</f>
        <v>899.5</v>
      </c>
      <c r="T2007" t="str">
        <f t="shared" si="126"/>
        <v>UNIQUE</v>
      </c>
      <c r="U2007" t="str">
        <f>IF(ISBLANK(Table1[[#This Row],[SizeOption]]),"NOT AVAILABLE",Table1[[#This Row],[SizeOption]])</f>
        <v>S, M, L, XL</v>
      </c>
      <c r="Y2007" t="str">
        <f>IF(Table2[[#This Row],[Column1]]&gt;50%,"HIGH DISCOUNT","LOW DISCOUNT")</f>
        <v>LOW DISCOUNT</v>
      </c>
    </row>
    <row r="2008" spans="1:25" x14ac:dyDescent="0.25">
      <c r="A2008" s="1" t="s">
        <v>4306</v>
      </c>
      <c r="B2008" s="1">
        <v>11530502</v>
      </c>
      <c r="C2008" s="1" t="s">
        <v>1013</v>
      </c>
      <c r="D2008" s="1" t="s">
        <v>76</v>
      </c>
      <c r="E2008" s="1" t="s">
        <v>77</v>
      </c>
      <c r="F2008" s="1" t="s">
        <v>36</v>
      </c>
      <c r="G2008" s="1" t="s">
        <v>4307</v>
      </c>
      <c r="H2008">
        <v>1375</v>
      </c>
      <c r="I2008" s="1">
        <v>3199</v>
      </c>
      <c r="J2008" s="1" t="s">
        <v>130</v>
      </c>
      <c r="K2008" s="1" t="s">
        <v>115</v>
      </c>
      <c r="L2008" s="1">
        <v>4.3</v>
      </c>
      <c r="M2008" s="1">
        <v>699</v>
      </c>
      <c r="P2008" t="str">
        <f t="shared" si="127"/>
        <v>57%</v>
      </c>
      <c r="Q2008" s="12">
        <f t="shared" si="124"/>
        <v>0.56999999999999995</v>
      </c>
      <c r="R2008" s="9">
        <f t="shared" si="125"/>
        <v>1375.5700000000002</v>
      </c>
      <c r="S2008" s="9">
        <f>IF(R2008="",AVERAGEIF(Table1[Category],Table1[[#This Row],[Category]],Table2[orignal data]),Table2[[#This Row],[orignal data]])</f>
        <v>1375.5700000000002</v>
      </c>
      <c r="T2008" t="str">
        <f t="shared" si="126"/>
        <v>UNIQUE</v>
      </c>
      <c r="U2008" t="str">
        <f>IF(ISBLANK(Table1[[#This Row],[SizeOption]]),"NOT AVAILABLE",Table1[[#This Row],[SizeOption]])</f>
        <v>XS, S, M, L, XL, XXL</v>
      </c>
      <c r="Y2008" t="str">
        <f>IF(Table2[[#This Row],[Column1]]&gt;50%,"HIGH DISCOUNT","LOW DISCOUNT")</f>
        <v>HIGH DISCOUNT</v>
      </c>
    </row>
    <row r="2009" spans="1:25" x14ac:dyDescent="0.25">
      <c r="A2009" s="2" t="s">
        <v>4308</v>
      </c>
      <c r="B2009" s="2">
        <v>4670941</v>
      </c>
      <c r="C2009" s="2" t="s">
        <v>4309</v>
      </c>
      <c r="D2009" s="2" t="s">
        <v>34</v>
      </c>
      <c r="E2009" s="2" t="s">
        <v>118</v>
      </c>
      <c r="F2009" s="2" t="s">
        <v>36</v>
      </c>
      <c r="G2009" s="2" t="s">
        <v>4310</v>
      </c>
      <c r="H2009">
        <v>479</v>
      </c>
      <c r="I2009" s="2">
        <v>799</v>
      </c>
      <c r="J2009" s="2" t="s">
        <v>50</v>
      </c>
      <c r="K2009" s="2" t="s">
        <v>4311</v>
      </c>
      <c r="L2009" s="2">
        <v>4.3</v>
      </c>
      <c r="M2009" s="2">
        <v>699</v>
      </c>
      <c r="P2009" t="str">
        <f t="shared" si="127"/>
        <v>40%</v>
      </c>
      <c r="Q2009" s="12">
        <f t="shared" si="124"/>
        <v>0.4</v>
      </c>
      <c r="R2009" s="9">
        <f t="shared" si="125"/>
        <v>479.4</v>
      </c>
      <c r="S2009" s="9">
        <f>IF(R2009="",AVERAGEIF(Table1[Category],Table1[[#This Row],[Category]],Table2[orignal data]),Table2[[#This Row],[orignal data]])</f>
        <v>479.4</v>
      </c>
      <c r="T2009" t="str">
        <f t="shared" si="126"/>
        <v>UNIQUE</v>
      </c>
      <c r="U2009" t="str">
        <f>IF(ISBLANK(Table1[[#This Row],[SizeOption]]),"NOT AVAILABLE",Table1[[#This Row],[SizeOption]])</f>
        <v>30A, 30B, 32A, 32B, 34A, 34B, 36A, 36B</v>
      </c>
      <c r="Y2009" t="str">
        <f>IF(Table2[[#This Row],[Column1]]&gt;50%,"HIGH DISCOUNT","LOW DISCOUNT")</f>
        <v>LOW DISCOUNT</v>
      </c>
    </row>
    <row r="2010" spans="1:25" x14ac:dyDescent="0.25">
      <c r="A2010" s="1" t="s">
        <v>4312</v>
      </c>
      <c r="B2010" s="1">
        <v>11640670</v>
      </c>
      <c r="C2010" s="1" t="s">
        <v>67</v>
      </c>
      <c r="D2010" s="1" t="s">
        <v>15</v>
      </c>
      <c r="E2010" s="1" t="s">
        <v>23</v>
      </c>
      <c r="F2010" s="1" t="s">
        <v>17</v>
      </c>
      <c r="G2010" s="1" t="s">
        <v>4313</v>
      </c>
      <c r="H2010">
        <v>674</v>
      </c>
      <c r="I2010" s="1">
        <v>1499</v>
      </c>
      <c r="J2010" s="1" t="s">
        <v>25</v>
      </c>
      <c r="K2010" s="1" t="s">
        <v>39</v>
      </c>
      <c r="L2010" s="1">
        <v>4.3</v>
      </c>
      <c r="M2010" s="1">
        <v>698</v>
      </c>
      <c r="P2010" t="str">
        <f t="shared" si="127"/>
        <v>55%</v>
      </c>
      <c r="Q2010" s="12">
        <f t="shared" si="124"/>
        <v>0.55000000000000004</v>
      </c>
      <c r="R2010" s="9">
        <f t="shared" si="125"/>
        <v>674.55</v>
      </c>
      <c r="S2010" s="9">
        <f>IF(R2010="",AVERAGEIF(Table1[Category],Table1[[#This Row],[Category]],Table2[orignal data]),Table2[[#This Row],[orignal data]])</f>
        <v>674.55</v>
      </c>
      <c r="T2010" t="str">
        <f t="shared" si="126"/>
        <v>UNIQUE</v>
      </c>
      <c r="U2010" t="str">
        <f>IF(ISBLANK(Table1[[#This Row],[SizeOption]]),"NOT AVAILABLE",Table1[[#This Row],[SizeOption]])</f>
        <v>S, M, L, XL, XXL</v>
      </c>
      <c r="Y2010" t="str">
        <f>IF(Table2[[#This Row],[Column1]]&gt;50%,"HIGH DISCOUNT","LOW DISCOUNT")</f>
        <v>HIGH DISCOUNT</v>
      </c>
    </row>
    <row r="2011" spans="1:25" x14ac:dyDescent="0.25">
      <c r="A2011" s="2" t="s">
        <v>4314</v>
      </c>
      <c r="B2011" s="2">
        <v>14405324</v>
      </c>
      <c r="C2011" s="2" t="s">
        <v>1688</v>
      </c>
      <c r="D2011" s="2" t="s">
        <v>197</v>
      </c>
      <c r="E2011" s="2" t="s">
        <v>198</v>
      </c>
      <c r="F2011" s="2" t="s">
        <v>17</v>
      </c>
      <c r="G2011" s="2" t="s">
        <v>4315</v>
      </c>
      <c r="I2011" s="2">
        <v>249</v>
      </c>
      <c r="J2011" s="2"/>
      <c r="K2011" s="2" t="s">
        <v>4316</v>
      </c>
      <c r="L2011" s="2">
        <v>4.3</v>
      </c>
      <c r="M2011" s="2">
        <v>698</v>
      </c>
      <c r="P2011" t="str">
        <f t="shared" si="127"/>
        <v/>
      </c>
      <c r="Q2011" s="12" t="str">
        <f t="shared" si="124"/>
        <v/>
      </c>
      <c r="R2011" s="9" t="str">
        <f t="shared" si="125"/>
        <v/>
      </c>
      <c r="S2011" s="9">
        <f>IF(R2011="",AVERAGEIF(Table1[Category],Table1[[#This Row],[Category]],Table2[orignal data]),Table2[[#This Row],[orignal data]])</f>
        <v>552.70900000000006</v>
      </c>
      <c r="T2011" t="str">
        <f t="shared" si="126"/>
        <v>UNIQUE</v>
      </c>
      <c r="U2011" t="str">
        <f>IF(ISBLANK(Table1[[#This Row],[SizeOption]]),"NOT AVAILABLE",Table1[[#This Row],[SizeOption]])</f>
        <v>UK2.5, UK5.5, UK8.5</v>
      </c>
      <c r="Y2011" t="str">
        <f>IF(Table2[[#This Row],[Column1]]&gt;50%,"HIGH DISCOUNT","LOW DISCOUNT")</f>
        <v>HIGH DISCOUNT</v>
      </c>
    </row>
    <row r="2012" spans="1:25" x14ac:dyDescent="0.25">
      <c r="A2012" s="1" t="s">
        <v>4317</v>
      </c>
      <c r="B2012" s="1">
        <v>11896052</v>
      </c>
      <c r="C2012" s="1" t="s">
        <v>14</v>
      </c>
      <c r="D2012" s="1" t="s">
        <v>28</v>
      </c>
      <c r="E2012" s="1" t="s">
        <v>29</v>
      </c>
      <c r="F2012" s="1" t="s">
        <v>17</v>
      </c>
      <c r="G2012" s="1" t="s">
        <v>4318</v>
      </c>
      <c r="H2012">
        <v>584</v>
      </c>
      <c r="I2012" s="1">
        <v>1299</v>
      </c>
      <c r="J2012" s="1" t="s">
        <v>25</v>
      </c>
      <c r="K2012" s="1" t="s">
        <v>253</v>
      </c>
      <c r="L2012" s="1">
        <v>4.2</v>
      </c>
      <c r="M2012" s="1">
        <v>698</v>
      </c>
      <c r="P2012" t="str">
        <f t="shared" si="127"/>
        <v>55%</v>
      </c>
      <c r="Q2012" s="12">
        <f t="shared" si="124"/>
        <v>0.55000000000000004</v>
      </c>
      <c r="R2012" s="9">
        <f t="shared" si="125"/>
        <v>584.54999999999995</v>
      </c>
      <c r="S2012" s="9">
        <f>IF(R2012="",AVERAGEIF(Table1[Category],Table1[[#This Row],[Category]],Table2[orignal data]),Table2[[#This Row],[orignal data]])</f>
        <v>584.54999999999995</v>
      </c>
      <c r="T2012" t="str">
        <f t="shared" si="126"/>
        <v>UNIQUE</v>
      </c>
      <c r="U2012" t="str">
        <f>IF(ISBLANK(Table1[[#This Row],[SizeOption]]),"NOT AVAILABLE",Table1[[#This Row],[SizeOption]])</f>
        <v>38, 40, 42, 44</v>
      </c>
      <c r="Y2012" t="str">
        <f>IF(Table2[[#This Row],[Column1]]&gt;50%,"HIGH DISCOUNT","LOW DISCOUNT")</f>
        <v>HIGH DISCOUNT</v>
      </c>
    </row>
    <row r="2013" spans="1:25" x14ac:dyDescent="0.25">
      <c r="A2013" s="2" t="s">
        <v>4319</v>
      </c>
      <c r="B2013" s="2">
        <v>4149433</v>
      </c>
      <c r="C2013" s="2" t="s">
        <v>47</v>
      </c>
      <c r="D2013" s="2" t="s">
        <v>28</v>
      </c>
      <c r="E2013" s="2" t="s">
        <v>42</v>
      </c>
      <c r="F2013" s="2" t="s">
        <v>17</v>
      </c>
      <c r="G2013" s="2" t="s">
        <v>4320</v>
      </c>
      <c r="H2013">
        <v>519</v>
      </c>
      <c r="I2013" s="2">
        <v>1299</v>
      </c>
      <c r="J2013" s="2" t="s">
        <v>55</v>
      </c>
      <c r="K2013" s="2" t="s">
        <v>26</v>
      </c>
      <c r="L2013" s="2">
        <v>4.3</v>
      </c>
      <c r="M2013" s="2">
        <v>698</v>
      </c>
      <c r="P2013" t="str">
        <f t="shared" si="127"/>
        <v>60%</v>
      </c>
      <c r="Q2013" s="12">
        <f t="shared" si="124"/>
        <v>0.6</v>
      </c>
      <c r="R2013" s="9">
        <f t="shared" si="125"/>
        <v>519.6</v>
      </c>
      <c r="S2013" s="9">
        <f>IF(R2013="",AVERAGEIF(Table1[Category],Table1[[#This Row],[Category]],Table2[orignal data]),Table2[[#This Row],[orignal data]])</f>
        <v>519.6</v>
      </c>
      <c r="T2013" t="str">
        <f t="shared" si="126"/>
        <v>UNIQUE</v>
      </c>
      <c r="U2013" t="str">
        <f>IF(ISBLANK(Table1[[#This Row],[SizeOption]]),"NOT AVAILABLE",Table1[[#This Row],[SizeOption]])</f>
        <v>S, M, L, XL</v>
      </c>
      <c r="Y2013" t="str">
        <f>IF(Table2[[#This Row],[Column1]]&gt;50%,"HIGH DISCOUNT","LOW DISCOUNT")</f>
        <v>HIGH DISCOUNT</v>
      </c>
    </row>
    <row r="2014" spans="1:25" x14ac:dyDescent="0.25">
      <c r="A2014" s="1" t="s">
        <v>4321</v>
      </c>
      <c r="B2014" s="1">
        <v>12052842</v>
      </c>
      <c r="C2014" s="1" t="s">
        <v>4322</v>
      </c>
      <c r="D2014" s="1" t="s">
        <v>41</v>
      </c>
      <c r="E2014" s="1" t="s">
        <v>48</v>
      </c>
      <c r="F2014" s="1" t="s">
        <v>36</v>
      </c>
      <c r="G2014" s="1" t="s">
        <v>4323</v>
      </c>
      <c r="I2014" s="1">
        <v>1595</v>
      </c>
      <c r="J2014" s="1" t="s">
        <v>19</v>
      </c>
      <c r="K2014" s="1" t="s">
        <v>45</v>
      </c>
      <c r="L2014" s="1">
        <v>4.5999999999999996</v>
      </c>
      <c r="M2014" s="1">
        <v>698</v>
      </c>
      <c r="P2014" t="str">
        <f t="shared" si="127"/>
        <v>45%</v>
      </c>
      <c r="Q2014" s="12">
        <f t="shared" si="124"/>
        <v>0.45</v>
      </c>
      <c r="R2014" s="9">
        <f t="shared" si="125"/>
        <v>877.25</v>
      </c>
      <c r="S2014" s="9">
        <f>IF(R2014="",AVERAGEIF(Table1[Category],Table1[[#This Row],[Category]],Table2[orignal data]),Table2[[#This Row],[orignal data]])</f>
        <v>877.25</v>
      </c>
      <c r="T2014" t="str">
        <f t="shared" si="126"/>
        <v>UNIQUE</v>
      </c>
      <c r="U2014" t="str">
        <f>IF(ISBLANK(Table1[[#This Row],[SizeOption]]),"NOT AVAILABLE",Table1[[#This Row],[SizeOption]])</f>
        <v>XS, S, M, L, XL</v>
      </c>
      <c r="Y2014" t="str">
        <f>IF(Table2[[#This Row],[Column1]]&gt;50%,"HIGH DISCOUNT","LOW DISCOUNT")</f>
        <v>LOW DISCOUNT</v>
      </c>
    </row>
    <row r="2015" spans="1:25" x14ac:dyDescent="0.25">
      <c r="A2015" s="2" t="s">
        <v>4324</v>
      </c>
      <c r="B2015" s="2">
        <v>11293728</v>
      </c>
      <c r="C2015" s="2" t="s">
        <v>107</v>
      </c>
      <c r="D2015" s="2" t="s">
        <v>41</v>
      </c>
      <c r="E2015" s="2" t="s">
        <v>16</v>
      </c>
      <c r="F2015" s="2" t="s">
        <v>36</v>
      </c>
      <c r="G2015" s="2" t="s">
        <v>3132</v>
      </c>
      <c r="I2015" s="2">
        <v>1599</v>
      </c>
      <c r="J2015" s="2" t="s">
        <v>4325</v>
      </c>
      <c r="K2015" s="2" t="s">
        <v>134</v>
      </c>
      <c r="L2015" s="2">
        <v>4.2</v>
      </c>
      <c r="M2015" s="2">
        <v>698</v>
      </c>
      <c r="P2015" t="str">
        <f t="shared" si="127"/>
        <v>1100</v>
      </c>
      <c r="Q2015" s="12">
        <f t="shared" si="124"/>
        <v>0.68792995622263919</v>
      </c>
      <c r="R2015" s="9">
        <f t="shared" si="125"/>
        <v>499</v>
      </c>
      <c r="S2015" s="9">
        <f>IF(R2015="",AVERAGEIF(Table1[Category],Table1[[#This Row],[Category]],Table2[orignal data]),Table2[[#This Row],[orignal data]])</f>
        <v>499</v>
      </c>
      <c r="T2015" t="str">
        <f t="shared" si="126"/>
        <v>UNIQUE</v>
      </c>
      <c r="U2015" t="str">
        <f>IF(ISBLANK(Table1[[#This Row],[SizeOption]]),"NOT AVAILABLE",Table1[[#This Row],[SizeOption]])</f>
        <v>26, 28, 30, 32, 34, 36</v>
      </c>
      <c r="Y2015" t="str">
        <f>IF(Table2[[#This Row],[Column1]]&gt;50%,"HIGH DISCOUNT","LOW DISCOUNT")</f>
        <v>HIGH DISCOUNT</v>
      </c>
    </row>
    <row r="2016" spans="1:25" x14ac:dyDescent="0.25">
      <c r="A2016" s="1" t="s">
        <v>4326</v>
      </c>
      <c r="B2016" s="1">
        <v>2372791</v>
      </c>
      <c r="C2016" s="1" t="s">
        <v>841</v>
      </c>
      <c r="D2016" s="1" t="s">
        <v>41</v>
      </c>
      <c r="E2016" s="1" t="s">
        <v>42</v>
      </c>
      <c r="F2016" s="1" t="s">
        <v>36</v>
      </c>
      <c r="G2016" s="1" t="s">
        <v>4327</v>
      </c>
      <c r="I2016" s="1">
        <v>998</v>
      </c>
      <c r="J2016" s="1" t="s">
        <v>4328</v>
      </c>
      <c r="K2016" s="1" t="s">
        <v>26</v>
      </c>
      <c r="L2016" s="1">
        <v>4</v>
      </c>
      <c r="M2016" s="1">
        <v>698</v>
      </c>
      <c r="P2016" t="str">
        <f t="shared" si="127"/>
        <v>499</v>
      </c>
      <c r="Q2016" s="12">
        <f t="shared" si="124"/>
        <v>0.5</v>
      </c>
      <c r="R2016" s="9">
        <f t="shared" si="125"/>
        <v>499</v>
      </c>
      <c r="S2016" s="9">
        <f>IF(R2016="",AVERAGEIF(Table1[Category],Table1[[#This Row],[Category]],Table2[orignal data]),Table2[[#This Row],[orignal data]])</f>
        <v>499</v>
      </c>
      <c r="T2016" t="str">
        <f t="shared" si="126"/>
        <v>UNIQUE</v>
      </c>
      <c r="U2016" t="str">
        <f>IF(ISBLANK(Table1[[#This Row],[SizeOption]]),"NOT AVAILABLE",Table1[[#This Row],[SizeOption]])</f>
        <v>S, M, L, XL</v>
      </c>
      <c r="Y2016" t="str">
        <f>IF(Table2[[#This Row],[Column1]]&gt;50%,"HIGH DISCOUNT","LOW DISCOUNT")</f>
        <v>LOW DISCOUNT</v>
      </c>
    </row>
    <row r="2017" spans="1:25" x14ac:dyDescent="0.25">
      <c r="A2017" s="2" t="s">
        <v>4329</v>
      </c>
      <c r="B2017" s="2">
        <v>11014192</v>
      </c>
      <c r="C2017" s="2" t="s">
        <v>271</v>
      </c>
      <c r="D2017" s="2" t="s">
        <v>76</v>
      </c>
      <c r="E2017" s="2" t="s">
        <v>93</v>
      </c>
      <c r="F2017" s="2" t="s">
        <v>17</v>
      </c>
      <c r="G2017" s="2" t="s">
        <v>4330</v>
      </c>
      <c r="H2017">
        <v>919</v>
      </c>
      <c r="I2017" s="2">
        <v>2299</v>
      </c>
      <c r="J2017" s="2" t="s">
        <v>55</v>
      </c>
      <c r="K2017" s="2" t="s">
        <v>39</v>
      </c>
      <c r="L2017" s="2">
        <v>4.4000000000000004</v>
      </c>
      <c r="M2017" s="2">
        <v>697</v>
      </c>
      <c r="P2017" t="str">
        <f t="shared" si="127"/>
        <v>60%</v>
      </c>
      <c r="Q2017" s="12">
        <f t="shared" si="124"/>
        <v>0.6</v>
      </c>
      <c r="R2017" s="9">
        <f t="shared" si="125"/>
        <v>919.60000000000014</v>
      </c>
      <c r="S2017" s="9">
        <f>IF(R2017="",AVERAGEIF(Table1[Category],Table1[[#This Row],[Category]],Table2[orignal data]),Table2[[#This Row],[orignal data]])</f>
        <v>919.60000000000014</v>
      </c>
      <c r="T2017" t="str">
        <f t="shared" si="126"/>
        <v>UNIQUE</v>
      </c>
      <c r="U2017" t="str">
        <f>IF(ISBLANK(Table1[[#This Row],[SizeOption]]),"NOT AVAILABLE",Table1[[#This Row],[SizeOption]])</f>
        <v>S, M, L, XL, XXL</v>
      </c>
      <c r="Y2017" t="str">
        <f>IF(Table2[[#This Row],[Column1]]&gt;50%,"HIGH DISCOUNT","LOW DISCOUNT")</f>
        <v>HIGH DISCOUNT</v>
      </c>
    </row>
    <row r="2018" spans="1:25" x14ac:dyDescent="0.25">
      <c r="A2018" s="1" t="s">
        <v>4331</v>
      </c>
      <c r="B2018" s="1">
        <v>1277684</v>
      </c>
      <c r="C2018" s="1" t="s">
        <v>14</v>
      </c>
      <c r="D2018" s="1" t="s">
        <v>28</v>
      </c>
      <c r="E2018" s="1" t="s">
        <v>42</v>
      </c>
      <c r="F2018" s="1" t="s">
        <v>17</v>
      </c>
      <c r="G2018" s="1" t="s">
        <v>4332</v>
      </c>
      <c r="H2018">
        <v>399</v>
      </c>
      <c r="I2018" s="1">
        <v>799</v>
      </c>
      <c r="J2018" s="1" t="s">
        <v>84</v>
      </c>
      <c r="K2018" s="1" t="s">
        <v>45</v>
      </c>
      <c r="L2018" s="1">
        <v>4.0999999999999996</v>
      </c>
      <c r="M2018" s="1">
        <v>697</v>
      </c>
      <c r="P2018" t="str">
        <f t="shared" si="127"/>
        <v>50%</v>
      </c>
      <c r="Q2018" s="12">
        <f t="shared" si="124"/>
        <v>0.5</v>
      </c>
      <c r="R2018" s="9">
        <f t="shared" si="125"/>
        <v>399.5</v>
      </c>
      <c r="S2018" s="9">
        <f>IF(R2018="",AVERAGEIF(Table1[Category],Table1[[#This Row],[Category]],Table2[orignal data]),Table2[[#This Row],[orignal data]])</f>
        <v>399.5</v>
      </c>
      <c r="T2018" t="str">
        <f t="shared" si="126"/>
        <v>UNIQUE</v>
      </c>
      <c r="U2018" t="str">
        <f>IF(ISBLANK(Table1[[#This Row],[SizeOption]]),"NOT AVAILABLE",Table1[[#This Row],[SizeOption]])</f>
        <v>XS, S, M, L, XL</v>
      </c>
      <c r="Y2018" t="str">
        <f>IF(Table2[[#This Row],[Column1]]&gt;50%,"HIGH DISCOUNT","LOW DISCOUNT")</f>
        <v>LOW DISCOUNT</v>
      </c>
    </row>
    <row r="2019" spans="1:25" x14ac:dyDescent="0.25">
      <c r="A2019" s="2" t="s">
        <v>4333</v>
      </c>
      <c r="B2019" s="2">
        <v>9371239</v>
      </c>
      <c r="C2019" s="2" t="s">
        <v>97</v>
      </c>
      <c r="D2019" s="2" t="s">
        <v>76</v>
      </c>
      <c r="E2019" s="2" t="s">
        <v>93</v>
      </c>
      <c r="F2019" s="2" t="s">
        <v>36</v>
      </c>
      <c r="G2019" s="2" t="s">
        <v>4334</v>
      </c>
      <c r="H2019">
        <v>509</v>
      </c>
      <c r="I2019" s="2">
        <v>1699</v>
      </c>
      <c r="J2019" s="2" t="s">
        <v>79</v>
      </c>
      <c r="K2019" s="2" t="s">
        <v>100</v>
      </c>
      <c r="L2019" s="2">
        <v>4.2</v>
      </c>
      <c r="M2019" s="2">
        <v>697</v>
      </c>
      <c r="P2019" t="str">
        <f t="shared" si="127"/>
        <v>70%</v>
      </c>
      <c r="Q2019" s="12">
        <f t="shared" si="124"/>
        <v>0.7</v>
      </c>
      <c r="R2019" s="9">
        <f t="shared" si="125"/>
        <v>509.70000000000005</v>
      </c>
      <c r="S2019" s="9">
        <f>IF(R2019="",AVERAGEIF(Table1[Category],Table1[[#This Row],[Category]],Table2[orignal data]),Table2[[#This Row],[orignal data]])</f>
        <v>509.70000000000005</v>
      </c>
      <c r="T2019" t="str">
        <f t="shared" si="126"/>
        <v>UNIQUE</v>
      </c>
      <c r="U2019" t="str">
        <f>IF(ISBLANK(Table1[[#This Row],[SizeOption]]),"NOT AVAILABLE",Table1[[#This Row],[SizeOption]])</f>
        <v>XS, S, M, L, XL, XXL, 3XL</v>
      </c>
      <c r="Y2019" t="str">
        <f>IF(Table2[[#This Row],[Column1]]&gt;50%,"HIGH DISCOUNT","LOW DISCOUNT")</f>
        <v>HIGH DISCOUNT</v>
      </c>
    </row>
    <row r="2020" spans="1:25" x14ac:dyDescent="0.25">
      <c r="A2020" s="1" t="s">
        <v>4335</v>
      </c>
      <c r="B2020" s="1">
        <v>13489956</v>
      </c>
      <c r="C2020" s="1" t="s">
        <v>837</v>
      </c>
      <c r="D2020" s="1" t="s">
        <v>76</v>
      </c>
      <c r="E2020" s="1" t="s">
        <v>77</v>
      </c>
      <c r="F2020" s="1" t="s">
        <v>36</v>
      </c>
      <c r="G2020" s="1" t="s">
        <v>4336</v>
      </c>
      <c r="H2020">
        <v>873</v>
      </c>
      <c r="I2020" s="1">
        <v>3799</v>
      </c>
      <c r="J2020" s="1" t="s">
        <v>4337</v>
      </c>
      <c r="K2020" s="1" t="s">
        <v>115</v>
      </c>
      <c r="L2020" s="1">
        <v>3.8</v>
      </c>
      <c r="M2020" s="1">
        <v>697</v>
      </c>
      <c r="P2020" t="str">
        <f t="shared" si="127"/>
        <v>77%</v>
      </c>
      <c r="Q2020" s="12">
        <f t="shared" si="124"/>
        <v>0.77</v>
      </c>
      <c r="R2020" s="9">
        <f t="shared" si="125"/>
        <v>873.77</v>
      </c>
      <c r="S2020" s="9">
        <f>IF(R2020="",AVERAGEIF(Table1[Category],Table1[[#This Row],[Category]],Table2[orignal data]),Table2[[#This Row],[orignal data]])</f>
        <v>873.77</v>
      </c>
      <c r="T2020" t="str">
        <f t="shared" si="126"/>
        <v>UNIQUE</v>
      </c>
      <c r="U2020" t="str">
        <f>IF(ISBLANK(Table1[[#This Row],[SizeOption]]),"NOT AVAILABLE",Table1[[#This Row],[SizeOption]])</f>
        <v>XS, S, M, L, XL, XXL</v>
      </c>
      <c r="Y2020" t="str">
        <f>IF(Table2[[#This Row],[Column1]]&gt;50%,"HIGH DISCOUNT","LOW DISCOUNT")</f>
        <v>HIGH DISCOUNT</v>
      </c>
    </row>
    <row r="2021" spans="1:25" x14ac:dyDescent="0.25">
      <c r="A2021" s="2" t="s">
        <v>4338</v>
      </c>
      <c r="B2021" s="2">
        <v>14241982</v>
      </c>
      <c r="C2021" s="2" t="s">
        <v>837</v>
      </c>
      <c r="D2021" s="2" t="s">
        <v>76</v>
      </c>
      <c r="E2021" s="2" t="s">
        <v>320</v>
      </c>
      <c r="F2021" s="2" t="s">
        <v>36</v>
      </c>
      <c r="G2021" s="2" t="s">
        <v>4339</v>
      </c>
      <c r="H2021">
        <v>778</v>
      </c>
      <c r="I2021" s="2">
        <v>3893</v>
      </c>
      <c r="J2021" s="2" t="s">
        <v>589</v>
      </c>
      <c r="K2021" s="2" t="s">
        <v>4161</v>
      </c>
      <c r="L2021" s="2">
        <v>4</v>
      </c>
      <c r="M2021" s="2">
        <v>697</v>
      </c>
      <c r="P2021" t="str">
        <f t="shared" si="127"/>
        <v>80%</v>
      </c>
      <c r="Q2021" s="12">
        <f t="shared" si="124"/>
        <v>0.8</v>
      </c>
      <c r="R2021" s="9">
        <f t="shared" si="125"/>
        <v>778.59999999999991</v>
      </c>
      <c r="S2021" s="9">
        <f>IF(R2021="",AVERAGEIF(Table1[Category],Table1[[#This Row],[Category]],Table2[orignal data]),Table2[[#This Row],[orignal data]])</f>
        <v>778.59999999999991</v>
      </c>
      <c r="T2021" t="str">
        <f t="shared" si="126"/>
        <v>UNIQUE</v>
      </c>
      <c r="U2021" t="str">
        <f>IF(ISBLANK(Table1[[#This Row],[SizeOption]]),"NOT AVAILABLE",Table1[[#This Row],[SizeOption]])</f>
        <v>Pack</v>
      </c>
      <c r="Y2021" t="str">
        <f>IF(Table2[[#This Row],[Column1]]&gt;50%,"HIGH DISCOUNT","LOW DISCOUNT")</f>
        <v>HIGH DISCOUNT</v>
      </c>
    </row>
    <row r="2022" spans="1:25" x14ac:dyDescent="0.25">
      <c r="A2022" s="1" t="s">
        <v>4340</v>
      </c>
      <c r="B2022" s="1">
        <v>7753723</v>
      </c>
      <c r="C2022" s="1" t="s">
        <v>221</v>
      </c>
      <c r="D2022" s="1" t="s">
        <v>98</v>
      </c>
      <c r="E2022" s="1" t="s">
        <v>48</v>
      </c>
      <c r="F2022" s="1" t="s">
        <v>36</v>
      </c>
      <c r="G2022" s="1" t="s">
        <v>4341</v>
      </c>
      <c r="H2022">
        <v>509</v>
      </c>
      <c r="I2022" s="1">
        <v>1699</v>
      </c>
      <c r="J2022" s="1" t="s">
        <v>79</v>
      </c>
      <c r="K2022" s="1" t="s">
        <v>223</v>
      </c>
      <c r="L2022" s="1">
        <v>4.0999999999999996</v>
      </c>
      <c r="M2022" s="1">
        <v>697</v>
      </c>
      <c r="P2022" t="str">
        <f t="shared" si="127"/>
        <v>70%</v>
      </c>
      <c r="Q2022" s="12">
        <f t="shared" si="124"/>
        <v>0.7</v>
      </c>
      <c r="R2022" s="9">
        <f t="shared" si="125"/>
        <v>509.70000000000005</v>
      </c>
      <c r="S2022" s="9">
        <f>IF(R2022="",AVERAGEIF(Table1[Category],Table1[[#This Row],[Category]],Table2[orignal data]),Table2[[#This Row],[orignal data]])</f>
        <v>509.70000000000005</v>
      </c>
      <c r="T2022" t="str">
        <f t="shared" si="126"/>
        <v>UNIQUE</v>
      </c>
      <c r="U2022" t="str">
        <f>IF(ISBLANK(Table1[[#This Row],[SizeOption]]),"NOT AVAILABLE",Table1[[#This Row],[SizeOption]])</f>
        <v>S, M, L, XL, XXL, 3XL, 4XL</v>
      </c>
      <c r="Y2022" t="str">
        <f>IF(Table2[[#This Row],[Column1]]&gt;50%,"HIGH DISCOUNT","LOW DISCOUNT")</f>
        <v>HIGH DISCOUNT</v>
      </c>
    </row>
    <row r="2023" spans="1:25" x14ac:dyDescent="0.25">
      <c r="A2023" s="2" t="s">
        <v>4342</v>
      </c>
      <c r="B2023" s="2">
        <v>6017139</v>
      </c>
      <c r="C2023" s="2" t="s">
        <v>841</v>
      </c>
      <c r="D2023" s="2" t="s">
        <v>68</v>
      </c>
      <c r="E2023" s="2" t="s">
        <v>23</v>
      </c>
      <c r="F2023" s="2" t="s">
        <v>36</v>
      </c>
      <c r="G2023" s="2" t="s">
        <v>4343</v>
      </c>
      <c r="H2023">
        <v>509</v>
      </c>
      <c r="I2023" s="2">
        <v>1699</v>
      </c>
      <c r="J2023" s="2" t="s">
        <v>79</v>
      </c>
      <c r="K2023" s="2" t="s">
        <v>26</v>
      </c>
      <c r="L2023" s="2">
        <v>3.8</v>
      </c>
      <c r="M2023" s="2">
        <v>697</v>
      </c>
      <c r="P2023" t="str">
        <f t="shared" si="127"/>
        <v>70%</v>
      </c>
      <c r="Q2023" s="12">
        <f t="shared" si="124"/>
        <v>0.7</v>
      </c>
      <c r="R2023" s="9">
        <f t="shared" si="125"/>
        <v>509.70000000000005</v>
      </c>
      <c r="S2023" s="9">
        <f>IF(R2023="",AVERAGEIF(Table1[Category],Table1[[#This Row],[Category]],Table2[orignal data]),Table2[[#This Row],[orignal data]])</f>
        <v>509.70000000000005</v>
      </c>
      <c r="T2023" t="str">
        <f t="shared" si="126"/>
        <v>UNIQUE</v>
      </c>
      <c r="U2023" t="str">
        <f>IF(ISBLANK(Table1[[#This Row],[SizeOption]]),"NOT AVAILABLE",Table1[[#This Row],[SizeOption]])</f>
        <v>S, M, L, XL</v>
      </c>
      <c r="Y2023" t="str">
        <f>IF(Table2[[#This Row],[Column1]]&gt;50%,"HIGH DISCOUNT","LOW DISCOUNT")</f>
        <v>HIGH DISCOUNT</v>
      </c>
    </row>
    <row r="2024" spans="1:25" x14ac:dyDescent="0.25">
      <c r="A2024" s="1" t="s">
        <v>4344</v>
      </c>
      <c r="B2024" s="1">
        <v>11396706</v>
      </c>
      <c r="C2024" s="1" t="s">
        <v>14</v>
      </c>
      <c r="D2024" s="1" t="s">
        <v>41</v>
      </c>
      <c r="E2024" s="1" t="s">
        <v>42</v>
      </c>
      <c r="F2024" s="1" t="s">
        <v>36</v>
      </c>
      <c r="G2024" s="1" t="s">
        <v>250</v>
      </c>
      <c r="I2024" s="1">
        <v>599</v>
      </c>
      <c r="J2024" s="1" t="s">
        <v>55</v>
      </c>
      <c r="K2024" s="1" t="s">
        <v>45</v>
      </c>
      <c r="L2024" s="1">
        <v>4.3</v>
      </c>
      <c r="M2024" s="1">
        <v>697</v>
      </c>
      <c r="P2024" t="str">
        <f t="shared" si="127"/>
        <v>60%</v>
      </c>
      <c r="Q2024" s="12">
        <f t="shared" si="124"/>
        <v>0.6</v>
      </c>
      <c r="R2024" s="9">
        <f t="shared" si="125"/>
        <v>239.60000000000002</v>
      </c>
      <c r="S2024" s="9">
        <f>IF(R2024="",AVERAGEIF(Table1[Category],Table1[[#This Row],[Category]],Table2[orignal data]),Table2[[#This Row],[orignal data]])</f>
        <v>239.60000000000002</v>
      </c>
      <c r="T2024" t="str">
        <f t="shared" si="126"/>
        <v>UNIQUE</v>
      </c>
      <c r="U2024" t="str">
        <f>IF(ISBLANK(Table1[[#This Row],[SizeOption]]),"NOT AVAILABLE",Table1[[#This Row],[SizeOption]])</f>
        <v>XS, S, M, L, XL</v>
      </c>
      <c r="Y2024" t="str">
        <f>IF(Table2[[#This Row],[Column1]]&gt;50%,"HIGH DISCOUNT","LOW DISCOUNT")</f>
        <v>HIGH DISCOUNT</v>
      </c>
    </row>
    <row r="2025" spans="1:25" x14ac:dyDescent="0.25">
      <c r="A2025" s="2" t="s">
        <v>4345</v>
      </c>
      <c r="B2025" s="2">
        <v>9740125</v>
      </c>
      <c r="C2025" s="2" t="s">
        <v>14</v>
      </c>
      <c r="D2025" s="2" t="s">
        <v>41</v>
      </c>
      <c r="E2025" s="2" t="s">
        <v>42</v>
      </c>
      <c r="F2025" s="2" t="s">
        <v>36</v>
      </c>
      <c r="G2025" s="2" t="s">
        <v>4346</v>
      </c>
      <c r="I2025" s="2">
        <v>899</v>
      </c>
      <c r="J2025" s="2" t="s">
        <v>55</v>
      </c>
      <c r="K2025" s="2" t="s">
        <v>45</v>
      </c>
      <c r="L2025" s="2">
        <v>4.0999999999999996</v>
      </c>
      <c r="M2025" s="2">
        <v>697</v>
      </c>
      <c r="P2025" t="str">
        <f t="shared" si="127"/>
        <v>60%</v>
      </c>
      <c r="Q2025" s="12">
        <f t="shared" si="124"/>
        <v>0.6</v>
      </c>
      <c r="R2025" s="9">
        <f t="shared" si="125"/>
        <v>359.6</v>
      </c>
      <c r="S2025" s="9">
        <f>IF(R2025="",AVERAGEIF(Table1[Category],Table1[[#This Row],[Category]],Table2[orignal data]),Table2[[#This Row],[orignal data]])</f>
        <v>359.6</v>
      </c>
      <c r="T2025" t="str">
        <f t="shared" si="126"/>
        <v>UNIQUE</v>
      </c>
      <c r="U2025" t="str">
        <f>IF(ISBLANK(Table1[[#This Row],[SizeOption]]),"NOT AVAILABLE",Table1[[#This Row],[SizeOption]])</f>
        <v>XS, S, M, L, XL</v>
      </c>
      <c r="Y2025" t="str">
        <f>IF(Table2[[#This Row],[Column1]]&gt;50%,"HIGH DISCOUNT","LOW DISCOUNT")</f>
        <v>HIGH DISCOUNT</v>
      </c>
    </row>
    <row r="2026" spans="1:25" x14ac:dyDescent="0.25">
      <c r="A2026" s="1" t="s">
        <v>4347</v>
      </c>
      <c r="B2026" s="1">
        <v>10958406</v>
      </c>
      <c r="C2026" s="1" t="s">
        <v>14</v>
      </c>
      <c r="D2026" s="1" t="s">
        <v>41</v>
      </c>
      <c r="E2026" s="1" t="s">
        <v>48</v>
      </c>
      <c r="F2026" s="1" t="s">
        <v>36</v>
      </c>
      <c r="G2026" s="1" t="s">
        <v>4348</v>
      </c>
      <c r="I2026" s="1">
        <v>999</v>
      </c>
      <c r="J2026" s="1" t="s">
        <v>25</v>
      </c>
      <c r="K2026" s="1" t="s">
        <v>45</v>
      </c>
      <c r="L2026" s="1">
        <v>4.3</v>
      </c>
      <c r="M2026" s="1">
        <v>697</v>
      </c>
      <c r="P2026" t="str">
        <f t="shared" si="127"/>
        <v>55%</v>
      </c>
      <c r="Q2026" s="12">
        <f t="shared" si="124"/>
        <v>0.55000000000000004</v>
      </c>
      <c r="R2026" s="9">
        <f t="shared" si="125"/>
        <v>449.54999999999995</v>
      </c>
      <c r="S2026" s="9">
        <f>IF(R2026="",AVERAGEIF(Table1[Category],Table1[[#This Row],[Category]],Table2[orignal data]),Table2[[#This Row],[orignal data]])</f>
        <v>449.54999999999995</v>
      </c>
      <c r="T2026" t="str">
        <f t="shared" si="126"/>
        <v>UNIQUE</v>
      </c>
      <c r="U2026" t="str">
        <f>IF(ISBLANK(Table1[[#This Row],[SizeOption]]),"NOT AVAILABLE",Table1[[#This Row],[SizeOption]])</f>
        <v>XS, S, M, L, XL</v>
      </c>
      <c r="Y2026" t="str">
        <f>IF(Table2[[#This Row],[Column1]]&gt;50%,"HIGH DISCOUNT","LOW DISCOUNT")</f>
        <v>HIGH DISCOUNT</v>
      </c>
    </row>
    <row r="2027" spans="1:25" x14ac:dyDescent="0.25">
      <c r="A2027" s="2" t="s">
        <v>4349</v>
      </c>
      <c r="B2027" s="2">
        <v>7438767</v>
      </c>
      <c r="C2027" s="2" t="s">
        <v>52</v>
      </c>
      <c r="D2027" s="2" t="s">
        <v>15</v>
      </c>
      <c r="E2027" s="2" t="s">
        <v>16</v>
      </c>
      <c r="F2027" s="2" t="s">
        <v>17</v>
      </c>
      <c r="G2027" s="2" t="s">
        <v>4350</v>
      </c>
      <c r="H2027">
        <v>892</v>
      </c>
      <c r="I2027" s="2">
        <v>1899</v>
      </c>
      <c r="J2027" s="2" t="s">
        <v>89</v>
      </c>
      <c r="K2027" s="2" t="s">
        <v>816</v>
      </c>
      <c r="L2027" s="2">
        <v>3.9</v>
      </c>
      <c r="M2027" s="2">
        <v>696</v>
      </c>
      <c r="P2027" t="str">
        <f t="shared" si="127"/>
        <v>53%</v>
      </c>
      <c r="Q2027" s="12">
        <f t="shared" si="124"/>
        <v>0.53</v>
      </c>
      <c r="R2027" s="9">
        <f t="shared" si="125"/>
        <v>892.53</v>
      </c>
      <c r="S2027" s="9">
        <f>IF(R2027="",AVERAGEIF(Table1[Category],Table1[[#This Row],[Category]],Table2[orignal data]),Table2[[#This Row],[orignal data]])</f>
        <v>892.53</v>
      </c>
      <c r="T2027" t="str">
        <f t="shared" si="126"/>
        <v>UNIQUE</v>
      </c>
      <c r="U2027" t="str">
        <f>IF(ISBLANK(Table1[[#This Row],[SizeOption]]),"NOT AVAILABLE",Table1[[#This Row],[SizeOption]])</f>
        <v>30, 32, 34, 36, 38</v>
      </c>
      <c r="Y2027" t="str">
        <f>IF(Table2[[#This Row],[Column1]]&gt;50%,"HIGH DISCOUNT","LOW DISCOUNT")</f>
        <v>HIGH DISCOUNT</v>
      </c>
    </row>
    <row r="2028" spans="1:25" x14ac:dyDescent="0.25">
      <c r="A2028" s="1" t="s">
        <v>4351</v>
      </c>
      <c r="B2028" s="1">
        <v>10881908</v>
      </c>
      <c r="C2028" s="1" t="s">
        <v>1176</v>
      </c>
      <c r="D2028" s="1" t="s">
        <v>68</v>
      </c>
      <c r="E2028" s="1" t="s">
        <v>42</v>
      </c>
      <c r="F2028" s="1" t="s">
        <v>17</v>
      </c>
      <c r="G2028" s="1" t="s">
        <v>4352</v>
      </c>
      <c r="H2028">
        <v>467</v>
      </c>
      <c r="I2028" s="1">
        <v>1199</v>
      </c>
      <c r="J2028" s="1" t="s">
        <v>104</v>
      </c>
      <c r="K2028" s="1" t="s">
        <v>26</v>
      </c>
      <c r="L2028" s="1">
        <v>3.7</v>
      </c>
      <c r="M2028" s="1">
        <v>696</v>
      </c>
      <c r="P2028" t="str">
        <f t="shared" si="127"/>
        <v>61%</v>
      </c>
      <c r="Q2028" s="12">
        <f t="shared" si="124"/>
        <v>0.61</v>
      </c>
      <c r="R2028" s="9">
        <f t="shared" si="125"/>
        <v>467.61</v>
      </c>
      <c r="S2028" s="9">
        <f>IF(R2028="",AVERAGEIF(Table1[Category],Table1[[#This Row],[Category]],Table2[orignal data]),Table2[[#This Row],[orignal data]])</f>
        <v>467.61</v>
      </c>
      <c r="T2028" t="str">
        <f t="shared" si="126"/>
        <v>UNIQUE</v>
      </c>
      <c r="U2028" t="str">
        <f>IF(ISBLANK(Table1[[#This Row],[SizeOption]]),"NOT AVAILABLE",Table1[[#This Row],[SizeOption]])</f>
        <v>S, M, L, XL</v>
      </c>
      <c r="Y2028" t="str">
        <f>IF(Table2[[#This Row],[Column1]]&gt;50%,"HIGH DISCOUNT","LOW DISCOUNT")</f>
        <v>HIGH DISCOUNT</v>
      </c>
    </row>
    <row r="2029" spans="1:25" x14ac:dyDescent="0.25">
      <c r="A2029" s="2" t="s">
        <v>4353</v>
      </c>
      <c r="B2029" s="2">
        <v>11756222</v>
      </c>
      <c r="C2029" s="2" t="s">
        <v>405</v>
      </c>
      <c r="D2029" s="2" t="s">
        <v>34</v>
      </c>
      <c r="E2029" s="2" t="s">
        <v>406</v>
      </c>
      <c r="F2029" s="2" t="s">
        <v>36</v>
      </c>
      <c r="G2029" s="2" t="s">
        <v>4354</v>
      </c>
      <c r="H2029">
        <v>740</v>
      </c>
      <c r="I2029" s="2">
        <v>1299</v>
      </c>
      <c r="J2029" s="2" t="s">
        <v>509</v>
      </c>
      <c r="K2029" s="2" t="s">
        <v>26</v>
      </c>
      <c r="L2029" s="2">
        <v>4.0999999999999996</v>
      </c>
      <c r="M2029" s="2">
        <v>696</v>
      </c>
      <c r="P2029" t="str">
        <f t="shared" si="127"/>
        <v>43%</v>
      </c>
      <c r="Q2029" s="12">
        <f t="shared" si="124"/>
        <v>0.43</v>
      </c>
      <c r="R2029" s="9">
        <f t="shared" si="125"/>
        <v>740.43000000000006</v>
      </c>
      <c r="S2029" s="9">
        <f>IF(R2029="",AVERAGEIF(Table1[Category],Table1[[#This Row],[Category]],Table2[orignal data]),Table2[[#This Row],[orignal data]])</f>
        <v>740.43000000000006</v>
      </c>
      <c r="T2029" t="str">
        <f t="shared" si="126"/>
        <v>UNIQUE</v>
      </c>
      <c r="U2029" t="str">
        <f>IF(ISBLANK(Table1[[#This Row],[SizeOption]]),"NOT AVAILABLE",Table1[[#This Row],[SizeOption]])</f>
        <v>S, M, L, XL</v>
      </c>
      <c r="Y2029" t="str">
        <f>IF(Table2[[#This Row],[Column1]]&gt;50%,"HIGH DISCOUNT","LOW DISCOUNT")</f>
        <v>LOW DISCOUNT</v>
      </c>
    </row>
    <row r="2030" spans="1:25" x14ac:dyDescent="0.25">
      <c r="A2030" s="1" t="s">
        <v>4355</v>
      </c>
      <c r="B2030" s="1">
        <v>12095012</v>
      </c>
      <c r="C2030" s="1" t="s">
        <v>405</v>
      </c>
      <c r="D2030" s="1" t="s">
        <v>34</v>
      </c>
      <c r="E2030" s="1" t="s">
        <v>406</v>
      </c>
      <c r="F2030" s="1" t="s">
        <v>36</v>
      </c>
      <c r="G2030" s="1" t="s">
        <v>4356</v>
      </c>
      <c r="H2030">
        <v>779</v>
      </c>
      <c r="I2030" s="1">
        <v>1499</v>
      </c>
      <c r="J2030" s="1" t="s">
        <v>602</v>
      </c>
      <c r="K2030" s="1" t="s">
        <v>26</v>
      </c>
      <c r="L2030" s="1">
        <v>4.4000000000000004</v>
      </c>
      <c r="M2030" s="1">
        <v>696</v>
      </c>
      <c r="P2030" t="str">
        <f t="shared" si="127"/>
        <v>48%</v>
      </c>
      <c r="Q2030" s="12">
        <f t="shared" si="124"/>
        <v>0.48</v>
      </c>
      <c r="R2030" s="9">
        <f t="shared" si="125"/>
        <v>779.48</v>
      </c>
      <c r="S2030" s="9">
        <f>IF(R2030="",AVERAGEIF(Table1[Category],Table1[[#This Row],[Category]],Table2[orignal data]),Table2[[#This Row],[orignal data]])</f>
        <v>779.48</v>
      </c>
      <c r="T2030" t="str">
        <f t="shared" si="126"/>
        <v>UNIQUE</v>
      </c>
      <c r="U2030" t="str">
        <f>IF(ISBLANK(Table1[[#This Row],[SizeOption]]),"NOT AVAILABLE",Table1[[#This Row],[SizeOption]])</f>
        <v>S, M, L, XL</v>
      </c>
      <c r="Y2030" t="str">
        <f>IF(Table2[[#This Row],[Column1]]&gt;50%,"HIGH DISCOUNT","LOW DISCOUNT")</f>
        <v>LOW DISCOUNT</v>
      </c>
    </row>
    <row r="2031" spans="1:25" x14ac:dyDescent="0.25">
      <c r="A2031" s="2" t="s">
        <v>4357</v>
      </c>
      <c r="B2031" s="2">
        <v>9075065</v>
      </c>
      <c r="C2031" s="2" t="s">
        <v>64</v>
      </c>
      <c r="D2031" s="2" t="s">
        <v>98</v>
      </c>
      <c r="E2031" s="2" t="s">
        <v>93</v>
      </c>
      <c r="F2031" s="2" t="s">
        <v>36</v>
      </c>
      <c r="G2031" s="2" t="s">
        <v>4358</v>
      </c>
      <c r="H2031">
        <v>599</v>
      </c>
      <c r="I2031" s="2">
        <v>1999</v>
      </c>
      <c r="J2031" s="2" t="s">
        <v>1566</v>
      </c>
      <c r="K2031" s="2" t="s">
        <v>100</v>
      </c>
      <c r="L2031" s="2">
        <v>4.2</v>
      </c>
      <c r="M2031" s="2">
        <v>696</v>
      </c>
      <c r="P2031" t="str">
        <f t="shared" si="127"/>
        <v>70%</v>
      </c>
      <c r="Q2031" s="12">
        <f t="shared" si="124"/>
        <v>0.7</v>
      </c>
      <c r="R2031" s="9">
        <f t="shared" si="125"/>
        <v>599.70000000000005</v>
      </c>
      <c r="S2031" s="9">
        <f>IF(R2031="",AVERAGEIF(Table1[Category],Table1[[#This Row],[Category]],Table2[orignal data]),Table2[[#This Row],[orignal data]])</f>
        <v>599.70000000000005</v>
      </c>
      <c r="T2031" t="str">
        <f t="shared" si="126"/>
        <v>UNIQUE</v>
      </c>
      <c r="U2031" t="str">
        <f>IF(ISBLANK(Table1[[#This Row],[SizeOption]]),"NOT AVAILABLE",Table1[[#This Row],[SizeOption]])</f>
        <v>XS, S, M, L, XL, XXL, 3XL</v>
      </c>
      <c r="Y2031" t="str">
        <f>IF(Table2[[#This Row],[Column1]]&gt;50%,"HIGH DISCOUNT","LOW DISCOUNT")</f>
        <v>HIGH DISCOUNT</v>
      </c>
    </row>
    <row r="2032" spans="1:25" x14ac:dyDescent="0.25">
      <c r="A2032" s="1" t="s">
        <v>4359</v>
      </c>
      <c r="B2032" s="1">
        <v>1010442</v>
      </c>
      <c r="C2032" s="1" t="s">
        <v>325</v>
      </c>
      <c r="D2032" s="1" t="s">
        <v>41</v>
      </c>
      <c r="E2032" s="1" t="s">
        <v>189</v>
      </c>
      <c r="F2032" s="1" t="s">
        <v>36</v>
      </c>
      <c r="G2032" s="1" t="s">
        <v>4360</v>
      </c>
      <c r="I2032" s="1">
        <v>1599</v>
      </c>
      <c r="J2032" s="1" t="s">
        <v>55</v>
      </c>
      <c r="K2032" s="1" t="s">
        <v>39</v>
      </c>
      <c r="L2032" s="1">
        <v>3.4</v>
      </c>
      <c r="M2032" s="1">
        <v>696</v>
      </c>
      <c r="P2032" t="str">
        <f t="shared" si="127"/>
        <v>60%</v>
      </c>
      <c r="Q2032" s="12">
        <f t="shared" si="124"/>
        <v>0.6</v>
      </c>
      <c r="R2032" s="9">
        <f t="shared" si="125"/>
        <v>639.6</v>
      </c>
      <c r="S2032" s="9">
        <f>IF(R2032="",AVERAGEIF(Table1[Category],Table1[[#This Row],[Category]],Table2[orignal data]),Table2[[#This Row],[orignal data]])</f>
        <v>639.6</v>
      </c>
      <c r="T2032" t="str">
        <f t="shared" si="126"/>
        <v>UNIQUE</v>
      </c>
      <c r="U2032" t="str">
        <f>IF(ISBLANK(Table1[[#This Row],[SizeOption]]),"NOT AVAILABLE",Table1[[#This Row],[SizeOption]])</f>
        <v>S, M, L, XL, XXL</v>
      </c>
      <c r="Y2032" t="str">
        <f>IF(Table2[[#This Row],[Column1]]&gt;50%,"HIGH DISCOUNT","LOW DISCOUNT")</f>
        <v>HIGH DISCOUNT</v>
      </c>
    </row>
    <row r="2033" spans="1:25" x14ac:dyDescent="0.25">
      <c r="A2033" s="2" t="s">
        <v>4361</v>
      </c>
      <c r="B2033" s="2">
        <v>12379888</v>
      </c>
      <c r="C2033" s="2" t="s">
        <v>517</v>
      </c>
      <c r="D2033" s="2" t="s">
        <v>41</v>
      </c>
      <c r="E2033" s="2" t="s">
        <v>16</v>
      </c>
      <c r="F2033" s="2" t="s">
        <v>36</v>
      </c>
      <c r="G2033" s="2" t="s">
        <v>4362</v>
      </c>
      <c r="I2033" s="2">
        <v>1699</v>
      </c>
      <c r="J2033" s="2" t="s">
        <v>163</v>
      </c>
      <c r="K2033" s="2" t="s">
        <v>428</v>
      </c>
      <c r="L2033" s="2">
        <v>4.3</v>
      </c>
      <c r="M2033" s="2">
        <v>696</v>
      </c>
      <c r="P2033" t="str">
        <f t="shared" si="127"/>
        <v>51%</v>
      </c>
      <c r="Q2033" s="12">
        <f t="shared" si="124"/>
        <v>0.51</v>
      </c>
      <c r="R2033" s="9">
        <f t="shared" si="125"/>
        <v>832.51</v>
      </c>
      <c r="S2033" s="9">
        <f>IF(R2033="",AVERAGEIF(Table1[Category],Table1[[#This Row],[Category]],Table2[orignal data]),Table2[[#This Row],[orignal data]])</f>
        <v>832.51</v>
      </c>
      <c r="T2033" t="str">
        <f t="shared" si="126"/>
        <v>UNIQUE</v>
      </c>
      <c r="U2033" t="str">
        <f>IF(ISBLANK(Table1[[#This Row],[SizeOption]]),"NOT AVAILABLE",Table1[[#This Row],[SizeOption]])</f>
        <v>26, 28, 30, 32, 34</v>
      </c>
      <c r="Y2033" t="str">
        <f>IF(Table2[[#This Row],[Column1]]&gt;50%,"HIGH DISCOUNT","LOW DISCOUNT")</f>
        <v>HIGH DISCOUNT</v>
      </c>
    </row>
    <row r="2034" spans="1:25" x14ac:dyDescent="0.25">
      <c r="A2034" s="1" t="s">
        <v>4363</v>
      </c>
      <c r="B2034" s="1">
        <v>12895378</v>
      </c>
      <c r="C2034" s="1" t="s">
        <v>4364</v>
      </c>
      <c r="D2034" s="1" t="s">
        <v>41</v>
      </c>
      <c r="E2034" s="1" t="s">
        <v>306</v>
      </c>
      <c r="F2034" s="1" t="s">
        <v>36</v>
      </c>
      <c r="G2034" s="1" t="s">
        <v>4365</v>
      </c>
      <c r="I2034" s="1">
        <v>1799</v>
      </c>
      <c r="J2034" s="1" t="s">
        <v>130</v>
      </c>
      <c r="K2034" s="1" t="s">
        <v>26</v>
      </c>
      <c r="L2034" s="1">
        <v>4.5</v>
      </c>
      <c r="M2034" s="1">
        <v>696</v>
      </c>
      <c r="P2034" t="str">
        <f t="shared" si="127"/>
        <v>57%</v>
      </c>
      <c r="Q2034" s="12">
        <f t="shared" si="124"/>
        <v>0.56999999999999995</v>
      </c>
      <c r="R2034" s="9">
        <f t="shared" si="125"/>
        <v>773.57000000000016</v>
      </c>
      <c r="S2034" s="9">
        <f>IF(R2034="",AVERAGEIF(Table1[Category],Table1[[#This Row],[Category]],Table2[orignal data]),Table2[[#This Row],[orignal data]])</f>
        <v>773.57000000000016</v>
      </c>
      <c r="T2034" t="str">
        <f t="shared" si="126"/>
        <v>UNIQUE</v>
      </c>
      <c r="U2034" t="str">
        <f>IF(ISBLANK(Table1[[#This Row],[SizeOption]]),"NOT AVAILABLE",Table1[[#This Row],[SizeOption]])</f>
        <v>S, M, L, XL</v>
      </c>
      <c r="Y2034" t="str">
        <f>IF(Table2[[#This Row],[Column1]]&gt;50%,"HIGH DISCOUNT","LOW DISCOUNT")</f>
        <v>HIGH DISCOUNT</v>
      </c>
    </row>
    <row r="2035" spans="1:25" x14ac:dyDescent="0.25">
      <c r="A2035" s="2" t="s">
        <v>4366</v>
      </c>
      <c r="B2035" s="2">
        <v>11425704</v>
      </c>
      <c r="C2035" s="2" t="s">
        <v>4367</v>
      </c>
      <c r="D2035" s="2" t="s">
        <v>41</v>
      </c>
      <c r="E2035" s="2" t="s">
        <v>368</v>
      </c>
      <c r="F2035" s="2" t="s">
        <v>36</v>
      </c>
      <c r="G2035" s="2" t="s">
        <v>4368</v>
      </c>
      <c r="I2035" s="2">
        <v>1999</v>
      </c>
      <c r="J2035" s="2" t="s">
        <v>60</v>
      </c>
      <c r="K2035" s="2" t="s">
        <v>2290</v>
      </c>
      <c r="L2035" s="2">
        <v>4.2</v>
      </c>
      <c r="M2035" s="2">
        <v>696</v>
      </c>
      <c r="P2035" t="str">
        <f t="shared" si="127"/>
        <v>58%</v>
      </c>
      <c r="Q2035" s="12">
        <f t="shared" si="124"/>
        <v>0.57999999999999996</v>
      </c>
      <c r="R2035" s="9">
        <f t="shared" si="125"/>
        <v>839.58000000000015</v>
      </c>
      <c r="S2035" s="9">
        <f>IF(R2035="",AVERAGEIF(Table1[Category],Table1[[#This Row],[Category]],Table2[orignal data]),Table2[[#This Row],[orignal data]])</f>
        <v>839.58000000000015</v>
      </c>
      <c r="T2035" t="str">
        <f t="shared" si="126"/>
        <v>UNIQUE</v>
      </c>
      <c r="U2035" t="str">
        <f>IF(ISBLANK(Table1[[#This Row],[SizeOption]]),"NOT AVAILABLE",Table1[[#This Row],[SizeOption]])</f>
        <v>26, 28, 30, 32, 34, 36, 38</v>
      </c>
      <c r="Y2035" t="str">
        <f>IF(Table2[[#This Row],[Column1]]&gt;50%,"HIGH DISCOUNT","LOW DISCOUNT")</f>
        <v>HIGH DISCOUNT</v>
      </c>
    </row>
    <row r="2036" spans="1:25" x14ac:dyDescent="0.25">
      <c r="A2036" s="1" t="s">
        <v>4369</v>
      </c>
      <c r="B2036" s="1">
        <v>13239978</v>
      </c>
      <c r="C2036" s="1" t="s">
        <v>102</v>
      </c>
      <c r="D2036" s="1" t="s">
        <v>41</v>
      </c>
      <c r="E2036" s="1" t="s">
        <v>48</v>
      </c>
      <c r="F2036" s="1" t="s">
        <v>36</v>
      </c>
      <c r="G2036" s="1" t="s">
        <v>4370</v>
      </c>
      <c r="I2036" s="1">
        <v>949</v>
      </c>
      <c r="J2036" s="1" t="s">
        <v>95</v>
      </c>
      <c r="K2036" s="1" t="s">
        <v>26</v>
      </c>
      <c r="L2036" s="1">
        <v>3.6</v>
      </c>
      <c r="M2036" s="1">
        <v>696</v>
      </c>
      <c r="P2036" t="str">
        <f t="shared" si="127"/>
        <v>59%</v>
      </c>
      <c r="Q2036" s="12">
        <f t="shared" si="124"/>
        <v>0.59</v>
      </c>
      <c r="R2036" s="9">
        <f t="shared" si="125"/>
        <v>389.09000000000003</v>
      </c>
      <c r="S2036" s="9">
        <f>IF(R2036="",AVERAGEIF(Table1[Category],Table1[[#This Row],[Category]],Table2[orignal data]),Table2[[#This Row],[orignal data]])</f>
        <v>389.09000000000003</v>
      </c>
      <c r="T2036" t="str">
        <f t="shared" si="126"/>
        <v>UNIQUE</v>
      </c>
      <c r="U2036" t="str">
        <f>IF(ISBLANK(Table1[[#This Row],[SizeOption]]),"NOT AVAILABLE",Table1[[#This Row],[SizeOption]])</f>
        <v>S, M, L, XL</v>
      </c>
      <c r="Y2036" t="str">
        <f>IF(Table2[[#This Row],[Column1]]&gt;50%,"HIGH DISCOUNT","LOW DISCOUNT")</f>
        <v>HIGH DISCOUNT</v>
      </c>
    </row>
    <row r="2037" spans="1:25" x14ac:dyDescent="0.25">
      <c r="A2037" s="2" t="s">
        <v>4371</v>
      </c>
      <c r="B2037" s="2">
        <v>10144531</v>
      </c>
      <c r="C2037" s="2" t="s">
        <v>52</v>
      </c>
      <c r="D2037" s="2" t="s">
        <v>15</v>
      </c>
      <c r="E2037" s="2" t="s">
        <v>53</v>
      </c>
      <c r="F2037" s="2" t="s">
        <v>17</v>
      </c>
      <c r="G2037" s="2" t="s">
        <v>4372</v>
      </c>
      <c r="H2037">
        <v>751</v>
      </c>
      <c r="I2037" s="2">
        <v>1599</v>
      </c>
      <c r="J2037" s="2" t="s">
        <v>89</v>
      </c>
      <c r="K2037" s="2" t="s">
        <v>56</v>
      </c>
      <c r="L2037" s="2">
        <v>4</v>
      </c>
      <c r="M2037" s="2">
        <v>695</v>
      </c>
      <c r="P2037" t="str">
        <f t="shared" si="127"/>
        <v>53%</v>
      </c>
      <c r="Q2037" s="12">
        <f t="shared" si="124"/>
        <v>0.53</v>
      </c>
      <c r="R2037" s="9">
        <f t="shared" si="125"/>
        <v>751.53</v>
      </c>
      <c r="S2037" s="9">
        <f>IF(R2037="",AVERAGEIF(Table1[Category],Table1[[#This Row],[Category]],Table2[orignal data]),Table2[[#This Row],[orignal data]])</f>
        <v>751.53</v>
      </c>
      <c r="T2037" t="str">
        <f t="shared" si="126"/>
        <v>UNIQUE</v>
      </c>
      <c r="U2037" t="str">
        <f>IF(ISBLANK(Table1[[#This Row],[SizeOption]]),"NOT AVAILABLE",Table1[[#This Row],[SizeOption]])</f>
        <v>30, 32, 34, 36</v>
      </c>
      <c r="Y2037" t="str">
        <f>IF(Table2[[#This Row],[Column1]]&gt;50%,"HIGH DISCOUNT","LOW DISCOUNT")</f>
        <v>HIGH DISCOUNT</v>
      </c>
    </row>
    <row r="2038" spans="1:25" x14ac:dyDescent="0.25">
      <c r="A2038" s="1" t="s">
        <v>4373</v>
      </c>
      <c r="B2038" s="1">
        <v>10685708</v>
      </c>
      <c r="C2038" s="1" t="s">
        <v>117</v>
      </c>
      <c r="D2038" s="1" t="s">
        <v>34</v>
      </c>
      <c r="E2038" s="1" t="s">
        <v>118</v>
      </c>
      <c r="F2038" s="1" t="s">
        <v>36</v>
      </c>
      <c r="G2038" s="1" t="s">
        <v>4374</v>
      </c>
      <c r="I2038" s="1">
        <v>729</v>
      </c>
      <c r="J2038" s="1"/>
      <c r="K2038" s="1" t="s">
        <v>1113</v>
      </c>
      <c r="L2038" s="1">
        <v>4.5</v>
      </c>
      <c r="M2038" s="1">
        <v>695</v>
      </c>
      <c r="P2038" t="str">
        <f t="shared" si="127"/>
        <v/>
      </c>
      <c r="Q2038" s="12" t="str">
        <f t="shared" si="124"/>
        <v/>
      </c>
      <c r="R2038" s="9" t="str">
        <f t="shared" si="125"/>
        <v/>
      </c>
      <c r="S2038" s="9">
        <f>IF(R2038="",AVERAGEIF(Table1[Category],Table1[[#This Row],[Category]],Table2[orignal data]),Table2[[#This Row],[orignal data]])</f>
        <v>608.88518518518481</v>
      </c>
      <c r="T2038" t="str">
        <f t="shared" si="126"/>
        <v>UNIQUE</v>
      </c>
      <c r="U2038" t="str">
        <f>IF(ISBLANK(Table1[[#This Row],[SizeOption]]),"NOT AVAILABLE",Table1[[#This Row],[SizeOption]])</f>
        <v>32B, 32C, 32D, 34B, 34C, 34D, 36B, 36C, 36D, 38B, 38C, 38D</v>
      </c>
      <c r="Y2038" t="str">
        <f>IF(Table2[[#This Row],[Column1]]&gt;50%,"HIGH DISCOUNT","LOW DISCOUNT")</f>
        <v>HIGH DISCOUNT</v>
      </c>
    </row>
    <row r="2039" spans="1:25" x14ac:dyDescent="0.25">
      <c r="A2039" s="2" t="s">
        <v>4375</v>
      </c>
      <c r="B2039" s="2">
        <v>13266534</v>
      </c>
      <c r="C2039" s="2" t="s">
        <v>52</v>
      </c>
      <c r="D2039" s="2" t="s">
        <v>15</v>
      </c>
      <c r="E2039" s="2" t="s">
        <v>53</v>
      </c>
      <c r="F2039" s="2" t="s">
        <v>17</v>
      </c>
      <c r="G2039" s="2" t="s">
        <v>4376</v>
      </c>
      <c r="H2039">
        <v>751</v>
      </c>
      <c r="I2039" s="2">
        <v>1599</v>
      </c>
      <c r="J2039" s="2" t="s">
        <v>89</v>
      </c>
      <c r="K2039" s="2" t="s">
        <v>56</v>
      </c>
      <c r="L2039" s="2">
        <v>4.2</v>
      </c>
      <c r="M2039" s="2">
        <v>694</v>
      </c>
      <c r="P2039" t="str">
        <f t="shared" si="127"/>
        <v>53%</v>
      </c>
      <c r="Q2039" s="12">
        <f t="shared" si="124"/>
        <v>0.53</v>
      </c>
      <c r="R2039" s="9">
        <f t="shared" si="125"/>
        <v>751.53</v>
      </c>
      <c r="S2039" s="9">
        <f>IF(R2039="",AVERAGEIF(Table1[Category],Table1[[#This Row],[Category]],Table2[orignal data]),Table2[[#This Row],[orignal data]])</f>
        <v>751.53</v>
      </c>
      <c r="T2039" t="str">
        <f t="shared" si="126"/>
        <v>UNIQUE</v>
      </c>
      <c r="U2039" t="str">
        <f>IF(ISBLANK(Table1[[#This Row],[SizeOption]]),"NOT AVAILABLE",Table1[[#This Row],[SizeOption]])</f>
        <v>30, 32, 34, 36</v>
      </c>
      <c r="Y2039" t="str">
        <f>IF(Table2[[#This Row],[Column1]]&gt;50%,"HIGH DISCOUNT","LOW DISCOUNT")</f>
        <v>HIGH DISCOUNT</v>
      </c>
    </row>
    <row r="2040" spans="1:25" x14ac:dyDescent="0.25">
      <c r="A2040" s="1" t="s">
        <v>4377</v>
      </c>
      <c r="B2040" s="1">
        <v>8904191</v>
      </c>
      <c r="C2040" s="1" t="s">
        <v>67</v>
      </c>
      <c r="D2040" s="1" t="s">
        <v>28</v>
      </c>
      <c r="E2040" s="1" t="s">
        <v>42</v>
      </c>
      <c r="F2040" s="1" t="s">
        <v>17</v>
      </c>
      <c r="G2040" s="1" t="s">
        <v>4378</v>
      </c>
      <c r="H2040">
        <v>549</v>
      </c>
      <c r="I2040" s="1">
        <v>1099</v>
      </c>
      <c r="J2040" s="1" t="s">
        <v>84</v>
      </c>
      <c r="K2040" s="1" t="s">
        <v>39</v>
      </c>
      <c r="L2040" s="1">
        <v>4</v>
      </c>
      <c r="M2040" s="1">
        <v>694</v>
      </c>
      <c r="P2040" t="str">
        <f t="shared" si="127"/>
        <v>50%</v>
      </c>
      <c r="Q2040" s="12">
        <f t="shared" si="124"/>
        <v>0.5</v>
      </c>
      <c r="R2040" s="9">
        <f t="shared" si="125"/>
        <v>549.5</v>
      </c>
      <c r="S2040" s="9">
        <f>IF(R2040="",AVERAGEIF(Table1[Category],Table1[[#This Row],[Category]],Table2[orignal data]),Table2[[#This Row],[orignal data]])</f>
        <v>549.5</v>
      </c>
      <c r="T2040" t="str">
        <f t="shared" si="126"/>
        <v>UNIQUE</v>
      </c>
      <c r="U2040" t="str">
        <f>IF(ISBLANK(Table1[[#This Row],[SizeOption]]),"NOT AVAILABLE",Table1[[#This Row],[SizeOption]])</f>
        <v>S, M, L, XL, XXL</v>
      </c>
      <c r="Y2040" t="str">
        <f>IF(Table2[[#This Row],[Column1]]&gt;50%,"HIGH DISCOUNT","LOW DISCOUNT")</f>
        <v>LOW DISCOUNT</v>
      </c>
    </row>
    <row r="2041" spans="1:25" x14ac:dyDescent="0.25">
      <c r="A2041" s="2" t="s">
        <v>4379</v>
      </c>
      <c r="B2041" s="2">
        <v>12072494</v>
      </c>
      <c r="C2041" s="2" t="s">
        <v>102</v>
      </c>
      <c r="D2041" s="2" t="s">
        <v>41</v>
      </c>
      <c r="E2041" s="2" t="s">
        <v>53</v>
      </c>
      <c r="F2041" s="2" t="s">
        <v>36</v>
      </c>
      <c r="G2041" s="2" t="s">
        <v>4380</v>
      </c>
      <c r="I2041" s="2">
        <v>1399</v>
      </c>
      <c r="J2041" s="2" t="s">
        <v>602</v>
      </c>
      <c r="K2041" s="2" t="s">
        <v>105</v>
      </c>
      <c r="L2041" s="2">
        <v>3.9</v>
      </c>
      <c r="M2041" s="2">
        <v>694</v>
      </c>
      <c r="P2041" t="str">
        <f t="shared" si="127"/>
        <v>48%</v>
      </c>
      <c r="Q2041" s="12">
        <f t="shared" si="124"/>
        <v>0.48</v>
      </c>
      <c r="R2041" s="9">
        <f t="shared" si="125"/>
        <v>727.48</v>
      </c>
      <c r="S2041" s="9">
        <f>IF(R2041="",AVERAGEIF(Table1[Category],Table1[[#This Row],[Category]],Table2[orignal data]),Table2[[#This Row],[orignal data]])</f>
        <v>727.48</v>
      </c>
      <c r="T2041" t="str">
        <f t="shared" si="126"/>
        <v>UNIQUE</v>
      </c>
      <c r="U2041" t="str">
        <f>IF(ISBLANK(Table1[[#This Row],[SizeOption]]),"NOT AVAILABLE",Table1[[#This Row],[SizeOption]])</f>
        <v>28, 30, 32, 34</v>
      </c>
      <c r="Y2041" t="str">
        <f>IF(Table2[[#This Row],[Column1]]&gt;50%,"HIGH DISCOUNT","LOW DISCOUNT")</f>
        <v>LOW DISCOUNT</v>
      </c>
    </row>
    <row r="2042" spans="1:25" x14ac:dyDescent="0.25">
      <c r="A2042" s="1" t="s">
        <v>4381</v>
      </c>
      <c r="B2042" s="1">
        <v>11274704</v>
      </c>
      <c r="C2042" s="1" t="s">
        <v>14</v>
      </c>
      <c r="D2042" s="1" t="s">
        <v>15</v>
      </c>
      <c r="E2042" s="1" t="s">
        <v>16</v>
      </c>
      <c r="F2042" s="1" t="s">
        <v>17</v>
      </c>
      <c r="G2042" s="1" t="s">
        <v>918</v>
      </c>
      <c r="H2042">
        <v>764</v>
      </c>
      <c r="I2042" s="1">
        <v>1699</v>
      </c>
      <c r="J2042" s="1" t="s">
        <v>25</v>
      </c>
      <c r="K2042" s="1" t="s">
        <v>195</v>
      </c>
      <c r="L2042" s="1">
        <v>3.9</v>
      </c>
      <c r="M2042" s="1">
        <v>693</v>
      </c>
      <c r="P2042" t="str">
        <f t="shared" si="127"/>
        <v>55%</v>
      </c>
      <c r="Q2042" s="12">
        <f t="shared" si="124"/>
        <v>0.55000000000000004</v>
      </c>
      <c r="R2042" s="9">
        <f t="shared" si="125"/>
        <v>764.55</v>
      </c>
      <c r="S2042" s="9">
        <f>IF(R2042="",AVERAGEIF(Table1[Category],Table1[[#This Row],[Category]],Table2[orignal data]),Table2[[#This Row],[orignal data]])</f>
        <v>764.55</v>
      </c>
      <c r="T2042" t="str">
        <f t="shared" si="126"/>
        <v>UNIQUE</v>
      </c>
      <c r="U2042" t="str">
        <f>IF(ISBLANK(Table1[[#This Row],[SizeOption]]),"NOT AVAILABLE",Table1[[#This Row],[SizeOption]])</f>
        <v>28, 30, 32, 34, 36, 38, 40</v>
      </c>
      <c r="Y2042" t="str">
        <f>IF(Table2[[#This Row],[Column1]]&gt;50%,"HIGH DISCOUNT","LOW DISCOUNT")</f>
        <v>HIGH DISCOUNT</v>
      </c>
    </row>
    <row r="2043" spans="1:25" x14ac:dyDescent="0.25">
      <c r="A2043" s="2" t="s">
        <v>4382</v>
      </c>
      <c r="B2043" s="2">
        <v>2174900</v>
      </c>
      <c r="C2043" s="2" t="s">
        <v>52</v>
      </c>
      <c r="D2043" s="2" t="s">
        <v>15</v>
      </c>
      <c r="E2043" s="2" t="s">
        <v>16</v>
      </c>
      <c r="F2043" s="2" t="s">
        <v>17</v>
      </c>
      <c r="G2043" s="2" t="s">
        <v>4383</v>
      </c>
      <c r="H2043">
        <v>591</v>
      </c>
      <c r="I2043" s="2">
        <v>1599</v>
      </c>
      <c r="J2043" s="2" t="s">
        <v>476</v>
      </c>
      <c r="K2043" s="2" t="s">
        <v>816</v>
      </c>
      <c r="L2043" s="2">
        <v>3.7</v>
      </c>
      <c r="M2043" s="2">
        <v>693</v>
      </c>
      <c r="P2043" t="str">
        <f t="shared" si="127"/>
        <v>63%</v>
      </c>
      <c r="Q2043" s="12">
        <f t="shared" si="124"/>
        <v>0.63</v>
      </c>
      <c r="R2043" s="9">
        <f t="shared" si="125"/>
        <v>591.63</v>
      </c>
      <c r="S2043" s="9">
        <f>IF(R2043="",AVERAGEIF(Table1[Category],Table1[[#This Row],[Category]],Table2[orignal data]),Table2[[#This Row],[orignal data]])</f>
        <v>591.63</v>
      </c>
      <c r="T2043" t="str">
        <f t="shared" si="126"/>
        <v>UNIQUE</v>
      </c>
      <c r="U2043" t="str">
        <f>IF(ISBLANK(Table1[[#This Row],[SizeOption]]),"NOT AVAILABLE",Table1[[#This Row],[SizeOption]])</f>
        <v>30, 32, 34, 36, 38</v>
      </c>
      <c r="Y2043" t="str">
        <f>IF(Table2[[#This Row],[Column1]]&gt;50%,"HIGH DISCOUNT","LOW DISCOUNT")</f>
        <v>HIGH DISCOUNT</v>
      </c>
    </row>
    <row r="2044" spans="1:25" x14ac:dyDescent="0.25">
      <c r="A2044" s="1" t="s">
        <v>4384</v>
      </c>
      <c r="B2044" s="1">
        <v>8426253</v>
      </c>
      <c r="C2044" s="1" t="s">
        <v>169</v>
      </c>
      <c r="D2044" s="1" t="s">
        <v>28</v>
      </c>
      <c r="E2044" s="1" t="s">
        <v>29</v>
      </c>
      <c r="F2044" s="1" t="s">
        <v>17</v>
      </c>
      <c r="G2044" s="1" t="s">
        <v>4385</v>
      </c>
      <c r="H2044">
        <v>1099</v>
      </c>
      <c r="I2044" s="1">
        <v>2199</v>
      </c>
      <c r="J2044" s="1" t="s">
        <v>84</v>
      </c>
      <c r="K2044" s="1" t="s">
        <v>484</v>
      </c>
      <c r="L2044" s="1">
        <v>4.4000000000000004</v>
      </c>
      <c r="M2044" s="1">
        <v>693</v>
      </c>
      <c r="P2044" t="str">
        <f t="shared" si="127"/>
        <v>50%</v>
      </c>
      <c r="Q2044" s="12">
        <f t="shared" si="124"/>
        <v>0.5</v>
      </c>
      <c r="R2044" s="9">
        <f t="shared" si="125"/>
        <v>1099.5</v>
      </c>
      <c r="S2044" s="9">
        <f>IF(R2044="",AVERAGEIF(Table1[Category],Table1[[#This Row],[Category]],Table2[orignal data]),Table2[[#This Row],[orignal data]])</f>
        <v>1099.5</v>
      </c>
      <c r="T2044" t="str">
        <f t="shared" si="126"/>
        <v>UNIQUE</v>
      </c>
      <c r="U2044" t="str">
        <f>IF(ISBLANK(Table1[[#This Row],[SizeOption]]),"NOT AVAILABLE",Table1[[#This Row],[SizeOption]])</f>
        <v>39, 40, 42, 44, 46</v>
      </c>
      <c r="Y2044" t="str">
        <f>IF(Table2[[#This Row],[Column1]]&gt;50%,"HIGH DISCOUNT","LOW DISCOUNT")</f>
        <v>LOW DISCOUNT</v>
      </c>
    </row>
    <row r="2045" spans="1:25" x14ac:dyDescent="0.25">
      <c r="A2045" s="2" t="s">
        <v>4386</v>
      </c>
      <c r="B2045" s="2">
        <v>7334039</v>
      </c>
      <c r="C2045" s="2" t="s">
        <v>92</v>
      </c>
      <c r="D2045" s="2" t="s">
        <v>76</v>
      </c>
      <c r="E2045" s="2" t="s">
        <v>93</v>
      </c>
      <c r="F2045" s="2" t="s">
        <v>36</v>
      </c>
      <c r="G2045" s="2" t="s">
        <v>4387</v>
      </c>
      <c r="H2045">
        <v>755</v>
      </c>
      <c r="I2045" s="2">
        <v>1799</v>
      </c>
      <c r="J2045" s="2" t="s">
        <v>60</v>
      </c>
      <c r="K2045" s="2" t="s">
        <v>39</v>
      </c>
      <c r="L2045" s="2">
        <v>4.0999999999999996</v>
      </c>
      <c r="M2045" s="2">
        <v>693</v>
      </c>
      <c r="P2045" t="str">
        <f t="shared" si="127"/>
        <v>58%</v>
      </c>
      <c r="Q2045" s="12">
        <f t="shared" si="124"/>
        <v>0.57999999999999996</v>
      </c>
      <c r="R2045" s="9">
        <f t="shared" si="125"/>
        <v>755.58000000000015</v>
      </c>
      <c r="S2045" s="9">
        <f>IF(R2045="",AVERAGEIF(Table1[Category],Table1[[#This Row],[Category]],Table2[orignal data]),Table2[[#This Row],[orignal data]])</f>
        <v>755.58000000000015</v>
      </c>
      <c r="T2045" t="str">
        <f t="shared" si="126"/>
        <v>UNIQUE</v>
      </c>
      <c r="U2045" t="str">
        <f>IF(ISBLANK(Table1[[#This Row],[SizeOption]]),"NOT AVAILABLE",Table1[[#This Row],[SizeOption]])</f>
        <v>S, M, L, XL, XXL</v>
      </c>
      <c r="Y2045" t="str">
        <f>IF(Table2[[#This Row],[Column1]]&gt;50%,"HIGH DISCOUNT","LOW DISCOUNT")</f>
        <v>HIGH DISCOUNT</v>
      </c>
    </row>
    <row r="2046" spans="1:25" x14ac:dyDescent="0.25">
      <c r="A2046" s="1" t="s">
        <v>4388</v>
      </c>
      <c r="B2046" s="1">
        <v>8890019</v>
      </c>
      <c r="C2046" s="1" t="s">
        <v>92</v>
      </c>
      <c r="D2046" s="1" t="s">
        <v>76</v>
      </c>
      <c r="E2046" s="1" t="s">
        <v>77</v>
      </c>
      <c r="F2046" s="1" t="s">
        <v>36</v>
      </c>
      <c r="G2046" s="1" t="s">
        <v>4389</v>
      </c>
      <c r="H2046">
        <v>1086</v>
      </c>
      <c r="I2046" s="1">
        <v>2649</v>
      </c>
      <c r="J2046" s="1" t="s">
        <v>95</v>
      </c>
      <c r="K2046" s="1" t="s">
        <v>39</v>
      </c>
      <c r="L2046" s="1">
        <v>4.0999999999999996</v>
      </c>
      <c r="M2046" s="1">
        <v>693</v>
      </c>
      <c r="P2046" t="str">
        <f t="shared" si="127"/>
        <v>59%</v>
      </c>
      <c r="Q2046" s="12">
        <f t="shared" si="124"/>
        <v>0.59</v>
      </c>
      <c r="R2046" s="9">
        <f t="shared" si="125"/>
        <v>1086.0900000000001</v>
      </c>
      <c r="S2046" s="9">
        <f>IF(R2046="",AVERAGEIF(Table1[Category],Table1[[#This Row],[Category]],Table2[orignal data]),Table2[[#This Row],[orignal data]])</f>
        <v>1086.0900000000001</v>
      </c>
      <c r="T2046" t="str">
        <f t="shared" si="126"/>
        <v>UNIQUE</v>
      </c>
      <c r="U2046" t="str">
        <f>IF(ISBLANK(Table1[[#This Row],[SizeOption]]),"NOT AVAILABLE",Table1[[#This Row],[SizeOption]])</f>
        <v>S, M, L, XL, XXL</v>
      </c>
      <c r="Y2046" t="str">
        <f>IF(Table2[[#This Row],[Column1]]&gt;50%,"HIGH DISCOUNT","LOW DISCOUNT")</f>
        <v>HIGH DISCOUNT</v>
      </c>
    </row>
    <row r="2047" spans="1:25" x14ac:dyDescent="0.25">
      <c r="A2047" s="2" t="s">
        <v>4390</v>
      </c>
      <c r="B2047" s="2">
        <v>7572995</v>
      </c>
      <c r="C2047" s="2" t="s">
        <v>92</v>
      </c>
      <c r="D2047" s="2" t="s">
        <v>76</v>
      </c>
      <c r="E2047" s="2" t="s">
        <v>77</v>
      </c>
      <c r="F2047" s="2" t="s">
        <v>36</v>
      </c>
      <c r="G2047" s="2" t="s">
        <v>4391</v>
      </c>
      <c r="H2047">
        <v>2036</v>
      </c>
      <c r="I2047" s="2">
        <v>4849</v>
      </c>
      <c r="J2047" s="2" t="s">
        <v>60</v>
      </c>
      <c r="K2047" s="2" t="s">
        <v>39</v>
      </c>
      <c r="L2047" s="2">
        <v>4.3</v>
      </c>
      <c r="M2047" s="2">
        <v>693</v>
      </c>
      <c r="P2047" t="str">
        <f t="shared" si="127"/>
        <v>58%</v>
      </c>
      <c r="Q2047" s="12">
        <f t="shared" si="124"/>
        <v>0.57999999999999996</v>
      </c>
      <c r="R2047" s="9">
        <f t="shared" si="125"/>
        <v>2036.5800000000004</v>
      </c>
      <c r="S2047" s="9">
        <f>IF(R2047="",AVERAGEIF(Table1[Category],Table1[[#This Row],[Category]],Table2[orignal data]),Table2[[#This Row],[orignal data]])</f>
        <v>2036.5800000000004</v>
      </c>
      <c r="T2047" t="str">
        <f t="shared" si="126"/>
        <v>UNIQUE</v>
      </c>
      <c r="U2047" t="str">
        <f>IF(ISBLANK(Table1[[#This Row],[SizeOption]]),"NOT AVAILABLE",Table1[[#This Row],[SizeOption]])</f>
        <v>S, M, L, XL, XXL</v>
      </c>
      <c r="Y2047" t="str">
        <f>IF(Table2[[#This Row],[Column1]]&gt;50%,"HIGH DISCOUNT","LOW DISCOUNT")</f>
        <v>HIGH DISCOUNT</v>
      </c>
    </row>
    <row r="2048" spans="1:25" x14ac:dyDescent="0.25">
      <c r="A2048" s="1" t="s">
        <v>4392</v>
      </c>
      <c r="B2048" s="1">
        <v>9371515</v>
      </c>
      <c r="C2048" s="1" t="s">
        <v>97</v>
      </c>
      <c r="D2048" s="1" t="s">
        <v>98</v>
      </c>
      <c r="E2048" s="1" t="s">
        <v>93</v>
      </c>
      <c r="F2048" s="1" t="s">
        <v>36</v>
      </c>
      <c r="G2048" s="1" t="s">
        <v>1167</v>
      </c>
      <c r="H2048">
        <v>779</v>
      </c>
      <c r="I2048" s="1">
        <v>1199</v>
      </c>
      <c r="J2048" s="1" t="s">
        <v>44</v>
      </c>
      <c r="K2048" s="1" t="s">
        <v>100</v>
      </c>
      <c r="L2048" s="1">
        <v>4</v>
      </c>
      <c r="M2048" s="1">
        <v>693</v>
      </c>
      <c r="P2048" t="str">
        <f t="shared" si="127"/>
        <v>35%</v>
      </c>
      <c r="Q2048" s="12">
        <f t="shared" si="124"/>
        <v>0.35</v>
      </c>
      <c r="R2048" s="9">
        <f t="shared" si="125"/>
        <v>779.35</v>
      </c>
      <c r="S2048" s="9">
        <f>IF(R2048="",AVERAGEIF(Table1[Category],Table1[[#This Row],[Category]],Table2[orignal data]),Table2[[#This Row],[orignal data]])</f>
        <v>779.35</v>
      </c>
      <c r="T2048" t="str">
        <f t="shared" si="126"/>
        <v>UNIQUE</v>
      </c>
      <c r="U2048" t="str">
        <f>IF(ISBLANK(Table1[[#This Row],[SizeOption]]),"NOT AVAILABLE",Table1[[#This Row],[SizeOption]])</f>
        <v>XS, S, M, L, XL, XXL, 3XL</v>
      </c>
      <c r="Y2048" t="str">
        <f>IF(Table2[[#This Row],[Column1]]&gt;50%,"HIGH DISCOUNT","LOW DISCOUNT")</f>
        <v>LOW DISCOUNT</v>
      </c>
    </row>
    <row r="2049" spans="1:25" x14ac:dyDescent="0.25">
      <c r="A2049" s="2" t="s">
        <v>4393</v>
      </c>
      <c r="B2049" s="2">
        <v>10562346</v>
      </c>
      <c r="C2049" s="2" t="s">
        <v>14</v>
      </c>
      <c r="D2049" s="2" t="s">
        <v>41</v>
      </c>
      <c r="E2049" s="2" t="s">
        <v>189</v>
      </c>
      <c r="F2049" s="2" t="s">
        <v>36</v>
      </c>
      <c r="G2049" s="2" t="s">
        <v>4394</v>
      </c>
      <c r="I2049" s="2">
        <v>2899</v>
      </c>
      <c r="J2049" s="2" t="s">
        <v>79</v>
      </c>
      <c r="K2049" s="2" t="s">
        <v>115</v>
      </c>
      <c r="L2049" s="2">
        <v>4.4000000000000004</v>
      </c>
      <c r="M2049" s="2">
        <v>693</v>
      </c>
      <c r="P2049" t="str">
        <f t="shared" si="127"/>
        <v>70%</v>
      </c>
      <c r="Q2049" s="12">
        <f t="shared" si="124"/>
        <v>0.7</v>
      </c>
      <c r="R2049" s="9">
        <f t="shared" si="125"/>
        <v>869.7</v>
      </c>
      <c r="S2049" s="9">
        <f>IF(R2049="",AVERAGEIF(Table1[Category],Table1[[#This Row],[Category]],Table2[orignal data]),Table2[[#This Row],[orignal data]])</f>
        <v>869.7</v>
      </c>
      <c r="T2049" t="str">
        <f t="shared" si="126"/>
        <v>UNIQUE</v>
      </c>
      <c r="U2049" t="str">
        <f>IF(ISBLANK(Table1[[#This Row],[SizeOption]]),"NOT AVAILABLE",Table1[[#This Row],[SizeOption]])</f>
        <v>XS, S, M, L, XL, XXL</v>
      </c>
      <c r="Y2049" t="str">
        <f>IF(Table2[[#This Row],[Column1]]&gt;50%,"HIGH DISCOUNT","LOW DISCOUNT")</f>
        <v>HIGH DISCOUNT</v>
      </c>
    </row>
    <row r="2050" spans="1:25" x14ac:dyDescent="0.25">
      <c r="A2050" s="1" t="s">
        <v>4395</v>
      </c>
      <c r="B2050" s="1">
        <v>11533838</v>
      </c>
      <c r="C2050" s="1" t="s">
        <v>14</v>
      </c>
      <c r="D2050" s="1" t="s">
        <v>28</v>
      </c>
      <c r="E2050" s="1" t="s">
        <v>42</v>
      </c>
      <c r="F2050" s="1" t="s">
        <v>17</v>
      </c>
      <c r="G2050" s="1" t="s">
        <v>4396</v>
      </c>
      <c r="H2050">
        <v>604</v>
      </c>
      <c r="I2050" s="1">
        <v>1099</v>
      </c>
      <c r="J2050" s="1" t="s">
        <v>19</v>
      </c>
      <c r="K2050" s="1" t="s">
        <v>45</v>
      </c>
      <c r="L2050" s="1">
        <v>4.0999999999999996</v>
      </c>
      <c r="M2050" s="1">
        <v>692</v>
      </c>
      <c r="P2050" t="str">
        <f t="shared" si="127"/>
        <v>45%</v>
      </c>
      <c r="Q2050" s="12">
        <f t="shared" ref="Q2050:Q2113" si="128">IF(P2050="","",IF(ISNUMBER(SEARCH("%",P2050)),P2050,P2050/I2050)*100%)</f>
        <v>0.45</v>
      </c>
      <c r="R2050" s="9">
        <f t="shared" ref="R2050:R2113" si="129">IF(P2050="","",I2050-(I2050*Q2050))</f>
        <v>604.45000000000005</v>
      </c>
      <c r="S2050" s="9">
        <f>IF(R2050="",AVERAGEIF(Table1[Category],Table1[[#This Row],[Category]],Table2[orignal data]),Table2[[#This Row],[orignal data]])</f>
        <v>604.45000000000005</v>
      </c>
      <c r="T2050" t="str">
        <f t="shared" ref="T2050:T2113" si="130">IF(COUNTIF($B$2:$B$5000,B2050)&gt;1,"DUPLICATE","UNIQUE")</f>
        <v>UNIQUE</v>
      </c>
      <c r="U2050" t="str">
        <f>IF(ISBLANK(Table1[[#This Row],[SizeOption]]),"NOT AVAILABLE",Table1[[#This Row],[SizeOption]])</f>
        <v>XS, S, M, L, XL</v>
      </c>
      <c r="Y2050" t="str">
        <f>IF(Table2[[#This Row],[Column1]]&gt;50%,"HIGH DISCOUNT","LOW DISCOUNT")</f>
        <v>LOW DISCOUNT</v>
      </c>
    </row>
    <row r="2051" spans="1:25" x14ac:dyDescent="0.25">
      <c r="A2051" s="2" t="s">
        <v>4397</v>
      </c>
      <c r="B2051" s="2">
        <v>8938965</v>
      </c>
      <c r="C2051" s="2" t="s">
        <v>14</v>
      </c>
      <c r="D2051" s="2" t="s">
        <v>28</v>
      </c>
      <c r="E2051" s="2" t="s">
        <v>42</v>
      </c>
      <c r="F2051" s="2" t="s">
        <v>17</v>
      </c>
      <c r="G2051" s="2" t="s">
        <v>4398</v>
      </c>
      <c r="H2051">
        <v>384</v>
      </c>
      <c r="I2051" s="2">
        <v>699</v>
      </c>
      <c r="J2051" s="2" t="s">
        <v>19</v>
      </c>
      <c r="K2051" s="2" t="s">
        <v>45</v>
      </c>
      <c r="L2051" s="2">
        <v>4.0999999999999996</v>
      </c>
      <c r="M2051" s="2">
        <v>692</v>
      </c>
      <c r="P2051" t="str">
        <f t="shared" ref="P2051:P2114" si="131">TRIM(SUBSTITUTE(SUBSTITUTE(SUBSTITUTE(SUBSTITUTE(J2051,"OFF",""),"Rs.",""),"Hurry*",""),",",""))</f>
        <v>45%</v>
      </c>
      <c r="Q2051" s="12">
        <f t="shared" si="128"/>
        <v>0.45</v>
      </c>
      <c r="R2051" s="9">
        <f t="shared" si="129"/>
        <v>384.45</v>
      </c>
      <c r="S2051" s="9">
        <f>IF(R2051="",AVERAGEIF(Table1[Category],Table1[[#This Row],[Category]],Table2[orignal data]),Table2[[#This Row],[orignal data]])</f>
        <v>384.45</v>
      </c>
      <c r="T2051" t="str">
        <f t="shared" si="130"/>
        <v>UNIQUE</v>
      </c>
      <c r="U2051" t="str">
        <f>IF(ISBLANK(Table1[[#This Row],[SizeOption]]),"NOT AVAILABLE",Table1[[#This Row],[SizeOption]])</f>
        <v>XS, S, M, L, XL</v>
      </c>
      <c r="Y2051" t="str">
        <f>IF(Table2[[#This Row],[Column1]]&gt;50%,"HIGH DISCOUNT","LOW DISCOUNT")</f>
        <v>LOW DISCOUNT</v>
      </c>
    </row>
    <row r="2052" spans="1:25" x14ac:dyDescent="0.25">
      <c r="A2052" s="1" t="s">
        <v>4399</v>
      </c>
      <c r="B2052" s="1">
        <v>9981437</v>
      </c>
      <c r="C2052" s="1" t="s">
        <v>92</v>
      </c>
      <c r="D2052" s="1" t="s">
        <v>76</v>
      </c>
      <c r="E2052" s="1" t="s">
        <v>93</v>
      </c>
      <c r="F2052" s="1" t="s">
        <v>36</v>
      </c>
      <c r="G2052" s="1" t="s">
        <v>4400</v>
      </c>
      <c r="H2052">
        <v>629</v>
      </c>
      <c r="I2052" s="1">
        <v>1499</v>
      </c>
      <c r="J2052" s="1" t="s">
        <v>60</v>
      </c>
      <c r="K2052" s="1" t="s">
        <v>39</v>
      </c>
      <c r="L2052" s="1">
        <v>4.0999999999999996</v>
      </c>
      <c r="M2052" s="1">
        <v>692</v>
      </c>
      <c r="P2052" t="str">
        <f t="shared" si="131"/>
        <v>58%</v>
      </c>
      <c r="Q2052" s="12">
        <f t="shared" si="128"/>
        <v>0.57999999999999996</v>
      </c>
      <c r="R2052" s="9">
        <f t="shared" si="129"/>
        <v>629.58000000000004</v>
      </c>
      <c r="S2052" s="9">
        <f>IF(R2052="",AVERAGEIF(Table1[Category],Table1[[#This Row],[Category]],Table2[orignal data]),Table2[[#This Row],[orignal data]])</f>
        <v>629.58000000000004</v>
      </c>
      <c r="T2052" t="str">
        <f t="shared" si="130"/>
        <v>UNIQUE</v>
      </c>
      <c r="U2052" t="str">
        <f>IF(ISBLANK(Table1[[#This Row],[SizeOption]]),"NOT AVAILABLE",Table1[[#This Row],[SizeOption]])</f>
        <v>S, M, L, XL, XXL</v>
      </c>
      <c r="Y2052" t="str">
        <f>IF(Table2[[#This Row],[Column1]]&gt;50%,"HIGH DISCOUNT","LOW DISCOUNT")</f>
        <v>HIGH DISCOUNT</v>
      </c>
    </row>
    <row r="2053" spans="1:25" x14ac:dyDescent="0.25">
      <c r="A2053" s="2" t="s">
        <v>4401</v>
      </c>
      <c r="B2053" s="2">
        <v>12491436</v>
      </c>
      <c r="C2053" s="2" t="s">
        <v>924</v>
      </c>
      <c r="D2053" s="2" t="s">
        <v>76</v>
      </c>
      <c r="E2053" s="2" t="s">
        <v>77</v>
      </c>
      <c r="F2053" s="2" t="s">
        <v>36</v>
      </c>
      <c r="G2053" s="2" t="s">
        <v>4402</v>
      </c>
      <c r="H2053">
        <v>2911</v>
      </c>
      <c r="I2053" s="2">
        <v>9099</v>
      </c>
      <c r="J2053" s="2" t="s">
        <v>839</v>
      </c>
      <c r="K2053" s="2" t="s">
        <v>115</v>
      </c>
      <c r="L2053" s="2">
        <v>4.0999999999999996</v>
      </c>
      <c r="M2053" s="2">
        <v>692</v>
      </c>
      <c r="P2053" t="str">
        <f t="shared" si="131"/>
        <v>68%</v>
      </c>
      <c r="Q2053" s="12">
        <f t="shared" si="128"/>
        <v>0.68</v>
      </c>
      <c r="R2053" s="9">
        <f t="shared" si="129"/>
        <v>2911.6799999999994</v>
      </c>
      <c r="S2053" s="9">
        <f>IF(R2053="",AVERAGEIF(Table1[Category],Table1[[#This Row],[Category]],Table2[orignal data]),Table2[[#This Row],[orignal data]])</f>
        <v>2911.6799999999994</v>
      </c>
      <c r="T2053" t="str">
        <f t="shared" si="130"/>
        <v>UNIQUE</v>
      </c>
      <c r="U2053" t="str">
        <f>IF(ISBLANK(Table1[[#This Row],[SizeOption]]),"NOT AVAILABLE",Table1[[#This Row],[SizeOption]])</f>
        <v>XS, S, M, L, XL, XXL</v>
      </c>
      <c r="Y2053" t="str">
        <f>IF(Table2[[#This Row],[Column1]]&gt;50%,"HIGH DISCOUNT","LOW DISCOUNT")</f>
        <v>HIGH DISCOUNT</v>
      </c>
    </row>
    <row r="2054" spans="1:25" x14ac:dyDescent="0.25">
      <c r="A2054" s="1" t="s">
        <v>4403</v>
      </c>
      <c r="B2054" s="1">
        <v>8514289</v>
      </c>
      <c r="C2054" s="1" t="s">
        <v>952</v>
      </c>
      <c r="D2054" s="1" t="s">
        <v>41</v>
      </c>
      <c r="E2054" s="1" t="s">
        <v>16</v>
      </c>
      <c r="F2054" s="1" t="s">
        <v>36</v>
      </c>
      <c r="G2054" s="1" t="s">
        <v>4404</v>
      </c>
      <c r="I2054" s="1">
        <v>1899</v>
      </c>
      <c r="J2054" s="1" t="s">
        <v>84</v>
      </c>
      <c r="K2054" s="1" t="s">
        <v>428</v>
      </c>
      <c r="L2054" s="1">
        <v>4.0999999999999996</v>
      </c>
      <c r="M2054" s="1">
        <v>692</v>
      </c>
      <c r="P2054" t="str">
        <f t="shared" si="131"/>
        <v>50%</v>
      </c>
      <c r="Q2054" s="12">
        <f t="shared" si="128"/>
        <v>0.5</v>
      </c>
      <c r="R2054" s="9">
        <f t="shared" si="129"/>
        <v>949.5</v>
      </c>
      <c r="S2054" s="9">
        <f>IF(R2054="",AVERAGEIF(Table1[Category],Table1[[#This Row],[Category]],Table2[orignal data]),Table2[[#This Row],[orignal data]])</f>
        <v>949.5</v>
      </c>
      <c r="T2054" t="str">
        <f t="shared" si="130"/>
        <v>UNIQUE</v>
      </c>
      <c r="U2054" t="str">
        <f>IF(ISBLANK(Table1[[#This Row],[SizeOption]]),"NOT AVAILABLE",Table1[[#This Row],[SizeOption]])</f>
        <v>26, 28, 30, 32, 34</v>
      </c>
      <c r="Y2054" t="str">
        <f>IF(Table2[[#This Row],[Column1]]&gt;50%,"HIGH DISCOUNT","LOW DISCOUNT")</f>
        <v>LOW DISCOUNT</v>
      </c>
    </row>
    <row r="2055" spans="1:25" x14ac:dyDescent="0.25">
      <c r="A2055" s="2" t="s">
        <v>4405</v>
      </c>
      <c r="B2055" s="2">
        <v>12220398</v>
      </c>
      <c r="C2055" s="2" t="s">
        <v>184</v>
      </c>
      <c r="D2055" s="2" t="s">
        <v>41</v>
      </c>
      <c r="E2055" s="2" t="s">
        <v>48</v>
      </c>
      <c r="F2055" s="2" t="s">
        <v>36</v>
      </c>
      <c r="G2055" s="2" t="s">
        <v>4406</v>
      </c>
      <c r="I2055" s="2">
        <v>699</v>
      </c>
      <c r="J2055" s="2" t="s">
        <v>50</v>
      </c>
      <c r="K2055" s="2" t="s">
        <v>39</v>
      </c>
      <c r="L2055" s="2">
        <v>4.0999999999999996</v>
      </c>
      <c r="M2055" s="2">
        <v>692</v>
      </c>
      <c r="P2055" t="str">
        <f t="shared" si="131"/>
        <v>40%</v>
      </c>
      <c r="Q2055" s="12">
        <f t="shared" si="128"/>
        <v>0.4</v>
      </c>
      <c r="R2055" s="9">
        <f t="shared" si="129"/>
        <v>419.4</v>
      </c>
      <c r="S2055" s="9">
        <f>IF(R2055="",AVERAGEIF(Table1[Category],Table1[[#This Row],[Category]],Table2[orignal data]),Table2[[#This Row],[orignal data]])</f>
        <v>419.4</v>
      </c>
      <c r="T2055" t="str">
        <f t="shared" si="130"/>
        <v>UNIQUE</v>
      </c>
      <c r="U2055" t="str">
        <f>IF(ISBLANK(Table1[[#This Row],[SizeOption]]),"NOT AVAILABLE",Table1[[#This Row],[SizeOption]])</f>
        <v>S, M, L, XL, XXL</v>
      </c>
      <c r="Y2055" t="str">
        <f>IF(Table2[[#This Row],[Column1]]&gt;50%,"HIGH DISCOUNT","LOW DISCOUNT")</f>
        <v>LOW DISCOUNT</v>
      </c>
    </row>
    <row r="2056" spans="1:25" x14ac:dyDescent="0.25">
      <c r="A2056" s="1" t="s">
        <v>4407</v>
      </c>
      <c r="B2056" s="1">
        <v>11401738</v>
      </c>
      <c r="C2056" s="1" t="s">
        <v>14</v>
      </c>
      <c r="D2056" s="1" t="s">
        <v>41</v>
      </c>
      <c r="E2056" s="1" t="s">
        <v>42</v>
      </c>
      <c r="F2056" s="1" t="s">
        <v>36</v>
      </c>
      <c r="G2056" s="1" t="s">
        <v>4408</v>
      </c>
      <c r="I2056" s="1">
        <v>1099</v>
      </c>
      <c r="J2056" s="1" t="s">
        <v>4409</v>
      </c>
      <c r="K2056" s="1" t="s">
        <v>45</v>
      </c>
      <c r="L2056" s="1">
        <v>4.2</v>
      </c>
      <c r="M2056" s="1">
        <v>691</v>
      </c>
      <c r="P2056" t="str">
        <f t="shared" si="131"/>
        <v>600</v>
      </c>
      <c r="Q2056" s="12">
        <f t="shared" si="128"/>
        <v>0.54595086442220198</v>
      </c>
      <c r="R2056" s="9">
        <f t="shared" si="129"/>
        <v>499</v>
      </c>
      <c r="S2056" s="9">
        <f>IF(R2056="",AVERAGEIF(Table1[Category],Table1[[#This Row],[Category]],Table2[orignal data]),Table2[[#This Row],[orignal data]])</f>
        <v>499</v>
      </c>
      <c r="T2056" t="str">
        <f t="shared" si="130"/>
        <v>UNIQUE</v>
      </c>
      <c r="U2056" t="str">
        <f>IF(ISBLANK(Table1[[#This Row],[SizeOption]]),"NOT AVAILABLE",Table1[[#This Row],[SizeOption]])</f>
        <v>XS, S, M, L, XL</v>
      </c>
      <c r="Y2056" t="str">
        <f>IF(Table2[[#This Row],[Column1]]&gt;50%,"HIGH DISCOUNT","LOW DISCOUNT")</f>
        <v>HIGH DISCOUNT</v>
      </c>
    </row>
    <row r="2057" spans="1:25" x14ac:dyDescent="0.25">
      <c r="A2057" s="2" t="s">
        <v>4410</v>
      </c>
      <c r="B2057" s="2">
        <v>2372792</v>
      </c>
      <c r="C2057" s="2" t="s">
        <v>841</v>
      </c>
      <c r="D2057" s="2" t="s">
        <v>41</v>
      </c>
      <c r="E2057" s="2" t="s">
        <v>42</v>
      </c>
      <c r="F2057" s="2" t="s">
        <v>36</v>
      </c>
      <c r="G2057" s="2" t="s">
        <v>4411</v>
      </c>
      <c r="I2057" s="2">
        <v>899</v>
      </c>
      <c r="J2057" s="2" t="s">
        <v>577</v>
      </c>
      <c r="K2057" s="2" t="s">
        <v>26</v>
      </c>
      <c r="L2057" s="2">
        <v>4</v>
      </c>
      <c r="M2057" s="2">
        <v>691</v>
      </c>
      <c r="P2057" t="str">
        <f t="shared" si="131"/>
        <v>400</v>
      </c>
      <c r="Q2057" s="12">
        <f t="shared" si="128"/>
        <v>0.44493882091212456</v>
      </c>
      <c r="R2057" s="9">
        <f t="shared" si="129"/>
        <v>499</v>
      </c>
      <c r="S2057" s="9">
        <f>IF(R2057="",AVERAGEIF(Table1[Category],Table1[[#This Row],[Category]],Table2[orignal data]),Table2[[#This Row],[orignal data]])</f>
        <v>499</v>
      </c>
      <c r="T2057" t="str">
        <f t="shared" si="130"/>
        <v>UNIQUE</v>
      </c>
      <c r="U2057" t="str">
        <f>IF(ISBLANK(Table1[[#This Row],[SizeOption]]),"NOT AVAILABLE",Table1[[#This Row],[SizeOption]])</f>
        <v>S, M, L, XL</v>
      </c>
      <c r="Y2057" t="str">
        <f>IF(Table2[[#This Row],[Column1]]&gt;50%,"HIGH DISCOUNT","LOW DISCOUNT")</f>
        <v>LOW DISCOUNT</v>
      </c>
    </row>
    <row r="2058" spans="1:25" x14ac:dyDescent="0.25">
      <c r="A2058" s="1" t="s">
        <v>4412</v>
      </c>
      <c r="B2058" s="1">
        <v>8726891</v>
      </c>
      <c r="C2058" s="1" t="s">
        <v>938</v>
      </c>
      <c r="D2058" s="1" t="s">
        <v>197</v>
      </c>
      <c r="E2058" s="1" t="s">
        <v>939</v>
      </c>
      <c r="F2058" s="1" t="s">
        <v>17</v>
      </c>
      <c r="G2058" s="1" t="s">
        <v>4413</v>
      </c>
      <c r="H2058">
        <v>629</v>
      </c>
      <c r="I2058" s="1">
        <v>1499</v>
      </c>
      <c r="J2058" s="1" t="s">
        <v>60</v>
      </c>
      <c r="K2058" s="1" t="s">
        <v>39</v>
      </c>
      <c r="L2058" s="1">
        <v>4.2</v>
      </c>
      <c r="M2058" s="1">
        <v>690</v>
      </c>
      <c r="P2058" t="str">
        <f t="shared" si="131"/>
        <v>58%</v>
      </c>
      <c r="Q2058" s="12">
        <f t="shared" si="128"/>
        <v>0.57999999999999996</v>
      </c>
      <c r="R2058" s="9">
        <f t="shared" si="129"/>
        <v>629.58000000000004</v>
      </c>
      <c r="S2058" s="9">
        <f>IF(R2058="",AVERAGEIF(Table1[Category],Table1[[#This Row],[Category]],Table2[orignal data]),Table2[[#This Row],[orignal data]])</f>
        <v>629.58000000000004</v>
      </c>
      <c r="T2058" t="str">
        <f t="shared" si="130"/>
        <v>UNIQUE</v>
      </c>
      <c r="U2058" t="str">
        <f>IF(ISBLANK(Table1[[#This Row],[SizeOption]]),"NOT AVAILABLE",Table1[[#This Row],[SizeOption]])</f>
        <v>S, M, L, XL, XXL</v>
      </c>
      <c r="Y2058" t="str">
        <f>IF(Table2[[#This Row],[Column1]]&gt;50%,"HIGH DISCOUNT","LOW DISCOUNT")</f>
        <v>HIGH DISCOUNT</v>
      </c>
    </row>
    <row r="2059" spans="1:25" x14ac:dyDescent="0.25">
      <c r="A2059" s="2" t="s">
        <v>4414</v>
      </c>
      <c r="B2059" s="2">
        <v>11780926</v>
      </c>
      <c r="C2059" s="2" t="s">
        <v>52</v>
      </c>
      <c r="D2059" s="2" t="s">
        <v>28</v>
      </c>
      <c r="E2059" s="2" t="s">
        <v>29</v>
      </c>
      <c r="F2059" s="2" t="s">
        <v>17</v>
      </c>
      <c r="G2059" s="2" t="s">
        <v>228</v>
      </c>
      <c r="H2059">
        <v>563</v>
      </c>
      <c r="I2059" s="2">
        <v>1199</v>
      </c>
      <c r="J2059" s="2" t="s">
        <v>89</v>
      </c>
      <c r="K2059" s="2" t="s">
        <v>90</v>
      </c>
      <c r="L2059" s="2">
        <v>4.0999999999999996</v>
      </c>
      <c r="M2059" s="2">
        <v>690</v>
      </c>
      <c r="P2059" t="str">
        <f t="shared" si="131"/>
        <v>53%</v>
      </c>
      <c r="Q2059" s="12">
        <f t="shared" si="128"/>
        <v>0.53</v>
      </c>
      <c r="R2059" s="9">
        <f t="shared" si="129"/>
        <v>563.53</v>
      </c>
      <c r="S2059" s="9">
        <f>IF(R2059="",AVERAGEIF(Table1[Category],Table1[[#This Row],[Category]],Table2[orignal data]),Table2[[#This Row],[orignal data]])</f>
        <v>563.53</v>
      </c>
      <c r="T2059" t="str">
        <f t="shared" si="130"/>
        <v>UNIQUE</v>
      </c>
      <c r="U2059" t="str">
        <f>IF(ISBLANK(Table1[[#This Row],[SizeOption]]),"NOT AVAILABLE",Table1[[#This Row],[SizeOption]])</f>
        <v>39, 40, 42, 44</v>
      </c>
      <c r="Y2059" t="str">
        <f>IF(Table2[[#This Row],[Column1]]&gt;50%,"HIGH DISCOUNT","LOW DISCOUNT")</f>
        <v>HIGH DISCOUNT</v>
      </c>
    </row>
    <row r="2060" spans="1:25" x14ac:dyDescent="0.25">
      <c r="A2060" s="1" t="s">
        <v>4415</v>
      </c>
      <c r="B2060" s="1">
        <v>2283218</v>
      </c>
      <c r="C2060" s="1" t="s">
        <v>14</v>
      </c>
      <c r="D2060" s="1" t="s">
        <v>28</v>
      </c>
      <c r="E2060" s="1" t="s">
        <v>29</v>
      </c>
      <c r="F2060" s="1" t="s">
        <v>17</v>
      </c>
      <c r="G2060" s="1" t="s">
        <v>4416</v>
      </c>
      <c r="H2060">
        <v>824</v>
      </c>
      <c r="I2060" s="1">
        <v>1499</v>
      </c>
      <c r="J2060" s="1" t="s">
        <v>19</v>
      </c>
      <c r="K2060" s="1" t="s">
        <v>253</v>
      </c>
      <c r="L2060" s="1">
        <v>4.3</v>
      </c>
      <c r="M2060" s="1">
        <v>690</v>
      </c>
      <c r="P2060" t="str">
        <f t="shared" si="131"/>
        <v>45%</v>
      </c>
      <c r="Q2060" s="12">
        <f t="shared" si="128"/>
        <v>0.45</v>
      </c>
      <c r="R2060" s="9">
        <f t="shared" si="129"/>
        <v>824.44999999999993</v>
      </c>
      <c r="S2060" s="9">
        <f>IF(R2060="",AVERAGEIF(Table1[Category],Table1[[#This Row],[Category]],Table2[orignal data]),Table2[[#This Row],[orignal data]])</f>
        <v>824.44999999999993</v>
      </c>
      <c r="T2060" t="str">
        <f t="shared" si="130"/>
        <v>UNIQUE</v>
      </c>
      <c r="U2060" t="str">
        <f>IF(ISBLANK(Table1[[#This Row],[SizeOption]]),"NOT AVAILABLE",Table1[[#This Row],[SizeOption]])</f>
        <v>38, 40, 42, 44</v>
      </c>
      <c r="Y2060" t="str">
        <f>IF(Table2[[#This Row],[Column1]]&gt;50%,"HIGH DISCOUNT","LOW DISCOUNT")</f>
        <v>LOW DISCOUNT</v>
      </c>
    </row>
    <row r="2061" spans="1:25" x14ac:dyDescent="0.25">
      <c r="A2061" s="2" t="s">
        <v>4417</v>
      </c>
      <c r="B2061" s="2">
        <v>2338729</v>
      </c>
      <c r="C2061" s="2" t="s">
        <v>169</v>
      </c>
      <c r="D2061" s="2" t="s">
        <v>28</v>
      </c>
      <c r="E2061" s="2" t="s">
        <v>29</v>
      </c>
      <c r="F2061" s="2" t="s">
        <v>17</v>
      </c>
      <c r="G2061" s="2" t="s">
        <v>4418</v>
      </c>
      <c r="H2061">
        <v>1249</v>
      </c>
      <c r="I2061" s="2">
        <v>2499</v>
      </c>
      <c r="J2061" s="2" t="s">
        <v>84</v>
      </c>
      <c r="K2061" s="2" t="s">
        <v>484</v>
      </c>
      <c r="L2061" s="2">
        <v>4.2</v>
      </c>
      <c r="M2061" s="2">
        <v>690</v>
      </c>
      <c r="P2061" t="str">
        <f t="shared" si="131"/>
        <v>50%</v>
      </c>
      <c r="Q2061" s="12">
        <f t="shared" si="128"/>
        <v>0.5</v>
      </c>
      <c r="R2061" s="9">
        <f t="shared" si="129"/>
        <v>1249.5</v>
      </c>
      <c r="S2061" s="9">
        <f>IF(R2061="",AVERAGEIF(Table1[Category],Table1[[#This Row],[Category]],Table2[orignal data]),Table2[[#This Row],[orignal data]])</f>
        <v>1249.5</v>
      </c>
      <c r="T2061" t="str">
        <f t="shared" si="130"/>
        <v>UNIQUE</v>
      </c>
      <c r="U2061" t="str">
        <f>IF(ISBLANK(Table1[[#This Row],[SizeOption]]),"NOT AVAILABLE",Table1[[#This Row],[SizeOption]])</f>
        <v>39, 40, 42, 44, 46</v>
      </c>
      <c r="Y2061" t="str">
        <f>IF(Table2[[#This Row],[Column1]]&gt;50%,"HIGH DISCOUNT","LOW DISCOUNT")</f>
        <v>LOW DISCOUNT</v>
      </c>
    </row>
    <row r="2062" spans="1:25" x14ac:dyDescent="0.25">
      <c r="A2062" s="1" t="s">
        <v>4419</v>
      </c>
      <c r="B2062" s="1">
        <v>11174366</v>
      </c>
      <c r="C2062" s="1" t="s">
        <v>97</v>
      </c>
      <c r="D2062" s="1" t="s">
        <v>76</v>
      </c>
      <c r="E2062" s="1" t="s">
        <v>93</v>
      </c>
      <c r="F2062" s="1" t="s">
        <v>36</v>
      </c>
      <c r="G2062" s="1" t="s">
        <v>4420</v>
      </c>
      <c r="H2062">
        <v>494</v>
      </c>
      <c r="I2062" s="1">
        <v>1099</v>
      </c>
      <c r="J2062" s="1" t="s">
        <v>25</v>
      </c>
      <c r="K2062" s="1" t="s">
        <v>100</v>
      </c>
      <c r="L2062" s="1">
        <v>4.3</v>
      </c>
      <c r="M2062" s="1">
        <v>690</v>
      </c>
      <c r="P2062" t="str">
        <f t="shared" si="131"/>
        <v>55%</v>
      </c>
      <c r="Q2062" s="12">
        <f t="shared" si="128"/>
        <v>0.55000000000000004</v>
      </c>
      <c r="R2062" s="9">
        <f t="shared" si="129"/>
        <v>494.54999999999995</v>
      </c>
      <c r="S2062" s="9">
        <f>IF(R2062="",AVERAGEIF(Table1[Category],Table1[[#This Row],[Category]],Table2[orignal data]),Table2[[#This Row],[orignal data]])</f>
        <v>494.54999999999995</v>
      </c>
      <c r="T2062" t="str">
        <f t="shared" si="130"/>
        <v>UNIQUE</v>
      </c>
      <c r="U2062" t="str">
        <f>IF(ISBLANK(Table1[[#This Row],[SizeOption]]),"NOT AVAILABLE",Table1[[#This Row],[SizeOption]])</f>
        <v>XS, S, M, L, XL, XXL, 3XL</v>
      </c>
      <c r="Y2062" t="str">
        <f>IF(Table2[[#This Row],[Column1]]&gt;50%,"HIGH DISCOUNT","LOW DISCOUNT")</f>
        <v>HIGH DISCOUNT</v>
      </c>
    </row>
    <row r="2063" spans="1:25" x14ac:dyDescent="0.25">
      <c r="A2063" s="2" t="s">
        <v>4421</v>
      </c>
      <c r="B2063" s="2">
        <v>11966634</v>
      </c>
      <c r="C2063" s="2" t="s">
        <v>4422</v>
      </c>
      <c r="D2063" s="2" t="s">
        <v>34</v>
      </c>
      <c r="E2063" s="2" t="s">
        <v>406</v>
      </c>
      <c r="F2063" s="2" t="s">
        <v>36</v>
      </c>
      <c r="G2063" s="2" t="s">
        <v>4423</v>
      </c>
      <c r="H2063">
        <v>854</v>
      </c>
      <c r="I2063" s="2">
        <v>1499</v>
      </c>
      <c r="J2063" s="2" t="s">
        <v>4424</v>
      </c>
      <c r="K2063" s="2" t="s">
        <v>39</v>
      </c>
      <c r="L2063" s="2">
        <v>4.3</v>
      </c>
      <c r="M2063" s="2">
        <v>690</v>
      </c>
      <c r="P2063" t="str">
        <f t="shared" si="131"/>
        <v>43 %</v>
      </c>
      <c r="Q2063" s="12">
        <f t="shared" si="128"/>
        <v>0.43</v>
      </c>
      <c r="R2063" s="9">
        <f t="shared" si="129"/>
        <v>854.43000000000006</v>
      </c>
      <c r="S2063" s="9">
        <f>IF(R2063="",AVERAGEIF(Table1[Category],Table1[[#This Row],[Category]],Table2[orignal data]),Table2[[#This Row],[orignal data]])</f>
        <v>854.43000000000006</v>
      </c>
      <c r="T2063" t="str">
        <f t="shared" si="130"/>
        <v>UNIQUE</v>
      </c>
      <c r="U2063" t="str">
        <f>IF(ISBLANK(Table1[[#This Row],[SizeOption]]),"NOT AVAILABLE",Table1[[#This Row],[SizeOption]])</f>
        <v>S, M, L, XL, XXL</v>
      </c>
      <c r="Y2063" t="str">
        <f>IF(Table2[[#This Row],[Column1]]&gt;50%,"HIGH DISCOUNT","LOW DISCOUNT")</f>
        <v>LOW DISCOUNT</v>
      </c>
    </row>
    <row r="2064" spans="1:25" x14ac:dyDescent="0.25">
      <c r="A2064" s="1" t="s">
        <v>4425</v>
      </c>
      <c r="B2064" s="1">
        <v>11174074</v>
      </c>
      <c r="C2064" s="1" t="s">
        <v>97</v>
      </c>
      <c r="D2064" s="1" t="s">
        <v>98</v>
      </c>
      <c r="E2064" s="1" t="s">
        <v>77</v>
      </c>
      <c r="F2064" s="1" t="s">
        <v>36</v>
      </c>
      <c r="G2064" s="1" t="s">
        <v>4426</v>
      </c>
      <c r="H2064">
        <v>769</v>
      </c>
      <c r="I2064" s="1">
        <v>2199</v>
      </c>
      <c r="J2064" s="1" t="s">
        <v>150</v>
      </c>
      <c r="K2064" s="1" t="s">
        <v>100</v>
      </c>
      <c r="L2064" s="1">
        <v>4.3</v>
      </c>
      <c r="M2064" s="1">
        <v>690</v>
      </c>
      <c r="P2064" t="str">
        <f t="shared" si="131"/>
        <v>65%</v>
      </c>
      <c r="Q2064" s="12">
        <f t="shared" si="128"/>
        <v>0.65</v>
      </c>
      <c r="R2064" s="9">
        <f t="shared" si="129"/>
        <v>769.64999999999986</v>
      </c>
      <c r="S2064" s="9">
        <f>IF(R2064="",AVERAGEIF(Table1[Category],Table1[[#This Row],[Category]],Table2[orignal data]),Table2[[#This Row],[orignal data]])</f>
        <v>769.64999999999986</v>
      </c>
      <c r="T2064" t="str">
        <f t="shared" si="130"/>
        <v>UNIQUE</v>
      </c>
      <c r="U2064" t="str">
        <f>IF(ISBLANK(Table1[[#This Row],[SizeOption]]),"NOT AVAILABLE",Table1[[#This Row],[SizeOption]])</f>
        <v>XS, S, M, L, XL, XXL, 3XL</v>
      </c>
      <c r="Y2064" t="str">
        <f>IF(Table2[[#This Row],[Column1]]&gt;50%,"HIGH DISCOUNT","LOW DISCOUNT")</f>
        <v>HIGH DISCOUNT</v>
      </c>
    </row>
    <row r="2065" spans="1:25" x14ac:dyDescent="0.25">
      <c r="A2065" s="2" t="s">
        <v>4427</v>
      </c>
      <c r="B2065" s="2">
        <v>10560786</v>
      </c>
      <c r="C2065" s="2" t="s">
        <v>97</v>
      </c>
      <c r="D2065" s="2" t="s">
        <v>98</v>
      </c>
      <c r="E2065" s="2" t="s">
        <v>148</v>
      </c>
      <c r="F2065" s="2" t="s">
        <v>36</v>
      </c>
      <c r="G2065" s="2" t="s">
        <v>4428</v>
      </c>
      <c r="H2065">
        <v>919</v>
      </c>
      <c r="I2065" s="2">
        <v>2299</v>
      </c>
      <c r="J2065" s="2" t="s">
        <v>141</v>
      </c>
      <c r="K2065" s="2" t="s">
        <v>100</v>
      </c>
      <c r="L2065" s="2">
        <v>4.4000000000000004</v>
      </c>
      <c r="M2065" s="2">
        <v>690</v>
      </c>
      <c r="P2065" t="str">
        <f t="shared" si="131"/>
        <v>60%</v>
      </c>
      <c r="Q2065" s="12">
        <f t="shared" si="128"/>
        <v>0.6</v>
      </c>
      <c r="R2065" s="9">
        <f t="shared" si="129"/>
        <v>919.60000000000014</v>
      </c>
      <c r="S2065" s="9">
        <f>IF(R2065="",AVERAGEIF(Table1[Category],Table1[[#This Row],[Category]],Table2[orignal data]),Table2[[#This Row],[orignal data]])</f>
        <v>919.60000000000014</v>
      </c>
      <c r="T2065" t="str">
        <f t="shared" si="130"/>
        <v>UNIQUE</v>
      </c>
      <c r="U2065" t="str">
        <f>IF(ISBLANK(Table1[[#This Row],[SizeOption]]),"NOT AVAILABLE",Table1[[#This Row],[SizeOption]])</f>
        <v>XS, S, M, L, XL, XXL, 3XL</v>
      </c>
      <c r="Y2065" t="str">
        <f>IF(Table2[[#This Row],[Column1]]&gt;50%,"HIGH DISCOUNT","LOW DISCOUNT")</f>
        <v>HIGH DISCOUNT</v>
      </c>
    </row>
    <row r="2066" spans="1:25" x14ac:dyDescent="0.25">
      <c r="A2066" s="1" t="s">
        <v>4429</v>
      </c>
      <c r="B2066" s="1">
        <v>12104534</v>
      </c>
      <c r="C2066" s="1" t="s">
        <v>97</v>
      </c>
      <c r="D2066" s="1" t="s">
        <v>98</v>
      </c>
      <c r="E2066" s="1" t="s">
        <v>77</v>
      </c>
      <c r="F2066" s="1" t="s">
        <v>36</v>
      </c>
      <c r="G2066" s="1" t="s">
        <v>4430</v>
      </c>
      <c r="H2066">
        <v>1574</v>
      </c>
      <c r="I2066" s="1">
        <v>4499</v>
      </c>
      <c r="J2066" s="1" t="s">
        <v>150</v>
      </c>
      <c r="K2066" s="1" t="s">
        <v>100</v>
      </c>
      <c r="L2066" s="1">
        <v>4.3</v>
      </c>
      <c r="M2066" s="1">
        <v>690</v>
      </c>
      <c r="P2066" t="str">
        <f t="shared" si="131"/>
        <v>65%</v>
      </c>
      <c r="Q2066" s="12">
        <f t="shared" si="128"/>
        <v>0.65</v>
      </c>
      <c r="R2066" s="9">
        <f t="shared" si="129"/>
        <v>1574.65</v>
      </c>
      <c r="S2066" s="9">
        <f>IF(R2066="",AVERAGEIF(Table1[Category],Table1[[#This Row],[Category]],Table2[orignal data]),Table2[[#This Row],[orignal data]])</f>
        <v>1574.65</v>
      </c>
      <c r="T2066" t="str">
        <f t="shared" si="130"/>
        <v>UNIQUE</v>
      </c>
      <c r="U2066" t="str">
        <f>IF(ISBLANK(Table1[[#This Row],[SizeOption]]),"NOT AVAILABLE",Table1[[#This Row],[SizeOption]])</f>
        <v>XS, S, M, L, XL, XXL, 3XL</v>
      </c>
      <c r="Y2066" t="str">
        <f>IF(Table2[[#This Row],[Column1]]&gt;50%,"HIGH DISCOUNT","LOW DISCOUNT")</f>
        <v>HIGH DISCOUNT</v>
      </c>
    </row>
    <row r="2067" spans="1:25" x14ac:dyDescent="0.25">
      <c r="A2067" s="2" t="s">
        <v>4431</v>
      </c>
      <c r="B2067" s="2">
        <v>10782772</v>
      </c>
      <c r="C2067" s="2" t="s">
        <v>14</v>
      </c>
      <c r="D2067" s="2" t="s">
        <v>41</v>
      </c>
      <c r="E2067" s="2" t="s">
        <v>16</v>
      </c>
      <c r="F2067" s="2" t="s">
        <v>36</v>
      </c>
      <c r="G2067" s="2" t="s">
        <v>4432</v>
      </c>
      <c r="I2067" s="2">
        <v>2299</v>
      </c>
      <c r="J2067" s="2" t="s">
        <v>150</v>
      </c>
      <c r="K2067" s="2" t="s">
        <v>134</v>
      </c>
      <c r="L2067" s="2">
        <v>4.3</v>
      </c>
      <c r="M2067" s="2">
        <v>690</v>
      </c>
      <c r="P2067" t="str">
        <f t="shared" si="131"/>
        <v>65%</v>
      </c>
      <c r="Q2067" s="12">
        <f t="shared" si="128"/>
        <v>0.65</v>
      </c>
      <c r="R2067" s="9">
        <f t="shared" si="129"/>
        <v>804.64999999999986</v>
      </c>
      <c r="S2067" s="9">
        <f>IF(R2067="",AVERAGEIF(Table1[Category],Table1[[#This Row],[Category]],Table2[orignal data]),Table2[[#This Row],[orignal data]])</f>
        <v>804.64999999999986</v>
      </c>
      <c r="T2067" t="str">
        <f t="shared" si="130"/>
        <v>UNIQUE</v>
      </c>
      <c r="U2067" t="str">
        <f>IF(ISBLANK(Table1[[#This Row],[SizeOption]]),"NOT AVAILABLE",Table1[[#This Row],[SizeOption]])</f>
        <v>26, 28, 30, 32, 34, 36</v>
      </c>
      <c r="Y2067" t="str">
        <f>IF(Table2[[#This Row],[Column1]]&gt;50%,"HIGH DISCOUNT","LOW DISCOUNT")</f>
        <v>HIGH DISCOUNT</v>
      </c>
    </row>
    <row r="2068" spans="1:25" x14ac:dyDescent="0.25">
      <c r="A2068" s="1" t="s">
        <v>4433</v>
      </c>
      <c r="B2068" s="1">
        <v>10188449</v>
      </c>
      <c r="C2068" s="1" t="s">
        <v>169</v>
      </c>
      <c r="D2068" s="1" t="s">
        <v>28</v>
      </c>
      <c r="E2068" s="1" t="s">
        <v>42</v>
      </c>
      <c r="F2068" s="1" t="s">
        <v>17</v>
      </c>
      <c r="G2068" s="1" t="s">
        <v>4434</v>
      </c>
      <c r="H2068">
        <v>649</v>
      </c>
      <c r="I2068" s="1">
        <v>1299</v>
      </c>
      <c r="J2068" s="1" t="s">
        <v>84</v>
      </c>
      <c r="K2068" s="1" t="s">
        <v>39</v>
      </c>
      <c r="L2068" s="1">
        <v>4.3</v>
      </c>
      <c r="M2068" s="1">
        <v>689</v>
      </c>
      <c r="P2068" t="str">
        <f t="shared" si="131"/>
        <v>50%</v>
      </c>
      <c r="Q2068" s="12">
        <f t="shared" si="128"/>
        <v>0.5</v>
      </c>
      <c r="R2068" s="9">
        <f t="shared" si="129"/>
        <v>649.5</v>
      </c>
      <c r="S2068" s="9">
        <f>IF(R2068="",AVERAGEIF(Table1[Category],Table1[[#This Row],[Category]],Table2[orignal data]),Table2[[#This Row],[orignal data]])</f>
        <v>649.5</v>
      </c>
      <c r="T2068" t="str">
        <f t="shared" si="130"/>
        <v>UNIQUE</v>
      </c>
      <c r="U2068" t="str">
        <f>IF(ISBLANK(Table1[[#This Row],[SizeOption]]),"NOT AVAILABLE",Table1[[#This Row],[SizeOption]])</f>
        <v>S, M, L, XL, XXL</v>
      </c>
      <c r="Y2068" t="str">
        <f>IF(Table2[[#This Row],[Column1]]&gt;50%,"HIGH DISCOUNT","LOW DISCOUNT")</f>
        <v>LOW DISCOUNT</v>
      </c>
    </row>
    <row r="2069" spans="1:25" x14ac:dyDescent="0.25">
      <c r="A2069" s="2" t="s">
        <v>4435</v>
      </c>
      <c r="B2069" s="2">
        <v>11402162</v>
      </c>
      <c r="C2069" s="2" t="s">
        <v>113</v>
      </c>
      <c r="D2069" s="2" t="s">
        <v>76</v>
      </c>
      <c r="E2069" s="2" t="s">
        <v>93</v>
      </c>
      <c r="F2069" s="2" t="s">
        <v>36</v>
      </c>
      <c r="G2069" s="2" t="s">
        <v>4436</v>
      </c>
      <c r="H2069">
        <v>559</v>
      </c>
      <c r="I2069" s="2">
        <v>1399</v>
      </c>
      <c r="J2069" s="2" t="s">
        <v>55</v>
      </c>
      <c r="K2069" s="2" t="s">
        <v>115</v>
      </c>
      <c r="L2069" s="2">
        <v>3.8</v>
      </c>
      <c r="M2069" s="2">
        <v>689</v>
      </c>
      <c r="P2069" t="str">
        <f t="shared" si="131"/>
        <v>60%</v>
      </c>
      <c r="Q2069" s="12">
        <f t="shared" si="128"/>
        <v>0.6</v>
      </c>
      <c r="R2069" s="9">
        <f t="shared" si="129"/>
        <v>559.6</v>
      </c>
      <c r="S2069" s="9">
        <f>IF(R2069="",AVERAGEIF(Table1[Category],Table1[[#This Row],[Category]],Table2[orignal data]),Table2[[#This Row],[orignal data]])</f>
        <v>559.6</v>
      </c>
      <c r="T2069" t="str">
        <f t="shared" si="130"/>
        <v>UNIQUE</v>
      </c>
      <c r="U2069" t="str">
        <f>IF(ISBLANK(Table1[[#This Row],[SizeOption]]),"NOT AVAILABLE",Table1[[#This Row],[SizeOption]])</f>
        <v>XS, S, M, L, XL, XXL</v>
      </c>
      <c r="Y2069" t="str">
        <f>IF(Table2[[#This Row],[Column1]]&gt;50%,"HIGH DISCOUNT","LOW DISCOUNT")</f>
        <v>HIGH DISCOUNT</v>
      </c>
    </row>
    <row r="2070" spans="1:25" x14ac:dyDescent="0.25">
      <c r="A2070" s="1" t="s">
        <v>4437</v>
      </c>
      <c r="B2070" s="1">
        <v>7999575</v>
      </c>
      <c r="C2070" s="1" t="s">
        <v>545</v>
      </c>
      <c r="D2070" s="1" t="s">
        <v>76</v>
      </c>
      <c r="E2070" s="1" t="s">
        <v>320</v>
      </c>
      <c r="F2070" s="1" t="s">
        <v>36</v>
      </c>
      <c r="G2070" s="1" t="s">
        <v>4438</v>
      </c>
      <c r="H2070">
        <v>615</v>
      </c>
      <c r="I2070" s="1">
        <v>1399</v>
      </c>
      <c r="J2070" s="1" t="s">
        <v>1204</v>
      </c>
      <c r="K2070" s="1" t="s">
        <v>164</v>
      </c>
      <c r="L2070" s="1">
        <v>4</v>
      </c>
      <c r="M2070" s="1">
        <v>689</v>
      </c>
      <c r="P2070" t="str">
        <f t="shared" si="131"/>
        <v>56%</v>
      </c>
      <c r="Q2070" s="12">
        <f t="shared" si="128"/>
        <v>0.56000000000000005</v>
      </c>
      <c r="R2070" s="9">
        <f t="shared" si="129"/>
        <v>615.55999999999995</v>
      </c>
      <c r="S2070" s="9">
        <f>IF(R2070="",AVERAGEIF(Table1[Category],Table1[[#This Row],[Category]],Table2[orignal data]),Table2[[#This Row],[orignal data]])</f>
        <v>615.55999999999995</v>
      </c>
      <c r="T2070" t="str">
        <f t="shared" si="130"/>
        <v>UNIQUE</v>
      </c>
      <c r="U2070" t="str">
        <f>IF(ISBLANK(Table1[[#This Row],[SizeOption]]),"NOT AVAILABLE",Table1[[#This Row],[SizeOption]])</f>
        <v>Onesize</v>
      </c>
      <c r="Y2070" t="str">
        <f>IF(Table2[[#This Row],[Column1]]&gt;50%,"HIGH DISCOUNT","LOW DISCOUNT")</f>
        <v>HIGH DISCOUNT</v>
      </c>
    </row>
    <row r="2071" spans="1:25" x14ac:dyDescent="0.25">
      <c r="A2071" s="2" t="s">
        <v>4439</v>
      </c>
      <c r="B2071" s="2">
        <v>2444017</v>
      </c>
      <c r="C2071" s="2" t="s">
        <v>92</v>
      </c>
      <c r="D2071" s="2" t="s">
        <v>76</v>
      </c>
      <c r="E2071" s="2" t="s">
        <v>93</v>
      </c>
      <c r="F2071" s="2" t="s">
        <v>36</v>
      </c>
      <c r="G2071" s="2" t="s">
        <v>4440</v>
      </c>
      <c r="H2071">
        <v>544</v>
      </c>
      <c r="I2071" s="2">
        <v>1649</v>
      </c>
      <c r="J2071" s="2" t="s">
        <v>543</v>
      </c>
      <c r="K2071" s="2" t="s">
        <v>39</v>
      </c>
      <c r="L2071" s="2">
        <v>4</v>
      </c>
      <c r="M2071" s="2">
        <v>689</v>
      </c>
      <c r="P2071" t="str">
        <f t="shared" si="131"/>
        <v>67%</v>
      </c>
      <c r="Q2071" s="12">
        <f t="shared" si="128"/>
        <v>0.67</v>
      </c>
      <c r="R2071" s="9">
        <f t="shared" si="129"/>
        <v>544.16999999999985</v>
      </c>
      <c r="S2071" s="9">
        <f>IF(R2071="",AVERAGEIF(Table1[Category],Table1[[#This Row],[Category]],Table2[orignal data]),Table2[[#This Row],[orignal data]])</f>
        <v>544.16999999999985</v>
      </c>
      <c r="T2071" t="str">
        <f t="shared" si="130"/>
        <v>UNIQUE</v>
      </c>
      <c r="U2071" t="str">
        <f>IF(ISBLANK(Table1[[#This Row],[SizeOption]]),"NOT AVAILABLE",Table1[[#This Row],[SizeOption]])</f>
        <v>S, M, L, XL, XXL</v>
      </c>
      <c r="Y2071" t="str">
        <f>IF(Table2[[#This Row],[Column1]]&gt;50%,"HIGH DISCOUNT","LOW DISCOUNT")</f>
        <v>HIGH DISCOUNT</v>
      </c>
    </row>
    <row r="2072" spans="1:25" x14ac:dyDescent="0.25">
      <c r="A2072" s="1" t="s">
        <v>4441</v>
      </c>
      <c r="B2072" s="1">
        <v>10303761</v>
      </c>
      <c r="C2072" s="1" t="s">
        <v>1375</v>
      </c>
      <c r="D2072" s="1" t="s">
        <v>76</v>
      </c>
      <c r="E2072" s="1" t="s">
        <v>320</v>
      </c>
      <c r="F2072" s="1" t="s">
        <v>36</v>
      </c>
      <c r="G2072" s="1" t="s">
        <v>4442</v>
      </c>
      <c r="H2072">
        <v>1727</v>
      </c>
      <c r="I2072" s="1">
        <v>3199</v>
      </c>
      <c r="J2072" s="1" t="s">
        <v>2415</v>
      </c>
      <c r="K2072" s="1" t="s">
        <v>164</v>
      </c>
      <c r="L2072" s="1">
        <v>3.8</v>
      </c>
      <c r="M2072" s="1">
        <v>689</v>
      </c>
      <c r="P2072" t="str">
        <f t="shared" si="131"/>
        <v>46%</v>
      </c>
      <c r="Q2072" s="12">
        <f t="shared" si="128"/>
        <v>0.46</v>
      </c>
      <c r="R2072" s="9">
        <f t="shared" si="129"/>
        <v>1727.46</v>
      </c>
      <c r="S2072" s="9">
        <f>IF(R2072="",AVERAGEIF(Table1[Category],Table1[[#This Row],[Category]],Table2[orignal data]),Table2[[#This Row],[orignal data]])</f>
        <v>1727.46</v>
      </c>
      <c r="T2072" t="str">
        <f t="shared" si="130"/>
        <v>UNIQUE</v>
      </c>
      <c r="U2072" t="str">
        <f>IF(ISBLANK(Table1[[#This Row],[SizeOption]]),"NOT AVAILABLE",Table1[[#This Row],[SizeOption]])</f>
        <v>Onesize</v>
      </c>
      <c r="Y2072" t="str">
        <f>IF(Table2[[#This Row],[Column1]]&gt;50%,"HIGH DISCOUNT","LOW DISCOUNT")</f>
        <v>LOW DISCOUNT</v>
      </c>
    </row>
    <row r="2073" spans="1:25" x14ac:dyDescent="0.25">
      <c r="A2073" s="2" t="s">
        <v>4443</v>
      </c>
      <c r="B2073" s="2">
        <v>8349993</v>
      </c>
      <c r="C2073" s="2" t="s">
        <v>97</v>
      </c>
      <c r="D2073" s="2" t="s">
        <v>76</v>
      </c>
      <c r="E2073" s="2" t="s">
        <v>93</v>
      </c>
      <c r="F2073" s="2" t="s">
        <v>36</v>
      </c>
      <c r="G2073" s="2" t="s">
        <v>4444</v>
      </c>
      <c r="H2073">
        <v>1814</v>
      </c>
      <c r="I2073" s="2">
        <v>3299</v>
      </c>
      <c r="J2073" s="2" t="s">
        <v>19</v>
      </c>
      <c r="K2073" s="2" t="s">
        <v>100</v>
      </c>
      <c r="L2073" s="2">
        <v>4.2</v>
      </c>
      <c r="M2073" s="2">
        <v>689</v>
      </c>
      <c r="P2073" t="str">
        <f t="shared" si="131"/>
        <v>45%</v>
      </c>
      <c r="Q2073" s="12">
        <f t="shared" si="128"/>
        <v>0.45</v>
      </c>
      <c r="R2073" s="9">
        <f t="shared" si="129"/>
        <v>1814.45</v>
      </c>
      <c r="S2073" s="9">
        <f>IF(R2073="",AVERAGEIF(Table1[Category],Table1[[#This Row],[Category]],Table2[orignal data]),Table2[[#This Row],[orignal data]])</f>
        <v>1814.45</v>
      </c>
      <c r="T2073" t="str">
        <f t="shared" si="130"/>
        <v>UNIQUE</v>
      </c>
      <c r="U2073" t="str">
        <f>IF(ISBLANK(Table1[[#This Row],[SizeOption]]),"NOT AVAILABLE",Table1[[#This Row],[SizeOption]])</f>
        <v>XS, S, M, L, XL, XXL, 3XL</v>
      </c>
      <c r="Y2073" t="str">
        <f>IF(Table2[[#This Row],[Column1]]&gt;50%,"HIGH DISCOUNT","LOW DISCOUNT")</f>
        <v>LOW DISCOUNT</v>
      </c>
    </row>
    <row r="2074" spans="1:25" x14ac:dyDescent="0.25">
      <c r="A2074" s="1" t="s">
        <v>4445</v>
      </c>
      <c r="B2074" s="1">
        <v>12545664</v>
      </c>
      <c r="C2074" s="1" t="s">
        <v>64</v>
      </c>
      <c r="D2074" s="1" t="s">
        <v>98</v>
      </c>
      <c r="E2074" s="1" t="s">
        <v>16</v>
      </c>
      <c r="F2074" s="1" t="s">
        <v>36</v>
      </c>
      <c r="G2074" s="1" t="s">
        <v>2398</v>
      </c>
      <c r="H2074">
        <v>1099</v>
      </c>
      <c r="I2074" s="1">
        <v>1999</v>
      </c>
      <c r="J2074" s="1" t="s">
        <v>19</v>
      </c>
      <c r="K2074" s="1" t="s">
        <v>643</v>
      </c>
      <c r="L2074" s="1">
        <v>4.0999999999999996</v>
      </c>
      <c r="M2074" s="1">
        <v>689</v>
      </c>
      <c r="P2074" t="str">
        <f t="shared" si="131"/>
        <v>45%</v>
      </c>
      <c r="Q2074" s="12">
        <f t="shared" si="128"/>
        <v>0.45</v>
      </c>
      <c r="R2074" s="9">
        <f t="shared" si="129"/>
        <v>1099.4499999999998</v>
      </c>
      <c r="S2074" s="9">
        <f>IF(R2074="",AVERAGEIF(Table1[Category],Table1[[#This Row],[Category]],Table2[orignal data]),Table2[[#This Row],[orignal data]])</f>
        <v>1099.4499999999998</v>
      </c>
      <c r="T2074" t="str">
        <f t="shared" si="130"/>
        <v>UNIQUE</v>
      </c>
      <c r="U2074" t="str">
        <f>IF(ISBLANK(Table1[[#This Row],[SizeOption]]),"NOT AVAILABLE",Table1[[#This Row],[SizeOption]])</f>
        <v>26, 28, 30, 32, 34, 36, 38, 40</v>
      </c>
      <c r="Y2074" t="str">
        <f>IF(Table2[[#This Row],[Column1]]&gt;50%,"HIGH DISCOUNT","LOW DISCOUNT")</f>
        <v>LOW DISCOUNT</v>
      </c>
    </row>
    <row r="2075" spans="1:25" x14ac:dyDescent="0.25">
      <c r="A2075" s="2" t="s">
        <v>4446</v>
      </c>
      <c r="B2075" s="2">
        <v>11245464</v>
      </c>
      <c r="C2075" s="2" t="s">
        <v>67</v>
      </c>
      <c r="D2075" s="2" t="s">
        <v>68</v>
      </c>
      <c r="E2075" s="2" t="s">
        <v>69</v>
      </c>
      <c r="F2075" s="2" t="s">
        <v>36</v>
      </c>
      <c r="G2075" s="2" t="s">
        <v>4447</v>
      </c>
      <c r="H2075">
        <v>679</v>
      </c>
      <c r="I2075" s="2">
        <v>1699</v>
      </c>
      <c r="J2075" s="2" t="s">
        <v>55</v>
      </c>
      <c r="K2075" s="2" t="s">
        <v>115</v>
      </c>
      <c r="L2075" s="2">
        <v>4.2</v>
      </c>
      <c r="M2075" s="2">
        <v>689</v>
      </c>
      <c r="P2075" t="str">
        <f t="shared" si="131"/>
        <v>60%</v>
      </c>
      <c r="Q2075" s="12">
        <f t="shared" si="128"/>
        <v>0.6</v>
      </c>
      <c r="R2075" s="9">
        <f t="shared" si="129"/>
        <v>679.6</v>
      </c>
      <c r="S2075" s="9">
        <f>IF(R2075="",AVERAGEIF(Table1[Category],Table1[[#This Row],[Category]],Table2[orignal data]),Table2[[#This Row],[orignal data]])</f>
        <v>679.6</v>
      </c>
      <c r="T2075" t="str">
        <f t="shared" si="130"/>
        <v>UNIQUE</v>
      </c>
      <c r="U2075" t="str">
        <f>IF(ISBLANK(Table1[[#This Row],[SizeOption]]),"NOT AVAILABLE",Table1[[#This Row],[SizeOption]])</f>
        <v>XS, S, M, L, XL, XXL</v>
      </c>
      <c r="Y2075" t="str">
        <f>IF(Table2[[#This Row],[Column1]]&gt;50%,"HIGH DISCOUNT","LOW DISCOUNT")</f>
        <v>HIGH DISCOUNT</v>
      </c>
    </row>
    <row r="2076" spans="1:25" x14ac:dyDescent="0.25">
      <c r="A2076" s="1" t="s">
        <v>4448</v>
      </c>
      <c r="B2076" s="1">
        <v>13840088</v>
      </c>
      <c r="C2076" s="1" t="s">
        <v>124</v>
      </c>
      <c r="D2076" s="1" t="s">
        <v>41</v>
      </c>
      <c r="E2076" s="1" t="s">
        <v>148</v>
      </c>
      <c r="F2076" s="1" t="s">
        <v>36</v>
      </c>
      <c r="G2076" s="1" t="s">
        <v>4449</v>
      </c>
      <c r="I2076" s="1">
        <v>1999</v>
      </c>
      <c r="J2076" s="1" t="s">
        <v>150</v>
      </c>
      <c r="K2076" s="1" t="s">
        <v>115</v>
      </c>
      <c r="L2076" s="1">
        <v>4.4000000000000004</v>
      </c>
      <c r="M2076" s="1">
        <v>689</v>
      </c>
      <c r="P2076" t="str">
        <f t="shared" si="131"/>
        <v>65%</v>
      </c>
      <c r="Q2076" s="12">
        <f t="shared" si="128"/>
        <v>0.65</v>
      </c>
      <c r="R2076" s="9">
        <f t="shared" si="129"/>
        <v>699.64999999999986</v>
      </c>
      <c r="S2076" s="9">
        <f>IF(R2076="",AVERAGEIF(Table1[Category],Table1[[#This Row],[Category]],Table2[orignal data]),Table2[[#This Row],[orignal data]])</f>
        <v>699.64999999999986</v>
      </c>
      <c r="T2076" t="str">
        <f t="shared" si="130"/>
        <v>UNIQUE</v>
      </c>
      <c r="U2076" t="str">
        <f>IF(ISBLANK(Table1[[#This Row],[SizeOption]]),"NOT AVAILABLE",Table1[[#This Row],[SizeOption]])</f>
        <v>XS, S, M, L, XL, XXL</v>
      </c>
      <c r="Y2076" t="str">
        <f>IF(Table2[[#This Row],[Column1]]&gt;50%,"HIGH DISCOUNT","LOW DISCOUNT")</f>
        <v>HIGH DISCOUNT</v>
      </c>
    </row>
    <row r="2077" spans="1:25" x14ac:dyDescent="0.25">
      <c r="A2077" s="2" t="s">
        <v>4450</v>
      </c>
      <c r="B2077" s="2">
        <v>7414866</v>
      </c>
      <c r="C2077" s="2" t="s">
        <v>132</v>
      </c>
      <c r="D2077" s="2" t="s">
        <v>41</v>
      </c>
      <c r="E2077" s="2" t="s">
        <v>53</v>
      </c>
      <c r="F2077" s="2" t="s">
        <v>36</v>
      </c>
      <c r="G2077" s="2" t="s">
        <v>4451</v>
      </c>
      <c r="I2077" s="2">
        <v>2299</v>
      </c>
      <c r="J2077" s="2" t="s">
        <v>79</v>
      </c>
      <c r="K2077" s="2" t="s">
        <v>428</v>
      </c>
      <c r="L2077" s="2">
        <v>4.0999999999999996</v>
      </c>
      <c r="M2077" s="2">
        <v>689</v>
      </c>
      <c r="P2077" t="str">
        <f t="shared" si="131"/>
        <v>70%</v>
      </c>
      <c r="Q2077" s="12">
        <f t="shared" si="128"/>
        <v>0.7</v>
      </c>
      <c r="R2077" s="9">
        <f t="shared" si="129"/>
        <v>689.7</v>
      </c>
      <c r="S2077" s="9">
        <f>IF(R2077="",AVERAGEIF(Table1[Category],Table1[[#This Row],[Category]],Table2[orignal data]),Table2[[#This Row],[orignal data]])</f>
        <v>689.7</v>
      </c>
      <c r="T2077" t="str">
        <f t="shared" si="130"/>
        <v>UNIQUE</v>
      </c>
      <c r="U2077" t="str">
        <f>IF(ISBLANK(Table1[[#This Row],[SizeOption]]),"NOT AVAILABLE",Table1[[#This Row],[SizeOption]])</f>
        <v>26, 28, 30, 32, 34</v>
      </c>
      <c r="Y2077" t="str">
        <f>IF(Table2[[#This Row],[Column1]]&gt;50%,"HIGH DISCOUNT","LOW DISCOUNT")</f>
        <v>HIGH DISCOUNT</v>
      </c>
    </row>
    <row r="2078" spans="1:25" x14ac:dyDescent="0.25">
      <c r="A2078" s="1" t="s">
        <v>4452</v>
      </c>
      <c r="B2078" s="1">
        <v>13836306</v>
      </c>
      <c r="C2078" s="1" t="s">
        <v>52</v>
      </c>
      <c r="D2078" s="1" t="s">
        <v>28</v>
      </c>
      <c r="E2078" s="1" t="s">
        <v>29</v>
      </c>
      <c r="F2078" s="1" t="s">
        <v>17</v>
      </c>
      <c r="G2078" s="1" t="s">
        <v>4453</v>
      </c>
      <c r="H2078">
        <v>649</v>
      </c>
      <c r="I2078" s="1">
        <v>1249</v>
      </c>
      <c r="J2078" s="1" t="s">
        <v>602</v>
      </c>
      <c r="K2078" s="1" t="s">
        <v>90</v>
      </c>
      <c r="L2078" s="1">
        <v>4.2</v>
      </c>
      <c r="M2078" s="1">
        <v>688</v>
      </c>
      <c r="P2078" t="str">
        <f t="shared" si="131"/>
        <v>48%</v>
      </c>
      <c r="Q2078" s="12">
        <f t="shared" si="128"/>
        <v>0.48</v>
      </c>
      <c r="R2078" s="9">
        <f t="shared" si="129"/>
        <v>649.48</v>
      </c>
      <c r="S2078" s="9">
        <f>IF(R2078="",AVERAGEIF(Table1[Category],Table1[[#This Row],[Category]],Table2[orignal data]),Table2[[#This Row],[orignal data]])</f>
        <v>649.48</v>
      </c>
      <c r="T2078" t="str">
        <f t="shared" si="130"/>
        <v>UNIQUE</v>
      </c>
      <c r="U2078" t="str">
        <f>IF(ISBLANK(Table1[[#This Row],[SizeOption]]),"NOT AVAILABLE",Table1[[#This Row],[SizeOption]])</f>
        <v>39, 40, 42, 44</v>
      </c>
      <c r="Y2078" t="str">
        <f>IF(Table2[[#This Row],[Column1]]&gt;50%,"HIGH DISCOUNT","LOW DISCOUNT")</f>
        <v>LOW DISCOUNT</v>
      </c>
    </row>
    <row r="2079" spans="1:25" x14ac:dyDescent="0.25">
      <c r="A2079" s="2" t="s">
        <v>4454</v>
      </c>
      <c r="B2079" s="2">
        <v>10673588</v>
      </c>
      <c r="C2079" s="2" t="s">
        <v>3643</v>
      </c>
      <c r="D2079" s="2" t="s">
        <v>28</v>
      </c>
      <c r="E2079" s="2" t="s">
        <v>29</v>
      </c>
      <c r="F2079" s="2" t="s">
        <v>17</v>
      </c>
      <c r="G2079" s="2" t="s">
        <v>4455</v>
      </c>
      <c r="H2079">
        <v>626</v>
      </c>
      <c r="I2079" s="2">
        <v>1649</v>
      </c>
      <c r="J2079" s="2" t="s">
        <v>126</v>
      </c>
      <c r="K2079" s="2" t="s">
        <v>484</v>
      </c>
      <c r="L2079" s="2">
        <v>3.9</v>
      </c>
      <c r="M2079" s="2">
        <v>688</v>
      </c>
      <c r="P2079" t="str">
        <f t="shared" si="131"/>
        <v>62%</v>
      </c>
      <c r="Q2079" s="12">
        <f t="shared" si="128"/>
        <v>0.62</v>
      </c>
      <c r="R2079" s="9">
        <f t="shared" si="129"/>
        <v>626.62</v>
      </c>
      <c r="S2079" s="9">
        <f>IF(R2079="",AVERAGEIF(Table1[Category],Table1[[#This Row],[Category]],Table2[orignal data]),Table2[[#This Row],[orignal data]])</f>
        <v>626.62</v>
      </c>
      <c r="T2079" t="str">
        <f t="shared" si="130"/>
        <v>UNIQUE</v>
      </c>
      <c r="U2079" t="str">
        <f>IF(ISBLANK(Table1[[#This Row],[SizeOption]]),"NOT AVAILABLE",Table1[[#This Row],[SizeOption]])</f>
        <v>39, 40, 42, 44, 46</v>
      </c>
      <c r="Y2079" t="str">
        <f>IF(Table2[[#This Row],[Column1]]&gt;50%,"HIGH DISCOUNT","LOW DISCOUNT")</f>
        <v>HIGH DISCOUNT</v>
      </c>
    </row>
    <row r="2080" spans="1:25" x14ac:dyDescent="0.25">
      <c r="A2080" s="1" t="s">
        <v>4456</v>
      </c>
      <c r="B2080" s="1">
        <v>13932904</v>
      </c>
      <c r="C2080" s="1" t="s">
        <v>232</v>
      </c>
      <c r="D2080" s="1" t="s">
        <v>76</v>
      </c>
      <c r="E2080" s="1" t="s">
        <v>93</v>
      </c>
      <c r="F2080" s="1" t="s">
        <v>36</v>
      </c>
      <c r="G2080" s="1" t="s">
        <v>4457</v>
      </c>
      <c r="H2080">
        <v>597</v>
      </c>
      <c r="I2080" s="1">
        <v>1660</v>
      </c>
      <c r="J2080" s="1" t="s">
        <v>416</v>
      </c>
      <c r="K2080" s="1" t="s">
        <v>234</v>
      </c>
      <c r="L2080" s="1">
        <v>4.5999999999999996</v>
      </c>
      <c r="M2080" s="1">
        <v>688</v>
      </c>
      <c r="P2080" t="str">
        <f t="shared" si="131"/>
        <v>64%</v>
      </c>
      <c r="Q2080" s="12">
        <f t="shared" si="128"/>
        <v>0.64</v>
      </c>
      <c r="R2080" s="9">
        <f t="shared" si="129"/>
        <v>597.59999999999991</v>
      </c>
      <c r="S2080" s="9">
        <f>IF(R2080="",AVERAGEIF(Table1[Category],Table1[[#This Row],[Category]],Table2[orignal data]),Table2[[#This Row],[orignal data]])</f>
        <v>597.59999999999991</v>
      </c>
      <c r="T2080" t="str">
        <f t="shared" si="130"/>
        <v>UNIQUE</v>
      </c>
      <c r="U2080" t="str">
        <f>IF(ISBLANK(Table1[[#This Row],[SizeOption]]),"NOT AVAILABLE",Table1[[#This Row],[SizeOption]])</f>
        <v>S, M, L, XL, XXL, 3XL</v>
      </c>
      <c r="Y2080" t="str">
        <f>IF(Table2[[#This Row],[Column1]]&gt;50%,"HIGH DISCOUNT","LOW DISCOUNT")</f>
        <v>HIGH DISCOUNT</v>
      </c>
    </row>
    <row r="2081" spans="1:25" x14ac:dyDescent="0.25">
      <c r="A2081" s="2" t="s">
        <v>4458</v>
      </c>
      <c r="B2081" s="2">
        <v>14252908</v>
      </c>
      <c r="C2081" s="2" t="s">
        <v>837</v>
      </c>
      <c r="D2081" s="2" t="s">
        <v>76</v>
      </c>
      <c r="E2081" s="2" t="s">
        <v>320</v>
      </c>
      <c r="F2081" s="2" t="s">
        <v>36</v>
      </c>
      <c r="G2081" s="2" t="s">
        <v>4459</v>
      </c>
      <c r="H2081">
        <v>415</v>
      </c>
      <c r="I2081" s="2">
        <v>2187</v>
      </c>
      <c r="J2081" s="2" t="s">
        <v>2698</v>
      </c>
      <c r="K2081" s="2" t="s">
        <v>164</v>
      </c>
      <c r="L2081" s="2">
        <v>4.0999999999999996</v>
      </c>
      <c r="M2081" s="2">
        <v>688</v>
      </c>
      <c r="P2081" t="str">
        <f t="shared" si="131"/>
        <v>81%</v>
      </c>
      <c r="Q2081" s="12">
        <f t="shared" si="128"/>
        <v>0.81</v>
      </c>
      <c r="R2081" s="9">
        <f t="shared" si="129"/>
        <v>415.53</v>
      </c>
      <c r="S2081" s="9">
        <f>IF(R2081="",AVERAGEIF(Table1[Category],Table1[[#This Row],[Category]],Table2[orignal data]),Table2[[#This Row],[orignal data]])</f>
        <v>415.53</v>
      </c>
      <c r="T2081" t="str">
        <f t="shared" si="130"/>
        <v>UNIQUE</v>
      </c>
      <c r="U2081" t="str">
        <f>IF(ISBLANK(Table1[[#This Row],[SizeOption]]),"NOT AVAILABLE",Table1[[#This Row],[SizeOption]])</f>
        <v>Onesize</v>
      </c>
      <c r="Y2081" t="str">
        <f>IF(Table2[[#This Row],[Column1]]&gt;50%,"HIGH DISCOUNT","LOW DISCOUNT")</f>
        <v>HIGH DISCOUNT</v>
      </c>
    </row>
    <row r="2082" spans="1:25" x14ac:dyDescent="0.25">
      <c r="A2082" s="1" t="s">
        <v>4460</v>
      </c>
      <c r="B2082" s="1">
        <v>11096590</v>
      </c>
      <c r="C2082" s="1" t="s">
        <v>1375</v>
      </c>
      <c r="D2082" s="1" t="s">
        <v>76</v>
      </c>
      <c r="E2082" s="1" t="s">
        <v>320</v>
      </c>
      <c r="F2082" s="1" t="s">
        <v>36</v>
      </c>
      <c r="G2082" s="1" t="s">
        <v>4461</v>
      </c>
      <c r="H2082">
        <v>1424</v>
      </c>
      <c r="I2082" s="1">
        <v>5699</v>
      </c>
      <c r="J2082" s="1" t="s">
        <v>109</v>
      </c>
      <c r="K2082" s="1" t="s">
        <v>164</v>
      </c>
      <c r="L2082" s="1">
        <v>4.0999999999999996</v>
      </c>
      <c r="M2082" s="1">
        <v>688</v>
      </c>
      <c r="P2082" t="str">
        <f t="shared" si="131"/>
        <v>75%</v>
      </c>
      <c r="Q2082" s="12">
        <f t="shared" si="128"/>
        <v>0.75</v>
      </c>
      <c r="R2082" s="9">
        <f t="shared" si="129"/>
        <v>1424.75</v>
      </c>
      <c r="S2082" s="9">
        <f>IF(R2082="",AVERAGEIF(Table1[Category],Table1[[#This Row],[Category]],Table2[orignal data]),Table2[[#This Row],[orignal data]])</f>
        <v>1424.75</v>
      </c>
      <c r="T2082" t="str">
        <f t="shared" si="130"/>
        <v>UNIQUE</v>
      </c>
      <c r="U2082" t="str">
        <f>IF(ISBLANK(Table1[[#This Row],[SizeOption]]),"NOT AVAILABLE",Table1[[#This Row],[SizeOption]])</f>
        <v>Onesize</v>
      </c>
      <c r="Y2082" t="str">
        <f>IF(Table2[[#This Row],[Column1]]&gt;50%,"HIGH DISCOUNT","LOW DISCOUNT")</f>
        <v>HIGH DISCOUNT</v>
      </c>
    </row>
    <row r="2083" spans="1:25" x14ac:dyDescent="0.25">
      <c r="A2083" s="2" t="s">
        <v>4462</v>
      </c>
      <c r="B2083" s="2">
        <v>11883136</v>
      </c>
      <c r="C2083" s="2" t="s">
        <v>107</v>
      </c>
      <c r="D2083" s="2" t="s">
        <v>34</v>
      </c>
      <c r="E2083" s="2" t="s">
        <v>118</v>
      </c>
      <c r="F2083" s="2" t="s">
        <v>36</v>
      </c>
      <c r="G2083" s="2" t="s">
        <v>4463</v>
      </c>
      <c r="H2083">
        <v>439</v>
      </c>
      <c r="I2083" s="2">
        <v>1099</v>
      </c>
      <c r="J2083" s="2" t="s">
        <v>55</v>
      </c>
      <c r="K2083" s="2" t="s">
        <v>549</v>
      </c>
      <c r="L2083" s="2">
        <v>4.3</v>
      </c>
      <c r="M2083" s="2">
        <v>688</v>
      </c>
      <c r="P2083" t="str">
        <f t="shared" si="131"/>
        <v>60%</v>
      </c>
      <c r="Q2083" s="12">
        <f t="shared" si="128"/>
        <v>0.6</v>
      </c>
      <c r="R2083" s="9">
        <f t="shared" si="129"/>
        <v>439.6</v>
      </c>
      <c r="S2083" s="9">
        <f>IF(R2083="",AVERAGEIF(Table1[Category],Table1[[#This Row],[Category]],Table2[orignal data]),Table2[[#This Row],[orignal data]])</f>
        <v>439.6</v>
      </c>
      <c r="T2083" t="str">
        <f t="shared" si="130"/>
        <v>UNIQUE</v>
      </c>
      <c r="U2083" t="str">
        <f>IF(ISBLANK(Table1[[#This Row],[SizeOption]]),"NOT AVAILABLE",Table1[[#This Row],[SizeOption]])</f>
        <v>32B, 32C, 34B, 34C, 34D, 36B, 36C, 36D, 38B, 38C, 38D</v>
      </c>
      <c r="Y2083" t="str">
        <f>IF(Table2[[#This Row],[Column1]]&gt;50%,"HIGH DISCOUNT","LOW DISCOUNT")</f>
        <v>HIGH DISCOUNT</v>
      </c>
    </row>
    <row r="2084" spans="1:25" x14ac:dyDescent="0.25">
      <c r="A2084" s="1" t="s">
        <v>4464</v>
      </c>
      <c r="B2084" s="1">
        <v>11156880</v>
      </c>
      <c r="C2084" s="1" t="s">
        <v>4364</v>
      </c>
      <c r="D2084" s="1" t="s">
        <v>41</v>
      </c>
      <c r="E2084" s="1" t="s">
        <v>42</v>
      </c>
      <c r="F2084" s="1" t="s">
        <v>36</v>
      </c>
      <c r="G2084" s="1" t="s">
        <v>4465</v>
      </c>
      <c r="I2084" s="1">
        <v>1299</v>
      </c>
      <c r="J2084" s="1" t="s">
        <v>416</v>
      </c>
      <c r="K2084" s="1" t="s">
        <v>26</v>
      </c>
      <c r="L2084" s="1">
        <v>4.3</v>
      </c>
      <c r="M2084" s="1">
        <v>688</v>
      </c>
      <c r="P2084" t="str">
        <f t="shared" si="131"/>
        <v>64%</v>
      </c>
      <c r="Q2084" s="12">
        <f t="shared" si="128"/>
        <v>0.64</v>
      </c>
      <c r="R2084" s="9">
        <f t="shared" si="129"/>
        <v>467.64</v>
      </c>
      <c r="S2084" s="9">
        <f>IF(R2084="",AVERAGEIF(Table1[Category],Table1[[#This Row],[Category]],Table2[orignal data]),Table2[[#This Row],[orignal data]])</f>
        <v>467.64</v>
      </c>
      <c r="T2084" t="str">
        <f t="shared" si="130"/>
        <v>UNIQUE</v>
      </c>
      <c r="U2084" t="str">
        <f>IF(ISBLANK(Table1[[#This Row],[SizeOption]]),"NOT AVAILABLE",Table1[[#This Row],[SizeOption]])</f>
        <v>S, M, L, XL</v>
      </c>
      <c r="Y2084" t="str">
        <f>IF(Table2[[#This Row],[Column1]]&gt;50%,"HIGH DISCOUNT","LOW DISCOUNT")</f>
        <v>HIGH DISCOUNT</v>
      </c>
    </row>
    <row r="2085" spans="1:25" x14ac:dyDescent="0.25">
      <c r="A2085" s="2" t="s">
        <v>4466</v>
      </c>
      <c r="B2085" s="2">
        <v>7625915</v>
      </c>
      <c r="C2085" s="2" t="s">
        <v>102</v>
      </c>
      <c r="D2085" s="2" t="s">
        <v>41</v>
      </c>
      <c r="E2085" s="2" t="s">
        <v>16</v>
      </c>
      <c r="F2085" s="2" t="s">
        <v>36</v>
      </c>
      <c r="G2085" s="2" t="s">
        <v>4467</v>
      </c>
      <c r="I2085" s="2">
        <v>1899</v>
      </c>
      <c r="J2085" s="2" t="s">
        <v>55</v>
      </c>
      <c r="K2085" s="2" t="s">
        <v>428</v>
      </c>
      <c r="L2085" s="2">
        <v>4</v>
      </c>
      <c r="M2085" s="2">
        <v>688</v>
      </c>
      <c r="P2085" t="str">
        <f t="shared" si="131"/>
        <v>60%</v>
      </c>
      <c r="Q2085" s="12">
        <f t="shared" si="128"/>
        <v>0.6</v>
      </c>
      <c r="R2085" s="9">
        <f t="shared" si="129"/>
        <v>759.60000000000014</v>
      </c>
      <c r="S2085" s="9">
        <f>IF(R2085="",AVERAGEIF(Table1[Category],Table1[[#This Row],[Category]],Table2[orignal data]),Table2[[#This Row],[orignal data]])</f>
        <v>759.60000000000014</v>
      </c>
      <c r="T2085" t="str">
        <f t="shared" si="130"/>
        <v>UNIQUE</v>
      </c>
      <c r="U2085" t="str">
        <f>IF(ISBLANK(Table1[[#This Row],[SizeOption]]),"NOT AVAILABLE",Table1[[#This Row],[SizeOption]])</f>
        <v>26, 28, 30, 32, 34</v>
      </c>
      <c r="Y2085" t="str">
        <f>IF(Table2[[#This Row],[Column1]]&gt;50%,"HIGH DISCOUNT","LOW DISCOUNT")</f>
        <v>HIGH DISCOUNT</v>
      </c>
    </row>
    <row r="2086" spans="1:25" x14ac:dyDescent="0.25">
      <c r="A2086" s="1" t="s">
        <v>4468</v>
      </c>
      <c r="B2086" s="1">
        <v>1804157</v>
      </c>
      <c r="C2086" s="1" t="s">
        <v>107</v>
      </c>
      <c r="D2086" s="1" t="s">
        <v>41</v>
      </c>
      <c r="E2086" s="1" t="s">
        <v>82</v>
      </c>
      <c r="F2086" s="1" t="s">
        <v>36</v>
      </c>
      <c r="G2086" s="1" t="s">
        <v>4469</v>
      </c>
      <c r="I2086" s="1">
        <v>2199</v>
      </c>
      <c r="J2086" s="1" t="s">
        <v>79</v>
      </c>
      <c r="K2086" s="1" t="s">
        <v>45</v>
      </c>
      <c r="L2086" s="1">
        <v>4</v>
      </c>
      <c r="M2086" s="1">
        <v>688</v>
      </c>
      <c r="P2086" t="str">
        <f t="shared" si="131"/>
        <v>70%</v>
      </c>
      <c r="Q2086" s="12">
        <f t="shared" si="128"/>
        <v>0.7</v>
      </c>
      <c r="R2086" s="9">
        <f t="shared" si="129"/>
        <v>659.7</v>
      </c>
      <c r="S2086" s="9">
        <f>IF(R2086="",AVERAGEIF(Table1[Category],Table1[[#This Row],[Category]],Table2[orignal data]),Table2[[#This Row],[orignal data]])</f>
        <v>659.7</v>
      </c>
      <c r="T2086" t="str">
        <f t="shared" si="130"/>
        <v>UNIQUE</v>
      </c>
      <c r="U2086" t="str">
        <f>IF(ISBLANK(Table1[[#This Row],[SizeOption]]),"NOT AVAILABLE",Table1[[#This Row],[SizeOption]])</f>
        <v>XS, S, M, L, XL</v>
      </c>
      <c r="Y2086" t="str">
        <f>IF(Table2[[#This Row],[Column1]]&gt;50%,"HIGH DISCOUNT","LOW DISCOUNT")</f>
        <v>HIGH DISCOUNT</v>
      </c>
    </row>
    <row r="2087" spans="1:25" x14ac:dyDescent="0.25">
      <c r="A2087" s="2" t="s">
        <v>4470</v>
      </c>
      <c r="B2087" s="2">
        <v>11767384</v>
      </c>
      <c r="C2087" s="2" t="s">
        <v>155</v>
      </c>
      <c r="D2087" s="2" t="s">
        <v>41</v>
      </c>
      <c r="E2087" s="2" t="s">
        <v>148</v>
      </c>
      <c r="F2087" s="2" t="s">
        <v>36</v>
      </c>
      <c r="G2087" s="2" t="s">
        <v>4471</v>
      </c>
      <c r="I2087" s="2">
        <v>2467</v>
      </c>
      <c r="J2087" s="2" t="s">
        <v>60</v>
      </c>
      <c r="K2087" s="2" t="s">
        <v>45</v>
      </c>
      <c r="L2087" s="2">
        <v>4.2</v>
      </c>
      <c r="M2087" s="2">
        <v>688</v>
      </c>
      <c r="P2087" t="str">
        <f t="shared" si="131"/>
        <v>58%</v>
      </c>
      <c r="Q2087" s="12">
        <f t="shared" si="128"/>
        <v>0.57999999999999996</v>
      </c>
      <c r="R2087" s="9">
        <f t="shared" si="129"/>
        <v>1036.1400000000001</v>
      </c>
      <c r="S2087" s="9">
        <f>IF(R2087="",AVERAGEIF(Table1[Category],Table1[[#This Row],[Category]],Table2[orignal data]),Table2[[#This Row],[orignal data]])</f>
        <v>1036.1400000000001</v>
      </c>
      <c r="T2087" t="str">
        <f t="shared" si="130"/>
        <v>UNIQUE</v>
      </c>
      <c r="U2087" t="str">
        <f>IF(ISBLANK(Table1[[#This Row],[SizeOption]]),"NOT AVAILABLE",Table1[[#This Row],[SizeOption]])</f>
        <v>XS, S, M, L, XL</v>
      </c>
      <c r="Y2087" t="str">
        <f>IF(Table2[[#This Row],[Column1]]&gt;50%,"HIGH DISCOUNT","LOW DISCOUNT")</f>
        <v>HIGH DISCOUNT</v>
      </c>
    </row>
    <row r="2088" spans="1:25" x14ac:dyDescent="0.25">
      <c r="A2088" s="1" t="s">
        <v>4472</v>
      </c>
      <c r="B2088" s="1">
        <v>11274486</v>
      </c>
      <c r="C2088" s="1" t="s">
        <v>14</v>
      </c>
      <c r="D2088" s="1" t="s">
        <v>15</v>
      </c>
      <c r="E2088" s="1" t="s">
        <v>16</v>
      </c>
      <c r="F2088" s="1" t="s">
        <v>17</v>
      </c>
      <c r="G2088" s="1" t="s">
        <v>2846</v>
      </c>
      <c r="H2088">
        <v>879</v>
      </c>
      <c r="I2088" s="1">
        <v>2199</v>
      </c>
      <c r="J2088" s="1" t="s">
        <v>55</v>
      </c>
      <c r="K2088" s="1" t="s">
        <v>20</v>
      </c>
      <c r="L2088" s="1">
        <v>3.9</v>
      </c>
      <c r="M2088" s="1">
        <v>687</v>
      </c>
      <c r="P2088" t="str">
        <f t="shared" si="131"/>
        <v>60%</v>
      </c>
      <c r="Q2088" s="12">
        <f t="shared" si="128"/>
        <v>0.6</v>
      </c>
      <c r="R2088" s="9">
        <f t="shared" si="129"/>
        <v>879.60000000000014</v>
      </c>
      <c r="S2088" s="9">
        <f>IF(R2088="",AVERAGEIF(Table1[Category],Table1[[#This Row],[Category]],Table2[orignal data]),Table2[[#This Row],[orignal data]])</f>
        <v>879.60000000000014</v>
      </c>
      <c r="T2088" t="str">
        <f t="shared" si="130"/>
        <v>UNIQUE</v>
      </c>
      <c r="U2088" t="str">
        <f>IF(ISBLANK(Table1[[#This Row],[SizeOption]]),"NOT AVAILABLE",Table1[[#This Row],[SizeOption]])</f>
        <v>28, 30, 32, 34, 36</v>
      </c>
      <c r="Y2088" t="str">
        <f>IF(Table2[[#This Row],[Column1]]&gt;50%,"HIGH DISCOUNT","LOW DISCOUNT")</f>
        <v>HIGH DISCOUNT</v>
      </c>
    </row>
    <row r="2089" spans="1:25" x14ac:dyDescent="0.25">
      <c r="A2089" s="2" t="s">
        <v>4473</v>
      </c>
      <c r="B2089" s="2">
        <v>1874586</v>
      </c>
      <c r="C2089" s="2" t="s">
        <v>841</v>
      </c>
      <c r="D2089" s="2" t="s">
        <v>15</v>
      </c>
      <c r="E2089" s="2" t="s">
        <v>137</v>
      </c>
      <c r="F2089" s="2" t="s">
        <v>17</v>
      </c>
      <c r="G2089" s="2" t="s">
        <v>4474</v>
      </c>
      <c r="H2089">
        <v>824</v>
      </c>
      <c r="I2089" s="2">
        <v>1499</v>
      </c>
      <c r="J2089" s="2" t="s">
        <v>19</v>
      </c>
      <c r="K2089" s="2" t="s">
        <v>20</v>
      </c>
      <c r="L2089" s="2">
        <v>4.3</v>
      </c>
      <c r="M2089" s="2">
        <v>687</v>
      </c>
      <c r="P2089" t="str">
        <f t="shared" si="131"/>
        <v>45%</v>
      </c>
      <c r="Q2089" s="12">
        <f t="shared" si="128"/>
        <v>0.45</v>
      </c>
      <c r="R2089" s="9">
        <f t="shared" si="129"/>
        <v>824.44999999999993</v>
      </c>
      <c r="S2089" s="9">
        <f>IF(R2089="",AVERAGEIF(Table1[Category],Table1[[#This Row],[Category]],Table2[orignal data]),Table2[[#This Row],[orignal data]])</f>
        <v>824.44999999999993</v>
      </c>
      <c r="T2089" t="str">
        <f t="shared" si="130"/>
        <v>UNIQUE</v>
      </c>
      <c r="U2089" t="str">
        <f>IF(ISBLANK(Table1[[#This Row],[SizeOption]]),"NOT AVAILABLE",Table1[[#This Row],[SizeOption]])</f>
        <v>28, 30, 32, 34, 36</v>
      </c>
      <c r="Y2089" t="str">
        <f>IF(Table2[[#This Row],[Column1]]&gt;50%,"HIGH DISCOUNT","LOW DISCOUNT")</f>
        <v>LOW DISCOUNT</v>
      </c>
    </row>
    <row r="2090" spans="1:25" x14ac:dyDescent="0.25">
      <c r="A2090" s="1" t="s">
        <v>4475</v>
      </c>
      <c r="B2090" s="1">
        <v>12928860</v>
      </c>
      <c r="C2090" s="1" t="s">
        <v>4476</v>
      </c>
      <c r="D2090" s="1" t="s">
        <v>68</v>
      </c>
      <c r="E2090" s="1" t="s">
        <v>42</v>
      </c>
      <c r="F2090" s="1" t="s">
        <v>17</v>
      </c>
      <c r="G2090" s="1" t="s">
        <v>4477</v>
      </c>
      <c r="H2090">
        <v>484</v>
      </c>
      <c r="I2090" s="1">
        <v>499</v>
      </c>
      <c r="J2090" s="1" t="s">
        <v>4478</v>
      </c>
      <c r="K2090" s="1" t="s">
        <v>39</v>
      </c>
      <c r="L2090" s="1">
        <v>4.0999999999999996</v>
      </c>
      <c r="M2090" s="1">
        <v>687</v>
      </c>
      <c r="P2090" t="str">
        <f t="shared" si="131"/>
        <v>3%</v>
      </c>
      <c r="Q2090" s="12">
        <f t="shared" si="128"/>
        <v>0.03</v>
      </c>
      <c r="R2090" s="9">
        <f t="shared" si="129"/>
        <v>484.03</v>
      </c>
      <c r="S2090" s="9">
        <f>IF(R2090="",AVERAGEIF(Table1[Category],Table1[[#This Row],[Category]],Table2[orignal data]),Table2[[#This Row],[orignal data]])</f>
        <v>484.03</v>
      </c>
      <c r="T2090" t="str">
        <f t="shared" si="130"/>
        <v>UNIQUE</v>
      </c>
      <c r="U2090" t="str">
        <f>IF(ISBLANK(Table1[[#This Row],[SizeOption]]),"NOT AVAILABLE",Table1[[#This Row],[SizeOption]])</f>
        <v>S, M, L, XL, XXL</v>
      </c>
      <c r="Y2090" t="str">
        <f>IF(Table2[[#This Row],[Column1]]&gt;50%,"HIGH DISCOUNT","LOW DISCOUNT")</f>
        <v>LOW DISCOUNT</v>
      </c>
    </row>
    <row r="2091" spans="1:25" x14ac:dyDescent="0.25">
      <c r="A2091" s="2" t="s">
        <v>4479</v>
      </c>
      <c r="B2091" s="2">
        <v>12741920</v>
      </c>
      <c r="C2091" s="2" t="s">
        <v>1489</v>
      </c>
      <c r="D2091" s="2" t="s">
        <v>76</v>
      </c>
      <c r="E2091" s="2" t="s">
        <v>93</v>
      </c>
      <c r="F2091" s="2" t="s">
        <v>36</v>
      </c>
      <c r="G2091" s="2" t="s">
        <v>4480</v>
      </c>
      <c r="H2091">
        <v>1499</v>
      </c>
      <c r="I2091" s="2">
        <v>1999</v>
      </c>
      <c r="J2091" s="2" t="s">
        <v>282</v>
      </c>
      <c r="K2091" s="2" t="s">
        <v>115</v>
      </c>
      <c r="L2091" s="2">
        <v>3.8</v>
      </c>
      <c r="M2091" s="2">
        <v>687</v>
      </c>
      <c r="P2091" t="str">
        <f t="shared" si="131"/>
        <v>25%</v>
      </c>
      <c r="Q2091" s="12">
        <f t="shared" si="128"/>
        <v>0.25</v>
      </c>
      <c r="R2091" s="9">
        <f t="shared" si="129"/>
        <v>1499.25</v>
      </c>
      <c r="S2091" s="9">
        <f>IF(R2091="",AVERAGEIF(Table1[Category],Table1[[#This Row],[Category]],Table2[orignal data]),Table2[[#This Row],[orignal data]])</f>
        <v>1499.25</v>
      </c>
      <c r="T2091" t="str">
        <f t="shared" si="130"/>
        <v>UNIQUE</v>
      </c>
      <c r="U2091" t="str">
        <f>IF(ISBLANK(Table1[[#This Row],[SizeOption]]),"NOT AVAILABLE",Table1[[#This Row],[SizeOption]])</f>
        <v>XS, S, M, L, XL, XXL</v>
      </c>
      <c r="Y2091" t="str">
        <f>IF(Table2[[#This Row],[Column1]]&gt;50%,"HIGH DISCOUNT","LOW DISCOUNT")</f>
        <v>LOW DISCOUNT</v>
      </c>
    </row>
    <row r="2092" spans="1:25" x14ac:dyDescent="0.25">
      <c r="A2092" s="1" t="s">
        <v>4481</v>
      </c>
      <c r="B2092" s="1">
        <v>9717155</v>
      </c>
      <c r="C2092" s="1" t="s">
        <v>1127</v>
      </c>
      <c r="D2092" s="1" t="s">
        <v>76</v>
      </c>
      <c r="E2092" s="1" t="s">
        <v>148</v>
      </c>
      <c r="F2092" s="1" t="s">
        <v>36</v>
      </c>
      <c r="G2092" s="1" t="s">
        <v>4482</v>
      </c>
      <c r="H2092">
        <v>987</v>
      </c>
      <c r="I2092" s="1">
        <v>2599</v>
      </c>
      <c r="J2092" s="1" t="s">
        <v>126</v>
      </c>
      <c r="K2092" s="1" t="s">
        <v>26</v>
      </c>
      <c r="L2092" s="1">
        <v>3.8</v>
      </c>
      <c r="M2092" s="1">
        <v>687</v>
      </c>
      <c r="P2092" t="str">
        <f t="shared" si="131"/>
        <v>62%</v>
      </c>
      <c r="Q2092" s="12">
        <f t="shared" si="128"/>
        <v>0.62</v>
      </c>
      <c r="R2092" s="9">
        <f t="shared" si="129"/>
        <v>987.62000000000012</v>
      </c>
      <c r="S2092" s="9">
        <f>IF(R2092="",AVERAGEIF(Table1[Category],Table1[[#This Row],[Category]],Table2[orignal data]),Table2[[#This Row],[orignal data]])</f>
        <v>987.62000000000012</v>
      </c>
      <c r="T2092" t="str">
        <f t="shared" si="130"/>
        <v>UNIQUE</v>
      </c>
      <c r="U2092" t="str">
        <f>IF(ISBLANK(Table1[[#This Row],[SizeOption]]),"NOT AVAILABLE",Table1[[#This Row],[SizeOption]])</f>
        <v>S, M, L, XL</v>
      </c>
      <c r="Y2092" t="str">
        <f>IF(Table2[[#This Row],[Column1]]&gt;50%,"HIGH DISCOUNT","LOW DISCOUNT")</f>
        <v>HIGH DISCOUNT</v>
      </c>
    </row>
    <row r="2093" spans="1:25" x14ac:dyDescent="0.25">
      <c r="A2093" s="2" t="s">
        <v>4483</v>
      </c>
      <c r="B2093" s="2">
        <v>10939770</v>
      </c>
      <c r="C2093" s="2" t="s">
        <v>107</v>
      </c>
      <c r="D2093" s="2" t="s">
        <v>34</v>
      </c>
      <c r="E2093" s="2" t="s">
        <v>118</v>
      </c>
      <c r="F2093" s="2" t="s">
        <v>36</v>
      </c>
      <c r="G2093" s="2" t="s">
        <v>4484</v>
      </c>
      <c r="H2093">
        <v>239</v>
      </c>
      <c r="I2093" s="2">
        <v>599</v>
      </c>
      <c r="J2093" s="2" t="s">
        <v>55</v>
      </c>
      <c r="K2093" s="2" t="s">
        <v>391</v>
      </c>
      <c r="L2093" s="2">
        <v>4.3</v>
      </c>
      <c r="M2093" s="2">
        <v>687</v>
      </c>
      <c r="P2093" t="str">
        <f t="shared" si="131"/>
        <v>60%</v>
      </c>
      <c r="Q2093" s="12">
        <f t="shared" si="128"/>
        <v>0.6</v>
      </c>
      <c r="R2093" s="9">
        <f t="shared" si="129"/>
        <v>239.60000000000002</v>
      </c>
      <c r="S2093" s="9">
        <f>IF(R2093="",AVERAGEIF(Table1[Category],Table1[[#This Row],[Category]],Table2[orignal data]),Table2[[#This Row],[orignal data]])</f>
        <v>239.60000000000002</v>
      </c>
      <c r="T2093" t="str">
        <f t="shared" si="130"/>
        <v>UNIQUE</v>
      </c>
      <c r="U2093" t="str">
        <f>IF(ISBLANK(Table1[[#This Row],[SizeOption]]),"NOT AVAILABLE",Table1[[#This Row],[SizeOption]])</f>
        <v>32B, 32C, 34B, 34C, 34D, 36B, 36C, 36D, 38B, 38C</v>
      </c>
      <c r="Y2093" t="str">
        <f>IF(Table2[[#This Row],[Column1]]&gt;50%,"HIGH DISCOUNT","LOW DISCOUNT")</f>
        <v>HIGH DISCOUNT</v>
      </c>
    </row>
    <row r="2094" spans="1:25" x14ac:dyDescent="0.25">
      <c r="A2094" s="1" t="s">
        <v>4485</v>
      </c>
      <c r="B2094" s="1">
        <v>2130348</v>
      </c>
      <c r="C2094" s="1" t="s">
        <v>64</v>
      </c>
      <c r="D2094" s="1" t="s">
        <v>98</v>
      </c>
      <c r="E2094" s="1" t="s">
        <v>93</v>
      </c>
      <c r="F2094" s="1" t="s">
        <v>36</v>
      </c>
      <c r="G2094" s="1" t="s">
        <v>4486</v>
      </c>
      <c r="H2094">
        <v>559</v>
      </c>
      <c r="I2094" s="1">
        <v>1399</v>
      </c>
      <c r="J2094" s="1" t="s">
        <v>141</v>
      </c>
      <c r="K2094" s="1" t="s">
        <v>100</v>
      </c>
      <c r="L2094" s="1">
        <v>3.8</v>
      </c>
      <c r="M2094" s="1">
        <v>687</v>
      </c>
      <c r="P2094" t="str">
        <f t="shared" si="131"/>
        <v>60%</v>
      </c>
      <c r="Q2094" s="12">
        <f t="shared" si="128"/>
        <v>0.6</v>
      </c>
      <c r="R2094" s="9">
        <f t="shared" si="129"/>
        <v>559.6</v>
      </c>
      <c r="S2094" s="9">
        <f>IF(R2094="",AVERAGEIF(Table1[Category],Table1[[#This Row],[Category]],Table2[orignal data]),Table2[[#This Row],[orignal data]])</f>
        <v>559.6</v>
      </c>
      <c r="T2094" t="str">
        <f t="shared" si="130"/>
        <v>UNIQUE</v>
      </c>
      <c r="U2094" t="str">
        <f>IF(ISBLANK(Table1[[#This Row],[SizeOption]]),"NOT AVAILABLE",Table1[[#This Row],[SizeOption]])</f>
        <v>XS, S, M, L, XL, XXL, 3XL</v>
      </c>
      <c r="Y2094" t="str">
        <f>IF(Table2[[#This Row],[Column1]]&gt;50%,"HIGH DISCOUNT","LOW DISCOUNT")</f>
        <v>HIGH DISCOUNT</v>
      </c>
    </row>
    <row r="2095" spans="1:25" x14ac:dyDescent="0.25">
      <c r="A2095" s="2" t="s">
        <v>4487</v>
      </c>
      <c r="B2095" s="2">
        <v>10287485</v>
      </c>
      <c r="C2095" s="2" t="s">
        <v>201</v>
      </c>
      <c r="D2095" s="2" t="s">
        <v>28</v>
      </c>
      <c r="E2095" s="2" t="s">
        <v>42</v>
      </c>
      <c r="F2095" s="2" t="s">
        <v>17</v>
      </c>
      <c r="G2095" s="2" t="s">
        <v>4488</v>
      </c>
      <c r="H2095">
        <v>359</v>
      </c>
      <c r="I2095" s="2">
        <v>899</v>
      </c>
      <c r="J2095" s="2" t="s">
        <v>55</v>
      </c>
      <c r="K2095" s="2" t="s">
        <v>26</v>
      </c>
      <c r="L2095" s="2">
        <v>4</v>
      </c>
      <c r="M2095" s="2">
        <v>686</v>
      </c>
      <c r="P2095" t="str">
        <f t="shared" si="131"/>
        <v>60%</v>
      </c>
      <c r="Q2095" s="12">
        <f t="shared" si="128"/>
        <v>0.6</v>
      </c>
      <c r="R2095" s="9">
        <f t="shared" si="129"/>
        <v>359.6</v>
      </c>
      <c r="S2095" s="9">
        <f>IF(R2095="",AVERAGEIF(Table1[Category],Table1[[#This Row],[Category]],Table2[orignal data]),Table2[[#This Row],[orignal data]])</f>
        <v>359.6</v>
      </c>
      <c r="T2095" t="str">
        <f t="shared" si="130"/>
        <v>UNIQUE</v>
      </c>
      <c r="U2095" t="str">
        <f>IF(ISBLANK(Table1[[#This Row],[SizeOption]]),"NOT AVAILABLE",Table1[[#This Row],[SizeOption]])</f>
        <v>S, M, L, XL</v>
      </c>
      <c r="Y2095" t="str">
        <f>IF(Table2[[#This Row],[Column1]]&gt;50%,"HIGH DISCOUNT","LOW DISCOUNT")</f>
        <v>HIGH DISCOUNT</v>
      </c>
    </row>
    <row r="2096" spans="1:25" x14ac:dyDescent="0.25">
      <c r="A2096" s="1" t="s">
        <v>4489</v>
      </c>
      <c r="B2096" s="1">
        <v>9365731</v>
      </c>
      <c r="C2096" s="1" t="s">
        <v>97</v>
      </c>
      <c r="D2096" s="1" t="s">
        <v>76</v>
      </c>
      <c r="E2096" s="1" t="s">
        <v>148</v>
      </c>
      <c r="F2096" s="1" t="s">
        <v>36</v>
      </c>
      <c r="G2096" s="1" t="s">
        <v>4490</v>
      </c>
      <c r="H2096">
        <v>679</v>
      </c>
      <c r="I2096" s="1">
        <v>1699</v>
      </c>
      <c r="J2096" s="1" t="s">
        <v>55</v>
      </c>
      <c r="K2096" s="1" t="s">
        <v>100</v>
      </c>
      <c r="L2096" s="1">
        <v>3.7</v>
      </c>
      <c r="M2096" s="1">
        <v>686</v>
      </c>
      <c r="P2096" t="str">
        <f t="shared" si="131"/>
        <v>60%</v>
      </c>
      <c r="Q2096" s="12">
        <f t="shared" si="128"/>
        <v>0.6</v>
      </c>
      <c r="R2096" s="9">
        <f t="shared" si="129"/>
        <v>679.6</v>
      </c>
      <c r="S2096" s="9">
        <f>IF(R2096="",AVERAGEIF(Table1[Category],Table1[[#This Row],[Category]],Table2[orignal data]),Table2[[#This Row],[orignal data]])</f>
        <v>679.6</v>
      </c>
      <c r="T2096" t="str">
        <f t="shared" si="130"/>
        <v>UNIQUE</v>
      </c>
      <c r="U2096" t="str">
        <f>IF(ISBLANK(Table1[[#This Row],[SizeOption]]),"NOT AVAILABLE",Table1[[#This Row],[SizeOption]])</f>
        <v>XS, S, M, L, XL, XXL, 3XL</v>
      </c>
      <c r="Y2096" t="str">
        <f>IF(Table2[[#This Row],[Column1]]&gt;50%,"HIGH DISCOUNT","LOW DISCOUNT")</f>
        <v>HIGH DISCOUNT</v>
      </c>
    </row>
    <row r="2097" spans="1:25" x14ac:dyDescent="0.25">
      <c r="A2097" s="2" t="s">
        <v>4491</v>
      </c>
      <c r="B2097" s="2">
        <v>10561020</v>
      </c>
      <c r="C2097" s="2" t="s">
        <v>97</v>
      </c>
      <c r="D2097" s="2" t="s">
        <v>76</v>
      </c>
      <c r="E2097" s="2" t="s">
        <v>148</v>
      </c>
      <c r="F2097" s="2" t="s">
        <v>36</v>
      </c>
      <c r="G2097" s="2" t="s">
        <v>4492</v>
      </c>
      <c r="H2097">
        <v>1019</v>
      </c>
      <c r="I2097" s="2">
        <v>1699</v>
      </c>
      <c r="J2097" s="2" t="s">
        <v>50</v>
      </c>
      <c r="K2097" s="2" t="s">
        <v>100</v>
      </c>
      <c r="L2097" s="2">
        <v>4.3</v>
      </c>
      <c r="M2097" s="2">
        <v>686</v>
      </c>
      <c r="P2097" t="str">
        <f t="shared" si="131"/>
        <v>40%</v>
      </c>
      <c r="Q2097" s="12">
        <f t="shared" si="128"/>
        <v>0.4</v>
      </c>
      <c r="R2097" s="9">
        <f t="shared" si="129"/>
        <v>1019.4</v>
      </c>
      <c r="S2097" s="9">
        <f>IF(R2097="",AVERAGEIF(Table1[Category],Table1[[#This Row],[Category]],Table2[orignal data]),Table2[[#This Row],[orignal data]])</f>
        <v>1019.4</v>
      </c>
      <c r="T2097" t="str">
        <f t="shared" si="130"/>
        <v>UNIQUE</v>
      </c>
      <c r="U2097" t="str">
        <f>IF(ISBLANK(Table1[[#This Row],[SizeOption]]),"NOT AVAILABLE",Table1[[#This Row],[SizeOption]])</f>
        <v>XS, S, M, L, XL, XXL, 3XL</v>
      </c>
      <c r="Y2097" t="str">
        <f>IF(Table2[[#This Row],[Column1]]&gt;50%,"HIGH DISCOUNT","LOW DISCOUNT")</f>
        <v>LOW DISCOUNT</v>
      </c>
    </row>
    <row r="2098" spans="1:25" x14ac:dyDescent="0.25">
      <c r="A2098" s="1" t="s">
        <v>4493</v>
      </c>
      <c r="B2098" s="1">
        <v>13639362</v>
      </c>
      <c r="C2098" s="1" t="s">
        <v>4494</v>
      </c>
      <c r="D2098" s="1" t="s">
        <v>41</v>
      </c>
      <c r="E2098" s="1" t="s">
        <v>82</v>
      </c>
      <c r="F2098" s="1" t="s">
        <v>36</v>
      </c>
      <c r="G2098" s="1" t="s">
        <v>4495</v>
      </c>
      <c r="I2098" s="1">
        <v>2499</v>
      </c>
      <c r="J2098" s="1" t="s">
        <v>55</v>
      </c>
      <c r="K2098" s="1" t="s">
        <v>39</v>
      </c>
      <c r="L2098" s="1">
        <v>4.3</v>
      </c>
      <c r="M2098" s="1">
        <v>686</v>
      </c>
      <c r="P2098" t="str">
        <f t="shared" si="131"/>
        <v>60%</v>
      </c>
      <c r="Q2098" s="12">
        <f t="shared" si="128"/>
        <v>0.6</v>
      </c>
      <c r="R2098" s="9">
        <f t="shared" si="129"/>
        <v>999.60000000000014</v>
      </c>
      <c r="S2098" s="9">
        <f>IF(R2098="",AVERAGEIF(Table1[Category],Table1[[#This Row],[Category]],Table2[orignal data]),Table2[[#This Row],[orignal data]])</f>
        <v>999.60000000000014</v>
      </c>
      <c r="T2098" t="str">
        <f t="shared" si="130"/>
        <v>UNIQUE</v>
      </c>
      <c r="U2098" t="str">
        <f>IF(ISBLANK(Table1[[#This Row],[SizeOption]]),"NOT AVAILABLE",Table1[[#This Row],[SizeOption]])</f>
        <v>S, M, L, XL, XXL</v>
      </c>
      <c r="Y2098" t="str">
        <f>IF(Table2[[#This Row],[Column1]]&gt;50%,"HIGH DISCOUNT","LOW DISCOUNT")</f>
        <v>HIGH DISCOUNT</v>
      </c>
    </row>
    <row r="2099" spans="1:25" x14ac:dyDescent="0.25">
      <c r="A2099" s="2" t="s">
        <v>4496</v>
      </c>
      <c r="B2099" s="2">
        <v>17381366</v>
      </c>
      <c r="C2099" s="2" t="s">
        <v>14</v>
      </c>
      <c r="D2099" s="2" t="s">
        <v>41</v>
      </c>
      <c r="E2099" s="2" t="s">
        <v>42</v>
      </c>
      <c r="F2099" s="2" t="s">
        <v>36</v>
      </c>
      <c r="G2099" s="2" t="s">
        <v>657</v>
      </c>
      <c r="I2099" s="2">
        <v>1198</v>
      </c>
      <c r="J2099" s="2"/>
      <c r="K2099" s="2" t="s">
        <v>45</v>
      </c>
      <c r="L2099" s="2">
        <v>4.4000000000000004</v>
      </c>
      <c r="M2099" s="2">
        <v>686</v>
      </c>
      <c r="P2099" t="str">
        <f t="shared" si="131"/>
        <v/>
      </c>
      <c r="Q2099" s="12" t="str">
        <f t="shared" si="128"/>
        <v/>
      </c>
      <c r="R2099" s="9" t="str">
        <f t="shared" si="129"/>
        <v/>
      </c>
      <c r="S2099" s="9">
        <f>IF(R2099="",AVERAGEIF(Table1[Category],Table1[[#This Row],[Category]],Table2[orignal data]),Table2[[#This Row],[orignal data]])</f>
        <v>715.78890751086249</v>
      </c>
      <c r="T2099" t="str">
        <f t="shared" si="130"/>
        <v>UNIQUE</v>
      </c>
      <c r="U2099" t="str">
        <f>IF(ISBLANK(Table1[[#This Row],[SizeOption]]),"NOT AVAILABLE",Table1[[#This Row],[SizeOption]])</f>
        <v>XS, S, M, L, XL</v>
      </c>
      <c r="Y2099" t="str">
        <f>IF(Table2[[#This Row],[Column1]]&gt;50%,"HIGH DISCOUNT","LOW DISCOUNT")</f>
        <v>HIGH DISCOUNT</v>
      </c>
    </row>
    <row r="2100" spans="1:25" x14ac:dyDescent="0.25">
      <c r="A2100" s="1" t="s">
        <v>4497</v>
      </c>
      <c r="B2100" s="1">
        <v>2463361</v>
      </c>
      <c r="C2100" s="1" t="s">
        <v>47</v>
      </c>
      <c r="D2100" s="1" t="s">
        <v>15</v>
      </c>
      <c r="E2100" s="1" t="s">
        <v>23</v>
      </c>
      <c r="F2100" s="1" t="s">
        <v>17</v>
      </c>
      <c r="G2100" s="1" t="s">
        <v>4498</v>
      </c>
      <c r="H2100">
        <v>719</v>
      </c>
      <c r="I2100" s="1">
        <v>1799</v>
      </c>
      <c r="J2100" s="1" t="s">
        <v>55</v>
      </c>
      <c r="K2100" s="1" t="s">
        <v>115</v>
      </c>
      <c r="L2100" s="1">
        <v>4.2</v>
      </c>
      <c r="M2100" s="1">
        <v>685</v>
      </c>
      <c r="P2100" t="str">
        <f t="shared" si="131"/>
        <v>60%</v>
      </c>
      <c r="Q2100" s="12">
        <f t="shared" si="128"/>
        <v>0.6</v>
      </c>
      <c r="R2100" s="9">
        <f t="shared" si="129"/>
        <v>719.60000000000014</v>
      </c>
      <c r="S2100" s="9">
        <f>IF(R2100="",AVERAGEIF(Table1[Category],Table1[[#This Row],[Category]],Table2[orignal data]),Table2[[#This Row],[orignal data]])</f>
        <v>719.60000000000014</v>
      </c>
      <c r="T2100" t="str">
        <f t="shared" si="130"/>
        <v>UNIQUE</v>
      </c>
      <c r="U2100" t="str">
        <f>IF(ISBLANK(Table1[[#This Row],[SizeOption]]),"NOT AVAILABLE",Table1[[#This Row],[SizeOption]])</f>
        <v>XS, S, M, L, XL, XXL</v>
      </c>
      <c r="Y2100" t="str">
        <f>IF(Table2[[#This Row],[Column1]]&gt;50%,"HIGH DISCOUNT","LOW DISCOUNT")</f>
        <v>HIGH DISCOUNT</v>
      </c>
    </row>
    <row r="2101" spans="1:25" x14ac:dyDescent="0.25">
      <c r="A2101" s="2" t="s">
        <v>4499</v>
      </c>
      <c r="B2101" s="2">
        <v>2339637</v>
      </c>
      <c r="C2101" s="2" t="s">
        <v>169</v>
      </c>
      <c r="D2101" s="2" t="s">
        <v>28</v>
      </c>
      <c r="E2101" s="2" t="s">
        <v>42</v>
      </c>
      <c r="F2101" s="2" t="s">
        <v>17</v>
      </c>
      <c r="G2101" s="2" t="s">
        <v>4500</v>
      </c>
      <c r="H2101">
        <v>934</v>
      </c>
      <c r="I2101" s="2">
        <v>1699</v>
      </c>
      <c r="J2101" s="2" t="s">
        <v>19</v>
      </c>
      <c r="K2101" s="2" t="s">
        <v>39</v>
      </c>
      <c r="L2101" s="2">
        <v>3.9</v>
      </c>
      <c r="M2101" s="2">
        <v>685</v>
      </c>
      <c r="P2101" t="str">
        <f t="shared" si="131"/>
        <v>45%</v>
      </c>
      <c r="Q2101" s="12">
        <f t="shared" si="128"/>
        <v>0.45</v>
      </c>
      <c r="R2101" s="9">
        <f t="shared" si="129"/>
        <v>934.44999999999993</v>
      </c>
      <c r="S2101" s="9">
        <f>IF(R2101="",AVERAGEIF(Table1[Category],Table1[[#This Row],[Category]],Table2[orignal data]),Table2[[#This Row],[orignal data]])</f>
        <v>934.44999999999993</v>
      </c>
      <c r="T2101" t="str">
        <f t="shared" si="130"/>
        <v>UNIQUE</v>
      </c>
      <c r="U2101" t="str">
        <f>IF(ISBLANK(Table1[[#This Row],[SizeOption]]),"NOT AVAILABLE",Table1[[#This Row],[SizeOption]])</f>
        <v>S, M, L, XL, XXL</v>
      </c>
      <c r="Y2101" t="str">
        <f>IF(Table2[[#This Row],[Column1]]&gt;50%,"HIGH DISCOUNT","LOW DISCOUNT")</f>
        <v>LOW DISCOUNT</v>
      </c>
    </row>
    <row r="2102" spans="1:25" x14ac:dyDescent="0.25">
      <c r="A2102" s="1" t="s">
        <v>4501</v>
      </c>
      <c r="B2102" s="1">
        <v>12816448</v>
      </c>
      <c r="C2102" s="1" t="s">
        <v>64</v>
      </c>
      <c r="D2102" s="1" t="s">
        <v>28</v>
      </c>
      <c r="E2102" s="1" t="s">
        <v>42</v>
      </c>
      <c r="F2102" s="1" t="s">
        <v>17</v>
      </c>
      <c r="G2102" s="1" t="s">
        <v>4502</v>
      </c>
      <c r="H2102">
        <v>244</v>
      </c>
      <c r="I2102" s="1">
        <v>699</v>
      </c>
      <c r="J2102" s="1" t="s">
        <v>150</v>
      </c>
      <c r="K2102" s="1" t="s">
        <v>39</v>
      </c>
      <c r="L2102" s="1">
        <v>4</v>
      </c>
      <c r="M2102" s="1">
        <v>685</v>
      </c>
      <c r="P2102" t="str">
        <f t="shared" si="131"/>
        <v>65%</v>
      </c>
      <c r="Q2102" s="12">
        <f t="shared" si="128"/>
        <v>0.65</v>
      </c>
      <c r="R2102" s="9">
        <f t="shared" si="129"/>
        <v>244.64999999999998</v>
      </c>
      <c r="S2102" s="9">
        <f>IF(R2102="",AVERAGEIF(Table1[Category],Table1[[#This Row],[Category]],Table2[orignal data]),Table2[[#This Row],[orignal data]])</f>
        <v>244.64999999999998</v>
      </c>
      <c r="T2102" t="str">
        <f t="shared" si="130"/>
        <v>UNIQUE</v>
      </c>
      <c r="U2102" t="str">
        <f>IF(ISBLANK(Table1[[#This Row],[SizeOption]]),"NOT AVAILABLE",Table1[[#This Row],[SizeOption]])</f>
        <v>S, M, L, XL, XXL</v>
      </c>
      <c r="Y2102" t="str">
        <f>IF(Table2[[#This Row],[Column1]]&gt;50%,"HIGH DISCOUNT","LOW DISCOUNT")</f>
        <v>HIGH DISCOUNT</v>
      </c>
    </row>
    <row r="2103" spans="1:25" x14ac:dyDescent="0.25">
      <c r="A2103" s="2" t="s">
        <v>4503</v>
      </c>
      <c r="B2103" s="2">
        <v>10613280</v>
      </c>
      <c r="C2103" s="2" t="s">
        <v>75</v>
      </c>
      <c r="D2103" s="2" t="s">
        <v>76</v>
      </c>
      <c r="E2103" s="2" t="s">
        <v>365</v>
      </c>
      <c r="F2103" s="2" t="s">
        <v>36</v>
      </c>
      <c r="G2103" s="2" t="s">
        <v>4504</v>
      </c>
      <c r="H2103">
        <v>539</v>
      </c>
      <c r="I2103" s="2">
        <v>1349</v>
      </c>
      <c r="J2103" s="2" t="s">
        <v>55</v>
      </c>
      <c r="K2103" s="2" t="s">
        <v>39</v>
      </c>
      <c r="L2103" s="2">
        <v>4.3</v>
      </c>
      <c r="M2103" s="2">
        <v>685</v>
      </c>
      <c r="P2103" t="str">
        <f t="shared" si="131"/>
        <v>60%</v>
      </c>
      <c r="Q2103" s="12">
        <f t="shared" si="128"/>
        <v>0.6</v>
      </c>
      <c r="R2103" s="9">
        <f t="shared" si="129"/>
        <v>539.6</v>
      </c>
      <c r="S2103" s="9">
        <f>IF(R2103="",AVERAGEIF(Table1[Category],Table1[[#This Row],[Category]],Table2[orignal data]),Table2[[#This Row],[orignal data]])</f>
        <v>539.6</v>
      </c>
      <c r="T2103" t="str">
        <f t="shared" si="130"/>
        <v>UNIQUE</v>
      </c>
      <c r="U2103" t="str">
        <f>IF(ISBLANK(Table1[[#This Row],[SizeOption]]),"NOT AVAILABLE",Table1[[#This Row],[SizeOption]])</f>
        <v>S, M, L, XL, XXL</v>
      </c>
      <c r="Y2103" t="str">
        <f>IF(Table2[[#This Row],[Column1]]&gt;50%,"HIGH DISCOUNT","LOW DISCOUNT")</f>
        <v>HIGH DISCOUNT</v>
      </c>
    </row>
    <row r="2104" spans="1:25" x14ac:dyDescent="0.25">
      <c r="A2104" s="1" t="s">
        <v>4505</v>
      </c>
      <c r="B2104" s="1">
        <v>11506932</v>
      </c>
      <c r="C2104" s="1" t="s">
        <v>949</v>
      </c>
      <c r="D2104" s="1" t="s">
        <v>76</v>
      </c>
      <c r="E2104" s="1" t="s">
        <v>93</v>
      </c>
      <c r="F2104" s="1" t="s">
        <v>36</v>
      </c>
      <c r="G2104" s="1" t="s">
        <v>4506</v>
      </c>
      <c r="H2104">
        <v>713</v>
      </c>
      <c r="I2104" s="1">
        <v>1699</v>
      </c>
      <c r="J2104" s="1" t="s">
        <v>60</v>
      </c>
      <c r="K2104" s="1" t="s">
        <v>100</v>
      </c>
      <c r="L2104" s="1">
        <v>4.2</v>
      </c>
      <c r="M2104" s="1">
        <v>685</v>
      </c>
      <c r="P2104" t="str">
        <f t="shared" si="131"/>
        <v>58%</v>
      </c>
      <c r="Q2104" s="12">
        <f t="shared" si="128"/>
        <v>0.57999999999999996</v>
      </c>
      <c r="R2104" s="9">
        <f t="shared" si="129"/>
        <v>713.58</v>
      </c>
      <c r="S2104" s="9">
        <f>IF(R2104="",AVERAGEIF(Table1[Category],Table1[[#This Row],[Category]],Table2[orignal data]),Table2[[#This Row],[orignal data]])</f>
        <v>713.58</v>
      </c>
      <c r="T2104" t="str">
        <f t="shared" si="130"/>
        <v>UNIQUE</v>
      </c>
      <c r="U2104" t="str">
        <f>IF(ISBLANK(Table1[[#This Row],[SizeOption]]),"NOT AVAILABLE",Table1[[#This Row],[SizeOption]])</f>
        <v>XS, S, M, L, XL, XXL, 3XL</v>
      </c>
      <c r="Y2104" t="str">
        <f>IF(Table2[[#This Row],[Column1]]&gt;50%,"HIGH DISCOUNT","LOW DISCOUNT")</f>
        <v>HIGH DISCOUNT</v>
      </c>
    </row>
    <row r="2105" spans="1:25" x14ac:dyDescent="0.25">
      <c r="A2105" s="2" t="s">
        <v>4507</v>
      </c>
      <c r="B2105" s="2">
        <v>14440472</v>
      </c>
      <c r="C2105" s="2" t="s">
        <v>1857</v>
      </c>
      <c r="D2105" s="2" t="s">
        <v>76</v>
      </c>
      <c r="E2105" s="2" t="s">
        <v>93</v>
      </c>
      <c r="F2105" s="2" t="s">
        <v>36</v>
      </c>
      <c r="G2105" s="2" t="s">
        <v>4508</v>
      </c>
      <c r="H2105">
        <v>699</v>
      </c>
      <c r="I2105" s="2">
        <v>2100</v>
      </c>
      <c r="J2105" s="2" t="s">
        <v>4509</v>
      </c>
      <c r="K2105" s="2" t="s">
        <v>115</v>
      </c>
      <c r="L2105" s="2">
        <v>4.2</v>
      </c>
      <c r="M2105" s="2">
        <v>685</v>
      </c>
      <c r="P2105" t="str">
        <f t="shared" si="131"/>
        <v>1401</v>
      </c>
      <c r="Q2105" s="12">
        <f t="shared" si="128"/>
        <v>0.66714285714285715</v>
      </c>
      <c r="R2105" s="9">
        <f t="shared" si="129"/>
        <v>699</v>
      </c>
      <c r="S2105" s="9">
        <f>IF(R2105="",AVERAGEIF(Table1[Category],Table1[[#This Row],[Category]],Table2[orignal data]),Table2[[#This Row],[orignal data]])</f>
        <v>699</v>
      </c>
      <c r="T2105" t="str">
        <f t="shared" si="130"/>
        <v>UNIQUE</v>
      </c>
      <c r="U2105" t="str">
        <f>IF(ISBLANK(Table1[[#This Row],[SizeOption]]),"NOT AVAILABLE",Table1[[#This Row],[SizeOption]])</f>
        <v>XS, S, M, L, XL, XXL</v>
      </c>
      <c r="Y2105" t="str">
        <f>IF(Table2[[#This Row],[Column1]]&gt;50%,"HIGH DISCOUNT","LOW DISCOUNT")</f>
        <v>HIGH DISCOUNT</v>
      </c>
    </row>
    <row r="2106" spans="1:25" x14ac:dyDescent="0.25">
      <c r="A2106" s="1" t="s">
        <v>4510</v>
      </c>
      <c r="B2106" s="1">
        <v>2413353</v>
      </c>
      <c r="C2106" s="1" t="s">
        <v>1107</v>
      </c>
      <c r="D2106" s="1" t="s">
        <v>34</v>
      </c>
      <c r="E2106" s="1" t="s">
        <v>35</v>
      </c>
      <c r="F2106" s="1" t="s">
        <v>36</v>
      </c>
      <c r="G2106" s="1" t="s">
        <v>4511</v>
      </c>
      <c r="H2106">
        <v>766</v>
      </c>
      <c r="I2106" s="1">
        <v>1299</v>
      </c>
      <c r="J2106" s="1" t="s">
        <v>1109</v>
      </c>
      <c r="K2106" s="1" t="s">
        <v>881</v>
      </c>
      <c r="L2106" s="1">
        <v>3.5</v>
      </c>
      <c r="M2106" s="1">
        <v>685</v>
      </c>
      <c r="P2106" t="str">
        <f t="shared" si="131"/>
        <v>41%</v>
      </c>
      <c r="Q2106" s="12">
        <f t="shared" si="128"/>
        <v>0.41</v>
      </c>
      <c r="R2106" s="9">
        <f t="shared" si="129"/>
        <v>766.41000000000008</v>
      </c>
      <c r="S2106" s="9">
        <f>IF(R2106="",AVERAGEIF(Table1[Category],Table1[[#This Row],[Category]],Table2[orignal data]),Table2[[#This Row],[orignal data]])</f>
        <v>766.41000000000008</v>
      </c>
      <c r="T2106" t="str">
        <f t="shared" si="130"/>
        <v>UNIQUE</v>
      </c>
      <c r="U2106" t="str">
        <f>IF(ISBLANK(Table1[[#This Row],[SizeOption]]),"NOT AVAILABLE",Table1[[#This Row],[SizeOption]])</f>
        <v>M, L, XL, XXL</v>
      </c>
      <c r="Y2106" t="str">
        <f>IF(Table2[[#This Row],[Column1]]&gt;50%,"HIGH DISCOUNT","LOW DISCOUNT")</f>
        <v>LOW DISCOUNT</v>
      </c>
    </row>
    <row r="2107" spans="1:25" x14ac:dyDescent="0.25">
      <c r="A2107" s="2" t="s">
        <v>4512</v>
      </c>
      <c r="B2107" s="2">
        <v>12253984</v>
      </c>
      <c r="C2107" s="2" t="s">
        <v>4422</v>
      </c>
      <c r="D2107" s="2" t="s">
        <v>34</v>
      </c>
      <c r="E2107" s="2" t="s">
        <v>406</v>
      </c>
      <c r="F2107" s="2" t="s">
        <v>36</v>
      </c>
      <c r="G2107" s="2" t="s">
        <v>4423</v>
      </c>
      <c r="H2107">
        <v>824</v>
      </c>
      <c r="I2107" s="2">
        <v>1499</v>
      </c>
      <c r="J2107" s="2" t="s">
        <v>273</v>
      </c>
      <c r="K2107" s="2" t="s">
        <v>39</v>
      </c>
      <c r="L2107" s="2">
        <v>4.4000000000000004</v>
      </c>
      <c r="M2107" s="2">
        <v>685</v>
      </c>
      <c r="P2107" t="str">
        <f t="shared" si="131"/>
        <v>45 %</v>
      </c>
      <c r="Q2107" s="12">
        <f t="shared" si="128"/>
        <v>0.45</v>
      </c>
      <c r="R2107" s="9">
        <f t="shared" si="129"/>
        <v>824.44999999999993</v>
      </c>
      <c r="S2107" s="9">
        <f>IF(R2107="",AVERAGEIF(Table1[Category],Table1[[#This Row],[Category]],Table2[orignal data]),Table2[[#This Row],[orignal data]])</f>
        <v>824.44999999999993</v>
      </c>
      <c r="T2107" t="str">
        <f t="shared" si="130"/>
        <v>UNIQUE</v>
      </c>
      <c r="U2107" t="str">
        <f>IF(ISBLANK(Table1[[#This Row],[SizeOption]]),"NOT AVAILABLE",Table1[[#This Row],[SizeOption]])</f>
        <v>S, M, L, XL, XXL</v>
      </c>
      <c r="Y2107" t="str">
        <f>IF(Table2[[#This Row],[Column1]]&gt;50%,"HIGH DISCOUNT","LOW DISCOUNT")</f>
        <v>LOW DISCOUNT</v>
      </c>
    </row>
    <row r="2108" spans="1:25" x14ac:dyDescent="0.25">
      <c r="A2108" s="1" t="s">
        <v>4513</v>
      </c>
      <c r="B2108" s="1">
        <v>2364699</v>
      </c>
      <c r="C2108" s="1" t="s">
        <v>47</v>
      </c>
      <c r="D2108" s="1" t="s">
        <v>41</v>
      </c>
      <c r="E2108" s="1" t="s">
        <v>53</v>
      </c>
      <c r="F2108" s="1" t="s">
        <v>36</v>
      </c>
      <c r="G2108" s="1" t="s">
        <v>4514</v>
      </c>
      <c r="I2108" s="1">
        <v>1899</v>
      </c>
      <c r="J2108" s="1" t="s">
        <v>186</v>
      </c>
      <c r="K2108" s="1" t="s">
        <v>134</v>
      </c>
      <c r="L2108" s="1">
        <v>3.6</v>
      </c>
      <c r="M2108" s="1">
        <v>685</v>
      </c>
      <c r="P2108" t="str">
        <f t="shared" si="131"/>
        <v>30%</v>
      </c>
      <c r="Q2108" s="12">
        <f t="shared" si="128"/>
        <v>0.3</v>
      </c>
      <c r="R2108" s="9">
        <f t="shared" si="129"/>
        <v>1329.3000000000002</v>
      </c>
      <c r="S2108" s="9">
        <f>IF(R2108="",AVERAGEIF(Table1[Category],Table1[[#This Row],[Category]],Table2[orignal data]),Table2[[#This Row],[orignal data]])</f>
        <v>1329.3000000000002</v>
      </c>
      <c r="T2108" t="str">
        <f t="shared" si="130"/>
        <v>UNIQUE</v>
      </c>
      <c r="U2108" t="str">
        <f>IF(ISBLANK(Table1[[#This Row],[SizeOption]]),"NOT AVAILABLE",Table1[[#This Row],[SizeOption]])</f>
        <v>26, 28, 30, 32, 34, 36</v>
      </c>
      <c r="Y2108" t="str">
        <f>IF(Table2[[#This Row],[Column1]]&gt;50%,"HIGH DISCOUNT","LOW DISCOUNT")</f>
        <v>LOW DISCOUNT</v>
      </c>
    </row>
    <row r="2109" spans="1:25" x14ac:dyDescent="0.25">
      <c r="A2109" s="2" t="s">
        <v>4515</v>
      </c>
      <c r="B2109" s="2">
        <v>11274662</v>
      </c>
      <c r="C2109" s="2" t="s">
        <v>14</v>
      </c>
      <c r="D2109" s="2" t="s">
        <v>15</v>
      </c>
      <c r="E2109" s="2" t="s">
        <v>16</v>
      </c>
      <c r="F2109" s="2" t="s">
        <v>17</v>
      </c>
      <c r="G2109" s="2" t="s">
        <v>478</v>
      </c>
      <c r="H2109">
        <v>899</v>
      </c>
      <c r="I2109" s="2">
        <v>1999</v>
      </c>
      <c r="J2109" s="2" t="s">
        <v>25</v>
      </c>
      <c r="K2109" s="2" t="s">
        <v>20</v>
      </c>
      <c r="L2109" s="2">
        <v>3.7</v>
      </c>
      <c r="M2109" s="2">
        <v>684</v>
      </c>
      <c r="P2109" t="str">
        <f t="shared" si="131"/>
        <v>55%</v>
      </c>
      <c r="Q2109" s="12">
        <f t="shared" si="128"/>
        <v>0.55000000000000004</v>
      </c>
      <c r="R2109" s="9">
        <f t="shared" si="129"/>
        <v>899.55</v>
      </c>
      <c r="S2109" s="9">
        <f>IF(R2109="",AVERAGEIF(Table1[Category],Table1[[#This Row],[Category]],Table2[orignal data]),Table2[[#This Row],[orignal data]])</f>
        <v>899.55</v>
      </c>
      <c r="T2109" t="str">
        <f t="shared" si="130"/>
        <v>UNIQUE</v>
      </c>
      <c r="U2109" t="str">
        <f>IF(ISBLANK(Table1[[#This Row],[SizeOption]]),"NOT AVAILABLE",Table1[[#This Row],[SizeOption]])</f>
        <v>28, 30, 32, 34, 36</v>
      </c>
      <c r="Y2109" t="str">
        <f>IF(Table2[[#This Row],[Column1]]&gt;50%,"HIGH DISCOUNT","LOW DISCOUNT")</f>
        <v>HIGH DISCOUNT</v>
      </c>
    </row>
    <row r="2110" spans="1:25" x14ac:dyDescent="0.25">
      <c r="A2110" s="1" t="s">
        <v>4516</v>
      </c>
      <c r="B2110" s="1">
        <v>4607725</v>
      </c>
      <c r="C2110" s="1" t="s">
        <v>14</v>
      </c>
      <c r="D2110" s="1" t="s">
        <v>15</v>
      </c>
      <c r="E2110" s="1" t="s">
        <v>16</v>
      </c>
      <c r="F2110" s="1" t="s">
        <v>17</v>
      </c>
      <c r="G2110" s="1" t="s">
        <v>4517</v>
      </c>
      <c r="H2110">
        <v>934</v>
      </c>
      <c r="I2110" s="1">
        <v>1699</v>
      </c>
      <c r="J2110" s="1" t="s">
        <v>19</v>
      </c>
      <c r="K2110" s="1" t="s">
        <v>195</v>
      </c>
      <c r="L2110" s="1">
        <v>3.5</v>
      </c>
      <c r="M2110" s="1">
        <v>684</v>
      </c>
      <c r="P2110" t="str">
        <f t="shared" si="131"/>
        <v>45%</v>
      </c>
      <c r="Q2110" s="12">
        <f t="shared" si="128"/>
        <v>0.45</v>
      </c>
      <c r="R2110" s="9">
        <f t="shared" si="129"/>
        <v>934.44999999999993</v>
      </c>
      <c r="S2110" s="9">
        <f>IF(R2110="",AVERAGEIF(Table1[Category],Table1[[#This Row],[Category]],Table2[orignal data]),Table2[[#This Row],[orignal data]])</f>
        <v>934.44999999999993</v>
      </c>
      <c r="T2110" t="str">
        <f t="shared" si="130"/>
        <v>UNIQUE</v>
      </c>
      <c r="U2110" t="str">
        <f>IF(ISBLANK(Table1[[#This Row],[SizeOption]]),"NOT AVAILABLE",Table1[[#This Row],[SizeOption]])</f>
        <v>28, 30, 32, 34, 36, 38, 40</v>
      </c>
      <c r="Y2110" t="str">
        <f>IF(Table2[[#This Row],[Column1]]&gt;50%,"HIGH DISCOUNT","LOW DISCOUNT")</f>
        <v>LOW DISCOUNT</v>
      </c>
    </row>
    <row r="2111" spans="1:25" x14ac:dyDescent="0.25">
      <c r="A2111" s="2" t="s">
        <v>4518</v>
      </c>
      <c r="B2111" s="2">
        <v>7237202</v>
      </c>
      <c r="C2111" s="2" t="s">
        <v>2848</v>
      </c>
      <c r="D2111" s="2" t="s">
        <v>28</v>
      </c>
      <c r="E2111" s="2" t="s">
        <v>29</v>
      </c>
      <c r="F2111" s="2" t="s">
        <v>17</v>
      </c>
      <c r="G2111" s="2" t="s">
        <v>4519</v>
      </c>
      <c r="H2111">
        <v>949</v>
      </c>
      <c r="I2111" s="2">
        <v>1899</v>
      </c>
      <c r="J2111" s="2" t="s">
        <v>84</v>
      </c>
      <c r="K2111" s="2" t="s">
        <v>253</v>
      </c>
      <c r="L2111" s="2">
        <v>4</v>
      </c>
      <c r="M2111" s="2">
        <v>684</v>
      </c>
      <c r="P2111" t="str">
        <f t="shared" si="131"/>
        <v>50%</v>
      </c>
      <c r="Q2111" s="12">
        <f t="shared" si="128"/>
        <v>0.5</v>
      </c>
      <c r="R2111" s="9">
        <f t="shared" si="129"/>
        <v>949.5</v>
      </c>
      <c r="S2111" s="9">
        <f>IF(R2111="",AVERAGEIF(Table1[Category],Table1[[#This Row],[Category]],Table2[orignal data]),Table2[[#This Row],[orignal data]])</f>
        <v>949.5</v>
      </c>
      <c r="T2111" t="str">
        <f t="shared" si="130"/>
        <v>UNIQUE</v>
      </c>
      <c r="U2111" t="str">
        <f>IF(ISBLANK(Table1[[#This Row],[SizeOption]]),"NOT AVAILABLE",Table1[[#This Row],[SizeOption]])</f>
        <v>38, 40, 42, 44</v>
      </c>
      <c r="Y2111" t="str">
        <f>IF(Table2[[#This Row],[Column1]]&gt;50%,"HIGH DISCOUNT","LOW DISCOUNT")</f>
        <v>LOW DISCOUNT</v>
      </c>
    </row>
    <row r="2112" spans="1:25" x14ac:dyDescent="0.25">
      <c r="A2112" s="1" t="s">
        <v>4520</v>
      </c>
      <c r="B2112" s="1">
        <v>10091973</v>
      </c>
      <c r="C2112" s="1" t="s">
        <v>201</v>
      </c>
      <c r="D2112" s="1" t="s">
        <v>28</v>
      </c>
      <c r="E2112" s="1" t="s">
        <v>29</v>
      </c>
      <c r="F2112" s="1" t="s">
        <v>17</v>
      </c>
      <c r="G2112" s="1" t="s">
        <v>4521</v>
      </c>
      <c r="H2112">
        <v>1264</v>
      </c>
      <c r="I2112" s="1">
        <v>2299</v>
      </c>
      <c r="J2112" s="1" t="s">
        <v>19</v>
      </c>
      <c r="K2112" s="1" t="s">
        <v>361</v>
      </c>
      <c r="L2112" s="1">
        <v>4</v>
      </c>
      <c r="M2112" s="1">
        <v>684</v>
      </c>
      <c r="P2112" t="str">
        <f t="shared" si="131"/>
        <v>45%</v>
      </c>
      <c r="Q2112" s="12">
        <f t="shared" si="128"/>
        <v>0.45</v>
      </c>
      <c r="R2112" s="9">
        <f t="shared" si="129"/>
        <v>1264.45</v>
      </c>
      <c r="S2112" s="9">
        <f>IF(R2112="",AVERAGEIF(Table1[Category],Table1[[#This Row],[Category]],Table2[orignal data]),Table2[[#This Row],[orignal data]])</f>
        <v>1264.45</v>
      </c>
      <c r="T2112" t="str">
        <f t="shared" si="130"/>
        <v>UNIQUE</v>
      </c>
      <c r="U2112" t="str">
        <f>IF(ISBLANK(Table1[[#This Row],[SizeOption]]),"NOT AVAILABLE",Table1[[#This Row],[SizeOption]])</f>
        <v>38, 40, 42, 44, 46</v>
      </c>
      <c r="Y2112" t="str">
        <f>IF(Table2[[#This Row],[Column1]]&gt;50%,"HIGH DISCOUNT","LOW DISCOUNT")</f>
        <v>LOW DISCOUNT</v>
      </c>
    </row>
    <row r="2113" spans="1:25" x14ac:dyDescent="0.25">
      <c r="A2113" s="2" t="s">
        <v>4522</v>
      </c>
      <c r="B2113" s="2">
        <v>9980055</v>
      </c>
      <c r="C2113" s="2" t="s">
        <v>1506</v>
      </c>
      <c r="D2113" s="2" t="s">
        <v>28</v>
      </c>
      <c r="E2113" s="2" t="s">
        <v>42</v>
      </c>
      <c r="F2113" s="2" t="s">
        <v>17</v>
      </c>
      <c r="G2113" s="2" t="s">
        <v>4523</v>
      </c>
      <c r="H2113">
        <v>449</v>
      </c>
      <c r="I2113" s="2">
        <v>999</v>
      </c>
      <c r="J2113" s="2" t="s">
        <v>25</v>
      </c>
      <c r="K2113" s="2" t="s">
        <v>26</v>
      </c>
      <c r="L2113" s="2">
        <v>3.8</v>
      </c>
      <c r="M2113" s="2">
        <v>684</v>
      </c>
      <c r="P2113" t="str">
        <f t="shared" si="131"/>
        <v>55%</v>
      </c>
      <c r="Q2113" s="12">
        <f t="shared" si="128"/>
        <v>0.55000000000000004</v>
      </c>
      <c r="R2113" s="9">
        <f t="shared" si="129"/>
        <v>449.54999999999995</v>
      </c>
      <c r="S2113" s="9">
        <f>IF(R2113="",AVERAGEIF(Table1[Category],Table1[[#This Row],[Category]],Table2[orignal data]),Table2[[#This Row],[orignal data]])</f>
        <v>449.54999999999995</v>
      </c>
      <c r="T2113" t="str">
        <f t="shared" si="130"/>
        <v>UNIQUE</v>
      </c>
      <c r="U2113" t="str">
        <f>IF(ISBLANK(Table1[[#This Row],[SizeOption]]),"NOT AVAILABLE",Table1[[#This Row],[SizeOption]])</f>
        <v>S, M, L, XL</v>
      </c>
      <c r="Y2113" t="str">
        <f>IF(Table2[[#This Row],[Column1]]&gt;50%,"HIGH DISCOUNT","LOW DISCOUNT")</f>
        <v>HIGH DISCOUNT</v>
      </c>
    </row>
    <row r="2114" spans="1:25" x14ac:dyDescent="0.25">
      <c r="A2114" s="1" t="s">
        <v>4524</v>
      </c>
      <c r="B2114" s="1">
        <v>13238252</v>
      </c>
      <c r="C2114" s="1" t="s">
        <v>113</v>
      </c>
      <c r="D2114" s="1" t="s">
        <v>76</v>
      </c>
      <c r="E2114" s="1" t="s">
        <v>93</v>
      </c>
      <c r="F2114" s="1" t="s">
        <v>36</v>
      </c>
      <c r="G2114" s="1" t="s">
        <v>4525</v>
      </c>
      <c r="H2114">
        <v>664</v>
      </c>
      <c r="I2114" s="1">
        <v>1899</v>
      </c>
      <c r="J2114" s="1" t="s">
        <v>150</v>
      </c>
      <c r="K2114" s="1" t="s">
        <v>115</v>
      </c>
      <c r="L2114" s="1">
        <v>3.9</v>
      </c>
      <c r="M2114" s="1">
        <v>684</v>
      </c>
      <c r="P2114" t="str">
        <f t="shared" si="131"/>
        <v>65%</v>
      </c>
      <c r="Q2114" s="12">
        <f t="shared" ref="Q2114:Q2177" si="132">IF(P2114="","",IF(ISNUMBER(SEARCH("%",P2114)),P2114,P2114/I2114)*100%)</f>
        <v>0.65</v>
      </c>
      <c r="R2114" s="9">
        <f t="shared" ref="R2114:R2177" si="133">IF(P2114="","",I2114-(I2114*Q2114))</f>
        <v>664.64999999999986</v>
      </c>
      <c r="S2114" s="9">
        <f>IF(R2114="",AVERAGEIF(Table1[Category],Table1[[#This Row],[Category]],Table2[orignal data]),Table2[[#This Row],[orignal data]])</f>
        <v>664.64999999999986</v>
      </c>
      <c r="T2114" t="str">
        <f t="shared" ref="T2114:T2177" si="134">IF(COUNTIF($B$2:$B$5000,B2114)&gt;1,"DUPLICATE","UNIQUE")</f>
        <v>UNIQUE</v>
      </c>
      <c r="U2114" t="str">
        <f>IF(ISBLANK(Table1[[#This Row],[SizeOption]]),"NOT AVAILABLE",Table1[[#This Row],[SizeOption]])</f>
        <v>XS, S, M, L, XL, XXL</v>
      </c>
      <c r="Y2114" t="str">
        <f>IF(Table2[[#This Row],[Column1]]&gt;50%,"HIGH DISCOUNT","LOW DISCOUNT")</f>
        <v>HIGH DISCOUNT</v>
      </c>
    </row>
    <row r="2115" spans="1:25" x14ac:dyDescent="0.25">
      <c r="A2115" s="2" t="s">
        <v>4526</v>
      </c>
      <c r="B2115" s="2">
        <v>865721</v>
      </c>
      <c r="C2115" s="2" t="s">
        <v>117</v>
      </c>
      <c r="D2115" s="2" t="s">
        <v>34</v>
      </c>
      <c r="E2115" s="2" t="s">
        <v>3807</v>
      </c>
      <c r="F2115" s="2" t="s">
        <v>36</v>
      </c>
      <c r="G2115" s="2" t="s">
        <v>4527</v>
      </c>
      <c r="I2115" s="2">
        <v>299</v>
      </c>
      <c r="J2115" s="2"/>
      <c r="K2115" s="2" t="s">
        <v>26</v>
      </c>
      <c r="L2115" s="2">
        <v>4.4000000000000004</v>
      </c>
      <c r="M2115" s="2">
        <v>684</v>
      </c>
      <c r="P2115" t="str">
        <f t="shared" ref="P2115:P2178" si="135">TRIM(SUBSTITUTE(SUBSTITUTE(SUBSTITUTE(SUBSTITUTE(J2115,"OFF",""),"Rs.",""),"Hurry*",""),",",""))</f>
        <v/>
      </c>
      <c r="Q2115" s="12" t="str">
        <f t="shared" si="132"/>
        <v/>
      </c>
      <c r="R2115" s="9" t="str">
        <f t="shared" si="133"/>
        <v/>
      </c>
      <c r="S2115" s="9">
        <f>IF(R2115="",AVERAGEIF(Table1[Category],Table1[[#This Row],[Category]],Table2[orignal data]),Table2[[#This Row],[orignal data]])</f>
        <v>608.88518518518481</v>
      </c>
      <c r="T2115" t="str">
        <f t="shared" si="134"/>
        <v>UNIQUE</v>
      </c>
      <c r="U2115" t="str">
        <f>IF(ISBLANK(Table1[[#This Row],[SizeOption]]),"NOT AVAILABLE",Table1[[#This Row],[SizeOption]])</f>
        <v>S, M, L, XL</v>
      </c>
      <c r="Y2115" t="str">
        <f>IF(Table2[[#This Row],[Column1]]&gt;50%,"HIGH DISCOUNT","LOW DISCOUNT")</f>
        <v>HIGH DISCOUNT</v>
      </c>
    </row>
    <row r="2116" spans="1:25" x14ac:dyDescent="0.25">
      <c r="A2116" s="1" t="s">
        <v>4528</v>
      </c>
      <c r="B2116" s="1">
        <v>14352192</v>
      </c>
      <c r="C2116" s="1" t="s">
        <v>1818</v>
      </c>
      <c r="D2116" s="1" t="s">
        <v>41</v>
      </c>
      <c r="E2116" s="1" t="s">
        <v>148</v>
      </c>
      <c r="F2116" s="1" t="s">
        <v>36</v>
      </c>
      <c r="G2116" s="1" t="s">
        <v>4529</v>
      </c>
      <c r="I2116" s="1">
        <v>2100</v>
      </c>
      <c r="J2116" s="1" t="s">
        <v>554</v>
      </c>
      <c r="K2116" s="1" t="s">
        <v>115</v>
      </c>
      <c r="L2116" s="1">
        <v>4.4000000000000004</v>
      </c>
      <c r="M2116" s="1">
        <v>684</v>
      </c>
      <c r="P2116" t="str">
        <f t="shared" si="135"/>
        <v>36%</v>
      </c>
      <c r="Q2116" s="12">
        <f t="shared" si="132"/>
        <v>0.36</v>
      </c>
      <c r="R2116" s="9">
        <f t="shared" si="133"/>
        <v>1344</v>
      </c>
      <c r="S2116" s="9">
        <f>IF(R2116="",AVERAGEIF(Table1[Category],Table1[[#This Row],[Category]],Table2[orignal data]),Table2[[#This Row],[orignal data]])</f>
        <v>1344</v>
      </c>
      <c r="T2116" t="str">
        <f t="shared" si="134"/>
        <v>UNIQUE</v>
      </c>
      <c r="U2116" t="str">
        <f>IF(ISBLANK(Table1[[#This Row],[SizeOption]]),"NOT AVAILABLE",Table1[[#This Row],[SizeOption]])</f>
        <v>XS, S, M, L, XL, XXL</v>
      </c>
      <c r="Y2116" t="str">
        <f>IF(Table2[[#This Row],[Column1]]&gt;50%,"HIGH DISCOUNT","LOW DISCOUNT")</f>
        <v>LOW DISCOUNT</v>
      </c>
    </row>
    <row r="2117" spans="1:25" x14ac:dyDescent="0.25">
      <c r="A2117" s="2" t="s">
        <v>4530</v>
      </c>
      <c r="B2117" s="2">
        <v>1708413</v>
      </c>
      <c r="C2117" s="2" t="s">
        <v>14</v>
      </c>
      <c r="D2117" s="2" t="s">
        <v>28</v>
      </c>
      <c r="E2117" s="2" t="s">
        <v>42</v>
      </c>
      <c r="F2117" s="2" t="s">
        <v>17</v>
      </c>
      <c r="G2117" s="2" t="s">
        <v>4531</v>
      </c>
      <c r="H2117">
        <v>359</v>
      </c>
      <c r="I2117" s="2">
        <v>899</v>
      </c>
      <c r="J2117" s="2" t="s">
        <v>55</v>
      </c>
      <c r="K2117" s="2" t="s">
        <v>45</v>
      </c>
      <c r="L2117" s="2">
        <v>3.9</v>
      </c>
      <c r="M2117" s="2">
        <v>683</v>
      </c>
      <c r="P2117" t="str">
        <f t="shared" si="135"/>
        <v>60%</v>
      </c>
      <c r="Q2117" s="12">
        <f t="shared" si="132"/>
        <v>0.6</v>
      </c>
      <c r="R2117" s="9">
        <f t="shared" si="133"/>
        <v>359.6</v>
      </c>
      <c r="S2117" s="9">
        <f>IF(R2117="",AVERAGEIF(Table1[Category],Table1[[#This Row],[Category]],Table2[orignal data]),Table2[[#This Row],[orignal data]])</f>
        <v>359.6</v>
      </c>
      <c r="T2117" t="str">
        <f t="shared" si="134"/>
        <v>UNIQUE</v>
      </c>
      <c r="U2117" t="str">
        <f>IF(ISBLANK(Table1[[#This Row],[SizeOption]]),"NOT AVAILABLE",Table1[[#This Row],[SizeOption]])</f>
        <v>XS, S, M, L, XL</v>
      </c>
      <c r="Y2117" t="str">
        <f>IF(Table2[[#This Row],[Column1]]&gt;50%,"HIGH DISCOUNT","LOW DISCOUNT")</f>
        <v>HIGH DISCOUNT</v>
      </c>
    </row>
    <row r="2118" spans="1:25" x14ac:dyDescent="0.25">
      <c r="A2118" s="1" t="s">
        <v>4532</v>
      </c>
      <c r="B2118" s="1">
        <v>9302571</v>
      </c>
      <c r="C2118" s="1" t="s">
        <v>319</v>
      </c>
      <c r="D2118" s="1" t="s">
        <v>76</v>
      </c>
      <c r="E2118" s="1" t="s">
        <v>320</v>
      </c>
      <c r="F2118" s="1" t="s">
        <v>36</v>
      </c>
      <c r="G2118" s="1" t="s">
        <v>4533</v>
      </c>
      <c r="H2118">
        <v>999</v>
      </c>
      <c r="I2118" s="1">
        <v>1998</v>
      </c>
      <c r="J2118" s="1" t="s">
        <v>84</v>
      </c>
      <c r="K2118" s="1" t="s">
        <v>164</v>
      </c>
      <c r="L2118" s="1">
        <v>3.9</v>
      </c>
      <c r="M2118" s="1">
        <v>683</v>
      </c>
      <c r="P2118" t="str">
        <f t="shared" si="135"/>
        <v>50%</v>
      </c>
      <c r="Q2118" s="12">
        <f t="shared" si="132"/>
        <v>0.5</v>
      </c>
      <c r="R2118" s="9">
        <f t="shared" si="133"/>
        <v>999</v>
      </c>
      <c r="S2118" s="9">
        <f>IF(R2118="",AVERAGEIF(Table1[Category],Table1[[#This Row],[Category]],Table2[orignal data]),Table2[[#This Row],[orignal data]])</f>
        <v>999</v>
      </c>
      <c r="T2118" t="str">
        <f t="shared" si="134"/>
        <v>UNIQUE</v>
      </c>
      <c r="U2118" t="str">
        <f>IF(ISBLANK(Table1[[#This Row],[SizeOption]]),"NOT AVAILABLE",Table1[[#This Row],[SizeOption]])</f>
        <v>Onesize</v>
      </c>
      <c r="Y2118" t="str">
        <f>IF(Table2[[#This Row],[Column1]]&gt;50%,"HIGH DISCOUNT","LOW DISCOUNT")</f>
        <v>LOW DISCOUNT</v>
      </c>
    </row>
    <row r="2119" spans="1:25" x14ac:dyDescent="0.25">
      <c r="A2119" s="2" t="s">
        <v>4534</v>
      </c>
      <c r="B2119" s="2">
        <v>12441768</v>
      </c>
      <c r="C2119" s="2" t="s">
        <v>620</v>
      </c>
      <c r="D2119" s="2" t="s">
        <v>34</v>
      </c>
      <c r="E2119" s="2" t="s">
        <v>406</v>
      </c>
      <c r="F2119" s="2" t="s">
        <v>36</v>
      </c>
      <c r="G2119" s="2" t="s">
        <v>4535</v>
      </c>
      <c r="H2119">
        <v>594</v>
      </c>
      <c r="I2119" s="2">
        <v>1699</v>
      </c>
      <c r="J2119" s="2" t="s">
        <v>150</v>
      </c>
      <c r="K2119" s="2" t="s">
        <v>26</v>
      </c>
      <c r="L2119" s="2">
        <v>4.2</v>
      </c>
      <c r="M2119" s="2">
        <v>683</v>
      </c>
      <c r="P2119" t="str">
        <f t="shared" si="135"/>
        <v>65%</v>
      </c>
      <c r="Q2119" s="12">
        <f t="shared" si="132"/>
        <v>0.65</v>
      </c>
      <c r="R2119" s="9">
        <f t="shared" si="133"/>
        <v>594.64999999999986</v>
      </c>
      <c r="S2119" s="9">
        <f>IF(R2119="",AVERAGEIF(Table1[Category],Table1[[#This Row],[Category]],Table2[orignal data]),Table2[[#This Row],[orignal data]])</f>
        <v>594.64999999999986</v>
      </c>
      <c r="T2119" t="str">
        <f t="shared" si="134"/>
        <v>UNIQUE</v>
      </c>
      <c r="U2119" t="str">
        <f>IF(ISBLANK(Table1[[#This Row],[SizeOption]]),"NOT AVAILABLE",Table1[[#This Row],[SizeOption]])</f>
        <v>S, M, L, XL</v>
      </c>
      <c r="Y2119" t="str">
        <f>IF(Table2[[#This Row],[Column1]]&gt;50%,"HIGH DISCOUNT","LOW DISCOUNT")</f>
        <v>HIGH DISCOUNT</v>
      </c>
    </row>
    <row r="2120" spans="1:25" x14ac:dyDescent="0.25">
      <c r="A2120" s="1" t="s">
        <v>4536</v>
      </c>
      <c r="B2120" s="1">
        <v>1850238</v>
      </c>
      <c r="C2120" s="1" t="s">
        <v>201</v>
      </c>
      <c r="D2120" s="1" t="s">
        <v>98</v>
      </c>
      <c r="E2120" s="1" t="s">
        <v>93</v>
      </c>
      <c r="F2120" s="1" t="s">
        <v>36</v>
      </c>
      <c r="G2120" s="1" t="s">
        <v>4537</v>
      </c>
      <c r="H2120">
        <v>559</v>
      </c>
      <c r="I2120" s="1">
        <v>1599</v>
      </c>
      <c r="J2120" s="1" t="s">
        <v>150</v>
      </c>
      <c r="K2120" s="1" t="s">
        <v>234</v>
      </c>
      <c r="L2120" s="1">
        <v>4.0999999999999996</v>
      </c>
      <c r="M2120" s="1">
        <v>683</v>
      </c>
      <c r="P2120" t="str">
        <f t="shared" si="135"/>
        <v>65%</v>
      </c>
      <c r="Q2120" s="12">
        <f t="shared" si="132"/>
        <v>0.65</v>
      </c>
      <c r="R2120" s="9">
        <f t="shared" si="133"/>
        <v>559.64999999999986</v>
      </c>
      <c r="S2120" s="9">
        <f>IF(R2120="",AVERAGEIF(Table1[Category],Table1[[#This Row],[Category]],Table2[orignal data]),Table2[[#This Row],[orignal data]])</f>
        <v>559.64999999999986</v>
      </c>
      <c r="T2120" t="str">
        <f t="shared" si="134"/>
        <v>UNIQUE</v>
      </c>
      <c r="U2120" t="str">
        <f>IF(ISBLANK(Table1[[#This Row],[SizeOption]]),"NOT AVAILABLE",Table1[[#This Row],[SizeOption]])</f>
        <v>S, M, L, XL, XXL, 3XL</v>
      </c>
      <c r="Y2120" t="str">
        <f>IF(Table2[[#This Row],[Column1]]&gt;50%,"HIGH DISCOUNT","LOW DISCOUNT")</f>
        <v>HIGH DISCOUNT</v>
      </c>
    </row>
    <row r="2121" spans="1:25" x14ac:dyDescent="0.25">
      <c r="A2121" s="2" t="s">
        <v>4538</v>
      </c>
      <c r="B2121" s="2">
        <v>691963</v>
      </c>
      <c r="C2121" s="2" t="s">
        <v>225</v>
      </c>
      <c r="D2121" s="2" t="s">
        <v>41</v>
      </c>
      <c r="E2121" s="2" t="s">
        <v>148</v>
      </c>
      <c r="F2121" s="2" t="s">
        <v>36</v>
      </c>
      <c r="G2121" s="2" t="s">
        <v>4539</v>
      </c>
      <c r="I2121" s="2">
        <v>1399</v>
      </c>
      <c r="J2121" s="2" t="s">
        <v>602</v>
      </c>
      <c r="K2121" s="2" t="s">
        <v>26</v>
      </c>
      <c r="L2121" s="2">
        <v>4.3</v>
      </c>
      <c r="M2121" s="2">
        <v>683</v>
      </c>
      <c r="P2121" t="str">
        <f t="shared" si="135"/>
        <v>48%</v>
      </c>
      <c r="Q2121" s="12">
        <f t="shared" si="132"/>
        <v>0.48</v>
      </c>
      <c r="R2121" s="9">
        <f t="shared" si="133"/>
        <v>727.48</v>
      </c>
      <c r="S2121" s="9">
        <f>IF(R2121="",AVERAGEIF(Table1[Category],Table1[[#This Row],[Category]],Table2[orignal data]),Table2[[#This Row],[orignal data]])</f>
        <v>727.48</v>
      </c>
      <c r="T2121" t="str">
        <f t="shared" si="134"/>
        <v>UNIQUE</v>
      </c>
      <c r="U2121" t="str">
        <f>IF(ISBLANK(Table1[[#This Row],[SizeOption]]),"NOT AVAILABLE",Table1[[#This Row],[SizeOption]])</f>
        <v>S, M, L, XL</v>
      </c>
      <c r="Y2121" t="str">
        <f>IF(Table2[[#This Row],[Column1]]&gt;50%,"HIGH DISCOUNT","LOW DISCOUNT")</f>
        <v>LOW DISCOUNT</v>
      </c>
    </row>
    <row r="2122" spans="1:25" x14ac:dyDescent="0.25">
      <c r="A2122" s="1" t="s">
        <v>4540</v>
      </c>
      <c r="B2122" s="1">
        <v>13594618</v>
      </c>
      <c r="C2122" s="1" t="s">
        <v>14</v>
      </c>
      <c r="D2122" s="1" t="s">
        <v>41</v>
      </c>
      <c r="E2122" s="1" t="s">
        <v>42</v>
      </c>
      <c r="F2122" s="1" t="s">
        <v>36</v>
      </c>
      <c r="G2122" s="1" t="s">
        <v>4541</v>
      </c>
      <c r="I2122" s="1">
        <v>699</v>
      </c>
      <c r="J2122" s="1" t="s">
        <v>50</v>
      </c>
      <c r="K2122" s="1" t="s">
        <v>45</v>
      </c>
      <c r="L2122" s="1">
        <v>4.2</v>
      </c>
      <c r="M2122" s="1">
        <v>683</v>
      </c>
      <c r="P2122" t="str">
        <f t="shared" si="135"/>
        <v>40%</v>
      </c>
      <c r="Q2122" s="12">
        <f t="shared" si="132"/>
        <v>0.4</v>
      </c>
      <c r="R2122" s="9">
        <f t="shared" si="133"/>
        <v>419.4</v>
      </c>
      <c r="S2122" s="9">
        <f>IF(R2122="",AVERAGEIF(Table1[Category],Table1[[#This Row],[Category]],Table2[orignal data]),Table2[[#This Row],[orignal data]])</f>
        <v>419.4</v>
      </c>
      <c r="T2122" t="str">
        <f t="shared" si="134"/>
        <v>UNIQUE</v>
      </c>
      <c r="U2122" t="str">
        <f>IF(ISBLANK(Table1[[#This Row],[SizeOption]]),"NOT AVAILABLE",Table1[[#This Row],[SizeOption]])</f>
        <v>XS, S, M, L, XL</v>
      </c>
      <c r="Y2122" t="str">
        <f>IF(Table2[[#This Row],[Column1]]&gt;50%,"HIGH DISCOUNT","LOW DISCOUNT")</f>
        <v>LOW DISCOUNT</v>
      </c>
    </row>
    <row r="2123" spans="1:25" x14ac:dyDescent="0.25">
      <c r="A2123" s="2" t="s">
        <v>4542</v>
      </c>
      <c r="B2123" s="2">
        <v>11278638</v>
      </c>
      <c r="C2123" s="2" t="s">
        <v>14</v>
      </c>
      <c r="D2123" s="2" t="s">
        <v>28</v>
      </c>
      <c r="E2123" s="2" t="s">
        <v>42</v>
      </c>
      <c r="F2123" s="2" t="s">
        <v>17</v>
      </c>
      <c r="G2123" s="2" t="s">
        <v>4543</v>
      </c>
      <c r="H2123">
        <v>824</v>
      </c>
      <c r="I2123" s="2">
        <v>1499</v>
      </c>
      <c r="J2123" s="2" t="s">
        <v>19</v>
      </c>
      <c r="K2123" s="2" t="s">
        <v>26</v>
      </c>
      <c r="L2123" s="2">
        <v>4</v>
      </c>
      <c r="M2123" s="2">
        <v>682</v>
      </c>
      <c r="P2123" t="str">
        <f t="shared" si="135"/>
        <v>45%</v>
      </c>
      <c r="Q2123" s="12">
        <f t="shared" si="132"/>
        <v>0.45</v>
      </c>
      <c r="R2123" s="9">
        <f t="shared" si="133"/>
        <v>824.44999999999993</v>
      </c>
      <c r="S2123" s="9">
        <f>IF(R2123="",AVERAGEIF(Table1[Category],Table1[[#This Row],[Category]],Table2[orignal data]),Table2[[#This Row],[orignal data]])</f>
        <v>824.44999999999993</v>
      </c>
      <c r="T2123" t="str">
        <f t="shared" si="134"/>
        <v>UNIQUE</v>
      </c>
      <c r="U2123" t="str">
        <f>IF(ISBLANK(Table1[[#This Row],[SizeOption]]),"NOT AVAILABLE",Table1[[#This Row],[SizeOption]])</f>
        <v>S, M, L, XL</v>
      </c>
      <c r="Y2123" t="str">
        <f>IF(Table2[[#This Row],[Column1]]&gt;50%,"HIGH DISCOUNT","LOW DISCOUNT")</f>
        <v>LOW DISCOUNT</v>
      </c>
    </row>
    <row r="2124" spans="1:25" x14ac:dyDescent="0.25">
      <c r="A2124" s="1" t="s">
        <v>4544</v>
      </c>
      <c r="B2124" s="1">
        <v>11427076</v>
      </c>
      <c r="C2124" s="1" t="s">
        <v>4545</v>
      </c>
      <c r="D2124" s="1" t="s">
        <v>28</v>
      </c>
      <c r="E2124" s="1" t="s">
        <v>42</v>
      </c>
      <c r="F2124" s="1" t="s">
        <v>17</v>
      </c>
      <c r="G2124" s="1" t="s">
        <v>4546</v>
      </c>
      <c r="H2124">
        <v>494</v>
      </c>
      <c r="I2124" s="1">
        <v>1499</v>
      </c>
      <c r="J2124" s="1" t="s">
        <v>543</v>
      </c>
      <c r="K2124" s="1" t="s">
        <v>39</v>
      </c>
      <c r="L2124" s="1">
        <v>4.2</v>
      </c>
      <c r="M2124" s="1">
        <v>682</v>
      </c>
      <c r="P2124" t="str">
        <f t="shared" si="135"/>
        <v>67%</v>
      </c>
      <c r="Q2124" s="12">
        <f t="shared" si="132"/>
        <v>0.67</v>
      </c>
      <c r="R2124" s="9">
        <f t="shared" si="133"/>
        <v>494.66999999999996</v>
      </c>
      <c r="S2124" s="9">
        <f>IF(R2124="",AVERAGEIF(Table1[Category],Table1[[#This Row],[Category]],Table2[orignal data]),Table2[[#This Row],[orignal data]])</f>
        <v>494.66999999999996</v>
      </c>
      <c r="T2124" t="str">
        <f t="shared" si="134"/>
        <v>UNIQUE</v>
      </c>
      <c r="U2124" t="str">
        <f>IF(ISBLANK(Table1[[#This Row],[SizeOption]]),"NOT AVAILABLE",Table1[[#This Row],[SizeOption]])</f>
        <v>S, M, L, XL, XXL</v>
      </c>
      <c r="Y2124" t="str">
        <f>IF(Table2[[#This Row],[Column1]]&gt;50%,"HIGH DISCOUNT","LOW DISCOUNT")</f>
        <v>HIGH DISCOUNT</v>
      </c>
    </row>
    <row r="2125" spans="1:25" x14ac:dyDescent="0.25">
      <c r="A2125" s="2" t="s">
        <v>4547</v>
      </c>
      <c r="B2125" s="2">
        <v>10669540</v>
      </c>
      <c r="C2125" s="2" t="s">
        <v>2823</v>
      </c>
      <c r="D2125" s="2" t="s">
        <v>28</v>
      </c>
      <c r="E2125" s="2" t="s">
        <v>42</v>
      </c>
      <c r="F2125" s="2" t="s">
        <v>17</v>
      </c>
      <c r="G2125" s="2" t="s">
        <v>2824</v>
      </c>
      <c r="H2125">
        <v>659</v>
      </c>
      <c r="I2125" s="2">
        <v>1998</v>
      </c>
      <c r="J2125" s="2" t="s">
        <v>543</v>
      </c>
      <c r="K2125" s="2" t="s">
        <v>39</v>
      </c>
      <c r="L2125" s="2">
        <v>4.2</v>
      </c>
      <c r="M2125" s="2">
        <v>682</v>
      </c>
      <c r="P2125" t="str">
        <f t="shared" si="135"/>
        <v>67%</v>
      </c>
      <c r="Q2125" s="12">
        <f t="shared" si="132"/>
        <v>0.67</v>
      </c>
      <c r="R2125" s="9">
        <f t="shared" si="133"/>
        <v>659.33999999999992</v>
      </c>
      <c r="S2125" s="9">
        <f>IF(R2125="",AVERAGEIF(Table1[Category],Table1[[#This Row],[Category]],Table2[orignal data]),Table2[[#This Row],[orignal data]])</f>
        <v>659.33999999999992</v>
      </c>
      <c r="T2125" t="str">
        <f t="shared" si="134"/>
        <v>UNIQUE</v>
      </c>
      <c r="U2125" t="str">
        <f>IF(ISBLANK(Table1[[#This Row],[SizeOption]]),"NOT AVAILABLE",Table1[[#This Row],[SizeOption]])</f>
        <v>S, M, L, XL, XXL</v>
      </c>
      <c r="Y2125" t="str">
        <f>IF(Table2[[#This Row],[Column1]]&gt;50%,"HIGH DISCOUNT","LOW DISCOUNT")</f>
        <v>HIGH DISCOUNT</v>
      </c>
    </row>
    <row r="2126" spans="1:25" x14ac:dyDescent="0.25">
      <c r="A2126" s="1" t="s">
        <v>4548</v>
      </c>
      <c r="B2126" s="1">
        <v>13437316</v>
      </c>
      <c r="C2126" s="1" t="s">
        <v>97</v>
      </c>
      <c r="D2126" s="1" t="s">
        <v>76</v>
      </c>
      <c r="E2126" s="1" t="s">
        <v>93</v>
      </c>
      <c r="F2126" s="1" t="s">
        <v>36</v>
      </c>
      <c r="G2126" s="1" t="s">
        <v>4549</v>
      </c>
      <c r="H2126">
        <v>689</v>
      </c>
      <c r="I2126" s="1">
        <v>2299</v>
      </c>
      <c r="J2126" s="1" t="s">
        <v>79</v>
      </c>
      <c r="K2126" s="1" t="s">
        <v>100</v>
      </c>
      <c r="L2126" s="1">
        <v>4.0999999999999996</v>
      </c>
      <c r="M2126" s="1">
        <v>682</v>
      </c>
      <c r="P2126" t="str">
        <f t="shared" si="135"/>
        <v>70%</v>
      </c>
      <c r="Q2126" s="12">
        <f t="shared" si="132"/>
        <v>0.7</v>
      </c>
      <c r="R2126" s="9">
        <f t="shared" si="133"/>
        <v>689.7</v>
      </c>
      <c r="S2126" s="9">
        <f>IF(R2126="",AVERAGEIF(Table1[Category],Table1[[#This Row],[Category]],Table2[orignal data]),Table2[[#This Row],[orignal data]])</f>
        <v>689.7</v>
      </c>
      <c r="T2126" t="str">
        <f t="shared" si="134"/>
        <v>UNIQUE</v>
      </c>
      <c r="U2126" t="str">
        <f>IF(ISBLANK(Table1[[#This Row],[SizeOption]]),"NOT AVAILABLE",Table1[[#This Row],[SizeOption]])</f>
        <v>XS, S, M, L, XL, XXL, 3XL</v>
      </c>
      <c r="Y2126" t="str">
        <f>IF(Table2[[#This Row],[Column1]]&gt;50%,"HIGH DISCOUNT","LOW DISCOUNT")</f>
        <v>HIGH DISCOUNT</v>
      </c>
    </row>
    <row r="2127" spans="1:25" x14ac:dyDescent="0.25">
      <c r="A2127" s="2" t="s">
        <v>4550</v>
      </c>
      <c r="B2127" s="2">
        <v>10939784</v>
      </c>
      <c r="C2127" s="2" t="s">
        <v>107</v>
      </c>
      <c r="D2127" s="2" t="s">
        <v>34</v>
      </c>
      <c r="E2127" s="2" t="s">
        <v>118</v>
      </c>
      <c r="F2127" s="2" t="s">
        <v>36</v>
      </c>
      <c r="G2127" s="2" t="s">
        <v>4551</v>
      </c>
      <c r="H2127">
        <v>259</v>
      </c>
      <c r="I2127" s="2">
        <v>649</v>
      </c>
      <c r="J2127" s="2" t="s">
        <v>55</v>
      </c>
      <c r="K2127" s="2" t="s">
        <v>4552</v>
      </c>
      <c r="L2127" s="2">
        <v>4.0999999999999996</v>
      </c>
      <c r="M2127" s="2">
        <v>682</v>
      </c>
      <c r="P2127" t="str">
        <f t="shared" si="135"/>
        <v>60%</v>
      </c>
      <c r="Q2127" s="12">
        <f t="shared" si="132"/>
        <v>0.6</v>
      </c>
      <c r="R2127" s="9">
        <f t="shared" si="133"/>
        <v>259.60000000000002</v>
      </c>
      <c r="S2127" s="9">
        <f>IF(R2127="",AVERAGEIF(Table1[Category],Table1[[#This Row],[Category]],Table2[orignal data]),Table2[[#This Row],[orignal data]])</f>
        <v>259.60000000000002</v>
      </c>
      <c r="T2127" t="str">
        <f t="shared" si="134"/>
        <v>UNIQUE</v>
      </c>
      <c r="U2127" t="str">
        <f>IF(ISBLANK(Table1[[#This Row],[SizeOption]]),"NOT AVAILABLE",Table1[[#This Row],[SizeOption]])</f>
        <v>36B, 38D, 34D, 34C, 34B, 32C, 38C, 32B, 38B, 36D, 36C</v>
      </c>
      <c r="Y2127" t="str">
        <f>IF(Table2[[#This Row],[Column1]]&gt;50%,"HIGH DISCOUNT","LOW DISCOUNT")</f>
        <v>HIGH DISCOUNT</v>
      </c>
    </row>
    <row r="2128" spans="1:25" x14ac:dyDescent="0.25">
      <c r="A2128" s="1" t="s">
        <v>4553</v>
      </c>
      <c r="B2128" s="1">
        <v>11884346</v>
      </c>
      <c r="C2128" s="1" t="s">
        <v>3817</v>
      </c>
      <c r="D2128" s="1" t="s">
        <v>34</v>
      </c>
      <c r="E2128" s="1" t="s">
        <v>118</v>
      </c>
      <c r="F2128" s="1" t="s">
        <v>36</v>
      </c>
      <c r="G2128" s="1" t="s">
        <v>4554</v>
      </c>
      <c r="H2128">
        <v>426</v>
      </c>
      <c r="I2128" s="1">
        <v>699</v>
      </c>
      <c r="J2128" s="1" t="s">
        <v>1863</v>
      </c>
      <c r="K2128" s="1" t="s">
        <v>3819</v>
      </c>
      <c r="L2128" s="1">
        <v>4.2</v>
      </c>
      <c r="M2128" s="1">
        <v>682</v>
      </c>
      <c r="P2128" t="str">
        <f t="shared" si="135"/>
        <v>39%</v>
      </c>
      <c r="Q2128" s="12">
        <f t="shared" si="132"/>
        <v>0.39</v>
      </c>
      <c r="R2128" s="9">
        <f t="shared" si="133"/>
        <v>426.39</v>
      </c>
      <c r="S2128" s="9">
        <f>IF(R2128="",AVERAGEIF(Table1[Category],Table1[[#This Row],[Category]],Table2[orignal data]),Table2[[#This Row],[orignal data]])</f>
        <v>426.39</v>
      </c>
      <c r="T2128" t="str">
        <f t="shared" si="134"/>
        <v>UNIQUE</v>
      </c>
      <c r="U2128" t="str">
        <f>IF(ISBLANK(Table1[[#This Row],[SizeOption]]),"NOT AVAILABLE",Table1[[#This Row],[SizeOption]])</f>
        <v>30B, 32B, 34B, 34C, 36B, 36C, 38B, 38C</v>
      </c>
      <c r="Y2128" t="str">
        <f>IF(Table2[[#This Row],[Column1]]&gt;50%,"HIGH DISCOUNT","LOW DISCOUNT")</f>
        <v>LOW DISCOUNT</v>
      </c>
    </row>
    <row r="2129" spans="1:25" x14ac:dyDescent="0.25">
      <c r="A2129" s="2" t="s">
        <v>4555</v>
      </c>
      <c r="B2129" s="2">
        <v>12524912</v>
      </c>
      <c r="C2129" s="2" t="s">
        <v>64</v>
      </c>
      <c r="D2129" s="2" t="s">
        <v>98</v>
      </c>
      <c r="E2129" s="2" t="s">
        <v>406</v>
      </c>
      <c r="F2129" s="2" t="s">
        <v>36</v>
      </c>
      <c r="G2129" s="2" t="s">
        <v>4556</v>
      </c>
      <c r="H2129">
        <v>559</v>
      </c>
      <c r="I2129" s="2">
        <v>1399</v>
      </c>
      <c r="J2129" s="2" t="s">
        <v>141</v>
      </c>
      <c r="K2129" s="2" t="s">
        <v>39</v>
      </c>
      <c r="L2129" s="2">
        <v>4.3</v>
      </c>
      <c r="M2129" s="2">
        <v>682</v>
      </c>
      <c r="P2129" t="str">
        <f t="shared" si="135"/>
        <v>60%</v>
      </c>
      <c r="Q2129" s="12">
        <f t="shared" si="132"/>
        <v>0.6</v>
      </c>
      <c r="R2129" s="9">
        <f t="shared" si="133"/>
        <v>559.6</v>
      </c>
      <c r="S2129" s="9">
        <f>IF(R2129="",AVERAGEIF(Table1[Category],Table1[[#This Row],[Category]],Table2[orignal data]),Table2[[#This Row],[orignal data]])</f>
        <v>559.6</v>
      </c>
      <c r="T2129" t="str">
        <f t="shared" si="134"/>
        <v>UNIQUE</v>
      </c>
      <c r="U2129" t="str">
        <f>IF(ISBLANK(Table1[[#This Row],[SizeOption]]),"NOT AVAILABLE",Table1[[#This Row],[SizeOption]])</f>
        <v>S, M, L, XL, XXL</v>
      </c>
      <c r="Y2129" t="str">
        <f>IF(Table2[[#This Row],[Column1]]&gt;50%,"HIGH DISCOUNT","LOW DISCOUNT")</f>
        <v>HIGH DISCOUNT</v>
      </c>
    </row>
    <row r="2130" spans="1:25" x14ac:dyDescent="0.25">
      <c r="A2130" s="1" t="s">
        <v>4557</v>
      </c>
      <c r="B2130" s="1">
        <v>11357296</v>
      </c>
      <c r="C2130" s="1" t="s">
        <v>67</v>
      </c>
      <c r="D2130" s="1" t="s">
        <v>68</v>
      </c>
      <c r="E2130" s="1" t="s">
        <v>23</v>
      </c>
      <c r="F2130" s="1" t="s">
        <v>36</v>
      </c>
      <c r="G2130" s="1" t="s">
        <v>4558</v>
      </c>
      <c r="H2130">
        <v>1429</v>
      </c>
      <c r="I2130" s="1">
        <v>2599</v>
      </c>
      <c r="J2130" s="1" t="s">
        <v>19</v>
      </c>
      <c r="K2130" s="1" t="s">
        <v>45</v>
      </c>
      <c r="L2130" s="1">
        <v>4.3</v>
      </c>
      <c r="M2130" s="1">
        <v>682</v>
      </c>
      <c r="P2130" t="str">
        <f t="shared" si="135"/>
        <v>45%</v>
      </c>
      <c r="Q2130" s="12">
        <f t="shared" si="132"/>
        <v>0.45</v>
      </c>
      <c r="R2130" s="9">
        <f t="shared" si="133"/>
        <v>1429.45</v>
      </c>
      <c r="S2130" s="9">
        <f>IF(R2130="",AVERAGEIF(Table1[Category],Table1[[#This Row],[Category]],Table2[orignal data]),Table2[[#This Row],[orignal data]])</f>
        <v>1429.45</v>
      </c>
      <c r="T2130" t="str">
        <f t="shared" si="134"/>
        <v>UNIQUE</v>
      </c>
      <c r="U2130" t="str">
        <f>IF(ISBLANK(Table1[[#This Row],[SizeOption]]),"NOT AVAILABLE",Table1[[#This Row],[SizeOption]])</f>
        <v>XS, S, M, L, XL</v>
      </c>
      <c r="Y2130" t="str">
        <f>IF(Table2[[#This Row],[Column1]]&gt;50%,"HIGH DISCOUNT","LOW DISCOUNT")</f>
        <v>LOW DISCOUNT</v>
      </c>
    </row>
    <row r="2131" spans="1:25" x14ac:dyDescent="0.25">
      <c r="A2131" s="2" t="s">
        <v>4559</v>
      </c>
      <c r="B2131" s="2">
        <v>11711862</v>
      </c>
      <c r="C2131" s="2" t="s">
        <v>47</v>
      </c>
      <c r="D2131" s="2" t="s">
        <v>41</v>
      </c>
      <c r="E2131" s="2" t="s">
        <v>48</v>
      </c>
      <c r="F2131" s="2" t="s">
        <v>36</v>
      </c>
      <c r="G2131" s="2" t="s">
        <v>4560</v>
      </c>
      <c r="I2131" s="2">
        <v>1099</v>
      </c>
      <c r="J2131" s="2" t="s">
        <v>50</v>
      </c>
      <c r="K2131" s="2" t="s">
        <v>45</v>
      </c>
      <c r="L2131" s="2">
        <v>4.3</v>
      </c>
      <c r="M2131" s="2">
        <v>682</v>
      </c>
      <c r="P2131" t="str">
        <f t="shared" si="135"/>
        <v>40%</v>
      </c>
      <c r="Q2131" s="12">
        <f t="shared" si="132"/>
        <v>0.4</v>
      </c>
      <c r="R2131" s="9">
        <f t="shared" si="133"/>
        <v>659.4</v>
      </c>
      <c r="S2131" s="9">
        <f>IF(R2131="",AVERAGEIF(Table1[Category],Table1[[#This Row],[Category]],Table2[orignal data]),Table2[[#This Row],[orignal data]])</f>
        <v>659.4</v>
      </c>
      <c r="T2131" t="str">
        <f t="shared" si="134"/>
        <v>UNIQUE</v>
      </c>
      <c r="U2131" t="str">
        <f>IF(ISBLANK(Table1[[#This Row],[SizeOption]]),"NOT AVAILABLE",Table1[[#This Row],[SizeOption]])</f>
        <v>XS, S, M, L, XL</v>
      </c>
      <c r="Y2131" t="str">
        <f>IF(Table2[[#This Row],[Column1]]&gt;50%,"HIGH DISCOUNT","LOW DISCOUNT")</f>
        <v>LOW DISCOUNT</v>
      </c>
    </row>
    <row r="2132" spans="1:25" x14ac:dyDescent="0.25">
      <c r="A2132" s="1" t="s">
        <v>4561</v>
      </c>
      <c r="B2132" s="1">
        <v>14348874</v>
      </c>
      <c r="C2132" s="1" t="s">
        <v>102</v>
      </c>
      <c r="D2132" s="1" t="s">
        <v>41</v>
      </c>
      <c r="E2132" s="1" t="s">
        <v>137</v>
      </c>
      <c r="F2132" s="1" t="s">
        <v>36</v>
      </c>
      <c r="G2132" s="1" t="s">
        <v>4562</v>
      </c>
      <c r="I2132" s="1">
        <v>699</v>
      </c>
      <c r="J2132" s="1" t="s">
        <v>606</v>
      </c>
      <c r="K2132" s="1" t="s">
        <v>1252</v>
      </c>
      <c r="L2132" s="1">
        <v>4.5</v>
      </c>
      <c r="M2132" s="1">
        <v>682</v>
      </c>
      <c r="P2132" t="str">
        <f t="shared" si="135"/>
        <v>54%</v>
      </c>
      <c r="Q2132" s="12">
        <f t="shared" si="132"/>
        <v>0.54</v>
      </c>
      <c r="R2132" s="9">
        <f t="shared" si="133"/>
        <v>321.53999999999996</v>
      </c>
      <c r="S2132" s="9">
        <f>IF(R2132="",AVERAGEIF(Table1[Category],Table1[[#This Row],[Category]],Table2[orignal data]),Table2[[#This Row],[orignal data]])</f>
        <v>321.53999999999996</v>
      </c>
      <c r="T2132" t="str">
        <f t="shared" si="134"/>
        <v>UNIQUE</v>
      </c>
      <c r="U2132" t="str">
        <f>IF(ISBLANK(Table1[[#This Row],[SizeOption]]),"NOT AVAILABLE",Table1[[#This Row],[SizeOption]])</f>
        <v>26, 28, 30, 32</v>
      </c>
      <c r="Y2132" t="str">
        <f>IF(Table2[[#This Row],[Column1]]&gt;50%,"HIGH DISCOUNT","LOW DISCOUNT")</f>
        <v>HIGH DISCOUNT</v>
      </c>
    </row>
    <row r="2133" spans="1:25" x14ac:dyDescent="0.25">
      <c r="A2133" s="2" t="s">
        <v>4563</v>
      </c>
      <c r="B2133" s="2">
        <v>1086729</v>
      </c>
      <c r="C2133" s="2" t="s">
        <v>1299</v>
      </c>
      <c r="D2133" s="2" t="s">
        <v>28</v>
      </c>
      <c r="E2133" s="2" t="s">
        <v>29</v>
      </c>
      <c r="F2133" s="2" t="s">
        <v>17</v>
      </c>
      <c r="G2133" s="2" t="s">
        <v>4564</v>
      </c>
      <c r="H2133">
        <v>989</v>
      </c>
      <c r="I2133" s="2">
        <v>1799</v>
      </c>
      <c r="J2133" s="2" t="s">
        <v>19</v>
      </c>
      <c r="K2133" s="2" t="s">
        <v>1674</v>
      </c>
      <c r="L2133" s="2">
        <v>3.9</v>
      </c>
      <c r="M2133" s="2">
        <v>681</v>
      </c>
      <c r="P2133" t="str">
        <f t="shared" si="135"/>
        <v>45%</v>
      </c>
      <c r="Q2133" s="12">
        <f t="shared" si="132"/>
        <v>0.45</v>
      </c>
      <c r="R2133" s="9">
        <f t="shared" si="133"/>
        <v>989.44999999999993</v>
      </c>
      <c r="S2133" s="9">
        <f>IF(R2133="",AVERAGEIF(Table1[Category],Table1[[#This Row],[Category]],Table2[orignal data]),Table2[[#This Row],[orignal data]])</f>
        <v>989.44999999999993</v>
      </c>
      <c r="T2133" t="str">
        <f t="shared" si="134"/>
        <v>UNIQUE</v>
      </c>
      <c r="U2133" t="str">
        <f>IF(ISBLANK(Table1[[#This Row],[SizeOption]]),"NOT AVAILABLE",Table1[[#This Row],[SizeOption]])</f>
        <v>38, 39, 40, 42, 44</v>
      </c>
      <c r="Y2133" t="str">
        <f>IF(Table2[[#This Row],[Column1]]&gt;50%,"HIGH DISCOUNT","LOW DISCOUNT")</f>
        <v>LOW DISCOUNT</v>
      </c>
    </row>
    <row r="2134" spans="1:25" x14ac:dyDescent="0.25">
      <c r="A2134" s="1" t="s">
        <v>4565</v>
      </c>
      <c r="B2134" s="1">
        <v>1207931</v>
      </c>
      <c r="C2134" s="1" t="s">
        <v>346</v>
      </c>
      <c r="D2134" s="1" t="s">
        <v>28</v>
      </c>
      <c r="E2134" s="1" t="s">
        <v>29</v>
      </c>
      <c r="F2134" s="1" t="s">
        <v>17</v>
      </c>
      <c r="G2134" s="1" t="s">
        <v>4566</v>
      </c>
      <c r="H2134">
        <v>854</v>
      </c>
      <c r="I2134" s="1">
        <v>1899</v>
      </c>
      <c r="J2134" s="1" t="s">
        <v>25</v>
      </c>
      <c r="K2134" s="1" t="s">
        <v>253</v>
      </c>
      <c r="L2134" s="1">
        <v>4</v>
      </c>
      <c r="M2134" s="1">
        <v>681</v>
      </c>
      <c r="P2134" t="str">
        <f t="shared" si="135"/>
        <v>55%</v>
      </c>
      <c r="Q2134" s="12">
        <f t="shared" si="132"/>
        <v>0.55000000000000004</v>
      </c>
      <c r="R2134" s="9">
        <f t="shared" si="133"/>
        <v>854.55</v>
      </c>
      <c r="S2134" s="9">
        <f>IF(R2134="",AVERAGEIF(Table1[Category],Table1[[#This Row],[Category]],Table2[orignal data]),Table2[[#This Row],[orignal data]])</f>
        <v>854.55</v>
      </c>
      <c r="T2134" t="str">
        <f t="shared" si="134"/>
        <v>UNIQUE</v>
      </c>
      <c r="U2134" t="str">
        <f>IF(ISBLANK(Table1[[#This Row],[SizeOption]]),"NOT AVAILABLE",Table1[[#This Row],[SizeOption]])</f>
        <v>38, 40, 42, 44</v>
      </c>
      <c r="Y2134" t="str">
        <f>IF(Table2[[#This Row],[Column1]]&gt;50%,"HIGH DISCOUNT","LOW DISCOUNT")</f>
        <v>HIGH DISCOUNT</v>
      </c>
    </row>
    <row r="2135" spans="1:25" x14ac:dyDescent="0.25">
      <c r="A2135" s="2" t="s">
        <v>4567</v>
      </c>
      <c r="B2135" s="2">
        <v>12131918</v>
      </c>
      <c r="C2135" s="2" t="s">
        <v>169</v>
      </c>
      <c r="D2135" s="2" t="s">
        <v>28</v>
      </c>
      <c r="E2135" s="2" t="s">
        <v>29</v>
      </c>
      <c r="F2135" s="2" t="s">
        <v>17</v>
      </c>
      <c r="G2135" s="2" t="s">
        <v>4568</v>
      </c>
      <c r="H2135">
        <v>1429</v>
      </c>
      <c r="I2135" s="2">
        <v>2199</v>
      </c>
      <c r="J2135" s="2" t="s">
        <v>44</v>
      </c>
      <c r="K2135" s="2" t="s">
        <v>484</v>
      </c>
      <c r="L2135" s="2">
        <v>4.4000000000000004</v>
      </c>
      <c r="M2135" s="2">
        <v>681</v>
      </c>
      <c r="P2135" t="str">
        <f t="shared" si="135"/>
        <v>35%</v>
      </c>
      <c r="Q2135" s="12">
        <f t="shared" si="132"/>
        <v>0.35</v>
      </c>
      <c r="R2135" s="9">
        <f t="shared" si="133"/>
        <v>1429.35</v>
      </c>
      <c r="S2135" s="9">
        <f>IF(R2135="",AVERAGEIF(Table1[Category],Table1[[#This Row],[Category]],Table2[orignal data]),Table2[[#This Row],[orignal data]])</f>
        <v>1429.35</v>
      </c>
      <c r="T2135" t="str">
        <f t="shared" si="134"/>
        <v>UNIQUE</v>
      </c>
      <c r="U2135" t="str">
        <f>IF(ISBLANK(Table1[[#This Row],[SizeOption]]),"NOT AVAILABLE",Table1[[#This Row],[SizeOption]])</f>
        <v>39, 40, 42, 44, 46</v>
      </c>
      <c r="Y2135" t="str">
        <f>IF(Table2[[#This Row],[Column1]]&gt;50%,"HIGH DISCOUNT","LOW DISCOUNT")</f>
        <v>LOW DISCOUNT</v>
      </c>
    </row>
    <row r="2136" spans="1:25" x14ac:dyDescent="0.25">
      <c r="A2136" s="1" t="s">
        <v>4569</v>
      </c>
      <c r="B2136" s="1">
        <v>12817358</v>
      </c>
      <c r="C2136" s="1" t="s">
        <v>64</v>
      </c>
      <c r="D2136" s="1" t="s">
        <v>28</v>
      </c>
      <c r="E2136" s="1" t="s">
        <v>42</v>
      </c>
      <c r="F2136" s="1" t="s">
        <v>17</v>
      </c>
      <c r="G2136" s="1" t="s">
        <v>4570</v>
      </c>
      <c r="H2136">
        <v>329</v>
      </c>
      <c r="I2136" s="1">
        <v>599</v>
      </c>
      <c r="J2136" s="1" t="s">
        <v>19</v>
      </c>
      <c r="K2136" s="1" t="s">
        <v>26</v>
      </c>
      <c r="L2136" s="1">
        <v>4.0999999999999996</v>
      </c>
      <c r="M2136" s="1">
        <v>681</v>
      </c>
      <c r="P2136" t="str">
        <f t="shared" si="135"/>
        <v>45%</v>
      </c>
      <c r="Q2136" s="12">
        <f t="shared" si="132"/>
        <v>0.45</v>
      </c>
      <c r="R2136" s="9">
        <f t="shared" si="133"/>
        <v>329.45</v>
      </c>
      <c r="S2136" s="9">
        <f>IF(R2136="",AVERAGEIF(Table1[Category],Table1[[#This Row],[Category]],Table2[orignal data]),Table2[[#This Row],[orignal data]])</f>
        <v>329.45</v>
      </c>
      <c r="T2136" t="str">
        <f t="shared" si="134"/>
        <v>UNIQUE</v>
      </c>
      <c r="U2136" t="str">
        <f>IF(ISBLANK(Table1[[#This Row],[SizeOption]]),"NOT AVAILABLE",Table1[[#This Row],[SizeOption]])</f>
        <v>S, M, L, XL</v>
      </c>
      <c r="Y2136" t="str">
        <f>IF(Table2[[#This Row],[Column1]]&gt;50%,"HIGH DISCOUNT","LOW DISCOUNT")</f>
        <v>LOW DISCOUNT</v>
      </c>
    </row>
    <row r="2137" spans="1:25" x14ac:dyDescent="0.25">
      <c r="A2137" s="2" t="s">
        <v>4571</v>
      </c>
      <c r="B2137" s="2">
        <v>2318579</v>
      </c>
      <c r="C2137" s="2" t="s">
        <v>14</v>
      </c>
      <c r="D2137" s="2" t="s">
        <v>28</v>
      </c>
      <c r="E2137" s="2" t="s">
        <v>42</v>
      </c>
      <c r="F2137" s="2" t="s">
        <v>17</v>
      </c>
      <c r="G2137" s="2" t="s">
        <v>4572</v>
      </c>
      <c r="H2137">
        <v>499</v>
      </c>
      <c r="I2137" s="2">
        <v>999</v>
      </c>
      <c r="J2137" s="2" t="s">
        <v>84</v>
      </c>
      <c r="K2137" s="2" t="s">
        <v>26</v>
      </c>
      <c r="L2137" s="2">
        <v>4.0999999999999996</v>
      </c>
      <c r="M2137" s="2">
        <v>681</v>
      </c>
      <c r="P2137" t="str">
        <f t="shared" si="135"/>
        <v>50%</v>
      </c>
      <c r="Q2137" s="12">
        <f t="shared" si="132"/>
        <v>0.5</v>
      </c>
      <c r="R2137" s="9">
        <f t="shared" si="133"/>
        <v>499.5</v>
      </c>
      <c r="S2137" s="9">
        <f>IF(R2137="",AVERAGEIF(Table1[Category],Table1[[#This Row],[Category]],Table2[orignal data]),Table2[[#This Row],[orignal data]])</f>
        <v>499.5</v>
      </c>
      <c r="T2137" t="str">
        <f t="shared" si="134"/>
        <v>UNIQUE</v>
      </c>
      <c r="U2137" t="str">
        <f>IF(ISBLANK(Table1[[#This Row],[SizeOption]]),"NOT AVAILABLE",Table1[[#This Row],[SizeOption]])</f>
        <v>S, M, L, XL</v>
      </c>
      <c r="Y2137" t="str">
        <f>IF(Table2[[#This Row],[Column1]]&gt;50%,"HIGH DISCOUNT","LOW DISCOUNT")</f>
        <v>LOW DISCOUNT</v>
      </c>
    </row>
    <row r="2138" spans="1:25" x14ac:dyDescent="0.25">
      <c r="A2138" s="1" t="s">
        <v>4573</v>
      </c>
      <c r="B2138" s="1">
        <v>10736440</v>
      </c>
      <c r="C2138" s="1" t="s">
        <v>397</v>
      </c>
      <c r="D2138" s="1" t="s">
        <v>76</v>
      </c>
      <c r="E2138" s="1" t="s">
        <v>93</v>
      </c>
      <c r="F2138" s="1" t="s">
        <v>36</v>
      </c>
      <c r="G2138" s="1" t="s">
        <v>4574</v>
      </c>
      <c r="H2138">
        <v>769</v>
      </c>
      <c r="I2138" s="1">
        <v>1399</v>
      </c>
      <c r="J2138" s="1" t="s">
        <v>19</v>
      </c>
      <c r="K2138" s="1" t="s">
        <v>234</v>
      </c>
      <c r="L2138" s="1">
        <v>4</v>
      </c>
      <c r="M2138" s="1">
        <v>681</v>
      </c>
      <c r="P2138" t="str">
        <f t="shared" si="135"/>
        <v>45%</v>
      </c>
      <c r="Q2138" s="12">
        <f t="shared" si="132"/>
        <v>0.45</v>
      </c>
      <c r="R2138" s="9">
        <f t="shared" si="133"/>
        <v>769.44999999999993</v>
      </c>
      <c r="S2138" s="9">
        <f>IF(R2138="",AVERAGEIF(Table1[Category],Table1[[#This Row],[Category]],Table2[orignal data]),Table2[[#This Row],[orignal data]])</f>
        <v>769.44999999999993</v>
      </c>
      <c r="T2138" t="str">
        <f t="shared" si="134"/>
        <v>UNIQUE</v>
      </c>
      <c r="U2138" t="str">
        <f>IF(ISBLANK(Table1[[#This Row],[SizeOption]]),"NOT AVAILABLE",Table1[[#This Row],[SizeOption]])</f>
        <v>S, M, L, XL, XXL, 3XL</v>
      </c>
      <c r="Y2138" t="str">
        <f>IF(Table2[[#This Row],[Column1]]&gt;50%,"HIGH DISCOUNT","LOW DISCOUNT")</f>
        <v>LOW DISCOUNT</v>
      </c>
    </row>
    <row r="2139" spans="1:25" x14ac:dyDescent="0.25">
      <c r="A2139" s="2" t="s">
        <v>4575</v>
      </c>
      <c r="B2139" s="2">
        <v>10483698</v>
      </c>
      <c r="C2139" s="2" t="s">
        <v>277</v>
      </c>
      <c r="D2139" s="2" t="s">
        <v>76</v>
      </c>
      <c r="E2139" s="2" t="s">
        <v>77</v>
      </c>
      <c r="F2139" s="2" t="s">
        <v>36</v>
      </c>
      <c r="G2139" s="2" t="s">
        <v>4576</v>
      </c>
      <c r="H2139">
        <v>1885</v>
      </c>
      <c r="I2139" s="2">
        <v>4599</v>
      </c>
      <c r="J2139" s="2" t="s">
        <v>95</v>
      </c>
      <c r="K2139" s="2" t="s">
        <v>39</v>
      </c>
      <c r="L2139" s="2">
        <v>4.2</v>
      </c>
      <c r="M2139" s="2">
        <v>681</v>
      </c>
      <c r="P2139" t="str">
        <f t="shared" si="135"/>
        <v>59%</v>
      </c>
      <c r="Q2139" s="12">
        <f t="shared" si="132"/>
        <v>0.59</v>
      </c>
      <c r="R2139" s="9">
        <f t="shared" si="133"/>
        <v>1885.5900000000001</v>
      </c>
      <c r="S2139" s="9">
        <f>IF(R2139="",AVERAGEIF(Table1[Category],Table1[[#This Row],[Category]],Table2[orignal data]),Table2[[#This Row],[orignal data]])</f>
        <v>1885.5900000000001</v>
      </c>
      <c r="T2139" t="str">
        <f t="shared" si="134"/>
        <v>UNIQUE</v>
      </c>
      <c r="U2139" t="str">
        <f>IF(ISBLANK(Table1[[#This Row],[SizeOption]]),"NOT AVAILABLE",Table1[[#This Row],[SizeOption]])</f>
        <v>S, M, L, XL, XXL</v>
      </c>
      <c r="Y2139" t="str">
        <f>IF(Table2[[#This Row],[Column1]]&gt;50%,"HIGH DISCOUNT","LOW DISCOUNT")</f>
        <v>HIGH DISCOUNT</v>
      </c>
    </row>
    <row r="2140" spans="1:25" x14ac:dyDescent="0.25">
      <c r="A2140" s="1" t="s">
        <v>4577</v>
      </c>
      <c r="B2140" s="1">
        <v>9371231</v>
      </c>
      <c r="C2140" s="1" t="s">
        <v>97</v>
      </c>
      <c r="D2140" s="1" t="s">
        <v>98</v>
      </c>
      <c r="E2140" s="1" t="s">
        <v>93</v>
      </c>
      <c r="F2140" s="1" t="s">
        <v>36</v>
      </c>
      <c r="G2140" s="1" t="s">
        <v>4578</v>
      </c>
      <c r="H2140">
        <v>599</v>
      </c>
      <c r="I2140" s="1">
        <v>1499</v>
      </c>
      <c r="J2140" s="1" t="s">
        <v>141</v>
      </c>
      <c r="K2140" s="1" t="s">
        <v>4579</v>
      </c>
      <c r="L2140" s="1">
        <v>4.2</v>
      </c>
      <c r="M2140" s="1">
        <v>681</v>
      </c>
      <c r="P2140" t="str">
        <f t="shared" si="135"/>
        <v>60%</v>
      </c>
      <c r="Q2140" s="12">
        <f t="shared" si="132"/>
        <v>0.6</v>
      </c>
      <c r="R2140" s="9">
        <f t="shared" si="133"/>
        <v>599.6</v>
      </c>
      <c r="S2140" s="9">
        <f>IF(R2140="",AVERAGEIF(Table1[Category],Table1[[#This Row],[Category]],Table2[orignal data]),Table2[[#This Row],[orignal data]])</f>
        <v>599.6</v>
      </c>
      <c r="T2140" t="str">
        <f t="shared" si="134"/>
        <v>UNIQUE</v>
      </c>
      <c r="U2140" t="str">
        <f>IF(ISBLANK(Table1[[#This Row],[SizeOption]]),"NOT AVAILABLE",Table1[[#This Row],[SizeOption]])</f>
        <v>XS, S, M, L, XL, 3XL, XXL</v>
      </c>
      <c r="Y2140" t="str">
        <f>IF(Table2[[#This Row],[Column1]]&gt;50%,"HIGH DISCOUNT","LOW DISCOUNT")</f>
        <v>HIGH DISCOUNT</v>
      </c>
    </row>
    <row r="2141" spans="1:25" x14ac:dyDescent="0.25">
      <c r="A2141" s="2" t="s">
        <v>4580</v>
      </c>
      <c r="B2141" s="2">
        <v>13382040</v>
      </c>
      <c r="C2141" s="2" t="s">
        <v>221</v>
      </c>
      <c r="D2141" s="2" t="s">
        <v>98</v>
      </c>
      <c r="E2141" s="2" t="s">
        <v>148</v>
      </c>
      <c r="F2141" s="2" t="s">
        <v>36</v>
      </c>
      <c r="G2141" s="2" t="s">
        <v>4581</v>
      </c>
      <c r="H2141">
        <v>629</v>
      </c>
      <c r="I2141" s="2">
        <v>1799</v>
      </c>
      <c r="J2141" s="2" t="s">
        <v>150</v>
      </c>
      <c r="K2141" s="2" t="s">
        <v>223</v>
      </c>
      <c r="L2141" s="2">
        <v>4.4000000000000004</v>
      </c>
      <c r="M2141" s="2">
        <v>681</v>
      </c>
      <c r="P2141" t="str">
        <f t="shared" si="135"/>
        <v>65%</v>
      </c>
      <c r="Q2141" s="12">
        <f t="shared" si="132"/>
        <v>0.65</v>
      </c>
      <c r="R2141" s="9">
        <f t="shared" si="133"/>
        <v>629.64999999999986</v>
      </c>
      <c r="S2141" s="9">
        <f>IF(R2141="",AVERAGEIF(Table1[Category],Table1[[#This Row],[Category]],Table2[orignal data]),Table2[[#This Row],[orignal data]])</f>
        <v>629.64999999999986</v>
      </c>
      <c r="T2141" t="str">
        <f t="shared" si="134"/>
        <v>UNIQUE</v>
      </c>
      <c r="U2141" t="str">
        <f>IF(ISBLANK(Table1[[#This Row],[SizeOption]]),"NOT AVAILABLE",Table1[[#This Row],[SizeOption]])</f>
        <v>S, M, L, XL, XXL, 3XL, 4XL</v>
      </c>
      <c r="Y2141" t="str">
        <f>IF(Table2[[#This Row],[Column1]]&gt;50%,"HIGH DISCOUNT","LOW DISCOUNT")</f>
        <v>HIGH DISCOUNT</v>
      </c>
    </row>
    <row r="2142" spans="1:25" x14ac:dyDescent="0.25">
      <c r="A2142" s="1" t="s">
        <v>4582</v>
      </c>
      <c r="B2142" s="1">
        <v>8277941</v>
      </c>
      <c r="C2142" s="1" t="s">
        <v>107</v>
      </c>
      <c r="D2142" s="1" t="s">
        <v>41</v>
      </c>
      <c r="E2142" s="1" t="s">
        <v>29</v>
      </c>
      <c r="F2142" s="1" t="s">
        <v>36</v>
      </c>
      <c r="G2142" s="1" t="s">
        <v>4583</v>
      </c>
      <c r="I2142" s="1">
        <v>1299</v>
      </c>
      <c r="J2142" s="1" t="s">
        <v>4584</v>
      </c>
      <c r="K2142" s="1" t="s">
        <v>45</v>
      </c>
      <c r="L2142" s="1">
        <v>4.3</v>
      </c>
      <c r="M2142" s="1">
        <v>681</v>
      </c>
      <c r="P2142" t="str">
        <f t="shared" si="135"/>
        <v>800</v>
      </c>
      <c r="Q2142" s="12">
        <f t="shared" si="132"/>
        <v>0.61585835257890686</v>
      </c>
      <c r="R2142" s="9">
        <f t="shared" si="133"/>
        <v>499</v>
      </c>
      <c r="S2142" s="9">
        <f>IF(R2142="",AVERAGEIF(Table1[Category],Table1[[#This Row],[Category]],Table2[orignal data]),Table2[[#This Row],[orignal data]])</f>
        <v>499</v>
      </c>
      <c r="T2142" t="str">
        <f t="shared" si="134"/>
        <v>UNIQUE</v>
      </c>
      <c r="U2142" t="str">
        <f>IF(ISBLANK(Table1[[#This Row],[SizeOption]]),"NOT AVAILABLE",Table1[[#This Row],[SizeOption]])</f>
        <v>XS, S, M, L, XL</v>
      </c>
      <c r="Y2142" t="str">
        <f>IF(Table2[[#This Row],[Column1]]&gt;50%,"HIGH DISCOUNT","LOW DISCOUNT")</f>
        <v>HIGH DISCOUNT</v>
      </c>
    </row>
    <row r="2143" spans="1:25" x14ac:dyDescent="0.25">
      <c r="A2143" s="2" t="s">
        <v>4585</v>
      </c>
      <c r="B2143" s="2">
        <v>12541594</v>
      </c>
      <c r="C2143" s="2" t="s">
        <v>181</v>
      </c>
      <c r="D2143" s="2" t="s">
        <v>41</v>
      </c>
      <c r="E2143" s="2" t="s">
        <v>368</v>
      </c>
      <c r="F2143" s="2" t="s">
        <v>36</v>
      </c>
      <c r="G2143" s="2" t="s">
        <v>4586</v>
      </c>
      <c r="I2143" s="2">
        <v>1999</v>
      </c>
      <c r="J2143" s="2" t="s">
        <v>25</v>
      </c>
      <c r="K2143" s="2" t="s">
        <v>134</v>
      </c>
      <c r="L2143" s="2">
        <v>4.5</v>
      </c>
      <c r="M2143" s="2">
        <v>681</v>
      </c>
      <c r="P2143" t="str">
        <f t="shared" si="135"/>
        <v>55%</v>
      </c>
      <c r="Q2143" s="12">
        <f t="shared" si="132"/>
        <v>0.55000000000000004</v>
      </c>
      <c r="R2143" s="9">
        <f t="shared" si="133"/>
        <v>899.55</v>
      </c>
      <c r="S2143" s="9">
        <f>IF(R2143="",AVERAGEIF(Table1[Category],Table1[[#This Row],[Category]],Table2[orignal data]),Table2[[#This Row],[orignal data]])</f>
        <v>899.55</v>
      </c>
      <c r="T2143" t="str">
        <f t="shared" si="134"/>
        <v>UNIQUE</v>
      </c>
      <c r="U2143" t="str">
        <f>IF(ISBLANK(Table1[[#This Row],[SizeOption]]),"NOT AVAILABLE",Table1[[#This Row],[SizeOption]])</f>
        <v>26, 28, 30, 32, 34, 36</v>
      </c>
      <c r="Y2143" t="str">
        <f>IF(Table2[[#This Row],[Column1]]&gt;50%,"HIGH DISCOUNT","LOW DISCOUNT")</f>
        <v>HIGH DISCOUNT</v>
      </c>
    </row>
    <row r="2144" spans="1:25" x14ac:dyDescent="0.25">
      <c r="A2144" s="1" t="s">
        <v>4587</v>
      </c>
      <c r="B2144" s="1">
        <v>1787847</v>
      </c>
      <c r="C2144" s="1" t="s">
        <v>14</v>
      </c>
      <c r="D2144" s="1" t="s">
        <v>41</v>
      </c>
      <c r="E2144" s="1" t="s">
        <v>53</v>
      </c>
      <c r="F2144" s="1" t="s">
        <v>36</v>
      </c>
      <c r="G2144" s="1" t="s">
        <v>4588</v>
      </c>
      <c r="I2144" s="1">
        <v>2599</v>
      </c>
      <c r="J2144" s="1" t="s">
        <v>19</v>
      </c>
      <c r="K2144" s="1" t="s">
        <v>134</v>
      </c>
      <c r="L2144" s="1">
        <v>4.2</v>
      </c>
      <c r="M2144" s="1">
        <v>681</v>
      </c>
      <c r="P2144" t="str">
        <f t="shared" si="135"/>
        <v>45%</v>
      </c>
      <c r="Q2144" s="12">
        <f t="shared" si="132"/>
        <v>0.45</v>
      </c>
      <c r="R2144" s="9">
        <f t="shared" si="133"/>
        <v>1429.45</v>
      </c>
      <c r="S2144" s="9">
        <f>IF(R2144="",AVERAGEIF(Table1[Category],Table1[[#This Row],[Category]],Table2[orignal data]),Table2[[#This Row],[orignal data]])</f>
        <v>1429.45</v>
      </c>
      <c r="T2144" t="str">
        <f t="shared" si="134"/>
        <v>UNIQUE</v>
      </c>
      <c r="U2144" t="str">
        <f>IF(ISBLANK(Table1[[#This Row],[SizeOption]]),"NOT AVAILABLE",Table1[[#This Row],[SizeOption]])</f>
        <v>26, 28, 30, 32, 34, 36</v>
      </c>
      <c r="Y2144" t="str">
        <f>IF(Table2[[#This Row],[Column1]]&gt;50%,"HIGH DISCOUNT","LOW DISCOUNT")</f>
        <v>LOW DISCOUNT</v>
      </c>
    </row>
    <row r="2145" spans="1:25" x14ac:dyDescent="0.25">
      <c r="A2145" s="2" t="s">
        <v>4589</v>
      </c>
      <c r="B2145" s="2">
        <v>11893804</v>
      </c>
      <c r="C2145" s="2" t="s">
        <v>14</v>
      </c>
      <c r="D2145" s="2" t="s">
        <v>41</v>
      </c>
      <c r="E2145" s="2" t="s">
        <v>42</v>
      </c>
      <c r="F2145" s="2" t="s">
        <v>36</v>
      </c>
      <c r="G2145" s="2" t="s">
        <v>4590</v>
      </c>
      <c r="I2145" s="2">
        <v>799</v>
      </c>
      <c r="J2145" s="2" t="s">
        <v>150</v>
      </c>
      <c r="K2145" s="2" t="s">
        <v>45</v>
      </c>
      <c r="L2145" s="2">
        <v>3.9</v>
      </c>
      <c r="M2145" s="2">
        <v>681</v>
      </c>
      <c r="P2145" t="str">
        <f t="shared" si="135"/>
        <v>65%</v>
      </c>
      <c r="Q2145" s="12">
        <f t="shared" si="132"/>
        <v>0.65</v>
      </c>
      <c r="R2145" s="9">
        <f t="shared" si="133"/>
        <v>279.64999999999998</v>
      </c>
      <c r="S2145" s="9">
        <f>IF(R2145="",AVERAGEIF(Table1[Category],Table1[[#This Row],[Category]],Table2[orignal data]),Table2[[#This Row],[orignal data]])</f>
        <v>279.64999999999998</v>
      </c>
      <c r="T2145" t="str">
        <f t="shared" si="134"/>
        <v>UNIQUE</v>
      </c>
      <c r="U2145" t="str">
        <f>IF(ISBLANK(Table1[[#This Row],[SizeOption]]),"NOT AVAILABLE",Table1[[#This Row],[SizeOption]])</f>
        <v>XS, S, M, L, XL</v>
      </c>
      <c r="Y2145" t="str">
        <f>IF(Table2[[#This Row],[Column1]]&gt;50%,"HIGH DISCOUNT","LOW DISCOUNT")</f>
        <v>HIGH DISCOUNT</v>
      </c>
    </row>
    <row r="2146" spans="1:25" x14ac:dyDescent="0.25">
      <c r="A2146" s="1" t="s">
        <v>4591</v>
      </c>
      <c r="B2146" s="1">
        <v>8962435</v>
      </c>
      <c r="C2146" s="1" t="s">
        <v>14</v>
      </c>
      <c r="D2146" s="1" t="s">
        <v>15</v>
      </c>
      <c r="E2146" s="1" t="s">
        <v>16</v>
      </c>
      <c r="F2146" s="1" t="s">
        <v>17</v>
      </c>
      <c r="G2146" s="1" t="s">
        <v>4592</v>
      </c>
      <c r="I2146" s="1">
        <v>1699</v>
      </c>
      <c r="J2146" s="1"/>
      <c r="K2146" s="1" t="s">
        <v>134</v>
      </c>
      <c r="L2146" s="1">
        <v>4</v>
      </c>
      <c r="M2146" s="1">
        <v>680</v>
      </c>
      <c r="P2146" t="str">
        <f t="shared" si="135"/>
        <v/>
      </c>
      <c r="Q2146" s="12" t="str">
        <f t="shared" si="132"/>
        <v/>
      </c>
      <c r="R2146" s="9" t="str">
        <f t="shared" si="133"/>
        <v/>
      </c>
      <c r="S2146" s="9">
        <f>IF(R2146="",AVERAGEIF(Table1[Category],Table1[[#This Row],[Category]],Table2[orignal data]),Table2[[#This Row],[orignal data]])</f>
        <v>892.27590339892538</v>
      </c>
      <c r="T2146" t="str">
        <f t="shared" si="134"/>
        <v>UNIQUE</v>
      </c>
      <c r="U2146" t="str">
        <f>IF(ISBLANK(Table1[[#This Row],[SizeOption]]),"NOT AVAILABLE",Table1[[#This Row],[SizeOption]])</f>
        <v>26, 28, 30, 32, 34, 36</v>
      </c>
      <c r="Y2146" t="str">
        <f>IF(Table2[[#This Row],[Column1]]&gt;50%,"HIGH DISCOUNT","LOW DISCOUNT")</f>
        <v>HIGH DISCOUNT</v>
      </c>
    </row>
    <row r="2147" spans="1:25" x14ac:dyDescent="0.25">
      <c r="A2147" s="2" t="s">
        <v>4593</v>
      </c>
      <c r="B2147" s="2">
        <v>11529148</v>
      </c>
      <c r="C2147" s="2" t="s">
        <v>938</v>
      </c>
      <c r="D2147" s="2" t="s">
        <v>197</v>
      </c>
      <c r="E2147" s="2" t="s">
        <v>939</v>
      </c>
      <c r="F2147" s="2" t="s">
        <v>17</v>
      </c>
      <c r="G2147" s="2" t="s">
        <v>4594</v>
      </c>
      <c r="H2147">
        <v>674</v>
      </c>
      <c r="I2147" s="2">
        <v>1499</v>
      </c>
      <c r="J2147" s="2" t="s">
        <v>25</v>
      </c>
      <c r="K2147" s="2" t="s">
        <v>39</v>
      </c>
      <c r="L2147" s="2">
        <v>4.3</v>
      </c>
      <c r="M2147" s="2">
        <v>680</v>
      </c>
      <c r="P2147" t="str">
        <f t="shared" si="135"/>
        <v>55%</v>
      </c>
      <c r="Q2147" s="12">
        <f t="shared" si="132"/>
        <v>0.55000000000000004</v>
      </c>
      <c r="R2147" s="9">
        <f t="shared" si="133"/>
        <v>674.55</v>
      </c>
      <c r="S2147" s="9">
        <f>IF(R2147="",AVERAGEIF(Table1[Category],Table1[[#This Row],[Category]],Table2[orignal data]),Table2[[#This Row],[orignal data]])</f>
        <v>674.55</v>
      </c>
      <c r="T2147" t="str">
        <f t="shared" si="134"/>
        <v>UNIQUE</v>
      </c>
      <c r="U2147" t="str">
        <f>IF(ISBLANK(Table1[[#This Row],[SizeOption]]),"NOT AVAILABLE",Table1[[#This Row],[SizeOption]])</f>
        <v>S, M, L, XL, XXL</v>
      </c>
      <c r="Y2147" t="str">
        <f>IF(Table2[[#This Row],[Column1]]&gt;50%,"HIGH DISCOUNT","LOW DISCOUNT")</f>
        <v>HIGH DISCOUNT</v>
      </c>
    </row>
    <row r="2148" spans="1:25" x14ac:dyDescent="0.25">
      <c r="A2148" s="1" t="s">
        <v>4595</v>
      </c>
      <c r="B2148" s="1">
        <v>10670118</v>
      </c>
      <c r="C2148" s="1" t="s">
        <v>2823</v>
      </c>
      <c r="D2148" s="1" t="s">
        <v>28</v>
      </c>
      <c r="E2148" s="1" t="s">
        <v>42</v>
      </c>
      <c r="F2148" s="1" t="s">
        <v>17</v>
      </c>
      <c r="G2148" s="1" t="s">
        <v>2824</v>
      </c>
      <c r="H2148">
        <v>659</v>
      </c>
      <c r="I2148" s="1">
        <v>1998</v>
      </c>
      <c r="J2148" s="1" t="s">
        <v>543</v>
      </c>
      <c r="K2148" s="1" t="s">
        <v>39</v>
      </c>
      <c r="L2148" s="1">
        <v>4.2</v>
      </c>
      <c r="M2148" s="1">
        <v>680</v>
      </c>
      <c r="P2148" t="str">
        <f t="shared" si="135"/>
        <v>67%</v>
      </c>
      <c r="Q2148" s="12">
        <f t="shared" si="132"/>
        <v>0.67</v>
      </c>
      <c r="R2148" s="9">
        <f t="shared" si="133"/>
        <v>659.33999999999992</v>
      </c>
      <c r="S2148" s="9">
        <f>IF(R2148="",AVERAGEIF(Table1[Category],Table1[[#This Row],[Category]],Table2[orignal data]),Table2[[#This Row],[orignal data]])</f>
        <v>659.33999999999992</v>
      </c>
      <c r="T2148" t="str">
        <f t="shared" si="134"/>
        <v>UNIQUE</v>
      </c>
      <c r="U2148" t="str">
        <f>IF(ISBLANK(Table1[[#This Row],[SizeOption]]),"NOT AVAILABLE",Table1[[#This Row],[SizeOption]])</f>
        <v>S, M, L, XL, XXL</v>
      </c>
      <c r="Y2148" t="str">
        <f>IF(Table2[[#This Row],[Column1]]&gt;50%,"HIGH DISCOUNT","LOW DISCOUNT")</f>
        <v>HIGH DISCOUNT</v>
      </c>
    </row>
    <row r="2149" spans="1:25" x14ac:dyDescent="0.25">
      <c r="A2149" s="2" t="s">
        <v>4596</v>
      </c>
      <c r="B2149" s="2">
        <v>12816890</v>
      </c>
      <c r="C2149" s="2" t="s">
        <v>64</v>
      </c>
      <c r="D2149" s="2" t="s">
        <v>28</v>
      </c>
      <c r="E2149" s="2" t="s">
        <v>42</v>
      </c>
      <c r="F2149" s="2" t="s">
        <v>17</v>
      </c>
      <c r="G2149" s="2" t="s">
        <v>4597</v>
      </c>
      <c r="H2149">
        <v>244</v>
      </c>
      <c r="I2149" s="2">
        <v>699</v>
      </c>
      <c r="J2149" s="2" t="s">
        <v>150</v>
      </c>
      <c r="K2149" s="2" t="s">
        <v>39</v>
      </c>
      <c r="L2149" s="2">
        <v>3.9</v>
      </c>
      <c r="M2149" s="2">
        <v>680</v>
      </c>
      <c r="P2149" t="str">
        <f t="shared" si="135"/>
        <v>65%</v>
      </c>
      <c r="Q2149" s="12">
        <f t="shared" si="132"/>
        <v>0.65</v>
      </c>
      <c r="R2149" s="9">
        <f t="shared" si="133"/>
        <v>244.64999999999998</v>
      </c>
      <c r="S2149" s="9">
        <f>IF(R2149="",AVERAGEIF(Table1[Category],Table1[[#This Row],[Category]],Table2[orignal data]),Table2[[#This Row],[orignal data]])</f>
        <v>244.64999999999998</v>
      </c>
      <c r="T2149" t="str">
        <f t="shared" si="134"/>
        <v>UNIQUE</v>
      </c>
      <c r="U2149" t="str">
        <f>IF(ISBLANK(Table1[[#This Row],[SizeOption]]),"NOT AVAILABLE",Table1[[#This Row],[SizeOption]])</f>
        <v>S, M, L, XL, XXL</v>
      </c>
      <c r="Y2149" t="str">
        <f>IF(Table2[[#This Row],[Column1]]&gt;50%,"HIGH DISCOUNT","LOW DISCOUNT")</f>
        <v>HIGH DISCOUNT</v>
      </c>
    </row>
    <row r="2150" spans="1:25" x14ac:dyDescent="0.25">
      <c r="A2150" s="1" t="s">
        <v>4598</v>
      </c>
      <c r="B2150" s="1">
        <v>12524800</v>
      </c>
      <c r="C2150" s="1" t="s">
        <v>64</v>
      </c>
      <c r="D2150" s="1" t="s">
        <v>76</v>
      </c>
      <c r="E2150" s="1" t="s">
        <v>93</v>
      </c>
      <c r="F2150" s="1" t="s">
        <v>36</v>
      </c>
      <c r="G2150" s="1" t="s">
        <v>4599</v>
      </c>
      <c r="H2150">
        <v>629</v>
      </c>
      <c r="I2150" s="1">
        <v>1399</v>
      </c>
      <c r="J2150" s="1" t="s">
        <v>25</v>
      </c>
      <c r="K2150" s="1" t="s">
        <v>100</v>
      </c>
      <c r="L2150" s="1">
        <v>4.2</v>
      </c>
      <c r="M2150" s="1">
        <v>680</v>
      </c>
      <c r="P2150" t="str">
        <f t="shared" si="135"/>
        <v>55%</v>
      </c>
      <c r="Q2150" s="12">
        <f t="shared" si="132"/>
        <v>0.55000000000000004</v>
      </c>
      <c r="R2150" s="9">
        <f t="shared" si="133"/>
        <v>629.54999999999995</v>
      </c>
      <c r="S2150" s="9">
        <f>IF(R2150="",AVERAGEIF(Table1[Category],Table1[[#This Row],[Category]],Table2[orignal data]),Table2[[#This Row],[orignal data]])</f>
        <v>629.54999999999995</v>
      </c>
      <c r="T2150" t="str">
        <f t="shared" si="134"/>
        <v>UNIQUE</v>
      </c>
      <c r="U2150" t="str">
        <f>IF(ISBLANK(Table1[[#This Row],[SizeOption]]),"NOT AVAILABLE",Table1[[#This Row],[SizeOption]])</f>
        <v>XS, S, M, L, XL, XXL, 3XL</v>
      </c>
      <c r="Y2150" t="str">
        <f>IF(Table2[[#This Row],[Column1]]&gt;50%,"HIGH DISCOUNT","LOW DISCOUNT")</f>
        <v>HIGH DISCOUNT</v>
      </c>
    </row>
    <row r="2151" spans="1:25" x14ac:dyDescent="0.25">
      <c r="A2151" s="2" t="s">
        <v>4600</v>
      </c>
      <c r="B2151" s="2">
        <v>11530772</v>
      </c>
      <c r="C2151" s="2" t="s">
        <v>232</v>
      </c>
      <c r="D2151" s="2" t="s">
        <v>76</v>
      </c>
      <c r="E2151" s="2" t="s">
        <v>93</v>
      </c>
      <c r="F2151" s="2" t="s">
        <v>36</v>
      </c>
      <c r="G2151" s="2" t="s">
        <v>4601</v>
      </c>
      <c r="H2151">
        <v>581</v>
      </c>
      <c r="I2151" s="2">
        <v>1660</v>
      </c>
      <c r="J2151" s="2" t="s">
        <v>150</v>
      </c>
      <c r="K2151" s="2" t="s">
        <v>234</v>
      </c>
      <c r="L2151" s="2">
        <v>4.2</v>
      </c>
      <c r="M2151" s="2">
        <v>680</v>
      </c>
      <c r="P2151" t="str">
        <f t="shared" si="135"/>
        <v>65%</v>
      </c>
      <c r="Q2151" s="12">
        <f t="shared" si="132"/>
        <v>0.65</v>
      </c>
      <c r="R2151" s="9">
        <f t="shared" si="133"/>
        <v>581</v>
      </c>
      <c r="S2151" s="9">
        <f>IF(R2151="",AVERAGEIF(Table1[Category],Table1[[#This Row],[Category]],Table2[orignal data]),Table2[[#This Row],[orignal data]])</f>
        <v>581</v>
      </c>
      <c r="T2151" t="str">
        <f t="shared" si="134"/>
        <v>UNIQUE</v>
      </c>
      <c r="U2151" t="str">
        <f>IF(ISBLANK(Table1[[#This Row],[SizeOption]]),"NOT AVAILABLE",Table1[[#This Row],[SizeOption]])</f>
        <v>S, M, L, XL, XXL, 3XL</v>
      </c>
      <c r="Y2151" t="str">
        <f>IF(Table2[[#This Row],[Column1]]&gt;50%,"HIGH DISCOUNT","LOW DISCOUNT")</f>
        <v>HIGH DISCOUNT</v>
      </c>
    </row>
    <row r="2152" spans="1:25" x14ac:dyDescent="0.25">
      <c r="A2152" s="1" t="s">
        <v>4602</v>
      </c>
      <c r="B2152" s="1">
        <v>14348872</v>
      </c>
      <c r="C2152" s="1" t="s">
        <v>102</v>
      </c>
      <c r="D2152" s="1" t="s">
        <v>41</v>
      </c>
      <c r="E2152" s="1" t="s">
        <v>23</v>
      </c>
      <c r="F2152" s="1" t="s">
        <v>36</v>
      </c>
      <c r="G2152" s="1" t="s">
        <v>4603</v>
      </c>
      <c r="I2152" s="1">
        <v>1149</v>
      </c>
      <c r="J2152" s="1" t="s">
        <v>606</v>
      </c>
      <c r="K2152" s="1" t="s">
        <v>26</v>
      </c>
      <c r="L2152" s="1">
        <v>4.2</v>
      </c>
      <c r="M2152" s="1">
        <v>680</v>
      </c>
      <c r="P2152" t="str">
        <f t="shared" si="135"/>
        <v>54%</v>
      </c>
      <c r="Q2152" s="12">
        <f t="shared" si="132"/>
        <v>0.54</v>
      </c>
      <c r="R2152" s="9">
        <f t="shared" si="133"/>
        <v>528.54</v>
      </c>
      <c r="S2152" s="9">
        <f>IF(R2152="",AVERAGEIF(Table1[Category],Table1[[#This Row],[Category]],Table2[orignal data]),Table2[[#This Row],[orignal data]])</f>
        <v>528.54</v>
      </c>
      <c r="T2152" t="str">
        <f t="shared" si="134"/>
        <v>UNIQUE</v>
      </c>
      <c r="U2152" t="str">
        <f>IF(ISBLANK(Table1[[#This Row],[SizeOption]]),"NOT AVAILABLE",Table1[[#This Row],[SizeOption]])</f>
        <v>S, M, L, XL</v>
      </c>
      <c r="Y2152" t="str">
        <f>IF(Table2[[#This Row],[Column1]]&gt;50%,"HIGH DISCOUNT","LOW DISCOUNT")</f>
        <v>HIGH DISCOUNT</v>
      </c>
    </row>
    <row r="2153" spans="1:25" x14ac:dyDescent="0.25">
      <c r="A2153" s="2" t="s">
        <v>4604</v>
      </c>
      <c r="B2153" s="2">
        <v>11513008</v>
      </c>
      <c r="C2153" s="2" t="s">
        <v>124</v>
      </c>
      <c r="D2153" s="2" t="s">
        <v>41</v>
      </c>
      <c r="E2153" s="2" t="s">
        <v>48</v>
      </c>
      <c r="F2153" s="2" t="s">
        <v>36</v>
      </c>
      <c r="G2153" s="2" t="s">
        <v>4605</v>
      </c>
      <c r="I2153" s="2">
        <v>1499</v>
      </c>
      <c r="J2153" s="2" t="s">
        <v>55</v>
      </c>
      <c r="K2153" s="2" t="s">
        <v>115</v>
      </c>
      <c r="L2153" s="2">
        <v>4.2</v>
      </c>
      <c r="M2153" s="2">
        <v>680</v>
      </c>
      <c r="P2153" t="str">
        <f t="shared" si="135"/>
        <v>60%</v>
      </c>
      <c r="Q2153" s="12">
        <f t="shared" si="132"/>
        <v>0.6</v>
      </c>
      <c r="R2153" s="9">
        <f t="shared" si="133"/>
        <v>599.6</v>
      </c>
      <c r="S2153" s="9">
        <f>IF(R2153="",AVERAGEIF(Table1[Category],Table1[[#This Row],[Category]],Table2[orignal data]),Table2[[#This Row],[orignal data]])</f>
        <v>599.6</v>
      </c>
      <c r="T2153" t="str">
        <f t="shared" si="134"/>
        <v>UNIQUE</v>
      </c>
      <c r="U2153" t="str">
        <f>IF(ISBLANK(Table1[[#This Row],[SizeOption]]),"NOT AVAILABLE",Table1[[#This Row],[SizeOption]])</f>
        <v>XS, S, M, L, XL, XXL</v>
      </c>
      <c r="Y2153" t="str">
        <f>IF(Table2[[#This Row],[Column1]]&gt;50%,"HIGH DISCOUNT","LOW DISCOUNT")</f>
        <v>HIGH DISCOUNT</v>
      </c>
    </row>
    <row r="2154" spans="1:25" x14ac:dyDescent="0.25">
      <c r="A2154" s="1" t="s">
        <v>4606</v>
      </c>
      <c r="B2154" s="1">
        <v>10437830</v>
      </c>
      <c r="C2154" s="1" t="s">
        <v>102</v>
      </c>
      <c r="D2154" s="1" t="s">
        <v>41</v>
      </c>
      <c r="E2154" s="1" t="s">
        <v>189</v>
      </c>
      <c r="F2154" s="1" t="s">
        <v>36</v>
      </c>
      <c r="G2154" s="1" t="s">
        <v>4607</v>
      </c>
      <c r="I2154" s="1">
        <v>2449</v>
      </c>
      <c r="J2154" s="1" t="s">
        <v>208</v>
      </c>
      <c r="K2154" s="1" t="s">
        <v>26</v>
      </c>
      <c r="L2154" s="1">
        <v>4.3</v>
      </c>
      <c r="M2154" s="1">
        <v>680</v>
      </c>
      <c r="P2154" t="str">
        <f t="shared" si="135"/>
        <v>52%</v>
      </c>
      <c r="Q2154" s="12">
        <f t="shared" si="132"/>
        <v>0.52</v>
      </c>
      <c r="R2154" s="9">
        <f t="shared" si="133"/>
        <v>1175.52</v>
      </c>
      <c r="S2154" s="9">
        <f>IF(R2154="",AVERAGEIF(Table1[Category],Table1[[#This Row],[Category]],Table2[orignal data]),Table2[[#This Row],[orignal data]])</f>
        <v>1175.52</v>
      </c>
      <c r="T2154" t="str">
        <f t="shared" si="134"/>
        <v>UNIQUE</v>
      </c>
      <c r="U2154" t="str">
        <f>IF(ISBLANK(Table1[[#This Row],[SizeOption]]),"NOT AVAILABLE",Table1[[#This Row],[SizeOption]])</f>
        <v>S, M, L, XL</v>
      </c>
      <c r="Y2154" t="str">
        <f>IF(Table2[[#This Row],[Column1]]&gt;50%,"HIGH DISCOUNT","LOW DISCOUNT")</f>
        <v>HIGH DISCOUNT</v>
      </c>
    </row>
    <row r="2155" spans="1:25" x14ac:dyDescent="0.25">
      <c r="A2155" s="2" t="s">
        <v>4608</v>
      </c>
      <c r="B2155" s="2">
        <v>1164692</v>
      </c>
      <c r="C2155" s="2" t="s">
        <v>410</v>
      </c>
      <c r="D2155" s="2" t="s">
        <v>41</v>
      </c>
      <c r="E2155" s="2" t="s">
        <v>69</v>
      </c>
      <c r="F2155" s="2" t="s">
        <v>36</v>
      </c>
      <c r="G2155" s="2" t="s">
        <v>4609</v>
      </c>
      <c r="I2155" s="2">
        <v>349</v>
      </c>
      <c r="J2155" s="2" t="s">
        <v>764</v>
      </c>
      <c r="K2155" s="2" t="s">
        <v>39</v>
      </c>
      <c r="L2155" s="2">
        <v>4.4000000000000004</v>
      </c>
      <c r="M2155" s="2">
        <v>680</v>
      </c>
      <c r="P2155" t="str">
        <f t="shared" si="135"/>
        <v>5%</v>
      </c>
      <c r="Q2155" s="12">
        <f t="shared" si="132"/>
        <v>0.05</v>
      </c>
      <c r="R2155" s="9">
        <f t="shared" si="133"/>
        <v>331.55</v>
      </c>
      <c r="S2155" s="9">
        <f>IF(R2155="",AVERAGEIF(Table1[Category],Table1[[#This Row],[Category]],Table2[orignal data]),Table2[[#This Row],[orignal data]])</f>
        <v>331.55</v>
      </c>
      <c r="T2155" t="str">
        <f t="shared" si="134"/>
        <v>UNIQUE</v>
      </c>
      <c r="U2155" t="str">
        <f>IF(ISBLANK(Table1[[#This Row],[SizeOption]]),"NOT AVAILABLE",Table1[[#This Row],[SizeOption]])</f>
        <v>S, M, L, XL, XXL</v>
      </c>
      <c r="Y2155" t="str">
        <f>IF(Table2[[#This Row],[Column1]]&gt;50%,"HIGH DISCOUNT","LOW DISCOUNT")</f>
        <v>LOW DISCOUNT</v>
      </c>
    </row>
    <row r="2156" spans="1:25" x14ac:dyDescent="0.25">
      <c r="A2156" s="1" t="s">
        <v>4610</v>
      </c>
      <c r="B2156" s="1">
        <v>11053798</v>
      </c>
      <c r="C2156" s="1" t="s">
        <v>377</v>
      </c>
      <c r="D2156" s="1" t="s">
        <v>98</v>
      </c>
      <c r="E2156" s="1" t="s">
        <v>53</v>
      </c>
      <c r="F2156" s="1" t="s">
        <v>36</v>
      </c>
      <c r="G2156" s="1" t="s">
        <v>4611</v>
      </c>
      <c r="H2156">
        <v>643</v>
      </c>
      <c r="I2156" s="1">
        <v>1149</v>
      </c>
      <c r="J2156" s="1" t="s">
        <v>1340</v>
      </c>
      <c r="K2156" s="1" t="s">
        <v>20</v>
      </c>
      <c r="L2156" s="1">
        <v>4.0999999999999996</v>
      </c>
      <c r="M2156" s="1">
        <v>679</v>
      </c>
      <c r="P2156" t="str">
        <f t="shared" si="135"/>
        <v>44%</v>
      </c>
      <c r="Q2156" s="12">
        <f t="shared" si="132"/>
        <v>0.44</v>
      </c>
      <c r="R2156" s="9">
        <f t="shared" si="133"/>
        <v>643.44000000000005</v>
      </c>
      <c r="S2156" s="9">
        <f>IF(R2156="",AVERAGEIF(Table1[Category],Table1[[#This Row],[Category]],Table2[orignal data]),Table2[[#This Row],[orignal data]])</f>
        <v>643.44000000000005</v>
      </c>
      <c r="T2156" t="str">
        <f t="shared" si="134"/>
        <v>UNIQUE</v>
      </c>
      <c r="U2156" t="str">
        <f>IF(ISBLANK(Table1[[#This Row],[SizeOption]]),"NOT AVAILABLE",Table1[[#This Row],[SizeOption]])</f>
        <v>28, 30, 32, 34, 36</v>
      </c>
      <c r="Y2156" t="str">
        <f>IF(Table2[[#This Row],[Column1]]&gt;50%,"HIGH DISCOUNT","LOW DISCOUNT")</f>
        <v>LOW DISCOUNT</v>
      </c>
    </row>
    <row r="2157" spans="1:25" x14ac:dyDescent="0.25">
      <c r="A2157" s="2" t="s">
        <v>4612</v>
      </c>
      <c r="B2157" s="2">
        <v>14154074</v>
      </c>
      <c r="C2157" s="2" t="s">
        <v>102</v>
      </c>
      <c r="D2157" s="2" t="s">
        <v>41</v>
      </c>
      <c r="E2157" s="2" t="s">
        <v>23</v>
      </c>
      <c r="F2157" s="2" t="s">
        <v>36</v>
      </c>
      <c r="G2157" s="2" t="s">
        <v>4613</v>
      </c>
      <c r="I2157" s="2">
        <v>1149</v>
      </c>
      <c r="J2157" s="2" t="s">
        <v>602</v>
      </c>
      <c r="K2157" s="2" t="s">
        <v>26</v>
      </c>
      <c r="L2157" s="2">
        <v>4.4000000000000004</v>
      </c>
      <c r="M2157" s="2">
        <v>679</v>
      </c>
      <c r="P2157" t="str">
        <f t="shared" si="135"/>
        <v>48%</v>
      </c>
      <c r="Q2157" s="12">
        <f t="shared" si="132"/>
        <v>0.48</v>
      </c>
      <c r="R2157" s="9">
        <f t="shared" si="133"/>
        <v>597.48</v>
      </c>
      <c r="S2157" s="9">
        <f>IF(R2157="",AVERAGEIF(Table1[Category],Table1[[#This Row],[Category]],Table2[orignal data]),Table2[[#This Row],[orignal data]])</f>
        <v>597.48</v>
      </c>
      <c r="T2157" t="str">
        <f t="shared" si="134"/>
        <v>UNIQUE</v>
      </c>
      <c r="U2157" t="str">
        <f>IF(ISBLANK(Table1[[#This Row],[SizeOption]]),"NOT AVAILABLE",Table1[[#This Row],[SizeOption]])</f>
        <v>S, M, L, XL</v>
      </c>
      <c r="Y2157" t="str">
        <f>IF(Table2[[#This Row],[Column1]]&gt;50%,"HIGH DISCOUNT","LOW DISCOUNT")</f>
        <v>LOW DISCOUNT</v>
      </c>
    </row>
    <row r="2158" spans="1:25" x14ac:dyDescent="0.25">
      <c r="A2158" s="1" t="s">
        <v>4614</v>
      </c>
      <c r="B2158" s="1">
        <v>1085630</v>
      </c>
      <c r="C2158" s="1" t="s">
        <v>47</v>
      </c>
      <c r="D2158" s="1" t="s">
        <v>41</v>
      </c>
      <c r="E2158" s="1" t="s">
        <v>48</v>
      </c>
      <c r="F2158" s="1" t="s">
        <v>36</v>
      </c>
      <c r="G2158" s="1" t="s">
        <v>4615</v>
      </c>
      <c r="I2158" s="1">
        <v>699</v>
      </c>
      <c r="J2158" s="1" t="s">
        <v>19</v>
      </c>
      <c r="K2158" s="1" t="s">
        <v>45</v>
      </c>
      <c r="L2158" s="1">
        <v>4.3</v>
      </c>
      <c r="M2158" s="1">
        <v>679</v>
      </c>
      <c r="P2158" t="str">
        <f t="shared" si="135"/>
        <v>45%</v>
      </c>
      <c r="Q2158" s="12">
        <f t="shared" si="132"/>
        <v>0.45</v>
      </c>
      <c r="R2158" s="9">
        <f t="shared" si="133"/>
        <v>384.45</v>
      </c>
      <c r="S2158" s="9">
        <f>IF(R2158="",AVERAGEIF(Table1[Category],Table1[[#This Row],[Category]],Table2[orignal data]),Table2[[#This Row],[orignal data]])</f>
        <v>384.45</v>
      </c>
      <c r="T2158" t="str">
        <f t="shared" si="134"/>
        <v>UNIQUE</v>
      </c>
      <c r="U2158" t="str">
        <f>IF(ISBLANK(Table1[[#This Row],[SizeOption]]),"NOT AVAILABLE",Table1[[#This Row],[SizeOption]])</f>
        <v>XS, S, M, L, XL</v>
      </c>
      <c r="Y2158" t="str">
        <f>IF(Table2[[#This Row],[Column1]]&gt;50%,"HIGH DISCOUNT","LOW DISCOUNT")</f>
        <v>LOW DISCOUNT</v>
      </c>
    </row>
    <row r="2159" spans="1:25" x14ac:dyDescent="0.25">
      <c r="A2159" s="2" t="s">
        <v>4616</v>
      </c>
      <c r="B2159" s="2">
        <v>2315748</v>
      </c>
      <c r="C2159" s="2" t="s">
        <v>14</v>
      </c>
      <c r="D2159" s="2" t="s">
        <v>41</v>
      </c>
      <c r="E2159" s="2" t="s">
        <v>48</v>
      </c>
      <c r="F2159" s="2" t="s">
        <v>36</v>
      </c>
      <c r="G2159" s="2" t="s">
        <v>4617</v>
      </c>
      <c r="I2159" s="2">
        <v>899</v>
      </c>
      <c r="J2159" s="2" t="s">
        <v>25</v>
      </c>
      <c r="K2159" s="2" t="s">
        <v>45</v>
      </c>
      <c r="L2159" s="2">
        <v>4</v>
      </c>
      <c r="M2159" s="2">
        <v>679</v>
      </c>
      <c r="P2159" t="str">
        <f t="shared" si="135"/>
        <v>55%</v>
      </c>
      <c r="Q2159" s="12">
        <f t="shared" si="132"/>
        <v>0.55000000000000004</v>
      </c>
      <c r="R2159" s="9">
        <f t="shared" si="133"/>
        <v>404.54999999999995</v>
      </c>
      <c r="S2159" s="9">
        <f>IF(R2159="",AVERAGEIF(Table1[Category],Table1[[#This Row],[Category]],Table2[orignal data]),Table2[[#This Row],[orignal data]])</f>
        <v>404.54999999999995</v>
      </c>
      <c r="T2159" t="str">
        <f t="shared" si="134"/>
        <v>UNIQUE</v>
      </c>
      <c r="U2159" t="str">
        <f>IF(ISBLANK(Table1[[#This Row],[SizeOption]]),"NOT AVAILABLE",Table1[[#This Row],[SizeOption]])</f>
        <v>XS, S, M, L, XL</v>
      </c>
      <c r="Y2159" t="str">
        <f>IF(Table2[[#This Row],[Column1]]&gt;50%,"HIGH DISCOUNT","LOW DISCOUNT")</f>
        <v>HIGH DISCOUNT</v>
      </c>
    </row>
    <row r="2160" spans="1:25" x14ac:dyDescent="0.25">
      <c r="A2160" s="1" t="s">
        <v>4618</v>
      </c>
      <c r="B2160" s="1">
        <v>1813853</v>
      </c>
      <c r="C2160" s="1" t="s">
        <v>1608</v>
      </c>
      <c r="D2160" s="1" t="s">
        <v>15</v>
      </c>
      <c r="E2160" s="1" t="s">
        <v>53</v>
      </c>
      <c r="F2160" s="1" t="s">
        <v>17</v>
      </c>
      <c r="G2160" s="1" t="s">
        <v>4619</v>
      </c>
      <c r="H2160">
        <v>742</v>
      </c>
      <c r="I2160" s="1">
        <v>1649</v>
      </c>
      <c r="J2160" s="1" t="s">
        <v>25</v>
      </c>
      <c r="K2160" s="1" t="s">
        <v>56</v>
      </c>
      <c r="L2160" s="1">
        <v>4.0999999999999996</v>
      </c>
      <c r="M2160" s="1">
        <v>678</v>
      </c>
      <c r="P2160" t="str">
        <f t="shared" si="135"/>
        <v>55%</v>
      </c>
      <c r="Q2160" s="12">
        <f t="shared" si="132"/>
        <v>0.55000000000000004</v>
      </c>
      <c r="R2160" s="9">
        <f t="shared" si="133"/>
        <v>742.05</v>
      </c>
      <c r="S2160" s="9">
        <f>IF(R2160="",AVERAGEIF(Table1[Category],Table1[[#This Row],[Category]],Table2[orignal data]),Table2[[#This Row],[orignal data]])</f>
        <v>742.05</v>
      </c>
      <c r="T2160" t="str">
        <f t="shared" si="134"/>
        <v>UNIQUE</v>
      </c>
      <c r="U2160" t="str">
        <f>IF(ISBLANK(Table1[[#This Row],[SizeOption]]),"NOT AVAILABLE",Table1[[#This Row],[SizeOption]])</f>
        <v>30, 32, 34, 36</v>
      </c>
      <c r="Y2160" t="str">
        <f>IF(Table2[[#This Row],[Column1]]&gt;50%,"HIGH DISCOUNT","LOW DISCOUNT")</f>
        <v>HIGH DISCOUNT</v>
      </c>
    </row>
    <row r="2161" spans="1:25" x14ac:dyDescent="0.25">
      <c r="A2161" s="2" t="s">
        <v>4620</v>
      </c>
      <c r="B2161" s="2">
        <v>8682187</v>
      </c>
      <c r="C2161" s="2" t="s">
        <v>169</v>
      </c>
      <c r="D2161" s="2" t="s">
        <v>28</v>
      </c>
      <c r="E2161" s="2" t="s">
        <v>29</v>
      </c>
      <c r="F2161" s="2" t="s">
        <v>17</v>
      </c>
      <c r="G2161" s="2" t="s">
        <v>4621</v>
      </c>
      <c r="H2161">
        <v>1319</v>
      </c>
      <c r="I2161" s="2">
        <v>2399</v>
      </c>
      <c r="J2161" s="2" t="s">
        <v>19</v>
      </c>
      <c r="K2161" s="2" t="s">
        <v>484</v>
      </c>
      <c r="L2161" s="2">
        <v>4.2</v>
      </c>
      <c r="M2161" s="2">
        <v>678</v>
      </c>
      <c r="P2161" t="str">
        <f t="shared" si="135"/>
        <v>45%</v>
      </c>
      <c r="Q2161" s="12">
        <f t="shared" si="132"/>
        <v>0.45</v>
      </c>
      <c r="R2161" s="9">
        <f t="shared" si="133"/>
        <v>1319.45</v>
      </c>
      <c r="S2161" s="9">
        <f>IF(R2161="",AVERAGEIF(Table1[Category],Table1[[#This Row],[Category]],Table2[orignal data]),Table2[[#This Row],[orignal data]])</f>
        <v>1319.45</v>
      </c>
      <c r="T2161" t="str">
        <f t="shared" si="134"/>
        <v>UNIQUE</v>
      </c>
      <c r="U2161" t="str">
        <f>IF(ISBLANK(Table1[[#This Row],[SizeOption]]),"NOT AVAILABLE",Table1[[#This Row],[SizeOption]])</f>
        <v>39, 40, 42, 44, 46</v>
      </c>
      <c r="Y2161" t="str">
        <f>IF(Table2[[#This Row],[Column1]]&gt;50%,"HIGH DISCOUNT","LOW DISCOUNT")</f>
        <v>LOW DISCOUNT</v>
      </c>
    </row>
    <row r="2162" spans="1:25" x14ac:dyDescent="0.25">
      <c r="A2162" s="1" t="s">
        <v>4622</v>
      </c>
      <c r="B2162" s="1">
        <v>10481274</v>
      </c>
      <c r="C2162" s="1" t="s">
        <v>729</v>
      </c>
      <c r="D2162" s="1" t="s">
        <v>28</v>
      </c>
      <c r="E2162" s="1" t="s">
        <v>42</v>
      </c>
      <c r="F2162" s="1" t="s">
        <v>17</v>
      </c>
      <c r="G2162" s="1" t="s">
        <v>4623</v>
      </c>
      <c r="H2162">
        <v>857</v>
      </c>
      <c r="I2162" s="1">
        <v>2765</v>
      </c>
      <c r="J2162" s="1" t="s">
        <v>731</v>
      </c>
      <c r="K2162" s="1" t="s">
        <v>732</v>
      </c>
      <c r="L2162" s="1">
        <v>4.4000000000000004</v>
      </c>
      <c r="M2162" s="1">
        <v>678</v>
      </c>
      <c r="P2162" t="str">
        <f t="shared" si="135"/>
        <v>69%</v>
      </c>
      <c r="Q2162" s="12">
        <f t="shared" si="132"/>
        <v>0.69</v>
      </c>
      <c r="R2162" s="9">
        <f t="shared" si="133"/>
        <v>857.15000000000009</v>
      </c>
      <c r="S2162" s="9">
        <f>IF(R2162="",AVERAGEIF(Table1[Category],Table1[[#This Row],[Category]],Table2[orignal data]),Table2[[#This Row],[orignal data]])</f>
        <v>857.15000000000009</v>
      </c>
      <c r="T2162" t="str">
        <f t="shared" si="134"/>
        <v>UNIQUE</v>
      </c>
      <c r="U2162" t="str">
        <f>IF(ISBLANK(Table1[[#This Row],[SizeOption]]),"NOT AVAILABLE",Table1[[#This Row],[SizeOption]])</f>
        <v>S, M, L, XL, XXL, 3XL, 4XL, 5XL</v>
      </c>
      <c r="Y2162" t="str">
        <f>IF(Table2[[#This Row],[Column1]]&gt;50%,"HIGH DISCOUNT","LOW DISCOUNT")</f>
        <v>HIGH DISCOUNT</v>
      </c>
    </row>
    <row r="2163" spans="1:25" x14ac:dyDescent="0.25">
      <c r="A2163" s="2" t="s">
        <v>4624</v>
      </c>
      <c r="B2163" s="2">
        <v>10920156</v>
      </c>
      <c r="C2163" s="2" t="s">
        <v>14</v>
      </c>
      <c r="D2163" s="2" t="s">
        <v>28</v>
      </c>
      <c r="E2163" s="2" t="s">
        <v>42</v>
      </c>
      <c r="F2163" s="2" t="s">
        <v>17</v>
      </c>
      <c r="G2163" s="2" t="s">
        <v>4625</v>
      </c>
      <c r="H2163">
        <v>449</v>
      </c>
      <c r="I2163" s="2">
        <v>999</v>
      </c>
      <c r="J2163" s="2" t="s">
        <v>25</v>
      </c>
      <c r="K2163" s="2" t="s">
        <v>45</v>
      </c>
      <c r="L2163" s="2">
        <v>4.0999999999999996</v>
      </c>
      <c r="M2163" s="2">
        <v>678</v>
      </c>
      <c r="P2163" t="str">
        <f t="shared" si="135"/>
        <v>55%</v>
      </c>
      <c r="Q2163" s="12">
        <f t="shared" si="132"/>
        <v>0.55000000000000004</v>
      </c>
      <c r="R2163" s="9">
        <f t="shared" si="133"/>
        <v>449.54999999999995</v>
      </c>
      <c r="S2163" s="9">
        <f>IF(R2163="",AVERAGEIF(Table1[Category],Table1[[#This Row],[Category]],Table2[orignal data]),Table2[[#This Row],[orignal data]])</f>
        <v>449.54999999999995</v>
      </c>
      <c r="T2163" t="str">
        <f t="shared" si="134"/>
        <v>UNIQUE</v>
      </c>
      <c r="U2163" t="str">
        <f>IF(ISBLANK(Table1[[#This Row],[SizeOption]]),"NOT AVAILABLE",Table1[[#This Row],[SizeOption]])</f>
        <v>XS, S, M, L, XL</v>
      </c>
      <c r="Y2163" t="str">
        <f>IF(Table2[[#This Row],[Column1]]&gt;50%,"HIGH DISCOUNT","LOW DISCOUNT")</f>
        <v>HIGH DISCOUNT</v>
      </c>
    </row>
    <row r="2164" spans="1:25" x14ac:dyDescent="0.25">
      <c r="A2164" s="1" t="s">
        <v>4626</v>
      </c>
      <c r="B2164" s="1">
        <v>16505426</v>
      </c>
      <c r="C2164" s="1" t="s">
        <v>837</v>
      </c>
      <c r="D2164" s="1" t="s">
        <v>76</v>
      </c>
      <c r="E2164" s="1" t="s">
        <v>93</v>
      </c>
      <c r="F2164" s="1" t="s">
        <v>36</v>
      </c>
      <c r="G2164" s="1" t="s">
        <v>4627</v>
      </c>
      <c r="H2164">
        <v>899</v>
      </c>
      <c r="I2164" s="1">
        <v>1999</v>
      </c>
      <c r="J2164" s="1" t="s">
        <v>25</v>
      </c>
      <c r="K2164" s="1" t="s">
        <v>1713</v>
      </c>
      <c r="L2164" s="1">
        <v>4.2</v>
      </c>
      <c r="M2164" s="1">
        <v>678</v>
      </c>
      <c r="P2164" t="str">
        <f t="shared" si="135"/>
        <v>55%</v>
      </c>
      <c r="Q2164" s="12">
        <f t="shared" si="132"/>
        <v>0.55000000000000004</v>
      </c>
      <c r="R2164" s="9">
        <f t="shared" si="133"/>
        <v>899.55</v>
      </c>
      <c r="S2164" s="9">
        <f>IF(R2164="",AVERAGEIF(Table1[Category],Table1[[#This Row],[Category]],Table2[orignal data]),Table2[[#This Row],[orignal data]])</f>
        <v>899.55</v>
      </c>
      <c r="T2164" t="str">
        <f t="shared" si="134"/>
        <v>UNIQUE</v>
      </c>
      <c r="U2164" t="str">
        <f>IF(ISBLANK(Table1[[#This Row],[SizeOption]]),"NOT AVAILABLE",Table1[[#This Row],[SizeOption]])</f>
        <v>M, L, XL, XXL, 3XL</v>
      </c>
      <c r="Y2164" t="str">
        <f>IF(Table2[[#This Row],[Column1]]&gt;50%,"HIGH DISCOUNT","LOW DISCOUNT")</f>
        <v>HIGH DISCOUNT</v>
      </c>
    </row>
    <row r="2165" spans="1:25" x14ac:dyDescent="0.25">
      <c r="A2165" s="2" t="s">
        <v>4628</v>
      </c>
      <c r="B2165" s="2">
        <v>10999568</v>
      </c>
      <c r="C2165" s="2" t="s">
        <v>3049</v>
      </c>
      <c r="D2165" s="2" t="s">
        <v>76</v>
      </c>
      <c r="E2165" s="2" t="s">
        <v>48</v>
      </c>
      <c r="F2165" s="2" t="s">
        <v>36</v>
      </c>
      <c r="G2165" s="2" t="s">
        <v>4629</v>
      </c>
      <c r="H2165">
        <v>1499</v>
      </c>
      <c r="I2165" s="2">
        <v>2998</v>
      </c>
      <c r="J2165" s="2" t="s">
        <v>84</v>
      </c>
      <c r="K2165" s="2" t="s">
        <v>26</v>
      </c>
      <c r="L2165" s="2">
        <v>4.0999999999999996</v>
      </c>
      <c r="M2165" s="2">
        <v>678</v>
      </c>
      <c r="P2165" t="str">
        <f t="shared" si="135"/>
        <v>50%</v>
      </c>
      <c r="Q2165" s="12">
        <f t="shared" si="132"/>
        <v>0.5</v>
      </c>
      <c r="R2165" s="9">
        <f t="shared" si="133"/>
        <v>1499</v>
      </c>
      <c r="S2165" s="9">
        <f>IF(R2165="",AVERAGEIF(Table1[Category],Table1[[#This Row],[Category]],Table2[orignal data]),Table2[[#This Row],[orignal data]])</f>
        <v>1499</v>
      </c>
      <c r="T2165" t="str">
        <f t="shared" si="134"/>
        <v>UNIQUE</v>
      </c>
      <c r="U2165" t="str">
        <f>IF(ISBLANK(Table1[[#This Row],[SizeOption]]),"NOT AVAILABLE",Table1[[#This Row],[SizeOption]])</f>
        <v>S, M, L, XL</v>
      </c>
      <c r="Y2165" t="str">
        <f>IF(Table2[[#This Row],[Column1]]&gt;50%,"HIGH DISCOUNT","LOW DISCOUNT")</f>
        <v>LOW DISCOUNT</v>
      </c>
    </row>
    <row r="2166" spans="1:25" x14ac:dyDescent="0.25">
      <c r="A2166" s="1" t="s">
        <v>4630</v>
      </c>
      <c r="B2166" s="1">
        <v>11064316</v>
      </c>
      <c r="C2166" s="1" t="s">
        <v>181</v>
      </c>
      <c r="D2166" s="1" t="s">
        <v>41</v>
      </c>
      <c r="E2166" s="1" t="s">
        <v>4631</v>
      </c>
      <c r="F2166" s="1" t="s">
        <v>36</v>
      </c>
      <c r="G2166" s="1" t="s">
        <v>4632</v>
      </c>
      <c r="I2166" s="1">
        <v>1799</v>
      </c>
      <c r="J2166" s="1" t="s">
        <v>84</v>
      </c>
      <c r="K2166" s="1" t="s">
        <v>39</v>
      </c>
      <c r="L2166" s="1">
        <v>3.3</v>
      </c>
      <c r="M2166" s="1">
        <v>678</v>
      </c>
      <c r="P2166" t="str">
        <f t="shared" si="135"/>
        <v>50%</v>
      </c>
      <c r="Q2166" s="12">
        <f t="shared" si="132"/>
        <v>0.5</v>
      </c>
      <c r="R2166" s="9">
        <f t="shared" si="133"/>
        <v>899.5</v>
      </c>
      <c r="S2166" s="9">
        <f>IF(R2166="",AVERAGEIF(Table1[Category],Table1[[#This Row],[Category]],Table2[orignal data]),Table2[[#This Row],[orignal data]])</f>
        <v>899.5</v>
      </c>
      <c r="T2166" t="str">
        <f t="shared" si="134"/>
        <v>UNIQUE</v>
      </c>
      <c r="U2166" t="str">
        <f>IF(ISBLANK(Table1[[#This Row],[SizeOption]]),"NOT AVAILABLE",Table1[[#This Row],[SizeOption]])</f>
        <v>S, M, L, XL, XXL</v>
      </c>
      <c r="Y2166" t="str">
        <f>IF(Table2[[#This Row],[Column1]]&gt;50%,"HIGH DISCOUNT","LOW DISCOUNT")</f>
        <v>LOW DISCOUNT</v>
      </c>
    </row>
    <row r="2167" spans="1:25" x14ac:dyDescent="0.25">
      <c r="A2167" s="2" t="s">
        <v>4633</v>
      </c>
      <c r="B2167" s="2">
        <v>14827904</v>
      </c>
      <c r="C2167" s="2" t="s">
        <v>81</v>
      </c>
      <c r="D2167" s="2" t="s">
        <v>41</v>
      </c>
      <c r="E2167" s="2" t="s">
        <v>148</v>
      </c>
      <c r="F2167" s="2" t="s">
        <v>36</v>
      </c>
      <c r="G2167" s="2" t="s">
        <v>4634</v>
      </c>
      <c r="I2167" s="2">
        <v>2299</v>
      </c>
      <c r="J2167" s="2" t="s">
        <v>25</v>
      </c>
      <c r="K2167" s="2" t="s">
        <v>115</v>
      </c>
      <c r="L2167" s="2">
        <v>4.3</v>
      </c>
      <c r="M2167" s="2">
        <v>678</v>
      </c>
      <c r="P2167" t="str">
        <f t="shared" si="135"/>
        <v>55%</v>
      </c>
      <c r="Q2167" s="12">
        <f t="shared" si="132"/>
        <v>0.55000000000000004</v>
      </c>
      <c r="R2167" s="9">
        <f t="shared" si="133"/>
        <v>1034.55</v>
      </c>
      <c r="S2167" s="9">
        <f>IF(R2167="",AVERAGEIF(Table1[Category],Table1[[#This Row],[Category]],Table2[orignal data]),Table2[[#This Row],[orignal data]])</f>
        <v>1034.55</v>
      </c>
      <c r="T2167" t="str">
        <f t="shared" si="134"/>
        <v>UNIQUE</v>
      </c>
      <c r="U2167" t="str">
        <f>IF(ISBLANK(Table1[[#This Row],[SizeOption]]),"NOT AVAILABLE",Table1[[#This Row],[SizeOption]])</f>
        <v>XS, S, M, L, XL, XXL</v>
      </c>
      <c r="Y2167" t="str">
        <f>IF(Table2[[#This Row],[Column1]]&gt;50%,"HIGH DISCOUNT","LOW DISCOUNT")</f>
        <v>HIGH DISCOUNT</v>
      </c>
    </row>
    <row r="2168" spans="1:25" x14ac:dyDescent="0.25">
      <c r="A2168" s="1" t="s">
        <v>4635</v>
      </c>
      <c r="B2168" s="1">
        <v>12965920</v>
      </c>
      <c r="C2168" s="1" t="s">
        <v>784</v>
      </c>
      <c r="D2168" s="1" t="s">
        <v>15</v>
      </c>
      <c r="E2168" s="1" t="s">
        <v>23</v>
      </c>
      <c r="F2168" s="1" t="s">
        <v>17</v>
      </c>
      <c r="G2168" s="1" t="s">
        <v>4636</v>
      </c>
      <c r="I2168" s="1">
        <v>1299</v>
      </c>
      <c r="J2168" s="1"/>
      <c r="K2168" s="1" t="s">
        <v>39</v>
      </c>
      <c r="L2168" s="1">
        <v>4.3</v>
      </c>
      <c r="M2168" s="1">
        <v>677</v>
      </c>
      <c r="P2168" t="str">
        <f t="shared" si="135"/>
        <v/>
      </c>
      <c r="Q2168" s="12" t="str">
        <f t="shared" si="132"/>
        <v/>
      </c>
      <c r="R2168" s="9" t="str">
        <f t="shared" si="133"/>
        <v/>
      </c>
      <c r="S2168" s="9">
        <f>IF(R2168="",AVERAGEIF(Table1[Category],Table1[[#This Row],[Category]],Table2[orignal data]),Table2[[#This Row],[orignal data]])</f>
        <v>892.27590339892538</v>
      </c>
      <c r="T2168" t="str">
        <f t="shared" si="134"/>
        <v>UNIQUE</v>
      </c>
      <c r="U2168" t="str">
        <f>IF(ISBLANK(Table1[[#This Row],[SizeOption]]),"NOT AVAILABLE",Table1[[#This Row],[SizeOption]])</f>
        <v>S, M, L, XL, XXL</v>
      </c>
      <c r="Y2168" t="str">
        <f>IF(Table2[[#This Row],[Column1]]&gt;50%,"HIGH DISCOUNT","LOW DISCOUNT")</f>
        <v>HIGH DISCOUNT</v>
      </c>
    </row>
    <row r="2169" spans="1:25" x14ac:dyDescent="0.25">
      <c r="A2169" s="2" t="s">
        <v>4637</v>
      </c>
      <c r="B2169" s="2">
        <v>13858440</v>
      </c>
      <c r="C2169" s="2" t="s">
        <v>52</v>
      </c>
      <c r="D2169" s="2" t="s">
        <v>15</v>
      </c>
      <c r="E2169" s="2" t="s">
        <v>137</v>
      </c>
      <c r="F2169" s="2" t="s">
        <v>17</v>
      </c>
      <c r="G2169" s="2" t="s">
        <v>3703</v>
      </c>
      <c r="H2169">
        <v>399</v>
      </c>
      <c r="I2169" s="2">
        <v>799</v>
      </c>
      <c r="J2169" s="2" t="s">
        <v>84</v>
      </c>
      <c r="K2169" s="2" t="s">
        <v>56</v>
      </c>
      <c r="L2169" s="2">
        <v>4.3</v>
      </c>
      <c r="M2169" s="2">
        <v>677</v>
      </c>
      <c r="P2169" t="str">
        <f t="shared" si="135"/>
        <v>50%</v>
      </c>
      <c r="Q2169" s="12">
        <f t="shared" si="132"/>
        <v>0.5</v>
      </c>
      <c r="R2169" s="9">
        <f t="shared" si="133"/>
        <v>399.5</v>
      </c>
      <c r="S2169" s="9">
        <f>IF(R2169="",AVERAGEIF(Table1[Category],Table1[[#This Row],[Category]],Table2[orignal data]),Table2[[#This Row],[orignal data]])</f>
        <v>399.5</v>
      </c>
      <c r="T2169" t="str">
        <f t="shared" si="134"/>
        <v>UNIQUE</v>
      </c>
      <c r="U2169" t="str">
        <f>IF(ISBLANK(Table1[[#This Row],[SizeOption]]),"NOT AVAILABLE",Table1[[#This Row],[SizeOption]])</f>
        <v>30, 32, 34, 36</v>
      </c>
      <c r="Y2169" t="str">
        <f>IF(Table2[[#This Row],[Column1]]&gt;50%,"HIGH DISCOUNT","LOW DISCOUNT")</f>
        <v>LOW DISCOUNT</v>
      </c>
    </row>
    <row r="2170" spans="1:25" x14ac:dyDescent="0.25">
      <c r="A2170" s="1" t="s">
        <v>4638</v>
      </c>
      <c r="B2170" s="1">
        <v>13077176</v>
      </c>
      <c r="C2170" s="1" t="s">
        <v>47</v>
      </c>
      <c r="D2170" s="1" t="s">
        <v>15</v>
      </c>
      <c r="E2170" s="1" t="s">
        <v>16</v>
      </c>
      <c r="F2170" s="1" t="s">
        <v>17</v>
      </c>
      <c r="G2170" s="1" t="s">
        <v>846</v>
      </c>
      <c r="H2170">
        <v>449</v>
      </c>
      <c r="I2170" s="1">
        <v>1799</v>
      </c>
      <c r="J2170" s="1" t="s">
        <v>109</v>
      </c>
      <c r="K2170" s="1" t="s">
        <v>20</v>
      </c>
      <c r="L2170" s="1">
        <v>3.8</v>
      </c>
      <c r="M2170" s="1">
        <v>677</v>
      </c>
      <c r="P2170" t="str">
        <f t="shared" si="135"/>
        <v>75%</v>
      </c>
      <c r="Q2170" s="12">
        <f t="shared" si="132"/>
        <v>0.75</v>
      </c>
      <c r="R2170" s="9">
        <f t="shared" si="133"/>
        <v>449.75</v>
      </c>
      <c r="S2170" s="9">
        <f>IF(R2170="",AVERAGEIF(Table1[Category],Table1[[#This Row],[Category]],Table2[orignal data]),Table2[[#This Row],[orignal data]])</f>
        <v>449.75</v>
      </c>
      <c r="T2170" t="str">
        <f t="shared" si="134"/>
        <v>UNIQUE</v>
      </c>
      <c r="U2170" t="str">
        <f>IF(ISBLANK(Table1[[#This Row],[SizeOption]]),"NOT AVAILABLE",Table1[[#This Row],[SizeOption]])</f>
        <v>28, 30, 32, 34, 36</v>
      </c>
      <c r="Y2170" t="str">
        <f>IF(Table2[[#This Row],[Column1]]&gt;50%,"HIGH DISCOUNT","LOW DISCOUNT")</f>
        <v>HIGH DISCOUNT</v>
      </c>
    </row>
    <row r="2171" spans="1:25" x14ac:dyDescent="0.25">
      <c r="A2171" s="2" t="s">
        <v>4639</v>
      </c>
      <c r="B2171" s="2">
        <v>13938118</v>
      </c>
      <c r="C2171" s="2" t="s">
        <v>52</v>
      </c>
      <c r="D2171" s="2" t="s">
        <v>15</v>
      </c>
      <c r="E2171" s="2" t="s">
        <v>16</v>
      </c>
      <c r="F2171" s="2" t="s">
        <v>17</v>
      </c>
      <c r="G2171" s="2" t="s">
        <v>3306</v>
      </c>
      <c r="H2171">
        <v>775</v>
      </c>
      <c r="I2171" s="2">
        <v>1649</v>
      </c>
      <c r="J2171" s="2" t="s">
        <v>89</v>
      </c>
      <c r="K2171" s="2" t="s">
        <v>816</v>
      </c>
      <c r="L2171" s="2">
        <v>3.9</v>
      </c>
      <c r="M2171" s="2">
        <v>677</v>
      </c>
      <c r="P2171" t="str">
        <f t="shared" si="135"/>
        <v>53%</v>
      </c>
      <c r="Q2171" s="12">
        <f t="shared" si="132"/>
        <v>0.53</v>
      </c>
      <c r="R2171" s="9">
        <f t="shared" si="133"/>
        <v>775.03</v>
      </c>
      <c r="S2171" s="9">
        <f>IF(R2171="",AVERAGEIF(Table1[Category],Table1[[#This Row],[Category]],Table2[orignal data]),Table2[[#This Row],[orignal data]])</f>
        <v>775.03</v>
      </c>
      <c r="T2171" t="str">
        <f t="shared" si="134"/>
        <v>UNIQUE</v>
      </c>
      <c r="U2171" t="str">
        <f>IF(ISBLANK(Table1[[#This Row],[SizeOption]]),"NOT AVAILABLE",Table1[[#This Row],[SizeOption]])</f>
        <v>30, 32, 34, 36, 38</v>
      </c>
      <c r="Y2171" t="str">
        <f>IF(Table2[[#This Row],[Column1]]&gt;50%,"HIGH DISCOUNT","LOW DISCOUNT")</f>
        <v>HIGH DISCOUNT</v>
      </c>
    </row>
    <row r="2172" spans="1:25" x14ac:dyDescent="0.25">
      <c r="A2172" s="1" t="s">
        <v>4640</v>
      </c>
      <c r="B2172" s="1">
        <v>11422726</v>
      </c>
      <c r="C2172" s="1" t="s">
        <v>3308</v>
      </c>
      <c r="D2172" s="1" t="s">
        <v>76</v>
      </c>
      <c r="E2172" s="1" t="s">
        <v>93</v>
      </c>
      <c r="F2172" s="1" t="s">
        <v>17</v>
      </c>
      <c r="G2172" s="1" t="s">
        <v>4641</v>
      </c>
      <c r="H2172">
        <v>719</v>
      </c>
      <c r="I2172" s="1">
        <v>1599</v>
      </c>
      <c r="J2172" s="1" t="s">
        <v>25</v>
      </c>
      <c r="K2172" s="1" t="s">
        <v>39</v>
      </c>
      <c r="L2172" s="1">
        <v>4.3</v>
      </c>
      <c r="M2172" s="1">
        <v>677</v>
      </c>
      <c r="P2172" t="str">
        <f t="shared" si="135"/>
        <v>55%</v>
      </c>
      <c r="Q2172" s="12">
        <f t="shared" si="132"/>
        <v>0.55000000000000004</v>
      </c>
      <c r="R2172" s="9">
        <f t="shared" si="133"/>
        <v>719.55</v>
      </c>
      <c r="S2172" s="9">
        <f>IF(R2172="",AVERAGEIF(Table1[Category],Table1[[#This Row],[Category]],Table2[orignal data]),Table2[[#This Row],[orignal data]])</f>
        <v>719.55</v>
      </c>
      <c r="T2172" t="str">
        <f t="shared" si="134"/>
        <v>UNIQUE</v>
      </c>
      <c r="U2172" t="str">
        <f>IF(ISBLANK(Table1[[#This Row],[SizeOption]]),"NOT AVAILABLE",Table1[[#This Row],[SizeOption]])</f>
        <v>S, M, L, XL, XXL</v>
      </c>
      <c r="Y2172" t="str">
        <f>IF(Table2[[#This Row],[Column1]]&gt;50%,"HIGH DISCOUNT","LOW DISCOUNT")</f>
        <v>HIGH DISCOUNT</v>
      </c>
    </row>
    <row r="2173" spans="1:25" x14ac:dyDescent="0.25">
      <c r="A2173" s="2" t="s">
        <v>4642</v>
      </c>
      <c r="B2173" s="2">
        <v>12027780</v>
      </c>
      <c r="C2173" s="2" t="s">
        <v>52</v>
      </c>
      <c r="D2173" s="2" t="s">
        <v>28</v>
      </c>
      <c r="E2173" s="2" t="s">
        <v>29</v>
      </c>
      <c r="F2173" s="2" t="s">
        <v>17</v>
      </c>
      <c r="G2173" s="2" t="s">
        <v>219</v>
      </c>
      <c r="H2173">
        <v>683</v>
      </c>
      <c r="I2173" s="2">
        <v>1199</v>
      </c>
      <c r="J2173" s="2" t="s">
        <v>509</v>
      </c>
      <c r="K2173" s="2" t="s">
        <v>90</v>
      </c>
      <c r="L2173" s="2">
        <v>4.4000000000000004</v>
      </c>
      <c r="M2173" s="2">
        <v>677</v>
      </c>
      <c r="P2173" t="str">
        <f t="shared" si="135"/>
        <v>43%</v>
      </c>
      <c r="Q2173" s="12">
        <f t="shared" si="132"/>
        <v>0.43</v>
      </c>
      <c r="R2173" s="9">
        <f t="shared" si="133"/>
        <v>683.43000000000006</v>
      </c>
      <c r="S2173" s="9">
        <f>IF(R2173="",AVERAGEIF(Table1[Category],Table1[[#This Row],[Category]],Table2[orignal data]),Table2[[#This Row],[orignal data]])</f>
        <v>683.43000000000006</v>
      </c>
      <c r="T2173" t="str">
        <f t="shared" si="134"/>
        <v>UNIQUE</v>
      </c>
      <c r="U2173" t="str">
        <f>IF(ISBLANK(Table1[[#This Row],[SizeOption]]),"NOT AVAILABLE",Table1[[#This Row],[SizeOption]])</f>
        <v>39, 40, 42, 44</v>
      </c>
      <c r="Y2173" t="str">
        <f>IF(Table2[[#This Row],[Column1]]&gt;50%,"HIGH DISCOUNT","LOW DISCOUNT")</f>
        <v>LOW DISCOUNT</v>
      </c>
    </row>
    <row r="2174" spans="1:25" x14ac:dyDescent="0.25">
      <c r="A2174" s="1" t="s">
        <v>4643</v>
      </c>
      <c r="B2174" s="1">
        <v>14125208</v>
      </c>
      <c r="C2174" s="1" t="s">
        <v>784</v>
      </c>
      <c r="D2174" s="1" t="s">
        <v>28</v>
      </c>
      <c r="E2174" s="1" t="s">
        <v>42</v>
      </c>
      <c r="F2174" s="1" t="s">
        <v>17</v>
      </c>
      <c r="G2174" s="1" t="s">
        <v>4644</v>
      </c>
      <c r="H2174">
        <v>587</v>
      </c>
      <c r="I2174" s="1">
        <v>699</v>
      </c>
      <c r="J2174" s="1" t="s">
        <v>4645</v>
      </c>
      <c r="K2174" s="1" t="s">
        <v>39</v>
      </c>
      <c r="L2174" s="1">
        <v>4.0999999999999996</v>
      </c>
      <c r="M2174" s="1">
        <v>677</v>
      </c>
      <c r="P2174" t="str">
        <f t="shared" si="135"/>
        <v>16%</v>
      </c>
      <c r="Q2174" s="12">
        <f t="shared" si="132"/>
        <v>0.16</v>
      </c>
      <c r="R2174" s="9">
        <f t="shared" si="133"/>
        <v>587.16</v>
      </c>
      <c r="S2174" s="9">
        <f>IF(R2174="",AVERAGEIF(Table1[Category],Table1[[#This Row],[Category]],Table2[orignal data]),Table2[[#This Row],[orignal data]])</f>
        <v>587.16</v>
      </c>
      <c r="T2174" t="str">
        <f t="shared" si="134"/>
        <v>UNIQUE</v>
      </c>
      <c r="U2174" t="str">
        <f>IF(ISBLANK(Table1[[#This Row],[SizeOption]]),"NOT AVAILABLE",Table1[[#This Row],[SizeOption]])</f>
        <v>S, M, L, XL, XXL</v>
      </c>
      <c r="Y2174" t="str">
        <f>IF(Table2[[#This Row],[Column1]]&gt;50%,"HIGH DISCOUNT","LOW DISCOUNT")</f>
        <v>LOW DISCOUNT</v>
      </c>
    </row>
    <row r="2175" spans="1:25" x14ac:dyDescent="0.25">
      <c r="A2175" s="2" t="s">
        <v>4646</v>
      </c>
      <c r="B2175" s="2">
        <v>13957382</v>
      </c>
      <c r="C2175" s="2" t="s">
        <v>92</v>
      </c>
      <c r="D2175" s="2" t="s">
        <v>76</v>
      </c>
      <c r="E2175" s="2" t="s">
        <v>148</v>
      </c>
      <c r="F2175" s="2" t="s">
        <v>36</v>
      </c>
      <c r="G2175" s="2" t="s">
        <v>4647</v>
      </c>
      <c r="H2175">
        <v>643</v>
      </c>
      <c r="I2175" s="2">
        <v>1649</v>
      </c>
      <c r="J2175" s="2" t="s">
        <v>104</v>
      </c>
      <c r="K2175" s="2" t="s">
        <v>39</v>
      </c>
      <c r="L2175" s="2">
        <v>3.8</v>
      </c>
      <c r="M2175" s="2">
        <v>677</v>
      </c>
      <c r="P2175" t="str">
        <f t="shared" si="135"/>
        <v>61%</v>
      </c>
      <c r="Q2175" s="12">
        <f t="shared" si="132"/>
        <v>0.61</v>
      </c>
      <c r="R2175" s="9">
        <f t="shared" si="133"/>
        <v>643.11</v>
      </c>
      <c r="S2175" s="9">
        <f>IF(R2175="",AVERAGEIF(Table1[Category],Table1[[#This Row],[Category]],Table2[orignal data]),Table2[[#This Row],[orignal data]])</f>
        <v>643.11</v>
      </c>
      <c r="T2175" t="str">
        <f t="shared" si="134"/>
        <v>UNIQUE</v>
      </c>
      <c r="U2175" t="str">
        <f>IF(ISBLANK(Table1[[#This Row],[SizeOption]]),"NOT AVAILABLE",Table1[[#This Row],[SizeOption]])</f>
        <v>S, M, L, XL, XXL</v>
      </c>
      <c r="Y2175" t="str">
        <f>IF(Table2[[#This Row],[Column1]]&gt;50%,"HIGH DISCOUNT","LOW DISCOUNT")</f>
        <v>HIGH DISCOUNT</v>
      </c>
    </row>
    <row r="2176" spans="1:25" x14ac:dyDescent="0.25">
      <c r="A2176" s="1" t="s">
        <v>4648</v>
      </c>
      <c r="B2176" s="1">
        <v>12450342</v>
      </c>
      <c r="C2176" s="1" t="s">
        <v>277</v>
      </c>
      <c r="D2176" s="1" t="s">
        <v>76</v>
      </c>
      <c r="E2176" s="1" t="s">
        <v>93</v>
      </c>
      <c r="F2176" s="1" t="s">
        <v>36</v>
      </c>
      <c r="G2176" s="1" t="s">
        <v>4649</v>
      </c>
      <c r="H2176">
        <v>779</v>
      </c>
      <c r="I2176" s="1">
        <v>2599</v>
      </c>
      <c r="J2176" s="1" t="s">
        <v>79</v>
      </c>
      <c r="K2176" s="1" t="s">
        <v>39</v>
      </c>
      <c r="L2176" s="1">
        <v>4.2</v>
      </c>
      <c r="M2176" s="1">
        <v>677</v>
      </c>
      <c r="P2176" t="str">
        <f t="shared" si="135"/>
        <v>70%</v>
      </c>
      <c r="Q2176" s="12">
        <f t="shared" si="132"/>
        <v>0.7</v>
      </c>
      <c r="R2176" s="9">
        <f t="shared" si="133"/>
        <v>779.7</v>
      </c>
      <c r="S2176" s="9">
        <f>IF(R2176="",AVERAGEIF(Table1[Category],Table1[[#This Row],[Category]],Table2[orignal data]),Table2[[#This Row],[orignal data]])</f>
        <v>779.7</v>
      </c>
      <c r="T2176" t="str">
        <f t="shared" si="134"/>
        <v>UNIQUE</v>
      </c>
      <c r="U2176" t="str">
        <f>IF(ISBLANK(Table1[[#This Row],[SizeOption]]),"NOT AVAILABLE",Table1[[#This Row],[SizeOption]])</f>
        <v>S, M, L, XL, XXL</v>
      </c>
      <c r="Y2176" t="str">
        <f>IF(Table2[[#This Row],[Column1]]&gt;50%,"HIGH DISCOUNT","LOW DISCOUNT")</f>
        <v>HIGH DISCOUNT</v>
      </c>
    </row>
    <row r="2177" spans="1:25" x14ac:dyDescent="0.25">
      <c r="A2177" s="2" t="s">
        <v>4650</v>
      </c>
      <c r="B2177" s="2">
        <v>11699228</v>
      </c>
      <c r="C2177" s="2" t="s">
        <v>1375</v>
      </c>
      <c r="D2177" s="2" t="s">
        <v>76</v>
      </c>
      <c r="E2177" s="2" t="s">
        <v>320</v>
      </c>
      <c r="F2177" s="2" t="s">
        <v>36</v>
      </c>
      <c r="G2177" s="2" t="s">
        <v>4651</v>
      </c>
      <c r="H2177">
        <v>987</v>
      </c>
      <c r="I2177" s="2">
        <v>2599</v>
      </c>
      <c r="J2177" s="2" t="s">
        <v>126</v>
      </c>
      <c r="K2177" s="2" t="s">
        <v>164</v>
      </c>
      <c r="L2177" s="2">
        <v>4.0999999999999996</v>
      </c>
      <c r="M2177" s="2">
        <v>677</v>
      </c>
      <c r="P2177" t="str">
        <f t="shared" si="135"/>
        <v>62%</v>
      </c>
      <c r="Q2177" s="12">
        <f t="shared" si="132"/>
        <v>0.62</v>
      </c>
      <c r="R2177" s="9">
        <f t="shared" si="133"/>
        <v>987.62000000000012</v>
      </c>
      <c r="S2177" s="9">
        <f>IF(R2177="",AVERAGEIF(Table1[Category],Table1[[#This Row],[Category]],Table2[orignal data]),Table2[[#This Row],[orignal data]])</f>
        <v>987.62000000000012</v>
      </c>
      <c r="T2177" t="str">
        <f t="shared" si="134"/>
        <v>UNIQUE</v>
      </c>
      <c r="U2177" t="str">
        <f>IF(ISBLANK(Table1[[#This Row],[SizeOption]]),"NOT AVAILABLE",Table1[[#This Row],[SizeOption]])</f>
        <v>Onesize</v>
      </c>
      <c r="Y2177" t="str">
        <f>IF(Table2[[#This Row],[Column1]]&gt;50%,"HIGH DISCOUNT","LOW DISCOUNT")</f>
        <v>HIGH DISCOUNT</v>
      </c>
    </row>
    <row r="2178" spans="1:25" x14ac:dyDescent="0.25">
      <c r="A2178" s="1" t="s">
        <v>4652</v>
      </c>
      <c r="B2178" s="1">
        <v>8475745</v>
      </c>
      <c r="C2178" s="1" t="s">
        <v>67</v>
      </c>
      <c r="D2178" s="1" t="s">
        <v>68</v>
      </c>
      <c r="E2178" s="1" t="s">
        <v>69</v>
      </c>
      <c r="F2178" s="1" t="s">
        <v>36</v>
      </c>
      <c r="G2178" s="1" t="s">
        <v>4653</v>
      </c>
      <c r="H2178">
        <v>764</v>
      </c>
      <c r="I2178" s="1">
        <v>1699</v>
      </c>
      <c r="J2178" s="1" t="s">
        <v>25</v>
      </c>
      <c r="K2178" s="1" t="s">
        <v>45</v>
      </c>
      <c r="L2178" s="1">
        <v>4</v>
      </c>
      <c r="M2178" s="1">
        <v>677</v>
      </c>
      <c r="P2178" t="str">
        <f t="shared" si="135"/>
        <v>55%</v>
      </c>
      <c r="Q2178" s="12">
        <f t="shared" ref="Q2178:Q2241" si="136">IF(P2178="","",IF(ISNUMBER(SEARCH("%",P2178)),P2178,P2178/I2178)*100%)</f>
        <v>0.55000000000000004</v>
      </c>
      <c r="R2178" s="9">
        <f t="shared" ref="R2178:R2241" si="137">IF(P2178="","",I2178-(I2178*Q2178))</f>
        <v>764.55</v>
      </c>
      <c r="S2178" s="9">
        <f>IF(R2178="",AVERAGEIF(Table1[Category],Table1[[#This Row],[Category]],Table2[orignal data]),Table2[[#This Row],[orignal data]])</f>
        <v>764.55</v>
      </c>
      <c r="T2178" t="str">
        <f t="shared" ref="T2178:T2241" si="138">IF(COUNTIF($B$2:$B$5000,B2178)&gt;1,"DUPLICATE","UNIQUE")</f>
        <v>UNIQUE</v>
      </c>
      <c r="U2178" t="str">
        <f>IF(ISBLANK(Table1[[#This Row],[SizeOption]]),"NOT AVAILABLE",Table1[[#This Row],[SizeOption]])</f>
        <v>XS, S, M, L, XL</v>
      </c>
      <c r="Y2178" t="str">
        <f>IF(Table2[[#This Row],[Column1]]&gt;50%,"HIGH DISCOUNT","LOW DISCOUNT")</f>
        <v>HIGH DISCOUNT</v>
      </c>
    </row>
    <row r="2179" spans="1:25" x14ac:dyDescent="0.25">
      <c r="A2179" s="2" t="s">
        <v>4654</v>
      </c>
      <c r="B2179" s="2">
        <v>7695854</v>
      </c>
      <c r="C2179" s="2" t="s">
        <v>67</v>
      </c>
      <c r="D2179" s="2" t="s">
        <v>68</v>
      </c>
      <c r="E2179" s="2" t="s">
        <v>69</v>
      </c>
      <c r="F2179" s="2" t="s">
        <v>36</v>
      </c>
      <c r="G2179" s="2" t="s">
        <v>4655</v>
      </c>
      <c r="H2179">
        <v>799</v>
      </c>
      <c r="I2179" s="2">
        <v>1999</v>
      </c>
      <c r="J2179" s="2" t="s">
        <v>55</v>
      </c>
      <c r="K2179" s="2" t="s">
        <v>115</v>
      </c>
      <c r="L2179" s="2">
        <v>4.5</v>
      </c>
      <c r="M2179" s="2">
        <v>677</v>
      </c>
      <c r="P2179" t="str">
        <f t="shared" ref="P2179:P2242" si="139">TRIM(SUBSTITUTE(SUBSTITUTE(SUBSTITUTE(SUBSTITUTE(J2179,"OFF",""),"Rs.",""),"Hurry*",""),",",""))</f>
        <v>60%</v>
      </c>
      <c r="Q2179" s="12">
        <f t="shared" si="136"/>
        <v>0.6</v>
      </c>
      <c r="R2179" s="9">
        <f t="shared" si="137"/>
        <v>799.60000000000014</v>
      </c>
      <c r="S2179" s="9">
        <f>IF(R2179="",AVERAGEIF(Table1[Category],Table1[[#This Row],[Category]],Table2[orignal data]),Table2[[#This Row],[orignal data]])</f>
        <v>799.60000000000014</v>
      </c>
      <c r="T2179" t="str">
        <f t="shared" si="138"/>
        <v>UNIQUE</v>
      </c>
      <c r="U2179" t="str">
        <f>IF(ISBLANK(Table1[[#This Row],[SizeOption]]),"NOT AVAILABLE",Table1[[#This Row],[SizeOption]])</f>
        <v>XS, S, M, L, XL, XXL</v>
      </c>
      <c r="Y2179" t="str">
        <f>IF(Table2[[#This Row],[Column1]]&gt;50%,"HIGH DISCOUNT","LOW DISCOUNT")</f>
        <v>HIGH DISCOUNT</v>
      </c>
    </row>
    <row r="2180" spans="1:25" x14ac:dyDescent="0.25">
      <c r="A2180" s="1" t="s">
        <v>4656</v>
      </c>
      <c r="B2180" s="1">
        <v>1764443</v>
      </c>
      <c r="C2180" s="1" t="s">
        <v>14</v>
      </c>
      <c r="D2180" s="1" t="s">
        <v>41</v>
      </c>
      <c r="E2180" s="1" t="s">
        <v>48</v>
      </c>
      <c r="F2180" s="1" t="s">
        <v>36</v>
      </c>
      <c r="G2180" s="1" t="s">
        <v>4657</v>
      </c>
      <c r="I2180" s="1">
        <v>1899</v>
      </c>
      <c r="J2180" s="1" t="s">
        <v>19</v>
      </c>
      <c r="K2180" s="1" t="s">
        <v>45</v>
      </c>
      <c r="L2180" s="1">
        <v>4.3</v>
      </c>
      <c r="M2180" s="1">
        <v>677</v>
      </c>
      <c r="P2180" t="str">
        <f t="shared" si="139"/>
        <v>45%</v>
      </c>
      <c r="Q2180" s="12">
        <f t="shared" si="136"/>
        <v>0.45</v>
      </c>
      <c r="R2180" s="9">
        <f t="shared" si="137"/>
        <v>1044.4499999999998</v>
      </c>
      <c r="S2180" s="9">
        <f>IF(R2180="",AVERAGEIF(Table1[Category],Table1[[#This Row],[Category]],Table2[orignal data]),Table2[[#This Row],[orignal data]])</f>
        <v>1044.4499999999998</v>
      </c>
      <c r="T2180" t="str">
        <f t="shared" si="138"/>
        <v>UNIQUE</v>
      </c>
      <c r="U2180" t="str">
        <f>IF(ISBLANK(Table1[[#This Row],[SizeOption]]),"NOT AVAILABLE",Table1[[#This Row],[SizeOption]])</f>
        <v>XS, S, M, L, XL</v>
      </c>
      <c r="Y2180" t="str">
        <f>IF(Table2[[#This Row],[Column1]]&gt;50%,"HIGH DISCOUNT","LOW DISCOUNT")</f>
        <v>LOW DISCOUNT</v>
      </c>
    </row>
    <row r="2181" spans="1:25" x14ac:dyDescent="0.25">
      <c r="A2181" s="2" t="s">
        <v>4658</v>
      </c>
      <c r="B2181" s="2">
        <v>10294499</v>
      </c>
      <c r="C2181" s="2" t="s">
        <v>4659</v>
      </c>
      <c r="D2181" s="2" t="s">
        <v>41</v>
      </c>
      <c r="E2181" s="2" t="s">
        <v>148</v>
      </c>
      <c r="F2181" s="2" t="s">
        <v>36</v>
      </c>
      <c r="G2181" s="2" t="s">
        <v>4660</v>
      </c>
      <c r="I2181" s="2">
        <v>1970</v>
      </c>
      <c r="J2181" s="2" t="s">
        <v>130</v>
      </c>
      <c r="K2181" s="2" t="s">
        <v>39</v>
      </c>
      <c r="L2181" s="2">
        <v>4.0999999999999996</v>
      </c>
      <c r="M2181" s="2">
        <v>677</v>
      </c>
      <c r="P2181" t="str">
        <f t="shared" si="139"/>
        <v>57%</v>
      </c>
      <c r="Q2181" s="12">
        <f t="shared" si="136"/>
        <v>0.56999999999999995</v>
      </c>
      <c r="R2181" s="9">
        <f t="shared" si="137"/>
        <v>847.10000000000014</v>
      </c>
      <c r="S2181" s="9">
        <f>IF(R2181="",AVERAGEIF(Table1[Category],Table1[[#This Row],[Category]],Table2[orignal data]),Table2[[#This Row],[orignal data]])</f>
        <v>847.10000000000014</v>
      </c>
      <c r="T2181" t="str">
        <f t="shared" si="138"/>
        <v>UNIQUE</v>
      </c>
      <c r="U2181" t="str">
        <f>IF(ISBLANK(Table1[[#This Row],[SizeOption]]),"NOT AVAILABLE",Table1[[#This Row],[SizeOption]])</f>
        <v>S, M, L, XL, XXL</v>
      </c>
      <c r="Y2181" t="str">
        <f>IF(Table2[[#This Row],[Column1]]&gt;50%,"HIGH DISCOUNT","LOW DISCOUNT")</f>
        <v>HIGH DISCOUNT</v>
      </c>
    </row>
    <row r="2182" spans="1:25" x14ac:dyDescent="0.25">
      <c r="A2182" s="1" t="s">
        <v>4661</v>
      </c>
      <c r="B2182" s="1">
        <v>4653848</v>
      </c>
      <c r="C2182" s="1" t="s">
        <v>67</v>
      </c>
      <c r="D2182" s="1" t="s">
        <v>41</v>
      </c>
      <c r="E2182" s="1" t="s">
        <v>306</v>
      </c>
      <c r="F2182" s="1" t="s">
        <v>36</v>
      </c>
      <c r="G2182" s="1" t="s">
        <v>4662</v>
      </c>
      <c r="I2182" s="1">
        <v>1999</v>
      </c>
      <c r="J2182" s="1" t="s">
        <v>1986</v>
      </c>
      <c r="K2182" s="1" t="s">
        <v>115</v>
      </c>
      <c r="L2182" s="1">
        <v>4.4000000000000004</v>
      </c>
      <c r="M2182" s="1">
        <v>677</v>
      </c>
      <c r="P2182" t="str">
        <f t="shared" si="139"/>
        <v>60 %</v>
      </c>
      <c r="Q2182" s="12">
        <f t="shared" si="136"/>
        <v>0.6</v>
      </c>
      <c r="R2182" s="9">
        <f t="shared" si="137"/>
        <v>799.60000000000014</v>
      </c>
      <c r="S2182" s="9">
        <f>IF(R2182="",AVERAGEIF(Table1[Category],Table1[[#This Row],[Category]],Table2[orignal data]),Table2[[#This Row],[orignal data]])</f>
        <v>799.60000000000014</v>
      </c>
      <c r="T2182" t="str">
        <f t="shared" si="138"/>
        <v>UNIQUE</v>
      </c>
      <c r="U2182" t="str">
        <f>IF(ISBLANK(Table1[[#This Row],[SizeOption]]),"NOT AVAILABLE",Table1[[#This Row],[SizeOption]])</f>
        <v>XS, S, M, L, XL, XXL</v>
      </c>
      <c r="Y2182" t="str">
        <f>IF(Table2[[#This Row],[Column1]]&gt;50%,"HIGH DISCOUNT","LOW DISCOUNT")</f>
        <v>HIGH DISCOUNT</v>
      </c>
    </row>
    <row r="2183" spans="1:25" x14ac:dyDescent="0.25">
      <c r="A2183" s="2" t="s">
        <v>4663</v>
      </c>
      <c r="B2183" s="2">
        <v>12238136</v>
      </c>
      <c r="C2183" s="2" t="s">
        <v>952</v>
      </c>
      <c r="D2183" s="2" t="s">
        <v>41</v>
      </c>
      <c r="E2183" s="2" t="s">
        <v>16</v>
      </c>
      <c r="F2183" s="2" t="s">
        <v>36</v>
      </c>
      <c r="G2183" s="2" t="s">
        <v>4664</v>
      </c>
      <c r="I2183" s="2">
        <v>2749</v>
      </c>
      <c r="J2183" s="2" t="s">
        <v>130</v>
      </c>
      <c r="K2183" s="2" t="s">
        <v>428</v>
      </c>
      <c r="L2183" s="2">
        <v>4.3</v>
      </c>
      <c r="M2183" s="2">
        <v>677</v>
      </c>
      <c r="P2183" t="str">
        <f t="shared" si="139"/>
        <v>57%</v>
      </c>
      <c r="Q2183" s="12">
        <f t="shared" si="136"/>
        <v>0.56999999999999995</v>
      </c>
      <c r="R2183" s="9">
        <f t="shared" si="137"/>
        <v>1182.0700000000002</v>
      </c>
      <c r="S2183" s="9">
        <f>IF(R2183="",AVERAGEIF(Table1[Category],Table1[[#This Row],[Category]],Table2[orignal data]),Table2[[#This Row],[orignal data]])</f>
        <v>1182.0700000000002</v>
      </c>
      <c r="T2183" t="str">
        <f t="shared" si="138"/>
        <v>UNIQUE</v>
      </c>
      <c r="U2183" t="str">
        <f>IF(ISBLANK(Table1[[#This Row],[SizeOption]]),"NOT AVAILABLE",Table1[[#This Row],[SizeOption]])</f>
        <v>26, 28, 30, 32, 34</v>
      </c>
      <c r="Y2183" t="str">
        <f>IF(Table2[[#This Row],[Column1]]&gt;50%,"HIGH DISCOUNT","LOW DISCOUNT")</f>
        <v>HIGH DISCOUNT</v>
      </c>
    </row>
    <row r="2184" spans="1:25" x14ac:dyDescent="0.25">
      <c r="A2184" s="1" t="s">
        <v>4665</v>
      </c>
      <c r="B2184" s="1">
        <v>11697408</v>
      </c>
      <c r="C2184" s="1" t="s">
        <v>14</v>
      </c>
      <c r="D2184" s="1" t="s">
        <v>41</v>
      </c>
      <c r="E2184" s="1" t="s">
        <v>42</v>
      </c>
      <c r="F2184" s="1" t="s">
        <v>36</v>
      </c>
      <c r="G2184" s="1" t="s">
        <v>4666</v>
      </c>
      <c r="I2184" s="1">
        <v>599</v>
      </c>
      <c r="J2184" s="1" t="s">
        <v>55</v>
      </c>
      <c r="K2184" s="1" t="s">
        <v>45</v>
      </c>
      <c r="L2184" s="1">
        <v>4.4000000000000004</v>
      </c>
      <c r="M2184" s="1">
        <v>677</v>
      </c>
      <c r="P2184" t="str">
        <f t="shared" si="139"/>
        <v>60%</v>
      </c>
      <c r="Q2184" s="12">
        <f t="shared" si="136"/>
        <v>0.6</v>
      </c>
      <c r="R2184" s="9">
        <f t="shared" si="137"/>
        <v>239.60000000000002</v>
      </c>
      <c r="S2184" s="9">
        <f>IF(R2184="",AVERAGEIF(Table1[Category],Table1[[#This Row],[Category]],Table2[orignal data]),Table2[[#This Row],[orignal data]])</f>
        <v>239.60000000000002</v>
      </c>
      <c r="T2184" t="str">
        <f t="shared" si="138"/>
        <v>UNIQUE</v>
      </c>
      <c r="U2184" t="str">
        <f>IF(ISBLANK(Table1[[#This Row],[SizeOption]]),"NOT AVAILABLE",Table1[[#This Row],[SizeOption]])</f>
        <v>XS, S, M, L, XL</v>
      </c>
      <c r="Y2184" t="str">
        <f>IF(Table2[[#This Row],[Column1]]&gt;50%,"HIGH DISCOUNT","LOW DISCOUNT")</f>
        <v>HIGH DISCOUNT</v>
      </c>
    </row>
    <row r="2185" spans="1:25" x14ac:dyDescent="0.25">
      <c r="A2185" s="2" t="s">
        <v>4667</v>
      </c>
      <c r="B2185" s="2">
        <v>10015995</v>
      </c>
      <c r="C2185" s="2" t="s">
        <v>102</v>
      </c>
      <c r="D2185" s="2" t="s">
        <v>41</v>
      </c>
      <c r="E2185" s="2" t="s">
        <v>48</v>
      </c>
      <c r="F2185" s="2" t="s">
        <v>36</v>
      </c>
      <c r="G2185" s="2" t="s">
        <v>4668</v>
      </c>
      <c r="I2185" s="2">
        <v>999</v>
      </c>
      <c r="J2185" s="2" t="s">
        <v>55</v>
      </c>
      <c r="K2185" s="2" t="s">
        <v>26</v>
      </c>
      <c r="L2185" s="2">
        <v>4.4000000000000004</v>
      </c>
      <c r="M2185" s="2">
        <v>677</v>
      </c>
      <c r="P2185" t="str">
        <f t="shared" si="139"/>
        <v>60%</v>
      </c>
      <c r="Q2185" s="12">
        <f t="shared" si="136"/>
        <v>0.6</v>
      </c>
      <c r="R2185" s="9">
        <f t="shared" si="137"/>
        <v>399.6</v>
      </c>
      <c r="S2185" s="9">
        <f>IF(R2185="",AVERAGEIF(Table1[Category],Table1[[#This Row],[Category]],Table2[orignal data]),Table2[[#This Row],[orignal data]])</f>
        <v>399.6</v>
      </c>
      <c r="T2185" t="str">
        <f t="shared" si="138"/>
        <v>UNIQUE</v>
      </c>
      <c r="U2185" t="str">
        <f>IF(ISBLANK(Table1[[#This Row],[SizeOption]]),"NOT AVAILABLE",Table1[[#This Row],[SizeOption]])</f>
        <v>S, M, L, XL</v>
      </c>
      <c r="Y2185" t="str">
        <f>IF(Table2[[#This Row],[Column1]]&gt;50%,"HIGH DISCOUNT","LOW DISCOUNT")</f>
        <v>HIGH DISCOUNT</v>
      </c>
    </row>
    <row r="2186" spans="1:25" x14ac:dyDescent="0.25">
      <c r="A2186" s="1" t="s">
        <v>4669</v>
      </c>
      <c r="B2186" s="1">
        <v>10944466</v>
      </c>
      <c r="C2186" s="1" t="s">
        <v>14</v>
      </c>
      <c r="D2186" s="1" t="s">
        <v>15</v>
      </c>
      <c r="E2186" s="1" t="s">
        <v>53</v>
      </c>
      <c r="F2186" s="1" t="s">
        <v>17</v>
      </c>
      <c r="G2186" s="1" t="s">
        <v>4670</v>
      </c>
      <c r="I2186" s="1">
        <v>1999</v>
      </c>
      <c r="J2186" s="1"/>
      <c r="K2186" s="1" t="s">
        <v>20</v>
      </c>
      <c r="L2186" s="1">
        <v>4.2</v>
      </c>
      <c r="M2186" s="1">
        <v>676</v>
      </c>
      <c r="P2186" t="str">
        <f t="shared" si="139"/>
        <v/>
      </c>
      <c r="Q2186" s="12" t="str">
        <f t="shared" si="136"/>
        <v/>
      </c>
      <c r="R2186" s="9" t="str">
        <f t="shared" si="137"/>
        <v/>
      </c>
      <c r="S2186" s="9">
        <f>IF(R2186="",AVERAGEIF(Table1[Category],Table1[[#This Row],[Category]],Table2[orignal data]),Table2[[#This Row],[orignal data]])</f>
        <v>892.27590339892538</v>
      </c>
      <c r="T2186" t="str">
        <f t="shared" si="138"/>
        <v>UNIQUE</v>
      </c>
      <c r="U2186" t="str">
        <f>IF(ISBLANK(Table1[[#This Row],[SizeOption]]),"NOT AVAILABLE",Table1[[#This Row],[SizeOption]])</f>
        <v>28, 30, 32, 34, 36</v>
      </c>
      <c r="Y2186" t="str">
        <f>IF(Table2[[#This Row],[Column1]]&gt;50%,"HIGH DISCOUNT","LOW DISCOUNT")</f>
        <v>HIGH DISCOUNT</v>
      </c>
    </row>
    <row r="2187" spans="1:25" x14ac:dyDescent="0.25">
      <c r="A2187" s="2" t="s">
        <v>4671</v>
      </c>
      <c r="B2187" s="2">
        <v>8673413</v>
      </c>
      <c r="C2187" s="2" t="s">
        <v>169</v>
      </c>
      <c r="D2187" s="2" t="s">
        <v>15</v>
      </c>
      <c r="E2187" s="2" t="s">
        <v>16</v>
      </c>
      <c r="F2187" s="2" t="s">
        <v>17</v>
      </c>
      <c r="G2187" s="2" t="s">
        <v>2511</v>
      </c>
      <c r="H2187">
        <v>1429</v>
      </c>
      <c r="I2187" s="2">
        <v>2599</v>
      </c>
      <c r="J2187" s="2" t="s">
        <v>19</v>
      </c>
      <c r="K2187" s="2" t="s">
        <v>171</v>
      </c>
      <c r="L2187" s="2">
        <v>4.0999999999999996</v>
      </c>
      <c r="M2187" s="2">
        <v>676</v>
      </c>
      <c r="P2187" t="str">
        <f t="shared" si="139"/>
        <v>45%</v>
      </c>
      <c r="Q2187" s="12">
        <f t="shared" si="136"/>
        <v>0.45</v>
      </c>
      <c r="R2187" s="9">
        <f t="shared" si="137"/>
        <v>1429.45</v>
      </c>
      <c r="S2187" s="9">
        <f>IF(R2187="",AVERAGEIF(Table1[Category],Table1[[#This Row],[Category]],Table2[orignal data]),Table2[[#This Row],[orignal data]])</f>
        <v>1429.45</v>
      </c>
      <c r="T2187" t="str">
        <f t="shared" si="138"/>
        <v>UNIQUE</v>
      </c>
      <c r="U2187" t="str">
        <f>IF(ISBLANK(Table1[[#This Row],[SizeOption]]),"NOT AVAILABLE",Table1[[#This Row],[SizeOption]])</f>
        <v>28, 30, 32, 34, 36, 38</v>
      </c>
      <c r="Y2187" t="str">
        <f>IF(Table2[[#This Row],[Column1]]&gt;50%,"HIGH DISCOUNT","LOW DISCOUNT")</f>
        <v>LOW DISCOUNT</v>
      </c>
    </row>
    <row r="2188" spans="1:25" x14ac:dyDescent="0.25">
      <c r="A2188" s="1" t="s">
        <v>4672</v>
      </c>
      <c r="B2188" s="1">
        <v>12983764</v>
      </c>
      <c r="C2188" s="1" t="s">
        <v>47</v>
      </c>
      <c r="D2188" s="1" t="s">
        <v>15</v>
      </c>
      <c r="E2188" s="1" t="s">
        <v>16</v>
      </c>
      <c r="F2188" s="1" t="s">
        <v>17</v>
      </c>
      <c r="G2188" s="1" t="s">
        <v>4673</v>
      </c>
      <c r="H2188">
        <v>1099</v>
      </c>
      <c r="I2188" s="1">
        <v>1999</v>
      </c>
      <c r="J2188" s="1" t="s">
        <v>19</v>
      </c>
      <c r="K2188" s="1" t="s">
        <v>20</v>
      </c>
      <c r="L2188" s="1">
        <v>4</v>
      </c>
      <c r="M2188" s="1">
        <v>676</v>
      </c>
      <c r="P2188" t="str">
        <f t="shared" si="139"/>
        <v>45%</v>
      </c>
      <c r="Q2188" s="12">
        <f t="shared" si="136"/>
        <v>0.45</v>
      </c>
      <c r="R2188" s="9">
        <f t="shared" si="137"/>
        <v>1099.4499999999998</v>
      </c>
      <c r="S2188" s="9">
        <f>IF(R2188="",AVERAGEIF(Table1[Category],Table1[[#This Row],[Category]],Table2[orignal data]),Table2[[#This Row],[orignal data]])</f>
        <v>1099.4499999999998</v>
      </c>
      <c r="T2188" t="str">
        <f t="shared" si="138"/>
        <v>UNIQUE</v>
      </c>
      <c r="U2188" t="str">
        <f>IF(ISBLANK(Table1[[#This Row],[SizeOption]]),"NOT AVAILABLE",Table1[[#This Row],[SizeOption]])</f>
        <v>28, 30, 32, 34, 36</v>
      </c>
      <c r="Y2188" t="str">
        <f>IF(Table2[[#This Row],[Column1]]&gt;50%,"HIGH DISCOUNT","LOW DISCOUNT")</f>
        <v>LOW DISCOUNT</v>
      </c>
    </row>
    <row r="2189" spans="1:25" x14ac:dyDescent="0.25">
      <c r="A2189" s="2" t="s">
        <v>4674</v>
      </c>
      <c r="B2189" s="2">
        <v>10397845</v>
      </c>
      <c r="C2189" s="2" t="s">
        <v>14</v>
      </c>
      <c r="D2189" s="2" t="s">
        <v>28</v>
      </c>
      <c r="E2189" s="2" t="s">
        <v>29</v>
      </c>
      <c r="F2189" s="2" t="s">
        <v>17</v>
      </c>
      <c r="G2189" s="2" t="s">
        <v>4675</v>
      </c>
      <c r="H2189">
        <v>1139</v>
      </c>
      <c r="I2189" s="2">
        <v>1899</v>
      </c>
      <c r="J2189" s="2" t="s">
        <v>50</v>
      </c>
      <c r="K2189" s="2" t="s">
        <v>253</v>
      </c>
      <c r="L2189" s="2">
        <v>4</v>
      </c>
      <c r="M2189" s="2">
        <v>676</v>
      </c>
      <c r="P2189" t="str">
        <f t="shared" si="139"/>
        <v>40%</v>
      </c>
      <c r="Q2189" s="12">
        <f t="shared" si="136"/>
        <v>0.4</v>
      </c>
      <c r="R2189" s="9">
        <f t="shared" si="137"/>
        <v>1139.4000000000001</v>
      </c>
      <c r="S2189" s="9">
        <f>IF(R2189="",AVERAGEIF(Table1[Category],Table1[[#This Row],[Category]],Table2[orignal data]),Table2[[#This Row],[orignal data]])</f>
        <v>1139.4000000000001</v>
      </c>
      <c r="T2189" t="str">
        <f t="shared" si="138"/>
        <v>UNIQUE</v>
      </c>
      <c r="U2189" t="str">
        <f>IF(ISBLANK(Table1[[#This Row],[SizeOption]]),"NOT AVAILABLE",Table1[[#This Row],[SizeOption]])</f>
        <v>38, 40, 42, 44</v>
      </c>
      <c r="Y2189" t="str">
        <f>IF(Table2[[#This Row],[Column1]]&gt;50%,"HIGH DISCOUNT","LOW DISCOUNT")</f>
        <v>LOW DISCOUNT</v>
      </c>
    </row>
    <row r="2190" spans="1:25" x14ac:dyDescent="0.25">
      <c r="A2190" s="1" t="s">
        <v>4676</v>
      </c>
      <c r="B2190" s="1">
        <v>11174028</v>
      </c>
      <c r="C2190" s="1" t="s">
        <v>97</v>
      </c>
      <c r="D2190" s="1" t="s">
        <v>76</v>
      </c>
      <c r="E2190" s="1" t="s">
        <v>93</v>
      </c>
      <c r="F2190" s="1" t="s">
        <v>36</v>
      </c>
      <c r="G2190" s="1" t="s">
        <v>4677</v>
      </c>
      <c r="H2190">
        <v>454</v>
      </c>
      <c r="I2190" s="1">
        <v>1299</v>
      </c>
      <c r="J2190" s="1" t="s">
        <v>150</v>
      </c>
      <c r="K2190" s="1" t="s">
        <v>100</v>
      </c>
      <c r="L2190" s="1">
        <v>4</v>
      </c>
      <c r="M2190" s="1">
        <v>676</v>
      </c>
      <c r="P2190" t="str">
        <f t="shared" si="139"/>
        <v>65%</v>
      </c>
      <c r="Q2190" s="12">
        <f t="shared" si="136"/>
        <v>0.65</v>
      </c>
      <c r="R2190" s="9">
        <f t="shared" si="137"/>
        <v>454.65</v>
      </c>
      <c r="S2190" s="9">
        <f>IF(R2190="",AVERAGEIF(Table1[Category],Table1[[#This Row],[Category]],Table2[orignal data]),Table2[[#This Row],[orignal data]])</f>
        <v>454.65</v>
      </c>
      <c r="T2190" t="str">
        <f t="shared" si="138"/>
        <v>UNIQUE</v>
      </c>
      <c r="U2190" t="str">
        <f>IF(ISBLANK(Table1[[#This Row],[SizeOption]]),"NOT AVAILABLE",Table1[[#This Row],[SizeOption]])</f>
        <v>XS, S, M, L, XL, XXL, 3XL</v>
      </c>
      <c r="Y2190" t="str">
        <f>IF(Table2[[#This Row],[Column1]]&gt;50%,"HIGH DISCOUNT","LOW DISCOUNT")</f>
        <v>HIGH DISCOUNT</v>
      </c>
    </row>
    <row r="2191" spans="1:25" x14ac:dyDescent="0.25">
      <c r="A2191" s="2" t="s">
        <v>4678</v>
      </c>
      <c r="B2191" s="2">
        <v>8429563</v>
      </c>
      <c r="C2191" s="2" t="s">
        <v>3903</v>
      </c>
      <c r="D2191" s="2" t="s">
        <v>76</v>
      </c>
      <c r="E2191" s="2" t="s">
        <v>93</v>
      </c>
      <c r="F2191" s="2" t="s">
        <v>36</v>
      </c>
      <c r="G2191" s="2" t="s">
        <v>4679</v>
      </c>
      <c r="H2191">
        <v>674</v>
      </c>
      <c r="I2191" s="2">
        <v>1499</v>
      </c>
      <c r="J2191" s="2" t="s">
        <v>25</v>
      </c>
      <c r="K2191" s="2" t="s">
        <v>100</v>
      </c>
      <c r="L2191" s="2">
        <v>4.2</v>
      </c>
      <c r="M2191" s="2">
        <v>676</v>
      </c>
      <c r="P2191" t="str">
        <f t="shared" si="139"/>
        <v>55%</v>
      </c>
      <c r="Q2191" s="12">
        <f t="shared" si="136"/>
        <v>0.55000000000000004</v>
      </c>
      <c r="R2191" s="9">
        <f t="shared" si="137"/>
        <v>674.55</v>
      </c>
      <c r="S2191" s="9">
        <f>IF(R2191="",AVERAGEIF(Table1[Category],Table1[[#This Row],[Category]],Table2[orignal data]),Table2[[#This Row],[orignal data]])</f>
        <v>674.55</v>
      </c>
      <c r="T2191" t="str">
        <f t="shared" si="138"/>
        <v>UNIQUE</v>
      </c>
      <c r="U2191" t="str">
        <f>IF(ISBLANK(Table1[[#This Row],[SizeOption]]),"NOT AVAILABLE",Table1[[#This Row],[SizeOption]])</f>
        <v>XS, S, M, L, XL, XXL, 3XL</v>
      </c>
      <c r="Y2191" t="str">
        <f>IF(Table2[[#This Row],[Column1]]&gt;50%,"HIGH DISCOUNT","LOW DISCOUNT")</f>
        <v>HIGH DISCOUNT</v>
      </c>
    </row>
    <row r="2192" spans="1:25" x14ac:dyDescent="0.25">
      <c r="A2192" s="1" t="s">
        <v>4680</v>
      </c>
      <c r="B2192" s="1">
        <v>5702448</v>
      </c>
      <c r="C2192" s="1" t="s">
        <v>405</v>
      </c>
      <c r="D2192" s="1" t="s">
        <v>34</v>
      </c>
      <c r="E2192" s="1" t="s">
        <v>518</v>
      </c>
      <c r="F2192" s="1" t="s">
        <v>36</v>
      </c>
      <c r="G2192" s="1" t="s">
        <v>4681</v>
      </c>
      <c r="H2192">
        <v>593</v>
      </c>
      <c r="I2192" s="1">
        <v>899</v>
      </c>
      <c r="J2192" s="1" t="s">
        <v>3662</v>
      </c>
      <c r="K2192" s="1" t="s">
        <v>1341</v>
      </c>
      <c r="L2192" s="1">
        <v>3.9</v>
      </c>
      <c r="M2192" s="1">
        <v>676</v>
      </c>
      <c r="P2192" t="str">
        <f t="shared" si="139"/>
        <v>34%</v>
      </c>
      <c r="Q2192" s="12">
        <f t="shared" si="136"/>
        <v>0.34</v>
      </c>
      <c r="R2192" s="9">
        <f t="shared" si="137"/>
        <v>593.33999999999992</v>
      </c>
      <c r="S2192" s="9">
        <f>IF(R2192="",AVERAGEIF(Table1[Category],Table1[[#This Row],[Category]],Table2[orignal data]),Table2[[#This Row],[orignal data]])</f>
        <v>593.33999999999992</v>
      </c>
      <c r="T2192" t="str">
        <f t="shared" si="138"/>
        <v>UNIQUE</v>
      </c>
      <c r="U2192" t="str">
        <f>IF(ISBLANK(Table1[[#This Row],[SizeOption]]),"NOT AVAILABLE",Table1[[#This Row],[SizeOption]])</f>
        <v>M, L, XL</v>
      </c>
      <c r="Y2192" t="str">
        <f>IF(Table2[[#This Row],[Column1]]&gt;50%,"HIGH DISCOUNT","LOW DISCOUNT")</f>
        <v>LOW DISCOUNT</v>
      </c>
    </row>
    <row r="2193" spans="1:25" x14ac:dyDescent="0.25">
      <c r="A2193" s="2" t="s">
        <v>4682</v>
      </c>
      <c r="B2193" s="2">
        <v>8349763</v>
      </c>
      <c r="C2193" s="2" t="s">
        <v>97</v>
      </c>
      <c r="D2193" s="2" t="s">
        <v>98</v>
      </c>
      <c r="E2193" s="2" t="s">
        <v>93</v>
      </c>
      <c r="F2193" s="2" t="s">
        <v>36</v>
      </c>
      <c r="G2193" s="2" t="s">
        <v>4683</v>
      </c>
      <c r="H2193">
        <v>599</v>
      </c>
      <c r="I2193" s="2">
        <v>1499</v>
      </c>
      <c r="J2193" s="2" t="s">
        <v>55</v>
      </c>
      <c r="K2193" s="2" t="s">
        <v>100</v>
      </c>
      <c r="L2193" s="2">
        <v>4.0999999999999996</v>
      </c>
      <c r="M2193" s="2">
        <v>676</v>
      </c>
      <c r="P2193" t="str">
        <f t="shared" si="139"/>
        <v>60%</v>
      </c>
      <c r="Q2193" s="12">
        <f t="shared" si="136"/>
        <v>0.6</v>
      </c>
      <c r="R2193" s="9">
        <f t="shared" si="137"/>
        <v>599.6</v>
      </c>
      <c r="S2193" s="9">
        <f>IF(R2193="",AVERAGEIF(Table1[Category],Table1[[#This Row],[Category]],Table2[orignal data]),Table2[[#This Row],[orignal data]])</f>
        <v>599.6</v>
      </c>
      <c r="T2193" t="str">
        <f t="shared" si="138"/>
        <v>UNIQUE</v>
      </c>
      <c r="U2193" t="str">
        <f>IF(ISBLANK(Table1[[#This Row],[SizeOption]]),"NOT AVAILABLE",Table1[[#This Row],[SizeOption]])</f>
        <v>XS, S, M, L, XL, XXL, 3XL</v>
      </c>
      <c r="Y2193" t="str">
        <f>IF(Table2[[#This Row],[Column1]]&gt;50%,"HIGH DISCOUNT","LOW DISCOUNT")</f>
        <v>HIGH DISCOUNT</v>
      </c>
    </row>
    <row r="2194" spans="1:25" x14ac:dyDescent="0.25">
      <c r="A2194" s="1" t="s">
        <v>4684</v>
      </c>
      <c r="B2194" s="1">
        <v>2056706</v>
      </c>
      <c r="C2194" s="1" t="s">
        <v>64</v>
      </c>
      <c r="D2194" s="1" t="s">
        <v>98</v>
      </c>
      <c r="E2194" s="1" t="s">
        <v>148</v>
      </c>
      <c r="F2194" s="1" t="s">
        <v>36</v>
      </c>
      <c r="G2194" s="1" t="s">
        <v>4685</v>
      </c>
      <c r="H2194">
        <v>479</v>
      </c>
      <c r="I2194" s="1">
        <v>1599</v>
      </c>
      <c r="J2194" s="1" t="s">
        <v>1566</v>
      </c>
      <c r="K2194" s="1" t="s">
        <v>115</v>
      </c>
      <c r="L2194" s="1">
        <v>3.9</v>
      </c>
      <c r="M2194" s="1">
        <v>676</v>
      </c>
      <c r="P2194" t="str">
        <f t="shared" si="139"/>
        <v>70%</v>
      </c>
      <c r="Q2194" s="12">
        <f t="shared" si="136"/>
        <v>0.7</v>
      </c>
      <c r="R2194" s="9">
        <f t="shared" si="137"/>
        <v>479.70000000000005</v>
      </c>
      <c r="S2194" s="9">
        <f>IF(R2194="",AVERAGEIF(Table1[Category],Table1[[#This Row],[Category]],Table2[orignal data]),Table2[[#This Row],[orignal data]])</f>
        <v>479.70000000000005</v>
      </c>
      <c r="T2194" t="str">
        <f t="shared" si="138"/>
        <v>UNIQUE</v>
      </c>
      <c r="U2194" t="str">
        <f>IF(ISBLANK(Table1[[#This Row],[SizeOption]]),"NOT AVAILABLE",Table1[[#This Row],[SizeOption]])</f>
        <v>XS, S, M, L, XL, XXL</v>
      </c>
      <c r="Y2194" t="str">
        <f>IF(Table2[[#This Row],[Column1]]&gt;50%,"HIGH DISCOUNT","LOW DISCOUNT")</f>
        <v>HIGH DISCOUNT</v>
      </c>
    </row>
    <row r="2195" spans="1:25" x14ac:dyDescent="0.25">
      <c r="A2195" s="2" t="s">
        <v>4686</v>
      </c>
      <c r="B2195" s="2">
        <v>10389847</v>
      </c>
      <c r="C2195" s="2" t="s">
        <v>67</v>
      </c>
      <c r="D2195" s="2" t="s">
        <v>68</v>
      </c>
      <c r="E2195" s="2" t="s">
        <v>23</v>
      </c>
      <c r="F2195" s="2" t="s">
        <v>36</v>
      </c>
      <c r="G2195" s="2" t="s">
        <v>4687</v>
      </c>
      <c r="H2195">
        <v>734</v>
      </c>
      <c r="I2195" s="2">
        <v>2099</v>
      </c>
      <c r="J2195" s="2" t="s">
        <v>150</v>
      </c>
      <c r="K2195" s="2" t="s">
        <v>45</v>
      </c>
      <c r="L2195" s="2">
        <v>4</v>
      </c>
      <c r="M2195" s="2">
        <v>676</v>
      </c>
      <c r="P2195" t="str">
        <f t="shared" si="139"/>
        <v>65%</v>
      </c>
      <c r="Q2195" s="12">
        <f t="shared" si="136"/>
        <v>0.65</v>
      </c>
      <c r="R2195" s="9">
        <f t="shared" si="137"/>
        <v>734.64999999999986</v>
      </c>
      <c r="S2195" s="9">
        <f>IF(R2195="",AVERAGEIF(Table1[Category],Table1[[#This Row],[Category]],Table2[orignal data]),Table2[[#This Row],[orignal data]])</f>
        <v>734.64999999999986</v>
      </c>
      <c r="T2195" t="str">
        <f t="shared" si="138"/>
        <v>UNIQUE</v>
      </c>
      <c r="U2195" t="str">
        <f>IF(ISBLANK(Table1[[#This Row],[SizeOption]]),"NOT AVAILABLE",Table1[[#This Row],[SizeOption]])</f>
        <v>XS, S, M, L, XL</v>
      </c>
      <c r="Y2195" t="str">
        <f>IF(Table2[[#This Row],[Column1]]&gt;50%,"HIGH DISCOUNT","LOW DISCOUNT")</f>
        <v>HIGH DISCOUNT</v>
      </c>
    </row>
    <row r="2196" spans="1:25" x14ac:dyDescent="0.25">
      <c r="A2196" s="1" t="s">
        <v>4688</v>
      </c>
      <c r="B2196" s="1">
        <v>12479234</v>
      </c>
      <c r="C2196" s="1" t="s">
        <v>102</v>
      </c>
      <c r="D2196" s="1" t="s">
        <v>41</v>
      </c>
      <c r="E2196" s="1" t="s">
        <v>29</v>
      </c>
      <c r="F2196" s="1" t="s">
        <v>36</v>
      </c>
      <c r="G2196" s="1" t="s">
        <v>4689</v>
      </c>
      <c r="I2196" s="1">
        <v>1149</v>
      </c>
      <c r="J2196" s="1" t="s">
        <v>606</v>
      </c>
      <c r="K2196" s="1" t="s">
        <v>26</v>
      </c>
      <c r="L2196" s="1">
        <v>4</v>
      </c>
      <c r="M2196" s="1">
        <v>676</v>
      </c>
      <c r="P2196" t="str">
        <f t="shared" si="139"/>
        <v>54%</v>
      </c>
      <c r="Q2196" s="12">
        <f t="shared" si="136"/>
        <v>0.54</v>
      </c>
      <c r="R2196" s="9">
        <f t="shared" si="137"/>
        <v>528.54</v>
      </c>
      <c r="S2196" s="9">
        <f>IF(R2196="",AVERAGEIF(Table1[Category],Table1[[#This Row],[Category]],Table2[orignal data]),Table2[[#This Row],[orignal data]])</f>
        <v>528.54</v>
      </c>
      <c r="T2196" t="str">
        <f t="shared" si="138"/>
        <v>UNIQUE</v>
      </c>
      <c r="U2196" t="str">
        <f>IF(ISBLANK(Table1[[#This Row],[SizeOption]]),"NOT AVAILABLE",Table1[[#This Row],[SizeOption]])</f>
        <v>S, M, L, XL</v>
      </c>
      <c r="Y2196" t="str">
        <f>IF(Table2[[#This Row],[Column1]]&gt;50%,"HIGH DISCOUNT","LOW DISCOUNT")</f>
        <v>HIGH DISCOUNT</v>
      </c>
    </row>
    <row r="2197" spans="1:25" x14ac:dyDescent="0.25">
      <c r="A2197" s="2" t="s">
        <v>4690</v>
      </c>
      <c r="B2197" s="2">
        <v>17384822</v>
      </c>
      <c r="C2197" s="2" t="s">
        <v>14</v>
      </c>
      <c r="D2197" s="2" t="s">
        <v>41</v>
      </c>
      <c r="E2197" s="2" t="s">
        <v>42</v>
      </c>
      <c r="F2197" s="2" t="s">
        <v>36</v>
      </c>
      <c r="G2197" s="2" t="s">
        <v>1405</v>
      </c>
      <c r="I2197" s="2">
        <v>1398</v>
      </c>
      <c r="J2197" s="2" t="s">
        <v>84</v>
      </c>
      <c r="K2197" s="2" t="s">
        <v>45</v>
      </c>
      <c r="L2197" s="2">
        <v>4.3</v>
      </c>
      <c r="M2197" s="2">
        <v>676</v>
      </c>
      <c r="P2197" t="str">
        <f t="shared" si="139"/>
        <v>50%</v>
      </c>
      <c r="Q2197" s="12">
        <f t="shared" si="136"/>
        <v>0.5</v>
      </c>
      <c r="R2197" s="9">
        <f t="shared" si="137"/>
        <v>699</v>
      </c>
      <c r="S2197" s="9">
        <f>IF(R2197="",AVERAGEIF(Table1[Category],Table1[[#This Row],[Category]],Table2[orignal data]),Table2[[#This Row],[orignal data]])</f>
        <v>699</v>
      </c>
      <c r="T2197" t="str">
        <f t="shared" si="138"/>
        <v>UNIQUE</v>
      </c>
      <c r="U2197" t="str">
        <f>IF(ISBLANK(Table1[[#This Row],[SizeOption]]),"NOT AVAILABLE",Table1[[#This Row],[SizeOption]])</f>
        <v>XS, S, M, L, XL</v>
      </c>
      <c r="Y2197" t="str">
        <f>IF(Table2[[#This Row],[Column1]]&gt;50%,"HIGH DISCOUNT","LOW DISCOUNT")</f>
        <v>LOW DISCOUNT</v>
      </c>
    </row>
    <row r="2198" spans="1:25" x14ac:dyDescent="0.25">
      <c r="A2198" s="1" t="s">
        <v>4691</v>
      </c>
      <c r="B2198" s="1">
        <v>14154070</v>
      </c>
      <c r="C2198" s="1" t="s">
        <v>102</v>
      </c>
      <c r="D2198" s="1" t="s">
        <v>41</v>
      </c>
      <c r="E2198" s="1" t="s">
        <v>137</v>
      </c>
      <c r="F2198" s="1" t="s">
        <v>36</v>
      </c>
      <c r="G2198" s="1" t="s">
        <v>4692</v>
      </c>
      <c r="I2198" s="1">
        <v>699</v>
      </c>
      <c r="J2198" s="1" t="s">
        <v>606</v>
      </c>
      <c r="K2198" s="1" t="s">
        <v>1252</v>
      </c>
      <c r="L2198" s="1">
        <v>4.5999999999999996</v>
      </c>
      <c r="M2198" s="1">
        <v>676</v>
      </c>
      <c r="P2198" t="str">
        <f t="shared" si="139"/>
        <v>54%</v>
      </c>
      <c r="Q2198" s="12">
        <f t="shared" si="136"/>
        <v>0.54</v>
      </c>
      <c r="R2198" s="9">
        <f t="shared" si="137"/>
        <v>321.53999999999996</v>
      </c>
      <c r="S2198" s="9">
        <f>IF(R2198="",AVERAGEIF(Table1[Category],Table1[[#This Row],[Category]],Table2[orignal data]),Table2[[#This Row],[orignal data]])</f>
        <v>321.53999999999996</v>
      </c>
      <c r="T2198" t="str">
        <f t="shared" si="138"/>
        <v>UNIQUE</v>
      </c>
      <c r="U2198" t="str">
        <f>IF(ISBLANK(Table1[[#This Row],[SizeOption]]),"NOT AVAILABLE",Table1[[#This Row],[SizeOption]])</f>
        <v>26, 28, 30, 32</v>
      </c>
      <c r="Y2198" t="str">
        <f>IF(Table2[[#This Row],[Column1]]&gt;50%,"HIGH DISCOUNT","LOW DISCOUNT")</f>
        <v>HIGH DISCOUNT</v>
      </c>
    </row>
    <row r="2199" spans="1:25" x14ac:dyDescent="0.25">
      <c r="A2199" s="2" t="s">
        <v>4693</v>
      </c>
      <c r="B2199" s="2">
        <v>12167138</v>
      </c>
      <c r="C2199" s="2" t="s">
        <v>67</v>
      </c>
      <c r="D2199" s="2" t="s">
        <v>15</v>
      </c>
      <c r="E2199" s="2" t="s">
        <v>23</v>
      </c>
      <c r="F2199" s="2" t="s">
        <v>17</v>
      </c>
      <c r="G2199" s="2" t="s">
        <v>4694</v>
      </c>
      <c r="I2199" s="2">
        <v>1699</v>
      </c>
      <c r="J2199" s="2"/>
      <c r="K2199" s="2" t="s">
        <v>39</v>
      </c>
      <c r="L2199" s="2">
        <v>3.6</v>
      </c>
      <c r="M2199" s="2">
        <v>675</v>
      </c>
      <c r="P2199" t="str">
        <f t="shared" si="139"/>
        <v/>
      </c>
      <c r="Q2199" s="12" t="str">
        <f t="shared" si="136"/>
        <v/>
      </c>
      <c r="R2199" s="9" t="str">
        <f t="shared" si="137"/>
        <v/>
      </c>
      <c r="S2199" s="9">
        <f>IF(R2199="",AVERAGEIF(Table1[Category],Table1[[#This Row],[Category]],Table2[orignal data]),Table2[[#This Row],[orignal data]])</f>
        <v>892.27590339892538</v>
      </c>
      <c r="T2199" t="str">
        <f t="shared" si="138"/>
        <v>UNIQUE</v>
      </c>
      <c r="U2199" t="str">
        <f>IF(ISBLANK(Table1[[#This Row],[SizeOption]]),"NOT AVAILABLE",Table1[[#This Row],[SizeOption]])</f>
        <v>S, M, L, XL, XXL</v>
      </c>
      <c r="Y2199" t="str">
        <f>IF(Table2[[#This Row],[Column1]]&gt;50%,"HIGH DISCOUNT","LOW DISCOUNT")</f>
        <v>HIGH DISCOUNT</v>
      </c>
    </row>
    <row r="2200" spans="1:25" x14ac:dyDescent="0.25">
      <c r="A2200" s="1" t="s">
        <v>4695</v>
      </c>
      <c r="B2200" s="1">
        <v>10046857</v>
      </c>
      <c r="C2200" s="1" t="s">
        <v>14</v>
      </c>
      <c r="D2200" s="1" t="s">
        <v>15</v>
      </c>
      <c r="E2200" s="1" t="s">
        <v>16</v>
      </c>
      <c r="F2200" s="1" t="s">
        <v>17</v>
      </c>
      <c r="G2200" s="1" t="s">
        <v>4074</v>
      </c>
      <c r="H2200">
        <v>899</v>
      </c>
      <c r="I2200" s="1">
        <v>1999</v>
      </c>
      <c r="J2200" s="1" t="s">
        <v>25</v>
      </c>
      <c r="K2200" s="1" t="s">
        <v>20</v>
      </c>
      <c r="L2200" s="1">
        <v>3.9</v>
      </c>
      <c r="M2200" s="1">
        <v>675</v>
      </c>
      <c r="P2200" t="str">
        <f t="shared" si="139"/>
        <v>55%</v>
      </c>
      <c r="Q2200" s="12">
        <f t="shared" si="136"/>
        <v>0.55000000000000004</v>
      </c>
      <c r="R2200" s="9">
        <f t="shared" si="137"/>
        <v>899.55</v>
      </c>
      <c r="S2200" s="9">
        <f>IF(R2200="",AVERAGEIF(Table1[Category],Table1[[#This Row],[Category]],Table2[orignal data]),Table2[[#This Row],[orignal data]])</f>
        <v>899.55</v>
      </c>
      <c r="T2200" t="str">
        <f t="shared" si="138"/>
        <v>UNIQUE</v>
      </c>
      <c r="U2200" t="str">
        <f>IF(ISBLANK(Table1[[#This Row],[SizeOption]]),"NOT AVAILABLE",Table1[[#This Row],[SizeOption]])</f>
        <v>28, 30, 32, 34, 36</v>
      </c>
      <c r="Y2200" t="str">
        <f>IF(Table2[[#This Row],[Column1]]&gt;50%,"HIGH DISCOUNT","LOW DISCOUNT")</f>
        <v>HIGH DISCOUNT</v>
      </c>
    </row>
    <row r="2201" spans="1:25" x14ac:dyDescent="0.25">
      <c r="A2201" s="2" t="s">
        <v>4696</v>
      </c>
      <c r="B2201" s="2">
        <v>11200628</v>
      </c>
      <c r="C2201" s="2" t="s">
        <v>113</v>
      </c>
      <c r="D2201" s="2" t="s">
        <v>76</v>
      </c>
      <c r="E2201" s="2" t="s">
        <v>93</v>
      </c>
      <c r="F2201" s="2" t="s">
        <v>17</v>
      </c>
      <c r="G2201" s="2" t="s">
        <v>4697</v>
      </c>
      <c r="H2201">
        <v>674</v>
      </c>
      <c r="I2201" s="2">
        <v>1499</v>
      </c>
      <c r="J2201" s="2" t="s">
        <v>25</v>
      </c>
      <c r="K2201" s="2" t="s">
        <v>39</v>
      </c>
      <c r="L2201" s="2">
        <v>4.0999999999999996</v>
      </c>
      <c r="M2201" s="2">
        <v>675</v>
      </c>
      <c r="P2201" t="str">
        <f t="shared" si="139"/>
        <v>55%</v>
      </c>
      <c r="Q2201" s="12">
        <f t="shared" si="136"/>
        <v>0.55000000000000004</v>
      </c>
      <c r="R2201" s="9">
        <f t="shared" si="137"/>
        <v>674.55</v>
      </c>
      <c r="S2201" s="9">
        <f>IF(R2201="",AVERAGEIF(Table1[Category],Table1[[#This Row],[Category]],Table2[orignal data]),Table2[[#This Row],[orignal data]])</f>
        <v>674.55</v>
      </c>
      <c r="T2201" t="str">
        <f t="shared" si="138"/>
        <v>UNIQUE</v>
      </c>
      <c r="U2201" t="str">
        <f>IF(ISBLANK(Table1[[#This Row],[SizeOption]]),"NOT AVAILABLE",Table1[[#This Row],[SizeOption]])</f>
        <v>S, M, L, XL, XXL</v>
      </c>
      <c r="Y2201" t="str">
        <f>IF(Table2[[#This Row],[Column1]]&gt;50%,"HIGH DISCOUNT","LOW DISCOUNT")</f>
        <v>HIGH DISCOUNT</v>
      </c>
    </row>
    <row r="2202" spans="1:25" x14ac:dyDescent="0.25">
      <c r="A2202" s="1" t="s">
        <v>4698</v>
      </c>
      <c r="B2202" s="1">
        <v>10986358</v>
      </c>
      <c r="C2202" s="1" t="s">
        <v>47</v>
      </c>
      <c r="D2202" s="1" t="s">
        <v>197</v>
      </c>
      <c r="E2202" s="1" t="s">
        <v>198</v>
      </c>
      <c r="F2202" s="1" t="s">
        <v>17</v>
      </c>
      <c r="G2202" s="1" t="s">
        <v>1302</v>
      </c>
      <c r="H2202">
        <v>274</v>
      </c>
      <c r="I2202" s="1">
        <v>499</v>
      </c>
      <c r="J2202" s="1" t="s">
        <v>19</v>
      </c>
      <c r="K2202" s="1" t="s">
        <v>164</v>
      </c>
      <c r="L2202" s="1">
        <v>4.0999999999999996</v>
      </c>
      <c r="M2202" s="1">
        <v>675</v>
      </c>
      <c r="P2202" t="str">
        <f t="shared" si="139"/>
        <v>45%</v>
      </c>
      <c r="Q2202" s="12">
        <f t="shared" si="136"/>
        <v>0.45</v>
      </c>
      <c r="R2202" s="9">
        <f t="shared" si="137"/>
        <v>274.45</v>
      </c>
      <c r="S2202" s="9">
        <f>IF(R2202="",AVERAGEIF(Table1[Category],Table1[[#This Row],[Category]],Table2[orignal data]),Table2[[#This Row],[orignal data]])</f>
        <v>274.45</v>
      </c>
      <c r="T2202" t="str">
        <f t="shared" si="138"/>
        <v>UNIQUE</v>
      </c>
      <c r="U2202" t="str">
        <f>IF(ISBLANK(Table1[[#This Row],[SizeOption]]),"NOT AVAILABLE",Table1[[#This Row],[SizeOption]])</f>
        <v>Onesize</v>
      </c>
      <c r="Y2202" t="str">
        <f>IF(Table2[[#This Row],[Column1]]&gt;50%,"HIGH DISCOUNT","LOW DISCOUNT")</f>
        <v>LOW DISCOUNT</v>
      </c>
    </row>
    <row r="2203" spans="1:25" x14ac:dyDescent="0.25">
      <c r="A2203" s="2" t="s">
        <v>4699</v>
      </c>
      <c r="B2203" s="2">
        <v>2300737</v>
      </c>
      <c r="C2203" s="2" t="s">
        <v>47</v>
      </c>
      <c r="D2203" s="2" t="s">
        <v>28</v>
      </c>
      <c r="E2203" s="2" t="s">
        <v>42</v>
      </c>
      <c r="F2203" s="2" t="s">
        <v>17</v>
      </c>
      <c r="G2203" s="2" t="s">
        <v>4700</v>
      </c>
      <c r="H2203">
        <v>519</v>
      </c>
      <c r="I2203" s="2">
        <v>1299</v>
      </c>
      <c r="J2203" s="2" t="s">
        <v>55</v>
      </c>
      <c r="K2203" s="2" t="s">
        <v>26</v>
      </c>
      <c r="L2203" s="2">
        <v>4.2</v>
      </c>
      <c r="M2203" s="2">
        <v>675</v>
      </c>
      <c r="P2203" t="str">
        <f t="shared" si="139"/>
        <v>60%</v>
      </c>
      <c r="Q2203" s="12">
        <f t="shared" si="136"/>
        <v>0.6</v>
      </c>
      <c r="R2203" s="9">
        <f t="shared" si="137"/>
        <v>519.6</v>
      </c>
      <c r="S2203" s="9">
        <f>IF(R2203="",AVERAGEIF(Table1[Category],Table1[[#This Row],[Category]],Table2[orignal data]),Table2[[#This Row],[orignal data]])</f>
        <v>519.6</v>
      </c>
      <c r="T2203" t="str">
        <f t="shared" si="138"/>
        <v>UNIQUE</v>
      </c>
      <c r="U2203" t="str">
        <f>IF(ISBLANK(Table1[[#This Row],[SizeOption]]),"NOT AVAILABLE",Table1[[#This Row],[SizeOption]])</f>
        <v>S, M, L, XL</v>
      </c>
      <c r="Y2203" t="str">
        <f>IF(Table2[[#This Row],[Column1]]&gt;50%,"HIGH DISCOUNT","LOW DISCOUNT")</f>
        <v>HIGH DISCOUNT</v>
      </c>
    </row>
    <row r="2204" spans="1:25" x14ac:dyDescent="0.25">
      <c r="A2204" s="1" t="s">
        <v>4701</v>
      </c>
      <c r="B2204" s="1">
        <v>8985567</v>
      </c>
      <c r="C2204" s="1" t="s">
        <v>14</v>
      </c>
      <c r="D2204" s="1" t="s">
        <v>28</v>
      </c>
      <c r="E2204" s="1" t="s">
        <v>29</v>
      </c>
      <c r="F2204" s="1" t="s">
        <v>17</v>
      </c>
      <c r="G2204" s="1" t="s">
        <v>4702</v>
      </c>
      <c r="H2204">
        <v>749</v>
      </c>
      <c r="I2204" s="1">
        <v>1499</v>
      </c>
      <c r="J2204" s="1" t="s">
        <v>84</v>
      </c>
      <c r="K2204" s="1" t="s">
        <v>253</v>
      </c>
      <c r="L2204" s="1">
        <v>4.2</v>
      </c>
      <c r="M2204" s="1">
        <v>675</v>
      </c>
      <c r="P2204" t="str">
        <f t="shared" si="139"/>
        <v>50%</v>
      </c>
      <c r="Q2204" s="12">
        <f t="shared" si="136"/>
        <v>0.5</v>
      </c>
      <c r="R2204" s="9">
        <f t="shared" si="137"/>
        <v>749.5</v>
      </c>
      <c r="S2204" s="9">
        <f>IF(R2204="",AVERAGEIF(Table1[Category],Table1[[#This Row],[Category]],Table2[orignal data]),Table2[[#This Row],[orignal data]])</f>
        <v>749.5</v>
      </c>
      <c r="T2204" t="str">
        <f t="shared" si="138"/>
        <v>UNIQUE</v>
      </c>
      <c r="U2204" t="str">
        <f>IF(ISBLANK(Table1[[#This Row],[SizeOption]]),"NOT AVAILABLE",Table1[[#This Row],[SizeOption]])</f>
        <v>38, 40, 42, 44</v>
      </c>
      <c r="Y2204" t="str">
        <f>IF(Table2[[#This Row],[Column1]]&gt;50%,"HIGH DISCOUNT","LOW DISCOUNT")</f>
        <v>LOW DISCOUNT</v>
      </c>
    </row>
    <row r="2205" spans="1:25" x14ac:dyDescent="0.25">
      <c r="A2205" s="2" t="s">
        <v>4703</v>
      </c>
      <c r="B2205" s="2">
        <v>1583367</v>
      </c>
      <c r="C2205" s="2" t="s">
        <v>152</v>
      </c>
      <c r="D2205" s="2" t="s">
        <v>76</v>
      </c>
      <c r="E2205" s="2" t="s">
        <v>48</v>
      </c>
      <c r="F2205" s="2" t="s">
        <v>36</v>
      </c>
      <c r="G2205" s="2" t="s">
        <v>4704</v>
      </c>
      <c r="H2205">
        <v>479</v>
      </c>
      <c r="I2205" s="2">
        <v>1199</v>
      </c>
      <c r="J2205" s="2" t="s">
        <v>55</v>
      </c>
      <c r="K2205" s="2" t="s">
        <v>39</v>
      </c>
      <c r="L2205" s="2">
        <v>3.9</v>
      </c>
      <c r="M2205" s="2">
        <v>675</v>
      </c>
      <c r="P2205" t="str">
        <f t="shared" si="139"/>
        <v>60%</v>
      </c>
      <c r="Q2205" s="12">
        <f t="shared" si="136"/>
        <v>0.6</v>
      </c>
      <c r="R2205" s="9">
        <f t="shared" si="137"/>
        <v>479.6</v>
      </c>
      <c r="S2205" s="9">
        <f>IF(R2205="",AVERAGEIF(Table1[Category],Table1[[#This Row],[Category]],Table2[orignal data]),Table2[[#This Row],[orignal data]])</f>
        <v>479.6</v>
      </c>
      <c r="T2205" t="str">
        <f t="shared" si="138"/>
        <v>UNIQUE</v>
      </c>
      <c r="U2205" t="str">
        <f>IF(ISBLANK(Table1[[#This Row],[SizeOption]]),"NOT AVAILABLE",Table1[[#This Row],[SizeOption]])</f>
        <v>S, M, L, XL, XXL</v>
      </c>
      <c r="Y2205" t="str">
        <f>IF(Table2[[#This Row],[Column1]]&gt;50%,"HIGH DISCOUNT","LOW DISCOUNT")</f>
        <v>HIGH DISCOUNT</v>
      </c>
    </row>
    <row r="2206" spans="1:25" x14ac:dyDescent="0.25">
      <c r="A2206" s="1" t="s">
        <v>4705</v>
      </c>
      <c r="B2206" s="1">
        <v>12150558</v>
      </c>
      <c r="C2206" s="1" t="s">
        <v>221</v>
      </c>
      <c r="D2206" s="1" t="s">
        <v>98</v>
      </c>
      <c r="E2206" s="1" t="s">
        <v>48</v>
      </c>
      <c r="F2206" s="1" t="s">
        <v>36</v>
      </c>
      <c r="G2206" s="1" t="s">
        <v>4706</v>
      </c>
      <c r="H2206">
        <v>629</v>
      </c>
      <c r="I2206" s="1">
        <v>1799</v>
      </c>
      <c r="J2206" s="1" t="s">
        <v>150</v>
      </c>
      <c r="K2206" s="1" t="s">
        <v>223</v>
      </c>
      <c r="L2206" s="1">
        <v>4.2</v>
      </c>
      <c r="M2206" s="1">
        <v>675</v>
      </c>
      <c r="P2206" t="str">
        <f t="shared" si="139"/>
        <v>65%</v>
      </c>
      <c r="Q2206" s="12">
        <f t="shared" si="136"/>
        <v>0.65</v>
      </c>
      <c r="R2206" s="9">
        <f t="shared" si="137"/>
        <v>629.64999999999986</v>
      </c>
      <c r="S2206" s="9">
        <f>IF(R2206="",AVERAGEIF(Table1[Category],Table1[[#This Row],[Category]],Table2[orignal data]),Table2[[#This Row],[orignal data]])</f>
        <v>629.64999999999986</v>
      </c>
      <c r="T2206" t="str">
        <f t="shared" si="138"/>
        <v>UNIQUE</v>
      </c>
      <c r="U2206" t="str">
        <f>IF(ISBLANK(Table1[[#This Row],[SizeOption]]),"NOT AVAILABLE",Table1[[#This Row],[SizeOption]])</f>
        <v>S, M, L, XL, XXL, 3XL, 4XL</v>
      </c>
      <c r="Y2206" t="str">
        <f>IF(Table2[[#This Row],[Column1]]&gt;50%,"HIGH DISCOUNT","LOW DISCOUNT")</f>
        <v>HIGH DISCOUNT</v>
      </c>
    </row>
    <row r="2207" spans="1:25" x14ac:dyDescent="0.25">
      <c r="A2207" s="2" t="s">
        <v>4707</v>
      </c>
      <c r="B2207" s="2">
        <v>7139230</v>
      </c>
      <c r="C2207" s="2" t="s">
        <v>14</v>
      </c>
      <c r="D2207" s="2" t="s">
        <v>41</v>
      </c>
      <c r="E2207" s="2" t="s">
        <v>16</v>
      </c>
      <c r="F2207" s="2" t="s">
        <v>36</v>
      </c>
      <c r="G2207" s="2" t="s">
        <v>313</v>
      </c>
      <c r="I2207" s="2">
        <v>1699</v>
      </c>
      <c r="J2207" s="2" t="s">
        <v>84</v>
      </c>
      <c r="K2207" s="2" t="s">
        <v>134</v>
      </c>
      <c r="L2207" s="2">
        <v>3.8</v>
      </c>
      <c r="M2207" s="2">
        <v>675</v>
      </c>
      <c r="P2207" t="str">
        <f t="shared" si="139"/>
        <v>50%</v>
      </c>
      <c r="Q2207" s="12">
        <f t="shared" si="136"/>
        <v>0.5</v>
      </c>
      <c r="R2207" s="9">
        <f t="shared" si="137"/>
        <v>849.5</v>
      </c>
      <c r="S2207" s="9">
        <f>IF(R2207="",AVERAGEIF(Table1[Category],Table1[[#This Row],[Category]],Table2[orignal data]),Table2[[#This Row],[orignal data]])</f>
        <v>849.5</v>
      </c>
      <c r="T2207" t="str">
        <f t="shared" si="138"/>
        <v>UNIQUE</v>
      </c>
      <c r="U2207" t="str">
        <f>IF(ISBLANK(Table1[[#This Row],[SizeOption]]),"NOT AVAILABLE",Table1[[#This Row],[SizeOption]])</f>
        <v>26, 28, 30, 32, 34, 36</v>
      </c>
      <c r="Y2207" t="str">
        <f>IF(Table2[[#This Row],[Column1]]&gt;50%,"HIGH DISCOUNT","LOW DISCOUNT")</f>
        <v>LOW DISCOUNT</v>
      </c>
    </row>
    <row r="2208" spans="1:25" x14ac:dyDescent="0.25">
      <c r="A2208" s="1" t="s">
        <v>4708</v>
      </c>
      <c r="B2208" s="1">
        <v>10710916</v>
      </c>
      <c r="C2208" s="1" t="s">
        <v>102</v>
      </c>
      <c r="D2208" s="1" t="s">
        <v>41</v>
      </c>
      <c r="E2208" s="1" t="s">
        <v>148</v>
      </c>
      <c r="F2208" s="1" t="s">
        <v>36</v>
      </c>
      <c r="G2208" s="1" t="s">
        <v>4709</v>
      </c>
      <c r="I2208" s="1">
        <v>1849</v>
      </c>
      <c r="J2208" s="1" t="s">
        <v>163</v>
      </c>
      <c r="K2208" s="1" t="s">
        <v>26</v>
      </c>
      <c r="L2208" s="1">
        <v>4.3</v>
      </c>
      <c r="M2208" s="1">
        <v>675</v>
      </c>
      <c r="P2208" t="str">
        <f t="shared" si="139"/>
        <v>51%</v>
      </c>
      <c r="Q2208" s="12">
        <f t="shared" si="136"/>
        <v>0.51</v>
      </c>
      <c r="R2208" s="9">
        <f t="shared" si="137"/>
        <v>906.01</v>
      </c>
      <c r="S2208" s="9">
        <f>IF(R2208="",AVERAGEIF(Table1[Category],Table1[[#This Row],[Category]],Table2[orignal data]),Table2[[#This Row],[orignal data]])</f>
        <v>906.01</v>
      </c>
      <c r="T2208" t="str">
        <f t="shared" si="138"/>
        <v>UNIQUE</v>
      </c>
      <c r="U2208" t="str">
        <f>IF(ISBLANK(Table1[[#This Row],[SizeOption]]),"NOT AVAILABLE",Table1[[#This Row],[SizeOption]])</f>
        <v>S, M, L, XL</v>
      </c>
      <c r="Y2208" t="str">
        <f>IF(Table2[[#This Row],[Column1]]&gt;50%,"HIGH DISCOUNT","LOW DISCOUNT")</f>
        <v>HIGH DISCOUNT</v>
      </c>
    </row>
    <row r="2209" spans="1:25" x14ac:dyDescent="0.25">
      <c r="A2209" s="2" t="s">
        <v>4710</v>
      </c>
      <c r="B2209" s="2">
        <v>12193272</v>
      </c>
      <c r="C2209" s="2" t="s">
        <v>14</v>
      </c>
      <c r="D2209" s="2" t="s">
        <v>41</v>
      </c>
      <c r="E2209" s="2" t="s">
        <v>42</v>
      </c>
      <c r="F2209" s="2" t="s">
        <v>36</v>
      </c>
      <c r="G2209" s="2" t="s">
        <v>4711</v>
      </c>
      <c r="I2209" s="2">
        <v>599</v>
      </c>
      <c r="J2209" s="2" t="s">
        <v>19</v>
      </c>
      <c r="K2209" s="2" t="s">
        <v>45</v>
      </c>
      <c r="L2209" s="2">
        <v>4.3</v>
      </c>
      <c r="M2209" s="2">
        <v>675</v>
      </c>
      <c r="P2209" t="str">
        <f t="shared" si="139"/>
        <v>45%</v>
      </c>
      <c r="Q2209" s="12">
        <f t="shared" si="136"/>
        <v>0.45</v>
      </c>
      <c r="R2209" s="9">
        <f t="shared" si="137"/>
        <v>329.45</v>
      </c>
      <c r="S2209" s="9">
        <f>IF(R2209="",AVERAGEIF(Table1[Category],Table1[[#This Row],[Category]],Table2[orignal data]),Table2[[#This Row],[orignal data]])</f>
        <v>329.45</v>
      </c>
      <c r="T2209" t="str">
        <f t="shared" si="138"/>
        <v>UNIQUE</v>
      </c>
      <c r="U2209" t="str">
        <f>IF(ISBLANK(Table1[[#This Row],[SizeOption]]),"NOT AVAILABLE",Table1[[#This Row],[SizeOption]])</f>
        <v>XS, S, M, L, XL</v>
      </c>
      <c r="Y2209" t="str">
        <f>IF(Table2[[#This Row],[Column1]]&gt;50%,"HIGH DISCOUNT","LOW DISCOUNT")</f>
        <v>LOW DISCOUNT</v>
      </c>
    </row>
    <row r="2210" spans="1:25" x14ac:dyDescent="0.25">
      <c r="A2210" s="1" t="s">
        <v>4712</v>
      </c>
      <c r="B2210" s="1">
        <v>2315497</v>
      </c>
      <c r="C2210" s="1" t="s">
        <v>14</v>
      </c>
      <c r="D2210" s="1" t="s">
        <v>41</v>
      </c>
      <c r="E2210" s="1" t="s">
        <v>42</v>
      </c>
      <c r="F2210" s="1" t="s">
        <v>36</v>
      </c>
      <c r="G2210" s="1" t="s">
        <v>4713</v>
      </c>
      <c r="I2210" s="1">
        <v>599</v>
      </c>
      <c r="J2210" s="1" t="s">
        <v>44</v>
      </c>
      <c r="K2210" s="1" t="s">
        <v>45</v>
      </c>
      <c r="L2210" s="1">
        <v>4.0999999999999996</v>
      </c>
      <c r="M2210" s="1">
        <v>675</v>
      </c>
      <c r="P2210" t="str">
        <f t="shared" si="139"/>
        <v>35%</v>
      </c>
      <c r="Q2210" s="12">
        <f t="shared" si="136"/>
        <v>0.35</v>
      </c>
      <c r="R2210" s="9">
        <f t="shared" si="137"/>
        <v>389.35</v>
      </c>
      <c r="S2210" s="9">
        <f>IF(R2210="",AVERAGEIF(Table1[Category],Table1[[#This Row],[Category]],Table2[orignal data]),Table2[[#This Row],[orignal data]])</f>
        <v>389.35</v>
      </c>
      <c r="T2210" t="str">
        <f t="shared" si="138"/>
        <v>UNIQUE</v>
      </c>
      <c r="U2210" t="str">
        <f>IF(ISBLANK(Table1[[#This Row],[SizeOption]]),"NOT AVAILABLE",Table1[[#This Row],[SizeOption]])</f>
        <v>XS, S, M, L, XL</v>
      </c>
      <c r="Y2210" t="str">
        <f>IF(Table2[[#This Row],[Column1]]&gt;50%,"HIGH DISCOUNT","LOW DISCOUNT")</f>
        <v>LOW DISCOUNT</v>
      </c>
    </row>
    <row r="2211" spans="1:25" x14ac:dyDescent="0.25">
      <c r="A2211" s="2" t="s">
        <v>4714</v>
      </c>
      <c r="B2211" s="2">
        <v>11131048</v>
      </c>
      <c r="C2211" s="2" t="s">
        <v>64</v>
      </c>
      <c r="D2211" s="2" t="s">
        <v>28</v>
      </c>
      <c r="E2211" s="2" t="s">
        <v>29</v>
      </c>
      <c r="F2211" s="2" t="s">
        <v>17</v>
      </c>
      <c r="G2211" s="2" t="s">
        <v>4715</v>
      </c>
      <c r="H2211">
        <v>639</v>
      </c>
      <c r="I2211" s="2">
        <v>1599</v>
      </c>
      <c r="J2211" s="2" t="s">
        <v>55</v>
      </c>
      <c r="K2211" s="2" t="s">
        <v>361</v>
      </c>
      <c r="L2211" s="2">
        <v>4.0999999999999996</v>
      </c>
      <c r="M2211" s="2">
        <v>674</v>
      </c>
      <c r="P2211" t="str">
        <f t="shared" si="139"/>
        <v>60%</v>
      </c>
      <c r="Q2211" s="12">
        <f t="shared" si="136"/>
        <v>0.6</v>
      </c>
      <c r="R2211" s="9">
        <f t="shared" si="137"/>
        <v>639.6</v>
      </c>
      <c r="S2211" s="9">
        <f>IF(R2211="",AVERAGEIF(Table1[Category],Table1[[#This Row],[Category]],Table2[orignal data]),Table2[[#This Row],[orignal data]])</f>
        <v>639.6</v>
      </c>
      <c r="T2211" t="str">
        <f t="shared" si="138"/>
        <v>UNIQUE</v>
      </c>
      <c r="U2211" t="str">
        <f>IF(ISBLANK(Table1[[#This Row],[SizeOption]]),"NOT AVAILABLE",Table1[[#This Row],[SizeOption]])</f>
        <v>38, 40, 42, 44, 46</v>
      </c>
      <c r="Y2211" t="str">
        <f>IF(Table2[[#This Row],[Column1]]&gt;50%,"HIGH DISCOUNT","LOW DISCOUNT")</f>
        <v>HIGH DISCOUNT</v>
      </c>
    </row>
    <row r="2212" spans="1:25" x14ac:dyDescent="0.25">
      <c r="A2212" s="1" t="s">
        <v>4716</v>
      </c>
      <c r="B2212" s="1">
        <v>2444697</v>
      </c>
      <c r="C2212" s="1" t="s">
        <v>47</v>
      </c>
      <c r="D2212" s="1" t="s">
        <v>28</v>
      </c>
      <c r="E2212" s="1" t="s">
        <v>29</v>
      </c>
      <c r="F2212" s="1" t="s">
        <v>17</v>
      </c>
      <c r="G2212" s="1" t="s">
        <v>4717</v>
      </c>
      <c r="H2212">
        <v>899</v>
      </c>
      <c r="I2212" s="1">
        <v>1999</v>
      </c>
      <c r="J2212" s="1" t="s">
        <v>25</v>
      </c>
      <c r="K2212" s="1" t="s">
        <v>253</v>
      </c>
      <c r="L2212" s="1">
        <v>4.3</v>
      </c>
      <c r="M2212" s="1">
        <v>674</v>
      </c>
      <c r="P2212" t="str">
        <f t="shared" si="139"/>
        <v>55%</v>
      </c>
      <c r="Q2212" s="12">
        <f t="shared" si="136"/>
        <v>0.55000000000000004</v>
      </c>
      <c r="R2212" s="9">
        <f t="shared" si="137"/>
        <v>899.55</v>
      </c>
      <c r="S2212" s="9">
        <f>IF(R2212="",AVERAGEIF(Table1[Category],Table1[[#This Row],[Category]],Table2[orignal data]),Table2[[#This Row],[orignal data]])</f>
        <v>899.55</v>
      </c>
      <c r="T2212" t="str">
        <f t="shared" si="138"/>
        <v>UNIQUE</v>
      </c>
      <c r="U2212" t="str">
        <f>IF(ISBLANK(Table1[[#This Row],[SizeOption]]),"NOT AVAILABLE",Table1[[#This Row],[SizeOption]])</f>
        <v>38, 40, 42, 44</v>
      </c>
      <c r="Y2212" t="str">
        <f>IF(Table2[[#This Row],[Column1]]&gt;50%,"HIGH DISCOUNT","LOW DISCOUNT")</f>
        <v>HIGH DISCOUNT</v>
      </c>
    </row>
    <row r="2213" spans="1:25" x14ac:dyDescent="0.25">
      <c r="A2213" s="2" t="s">
        <v>4718</v>
      </c>
      <c r="B2213" s="2">
        <v>11369798</v>
      </c>
      <c r="C2213" s="2" t="s">
        <v>47</v>
      </c>
      <c r="D2213" s="2" t="s">
        <v>28</v>
      </c>
      <c r="E2213" s="2" t="s">
        <v>29</v>
      </c>
      <c r="F2213" s="2" t="s">
        <v>17</v>
      </c>
      <c r="G2213" s="2" t="s">
        <v>4719</v>
      </c>
      <c r="H2213">
        <v>999</v>
      </c>
      <c r="I2213" s="2">
        <v>2499</v>
      </c>
      <c r="J2213" s="2" t="s">
        <v>55</v>
      </c>
      <c r="K2213" s="2" t="s">
        <v>253</v>
      </c>
      <c r="L2213" s="2">
        <v>4.2</v>
      </c>
      <c r="M2213" s="2">
        <v>674</v>
      </c>
      <c r="P2213" t="str">
        <f t="shared" si="139"/>
        <v>60%</v>
      </c>
      <c r="Q2213" s="12">
        <f t="shared" si="136"/>
        <v>0.6</v>
      </c>
      <c r="R2213" s="9">
        <f t="shared" si="137"/>
        <v>999.60000000000014</v>
      </c>
      <c r="S2213" s="9">
        <f>IF(R2213="",AVERAGEIF(Table1[Category],Table1[[#This Row],[Category]],Table2[orignal data]),Table2[[#This Row],[orignal data]])</f>
        <v>999.60000000000014</v>
      </c>
      <c r="T2213" t="str">
        <f t="shared" si="138"/>
        <v>UNIQUE</v>
      </c>
      <c r="U2213" t="str">
        <f>IF(ISBLANK(Table1[[#This Row],[SizeOption]]),"NOT AVAILABLE",Table1[[#This Row],[SizeOption]])</f>
        <v>38, 40, 42, 44</v>
      </c>
      <c r="Y2213" t="str">
        <f>IF(Table2[[#This Row],[Column1]]&gt;50%,"HIGH DISCOUNT","LOW DISCOUNT")</f>
        <v>HIGH DISCOUNT</v>
      </c>
    </row>
    <row r="2214" spans="1:25" x14ac:dyDescent="0.25">
      <c r="A2214" s="1" t="s">
        <v>4720</v>
      </c>
      <c r="B2214" s="1">
        <v>10938422</v>
      </c>
      <c r="C2214" s="1" t="s">
        <v>14</v>
      </c>
      <c r="D2214" s="1" t="s">
        <v>28</v>
      </c>
      <c r="E2214" s="1" t="s">
        <v>42</v>
      </c>
      <c r="F2214" s="1" t="s">
        <v>17</v>
      </c>
      <c r="G2214" s="1" t="s">
        <v>4721</v>
      </c>
      <c r="H2214">
        <v>399</v>
      </c>
      <c r="I2214" s="1">
        <v>799</v>
      </c>
      <c r="J2214" s="1" t="s">
        <v>84</v>
      </c>
      <c r="K2214" s="1" t="s">
        <v>45</v>
      </c>
      <c r="L2214" s="1">
        <v>4.0999999999999996</v>
      </c>
      <c r="M2214" s="1">
        <v>674</v>
      </c>
      <c r="P2214" t="str">
        <f t="shared" si="139"/>
        <v>50%</v>
      </c>
      <c r="Q2214" s="12">
        <f t="shared" si="136"/>
        <v>0.5</v>
      </c>
      <c r="R2214" s="9">
        <f t="shared" si="137"/>
        <v>399.5</v>
      </c>
      <c r="S2214" s="9">
        <f>IF(R2214="",AVERAGEIF(Table1[Category],Table1[[#This Row],[Category]],Table2[orignal data]),Table2[[#This Row],[orignal data]])</f>
        <v>399.5</v>
      </c>
      <c r="T2214" t="str">
        <f t="shared" si="138"/>
        <v>UNIQUE</v>
      </c>
      <c r="U2214" t="str">
        <f>IF(ISBLANK(Table1[[#This Row],[SizeOption]]),"NOT AVAILABLE",Table1[[#This Row],[SizeOption]])</f>
        <v>XS, S, M, L, XL</v>
      </c>
      <c r="Y2214" t="str">
        <f>IF(Table2[[#This Row],[Column1]]&gt;50%,"HIGH DISCOUNT","LOW DISCOUNT")</f>
        <v>LOW DISCOUNT</v>
      </c>
    </row>
    <row r="2215" spans="1:25" x14ac:dyDescent="0.25">
      <c r="A2215" s="2" t="s">
        <v>4722</v>
      </c>
      <c r="B2215" s="2">
        <v>11017736</v>
      </c>
      <c r="C2215" s="2" t="s">
        <v>47</v>
      </c>
      <c r="D2215" s="2" t="s">
        <v>28</v>
      </c>
      <c r="E2215" s="2" t="s">
        <v>42</v>
      </c>
      <c r="F2215" s="2" t="s">
        <v>17</v>
      </c>
      <c r="G2215" s="2" t="s">
        <v>4723</v>
      </c>
      <c r="H2215">
        <v>359</v>
      </c>
      <c r="I2215" s="2">
        <v>899</v>
      </c>
      <c r="J2215" s="2" t="s">
        <v>55</v>
      </c>
      <c r="K2215" s="2" t="s">
        <v>26</v>
      </c>
      <c r="L2215" s="2">
        <v>4.3</v>
      </c>
      <c r="M2215" s="2">
        <v>674</v>
      </c>
      <c r="P2215" t="str">
        <f t="shared" si="139"/>
        <v>60%</v>
      </c>
      <c r="Q2215" s="12">
        <f t="shared" si="136"/>
        <v>0.6</v>
      </c>
      <c r="R2215" s="9">
        <f t="shared" si="137"/>
        <v>359.6</v>
      </c>
      <c r="S2215" s="9">
        <f>IF(R2215="",AVERAGEIF(Table1[Category],Table1[[#This Row],[Category]],Table2[orignal data]),Table2[[#This Row],[orignal data]])</f>
        <v>359.6</v>
      </c>
      <c r="T2215" t="str">
        <f t="shared" si="138"/>
        <v>UNIQUE</v>
      </c>
      <c r="U2215" t="str">
        <f>IF(ISBLANK(Table1[[#This Row],[SizeOption]]),"NOT AVAILABLE",Table1[[#This Row],[SizeOption]])</f>
        <v>S, M, L, XL</v>
      </c>
      <c r="Y2215" t="str">
        <f>IF(Table2[[#This Row],[Column1]]&gt;50%,"HIGH DISCOUNT","LOW DISCOUNT")</f>
        <v>HIGH DISCOUNT</v>
      </c>
    </row>
    <row r="2216" spans="1:25" x14ac:dyDescent="0.25">
      <c r="A2216" s="1" t="s">
        <v>4724</v>
      </c>
      <c r="B2216" s="1">
        <v>11363330</v>
      </c>
      <c r="C2216" s="1" t="s">
        <v>169</v>
      </c>
      <c r="D2216" s="1" t="s">
        <v>28</v>
      </c>
      <c r="E2216" s="1" t="s">
        <v>42</v>
      </c>
      <c r="F2216" s="1" t="s">
        <v>17</v>
      </c>
      <c r="G2216" s="1" t="s">
        <v>4725</v>
      </c>
      <c r="H2216">
        <v>449</v>
      </c>
      <c r="I2216" s="1">
        <v>899</v>
      </c>
      <c r="J2216" s="1" t="s">
        <v>84</v>
      </c>
      <c r="K2216" s="1" t="s">
        <v>39</v>
      </c>
      <c r="L2216" s="1">
        <v>4.0999999999999996</v>
      </c>
      <c r="M2216" s="1">
        <v>674</v>
      </c>
      <c r="P2216" t="str">
        <f t="shared" si="139"/>
        <v>50%</v>
      </c>
      <c r="Q2216" s="12">
        <f t="shared" si="136"/>
        <v>0.5</v>
      </c>
      <c r="R2216" s="9">
        <f t="shared" si="137"/>
        <v>449.5</v>
      </c>
      <c r="S2216" s="9">
        <f>IF(R2216="",AVERAGEIF(Table1[Category],Table1[[#This Row],[Category]],Table2[orignal data]),Table2[[#This Row],[orignal data]])</f>
        <v>449.5</v>
      </c>
      <c r="T2216" t="str">
        <f t="shared" si="138"/>
        <v>UNIQUE</v>
      </c>
      <c r="U2216" t="str">
        <f>IF(ISBLANK(Table1[[#This Row],[SizeOption]]),"NOT AVAILABLE",Table1[[#This Row],[SizeOption]])</f>
        <v>S, M, L, XL, XXL</v>
      </c>
      <c r="Y2216" t="str">
        <f>IF(Table2[[#This Row],[Column1]]&gt;50%,"HIGH DISCOUNT","LOW DISCOUNT")</f>
        <v>LOW DISCOUNT</v>
      </c>
    </row>
    <row r="2217" spans="1:25" x14ac:dyDescent="0.25">
      <c r="A2217" s="2" t="s">
        <v>4726</v>
      </c>
      <c r="B2217" s="2">
        <v>1497800</v>
      </c>
      <c r="C2217" s="2" t="s">
        <v>52</v>
      </c>
      <c r="D2217" s="2" t="s">
        <v>28</v>
      </c>
      <c r="E2217" s="2" t="s">
        <v>29</v>
      </c>
      <c r="F2217" s="2" t="s">
        <v>17</v>
      </c>
      <c r="G2217" s="2" t="s">
        <v>4727</v>
      </c>
      <c r="H2217">
        <v>569</v>
      </c>
      <c r="I2217" s="2">
        <v>999</v>
      </c>
      <c r="J2217" s="2" t="s">
        <v>509</v>
      </c>
      <c r="K2217" s="2" t="s">
        <v>90</v>
      </c>
      <c r="L2217" s="2">
        <v>4.2</v>
      </c>
      <c r="M2217" s="2">
        <v>674</v>
      </c>
      <c r="P2217" t="str">
        <f t="shared" si="139"/>
        <v>43%</v>
      </c>
      <c r="Q2217" s="12">
        <f t="shared" si="136"/>
        <v>0.43</v>
      </c>
      <c r="R2217" s="9">
        <f t="shared" si="137"/>
        <v>569.43000000000006</v>
      </c>
      <c r="S2217" s="9">
        <f>IF(R2217="",AVERAGEIF(Table1[Category],Table1[[#This Row],[Category]],Table2[orignal data]),Table2[[#This Row],[orignal data]])</f>
        <v>569.43000000000006</v>
      </c>
      <c r="T2217" t="str">
        <f t="shared" si="138"/>
        <v>UNIQUE</v>
      </c>
      <c r="U2217" t="str">
        <f>IF(ISBLANK(Table1[[#This Row],[SizeOption]]),"NOT AVAILABLE",Table1[[#This Row],[SizeOption]])</f>
        <v>39, 40, 42, 44</v>
      </c>
      <c r="Y2217" t="str">
        <f>IF(Table2[[#This Row],[Column1]]&gt;50%,"HIGH DISCOUNT","LOW DISCOUNT")</f>
        <v>LOW DISCOUNT</v>
      </c>
    </row>
    <row r="2218" spans="1:25" x14ac:dyDescent="0.25">
      <c r="A2218" s="1" t="s">
        <v>4728</v>
      </c>
      <c r="B2218" s="1">
        <v>8212017</v>
      </c>
      <c r="C2218" s="1" t="s">
        <v>405</v>
      </c>
      <c r="D2218" s="1" t="s">
        <v>34</v>
      </c>
      <c r="E2218" s="1" t="s">
        <v>406</v>
      </c>
      <c r="F2218" s="1" t="s">
        <v>36</v>
      </c>
      <c r="G2218" s="1" t="s">
        <v>4729</v>
      </c>
      <c r="H2218">
        <v>949</v>
      </c>
      <c r="I2218" s="1">
        <v>1899</v>
      </c>
      <c r="J2218" s="1" t="s">
        <v>84</v>
      </c>
      <c r="K2218" s="1" t="s">
        <v>26</v>
      </c>
      <c r="L2218" s="1">
        <v>4.0999999999999996</v>
      </c>
      <c r="M2218" s="1">
        <v>674</v>
      </c>
      <c r="P2218" t="str">
        <f t="shared" si="139"/>
        <v>50%</v>
      </c>
      <c r="Q2218" s="12">
        <f t="shared" si="136"/>
        <v>0.5</v>
      </c>
      <c r="R2218" s="9">
        <f t="shared" si="137"/>
        <v>949.5</v>
      </c>
      <c r="S2218" s="9">
        <f>IF(R2218="",AVERAGEIF(Table1[Category],Table1[[#This Row],[Category]],Table2[orignal data]),Table2[[#This Row],[orignal data]])</f>
        <v>949.5</v>
      </c>
      <c r="T2218" t="str">
        <f t="shared" si="138"/>
        <v>UNIQUE</v>
      </c>
      <c r="U2218" t="str">
        <f>IF(ISBLANK(Table1[[#This Row],[SizeOption]]),"NOT AVAILABLE",Table1[[#This Row],[SizeOption]])</f>
        <v>S, M, L, XL</v>
      </c>
      <c r="Y2218" t="str">
        <f>IF(Table2[[#This Row],[Column1]]&gt;50%,"HIGH DISCOUNT","LOW DISCOUNT")</f>
        <v>LOW DISCOUNT</v>
      </c>
    </row>
    <row r="2219" spans="1:25" x14ac:dyDescent="0.25">
      <c r="A2219" s="2" t="s">
        <v>4730</v>
      </c>
      <c r="B2219" s="2">
        <v>11305028</v>
      </c>
      <c r="C2219" s="2" t="s">
        <v>4731</v>
      </c>
      <c r="D2219" s="2" t="s">
        <v>41</v>
      </c>
      <c r="E2219" s="2" t="s">
        <v>29</v>
      </c>
      <c r="F2219" s="2" t="s">
        <v>36</v>
      </c>
      <c r="G2219" s="2" t="s">
        <v>4732</v>
      </c>
      <c r="I2219" s="2">
        <v>1499</v>
      </c>
      <c r="J2219" s="2" t="s">
        <v>130</v>
      </c>
      <c r="K2219" s="2" t="s">
        <v>39</v>
      </c>
      <c r="L2219" s="2">
        <v>4.2</v>
      </c>
      <c r="M2219" s="2">
        <v>674</v>
      </c>
      <c r="P2219" t="str">
        <f t="shared" si="139"/>
        <v>57%</v>
      </c>
      <c r="Q2219" s="12">
        <f t="shared" si="136"/>
        <v>0.56999999999999995</v>
      </c>
      <c r="R2219" s="9">
        <f t="shared" si="137"/>
        <v>644.57000000000005</v>
      </c>
      <c r="S2219" s="9">
        <f>IF(R2219="",AVERAGEIF(Table1[Category],Table1[[#This Row],[Category]],Table2[orignal data]),Table2[[#This Row],[orignal data]])</f>
        <v>644.57000000000005</v>
      </c>
      <c r="T2219" t="str">
        <f t="shared" si="138"/>
        <v>UNIQUE</v>
      </c>
      <c r="U2219" t="str">
        <f>IF(ISBLANK(Table1[[#This Row],[SizeOption]]),"NOT AVAILABLE",Table1[[#This Row],[SizeOption]])</f>
        <v>S, M, L, XL, XXL</v>
      </c>
      <c r="Y2219" t="str">
        <f>IF(Table2[[#This Row],[Column1]]&gt;50%,"HIGH DISCOUNT","LOW DISCOUNT")</f>
        <v>HIGH DISCOUNT</v>
      </c>
    </row>
    <row r="2220" spans="1:25" x14ac:dyDescent="0.25">
      <c r="A2220" s="1" t="s">
        <v>4733</v>
      </c>
      <c r="B2220" s="1">
        <v>8788113</v>
      </c>
      <c r="C2220" s="1" t="s">
        <v>14</v>
      </c>
      <c r="D2220" s="1" t="s">
        <v>15</v>
      </c>
      <c r="E2220" s="1" t="s">
        <v>16</v>
      </c>
      <c r="F2220" s="1" t="s">
        <v>17</v>
      </c>
      <c r="G2220" s="1" t="s">
        <v>4734</v>
      </c>
      <c r="I2220" s="1">
        <v>1999</v>
      </c>
      <c r="J2220" s="1"/>
      <c r="K2220" s="1" t="s">
        <v>20</v>
      </c>
      <c r="L2220" s="1">
        <v>3.5</v>
      </c>
      <c r="M2220" s="1">
        <v>673</v>
      </c>
      <c r="P2220" t="str">
        <f t="shared" si="139"/>
        <v/>
      </c>
      <c r="Q2220" s="12" t="str">
        <f t="shared" si="136"/>
        <v/>
      </c>
      <c r="R2220" s="9" t="str">
        <f t="shared" si="137"/>
        <v/>
      </c>
      <c r="S2220" s="9">
        <f>IF(R2220="",AVERAGEIF(Table1[Category],Table1[[#This Row],[Category]],Table2[orignal data]),Table2[[#This Row],[orignal data]])</f>
        <v>892.27590339892538</v>
      </c>
      <c r="T2220" t="str">
        <f t="shared" si="138"/>
        <v>UNIQUE</v>
      </c>
      <c r="U2220" t="str">
        <f>IF(ISBLANK(Table1[[#This Row],[SizeOption]]),"NOT AVAILABLE",Table1[[#This Row],[SizeOption]])</f>
        <v>28, 30, 32, 34, 36</v>
      </c>
      <c r="Y2220" t="str">
        <f>IF(Table2[[#This Row],[Column1]]&gt;50%,"HIGH DISCOUNT","LOW DISCOUNT")</f>
        <v>HIGH DISCOUNT</v>
      </c>
    </row>
    <row r="2221" spans="1:25" x14ac:dyDescent="0.25">
      <c r="A2221" s="2" t="s">
        <v>4735</v>
      </c>
      <c r="B2221" s="2">
        <v>18028728</v>
      </c>
      <c r="C2221" s="2" t="s">
        <v>295</v>
      </c>
      <c r="D2221" s="2" t="s">
        <v>197</v>
      </c>
      <c r="E2221" s="2" t="s">
        <v>939</v>
      </c>
      <c r="F2221" s="2" t="s">
        <v>17</v>
      </c>
      <c r="G2221" s="2" t="s">
        <v>4736</v>
      </c>
      <c r="I2221" s="2">
        <v>1098</v>
      </c>
      <c r="J2221" s="2"/>
      <c r="K2221" s="2" t="s">
        <v>26</v>
      </c>
      <c r="L2221" s="2">
        <v>4.4000000000000004</v>
      </c>
      <c r="M2221" s="2">
        <v>673</v>
      </c>
      <c r="P2221" t="str">
        <f t="shared" si="139"/>
        <v/>
      </c>
      <c r="Q2221" s="12" t="str">
        <f t="shared" si="136"/>
        <v/>
      </c>
      <c r="R2221" s="9" t="str">
        <f t="shared" si="137"/>
        <v/>
      </c>
      <c r="S2221" s="9">
        <f>IF(R2221="",AVERAGEIF(Table1[Category],Table1[[#This Row],[Category]],Table2[orignal data]),Table2[[#This Row],[orignal data]])</f>
        <v>552.70900000000006</v>
      </c>
      <c r="T2221" t="str">
        <f t="shared" si="138"/>
        <v>UNIQUE</v>
      </c>
      <c r="U2221" t="str">
        <f>IF(ISBLANK(Table1[[#This Row],[SizeOption]]),"NOT AVAILABLE",Table1[[#This Row],[SizeOption]])</f>
        <v>S, M, L, XL</v>
      </c>
      <c r="Y2221" t="str">
        <f>IF(Table2[[#This Row],[Column1]]&gt;50%,"HIGH DISCOUNT","LOW DISCOUNT")</f>
        <v>HIGH DISCOUNT</v>
      </c>
    </row>
    <row r="2222" spans="1:25" x14ac:dyDescent="0.25">
      <c r="A2222" s="1" t="s">
        <v>4737</v>
      </c>
      <c r="B2222" s="1">
        <v>14014770</v>
      </c>
      <c r="C2222" s="1" t="s">
        <v>52</v>
      </c>
      <c r="D2222" s="1" t="s">
        <v>28</v>
      </c>
      <c r="E2222" s="1" t="s">
        <v>29</v>
      </c>
      <c r="F2222" s="1" t="s">
        <v>17</v>
      </c>
      <c r="G2222" s="1" t="s">
        <v>4738</v>
      </c>
      <c r="H2222">
        <v>599</v>
      </c>
      <c r="I2222" s="1">
        <v>1249</v>
      </c>
      <c r="J2222" s="1" t="s">
        <v>208</v>
      </c>
      <c r="K2222" s="1" t="s">
        <v>90</v>
      </c>
      <c r="L2222" s="1">
        <v>4</v>
      </c>
      <c r="M2222" s="1">
        <v>673</v>
      </c>
      <c r="P2222" t="str">
        <f t="shared" si="139"/>
        <v>52%</v>
      </c>
      <c r="Q2222" s="12">
        <f t="shared" si="136"/>
        <v>0.52</v>
      </c>
      <c r="R2222" s="9">
        <f t="shared" si="137"/>
        <v>599.52</v>
      </c>
      <c r="S2222" s="9">
        <f>IF(R2222="",AVERAGEIF(Table1[Category],Table1[[#This Row],[Category]],Table2[orignal data]),Table2[[#This Row],[orignal data]])</f>
        <v>599.52</v>
      </c>
      <c r="T2222" t="str">
        <f t="shared" si="138"/>
        <v>UNIQUE</v>
      </c>
      <c r="U2222" t="str">
        <f>IF(ISBLANK(Table1[[#This Row],[SizeOption]]),"NOT AVAILABLE",Table1[[#This Row],[SizeOption]])</f>
        <v>39, 40, 42, 44</v>
      </c>
      <c r="Y2222" t="str">
        <f>IF(Table2[[#This Row],[Column1]]&gt;50%,"HIGH DISCOUNT","LOW DISCOUNT")</f>
        <v>HIGH DISCOUNT</v>
      </c>
    </row>
    <row r="2223" spans="1:25" x14ac:dyDescent="0.25">
      <c r="A2223" s="2" t="s">
        <v>4739</v>
      </c>
      <c r="B2223" s="2">
        <v>11327224</v>
      </c>
      <c r="C2223" s="2" t="s">
        <v>14</v>
      </c>
      <c r="D2223" s="2" t="s">
        <v>28</v>
      </c>
      <c r="E2223" s="2" t="s">
        <v>29</v>
      </c>
      <c r="F2223" s="2" t="s">
        <v>17</v>
      </c>
      <c r="G2223" s="2" t="s">
        <v>4740</v>
      </c>
      <c r="H2223">
        <v>649</v>
      </c>
      <c r="I2223" s="2">
        <v>1299</v>
      </c>
      <c r="J2223" s="2" t="s">
        <v>84</v>
      </c>
      <c r="K2223" s="2" t="s">
        <v>253</v>
      </c>
      <c r="L2223" s="2">
        <v>4.4000000000000004</v>
      </c>
      <c r="M2223" s="2">
        <v>673</v>
      </c>
      <c r="P2223" t="str">
        <f t="shared" si="139"/>
        <v>50%</v>
      </c>
      <c r="Q2223" s="12">
        <f t="shared" si="136"/>
        <v>0.5</v>
      </c>
      <c r="R2223" s="9">
        <f t="shared" si="137"/>
        <v>649.5</v>
      </c>
      <c r="S2223" s="9">
        <f>IF(R2223="",AVERAGEIF(Table1[Category],Table1[[#This Row],[Category]],Table2[orignal data]),Table2[[#This Row],[orignal data]])</f>
        <v>649.5</v>
      </c>
      <c r="T2223" t="str">
        <f t="shared" si="138"/>
        <v>UNIQUE</v>
      </c>
      <c r="U2223" t="str">
        <f>IF(ISBLANK(Table1[[#This Row],[SizeOption]]),"NOT AVAILABLE",Table1[[#This Row],[SizeOption]])</f>
        <v>38, 40, 42, 44</v>
      </c>
      <c r="Y2223" t="str">
        <f>IF(Table2[[#This Row],[Column1]]&gt;50%,"HIGH DISCOUNT","LOW DISCOUNT")</f>
        <v>LOW DISCOUNT</v>
      </c>
    </row>
    <row r="2224" spans="1:25" x14ac:dyDescent="0.25">
      <c r="A2224" s="1" t="s">
        <v>4741</v>
      </c>
      <c r="B2224" s="1">
        <v>1675355</v>
      </c>
      <c r="C2224" s="1" t="s">
        <v>52</v>
      </c>
      <c r="D2224" s="1" t="s">
        <v>28</v>
      </c>
      <c r="E2224" s="1" t="s">
        <v>29</v>
      </c>
      <c r="F2224" s="1" t="s">
        <v>17</v>
      </c>
      <c r="G2224" s="1" t="s">
        <v>4742</v>
      </c>
      <c r="H2224">
        <v>469</v>
      </c>
      <c r="I2224" s="1">
        <v>999</v>
      </c>
      <c r="J2224" s="1" t="s">
        <v>89</v>
      </c>
      <c r="K2224" s="1" t="s">
        <v>90</v>
      </c>
      <c r="L2224" s="1">
        <v>4.2</v>
      </c>
      <c r="M2224" s="1">
        <v>673</v>
      </c>
      <c r="P2224" t="str">
        <f t="shared" si="139"/>
        <v>53%</v>
      </c>
      <c r="Q2224" s="12">
        <f t="shared" si="136"/>
        <v>0.53</v>
      </c>
      <c r="R2224" s="9">
        <f t="shared" si="137"/>
        <v>469.53</v>
      </c>
      <c r="S2224" s="9">
        <f>IF(R2224="",AVERAGEIF(Table1[Category],Table1[[#This Row],[Category]],Table2[orignal data]),Table2[[#This Row],[orignal data]])</f>
        <v>469.53</v>
      </c>
      <c r="T2224" t="str">
        <f t="shared" si="138"/>
        <v>UNIQUE</v>
      </c>
      <c r="U2224" t="str">
        <f>IF(ISBLANK(Table1[[#This Row],[SizeOption]]),"NOT AVAILABLE",Table1[[#This Row],[SizeOption]])</f>
        <v>39, 40, 42, 44</v>
      </c>
      <c r="Y2224" t="str">
        <f>IF(Table2[[#This Row],[Column1]]&gt;50%,"HIGH DISCOUNT","LOW DISCOUNT")</f>
        <v>HIGH DISCOUNT</v>
      </c>
    </row>
    <row r="2225" spans="1:25" x14ac:dyDescent="0.25">
      <c r="A2225" s="2" t="s">
        <v>4743</v>
      </c>
      <c r="B2225" s="2">
        <v>2105727</v>
      </c>
      <c r="C2225" s="2" t="s">
        <v>1179</v>
      </c>
      <c r="D2225" s="2" t="s">
        <v>76</v>
      </c>
      <c r="E2225" s="2" t="s">
        <v>93</v>
      </c>
      <c r="F2225" s="2" t="s">
        <v>36</v>
      </c>
      <c r="G2225" s="2" t="s">
        <v>4744</v>
      </c>
      <c r="H2225">
        <v>1768</v>
      </c>
      <c r="I2225" s="2">
        <v>4019</v>
      </c>
      <c r="J2225" s="2" t="s">
        <v>1204</v>
      </c>
      <c r="K2225" s="2" t="s">
        <v>39</v>
      </c>
      <c r="L2225" s="2">
        <v>3.5</v>
      </c>
      <c r="M2225" s="2">
        <v>673</v>
      </c>
      <c r="P2225" t="str">
        <f t="shared" si="139"/>
        <v>56%</v>
      </c>
      <c r="Q2225" s="12">
        <f t="shared" si="136"/>
        <v>0.56000000000000005</v>
      </c>
      <c r="R2225" s="9">
        <f t="shared" si="137"/>
        <v>1768.3599999999997</v>
      </c>
      <c r="S2225" s="9">
        <f>IF(R2225="",AVERAGEIF(Table1[Category],Table1[[#This Row],[Category]],Table2[orignal data]),Table2[[#This Row],[orignal data]])</f>
        <v>1768.3599999999997</v>
      </c>
      <c r="T2225" t="str">
        <f t="shared" si="138"/>
        <v>UNIQUE</v>
      </c>
      <c r="U2225" t="str">
        <f>IF(ISBLANK(Table1[[#This Row],[SizeOption]]),"NOT AVAILABLE",Table1[[#This Row],[SizeOption]])</f>
        <v>S, M, L, XL, XXL</v>
      </c>
      <c r="Y2225" t="str">
        <f>IF(Table2[[#This Row],[Column1]]&gt;50%,"HIGH DISCOUNT","LOW DISCOUNT")</f>
        <v>HIGH DISCOUNT</v>
      </c>
    </row>
    <row r="2226" spans="1:25" x14ac:dyDescent="0.25">
      <c r="A2226" s="1" t="s">
        <v>4745</v>
      </c>
      <c r="B2226" s="1">
        <v>12135386</v>
      </c>
      <c r="C2226" s="1" t="s">
        <v>113</v>
      </c>
      <c r="D2226" s="1" t="s">
        <v>76</v>
      </c>
      <c r="E2226" s="1" t="s">
        <v>48</v>
      </c>
      <c r="F2226" s="1" t="s">
        <v>36</v>
      </c>
      <c r="G2226" s="1" t="s">
        <v>4746</v>
      </c>
      <c r="H2226">
        <v>449</v>
      </c>
      <c r="I2226" s="1">
        <v>899</v>
      </c>
      <c r="J2226" s="1" t="s">
        <v>84</v>
      </c>
      <c r="K2226" s="1" t="s">
        <v>115</v>
      </c>
      <c r="L2226" s="1">
        <v>4.2</v>
      </c>
      <c r="M2226" s="1">
        <v>673</v>
      </c>
      <c r="P2226" t="str">
        <f t="shared" si="139"/>
        <v>50%</v>
      </c>
      <c r="Q2226" s="12">
        <f t="shared" si="136"/>
        <v>0.5</v>
      </c>
      <c r="R2226" s="9">
        <f t="shared" si="137"/>
        <v>449.5</v>
      </c>
      <c r="S2226" s="9">
        <f>IF(R2226="",AVERAGEIF(Table1[Category],Table1[[#This Row],[Category]],Table2[orignal data]),Table2[[#This Row],[orignal data]])</f>
        <v>449.5</v>
      </c>
      <c r="T2226" t="str">
        <f t="shared" si="138"/>
        <v>UNIQUE</v>
      </c>
      <c r="U2226" t="str">
        <f>IF(ISBLANK(Table1[[#This Row],[SizeOption]]),"NOT AVAILABLE",Table1[[#This Row],[SizeOption]])</f>
        <v>XS, S, M, L, XL, XXL</v>
      </c>
      <c r="Y2226" t="str">
        <f>IF(Table2[[#This Row],[Column1]]&gt;50%,"HIGH DISCOUNT","LOW DISCOUNT")</f>
        <v>LOW DISCOUNT</v>
      </c>
    </row>
    <row r="2227" spans="1:25" x14ac:dyDescent="0.25">
      <c r="A2227" s="2" t="s">
        <v>4747</v>
      </c>
      <c r="B2227" s="2">
        <v>11118614</v>
      </c>
      <c r="C2227" s="2" t="s">
        <v>14</v>
      </c>
      <c r="D2227" s="2" t="s">
        <v>41</v>
      </c>
      <c r="E2227" s="2" t="s">
        <v>16</v>
      </c>
      <c r="F2227" s="2" t="s">
        <v>36</v>
      </c>
      <c r="G2227" s="2" t="s">
        <v>269</v>
      </c>
      <c r="I2227" s="2">
        <v>2199</v>
      </c>
      <c r="J2227" s="2" t="s">
        <v>84</v>
      </c>
      <c r="K2227" s="2" t="s">
        <v>134</v>
      </c>
      <c r="L2227" s="2">
        <v>4.0999999999999996</v>
      </c>
      <c r="M2227" s="2">
        <v>673</v>
      </c>
      <c r="P2227" t="str">
        <f t="shared" si="139"/>
        <v>50%</v>
      </c>
      <c r="Q2227" s="12">
        <f t="shared" si="136"/>
        <v>0.5</v>
      </c>
      <c r="R2227" s="9">
        <f t="shared" si="137"/>
        <v>1099.5</v>
      </c>
      <c r="S2227" s="9">
        <f>IF(R2227="",AVERAGEIF(Table1[Category],Table1[[#This Row],[Category]],Table2[orignal data]),Table2[[#This Row],[orignal data]])</f>
        <v>1099.5</v>
      </c>
      <c r="T2227" t="str">
        <f t="shared" si="138"/>
        <v>UNIQUE</v>
      </c>
      <c r="U2227" t="str">
        <f>IF(ISBLANK(Table1[[#This Row],[SizeOption]]),"NOT AVAILABLE",Table1[[#This Row],[SizeOption]])</f>
        <v>26, 28, 30, 32, 34, 36</v>
      </c>
      <c r="Y2227" t="str">
        <f>IF(Table2[[#This Row],[Column1]]&gt;50%,"HIGH DISCOUNT","LOW DISCOUNT")</f>
        <v>LOW DISCOUNT</v>
      </c>
    </row>
    <row r="2228" spans="1:25" x14ac:dyDescent="0.25">
      <c r="A2228" s="1" t="s">
        <v>4748</v>
      </c>
      <c r="B2228" s="1">
        <v>9017989</v>
      </c>
      <c r="C2228" s="1" t="s">
        <v>14</v>
      </c>
      <c r="D2228" s="1" t="s">
        <v>41</v>
      </c>
      <c r="E2228" s="1" t="s">
        <v>16</v>
      </c>
      <c r="F2228" s="1" t="s">
        <v>36</v>
      </c>
      <c r="G2228" s="1" t="s">
        <v>4749</v>
      </c>
      <c r="I2228" s="1">
        <v>2499</v>
      </c>
      <c r="J2228" s="1" t="s">
        <v>109</v>
      </c>
      <c r="K2228" s="1" t="s">
        <v>134</v>
      </c>
      <c r="L2228" s="1">
        <v>4.0999999999999996</v>
      </c>
      <c r="M2228" s="1">
        <v>673</v>
      </c>
      <c r="P2228" t="str">
        <f t="shared" si="139"/>
        <v>75%</v>
      </c>
      <c r="Q2228" s="12">
        <f t="shared" si="136"/>
        <v>0.75</v>
      </c>
      <c r="R2228" s="9">
        <f t="shared" si="137"/>
        <v>624.75</v>
      </c>
      <c r="S2228" s="9">
        <f>IF(R2228="",AVERAGEIF(Table1[Category],Table1[[#This Row],[Category]],Table2[orignal data]),Table2[[#This Row],[orignal data]])</f>
        <v>624.75</v>
      </c>
      <c r="T2228" t="str">
        <f t="shared" si="138"/>
        <v>UNIQUE</v>
      </c>
      <c r="U2228" t="str">
        <f>IF(ISBLANK(Table1[[#This Row],[SizeOption]]),"NOT AVAILABLE",Table1[[#This Row],[SizeOption]])</f>
        <v>26, 28, 30, 32, 34, 36</v>
      </c>
      <c r="Y2228" t="str">
        <f>IF(Table2[[#This Row],[Column1]]&gt;50%,"HIGH DISCOUNT","LOW DISCOUNT")</f>
        <v>HIGH DISCOUNT</v>
      </c>
    </row>
    <row r="2229" spans="1:25" x14ac:dyDescent="0.25">
      <c r="A2229" s="2" t="s">
        <v>4750</v>
      </c>
      <c r="B2229" s="2">
        <v>11893630</v>
      </c>
      <c r="C2229" s="2" t="s">
        <v>14</v>
      </c>
      <c r="D2229" s="2" t="s">
        <v>41</v>
      </c>
      <c r="E2229" s="2" t="s">
        <v>42</v>
      </c>
      <c r="F2229" s="2" t="s">
        <v>36</v>
      </c>
      <c r="G2229" s="2" t="s">
        <v>4751</v>
      </c>
      <c r="I2229" s="2">
        <v>599</v>
      </c>
      <c r="J2229" s="2" t="s">
        <v>44</v>
      </c>
      <c r="K2229" s="2" t="s">
        <v>45</v>
      </c>
      <c r="L2229" s="2">
        <v>4.2</v>
      </c>
      <c r="M2229" s="2">
        <v>673</v>
      </c>
      <c r="P2229" t="str">
        <f t="shared" si="139"/>
        <v>35%</v>
      </c>
      <c r="Q2229" s="12">
        <f t="shared" si="136"/>
        <v>0.35</v>
      </c>
      <c r="R2229" s="9">
        <f t="shared" si="137"/>
        <v>389.35</v>
      </c>
      <c r="S2229" s="9">
        <f>IF(R2229="",AVERAGEIF(Table1[Category],Table1[[#This Row],[Category]],Table2[orignal data]),Table2[[#This Row],[orignal data]])</f>
        <v>389.35</v>
      </c>
      <c r="T2229" t="str">
        <f t="shared" si="138"/>
        <v>UNIQUE</v>
      </c>
      <c r="U2229" t="str">
        <f>IF(ISBLANK(Table1[[#This Row],[SizeOption]]),"NOT AVAILABLE",Table1[[#This Row],[SizeOption]])</f>
        <v>XS, S, M, L, XL</v>
      </c>
      <c r="Y2229" t="str">
        <f>IF(Table2[[#This Row],[Column1]]&gt;50%,"HIGH DISCOUNT","LOW DISCOUNT")</f>
        <v>LOW DISCOUNT</v>
      </c>
    </row>
    <row r="2230" spans="1:25" x14ac:dyDescent="0.25">
      <c r="A2230" s="1" t="s">
        <v>4752</v>
      </c>
      <c r="B2230" s="1">
        <v>14852230</v>
      </c>
      <c r="C2230" s="1" t="s">
        <v>295</v>
      </c>
      <c r="D2230" s="1" t="s">
        <v>15</v>
      </c>
      <c r="E2230" s="1" t="s">
        <v>16</v>
      </c>
      <c r="F2230" s="1" t="s">
        <v>17</v>
      </c>
      <c r="G2230" s="1" t="s">
        <v>2663</v>
      </c>
      <c r="H2230">
        <v>2144</v>
      </c>
      <c r="I2230" s="1">
        <v>3299</v>
      </c>
      <c r="J2230" s="1" t="s">
        <v>44</v>
      </c>
      <c r="K2230" s="1" t="s">
        <v>195</v>
      </c>
      <c r="L2230" s="1">
        <v>4.4000000000000004</v>
      </c>
      <c r="M2230" s="1">
        <v>672</v>
      </c>
      <c r="P2230" t="str">
        <f t="shared" si="139"/>
        <v>35%</v>
      </c>
      <c r="Q2230" s="12">
        <f t="shared" si="136"/>
        <v>0.35</v>
      </c>
      <c r="R2230" s="9">
        <f t="shared" si="137"/>
        <v>2144.3500000000004</v>
      </c>
      <c r="S2230" s="9">
        <f>IF(R2230="",AVERAGEIF(Table1[Category],Table1[[#This Row],[Category]],Table2[orignal data]),Table2[[#This Row],[orignal data]])</f>
        <v>2144.3500000000004</v>
      </c>
      <c r="T2230" t="str">
        <f t="shared" si="138"/>
        <v>UNIQUE</v>
      </c>
      <c r="U2230" t="str">
        <f>IF(ISBLANK(Table1[[#This Row],[SizeOption]]),"NOT AVAILABLE",Table1[[#This Row],[SizeOption]])</f>
        <v>28, 30, 32, 34, 36, 38, 40</v>
      </c>
      <c r="Y2230" t="str">
        <f>IF(Table2[[#This Row],[Column1]]&gt;50%,"HIGH DISCOUNT","LOW DISCOUNT")</f>
        <v>LOW DISCOUNT</v>
      </c>
    </row>
    <row r="2231" spans="1:25" x14ac:dyDescent="0.25">
      <c r="A2231" s="2" t="s">
        <v>4753</v>
      </c>
      <c r="B2231" s="2">
        <v>14636550</v>
      </c>
      <c r="C2231" s="2" t="s">
        <v>1375</v>
      </c>
      <c r="D2231" s="2" t="s">
        <v>76</v>
      </c>
      <c r="E2231" s="2" t="s">
        <v>320</v>
      </c>
      <c r="F2231" s="2" t="s">
        <v>36</v>
      </c>
      <c r="G2231" s="2" t="s">
        <v>4754</v>
      </c>
      <c r="H2231">
        <v>1295</v>
      </c>
      <c r="I2231" s="2">
        <v>4799</v>
      </c>
      <c r="J2231" s="2" t="s">
        <v>735</v>
      </c>
      <c r="K2231" s="2" t="s">
        <v>164</v>
      </c>
      <c r="L2231" s="2">
        <v>3.7</v>
      </c>
      <c r="M2231" s="2">
        <v>672</v>
      </c>
      <c r="P2231" t="str">
        <f t="shared" si="139"/>
        <v>73%</v>
      </c>
      <c r="Q2231" s="12">
        <f t="shared" si="136"/>
        <v>0.73</v>
      </c>
      <c r="R2231" s="9">
        <f t="shared" si="137"/>
        <v>1295.73</v>
      </c>
      <c r="S2231" s="9">
        <f>IF(R2231="",AVERAGEIF(Table1[Category],Table1[[#This Row],[Category]],Table2[orignal data]),Table2[[#This Row],[orignal data]])</f>
        <v>1295.73</v>
      </c>
      <c r="T2231" t="str">
        <f t="shared" si="138"/>
        <v>UNIQUE</v>
      </c>
      <c r="U2231" t="str">
        <f>IF(ISBLANK(Table1[[#This Row],[SizeOption]]),"NOT AVAILABLE",Table1[[#This Row],[SizeOption]])</f>
        <v>Onesize</v>
      </c>
      <c r="Y2231" t="str">
        <f>IF(Table2[[#This Row],[Column1]]&gt;50%,"HIGH DISCOUNT","LOW DISCOUNT")</f>
        <v>HIGH DISCOUNT</v>
      </c>
    </row>
    <row r="2232" spans="1:25" x14ac:dyDescent="0.25">
      <c r="A2232" s="1" t="s">
        <v>4755</v>
      </c>
      <c r="B2232" s="1">
        <v>10562422</v>
      </c>
      <c r="C2232" s="1" t="s">
        <v>14</v>
      </c>
      <c r="D2232" s="1" t="s">
        <v>41</v>
      </c>
      <c r="E2232" s="1" t="s">
        <v>189</v>
      </c>
      <c r="F2232" s="1" t="s">
        <v>36</v>
      </c>
      <c r="G2232" s="1" t="s">
        <v>4756</v>
      </c>
      <c r="I2232" s="1">
        <v>2699</v>
      </c>
      <c r="J2232" s="1" t="s">
        <v>79</v>
      </c>
      <c r="K2232" s="1" t="s">
        <v>45</v>
      </c>
      <c r="L2232" s="1">
        <v>4.2</v>
      </c>
      <c r="M2232" s="1">
        <v>672</v>
      </c>
      <c r="P2232" t="str">
        <f t="shared" si="139"/>
        <v>70%</v>
      </c>
      <c r="Q2232" s="12">
        <f t="shared" si="136"/>
        <v>0.7</v>
      </c>
      <c r="R2232" s="9">
        <f t="shared" si="137"/>
        <v>809.7</v>
      </c>
      <c r="S2232" s="9">
        <f>IF(R2232="",AVERAGEIF(Table1[Category],Table1[[#This Row],[Category]],Table2[orignal data]),Table2[[#This Row],[orignal data]])</f>
        <v>809.7</v>
      </c>
      <c r="T2232" t="str">
        <f t="shared" si="138"/>
        <v>UNIQUE</v>
      </c>
      <c r="U2232" t="str">
        <f>IF(ISBLANK(Table1[[#This Row],[SizeOption]]),"NOT AVAILABLE",Table1[[#This Row],[SizeOption]])</f>
        <v>XS, S, M, L, XL</v>
      </c>
      <c r="Y2232" t="str">
        <f>IF(Table2[[#This Row],[Column1]]&gt;50%,"HIGH DISCOUNT","LOW DISCOUNT")</f>
        <v>HIGH DISCOUNT</v>
      </c>
    </row>
    <row r="2233" spans="1:25" x14ac:dyDescent="0.25">
      <c r="A2233" s="2" t="s">
        <v>4757</v>
      </c>
      <c r="B2233" s="2">
        <v>11893880</v>
      </c>
      <c r="C2233" s="2" t="s">
        <v>14</v>
      </c>
      <c r="D2233" s="2" t="s">
        <v>41</v>
      </c>
      <c r="E2233" s="2" t="s">
        <v>42</v>
      </c>
      <c r="F2233" s="2" t="s">
        <v>36</v>
      </c>
      <c r="G2233" s="2" t="s">
        <v>4758</v>
      </c>
      <c r="I2233" s="2">
        <v>799</v>
      </c>
      <c r="J2233" s="2" t="s">
        <v>55</v>
      </c>
      <c r="K2233" s="2" t="s">
        <v>45</v>
      </c>
      <c r="L2233" s="2">
        <v>4.2</v>
      </c>
      <c r="M2233" s="2">
        <v>672</v>
      </c>
      <c r="P2233" t="str">
        <f t="shared" si="139"/>
        <v>60%</v>
      </c>
      <c r="Q2233" s="12">
        <f t="shared" si="136"/>
        <v>0.6</v>
      </c>
      <c r="R2233" s="9">
        <f t="shared" si="137"/>
        <v>319.60000000000002</v>
      </c>
      <c r="S2233" s="9">
        <f>IF(R2233="",AVERAGEIF(Table1[Category],Table1[[#This Row],[Category]],Table2[orignal data]),Table2[[#This Row],[orignal data]])</f>
        <v>319.60000000000002</v>
      </c>
      <c r="T2233" t="str">
        <f t="shared" si="138"/>
        <v>UNIQUE</v>
      </c>
      <c r="U2233" t="str">
        <f>IF(ISBLANK(Table1[[#This Row],[SizeOption]]),"NOT AVAILABLE",Table1[[#This Row],[SizeOption]])</f>
        <v>XS, S, M, L, XL</v>
      </c>
      <c r="Y2233" t="str">
        <f>IF(Table2[[#This Row],[Column1]]&gt;50%,"HIGH DISCOUNT","LOW DISCOUNT")</f>
        <v>HIGH DISCOUNT</v>
      </c>
    </row>
    <row r="2234" spans="1:25" x14ac:dyDescent="0.25">
      <c r="A2234" s="1" t="s">
        <v>4759</v>
      </c>
      <c r="B2234" s="1">
        <v>10498614</v>
      </c>
      <c r="C2234" s="1" t="s">
        <v>67</v>
      </c>
      <c r="D2234" s="1" t="s">
        <v>68</v>
      </c>
      <c r="E2234" s="1" t="s">
        <v>3694</v>
      </c>
      <c r="F2234" s="1" t="s">
        <v>17</v>
      </c>
      <c r="G2234" s="1" t="s">
        <v>4760</v>
      </c>
      <c r="H2234">
        <v>1484</v>
      </c>
      <c r="I2234" s="1">
        <v>3299</v>
      </c>
      <c r="J2234" s="1" t="s">
        <v>25</v>
      </c>
      <c r="K2234" s="1" t="s">
        <v>39</v>
      </c>
      <c r="L2234" s="1">
        <v>3.8</v>
      </c>
      <c r="M2234" s="1">
        <v>671</v>
      </c>
      <c r="P2234" t="str">
        <f t="shared" si="139"/>
        <v>55%</v>
      </c>
      <c r="Q2234" s="12">
        <f t="shared" si="136"/>
        <v>0.55000000000000004</v>
      </c>
      <c r="R2234" s="9">
        <f t="shared" si="137"/>
        <v>1484.55</v>
      </c>
      <c r="S2234" s="9">
        <f>IF(R2234="",AVERAGEIF(Table1[Category],Table1[[#This Row],[Category]],Table2[orignal data]),Table2[[#This Row],[orignal data]])</f>
        <v>1484.55</v>
      </c>
      <c r="T2234" t="str">
        <f t="shared" si="138"/>
        <v>UNIQUE</v>
      </c>
      <c r="U2234" t="str">
        <f>IF(ISBLANK(Table1[[#This Row],[SizeOption]]),"NOT AVAILABLE",Table1[[#This Row],[SizeOption]])</f>
        <v>S, M, L, XL, XXL</v>
      </c>
      <c r="Y2234" t="str">
        <f>IF(Table2[[#This Row],[Column1]]&gt;50%,"HIGH DISCOUNT","LOW DISCOUNT")</f>
        <v>HIGH DISCOUNT</v>
      </c>
    </row>
    <row r="2235" spans="1:25" x14ac:dyDescent="0.25">
      <c r="A2235" s="2" t="s">
        <v>4761</v>
      </c>
      <c r="B2235" s="2">
        <v>4692404</v>
      </c>
      <c r="C2235" s="2" t="s">
        <v>52</v>
      </c>
      <c r="D2235" s="2" t="s">
        <v>28</v>
      </c>
      <c r="E2235" s="2" t="s">
        <v>29</v>
      </c>
      <c r="F2235" s="2" t="s">
        <v>17</v>
      </c>
      <c r="G2235" s="2" t="s">
        <v>4762</v>
      </c>
      <c r="H2235">
        <v>499</v>
      </c>
      <c r="I2235" s="2">
        <v>1249</v>
      </c>
      <c r="J2235" s="2" t="s">
        <v>55</v>
      </c>
      <c r="K2235" s="2" t="s">
        <v>90</v>
      </c>
      <c r="L2235" s="2">
        <v>4.2</v>
      </c>
      <c r="M2235" s="2">
        <v>671</v>
      </c>
      <c r="P2235" t="str">
        <f t="shared" si="139"/>
        <v>60%</v>
      </c>
      <c r="Q2235" s="12">
        <f t="shared" si="136"/>
        <v>0.6</v>
      </c>
      <c r="R2235" s="9">
        <f t="shared" si="137"/>
        <v>499.6</v>
      </c>
      <c r="S2235" s="9">
        <f>IF(R2235="",AVERAGEIF(Table1[Category],Table1[[#This Row],[Category]],Table2[orignal data]),Table2[[#This Row],[orignal data]])</f>
        <v>499.6</v>
      </c>
      <c r="T2235" t="str">
        <f t="shared" si="138"/>
        <v>UNIQUE</v>
      </c>
      <c r="U2235" t="str">
        <f>IF(ISBLANK(Table1[[#This Row],[SizeOption]]),"NOT AVAILABLE",Table1[[#This Row],[SizeOption]])</f>
        <v>39, 40, 42, 44</v>
      </c>
      <c r="Y2235" t="str">
        <f>IF(Table2[[#This Row],[Column1]]&gt;50%,"HIGH DISCOUNT","LOW DISCOUNT")</f>
        <v>HIGH DISCOUNT</v>
      </c>
    </row>
    <row r="2236" spans="1:25" x14ac:dyDescent="0.25">
      <c r="A2236" s="1" t="s">
        <v>4763</v>
      </c>
      <c r="B2236" s="1">
        <v>11896084</v>
      </c>
      <c r="C2236" s="1" t="s">
        <v>14</v>
      </c>
      <c r="D2236" s="1" t="s">
        <v>28</v>
      </c>
      <c r="E2236" s="1" t="s">
        <v>29</v>
      </c>
      <c r="F2236" s="1" t="s">
        <v>17</v>
      </c>
      <c r="G2236" s="1" t="s">
        <v>4764</v>
      </c>
      <c r="H2236">
        <v>824</v>
      </c>
      <c r="I2236" s="1">
        <v>1499</v>
      </c>
      <c r="J2236" s="1" t="s">
        <v>19</v>
      </c>
      <c r="K2236" s="1" t="s">
        <v>253</v>
      </c>
      <c r="L2236" s="1">
        <v>4</v>
      </c>
      <c r="M2236" s="1">
        <v>671</v>
      </c>
      <c r="P2236" t="str">
        <f t="shared" si="139"/>
        <v>45%</v>
      </c>
      <c r="Q2236" s="12">
        <f t="shared" si="136"/>
        <v>0.45</v>
      </c>
      <c r="R2236" s="9">
        <f t="shared" si="137"/>
        <v>824.44999999999993</v>
      </c>
      <c r="S2236" s="9">
        <f>IF(R2236="",AVERAGEIF(Table1[Category],Table1[[#This Row],[Category]],Table2[orignal data]),Table2[[#This Row],[orignal data]])</f>
        <v>824.44999999999993</v>
      </c>
      <c r="T2236" t="str">
        <f t="shared" si="138"/>
        <v>UNIQUE</v>
      </c>
      <c r="U2236" t="str">
        <f>IF(ISBLANK(Table1[[#This Row],[SizeOption]]),"NOT AVAILABLE",Table1[[#This Row],[SizeOption]])</f>
        <v>38, 40, 42, 44</v>
      </c>
      <c r="Y2236" t="str">
        <f>IF(Table2[[#This Row],[Column1]]&gt;50%,"HIGH DISCOUNT","LOW DISCOUNT")</f>
        <v>LOW DISCOUNT</v>
      </c>
    </row>
    <row r="2237" spans="1:25" x14ac:dyDescent="0.25">
      <c r="A2237" s="2" t="s">
        <v>4765</v>
      </c>
      <c r="B2237" s="2">
        <v>2388199</v>
      </c>
      <c r="C2237" s="2" t="s">
        <v>4766</v>
      </c>
      <c r="D2237" s="2" t="s">
        <v>28</v>
      </c>
      <c r="E2237" s="2" t="s">
        <v>42</v>
      </c>
      <c r="F2237" s="2" t="s">
        <v>17</v>
      </c>
      <c r="G2237" s="2" t="s">
        <v>4767</v>
      </c>
      <c r="H2237">
        <v>319</v>
      </c>
      <c r="I2237" s="2">
        <v>799</v>
      </c>
      <c r="J2237" s="2" t="s">
        <v>55</v>
      </c>
      <c r="K2237" s="2" t="s">
        <v>39</v>
      </c>
      <c r="L2237" s="2">
        <v>3.9</v>
      </c>
      <c r="M2237" s="2">
        <v>671</v>
      </c>
      <c r="P2237" t="str">
        <f t="shared" si="139"/>
        <v>60%</v>
      </c>
      <c r="Q2237" s="12">
        <f t="shared" si="136"/>
        <v>0.6</v>
      </c>
      <c r="R2237" s="9">
        <f t="shared" si="137"/>
        <v>319.60000000000002</v>
      </c>
      <c r="S2237" s="9">
        <f>IF(R2237="",AVERAGEIF(Table1[Category],Table1[[#This Row],[Category]],Table2[orignal data]),Table2[[#This Row],[orignal data]])</f>
        <v>319.60000000000002</v>
      </c>
      <c r="T2237" t="str">
        <f t="shared" si="138"/>
        <v>UNIQUE</v>
      </c>
      <c r="U2237" t="str">
        <f>IF(ISBLANK(Table1[[#This Row],[SizeOption]]),"NOT AVAILABLE",Table1[[#This Row],[SizeOption]])</f>
        <v>S, M, L, XL, XXL</v>
      </c>
      <c r="Y2237" t="str">
        <f>IF(Table2[[#This Row],[Column1]]&gt;50%,"HIGH DISCOUNT","LOW DISCOUNT")</f>
        <v>HIGH DISCOUNT</v>
      </c>
    </row>
    <row r="2238" spans="1:25" x14ac:dyDescent="0.25">
      <c r="A2238" s="1" t="s">
        <v>4768</v>
      </c>
      <c r="B2238" s="1">
        <v>9039205</v>
      </c>
      <c r="C2238" s="1" t="s">
        <v>277</v>
      </c>
      <c r="D2238" s="1" t="s">
        <v>41</v>
      </c>
      <c r="E2238" s="1" t="s">
        <v>48</v>
      </c>
      <c r="F2238" s="1" t="s">
        <v>36</v>
      </c>
      <c r="G2238" s="1" t="s">
        <v>4769</v>
      </c>
      <c r="I2238" s="1">
        <v>1399</v>
      </c>
      <c r="J2238" s="1" t="s">
        <v>95</v>
      </c>
      <c r="K2238" s="1" t="s">
        <v>26</v>
      </c>
      <c r="L2238" s="1">
        <v>3.8</v>
      </c>
      <c r="M2238" s="1">
        <v>671</v>
      </c>
      <c r="P2238" t="str">
        <f t="shared" si="139"/>
        <v>59%</v>
      </c>
      <c r="Q2238" s="12">
        <f t="shared" si="136"/>
        <v>0.59</v>
      </c>
      <c r="R2238" s="9">
        <f t="shared" si="137"/>
        <v>573.59</v>
      </c>
      <c r="S2238" s="9">
        <f>IF(R2238="",AVERAGEIF(Table1[Category],Table1[[#This Row],[Category]],Table2[orignal data]),Table2[[#This Row],[orignal data]])</f>
        <v>573.59</v>
      </c>
      <c r="T2238" t="str">
        <f t="shared" si="138"/>
        <v>UNIQUE</v>
      </c>
      <c r="U2238" t="str">
        <f>IF(ISBLANK(Table1[[#This Row],[SizeOption]]),"NOT AVAILABLE",Table1[[#This Row],[SizeOption]])</f>
        <v>S, M, L, XL</v>
      </c>
      <c r="Y2238" t="str">
        <f>IF(Table2[[#This Row],[Column1]]&gt;50%,"HIGH DISCOUNT","LOW DISCOUNT")</f>
        <v>HIGH DISCOUNT</v>
      </c>
    </row>
    <row r="2239" spans="1:25" x14ac:dyDescent="0.25">
      <c r="A2239" s="2" t="s">
        <v>4770</v>
      </c>
      <c r="B2239" s="2">
        <v>10051331</v>
      </c>
      <c r="C2239" s="2" t="s">
        <v>102</v>
      </c>
      <c r="D2239" s="2" t="s">
        <v>41</v>
      </c>
      <c r="E2239" s="2" t="s">
        <v>148</v>
      </c>
      <c r="F2239" s="2" t="s">
        <v>36</v>
      </c>
      <c r="G2239" s="2" t="s">
        <v>4771</v>
      </c>
      <c r="I2239" s="2">
        <v>1499</v>
      </c>
      <c r="J2239" s="2" t="s">
        <v>416</v>
      </c>
      <c r="K2239" s="2" t="s">
        <v>26</v>
      </c>
      <c r="L2239" s="2">
        <v>4.5</v>
      </c>
      <c r="M2239" s="2">
        <v>671</v>
      </c>
      <c r="P2239" t="str">
        <f t="shared" si="139"/>
        <v>64%</v>
      </c>
      <c r="Q2239" s="12">
        <f t="shared" si="136"/>
        <v>0.64</v>
      </c>
      <c r="R2239" s="9">
        <f t="shared" si="137"/>
        <v>539.64</v>
      </c>
      <c r="S2239" s="9">
        <f>IF(R2239="",AVERAGEIF(Table1[Category],Table1[[#This Row],[Category]],Table2[orignal data]),Table2[[#This Row],[orignal data]])</f>
        <v>539.64</v>
      </c>
      <c r="T2239" t="str">
        <f t="shared" si="138"/>
        <v>UNIQUE</v>
      </c>
      <c r="U2239" t="str">
        <f>IF(ISBLANK(Table1[[#This Row],[SizeOption]]),"NOT AVAILABLE",Table1[[#This Row],[SizeOption]])</f>
        <v>S, M, L, XL</v>
      </c>
      <c r="Y2239" t="str">
        <f>IF(Table2[[#This Row],[Column1]]&gt;50%,"HIGH DISCOUNT","LOW DISCOUNT")</f>
        <v>HIGH DISCOUNT</v>
      </c>
    </row>
    <row r="2240" spans="1:25" x14ac:dyDescent="0.25">
      <c r="A2240" s="1" t="s">
        <v>4772</v>
      </c>
      <c r="B2240" s="1">
        <v>11866192</v>
      </c>
      <c r="C2240" s="1" t="s">
        <v>181</v>
      </c>
      <c r="D2240" s="1" t="s">
        <v>41</v>
      </c>
      <c r="E2240" s="1" t="s">
        <v>148</v>
      </c>
      <c r="F2240" s="1" t="s">
        <v>36</v>
      </c>
      <c r="G2240" s="1" t="s">
        <v>4773</v>
      </c>
      <c r="I2240" s="1">
        <v>1599</v>
      </c>
      <c r="J2240" s="1" t="s">
        <v>163</v>
      </c>
      <c r="K2240" s="1" t="s">
        <v>115</v>
      </c>
      <c r="L2240" s="1">
        <v>4.2</v>
      </c>
      <c r="M2240" s="1">
        <v>671</v>
      </c>
      <c r="P2240" t="str">
        <f t="shared" si="139"/>
        <v>51%</v>
      </c>
      <c r="Q2240" s="12">
        <f t="shared" si="136"/>
        <v>0.51</v>
      </c>
      <c r="R2240" s="9">
        <f t="shared" si="137"/>
        <v>783.51</v>
      </c>
      <c r="S2240" s="9">
        <f>IF(R2240="",AVERAGEIF(Table1[Category],Table1[[#This Row],[Category]],Table2[orignal data]),Table2[[#This Row],[orignal data]])</f>
        <v>783.51</v>
      </c>
      <c r="T2240" t="str">
        <f t="shared" si="138"/>
        <v>UNIQUE</v>
      </c>
      <c r="U2240" t="str">
        <f>IF(ISBLANK(Table1[[#This Row],[SizeOption]]),"NOT AVAILABLE",Table1[[#This Row],[SizeOption]])</f>
        <v>XS, S, M, L, XL, XXL</v>
      </c>
      <c r="Y2240" t="str">
        <f>IF(Table2[[#This Row],[Column1]]&gt;50%,"HIGH DISCOUNT","LOW DISCOUNT")</f>
        <v>HIGH DISCOUNT</v>
      </c>
    </row>
    <row r="2241" spans="1:25" x14ac:dyDescent="0.25">
      <c r="A2241" s="2" t="s">
        <v>4774</v>
      </c>
      <c r="B2241" s="2">
        <v>10666988</v>
      </c>
      <c r="C2241" s="2" t="s">
        <v>700</v>
      </c>
      <c r="D2241" s="2" t="s">
        <v>41</v>
      </c>
      <c r="E2241" s="2" t="s">
        <v>16</v>
      </c>
      <c r="F2241" s="2" t="s">
        <v>36</v>
      </c>
      <c r="G2241" s="2" t="s">
        <v>4775</v>
      </c>
      <c r="I2241" s="2">
        <v>2299</v>
      </c>
      <c r="J2241" s="2" t="s">
        <v>84</v>
      </c>
      <c r="K2241" s="2" t="s">
        <v>428</v>
      </c>
      <c r="L2241" s="2">
        <v>4</v>
      </c>
      <c r="M2241" s="2">
        <v>671</v>
      </c>
      <c r="P2241" t="str">
        <f t="shared" si="139"/>
        <v>50%</v>
      </c>
      <c r="Q2241" s="12">
        <f t="shared" si="136"/>
        <v>0.5</v>
      </c>
      <c r="R2241" s="9">
        <f t="shared" si="137"/>
        <v>1149.5</v>
      </c>
      <c r="S2241" s="9">
        <f>IF(R2241="",AVERAGEIF(Table1[Category],Table1[[#This Row],[Category]],Table2[orignal data]),Table2[[#This Row],[orignal data]])</f>
        <v>1149.5</v>
      </c>
      <c r="T2241" t="str">
        <f t="shared" si="138"/>
        <v>UNIQUE</v>
      </c>
      <c r="U2241" t="str">
        <f>IF(ISBLANK(Table1[[#This Row],[SizeOption]]),"NOT AVAILABLE",Table1[[#This Row],[SizeOption]])</f>
        <v>26, 28, 30, 32, 34</v>
      </c>
      <c r="Y2241" t="str">
        <f>IF(Table2[[#This Row],[Column1]]&gt;50%,"HIGH DISCOUNT","LOW DISCOUNT")</f>
        <v>LOW DISCOUNT</v>
      </c>
    </row>
    <row r="2242" spans="1:25" x14ac:dyDescent="0.25">
      <c r="A2242" s="1" t="s">
        <v>4776</v>
      </c>
      <c r="B2242" s="1">
        <v>12193872</v>
      </c>
      <c r="C2242" s="1" t="s">
        <v>14</v>
      </c>
      <c r="D2242" s="1" t="s">
        <v>41</v>
      </c>
      <c r="E2242" s="1" t="s">
        <v>42</v>
      </c>
      <c r="F2242" s="1" t="s">
        <v>36</v>
      </c>
      <c r="G2242" s="1" t="s">
        <v>4777</v>
      </c>
      <c r="I2242" s="1">
        <v>599</v>
      </c>
      <c r="J2242" s="1" t="s">
        <v>44</v>
      </c>
      <c r="K2242" s="1" t="s">
        <v>45</v>
      </c>
      <c r="L2242" s="1">
        <v>4.3</v>
      </c>
      <c r="M2242" s="1">
        <v>671</v>
      </c>
      <c r="P2242" t="str">
        <f t="shared" si="139"/>
        <v>35%</v>
      </c>
      <c r="Q2242" s="12">
        <f t="shared" ref="Q2242:Q2305" si="140">IF(P2242="","",IF(ISNUMBER(SEARCH("%",P2242)),P2242,P2242/I2242)*100%)</f>
        <v>0.35</v>
      </c>
      <c r="R2242" s="9">
        <f t="shared" ref="R2242:R2305" si="141">IF(P2242="","",I2242-(I2242*Q2242))</f>
        <v>389.35</v>
      </c>
      <c r="S2242" s="9">
        <f>IF(R2242="",AVERAGEIF(Table1[Category],Table1[[#This Row],[Category]],Table2[orignal data]),Table2[[#This Row],[orignal data]])</f>
        <v>389.35</v>
      </c>
      <c r="T2242" t="str">
        <f t="shared" ref="T2242:T2305" si="142">IF(COUNTIF($B$2:$B$5000,B2242)&gt;1,"DUPLICATE","UNIQUE")</f>
        <v>UNIQUE</v>
      </c>
      <c r="U2242" t="str">
        <f>IF(ISBLANK(Table1[[#This Row],[SizeOption]]),"NOT AVAILABLE",Table1[[#This Row],[SizeOption]])</f>
        <v>XS, S, M, L, XL</v>
      </c>
      <c r="Y2242" t="str">
        <f>IF(Table2[[#This Row],[Column1]]&gt;50%,"HIGH DISCOUNT","LOW DISCOUNT")</f>
        <v>LOW DISCOUNT</v>
      </c>
    </row>
    <row r="2243" spans="1:25" x14ac:dyDescent="0.25">
      <c r="A2243" s="2" t="s">
        <v>4778</v>
      </c>
      <c r="B2243" s="2">
        <v>12429960</v>
      </c>
      <c r="C2243" s="2" t="s">
        <v>102</v>
      </c>
      <c r="D2243" s="2" t="s">
        <v>41</v>
      </c>
      <c r="E2243" s="2" t="s">
        <v>48</v>
      </c>
      <c r="F2243" s="2" t="s">
        <v>36</v>
      </c>
      <c r="G2243" s="2" t="s">
        <v>4779</v>
      </c>
      <c r="I2243" s="2">
        <v>849</v>
      </c>
      <c r="J2243" s="2" t="s">
        <v>95</v>
      </c>
      <c r="K2243" s="2" t="s">
        <v>26</v>
      </c>
      <c r="L2243" s="2">
        <v>3.9</v>
      </c>
      <c r="M2243" s="2">
        <v>671</v>
      </c>
      <c r="P2243" t="str">
        <f t="shared" ref="P2243:P2306" si="143">TRIM(SUBSTITUTE(SUBSTITUTE(SUBSTITUTE(SUBSTITUTE(J2243,"OFF",""),"Rs.",""),"Hurry*",""),",",""))</f>
        <v>59%</v>
      </c>
      <c r="Q2243" s="12">
        <f t="shared" si="140"/>
        <v>0.59</v>
      </c>
      <c r="R2243" s="9">
        <f t="shared" si="141"/>
        <v>348.09000000000003</v>
      </c>
      <c r="S2243" s="9">
        <f>IF(R2243="",AVERAGEIF(Table1[Category],Table1[[#This Row],[Category]],Table2[orignal data]),Table2[[#This Row],[orignal data]])</f>
        <v>348.09000000000003</v>
      </c>
      <c r="T2243" t="str">
        <f t="shared" si="142"/>
        <v>UNIQUE</v>
      </c>
      <c r="U2243" t="str">
        <f>IF(ISBLANK(Table1[[#This Row],[SizeOption]]),"NOT AVAILABLE",Table1[[#This Row],[SizeOption]])</f>
        <v>S, M, L, XL</v>
      </c>
      <c r="Y2243" t="str">
        <f>IF(Table2[[#This Row],[Column1]]&gt;50%,"HIGH DISCOUNT","LOW DISCOUNT")</f>
        <v>HIGH DISCOUNT</v>
      </c>
    </row>
    <row r="2244" spans="1:25" x14ac:dyDescent="0.25">
      <c r="A2244" s="1" t="s">
        <v>4780</v>
      </c>
      <c r="B2244" s="1">
        <v>12303752</v>
      </c>
      <c r="C2244" s="1" t="s">
        <v>14</v>
      </c>
      <c r="D2244" s="1" t="s">
        <v>15</v>
      </c>
      <c r="E2244" s="1" t="s">
        <v>16</v>
      </c>
      <c r="F2244" s="1" t="s">
        <v>17</v>
      </c>
      <c r="G2244" s="1" t="s">
        <v>2670</v>
      </c>
      <c r="I2244" s="1">
        <v>1499</v>
      </c>
      <c r="J2244" s="1"/>
      <c r="K2244" s="1" t="s">
        <v>195</v>
      </c>
      <c r="L2244" s="1">
        <v>3.9</v>
      </c>
      <c r="M2244" s="1">
        <v>670</v>
      </c>
      <c r="P2244" t="str">
        <f t="shared" si="143"/>
        <v/>
      </c>
      <c r="Q2244" s="12" t="str">
        <f t="shared" si="140"/>
        <v/>
      </c>
      <c r="R2244" s="9" t="str">
        <f t="shared" si="141"/>
        <v/>
      </c>
      <c r="S2244" s="9">
        <f>IF(R2244="",AVERAGEIF(Table1[Category],Table1[[#This Row],[Category]],Table2[orignal data]),Table2[[#This Row],[orignal data]])</f>
        <v>892.27590339892538</v>
      </c>
      <c r="T2244" t="str">
        <f t="shared" si="142"/>
        <v>UNIQUE</v>
      </c>
      <c r="U2244" t="str">
        <f>IF(ISBLANK(Table1[[#This Row],[SizeOption]]),"NOT AVAILABLE",Table1[[#This Row],[SizeOption]])</f>
        <v>28, 30, 32, 34, 36, 38, 40</v>
      </c>
      <c r="Y2244" t="str">
        <f>IF(Table2[[#This Row],[Column1]]&gt;50%,"HIGH DISCOUNT","LOW DISCOUNT")</f>
        <v>HIGH DISCOUNT</v>
      </c>
    </row>
    <row r="2245" spans="1:25" x14ac:dyDescent="0.25">
      <c r="A2245" s="2" t="s">
        <v>4781</v>
      </c>
      <c r="B2245" s="2">
        <v>14645970</v>
      </c>
      <c r="C2245" s="2" t="s">
        <v>52</v>
      </c>
      <c r="D2245" s="2" t="s">
        <v>15</v>
      </c>
      <c r="E2245" s="2" t="s">
        <v>137</v>
      </c>
      <c r="F2245" s="2" t="s">
        <v>17</v>
      </c>
      <c r="G2245" s="2" t="s">
        <v>4782</v>
      </c>
      <c r="H2245">
        <v>363</v>
      </c>
      <c r="I2245" s="2">
        <v>699</v>
      </c>
      <c r="J2245" s="2" t="s">
        <v>602</v>
      </c>
      <c r="K2245" s="2" t="s">
        <v>56</v>
      </c>
      <c r="L2245" s="2">
        <v>4.4000000000000004</v>
      </c>
      <c r="M2245" s="2">
        <v>670</v>
      </c>
      <c r="P2245" t="str">
        <f t="shared" si="143"/>
        <v>48%</v>
      </c>
      <c r="Q2245" s="12">
        <f t="shared" si="140"/>
        <v>0.48</v>
      </c>
      <c r="R2245" s="9">
        <f t="shared" si="141"/>
        <v>363.48</v>
      </c>
      <c r="S2245" s="9">
        <f>IF(R2245="",AVERAGEIF(Table1[Category],Table1[[#This Row],[Category]],Table2[orignal data]),Table2[[#This Row],[orignal data]])</f>
        <v>363.48</v>
      </c>
      <c r="T2245" t="str">
        <f t="shared" si="142"/>
        <v>UNIQUE</v>
      </c>
      <c r="U2245" t="str">
        <f>IF(ISBLANK(Table1[[#This Row],[SizeOption]]),"NOT AVAILABLE",Table1[[#This Row],[SizeOption]])</f>
        <v>30, 32, 34, 36</v>
      </c>
      <c r="Y2245" t="str">
        <f>IF(Table2[[#This Row],[Column1]]&gt;50%,"HIGH DISCOUNT","LOW DISCOUNT")</f>
        <v>LOW DISCOUNT</v>
      </c>
    </row>
    <row r="2246" spans="1:25" x14ac:dyDescent="0.25">
      <c r="A2246" s="1" t="s">
        <v>4783</v>
      </c>
      <c r="B2246" s="1">
        <v>8962453</v>
      </c>
      <c r="C2246" s="1" t="s">
        <v>14</v>
      </c>
      <c r="D2246" s="1" t="s">
        <v>15</v>
      </c>
      <c r="E2246" s="1" t="s">
        <v>16</v>
      </c>
      <c r="F2246" s="1" t="s">
        <v>17</v>
      </c>
      <c r="G2246" s="1" t="s">
        <v>918</v>
      </c>
      <c r="H2246">
        <v>594</v>
      </c>
      <c r="I2246" s="1">
        <v>1699</v>
      </c>
      <c r="J2246" s="1" t="s">
        <v>150</v>
      </c>
      <c r="K2246" s="1" t="s">
        <v>134</v>
      </c>
      <c r="L2246" s="1">
        <v>4</v>
      </c>
      <c r="M2246" s="1">
        <v>670</v>
      </c>
      <c r="P2246" t="str">
        <f t="shared" si="143"/>
        <v>65%</v>
      </c>
      <c r="Q2246" s="12">
        <f t="shared" si="140"/>
        <v>0.65</v>
      </c>
      <c r="R2246" s="9">
        <f t="shared" si="141"/>
        <v>594.64999999999986</v>
      </c>
      <c r="S2246" s="9">
        <f>IF(R2246="",AVERAGEIF(Table1[Category],Table1[[#This Row],[Category]],Table2[orignal data]),Table2[[#This Row],[orignal data]])</f>
        <v>594.64999999999986</v>
      </c>
      <c r="T2246" t="str">
        <f t="shared" si="142"/>
        <v>UNIQUE</v>
      </c>
      <c r="U2246" t="str">
        <f>IF(ISBLANK(Table1[[#This Row],[SizeOption]]),"NOT AVAILABLE",Table1[[#This Row],[SizeOption]])</f>
        <v>26, 28, 30, 32, 34, 36</v>
      </c>
      <c r="Y2246" t="str">
        <f>IF(Table2[[#This Row],[Column1]]&gt;50%,"HIGH DISCOUNT","LOW DISCOUNT")</f>
        <v>HIGH DISCOUNT</v>
      </c>
    </row>
    <row r="2247" spans="1:25" x14ac:dyDescent="0.25">
      <c r="A2247" s="2" t="s">
        <v>4784</v>
      </c>
      <c r="B2247" s="2">
        <v>12895172</v>
      </c>
      <c r="C2247" s="2" t="s">
        <v>517</v>
      </c>
      <c r="D2247" s="2" t="s">
        <v>15</v>
      </c>
      <c r="E2247" s="2" t="s">
        <v>53</v>
      </c>
      <c r="F2247" s="2" t="s">
        <v>17</v>
      </c>
      <c r="G2247" s="2" t="s">
        <v>4785</v>
      </c>
      <c r="H2247">
        <v>766</v>
      </c>
      <c r="I2247" s="2">
        <v>1299</v>
      </c>
      <c r="J2247" s="2" t="s">
        <v>1109</v>
      </c>
      <c r="K2247" s="2" t="s">
        <v>816</v>
      </c>
      <c r="L2247" s="2">
        <v>4</v>
      </c>
      <c r="M2247" s="2">
        <v>670</v>
      </c>
      <c r="P2247" t="str">
        <f t="shared" si="143"/>
        <v>41%</v>
      </c>
      <c r="Q2247" s="12">
        <f t="shared" si="140"/>
        <v>0.41</v>
      </c>
      <c r="R2247" s="9">
        <f t="shared" si="141"/>
        <v>766.41000000000008</v>
      </c>
      <c r="S2247" s="9">
        <f>IF(R2247="",AVERAGEIF(Table1[Category],Table1[[#This Row],[Category]],Table2[orignal data]),Table2[[#This Row],[orignal data]])</f>
        <v>766.41000000000008</v>
      </c>
      <c r="T2247" t="str">
        <f t="shared" si="142"/>
        <v>UNIQUE</v>
      </c>
      <c r="U2247" t="str">
        <f>IF(ISBLANK(Table1[[#This Row],[SizeOption]]),"NOT AVAILABLE",Table1[[#This Row],[SizeOption]])</f>
        <v>30, 32, 34, 36, 38</v>
      </c>
      <c r="Y2247" t="str">
        <f>IF(Table2[[#This Row],[Column1]]&gt;50%,"HIGH DISCOUNT","LOW DISCOUNT")</f>
        <v>LOW DISCOUNT</v>
      </c>
    </row>
    <row r="2248" spans="1:25" x14ac:dyDescent="0.25">
      <c r="A2248" s="1" t="s">
        <v>4786</v>
      </c>
      <c r="B2248" s="1">
        <v>11180954</v>
      </c>
      <c r="C2248" s="1" t="s">
        <v>52</v>
      </c>
      <c r="D2248" s="1" t="s">
        <v>28</v>
      </c>
      <c r="E2248" s="1" t="s">
        <v>29</v>
      </c>
      <c r="F2248" s="1" t="s">
        <v>17</v>
      </c>
      <c r="G2248" s="1" t="s">
        <v>4787</v>
      </c>
      <c r="H2248">
        <v>439</v>
      </c>
      <c r="I2248" s="1">
        <v>1099</v>
      </c>
      <c r="J2248" s="1" t="s">
        <v>55</v>
      </c>
      <c r="K2248" s="1" t="s">
        <v>90</v>
      </c>
      <c r="L2248" s="1">
        <v>4.0999999999999996</v>
      </c>
      <c r="M2248" s="1">
        <v>670</v>
      </c>
      <c r="P2248" t="str">
        <f t="shared" si="143"/>
        <v>60%</v>
      </c>
      <c r="Q2248" s="12">
        <f t="shared" si="140"/>
        <v>0.6</v>
      </c>
      <c r="R2248" s="9">
        <f t="shared" si="141"/>
        <v>439.6</v>
      </c>
      <c r="S2248" s="9">
        <f>IF(R2248="",AVERAGEIF(Table1[Category],Table1[[#This Row],[Category]],Table2[orignal data]),Table2[[#This Row],[orignal data]])</f>
        <v>439.6</v>
      </c>
      <c r="T2248" t="str">
        <f t="shared" si="142"/>
        <v>UNIQUE</v>
      </c>
      <c r="U2248" t="str">
        <f>IF(ISBLANK(Table1[[#This Row],[SizeOption]]),"NOT AVAILABLE",Table1[[#This Row],[SizeOption]])</f>
        <v>39, 40, 42, 44</v>
      </c>
      <c r="Y2248" t="str">
        <f>IF(Table2[[#This Row],[Column1]]&gt;50%,"HIGH DISCOUNT","LOW DISCOUNT")</f>
        <v>HIGH DISCOUNT</v>
      </c>
    </row>
    <row r="2249" spans="1:25" x14ac:dyDescent="0.25">
      <c r="A2249" s="2" t="s">
        <v>4788</v>
      </c>
      <c r="B2249" s="2">
        <v>1901427</v>
      </c>
      <c r="C2249" s="2" t="s">
        <v>14</v>
      </c>
      <c r="D2249" s="2" t="s">
        <v>28</v>
      </c>
      <c r="E2249" s="2" t="s">
        <v>189</v>
      </c>
      <c r="F2249" s="2" t="s">
        <v>17</v>
      </c>
      <c r="G2249" s="2" t="s">
        <v>4789</v>
      </c>
      <c r="H2249">
        <v>1119</v>
      </c>
      <c r="I2249" s="2">
        <v>2799</v>
      </c>
      <c r="J2249" s="2" t="s">
        <v>55</v>
      </c>
      <c r="K2249" s="2" t="s">
        <v>39</v>
      </c>
      <c r="L2249" s="2">
        <v>4.3</v>
      </c>
      <c r="M2249" s="2">
        <v>670</v>
      </c>
      <c r="P2249" t="str">
        <f t="shared" si="143"/>
        <v>60%</v>
      </c>
      <c r="Q2249" s="12">
        <f t="shared" si="140"/>
        <v>0.6</v>
      </c>
      <c r="R2249" s="9">
        <f t="shared" si="141"/>
        <v>1119.6000000000001</v>
      </c>
      <c r="S2249" s="9">
        <f>IF(R2249="",AVERAGEIF(Table1[Category],Table1[[#This Row],[Category]],Table2[orignal data]),Table2[[#This Row],[orignal data]])</f>
        <v>1119.6000000000001</v>
      </c>
      <c r="T2249" t="str">
        <f t="shared" si="142"/>
        <v>UNIQUE</v>
      </c>
      <c r="U2249" t="str">
        <f>IF(ISBLANK(Table1[[#This Row],[SizeOption]]),"NOT AVAILABLE",Table1[[#This Row],[SizeOption]])</f>
        <v>S, M, L, XL, XXL</v>
      </c>
      <c r="Y2249" t="str">
        <f>IF(Table2[[#This Row],[Column1]]&gt;50%,"HIGH DISCOUNT","LOW DISCOUNT")</f>
        <v>HIGH DISCOUNT</v>
      </c>
    </row>
    <row r="2250" spans="1:25" x14ac:dyDescent="0.25">
      <c r="A2250" s="1" t="s">
        <v>4790</v>
      </c>
      <c r="B2250" s="1">
        <v>8912621</v>
      </c>
      <c r="C2250" s="1" t="s">
        <v>214</v>
      </c>
      <c r="D2250" s="1" t="s">
        <v>28</v>
      </c>
      <c r="E2250" s="1" t="s">
        <v>42</v>
      </c>
      <c r="F2250" s="1" t="s">
        <v>17</v>
      </c>
      <c r="G2250" s="1" t="s">
        <v>4791</v>
      </c>
      <c r="H2250">
        <v>359</v>
      </c>
      <c r="I2250" s="1">
        <v>899</v>
      </c>
      <c r="J2250" s="1" t="s">
        <v>55</v>
      </c>
      <c r="K2250" s="1" t="s">
        <v>115</v>
      </c>
      <c r="L2250" s="1">
        <v>3.9</v>
      </c>
      <c r="M2250" s="1">
        <v>670</v>
      </c>
      <c r="P2250" t="str">
        <f t="shared" si="143"/>
        <v>60%</v>
      </c>
      <c r="Q2250" s="12">
        <f t="shared" si="140"/>
        <v>0.6</v>
      </c>
      <c r="R2250" s="9">
        <f t="shared" si="141"/>
        <v>359.6</v>
      </c>
      <c r="S2250" s="9">
        <f>IF(R2250="",AVERAGEIF(Table1[Category],Table1[[#This Row],[Category]],Table2[orignal data]),Table2[[#This Row],[orignal data]])</f>
        <v>359.6</v>
      </c>
      <c r="T2250" t="str">
        <f t="shared" si="142"/>
        <v>UNIQUE</v>
      </c>
      <c r="U2250" t="str">
        <f>IF(ISBLANK(Table1[[#This Row],[SizeOption]]),"NOT AVAILABLE",Table1[[#This Row],[SizeOption]])</f>
        <v>XS, S, M, L, XL, XXL</v>
      </c>
      <c r="Y2250" t="str">
        <f>IF(Table2[[#This Row],[Column1]]&gt;50%,"HIGH DISCOUNT","LOW DISCOUNT")</f>
        <v>HIGH DISCOUNT</v>
      </c>
    </row>
    <row r="2251" spans="1:25" x14ac:dyDescent="0.25">
      <c r="A2251" s="2" t="s">
        <v>4792</v>
      </c>
      <c r="B2251" s="2">
        <v>11582834</v>
      </c>
      <c r="C2251" s="2" t="s">
        <v>420</v>
      </c>
      <c r="D2251" s="2" t="s">
        <v>28</v>
      </c>
      <c r="E2251" s="2" t="s">
        <v>42</v>
      </c>
      <c r="F2251" s="2" t="s">
        <v>17</v>
      </c>
      <c r="G2251" s="2" t="s">
        <v>4793</v>
      </c>
      <c r="H2251">
        <v>499</v>
      </c>
      <c r="I2251" s="2">
        <v>999</v>
      </c>
      <c r="J2251" s="2" t="s">
        <v>84</v>
      </c>
      <c r="K2251" s="2" t="s">
        <v>26</v>
      </c>
      <c r="L2251" s="2">
        <v>4.0999999999999996</v>
      </c>
      <c r="M2251" s="2">
        <v>670</v>
      </c>
      <c r="P2251" t="str">
        <f t="shared" si="143"/>
        <v>50%</v>
      </c>
      <c r="Q2251" s="12">
        <f t="shared" si="140"/>
        <v>0.5</v>
      </c>
      <c r="R2251" s="9">
        <f t="shared" si="141"/>
        <v>499.5</v>
      </c>
      <c r="S2251" s="9">
        <f>IF(R2251="",AVERAGEIF(Table1[Category],Table1[[#This Row],[Category]],Table2[orignal data]),Table2[[#This Row],[orignal data]])</f>
        <v>499.5</v>
      </c>
      <c r="T2251" t="str">
        <f t="shared" si="142"/>
        <v>UNIQUE</v>
      </c>
      <c r="U2251" t="str">
        <f>IF(ISBLANK(Table1[[#This Row],[SizeOption]]),"NOT AVAILABLE",Table1[[#This Row],[SizeOption]])</f>
        <v>S, M, L, XL</v>
      </c>
      <c r="Y2251" t="str">
        <f>IF(Table2[[#This Row],[Column1]]&gt;50%,"HIGH DISCOUNT","LOW DISCOUNT")</f>
        <v>LOW DISCOUNT</v>
      </c>
    </row>
    <row r="2252" spans="1:25" x14ac:dyDescent="0.25">
      <c r="A2252" s="1" t="s">
        <v>4794</v>
      </c>
      <c r="B2252" s="1">
        <v>10237651</v>
      </c>
      <c r="C2252" s="1" t="s">
        <v>319</v>
      </c>
      <c r="D2252" s="1" t="s">
        <v>76</v>
      </c>
      <c r="E2252" s="1" t="s">
        <v>320</v>
      </c>
      <c r="F2252" s="1" t="s">
        <v>36</v>
      </c>
      <c r="G2252" s="1" t="s">
        <v>4795</v>
      </c>
      <c r="H2252">
        <v>894</v>
      </c>
      <c r="I2252" s="1">
        <v>1598</v>
      </c>
      <c r="J2252" s="1" t="s">
        <v>1340</v>
      </c>
      <c r="K2252" s="1" t="s">
        <v>164</v>
      </c>
      <c r="L2252" s="1">
        <v>4.0999999999999996</v>
      </c>
      <c r="M2252" s="1">
        <v>670</v>
      </c>
      <c r="P2252" t="str">
        <f t="shared" si="143"/>
        <v>44%</v>
      </c>
      <c r="Q2252" s="12">
        <f t="shared" si="140"/>
        <v>0.44</v>
      </c>
      <c r="R2252" s="9">
        <f t="shared" si="141"/>
        <v>894.88</v>
      </c>
      <c r="S2252" s="9">
        <f>IF(R2252="",AVERAGEIF(Table1[Category],Table1[[#This Row],[Category]],Table2[orignal data]),Table2[[#This Row],[orignal data]])</f>
        <v>894.88</v>
      </c>
      <c r="T2252" t="str">
        <f t="shared" si="142"/>
        <v>UNIQUE</v>
      </c>
      <c r="U2252" t="str">
        <f>IF(ISBLANK(Table1[[#This Row],[SizeOption]]),"NOT AVAILABLE",Table1[[#This Row],[SizeOption]])</f>
        <v>Onesize</v>
      </c>
      <c r="Y2252" t="str">
        <f>IF(Table2[[#This Row],[Column1]]&gt;50%,"HIGH DISCOUNT","LOW DISCOUNT")</f>
        <v>LOW DISCOUNT</v>
      </c>
    </row>
    <row r="2253" spans="1:25" x14ac:dyDescent="0.25">
      <c r="A2253" s="2" t="s">
        <v>4796</v>
      </c>
      <c r="B2253" s="2">
        <v>14852034</v>
      </c>
      <c r="C2253" s="2" t="s">
        <v>295</v>
      </c>
      <c r="D2253" s="2" t="s">
        <v>15</v>
      </c>
      <c r="E2253" s="2" t="s">
        <v>16</v>
      </c>
      <c r="F2253" s="2" t="s">
        <v>17</v>
      </c>
      <c r="G2253" s="2" t="s">
        <v>4797</v>
      </c>
      <c r="H2253">
        <v>2399</v>
      </c>
      <c r="I2253" s="2">
        <v>2999</v>
      </c>
      <c r="J2253" s="2" t="s">
        <v>412</v>
      </c>
      <c r="K2253" s="2" t="s">
        <v>195</v>
      </c>
      <c r="L2253" s="2">
        <v>4.2</v>
      </c>
      <c r="M2253" s="2">
        <v>669</v>
      </c>
      <c r="P2253" t="str">
        <f t="shared" si="143"/>
        <v>20%</v>
      </c>
      <c r="Q2253" s="12">
        <f t="shared" si="140"/>
        <v>0.2</v>
      </c>
      <c r="R2253" s="9">
        <f t="shared" si="141"/>
        <v>2399.1999999999998</v>
      </c>
      <c r="S2253" s="9">
        <f>IF(R2253="",AVERAGEIF(Table1[Category],Table1[[#This Row],[Category]],Table2[orignal data]),Table2[[#This Row],[orignal data]])</f>
        <v>2399.1999999999998</v>
      </c>
      <c r="T2253" t="str">
        <f t="shared" si="142"/>
        <v>UNIQUE</v>
      </c>
      <c r="U2253" t="str">
        <f>IF(ISBLANK(Table1[[#This Row],[SizeOption]]),"NOT AVAILABLE",Table1[[#This Row],[SizeOption]])</f>
        <v>28, 30, 32, 34, 36, 38, 40</v>
      </c>
      <c r="Y2253" t="str">
        <f>IF(Table2[[#This Row],[Column1]]&gt;50%,"HIGH DISCOUNT","LOW DISCOUNT")</f>
        <v>LOW DISCOUNT</v>
      </c>
    </row>
    <row r="2254" spans="1:25" x14ac:dyDescent="0.25">
      <c r="A2254" s="1" t="s">
        <v>4798</v>
      </c>
      <c r="B2254" s="1">
        <v>1813851</v>
      </c>
      <c r="C2254" s="1" t="s">
        <v>1608</v>
      </c>
      <c r="D2254" s="1" t="s">
        <v>15</v>
      </c>
      <c r="E2254" s="1" t="s">
        <v>53</v>
      </c>
      <c r="F2254" s="1" t="s">
        <v>17</v>
      </c>
      <c r="G2254" s="1" t="s">
        <v>4799</v>
      </c>
      <c r="H2254">
        <v>742</v>
      </c>
      <c r="I2254" s="1">
        <v>1649</v>
      </c>
      <c r="J2254" s="1" t="s">
        <v>25</v>
      </c>
      <c r="K2254" s="1" t="s">
        <v>56</v>
      </c>
      <c r="L2254" s="1">
        <v>3.9</v>
      </c>
      <c r="M2254" s="1">
        <v>669</v>
      </c>
      <c r="P2254" t="str">
        <f t="shared" si="143"/>
        <v>55%</v>
      </c>
      <c r="Q2254" s="12">
        <f t="shared" si="140"/>
        <v>0.55000000000000004</v>
      </c>
      <c r="R2254" s="9">
        <f t="shared" si="141"/>
        <v>742.05</v>
      </c>
      <c r="S2254" s="9">
        <f>IF(R2254="",AVERAGEIF(Table1[Category],Table1[[#This Row],[Category]],Table2[orignal data]),Table2[[#This Row],[orignal data]])</f>
        <v>742.05</v>
      </c>
      <c r="T2254" t="str">
        <f t="shared" si="142"/>
        <v>UNIQUE</v>
      </c>
      <c r="U2254" t="str">
        <f>IF(ISBLANK(Table1[[#This Row],[SizeOption]]),"NOT AVAILABLE",Table1[[#This Row],[SizeOption]])</f>
        <v>30, 32, 34, 36</v>
      </c>
      <c r="Y2254" t="str">
        <f>IF(Table2[[#This Row],[Column1]]&gt;50%,"HIGH DISCOUNT","LOW DISCOUNT")</f>
        <v>HIGH DISCOUNT</v>
      </c>
    </row>
    <row r="2255" spans="1:25" x14ac:dyDescent="0.25">
      <c r="A2255" s="2" t="s">
        <v>4800</v>
      </c>
      <c r="B2255" s="2">
        <v>10285721</v>
      </c>
      <c r="C2255" s="2" t="s">
        <v>52</v>
      </c>
      <c r="D2255" s="2" t="s">
        <v>15</v>
      </c>
      <c r="E2255" s="2" t="s">
        <v>137</v>
      </c>
      <c r="F2255" s="2" t="s">
        <v>17</v>
      </c>
      <c r="G2255" s="2" t="s">
        <v>4801</v>
      </c>
      <c r="H2255">
        <v>587</v>
      </c>
      <c r="I2255" s="2">
        <v>1249</v>
      </c>
      <c r="J2255" s="2" t="s">
        <v>89</v>
      </c>
      <c r="K2255" s="2" t="s">
        <v>56</v>
      </c>
      <c r="L2255" s="2">
        <v>4.2</v>
      </c>
      <c r="M2255" s="2">
        <v>669</v>
      </c>
      <c r="P2255" t="str">
        <f t="shared" si="143"/>
        <v>53%</v>
      </c>
      <c r="Q2255" s="12">
        <f t="shared" si="140"/>
        <v>0.53</v>
      </c>
      <c r="R2255" s="9">
        <f t="shared" si="141"/>
        <v>587.03</v>
      </c>
      <c r="S2255" s="9">
        <f>IF(R2255="",AVERAGEIF(Table1[Category],Table1[[#This Row],[Category]],Table2[orignal data]),Table2[[#This Row],[orignal data]])</f>
        <v>587.03</v>
      </c>
      <c r="T2255" t="str">
        <f t="shared" si="142"/>
        <v>UNIQUE</v>
      </c>
      <c r="U2255" t="str">
        <f>IF(ISBLANK(Table1[[#This Row],[SizeOption]]),"NOT AVAILABLE",Table1[[#This Row],[SizeOption]])</f>
        <v>30, 32, 34, 36</v>
      </c>
      <c r="Y2255" t="str">
        <f>IF(Table2[[#This Row],[Column1]]&gt;50%,"HIGH DISCOUNT","LOW DISCOUNT")</f>
        <v>HIGH DISCOUNT</v>
      </c>
    </row>
    <row r="2256" spans="1:25" x14ac:dyDescent="0.25">
      <c r="A2256" s="1" t="s">
        <v>4802</v>
      </c>
      <c r="B2256" s="1">
        <v>10106285</v>
      </c>
      <c r="C2256" s="1" t="s">
        <v>67</v>
      </c>
      <c r="D2256" s="1" t="s">
        <v>68</v>
      </c>
      <c r="E2256" s="1" t="s">
        <v>42</v>
      </c>
      <c r="F2256" s="1" t="s">
        <v>17</v>
      </c>
      <c r="G2256" s="1" t="s">
        <v>4803</v>
      </c>
      <c r="H2256">
        <v>769</v>
      </c>
      <c r="I2256" s="1">
        <v>1099</v>
      </c>
      <c r="J2256" s="1" t="s">
        <v>186</v>
      </c>
      <c r="K2256" s="1" t="s">
        <v>39</v>
      </c>
      <c r="L2256" s="1">
        <v>4.2</v>
      </c>
      <c r="M2256" s="1">
        <v>669</v>
      </c>
      <c r="P2256" t="str">
        <f t="shared" si="143"/>
        <v>30%</v>
      </c>
      <c r="Q2256" s="12">
        <f t="shared" si="140"/>
        <v>0.3</v>
      </c>
      <c r="R2256" s="9">
        <f t="shared" si="141"/>
        <v>769.3</v>
      </c>
      <c r="S2256" s="9">
        <f>IF(R2256="",AVERAGEIF(Table1[Category],Table1[[#This Row],[Category]],Table2[orignal data]),Table2[[#This Row],[orignal data]])</f>
        <v>769.3</v>
      </c>
      <c r="T2256" t="str">
        <f t="shared" si="142"/>
        <v>UNIQUE</v>
      </c>
      <c r="U2256" t="str">
        <f>IF(ISBLANK(Table1[[#This Row],[SizeOption]]),"NOT AVAILABLE",Table1[[#This Row],[SizeOption]])</f>
        <v>S, M, L, XL, XXL</v>
      </c>
      <c r="Y2256" t="str">
        <f>IF(Table2[[#This Row],[Column1]]&gt;50%,"HIGH DISCOUNT","LOW DISCOUNT")</f>
        <v>LOW DISCOUNT</v>
      </c>
    </row>
    <row r="2257" spans="1:25" x14ac:dyDescent="0.25">
      <c r="A2257" s="2" t="s">
        <v>4804</v>
      </c>
      <c r="B2257" s="2">
        <v>10944988</v>
      </c>
      <c r="C2257" s="2" t="s">
        <v>14</v>
      </c>
      <c r="D2257" s="2" t="s">
        <v>28</v>
      </c>
      <c r="E2257" s="2" t="s">
        <v>29</v>
      </c>
      <c r="F2257" s="2" t="s">
        <v>17</v>
      </c>
      <c r="G2257" s="2" t="s">
        <v>4805</v>
      </c>
      <c r="H2257">
        <v>714</v>
      </c>
      <c r="I2257" s="2">
        <v>1299</v>
      </c>
      <c r="J2257" s="2" t="s">
        <v>19</v>
      </c>
      <c r="K2257" s="2" t="s">
        <v>253</v>
      </c>
      <c r="L2257" s="2">
        <v>4.4000000000000004</v>
      </c>
      <c r="M2257" s="2">
        <v>669</v>
      </c>
      <c r="P2257" t="str">
        <f t="shared" si="143"/>
        <v>45%</v>
      </c>
      <c r="Q2257" s="12">
        <f t="shared" si="140"/>
        <v>0.45</v>
      </c>
      <c r="R2257" s="9">
        <f t="shared" si="141"/>
        <v>714.44999999999993</v>
      </c>
      <c r="S2257" s="9">
        <f>IF(R2257="",AVERAGEIF(Table1[Category],Table1[[#This Row],[Category]],Table2[orignal data]),Table2[[#This Row],[orignal data]])</f>
        <v>714.44999999999993</v>
      </c>
      <c r="T2257" t="str">
        <f t="shared" si="142"/>
        <v>UNIQUE</v>
      </c>
      <c r="U2257" t="str">
        <f>IF(ISBLANK(Table1[[#This Row],[SizeOption]]),"NOT AVAILABLE",Table1[[#This Row],[SizeOption]])</f>
        <v>38, 40, 42, 44</v>
      </c>
      <c r="Y2257" t="str">
        <f>IF(Table2[[#This Row],[Column1]]&gt;50%,"HIGH DISCOUNT","LOW DISCOUNT")</f>
        <v>LOW DISCOUNT</v>
      </c>
    </row>
    <row r="2258" spans="1:25" x14ac:dyDescent="0.25">
      <c r="A2258" s="1" t="s">
        <v>4806</v>
      </c>
      <c r="B2258" s="1">
        <v>10611336</v>
      </c>
      <c r="C2258" s="1" t="s">
        <v>52</v>
      </c>
      <c r="D2258" s="1" t="s">
        <v>28</v>
      </c>
      <c r="E2258" s="1" t="s">
        <v>29</v>
      </c>
      <c r="F2258" s="1" t="s">
        <v>17</v>
      </c>
      <c r="G2258" s="1" t="s">
        <v>4807</v>
      </c>
      <c r="H2258">
        <v>559</v>
      </c>
      <c r="I2258" s="1">
        <v>1399</v>
      </c>
      <c r="J2258" s="1" t="s">
        <v>55</v>
      </c>
      <c r="K2258" s="1" t="s">
        <v>90</v>
      </c>
      <c r="L2258" s="1">
        <v>4</v>
      </c>
      <c r="M2258" s="1">
        <v>669</v>
      </c>
      <c r="P2258" t="str">
        <f t="shared" si="143"/>
        <v>60%</v>
      </c>
      <c r="Q2258" s="12">
        <f t="shared" si="140"/>
        <v>0.6</v>
      </c>
      <c r="R2258" s="9">
        <f t="shared" si="141"/>
        <v>559.6</v>
      </c>
      <c r="S2258" s="9">
        <f>IF(R2258="",AVERAGEIF(Table1[Category],Table1[[#This Row],[Category]],Table2[orignal data]),Table2[[#This Row],[orignal data]])</f>
        <v>559.6</v>
      </c>
      <c r="T2258" t="str">
        <f t="shared" si="142"/>
        <v>UNIQUE</v>
      </c>
      <c r="U2258" t="str">
        <f>IF(ISBLANK(Table1[[#This Row],[SizeOption]]),"NOT AVAILABLE",Table1[[#This Row],[SizeOption]])</f>
        <v>39, 40, 42, 44</v>
      </c>
      <c r="Y2258" t="str">
        <f>IF(Table2[[#This Row],[Column1]]&gt;50%,"HIGH DISCOUNT","LOW DISCOUNT")</f>
        <v>HIGH DISCOUNT</v>
      </c>
    </row>
    <row r="2259" spans="1:25" x14ac:dyDescent="0.25">
      <c r="A2259" s="2" t="s">
        <v>4808</v>
      </c>
      <c r="B2259" s="2">
        <v>11363318</v>
      </c>
      <c r="C2259" s="2" t="s">
        <v>169</v>
      </c>
      <c r="D2259" s="2" t="s">
        <v>28</v>
      </c>
      <c r="E2259" s="2" t="s">
        <v>42</v>
      </c>
      <c r="F2259" s="2" t="s">
        <v>17</v>
      </c>
      <c r="G2259" s="2" t="s">
        <v>4809</v>
      </c>
      <c r="H2259">
        <v>839</v>
      </c>
      <c r="I2259" s="2">
        <v>1399</v>
      </c>
      <c r="J2259" s="2" t="s">
        <v>50</v>
      </c>
      <c r="K2259" s="2" t="s">
        <v>39</v>
      </c>
      <c r="L2259" s="2">
        <v>4.3</v>
      </c>
      <c r="M2259" s="2">
        <v>669</v>
      </c>
      <c r="P2259" t="str">
        <f t="shared" si="143"/>
        <v>40%</v>
      </c>
      <c r="Q2259" s="12">
        <f t="shared" si="140"/>
        <v>0.4</v>
      </c>
      <c r="R2259" s="9">
        <f t="shared" si="141"/>
        <v>839.4</v>
      </c>
      <c r="S2259" s="9">
        <f>IF(R2259="",AVERAGEIF(Table1[Category],Table1[[#This Row],[Category]],Table2[orignal data]),Table2[[#This Row],[orignal data]])</f>
        <v>839.4</v>
      </c>
      <c r="T2259" t="str">
        <f t="shared" si="142"/>
        <v>UNIQUE</v>
      </c>
      <c r="U2259" t="str">
        <f>IF(ISBLANK(Table1[[#This Row],[SizeOption]]),"NOT AVAILABLE",Table1[[#This Row],[SizeOption]])</f>
        <v>S, M, L, XL, XXL</v>
      </c>
      <c r="Y2259" t="str">
        <f>IF(Table2[[#This Row],[Column1]]&gt;50%,"HIGH DISCOUNT","LOW DISCOUNT")</f>
        <v>LOW DISCOUNT</v>
      </c>
    </row>
    <row r="2260" spans="1:25" x14ac:dyDescent="0.25">
      <c r="A2260" s="1" t="s">
        <v>4810</v>
      </c>
      <c r="B2260" s="1">
        <v>12299300</v>
      </c>
      <c r="C2260" s="1" t="s">
        <v>22</v>
      </c>
      <c r="D2260" s="1" t="s">
        <v>28</v>
      </c>
      <c r="E2260" s="1" t="s">
        <v>29</v>
      </c>
      <c r="F2260" s="1" t="s">
        <v>17</v>
      </c>
      <c r="G2260" s="1" t="s">
        <v>4811</v>
      </c>
      <c r="H2260">
        <v>536</v>
      </c>
      <c r="I2260" s="1">
        <v>1449</v>
      </c>
      <c r="J2260" s="1" t="s">
        <v>476</v>
      </c>
      <c r="K2260" s="1" t="s">
        <v>90</v>
      </c>
      <c r="L2260" s="1">
        <v>4.2</v>
      </c>
      <c r="M2260" s="1">
        <v>669</v>
      </c>
      <c r="P2260" t="str">
        <f t="shared" si="143"/>
        <v>63%</v>
      </c>
      <c r="Q2260" s="12">
        <f t="shared" si="140"/>
        <v>0.63</v>
      </c>
      <c r="R2260" s="9">
        <f t="shared" si="141"/>
        <v>536.13</v>
      </c>
      <c r="S2260" s="9">
        <f>IF(R2260="",AVERAGEIF(Table1[Category],Table1[[#This Row],[Category]],Table2[orignal data]),Table2[[#This Row],[orignal data]])</f>
        <v>536.13</v>
      </c>
      <c r="T2260" t="str">
        <f t="shared" si="142"/>
        <v>UNIQUE</v>
      </c>
      <c r="U2260" t="str">
        <f>IF(ISBLANK(Table1[[#This Row],[SizeOption]]),"NOT AVAILABLE",Table1[[#This Row],[SizeOption]])</f>
        <v>39, 40, 42, 44</v>
      </c>
      <c r="Y2260" t="str">
        <f>IF(Table2[[#This Row],[Column1]]&gt;50%,"HIGH DISCOUNT","LOW DISCOUNT")</f>
        <v>HIGH DISCOUNT</v>
      </c>
    </row>
    <row r="2261" spans="1:25" x14ac:dyDescent="0.25">
      <c r="A2261" s="2" t="s">
        <v>4812</v>
      </c>
      <c r="B2261" s="2">
        <v>14006702</v>
      </c>
      <c r="C2261" s="2" t="s">
        <v>545</v>
      </c>
      <c r="D2261" s="2" t="s">
        <v>76</v>
      </c>
      <c r="E2261" s="2" t="s">
        <v>320</v>
      </c>
      <c r="F2261" s="2" t="s">
        <v>36</v>
      </c>
      <c r="G2261" s="2" t="s">
        <v>4813</v>
      </c>
      <c r="H2261">
        <v>1539</v>
      </c>
      <c r="I2261" s="2">
        <v>7699</v>
      </c>
      <c r="J2261" s="2" t="s">
        <v>589</v>
      </c>
      <c r="K2261" s="2" t="s">
        <v>164</v>
      </c>
      <c r="L2261" s="2">
        <v>4.2</v>
      </c>
      <c r="M2261" s="2">
        <v>669</v>
      </c>
      <c r="P2261" t="str">
        <f t="shared" si="143"/>
        <v>80%</v>
      </c>
      <c r="Q2261" s="12">
        <f t="shared" si="140"/>
        <v>0.8</v>
      </c>
      <c r="R2261" s="9">
        <f t="shared" si="141"/>
        <v>1539.7999999999993</v>
      </c>
      <c r="S2261" s="9">
        <f>IF(R2261="",AVERAGEIF(Table1[Category],Table1[[#This Row],[Category]],Table2[orignal data]),Table2[[#This Row],[orignal data]])</f>
        <v>1539.7999999999993</v>
      </c>
      <c r="T2261" t="str">
        <f t="shared" si="142"/>
        <v>UNIQUE</v>
      </c>
      <c r="U2261" t="str">
        <f>IF(ISBLANK(Table1[[#This Row],[SizeOption]]),"NOT AVAILABLE",Table1[[#This Row],[SizeOption]])</f>
        <v>Onesize</v>
      </c>
      <c r="Y2261" t="str">
        <f>IF(Table2[[#This Row],[Column1]]&gt;50%,"HIGH DISCOUNT","LOW DISCOUNT")</f>
        <v>HIGH DISCOUNT</v>
      </c>
    </row>
    <row r="2262" spans="1:25" x14ac:dyDescent="0.25">
      <c r="A2262" s="1" t="s">
        <v>4814</v>
      </c>
      <c r="B2262" s="1">
        <v>2486226</v>
      </c>
      <c r="C2262" s="1" t="s">
        <v>762</v>
      </c>
      <c r="D2262" s="1" t="s">
        <v>34</v>
      </c>
      <c r="E2262" s="1" t="s">
        <v>118</v>
      </c>
      <c r="F2262" s="1" t="s">
        <v>36</v>
      </c>
      <c r="G2262" s="1" t="s">
        <v>4815</v>
      </c>
      <c r="H2262">
        <v>910</v>
      </c>
      <c r="I2262" s="1">
        <v>958</v>
      </c>
      <c r="J2262" s="1" t="s">
        <v>764</v>
      </c>
      <c r="K2262" s="1" t="s">
        <v>765</v>
      </c>
      <c r="L2262" s="1">
        <v>4.2</v>
      </c>
      <c r="M2262" s="1">
        <v>669</v>
      </c>
      <c r="P2262" t="str">
        <f t="shared" si="143"/>
        <v>5%</v>
      </c>
      <c r="Q2262" s="12">
        <f t="shared" si="140"/>
        <v>0.05</v>
      </c>
      <c r="R2262" s="9">
        <f t="shared" si="141"/>
        <v>910.1</v>
      </c>
      <c r="S2262" s="9">
        <f>IF(R2262="",AVERAGEIF(Table1[Category],Table1[[#This Row],[Category]],Table2[orignal data]),Table2[[#This Row],[orignal data]])</f>
        <v>910.1</v>
      </c>
      <c r="T2262" t="str">
        <f t="shared" si="142"/>
        <v>UNIQUE</v>
      </c>
      <c r="U2262" t="str">
        <f>IF(ISBLANK(Table1[[#This Row],[SizeOption]]),"NOT AVAILABLE",Table1[[#This Row],[SizeOption]])</f>
        <v>30B, 32B, 34B, 36B, 38B, 40B</v>
      </c>
      <c r="Y2262" t="str">
        <f>IF(Table2[[#This Row],[Column1]]&gt;50%,"HIGH DISCOUNT","LOW DISCOUNT")</f>
        <v>LOW DISCOUNT</v>
      </c>
    </row>
    <row r="2263" spans="1:25" x14ac:dyDescent="0.25">
      <c r="A2263" s="2" t="s">
        <v>4816</v>
      </c>
      <c r="B2263" s="2">
        <v>14071414</v>
      </c>
      <c r="C2263" s="2" t="s">
        <v>102</v>
      </c>
      <c r="D2263" s="2" t="s">
        <v>41</v>
      </c>
      <c r="E2263" s="2" t="s">
        <v>23</v>
      </c>
      <c r="F2263" s="2" t="s">
        <v>36</v>
      </c>
      <c r="G2263" s="2" t="s">
        <v>4817</v>
      </c>
      <c r="I2263" s="2">
        <v>1149</v>
      </c>
      <c r="J2263" s="2" t="s">
        <v>416</v>
      </c>
      <c r="K2263" s="2" t="s">
        <v>26</v>
      </c>
      <c r="L2263" s="2">
        <v>4.2</v>
      </c>
      <c r="M2263" s="2">
        <v>669</v>
      </c>
      <c r="P2263" t="str">
        <f t="shared" si="143"/>
        <v>64%</v>
      </c>
      <c r="Q2263" s="12">
        <f t="shared" si="140"/>
        <v>0.64</v>
      </c>
      <c r="R2263" s="9">
        <f t="shared" si="141"/>
        <v>413.64</v>
      </c>
      <c r="S2263" s="9">
        <f>IF(R2263="",AVERAGEIF(Table1[Category],Table1[[#This Row],[Category]],Table2[orignal data]),Table2[[#This Row],[orignal data]])</f>
        <v>413.64</v>
      </c>
      <c r="T2263" t="str">
        <f t="shared" si="142"/>
        <v>UNIQUE</v>
      </c>
      <c r="U2263" t="str">
        <f>IF(ISBLANK(Table1[[#This Row],[SizeOption]]),"NOT AVAILABLE",Table1[[#This Row],[SizeOption]])</f>
        <v>S, M, L, XL</v>
      </c>
      <c r="Y2263" t="str">
        <f>IF(Table2[[#This Row],[Column1]]&gt;50%,"HIGH DISCOUNT","LOW DISCOUNT")</f>
        <v>HIGH DISCOUNT</v>
      </c>
    </row>
    <row r="2264" spans="1:25" x14ac:dyDescent="0.25">
      <c r="A2264" s="1" t="s">
        <v>4818</v>
      </c>
      <c r="B2264" s="1">
        <v>4044295</v>
      </c>
      <c r="C2264" s="1" t="s">
        <v>952</v>
      </c>
      <c r="D2264" s="1" t="s">
        <v>41</v>
      </c>
      <c r="E2264" s="1" t="s">
        <v>148</v>
      </c>
      <c r="F2264" s="1" t="s">
        <v>36</v>
      </c>
      <c r="G2264" s="1" t="s">
        <v>4819</v>
      </c>
      <c r="I2264" s="1">
        <v>1399</v>
      </c>
      <c r="J2264" s="1" t="s">
        <v>19</v>
      </c>
      <c r="K2264" s="1" t="s">
        <v>45</v>
      </c>
      <c r="L2264" s="1">
        <v>4.4000000000000004</v>
      </c>
      <c r="M2264" s="1">
        <v>669</v>
      </c>
      <c r="P2264" t="str">
        <f t="shared" si="143"/>
        <v>45%</v>
      </c>
      <c r="Q2264" s="12">
        <f t="shared" si="140"/>
        <v>0.45</v>
      </c>
      <c r="R2264" s="9">
        <f t="shared" si="141"/>
        <v>769.44999999999993</v>
      </c>
      <c r="S2264" s="9">
        <f>IF(R2264="",AVERAGEIF(Table1[Category],Table1[[#This Row],[Category]],Table2[orignal data]),Table2[[#This Row],[orignal data]])</f>
        <v>769.44999999999993</v>
      </c>
      <c r="T2264" t="str">
        <f t="shared" si="142"/>
        <v>UNIQUE</v>
      </c>
      <c r="U2264" t="str">
        <f>IF(ISBLANK(Table1[[#This Row],[SizeOption]]),"NOT AVAILABLE",Table1[[#This Row],[SizeOption]])</f>
        <v>XS, S, M, L, XL</v>
      </c>
      <c r="Y2264" t="str">
        <f>IF(Table2[[#This Row],[Column1]]&gt;50%,"HIGH DISCOUNT","LOW DISCOUNT")</f>
        <v>LOW DISCOUNT</v>
      </c>
    </row>
    <row r="2265" spans="1:25" x14ac:dyDescent="0.25">
      <c r="A2265" s="2" t="s">
        <v>4820</v>
      </c>
      <c r="B2265" s="2">
        <v>9766841</v>
      </c>
      <c r="C2265" s="2" t="s">
        <v>4821</v>
      </c>
      <c r="D2265" s="2" t="s">
        <v>41</v>
      </c>
      <c r="E2265" s="2" t="s">
        <v>148</v>
      </c>
      <c r="F2265" s="2" t="s">
        <v>36</v>
      </c>
      <c r="G2265" s="2" t="s">
        <v>4822</v>
      </c>
      <c r="I2265" s="2">
        <v>1499</v>
      </c>
      <c r="J2265" s="2" t="s">
        <v>50</v>
      </c>
      <c r="K2265" s="2" t="s">
        <v>26</v>
      </c>
      <c r="L2265" s="2">
        <v>4</v>
      </c>
      <c r="M2265" s="2">
        <v>669</v>
      </c>
      <c r="P2265" t="str">
        <f t="shared" si="143"/>
        <v>40%</v>
      </c>
      <c r="Q2265" s="12">
        <f t="shared" si="140"/>
        <v>0.4</v>
      </c>
      <c r="R2265" s="9">
        <f t="shared" si="141"/>
        <v>899.4</v>
      </c>
      <c r="S2265" s="9">
        <f>IF(R2265="",AVERAGEIF(Table1[Category],Table1[[#This Row],[Category]],Table2[orignal data]),Table2[[#This Row],[orignal data]])</f>
        <v>899.4</v>
      </c>
      <c r="T2265" t="str">
        <f t="shared" si="142"/>
        <v>UNIQUE</v>
      </c>
      <c r="U2265" t="str">
        <f>IF(ISBLANK(Table1[[#This Row],[SizeOption]]),"NOT AVAILABLE",Table1[[#This Row],[SizeOption]])</f>
        <v>S, M, L, XL</v>
      </c>
      <c r="Y2265" t="str">
        <f>IF(Table2[[#This Row],[Column1]]&gt;50%,"HIGH DISCOUNT","LOW DISCOUNT")</f>
        <v>LOW DISCOUNT</v>
      </c>
    </row>
    <row r="2266" spans="1:25" x14ac:dyDescent="0.25">
      <c r="A2266" s="1" t="s">
        <v>4823</v>
      </c>
      <c r="B2266" s="1">
        <v>11404274</v>
      </c>
      <c r="C2266" s="1" t="s">
        <v>14</v>
      </c>
      <c r="D2266" s="1" t="s">
        <v>41</v>
      </c>
      <c r="E2266" s="1" t="s">
        <v>42</v>
      </c>
      <c r="F2266" s="1" t="s">
        <v>36</v>
      </c>
      <c r="G2266" s="1" t="s">
        <v>4824</v>
      </c>
      <c r="I2266" s="1">
        <v>799</v>
      </c>
      <c r="J2266" s="1" t="s">
        <v>150</v>
      </c>
      <c r="K2266" s="1" t="s">
        <v>45</v>
      </c>
      <c r="L2266" s="1">
        <v>4.4000000000000004</v>
      </c>
      <c r="M2266" s="1">
        <v>669</v>
      </c>
      <c r="P2266" t="str">
        <f t="shared" si="143"/>
        <v>65%</v>
      </c>
      <c r="Q2266" s="12">
        <f t="shared" si="140"/>
        <v>0.65</v>
      </c>
      <c r="R2266" s="9">
        <f t="shared" si="141"/>
        <v>279.64999999999998</v>
      </c>
      <c r="S2266" s="9">
        <f>IF(R2266="",AVERAGEIF(Table1[Category],Table1[[#This Row],[Category]],Table2[orignal data]),Table2[[#This Row],[orignal data]])</f>
        <v>279.64999999999998</v>
      </c>
      <c r="T2266" t="str">
        <f t="shared" si="142"/>
        <v>UNIQUE</v>
      </c>
      <c r="U2266" t="str">
        <f>IF(ISBLANK(Table1[[#This Row],[SizeOption]]),"NOT AVAILABLE",Table1[[#This Row],[SizeOption]])</f>
        <v>XS, S, M, L, XL</v>
      </c>
      <c r="Y2266" t="str">
        <f>IF(Table2[[#This Row],[Column1]]&gt;50%,"HIGH DISCOUNT","LOW DISCOUNT")</f>
        <v>HIGH DISCOUNT</v>
      </c>
    </row>
    <row r="2267" spans="1:25" x14ac:dyDescent="0.25">
      <c r="A2267" s="2" t="s">
        <v>4825</v>
      </c>
      <c r="B2267" s="2">
        <v>8979875</v>
      </c>
      <c r="C2267" s="2" t="s">
        <v>1773</v>
      </c>
      <c r="D2267" s="2" t="s">
        <v>41</v>
      </c>
      <c r="E2267" s="2" t="s">
        <v>48</v>
      </c>
      <c r="F2267" s="2" t="s">
        <v>36</v>
      </c>
      <c r="G2267" s="2" t="s">
        <v>4826</v>
      </c>
      <c r="I2267" s="2">
        <v>899</v>
      </c>
      <c r="J2267" s="2" t="s">
        <v>55</v>
      </c>
      <c r="K2267" s="2" t="s">
        <v>45</v>
      </c>
      <c r="L2267" s="2">
        <v>3.9</v>
      </c>
      <c r="M2267" s="2">
        <v>669</v>
      </c>
      <c r="P2267" t="str">
        <f t="shared" si="143"/>
        <v>60%</v>
      </c>
      <c r="Q2267" s="12">
        <f t="shared" si="140"/>
        <v>0.6</v>
      </c>
      <c r="R2267" s="9">
        <f t="shared" si="141"/>
        <v>359.6</v>
      </c>
      <c r="S2267" s="9">
        <f>IF(R2267="",AVERAGEIF(Table1[Category],Table1[[#This Row],[Category]],Table2[orignal data]),Table2[[#This Row],[orignal data]])</f>
        <v>359.6</v>
      </c>
      <c r="T2267" t="str">
        <f t="shared" si="142"/>
        <v>UNIQUE</v>
      </c>
      <c r="U2267" t="str">
        <f>IF(ISBLANK(Table1[[#This Row],[SizeOption]]),"NOT AVAILABLE",Table1[[#This Row],[SizeOption]])</f>
        <v>XS, S, M, L, XL</v>
      </c>
      <c r="Y2267" t="str">
        <f>IF(Table2[[#This Row],[Column1]]&gt;50%,"HIGH DISCOUNT","LOW DISCOUNT")</f>
        <v>HIGH DISCOUNT</v>
      </c>
    </row>
    <row r="2268" spans="1:25" x14ac:dyDescent="0.25">
      <c r="A2268" s="1" t="s">
        <v>4827</v>
      </c>
      <c r="B2268" s="1">
        <v>4445485</v>
      </c>
      <c r="C2268" s="1" t="s">
        <v>4364</v>
      </c>
      <c r="D2268" s="1" t="s">
        <v>41</v>
      </c>
      <c r="E2268" s="1" t="s">
        <v>42</v>
      </c>
      <c r="F2268" s="1" t="s">
        <v>36</v>
      </c>
      <c r="G2268" s="1" t="s">
        <v>4828</v>
      </c>
      <c r="I2268" s="1">
        <v>999</v>
      </c>
      <c r="J2268" s="1" t="s">
        <v>130</v>
      </c>
      <c r="K2268" s="1" t="s">
        <v>26</v>
      </c>
      <c r="L2268" s="1">
        <v>4.3</v>
      </c>
      <c r="M2268" s="1">
        <v>669</v>
      </c>
      <c r="P2268" t="str">
        <f t="shared" si="143"/>
        <v>57%</v>
      </c>
      <c r="Q2268" s="12">
        <f t="shared" si="140"/>
        <v>0.56999999999999995</v>
      </c>
      <c r="R2268" s="9">
        <f t="shared" si="141"/>
        <v>429.57000000000005</v>
      </c>
      <c r="S2268" s="9">
        <f>IF(R2268="",AVERAGEIF(Table1[Category],Table1[[#This Row],[Category]],Table2[orignal data]),Table2[[#This Row],[orignal data]])</f>
        <v>429.57000000000005</v>
      </c>
      <c r="T2268" t="str">
        <f t="shared" si="142"/>
        <v>UNIQUE</v>
      </c>
      <c r="U2268" t="str">
        <f>IF(ISBLANK(Table1[[#This Row],[SizeOption]]),"NOT AVAILABLE",Table1[[#This Row],[SizeOption]])</f>
        <v>S, M, L, XL</v>
      </c>
      <c r="Y2268" t="str">
        <f>IF(Table2[[#This Row],[Column1]]&gt;50%,"HIGH DISCOUNT","LOW DISCOUNT")</f>
        <v>HIGH DISCOUNT</v>
      </c>
    </row>
    <row r="2269" spans="1:25" x14ac:dyDescent="0.25">
      <c r="A2269" s="2" t="s">
        <v>4829</v>
      </c>
      <c r="B2269" s="2">
        <v>9598439</v>
      </c>
      <c r="C2269" s="2" t="s">
        <v>64</v>
      </c>
      <c r="D2269" s="2" t="s">
        <v>15</v>
      </c>
      <c r="E2269" s="2" t="s">
        <v>16</v>
      </c>
      <c r="F2269" s="2" t="s">
        <v>17</v>
      </c>
      <c r="G2269" s="2" t="s">
        <v>4830</v>
      </c>
      <c r="H2269">
        <v>804</v>
      </c>
      <c r="I2269" s="2">
        <v>2299</v>
      </c>
      <c r="J2269" s="2" t="s">
        <v>150</v>
      </c>
      <c r="K2269" s="2" t="s">
        <v>20</v>
      </c>
      <c r="L2269" s="2">
        <v>3.9</v>
      </c>
      <c r="M2269" s="2">
        <v>668</v>
      </c>
      <c r="P2269" t="str">
        <f t="shared" si="143"/>
        <v>65%</v>
      </c>
      <c r="Q2269" s="12">
        <f t="shared" si="140"/>
        <v>0.65</v>
      </c>
      <c r="R2269" s="9">
        <f t="shared" si="141"/>
        <v>804.64999999999986</v>
      </c>
      <c r="S2269" s="9">
        <f>IF(R2269="",AVERAGEIF(Table1[Category],Table1[[#This Row],[Category]],Table2[orignal data]),Table2[[#This Row],[orignal data]])</f>
        <v>804.64999999999986</v>
      </c>
      <c r="T2269" t="str">
        <f t="shared" si="142"/>
        <v>UNIQUE</v>
      </c>
      <c r="U2269" t="str">
        <f>IF(ISBLANK(Table1[[#This Row],[SizeOption]]),"NOT AVAILABLE",Table1[[#This Row],[SizeOption]])</f>
        <v>28, 30, 32, 34, 36</v>
      </c>
      <c r="Y2269" t="str">
        <f>IF(Table2[[#This Row],[Column1]]&gt;50%,"HIGH DISCOUNT","LOW DISCOUNT")</f>
        <v>HIGH DISCOUNT</v>
      </c>
    </row>
    <row r="2270" spans="1:25" x14ac:dyDescent="0.25">
      <c r="A2270" s="1" t="s">
        <v>4831</v>
      </c>
      <c r="B2270" s="1">
        <v>10729262</v>
      </c>
      <c r="C2270" s="1" t="s">
        <v>52</v>
      </c>
      <c r="D2270" s="1" t="s">
        <v>28</v>
      </c>
      <c r="E2270" s="1" t="s">
        <v>29</v>
      </c>
      <c r="F2270" s="1" t="s">
        <v>17</v>
      </c>
      <c r="G2270" s="1" t="s">
        <v>219</v>
      </c>
      <c r="H2270">
        <v>539</v>
      </c>
      <c r="I2270" s="1">
        <v>1199</v>
      </c>
      <c r="J2270" s="1" t="s">
        <v>25</v>
      </c>
      <c r="K2270" s="1" t="s">
        <v>90</v>
      </c>
      <c r="L2270" s="1">
        <v>4.2</v>
      </c>
      <c r="M2270" s="1">
        <v>668</v>
      </c>
      <c r="P2270" t="str">
        <f t="shared" si="143"/>
        <v>55%</v>
      </c>
      <c r="Q2270" s="12">
        <f t="shared" si="140"/>
        <v>0.55000000000000004</v>
      </c>
      <c r="R2270" s="9">
        <f t="shared" si="141"/>
        <v>539.54999999999995</v>
      </c>
      <c r="S2270" s="9">
        <f>IF(R2270="",AVERAGEIF(Table1[Category],Table1[[#This Row],[Category]],Table2[orignal data]),Table2[[#This Row],[orignal data]])</f>
        <v>539.54999999999995</v>
      </c>
      <c r="T2270" t="str">
        <f t="shared" si="142"/>
        <v>UNIQUE</v>
      </c>
      <c r="U2270" t="str">
        <f>IF(ISBLANK(Table1[[#This Row],[SizeOption]]),"NOT AVAILABLE",Table1[[#This Row],[SizeOption]])</f>
        <v>39, 40, 42, 44</v>
      </c>
      <c r="Y2270" t="str">
        <f>IF(Table2[[#This Row],[Column1]]&gt;50%,"HIGH DISCOUNT","LOW DISCOUNT")</f>
        <v>HIGH DISCOUNT</v>
      </c>
    </row>
    <row r="2271" spans="1:25" x14ac:dyDescent="0.25">
      <c r="A2271" s="2" t="s">
        <v>4832</v>
      </c>
      <c r="B2271" s="2">
        <v>10740908</v>
      </c>
      <c r="C2271" s="2" t="s">
        <v>14</v>
      </c>
      <c r="D2271" s="2" t="s">
        <v>28</v>
      </c>
      <c r="E2271" s="2" t="s">
        <v>29</v>
      </c>
      <c r="F2271" s="2" t="s">
        <v>17</v>
      </c>
      <c r="G2271" s="2" t="s">
        <v>4833</v>
      </c>
      <c r="H2271">
        <v>824</v>
      </c>
      <c r="I2271" s="2">
        <v>1499</v>
      </c>
      <c r="J2271" s="2" t="s">
        <v>19</v>
      </c>
      <c r="K2271" s="2" t="s">
        <v>253</v>
      </c>
      <c r="L2271" s="2">
        <v>4.4000000000000004</v>
      </c>
      <c r="M2271" s="2">
        <v>668</v>
      </c>
      <c r="P2271" t="str">
        <f t="shared" si="143"/>
        <v>45%</v>
      </c>
      <c r="Q2271" s="12">
        <f t="shared" si="140"/>
        <v>0.45</v>
      </c>
      <c r="R2271" s="9">
        <f t="shared" si="141"/>
        <v>824.44999999999993</v>
      </c>
      <c r="S2271" s="9">
        <f>IF(R2271="",AVERAGEIF(Table1[Category],Table1[[#This Row],[Category]],Table2[orignal data]),Table2[[#This Row],[orignal data]])</f>
        <v>824.44999999999993</v>
      </c>
      <c r="T2271" t="str">
        <f t="shared" si="142"/>
        <v>UNIQUE</v>
      </c>
      <c r="U2271" t="str">
        <f>IF(ISBLANK(Table1[[#This Row],[SizeOption]]),"NOT AVAILABLE",Table1[[#This Row],[SizeOption]])</f>
        <v>38, 40, 42, 44</v>
      </c>
      <c r="Y2271" t="str">
        <f>IF(Table2[[#This Row],[Column1]]&gt;50%,"HIGH DISCOUNT","LOW DISCOUNT")</f>
        <v>LOW DISCOUNT</v>
      </c>
    </row>
    <row r="2272" spans="1:25" x14ac:dyDescent="0.25">
      <c r="A2272" s="1" t="s">
        <v>4834</v>
      </c>
      <c r="B2272" s="1">
        <v>11285614</v>
      </c>
      <c r="C2272" s="1" t="s">
        <v>277</v>
      </c>
      <c r="D2272" s="1" t="s">
        <v>76</v>
      </c>
      <c r="E2272" s="1" t="s">
        <v>77</v>
      </c>
      <c r="F2272" s="1" t="s">
        <v>36</v>
      </c>
      <c r="G2272" s="1" t="s">
        <v>4835</v>
      </c>
      <c r="H2272">
        <v>1325</v>
      </c>
      <c r="I2272" s="1">
        <v>3399</v>
      </c>
      <c r="J2272" s="1" t="s">
        <v>104</v>
      </c>
      <c r="K2272" s="1" t="s">
        <v>39</v>
      </c>
      <c r="L2272" s="1">
        <v>3.7</v>
      </c>
      <c r="M2272" s="1">
        <v>668</v>
      </c>
      <c r="P2272" t="str">
        <f t="shared" si="143"/>
        <v>61%</v>
      </c>
      <c r="Q2272" s="12">
        <f t="shared" si="140"/>
        <v>0.61</v>
      </c>
      <c r="R2272" s="9">
        <f t="shared" si="141"/>
        <v>1325.6100000000001</v>
      </c>
      <c r="S2272" s="9">
        <f>IF(R2272="",AVERAGEIF(Table1[Category],Table1[[#This Row],[Category]],Table2[orignal data]),Table2[[#This Row],[orignal data]])</f>
        <v>1325.6100000000001</v>
      </c>
      <c r="T2272" t="str">
        <f t="shared" si="142"/>
        <v>UNIQUE</v>
      </c>
      <c r="U2272" t="str">
        <f>IF(ISBLANK(Table1[[#This Row],[SizeOption]]),"NOT AVAILABLE",Table1[[#This Row],[SizeOption]])</f>
        <v>S, M, L, XL, XXL</v>
      </c>
      <c r="Y2272" t="str">
        <f>IF(Table2[[#This Row],[Column1]]&gt;50%,"HIGH DISCOUNT","LOW DISCOUNT")</f>
        <v>HIGH DISCOUNT</v>
      </c>
    </row>
    <row r="2273" spans="1:25" x14ac:dyDescent="0.25">
      <c r="A2273" s="2" t="s">
        <v>4836</v>
      </c>
      <c r="B2273" s="2">
        <v>10440504</v>
      </c>
      <c r="C2273" s="2" t="s">
        <v>107</v>
      </c>
      <c r="D2273" s="2" t="s">
        <v>41</v>
      </c>
      <c r="E2273" s="2" t="s">
        <v>53</v>
      </c>
      <c r="F2273" s="2" t="s">
        <v>36</v>
      </c>
      <c r="G2273" s="2" t="s">
        <v>4837</v>
      </c>
      <c r="I2273" s="2">
        <v>1599</v>
      </c>
      <c r="J2273" s="2" t="s">
        <v>84</v>
      </c>
      <c r="K2273" s="2" t="s">
        <v>428</v>
      </c>
      <c r="L2273" s="2">
        <v>4.2</v>
      </c>
      <c r="M2273" s="2">
        <v>668</v>
      </c>
      <c r="P2273" t="str">
        <f t="shared" si="143"/>
        <v>50%</v>
      </c>
      <c r="Q2273" s="12">
        <f t="shared" si="140"/>
        <v>0.5</v>
      </c>
      <c r="R2273" s="9">
        <f t="shared" si="141"/>
        <v>799.5</v>
      </c>
      <c r="S2273" s="9">
        <f>IF(R2273="",AVERAGEIF(Table1[Category],Table1[[#This Row],[Category]],Table2[orignal data]),Table2[[#This Row],[orignal data]])</f>
        <v>799.5</v>
      </c>
      <c r="T2273" t="str">
        <f t="shared" si="142"/>
        <v>UNIQUE</v>
      </c>
      <c r="U2273" t="str">
        <f>IF(ISBLANK(Table1[[#This Row],[SizeOption]]),"NOT AVAILABLE",Table1[[#This Row],[SizeOption]])</f>
        <v>26, 28, 30, 32, 34</v>
      </c>
      <c r="Y2273" t="str">
        <f>IF(Table2[[#This Row],[Column1]]&gt;50%,"HIGH DISCOUNT","LOW DISCOUNT")</f>
        <v>LOW DISCOUNT</v>
      </c>
    </row>
    <row r="2274" spans="1:25" x14ac:dyDescent="0.25">
      <c r="A2274" s="1" t="s">
        <v>4838</v>
      </c>
      <c r="B2274" s="1">
        <v>11132288</v>
      </c>
      <c r="C2274" s="1" t="s">
        <v>14</v>
      </c>
      <c r="D2274" s="1" t="s">
        <v>41</v>
      </c>
      <c r="E2274" s="1" t="s">
        <v>16</v>
      </c>
      <c r="F2274" s="1" t="s">
        <v>36</v>
      </c>
      <c r="G2274" s="1" t="s">
        <v>725</v>
      </c>
      <c r="I2274" s="1">
        <v>1699</v>
      </c>
      <c r="J2274" s="1" t="s">
        <v>50</v>
      </c>
      <c r="K2274" s="1" t="s">
        <v>134</v>
      </c>
      <c r="L2274" s="1">
        <v>4.0999999999999996</v>
      </c>
      <c r="M2274" s="1">
        <v>668</v>
      </c>
      <c r="P2274" t="str">
        <f t="shared" si="143"/>
        <v>40%</v>
      </c>
      <c r="Q2274" s="12">
        <f t="shared" si="140"/>
        <v>0.4</v>
      </c>
      <c r="R2274" s="9">
        <f t="shared" si="141"/>
        <v>1019.4</v>
      </c>
      <c r="S2274" s="9">
        <f>IF(R2274="",AVERAGEIF(Table1[Category],Table1[[#This Row],[Category]],Table2[orignal data]),Table2[[#This Row],[orignal data]])</f>
        <v>1019.4</v>
      </c>
      <c r="T2274" t="str">
        <f t="shared" si="142"/>
        <v>UNIQUE</v>
      </c>
      <c r="U2274" t="str">
        <f>IF(ISBLANK(Table1[[#This Row],[SizeOption]]),"NOT AVAILABLE",Table1[[#This Row],[SizeOption]])</f>
        <v>26, 28, 30, 32, 34, 36</v>
      </c>
      <c r="Y2274" t="str">
        <f>IF(Table2[[#This Row],[Column1]]&gt;50%,"HIGH DISCOUNT","LOW DISCOUNT")</f>
        <v>LOW DISCOUNT</v>
      </c>
    </row>
    <row r="2275" spans="1:25" x14ac:dyDescent="0.25">
      <c r="A2275" s="2" t="s">
        <v>4839</v>
      </c>
      <c r="B2275" s="2">
        <v>13266672</v>
      </c>
      <c r="C2275" s="2" t="s">
        <v>4494</v>
      </c>
      <c r="D2275" s="2" t="s">
        <v>41</v>
      </c>
      <c r="E2275" s="2" t="s">
        <v>148</v>
      </c>
      <c r="F2275" s="2" t="s">
        <v>36</v>
      </c>
      <c r="G2275" s="2" t="s">
        <v>4840</v>
      </c>
      <c r="I2275" s="2">
        <v>2499</v>
      </c>
      <c r="J2275" s="2" t="s">
        <v>55</v>
      </c>
      <c r="K2275" s="2" t="s">
        <v>39</v>
      </c>
      <c r="L2275" s="2">
        <v>4.2</v>
      </c>
      <c r="M2275" s="2">
        <v>668</v>
      </c>
      <c r="P2275" t="str">
        <f t="shared" si="143"/>
        <v>60%</v>
      </c>
      <c r="Q2275" s="12">
        <f t="shared" si="140"/>
        <v>0.6</v>
      </c>
      <c r="R2275" s="9">
        <f t="shared" si="141"/>
        <v>999.60000000000014</v>
      </c>
      <c r="S2275" s="9">
        <f>IF(R2275="",AVERAGEIF(Table1[Category],Table1[[#This Row],[Category]],Table2[orignal data]),Table2[[#This Row],[orignal data]])</f>
        <v>999.60000000000014</v>
      </c>
      <c r="T2275" t="str">
        <f t="shared" si="142"/>
        <v>UNIQUE</v>
      </c>
      <c r="U2275" t="str">
        <f>IF(ISBLANK(Table1[[#This Row],[SizeOption]]),"NOT AVAILABLE",Table1[[#This Row],[SizeOption]])</f>
        <v>S, M, L, XL, XXL</v>
      </c>
      <c r="Y2275" t="str">
        <f>IF(Table2[[#This Row],[Column1]]&gt;50%,"HIGH DISCOUNT","LOW DISCOUNT")</f>
        <v>HIGH DISCOUNT</v>
      </c>
    </row>
    <row r="2276" spans="1:25" x14ac:dyDescent="0.25">
      <c r="A2276" s="1" t="s">
        <v>4841</v>
      </c>
      <c r="B2276" s="1">
        <v>2290970</v>
      </c>
      <c r="C2276" s="1" t="s">
        <v>14</v>
      </c>
      <c r="D2276" s="1" t="s">
        <v>15</v>
      </c>
      <c r="E2276" s="1" t="s">
        <v>53</v>
      </c>
      <c r="F2276" s="1" t="s">
        <v>17</v>
      </c>
      <c r="G2276" s="1" t="s">
        <v>4842</v>
      </c>
      <c r="H2276">
        <v>799</v>
      </c>
      <c r="I2276" s="1">
        <v>1999</v>
      </c>
      <c r="J2276" s="1" t="s">
        <v>55</v>
      </c>
      <c r="K2276" s="1" t="s">
        <v>20</v>
      </c>
      <c r="L2276" s="1">
        <v>4.2</v>
      </c>
      <c r="M2276" s="1">
        <v>667</v>
      </c>
      <c r="P2276" t="str">
        <f t="shared" si="143"/>
        <v>60%</v>
      </c>
      <c r="Q2276" s="12">
        <f t="shared" si="140"/>
        <v>0.6</v>
      </c>
      <c r="R2276" s="9">
        <f t="shared" si="141"/>
        <v>799.60000000000014</v>
      </c>
      <c r="S2276" s="9">
        <f>IF(R2276="",AVERAGEIF(Table1[Category],Table1[[#This Row],[Category]],Table2[orignal data]),Table2[[#This Row],[orignal data]])</f>
        <v>799.60000000000014</v>
      </c>
      <c r="T2276" t="str">
        <f t="shared" si="142"/>
        <v>UNIQUE</v>
      </c>
      <c r="U2276" t="str">
        <f>IF(ISBLANK(Table1[[#This Row],[SizeOption]]),"NOT AVAILABLE",Table1[[#This Row],[SizeOption]])</f>
        <v>28, 30, 32, 34, 36</v>
      </c>
      <c r="Y2276" t="str">
        <f>IF(Table2[[#This Row],[Column1]]&gt;50%,"HIGH DISCOUNT","LOW DISCOUNT")</f>
        <v>HIGH DISCOUNT</v>
      </c>
    </row>
    <row r="2277" spans="1:25" x14ac:dyDescent="0.25">
      <c r="A2277" s="2" t="s">
        <v>4843</v>
      </c>
      <c r="B2277" s="2">
        <v>2091620</v>
      </c>
      <c r="C2277" s="2" t="s">
        <v>563</v>
      </c>
      <c r="D2277" s="2" t="s">
        <v>197</v>
      </c>
      <c r="E2277" s="2" t="s">
        <v>518</v>
      </c>
      <c r="F2277" s="2" t="s">
        <v>17</v>
      </c>
      <c r="G2277" s="2" t="s">
        <v>4844</v>
      </c>
      <c r="H2277">
        <v>602</v>
      </c>
      <c r="I2277" s="2">
        <v>899</v>
      </c>
      <c r="J2277" s="2" t="s">
        <v>3472</v>
      </c>
      <c r="K2277" s="2" t="s">
        <v>39</v>
      </c>
      <c r="L2277" s="2">
        <v>4.0999999999999996</v>
      </c>
      <c r="M2277" s="2">
        <v>667</v>
      </c>
      <c r="P2277" t="str">
        <f t="shared" si="143"/>
        <v>33%</v>
      </c>
      <c r="Q2277" s="12">
        <f t="shared" si="140"/>
        <v>0.33</v>
      </c>
      <c r="R2277" s="9">
        <f t="shared" si="141"/>
        <v>602.32999999999993</v>
      </c>
      <c r="S2277" s="9">
        <f>IF(R2277="",AVERAGEIF(Table1[Category],Table1[[#This Row],[Category]],Table2[orignal data]),Table2[[#This Row],[orignal data]])</f>
        <v>602.32999999999993</v>
      </c>
      <c r="T2277" t="str">
        <f t="shared" si="142"/>
        <v>UNIQUE</v>
      </c>
      <c r="U2277" t="str">
        <f>IF(ISBLANK(Table1[[#This Row],[SizeOption]]),"NOT AVAILABLE",Table1[[#This Row],[SizeOption]])</f>
        <v>S, M, L, XL, XXL</v>
      </c>
      <c r="Y2277" t="str">
        <f>IF(Table2[[#This Row],[Column1]]&gt;50%,"HIGH DISCOUNT","LOW DISCOUNT")</f>
        <v>LOW DISCOUNT</v>
      </c>
    </row>
    <row r="2278" spans="1:25" x14ac:dyDescent="0.25">
      <c r="A2278" s="1" t="s">
        <v>4845</v>
      </c>
      <c r="B2278" s="1">
        <v>11849726</v>
      </c>
      <c r="C2278" s="1" t="s">
        <v>563</v>
      </c>
      <c r="D2278" s="1" t="s">
        <v>197</v>
      </c>
      <c r="E2278" s="1" t="s">
        <v>518</v>
      </c>
      <c r="F2278" s="1" t="s">
        <v>17</v>
      </c>
      <c r="G2278" s="1" t="s">
        <v>1350</v>
      </c>
      <c r="H2278">
        <v>881</v>
      </c>
      <c r="I2278" s="1">
        <v>1798</v>
      </c>
      <c r="J2278" s="1" t="s">
        <v>163</v>
      </c>
      <c r="K2278" s="1" t="s">
        <v>39</v>
      </c>
      <c r="L2278" s="1">
        <v>4.0999999999999996</v>
      </c>
      <c r="M2278" s="1">
        <v>667</v>
      </c>
      <c r="P2278" t="str">
        <f t="shared" si="143"/>
        <v>51%</v>
      </c>
      <c r="Q2278" s="12">
        <f t="shared" si="140"/>
        <v>0.51</v>
      </c>
      <c r="R2278" s="9">
        <f t="shared" si="141"/>
        <v>881.02</v>
      </c>
      <c r="S2278" s="9">
        <f>IF(R2278="",AVERAGEIF(Table1[Category],Table1[[#This Row],[Category]],Table2[orignal data]),Table2[[#This Row],[orignal data]])</f>
        <v>881.02</v>
      </c>
      <c r="T2278" t="str">
        <f t="shared" si="142"/>
        <v>UNIQUE</v>
      </c>
      <c r="U2278" t="str">
        <f>IF(ISBLANK(Table1[[#This Row],[SizeOption]]),"NOT AVAILABLE",Table1[[#This Row],[SizeOption]])</f>
        <v>S, M, L, XL, XXL</v>
      </c>
      <c r="Y2278" t="str">
        <f>IF(Table2[[#This Row],[Column1]]&gt;50%,"HIGH DISCOUNT","LOW DISCOUNT")</f>
        <v>HIGH DISCOUNT</v>
      </c>
    </row>
    <row r="2279" spans="1:25" x14ac:dyDescent="0.25">
      <c r="A2279" s="2" t="s">
        <v>4846</v>
      </c>
      <c r="B2279" s="2">
        <v>16322580</v>
      </c>
      <c r="C2279" s="2" t="s">
        <v>67</v>
      </c>
      <c r="D2279" s="2" t="s">
        <v>68</v>
      </c>
      <c r="E2279" s="2" t="s">
        <v>42</v>
      </c>
      <c r="F2279" s="2" t="s">
        <v>17</v>
      </c>
      <c r="G2279" s="2" t="s">
        <v>4847</v>
      </c>
      <c r="I2279" s="2">
        <v>1798</v>
      </c>
      <c r="J2279" s="2"/>
      <c r="K2279" s="2" t="s">
        <v>1188</v>
      </c>
      <c r="L2279" s="2">
        <v>4.2</v>
      </c>
      <c r="M2279" s="2">
        <v>667</v>
      </c>
      <c r="P2279" t="str">
        <f t="shared" si="143"/>
        <v/>
      </c>
      <c r="Q2279" s="12" t="str">
        <f t="shared" si="140"/>
        <v/>
      </c>
      <c r="R2279" s="9" t="str">
        <f t="shared" si="141"/>
        <v/>
      </c>
      <c r="S2279" s="9">
        <f>IF(R2279="",AVERAGEIF(Table1[Category],Table1[[#This Row],[Category]],Table2[orignal data]),Table2[[#This Row],[orignal data]])</f>
        <v>734.32085365853686</v>
      </c>
      <c r="T2279" t="str">
        <f t="shared" si="142"/>
        <v>UNIQUE</v>
      </c>
      <c r="U2279" t="str">
        <f>IF(ISBLANK(Table1[[#This Row],[SizeOption]]),"NOT AVAILABLE",Table1[[#This Row],[SizeOption]])</f>
        <v>S, M, XL, XXL, L</v>
      </c>
      <c r="Y2279" t="str">
        <f>IF(Table2[[#This Row],[Column1]]&gt;50%,"HIGH DISCOUNT","LOW DISCOUNT")</f>
        <v>HIGH DISCOUNT</v>
      </c>
    </row>
    <row r="2280" spans="1:25" x14ac:dyDescent="0.25">
      <c r="A2280" s="1" t="s">
        <v>4848</v>
      </c>
      <c r="B2280" s="1">
        <v>11462772</v>
      </c>
      <c r="C2280" s="1" t="s">
        <v>14</v>
      </c>
      <c r="D2280" s="1" t="s">
        <v>28</v>
      </c>
      <c r="E2280" s="1" t="s">
        <v>42</v>
      </c>
      <c r="F2280" s="1" t="s">
        <v>17</v>
      </c>
      <c r="G2280" s="1" t="s">
        <v>4849</v>
      </c>
      <c r="H2280">
        <v>454</v>
      </c>
      <c r="I2280" s="1">
        <v>1299</v>
      </c>
      <c r="J2280" s="1" t="s">
        <v>150</v>
      </c>
      <c r="K2280" s="1" t="s">
        <v>26</v>
      </c>
      <c r="L2280" s="1">
        <v>4.2</v>
      </c>
      <c r="M2280" s="1">
        <v>667</v>
      </c>
      <c r="P2280" t="str">
        <f t="shared" si="143"/>
        <v>65%</v>
      </c>
      <c r="Q2280" s="12">
        <f t="shared" si="140"/>
        <v>0.65</v>
      </c>
      <c r="R2280" s="9">
        <f t="shared" si="141"/>
        <v>454.65</v>
      </c>
      <c r="S2280" s="9">
        <f>IF(R2280="",AVERAGEIF(Table1[Category],Table1[[#This Row],[Category]],Table2[orignal data]),Table2[[#This Row],[orignal data]])</f>
        <v>454.65</v>
      </c>
      <c r="T2280" t="str">
        <f t="shared" si="142"/>
        <v>UNIQUE</v>
      </c>
      <c r="U2280" t="str">
        <f>IF(ISBLANK(Table1[[#This Row],[SizeOption]]),"NOT AVAILABLE",Table1[[#This Row],[SizeOption]])</f>
        <v>S, M, L, XL</v>
      </c>
      <c r="Y2280" t="str">
        <f>IF(Table2[[#This Row],[Column1]]&gt;50%,"HIGH DISCOUNT","LOW DISCOUNT")</f>
        <v>HIGH DISCOUNT</v>
      </c>
    </row>
    <row r="2281" spans="1:25" x14ac:dyDescent="0.25">
      <c r="A2281" s="2" t="s">
        <v>4850</v>
      </c>
      <c r="B2281" s="2">
        <v>1908863</v>
      </c>
      <c r="C2281" s="2" t="s">
        <v>762</v>
      </c>
      <c r="D2281" s="2" t="s">
        <v>34</v>
      </c>
      <c r="E2281" s="2" t="s">
        <v>118</v>
      </c>
      <c r="F2281" s="2" t="s">
        <v>36</v>
      </c>
      <c r="G2281" s="2" t="s">
        <v>4851</v>
      </c>
      <c r="H2281">
        <v>853</v>
      </c>
      <c r="I2281" s="2">
        <v>898</v>
      </c>
      <c r="J2281" s="2" t="s">
        <v>764</v>
      </c>
      <c r="K2281" s="2" t="s">
        <v>765</v>
      </c>
      <c r="L2281" s="2">
        <v>4.2</v>
      </c>
      <c r="M2281" s="2">
        <v>667</v>
      </c>
      <c r="P2281" t="str">
        <f t="shared" si="143"/>
        <v>5%</v>
      </c>
      <c r="Q2281" s="12">
        <f t="shared" si="140"/>
        <v>0.05</v>
      </c>
      <c r="R2281" s="9">
        <f t="shared" si="141"/>
        <v>853.1</v>
      </c>
      <c r="S2281" s="9">
        <f>IF(R2281="",AVERAGEIF(Table1[Category],Table1[[#This Row],[Category]],Table2[orignal data]),Table2[[#This Row],[orignal data]])</f>
        <v>853.1</v>
      </c>
      <c r="T2281" t="str">
        <f t="shared" si="142"/>
        <v>UNIQUE</v>
      </c>
      <c r="U2281" t="str">
        <f>IF(ISBLANK(Table1[[#This Row],[SizeOption]]),"NOT AVAILABLE",Table1[[#This Row],[SizeOption]])</f>
        <v>30B, 32B, 34B, 36B, 38B, 40B</v>
      </c>
      <c r="Y2281" t="str">
        <f>IF(Table2[[#This Row],[Column1]]&gt;50%,"HIGH DISCOUNT","LOW DISCOUNT")</f>
        <v>LOW DISCOUNT</v>
      </c>
    </row>
    <row r="2282" spans="1:25" x14ac:dyDescent="0.25">
      <c r="A2282" s="1" t="s">
        <v>4852</v>
      </c>
      <c r="B2282" s="1">
        <v>2339837</v>
      </c>
      <c r="C2282" s="1" t="s">
        <v>377</v>
      </c>
      <c r="D2282" s="1" t="s">
        <v>98</v>
      </c>
      <c r="E2282" s="1" t="s">
        <v>53</v>
      </c>
      <c r="F2282" s="1" t="s">
        <v>36</v>
      </c>
      <c r="G2282" s="1" t="s">
        <v>4853</v>
      </c>
      <c r="H2282">
        <v>623</v>
      </c>
      <c r="I2282" s="1">
        <v>1299</v>
      </c>
      <c r="J2282" s="1" t="s">
        <v>208</v>
      </c>
      <c r="K2282" s="1" t="s">
        <v>20</v>
      </c>
      <c r="L2282" s="1">
        <v>4.2</v>
      </c>
      <c r="M2282" s="1">
        <v>667</v>
      </c>
      <c r="P2282" t="str">
        <f t="shared" si="143"/>
        <v>52%</v>
      </c>
      <c r="Q2282" s="12">
        <f t="shared" si="140"/>
        <v>0.52</v>
      </c>
      <c r="R2282" s="9">
        <f t="shared" si="141"/>
        <v>623.52</v>
      </c>
      <c r="S2282" s="9">
        <f>IF(R2282="",AVERAGEIF(Table1[Category],Table1[[#This Row],[Category]],Table2[orignal data]),Table2[[#This Row],[orignal data]])</f>
        <v>623.52</v>
      </c>
      <c r="T2282" t="str">
        <f t="shared" si="142"/>
        <v>UNIQUE</v>
      </c>
      <c r="U2282" t="str">
        <f>IF(ISBLANK(Table1[[#This Row],[SizeOption]]),"NOT AVAILABLE",Table1[[#This Row],[SizeOption]])</f>
        <v>28, 30, 32, 34, 36</v>
      </c>
      <c r="Y2282" t="str">
        <f>IF(Table2[[#This Row],[Column1]]&gt;50%,"HIGH DISCOUNT","LOW DISCOUNT")</f>
        <v>HIGH DISCOUNT</v>
      </c>
    </row>
    <row r="2283" spans="1:25" x14ac:dyDescent="0.25">
      <c r="A2283" s="2" t="s">
        <v>4854</v>
      </c>
      <c r="B2283" s="2">
        <v>12545650</v>
      </c>
      <c r="C2283" s="2" t="s">
        <v>64</v>
      </c>
      <c r="D2283" s="2" t="s">
        <v>98</v>
      </c>
      <c r="E2283" s="2" t="s">
        <v>16</v>
      </c>
      <c r="F2283" s="2" t="s">
        <v>36</v>
      </c>
      <c r="G2283" s="2" t="s">
        <v>642</v>
      </c>
      <c r="H2283">
        <v>839</v>
      </c>
      <c r="I2283" s="2">
        <v>2099</v>
      </c>
      <c r="J2283" s="2" t="s">
        <v>141</v>
      </c>
      <c r="K2283" s="2" t="s">
        <v>643</v>
      </c>
      <c r="L2283" s="2">
        <v>4.2</v>
      </c>
      <c r="M2283" s="2">
        <v>667</v>
      </c>
      <c r="P2283" t="str">
        <f t="shared" si="143"/>
        <v>60%</v>
      </c>
      <c r="Q2283" s="12">
        <f t="shared" si="140"/>
        <v>0.6</v>
      </c>
      <c r="R2283" s="9">
        <f t="shared" si="141"/>
        <v>839.60000000000014</v>
      </c>
      <c r="S2283" s="9">
        <f>IF(R2283="",AVERAGEIF(Table1[Category],Table1[[#This Row],[Category]],Table2[orignal data]),Table2[[#This Row],[orignal data]])</f>
        <v>839.60000000000014</v>
      </c>
      <c r="T2283" t="str">
        <f t="shared" si="142"/>
        <v>UNIQUE</v>
      </c>
      <c r="U2283" t="str">
        <f>IF(ISBLANK(Table1[[#This Row],[SizeOption]]),"NOT AVAILABLE",Table1[[#This Row],[SizeOption]])</f>
        <v>26, 28, 30, 32, 34, 36, 38, 40</v>
      </c>
      <c r="Y2283" t="str">
        <f>IF(Table2[[#This Row],[Column1]]&gt;50%,"HIGH DISCOUNT","LOW DISCOUNT")</f>
        <v>HIGH DISCOUNT</v>
      </c>
    </row>
    <row r="2284" spans="1:25" x14ac:dyDescent="0.25">
      <c r="A2284" s="1" t="s">
        <v>4855</v>
      </c>
      <c r="B2284" s="1">
        <v>11364458</v>
      </c>
      <c r="C2284" s="1" t="s">
        <v>181</v>
      </c>
      <c r="D2284" s="1" t="s">
        <v>41</v>
      </c>
      <c r="E2284" s="1" t="s">
        <v>148</v>
      </c>
      <c r="F2284" s="1" t="s">
        <v>36</v>
      </c>
      <c r="G2284" s="1" t="s">
        <v>4856</v>
      </c>
      <c r="I2284" s="1">
        <v>1999</v>
      </c>
      <c r="J2284" s="1" t="s">
        <v>163</v>
      </c>
      <c r="K2284" s="1" t="s">
        <v>115</v>
      </c>
      <c r="L2284" s="1">
        <v>4.2</v>
      </c>
      <c r="M2284" s="1">
        <v>667</v>
      </c>
      <c r="P2284" t="str">
        <f t="shared" si="143"/>
        <v>51%</v>
      </c>
      <c r="Q2284" s="12">
        <f t="shared" si="140"/>
        <v>0.51</v>
      </c>
      <c r="R2284" s="9">
        <f t="shared" si="141"/>
        <v>979.51</v>
      </c>
      <c r="S2284" s="9">
        <f>IF(R2284="",AVERAGEIF(Table1[Category],Table1[[#This Row],[Category]],Table2[orignal data]),Table2[[#This Row],[orignal data]])</f>
        <v>979.51</v>
      </c>
      <c r="T2284" t="str">
        <f t="shared" si="142"/>
        <v>UNIQUE</v>
      </c>
      <c r="U2284" t="str">
        <f>IF(ISBLANK(Table1[[#This Row],[SizeOption]]),"NOT AVAILABLE",Table1[[#This Row],[SizeOption]])</f>
        <v>XS, S, M, L, XL, XXL</v>
      </c>
      <c r="Y2284" t="str">
        <f>IF(Table2[[#This Row],[Column1]]&gt;50%,"HIGH DISCOUNT","LOW DISCOUNT")</f>
        <v>HIGH DISCOUNT</v>
      </c>
    </row>
    <row r="2285" spans="1:25" x14ac:dyDescent="0.25">
      <c r="A2285" s="2" t="s">
        <v>4857</v>
      </c>
      <c r="B2285" s="2">
        <v>7574907</v>
      </c>
      <c r="C2285" s="2" t="s">
        <v>1506</v>
      </c>
      <c r="D2285" s="2" t="s">
        <v>28</v>
      </c>
      <c r="E2285" s="2" t="s">
        <v>306</v>
      </c>
      <c r="F2285" s="2" t="s">
        <v>17</v>
      </c>
      <c r="G2285" s="2" t="s">
        <v>4858</v>
      </c>
      <c r="H2285">
        <v>749</v>
      </c>
      <c r="I2285" s="2">
        <v>1499</v>
      </c>
      <c r="J2285" s="2" t="s">
        <v>84</v>
      </c>
      <c r="K2285" s="2" t="s">
        <v>1341</v>
      </c>
      <c r="L2285" s="2">
        <v>4.2</v>
      </c>
      <c r="M2285" s="2">
        <v>666</v>
      </c>
      <c r="P2285" t="str">
        <f t="shared" si="143"/>
        <v>50%</v>
      </c>
      <c r="Q2285" s="12">
        <f t="shared" si="140"/>
        <v>0.5</v>
      </c>
      <c r="R2285" s="9">
        <f t="shared" si="141"/>
        <v>749.5</v>
      </c>
      <c r="S2285" s="9">
        <f>IF(R2285="",AVERAGEIF(Table1[Category],Table1[[#This Row],[Category]],Table2[orignal data]),Table2[[#This Row],[orignal data]])</f>
        <v>749.5</v>
      </c>
      <c r="T2285" t="str">
        <f t="shared" si="142"/>
        <v>UNIQUE</v>
      </c>
      <c r="U2285" t="str">
        <f>IF(ISBLANK(Table1[[#This Row],[SizeOption]]),"NOT AVAILABLE",Table1[[#This Row],[SizeOption]])</f>
        <v>M, L, XL</v>
      </c>
      <c r="Y2285" t="str">
        <f>IF(Table2[[#This Row],[Column1]]&gt;50%,"HIGH DISCOUNT","LOW DISCOUNT")</f>
        <v>LOW DISCOUNT</v>
      </c>
    </row>
    <row r="2286" spans="1:25" x14ac:dyDescent="0.25">
      <c r="A2286" s="1" t="s">
        <v>4859</v>
      </c>
      <c r="B2286" s="1">
        <v>8349517</v>
      </c>
      <c r="C2286" s="1" t="s">
        <v>97</v>
      </c>
      <c r="D2286" s="1" t="s">
        <v>76</v>
      </c>
      <c r="E2286" s="1" t="s">
        <v>48</v>
      </c>
      <c r="F2286" s="1" t="s">
        <v>36</v>
      </c>
      <c r="G2286" s="1" t="s">
        <v>4860</v>
      </c>
      <c r="H2286">
        <v>779</v>
      </c>
      <c r="I2286" s="1">
        <v>1299</v>
      </c>
      <c r="J2286" s="1" t="s">
        <v>50</v>
      </c>
      <c r="K2286" s="1" t="s">
        <v>100</v>
      </c>
      <c r="L2286" s="1">
        <v>4.3</v>
      </c>
      <c r="M2286" s="1">
        <v>666</v>
      </c>
      <c r="P2286" t="str">
        <f t="shared" si="143"/>
        <v>40%</v>
      </c>
      <c r="Q2286" s="12">
        <f t="shared" si="140"/>
        <v>0.4</v>
      </c>
      <c r="R2286" s="9">
        <f t="shared" si="141"/>
        <v>779.4</v>
      </c>
      <c r="S2286" s="9">
        <f>IF(R2286="",AVERAGEIF(Table1[Category],Table1[[#This Row],[Category]],Table2[orignal data]),Table2[[#This Row],[orignal data]])</f>
        <v>779.4</v>
      </c>
      <c r="T2286" t="str">
        <f t="shared" si="142"/>
        <v>UNIQUE</v>
      </c>
      <c r="U2286" t="str">
        <f>IF(ISBLANK(Table1[[#This Row],[SizeOption]]),"NOT AVAILABLE",Table1[[#This Row],[SizeOption]])</f>
        <v>XS, S, M, L, XL, XXL, 3XL</v>
      </c>
      <c r="Y2286" t="str">
        <f>IF(Table2[[#This Row],[Column1]]&gt;50%,"HIGH DISCOUNT","LOW DISCOUNT")</f>
        <v>LOW DISCOUNT</v>
      </c>
    </row>
    <row r="2287" spans="1:25" x14ac:dyDescent="0.25">
      <c r="A2287" s="2" t="s">
        <v>4861</v>
      </c>
      <c r="B2287" s="2">
        <v>7800263</v>
      </c>
      <c r="C2287" s="2" t="s">
        <v>64</v>
      </c>
      <c r="D2287" s="2" t="s">
        <v>76</v>
      </c>
      <c r="E2287" s="2" t="s">
        <v>93</v>
      </c>
      <c r="F2287" s="2" t="s">
        <v>36</v>
      </c>
      <c r="G2287" s="2" t="s">
        <v>4862</v>
      </c>
      <c r="H2287">
        <v>879</v>
      </c>
      <c r="I2287" s="2">
        <v>2199</v>
      </c>
      <c r="J2287" s="2" t="s">
        <v>55</v>
      </c>
      <c r="K2287" s="2" t="s">
        <v>100</v>
      </c>
      <c r="L2287" s="2">
        <v>4.0999999999999996</v>
      </c>
      <c r="M2287" s="2">
        <v>666</v>
      </c>
      <c r="P2287" t="str">
        <f t="shared" si="143"/>
        <v>60%</v>
      </c>
      <c r="Q2287" s="12">
        <f t="shared" si="140"/>
        <v>0.6</v>
      </c>
      <c r="R2287" s="9">
        <f t="shared" si="141"/>
        <v>879.60000000000014</v>
      </c>
      <c r="S2287" s="9">
        <f>IF(R2287="",AVERAGEIF(Table1[Category],Table1[[#This Row],[Category]],Table2[orignal data]),Table2[[#This Row],[orignal data]])</f>
        <v>879.60000000000014</v>
      </c>
      <c r="T2287" t="str">
        <f t="shared" si="142"/>
        <v>UNIQUE</v>
      </c>
      <c r="U2287" t="str">
        <f>IF(ISBLANK(Table1[[#This Row],[SizeOption]]),"NOT AVAILABLE",Table1[[#This Row],[SizeOption]])</f>
        <v>XS, S, M, L, XL, XXL, 3XL</v>
      </c>
      <c r="Y2287" t="str">
        <f>IF(Table2[[#This Row],[Column1]]&gt;50%,"HIGH DISCOUNT","LOW DISCOUNT")</f>
        <v>HIGH DISCOUNT</v>
      </c>
    </row>
    <row r="2288" spans="1:25" x14ac:dyDescent="0.25">
      <c r="A2288" s="1" t="s">
        <v>4863</v>
      </c>
      <c r="B2288" s="1">
        <v>11711838</v>
      </c>
      <c r="C2288" s="1" t="s">
        <v>47</v>
      </c>
      <c r="D2288" s="1" t="s">
        <v>41</v>
      </c>
      <c r="E2288" s="1" t="s">
        <v>48</v>
      </c>
      <c r="F2288" s="1" t="s">
        <v>36</v>
      </c>
      <c r="G2288" s="1" t="s">
        <v>4864</v>
      </c>
      <c r="I2288" s="1">
        <v>1099</v>
      </c>
      <c r="J2288" s="1" t="s">
        <v>19</v>
      </c>
      <c r="K2288" s="1" t="s">
        <v>45</v>
      </c>
      <c r="L2288" s="1">
        <v>4.2</v>
      </c>
      <c r="M2288" s="1">
        <v>666</v>
      </c>
      <c r="P2288" t="str">
        <f t="shared" si="143"/>
        <v>45%</v>
      </c>
      <c r="Q2288" s="12">
        <f t="shared" si="140"/>
        <v>0.45</v>
      </c>
      <c r="R2288" s="9">
        <f t="shared" si="141"/>
        <v>604.45000000000005</v>
      </c>
      <c r="S2288" s="9">
        <f>IF(R2288="",AVERAGEIF(Table1[Category],Table1[[#This Row],[Category]],Table2[orignal data]),Table2[[#This Row],[orignal data]])</f>
        <v>604.45000000000005</v>
      </c>
      <c r="T2288" t="str">
        <f t="shared" si="142"/>
        <v>UNIQUE</v>
      </c>
      <c r="U2288" t="str">
        <f>IF(ISBLANK(Table1[[#This Row],[SizeOption]]),"NOT AVAILABLE",Table1[[#This Row],[SizeOption]])</f>
        <v>XS, S, M, L, XL</v>
      </c>
      <c r="Y2288" t="str">
        <f>IF(Table2[[#This Row],[Column1]]&gt;50%,"HIGH DISCOUNT","LOW DISCOUNT")</f>
        <v>LOW DISCOUNT</v>
      </c>
    </row>
    <row r="2289" spans="1:25" x14ac:dyDescent="0.25">
      <c r="A2289" s="2" t="s">
        <v>4865</v>
      </c>
      <c r="B2289" s="2">
        <v>13780874</v>
      </c>
      <c r="C2289" s="2" t="s">
        <v>499</v>
      </c>
      <c r="D2289" s="2" t="s">
        <v>41</v>
      </c>
      <c r="E2289" s="2" t="s">
        <v>148</v>
      </c>
      <c r="F2289" s="2" t="s">
        <v>36</v>
      </c>
      <c r="G2289" s="2" t="s">
        <v>4866</v>
      </c>
      <c r="I2289" s="2">
        <v>2399</v>
      </c>
      <c r="J2289" s="2" t="s">
        <v>25</v>
      </c>
      <c r="K2289" s="2" t="s">
        <v>115</v>
      </c>
      <c r="L2289" s="2">
        <v>4.3</v>
      </c>
      <c r="M2289" s="2">
        <v>666</v>
      </c>
      <c r="P2289" t="str">
        <f t="shared" si="143"/>
        <v>55%</v>
      </c>
      <c r="Q2289" s="12">
        <f t="shared" si="140"/>
        <v>0.55000000000000004</v>
      </c>
      <c r="R2289" s="9">
        <f t="shared" si="141"/>
        <v>1079.55</v>
      </c>
      <c r="S2289" s="9">
        <f>IF(R2289="",AVERAGEIF(Table1[Category],Table1[[#This Row],[Category]],Table2[orignal data]),Table2[[#This Row],[orignal data]])</f>
        <v>1079.55</v>
      </c>
      <c r="T2289" t="str">
        <f t="shared" si="142"/>
        <v>UNIQUE</v>
      </c>
      <c r="U2289" t="str">
        <f>IF(ISBLANK(Table1[[#This Row],[SizeOption]]),"NOT AVAILABLE",Table1[[#This Row],[SizeOption]])</f>
        <v>XS, S, M, L, XL, XXL</v>
      </c>
      <c r="Y2289" t="str">
        <f>IF(Table2[[#This Row],[Column1]]&gt;50%,"HIGH DISCOUNT","LOW DISCOUNT")</f>
        <v>HIGH DISCOUNT</v>
      </c>
    </row>
    <row r="2290" spans="1:25" x14ac:dyDescent="0.25">
      <c r="A2290" s="1" t="s">
        <v>4867</v>
      </c>
      <c r="B2290" s="1">
        <v>10958402</v>
      </c>
      <c r="C2290" s="1" t="s">
        <v>14</v>
      </c>
      <c r="D2290" s="1" t="s">
        <v>41</v>
      </c>
      <c r="E2290" s="1" t="s">
        <v>42</v>
      </c>
      <c r="F2290" s="1" t="s">
        <v>36</v>
      </c>
      <c r="G2290" s="1" t="s">
        <v>4868</v>
      </c>
      <c r="I2290" s="1">
        <v>899</v>
      </c>
      <c r="J2290" s="1" t="s">
        <v>25</v>
      </c>
      <c r="K2290" s="1" t="s">
        <v>45</v>
      </c>
      <c r="L2290" s="1">
        <v>4.2</v>
      </c>
      <c r="M2290" s="1">
        <v>666</v>
      </c>
      <c r="P2290" t="str">
        <f t="shared" si="143"/>
        <v>55%</v>
      </c>
      <c r="Q2290" s="12">
        <f t="shared" si="140"/>
        <v>0.55000000000000004</v>
      </c>
      <c r="R2290" s="9">
        <f t="shared" si="141"/>
        <v>404.54999999999995</v>
      </c>
      <c r="S2290" s="9">
        <f>IF(R2290="",AVERAGEIF(Table1[Category],Table1[[#This Row],[Category]],Table2[orignal data]),Table2[[#This Row],[orignal data]])</f>
        <v>404.54999999999995</v>
      </c>
      <c r="T2290" t="str">
        <f t="shared" si="142"/>
        <v>UNIQUE</v>
      </c>
      <c r="U2290" t="str">
        <f>IF(ISBLANK(Table1[[#This Row],[SizeOption]]),"NOT AVAILABLE",Table1[[#This Row],[SizeOption]])</f>
        <v>XS, S, M, L, XL</v>
      </c>
      <c r="Y2290" t="str">
        <f>IF(Table2[[#This Row],[Column1]]&gt;50%,"HIGH DISCOUNT","LOW DISCOUNT")</f>
        <v>HIGH DISCOUNT</v>
      </c>
    </row>
    <row r="2291" spans="1:25" x14ac:dyDescent="0.25">
      <c r="A2291" s="2" t="s">
        <v>4869</v>
      </c>
      <c r="B2291" s="2">
        <v>10636610</v>
      </c>
      <c r="C2291" s="2" t="s">
        <v>58</v>
      </c>
      <c r="D2291" s="2" t="s">
        <v>41</v>
      </c>
      <c r="E2291" s="2" t="s">
        <v>48</v>
      </c>
      <c r="F2291" s="2" t="s">
        <v>36</v>
      </c>
      <c r="G2291" s="2" t="s">
        <v>4870</v>
      </c>
      <c r="I2291" s="2">
        <v>995</v>
      </c>
      <c r="J2291" s="2" t="s">
        <v>60</v>
      </c>
      <c r="K2291" s="2" t="s">
        <v>26</v>
      </c>
      <c r="L2291" s="2">
        <v>3.3</v>
      </c>
      <c r="M2291" s="2">
        <v>666</v>
      </c>
      <c r="P2291" t="str">
        <f t="shared" si="143"/>
        <v>58%</v>
      </c>
      <c r="Q2291" s="12">
        <f t="shared" si="140"/>
        <v>0.57999999999999996</v>
      </c>
      <c r="R2291" s="9">
        <f t="shared" si="141"/>
        <v>417.90000000000009</v>
      </c>
      <c r="S2291" s="9">
        <f>IF(R2291="",AVERAGEIF(Table1[Category],Table1[[#This Row],[Category]],Table2[orignal data]),Table2[[#This Row],[orignal data]])</f>
        <v>417.90000000000009</v>
      </c>
      <c r="T2291" t="str">
        <f t="shared" si="142"/>
        <v>UNIQUE</v>
      </c>
      <c r="U2291" t="str">
        <f>IF(ISBLANK(Table1[[#This Row],[SizeOption]]),"NOT AVAILABLE",Table1[[#This Row],[SizeOption]])</f>
        <v>S, M, L, XL</v>
      </c>
      <c r="Y2291" t="str">
        <f>IF(Table2[[#This Row],[Column1]]&gt;50%,"HIGH DISCOUNT","LOW DISCOUNT")</f>
        <v>HIGH DISCOUNT</v>
      </c>
    </row>
    <row r="2292" spans="1:25" x14ac:dyDescent="0.25">
      <c r="A2292" s="1" t="s">
        <v>4871</v>
      </c>
      <c r="B2292" s="1">
        <v>2285138</v>
      </c>
      <c r="C2292" s="1" t="s">
        <v>47</v>
      </c>
      <c r="D2292" s="1" t="s">
        <v>15</v>
      </c>
      <c r="E2292" s="1" t="s">
        <v>53</v>
      </c>
      <c r="F2292" s="1" t="s">
        <v>17</v>
      </c>
      <c r="G2292" s="1" t="s">
        <v>4872</v>
      </c>
      <c r="H2292">
        <v>1099</v>
      </c>
      <c r="I2292" s="1">
        <v>1999</v>
      </c>
      <c r="J2292" s="1" t="s">
        <v>19</v>
      </c>
      <c r="K2292" s="1" t="s">
        <v>4873</v>
      </c>
      <c r="L2292" s="1">
        <v>4.3</v>
      </c>
      <c r="M2292" s="1">
        <v>665</v>
      </c>
      <c r="P2292" t="str">
        <f t="shared" si="143"/>
        <v>45%</v>
      </c>
      <c r="Q2292" s="12">
        <f t="shared" si="140"/>
        <v>0.45</v>
      </c>
      <c r="R2292" s="9">
        <f t="shared" si="141"/>
        <v>1099.4499999999998</v>
      </c>
      <c r="S2292" s="9">
        <f>IF(R2292="",AVERAGEIF(Table1[Category],Table1[[#This Row],[Category]],Table2[orignal data]),Table2[[#This Row],[orignal data]])</f>
        <v>1099.4499999999998</v>
      </c>
      <c r="T2292" t="str">
        <f t="shared" si="142"/>
        <v>UNIQUE</v>
      </c>
      <c r="U2292" t="str">
        <f>IF(ISBLANK(Table1[[#This Row],[SizeOption]]),"NOT AVAILABLE",Table1[[#This Row],[SizeOption]])</f>
        <v>28/31, 28/33, 28/29, 30/33, 30/29, 30/31, 32/29, 32/31, 32/33, 34/29, 34/31, 34/33, 36/31, 36/33, 36/29</v>
      </c>
      <c r="Y2292" t="str">
        <f>IF(Table2[[#This Row],[Column1]]&gt;50%,"HIGH DISCOUNT","LOW DISCOUNT")</f>
        <v>LOW DISCOUNT</v>
      </c>
    </row>
    <row r="2293" spans="1:25" x14ac:dyDescent="0.25">
      <c r="A2293" s="2" t="s">
        <v>4874</v>
      </c>
      <c r="B2293" s="2">
        <v>9054883</v>
      </c>
      <c r="C2293" s="2" t="s">
        <v>1176</v>
      </c>
      <c r="D2293" s="2" t="s">
        <v>15</v>
      </c>
      <c r="E2293" s="2" t="s">
        <v>23</v>
      </c>
      <c r="F2293" s="2" t="s">
        <v>17</v>
      </c>
      <c r="G2293" s="2" t="s">
        <v>1339</v>
      </c>
      <c r="H2293">
        <v>651</v>
      </c>
      <c r="I2293" s="2">
        <v>1329</v>
      </c>
      <c r="J2293" s="2" t="s">
        <v>163</v>
      </c>
      <c r="K2293" s="2" t="s">
        <v>1341</v>
      </c>
      <c r="L2293" s="2">
        <v>3.9</v>
      </c>
      <c r="M2293" s="2">
        <v>665</v>
      </c>
      <c r="P2293" t="str">
        <f t="shared" si="143"/>
        <v>51%</v>
      </c>
      <c r="Q2293" s="12">
        <f t="shared" si="140"/>
        <v>0.51</v>
      </c>
      <c r="R2293" s="9">
        <f t="shared" si="141"/>
        <v>651.21</v>
      </c>
      <c r="S2293" s="9">
        <f>IF(R2293="",AVERAGEIF(Table1[Category],Table1[[#This Row],[Category]],Table2[orignal data]),Table2[[#This Row],[orignal data]])</f>
        <v>651.21</v>
      </c>
      <c r="T2293" t="str">
        <f t="shared" si="142"/>
        <v>UNIQUE</v>
      </c>
      <c r="U2293" t="str">
        <f>IF(ISBLANK(Table1[[#This Row],[SizeOption]]),"NOT AVAILABLE",Table1[[#This Row],[SizeOption]])</f>
        <v>M, L, XL</v>
      </c>
      <c r="Y2293" t="str">
        <f>IF(Table2[[#This Row],[Column1]]&gt;50%,"HIGH DISCOUNT","LOW DISCOUNT")</f>
        <v>HIGH DISCOUNT</v>
      </c>
    </row>
    <row r="2294" spans="1:25" x14ac:dyDescent="0.25">
      <c r="A2294" s="1" t="s">
        <v>4875</v>
      </c>
      <c r="B2294" s="1">
        <v>10132013</v>
      </c>
      <c r="C2294" s="1" t="s">
        <v>52</v>
      </c>
      <c r="D2294" s="1" t="s">
        <v>28</v>
      </c>
      <c r="E2294" s="1" t="s">
        <v>42</v>
      </c>
      <c r="F2294" s="1" t="s">
        <v>17</v>
      </c>
      <c r="G2294" s="1" t="s">
        <v>4876</v>
      </c>
      <c r="H2294">
        <v>549</v>
      </c>
      <c r="I2294" s="1">
        <v>1099</v>
      </c>
      <c r="J2294" s="1" t="s">
        <v>84</v>
      </c>
      <c r="K2294" s="1" t="s">
        <v>26</v>
      </c>
      <c r="L2294" s="1">
        <v>4.2</v>
      </c>
      <c r="M2294" s="1">
        <v>665</v>
      </c>
      <c r="P2294" t="str">
        <f t="shared" si="143"/>
        <v>50%</v>
      </c>
      <c r="Q2294" s="12">
        <f t="shared" si="140"/>
        <v>0.5</v>
      </c>
      <c r="R2294" s="9">
        <f t="shared" si="141"/>
        <v>549.5</v>
      </c>
      <c r="S2294" s="9">
        <f>IF(R2294="",AVERAGEIF(Table1[Category],Table1[[#This Row],[Category]],Table2[orignal data]),Table2[[#This Row],[orignal data]])</f>
        <v>549.5</v>
      </c>
      <c r="T2294" t="str">
        <f t="shared" si="142"/>
        <v>UNIQUE</v>
      </c>
      <c r="U2294" t="str">
        <f>IF(ISBLANK(Table1[[#This Row],[SizeOption]]),"NOT AVAILABLE",Table1[[#This Row],[SizeOption]])</f>
        <v>S, M, L, XL</v>
      </c>
      <c r="Y2294" t="str">
        <f>IF(Table2[[#This Row],[Column1]]&gt;50%,"HIGH DISCOUNT","LOW DISCOUNT")</f>
        <v>LOW DISCOUNT</v>
      </c>
    </row>
    <row r="2295" spans="1:25" x14ac:dyDescent="0.25">
      <c r="A2295" s="2" t="s">
        <v>4877</v>
      </c>
      <c r="B2295" s="2">
        <v>1421976</v>
      </c>
      <c r="C2295" s="2" t="s">
        <v>169</v>
      </c>
      <c r="D2295" s="2" t="s">
        <v>28</v>
      </c>
      <c r="E2295" s="2" t="s">
        <v>42</v>
      </c>
      <c r="F2295" s="2" t="s">
        <v>17</v>
      </c>
      <c r="G2295" s="2" t="s">
        <v>4878</v>
      </c>
      <c r="H2295">
        <v>899</v>
      </c>
      <c r="I2295" s="2">
        <v>1499</v>
      </c>
      <c r="J2295" s="2" t="s">
        <v>50</v>
      </c>
      <c r="K2295" s="2" t="s">
        <v>39</v>
      </c>
      <c r="L2295" s="2">
        <v>4.0999999999999996</v>
      </c>
      <c r="M2295" s="2">
        <v>665</v>
      </c>
      <c r="P2295" t="str">
        <f t="shared" si="143"/>
        <v>40%</v>
      </c>
      <c r="Q2295" s="12">
        <f t="shared" si="140"/>
        <v>0.4</v>
      </c>
      <c r="R2295" s="9">
        <f t="shared" si="141"/>
        <v>899.4</v>
      </c>
      <c r="S2295" s="9">
        <f>IF(R2295="",AVERAGEIF(Table1[Category],Table1[[#This Row],[Category]],Table2[orignal data]),Table2[[#This Row],[orignal data]])</f>
        <v>899.4</v>
      </c>
      <c r="T2295" t="str">
        <f t="shared" si="142"/>
        <v>UNIQUE</v>
      </c>
      <c r="U2295" t="str">
        <f>IF(ISBLANK(Table1[[#This Row],[SizeOption]]),"NOT AVAILABLE",Table1[[#This Row],[SizeOption]])</f>
        <v>S, M, L, XL, XXL</v>
      </c>
      <c r="Y2295" t="str">
        <f>IF(Table2[[#This Row],[Column1]]&gt;50%,"HIGH DISCOUNT","LOW DISCOUNT")</f>
        <v>LOW DISCOUNT</v>
      </c>
    </row>
    <row r="2296" spans="1:25" x14ac:dyDescent="0.25">
      <c r="A2296" s="1" t="s">
        <v>4879</v>
      </c>
      <c r="B2296" s="1">
        <v>11363382</v>
      </c>
      <c r="C2296" s="1" t="s">
        <v>169</v>
      </c>
      <c r="D2296" s="1" t="s">
        <v>28</v>
      </c>
      <c r="E2296" s="1" t="s">
        <v>42</v>
      </c>
      <c r="F2296" s="1" t="s">
        <v>17</v>
      </c>
      <c r="G2296" s="1" t="s">
        <v>4880</v>
      </c>
      <c r="H2296">
        <v>399</v>
      </c>
      <c r="I2296" s="1">
        <v>799</v>
      </c>
      <c r="J2296" s="1" t="s">
        <v>84</v>
      </c>
      <c r="K2296" s="1" t="s">
        <v>39</v>
      </c>
      <c r="L2296" s="1">
        <v>4.3</v>
      </c>
      <c r="M2296" s="1">
        <v>665</v>
      </c>
      <c r="P2296" t="str">
        <f t="shared" si="143"/>
        <v>50%</v>
      </c>
      <c r="Q2296" s="12">
        <f t="shared" si="140"/>
        <v>0.5</v>
      </c>
      <c r="R2296" s="9">
        <f t="shared" si="141"/>
        <v>399.5</v>
      </c>
      <c r="S2296" s="9">
        <f>IF(R2296="",AVERAGEIF(Table1[Category],Table1[[#This Row],[Category]],Table2[orignal data]),Table2[[#This Row],[orignal data]])</f>
        <v>399.5</v>
      </c>
      <c r="T2296" t="str">
        <f t="shared" si="142"/>
        <v>UNIQUE</v>
      </c>
      <c r="U2296" t="str">
        <f>IF(ISBLANK(Table1[[#This Row],[SizeOption]]),"NOT AVAILABLE",Table1[[#This Row],[SizeOption]])</f>
        <v>S, M, L, XL, XXL</v>
      </c>
      <c r="Y2296" t="str">
        <f>IF(Table2[[#This Row],[Column1]]&gt;50%,"HIGH DISCOUNT","LOW DISCOUNT")</f>
        <v>LOW DISCOUNT</v>
      </c>
    </row>
    <row r="2297" spans="1:25" x14ac:dyDescent="0.25">
      <c r="A2297" s="2" t="s">
        <v>4881</v>
      </c>
      <c r="B2297" s="2">
        <v>12015756</v>
      </c>
      <c r="C2297" s="2" t="s">
        <v>837</v>
      </c>
      <c r="D2297" s="2" t="s">
        <v>76</v>
      </c>
      <c r="E2297" s="2" t="s">
        <v>320</v>
      </c>
      <c r="F2297" s="2" t="s">
        <v>36</v>
      </c>
      <c r="G2297" s="2" t="s">
        <v>4882</v>
      </c>
      <c r="H2297">
        <v>548</v>
      </c>
      <c r="I2297" s="2">
        <v>1770</v>
      </c>
      <c r="J2297" s="2" t="s">
        <v>731</v>
      </c>
      <c r="K2297" s="2" t="s">
        <v>164</v>
      </c>
      <c r="L2297" s="2">
        <v>4</v>
      </c>
      <c r="M2297" s="2">
        <v>665</v>
      </c>
      <c r="P2297" t="str">
        <f t="shared" si="143"/>
        <v>69%</v>
      </c>
      <c r="Q2297" s="12">
        <f t="shared" si="140"/>
        <v>0.69</v>
      </c>
      <c r="R2297" s="9">
        <f t="shared" si="141"/>
        <v>548.70000000000005</v>
      </c>
      <c r="S2297" s="9">
        <f>IF(R2297="",AVERAGEIF(Table1[Category],Table1[[#This Row],[Category]],Table2[orignal data]),Table2[[#This Row],[orignal data]])</f>
        <v>548.70000000000005</v>
      </c>
      <c r="T2297" t="str">
        <f t="shared" si="142"/>
        <v>UNIQUE</v>
      </c>
      <c r="U2297" t="str">
        <f>IF(ISBLANK(Table1[[#This Row],[SizeOption]]),"NOT AVAILABLE",Table1[[#This Row],[SizeOption]])</f>
        <v>Onesize</v>
      </c>
      <c r="Y2297" t="str">
        <f>IF(Table2[[#This Row],[Column1]]&gt;50%,"HIGH DISCOUNT","LOW DISCOUNT")</f>
        <v>HIGH DISCOUNT</v>
      </c>
    </row>
    <row r="2298" spans="1:25" x14ac:dyDescent="0.25">
      <c r="A2298" s="1" t="s">
        <v>4883</v>
      </c>
      <c r="B2298" s="1">
        <v>10430624</v>
      </c>
      <c r="C2298" s="1" t="s">
        <v>4884</v>
      </c>
      <c r="D2298" s="1" t="s">
        <v>76</v>
      </c>
      <c r="E2298" s="1" t="s">
        <v>93</v>
      </c>
      <c r="F2298" s="1" t="s">
        <v>36</v>
      </c>
      <c r="G2298" s="1" t="s">
        <v>4885</v>
      </c>
      <c r="H2298">
        <v>1037</v>
      </c>
      <c r="I2298" s="1">
        <v>2075</v>
      </c>
      <c r="J2298" s="1" t="s">
        <v>84</v>
      </c>
      <c r="K2298" s="1" t="s">
        <v>115</v>
      </c>
      <c r="L2298" s="1">
        <v>4.4000000000000004</v>
      </c>
      <c r="M2298" s="1">
        <v>665</v>
      </c>
      <c r="P2298" t="str">
        <f t="shared" si="143"/>
        <v>50%</v>
      </c>
      <c r="Q2298" s="12">
        <f t="shared" si="140"/>
        <v>0.5</v>
      </c>
      <c r="R2298" s="9">
        <f t="shared" si="141"/>
        <v>1037.5</v>
      </c>
      <c r="S2298" s="9">
        <f>IF(R2298="",AVERAGEIF(Table1[Category],Table1[[#This Row],[Category]],Table2[orignal data]),Table2[[#This Row],[orignal data]])</f>
        <v>1037.5</v>
      </c>
      <c r="T2298" t="str">
        <f t="shared" si="142"/>
        <v>UNIQUE</v>
      </c>
      <c r="U2298" t="str">
        <f>IF(ISBLANK(Table1[[#This Row],[SizeOption]]),"NOT AVAILABLE",Table1[[#This Row],[SizeOption]])</f>
        <v>XS, S, M, L, XL, XXL</v>
      </c>
      <c r="Y2298" t="str">
        <f>IF(Table2[[#This Row],[Column1]]&gt;50%,"HIGH DISCOUNT","LOW DISCOUNT")</f>
        <v>LOW DISCOUNT</v>
      </c>
    </row>
    <row r="2299" spans="1:25" x14ac:dyDescent="0.25">
      <c r="A2299" s="2" t="s">
        <v>4886</v>
      </c>
      <c r="B2299" s="2">
        <v>12009522</v>
      </c>
      <c r="C2299" s="2" t="s">
        <v>102</v>
      </c>
      <c r="D2299" s="2" t="s">
        <v>41</v>
      </c>
      <c r="E2299" s="2" t="s">
        <v>137</v>
      </c>
      <c r="F2299" s="2" t="s">
        <v>36</v>
      </c>
      <c r="G2299" s="2" t="s">
        <v>4887</v>
      </c>
      <c r="I2299" s="2">
        <v>1049</v>
      </c>
      <c r="J2299" s="2" t="s">
        <v>130</v>
      </c>
      <c r="K2299" s="2" t="s">
        <v>105</v>
      </c>
      <c r="L2299" s="2">
        <v>4</v>
      </c>
      <c r="M2299" s="2">
        <v>665</v>
      </c>
      <c r="P2299" t="str">
        <f t="shared" si="143"/>
        <v>57%</v>
      </c>
      <c r="Q2299" s="12">
        <f t="shared" si="140"/>
        <v>0.56999999999999995</v>
      </c>
      <c r="R2299" s="9">
        <f t="shared" si="141"/>
        <v>451.07000000000005</v>
      </c>
      <c r="S2299" s="9">
        <f>IF(R2299="",AVERAGEIF(Table1[Category],Table1[[#This Row],[Category]],Table2[orignal data]),Table2[[#This Row],[orignal data]])</f>
        <v>451.07000000000005</v>
      </c>
      <c r="T2299" t="str">
        <f t="shared" si="142"/>
        <v>UNIQUE</v>
      </c>
      <c r="U2299" t="str">
        <f>IF(ISBLANK(Table1[[#This Row],[SizeOption]]),"NOT AVAILABLE",Table1[[#This Row],[SizeOption]])</f>
        <v>28, 30, 32, 34</v>
      </c>
      <c r="Y2299" t="str">
        <f>IF(Table2[[#This Row],[Column1]]&gt;50%,"HIGH DISCOUNT","LOW DISCOUNT")</f>
        <v>HIGH DISCOUNT</v>
      </c>
    </row>
    <row r="2300" spans="1:25" x14ac:dyDescent="0.25">
      <c r="A2300" s="1" t="s">
        <v>4888</v>
      </c>
      <c r="B2300" s="1">
        <v>17525546</v>
      </c>
      <c r="C2300" s="1" t="s">
        <v>47</v>
      </c>
      <c r="D2300" s="1" t="s">
        <v>41</v>
      </c>
      <c r="E2300" s="1" t="s">
        <v>42</v>
      </c>
      <c r="F2300" s="1" t="s">
        <v>36</v>
      </c>
      <c r="G2300" s="1" t="s">
        <v>4889</v>
      </c>
      <c r="I2300" s="1">
        <v>1598</v>
      </c>
      <c r="J2300" s="1"/>
      <c r="K2300" s="1" t="s">
        <v>1234</v>
      </c>
      <c r="L2300" s="1">
        <v>4.4000000000000004</v>
      </c>
      <c r="M2300" s="1">
        <v>665</v>
      </c>
      <c r="P2300" t="str">
        <f t="shared" si="143"/>
        <v/>
      </c>
      <c r="Q2300" s="12" t="str">
        <f t="shared" si="140"/>
        <v/>
      </c>
      <c r="R2300" s="9" t="str">
        <f t="shared" si="141"/>
        <v/>
      </c>
      <c r="S2300" s="9">
        <f>IF(R2300="",AVERAGEIF(Table1[Category],Table1[[#This Row],[Category]],Table2[orignal data]),Table2[[#This Row],[orignal data]])</f>
        <v>715.78890751086249</v>
      </c>
      <c r="T2300" t="str">
        <f t="shared" si="142"/>
        <v>UNIQUE</v>
      </c>
      <c r="U2300" t="str">
        <f>IF(ISBLANK(Table1[[#This Row],[SizeOption]]),"NOT AVAILABLE",Table1[[#This Row],[SizeOption]])</f>
        <v>XL, L, M, S, XS</v>
      </c>
      <c r="Y2300" t="str">
        <f>IF(Table2[[#This Row],[Column1]]&gt;50%,"HIGH DISCOUNT","LOW DISCOUNT")</f>
        <v>HIGH DISCOUNT</v>
      </c>
    </row>
    <row r="2301" spans="1:25" x14ac:dyDescent="0.25">
      <c r="A2301" s="2" t="s">
        <v>4890</v>
      </c>
      <c r="B2301" s="2">
        <v>2371016</v>
      </c>
      <c r="C2301" s="2" t="s">
        <v>430</v>
      </c>
      <c r="D2301" s="2" t="s">
        <v>41</v>
      </c>
      <c r="E2301" s="2" t="s">
        <v>48</v>
      </c>
      <c r="F2301" s="2" t="s">
        <v>36</v>
      </c>
      <c r="G2301" s="2" t="s">
        <v>4891</v>
      </c>
      <c r="I2301" s="2">
        <v>1799</v>
      </c>
      <c r="J2301" s="2" t="s">
        <v>150</v>
      </c>
      <c r="K2301" s="2" t="s">
        <v>45</v>
      </c>
      <c r="L2301" s="2">
        <v>4.0999999999999996</v>
      </c>
      <c r="M2301" s="2">
        <v>665</v>
      </c>
      <c r="P2301" t="str">
        <f t="shared" si="143"/>
        <v>65%</v>
      </c>
      <c r="Q2301" s="12">
        <f t="shared" si="140"/>
        <v>0.65</v>
      </c>
      <c r="R2301" s="9">
        <f t="shared" si="141"/>
        <v>629.64999999999986</v>
      </c>
      <c r="S2301" s="9">
        <f>IF(R2301="",AVERAGEIF(Table1[Category],Table1[[#This Row],[Category]],Table2[orignal data]),Table2[[#This Row],[orignal data]])</f>
        <v>629.64999999999986</v>
      </c>
      <c r="T2301" t="str">
        <f t="shared" si="142"/>
        <v>UNIQUE</v>
      </c>
      <c r="U2301" t="str">
        <f>IF(ISBLANK(Table1[[#This Row],[SizeOption]]),"NOT AVAILABLE",Table1[[#This Row],[SizeOption]])</f>
        <v>XS, S, M, L, XL</v>
      </c>
      <c r="Y2301" t="str">
        <f>IF(Table2[[#This Row],[Column1]]&gt;50%,"HIGH DISCOUNT","LOW DISCOUNT")</f>
        <v>HIGH DISCOUNT</v>
      </c>
    </row>
    <row r="2302" spans="1:25" x14ac:dyDescent="0.25">
      <c r="A2302" s="1" t="s">
        <v>4892</v>
      </c>
      <c r="B2302" s="1">
        <v>7485876</v>
      </c>
      <c r="C2302" s="1" t="s">
        <v>107</v>
      </c>
      <c r="D2302" s="1" t="s">
        <v>41</v>
      </c>
      <c r="E2302" s="1" t="s">
        <v>148</v>
      </c>
      <c r="F2302" s="1" t="s">
        <v>36</v>
      </c>
      <c r="G2302" s="1" t="s">
        <v>4893</v>
      </c>
      <c r="I2302" s="1">
        <v>2299</v>
      </c>
      <c r="J2302" s="1" t="s">
        <v>79</v>
      </c>
      <c r="K2302" s="1" t="s">
        <v>45</v>
      </c>
      <c r="L2302" s="1">
        <v>4.0999999999999996</v>
      </c>
      <c r="M2302" s="1">
        <v>665</v>
      </c>
      <c r="P2302" t="str">
        <f t="shared" si="143"/>
        <v>70%</v>
      </c>
      <c r="Q2302" s="12">
        <f t="shared" si="140"/>
        <v>0.7</v>
      </c>
      <c r="R2302" s="9">
        <f t="shared" si="141"/>
        <v>689.7</v>
      </c>
      <c r="S2302" s="9">
        <f>IF(R2302="",AVERAGEIF(Table1[Category],Table1[[#This Row],[Category]],Table2[orignal data]),Table2[[#This Row],[orignal data]])</f>
        <v>689.7</v>
      </c>
      <c r="T2302" t="str">
        <f t="shared" si="142"/>
        <v>UNIQUE</v>
      </c>
      <c r="U2302" t="str">
        <f>IF(ISBLANK(Table1[[#This Row],[SizeOption]]),"NOT AVAILABLE",Table1[[#This Row],[SizeOption]])</f>
        <v>XS, S, M, L, XL</v>
      </c>
      <c r="Y2302" t="str">
        <f>IF(Table2[[#This Row],[Column1]]&gt;50%,"HIGH DISCOUNT","LOW DISCOUNT")</f>
        <v>HIGH DISCOUNT</v>
      </c>
    </row>
    <row r="2303" spans="1:25" x14ac:dyDescent="0.25">
      <c r="A2303" s="2" t="s">
        <v>4894</v>
      </c>
      <c r="B2303" s="2">
        <v>17383948</v>
      </c>
      <c r="C2303" s="2" t="s">
        <v>14</v>
      </c>
      <c r="D2303" s="2" t="s">
        <v>41</v>
      </c>
      <c r="E2303" s="2" t="s">
        <v>42</v>
      </c>
      <c r="F2303" s="2" t="s">
        <v>36</v>
      </c>
      <c r="G2303" s="2" t="s">
        <v>3203</v>
      </c>
      <c r="I2303" s="2">
        <v>1298</v>
      </c>
      <c r="J2303" s="2"/>
      <c r="K2303" s="2" t="s">
        <v>45</v>
      </c>
      <c r="L2303" s="2">
        <v>4.3</v>
      </c>
      <c r="M2303" s="2">
        <v>665</v>
      </c>
      <c r="P2303" t="str">
        <f t="shared" si="143"/>
        <v/>
      </c>
      <c r="Q2303" s="12" t="str">
        <f t="shared" si="140"/>
        <v/>
      </c>
      <c r="R2303" s="9" t="str">
        <f t="shared" si="141"/>
        <v/>
      </c>
      <c r="S2303" s="9">
        <f>IF(R2303="",AVERAGEIF(Table1[Category],Table1[[#This Row],[Category]],Table2[orignal data]),Table2[[#This Row],[orignal data]])</f>
        <v>715.78890751086249</v>
      </c>
      <c r="T2303" t="str">
        <f t="shared" si="142"/>
        <v>UNIQUE</v>
      </c>
      <c r="U2303" t="str">
        <f>IF(ISBLANK(Table1[[#This Row],[SizeOption]]),"NOT AVAILABLE",Table1[[#This Row],[SizeOption]])</f>
        <v>XS, S, M, L, XL</v>
      </c>
      <c r="Y2303" t="str">
        <f>IF(Table2[[#This Row],[Column1]]&gt;50%,"HIGH DISCOUNT","LOW DISCOUNT")</f>
        <v>HIGH DISCOUNT</v>
      </c>
    </row>
    <row r="2304" spans="1:25" x14ac:dyDescent="0.25">
      <c r="A2304" s="1" t="s">
        <v>4895</v>
      </c>
      <c r="B2304" s="1">
        <v>1271314</v>
      </c>
      <c r="C2304" s="1" t="s">
        <v>47</v>
      </c>
      <c r="D2304" s="1" t="s">
        <v>15</v>
      </c>
      <c r="E2304" s="1" t="s">
        <v>16</v>
      </c>
      <c r="F2304" s="1" t="s">
        <v>17</v>
      </c>
      <c r="G2304" s="1" t="s">
        <v>4896</v>
      </c>
      <c r="H2304">
        <v>699</v>
      </c>
      <c r="I2304" s="1">
        <v>1999</v>
      </c>
      <c r="J2304" s="1" t="s">
        <v>150</v>
      </c>
      <c r="K2304" s="1" t="s">
        <v>20</v>
      </c>
      <c r="L2304" s="1">
        <v>4</v>
      </c>
      <c r="M2304" s="1">
        <v>664</v>
      </c>
      <c r="P2304" t="str">
        <f t="shared" si="143"/>
        <v>65%</v>
      </c>
      <c r="Q2304" s="12">
        <f t="shared" si="140"/>
        <v>0.65</v>
      </c>
      <c r="R2304" s="9">
        <f t="shared" si="141"/>
        <v>699.64999999999986</v>
      </c>
      <c r="S2304" s="9">
        <f>IF(R2304="",AVERAGEIF(Table1[Category],Table1[[#This Row],[Category]],Table2[orignal data]),Table2[[#This Row],[orignal data]])</f>
        <v>699.64999999999986</v>
      </c>
      <c r="T2304" t="str">
        <f t="shared" si="142"/>
        <v>UNIQUE</v>
      </c>
      <c r="U2304" t="str">
        <f>IF(ISBLANK(Table1[[#This Row],[SizeOption]]),"NOT AVAILABLE",Table1[[#This Row],[SizeOption]])</f>
        <v>28, 30, 32, 34, 36</v>
      </c>
      <c r="Y2304" t="str">
        <f>IF(Table2[[#This Row],[Column1]]&gt;50%,"HIGH DISCOUNT","LOW DISCOUNT")</f>
        <v>HIGH DISCOUNT</v>
      </c>
    </row>
    <row r="2305" spans="1:25" x14ac:dyDescent="0.25">
      <c r="A2305" s="2" t="s">
        <v>4897</v>
      </c>
      <c r="B2305" s="2">
        <v>7678841</v>
      </c>
      <c r="C2305" s="2" t="s">
        <v>14</v>
      </c>
      <c r="D2305" s="2" t="s">
        <v>15</v>
      </c>
      <c r="E2305" s="2" t="s">
        <v>16</v>
      </c>
      <c r="F2305" s="2" t="s">
        <v>17</v>
      </c>
      <c r="G2305" s="2" t="s">
        <v>4898</v>
      </c>
      <c r="H2305">
        <v>849</v>
      </c>
      <c r="I2305" s="2">
        <v>1699</v>
      </c>
      <c r="J2305" s="2" t="s">
        <v>84</v>
      </c>
      <c r="K2305" s="2" t="s">
        <v>20</v>
      </c>
      <c r="L2305" s="2">
        <v>3.8</v>
      </c>
      <c r="M2305" s="2">
        <v>664</v>
      </c>
      <c r="P2305" t="str">
        <f t="shared" si="143"/>
        <v>50%</v>
      </c>
      <c r="Q2305" s="12">
        <f t="shared" si="140"/>
        <v>0.5</v>
      </c>
      <c r="R2305" s="9">
        <f t="shared" si="141"/>
        <v>849.5</v>
      </c>
      <c r="S2305" s="9">
        <f>IF(R2305="",AVERAGEIF(Table1[Category],Table1[[#This Row],[Category]],Table2[orignal data]),Table2[[#This Row],[orignal data]])</f>
        <v>849.5</v>
      </c>
      <c r="T2305" t="str">
        <f t="shared" si="142"/>
        <v>UNIQUE</v>
      </c>
      <c r="U2305" t="str">
        <f>IF(ISBLANK(Table1[[#This Row],[SizeOption]]),"NOT AVAILABLE",Table1[[#This Row],[SizeOption]])</f>
        <v>28, 30, 32, 34, 36</v>
      </c>
      <c r="Y2305" t="str">
        <f>IF(Table2[[#This Row],[Column1]]&gt;50%,"HIGH DISCOUNT","LOW DISCOUNT")</f>
        <v>LOW DISCOUNT</v>
      </c>
    </row>
    <row r="2306" spans="1:25" x14ac:dyDescent="0.25">
      <c r="A2306" s="1" t="s">
        <v>4899</v>
      </c>
      <c r="B2306" s="1">
        <v>11274778</v>
      </c>
      <c r="C2306" s="1" t="s">
        <v>14</v>
      </c>
      <c r="D2306" s="1" t="s">
        <v>15</v>
      </c>
      <c r="E2306" s="1" t="s">
        <v>16</v>
      </c>
      <c r="F2306" s="1" t="s">
        <v>17</v>
      </c>
      <c r="G2306" s="1" t="s">
        <v>918</v>
      </c>
      <c r="H2306">
        <v>679</v>
      </c>
      <c r="I2306" s="1">
        <v>1699</v>
      </c>
      <c r="J2306" s="1" t="s">
        <v>55</v>
      </c>
      <c r="K2306" s="1" t="s">
        <v>195</v>
      </c>
      <c r="L2306" s="1">
        <v>3.9</v>
      </c>
      <c r="M2306" s="1">
        <v>664</v>
      </c>
      <c r="P2306" t="str">
        <f t="shared" si="143"/>
        <v>60%</v>
      </c>
      <c r="Q2306" s="12">
        <f t="shared" ref="Q2306:Q2369" si="144">IF(P2306="","",IF(ISNUMBER(SEARCH("%",P2306)),P2306,P2306/I2306)*100%)</f>
        <v>0.6</v>
      </c>
      <c r="R2306" s="9">
        <f t="shared" ref="R2306:R2369" si="145">IF(P2306="","",I2306-(I2306*Q2306))</f>
        <v>679.6</v>
      </c>
      <c r="S2306" s="9">
        <f>IF(R2306="",AVERAGEIF(Table1[Category],Table1[[#This Row],[Category]],Table2[orignal data]),Table2[[#This Row],[orignal data]])</f>
        <v>679.6</v>
      </c>
      <c r="T2306" t="str">
        <f t="shared" ref="T2306:T2369" si="146">IF(COUNTIF($B$2:$B$5000,B2306)&gt;1,"DUPLICATE","UNIQUE")</f>
        <v>UNIQUE</v>
      </c>
      <c r="U2306" t="str">
        <f>IF(ISBLANK(Table1[[#This Row],[SizeOption]]),"NOT AVAILABLE",Table1[[#This Row],[SizeOption]])</f>
        <v>28, 30, 32, 34, 36, 38, 40</v>
      </c>
      <c r="Y2306" t="str">
        <f>IF(Table2[[#This Row],[Column1]]&gt;50%,"HIGH DISCOUNT","LOW DISCOUNT")</f>
        <v>HIGH DISCOUNT</v>
      </c>
    </row>
    <row r="2307" spans="1:25" x14ac:dyDescent="0.25">
      <c r="A2307" s="2" t="s">
        <v>4900</v>
      </c>
      <c r="B2307" s="2">
        <v>11751826</v>
      </c>
      <c r="C2307" s="2" t="s">
        <v>3030</v>
      </c>
      <c r="D2307" s="2" t="s">
        <v>76</v>
      </c>
      <c r="E2307" s="2" t="s">
        <v>3223</v>
      </c>
      <c r="F2307" s="2" t="s">
        <v>17</v>
      </c>
      <c r="G2307" s="2" t="s">
        <v>4901</v>
      </c>
      <c r="H2307">
        <v>499</v>
      </c>
      <c r="I2307" s="2">
        <v>999</v>
      </c>
      <c r="J2307" s="2" t="s">
        <v>84</v>
      </c>
      <c r="K2307" s="2" t="s">
        <v>115</v>
      </c>
      <c r="L2307" s="2">
        <v>4.2</v>
      </c>
      <c r="M2307" s="2">
        <v>664</v>
      </c>
      <c r="P2307" t="str">
        <f t="shared" ref="P2307:P2370" si="147">TRIM(SUBSTITUTE(SUBSTITUTE(SUBSTITUTE(SUBSTITUTE(J2307,"OFF",""),"Rs.",""),"Hurry*",""),",",""))</f>
        <v>50%</v>
      </c>
      <c r="Q2307" s="12">
        <f t="shared" si="144"/>
        <v>0.5</v>
      </c>
      <c r="R2307" s="9">
        <f t="shared" si="145"/>
        <v>499.5</v>
      </c>
      <c r="S2307" s="9">
        <f>IF(R2307="",AVERAGEIF(Table1[Category],Table1[[#This Row],[Category]],Table2[orignal data]),Table2[[#This Row],[orignal data]])</f>
        <v>499.5</v>
      </c>
      <c r="T2307" t="str">
        <f t="shared" si="146"/>
        <v>UNIQUE</v>
      </c>
      <c r="U2307" t="str">
        <f>IF(ISBLANK(Table1[[#This Row],[SizeOption]]),"NOT AVAILABLE",Table1[[#This Row],[SizeOption]])</f>
        <v>XS, S, M, L, XL, XXL</v>
      </c>
      <c r="Y2307" t="str">
        <f>IF(Table2[[#This Row],[Column1]]&gt;50%,"HIGH DISCOUNT","LOW DISCOUNT")</f>
        <v>LOW DISCOUNT</v>
      </c>
    </row>
    <row r="2308" spans="1:25" x14ac:dyDescent="0.25">
      <c r="A2308" s="1" t="s">
        <v>4902</v>
      </c>
      <c r="B2308" s="1">
        <v>11799512</v>
      </c>
      <c r="C2308" s="1" t="s">
        <v>349</v>
      </c>
      <c r="D2308" s="1" t="s">
        <v>197</v>
      </c>
      <c r="E2308" s="1" t="s">
        <v>1807</v>
      </c>
      <c r="F2308" s="1" t="s">
        <v>17</v>
      </c>
      <c r="G2308" s="1" t="s">
        <v>4903</v>
      </c>
      <c r="I2308" s="1">
        <v>548</v>
      </c>
      <c r="J2308" s="1"/>
      <c r="K2308" s="1" t="s">
        <v>4904</v>
      </c>
      <c r="L2308" s="1">
        <v>4.4000000000000004</v>
      </c>
      <c r="M2308" s="1">
        <v>664</v>
      </c>
      <c r="P2308" t="str">
        <f t="shared" si="147"/>
        <v/>
      </c>
      <c r="Q2308" s="12" t="str">
        <f t="shared" si="144"/>
        <v/>
      </c>
      <c r="R2308" s="9" t="str">
        <f t="shared" si="145"/>
        <v/>
      </c>
      <c r="S2308" s="9">
        <f>IF(R2308="",AVERAGEIF(Table1[Category],Table1[[#This Row],[Category]],Table2[orignal data]),Table2[[#This Row],[orignal data]])</f>
        <v>552.70900000000006</v>
      </c>
      <c r="T2308" t="str">
        <f t="shared" si="146"/>
        <v>UNIQUE</v>
      </c>
      <c r="U2308" t="str">
        <f>IF(ISBLANK(Table1[[#This Row],[SizeOption]]),"NOT AVAILABLE",Table1[[#This Row],[SizeOption]])</f>
        <v>L, M, S</v>
      </c>
      <c r="Y2308" t="str">
        <f>IF(Table2[[#This Row],[Column1]]&gt;50%,"HIGH DISCOUNT","LOW DISCOUNT")</f>
        <v>HIGH DISCOUNT</v>
      </c>
    </row>
    <row r="2309" spans="1:25" x14ac:dyDescent="0.25">
      <c r="A2309" s="2" t="s">
        <v>4905</v>
      </c>
      <c r="B2309" s="2">
        <v>10410520</v>
      </c>
      <c r="C2309" s="2" t="s">
        <v>169</v>
      </c>
      <c r="D2309" s="2" t="s">
        <v>28</v>
      </c>
      <c r="E2309" s="2" t="s">
        <v>42</v>
      </c>
      <c r="F2309" s="2" t="s">
        <v>17</v>
      </c>
      <c r="G2309" s="2" t="s">
        <v>4906</v>
      </c>
      <c r="H2309">
        <v>699</v>
      </c>
      <c r="I2309" s="2">
        <v>1399</v>
      </c>
      <c r="J2309" s="2" t="s">
        <v>84</v>
      </c>
      <c r="K2309" s="2" t="s">
        <v>39</v>
      </c>
      <c r="L2309" s="2">
        <v>4.0999999999999996</v>
      </c>
      <c r="M2309" s="2">
        <v>664</v>
      </c>
      <c r="P2309" t="str">
        <f t="shared" si="147"/>
        <v>50%</v>
      </c>
      <c r="Q2309" s="12">
        <f t="shared" si="144"/>
        <v>0.5</v>
      </c>
      <c r="R2309" s="9">
        <f t="shared" si="145"/>
        <v>699.5</v>
      </c>
      <c r="S2309" s="9">
        <f>IF(R2309="",AVERAGEIF(Table1[Category],Table1[[#This Row],[Category]],Table2[orignal data]),Table2[[#This Row],[orignal data]])</f>
        <v>699.5</v>
      </c>
      <c r="T2309" t="str">
        <f t="shared" si="146"/>
        <v>UNIQUE</v>
      </c>
      <c r="U2309" t="str">
        <f>IF(ISBLANK(Table1[[#This Row],[SizeOption]]),"NOT AVAILABLE",Table1[[#This Row],[SizeOption]])</f>
        <v>S, M, L, XL, XXL</v>
      </c>
      <c r="Y2309" t="str">
        <f>IF(Table2[[#This Row],[Column1]]&gt;50%,"HIGH DISCOUNT","LOW DISCOUNT")</f>
        <v>LOW DISCOUNT</v>
      </c>
    </row>
    <row r="2310" spans="1:25" x14ac:dyDescent="0.25">
      <c r="A2310" s="1" t="s">
        <v>4907</v>
      </c>
      <c r="B2310" s="1">
        <v>11126672</v>
      </c>
      <c r="C2310" s="1" t="s">
        <v>14</v>
      </c>
      <c r="D2310" s="1" t="s">
        <v>28</v>
      </c>
      <c r="E2310" s="1" t="s">
        <v>42</v>
      </c>
      <c r="F2310" s="1" t="s">
        <v>17</v>
      </c>
      <c r="G2310" s="1" t="s">
        <v>4908</v>
      </c>
      <c r="H2310">
        <v>449</v>
      </c>
      <c r="I2310" s="1">
        <v>999</v>
      </c>
      <c r="J2310" s="1" t="s">
        <v>25</v>
      </c>
      <c r="K2310" s="1" t="s">
        <v>100</v>
      </c>
      <c r="L2310" s="1">
        <v>4</v>
      </c>
      <c r="M2310" s="1">
        <v>664</v>
      </c>
      <c r="P2310" t="str">
        <f t="shared" si="147"/>
        <v>55%</v>
      </c>
      <c r="Q2310" s="12">
        <f t="shared" si="144"/>
        <v>0.55000000000000004</v>
      </c>
      <c r="R2310" s="9">
        <f t="shared" si="145"/>
        <v>449.54999999999995</v>
      </c>
      <c r="S2310" s="9">
        <f>IF(R2310="",AVERAGEIF(Table1[Category],Table1[[#This Row],[Category]],Table2[orignal data]),Table2[[#This Row],[orignal data]])</f>
        <v>449.54999999999995</v>
      </c>
      <c r="T2310" t="str">
        <f t="shared" si="146"/>
        <v>UNIQUE</v>
      </c>
      <c r="U2310" t="str">
        <f>IF(ISBLANK(Table1[[#This Row],[SizeOption]]),"NOT AVAILABLE",Table1[[#This Row],[SizeOption]])</f>
        <v>XS, S, M, L, XL, XXL, 3XL</v>
      </c>
      <c r="Y2310" t="str">
        <f>IF(Table2[[#This Row],[Column1]]&gt;50%,"HIGH DISCOUNT","LOW DISCOUNT")</f>
        <v>HIGH DISCOUNT</v>
      </c>
    </row>
    <row r="2311" spans="1:25" x14ac:dyDescent="0.25">
      <c r="A2311" s="2" t="s">
        <v>4909</v>
      </c>
      <c r="B2311" s="2">
        <v>10960746</v>
      </c>
      <c r="C2311" s="2" t="s">
        <v>113</v>
      </c>
      <c r="D2311" s="2" t="s">
        <v>76</v>
      </c>
      <c r="E2311" s="2" t="s">
        <v>93</v>
      </c>
      <c r="F2311" s="2" t="s">
        <v>36</v>
      </c>
      <c r="G2311" s="2" t="s">
        <v>4910</v>
      </c>
      <c r="H2311">
        <v>519</v>
      </c>
      <c r="I2311" s="2">
        <v>1299</v>
      </c>
      <c r="J2311" s="2" t="s">
        <v>55</v>
      </c>
      <c r="K2311" s="2" t="s">
        <v>115</v>
      </c>
      <c r="L2311" s="2">
        <v>4.3</v>
      </c>
      <c r="M2311" s="2">
        <v>664</v>
      </c>
      <c r="P2311" t="str">
        <f t="shared" si="147"/>
        <v>60%</v>
      </c>
      <c r="Q2311" s="12">
        <f t="shared" si="144"/>
        <v>0.6</v>
      </c>
      <c r="R2311" s="9">
        <f t="shared" si="145"/>
        <v>519.6</v>
      </c>
      <c r="S2311" s="9">
        <f>IF(R2311="",AVERAGEIF(Table1[Category],Table1[[#This Row],[Category]],Table2[orignal data]),Table2[[#This Row],[orignal data]])</f>
        <v>519.6</v>
      </c>
      <c r="T2311" t="str">
        <f t="shared" si="146"/>
        <v>UNIQUE</v>
      </c>
      <c r="U2311" t="str">
        <f>IF(ISBLANK(Table1[[#This Row],[SizeOption]]),"NOT AVAILABLE",Table1[[#This Row],[SizeOption]])</f>
        <v>XS, S, M, L, XL, XXL</v>
      </c>
      <c r="Y2311" t="str">
        <f>IF(Table2[[#This Row],[Column1]]&gt;50%,"HIGH DISCOUNT","LOW DISCOUNT")</f>
        <v>HIGH DISCOUNT</v>
      </c>
    </row>
    <row r="2312" spans="1:25" x14ac:dyDescent="0.25">
      <c r="A2312" s="1" t="s">
        <v>4911</v>
      </c>
      <c r="B2312" s="1">
        <v>10224579</v>
      </c>
      <c r="C2312" s="1" t="s">
        <v>64</v>
      </c>
      <c r="D2312" s="1" t="s">
        <v>76</v>
      </c>
      <c r="E2312" s="1" t="s">
        <v>93</v>
      </c>
      <c r="F2312" s="1" t="s">
        <v>36</v>
      </c>
      <c r="G2312" s="1" t="s">
        <v>4912</v>
      </c>
      <c r="H2312">
        <v>629</v>
      </c>
      <c r="I2312" s="1">
        <v>1799</v>
      </c>
      <c r="J2312" s="1" t="s">
        <v>150</v>
      </c>
      <c r="K2312" s="1" t="s">
        <v>100</v>
      </c>
      <c r="L2312" s="1">
        <v>4.0999999999999996</v>
      </c>
      <c r="M2312" s="1">
        <v>664</v>
      </c>
      <c r="P2312" t="str">
        <f t="shared" si="147"/>
        <v>65%</v>
      </c>
      <c r="Q2312" s="12">
        <f t="shared" si="144"/>
        <v>0.65</v>
      </c>
      <c r="R2312" s="9">
        <f t="shared" si="145"/>
        <v>629.64999999999986</v>
      </c>
      <c r="S2312" s="9">
        <f>IF(R2312="",AVERAGEIF(Table1[Category],Table1[[#This Row],[Category]],Table2[orignal data]),Table2[[#This Row],[orignal data]])</f>
        <v>629.64999999999986</v>
      </c>
      <c r="T2312" t="str">
        <f t="shared" si="146"/>
        <v>UNIQUE</v>
      </c>
      <c r="U2312" t="str">
        <f>IF(ISBLANK(Table1[[#This Row],[SizeOption]]),"NOT AVAILABLE",Table1[[#This Row],[SizeOption]])</f>
        <v>XS, S, M, L, XL, XXL, 3XL</v>
      </c>
      <c r="Y2312" t="str">
        <f>IF(Table2[[#This Row],[Column1]]&gt;50%,"HIGH DISCOUNT","LOW DISCOUNT")</f>
        <v>HIGH DISCOUNT</v>
      </c>
    </row>
    <row r="2313" spans="1:25" x14ac:dyDescent="0.25">
      <c r="A2313" s="2" t="s">
        <v>4913</v>
      </c>
      <c r="B2313" s="2">
        <v>2295676</v>
      </c>
      <c r="C2313" s="2" t="s">
        <v>117</v>
      </c>
      <c r="D2313" s="2" t="s">
        <v>34</v>
      </c>
      <c r="E2313" s="2" t="s">
        <v>296</v>
      </c>
      <c r="F2313" s="2" t="s">
        <v>36</v>
      </c>
      <c r="G2313" s="2" t="s">
        <v>4914</v>
      </c>
      <c r="I2313" s="2">
        <v>649</v>
      </c>
      <c r="J2313" s="2"/>
      <c r="K2313" s="2" t="s">
        <v>26</v>
      </c>
      <c r="L2313" s="2">
        <v>3.9</v>
      </c>
      <c r="M2313" s="2">
        <v>664</v>
      </c>
      <c r="P2313" t="str">
        <f t="shared" si="147"/>
        <v/>
      </c>
      <c r="Q2313" s="12" t="str">
        <f t="shared" si="144"/>
        <v/>
      </c>
      <c r="R2313" s="9" t="str">
        <f t="shared" si="145"/>
        <v/>
      </c>
      <c r="S2313" s="9">
        <f>IF(R2313="",AVERAGEIF(Table1[Category],Table1[[#This Row],[Category]],Table2[orignal data]),Table2[[#This Row],[orignal data]])</f>
        <v>608.88518518518481</v>
      </c>
      <c r="T2313" t="str">
        <f t="shared" si="146"/>
        <v>UNIQUE</v>
      </c>
      <c r="U2313" t="str">
        <f>IF(ISBLANK(Table1[[#This Row],[SizeOption]]),"NOT AVAILABLE",Table1[[#This Row],[SizeOption]])</f>
        <v>S, M, L, XL</v>
      </c>
      <c r="Y2313" t="str">
        <f>IF(Table2[[#This Row],[Column1]]&gt;50%,"HIGH DISCOUNT","LOW DISCOUNT")</f>
        <v>HIGH DISCOUNT</v>
      </c>
    </row>
    <row r="2314" spans="1:25" x14ac:dyDescent="0.25">
      <c r="A2314" s="1" t="s">
        <v>4915</v>
      </c>
      <c r="B2314" s="1">
        <v>12851460</v>
      </c>
      <c r="C2314" s="1" t="s">
        <v>64</v>
      </c>
      <c r="D2314" s="1" t="s">
        <v>98</v>
      </c>
      <c r="E2314" s="1" t="s">
        <v>93</v>
      </c>
      <c r="F2314" s="1" t="s">
        <v>36</v>
      </c>
      <c r="G2314" s="1" t="s">
        <v>4916</v>
      </c>
      <c r="H2314">
        <v>539</v>
      </c>
      <c r="I2314" s="1">
        <v>1799</v>
      </c>
      <c r="J2314" s="1" t="s">
        <v>1566</v>
      </c>
      <c r="K2314" s="1" t="s">
        <v>100</v>
      </c>
      <c r="L2314" s="1">
        <v>4.3</v>
      </c>
      <c r="M2314" s="1">
        <v>664</v>
      </c>
      <c r="P2314" t="str">
        <f t="shared" si="147"/>
        <v>70%</v>
      </c>
      <c r="Q2314" s="12">
        <f t="shared" si="144"/>
        <v>0.7</v>
      </c>
      <c r="R2314" s="9">
        <f t="shared" si="145"/>
        <v>539.70000000000005</v>
      </c>
      <c r="S2314" s="9">
        <f>IF(R2314="",AVERAGEIF(Table1[Category],Table1[[#This Row],[Category]],Table2[orignal data]),Table2[[#This Row],[orignal data]])</f>
        <v>539.70000000000005</v>
      </c>
      <c r="T2314" t="str">
        <f t="shared" si="146"/>
        <v>UNIQUE</v>
      </c>
      <c r="U2314" t="str">
        <f>IF(ISBLANK(Table1[[#This Row],[SizeOption]]),"NOT AVAILABLE",Table1[[#This Row],[SizeOption]])</f>
        <v>XS, S, M, L, XL, XXL, 3XL</v>
      </c>
      <c r="Y2314" t="str">
        <f>IF(Table2[[#This Row],[Column1]]&gt;50%,"HIGH DISCOUNT","LOW DISCOUNT")</f>
        <v>HIGH DISCOUNT</v>
      </c>
    </row>
    <row r="2315" spans="1:25" x14ac:dyDescent="0.25">
      <c r="A2315" s="2" t="s">
        <v>4917</v>
      </c>
      <c r="B2315" s="2">
        <v>8987769</v>
      </c>
      <c r="C2315" s="2" t="s">
        <v>64</v>
      </c>
      <c r="D2315" s="2" t="s">
        <v>98</v>
      </c>
      <c r="E2315" s="2" t="s">
        <v>16</v>
      </c>
      <c r="F2315" s="2" t="s">
        <v>36</v>
      </c>
      <c r="G2315" s="2" t="s">
        <v>4918</v>
      </c>
      <c r="H2315">
        <v>659</v>
      </c>
      <c r="I2315" s="2">
        <v>2199</v>
      </c>
      <c r="J2315" s="2" t="s">
        <v>79</v>
      </c>
      <c r="K2315" s="2" t="s">
        <v>643</v>
      </c>
      <c r="L2315" s="2">
        <v>4.0999999999999996</v>
      </c>
      <c r="M2315" s="2">
        <v>664</v>
      </c>
      <c r="P2315" t="str">
        <f t="shared" si="147"/>
        <v>70%</v>
      </c>
      <c r="Q2315" s="12">
        <f t="shared" si="144"/>
        <v>0.7</v>
      </c>
      <c r="R2315" s="9">
        <f t="shared" si="145"/>
        <v>659.7</v>
      </c>
      <c r="S2315" s="9">
        <f>IF(R2315="",AVERAGEIF(Table1[Category],Table1[[#This Row],[Category]],Table2[orignal data]),Table2[[#This Row],[orignal data]])</f>
        <v>659.7</v>
      </c>
      <c r="T2315" t="str">
        <f t="shared" si="146"/>
        <v>UNIQUE</v>
      </c>
      <c r="U2315" t="str">
        <f>IF(ISBLANK(Table1[[#This Row],[SizeOption]]),"NOT AVAILABLE",Table1[[#This Row],[SizeOption]])</f>
        <v>26, 28, 30, 32, 34, 36, 38, 40</v>
      </c>
      <c r="Y2315" t="str">
        <f>IF(Table2[[#This Row],[Column1]]&gt;50%,"HIGH DISCOUNT","LOW DISCOUNT")</f>
        <v>HIGH DISCOUNT</v>
      </c>
    </row>
    <row r="2316" spans="1:25" x14ac:dyDescent="0.25">
      <c r="A2316" s="1" t="s">
        <v>4919</v>
      </c>
      <c r="B2316" s="1">
        <v>10080483</v>
      </c>
      <c r="C2316" s="1" t="s">
        <v>102</v>
      </c>
      <c r="D2316" s="1" t="s">
        <v>41</v>
      </c>
      <c r="E2316" s="1" t="s">
        <v>48</v>
      </c>
      <c r="F2316" s="1" t="s">
        <v>36</v>
      </c>
      <c r="G2316" s="1" t="s">
        <v>4920</v>
      </c>
      <c r="I2316" s="1">
        <v>1149</v>
      </c>
      <c r="J2316" s="1" t="s">
        <v>50</v>
      </c>
      <c r="K2316" s="1" t="s">
        <v>26</v>
      </c>
      <c r="L2316" s="1">
        <v>4.0999999999999996</v>
      </c>
      <c r="M2316" s="1">
        <v>664</v>
      </c>
      <c r="P2316" t="str">
        <f t="shared" si="147"/>
        <v>40%</v>
      </c>
      <c r="Q2316" s="12">
        <f t="shared" si="144"/>
        <v>0.4</v>
      </c>
      <c r="R2316" s="9">
        <f t="shared" si="145"/>
        <v>689.4</v>
      </c>
      <c r="S2316" s="9">
        <f>IF(R2316="",AVERAGEIF(Table1[Category],Table1[[#This Row],[Category]],Table2[orignal data]),Table2[[#This Row],[orignal data]])</f>
        <v>689.4</v>
      </c>
      <c r="T2316" t="str">
        <f t="shared" si="146"/>
        <v>UNIQUE</v>
      </c>
      <c r="U2316" t="str">
        <f>IF(ISBLANK(Table1[[#This Row],[SizeOption]]),"NOT AVAILABLE",Table1[[#This Row],[SizeOption]])</f>
        <v>S, M, L, XL</v>
      </c>
      <c r="Y2316" t="str">
        <f>IF(Table2[[#This Row],[Column1]]&gt;50%,"HIGH DISCOUNT","LOW DISCOUNT")</f>
        <v>LOW DISCOUNT</v>
      </c>
    </row>
    <row r="2317" spans="1:25" x14ac:dyDescent="0.25">
      <c r="A2317" s="2" t="s">
        <v>4921</v>
      </c>
      <c r="B2317" s="2">
        <v>17384846</v>
      </c>
      <c r="C2317" s="2" t="s">
        <v>14</v>
      </c>
      <c r="D2317" s="2" t="s">
        <v>41</v>
      </c>
      <c r="E2317" s="2" t="s">
        <v>42</v>
      </c>
      <c r="F2317" s="2" t="s">
        <v>36</v>
      </c>
      <c r="G2317" s="2" t="s">
        <v>1405</v>
      </c>
      <c r="I2317" s="2">
        <v>1398</v>
      </c>
      <c r="J2317" s="2" t="s">
        <v>84</v>
      </c>
      <c r="K2317" s="2" t="s">
        <v>45</v>
      </c>
      <c r="L2317" s="2">
        <v>4.3</v>
      </c>
      <c r="M2317" s="2">
        <v>664</v>
      </c>
      <c r="P2317" t="str">
        <f t="shared" si="147"/>
        <v>50%</v>
      </c>
      <c r="Q2317" s="12">
        <f t="shared" si="144"/>
        <v>0.5</v>
      </c>
      <c r="R2317" s="9">
        <f t="shared" si="145"/>
        <v>699</v>
      </c>
      <c r="S2317" s="9">
        <f>IF(R2317="",AVERAGEIF(Table1[Category],Table1[[#This Row],[Category]],Table2[orignal data]),Table2[[#This Row],[orignal data]])</f>
        <v>699</v>
      </c>
      <c r="T2317" t="str">
        <f t="shared" si="146"/>
        <v>UNIQUE</v>
      </c>
      <c r="U2317" t="str">
        <f>IF(ISBLANK(Table1[[#This Row],[SizeOption]]),"NOT AVAILABLE",Table1[[#This Row],[SizeOption]])</f>
        <v>XS, S, M, L, XL</v>
      </c>
      <c r="Y2317" t="str">
        <f>IF(Table2[[#This Row],[Column1]]&gt;50%,"HIGH DISCOUNT","LOW DISCOUNT")</f>
        <v>LOW DISCOUNT</v>
      </c>
    </row>
    <row r="2318" spans="1:25" x14ac:dyDescent="0.25">
      <c r="A2318" s="1" t="s">
        <v>4922</v>
      </c>
      <c r="B2318" s="1">
        <v>13532770</v>
      </c>
      <c r="C2318" s="1" t="s">
        <v>206</v>
      </c>
      <c r="D2318" s="1" t="s">
        <v>41</v>
      </c>
      <c r="E2318" s="1" t="s">
        <v>48</v>
      </c>
      <c r="F2318" s="1" t="s">
        <v>36</v>
      </c>
      <c r="G2318" s="1" t="s">
        <v>4923</v>
      </c>
      <c r="I2318" s="1">
        <v>1399</v>
      </c>
      <c r="J2318" s="1" t="s">
        <v>84</v>
      </c>
      <c r="K2318" s="1" t="s">
        <v>311</v>
      </c>
      <c r="L2318" s="1">
        <v>3.9</v>
      </c>
      <c r="M2318" s="1">
        <v>664</v>
      </c>
      <c r="P2318" t="str">
        <f t="shared" si="147"/>
        <v>50%</v>
      </c>
      <c r="Q2318" s="12">
        <f t="shared" si="144"/>
        <v>0.5</v>
      </c>
      <c r="R2318" s="9">
        <f t="shared" si="145"/>
        <v>699.5</v>
      </c>
      <c r="S2318" s="9">
        <f>IF(R2318="",AVERAGEIF(Table1[Category],Table1[[#This Row],[Category]],Table2[orignal data]),Table2[[#This Row],[orignal data]])</f>
        <v>699.5</v>
      </c>
      <c r="T2318" t="str">
        <f t="shared" si="146"/>
        <v>UNIQUE</v>
      </c>
      <c r="U2318" t="str">
        <f>IF(ISBLANK(Table1[[#This Row],[SizeOption]]),"NOT AVAILABLE",Table1[[#This Row],[SizeOption]])</f>
        <v>XS, S, M, L</v>
      </c>
      <c r="Y2318" t="str">
        <f>IF(Table2[[#This Row],[Column1]]&gt;50%,"HIGH DISCOUNT","LOW DISCOUNT")</f>
        <v>LOW DISCOUNT</v>
      </c>
    </row>
    <row r="2319" spans="1:25" x14ac:dyDescent="0.25">
      <c r="A2319" s="2" t="s">
        <v>4924</v>
      </c>
      <c r="B2319" s="2">
        <v>17383140</v>
      </c>
      <c r="C2319" s="2" t="s">
        <v>14</v>
      </c>
      <c r="D2319" s="2" t="s">
        <v>41</v>
      </c>
      <c r="E2319" s="2" t="s">
        <v>42</v>
      </c>
      <c r="F2319" s="2" t="s">
        <v>36</v>
      </c>
      <c r="G2319" s="2" t="s">
        <v>4925</v>
      </c>
      <c r="I2319" s="2">
        <v>1498</v>
      </c>
      <c r="J2319" s="2" t="s">
        <v>84</v>
      </c>
      <c r="K2319" s="2" t="s">
        <v>146</v>
      </c>
      <c r="L2319" s="2">
        <v>4.4000000000000004</v>
      </c>
      <c r="M2319" s="2">
        <v>664</v>
      </c>
      <c r="P2319" t="str">
        <f t="shared" si="147"/>
        <v>50%</v>
      </c>
      <c r="Q2319" s="12">
        <f t="shared" si="144"/>
        <v>0.5</v>
      </c>
      <c r="R2319" s="9">
        <f t="shared" si="145"/>
        <v>749</v>
      </c>
      <c r="S2319" s="9">
        <f>IF(R2319="",AVERAGEIF(Table1[Category],Table1[[#This Row],[Category]],Table2[orignal data]),Table2[[#This Row],[orignal data]])</f>
        <v>749</v>
      </c>
      <c r="T2319" t="str">
        <f t="shared" si="146"/>
        <v>UNIQUE</v>
      </c>
      <c r="U2319" t="str">
        <f>IF(ISBLANK(Table1[[#This Row],[SizeOption]]),"NOT AVAILABLE",Table1[[#This Row],[SizeOption]])</f>
        <v>L, M, S, XS, XL</v>
      </c>
      <c r="Y2319" t="str">
        <f>IF(Table2[[#This Row],[Column1]]&gt;50%,"HIGH DISCOUNT","LOW DISCOUNT")</f>
        <v>LOW DISCOUNT</v>
      </c>
    </row>
    <row r="2320" spans="1:25" x14ac:dyDescent="0.25">
      <c r="A2320" s="1" t="s">
        <v>4926</v>
      </c>
      <c r="B2320" s="1">
        <v>12222072</v>
      </c>
      <c r="C2320" s="1" t="s">
        <v>181</v>
      </c>
      <c r="D2320" s="1" t="s">
        <v>41</v>
      </c>
      <c r="E2320" s="1" t="s">
        <v>16</v>
      </c>
      <c r="F2320" s="1" t="s">
        <v>36</v>
      </c>
      <c r="G2320" s="1" t="s">
        <v>4927</v>
      </c>
      <c r="I2320" s="1">
        <v>1999</v>
      </c>
      <c r="J2320" s="1" t="s">
        <v>55</v>
      </c>
      <c r="K2320" s="1" t="s">
        <v>134</v>
      </c>
      <c r="L2320" s="1">
        <v>4.3</v>
      </c>
      <c r="M2320" s="1">
        <v>664</v>
      </c>
      <c r="P2320" t="str">
        <f t="shared" si="147"/>
        <v>60%</v>
      </c>
      <c r="Q2320" s="12">
        <f t="shared" si="144"/>
        <v>0.6</v>
      </c>
      <c r="R2320" s="9">
        <f t="shared" si="145"/>
        <v>799.60000000000014</v>
      </c>
      <c r="S2320" s="9">
        <f>IF(R2320="",AVERAGEIF(Table1[Category],Table1[[#This Row],[Category]],Table2[orignal data]),Table2[[#This Row],[orignal data]])</f>
        <v>799.60000000000014</v>
      </c>
      <c r="T2320" t="str">
        <f t="shared" si="146"/>
        <v>UNIQUE</v>
      </c>
      <c r="U2320" t="str">
        <f>IF(ISBLANK(Table1[[#This Row],[SizeOption]]),"NOT AVAILABLE",Table1[[#This Row],[SizeOption]])</f>
        <v>26, 28, 30, 32, 34, 36</v>
      </c>
      <c r="Y2320" t="str">
        <f>IF(Table2[[#This Row],[Column1]]&gt;50%,"HIGH DISCOUNT","LOW DISCOUNT")</f>
        <v>HIGH DISCOUNT</v>
      </c>
    </row>
    <row r="2321" spans="1:25" x14ac:dyDescent="0.25">
      <c r="A2321" s="2" t="s">
        <v>4928</v>
      </c>
      <c r="B2321" s="2">
        <v>10854226</v>
      </c>
      <c r="C2321" s="2" t="s">
        <v>102</v>
      </c>
      <c r="D2321" s="2" t="s">
        <v>41</v>
      </c>
      <c r="E2321" s="2" t="s">
        <v>148</v>
      </c>
      <c r="F2321" s="2" t="s">
        <v>36</v>
      </c>
      <c r="G2321" s="2" t="s">
        <v>4929</v>
      </c>
      <c r="I2321" s="2">
        <v>2149</v>
      </c>
      <c r="J2321" s="2" t="s">
        <v>55</v>
      </c>
      <c r="K2321" s="2" t="s">
        <v>26</v>
      </c>
      <c r="L2321" s="2">
        <v>4.5</v>
      </c>
      <c r="M2321" s="2">
        <v>664</v>
      </c>
      <c r="P2321" t="str">
        <f t="shared" si="147"/>
        <v>60%</v>
      </c>
      <c r="Q2321" s="12">
        <f t="shared" si="144"/>
        <v>0.6</v>
      </c>
      <c r="R2321" s="9">
        <f t="shared" si="145"/>
        <v>859.60000000000014</v>
      </c>
      <c r="S2321" s="9">
        <f>IF(R2321="",AVERAGEIF(Table1[Category],Table1[[#This Row],[Category]],Table2[orignal data]),Table2[[#This Row],[orignal data]])</f>
        <v>859.60000000000014</v>
      </c>
      <c r="T2321" t="str">
        <f t="shared" si="146"/>
        <v>UNIQUE</v>
      </c>
      <c r="U2321" t="str">
        <f>IF(ISBLANK(Table1[[#This Row],[SizeOption]]),"NOT AVAILABLE",Table1[[#This Row],[SizeOption]])</f>
        <v>S, M, L, XL</v>
      </c>
      <c r="Y2321" t="str">
        <f>IF(Table2[[#This Row],[Column1]]&gt;50%,"HIGH DISCOUNT","LOW DISCOUNT")</f>
        <v>HIGH DISCOUNT</v>
      </c>
    </row>
    <row r="2322" spans="1:25" x14ac:dyDescent="0.25">
      <c r="A2322" s="1" t="s">
        <v>4930</v>
      </c>
      <c r="B2322" s="1">
        <v>13601528</v>
      </c>
      <c r="C2322" s="1" t="s">
        <v>14</v>
      </c>
      <c r="D2322" s="1" t="s">
        <v>41</v>
      </c>
      <c r="E2322" s="1" t="s">
        <v>42</v>
      </c>
      <c r="F2322" s="1" t="s">
        <v>36</v>
      </c>
      <c r="G2322" s="1" t="s">
        <v>4931</v>
      </c>
      <c r="I2322" s="1">
        <v>899</v>
      </c>
      <c r="J2322" s="1" t="s">
        <v>25</v>
      </c>
      <c r="K2322" s="1" t="s">
        <v>45</v>
      </c>
      <c r="L2322" s="1">
        <v>4.2</v>
      </c>
      <c r="M2322" s="1">
        <v>664</v>
      </c>
      <c r="P2322" t="str">
        <f t="shared" si="147"/>
        <v>55%</v>
      </c>
      <c r="Q2322" s="12">
        <f t="shared" si="144"/>
        <v>0.55000000000000004</v>
      </c>
      <c r="R2322" s="9">
        <f t="shared" si="145"/>
        <v>404.54999999999995</v>
      </c>
      <c r="S2322" s="9">
        <f>IF(R2322="",AVERAGEIF(Table1[Category],Table1[[#This Row],[Category]],Table2[orignal data]),Table2[[#This Row],[orignal data]])</f>
        <v>404.54999999999995</v>
      </c>
      <c r="T2322" t="str">
        <f t="shared" si="146"/>
        <v>UNIQUE</v>
      </c>
      <c r="U2322" t="str">
        <f>IF(ISBLANK(Table1[[#This Row],[SizeOption]]),"NOT AVAILABLE",Table1[[#This Row],[SizeOption]])</f>
        <v>XS, S, M, L, XL</v>
      </c>
      <c r="Y2322" t="str">
        <f>IF(Table2[[#This Row],[Column1]]&gt;50%,"HIGH DISCOUNT","LOW DISCOUNT")</f>
        <v>HIGH DISCOUNT</v>
      </c>
    </row>
    <row r="2323" spans="1:25" x14ac:dyDescent="0.25">
      <c r="A2323" s="2" t="s">
        <v>4932</v>
      </c>
      <c r="B2323" s="2">
        <v>10794308</v>
      </c>
      <c r="C2323" s="2" t="s">
        <v>1091</v>
      </c>
      <c r="D2323" s="2" t="s">
        <v>197</v>
      </c>
      <c r="E2323" s="2" t="s">
        <v>296</v>
      </c>
      <c r="F2323" s="2" t="s">
        <v>17</v>
      </c>
      <c r="G2323" s="2" t="s">
        <v>4933</v>
      </c>
      <c r="H2323">
        <v>495</v>
      </c>
      <c r="I2323" s="2">
        <v>618</v>
      </c>
      <c r="J2323" s="2" t="s">
        <v>4934</v>
      </c>
      <c r="K2323" s="2" t="s">
        <v>39</v>
      </c>
      <c r="L2323" s="2">
        <v>4</v>
      </c>
      <c r="M2323" s="2">
        <v>663</v>
      </c>
      <c r="P2323" t="str">
        <f t="shared" si="147"/>
        <v>123</v>
      </c>
      <c r="Q2323" s="12">
        <f t="shared" si="144"/>
        <v>0.19902912621359223</v>
      </c>
      <c r="R2323" s="9">
        <f t="shared" si="145"/>
        <v>495</v>
      </c>
      <c r="S2323" s="9">
        <f>IF(R2323="",AVERAGEIF(Table1[Category],Table1[[#This Row],[Category]],Table2[orignal data]),Table2[[#This Row],[orignal data]])</f>
        <v>495</v>
      </c>
      <c r="T2323" t="str">
        <f t="shared" si="146"/>
        <v>UNIQUE</v>
      </c>
      <c r="U2323" t="str">
        <f>IF(ISBLANK(Table1[[#This Row],[SizeOption]]),"NOT AVAILABLE",Table1[[#This Row],[SizeOption]])</f>
        <v>S, M, L, XL, XXL</v>
      </c>
      <c r="Y2323" t="str">
        <f>IF(Table2[[#This Row],[Column1]]&gt;50%,"HIGH DISCOUNT","LOW DISCOUNT")</f>
        <v>LOW DISCOUNT</v>
      </c>
    </row>
    <row r="2324" spans="1:25" x14ac:dyDescent="0.25">
      <c r="A2324" s="1" t="s">
        <v>4935</v>
      </c>
      <c r="B2324" s="1">
        <v>9168561</v>
      </c>
      <c r="C2324" s="1" t="s">
        <v>794</v>
      </c>
      <c r="D2324" s="1" t="s">
        <v>197</v>
      </c>
      <c r="E2324" s="1" t="s">
        <v>350</v>
      </c>
      <c r="F2324" s="1" t="s">
        <v>17</v>
      </c>
      <c r="G2324" s="1" t="s">
        <v>4936</v>
      </c>
      <c r="I2324" s="1">
        <v>369</v>
      </c>
      <c r="J2324" s="1"/>
      <c r="K2324" s="1" t="s">
        <v>4937</v>
      </c>
      <c r="L2324" s="1">
        <v>4.0999999999999996</v>
      </c>
      <c r="M2324" s="1">
        <v>663</v>
      </c>
      <c r="P2324" t="str">
        <f t="shared" si="147"/>
        <v/>
      </c>
      <c r="Q2324" s="12" t="str">
        <f t="shared" si="144"/>
        <v/>
      </c>
      <c r="R2324" s="9" t="str">
        <f t="shared" si="145"/>
        <v/>
      </c>
      <c r="S2324" s="9">
        <f>IF(R2324="",AVERAGEIF(Table1[Category],Table1[[#This Row],[Category]],Table2[orignal data]),Table2[[#This Row],[orignal data]])</f>
        <v>552.70900000000006</v>
      </c>
      <c r="T2324" t="str">
        <f t="shared" si="146"/>
        <v>UNIQUE</v>
      </c>
      <c r="U2324" t="str">
        <f>IF(ISBLANK(Table1[[#This Row],[SizeOption]]),"NOT AVAILABLE",Table1[[#This Row],[SizeOption]])</f>
        <v>XL, XXL</v>
      </c>
      <c r="Y2324" t="str">
        <f>IF(Table2[[#This Row],[Column1]]&gt;50%,"HIGH DISCOUNT","LOW DISCOUNT")</f>
        <v>HIGH DISCOUNT</v>
      </c>
    </row>
    <row r="2325" spans="1:25" x14ac:dyDescent="0.25">
      <c r="A2325" s="2" t="s">
        <v>4938</v>
      </c>
      <c r="B2325" s="2">
        <v>11607352</v>
      </c>
      <c r="C2325" s="2" t="s">
        <v>47</v>
      </c>
      <c r="D2325" s="2" t="s">
        <v>28</v>
      </c>
      <c r="E2325" s="2" t="s">
        <v>42</v>
      </c>
      <c r="F2325" s="2" t="s">
        <v>17</v>
      </c>
      <c r="G2325" s="2" t="s">
        <v>4939</v>
      </c>
      <c r="H2325">
        <v>439</v>
      </c>
      <c r="I2325" s="2">
        <v>1099</v>
      </c>
      <c r="J2325" s="2" t="s">
        <v>55</v>
      </c>
      <c r="K2325" s="2" t="s">
        <v>26</v>
      </c>
      <c r="L2325" s="2">
        <v>4.3</v>
      </c>
      <c r="M2325" s="2">
        <v>663</v>
      </c>
      <c r="P2325" t="str">
        <f t="shared" si="147"/>
        <v>60%</v>
      </c>
      <c r="Q2325" s="12">
        <f t="shared" si="144"/>
        <v>0.6</v>
      </c>
      <c r="R2325" s="9">
        <f t="shared" si="145"/>
        <v>439.6</v>
      </c>
      <c r="S2325" s="9">
        <f>IF(R2325="",AVERAGEIF(Table1[Category],Table1[[#This Row],[Category]],Table2[orignal data]),Table2[[#This Row],[orignal data]])</f>
        <v>439.6</v>
      </c>
      <c r="T2325" t="str">
        <f t="shared" si="146"/>
        <v>UNIQUE</v>
      </c>
      <c r="U2325" t="str">
        <f>IF(ISBLANK(Table1[[#This Row],[SizeOption]]),"NOT AVAILABLE",Table1[[#This Row],[SizeOption]])</f>
        <v>S, M, L, XL</v>
      </c>
      <c r="Y2325" t="str">
        <f>IF(Table2[[#This Row],[Column1]]&gt;50%,"HIGH DISCOUNT","LOW DISCOUNT")</f>
        <v>HIGH DISCOUNT</v>
      </c>
    </row>
    <row r="2326" spans="1:25" x14ac:dyDescent="0.25">
      <c r="A2326" s="1" t="s">
        <v>4940</v>
      </c>
      <c r="B2326" s="1">
        <v>10944718</v>
      </c>
      <c r="C2326" s="1" t="s">
        <v>14</v>
      </c>
      <c r="D2326" s="1" t="s">
        <v>28</v>
      </c>
      <c r="E2326" s="1" t="s">
        <v>29</v>
      </c>
      <c r="F2326" s="1" t="s">
        <v>17</v>
      </c>
      <c r="G2326" s="1" t="s">
        <v>4941</v>
      </c>
      <c r="H2326">
        <v>599</v>
      </c>
      <c r="I2326" s="1">
        <v>1499</v>
      </c>
      <c r="J2326" s="1" t="s">
        <v>55</v>
      </c>
      <c r="K2326" s="1" t="s">
        <v>31</v>
      </c>
      <c r="L2326" s="1">
        <v>4.2</v>
      </c>
      <c r="M2326" s="1">
        <v>663</v>
      </c>
      <c r="P2326" t="str">
        <f t="shared" si="147"/>
        <v>60%</v>
      </c>
      <c r="Q2326" s="12">
        <f t="shared" si="144"/>
        <v>0.6</v>
      </c>
      <c r="R2326" s="9">
        <f t="shared" si="145"/>
        <v>599.6</v>
      </c>
      <c r="S2326" s="9">
        <f>IF(R2326="",AVERAGEIF(Table1[Category],Table1[[#This Row],[Category]],Table2[orignal data]),Table2[[#This Row],[orignal data]])</f>
        <v>599.6</v>
      </c>
      <c r="T2326" t="str">
        <f t="shared" si="146"/>
        <v>UNIQUE</v>
      </c>
      <c r="U2326" t="str">
        <f>IF(ISBLANK(Table1[[#This Row],[SizeOption]]),"NOT AVAILABLE",Table1[[#This Row],[SizeOption]])</f>
        <v>38, 40, 42, 44, 46, 48</v>
      </c>
      <c r="Y2326" t="str">
        <f>IF(Table2[[#This Row],[Column1]]&gt;50%,"HIGH DISCOUNT","LOW DISCOUNT")</f>
        <v>HIGH DISCOUNT</v>
      </c>
    </row>
    <row r="2327" spans="1:25" x14ac:dyDescent="0.25">
      <c r="A2327" s="2" t="s">
        <v>4942</v>
      </c>
      <c r="B2327" s="2">
        <v>2498495</v>
      </c>
      <c r="C2327" s="2" t="s">
        <v>14</v>
      </c>
      <c r="D2327" s="2" t="s">
        <v>28</v>
      </c>
      <c r="E2327" s="2" t="s">
        <v>42</v>
      </c>
      <c r="F2327" s="2" t="s">
        <v>17</v>
      </c>
      <c r="G2327" s="2" t="s">
        <v>4943</v>
      </c>
      <c r="I2327" s="2">
        <v>224</v>
      </c>
      <c r="J2327" s="2"/>
      <c r="K2327" s="2" t="s">
        <v>26</v>
      </c>
      <c r="L2327" s="2">
        <v>4.3</v>
      </c>
      <c r="M2327" s="2">
        <v>663</v>
      </c>
      <c r="P2327" t="str">
        <f t="shared" si="147"/>
        <v/>
      </c>
      <c r="Q2327" s="12" t="str">
        <f t="shared" si="144"/>
        <v/>
      </c>
      <c r="R2327" s="9" t="str">
        <f t="shared" si="145"/>
        <v/>
      </c>
      <c r="S2327" s="9">
        <f>IF(R2327="",AVERAGEIF(Table1[Category],Table1[[#This Row],[Category]],Table2[orignal data]),Table2[[#This Row],[orignal data]])</f>
        <v>671.7823941958867</v>
      </c>
      <c r="T2327" t="str">
        <f t="shared" si="146"/>
        <v>UNIQUE</v>
      </c>
      <c r="U2327" t="str">
        <f>IF(ISBLANK(Table1[[#This Row],[SizeOption]]),"NOT AVAILABLE",Table1[[#This Row],[SizeOption]])</f>
        <v>S, M, L, XL</v>
      </c>
      <c r="Y2327" t="str">
        <f>IF(Table2[[#This Row],[Column1]]&gt;50%,"HIGH DISCOUNT","LOW DISCOUNT")</f>
        <v>HIGH DISCOUNT</v>
      </c>
    </row>
    <row r="2328" spans="1:25" x14ac:dyDescent="0.25">
      <c r="A2328" s="1" t="s">
        <v>4944</v>
      </c>
      <c r="B2328" s="1">
        <v>12816832</v>
      </c>
      <c r="C2328" s="1" t="s">
        <v>64</v>
      </c>
      <c r="D2328" s="1" t="s">
        <v>28</v>
      </c>
      <c r="E2328" s="1" t="s">
        <v>42</v>
      </c>
      <c r="F2328" s="1" t="s">
        <v>17</v>
      </c>
      <c r="G2328" s="1" t="s">
        <v>4945</v>
      </c>
      <c r="H2328">
        <v>269</v>
      </c>
      <c r="I2328" s="1">
        <v>599</v>
      </c>
      <c r="J2328" s="1" t="s">
        <v>25</v>
      </c>
      <c r="K2328" s="1" t="s">
        <v>26</v>
      </c>
      <c r="L2328" s="1">
        <v>4.0999999999999996</v>
      </c>
      <c r="M2328" s="1">
        <v>663</v>
      </c>
      <c r="P2328" t="str">
        <f t="shared" si="147"/>
        <v>55%</v>
      </c>
      <c r="Q2328" s="12">
        <f t="shared" si="144"/>
        <v>0.55000000000000004</v>
      </c>
      <c r="R2328" s="9">
        <f t="shared" si="145"/>
        <v>269.54999999999995</v>
      </c>
      <c r="S2328" s="9">
        <f>IF(R2328="",AVERAGEIF(Table1[Category],Table1[[#This Row],[Category]],Table2[orignal data]),Table2[[#This Row],[orignal data]])</f>
        <v>269.54999999999995</v>
      </c>
      <c r="T2328" t="str">
        <f t="shared" si="146"/>
        <v>UNIQUE</v>
      </c>
      <c r="U2328" t="str">
        <f>IF(ISBLANK(Table1[[#This Row],[SizeOption]]),"NOT AVAILABLE",Table1[[#This Row],[SizeOption]])</f>
        <v>S, M, L, XL</v>
      </c>
      <c r="Y2328" t="str">
        <f>IF(Table2[[#This Row],[Column1]]&gt;50%,"HIGH DISCOUNT","LOW DISCOUNT")</f>
        <v>HIGH DISCOUNT</v>
      </c>
    </row>
    <row r="2329" spans="1:25" x14ac:dyDescent="0.25">
      <c r="A2329" s="2" t="s">
        <v>4946</v>
      </c>
      <c r="B2329" s="2">
        <v>1703240</v>
      </c>
      <c r="C2329" s="2" t="s">
        <v>52</v>
      </c>
      <c r="D2329" s="2" t="s">
        <v>28</v>
      </c>
      <c r="E2329" s="2" t="s">
        <v>42</v>
      </c>
      <c r="F2329" s="2" t="s">
        <v>17</v>
      </c>
      <c r="G2329" s="2" t="s">
        <v>4947</v>
      </c>
      <c r="H2329">
        <v>279</v>
      </c>
      <c r="I2329" s="2">
        <v>699</v>
      </c>
      <c r="J2329" s="2" t="s">
        <v>55</v>
      </c>
      <c r="K2329" s="2" t="s">
        <v>26</v>
      </c>
      <c r="L2329" s="2">
        <v>4.2</v>
      </c>
      <c r="M2329" s="2">
        <v>663</v>
      </c>
      <c r="P2329" t="str">
        <f t="shared" si="147"/>
        <v>60%</v>
      </c>
      <c r="Q2329" s="12">
        <f t="shared" si="144"/>
        <v>0.6</v>
      </c>
      <c r="R2329" s="9">
        <f t="shared" si="145"/>
        <v>279.60000000000002</v>
      </c>
      <c r="S2329" s="9">
        <f>IF(R2329="",AVERAGEIF(Table1[Category],Table1[[#This Row],[Category]],Table2[orignal data]),Table2[[#This Row],[orignal data]])</f>
        <v>279.60000000000002</v>
      </c>
      <c r="T2329" t="str">
        <f t="shared" si="146"/>
        <v>UNIQUE</v>
      </c>
      <c r="U2329" t="str">
        <f>IF(ISBLANK(Table1[[#This Row],[SizeOption]]),"NOT AVAILABLE",Table1[[#This Row],[SizeOption]])</f>
        <v>S, M, L, XL</v>
      </c>
      <c r="Y2329" t="str">
        <f>IF(Table2[[#This Row],[Column1]]&gt;50%,"HIGH DISCOUNT","LOW DISCOUNT")</f>
        <v>HIGH DISCOUNT</v>
      </c>
    </row>
    <row r="2330" spans="1:25" x14ac:dyDescent="0.25">
      <c r="A2330" s="1" t="s">
        <v>4948</v>
      </c>
      <c r="B2330" s="1">
        <v>10287471</v>
      </c>
      <c r="C2330" s="1" t="s">
        <v>201</v>
      </c>
      <c r="D2330" s="1" t="s">
        <v>28</v>
      </c>
      <c r="E2330" s="1" t="s">
        <v>42</v>
      </c>
      <c r="F2330" s="1" t="s">
        <v>17</v>
      </c>
      <c r="G2330" s="1" t="s">
        <v>4949</v>
      </c>
      <c r="H2330">
        <v>379</v>
      </c>
      <c r="I2330" s="1">
        <v>949</v>
      </c>
      <c r="J2330" s="1" t="s">
        <v>55</v>
      </c>
      <c r="K2330" s="1" t="s">
        <v>26</v>
      </c>
      <c r="L2330" s="1">
        <v>4.2</v>
      </c>
      <c r="M2330" s="1">
        <v>663</v>
      </c>
      <c r="P2330" t="str">
        <f t="shared" si="147"/>
        <v>60%</v>
      </c>
      <c r="Q2330" s="12">
        <f t="shared" si="144"/>
        <v>0.6</v>
      </c>
      <c r="R2330" s="9">
        <f t="shared" si="145"/>
        <v>379.6</v>
      </c>
      <c r="S2330" s="9">
        <f>IF(R2330="",AVERAGEIF(Table1[Category],Table1[[#This Row],[Category]],Table2[orignal data]),Table2[[#This Row],[orignal data]])</f>
        <v>379.6</v>
      </c>
      <c r="T2330" t="str">
        <f t="shared" si="146"/>
        <v>UNIQUE</v>
      </c>
      <c r="U2330" t="str">
        <f>IF(ISBLANK(Table1[[#This Row],[SizeOption]]),"NOT AVAILABLE",Table1[[#This Row],[SizeOption]])</f>
        <v>S, M, L, XL</v>
      </c>
      <c r="Y2330" t="str">
        <f>IF(Table2[[#This Row],[Column1]]&gt;50%,"HIGH DISCOUNT","LOW DISCOUNT")</f>
        <v>HIGH DISCOUNT</v>
      </c>
    </row>
    <row r="2331" spans="1:25" x14ac:dyDescent="0.25">
      <c r="A2331" s="2" t="s">
        <v>4950</v>
      </c>
      <c r="B2331" s="2">
        <v>15341522</v>
      </c>
      <c r="C2331" s="2" t="s">
        <v>4951</v>
      </c>
      <c r="D2331" s="2" t="s">
        <v>34</v>
      </c>
      <c r="E2331" s="2" t="s">
        <v>4952</v>
      </c>
      <c r="F2331" s="2" t="s">
        <v>36</v>
      </c>
      <c r="G2331" s="2" t="s">
        <v>4953</v>
      </c>
      <c r="I2331" s="2">
        <v>599</v>
      </c>
      <c r="J2331" s="2"/>
      <c r="K2331" s="2" t="s">
        <v>115</v>
      </c>
      <c r="L2331" s="2">
        <v>4.4000000000000004</v>
      </c>
      <c r="M2331" s="2">
        <v>663</v>
      </c>
      <c r="P2331" t="str">
        <f t="shared" si="147"/>
        <v/>
      </c>
      <c r="Q2331" s="12" t="str">
        <f t="shared" si="144"/>
        <v/>
      </c>
      <c r="R2331" s="9" t="str">
        <f t="shared" si="145"/>
        <v/>
      </c>
      <c r="S2331" s="9">
        <f>IF(R2331="",AVERAGEIF(Table1[Category],Table1[[#This Row],[Category]],Table2[orignal data]),Table2[[#This Row],[orignal data]])</f>
        <v>608.88518518518481</v>
      </c>
      <c r="T2331" t="str">
        <f t="shared" si="146"/>
        <v>UNIQUE</v>
      </c>
      <c r="U2331" t="str">
        <f>IF(ISBLANK(Table1[[#This Row],[SizeOption]]),"NOT AVAILABLE",Table1[[#This Row],[SizeOption]])</f>
        <v>XS, S, M, L, XL, XXL</v>
      </c>
      <c r="Y2331" t="str">
        <f>IF(Table2[[#This Row],[Column1]]&gt;50%,"HIGH DISCOUNT","LOW DISCOUNT")</f>
        <v>HIGH DISCOUNT</v>
      </c>
    </row>
    <row r="2332" spans="1:25" x14ac:dyDescent="0.25">
      <c r="A2332" s="1" t="s">
        <v>4954</v>
      </c>
      <c r="B2332" s="1">
        <v>1990022</v>
      </c>
      <c r="C2332" s="1" t="s">
        <v>64</v>
      </c>
      <c r="D2332" s="1" t="s">
        <v>98</v>
      </c>
      <c r="E2332" s="1" t="s">
        <v>93</v>
      </c>
      <c r="F2332" s="1" t="s">
        <v>36</v>
      </c>
      <c r="G2332" s="1" t="s">
        <v>4955</v>
      </c>
      <c r="H2332">
        <v>559</v>
      </c>
      <c r="I2332" s="1">
        <v>1399</v>
      </c>
      <c r="J2332" s="1" t="s">
        <v>55</v>
      </c>
      <c r="K2332" s="1" t="s">
        <v>100</v>
      </c>
      <c r="L2332" s="1">
        <v>4</v>
      </c>
      <c r="M2332" s="1">
        <v>663</v>
      </c>
      <c r="P2332" t="str">
        <f t="shared" si="147"/>
        <v>60%</v>
      </c>
      <c r="Q2332" s="12">
        <f t="shared" si="144"/>
        <v>0.6</v>
      </c>
      <c r="R2332" s="9">
        <f t="shared" si="145"/>
        <v>559.6</v>
      </c>
      <c r="S2332" s="9">
        <f>IF(R2332="",AVERAGEIF(Table1[Category],Table1[[#This Row],[Category]],Table2[orignal data]),Table2[[#This Row],[orignal data]])</f>
        <v>559.6</v>
      </c>
      <c r="T2332" t="str">
        <f t="shared" si="146"/>
        <v>UNIQUE</v>
      </c>
      <c r="U2332" t="str">
        <f>IF(ISBLANK(Table1[[#This Row],[SizeOption]]),"NOT AVAILABLE",Table1[[#This Row],[SizeOption]])</f>
        <v>XS, S, M, L, XL, XXL, 3XL</v>
      </c>
      <c r="Y2332" t="str">
        <f>IF(Table2[[#This Row],[Column1]]&gt;50%,"HIGH DISCOUNT","LOW DISCOUNT")</f>
        <v>HIGH DISCOUNT</v>
      </c>
    </row>
    <row r="2333" spans="1:25" x14ac:dyDescent="0.25">
      <c r="A2333" s="2" t="s">
        <v>4956</v>
      </c>
      <c r="B2333" s="2">
        <v>12332480</v>
      </c>
      <c r="C2333" s="2" t="s">
        <v>47</v>
      </c>
      <c r="D2333" s="2" t="s">
        <v>68</v>
      </c>
      <c r="E2333" s="2" t="s">
        <v>23</v>
      </c>
      <c r="F2333" s="2" t="s">
        <v>36</v>
      </c>
      <c r="G2333" s="2" t="s">
        <v>4957</v>
      </c>
      <c r="H2333">
        <v>679</v>
      </c>
      <c r="I2333" s="2">
        <v>1699</v>
      </c>
      <c r="J2333" s="2" t="s">
        <v>55</v>
      </c>
      <c r="K2333" s="2" t="s">
        <v>45</v>
      </c>
      <c r="L2333" s="2">
        <v>4.0999999999999996</v>
      </c>
      <c r="M2333" s="2">
        <v>663</v>
      </c>
      <c r="P2333" t="str">
        <f t="shared" si="147"/>
        <v>60%</v>
      </c>
      <c r="Q2333" s="12">
        <f t="shared" si="144"/>
        <v>0.6</v>
      </c>
      <c r="R2333" s="9">
        <f t="shared" si="145"/>
        <v>679.6</v>
      </c>
      <c r="S2333" s="9">
        <f>IF(R2333="",AVERAGEIF(Table1[Category],Table1[[#This Row],[Category]],Table2[orignal data]),Table2[[#This Row],[orignal data]])</f>
        <v>679.6</v>
      </c>
      <c r="T2333" t="str">
        <f t="shared" si="146"/>
        <v>UNIQUE</v>
      </c>
      <c r="U2333" t="str">
        <f>IF(ISBLANK(Table1[[#This Row],[SizeOption]]),"NOT AVAILABLE",Table1[[#This Row],[SizeOption]])</f>
        <v>XS, S, M, L, XL</v>
      </c>
      <c r="Y2333" t="str">
        <f>IF(Table2[[#This Row],[Column1]]&gt;50%,"HIGH DISCOUNT","LOW DISCOUNT")</f>
        <v>HIGH DISCOUNT</v>
      </c>
    </row>
    <row r="2334" spans="1:25" x14ac:dyDescent="0.25">
      <c r="A2334" s="1" t="s">
        <v>4958</v>
      </c>
      <c r="B2334" s="1">
        <v>17384024</v>
      </c>
      <c r="C2334" s="1" t="s">
        <v>14</v>
      </c>
      <c r="D2334" s="1" t="s">
        <v>41</v>
      </c>
      <c r="E2334" s="1" t="s">
        <v>42</v>
      </c>
      <c r="F2334" s="1" t="s">
        <v>36</v>
      </c>
      <c r="G2334" s="1" t="s">
        <v>696</v>
      </c>
      <c r="I2334" s="1">
        <v>1398</v>
      </c>
      <c r="J2334" s="1" t="s">
        <v>84</v>
      </c>
      <c r="K2334" s="1" t="s">
        <v>1234</v>
      </c>
      <c r="L2334" s="1">
        <v>4.3</v>
      </c>
      <c r="M2334" s="1">
        <v>663</v>
      </c>
      <c r="P2334" t="str">
        <f t="shared" si="147"/>
        <v>50%</v>
      </c>
      <c r="Q2334" s="12">
        <f t="shared" si="144"/>
        <v>0.5</v>
      </c>
      <c r="R2334" s="9">
        <f t="shared" si="145"/>
        <v>699</v>
      </c>
      <c r="S2334" s="9">
        <f>IF(R2334="",AVERAGEIF(Table1[Category],Table1[[#This Row],[Category]],Table2[orignal data]),Table2[[#This Row],[orignal data]])</f>
        <v>699</v>
      </c>
      <c r="T2334" t="str">
        <f t="shared" si="146"/>
        <v>UNIQUE</v>
      </c>
      <c r="U2334" t="str">
        <f>IF(ISBLANK(Table1[[#This Row],[SizeOption]]),"NOT AVAILABLE",Table1[[#This Row],[SizeOption]])</f>
        <v>XL, L, M, S, XS</v>
      </c>
      <c r="Y2334" t="str">
        <f>IF(Table2[[#This Row],[Column1]]&gt;50%,"HIGH DISCOUNT","LOW DISCOUNT")</f>
        <v>LOW DISCOUNT</v>
      </c>
    </row>
    <row r="2335" spans="1:25" x14ac:dyDescent="0.25">
      <c r="A2335" s="2" t="s">
        <v>4959</v>
      </c>
      <c r="B2335" s="2">
        <v>9478371</v>
      </c>
      <c r="C2335" s="2" t="s">
        <v>14</v>
      </c>
      <c r="D2335" s="2" t="s">
        <v>41</v>
      </c>
      <c r="E2335" s="2" t="s">
        <v>306</v>
      </c>
      <c r="F2335" s="2" t="s">
        <v>36</v>
      </c>
      <c r="G2335" s="2" t="s">
        <v>4960</v>
      </c>
      <c r="I2335" s="2">
        <v>1899</v>
      </c>
      <c r="J2335" s="2" t="s">
        <v>150</v>
      </c>
      <c r="K2335" s="2" t="s">
        <v>45</v>
      </c>
      <c r="L2335" s="2">
        <v>3.9</v>
      </c>
      <c r="M2335" s="2">
        <v>663</v>
      </c>
      <c r="P2335" t="str">
        <f t="shared" si="147"/>
        <v>65%</v>
      </c>
      <c r="Q2335" s="12">
        <f t="shared" si="144"/>
        <v>0.65</v>
      </c>
      <c r="R2335" s="9">
        <f t="shared" si="145"/>
        <v>664.64999999999986</v>
      </c>
      <c r="S2335" s="9">
        <f>IF(R2335="",AVERAGEIF(Table1[Category],Table1[[#This Row],[Category]],Table2[orignal data]),Table2[[#This Row],[orignal data]])</f>
        <v>664.64999999999986</v>
      </c>
      <c r="T2335" t="str">
        <f t="shared" si="146"/>
        <v>UNIQUE</v>
      </c>
      <c r="U2335" t="str">
        <f>IF(ISBLANK(Table1[[#This Row],[SizeOption]]),"NOT AVAILABLE",Table1[[#This Row],[SizeOption]])</f>
        <v>XS, S, M, L, XL</v>
      </c>
      <c r="Y2335" t="str">
        <f>IF(Table2[[#This Row],[Column1]]&gt;50%,"HIGH DISCOUNT","LOW DISCOUNT")</f>
        <v>HIGH DISCOUNT</v>
      </c>
    </row>
    <row r="2336" spans="1:25" x14ac:dyDescent="0.25">
      <c r="A2336" s="1" t="s">
        <v>4961</v>
      </c>
      <c r="B2336" s="1">
        <v>7687332</v>
      </c>
      <c r="C2336" s="1" t="s">
        <v>181</v>
      </c>
      <c r="D2336" s="1" t="s">
        <v>41</v>
      </c>
      <c r="E2336" s="1" t="s">
        <v>53</v>
      </c>
      <c r="F2336" s="1" t="s">
        <v>36</v>
      </c>
      <c r="G2336" s="1" t="s">
        <v>4962</v>
      </c>
      <c r="I2336" s="1">
        <v>1999</v>
      </c>
      <c r="J2336" s="1" t="s">
        <v>55</v>
      </c>
      <c r="K2336" s="1" t="s">
        <v>134</v>
      </c>
      <c r="L2336" s="1">
        <v>4</v>
      </c>
      <c r="M2336" s="1">
        <v>663</v>
      </c>
      <c r="P2336" t="str">
        <f t="shared" si="147"/>
        <v>60%</v>
      </c>
      <c r="Q2336" s="12">
        <f t="shared" si="144"/>
        <v>0.6</v>
      </c>
      <c r="R2336" s="9">
        <f t="shared" si="145"/>
        <v>799.60000000000014</v>
      </c>
      <c r="S2336" s="9">
        <f>IF(R2336="",AVERAGEIF(Table1[Category],Table1[[#This Row],[Category]],Table2[orignal data]),Table2[[#This Row],[orignal data]])</f>
        <v>799.60000000000014</v>
      </c>
      <c r="T2336" t="str">
        <f t="shared" si="146"/>
        <v>UNIQUE</v>
      </c>
      <c r="U2336" t="str">
        <f>IF(ISBLANK(Table1[[#This Row],[SizeOption]]),"NOT AVAILABLE",Table1[[#This Row],[SizeOption]])</f>
        <v>26, 28, 30, 32, 34, 36</v>
      </c>
      <c r="Y2336" t="str">
        <f>IF(Table2[[#This Row],[Column1]]&gt;50%,"HIGH DISCOUNT","LOW DISCOUNT")</f>
        <v>HIGH DISCOUNT</v>
      </c>
    </row>
    <row r="2337" spans="1:25" x14ac:dyDescent="0.25">
      <c r="A2337" s="2" t="s">
        <v>4963</v>
      </c>
      <c r="B2337" s="2">
        <v>9056979</v>
      </c>
      <c r="C2337" s="2" t="s">
        <v>14</v>
      </c>
      <c r="D2337" s="2" t="s">
        <v>41</v>
      </c>
      <c r="E2337" s="2" t="s">
        <v>579</v>
      </c>
      <c r="F2337" s="2" t="s">
        <v>36</v>
      </c>
      <c r="G2337" s="2" t="s">
        <v>4964</v>
      </c>
      <c r="I2337" s="2">
        <v>1999</v>
      </c>
      <c r="J2337" s="2" t="s">
        <v>150</v>
      </c>
      <c r="K2337" s="2" t="s">
        <v>134</v>
      </c>
      <c r="L2337" s="2">
        <v>4.4000000000000004</v>
      </c>
      <c r="M2337" s="2">
        <v>663</v>
      </c>
      <c r="P2337" t="str">
        <f t="shared" si="147"/>
        <v>65%</v>
      </c>
      <c r="Q2337" s="12">
        <f t="shared" si="144"/>
        <v>0.65</v>
      </c>
      <c r="R2337" s="9">
        <f t="shared" si="145"/>
        <v>699.64999999999986</v>
      </c>
      <c r="S2337" s="9">
        <f>IF(R2337="",AVERAGEIF(Table1[Category],Table1[[#This Row],[Category]],Table2[orignal data]),Table2[[#This Row],[orignal data]])</f>
        <v>699.64999999999986</v>
      </c>
      <c r="T2337" t="str">
        <f t="shared" si="146"/>
        <v>UNIQUE</v>
      </c>
      <c r="U2337" t="str">
        <f>IF(ISBLANK(Table1[[#This Row],[SizeOption]]),"NOT AVAILABLE",Table1[[#This Row],[SizeOption]])</f>
        <v>26, 28, 30, 32, 34, 36</v>
      </c>
      <c r="Y2337" t="str">
        <f>IF(Table2[[#This Row],[Column1]]&gt;50%,"HIGH DISCOUNT","LOW DISCOUNT")</f>
        <v>HIGH DISCOUNT</v>
      </c>
    </row>
    <row r="2338" spans="1:25" x14ac:dyDescent="0.25">
      <c r="A2338" s="1" t="s">
        <v>4965</v>
      </c>
      <c r="B2338" s="1">
        <v>17381758</v>
      </c>
      <c r="C2338" s="1" t="s">
        <v>14</v>
      </c>
      <c r="D2338" s="1" t="s">
        <v>41</v>
      </c>
      <c r="E2338" s="1" t="s">
        <v>42</v>
      </c>
      <c r="F2338" s="1" t="s">
        <v>36</v>
      </c>
      <c r="G2338" s="1" t="s">
        <v>4966</v>
      </c>
      <c r="I2338" s="1">
        <v>1998</v>
      </c>
      <c r="J2338" s="1"/>
      <c r="K2338" s="1" t="s">
        <v>45</v>
      </c>
      <c r="L2338" s="1">
        <v>4.2</v>
      </c>
      <c r="M2338" s="1">
        <v>663</v>
      </c>
      <c r="P2338" t="str">
        <f t="shared" si="147"/>
        <v/>
      </c>
      <c r="Q2338" s="12" t="str">
        <f t="shared" si="144"/>
        <v/>
      </c>
      <c r="R2338" s="9" t="str">
        <f t="shared" si="145"/>
        <v/>
      </c>
      <c r="S2338" s="9">
        <f>IF(R2338="",AVERAGEIF(Table1[Category],Table1[[#This Row],[Category]],Table2[orignal data]),Table2[[#This Row],[orignal data]])</f>
        <v>715.78890751086249</v>
      </c>
      <c r="T2338" t="str">
        <f t="shared" si="146"/>
        <v>UNIQUE</v>
      </c>
      <c r="U2338" t="str">
        <f>IF(ISBLANK(Table1[[#This Row],[SizeOption]]),"NOT AVAILABLE",Table1[[#This Row],[SizeOption]])</f>
        <v>XS, S, M, L, XL</v>
      </c>
      <c r="Y2338" t="str">
        <f>IF(Table2[[#This Row],[Column1]]&gt;50%,"HIGH DISCOUNT","LOW DISCOUNT")</f>
        <v>HIGH DISCOUNT</v>
      </c>
    </row>
    <row r="2339" spans="1:25" x14ac:dyDescent="0.25">
      <c r="A2339" s="2" t="s">
        <v>4967</v>
      </c>
      <c r="B2339" s="2">
        <v>2152650</v>
      </c>
      <c r="C2339" s="2" t="s">
        <v>47</v>
      </c>
      <c r="D2339" s="2" t="s">
        <v>15</v>
      </c>
      <c r="E2339" s="2" t="s">
        <v>16</v>
      </c>
      <c r="F2339" s="2" t="s">
        <v>17</v>
      </c>
      <c r="G2339" s="2" t="s">
        <v>4673</v>
      </c>
      <c r="H2339">
        <v>1154</v>
      </c>
      <c r="I2339" s="2">
        <v>2099</v>
      </c>
      <c r="J2339" s="2" t="s">
        <v>19</v>
      </c>
      <c r="K2339" s="2" t="s">
        <v>20</v>
      </c>
      <c r="L2339" s="2">
        <v>3.9</v>
      </c>
      <c r="M2339" s="2">
        <v>662</v>
      </c>
      <c r="P2339" t="str">
        <f t="shared" si="147"/>
        <v>45%</v>
      </c>
      <c r="Q2339" s="12">
        <f t="shared" si="144"/>
        <v>0.45</v>
      </c>
      <c r="R2339" s="9">
        <f t="shared" si="145"/>
        <v>1154.4499999999998</v>
      </c>
      <c r="S2339" s="9">
        <f>IF(R2339="",AVERAGEIF(Table1[Category],Table1[[#This Row],[Category]],Table2[orignal data]),Table2[[#This Row],[orignal data]])</f>
        <v>1154.4499999999998</v>
      </c>
      <c r="T2339" t="str">
        <f t="shared" si="146"/>
        <v>UNIQUE</v>
      </c>
      <c r="U2339" t="str">
        <f>IF(ISBLANK(Table1[[#This Row],[SizeOption]]),"NOT AVAILABLE",Table1[[#This Row],[SizeOption]])</f>
        <v>28, 30, 32, 34, 36</v>
      </c>
      <c r="Y2339" t="str">
        <f>IF(Table2[[#This Row],[Column1]]&gt;50%,"HIGH DISCOUNT","LOW DISCOUNT")</f>
        <v>LOW DISCOUNT</v>
      </c>
    </row>
    <row r="2340" spans="1:25" x14ac:dyDescent="0.25">
      <c r="A2340" s="1" t="s">
        <v>4968</v>
      </c>
      <c r="B2340" s="1">
        <v>8106697</v>
      </c>
      <c r="C2340" s="1" t="s">
        <v>52</v>
      </c>
      <c r="D2340" s="1" t="s">
        <v>15</v>
      </c>
      <c r="E2340" s="1" t="s">
        <v>53</v>
      </c>
      <c r="F2340" s="1" t="s">
        <v>17</v>
      </c>
      <c r="G2340" s="1" t="s">
        <v>4969</v>
      </c>
      <c r="H2340">
        <v>554</v>
      </c>
      <c r="I2340" s="1">
        <v>1499</v>
      </c>
      <c r="J2340" s="1" t="s">
        <v>476</v>
      </c>
      <c r="K2340" s="1" t="s">
        <v>56</v>
      </c>
      <c r="L2340" s="1">
        <v>4</v>
      </c>
      <c r="M2340" s="1">
        <v>662</v>
      </c>
      <c r="P2340" t="str">
        <f t="shared" si="147"/>
        <v>63%</v>
      </c>
      <c r="Q2340" s="12">
        <f t="shared" si="144"/>
        <v>0.63</v>
      </c>
      <c r="R2340" s="9">
        <f t="shared" si="145"/>
        <v>554.63</v>
      </c>
      <c r="S2340" s="9">
        <f>IF(R2340="",AVERAGEIF(Table1[Category],Table1[[#This Row],[Category]],Table2[orignal data]),Table2[[#This Row],[orignal data]])</f>
        <v>554.63</v>
      </c>
      <c r="T2340" t="str">
        <f t="shared" si="146"/>
        <v>UNIQUE</v>
      </c>
      <c r="U2340" t="str">
        <f>IF(ISBLANK(Table1[[#This Row],[SizeOption]]),"NOT AVAILABLE",Table1[[#This Row],[SizeOption]])</f>
        <v>30, 32, 34, 36</v>
      </c>
      <c r="Y2340" t="str">
        <f>IF(Table2[[#This Row],[Column1]]&gt;50%,"HIGH DISCOUNT","LOW DISCOUNT")</f>
        <v>HIGH DISCOUNT</v>
      </c>
    </row>
    <row r="2341" spans="1:25" x14ac:dyDescent="0.25">
      <c r="A2341" s="2" t="s">
        <v>4970</v>
      </c>
      <c r="B2341" s="2">
        <v>7798141</v>
      </c>
      <c r="C2341" s="2" t="s">
        <v>52</v>
      </c>
      <c r="D2341" s="2" t="s">
        <v>28</v>
      </c>
      <c r="E2341" s="2" t="s">
        <v>29</v>
      </c>
      <c r="F2341" s="2" t="s">
        <v>17</v>
      </c>
      <c r="G2341" s="2" t="s">
        <v>4971</v>
      </c>
      <c r="H2341">
        <v>479</v>
      </c>
      <c r="I2341" s="2">
        <v>1199</v>
      </c>
      <c r="J2341" s="2" t="s">
        <v>55</v>
      </c>
      <c r="K2341" s="2" t="s">
        <v>90</v>
      </c>
      <c r="L2341" s="2">
        <v>4.2</v>
      </c>
      <c r="M2341" s="2">
        <v>662</v>
      </c>
      <c r="P2341" t="str">
        <f t="shared" si="147"/>
        <v>60%</v>
      </c>
      <c r="Q2341" s="12">
        <f t="shared" si="144"/>
        <v>0.6</v>
      </c>
      <c r="R2341" s="9">
        <f t="shared" si="145"/>
        <v>479.6</v>
      </c>
      <c r="S2341" s="9">
        <f>IF(R2341="",AVERAGEIF(Table1[Category],Table1[[#This Row],[Category]],Table2[orignal data]),Table2[[#This Row],[orignal data]])</f>
        <v>479.6</v>
      </c>
      <c r="T2341" t="str">
        <f t="shared" si="146"/>
        <v>UNIQUE</v>
      </c>
      <c r="U2341" t="str">
        <f>IF(ISBLANK(Table1[[#This Row],[SizeOption]]),"NOT AVAILABLE",Table1[[#This Row],[SizeOption]])</f>
        <v>39, 40, 42, 44</v>
      </c>
      <c r="Y2341" t="str">
        <f>IF(Table2[[#This Row],[Column1]]&gt;50%,"HIGH DISCOUNT","LOW DISCOUNT")</f>
        <v>HIGH DISCOUNT</v>
      </c>
    </row>
    <row r="2342" spans="1:25" x14ac:dyDescent="0.25">
      <c r="A2342" s="1" t="s">
        <v>4972</v>
      </c>
      <c r="B2342" s="1">
        <v>10187229</v>
      </c>
      <c r="C2342" s="1" t="s">
        <v>169</v>
      </c>
      <c r="D2342" s="1" t="s">
        <v>28</v>
      </c>
      <c r="E2342" s="1" t="s">
        <v>189</v>
      </c>
      <c r="F2342" s="1" t="s">
        <v>17</v>
      </c>
      <c r="G2342" s="1" t="s">
        <v>4973</v>
      </c>
      <c r="H2342">
        <v>1839</v>
      </c>
      <c r="I2342" s="1">
        <v>4599</v>
      </c>
      <c r="J2342" s="1" t="s">
        <v>55</v>
      </c>
      <c r="K2342" s="1" t="s">
        <v>881</v>
      </c>
      <c r="L2342" s="1">
        <v>3.9</v>
      </c>
      <c r="M2342" s="1">
        <v>662</v>
      </c>
      <c r="P2342" t="str">
        <f t="shared" si="147"/>
        <v>60%</v>
      </c>
      <c r="Q2342" s="12">
        <f t="shared" si="144"/>
        <v>0.6</v>
      </c>
      <c r="R2342" s="9">
        <f t="shared" si="145"/>
        <v>1839.6</v>
      </c>
      <c r="S2342" s="9">
        <f>IF(R2342="",AVERAGEIF(Table1[Category],Table1[[#This Row],[Category]],Table2[orignal data]),Table2[[#This Row],[orignal data]])</f>
        <v>1839.6</v>
      </c>
      <c r="T2342" t="str">
        <f t="shared" si="146"/>
        <v>UNIQUE</v>
      </c>
      <c r="U2342" t="str">
        <f>IF(ISBLANK(Table1[[#This Row],[SizeOption]]),"NOT AVAILABLE",Table1[[#This Row],[SizeOption]])</f>
        <v>M, L, XL, XXL</v>
      </c>
      <c r="Y2342" t="str">
        <f>IF(Table2[[#This Row],[Column1]]&gt;50%,"HIGH DISCOUNT","LOW DISCOUNT")</f>
        <v>HIGH DISCOUNT</v>
      </c>
    </row>
    <row r="2343" spans="1:25" x14ac:dyDescent="0.25">
      <c r="A2343" s="2" t="s">
        <v>4974</v>
      </c>
      <c r="B2343" s="2">
        <v>12542032</v>
      </c>
      <c r="C2343" s="2" t="s">
        <v>1656</v>
      </c>
      <c r="D2343" s="2" t="s">
        <v>76</v>
      </c>
      <c r="E2343" s="2" t="s">
        <v>93</v>
      </c>
      <c r="F2343" s="2" t="s">
        <v>36</v>
      </c>
      <c r="G2343" s="2" t="s">
        <v>4975</v>
      </c>
      <c r="H2343">
        <v>859</v>
      </c>
      <c r="I2343" s="2">
        <v>1999</v>
      </c>
      <c r="J2343" s="2" t="s">
        <v>130</v>
      </c>
      <c r="K2343" s="2" t="s">
        <v>115</v>
      </c>
      <c r="L2343" s="2">
        <v>4.3</v>
      </c>
      <c r="M2343" s="2">
        <v>662</v>
      </c>
      <c r="P2343" t="str">
        <f t="shared" si="147"/>
        <v>57%</v>
      </c>
      <c r="Q2343" s="12">
        <f t="shared" si="144"/>
        <v>0.56999999999999995</v>
      </c>
      <c r="R2343" s="9">
        <f t="shared" si="145"/>
        <v>859.57000000000016</v>
      </c>
      <c r="S2343" s="9">
        <f>IF(R2343="",AVERAGEIF(Table1[Category],Table1[[#This Row],[Category]],Table2[orignal data]),Table2[[#This Row],[orignal data]])</f>
        <v>859.57000000000016</v>
      </c>
      <c r="T2343" t="str">
        <f t="shared" si="146"/>
        <v>UNIQUE</v>
      </c>
      <c r="U2343" t="str">
        <f>IF(ISBLANK(Table1[[#This Row],[SizeOption]]),"NOT AVAILABLE",Table1[[#This Row],[SizeOption]])</f>
        <v>XS, S, M, L, XL, XXL</v>
      </c>
      <c r="Y2343" t="str">
        <f>IF(Table2[[#This Row],[Column1]]&gt;50%,"HIGH DISCOUNT","LOW DISCOUNT")</f>
        <v>HIGH DISCOUNT</v>
      </c>
    </row>
    <row r="2344" spans="1:25" x14ac:dyDescent="0.25">
      <c r="A2344" s="1" t="s">
        <v>4976</v>
      </c>
      <c r="B2344" s="1">
        <v>60309</v>
      </c>
      <c r="C2344" s="1" t="s">
        <v>349</v>
      </c>
      <c r="D2344" s="1" t="s">
        <v>34</v>
      </c>
      <c r="E2344" s="1" t="s">
        <v>296</v>
      </c>
      <c r="F2344" s="1" t="s">
        <v>36</v>
      </c>
      <c r="G2344" s="1" t="s">
        <v>4977</v>
      </c>
      <c r="I2344" s="1">
        <v>449</v>
      </c>
      <c r="J2344" s="1"/>
      <c r="K2344" s="1" t="s">
        <v>39</v>
      </c>
      <c r="L2344" s="1">
        <v>4.4000000000000004</v>
      </c>
      <c r="M2344" s="1">
        <v>662</v>
      </c>
      <c r="P2344" t="str">
        <f t="shared" si="147"/>
        <v/>
      </c>
      <c r="Q2344" s="12" t="str">
        <f t="shared" si="144"/>
        <v/>
      </c>
      <c r="R2344" s="9" t="str">
        <f t="shared" si="145"/>
        <v/>
      </c>
      <c r="S2344" s="9">
        <f>IF(R2344="",AVERAGEIF(Table1[Category],Table1[[#This Row],[Category]],Table2[orignal data]),Table2[[#This Row],[orignal data]])</f>
        <v>608.88518518518481</v>
      </c>
      <c r="T2344" t="str">
        <f t="shared" si="146"/>
        <v>UNIQUE</v>
      </c>
      <c r="U2344" t="str">
        <f>IF(ISBLANK(Table1[[#This Row],[SizeOption]]),"NOT AVAILABLE",Table1[[#This Row],[SizeOption]])</f>
        <v>S, M, L, XL, XXL</v>
      </c>
      <c r="Y2344" t="str">
        <f>IF(Table2[[#This Row],[Column1]]&gt;50%,"HIGH DISCOUNT","LOW DISCOUNT")</f>
        <v>HIGH DISCOUNT</v>
      </c>
    </row>
    <row r="2345" spans="1:25" x14ac:dyDescent="0.25">
      <c r="A2345" s="2" t="s">
        <v>4978</v>
      </c>
      <c r="B2345" s="2">
        <v>12622724</v>
      </c>
      <c r="C2345" s="2" t="s">
        <v>64</v>
      </c>
      <c r="D2345" s="2" t="s">
        <v>98</v>
      </c>
      <c r="E2345" s="2" t="s">
        <v>93</v>
      </c>
      <c r="F2345" s="2" t="s">
        <v>36</v>
      </c>
      <c r="G2345" s="2" t="s">
        <v>4979</v>
      </c>
      <c r="H2345">
        <v>479</v>
      </c>
      <c r="I2345" s="2">
        <v>1599</v>
      </c>
      <c r="J2345" s="2" t="s">
        <v>1566</v>
      </c>
      <c r="K2345" s="2" t="s">
        <v>100</v>
      </c>
      <c r="L2345" s="2">
        <v>4.3</v>
      </c>
      <c r="M2345" s="2">
        <v>662</v>
      </c>
      <c r="P2345" t="str">
        <f t="shared" si="147"/>
        <v>70%</v>
      </c>
      <c r="Q2345" s="12">
        <f t="shared" si="144"/>
        <v>0.7</v>
      </c>
      <c r="R2345" s="9">
        <f t="shared" si="145"/>
        <v>479.70000000000005</v>
      </c>
      <c r="S2345" s="9">
        <f>IF(R2345="",AVERAGEIF(Table1[Category],Table1[[#This Row],[Category]],Table2[orignal data]),Table2[[#This Row],[orignal data]])</f>
        <v>479.70000000000005</v>
      </c>
      <c r="T2345" t="str">
        <f t="shared" si="146"/>
        <v>UNIQUE</v>
      </c>
      <c r="U2345" t="str">
        <f>IF(ISBLANK(Table1[[#This Row],[SizeOption]]),"NOT AVAILABLE",Table1[[#This Row],[SizeOption]])</f>
        <v>XS, S, M, L, XL, XXL, 3XL</v>
      </c>
      <c r="Y2345" t="str">
        <f>IF(Table2[[#This Row],[Column1]]&gt;50%,"HIGH DISCOUNT","LOW DISCOUNT")</f>
        <v>HIGH DISCOUNT</v>
      </c>
    </row>
    <row r="2346" spans="1:25" x14ac:dyDescent="0.25">
      <c r="A2346" s="1" t="s">
        <v>4980</v>
      </c>
      <c r="B2346" s="1">
        <v>11118602</v>
      </c>
      <c r="C2346" s="1" t="s">
        <v>14</v>
      </c>
      <c r="D2346" s="1" t="s">
        <v>41</v>
      </c>
      <c r="E2346" s="1" t="s">
        <v>137</v>
      </c>
      <c r="F2346" s="1" t="s">
        <v>36</v>
      </c>
      <c r="G2346" s="1" t="s">
        <v>4981</v>
      </c>
      <c r="I2346" s="1">
        <v>1199</v>
      </c>
      <c r="J2346" s="1" t="s">
        <v>84</v>
      </c>
      <c r="K2346" s="1" t="s">
        <v>134</v>
      </c>
      <c r="L2346" s="1">
        <v>4.4000000000000004</v>
      </c>
      <c r="M2346" s="1">
        <v>662</v>
      </c>
      <c r="P2346" t="str">
        <f t="shared" si="147"/>
        <v>50%</v>
      </c>
      <c r="Q2346" s="12">
        <f t="shared" si="144"/>
        <v>0.5</v>
      </c>
      <c r="R2346" s="9">
        <f t="shared" si="145"/>
        <v>599.5</v>
      </c>
      <c r="S2346" s="9">
        <f>IF(R2346="",AVERAGEIF(Table1[Category],Table1[[#This Row],[Category]],Table2[orignal data]),Table2[[#This Row],[orignal data]])</f>
        <v>599.5</v>
      </c>
      <c r="T2346" t="str">
        <f t="shared" si="146"/>
        <v>UNIQUE</v>
      </c>
      <c r="U2346" t="str">
        <f>IF(ISBLANK(Table1[[#This Row],[SizeOption]]),"NOT AVAILABLE",Table1[[#This Row],[SizeOption]])</f>
        <v>26, 28, 30, 32, 34, 36</v>
      </c>
      <c r="Y2346" t="str">
        <f>IF(Table2[[#This Row],[Column1]]&gt;50%,"HIGH DISCOUNT","LOW DISCOUNT")</f>
        <v>LOW DISCOUNT</v>
      </c>
    </row>
    <row r="2347" spans="1:25" x14ac:dyDescent="0.25">
      <c r="A2347" s="2" t="s">
        <v>4982</v>
      </c>
      <c r="B2347" s="2">
        <v>11401820</v>
      </c>
      <c r="C2347" s="2" t="s">
        <v>14</v>
      </c>
      <c r="D2347" s="2" t="s">
        <v>41</v>
      </c>
      <c r="E2347" s="2" t="s">
        <v>42</v>
      </c>
      <c r="F2347" s="2" t="s">
        <v>36</v>
      </c>
      <c r="G2347" s="2" t="s">
        <v>4983</v>
      </c>
      <c r="I2347" s="2">
        <v>999</v>
      </c>
      <c r="J2347" s="2" t="s">
        <v>528</v>
      </c>
      <c r="K2347" s="2" t="s">
        <v>45</v>
      </c>
      <c r="L2347" s="2">
        <v>4.0999999999999996</v>
      </c>
      <c r="M2347" s="2">
        <v>662</v>
      </c>
      <c r="P2347" t="str">
        <f t="shared" si="147"/>
        <v>500</v>
      </c>
      <c r="Q2347" s="12">
        <f t="shared" si="144"/>
        <v>0.50050050050050054</v>
      </c>
      <c r="R2347" s="9">
        <f t="shared" si="145"/>
        <v>498.99999999999994</v>
      </c>
      <c r="S2347" s="9">
        <f>IF(R2347="",AVERAGEIF(Table1[Category],Table1[[#This Row],[Category]],Table2[orignal data]),Table2[[#This Row],[orignal data]])</f>
        <v>498.99999999999994</v>
      </c>
      <c r="T2347" t="str">
        <f t="shared" si="146"/>
        <v>UNIQUE</v>
      </c>
      <c r="U2347" t="str">
        <f>IF(ISBLANK(Table1[[#This Row],[SizeOption]]),"NOT AVAILABLE",Table1[[#This Row],[SizeOption]])</f>
        <v>XS, S, M, L, XL</v>
      </c>
      <c r="Y2347" t="str">
        <f>IF(Table2[[#This Row],[Column1]]&gt;50%,"HIGH DISCOUNT","LOW DISCOUNT")</f>
        <v>HIGH DISCOUNT</v>
      </c>
    </row>
    <row r="2348" spans="1:25" x14ac:dyDescent="0.25">
      <c r="A2348" s="1" t="s">
        <v>4984</v>
      </c>
      <c r="B2348" s="1">
        <v>4322612</v>
      </c>
      <c r="C2348" s="1" t="s">
        <v>52</v>
      </c>
      <c r="D2348" s="1" t="s">
        <v>15</v>
      </c>
      <c r="E2348" s="1" t="s">
        <v>16</v>
      </c>
      <c r="F2348" s="1" t="s">
        <v>17</v>
      </c>
      <c r="G2348" s="1" t="s">
        <v>4985</v>
      </c>
      <c r="H2348">
        <v>887</v>
      </c>
      <c r="I2348" s="1">
        <v>1849</v>
      </c>
      <c r="J2348" s="1" t="s">
        <v>208</v>
      </c>
      <c r="K2348" s="1" t="s">
        <v>816</v>
      </c>
      <c r="L2348" s="1">
        <v>4.0999999999999996</v>
      </c>
      <c r="M2348" s="1">
        <v>661</v>
      </c>
      <c r="P2348" t="str">
        <f t="shared" si="147"/>
        <v>52%</v>
      </c>
      <c r="Q2348" s="12">
        <f t="shared" si="144"/>
        <v>0.52</v>
      </c>
      <c r="R2348" s="9">
        <f t="shared" si="145"/>
        <v>887.52</v>
      </c>
      <c r="S2348" s="9">
        <f>IF(R2348="",AVERAGEIF(Table1[Category],Table1[[#This Row],[Category]],Table2[orignal data]),Table2[[#This Row],[orignal data]])</f>
        <v>887.52</v>
      </c>
      <c r="T2348" t="str">
        <f t="shared" si="146"/>
        <v>UNIQUE</v>
      </c>
      <c r="U2348" t="str">
        <f>IF(ISBLANK(Table1[[#This Row],[SizeOption]]),"NOT AVAILABLE",Table1[[#This Row],[SizeOption]])</f>
        <v>30, 32, 34, 36, 38</v>
      </c>
      <c r="Y2348" t="str">
        <f>IF(Table2[[#This Row],[Column1]]&gt;50%,"HIGH DISCOUNT","LOW DISCOUNT")</f>
        <v>HIGH DISCOUNT</v>
      </c>
    </row>
    <row r="2349" spans="1:25" x14ac:dyDescent="0.25">
      <c r="A2349" s="2" t="s">
        <v>4986</v>
      </c>
      <c r="B2349" s="2">
        <v>12027434</v>
      </c>
      <c r="C2349" s="2" t="s">
        <v>295</v>
      </c>
      <c r="D2349" s="2" t="s">
        <v>197</v>
      </c>
      <c r="E2349" s="2" t="s">
        <v>4987</v>
      </c>
      <c r="F2349" s="2" t="s">
        <v>17</v>
      </c>
      <c r="G2349" s="2" t="s">
        <v>4988</v>
      </c>
      <c r="H2349">
        <v>424</v>
      </c>
      <c r="I2349" s="2">
        <v>499</v>
      </c>
      <c r="J2349" s="2" t="s">
        <v>786</v>
      </c>
      <c r="K2349" s="2" t="s">
        <v>26</v>
      </c>
      <c r="L2349" s="2">
        <v>4.3</v>
      </c>
      <c r="M2349" s="2">
        <v>661</v>
      </c>
      <c r="P2349" t="str">
        <f t="shared" si="147"/>
        <v>15%</v>
      </c>
      <c r="Q2349" s="12">
        <f t="shared" si="144"/>
        <v>0.15</v>
      </c>
      <c r="R2349" s="9">
        <f t="shared" si="145"/>
        <v>424.15</v>
      </c>
      <c r="S2349" s="9">
        <f>IF(R2349="",AVERAGEIF(Table1[Category],Table1[[#This Row],[Category]],Table2[orignal data]),Table2[[#This Row],[orignal data]])</f>
        <v>424.15</v>
      </c>
      <c r="T2349" t="str">
        <f t="shared" si="146"/>
        <v>UNIQUE</v>
      </c>
      <c r="U2349" t="str">
        <f>IF(ISBLANK(Table1[[#This Row],[SizeOption]]),"NOT AVAILABLE",Table1[[#This Row],[SizeOption]])</f>
        <v>S, M, L, XL</v>
      </c>
      <c r="Y2349" t="str">
        <f>IF(Table2[[#This Row],[Column1]]&gt;50%,"HIGH DISCOUNT","LOW DISCOUNT")</f>
        <v>LOW DISCOUNT</v>
      </c>
    </row>
    <row r="2350" spans="1:25" x14ac:dyDescent="0.25">
      <c r="A2350" s="1" t="s">
        <v>4989</v>
      </c>
      <c r="B2350" s="1">
        <v>11226634</v>
      </c>
      <c r="C2350" s="1" t="s">
        <v>1176</v>
      </c>
      <c r="D2350" s="1" t="s">
        <v>68</v>
      </c>
      <c r="E2350" s="1" t="s">
        <v>42</v>
      </c>
      <c r="F2350" s="1" t="s">
        <v>17</v>
      </c>
      <c r="G2350" s="1" t="s">
        <v>4990</v>
      </c>
      <c r="H2350">
        <v>467</v>
      </c>
      <c r="I2350" s="1">
        <v>1199</v>
      </c>
      <c r="J2350" s="1" t="s">
        <v>104</v>
      </c>
      <c r="K2350" s="1" t="s">
        <v>26</v>
      </c>
      <c r="L2350" s="1">
        <v>3.9</v>
      </c>
      <c r="M2350" s="1">
        <v>661</v>
      </c>
      <c r="P2350" t="str">
        <f t="shared" si="147"/>
        <v>61%</v>
      </c>
      <c r="Q2350" s="12">
        <f t="shared" si="144"/>
        <v>0.61</v>
      </c>
      <c r="R2350" s="9">
        <f t="shared" si="145"/>
        <v>467.61</v>
      </c>
      <c r="S2350" s="9">
        <f>IF(R2350="",AVERAGEIF(Table1[Category],Table1[[#This Row],[Category]],Table2[orignal data]),Table2[[#This Row],[orignal data]])</f>
        <v>467.61</v>
      </c>
      <c r="T2350" t="str">
        <f t="shared" si="146"/>
        <v>UNIQUE</v>
      </c>
      <c r="U2350" t="str">
        <f>IF(ISBLANK(Table1[[#This Row],[SizeOption]]),"NOT AVAILABLE",Table1[[#This Row],[SizeOption]])</f>
        <v>S, M, L, XL</v>
      </c>
      <c r="Y2350" t="str">
        <f>IF(Table2[[#This Row],[Column1]]&gt;50%,"HIGH DISCOUNT","LOW DISCOUNT")</f>
        <v>HIGH DISCOUNT</v>
      </c>
    </row>
    <row r="2351" spans="1:25" x14ac:dyDescent="0.25">
      <c r="A2351" s="2" t="s">
        <v>4991</v>
      </c>
      <c r="B2351" s="2">
        <v>9935321</v>
      </c>
      <c r="C2351" s="2" t="s">
        <v>52</v>
      </c>
      <c r="D2351" s="2" t="s">
        <v>28</v>
      </c>
      <c r="E2351" s="2" t="s">
        <v>29</v>
      </c>
      <c r="F2351" s="2" t="s">
        <v>17</v>
      </c>
      <c r="G2351" s="2" t="s">
        <v>219</v>
      </c>
      <c r="H2351">
        <v>517</v>
      </c>
      <c r="I2351" s="2">
        <v>1399</v>
      </c>
      <c r="J2351" s="2" t="s">
        <v>476</v>
      </c>
      <c r="K2351" s="2" t="s">
        <v>90</v>
      </c>
      <c r="L2351" s="2">
        <v>4</v>
      </c>
      <c r="M2351" s="2">
        <v>661</v>
      </c>
      <c r="P2351" t="str">
        <f t="shared" si="147"/>
        <v>63%</v>
      </c>
      <c r="Q2351" s="12">
        <f t="shared" si="144"/>
        <v>0.63</v>
      </c>
      <c r="R2351" s="9">
        <f t="shared" si="145"/>
        <v>517.63</v>
      </c>
      <c r="S2351" s="9">
        <f>IF(R2351="",AVERAGEIF(Table1[Category],Table1[[#This Row],[Category]],Table2[orignal data]),Table2[[#This Row],[orignal data]])</f>
        <v>517.63</v>
      </c>
      <c r="T2351" t="str">
        <f t="shared" si="146"/>
        <v>UNIQUE</v>
      </c>
      <c r="U2351" t="str">
        <f>IF(ISBLANK(Table1[[#This Row],[SizeOption]]),"NOT AVAILABLE",Table1[[#This Row],[SizeOption]])</f>
        <v>39, 40, 42, 44</v>
      </c>
      <c r="Y2351" t="str">
        <f>IF(Table2[[#This Row],[Column1]]&gt;50%,"HIGH DISCOUNT","LOW DISCOUNT")</f>
        <v>HIGH DISCOUNT</v>
      </c>
    </row>
    <row r="2352" spans="1:25" x14ac:dyDescent="0.25">
      <c r="A2352" s="1" t="s">
        <v>4992</v>
      </c>
      <c r="B2352" s="1">
        <v>14797222</v>
      </c>
      <c r="C2352" s="1" t="s">
        <v>33</v>
      </c>
      <c r="D2352" s="1" t="s">
        <v>34</v>
      </c>
      <c r="E2352" s="1" t="s">
        <v>118</v>
      </c>
      <c r="F2352" s="1" t="s">
        <v>36</v>
      </c>
      <c r="G2352" s="1" t="s">
        <v>4993</v>
      </c>
      <c r="H2352">
        <v>449</v>
      </c>
      <c r="I2352" s="1">
        <v>749</v>
      </c>
      <c r="J2352" s="1" t="s">
        <v>50</v>
      </c>
      <c r="K2352" s="1" t="s">
        <v>1113</v>
      </c>
      <c r="L2352" s="1">
        <v>4.2</v>
      </c>
      <c r="M2352" s="1">
        <v>661</v>
      </c>
      <c r="P2352" t="str">
        <f t="shared" si="147"/>
        <v>40%</v>
      </c>
      <c r="Q2352" s="12">
        <f t="shared" si="144"/>
        <v>0.4</v>
      </c>
      <c r="R2352" s="9">
        <f t="shared" si="145"/>
        <v>449.4</v>
      </c>
      <c r="S2352" s="9">
        <f>IF(R2352="",AVERAGEIF(Table1[Category],Table1[[#This Row],[Category]],Table2[orignal data]),Table2[[#This Row],[orignal data]])</f>
        <v>449.4</v>
      </c>
      <c r="T2352" t="str">
        <f t="shared" si="146"/>
        <v>UNIQUE</v>
      </c>
      <c r="U2352" t="str">
        <f>IF(ISBLANK(Table1[[#This Row],[SizeOption]]),"NOT AVAILABLE",Table1[[#This Row],[SizeOption]])</f>
        <v>32B, 32C, 32D, 34B, 34C, 34D, 36B, 36C, 36D, 38B, 38C, 38D</v>
      </c>
      <c r="Y2352" t="str">
        <f>IF(Table2[[#This Row],[Column1]]&gt;50%,"HIGH DISCOUNT","LOW DISCOUNT")</f>
        <v>LOW DISCOUNT</v>
      </c>
    </row>
    <row r="2353" spans="1:25" x14ac:dyDescent="0.25">
      <c r="A2353" s="2" t="s">
        <v>4994</v>
      </c>
      <c r="B2353" s="2">
        <v>11099596</v>
      </c>
      <c r="C2353" s="2" t="s">
        <v>800</v>
      </c>
      <c r="D2353" s="2" t="s">
        <v>41</v>
      </c>
      <c r="E2353" s="2" t="s">
        <v>148</v>
      </c>
      <c r="F2353" s="2" t="s">
        <v>36</v>
      </c>
      <c r="G2353" s="2" t="s">
        <v>4995</v>
      </c>
      <c r="I2353" s="2">
        <v>1699</v>
      </c>
      <c r="J2353" s="2" t="s">
        <v>95</v>
      </c>
      <c r="K2353" s="2" t="s">
        <v>39</v>
      </c>
      <c r="L2353" s="2">
        <v>4</v>
      </c>
      <c r="M2353" s="2">
        <v>661</v>
      </c>
      <c r="P2353" t="str">
        <f t="shared" si="147"/>
        <v>59%</v>
      </c>
      <c r="Q2353" s="12">
        <f t="shared" si="144"/>
        <v>0.59</v>
      </c>
      <c r="R2353" s="9">
        <f t="shared" si="145"/>
        <v>696.59</v>
      </c>
      <c r="S2353" s="9">
        <f>IF(R2353="",AVERAGEIF(Table1[Category],Table1[[#This Row],[Category]],Table2[orignal data]),Table2[[#This Row],[orignal data]])</f>
        <v>696.59</v>
      </c>
      <c r="T2353" t="str">
        <f t="shared" si="146"/>
        <v>UNIQUE</v>
      </c>
      <c r="U2353" t="str">
        <f>IF(ISBLANK(Table1[[#This Row],[SizeOption]]),"NOT AVAILABLE",Table1[[#This Row],[SizeOption]])</f>
        <v>S, M, L, XL, XXL</v>
      </c>
      <c r="Y2353" t="str">
        <f>IF(Table2[[#This Row],[Column1]]&gt;50%,"HIGH DISCOUNT","LOW DISCOUNT")</f>
        <v>HIGH DISCOUNT</v>
      </c>
    </row>
    <row r="2354" spans="1:25" x14ac:dyDescent="0.25">
      <c r="A2354" s="1" t="s">
        <v>4996</v>
      </c>
      <c r="B2354" s="1">
        <v>1085485</v>
      </c>
      <c r="C2354" s="1" t="s">
        <v>128</v>
      </c>
      <c r="D2354" s="1" t="s">
        <v>41</v>
      </c>
      <c r="E2354" s="1" t="s">
        <v>148</v>
      </c>
      <c r="F2354" s="1" t="s">
        <v>36</v>
      </c>
      <c r="G2354" s="1" t="s">
        <v>4997</v>
      </c>
      <c r="I2354" s="1">
        <v>1699</v>
      </c>
      <c r="J2354" s="1" t="s">
        <v>1204</v>
      </c>
      <c r="K2354" s="1" t="s">
        <v>26</v>
      </c>
      <c r="L2354" s="1">
        <v>4.3</v>
      </c>
      <c r="M2354" s="1">
        <v>661</v>
      </c>
      <c r="P2354" t="str">
        <f t="shared" si="147"/>
        <v>56%</v>
      </c>
      <c r="Q2354" s="12">
        <f t="shared" si="144"/>
        <v>0.56000000000000005</v>
      </c>
      <c r="R2354" s="9">
        <f t="shared" si="145"/>
        <v>747.56</v>
      </c>
      <c r="S2354" s="9">
        <f>IF(R2354="",AVERAGEIF(Table1[Category],Table1[[#This Row],[Category]],Table2[orignal data]),Table2[[#This Row],[orignal data]])</f>
        <v>747.56</v>
      </c>
      <c r="T2354" t="str">
        <f t="shared" si="146"/>
        <v>UNIQUE</v>
      </c>
      <c r="U2354" t="str">
        <f>IF(ISBLANK(Table1[[#This Row],[SizeOption]]),"NOT AVAILABLE",Table1[[#This Row],[SizeOption]])</f>
        <v>S, M, L, XL</v>
      </c>
      <c r="Y2354" t="str">
        <f>IF(Table2[[#This Row],[Column1]]&gt;50%,"HIGH DISCOUNT","LOW DISCOUNT")</f>
        <v>HIGH DISCOUNT</v>
      </c>
    </row>
    <row r="2355" spans="1:25" x14ac:dyDescent="0.25">
      <c r="A2355" s="2" t="s">
        <v>4998</v>
      </c>
      <c r="B2355" s="2">
        <v>1845133</v>
      </c>
      <c r="C2355" s="2" t="s">
        <v>14</v>
      </c>
      <c r="D2355" s="2" t="s">
        <v>41</v>
      </c>
      <c r="E2355" s="2" t="s">
        <v>189</v>
      </c>
      <c r="F2355" s="2" t="s">
        <v>36</v>
      </c>
      <c r="G2355" s="2" t="s">
        <v>4999</v>
      </c>
      <c r="I2355" s="2">
        <v>2999</v>
      </c>
      <c r="J2355" s="2" t="s">
        <v>150</v>
      </c>
      <c r="K2355" s="2" t="s">
        <v>115</v>
      </c>
      <c r="L2355" s="2">
        <v>4.2</v>
      </c>
      <c r="M2355" s="2">
        <v>661</v>
      </c>
      <c r="P2355" t="str">
        <f t="shared" si="147"/>
        <v>65%</v>
      </c>
      <c r="Q2355" s="12">
        <f t="shared" si="144"/>
        <v>0.65</v>
      </c>
      <c r="R2355" s="9">
        <f t="shared" si="145"/>
        <v>1049.6499999999999</v>
      </c>
      <c r="S2355" s="9">
        <f>IF(R2355="",AVERAGEIF(Table1[Category],Table1[[#This Row],[Category]],Table2[orignal data]),Table2[[#This Row],[orignal data]])</f>
        <v>1049.6499999999999</v>
      </c>
      <c r="T2355" t="str">
        <f t="shared" si="146"/>
        <v>UNIQUE</v>
      </c>
      <c r="U2355" t="str">
        <f>IF(ISBLANK(Table1[[#This Row],[SizeOption]]),"NOT AVAILABLE",Table1[[#This Row],[SizeOption]])</f>
        <v>XS, S, M, L, XL, XXL</v>
      </c>
      <c r="Y2355" t="str">
        <f>IF(Table2[[#This Row],[Column1]]&gt;50%,"HIGH DISCOUNT","LOW DISCOUNT")</f>
        <v>HIGH DISCOUNT</v>
      </c>
    </row>
    <row r="2356" spans="1:25" x14ac:dyDescent="0.25">
      <c r="A2356" s="1" t="s">
        <v>5000</v>
      </c>
      <c r="B2356" s="1">
        <v>2490938</v>
      </c>
      <c r="C2356" s="1" t="s">
        <v>47</v>
      </c>
      <c r="D2356" s="1" t="s">
        <v>41</v>
      </c>
      <c r="E2356" s="1" t="s">
        <v>42</v>
      </c>
      <c r="F2356" s="1" t="s">
        <v>36</v>
      </c>
      <c r="G2356" s="1" t="s">
        <v>5001</v>
      </c>
      <c r="I2356" s="1">
        <v>749</v>
      </c>
      <c r="J2356" s="1" t="s">
        <v>84</v>
      </c>
      <c r="K2356" s="1" t="s">
        <v>45</v>
      </c>
      <c r="L2356" s="1">
        <v>4.5</v>
      </c>
      <c r="M2356" s="1">
        <v>661</v>
      </c>
      <c r="P2356" t="str">
        <f t="shared" si="147"/>
        <v>50%</v>
      </c>
      <c r="Q2356" s="12">
        <f t="shared" si="144"/>
        <v>0.5</v>
      </c>
      <c r="R2356" s="9">
        <f t="shared" si="145"/>
        <v>374.5</v>
      </c>
      <c r="S2356" s="9">
        <f>IF(R2356="",AVERAGEIF(Table1[Category],Table1[[#This Row],[Category]],Table2[orignal data]),Table2[[#This Row],[orignal data]])</f>
        <v>374.5</v>
      </c>
      <c r="T2356" t="str">
        <f t="shared" si="146"/>
        <v>UNIQUE</v>
      </c>
      <c r="U2356" t="str">
        <f>IF(ISBLANK(Table1[[#This Row],[SizeOption]]),"NOT AVAILABLE",Table1[[#This Row],[SizeOption]])</f>
        <v>XS, S, M, L, XL</v>
      </c>
      <c r="Y2356" t="str">
        <f>IF(Table2[[#This Row],[Column1]]&gt;50%,"HIGH DISCOUNT","LOW DISCOUNT")</f>
        <v>LOW DISCOUNT</v>
      </c>
    </row>
    <row r="2357" spans="1:25" x14ac:dyDescent="0.25">
      <c r="A2357" s="2" t="s">
        <v>5002</v>
      </c>
      <c r="B2357" s="2">
        <v>6558198</v>
      </c>
      <c r="C2357" s="2" t="s">
        <v>1952</v>
      </c>
      <c r="D2357" s="2" t="s">
        <v>15</v>
      </c>
      <c r="E2357" s="2" t="s">
        <v>53</v>
      </c>
      <c r="F2357" s="2" t="s">
        <v>17</v>
      </c>
      <c r="G2357" s="2" t="s">
        <v>5003</v>
      </c>
      <c r="H2357">
        <v>899</v>
      </c>
      <c r="I2357" s="2">
        <v>2499</v>
      </c>
      <c r="J2357" s="2" t="s">
        <v>416</v>
      </c>
      <c r="K2357" s="2" t="s">
        <v>195</v>
      </c>
      <c r="L2357" s="2">
        <v>3.7</v>
      </c>
      <c r="M2357" s="2">
        <v>660</v>
      </c>
      <c r="P2357" t="str">
        <f t="shared" si="147"/>
        <v>64%</v>
      </c>
      <c r="Q2357" s="12">
        <f t="shared" si="144"/>
        <v>0.64</v>
      </c>
      <c r="R2357" s="9">
        <f t="shared" si="145"/>
        <v>899.63999999999987</v>
      </c>
      <c r="S2357" s="9">
        <f>IF(R2357="",AVERAGEIF(Table1[Category],Table1[[#This Row],[Category]],Table2[orignal data]),Table2[[#This Row],[orignal data]])</f>
        <v>899.63999999999987</v>
      </c>
      <c r="T2357" t="str">
        <f t="shared" si="146"/>
        <v>UNIQUE</v>
      </c>
      <c r="U2357" t="str">
        <f>IF(ISBLANK(Table1[[#This Row],[SizeOption]]),"NOT AVAILABLE",Table1[[#This Row],[SizeOption]])</f>
        <v>28, 30, 32, 34, 36, 38, 40</v>
      </c>
      <c r="Y2357" t="str">
        <f>IF(Table2[[#This Row],[Column1]]&gt;50%,"HIGH DISCOUNT","LOW DISCOUNT")</f>
        <v>HIGH DISCOUNT</v>
      </c>
    </row>
    <row r="2358" spans="1:25" x14ac:dyDescent="0.25">
      <c r="A2358" s="1" t="s">
        <v>5004</v>
      </c>
      <c r="B2358" s="1">
        <v>9445735</v>
      </c>
      <c r="C2358" s="1" t="s">
        <v>67</v>
      </c>
      <c r="D2358" s="1" t="s">
        <v>68</v>
      </c>
      <c r="E2358" s="1" t="s">
        <v>189</v>
      </c>
      <c r="F2358" s="1" t="s">
        <v>17</v>
      </c>
      <c r="G2358" s="1" t="s">
        <v>5005</v>
      </c>
      <c r="H2358">
        <v>1049</v>
      </c>
      <c r="I2358" s="1">
        <v>2999</v>
      </c>
      <c r="J2358" s="1" t="s">
        <v>150</v>
      </c>
      <c r="K2358" s="1" t="s">
        <v>39</v>
      </c>
      <c r="L2358" s="1">
        <v>4</v>
      </c>
      <c r="M2358" s="1">
        <v>660</v>
      </c>
      <c r="P2358" t="str">
        <f t="shared" si="147"/>
        <v>65%</v>
      </c>
      <c r="Q2358" s="12">
        <f t="shared" si="144"/>
        <v>0.65</v>
      </c>
      <c r="R2358" s="9">
        <f t="shared" si="145"/>
        <v>1049.6499999999999</v>
      </c>
      <c r="S2358" s="9">
        <f>IF(R2358="",AVERAGEIF(Table1[Category],Table1[[#This Row],[Category]],Table2[orignal data]),Table2[[#This Row],[orignal data]])</f>
        <v>1049.6499999999999</v>
      </c>
      <c r="T2358" t="str">
        <f t="shared" si="146"/>
        <v>UNIQUE</v>
      </c>
      <c r="U2358" t="str">
        <f>IF(ISBLANK(Table1[[#This Row],[SizeOption]]),"NOT AVAILABLE",Table1[[#This Row],[SizeOption]])</f>
        <v>S, M, L, XL, XXL</v>
      </c>
      <c r="Y2358" t="str">
        <f>IF(Table2[[#This Row],[Column1]]&gt;50%,"HIGH DISCOUNT","LOW DISCOUNT")</f>
        <v>HIGH DISCOUNT</v>
      </c>
    </row>
    <row r="2359" spans="1:25" x14ac:dyDescent="0.25">
      <c r="A2359" s="2" t="s">
        <v>5006</v>
      </c>
      <c r="B2359" s="2">
        <v>11582854</v>
      </c>
      <c r="C2359" s="2" t="s">
        <v>420</v>
      </c>
      <c r="D2359" s="2" t="s">
        <v>28</v>
      </c>
      <c r="E2359" s="2" t="s">
        <v>29</v>
      </c>
      <c r="F2359" s="2" t="s">
        <v>17</v>
      </c>
      <c r="G2359" s="2" t="s">
        <v>5007</v>
      </c>
      <c r="H2359">
        <v>569</v>
      </c>
      <c r="I2359" s="2">
        <v>1499</v>
      </c>
      <c r="J2359" s="2" t="s">
        <v>126</v>
      </c>
      <c r="K2359" s="2" t="s">
        <v>253</v>
      </c>
      <c r="L2359" s="2">
        <v>4</v>
      </c>
      <c r="M2359" s="2">
        <v>660</v>
      </c>
      <c r="P2359" t="str">
        <f t="shared" si="147"/>
        <v>62%</v>
      </c>
      <c r="Q2359" s="12">
        <f t="shared" si="144"/>
        <v>0.62</v>
      </c>
      <c r="R2359" s="9">
        <f t="shared" si="145"/>
        <v>569.62</v>
      </c>
      <c r="S2359" s="9">
        <f>IF(R2359="",AVERAGEIF(Table1[Category],Table1[[#This Row],[Category]],Table2[orignal data]),Table2[[#This Row],[orignal data]])</f>
        <v>569.62</v>
      </c>
      <c r="T2359" t="str">
        <f t="shared" si="146"/>
        <v>UNIQUE</v>
      </c>
      <c r="U2359" t="str">
        <f>IF(ISBLANK(Table1[[#This Row],[SizeOption]]),"NOT AVAILABLE",Table1[[#This Row],[SizeOption]])</f>
        <v>38, 40, 42, 44</v>
      </c>
      <c r="Y2359" t="str">
        <f>IF(Table2[[#This Row],[Column1]]&gt;50%,"HIGH DISCOUNT","LOW DISCOUNT")</f>
        <v>HIGH DISCOUNT</v>
      </c>
    </row>
    <row r="2360" spans="1:25" x14ac:dyDescent="0.25">
      <c r="A2360" s="1" t="s">
        <v>5008</v>
      </c>
      <c r="B2360" s="1">
        <v>10938524</v>
      </c>
      <c r="C2360" s="1" t="s">
        <v>14</v>
      </c>
      <c r="D2360" s="1" t="s">
        <v>28</v>
      </c>
      <c r="E2360" s="1" t="s">
        <v>42</v>
      </c>
      <c r="F2360" s="1" t="s">
        <v>17</v>
      </c>
      <c r="G2360" s="1" t="s">
        <v>5009</v>
      </c>
      <c r="H2360">
        <v>314</v>
      </c>
      <c r="I2360" s="1">
        <v>699</v>
      </c>
      <c r="J2360" s="1" t="s">
        <v>25</v>
      </c>
      <c r="K2360" s="1" t="s">
        <v>45</v>
      </c>
      <c r="L2360" s="1">
        <v>4.2</v>
      </c>
      <c r="M2360" s="1">
        <v>660</v>
      </c>
      <c r="P2360" t="str">
        <f t="shared" si="147"/>
        <v>55%</v>
      </c>
      <c r="Q2360" s="12">
        <f t="shared" si="144"/>
        <v>0.55000000000000004</v>
      </c>
      <c r="R2360" s="9">
        <f t="shared" si="145"/>
        <v>314.54999999999995</v>
      </c>
      <c r="S2360" s="9">
        <f>IF(R2360="",AVERAGEIF(Table1[Category],Table1[[#This Row],[Category]],Table2[orignal data]),Table2[[#This Row],[orignal data]])</f>
        <v>314.54999999999995</v>
      </c>
      <c r="T2360" t="str">
        <f t="shared" si="146"/>
        <v>UNIQUE</v>
      </c>
      <c r="U2360" t="str">
        <f>IF(ISBLANK(Table1[[#This Row],[SizeOption]]),"NOT AVAILABLE",Table1[[#This Row],[SizeOption]])</f>
        <v>XS, S, M, L, XL</v>
      </c>
      <c r="Y2360" t="str">
        <f>IF(Table2[[#This Row],[Column1]]&gt;50%,"HIGH DISCOUNT","LOW DISCOUNT")</f>
        <v>HIGH DISCOUNT</v>
      </c>
    </row>
    <row r="2361" spans="1:25" x14ac:dyDescent="0.25">
      <c r="A2361" s="2" t="s">
        <v>5010</v>
      </c>
      <c r="B2361" s="2">
        <v>10972758</v>
      </c>
      <c r="C2361" s="2" t="s">
        <v>2306</v>
      </c>
      <c r="D2361" s="2" t="s">
        <v>76</v>
      </c>
      <c r="E2361" s="2" t="s">
        <v>93</v>
      </c>
      <c r="F2361" s="2" t="s">
        <v>36</v>
      </c>
      <c r="G2361" s="2" t="s">
        <v>5011</v>
      </c>
      <c r="H2361">
        <v>513</v>
      </c>
      <c r="I2361" s="2">
        <v>1116</v>
      </c>
      <c r="J2361" s="2" t="s">
        <v>606</v>
      </c>
      <c r="K2361" s="2" t="s">
        <v>39</v>
      </c>
      <c r="L2361" s="2">
        <v>3.9</v>
      </c>
      <c r="M2361" s="2">
        <v>660</v>
      </c>
      <c r="P2361" t="str">
        <f t="shared" si="147"/>
        <v>54%</v>
      </c>
      <c r="Q2361" s="12">
        <f t="shared" si="144"/>
        <v>0.54</v>
      </c>
      <c r="R2361" s="9">
        <f t="shared" si="145"/>
        <v>513.36</v>
      </c>
      <c r="S2361" s="9">
        <f>IF(R2361="",AVERAGEIF(Table1[Category],Table1[[#This Row],[Category]],Table2[orignal data]),Table2[[#This Row],[orignal data]])</f>
        <v>513.36</v>
      </c>
      <c r="T2361" t="str">
        <f t="shared" si="146"/>
        <v>UNIQUE</v>
      </c>
      <c r="U2361" t="str">
        <f>IF(ISBLANK(Table1[[#This Row],[SizeOption]]),"NOT AVAILABLE",Table1[[#This Row],[SizeOption]])</f>
        <v>S, M, L, XL, XXL</v>
      </c>
      <c r="Y2361" t="str">
        <f>IF(Table2[[#This Row],[Column1]]&gt;50%,"HIGH DISCOUNT","LOW DISCOUNT")</f>
        <v>HIGH DISCOUNT</v>
      </c>
    </row>
    <row r="2362" spans="1:25" x14ac:dyDescent="0.25">
      <c r="A2362" s="1" t="s">
        <v>5012</v>
      </c>
      <c r="B2362" s="1">
        <v>8386941</v>
      </c>
      <c r="C2362" s="1" t="s">
        <v>4309</v>
      </c>
      <c r="D2362" s="1" t="s">
        <v>34</v>
      </c>
      <c r="E2362" s="1" t="s">
        <v>118</v>
      </c>
      <c r="F2362" s="1" t="s">
        <v>36</v>
      </c>
      <c r="G2362" s="1" t="s">
        <v>5013</v>
      </c>
      <c r="H2362">
        <v>449</v>
      </c>
      <c r="I2362" s="1">
        <v>899</v>
      </c>
      <c r="J2362" s="1" t="s">
        <v>84</v>
      </c>
      <c r="K2362" s="1" t="s">
        <v>4311</v>
      </c>
      <c r="L2362" s="1">
        <v>3.9</v>
      </c>
      <c r="M2362" s="1">
        <v>660</v>
      </c>
      <c r="P2362" t="str">
        <f t="shared" si="147"/>
        <v>50%</v>
      </c>
      <c r="Q2362" s="12">
        <f t="shared" si="144"/>
        <v>0.5</v>
      </c>
      <c r="R2362" s="9">
        <f t="shared" si="145"/>
        <v>449.5</v>
      </c>
      <c r="S2362" s="9">
        <f>IF(R2362="",AVERAGEIF(Table1[Category],Table1[[#This Row],[Category]],Table2[orignal data]),Table2[[#This Row],[orignal data]])</f>
        <v>449.5</v>
      </c>
      <c r="T2362" t="str">
        <f t="shared" si="146"/>
        <v>UNIQUE</v>
      </c>
      <c r="U2362" t="str">
        <f>IF(ISBLANK(Table1[[#This Row],[SizeOption]]),"NOT AVAILABLE",Table1[[#This Row],[SizeOption]])</f>
        <v>30A, 30B, 32A, 32B, 34A, 34B, 36A, 36B</v>
      </c>
      <c r="Y2362" t="str">
        <f>IF(Table2[[#This Row],[Column1]]&gt;50%,"HIGH DISCOUNT","LOW DISCOUNT")</f>
        <v>LOW DISCOUNT</v>
      </c>
    </row>
    <row r="2363" spans="1:25" x14ac:dyDescent="0.25">
      <c r="A2363" s="2" t="s">
        <v>5014</v>
      </c>
      <c r="B2363" s="2">
        <v>6382209</v>
      </c>
      <c r="C2363" s="2" t="s">
        <v>5015</v>
      </c>
      <c r="D2363" s="2" t="s">
        <v>41</v>
      </c>
      <c r="E2363" s="2" t="s">
        <v>82</v>
      </c>
      <c r="F2363" s="2" t="s">
        <v>36</v>
      </c>
      <c r="G2363" s="2" t="s">
        <v>5016</v>
      </c>
      <c r="I2363" s="2">
        <v>1299</v>
      </c>
      <c r="J2363" s="2" t="s">
        <v>25</v>
      </c>
      <c r="K2363" s="2" t="s">
        <v>26</v>
      </c>
      <c r="L2363" s="2">
        <v>4.3</v>
      </c>
      <c r="M2363" s="2">
        <v>660</v>
      </c>
      <c r="P2363" t="str">
        <f t="shared" si="147"/>
        <v>55%</v>
      </c>
      <c r="Q2363" s="12">
        <f t="shared" si="144"/>
        <v>0.55000000000000004</v>
      </c>
      <c r="R2363" s="9">
        <f t="shared" si="145"/>
        <v>584.54999999999995</v>
      </c>
      <c r="S2363" s="9">
        <f>IF(R2363="",AVERAGEIF(Table1[Category],Table1[[#This Row],[Category]],Table2[orignal data]),Table2[[#This Row],[orignal data]])</f>
        <v>584.54999999999995</v>
      </c>
      <c r="T2363" t="str">
        <f t="shared" si="146"/>
        <v>UNIQUE</v>
      </c>
      <c r="U2363" t="str">
        <f>IF(ISBLANK(Table1[[#This Row],[SizeOption]]),"NOT AVAILABLE",Table1[[#This Row],[SizeOption]])</f>
        <v>S, M, L, XL</v>
      </c>
      <c r="Y2363" t="str">
        <f>IF(Table2[[#This Row],[Column1]]&gt;50%,"HIGH DISCOUNT","LOW DISCOUNT")</f>
        <v>HIGH DISCOUNT</v>
      </c>
    </row>
    <row r="2364" spans="1:25" x14ac:dyDescent="0.25">
      <c r="A2364" s="1" t="s">
        <v>5017</v>
      </c>
      <c r="B2364" s="1">
        <v>10128417</v>
      </c>
      <c r="C2364" s="1" t="s">
        <v>271</v>
      </c>
      <c r="D2364" s="1" t="s">
        <v>41</v>
      </c>
      <c r="E2364" s="1" t="s">
        <v>48</v>
      </c>
      <c r="F2364" s="1" t="s">
        <v>36</v>
      </c>
      <c r="G2364" s="1" t="s">
        <v>5018</v>
      </c>
      <c r="I2364" s="1">
        <v>1499</v>
      </c>
      <c r="J2364" s="1" t="s">
        <v>25</v>
      </c>
      <c r="K2364" s="1" t="s">
        <v>45</v>
      </c>
      <c r="L2364" s="1">
        <v>4.3</v>
      </c>
      <c r="M2364" s="1">
        <v>660</v>
      </c>
      <c r="P2364" t="str">
        <f t="shared" si="147"/>
        <v>55%</v>
      </c>
      <c r="Q2364" s="12">
        <f t="shared" si="144"/>
        <v>0.55000000000000004</v>
      </c>
      <c r="R2364" s="9">
        <f t="shared" si="145"/>
        <v>674.55</v>
      </c>
      <c r="S2364" s="9">
        <f>IF(R2364="",AVERAGEIF(Table1[Category],Table1[[#This Row],[Category]],Table2[orignal data]),Table2[[#This Row],[orignal data]])</f>
        <v>674.55</v>
      </c>
      <c r="T2364" t="str">
        <f t="shared" si="146"/>
        <v>UNIQUE</v>
      </c>
      <c r="U2364" t="str">
        <f>IF(ISBLANK(Table1[[#This Row],[SizeOption]]),"NOT AVAILABLE",Table1[[#This Row],[SizeOption]])</f>
        <v>XS, S, M, L, XL</v>
      </c>
      <c r="Y2364" t="str">
        <f>IF(Table2[[#This Row],[Column1]]&gt;50%,"HIGH DISCOUNT","LOW DISCOUNT")</f>
        <v>HIGH DISCOUNT</v>
      </c>
    </row>
    <row r="2365" spans="1:25" x14ac:dyDescent="0.25">
      <c r="A2365" s="2" t="s">
        <v>5019</v>
      </c>
      <c r="B2365" s="2">
        <v>10336485</v>
      </c>
      <c r="C2365" s="2" t="s">
        <v>102</v>
      </c>
      <c r="D2365" s="2" t="s">
        <v>41</v>
      </c>
      <c r="E2365" s="2" t="s">
        <v>148</v>
      </c>
      <c r="F2365" s="2" t="s">
        <v>36</v>
      </c>
      <c r="G2365" s="2" t="s">
        <v>5020</v>
      </c>
      <c r="I2365" s="2">
        <v>2199</v>
      </c>
      <c r="J2365" s="2" t="s">
        <v>104</v>
      </c>
      <c r="K2365" s="2" t="s">
        <v>26</v>
      </c>
      <c r="L2365" s="2">
        <v>4.4000000000000004</v>
      </c>
      <c r="M2365" s="2">
        <v>660</v>
      </c>
      <c r="P2365" t="str">
        <f t="shared" si="147"/>
        <v>61%</v>
      </c>
      <c r="Q2365" s="12">
        <f t="shared" si="144"/>
        <v>0.61</v>
      </c>
      <c r="R2365" s="9">
        <f t="shared" si="145"/>
        <v>857.61000000000013</v>
      </c>
      <c r="S2365" s="9">
        <f>IF(R2365="",AVERAGEIF(Table1[Category],Table1[[#This Row],[Category]],Table2[orignal data]),Table2[[#This Row],[orignal data]])</f>
        <v>857.61000000000013</v>
      </c>
      <c r="T2365" t="str">
        <f t="shared" si="146"/>
        <v>UNIQUE</v>
      </c>
      <c r="U2365" t="str">
        <f>IF(ISBLANK(Table1[[#This Row],[SizeOption]]),"NOT AVAILABLE",Table1[[#This Row],[SizeOption]])</f>
        <v>S, M, L, XL</v>
      </c>
      <c r="Y2365" t="str">
        <f>IF(Table2[[#This Row],[Column1]]&gt;50%,"HIGH DISCOUNT","LOW DISCOUNT")</f>
        <v>HIGH DISCOUNT</v>
      </c>
    </row>
    <row r="2366" spans="1:25" x14ac:dyDescent="0.25">
      <c r="A2366" s="1" t="s">
        <v>5021</v>
      </c>
      <c r="B2366" s="1">
        <v>10441252</v>
      </c>
      <c r="C2366" s="1" t="s">
        <v>490</v>
      </c>
      <c r="D2366" s="1" t="s">
        <v>41</v>
      </c>
      <c r="E2366" s="1" t="s">
        <v>592</v>
      </c>
      <c r="F2366" s="1" t="s">
        <v>36</v>
      </c>
      <c r="G2366" s="1" t="s">
        <v>5022</v>
      </c>
      <c r="I2366" s="1">
        <v>799</v>
      </c>
      <c r="J2366" s="1"/>
      <c r="K2366" s="1" t="s">
        <v>1875</v>
      </c>
      <c r="L2366" s="1">
        <v>4.5</v>
      </c>
      <c r="M2366" s="1">
        <v>660</v>
      </c>
      <c r="P2366" t="str">
        <f t="shared" si="147"/>
        <v/>
      </c>
      <c r="Q2366" s="12" t="str">
        <f t="shared" si="144"/>
        <v/>
      </c>
      <c r="R2366" s="9" t="str">
        <f t="shared" si="145"/>
        <v/>
      </c>
      <c r="S2366" s="9">
        <f>IF(R2366="",AVERAGEIF(Table1[Category],Table1[[#This Row],[Category]],Table2[orignal data]),Table2[[#This Row],[orignal data]])</f>
        <v>715.78890751086249</v>
      </c>
      <c r="T2366" t="str">
        <f t="shared" si="146"/>
        <v>UNIQUE</v>
      </c>
      <c r="U2366" t="str">
        <f>IF(ISBLANK(Table1[[#This Row],[SizeOption]]),"NOT AVAILABLE",Table1[[#This Row],[SizeOption]])</f>
        <v>XXS, XS, S, M, L, XL</v>
      </c>
      <c r="Y2366" t="str">
        <f>IF(Table2[[#This Row],[Column1]]&gt;50%,"HIGH DISCOUNT","LOW DISCOUNT")</f>
        <v>HIGH DISCOUNT</v>
      </c>
    </row>
    <row r="2367" spans="1:25" x14ac:dyDescent="0.25">
      <c r="A2367" s="2" t="s">
        <v>5023</v>
      </c>
      <c r="B2367" s="2">
        <v>11407084</v>
      </c>
      <c r="C2367" s="2" t="s">
        <v>1176</v>
      </c>
      <c r="D2367" s="2" t="s">
        <v>15</v>
      </c>
      <c r="E2367" s="2" t="s">
        <v>137</v>
      </c>
      <c r="F2367" s="2" t="s">
        <v>17</v>
      </c>
      <c r="G2367" s="2" t="s">
        <v>5024</v>
      </c>
      <c r="H2367">
        <v>450</v>
      </c>
      <c r="I2367" s="2">
        <v>919</v>
      </c>
      <c r="J2367" s="2" t="s">
        <v>163</v>
      </c>
      <c r="K2367" s="2" t="s">
        <v>5025</v>
      </c>
      <c r="L2367" s="2">
        <v>3.9</v>
      </c>
      <c r="M2367" s="2">
        <v>659</v>
      </c>
      <c r="P2367" t="str">
        <f t="shared" si="147"/>
        <v>51%</v>
      </c>
      <c r="Q2367" s="12">
        <f t="shared" si="144"/>
        <v>0.51</v>
      </c>
      <c r="R2367" s="9">
        <f t="shared" si="145"/>
        <v>450.31</v>
      </c>
      <c r="S2367" s="9">
        <f>IF(R2367="",AVERAGEIF(Table1[Category],Table1[[#This Row],[Category]],Table2[orignal data]),Table2[[#This Row],[orignal data]])</f>
        <v>450.31</v>
      </c>
      <c r="T2367" t="str">
        <f t="shared" si="146"/>
        <v>UNIQUE</v>
      </c>
      <c r="U2367" t="str">
        <f>IF(ISBLANK(Table1[[#This Row],[SizeOption]]),"NOT AVAILABLE",Table1[[#This Row],[SizeOption]])</f>
        <v>32, 34, 36</v>
      </c>
      <c r="Y2367" t="str">
        <f>IF(Table2[[#This Row],[Column1]]&gt;50%,"HIGH DISCOUNT","LOW DISCOUNT")</f>
        <v>HIGH DISCOUNT</v>
      </c>
    </row>
    <row r="2368" spans="1:25" x14ac:dyDescent="0.25">
      <c r="A2368" s="1" t="s">
        <v>5026</v>
      </c>
      <c r="B2368" s="1">
        <v>10960740</v>
      </c>
      <c r="C2368" s="1" t="s">
        <v>113</v>
      </c>
      <c r="D2368" s="1" t="s">
        <v>76</v>
      </c>
      <c r="E2368" s="1" t="s">
        <v>29</v>
      </c>
      <c r="F2368" s="1" t="s">
        <v>17</v>
      </c>
      <c r="G2368" s="1" t="s">
        <v>5027</v>
      </c>
      <c r="H2368">
        <v>799</v>
      </c>
      <c r="I2368" s="1">
        <v>1599</v>
      </c>
      <c r="J2368" s="1" t="s">
        <v>84</v>
      </c>
      <c r="K2368" s="1" t="s">
        <v>361</v>
      </c>
      <c r="L2368" s="1">
        <v>3.8</v>
      </c>
      <c r="M2368" s="1">
        <v>659</v>
      </c>
      <c r="P2368" t="str">
        <f t="shared" si="147"/>
        <v>50%</v>
      </c>
      <c r="Q2368" s="12">
        <f t="shared" si="144"/>
        <v>0.5</v>
      </c>
      <c r="R2368" s="9">
        <f t="shared" si="145"/>
        <v>799.5</v>
      </c>
      <c r="S2368" s="9">
        <f>IF(R2368="",AVERAGEIF(Table1[Category],Table1[[#This Row],[Category]],Table2[orignal data]),Table2[[#This Row],[orignal data]])</f>
        <v>799.5</v>
      </c>
      <c r="T2368" t="str">
        <f t="shared" si="146"/>
        <v>UNIQUE</v>
      </c>
      <c r="U2368" t="str">
        <f>IF(ISBLANK(Table1[[#This Row],[SizeOption]]),"NOT AVAILABLE",Table1[[#This Row],[SizeOption]])</f>
        <v>38, 40, 42, 44, 46</v>
      </c>
      <c r="Y2368" t="str">
        <f>IF(Table2[[#This Row],[Column1]]&gt;50%,"HIGH DISCOUNT","LOW DISCOUNT")</f>
        <v>LOW DISCOUNT</v>
      </c>
    </row>
    <row r="2369" spans="1:25" x14ac:dyDescent="0.25">
      <c r="A2369" s="2" t="s">
        <v>5028</v>
      </c>
      <c r="B2369" s="2">
        <v>9866707</v>
      </c>
      <c r="C2369" s="2" t="s">
        <v>349</v>
      </c>
      <c r="D2369" s="2" t="s">
        <v>197</v>
      </c>
      <c r="E2369" s="2" t="s">
        <v>939</v>
      </c>
      <c r="F2369" s="2" t="s">
        <v>17</v>
      </c>
      <c r="G2369" s="2" t="s">
        <v>5029</v>
      </c>
      <c r="I2369" s="2">
        <v>798</v>
      </c>
      <c r="J2369" s="2"/>
      <c r="K2369" s="2" t="s">
        <v>352</v>
      </c>
      <c r="L2369" s="2">
        <v>4.3</v>
      </c>
      <c r="M2369" s="2">
        <v>659</v>
      </c>
      <c r="P2369" t="str">
        <f t="shared" si="147"/>
        <v/>
      </c>
      <c r="Q2369" s="12" t="str">
        <f t="shared" si="144"/>
        <v/>
      </c>
      <c r="R2369" s="9" t="str">
        <f t="shared" si="145"/>
        <v/>
      </c>
      <c r="S2369" s="9">
        <f>IF(R2369="",AVERAGEIF(Table1[Category],Table1[[#This Row],[Category]],Table2[orignal data]),Table2[[#This Row],[orignal data]])</f>
        <v>552.70900000000006</v>
      </c>
      <c r="T2369" t="str">
        <f t="shared" si="146"/>
        <v>UNIQUE</v>
      </c>
      <c r="U2369" t="str">
        <f>IF(ISBLANK(Table1[[#This Row],[SizeOption]]),"NOT AVAILABLE",Table1[[#This Row],[SizeOption]])</f>
        <v>S, M, L</v>
      </c>
      <c r="Y2369" t="str">
        <f>IF(Table2[[#This Row],[Column1]]&gt;50%,"HIGH DISCOUNT","LOW DISCOUNT")</f>
        <v>HIGH DISCOUNT</v>
      </c>
    </row>
    <row r="2370" spans="1:25" x14ac:dyDescent="0.25">
      <c r="A2370" s="1" t="s">
        <v>5030</v>
      </c>
      <c r="B2370" s="1">
        <v>12949994</v>
      </c>
      <c r="C2370" s="1" t="s">
        <v>52</v>
      </c>
      <c r="D2370" s="1" t="s">
        <v>28</v>
      </c>
      <c r="E2370" s="1" t="s">
        <v>29</v>
      </c>
      <c r="F2370" s="1" t="s">
        <v>17</v>
      </c>
      <c r="G2370" s="1" t="s">
        <v>5031</v>
      </c>
      <c r="H2370">
        <v>516</v>
      </c>
      <c r="I2370" s="1">
        <v>1099</v>
      </c>
      <c r="J2370" s="1" t="s">
        <v>89</v>
      </c>
      <c r="K2370" s="1" t="s">
        <v>90</v>
      </c>
      <c r="L2370" s="1">
        <v>4.0999999999999996</v>
      </c>
      <c r="M2370" s="1">
        <v>659</v>
      </c>
      <c r="P2370" t="str">
        <f t="shared" si="147"/>
        <v>53%</v>
      </c>
      <c r="Q2370" s="12">
        <f t="shared" ref="Q2370:Q2433" si="148">IF(P2370="","",IF(ISNUMBER(SEARCH("%",P2370)),P2370,P2370/I2370)*100%)</f>
        <v>0.53</v>
      </c>
      <c r="R2370" s="9">
        <f t="shared" ref="R2370:R2433" si="149">IF(P2370="","",I2370-(I2370*Q2370))</f>
        <v>516.53</v>
      </c>
      <c r="S2370" s="9">
        <f>IF(R2370="",AVERAGEIF(Table1[Category],Table1[[#This Row],[Category]],Table2[orignal data]),Table2[[#This Row],[orignal data]])</f>
        <v>516.53</v>
      </c>
      <c r="T2370" t="str">
        <f t="shared" ref="T2370:T2433" si="150">IF(COUNTIF($B$2:$B$5000,B2370)&gt;1,"DUPLICATE","UNIQUE")</f>
        <v>UNIQUE</v>
      </c>
      <c r="U2370" t="str">
        <f>IF(ISBLANK(Table1[[#This Row],[SizeOption]]),"NOT AVAILABLE",Table1[[#This Row],[SizeOption]])</f>
        <v>39, 40, 42, 44</v>
      </c>
      <c r="Y2370" t="str">
        <f>IF(Table2[[#This Row],[Column1]]&gt;50%,"HIGH DISCOUNT","LOW DISCOUNT")</f>
        <v>HIGH DISCOUNT</v>
      </c>
    </row>
    <row r="2371" spans="1:25" x14ac:dyDescent="0.25">
      <c r="A2371" s="2" t="s">
        <v>5032</v>
      </c>
      <c r="B2371" s="2">
        <v>8325421</v>
      </c>
      <c r="C2371" s="2" t="s">
        <v>47</v>
      </c>
      <c r="D2371" s="2" t="s">
        <v>28</v>
      </c>
      <c r="E2371" s="2" t="s">
        <v>42</v>
      </c>
      <c r="F2371" s="2" t="s">
        <v>17</v>
      </c>
      <c r="G2371" s="2" t="s">
        <v>5033</v>
      </c>
      <c r="H2371">
        <v>519</v>
      </c>
      <c r="I2371" s="2">
        <v>1299</v>
      </c>
      <c r="J2371" s="2" t="s">
        <v>55</v>
      </c>
      <c r="K2371" s="2" t="s">
        <v>26</v>
      </c>
      <c r="L2371" s="2">
        <v>4.2</v>
      </c>
      <c r="M2371" s="2">
        <v>659</v>
      </c>
      <c r="P2371" t="str">
        <f t="shared" ref="P2371:P2434" si="151">TRIM(SUBSTITUTE(SUBSTITUTE(SUBSTITUTE(SUBSTITUTE(J2371,"OFF",""),"Rs.",""),"Hurry*",""),",",""))</f>
        <v>60%</v>
      </c>
      <c r="Q2371" s="12">
        <f t="shared" si="148"/>
        <v>0.6</v>
      </c>
      <c r="R2371" s="9">
        <f t="shared" si="149"/>
        <v>519.6</v>
      </c>
      <c r="S2371" s="9">
        <f>IF(R2371="",AVERAGEIF(Table1[Category],Table1[[#This Row],[Category]],Table2[orignal data]),Table2[[#This Row],[orignal data]])</f>
        <v>519.6</v>
      </c>
      <c r="T2371" t="str">
        <f t="shared" si="150"/>
        <v>UNIQUE</v>
      </c>
      <c r="U2371" t="str">
        <f>IF(ISBLANK(Table1[[#This Row],[SizeOption]]),"NOT AVAILABLE",Table1[[#This Row],[SizeOption]])</f>
        <v>S, M, L, XL</v>
      </c>
      <c r="Y2371" t="str">
        <f>IF(Table2[[#This Row],[Column1]]&gt;50%,"HIGH DISCOUNT","LOW DISCOUNT")</f>
        <v>HIGH DISCOUNT</v>
      </c>
    </row>
    <row r="2372" spans="1:25" x14ac:dyDescent="0.25">
      <c r="A2372" s="1" t="s">
        <v>5034</v>
      </c>
      <c r="B2372" s="1">
        <v>1729405</v>
      </c>
      <c r="C2372" s="1" t="s">
        <v>169</v>
      </c>
      <c r="D2372" s="1" t="s">
        <v>28</v>
      </c>
      <c r="E2372" s="1" t="s">
        <v>29</v>
      </c>
      <c r="F2372" s="1" t="s">
        <v>17</v>
      </c>
      <c r="G2372" s="1" t="s">
        <v>5035</v>
      </c>
      <c r="H2372">
        <v>1199</v>
      </c>
      <c r="I2372" s="1">
        <v>2399</v>
      </c>
      <c r="J2372" s="1" t="s">
        <v>84</v>
      </c>
      <c r="K2372" s="1" t="s">
        <v>484</v>
      </c>
      <c r="L2372" s="1">
        <v>4.3</v>
      </c>
      <c r="M2372" s="1">
        <v>659</v>
      </c>
      <c r="P2372" t="str">
        <f t="shared" si="151"/>
        <v>50%</v>
      </c>
      <c r="Q2372" s="12">
        <f t="shared" si="148"/>
        <v>0.5</v>
      </c>
      <c r="R2372" s="9">
        <f t="shared" si="149"/>
        <v>1199.5</v>
      </c>
      <c r="S2372" s="9">
        <f>IF(R2372="",AVERAGEIF(Table1[Category],Table1[[#This Row],[Category]],Table2[orignal data]),Table2[[#This Row],[orignal data]])</f>
        <v>1199.5</v>
      </c>
      <c r="T2372" t="str">
        <f t="shared" si="150"/>
        <v>UNIQUE</v>
      </c>
      <c r="U2372" t="str">
        <f>IF(ISBLANK(Table1[[#This Row],[SizeOption]]),"NOT AVAILABLE",Table1[[#This Row],[SizeOption]])</f>
        <v>39, 40, 42, 44, 46</v>
      </c>
      <c r="Y2372" t="str">
        <f>IF(Table2[[#This Row],[Column1]]&gt;50%,"HIGH DISCOUNT","LOW DISCOUNT")</f>
        <v>LOW DISCOUNT</v>
      </c>
    </row>
    <row r="2373" spans="1:25" x14ac:dyDescent="0.25">
      <c r="A2373" s="2" t="s">
        <v>5036</v>
      </c>
      <c r="B2373" s="2">
        <v>6411482</v>
      </c>
      <c r="C2373" s="2" t="s">
        <v>14</v>
      </c>
      <c r="D2373" s="2" t="s">
        <v>28</v>
      </c>
      <c r="E2373" s="2" t="s">
        <v>189</v>
      </c>
      <c r="F2373" s="2" t="s">
        <v>17</v>
      </c>
      <c r="G2373" s="2" t="s">
        <v>5037</v>
      </c>
      <c r="I2373" s="2">
        <v>2799</v>
      </c>
      <c r="J2373" s="2"/>
      <c r="K2373" s="2" t="s">
        <v>234</v>
      </c>
      <c r="L2373" s="2">
        <v>4.2</v>
      </c>
      <c r="M2373" s="2">
        <v>659</v>
      </c>
      <c r="P2373" t="str">
        <f t="shared" si="151"/>
        <v/>
      </c>
      <c r="Q2373" s="12" t="str">
        <f t="shared" si="148"/>
        <v/>
      </c>
      <c r="R2373" s="9" t="str">
        <f t="shared" si="149"/>
        <v/>
      </c>
      <c r="S2373" s="9">
        <f>IF(R2373="",AVERAGEIF(Table1[Category],Table1[[#This Row],[Category]],Table2[orignal data]),Table2[[#This Row],[orignal data]])</f>
        <v>671.7823941958867</v>
      </c>
      <c r="T2373" t="str">
        <f t="shared" si="150"/>
        <v>UNIQUE</v>
      </c>
      <c r="U2373" t="str">
        <f>IF(ISBLANK(Table1[[#This Row],[SizeOption]]),"NOT AVAILABLE",Table1[[#This Row],[SizeOption]])</f>
        <v>S, M, L, XL, XXL, 3XL</v>
      </c>
      <c r="Y2373" t="str">
        <f>IF(Table2[[#This Row],[Column1]]&gt;50%,"HIGH DISCOUNT","LOW DISCOUNT")</f>
        <v>HIGH DISCOUNT</v>
      </c>
    </row>
    <row r="2374" spans="1:25" x14ac:dyDescent="0.25">
      <c r="A2374" s="1" t="s">
        <v>5038</v>
      </c>
      <c r="B2374" s="1">
        <v>12970024</v>
      </c>
      <c r="C2374" s="1" t="s">
        <v>22</v>
      </c>
      <c r="D2374" s="1" t="s">
        <v>28</v>
      </c>
      <c r="E2374" s="1" t="s">
        <v>189</v>
      </c>
      <c r="F2374" s="1" t="s">
        <v>17</v>
      </c>
      <c r="G2374" s="1" t="s">
        <v>5039</v>
      </c>
      <c r="H2374">
        <v>1690</v>
      </c>
      <c r="I2374" s="1">
        <v>4449</v>
      </c>
      <c r="J2374" s="1" t="s">
        <v>126</v>
      </c>
      <c r="K2374" s="1" t="s">
        <v>881</v>
      </c>
      <c r="L2374" s="1">
        <v>4.2</v>
      </c>
      <c r="M2374" s="1">
        <v>659</v>
      </c>
      <c r="P2374" t="str">
        <f t="shared" si="151"/>
        <v>62%</v>
      </c>
      <c r="Q2374" s="12">
        <f t="shared" si="148"/>
        <v>0.62</v>
      </c>
      <c r="R2374" s="9">
        <f t="shared" si="149"/>
        <v>1690.62</v>
      </c>
      <c r="S2374" s="9">
        <f>IF(R2374="",AVERAGEIF(Table1[Category],Table1[[#This Row],[Category]],Table2[orignal data]),Table2[[#This Row],[orignal data]])</f>
        <v>1690.62</v>
      </c>
      <c r="T2374" t="str">
        <f t="shared" si="150"/>
        <v>UNIQUE</v>
      </c>
      <c r="U2374" t="str">
        <f>IF(ISBLANK(Table1[[#This Row],[SizeOption]]),"NOT AVAILABLE",Table1[[#This Row],[SizeOption]])</f>
        <v>M, L, XL, XXL</v>
      </c>
      <c r="Y2374" t="str">
        <f>IF(Table2[[#This Row],[Column1]]&gt;50%,"HIGH DISCOUNT","LOW DISCOUNT")</f>
        <v>HIGH DISCOUNT</v>
      </c>
    </row>
    <row r="2375" spans="1:25" x14ac:dyDescent="0.25">
      <c r="A2375" s="2" t="s">
        <v>5040</v>
      </c>
      <c r="B2375" s="2">
        <v>12992864</v>
      </c>
      <c r="C2375" s="2" t="s">
        <v>92</v>
      </c>
      <c r="D2375" s="2" t="s">
        <v>76</v>
      </c>
      <c r="E2375" s="2" t="s">
        <v>93</v>
      </c>
      <c r="F2375" s="2" t="s">
        <v>36</v>
      </c>
      <c r="G2375" s="2" t="s">
        <v>5041</v>
      </c>
      <c r="H2375">
        <v>395</v>
      </c>
      <c r="I2375" s="2">
        <v>1099</v>
      </c>
      <c r="J2375" s="2" t="s">
        <v>416</v>
      </c>
      <c r="K2375" s="2" t="s">
        <v>39</v>
      </c>
      <c r="L2375" s="2">
        <v>4.0999999999999996</v>
      </c>
      <c r="M2375" s="2">
        <v>659</v>
      </c>
      <c r="P2375" t="str">
        <f t="shared" si="151"/>
        <v>64%</v>
      </c>
      <c r="Q2375" s="12">
        <f t="shared" si="148"/>
        <v>0.64</v>
      </c>
      <c r="R2375" s="9">
        <f t="shared" si="149"/>
        <v>395.64</v>
      </c>
      <c r="S2375" s="9">
        <f>IF(R2375="",AVERAGEIF(Table1[Category],Table1[[#This Row],[Category]],Table2[orignal data]),Table2[[#This Row],[orignal data]])</f>
        <v>395.64</v>
      </c>
      <c r="T2375" t="str">
        <f t="shared" si="150"/>
        <v>UNIQUE</v>
      </c>
      <c r="U2375" t="str">
        <f>IF(ISBLANK(Table1[[#This Row],[SizeOption]]),"NOT AVAILABLE",Table1[[#This Row],[SizeOption]])</f>
        <v>S, M, L, XL, XXL</v>
      </c>
      <c r="Y2375" t="str">
        <f>IF(Table2[[#This Row],[Column1]]&gt;50%,"HIGH DISCOUNT","LOW DISCOUNT")</f>
        <v>HIGH DISCOUNT</v>
      </c>
    </row>
    <row r="2376" spans="1:25" x14ac:dyDescent="0.25">
      <c r="A2376" s="1" t="s">
        <v>5042</v>
      </c>
      <c r="B2376" s="1">
        <v>10419444</v>
      </c>
      <c r="C2376" s="1" t="s">
        <v>113</v>
      </c>
      <c r="D2376" s="1" t="s">
        <v>76</v>
      </c>
      <c r="E2376" s="1" t="s">
        <v>77</v>
      </c>
      <c r="F2376" s="1" t="s">
        <v>36</v>
      </c>
      <c r="G2376" s="1" t="s">
        <v>5043</v>
      </c>
      <c r="H2376">
        <v>1169</v>
      </c>
      <c r="I2376" s="1">
        <v>2599</v>
      </c>
      <c r="J2376" s="1" t="s">
        <v>25</v>
      </c>
      <c r="K2376" s="1" t="s">
        <v>115</v>
      </c>
      <c r="L2376" s="1">
        <v>4.0999999999999996</v>
      </c>
      <c r="M2376" s="1">
        <v>659</v>
      </c>
      <c r="P2376" t="str">
        <f t="shared" si="151"/>
        <v>55%</v>
      </c>
      <c r="Q2376" s="12">
        <f t="shared" si="148"/>
        <v>0.55000000000000004</v>
      </c>
      <c r="R2376" s="9">
        <f t="shared" si="149"/>
        <v>1169.55</v>
      </c>
      <c r="S2376" s="9">
        <f>IF(R2376="",AVERAGEIF(Table1[Category],Table1[[#This Row],[Category]],Table2[orignal data]),Table2[[#This Row],[orignal data]])</f>
        <v>1169.55</v>
      </c>
      <c r="T2376" t="str">
        <f t="shared" si="150"/>
        <v>UNIQUE</v>
      </c>
      <c r="U2376" t="str">
        <f>IF(ISBLANK(Table1[[#This Row],[SizeOption]]),"NOT AVAILABLE",Table1[[#This Row],[SizeOption]])</f>
        <v>XS, S, M, L, XL, XXL</v>
      </c>
      <c r="Y2376" t="str">
        <f>IF(Table2[[#This Row],[Column1]]&gt;50%,"HIGH DISCOUNT","LOW DISCOUNT")</f>
        <v>HIGH DISCOUNT</v>
      </c>
    </row>
    <row r="2377" spans="1:25" x14ac:dyDescent="0.25">
      <c r="A2377" s="2" t="s">
        <v>5044</v>
      </c>
      <c r="B2377" s="2">
        <v>8328151</v>
      </c>
      <c r="C2377" s="2" t="s">
        <v>67</v>
      </c>
      <c r="D2377" s="2" t="s">
        <v>34</v>
      </c>
      <c r="E2377" s="2" t="s">
        <v>118</v>
      </c>
      <c r="F2377" s="2" t="s">
        <v>36</v>
      </c>
      <c r="G2377" s="2" t="s">
        <v>5045</v>
      </c>
      <c r="H2377">
        <v>764</v>
      </c>
      <c r="I2377" s="2">
        <v>1699</v>
      </c>
      <c r="J2377" s="2" t="s">
        <v>25</v>
      </c>
      <c r="K2377" s="2" t="s">
        <v>45</v>
      </c>
      <c r="L2377" s="2">
        <v>4.4000000000000004</v>
      </c>
      <c r="M2377" s="2">
        <v>659</v>
      </c>
      <c r="P2377" t="str">
        <f t="shared" si="151"/>
        <v>55%</v>
      </c>
      <c r="Q2377" s="12">
        <f t="shared" si="148"/>
        <v>0.55000000000000004</v>
      </c>
      <c r="R2377" s="9">
        <f t="shared" si="149"/>
        <v>764.55</v>
      </c>
      <c r="S2377" s="9">
        <f>IF(R2377="",AVERAGEIF(Table1[Category],Table1[[#This Row],[Category]],Table2[orignal data]),Table2[[#This Row],[orignal data]])</f>
        <v>764.55</v>
      </c>
      <c r="T2377" t="str">
        <f t="shared" si="150"/>
        <v>UNIQUE</v>
      </c>
      <c r="U2377" t="str">
        <f>IF(ISBLANK(Table1[[#This Row],[SizeOption]]),"NOT AVAILABLE",Table1[[#This Row],[SizeOption]])</f>
        <v>XS, S, M, L, XL</v>
      </c>
      <c r="Y2377" t="str">
        <f>IF(Table2[[#This Row],[Column1]]&gt;50%,"HIGH DISCOUNT","LOW DISCOUNT")</f>
        <v>HIGH DISCOUNT</v>
      </c>
    </row>
    <row r="2378" spans="1:25" x14ac:dyDescent="0.25">
      <c r="A2378" s="1" t="s">
        <v>5046</v>
      </c>
      <c r="B2378" s="1">
        <v>12382654</v>
      </c>
      <c r="C2378" s="1" t="s">
        <v>1592</v>
      </c>
      <c r="D2378" s="1" t="s">
        <v>34</v>
      </c>
      <c r="E2378" s="1" t="s">
        <v>118</v>
      </c>
      <c r="F2378" s="1" t="s">
        <v>36</v>
      </c>
      <c r="G2378" s="1" t="s">
        <v>5047</v>
      </c>
      <c r="H2378">
        <v>679</v>
      </c>
      <c r="I2378" s="1">
        <v>3234</v>
      </c>
      <c r="J2378" s="1" t="s">
        <v>1594</v>
      </c>
      <c r="K2378" s="1" t="s">
        <v>1595</v>
      </c>
      <c r="L2378" s="1">
        <v>4.0999999999999996</v>
      </c>
      <c r="M2378" s="1">
        <v>659</v>
      </c>
      <c r="P2378" t="str">
        <f t="shared" si="151"/>
        <v>79%</v>
      </c>
      <c r="Q2378" s="12">
        <f t="shared" si="148"/>
        <v>0.79</v>
      </c>
      <c r="R2378" s="9">
        <f t="shared" si="149"/>
        <v>679.13999999999987</v>
      </c>
      <c r="S2378" s="9">
        <f>IF(R2378="",AVERAGEIF(Table1[Category],Table1[[#This Row],[Category]],Table2[orignal data]),Table2[[#This Row],[orignal data]])</f>
        <v>679.13999999999987</v>
      </c>
      <c r="T2378" t="str">
        <f t="shared" si="150"/>
        <v>UNIQUE</v>
      </c>
      <c r="U2378" t="str">
        <f>IF(ISBLANK(Table1[[#This Row],[SizeOption]]),"NOT AVAILABLE",Table1[[#This Row],[SizeOption]])</f>
        <v>28B, 30B, 32B, 34B, 36B, 38B, 40B</v>
      </c>
      <c r="Y2378" t="str">
        <f>IF(Table2[[#This Row],[Column1]]&gt;50%,"HIGH DISCOUNT","LOW DISCOUNT")</f>
        <v>HIGH DISCOUNT</v>
      </c>
    </row>
    <row r="2379" spans="1:25" x14ac:dyDescent="0.25">
      <c r="A2379" s="2" t="s">
        <v>5048</v>
      </c>
      <c r="B2379" s="2">
        <v>1910427</v>
      </c>
      <c r="C2379" s="2" t="s">
        <v>5049</v>
      </c>
      <c r="D2379" s="2" t="s">
        <v>34</v>
      </c>
      <c r="E2379" s="2" t="s">
        <v>2168</v>
      </c>
      <c r="F2379" s="2" t="s">
        <v>36</v>
      </c>
      <c r="G2379" s="2" t="s">
        <v>5050</v>
      </c>
      <c r="H2379">
        <v>369</v>
      </c>
      <c r="I2379" s="2">
        <v>499</v>
      </c>
      <c r="J2379" s="2" t="s">
        <v>5051</v>
      </c>
      <c r="K2379" s="2" t="s">
        <v>26</v>
      </c>
      <c r="L2379" s="2">
        <v>4.3</v>
      </c>
      <c r="M2379" s="2">
        <v>659</v>
      </c>
      <c r="P2379" t="str">
        <f t="shared" si="151"/>
        <v>130</v>
      </c>
      <c r="Q2379" s="12">
        <f t="shared" si="148"/>
        <v>0.26052104208416832</v>
      </c>
      <c r="R2379" s="9">
        <f t="shared" si="149"/>
        <v>369</v>
      </c>
      <c r="S2379" s="9">
        <f>IF(R2379="",AVERAGEIF(Table1[Category],Table1[[#This Row],[Category]],Table2[orignal data]),Table2[[#This Row],[orignal data]])</f>
        <v>369</v>
      </c>
      <c r="T2379" t="str">
        <f t="shared" si="150"/>
        <v>UNIQUE</v>
      </c>
      <c r="U2379" t="str">
        <f>IF(ISBLANK(Table1[[#This Row],[SizeOption]]),"NOT AVAILABLE",Table1[[#This Row],[SizeOption]])</f>
        <v>S, M, L, XL</v>
      </c>
      <c r="Y2379" t="str">
        <f>IF(Table2[[#This Row],[Column1]]&gt;50%,"HIGH DISCOUNT","LOW DISCOUNT")</f>
        <v>LOW DISCOUNT</v>
      </c>
    </row>
    <row r="2380" spans="1:25" x14ac:dyDescent="0.25">
      <c r="A2380" s="1" t="s">
        <v>5052</v>
      </c>
      <c r="B2380" s="1">
        <v>13570840</v>
      </c>
      <c r="C2380" s="1" t="s">
        <v>5053</v>
      </c>
      <c r="D2380" s="1" t="s">
        <v>34</v>
      </c>
      <c r="E2380" s="1" t="s">
        <v>118</v>
      </c>
      <c r="F2380" s="1" t="s">
        <v>36</v>
      </c>
      <c r="G2380" s="1" t="s">
        <v>5054</v>
      </c>
      <c r="H2380">
        <v>700</v>
      </c>
      <c r="I2380" s="1">
        <v>875</v>
      </c>
      <c r="J2380" s="1" t="s">
        <v>412</v>
      </c>
      <c r="K2380" s="1" t="s">
        <v>5055</v>
      </c>
      <c r="L2380" s="1">
        <v>4.4000000000000004</v>
      </c>
      <c r="M2380" s="1">
        <v>659</v>
      </c>
      <c r="P2380" t="str">
        <f t="shared" si="151"/>
        <v>20%</v>
      </c>
      <c r="Q2380" s="12">
        <f t="shared" si="148"/>
        <v>0.2</v>
      </c>
      <c r="R2380" s="9">
        <f t="shared" si="149"/>
        <v>700</v>
      </c>
      <c r="S2380" s="9">
        <f>IF(R2380="",AVERAGEIF(Table1[Category],Table1[[#This Row],[Category]],Table2[orignal data]),Table2[[#This Row],[orignal data]])</f>
        <v>700</v>
      </c>
      <c r="T2380" t="str">
        <f t="shared" si="150"/>
        <v>UNIQUE</v>
      </c>
      <c r="U2380" t="str">
        <f>IF(ISBLANK(Table1[[#This Row],[SizeOption]]),"NOT AVAILABLE",Table1[[#This Row],[SizeOption]])</f>
        <v>30C, 32C, 34C, 36C, 38C, 40C, 42C</v>
      </c>
      <c r="Y2380" t="str">
        <f>IF(Table2[[#This Row],[Column1]]&gt;50%,"HIGH DISCOUNT","LOW DISCOUNT")</f>
        <v>LOW DISCOUNT</v>
      </c>
    </row>
    <row r="2381" spans="1:25" x14ac:dyDescent="0.25">
      <c r="A2381" s="2" t="s">
        <v>5056</v>
      </c>
      <c r="B2381" s="2">
        <v>10015985</v>
      </c>
      <c r="C2381" s="2" t="s">
        <v>102</v>
      </c>
      <c r="D2381" s="2" t="s">
        <v>41</v>
      </c>
      <c r="E2381" s="2" t="s">
        <v>48</v>
      </c>
      <c r="F2381" s="2" t="s">
        <v>36</v>
      </c>
      <c r="G2381" s="2" t="s">
        <v>5057</v>
      </c>
      <c r="I2381" s="2">
        <v>1049</v>
      </c>
      <c r="J2381" s="2" t="s">
        <v>104</v>
      </c>
      <c r="K2381" s="2" t="s">
        <v>26</v>
      </c>
      <c r="L2381" s="2">
        <v>4.2</v>
      </c>
      <c r="M2381" s="2">
        <v>659</v>
      </c>
      <c r="P2381" t="str">
        <f t="shared" si="151"/>
        <v>61%</v>
      </c>
      <c r="Q2381" s="12">
        <f t="shared" si="148"/>
        <v>0.61</v>
      </c>
      <c r="R2381" s="9">
        <f t="shared" si="149"/>
        <v>409.11</v>
      </c>
      <c r="S2381" s="9">
        <f>IF(R2381="",AVERAGEIF(Table1[Category],Table1[[#This Row],[Category]],Table2[orignal data]),Table2[[#This Row],[orignal data]])</f>
        <v>409.11</v>
      </c>
      <c r="T2381" t="str">
        <f t="shared" si="150"/>
        <v>UNIQUE</v>
      </c>
      <c r="U2381" t="str">
        <f>IF(ISBLANK(Table1[[#This Row],[SizeOption]]),"NOT AVAILABLE",Table1[[#This Row],[SizeOption]])</f>
        <v>S, M, L, XL</v>
      </c>
      <c r="Y2381" t="str">
        <f>IF(Table2[[#This Row],[Column1]]&gt;50%,"HIGH DISCOUNT","LOW DISCOUNT")</f>
        <v>HIGH DISCOUNT</v>
      </c>
    </row>
    <row r="2382" spans="1:25" x14ac:dyDescent="0.25">
      <c r="A2382" s="1" t="s">
        <v>5058</v>
      </c>
      <c r="B2382" s="1">
        <v>1341216</v>
      </c>
      <c r="C2382" s="1" t="s">
        <v>952</v>
      </c>
      <c r="D2382" s="1" t="s">
        <v>41</v>
      </c>
      <c r="E2382" s="1" t="s">
        <v>48</v>
      </c>
      <c r="F2382" s="1" t="s">
        <v>36</v>
      </c>
      <c r="G2382" s="1" t="s">
        <v>5059</v>
      </c>
      <c r="I2382" s="1">
        <v>1149</v>
      </c>
      <c r="J2382" s="1" t="s">
        <v>19</v>
      </c>
      <c r="K2382" s="1" t="s">
        <v>45</v>
      </c>
      <c r="L2382" s="1">
        <v>4.3</v>
      </c>
      <c r="M2382" s="1">
        <v>659</v>
      </c>
      <c r="P2382" t="str">
        <f t="shared" si="151"/>
        <v>45%</v>
      </c>
      <c r="Q2382" s="12">
        <f t="shared" si="148"/>
        <v>0.45</v>
      </c>
      <c r="R2382" s="9">
        <f t="shared" si="149"/>
        <v>631.94999999999993</v>
      </c>
      <c r="S2382" s="9">
        <f>IF(R2382="",AVERAGEIF(Table1[Category],Table1[[#This Row],[Category]],Table2[orignal data]),Table2[[#This Row],[orignal data]])</f>
        <v>631.94999999999993</v>
      </c>
      <c r="T2382" t="str">
        <f t="shared" si="150"/>
        <v>UNIQUE</v>
      </c>
      <c r="U2382" t="str">
        <f>IF(ISBLANK(Table1[[#This Row],[SizeOption]]),"NOT AVAILABLE",Table1[[#This Row],[SizeOption]])</f>
        <v>XS, S, M, L, XL</v>
      </c>
      <c r="Y2382" t="str">
        <f>IF(Table2[[#This Row],[Column1]]&gt;50%,"HIGH DISCOUNT","LOW DISCOUNT")</f>
        <v>LOW DISCOUNT</v>
      </c>
    </row>
    <row r="2383" spans="1:25" x14ac:dyDescent="0.25">
      <c r="A2383" s="2" t="s">
        <v>5060</v>
      </c>
      <c r="B2383" s="2">
        <v>7207024</v>
      </c>
      <c r="C2383" s="2" t="s">
        <v>14</v>
      </c>
      <c r="D2383" s="2" t="s">
        <v>41</v>
      </c>
      <c r="E2383" s="2" t="s">
        <v>48</v>
      </c>
      <c r="F2383" s="2" t="s">
        <v>36</v>
      </c>
      <c r="G2383" s="2" t="s">
        <v>5061</v>
      </c>
      <c r="I2383" s="2">
        <v>1199</v>
      </c>
      <c r="J2383" s="2" t="s">
        <v>19</v>
      </c>
      <c r="K2383" s="2" t="s">
        <v>45</v>
      </c>
      <c r="L2383" s="2">
        <v>3.9</v>
      </c>
      <c r="M2383" s="2">
        <v>659</v>
      </c>
      <c r="P2383" t="str">
        <f t="shared" si="151"/>
        <v>45%</v>
      </c>
      <c r="Q2383" s="12">
        <f t="shared" si="148"/>
        <v>0.45</v>
      </c>
      <c r="R2383" s="9">
        <f t="shared" si="149"/>
        <v>659.44999999999993</v>
      </c>
      <c r="S2383" s="9">
        <f>IF(R2383="",AVERAGEIF(Table1[Category],Table1[[#This Row],[Category]],Table2[orignal data]),Table2[[#This Row],[orignal data]])</f>
        <v>659.44999999999993</v>
      </c>
      <c r="T2383" t="str">
        <f t="shared" si="150"/>
        <v>UNIQUE</v>
      </c>
      <c r="U2383" t="str">
        <f>IF(ISBLANK(Table1[[#This Row],[SizeOption]]),"NOT AVAILABLE",Table1[[#This Row],[SizeOption]])</f>
        <v>XS, S, M, L, XL</v>
      </c>
      <c r="Y2383" t="str">
        <f>IF(Table2[[#This Row],[Column1]]&gt;50%,"HIGH DISCOUNT","LOW DISCOUNT")</f>
        <v>LOW DISCOUNT</v>
      </c>
    </row>
    <row r="2384" spans="1:25" x14ac:dyDescent="0.25">
      <c r="A2384" s="1" t="s">
        <v>5062</v>
      </c>
      <c r="B2384" s="1">
        <v>11991064</v>
      </c>
      <c r="C2384" s="1" t="s">
        <v>14</v>
      </c>
      <c r="D2384" s="1" t="s">
        <v>41</v>
      </c>
      <c r="E2384" s="1" t="s">
        <v>306</v>
      </c>
      <c r="F2384" s="1" t="s">
        <v>36</v>
      </c>
      <c r="G2384" s="1" t="s">
        <v>5063</v>
      </c>
      <c r="I2384" s="1">
        <v>1199</v>
      </c>
      <c r="J2384" s="1" t="s">
        <v>1986</v>
      </c>
      <c r="K2384" s="1" t="s">
        <v>115</v>
      </c>
      <c r="L2384" s="1">
        <v>4.4000000000000004</v>
      </c>
      <c r="M2384" s="1">
        <v>659</v>
      </c>
      <c r="P2384" t="str">
        <f t="shared" si="151"/>
        <v>60 %</v>
      </c>
      <c r="Q2384" s="12">
        <f t="shared" si="148"/>
        <v>0.6</v>
      </c>
      <c r="R2384" s="9">
        <f t="shared" si="149"/>
        <v>479.6</v>
      </c>
      <c r="S2384" s="9">
        <f>IF(R2384="",AVERAGEIF(Table1[Category],Table1[[#This Row],[Category]],Table2[orignal data]),Table2[[#This Row],[orignal data]])</f>
        <v>479.6</v>
      </c>
      <c r="T2384" t="str">
        <f t="shared" si="150"/>
        <v>UNIQUE</v>
      </c>
      <c r="U2384" t="str">
        <f>IF(ISBLANK(Table1[[#This Row],[SizeOption]]),"NOT AVAILABLE",Table1[[#This Row],[SizeOption]])</f>
        <v>XS, S, M, L, XL, XXL</v>
      </c>
      <c r="Y2384" t="str">
        <f>IF(Table2[[#This Row],[Column1]]&gt;50%,"HIGH DISCOUNT","LOW DISCOUNT")</f>
        <v>HIGH DISCOUNT</v>
      </c>
    </row>
    <row r="2385" spans="1:25" x14ac:dyDescent="0.25">
      <c r="A2385" s="2" t="s">
        <v>5064</v>
      </c>
      <c r="B2385" s="2">
        <v>13709560</v>
      </c>
      <c r="C2385" s="2" t="s">
        <v>81</v>
      </c>
      <c r="D2385" s="2" t="s">
        <v>41</v>
      </c>
      <c r="E2385" s="2" t="s">
        <v>48</v>
      </c>
      <c r="F2385" s="2" t="s">
        <v>36</v>
      </c>
      <c r="G2385" s="2" t="s">
        <v>5065</v>
      </c>
      <c r="I2385" s="2">
        <v>1499</v>
      </c>
      <c r="J2385" s="2" t="s">
        <v>84</v>
      </c>
      <c r="K2385" s="2" t="s">
        <v>115</v>
      </c>
      <c r="L2385" s="2">
        <v>4.3</v>
      </c>
      <c r="M2385" s="2">
        <v>659</v>
      </c>
      <c r="P2385" t="str">
        <f t="shared" si="151"/>
        <v>50%</v>
      </c>
      <c r="Q2385" s="12">
        <f t="shared" si="148"/>
        <v>0.5</v>
      </c>
      <c r="R2385" s="9">
        <f t="shared" si="149"/>
        <v>749.5</v>
      </c>
      <c r="S2385" s="9">
        <f>IF(R2385="",AVERAGEIF(Table1[Category],Table1[[#This Row],[Category]],Table2[orignal data]),Table2[[#This Row],[orignal data]])</f>
        <v>749.5</v>
      </c>
      <c r="T2385" t="str">
        <f t="shared" si="150"/>
        <v>UNIQUE</v>
      </c>
      <c r="U2385" t="str">
        <f>IF(ISBLANK(Table1[[#This Row],[SizeOption]]),"NOT AVAILABLE",Table1[[#This Row],[SizeOption]])</f>
        <v>XS, S, M, L, XL, XXL</v>
      </c>
      <c r="Y2385" t="str">
        <f>IF(Table2[[#This Row],[Column1]]&gt;50%,"HIGH DISCOUNT","LOW DISCOUNT")</f>
        <v>LOW DISCOUNT</v>
      </c>
    </row>
    <row r="2386" spans="1:25" x14ac:dyDescent="0.25">
      <c r="A2386" s="1" t="s">
        <v>5066</v>
      </c>
      <c r="B2386" s="1">
        <v>10365283</v>
      </c>
      <c r="C2386" s="1" t="s">
        <v>14</v>
      </c>
      <c r="D2386" s="1" t="s">
        <v>41</v>
      </c>
      <c r="E2386" s="1" t="s">
        <v>579</v>
      </c>
      <c r="F2386" s="1" t="s">
        <v>36</v>
      </c>
      <c r="G2386" s="1" t="s">
        <v>4148</v>
      </c>
      <c r="I2386" s="1">
        <v>1599</v>
      </c>
      <c r="J2386" s="1" t="s">
        <v>55</v>
      </c>
      <c r="K2386" s="1" t="s">
        <v>134</v>
      </c>
      <c r="L2386" s="1">
        <v>4.0999999999999996</v>
      </c>
      <c r="M2386" s="1">
        <v>659</v>
      </c>
      <c r="P2386" t="str">
        <f t="shared" si="151"/>
        <v>60%</v>
      </c>
      <c r="Q2386" s="12">
        <f t="shared" si="148"/>
        <v>0.6</v>
      </c>
      <c r="R2386" s="9">
        <f t="shared" si="149"/>
        <v>639.6</v>
      </c>
      <c r="S2386" s="9">
        <f>IF(R2386="",AVERAGEIF(Table1[Category],Table1[[#This Row],[Category]],Table2[orignal data]),Table2[[#This Row],[orignal data]])</f>
        <v>639.6</v>
      </c>
      <c r="T2386" t="str">
        <f t="shared" si="150"/>
        <v>UNIQUE</v>
      </c>
      <c r="U2386" t="str">
        <f>IF(ISBLANK(Table1[[#This Row],[SizeOption]]),"NOT AVAILABLE",Table1[[#This Row],[SizeOption]])</f>
        <v>26, 28, 30, 32, 34, 36</v>
      </c>
      <c r="Y2386" t="str">
        <f>IF(Table2[[#This Row],[Column1]]&gt;50%,"HIGH DISCOUNT","LOW DISCOUNT")</f>
        <v>HIGH DISCOUNT</v>
      </c>
    </row>
    <row r="2387" spans="1:25" x14ac:dyDescent="0.25">
      <c r="A2387" s="2" t="s">
        <v>5067</v>
      </c>
      <c r="B2387" s="2">
        <v>12030922</v>
      </c>
      <c r="C2387" s="2" t="s">
        <v>1045</v>
      </c>
      <c r="D2387" s="2" t="s">
        <v>41</v>
      </c>
      <c r="E2387" s="2" t="s">
        <v>592</v>
      </c>
      <c r="F2387" s="2" t="s">
        <v>36</v>
      </c>
      <c r="G2387" s="2" t="s">
        <v>2136</v>
      </c>
      <c r="I2387" s="2">
        <v>1699</v>
      </c>
      <c r="J2387" s="2" t="s">
        <v>403</v>
      </c>
      <c r="K2387" s="2" t="s">
        <v>39</v>
      </c>
      <c r="L2387" s="2">
        <v>4.2</v>
      </c>
      <c r="M2387" s="2">
        <v>659</v>
      </c>
      <c r="P2387" t="str">
        <f t="shared" si="151"/>
        <v>66%</v>
      </c>
      <c r="Q2387" s="12">
        <f t="shared" si="148"/>
        <v>0.66</v>
      </c>
      <c r="R2387" s="9">
        <f t="shared" si="149"/>
        <v>577.65999999999985</v>
      </c>
      <c r="S2387" s="9">
        <f>IF(R2387="",AVERAGEIF(Table1[Category],Table1[[#This Row],[Category]],Table2[orignal data]),Table2[[#This Row],[orignal data]])</f>
        <v>577.65999999999985</v>
      </c>
      <c r="T2387" t="str">
        <f t="shared" si="150"/>
        <v>UNIQUE</v>
      </c>
      <c r="U2387" t="str">
        <f>IF(ISBLANK(Table1[[#This Row],[SizeOption]]),"NOT AVAILABLE",Table1[[#This Row],[SizeOption]])</f>
        <v>S, M, L, XL, XXL</v>
      </c>
      <c r="Y2387" t="str">
        <f>IF(Table2[[#This Row],[Column1]]&gt;50%,"HIGH DISCOUNT","LOW DISCOUNT")</f>
        <v>HIGH DISCOUNT</v>
      </c>
    </row>
    <row r="2388" spans="1:25" x14ac:dyDescent="0.25">
      <c r="A2388" s="1" t="s">
        <v>5068</v>
      </c>
      <c r="B2388" s="1">
        <v>17381886</v>
      </c>
      <c r="C2388" s="1" t="s">
        <v>14</v>
      </c>
      <c r="D2388" s="1" t="s">
        <v>41</v>
      </c>
      <c r="E2388" s="1" t="s">
        <v>42</v>
      </c>
      <c r="F2388" s="1" t="s">
        <v>36</v>
      </c>
      <c r="G2388" s="1" t="s">
        <v>3203</v>
      </c>
      <c r="I2388" s="1">
        <v>1598</v>
      </c>
      <c r="J2388" s="1"/>
      <c r="K2388" s="1" t="s">
        <v>45</v>
      </c>
      <c r="L2388" s="1">
        <v>4.3</v>
      </c>
      <c r="M2388" s="1">
        <v>659</v>
      </c>
      <c r="P2388" t="str">
        <f t="shared" si="151"/>
        <v/>
      </c>
      <c r="Q2388" s="12" t="str">
        <f t="shared" si="148"/>
        <v/>
      </c>
      <c r="R2388" s="9" t="str">
        <f t="shared" si="149"/>
        <v/>
      </c>
      <c r="S2388" s="9">
        <f>IF(R2388="",AVERAGEIF(Table1[Category],Table1[[#This Row],[Category]],Table2[orignal data]),Table2[[#This Row],[orignal data]])</f>
        <v>715.78890751086249</v>
      </c>
      <c r="T2388" t="str">
        <f t="shared" si="150"/>
        <v>UNIQUE</v>
      </c>
      <c r="U2388" t="str">
        <f>IF(ISBLANK(Table1[[#This Row],[SizeOption]]),"NOT AVAILABLE",Table1[[#This Row],[SizeOption]])</f>
        <v>XS, S, M, L, XL</v>
      </c>
      <c r="Y2388" t="str">
        <f>IF(Table2[[#This Row],[Column1]]&gt;50%,"HIGH DISCOUNT","LOW DISCOUNT")</f>
        <v>HIGH DISCOUNT</v>
      </c>
    </row>
    <row r="2389" spans="1:25" x14ac:dyDescent="0.25">
      <c r="A2389" s="2" t="s">
        <v>5069</v>
      </c>
      <c r="B2389" s="2">
        <v>2338202</v>
      </c>
      <c r="C2389" s="2" t="s">
        <v>169</v>
      </c>
      <c r="D2389" s="2" t="s">
        <v>15</v>
      </c>
      <c r="E2389" s="2" t="s">
        <v>16</v>
      </c>
      <c r="F2389" s="2" t="s">
        <v>17</v>
      </c>
      <c r="G2389" s="2" t="s">
        <v>263</v>
      </c>
      <c r="H2389">
        <v>1539</v>
      </c>
      <c r="I2389" s="2">
        <v>2799</v>
      </c>
      <c r="J2389" s="2" t="s">
        <v>19</v>
      </c>
      <c r="K2389" s="2" t="s">
        <v>171</v>
      </c>
      <c r="L2389" s="2">
        <v>3.8</v>
      </c>
      <c r="M2389" s="2">
        <v>658</v>
      </c>
      <c r="P2389" t="str">
        <f t="shared" si="151"/>
        <v>45%</v>
      </c>
      <c r="Q2389" s="12">
        <f t="shared" si="148"/>
        <v>0.45</v>
      </c>
      <c r="R2389" s="9">
        <f t="shared" si="149"/>
        <v>1539.45</v>
      </c>
      <c r="S2389" s="9">
        <f>IF(R2389="",AVERAGEIF(Table1[Category],Table1[[#This Row],[Category]],Table2[orignal data]),Table2[[#This Row],[orignal data]])</f>
        <v>1539.45</v>
      </c>
      <c r="T2389" t="str">
        <f t="shared" si="150"/>
        <v>UNIQUE</v>
      </c>
      <c r="U2389" t="str">
        <f>IF(ISBLANK(Table1[[#This Row],[SizeOption]]),"NOT AVAILABLE",Table1[[#This Row],[SizeOption]])</f>
        <v>28, 30, 32, 34, 36, 38</v>
      </c>
      <c r="Y2389" t="str">
        <f>IF(Table2[[#This Row],[Column1]]&gt;50%,"HIGH DISCOUNT","LOW DISCOUNT")</f>
        <v>LOW DISCOUNT</v>
      </c>
    </row>
    <row r="2390" spans="1:25" x14ac:dyDescent="0.25">
      <c r="A2390" s="1" t="s">
        <v>5070</v>
      </c>
      <c r="B2390" s="1">
        <v>10922590</v>
      </c>
      <c r="C2390" s="1" t="s">
        <v>64</v>
      </c>
      <c r="D2390" s="1" t="s">
        <v>15</v>
      </c>
      <c r="E2390" s="1" t="s">
        <v>23</v>
      </c>
      <c r="F2390" s="1" t="s">
        <v>17</v>
      </c>
      <c r="G2390" s="1" t="s">
        <v>5071</v>
      </c>
      <c r="H2390">
        <v>594</v>
      </c>
      <c r="I2390" s="1">
        <v>1699</v>
      </c>
      <c r="J2390" s="1" t="s">
        <v>150</v>
      </c>
      <c r="K2390" s="1" t="s">
        <v>26</v>
      </c>
      <c r="L2390" s="1">
        <v>4</v>
      </c>
      <c r="M2390" s="1">
        <v>658</v>
      </c>
      <c r="P2390" t="str">
        <f t="shared" si="151"/>
        <v>65%</v>
      </c>
      <c r="Q2390" s="12">
        <f t="shared" si="148"/>
        <v>0.65</v>
      </c>
      <c r="R2390" s="9">
        <f t="shared" si="149"/>
        <v>594.64999999999986</v>
      </c>
      <c r="S2390" s="9">
        <f>IF(R2390="",AVERAGEIF(Table1[Category],Table1[[#This Row],[Category]],Table2[orignal data]),Table2[[#This Row],[orignal data]])</f>
        <v>594.64999999999986</v>
      </c>
      <c r="T2390" t="str">
        <f t="shared" si="150"/>
        <v>UNIQUE</v>
      </c>
      <c r="U2390" t="str">
        <f>IF(ISBLANK(Table1[[#This Row],[SizeOption]]),"NOT AVAILABLE",Table1[[#This Row],[SizeOption]])</f>
        <v>S, M, L, XL</v>
      </c>
      <c r="Y2390" t="str">
        <f>IF(Table2[[#This Row],[Column1]]&gt;50%,"HIGH DISCOUNT","LOW DISCOUNT")</f>
        <v>HIGH DISCOUNT</v>
      </c>
    </row>
    <row r="2391" spans="1:25" x14ac:dyDescent="0.25">
      <c r="A2391" s="2" t="s">
        <v>5072</v>
      </c>
      <c r="B2391" s="2">
        <v>14227648</v>
      </c>
      <c r="C2391" s="2" t="s">
        <v>22</v>
      </c>
      <c r="D2391" s="2" t="s">
        <v>28</v>
      </c>
      <c r="E2391" s="2" t="s">
        <v>29</v>
      </c>
      <c r="F2391" s="2" t="s">
        <v>17</v>
      </c>
      <c r="G2391" s="2" t="s">
        <v>5073</v>
      </c>
      <c r="H2391">
        <v>480</v>
      </c>
      <c r="I2391" s="2">
        <v>1299</v>
      </c>
      <c r="J2391" s="2" t="s">
        <v>476</v>
      </c>
      <c r="K2391" s="2" t="s">
        <v>90</v>
      </c>
      <c r="L2391" s="2">
        <v>4.4000000000000004</v>
      </c>
      <c r="M2391" s="2">
        <v>658</v>
      </c>
      <c r="P2391" t="str">
        <f t="shared" si="151"/>
        <v>63%</v>
      </c>
      <c r="Q2391" s="12">
        <f t="shared" si="148"/>
        <v>0.63</v>
      </c>
      <c r="R2391" s="9">
        <f t="shared" si="149"/>
        <v>480.63</v>
      </c>
      <c r="S2391" s="9">
        <f>IF(R2391="",AVERAGEIF(Table1[Category],Table1[[#This Row],[Category]],Table2[orignal data]),Table2[[#This Row],[orignal data]])</f>
        <v>480.63</v>
      </c>
      <c r="T2391" t="str">
        <f t="shared" si="150"/>
        <v>UNIQUE</v>
      </c>
      <c r="U2391" t="str">
        <f>IF(ISBLANK(Table1[[#This Row],[SizeOption]]),"NOT AVAILABLE",Table1[[#This Row],[SizeOption]])</f>
        <v>39, 40, 42, 44</v>
      </c>
      <c r="Y2391" t="str">
        <f>IF(Table2[[#This Row],[Column1]]&gt;50%,"HIGH DISCOUNT","LOW DISCOUNT")</f>
        <v>HIGH DISCOUNT</v>
      </c>
    </row>
    <row r="2392" spans="1:25" x14ac:dyDescent="0.25">
      <c r="A2392" s="1" t="s">
        <v>5074</v>
      </c>
      <c r="B2392" s="1">
        <v>14172602</v>
      </c>
      <c r="C2392" s="1" t="s">
        <v>64</v>
      </c>
      <c r="D2392" s="1" t="s">
        <v>76</v>
      </c>
      <c r="E2392" s="1" t="s">
        <v>93</v>
      </c>
      <c r="F2392" s="1" t="s">
        <v>36</v>
      </c>
      <c r="G2392" s="1" t="s">
        <v>5075</v>
      </c>
      <c r="H2392">
        <v>879</v>
      </c>
      <c r="I2392" s="1">
        <v>1599</v>
      </c>
      <c r="J2392" s="1" t="s">
        <v>19</v>
      </c>
      <c r="K2392" s="1" t="s">
        <v>100</v>
      </c>
      <c r="L2392" s="1">
        <v>4.0999999999999996</v>
      </c>
      <c r="M2392" s="1">
        <v>658</v>
      </c>
      <c r="P2392" t="str">
        <f t="shared" si="151"/>
        <v>45%</v>
      </c>
      <c r="Q2392" s="12">
        <f t="shared" si="148"/>
        <v>0.45</v>
      </c>
      <c r="R2392" s="9">
        <f t="shared" si="149"/>
        <v>879.44999999999993</v>
      </c>
      <c r="S2392" s="9">
        <f>IF(R2392="",AVERAGEIF(Table1[Category],Table1[[#This Row],[Category]],Table2[orignal data]),Table2[[#This Row],[orignal data]])</f>
        <v>879.44999999999993</v>
      </c>
      <c r="T2392" t="str">
        <f t="shared" si="150"/>
        <v>UNIQUE</v>
      </c>
      <c r="U2392" t="str">
        <f>IF(ISBLANK(Table1[[#This Row],[SizeOption]]),"NOT AVAILABLE",Table1[[#This Row],[SizeOption]])</f>
        <v>XS, S, M, L, XL, XXL, 3XL</v>
      </c>
      <c r="Y2392" t="str">
        <f>IF(Table2[[#This Row],[Column1]]&gt;50%,"HIGH DISCOUNT","LOW DISCOUNT")</f>
        <v>LOW DISCOUNT</v>
      </c>
    </row>
    <row r="2393" spans="1:25" x14ac:dyDescent="0.25">
      <c r="A2393" s="2" t="s">
        <v>5076</v>
      </c>
      <c r="B2393" s="2">
        <v>10779794</v>
      </c>
      <c r="C2393" s="2" t="s">
        <v>3510</v>
      </c>
      <c r="D2393" s="2" t="s">
        <v>34</v>
      </c>
      <c r="E2393" s="2" t="s">
        <v>296</v>
      </c>
      <c r="F2393" s="2" t="s">
        <v>36</v>
      </c>
      <c r="G2393" s="2" t="s">
        <v>5077</v>
      </c>
      <c r="I2393" s="2">
        <v>579</v>
      </c>
      <c r="J2393" s="2"/>
      <c r="K2393" s="2" t="s">
        <v>352</v>
      </c>
      <c r="L2393" s="2">
        <v>4.5</v>
      </c>
      <c r="M2393" s="2">
        <v>658</v>
      </c>
      <c r="P2393" t="str">
        <f t="shared" si="151"/>
        <v/>
      </c>
      <c r="Q2393" s="12" t="str">
        <f t="shared" si="148"/>
        <v/>
      </c>
      <c r="R2393" s="9" t="str">
        <f t="shared" si="149"/>
        <v/>
      </c>
      <c r="S2393" s="9">
        <f>IF(R2393="",AVERAGEIF(Table1[Category],Table1[[#This Row],[Category]],Table2[orignal data]),Table2[[#This Row],[orignal data]])</f>
        <v>608.88518518518481</v>
      </c>
      <c r="T2393" t="str">
        <f t="shared" si="150"/>
        <v>UNIQUE</v>
      </c>
      <c r="U2393" t="str">
        <f>IF(ISBLANK(Table1[[#This Row],[SizeOption]]),"NOT AVAILABLE",Table1[[#This Row],[SizeOption]])</f>
        <v>S, M, L</v>
      </c>
      <c r="Y2393" t="str">
        <f>IF(Table2[[#This Row],[Column1]]&gt;50%,"HIGH DISCOUNT","LOW DISCOUNT")</f>
        <v>HIGH DISCOUNT</v>
      </c>
    </row>
    <row r="2394" spans="1:25" x14ac:dyDescent="0.25">
      <c r="A2394" s="1" t="s">
        <v>5078</v>
      </c>
      <c r="B2394" s="1">
        <v>12866312</v>
      </c>
      <c r="C2394" s="1" t="s">
        <v>97</v>
      </c>
      <c r="D2394" s="1" t="s">
        <v>98</v>
      </c>
      <c r="E2394" s="1" t="s">
        <v>77</v>
      </c>
      <c r="F2394" s="1" t="s">
        <v>36</v>
      </c>
      <c r="G2394" s="1" t="s">
        <v>5079</v>
      </c>
      <c r="H2394">
        <v>839</v>
      </c>
      <c r="I2394" s="1">
        <v>2399</v>
      </c>
      <c r="J2394" s="1" t="s">
        <v>150</v>
      </c>
      <c r="K2394" s="1" t="s">
        <v>100</v>
      </c>
      <c r="L2394" s="1">
        <v>4.0999999999999996</v>
      </c>
      <c r="M2394" s="1">
        <v>658</v>
      </c>
      <c r="P2394" t="str">
        <f t="shared" si="151"/>
        <v>65%</v>
      </c>
      <c r="Q2394" s="12">
        <f t="shared" si="148"/>
        <v>0.65</v>
      </c>
      <c r="R2394" s="9">
        <f t="shared" si="149"/>
        <v>839.64999999999986</v>
      </c>
      <c r="S2394" s="9">
        <f>IF(R2394="",AVERAGEIF(Table1[Category],Table1[[#This Row],[Category]],Table2[orignal data]),Table2[[#This Row],[orignal data]])</f>
        <v>839.64999999999986</v>
      </c>
      <c r="T2394" t="str">
        <f t="shared" si="150"/>
        <v>UNIQUE</v>
      </c>
      <c r="U2394" t="str">
        <f>IF(ISBLANK(Table1[[#This Row],[SizeOption]]),"NOT AVAILABLE",Table1[[#This Row],[SizeOption]])</f>
        <v>XS, S, M, L, XL, XXL, 3XL</v>
      </c>
      <c r="Y2394" t="str">
        <f>IF(Table2[[#This Row],[Column1]]&gt;50%,"HIGH DISCOUNT","LOW DISCOUNT")</f>
        <v>HIGH DISCOUNT</v>
      </c>
    </row>
    <row r="2395" spans="1:25" x14ac:dyDescent="0.25">
      <c r="A2395" s="2" t="s">
        <v>5080</v>
      </c>
      <c r="B2395" s="2">
        <v>10106003</v>
      </c>
      <c r="C2395" s="2" t="s">
        <v>67</v>
      </c>
      <c r="D2395" s="2" t="s">
        <v>68</v>
      </c>
      <c r="E2395" s="2" t="s">
        <v>69</v>
      </c>
      <c r="F2395" s="2" t="s">
        <v>36</v>
      </c>
      <c r="G2395" s="2" t="s">
        <v>5081</v>
      </c>
      <c r="H2395">
        <v>714</v>
      </c>
      <c r="I2395" s="2">
        <v>1299</v>
      </c>
      <c r="J2395" s="2" t="s">
        <v>19</v>
      </c>
      <c r="K2395" s="2" t="s">
        <v>115</v>
      </c>
      <c r="L2395" s="2">
        <v>4</v>
      </c>
      <c r="M2395" s="2">
        <v>658</v>
      </c>
      <c r="P2395" t="str">
        <f t="shared" si="151"/>
        <v>45%</v>
      </c>
      <c r="Q2395" s="12">
        <f t="shared" si="148"/>
        <v>0.45</v>
      </c>
      <c r="R2395" s="9">
        <f t="shared" si="149"/>
        <v>714.44999999999993</v>
      </c>
      <c r="S2395" s="9">
        <f>IF(R2395="",AVERAGEIF(Table1[Category],Table1[[#This Row],[Category]],Table2[orignal data]),Table2[[#This Row],[orignal data]])</f>
        <v>714.44999999999993</v>
      </c>
      <c r="T2395" t="str">
        <f t="shared" si="150"/>
        <v>UNIQUE</v>
      </c>
      <c r="U2395" t="str">
        <f>IF(ISBLANK(Table1[[#This Row],[SizeOption]]),"NOT AVAILABLE",Table1[[#This Row],[SizeOption]])</f>
        <v>XS, S, M, L, XL, XXL</v>
      </c>
      <c r="Y2395" t="str">
        <f>IF(Table2[[#This Row],[Column1]]&gt;50%,"HIGH DISCOUNT","LOW DISCOUNT")</f>
        <v>LOW DISCOUNT</v>
      </c>
    </row>
    <row r="2396" spans="1:25" x14ac:dyDescent="0.25">
      <c r="A2396" s="1" t="s">
        <v>5082</v>
      </c>
      <c r="B2396" s="1">
        <v>17382902</v>
      </c>
      <c r="C2396" s="1" t="s">
        <v>14</v>
      </c>
      <c r="D2396" s="1" t="s">
        <v>41</v>
      </c>
      <c r="E2396" s="1" t="s">
        <v>42</v>
      </c>
      <c r="F2396" s="1" t="s">
        <v>36</v>
      </c>
      <c r="G2396" s="1" t="s">
        <v>5083</v>
      </c>
      <c r="I2396" s="1">
        <v>1598</v>
      </c>
      <c r="J2396" s="1" t="s">
        <v>84</v>
      </c>
      <c r="K2396" s="1" t="s">
        <v>146</v>
      </c>
      <c r="L2396" s="1">
        <v>4.3</v>
      </c>
      <c r="M2396" s="1">
        <v>658</v>
      </c>
      <c r="P2396" t="str">
        <f t="shared" si="151"/>
        <v>50%</v>
      </c>
      <c r="Q2396" s="12">
        <f t="shared" si="148"/>
        <v>0.5</v>
      </c>
      <c r="R2396" s="9">
        <f t="shared" si="149"/>
        <v>799</v>
      </c>
      <c r="S2396" s="9">
        <f>IF(R2396="",AVERAGEIF(Table1[Category],Table1[[#This Row],[Category]],Table2[orignal data]),Table2[[#This Row],[orignal data]])</f>
        <v>799</v>
      </c>
      <c r="T2396" t="str">
        <f t="shared" si="150"/>
        <v>UNIQUE</v>
      </c>
      <c r="U2396" t="str">
        <f>IF(ISBLANK(Table1[[#This Row],[SizeOption]]),"NOT AVAILABLE",Table1[[#This Row],[SizeOption]])</f>
        <v>L, M, S, XS, XL</v>
      </c>
      <c r="Y2396" t="str">
        <f>IF(Table2[[#This Row],[Column1]]&gt;50%,"HIGH DISCOUNT","LOW DISCOUNT")</f>
        <v>LOW DISCOUNT</v>
      </c>
    </row>
    <row r="2397" spans="1:25" x14ac:dyDescent="0.25">
      <c r="A2397" s="2" t="s">
        <v>5084</v>
      </c>
      <c r="B2397" s="2">
        <v>10968570</v>
      </c>
      <c r="C2397" s="2" t="s">
        <v>14</v>
      </c>
      <c r="D2397" s="2" t="s">
        <v>41</v>
      </c>
      <c r="E2397" s="2" t="s">
        <v>42</v>
      </c>
      <c r="F2397" s="2" t="s">
        <v>36</v>
      </c>
      <c r="G2397" s="2" t="s">
        <v>5085</v>
      </c>
      <c r="I2397" s="2">
        <v>699</v>
      </c>
      <c r="J2397" s="2" t="s">
        <v>84</v>
      </c>
      <c r="K2397" s="2" t="s">
        <v>45</v>
      </c>
      <c r="L2397" s="2">
        <v>4</v>
      </c>
      <c r="M2397" s="2">
        <v>658</v>
      </c>
      <c r="P2397" t="str">
        <f t="shared" si="151"/>
        <v>50%</v>
      </c>
      <c r="Q2397" s="12">
        <f t="shared" si="148"/>
        <v>0.5</v>
      </c>
      <c r="R2397" s="9">
        <f t="shared" si="149"/>
        <v>349.5</v>
      </c>
      <c r="S2397" s="9">
        <f>IF(R2397="",AVERAGEIF(Table1[Category],Table1[[#This Row],[Category]],Table2[orignal data]),Table2[[#This Row],[orignal data]])</f>
        <v>349.5</v>
      </c>
      <c r="T2397" t="str">
        <f t="shared" si="150"/>
        <v>UNIQUE</v>
      </c>
      <c r="U2397" t="str">
        <f>IF(ISBLANK(Table1[[#This Row],[SizeOption]]),"NOT AVAILABLE",Table1[[#This Row],[SizeOption]])</f>
        <v>XS, S, M, L, XL</v>
      </c>
      <c r="Y2397" t="str">
        <f>IF(Table2[[#This Row],[Column1]]&gt;50%,"HIGH DISCOUNT","LOW DISCOUNT")</f>
        <v>LOW DISCOUNT</v>
      </c>
    </row>
    <row r="2398" spans="1:25" x14ac:dyDescent="0.25">
      <c r="A2398" s="1" t="s">
        <v>5086</v>
      </c>
      <c r="B2398" s="1">
        <v>14062986</v>
      </c>
      <c r="C2398" s="1" t="s">
        <v>102</v>
      </c>
      <c r="D2398" s="1" t="s">
        <v>41</v>
      </c>
      <c r="E2398" s="1" t="s">
        <v>23</v>
      </c>
      <c r="F2398" s="1" t="s">
        <v>36</v>
      </c>
      <c r="G2398" s="1" t="s">
        <v>2433</v>
      </c>
      <c r="I2398" s="1">
        <v>999</v>
      </c>
      <c r="J2398" s="1" t="s">
        <v>167</v>
      </c>
      <c r="K2398" s="1" t="s">
        <v>26</v>
      </c>
      <c r="L2398" s="1">
        <v>3.8</v>
      </c>
      <c r="M2398" s="1">
        <v>658</v>
      </c>
      <c r="P2398" t="str">
        <f t="shared" si="151"/>
        <v>49%</v>
      </c>
      <c r="Q2398" s="12">
        <f t="shared" si="148"/>
        <v>0.49</v>
      </c>
      <c r="R2398" s="9">
        <f t="shared" si="149"/>
        <v>509.49</v>
      </c>
      <c r="S2398" s="9">
        <f>IF(R2398="",AVERAGEIF(Table1[Category],Table1[[#This Row],[Category]],Table2[orignal data]),Table2[[#This Row],[orignal data]])</f>
        <v>509.49</v>
      </c>
      <c r="T2398" t="str">
        <f t="shared" si="150"/>
        <v>UNIQUE</v>
      </c>
      <c r="U2398" t="str">
        <f>IF(ISBLANK(Table1[[#This Row],[SizeOption]]),"NOT AVAILABLE",Table1[[#This Row],[SizeOption]])</f>
        <v>S, M, L, XL</v>
      </c>
      <c r="Y2398" t="str">
        <f>IF(Table2[[#This Row],[Column1]]&gt;50%,"HIGH DISCOUNT","LOW DISCOUNT")</f>
        <v>LOW DISCOUNT</v>
      </c>
    </row>
    <row r="2399" spans="1:25" x14ac:dyDescent="0.25">
      <c r="A2399" s="2" t="s">
        <v>5087</v>
      </c>
      <c r="B2399" s="2">
        <v>9822965</v>
      </c>
      <c r="C2399" s="2" t="s">
        <v>92</v>
      </c>
      <c r="D2399" s="2" t="s">
        <v>76</v>
      </c>
      <c r="E2399" s="2" t="s">
        <v>93</v>
      </c>
      <c r="F2399" s="2" t="s">
        <v>36</v>
      </c>
      <c r="G2399" s="2" t="s">
        <v>5088</v>
      </c>
      <c r="H2399">
        <v>647</v>
      </c>
      <c r="I2399" s="2">
        <v>1849</v>
      </c>
      <c r="J2399" s="2" t="s">
        <v>150</v>
      </c>
      <c r="K2399" s="2" t="s">
        <v>39</v>
      </c>
      <c r="L2399" s="2">
        <v>4.2</v>
      </c>
      <c r="M2399" s="2">
        <v>657</v>
      </c>
      <c r="P2399" t="str">
        <f t="shared" si="151"/>
        <v>65%</v>
      </c>
      <c r="Q2399" s="12">
        <f t="shared" si="148"/>
        <v>0.65</v>
      </c>
      <c r="R2399" s="9">
        <f t="shared" si="149"/>
        <v>647.14999999999986</v>
      </c>
      <c r="S2399" s="9">
        <f>IF(R2399="",AVERAGEIF(Table1[Category],Table1[[#This Row],[Category]],Table2[orignal data]),Table2[[#This Row],[orignal data]])</f>
        <v>647.14999999999986</v>
      </c>
      <c r="T2399" t="str">
        <f t="shared" si="150"/>
        <v>UNIQUE</v>
      </c>
      <c r="U2399" t="str">
        <f>IF(ISBLANK(Table1[[#This Row],[SizeOption]]),"NOT AVAILABLE",Table1[[#This Row],[SizeOption]])</f>
        <v>S, M, L, XL, XXL</v>
      </c>
      <c r="Y2399" t="str">
        <f>IF(Table2[[#This Row],[Column1]]&gt;50%,"HIGH DISCOUNT","LOW DISCOUNT")</f>
        <v>HIGH DISCOUNT</v>
      </c>
    </row>
    <row r="2400" spans="1:25" x14ac:dyDescent="0.25">
      <c r="A2400" s="1" t="s">
        <v>5089</v>
      </c>
      <c r="B2400" s="1">
        <v>9745885</v>
      </c>
      <c r="C2400" s="1" t="s">
        <v>924</v>
      </c>
      <c r="D2400" s="1" t="s">
        <v>76</v>
      </c>
      <c r="E2400" s="1" t="s">
        <v>93</v>
      </c>
      <c r="F2400" s="1" t="s">
        <v>36</v>
      </c>
      <c r="G2400" s="1" t="s">
        <v>5090</v>
      </c>
      <c r="H2400">
        <v>4999</v>
      </c>
      <c r="I2400" s="1">
        <v>9999</v>
      </c>
      <c r="J2400" s="1" t="s">
        <v>84</v>
      </c>
      <c r="K2400" s="1" t="s">
        <v>115</v>
      </c>
      <c r="L2400" s="1">
        <v>4</v>
      </c>
      <c r="M2400" s="1">
        <v>657</v>
      </c>
      <c r="P2400" t="str">
        <f t="shared" si="151"/>
        <v>50%</v>
      </c>
      <c r="Q2400" s="12">
        <f t="shared" si="148"/>
        <v>0.5</v>
      </c>
      <c r="R2400" s="9">
        <f t="shared" si="149"/>
        <v>4999.5</v>
      </c>
      <c r="S2400" s="9">
        <f>IF(R2400="",AVERAGEIF(Table1[Category],Table1[[#This Row],[Category]],Table2[orignal data]),Table2[[#This Row],[orignal data]])</f>
        <v>4999.5</v>
      </c>
      <c r="T2400" t="str">
        <f t="shared" si="150"/>
        <v>UNIQUE</v>
      </c>
      <c r="U2400" t="str">
        <f>IF(ISBLANK(Table1[[#This Row],[SizeOption]]),"NOT AVAILABLE",Table1[[#This Row],[SizeOption]])</f>
        <v>XS, S, M, L, XL, XXL</v>
      </c>
      <c r="Y2400" t="str">
        <f>IF(Table2[[#This Row],[Column1]]&gt;50%,"HIGH DISCOUNT","LOW DISCOUNT")</f>
        <v>LOW DISCOUNT</v>
      </c>
    </row>
    <row r="2401" spans="1:25" x14ac:dyDescent="0.25">
      <c r="A2401" s="2" t="s">
        <v>5091</v>
      </c>
      <c r="B2401" s="2">
        <v>10904742</v>
      </c>
      <c r="C2401" s="2" t="s">
        <v>405</v>
      </c>
      <c r="D2401" s="2" t="s">
        <v>34</v>
      </c>
      <c r="E2401" s="2" t="s">
        <v>406</v>
      </c>
      <c r="F2401" s="2" t="s">
        <v>36</v>
      </c>
      <c r="G2401" s="2" t="s">
        <v>5092</v>
      </c>
      <c r="H2401">
        <v>1039</v>
      </c>
      <c r="I2401" s="2">
        <v>1999</v>
      </c>
      <c r="J2401" s="2" t="s">
        <v>602</v>
      </c>
      <c r="K2401" s="2" t="s">
        <v>26</v>
      </c>
      <c r="L2401" s="2">
        <v>4.0999999999999996</v>
      </c>
      <c r="M2401" s="2">
        <v>657</v>
      </c>
      <c r="P2401" t="str">
        <f t="shared" si="151"/>
        <v>48%</v>
      </c>
      <c r="Q2401" s="12">
        <f t="shared" si="148"/>
        <v>0.48</v>
      </c>
      <c r="R2401" s="9">
        <f t="shared" si="149"/>
        <v>1039.48</v>
      </c>
      <c r="S2401" s="9">
        <f>IF(R2401="",AVERAGEIF(Table1[Category],Table1[[#This Row],[Category]],Table2[orignal data]),Table2[[#This Row],[orignal data]])</f>
        <v>1039.48</v>
      </c>
      <c r="T2401" t="str">
        <f t="shared" si="150"/>
        <v>UNIQUE</v>
      </c>
      <c r="U2401" t="str">
        <f>IF(ISBLANK(Table1[[#This Row],[SizeOption]]),"NOT AVAILABLE",Table1[[#This Row],[SizeOption]])</f>
        <v>S, M, L, XL</v>
      </c>
      <c r="Y2401" t="str">
        <f>IF(Table2[[#This Row],[Column1]]&gt;50%,"HIGH DISCOUNT","LOW DISCOUNT")</f>
        <v>LOW DISCOUNT</v>
      </c>
    </row>
    <row r="2402" spans="1:25" x14ac:dyDescent="0.25">
      <c r="A2402" s="1" t="s">
        <v>5093</v>
      </c>
      <c r="B2402" s="1">
        <v>10504730</v>
      </c>
      <c r="C2402" s="1" t="s">
        <v>58</v>
      </c>
      <c r="D2402" s="1" t="s">
        <v>41</v>
      </c>
      <c r="E2402" s="1" t="s">
        <v>48</v>
      </c>
      <c r="F2402" s="1" t="s">
        <v>36</v>
      </c>
      <c r="G2402" s="1" t="s">
        <v>5094</v>
      </c>
      <c r="I2402" s="1">
        <v>1095</v>
      </c>
      <c r="J2402" s="1" t="s">
        <v>60</v>
      </c>
      <c r="K2402" s="1" t="s">
        <v>26</v>
      </c>
      <c r="L2402" s="1">
        <v>3.6</v>
      </c>
      <c r="M2402" s="1">
        <v>657</v>
      </c>
      <c r="P2402" t="str">
        <f t="shared" si="151"/>
        <v>58%</v>
      </c>
      <c r="Q2402" s="12">
        <f t="shared" si="148"/>
        <v>0.57999999999999996</v>
      </c>
      <c r="R2402" s="9">
        <f t="shared" si="149"/>
        <v>459.90000000000009</v>
      </c>
      <c r="S2402" s="9">
        <f>IF(R2402="",AVERAGEIF(Table1[Category],Table1[[#This Row],[Category]],Table2[orignal data]),Table2[[#This Row],[orignal data]])</f>
        <v>459.90000000000009</v>
      </c>
      <c r="T2402" t="str">
        <f t="shared" si="150"/>
        <v>UNIQUE</v>
      </c>
      <c r="U2402" t="str">
        <f>IF(ISBLANK(Table1[[#This Row],[SizeOption]]),"NOT AVAILABLE",Table1[[#This Row],[SizeOption]])</f>
        <v>S, M, L, XL</v>
      </c>
      <c r="Y2402" t="str">
        <f>IF(Table2[[#This Row],[Column1]]&gt;50%,"HIGH DISCOUNT","LOW DISCOUNT")</f>
        <v>HIGH DISCOUNT</v>
      </c>
    </row>
    <row r="2403" spans="1:25" x14ac:dyDescent="0.25">
      <c r="A2403" s="2" t="s">
        <v>5095</v>
      </c>
      <c r="B2403" s="2">
        <v>10716734</v>
      </c>
      <c r="C2403" s="2" t="s">
        <v>290</v>
      </c>
      <c r="D2403" s="2" t="s">
        <v>41</v>
      </c>
      <c r="E2403" s="2" t="s">
        <v>48</v>
      </c>
      <c r="F2403" s="2" t="s">
        <v>36</v>
      </c>
      <c r="G2403" s="2" t="s">
        <v>5096</v>
      </c>
      <c r="I2403" s="2">
        <v>1499</v>
      </c>
      <c r="J2403" s="2" t="s">
        <v>84</v>
      </c>
      <c r="K2403" s="2" t="s">
        <v>45</v>
      </c>
      <c r="L2403" s="2">
        <v>4.2</v>
      </c>
      <c r="M2403" s="2">
        <v>657</v>
      </c>
      <c r="P2403" t="str">
        <f t="shared" si="151"/>
        <v>50%</v>
      </c>
      <c r="Q2403" s="12">
        <f t="shared" si="148"/>
        <v>0.5</v>
      </c>
      <c r="R2403" s="9">
        <f t="shared" si="149"/>
        <v>749.5</v>
      </c>
      <c r="S2403" s="9">
        <f>IF(R2403="",AVERAGEIF(Table1[Category],Table1[[#This Row],[Category]],Table2[orignal data]),Table2[[#This Row],[orignal data]])</f>
        <v>749.5</v>
      </c>
      <c r="T2403" t="str">
        <f t="shared" si="150"/>
        <v>UNIQUE</v>
      </c>
      <c r="U2403" t="str">
        <f>IF(ISBLANK(Table1[[#This Row],[SizeOption]]),"NOT AVAILABLE",Table1[[#This Row],[SizeOption]])</f>
        <v>XS, S, M, L, XL</v>
      </c>
      <c r="Y2403" t="str">
        <f>IF(Table2[[#This Row],[Column1]]&gt;50%,"HIGH DISCOUNT","LOW DISCOUNT")</f>
        <v>LOW DISCOUNT</v>
      </c>
    </row>
    <row r="2404" spans="1:25" x14ac:dyDescent="0.25">
      <c r="A2404" s="1" t="s">
        <v>5097</v>
      </c>
      <c r="B2404" s="1">
        <v>10671376</v>
      </c>
      <c r="C2404" s="1" t="s">
        <v>107</v>
      </c>
      <c r="D2404" s="1" t="s">
        <v>41</v>
      </c>
      <c r="E2404" s="1" t="s">
        <v>16</v>
      </c>
      <c r="F2404" s="1" t="s">
        <v>36</v>
      </c>
      <c r="G2404" s="1" t="s">
        <v>5098</v>
      </c>
      <c r="I2404" s="1">
        <v>1999</v>
      </c>
      <c r="J2404" s="1" t="s">
        <v>79</v>
      </c>
      <c r="K2404" s="1" t="s">
        <v>134</v>
      </c>
      <c r="L2404" s="1">
        <v>4</v>
      </c>
      <c r="M2404" s="1">
        <v>657</v>
      </c>
      <c r="P2404" t="str">
        <f t="shared" si="151"/>
        <v>70%</v>
      </c>
      <c r="Q2404" s="12">
        <f t="shared" si="148"/>
        <v>0.7</v>
      </c>
      <c r="R2404" s="9">
        <f t="shared" si="149"/>
        <v>599.70000000000005</v>
      </c>
      <c r="S2404" s="9">
        <f>IF(R2404="",AVERAGEIF(Table1[Category],Table1[[#This Row],[Category]],Table2[orignal data]),Table2[[#This Row],[orignal data]])</f>
        <v>599.70000000000005</v>
      </c>
      <c r="T2404" t="str">
        <f t="shared" si="150"/>
        <v>UNIQUE</v>
      </c>
      <c r="U2404" t="str">
        <f>IF(ISBLANK(Table1[[#This Row],[SizeOption]]),"NOT AVAILABLE",Table1[[#This Row],[SizeOption]])</f>
        <v>26, 28, 30, 32, 34, 36</v>
      </c>
      <c r="Y2404" t="str">
        <f>IF(Table2[[#This Row],[Column1]]&gt;50%,"HIGH DISCOUNT","LOW DISCOUNT")</f>
        <v>HIGH DISCOUNT</v>
      </c>
    </row>
    <row r="2405" spans="1:25" x14ac:dyDescent="0.25">
      <c r="A2405" s="2" t="s">
        <v>5099</v>
      </c>
      <c r="B2405" s="2">
        <v>17381516</v>
      </c>
      <c r="C2405" s="2" t="s">
        <v>14</v>
      </c>
      <c r="D2405" s="2" t="s">
        <v>41</v>
      </c>
      <c r="E2405" s="2" t="s">
        <v>42</v>
      </c>
      <c r="F2405" s="2" t="s">
        <v>36</v>
      </c>
      <c r="G2405" s="2" t="s">
        <v>657</v>
      </c>
      <c r="I2405" s="2">
        <v>1098</v>
      </c>
      <c r="J2405" s="2"/>
      <c r="K2405" s="2" t="s">
        <v>45</v>
      </c>
      <c r="L2405" s="2">
        <v>4.3</v>
      </c>
      <c r="M2405" s="2">
        <v>657</v>
      </c>
      <c r="P2405" t="str">
        <f t="shared" si="151"/>
        <v/>
      </c>
      <c r="Q2405" s="12" t="str">
        <f t="shared" si="148"/>
        <v/>
      </c>
      <c r="R2405" s="9" t="str">
        <f t="shared" si="149"/>
        <v/>
      </c>
      <c r="S2405" s="9">
        <f>IF(R2405="",AVERAGEIF(Table1[Category],Table1[[#This Row],[Category]],Table2[orignal data]),Table2[[#This Row],[orignal data]])</f>
        <v>715.78890751086249</v>
      </c>
      <c r="T2405" t="str">
        <f t="shared" si="150"/>
        <v>UNIQUE</v>
      </c>
      <c r="U2405" t="str">
        <f>IF(ISBLANK(Table1[[#This Row],[SizeOption]]),"NOT AVAILABLE",Table1[[#This Row],[SizeOption]])</f>
        <v>XS, S, M, L, XL</v>
      </c>
      <c r="Y2405" t="str">
        <f>IF(Table2[[#This Row],[Column1]]&gt;50%,"HIGH DISCOUNT","LOW DISCOUNT")</f>
        <v>HIGH DISCOUNT</v>
      </c>
    </row>
    <row r="2406" spans="1:25" x14ac:dyDescent="0.25">
      <c r="A2406" s="1" t="s">
        <v>5100</v>
      </c>
      <c r="B2406" s="1">
        <v>7432057</v>
      </c>
      <c r="C2406" s="1" t="s">
        <v>1281</v>
      </c>
      <c r="D2406" s="1" t="s">
        <v>76</v>
      </c>
      <c r="E2406" s="1" t="s">
        <v>93</v>
      </c>
      <c r="F2406" s="1" t="s">
        <v>17</v>
      </c>
      <c r="G2406" s="1" t="s">
        <v>5101</v>
      </c>
      <c r="H2406">
        <v>874</v>
      </c>
      <c r="I2406" s="1">
        <v>2499</v>
      </c>
      <c r="J2406" s="1" t="s">
        <v>150</v>
      </c>
      <c r="K2406" s="1" t="s">
        <v>45</v>
      </c>
      <c r="L2406" s="1">
        <v>3.8</v>
      </c>
      <c r="M2406" s="1">
        <v>656</v>
      </c>
      <c r="P2406" t="str">
        <f t="shared" si="151"/>
        <v>65%</v>
      </c>
      <c r="Q2406" s="12">
        <f t="shared" si="148"/>
        <v>0.65</v>
      </c>
      <c r="R2406" s="9">
        <f t="shared" si="149"/>
        <v>874.64999999999986</v>
      </c>
      <c r="S2406" s="9">
        <f>IF(R2406="",AVERAGEIF(Table1[Category],Table1[[#This Row],[Category]],Table2[orignal data]),Table2[[#This Row],[orignal data]])</f>
        <v>874.64999999999986</v>
      </c>
      <c r="T2406" t="str">
        <f t="shared" si="150"/>
        <v>UNIQUE</v>
      </c>
      <c r="U2406" t="str">
        <f>IF(ISBLANK(Table1[[#This Row],[SizeOption]]),"NOT AVAILABLE",Table1[[#This Row],[SizeOption]])</f>
        <v>XS, S, M, L, XL</v>
      </c>
      <c r="Y2406" t="str">
        <f>IF(Table2[[#This Row],[Column1]]&gt;50%,"HIGH DISCOUNT","LOW DISCOUNT")</f>
        <v>HIGH DISCOUNT</v>
      </c>
    </row>
    <row r="2407" spans="1:25" x14ac:dyDescent="0.25">
      <c r="A2407" s="2" t="s">
        <v>5102</v>
      </c>
      <c r="B2407" s="2">
        <v>10861818</v>
      </c>
      <c r="C2407" s="2" t="s">
        <v>794</v>
      </c>
      <c r="D2407" s="2" t="s">
        <v>197</v>
      </c>
      <c r="E2407" s="2" t="s">
        <v>518</v>
      </c>
      <c r="F2407" s="2" t="s">
        <v>17</v>
      </c>
      <c r="G2407" s="2" t="s">
        <v>5103</v>
      </c>
      <c r="I2407" s="2">
        <v>1249</v>
      </c>
      <c r="J2407" s="2"/>
      <c r="K2407" s="2" t="s">
        <v>39</v>
      </c>
      <c r="L2407" s="2">
        <v>4.4000000000000004</v>
      </c>
      <c r="M2407" s="2">
        <v>656</v>
      </c>
      <c r="P2407" t="str">
        <f t="shared" si="151"/>
        <v/>
      </c>
      <c r="Q2407" s="12" t="str">
        <f t="shared" si="148"/>
        <v/>
      </c>
      <c r="R2407" s="9" t="str">
        <f t="shared" si="149"/>
        <v/>
      </c>
      <c r="S2407" s="9">
        <f>IF(R2407="",AVERAGEIF(Table1[Category],Table1[[#This Row],[Category]],Table2[orignal data]),Table2[[#This Row],[orignal data]])</f>
        <v>552.70900000000006</v>
      </c>
      <c r="T2407" t="str">
        <f t="shared" si="150"/>
        <v>UNIQUE</v>
      </c>
      <c r="U2407" t="str">
        <f>IF(ISBLANK(Table1[[#This Row],[SizeOption]]),"NOT AVAILABLE",Table1[[#This Row],[SizeOption]])</f>
        <v>S, M, L, XL, XXL</v>
      </c>
      <c r="Y2407" t="str">
        <f>IF(Table2[[#This Row],[Column1]]&gt;50%,"HIGH DISCOUNT","LOW DISCOUNT")</f>
        <v>HIGH DISCOUNT</v>
      </c>
    </row>
    <row r="2408" spans="1:25" x14ac:dyDescent="0.25">
      <c r="A2408" s="1" t="s">
        <v>5104</v>
      </c>
      <c r="B2408" s="1">
        <v>11036534</v>
      </c>
      <c r="C2408" s="1" t="s">
        <v>349</v>
      </c>
      <c r="D2408" s="1" t="s">
        <v>197</v>
      </c>
      <c r="E2408" s="1" t="s">
        <v>296</v>
      </c>
      <c r="F2408" s="1" t="s">
        <v>17</v>
      </c>
      <c r="G2408" s="1" t="s">
        <v>5105</v>
      </c>
      <c r="I2408" s="1">
        <v>219</v>
      </c>
      <c r="J2408" s="1"/>
      <c r="K2408" s="1" t="s">
        <v>352</v>
      </c>
      <c r="L2408" s="1">
        <v>4.3</v>
      </c>
      <c r="M2408" s="1">
        <v>656</v>
      </c>
      <c r="P2408" t="str">
        <f t="shared" si="151"/>
        <v/>
      </c>
      <c r="Q2408" s="12" t="str">
        <f t="shared" si="148"/>
        <v/>
      </c>
      <c r="R2408" s="9" t="str">
        <f t="shared" si="149"/>
        <v/>
      </c>
      <c r="S2408" s="9">
        <f>IF(R2408="",AVERAGEIF(Table1[Category],Table1[[#This Row],[Category]],Table2[orignal data]),Table2[[#This Row],[orignal data]])</f>
        <v>552.70900000000006</v>
      </c>
      <c r="T2408" t="str">
        <f t="shared" si="150"/>
        <v>UNIQUE</v>
      </c>
      <c r="U2408" t="str">
        <f>IF(ISBLANK(Table1[[#This Row],[SizeOption]]),"NOT AVAILABLE",Table1[[#This Row],[SizeOption]])</f>
        <v>S, M, L</v>
      </c>
      <c r="Y2408" t="str">
        <f>IF(Table2[[#This Row],[Column1]]&gt;50%,"HIGH DISCOUNT","LOW DISCOUNT")</f>
        <v>HIGH DISCOUNT</v>
      </c>
    </row>
    <row r="2409" spans="1:25" x14ac:dyDescent="0.25">
      <c r="A2409" s="2" t="s">
        <v>5106</v>
      </c>
      <c r="B2409" s="2">
        <v>11786012</v>
      </c>
      <c r="C2409" s="2" t="s">
        <v>794</v>
      </c>
      <c r="D2409" s="2" t="s">
        <v>197</v>
      </c>
      <c r="E2409" s="2" t="s">
        <v>518</v>
      </c>
      <c r="F2409" s="2" t="s">
        <v>17</v>
      </c>
      <c r="G2409" s="2" t="s">
        <v>5107</v>
      </c>
      <c r="I2409" s="2">
        <v>2498</v>
      </c>
      <c r="J2409" s="2"/>
      <c r="K2409" s="2" t="s">
        <v>5108</v>
      </c>
      <c r="L2409" s="2">
        <v>4.4000000000000004</v>
      </c>
      <c r="M2409" s="2">
        <v>656</v>
      </c>
      <c r="P2409" t="str">
        <f t="shared" si="151"/>
        <v/>
      </c>
      <c r="Q2409" s="12" t="str">
        <f t="shared" si="148"/>
        <v/>
      </c>
      <c r="R2409" s="9" t="str">
        <f t="shared" si="149"/>
        <v/>
      </c>
      <c r="S2409" s="9">
        <f>IF(R2409="",AVERAGEIF(Table1[Category],Table1[[#This Row],[Category]],Table2[orignal data]),Table2[[#This Row],[orignal data]])</f>
        <v>552.70900000000006</v>
      </c>
      <c r="T2409" t="str">
        <f t="shared" si="150"/>
        <v>UNIQUE</v>
      </c>
      <c r="U2409" t="str">
        <f>IF(ISBLANK(Table1[[#This Row],[SizeOption]]),"NOT AVAILABLE",Table1[[#This Row],[SizeOption]])</f>
        <v>XL, S, XXL, L, M</v>
      </c>
      <c r="Y2409" t="str">
        <f>IF(Table2[[#This Row],[Column1]]&gt;50%,"HIGH DISCOUNT","LOW DISCOUNT")</f>
        <v>HIGH DISCOUNT</v>
      </c>
    </row>
    <row r="2410" spans="1:25" x14ac:dyDescent="0.25">
      <c r="A2410" s="1" t="s">
        <v>5109</v>
      </c>
      <c r="B2410" s="1">
        <v>11475060</v>
      </c>
      <c r="C2410" s="1" t="s">
        <v>349</v>
      </c>
      <c r="D2410" s="1" t="s">
        <v>197</v>
      </c>
      <c r="E2410" s="1" t="s">
        <v>296</v>
      </c>
      <c r="F2410" s="1" t="s">
        <v>17</v>
      </c>
      <c r="G2410" s="1" t="s">
        <v>5110</v>
      </c>
      <c r="I2410" s="1">
        <v>438</v>
      </c>
      <c r="J2410" s="1"/>
      <c r="K2410" s="1" t="s">
        <v>352</v>
      </c>
      <c r="L2410" s="1">
        <v>4.3</v>
      </c>
      <c r="M2410" s="1">
        <v>656</v>
      </c>
      <c r="P2410" t="str">
        <f t="shared" si="151"/>
        <v/>
      </c>
      <c r="Q2410" s="12" t="str">
        <f t="shared" si="148"/>
        <v/>
      </c>
      <c r="R2410" s="9" t="str">
        <f t="shared" si="149"/>
        <v/>
      </c>
      <c r="S2410" s="9">
        <f>IF(R2410="",AVERAGEIF(Table1[Category],Table1[[#This Row],[Category]],Table2[orignal data]),Table2[[#This Row],[orignal data]])</f>
        <v>552.70900000000006</v>
      </c>
      <c r="T2410" t="str">
        <f t="shared" si="150"/>
        <v>UNIQUE</v>
      </c>
      <c r="U2410" t="str">
        <f>IF(ISBLANK(Table1[[#This Row],[SizeOption]]),"NOT AVAILABLE",Table1[[#This Row],[SizeOption]])</f>
        <v>S, M, L</v>
      </c>
      <c r="Y2410" t="str">
        <f>IF(Table2[[#This Row],[Column1]]&gt;50%,"HIGH DISCOUNT","LOW DISCOUNT")</f>
        <v>HIGH DISCOUNT</v>
      </c>
    </row>
    <row r="2411" spans="1:25" x14ac:dyDescent="0.25">
      <c r="A2411" s="2" t="s">
        <v>5111</v>
      </c>
      <c r="B2411" s="2">
        <v>11900358</v>
      </c>
      <c r="C2411" s="2" t="s">
        <v>346</v>
      </c>
      <c r="D2411" s="2" t="s">
        <v>28</v>
      </c>
      <c r="E2411" s="2" t="s">
        <v>42</v>
      </c>
      <c r="F2411" s="2" t="s">
        <v>17</v>
      </c>
      <c r="G2411" s="2" t="s">
        <v>5112</v>
      </c>
      <c r="H2411">
        <v>292</v>
      </c>
      <c r="I2411" s="2">
        <v>649</v>
      </c>
      <c r="J2411" s="2" t="s">
        <v>25</v>
      </c>
      <c r="K2411" s="2" t="s">
        <v>39</v>
      </c>
      <c r="L2411" s="2">
        <v>4</v>
      </c>
      <c r="M2411" s="2">
        <v>656</v>
      </c>
      <c r="P2411" t="str">
        <f t="shared" si="151"/>
        <v>55%</v>
      </c>
      <c r="Q2411" s="12">
        <f t="shared" si="148"/>
        <v>0.55000000000000004</v>
      </c>
      <c r="R2411" s="9">
        <f t="shared" si="149"/>
        <v>292.04999999999995</v>
      </c>
      <c r="S2411" s="9">
        <f>IF(R2411="",AVERAGEIF(Table1[Category],Table1[[#This Row],[Category]],Table2[orignal data]),Table2[[#This Row],[orignal data]])</f>
        <v>292.04999999999995</v>
      </c>
      <c r="T2411" t="str">
        <f t="shared" si="150"/>
        <v>UNIQUE</v>
      </c>
      <c r="U2411" t="str">
        <f>IF(ISBLANK(Table1[[#This Row],[SizeOption]]),"NOT AVAILABLE",Table1[[#This Row],[SizeOption]])</f>
        <v>S, M, L, XL, XXL</v>
      </c>
      <c r="Y2411" t="str">
        <f>IF(Table2[[#This Row],[Column1]]&gt;50%,"HIGH DISCOUNT","LOW DISCOUNT")</f>
        <v>HIGH DISCOUNT</v>
      </c>
    </row>
    <row r="2412" spans="1:25" x14ac:dyDescent="0.25">
      <c r="A2412" s="1" t="s">
        <v>5113</v>
      </c>
      <c r="B2412" s="1">
        <v>5567406</v>
      </c>
      <c r="C2412" s="1" t="s">
        <v>1506</v>
      </c>
      <c r="D2412" s="1" t="s">
        <v>28</v>
      </c>
      <c r="E2412" s="1" t="s">
        <v>42</v>
      </c>
      <c r="F2412" s="1" t="s">
        <v>17</v>
      </c>
      <c r="G2412" s="1" t="s">
        <v>5114</v>
      </c>
      <c r="H2412">
        <v>399</v>
      </c>
      <c r="I2412" s="1">
        <v>999</v>
      </c>
      <c r="J2412" s="1" t="s">
        <v>55</v>
      </c>
      <c r="K2412" s="1" t="s">
        <v>39</v>
      </c>
      <c r="L2412" s="1">
        <v>4</v>
      </c>
      <c r="M2412" s="1">
        <v>656</v>
      </c>
      <c r="P2412" t="str">
        <f t="shared" si="151"/>
        <v>60%</v>
      </c>
      <c r="Q2412" s="12">
        <f t="shared" si="148"/>
        <v>0.6</v>
      </c>
      <c r="R2412" s="9">
        <f t="shared" si="149"/>
        <v>399.6</v>
      </c>
      <c r="S2412" s="9">
        <f>IF(R2412="",AVERAGEIF(Table1[Category],Table1[[#This Row],[Category]],Table2[orignal data]),Table2[[#This Row],[orignal data]])</f>
        <v>399.6</v>
      </c>
      <c r="T2412" t="str">
        <f t="shared" si="150"/>
        <v>UNIQUE</v>
      </c>
      <c r="U2412" t="str">
        <f>IF(ISBLANK(Table1[[#This Row],[SizeOption]]),"NOT AVAILABLE",Table1[[#This Row],[SizeOption]])</f>
        <v>S, M, L, XL, XXL</v>
      </c>
      <c r="Y2412" t="str">
        <f>IF(Table2[[#This Row],[Column1]]&gt;50%,"HIGH DISCOUNT","LOW DISCOUNT")</f>
        <v>HIGH DISCOUNT</v>
      </c>
    </row>
    <row r="2413" spans="1:25" x14ac:dyDescent="0.25">
      <c r="A2413" s="2" t="s">
        <v>5115</v>
      </c>
      <c r="B2413" s="2">
        <v>13523742</v>
      </c>
      <c r="C2413" s="2" t="s">
        <v>277</v>
      </c>
      <c r="D2413" s="2" t="s">
        <v>76</v>
      </c>
      <c r="E2413" s="2" t="s">
        <v>93</v>
      </c>
      <c r="F2413" s="2" t="s">
        <v>36</v>
      </c>
      <c r="G2413" s="2" t="s">
        <v>5116</v>
      </c>
      <c r="H2413">
        <v>979</v>
      </c>
      <c r="I2413" s="2">
        <v>2799</v>
      </c>
      <c r="J2413" s="2" t="s">
        <v>150</v>
      </c>
      <c r="K2413" s="2" t="s">
        <v>39</v>
      </c>
      <c r="L2413" s="2">
        <v>4.3</v>
      </c>
      <c r="M2413" s="2">
        <v>656</v>
      </c>
      <c r="P2413" t="str">
        <f t="shared" si="151"/>
        <v>65%</v>
      </c>
      <c r="Q2413" s="12">
        <f t="shared" si="148"/>
        <v>0.65</v>
      </c>
      <c r="R2413" s="9">
        <f t="shared" si="149"/>
        <v>979.64999999999986</v>
      </c>
      <c r="S2413" s="9">
        <f>IF(R2413="",AVERAGEIF(Table1[Category],Table1[[#This Row],[Category]],Table2[orignal data]),Table2[[#This Row],[orignal data]])</f>
        <v>979.64999999999986</v>
      </c>
      <c r="T2413" t="str">
        <f t="shared" si="150"/>
        <v>UNIQUE</v>
      </c>
      <c r="U2413" t="str">
        <f>IF(ISBLANK(Table1[[#This Row],[SizeOption]]),"NOT AVAILABLE",Table1[[#This Row],[SizeOption]])</f>
        <v>S, M, L, XL, XXL</v>
      </c>
      <c r="Y2413" t="str">
        <f>IF(Table2[[#This Row],[Column1]]&gt;50%,"HIGH DISCOUNT","LOW DISCOUNT")</f>
        <v>HIGH DISCOUNT</v>
      </c>
    </row>
    <row r="2414" spans="1:25" x14ac:dyDescent="0.25">
      <c r="A2414" s="1" t="s">
        <v>5117</v>
      </c>
      <c r="B2414" s="1">
        <v>17523504</v>
      </c>
      <c r="C2414" s="1" t="s">
        <v>47</v>
      </c>
      <c r="D2414" s="1" t="s">
        <v>41</v>
      </c>
      <c r="E2414" s="1" t="s">
        <v>42</v>
      </c>
      <c r="F2414" s="1" t="s">
        <v>36</v>
      </c>
      <c r="G2414" s="1" t="s">
        <v>2637</v>
      </c>
      <c r="I2414" s="1">
        <v>1398</v>
      </c>
      <c r="J2414" s="1" t="s">
        <v>84</v>
      </c>
      <c r="K2414" s="1" t="s">
        <v>45</v>
      </c>
      <c r="L2414" s="1">
        <v>4.3</v>
      </c>
      <c r="M2414" s="1">
        <v>656</v>
      </c>
      <c r="P2414" t="str">
        <f t="shared" si="151"/>
        <v>50%</v>
      </c>
      <c r="Q2414" s="12">
        <f t="shared" si="148"/>
        <v>0.5</v>
      </c>
      <c r="R2414" s="9">
        <f t="shared" si="149"/>
        <v>699</v>
      </c>
      <c r="S2414" s="9">
        <f>IF(R2414="",AVERAGEIF(Table1[Category],Table1[[#This Row],[Category]],Table2[orignal data]),Table2[[#This Row],[orignal data]])</f>
        <v>699</v>
      </c>
      <c r="T2414" t="str">
        <f t="shared" si="150"/>
        <v>UNIQUE</v>
      </c>
      <c r="U2414" t="str">
        <f>IF(ISBLANK(Table1[[#This Row],[SizeOption]]),"NOT AVAILABLE",Table1[[#This Row],[SizeOption]])</f>
        <v>XS, S, M, L, XL</v>
      </c>
      <c r="Y2414" t="str">
        <f>IF(Table2[[#This Row],[Column1]]&gt;50%,"HIGH DISCOUNT","LOW DISCOUNT")</f>
        <v>LOW DISCOUNT</v>
      </c>
    </row>
    <row r="2415" spans="1:25" x14ac:dyDescent="0.25">
      <c r="A2415" s="2" t="s">
        <v>5118</v>
      </c>
      <c r="B2415" s="2">
        <v>11489594</v>
      </c>
      <c r="C2415" s="2" t="s">
        <v>14</v>
      </c>
      <c r="D2415" s="2" t="s">
        <v>41</v>
      </c>
      <c r="E2415" s="2" t="s">
        <v>368</v>
      </c>
      <c r="F2415" s="2" t="s">
        <v>36</v>
      </c>
      <c r="G2415" s="2" t="s">
        <v>369</v>
      </c>
      <c r="I2415" s="2">
        <v>1799</v>
      </c>
      <c r="J2415" s="2" t="s">
        <v>150</v>
      </c>
      <c r="K2415" s="2" t="s">
        <v>134</v>
      </c>
      <c r="L2415" s="2">
        <v>4.0999999999999996</v>
      </c>
      <c r="M2415" s="2">
        <v>656</v>
      </c>
      <c r="P2415" t="str">
        <f t="shared" si="151"/>
        <v>65%</v>
      </c>
      <c r="Q2415" s="12">
        <f t="shared" si="148"/>
        <v>0.65</v>
      </c>
      <c r="R2415" s="9">
        <f t="shared" si="149"/>
        <v>629.64999999999986</v>
      </c>
      <c r="S2415" s="9">
        <f>IF(R2415="",AVERAGEIF(Table1[Category],Table1[[#This Row],[Category]],Table2[orignal data]),Table2[[#This Row],[orignal data]])</f>
        <v>629.64999999999986</v>
      </c>
      <c r="T2415" t="str">
        <f t="shared" si="150"/>
        <v>UNIQUE</v>
      </c>
      <c r="U2415" t="str">
        <f>IF(ISBLANK(Table1[[#This Row],[SizeOption]]),"NOT AVAILABLE",Table1[[#This Row],[SizeOption]])</f>
        <v>26, 28, 30, 32, 34, 36</v>
      </c>
      <c r="Y2415" t="str">
        <f>IF(Table2[[#This Row],[Column1]]&gt;50%,"HIGH DISCOUNT","LOW DISCOUNT")</f>
        <v>HIGH DISCOUNT</v>
      </c>
    </row>
    <row r="2416" spans="1:25" x14ac:dyDescent="0.25">
      <c r="A2416" s="1" t="s">
        <v>5119</v>
      </c>
      <c r="B2416" s="1">
        <v>12049996</v>
      </c>
      <c r="C2416" s="1" t="s">
        <v>81</v>
      </c>
      <c r="D2416" s="1" t="s">
        <v>41</v>
      </c>
      <c r="E2416" s="1" t="s">
        <v>148</v>
      </c>
      <c r="F2416" s="1" t="s">
        <v>36</v>
      </c>
      <c r="G2416" s="1" t="s">
        <v>5120</v>
      </c>
      <c r="I2416" s="1">
        <v>2499</v>
      </c>
      <c r="J2416" s="1" t="s">
        <v>758</v>
      </c>
      <c r="K2416" s="1" t="s">
        <v>115</v>
      </c>
      <c r="L2416" s="1">
        <v>4.5</v>
      </c>
      <c r="M2416" s="1">
        <v>656</v>
      </c>
      <c r="P2416" t="str">
        <f t="shared" si="151"/>
        <v>47%</v>
      </c>
      <c r="Q2416" s="12">
        <f t="shared" si="148"/>
        <v>0.47</v>
      </c>
      <c r="R2416" s="9">
        <f t="shared" si="149"/>
        <v>1324.47</v>
      </c>
      <c r="S2416" s="9">
        <f>IF(R2416="",AVERAGEIF(Table1[Category],Table1[[#This Row],[Category]],Table2[orignal data]),Table2[[#This Row],[orignal data]])</f>
        <v>1324.47</v>
      </c>
      <c r="T2416" t="str">
        <f t="shared" si="150"/>
        <v>UNIQUE</v>
      </c>
      <c r="U2416" t="str">
        <f>IF(ISBLANK(Table1[[#This Row],[SizeOption]]),"NOT AVAILABLE",Table1[[#This Row],[SizeOption]])</f>
        <v>XS, S, M, L, XL, XXL</v>
      </c>
      <c r="Y2416" t="str">
        <f>IF(Table2[[#This Row],[Column1]]&gt;50%,"HIGH DISCOUNT","LOW DISCOUNT")</f>
        <v>LOW DISCOUNT</v>
      </c>
    </row>
    <row r="2417" spans="1:25" x14ac:dyDescent="0.25">
      <c r="A2417" s="2" t="s">
        <v>5121</v>
      </c>
      <c r="B2417" s="2">
        <v>14468610</v>
      </c>
      <c r="C2417" s="2" t="s">
        <v>784</v>
      </c>
      <c r="D2417" s="2" t="s">
        <v>41</v>
      </c>
      <c r="E2417" s="2" t="s">
        <v>53</v>
      </c>
      <c r="F2417" s="2" t="s">
        <v>36</v>
      </c>
      <c r="G2417" s="2" t="s">
        <v>5122</v>
      </c>
      <c r="I2417" s="2">
        <v>899</v>
      </c>
      <c r="J2417" s="2" t="s">
        <v>3520</v>
      </c>
      <c r="K2417" s="2" t="s">
        <v>5123</v>
      </c>
      <c r="L2417" s="2">
        <v>4.5</v>
      </c>
      <c r="M2417" s="2">
        <v>656</v>
      </c>
      <c r="P2417" t="str">
        <f t="shared" si="151"/>
        <v>8%</v>
      </c>
      <c r="Q2417" s="12">
        <f t="shared" si="148"/>
        <v>0.08</v>
      </c>
      <c r="R2417" s="9">
        <f t="shared" si="149"/>
        <v>827.08</v>
      </c>
      <c r="S2417" s="9">
        <f>IF(R2417="",AVERAGEIF(Table1[Category],Table1[[#This Row],[Category]],Table2[orignal data]),Table2[[#This Row],[orignal data]])</f>
        <v>827.08</v>
      </c>
      <c r="T2417" t="str">
        <f t="shared" si="150"/>
        <v>UNIQUE</v>
      </c>
      <c r="U2417" t="str">
        <f>IF(ISBLANK(Table1[[#This Row],[SizeOption]]),"NOT AVAILABLE",Table1[[#This Row],[SizeOption]])</f>
        <v>26, 28, 30, 33, 35, 38</v>
      </c>
      <c r="Y2417" t="str">
        <f>IF(Table2[[#This Row],[Column1]]&gt;50%,"HIGH DISCOUNT","LOW DISCOUNT")</f>
        <v>LOW DISCOUNT</v>
      </c>
    </row>
    <row r="2418" spans="1:25" x14ac:dyDescent="0.25">
      <c r="A2418" s="1" t="s">
        <v>5124</v>
      </c>
      <c r="B2418" s="1">
        <v>17525486</v>
      </c>
      <c r="C2418" s="1" t="s">
        <v>47</v>
      </c>
      <c r="D2418" s="1" t="s">
        <v>41</v>
      </c>
      <c r="E2418" s="1" t="s">
        <v>42</v>
      </c>
      <c r="F2418" s="1" t="s">
        <v>36</v>
      </c>
      <c r="G2418" s="1" t="s">
        <v>5125</v>
      </c>
      <c r="I2418" s="1">
        <v>1598</v>
      </c>
      <c r="J2418" s="1"/>
      <c r="K2418" s="1" t="s">
        <v>447</v>
      </c>
      <c r="L2418" s="1">
        <v>4.3</v>
      </c>
      <c r="M2418" s="1">
        <v>656</v>
      </c>
      <c r="P2418" t="str">
        <f t="shared" si="151"/>
        <v/>
      </c>
      <c r="Q2418" s="12" t="str">
        <f t="shared" si="148"/>
        <v/>
      </c>
      <c r="R2418" s="9" t="str">
        <f t="shared" si="149"/>
        <v/>
      </c>
      <c r="S2418" s="9">
        <f>IF(R2418="",AVERAGEIF(Table1[Category],Table1[[#This Row],[Category]],Table2[orignal data]),Table2[[#This Row],[orignal data]])</f>
        <v>715.78890751086249</v>
      </c>
      <c r="T2418" t="str">
        <f t="shared" si="150"/>
        <v>UNIQUE</v>
      </c>
      <c r="U2418" t="str">
        <f>IF(ISBLANK(Table1[[#This Row],[SizeOption]]),"NOT AVAILABLE",Table1[[#This Row],[SizeOption]])</f>
        <v>M, S, XS, XL, L</v>
      </c>
      <c r="Y2418" t="str">
        <f>IF(Table2[[#This Row],[Column1]]&gt;50%,"HIGH DISCOUNT","LOW DISCOUNT")</f>
        <v>HIGH DISCOUNT</v>
      </c>
    </row>
    <row r="2419" spans="1:25" x14ac:dyDescent="0.25">
      <c r="A2419" s="2" t="s">
        <v>5126</v>
      </c>
      <c r="B2419" s="2">
        <v>10991974</v>
      </c>
      <c r="C2419" s="2" t="s">
        <v>420</v>
      </c>
      <c r="D2419" s="2" t="s">
        <v>28</v>
      </c>
      <c r="E2419" s="2" t="s">
        <v>306</v>
      </c>
      <c r="F2419" s="2" t="s">
        <v>17</v>
      </c>
      <c r="G2419" s="2" t="s">
        <v>5127</v>
      </c>
      <c r="H2419">
        <v>730</v>
      </c>
      <c r="I2419" s="2">
        <v>1699</v>
      </c>
      <c r="J2419" s="2" t="s">
        <v>130</v>
      </c>
      <c r="K2419" s="2" t="s">
        <v>26</v>
      </c>
      <c r="L2419" s="2">
        <v>4.2</v>
      </c>
      <c r="M2419" s="2">
        <v>655</v>
      </c>
      <c r="P2419" t="str">
        <f t="shared" si="151"/>
        <v>57%</v>
      </c>
      <c r="Q2419" s="12">
        <f t="shared" si="148"/>
        <v>0.56999999999999995</v>
      </c>
      <c r="R2419" s="9">
        <f t="shared" si="149"/>
        <v>730.57</v>
      </c>
      <c r="S2419" s="9">
        <f>IF(R2419="",AVERAGEIF(Table1[Category],Table1[[#This Row],[Category]],Table2[orignal data]),Table2[[#This Row],[orignal data]])</f>
        <v>730.57</v>
      </c>
      <c r="T2419" t="str">
        <f t="shared" si="150"/>
        <v>UNIQUE</v>
      </c>
      <c r="U2419" t="str">
        <f>IF(ISBLANK(Table1[[#This Row],[SizeOption]]),"NOT AVAILABLE",Table1[[#This Row],[SizeOption]])</f>
        <v>S, M, L, XL</v>
      </c>
      <c r="Y2419" t="str">
        <f>IF(Table2[[#This Row],[Column1]]&gt;50%,"HIGH DISCOUNT","LOW DISCOUNT")</f>
        <v>HIGH DISCOUNT</v>
      </c>
    </row>
    <row r="2420" spans="1:25" x14ac:dyDescent="0.25">
      <c r="A2420" s="1" t="s">
        <v>5128</v>
      </c>
      <c r="B2420" s="1">
        <v>10808274</v>
      </c>
      <c r="C2420" s="1" t="s">
        <v>1024</v>
      </c>
      <c r="D2420" s="1" t="s">
        <v>76</v>
      </c>
      <c r="E2420" s="1" t="s">
        <v>93</v>
      </c>
      <c r="F2420" s="1" t="s">
        <v>36</v>
      </c>
      <c r="G2420" s="1" t="s">
        <v>5129</v>
      </c>
      <c r="H2420">
        <v>527</v>
      </c>
      <c r="I2420" s="1">
        <v>1198</v>
      </c>
      <c r="J2420" s="1" t="s">
        <v>1204</v>
      </c>
      <c r="K2420" s="1" t="s">
        <v>73</v>
      </c>
      <c r="L2420" s="1">
        <v>3.9</v>
      </c>
      <c r="M2420" s="1">
        <v>655</v>
      </c>
      <c r="P2420" t="str">
        <f t="shared" si="151"/>
        <v>56%</v>
      </c>
      <c r="Q2420" s="12">
        <f t="shared" si="148"/>
        <v>0.56000000000000005</v>
      </c>
      <c r="R2420" s="9">
        <f t="shared" si="149"/>
        <v>527.11999999999989</v>
      </c>
      <c r="S2420" s="9">
        <f>IF(R2420="",AVERAGEIF(Table1[Category],Table1[[#This Row],[Category]],Table2[orignal data]),Table2[[#This Row],[orignal data]])</f>
        <v>527.11999999999989</v>
      </c>
      <c r="T2420" t="str">
        <f t="shared" si="150"/>
        <v>UNIQUE</v>
      </c>
      <c r="U2420" t="str">
        <f>IF(ISBLANK(Table1[[#This Row],[SizeOption]]),"NOT AVAILABLE",Table1[[#This Row],[SizeOption]])</f>
        <v>XS, S, M, L, XL, XXL, 3XL, 4XL</v>
      </c>
      <c r="Y2420" t="str">
        <f>IF(Table2[[#This Row],[Column1]]&gt;50%,"HIGH DISCOUNT","LOW DISCOUNT")</f>
        <v>HIGH DISCOUNT</v>
      </c>
    </row>
    <row r="2421" spans="1:25" x14ac:dyDescent="0.25">
      <c r="A2421" s="2" t="s">
        <v>5130</v>
      </c>
      <c r="B2421" s="2">
        <v>12134590</v>
      </c>
      <c r="C2421" s="2" t="s">
        <v>113</v>
      </c>
      <c r="D2421" s="2" t="s">
        <v>76</v>
      </c>
      <c r="E2421" s="2" t="s">
        <v>148</v>
      </c>
      <c r="F2421" s="2" t="s">
        <v>36</v>
      </c>
      <c r="G2421" s="2" t="s">
        <v>5131</v>
      </c>
      <c r="H2421">
        <v>839</v>
      </c>
      <c r="I2421" s="2">
        <v>2099</v>
      </c>
      <c r="J2421" s="2" t="s">
        <v>55</v>
      </c>
      <c r="K2421" s="2" t="s">
        <v>73</v>
      </c>
      <c r="L2421" s="2">
        <v>3.8</v>
      </c>
      <c r="M2421" s="2">
        <v>655</v>
      </c>
      <c r="P2421" t="str">
        <f t="shared" si="151"/>
        <v>60%</v>
      </c>
      <c r="Q2421" s="12">
        <f t="shared" si="148"/>
        <v>0.6</v>
      </c>
      <c r="R2421" s="9">
        <f t="shared" si="149"/>
        <v>839.60000000000014</v>
      </c>
      <c r="S2421" s="9">
        <f>IF(R2421="",AVERAGEIF(Table1[Category],Table1[[#This Row],[Category]],Table2[orignal data]),Table2[[#This Row],[orignal data]])</f>
        <v>839.60000000000014</v>
      </c>
      <c r="T2421" t="str">
        <f t="shared" si="150"/>
        <v>UNIQUE</v>
      </c>
      <c r="U2421" t="str">
        <f>IF(ISBLANK(Table1[[#This Row],[SizeOption]]),"NOT AVAILABLE",Table1[[#This Row],[SizeOption]])</f>
        <v>XS, S, M, L, XL, XXL, 3XL, 4XL</v>
      </c>
      <c r="Y2421" t="str">
        <f>IF(Table2[[#This Row],[Column1]]&gt;50%,"HIGH DISCOUNT","LOW DISCOUNT")</f>
        <v>HIGH DISCOUNT</v>
      </c>
    </row>
    <row r="2422" spans="1:25" x14ac:dyDescent="0.25">
      <c r="A2422" s="1" t="s">
        <v>5132</v>
      </c>
      <c r="B2422" s="1">
        <v>13619724</v>
      </c>
      <c r="C2422" s="1" t="s">
        <v>2955</v>
      </c>
      <c r="D2422" s="1" t="s">
        <v>76</v>
      </c>
      <c r="E2422" s="1" t="s">
        <v>77</v>
      </c>
      <c r="F2422" s="1" t="s">
        <v>36</v>
      </c>
      <c r="G2422" s="1" t="s">
        <v>5133</v>
      </c>
      <c r="H2422">
        <v>1062</v>
      </c>
      <c r="I2422" s="1">
        <v>2795</v>
      </c>
      <c r="J2422" s="1" t="s">
        <v>126</v>
      </c>
      <c r="K2422" s="1" t="s">
        <v>234</v>
      </c>
      <c r="L2422" s="1">
        <v>4</v>
      </c>
      <c r="M2422" s="1">
        <v>655</v>
      </c>
      <c r="P2422" t="str">
        <f t="shared" si="151"/>
        <v>62%</v>
      </c>
      <c r="Q2422" s="12">
        <f t="shared" si="148"/>
        <v>0.62</v>
      </c>
      <c r="R2422" s="9">
        <f t="shared" si="149"/>
        <v>1062.0999999999999</v>
      </c>
      <c r="S2422" s="9">
        <f>IF(R2422="",AVERAGEIF(Table1[Category],Table1[[#This Row],[Category]],Table2[orignal data]),Table2[[#This Row],[orignal data]])</f>
        <v>1062.0999999999999</v>
      </c>
      <c r="T2422" t="str">
        <f t="shared" si="150"/>
        <v>UNIQUE</v>
      </c>
      <c r="U2422" t="str">
        <f>IF(ISBLANK(Table1[[#This Row],[SizeOption]]),"NOT AVAILABLE",Table1[[#This Row],[SizeOption]])</f>
        <v>S, M, L, XL, XXL, 3XL</v>
      </c>
      <c r="Y2422" t="str">
        <f>IF(Table2[[#This Row],[Column1]]&gt;50%,"HIGH DISCOUNT","LOW DISCOUNT")</f>
        <v>HIGH DISCOUNT</v>
      </c>
    </row>
    <row r="2423" spans="1:25" x14ac:dyDescent="0.25">
      <c r="A2423" s="2" t="s">
        <v>5134</v>
      </c>
      <c r="B2423" s="2">
        <v>14962074</v>
      </c>
      <c r="C2423" s="2" t="s">
        <v>277</v>
      </c>
      <c r="D2423" s="2" t="s">
        <v>76</v>
      </c>
      <c r="E2423" s="2" t="s">
        <v>93</v>
      </c>
      <c r="F2423" s="2" t="s">
        <v>36</v>
      </c>
      <c r="G2423" s="2" t="s">
        <v>5135</v>
      </c>
      <c r="H2423">
        <v>1286</v>
      </c>
      <c r="I2423" s="2">
        <v>3299</v>
      </c>
      <c r="J2423" s="2" t="s">
        <v>104</v>
      </c>
      <c r="K2423" s="2" t="s">
        <v>39</v>
      </c>
      <c r="L2423" s="2">
        <v>4.3</v>
      </c>
      <c r="M2423" s="2">
        <v>655</v>
      </c>
      <c r="P2423" t="str">
        <f t="shared" si="151"/>
        <v>61%</v>
      </c>
      <c r="Q2423" s="12">
        <f t="shared" si="148"/>
        <v>0.61</v>
      </c>
      <c r="R2423" s="9">
        <f t="shared" si="149"/>
        <v>1286.6100000000001</v>
      </c>
      <c r="S2423" s="9">
        <f>IF(R2423="",AVERAGEIF(Table1[Category],Table1[[#This Row],[Category]],Table2[orignal data]),Table2[[#This Row],[orignal data]])</f>
        <v>1286.6100000000001</v>
      </c>
      <c r="T2423" t="str">
        <f t="shared" si="150"/>
        <v>UNIQUE</v>
      </c>
      <c r="U2423" t="str">
        <f>IF(ISBLANK(Table1[[#This Row],[SizeOption]]),"NOT AVAILABLE",Table1[[#This Row],[SizeOption]])</f>
        <v>S, M, L, XL, XXL</v>
      </c>
      <c r="Y2423" t="str">
        <f>IF(Table2[[#This Row],[Column1]]&gt;50%,"HIGH DISCOUNT","LOW DISCOUNT")</f>
        <v>HIGH DISCOUNT</v>
      </c>
    </row>
    <row r="2424" spans="1:25" x14ac:dyDescent="0.25">
      <c r="A2424" s="1" t="s">
        <v>5136</v>
      </c>
      <c r="B2424" s="1">
        <v>11245646</v>
      </c>
      <c r="C2424" s="1" t="s">
        <v>67</v>
      </c>
      <c r="D2424" s="1" t="s">
        <v>34</v>
      </c>
      <c r="E2424" s="1" t="s">
        <v>118</v>
      </c>
      <c r="F2424" s="1" t="s">
        <v>36</v>
      </c>
      <c r="G2424" s="1" t="s">
        <v>5137</v>
      </c>
      <c r="H2424">
        <v>584</v>
      </c>
      <c r="I2424" s="1">
        <v>1299</v>
      </c>
      <c r="J2424" s="1" t="s">
        <v>25</v>
      </c>
      <c r="K2424" s="1" t="s">
        <v>45</v>
      </c>
      <c r="L2424" s="1">
        <v>4.3</v>
      </c>
      <c r="M2424" s="1">
        <v>655</v>
      </c>
      <c r="P2424" t="str">
        <f t="shared" si="151"/>
        <v>55%</v>
      </c>
      <c r="Q2424" s="12">
        <f t="shared" si="148"/>
        <v>0.55000000000000004</v>
      </c>
      <c r="R2424" s="9">
        <f t="shared" si="149"/>
        <v>584.54999999999995</v>
      </c>
      <c r="S2424" s="9">
        <f>IF(R2424="",AVERAGEIF(Table1[Category],Table1[[#This Row],[Category]],Table2[orignal data]),Table2[[#This Row],[orignal data]])</f>
        <v>584.54999999999995</v>
      </c>
      <c r="T2424" t="str">
        <f t="shared" si="150"/>
        <v>UNIQUE</v>
      </c>
      <c r="U2424" t="str">
        <f>IF(ISBLANK(Table1[[#This Row],[SizeOption]]),"NOT AVAILABLE",Table1[[#This Row],[SizeOption]])</f>
        <v>XS, S, M, L, XL</v>
      </c>
      <c r="Y2424" t="str">
        <f>IF(Table2[[#This Row],[Column1]]&gt;50%,"HIGH DISCOUNT","LOW DISCOUNT")</f>
        <v>HIGH DISCOUNT</v>
      </c>
    </row>
    <row r="2425" spans="1:25" x14ac:dyDescent="0.25">
      <c r="A2425" s="2" t="s">
        <v>5138</v>
      </c>
      <c r="B2425" s="2">
        <v>782913</v>
      </c>
      <c r="C2425" s="2" t="s">
        <v>410</v>
      </c>
      <c r="D2425" s="2" t="s">
        <v>34</v>
      </c>
      <c r="E2425" s="2" t="s">
        <v>296</v>
      </c>
      <c r="F2425" s="2" t="s">
        <v>36</v>
      </c>
      <c r="G2425" s="2" t="s">
        <v>5139</v>
      </c>
      <c r="H2425">
        <v>485</v>
      </c>
      <c r="I2425" s="2">
        <v>607</v>
      </c>
      <c r="J2425" s="2" t="s">
        <v>412</v>
      </c>
      <c r="K2425" s="2" t="s">
        <v>39</v>
      </c>
      <c r="L2425" s="2">
        <v>4.0999999999999996</v>
      </c>
      <c r="M2425" s="2">
        <v>655</v>
      </c>
      <c r="P2425" t="str">
        <f t="shared" si="151"/>
        <v>20%</v>
      </c>
      <c r="Q2425" s="12">
        <f t="shared" si="148"/>
        <v>0.2</v>
      </c>
      <c r="R2425" s="9">
        <f t="shared" si="149"/>
        <v>485.6</v>
      </c>
      <c r="S2425" s="9">
        <f>IF(R2425="",AVERAGEIF(Table1[Category],Table1[[#This Row],[Category]],Table2[orignal data]),Table2[[#This Row],[orignal data]])</f>
        <v>485.6</v>
      </c>
      <c r="T2425" t="str">
        <f t="shared" si="150"/>
        <v>UNIQUE</v>
      </c>
      <c r="U2425" t="str">
        <f>IF(ISBLANK(Table1[[#This Row],[SizeOption]]),"NOT AVAILABLE",Table1[[#This Row],[SizeOption]])</f>
        <v>S, M, L, XL, XXL</v>
      </c>
      <c r="Y2425" t="str">
        <f>IF(Table2[[#This Row],[Column1]]&gt;50%,"HIGH DISCOUNT","LOW DISCOUNT")</f>
        <v>LOW DISCOUNT</v>
      </c>
    </row>
    <row r="2426" spans="1:25" x14ac:dyDescent="0.25">
      <c r="A2426" s="1" t="s">
        <v>5140</v>
      </c>
      <c r="B2426" s="1">
        <v>11677820</v>
      </c>
      <c r="C2426" s="1" t="s">
        <v>290</v>
      </c>
      <c r="D2426" s="1" t="s">
        <v>41</v>
      </c>
      <c r="E2426" s="1" t="s">
        <v>48</v>
      </c>
      <c r="F2426" s="1" t="s">
        <v>36</v>
      </c>
      <c r="G2426" s="1" t="s">
        <v>5141</v>
      </c>
      <c r="I2426" s="1">
        <v>1299</v>
      </c>
      <c r="J2426" s="1" t="s">
        <v>19</v>
      </c>
      <c r="K2426" s="1" t="s">
        <v>311</v>
      </c>
      <c r="L2426" s="1">
        <v>4.4000000000000004</v>
      </c>
      <c r="M2426" s="1">
        <v>655</v>
      </c>
      <c r="P2426" t="str">
        <f t="shared" si="151"/>
        <v>45%</v>
      </c>
      <c r="Q2426" s="12">
        <f t="shared" si="148"/>
        <v>0.45</v>
      </c>
      <c r="R2426" s="9">
        <f t="shared" si="149"/>
        <v>714.44999999999993</v>
      </c>
      <c r="S2426" s="9">
        <f>IF(R2426="",AVERAGEIF(Table1[Category],Table1[[#This Row],[Category]],Table2[orignal data]),Table2[[#This Row],[orignal data]])</f>
        <v>714.44999999999993</v>
      </c>
      <c r="T2426" t="str">
        <f t="shared" si="150"/>
        <v>UNIQUE</v>
      </c>
      <c r="U2426" t="str">
        <f>IF(ISBLANK(Table1[[#This Row],[SizeOption]]),"NOT AVAILABLE",Table1[[#This Row],[SizeOption]])</f>
        <v>XS, S, M, L</v>
      </c>
      <c r="Y2426" t="str">
        <f>IF(Table2[[#This Row],[Column1]]&gt;50%,"HIGH DISCOUNT","LOW DISCOUNT")</f>
        <v>LOW DISCOUNT</v>
      </c>
    </row>
    <row r="2427" spans="1:25" x14ac:dyDescent="0.25">
      <c r="A2427" s="2" t="s">
        <v>5142</v>
      </c>
      <c r="B2427" s="2">
        <v>15650812</v>
      </c>
      <c r="C2427" s="2" t="s">
        <v>490</v>
      </c>
      <c r="D2427" s="2" t="s">
        <v>41</v>
      </c>
      <c r="E2427" s="2" t="s">
        <v>16</v>
      </c>
      <c r="F2427" s="2" t="s">
        <v>36</v>
      </c>
      <c r="G2427" s="2" t="s">
        <v>5143</v>
      </c>
      <c r="I2427" s="2">
        <v>1499</v>
      </c>
      <c r="J2427" s="2"/>
      <c r="K2427" s="2" t="s">
        <v>5144</v>
      </c>
      <c r="L2427" s="2">
        <v>4</v>
      </c>
      <c r="M2427" s="2">
        <v>655</v>
      </c>
      <c r="P2427" t="str">
        <f t="shared" si="151"/>
        <v/>
      </c>
      <c r="Q2427" s="12" t="str">
        <f t="shared" si="148"/>
        <v/>
      </c>
      <c r="R2427" s="9" t="str">
        <f t="shared" si="149"/>
        <v/>
      </c>
      <c r="S2427" s="9">
        <f>IF(R2427="",AVERAGEIF(Table1[Category],Table1[[#This Row],[Category]],Table2[orignal data]),Table2[[#This Row],[orignal data]])</f>
        <v>715.78890751086249</v>
      </c>
      <c r="T2427" t="str">
        <f t="shared" si="150"/>
        <v>UNIQUE</v>
      </c>
      <c r="U2427" t="str">
        <f>IF(ISBLANK(Table1[[#This Row],[SizeOption]]),"NOT AVAILABLE",Table1[[#This Row],[SizeOption]])</f>
        <v>23, 25, 27, 28, 30, 31, 33, 34</v>
      </c>
      <c r="Y2427" t="str">
        <f>IF(Table2[[#This Row],[Column1]]&gt;50%,"HIGH DISCOUNT","LOW DISCOUNT")</f>
        <v>HIGH DISCOUNT</v>
      </c>
    </row>
    <row r="2428" spans="1:25" x14ac:dyDescent="0.25">
      <c r="A2428" s="1" t="s">
        <v>5145</v>
      </c>
      <c r="B2428" s="1">
        <v>10187097</v>
      </c>
      <c r="C2428" s="1" t="s">
        <v>169</v>
      </c>
      <c r="D2428" s="1" t="s">
        <v>28</v>
      </c>
      <c r="E2428" s="1" t="s">
        <v>189</v>
      </c>
      <c r="F2428" s="1" t="s">
        <v>17</v>
      </c>
      <c r="G2428" s="1" t="s">
        <v>5146</v>
      </c>
      <c r="H2428">
        <v>1599</v>
      </c>
      <c r="I2428" s="1">
        <v>3999</v>
      </c>
      <c r="J2428" s="1" t="s">
        <v>55</v>
      </c>
      <c r="K2428" s="1" t="s">
        <v>39</v>
      </c>
      <c r="L2428" s="1">
        <v>4.0999999999999996</v>
      </c>
      <c r="M2428" s="1">
        <v>654</v>
      </c>
      <c r="P2428" t="str">
        <f t="shared" si="151"/>
        <v>60%</v>
      </c>
      <c r="Q2428" s="12">
        <f t="shared" si="148"/>
        <v>0.6</v>
      </c>
      <c r="R2428" s="9">
        <f t="shared" si="149"/>
        <v>1599.6</v>
      </c>
      <c r="S2428" s="9">
        <f>IF(R2428="",AVERAGEIF(Table1[Category],Table1[[#This Row],[Category]],Table2[orignal data]),Table2[[#This Row],[orignal data]])</f>
        <v>1599.6</v>
      </c>
      <c r="T2428" t="str">
        <f t="shared" si="150"/>
        <v>UNIQUE</v>
      </c>
      <c r="U2428" t="str">
        <f>IF(ISBLANK(Table1[[#This Row],[SizeOption]]),"NOT AVAILABLE",Table1[[#This Row],[SizeOption]])</f>
        <v>S, M, L, XL, XXL</v>
      </c>
      <c r="Y2428" t="str">
        <f>IF(Table2[[#This Row],[Column1]]&gt;50%,"HIGH DISCOUNT","LOW DISCOUNT")</f>
        <v>HIGH DISCOUNT</v>
      </c>
    </row>
    <row r="2429" spans="1:25" x14ac:dyDescent="0.25">
      <c r="A2429" s="2" t="s">
        <v>5147</v>
      </c>
      <c r="B2429" s="2">
        <v>12851458</v>
      </c>
      <c r="C2429" s="2" t="s">
        <v>64</v>
      </c>
      <c r="D2429" s="2" t="s">
        <v>76</v>
      </c>
      <c r="E2429" s="2" t="s">
        <v>93</v>
      </c>
      <c r="F2429" s="2" t="s">
        <v>36</v>
      </c>
      <c r="G2429" s="2" t="s">
        <v>5148</v>
      </c>
      <c r="H2429">
        <v>489</v>
      </c>
      <c r="I2429" s="2">
        <v>1399</v>
      </c>
      <c r="J2429" s="2" t="s">
        <v>150</v>
      </c>
      <c r="K2429" s="2" t="s">
        <v>100</v>
      </c>
      <c r="L2429" s="2">
        <v>4.0999999999999996</v>
      </c>
      <c r="M2429" s="2">
        <v>654</v>
      </c>
      <c r="P2429" t="str">
        <f t="shared" si="151"/>
        <v>65%</v>
      </c>
      <c r="Q2429" s="12">
        <f t="shared" si="148"/>
        <v>0.65</v>
      </c>
      <c r="R2429" s="9">
        <f t="shared" si="149"/>
        <v>489.65</v>
      </c>
      <c r="S2429" s="9">
        <f>IF(R2429="",AVERAGEIF(Table1[Category],Table1[[#This Row],[Category]],Table2[orignal data]),Table2[[#This Row],[orignal data]])</f>
        <v>489.65</v>
      </c>
      <c r="T2429" t="str">
        <f t="shared" si="150"/>
        <v>UNIQUE</v>
      </c>
      <c r="U2429" t="str">
        <f>IF(ISBLANK(Table1[[#This Row],[SizeOption]]),"NOT AVAILABLE",Table1[[#This Row],[SizeOption]])</f>
        <v>XS, S, M, L, XL, XXL, 3XL</v>
      </c>
      <c r="Y2429" t="str">
        <f>IF(Table2[[#This Row],[Column1]]&gt;50%,"HIGH DISCOUNT","LOW DISCOUNT")</f>
        <v>HIGH DISCOUNT</v>
      </c>
    </row>
    <row r="2430" spans="1:25" x14ac:dyDescent="0.25">
      <c r="A2430" s="1" t="s">
        <v>5149</v>
      </c>
      <c r="B2430" s="1">
        <v>11165152</v>
      </c>
      <c r="C2430" s="1" t="s">
        <v>5150</v>
      </c>
      <c r="D2430" s="1" t="s">
        <v>76</v>
      </c>
      <c r="E2430" s="1" t="s">
        <v>320</v>
      </c>
      <c r="F2430" s="1" t="s">
        <v>36</v>
      </c>
      <c r="G2430" s="1" t="s">
        <v>5151</v>
      </c>
      <c r="H2430">
        <v>508</v>
      </c>
      <c r="I2430" s="1">
        <v>1497</v>
      </c>
      <c r="J2430" s="1" t="s">
        <v>403</v>
      </c>
      <c r="K2430" s="1" t="s">
        <v>164</v>
      </c>
      <c r="L2430" s="1">
        <v>4.3</v>
      </c>
      <c r="M2430" s="1">
        <v>654</v>
      </c>
      <c r="P2430" t="str">
        <f t="shared" si="151"/>
        <v>66%</v>
      </c>
      <c r="Q2430" s="12">
        <f t="shared" si="148"/>
        <v>0.66</v>
      </c>
      <c r="R2430" s="9">
        <f t="shared" si="149"/>
        <v>508.9799999999999</v>
      </c>
      <c r="S2430" s="9">
        <f>IF(R2430="",AVERAGEIF(Table1[Category],Table1[[#This Row],[Category]],Table2[orignal data]),Table2[[#This Row],[orignal data]])</f>
        <v>508.9799999999999</v>
      </c>
      <c r="T2430" t="str">
        <f t="shared" si="150"/>
        <v>UNIQUE</v>
      </c>
      <c r="U2430" t="str">
        <f>IF(ISBLANK(Table1[[#This Row],[SizeOption]]),"NOT AVAILABLE",Table1[[#This Row],[SizeOption]])</f>
        <v>Onesize</v>
      </c>
      <c r="Y2430" t="str">
        <f>IF(Table2[[#This Row],[Column1]]&gt;50%,"HIGH DISCOUNT","LOW DISCOUNT")</f>
        <v>HIGH DISCOUNT</v>
      </c>
    </row>
    <row r="2431" spans="1:25" x14ac:dyDescent="0.25">
      <c r="A2431" s="2" t="s">
        <v>5152</v>
      </c>
      <c r="B2431" s="2">
        <v>11080572</v>
      </c>
      <c r="C2431" s="2" t="s">
        <v>1465</v>
      </c>
      <c r="D2431" s="2" t="s">
        <v>76</v>
      </c>
      <c r="E2431" s="2" t="s">
        <v>148</v>
      </c>
      <c r="F2431" s="2" t="s">
        <v>36</v>
      </c>
      <c r="G2431" s="2" t="s">
        <v>5153</v>
      </c>
      <c r="H2431">
        <v>764</v>
      </c>
      <c r="I2431" s="2">
        <v>1699</v>
      </c>
      <c r="J2431" s="2" t="s">
        <v>25</v>
      </c>
      <c r="K2431" s="2" t="s">
        <v>100</v>
      </c>
      <c r="L2431" s="2">
        <v>4</v>
      </c>
      <c r="M2431" s="2">
        <v>654</v>
      </c>
      <c r="P2431" t="str">
        <f t="shared" si="151"/>
        <v>55%</v>
      </c>
      <c r="Q2431" s="12">
        <f t="shared" si="148"/>
        <v>0.55000000000000004</v>
      </c>
      <c r="R2431" s="9">
        <f t="shared" si="149"/>
        <v>764.55</v>
      </c>
      <c r="S2431" s="9">
        <f>IF(R2431="",AVERAGEIF(Table1[Category],Table1[[#This Row],[Category]],Table2[orignal data]),Table2[[#This Row],[orignal data]])</f>
        <v>764.55</v>
      </c>
      <c r="T2431" t="str">
        <f t="shared" si="150"/>
        <v>UNIQUE</v>
      </c>
      <c r="U2431" t="str">
        <f>IF(ISBLANK(Table1[[#This Row],[SizeOption]]),"NOT AVAILABLE",Table1[[#This Row],[SizeOption]])</f>
        <v>XS, S, M, L, XL, XXL, 3XL</v>
      </c>
      <c r="Y2431" t="str">
        <f>IF(Table2[[#This Row],[Column1]]&gt;50%,"HIGH DISCOUNT","LOW DISCOUNT")</f>
        <v>HIGH DISCOUNT</v>
      </c>
    </row>
    <row r="2432" spans="1:25" x14ac:dyDescent="0.25">
      <c r="A2432" s="1" t="s">
        <v>5154</v>
      </c>
      <c r="B2432" s="1">
        <v>13437328</v>
      </c>
      <c r="C2432" s="1" t="s">
        <v>97</v>
      </c>
      <c r="D2432" s="1" t="s">
        <v>98</v>
      </c>
      <c r="E2432" s="1" t="s">
        <v>77</v>
      </c>
      <c r="F2432" s="1" t="s">
        <v>36</v>
      </c>
      <c r="G2432" s="1" t="s">
        <v>5155</v>
      </c>
      <c r="H2432">
        <v>999</v>
      </c>
      <c r="I2432" s="1">
        <v>2499</v>
      </c>
      <c r="J2432" s="1" t="s">
        <v>55</v>
      </c>
      <c r="K2432" s="1" t="s">
        <v>100</v>
      </c>
      <c r="L2432" s="1">
        <v>4</v>
      </c>
      <c r="M2432" s="1">
        <v>654</v>
      </c>
      <c r="P2432" t="str">
        <f t="shared" si="151"/>
        <v>60%</v>
      </c>
      <c r="Q2432" s="12">
        <f t="shared" si="148"/>
        <v>0.6</v>
      </c>
      <c r="R2432" s="9">
        <f t="shared" si="149"/>
        <v>999.60000000000014</v>
      </c>
      <c r="S2432" s="9">
        <f>IF(R2432="",AVERAGEIF(Table1[Category],Table1[[#This Row],[Category]],Table2[orignal data]),Table2[[#This Row],[orignal data]])</f>
        <v>999.60000000000014</v>
      </c>
      <c r="T2432" t="str">
        <f t="shared" si="150"/>
        <v>UNIQUE</v>
      </c>
      <c r="U2432" t="str">
        <f>IF(ISBLANK(Table1[[#This Row],[SizeOption]]),"NOT AVAILABLE",Table1[[#This Row],[SizeOption]])</f>
        <v>XS, S, M, L, XL, XXL, 3XL</v>
      </c>
      <c r="Y2432" t="str">
        <f>IF(Table2[[#This Row],[Column1]]&gt;50%,"HIGH DISCOUNT","LOW DISCOUNT")</f>
        <v>HIGH DISCOUNT</v>
      </c>
    </row>
    <row r="2433" spans="1:25" x14ac:dyDescent="0.25">
      <c r="A2433" s="2" t="s">
        <v>5156</v>
      </c>
      <c r="B2433" s="2">
        <v>6533820</v>
      </c>
      <c r="C2433" s="2" t="s">
        <v>346</v>
      </c>
      <c r="D2433" s="2" t="s">
        <v>41</v>
      </c>
      <c r="E2433" s="2" t="s">
        <v>306</v>
      </c>
      <c r="F2433" s="2" t="s">
        <v>36</v>
      </c>
      <c r="G2433" s="2" t="s">
        <v>5157</v>
      </c>
      <c r="I2433" s="2">
        <v>1299</v>
      </c>
      <c r="J2433" s="2" t="s">
        <v>150</v>
      </c>
      <c r="K2433" s="2" t="s">
        <v>26</v>
      </c>
      <c r="L2433" s="2">
        <v>4.5</v>
      </c>
      <c r="M2433" s="2">
        <v>654</v>
      </c>
      <c r="P2433" t="str">
        <f t="shared" si="151"/>
        <v>65%</v>
      </c>
      <c r="Q2433" s="12">
        <f t="shared" si="148"/>
        <v>0.65</v>
      </c>
      <c r="R2433" s="9">
        <f t="shared" si="149"/>
        <v>454.65</v>
      </c>
      <c r="S2433" s="9">
        <f>IF(R2433="",AVERAGEIF(Table1[Category],Table1[[#This Row],[Category]],Table2[orignal data]),Table2[[#This Row],[orignal data]])</f>
        <v>454.65</v>
      </c>
      <c r="T2433" t="str">
        <f t="shared" si="150"/>
        <v>UNIQUE</v>
      </c>
      <c r="U2433" t="str">
        <f>IF(ISBLANK(Table1[[#This Row],[SizeOption]]),"NOT AVAILABLE",Table1[[#This Row],[SizeOption]])</f>
        <v>S, M, L, XL</v>
      </c>
      <c r="Y2433" t="str">
        <f>IF(Table2[[#This Row],[Column1]]&gt;50%,"HIGH DISCOUNT","LOW DISCOUNT")</f>
        <v>HIGH DISCOUNT</v>
      </c>
    </row>
    <row r="2434" spans="1:25" x14ac:dyDescent="0.25">
      <c r="A2434" s="1" t="s">
        <v>5158</v>
      </c>
      <c r="B2434" s="1">
        <v>9478613</v>
      </c>
      <c r="C2434" s="1" t="s">
        <v>14</v>
      </c>
      <c r="D2434" s="1" t="s">
        <v>41</v>
      </c>
      <c r="E2434" s="1" t="s">
        <v>189</v>
      </c>
      <c r="F2434" s="1" t="s">
        <v>36</v>
      </c>
      <c r="G2434" s="1" t="s">
        <v>5159</v>
      </c>
      <c r="I2434" s="1">
        <v>2699</v>
      </c>
      <c r="J2434" s="1" t="s">
        <v>79</v>
      </c>
      <c r="K2434" s="1" t="s">
        <v>115</v>
      </c>
      <c r="L2434" s="1">
        <v>4.2</v>
      </c>
      <c r="M2434" s="1">
        <v>654</v>
      </c>
      <c r="P2434" t="str">
        <f t="shared" si="151"/>
        <v>70%</v>
      </c>
      <c r="Q2434" s="12">
        <f t="shared" ref="Q2434:Q2497" si="152">IF(P2434="","",IF(ISNUMBER(SEARCH("%",P2434)),P2434,P2434/I2434)*100%)</f>
        <v>0.7</v>
      </c>
      <c r="R2434" s="9">
        <f t="shared" ref="R2434:R2497" si="153">IF(P2434="","",I2434-(I2434*Q2434))</f>
        <v>809.7</v>
      </c>
      <c r="S2434" s="9">
        <f>IF(R2434="",AVERAGEIF(Table1[Category],Table1[[#This Row],[Category]],Table2[orignal data]),Table2[[#This Row],[orignal data]])</f>
        <v>809.7</v>
      </c>
      <c r="T2434" t="str">
        <f t="shared" ref="T2434:T2497" si="154">IF(COUNTIF($B$2:$B$5000,B2434)&gt;1,"DUPLICATE","UNIQUE")</f>
        <v>UNIQUE</v>
      </c>
      <c r="U2434" t="str">
        <f>IF(ISBLANK(Table1[[#This Row],[SizeOption]]),"NOT AVAILABLE",Table1[[#This Row],[SizeOption]])</f>
        <v>XS, S, M, L, XL, XXL</v>
      </c>
      <c r="Y2434" t="str">
        <f>IF(Table2[[#This Row],[Column1]]&gt;50%,"HIGH DISCOUNT","LOW DISCOUNT")</f>
        <v>HIGH DISCOUNT</v>
      </c>
    </row>
    <row r="2435" spans="1:25" x14ac:dyDescent="0.25">
      <c r="A2435" s="2" t="s">
        <v>5160</v>
      </c>
      <c r="B2435" s="2">
        <v>13815358</v>
      </c>
      <c r="C2435" s="2" t="s">
        <v>52</v>
      </c>
      <c r="D2435" s="2" t="s">
        <v>15</v>
      </c>
      <c r="E2435" s="2" t="s">
        <v>23</v>
      </c>
      <c r="F2435" s="2" t="s">
        <v>17</v>
      </c>
      <c r="G2435" s="2" t="s">
        <v>5161</v>
      </c>
      <c r="H2435">
        <v>467</v>
      </c>
      <c r="I2435" s="2">
        <v>899</v>
      </c>
      <c r="J2435" s="2" t="s">
        <v>602</v>
      </c>
      <c r="K2435" s="2" t="s">
        <v>26</v>
      </c>
      <c r="L2435" s="2">
        <v>4.2</v>
      </c>
      <c r="M2435" s="2">
        <v>653</v>
      </c>
      <c r="P2435" t="str">
        <f t="shared" ref="P2435:P2498" si="155">TRIM(SUBSTITUTE(SUBSTITUTE(SUBSTITUTE(SUBSTITUTE(J2435,"OFF",""),"Rs.",""),"Hurry*",""),",",""))</f>
        <v>48%</v>
      </c>
      <c r="Q2435" s="12">
        <f t="shared" si="152"/>
        <v>0.48</v>
      </c>
      <c r="R2435" s="9">
        <f t="shared" si="153"/>
        <v>467.48</v>
      </c>
      <c r="S2435" s="9">
        <f>IF(R2435="",AVERAGEIF(Table1[Category],Table1[[#This Row],[Category]],Table2[orignal data]),Table2[[#This Row],[orignal data]])</f>
        <v>467.48</v>
      </c>
      <c r="T2435" t="str">
        <f t="shared" si="154"/>
        <v>UNIQUE</v>
      </c>
      <c r="U2435" t="str">
        <f>IF(ISBLANK(Table1[[#This Row],[SizeOption]]),"NOT AVAILABLE",Table1[[#This Row],[SizeOption]])</f>
        <v>S, M, L, XL</v>
      </c>
      <c r="Y2435" t="str">
        <f>IF(Table2[[#This Row],[Column1]]&gt;50%,"HIGH DISCOUNT","LOW DISCOUNT")</f>
        <v>LOW DISCOUNT</v>
      </c>
    </row>
    <row r="2436" spans="1:25" x14ac:dyDescent="0.25">
      <c r="A2436" s="1" t="s">
        <v>5162</v>
      </c>
      <c r="B2436" s="1">
        <v>11901128</v>
      </c>
      <c r="C2436" s="1" t="s">
        <v>841</v>
      </c>
      <c r="D2436" s="1" t="s">
        <v>15</v>
      </c>
      <c r="E2436" s="1" t="s">
        <v>16</v>
      </c>
      <c r="F2436" s="1" t="s">
        <v>17</v>
      </c>
      <c r="G2436" s="1" t="s">
        <v>5163</v>
      </c>
      <c r="H2436">
        <v>594</v>
      </c>
      <c r="I2436" s="1">
        <v>1698</v>
      </c>
      <c r="J2436" s="1" t="s">
        <v>150</v>
      </c>
      <c r="K2436" s="1" t="s">
        <v>20</v>
      </c>
      <c r="L2436" s="1">
        <v>3.3</v>
      </c>
      <c r="M2436" s="1">
        <v>653</v>
      </c>
      <c r="P2436" t="str">
        <f t="shared" si="155"/>
        <v>65%</v>
      </c>
      <c r="Q2436" s="12">
        <f t="shared" si="152"/>
        <v>0.65</v>
      </c>
      <c r="R2436" s="9">
        <f t="shared" si="153"/>
        <v>594.29999999999995</v>
      </c>
      <c r="S2436" s="9">
        <f>IF(R2436="",AVERAGEIF(Table1[Category],Table1[[#This Row],[Category]],Table2[orignal data]),Table2[[#This Row],[orignal data]])</f>
        <v>594.29999999999995</v>
      </c>
      <c r="T2436" t="str">
        <f t="shared" si="154"/>
        <v>UNIQUE</v>
      </c>
      <c r="U2436" t="str">
        <f>IF(ISBLANK(Table1[[#This Row],[SizeOption]]),"NOT AVAILABLE",Table1[[#This Row],[SizeOption]])</f>
        <v>28, 30, 32, 34, 36</v>
      </c>
      <c r="Y2436" t="str">
        <f>IF(Table2[[#This Row],[Column1]]&gt;50%,"HIGH DISCOUNT","LOW DISCOUNT")</f>
        <v>HIGH DISCOUNT</v>
      </c>
    </row>
    <row r="2437" spans="1:25" x14ac:dyDescent="0.25">
      <c r="A2437" s="2" t="s">
        <v>5164</v>
      </c>
      <c r="B2437" s="2">
        <v>14198032</v>
      </c>
      <c r="C2437" s="2" t="s">
        <v>5165</v>
      </c>
      <c r="D2437" s="2" t="s">
        <v>197</v>
      </c>
      <c r="E2437" s="2" t="s">
        <v>198</v>
      </c>
      <c r="F2437" s="2" t="s">
        <v>17</v>
      </c>
      <c r="G2437" s="2" t="s">
        <v>5166</v>
      </c>
      <c r="H2437">
        <v>351</v>
      </c>
      <c r="I2437" s="2">
        <v>799</v>
      </c>
      <c r="J2437" s="2" t="s">
        <v>1204</v>
      </c>
      <c r="K2437" s="2" t="s">
        <v>164</v>
      </c>
      <c r="L2437" s="2">
        <v>4.3</v>
      </c>
      <c r="M2437" s="2">
        <v>653</v>
      </c>
      <c r="P2437" t="str">
        <f t="shared" si="155"/>
        <v>56%</v>
      </c>
      <c r="Q2437" s="12">
        <f t="shared" si="152"/>
        <v>0.56000000000000005</v>
      </c>
      <c r="R2437" s="9">
        <f t="shared" si="153"/>
        <v>351.55999999999995</v>
      </c>
      <c r="S2437" s="9">
        <f>IF(R2437="",AVERAGEIF(Table1[Category],Table1[[#This Row],[Category]],Table2[orignal data]),Table2[[#This Row],[orignal data]])</f>
        <v>351.55999999999995</v>
      </c>
      <c r="T2437" t="str">
        <f t="shared" si="154"/>
        <v>UNIQUE</v>
      </c>
      <c r="U2437" t="str">
        <f>IF(ISBLANK(Table1[[#This Row],[SizeOption]]),"NOT AVAILABLE",Table1[[#This Row],[SizeOption]])</f>
        <v>Onesize</v>
      </c>
      <c r="Y2437" t="str">
        <f>IF(Table2[[#This Row],[Column1]]&gt;50%,"HIGH DISCOUNT","LOW DISCOUNT")</f>
        <v>HIGH DISCOUNT</v>
      </c>
    </row>
    <row r="2438" spans="1:25" x14ac:dyDescent="0.25">
      <c r="A2438" s="1" t="s">
        <v>5167</v>
      </c>
      <c r="B2438" s="1">
        <v>13804808</v>
      </c>
      <c r="C2438" s="1" t="s">
        <v>1711</v>
      </c>
      <c r="D2438" s="1" t="s">
        <v>76</v>
      </c>
      <c r="E2438" s="1" t="s">
        <v>77</v>
      </c>
      <c r="F2438" s="1" t="s">
        <v>36</v>
      </c>
      <c r="G2438" s="1" t="s">
        <v>5168</v>
      </c>
      <c r="H2438">
        <v>1493</v>
      </c>
      <c r="I2438" s="1">
        <v>4148</v>
      </c>
      <c r="J2438" s="1" t="s">
        <v>416</v>
      </c>
      <c r="K2438" s="1" t="s">
        <v>1713</v>
      </c>
      <c r="L2438" s="1">
        <v>4</v>
      </c>
      <c r="M2438" s="1">
        <v>653</v>
      </c>
      <c r="P2438" t="str">
        <f t="shared" si="155"/>
        <v>64%</v>
      </c>
      <c r="Q2438" s="12">
        <f t="shared" si="152"/>
        <v>0.64</v>
      </c>
      <c r="R2438" s="9">
        <f t="shared" si="153"/>
        <v>1493.2799999999997</v>
      </c>
      <c r="S2438" s="9">
        <f>IF(R2438="",AVERAGEIF(Table1[Category],Table1[[#This Row],[Category]],Table2[orignal data]),Table2[[#This Row],[orignal data]])</f>
        <v>1493.2799999999997</v>
      </c>
      <c r="T2438" t="str">
        <f t="shared" si="154"/>
        <v>UNIQUE</v>
      </c>
      <c r="U2438" t="str">
        <f>IF(ISBLANK(Table1[[#This Row],[SizeOption]]),"NOT AVAILABLE",Table1[[#This Row],[SizeOption]])</f>
        <v>M, L, XL, XXL, 3XL</v>
      </c>
      <c r="Y2438" t="str">
        <f>IF(Table2[[#This Row],[Column1]]&gt;50%,"HIGH DISCOUNT","LOW DISCOUNT")</f>
        <v>HIGH DISCOUNT</v>
      </c>
    </row>
    <row r="2439" spans="1:25" x14ac:dyDescent="0.25">
      <c r="A2439" s="2" t="s">
        <v>5169</v>
      </c>
      <c r="B2439" s="2">
        <v>12897836</v>
      </c>
      <c r="C2439" s="2" t="s">
        <v>117</v>
      </c>
      <c r="D2439" s="2" t="s">
        <v>34</v>
      </c>
      <c r="E2439" s="2" t="s">
        <v>118</v>
      </c>
      <c r="F2439" s="2" t="s">
        <v>36</v>
      </c>
      <c r="G2439" s="2" t="s">
        <v>5170</v>
      </c>
      <c r="I2439" s="2">
        <v>849</v>
      </c>
      <c r="J2439" s="2"/>
      <c r="K2439" s="2" t="s">
        <v>5171</v>
      </c>
      <c r="L2439" s="2">
        <v>4.5</v>
      </c>
      <c r="M2439" s="2">
        <v>653</v>
      </c>
      <c r="P2439" t="str">
        <f t="shared" si="155"/>
        <v/>
      </c>
      <c r="Q2439" s="12" t="str">
        <f t="shared" si="152"/>
        <v/>
      </c>
      <c r="R2439" s="9" t="str">
        <f t="shared" si="153"/>
        <v/>
      </c>
      <c r="S2439" s="9">
        <f>IF(R2439="",AVERAGEIF(Table1[Category],Table1[[#This Row],[Category]],Table2[orignal data]),Table2[[#This Row],[orignal data]])</f>
        <v>608.88518518518481</v>
      </c>
      <c r="T2439" t="str">
        <f t="shared" si="154"/>
        <v>UNIQUE</v>
      </c>
      <c r="U2439" t="str">
        <f>IF(ISBLANK(Table1[[#This Row],[SizeOption]]),"NOT AVAILABLE",Table1[[#This Row],[SizeOption]])</f>
        <v>32B, 32C, 34B, 34C, 36B, 36C, 38B, 38C</v>
      </c>
      <c r="Y2439" t="str">
        <f>IF(Table2[[#This Row],[Column1]]&gt;50%,"HIGH DISCOUNT","LOW DISCOUNT")</f>
        <v>HIGH DISCOUNT</v>
      </c>
    </row>
    <row r="2440" spans="1:25" x14ac:dyDescent="0.25">
      <c r="A2440" s="1" t="s">
        <v>5172</v>
      </c>
      <c r="B2440" s="1">
        <v>8126485</v>
      </c>
      <c r="C2440" s="1" t="s">
        <v>221</v>
      </c>
      <c r="D2440" s="1" t="s">
        <v>98</v>
      </c>
      <c r="E2440" s="1" t="s">
        <v>48</v>
      </c>
      <c r="F2440" s="1" t="s">
        <v>36</v>
      </c>
      <c r="G2440" s="1" t="s">
        <v>5173</v>
      </c>
      <c r="H2440">
        <v>569</v>
      </c>
      <c r="I2440" s="1">
        <v>1899</v>
      </c>
      <c r="J2440" s="1" t="s">
        <v>79</v>
      </c>
      <c r="K2440" s="1" t="s">
        <v>223</v>
      </c>
      <c r="L2440" s="1">
        <v>4.2</v>
      </c>
      <c r="M2440" s="1">
        <v>653</v>
      </c>
      <c r="P2440" t="str">
        <f t="shared" si="155"/>
        <v>70%</v>
      </c>
      <c r="Q2440" s="12">
        <f t="shared" si="152"/>
        <v>0.7</v>
      </c>
      <c r="R2440" s="9">
        <f t="shared" si="153"/>
        <v>569.70000000000005</v>
      </c>
      <c r="S2440" s="9">
        <f>IF(R2440="",AVERAGEIF(Table1[Category],Table1[[#This Row],[Category]],Table2[orignal data]),Table2[[#This Row],[orignal data]])</f>
        <v>569.70000000000005</v>
      </c>
      <c r="T2440" t="str">
        <f t="shared" si="154"/>
        <v>UNIQUE</v>
      </c>
      <c r="U2440" t="str">
        <f>IF(ISBLANK(Table1[[#This Row],[SizeOption]]),"NOT AVAILABLE",Table1[[#This Row],[SizeOption]])</f>
        <v>S, M, L, XL, XXL, 3XL, 4XL</v>
      </c>
      <c r="Y2440" t="str">
        <f>IF(Table2[[#This Row],[Column1]]&gt;50%,"HIGH DISCOUNT","LOW DISCOUNT")</f>
        <v>HIGH DISCOUNT</v>
      </c>
    </row>
    <row r="2441" spans="1:25" x14ac:dyDescent="0.25">
      <c r="A2441" s="2" t="s">
        <v>5174</v>
      </c>
      <c r="B2441" s="2">
        <v>17383458</v>
      </c>
      <c r="C2441" s="2" t="s">
        <v>14</v>
      </c>
      <c r="D2441" s="2" t="s">
        <v>41</v>
      </c>
      <c r="E2441" s="2" t="s">
        <v>42</v>
      </c>
      <c r="F2441" s="2" t="s">
        <v>36</v>
      </c>
      <c r="G2441" s="2" t="s">
        <v>5175</v>
      </c>
      <c r="I2441" s="2">
        <v>1598</v>
      </c>
      <c r="J2441" s="2" t="s">
        <v>84</v>
      </c>
      <c r="K2441" s="2" t="s">
        <v>703</v>
      </c>
      <c r="L2441" s="2">
        <v>4.2</v>
      </c>
      <c r="M2441" s="2">
        <v>653</v>
      </c>
      <c r="P2441" t="str">
        <f t="shared" si="155"/>
        <v>50%</v>
      </c>
      <c r="Q2441" s="12">
        <f t="shared" si="152"/>
        <v>0.5</v>
      </c>
      <c r="R2441" s="9">
        <f t="shared" si="153"/>
        <v>799</v>
      </c>
      <c r="S2441" s="9">
        <f>IF(R2441="",AVERAGEIF(Table1[Category],Table1[[#This Row],[Category]],Table2[orignal data]),Table2[[#This Row],[orignal data]])</f>
        <v>799</v>
      </c>
      <c r="T2441" t="str">
        <f t="shared" si="154"/>
        <v>UNIQUE</v>
      </c>
      <c r="U2441" t="str">
        <f>IF(ISBLANK(Table1[[#This Row],[SizeOption]]),"NOT AVAILABLE",Table1[[#This Row],[SizeOption]])</f>
        <v>S, XS, XL, L, M</v>
      </c>
      <c r="Y2441" t="str">
        <f>IF(Table2[[#This Row],[Column1]]&gt;50%,"HIGH DISCOUNT","LOW DISCOUNT")</f>
        <v>LOW DISCOUNT</v>
      </c>
    </row>
    <row r="2442" spans="1:25" x14ac:dyDescent="0.25">
      <c r="A2442" s="1" t="s">
        <v>5176</v>
      </c>
      <c r="B2442" s="1">
        <v>7243701</v>
      </c>
      <c r="C2442" s="1" t="s">
        <v>1345</v>
      </c>
      <c r="D2442" s="1" t="s">
        <v>41</v>
      </c>
      <c r="E2442" s="1" t="s">
        <v>16</v>
      </c>
      <c r="F2442" s="1" t="s">
        <v>36</v>
      </c>
      <c r="G2442" s="1" t="s">
        <v>2943</v>
      </c>
      <c r="I2442" s="1">
        <v>2059</v>
      </c>
      <c r="J2442" s="1" t="s">
        <v>606</v>
      </c>
      <c r="K2442" s="1" t="s">
        <v>428</v>
      </c>
      <c r="L2442" s="1">
        <v>4.2</v>
      </c>
      <c r="M2442" s="1">
        <v>653</v>
      </c>
      <c r="P2442" t="str">
        <f t="shared" si="155"/>
        <v>54%</v>
      </c>
      <c r="Q2442" s="12">
        <f t="shared" si="152"/>
        <v>0.54</v>
      </c>
      <c r="R2442" s="9">
        <f t="shared" si="153"/>
        <v>947.13999999999987</v>
      </c>
      <c r="S2442" s="9">
        <f>IF(R2442="",AVERAGEIF(Table1[Category],Table1[[#This Row],[Category]],Table2[orignal data]),Table2[[#This Row],[orignal data]])</f>
        <v>947.13999999999987</v>
      </c>
      <c r="T2442" t="str">
        <f t="shared" si="154"/>
        <v>UNIQUE</v>
      </c>
      <c r="U2442" t="str">
        <f>IF(ISBLANK(Table1[[#This Row],[SizeOption]]),"NOT AVAILABLE",Table1[[#This Row],[SizeOption]])</f>
        <v>26, 28, 30, 32, 34</v>
      </c>
      <c r="Y2442" t="str">
        <f>IF(Table2[[#This Row],[Column1]]&gt;50%,"HIGH DISCOUNT","LOW DISCOUNT")</f>
        <v>HIGH DISCOUNT</v>
      </c>
    </row>
    <row r="2443" spans="1:25" x14ac:dyDescent="0.25">
      <c r="A2443" s="2" t="s">
        <v>5177</v>
      </c>
      <c r="B2443" s="2">
        <v>4322609</v>
      </c>
      <c r="C2443" s="2" t="s">
        <v>52</v>
      </c>
      <c r="D2443" s="2" t="s">
        <v>15</v>
      </c>
      <c r="E2443" s="2" t="s">
        <v>16</v>
      </c>
      <c r="F2443" s="2" t="s">
        <v>17</v>
      </c>
      <c r="G2443" s="2" t="s">
        <v>2668</v>
      </c>
      <c r="H2443">
        <v>887</v>
      </c>
      <c r="I2443" s="2">
        <v>1849</v>
      </c>
      <c r="J2443" s="2" t="s">
        <v>208</v>
      </c>
      <c r="K2443" s="2" t="s">
        <v>816</v>
      </c>
      <c r="L2443" s="2">
        <v>4.0999999999999996</v>
      </c>
      <c r="M2443" s="2">
        <v>652</v>
      </c>
      <c r="P2443" t="str">
        <f t="shared" si="155"/>
        <v>52%</v>
      </c>
      <c r="Q2443" s="12">
        <f t="shared" si="152"/>
        <v>0.52</v>
      </c>
      <c r="R2443" s="9">
        <f t="shared" si="153"/>
        <v>887.52</v>
      </c>
      <c r="S2443" s="9">
        <f>IF(R2443="",AVERAGEIF(Table1[Category],Table1[[#This Row],[Category]],Table2[orignal data]),Table2[[#This Row],[orignal data]])</f>
        <v>887.52</v>
      </c>
      <c r="T2443" t="str">
        <f t="shared" si="154"/>
        <v>UNIQUE</v>
      </c>
      <c r="U2443" t="str">
        <f>IF(ISBLANK(Table1[[#This Row],[SizeOption]]),"NOT AVAILABLE",Table1[[#This Row],[SizeOption]])</f>
        <v>30, 32, 34, 36, 38</v>
      </c>
      <c r="Y2443" t="str">
        <f>IF(Table2[[#This Row],[Column1]]&gt;50%,"HIGH DISCOUNT","LOW DISCOUNT")</f>
        <v>HIGH DISCOUNT</v>
      </c>
    </row>
    <row r="2444" spans="1:25" x14ac:dyDescent="0.25">
      <c r="A2444" s="1" t="s">
        <v>5178</v>
      </c>
      <c r="B2444" s="1">
        <v>6747432</v>
      </c>
      <c r="C2444" s="1" t="s">
        <v>67</v>
      </c>
      <c r="D2444" s="1" t="s">
        <v>197</v>
      </c>
      <c r="E2444" s="1" t="s">
        <v>350</v>
      </c>
      <c r="F2444" s="1" t="s">
        <v>17</v>
      </c>
      <c r="G2444" s="1" t="s">
        <v>5179</v>
      </c>
      <c r="H2444">
        <v>249</v>
      </c>
      <c r="I2444" s="1">
        <v>499</v>
      </c>
      <c r="J2444" s="1" t="s">
        <v>84</v>
      </c>
      <c r="K2444" s="1" t="s">
        <v>26</v>
      </c>
      <c r="L2444" s="1">
        <v>4.4000000000000004</v>
      </c>
      <c r="M2444" s="1">
        <v>652</v>
      </c>
      <c r="P2444" t="str">
        <f t="shared" si="155"/>
        <v>50%</v>
      </c>
      <c r="Q2444" s="12">
        <f t="shared" si="152"/>
        <v>0.5</v>
      </c>
      <c r="R2444" s="9">
        <f t="shared" si="153"/>
        <v>249.5</v>
      </c>
      <c r="S2444" s="9">
        <f>IF(R2444="",AVERAGEIF(Table1[Category],Table1[[#This Row],[Category]],Table2[orignal data]),Table2[[#This Row],[orignal data]])</f>
        <v>249.5</v>
      </c>
      <c r="T2444" t="str">
        <f t="shared" si="154"/>
        <v>UNIQUE</v>
      </c>
      <c r="U2444" t="str">
        <f>IF(ISBLANK(Table1[[#This Row],[SizeOption]]),"NOT AVAILABLE",Table1[[#This Row],[SizeOption]])</f>
        <v>S, M, L, XL</v>
      </c>
      <c r="Y2444" t="str">
        <f>IF(Table2[[#This Row],[Column1]]&gt;50%,"HIGH DISCOUNT","LOW DISCOUNT")</f>
        <v>LOW DISCOUNT</v>
      </c>
    </row>
    <row r="2445" spans="1:25" x14ac:dyDescent="0.25">
      <c r="A2445" s="2" t="s">
        <v>5180</v>
      </c>
      <c r="B2445" s="2">
        <v>11269192</v>
      </c>
      <c r="C2445" s="2" t="s">
        <v>201</v>
      </c>
      <c r="D2445" s="2" t="s">
        <v>28</v>
      </c>
      <c r="E2445" s="2" t="s">
        <v>42</v>
      </c>
      <c r="F2445" s="2" t="s">
        <v>17</v>
      </c>
      <c r="G2445" s="2" t="s">
        <v>5181</v>
      </c>
      <c r="I2445" s="2">
        <v>359</v>
      </c>
      <c r="J2445" s="2"/>
      <c r="K2445" s="2" t="s">
        <v>26</v>
      </c>
      <c r="L2445" s="2">
        <v>4.2</v>
      </c>
      <c r="M2445" s="2">
        <v>652</v>
      </c>
      <c r="P2445" t="str">
        <f t="shared" si="155"/>
        <v/>
      </c>
      <c r="Q2445" s="12" t="str">
        <f t="shared" si="152"/>
        <v/>
      </c>
      <c r="R2445" s="9" t="str">
        <f t="shared" si="153"/>
        <v/>
      </c>
      <c r="S2445" s="9">
        <f>IF(R2445="",AVERAGEIF(Table1[Category],Table1[[#This Row],[Category]],Table2[orignal data]),Table2[[#This Row],[orignal data]])</f>
        <v>671.7823941958867</v>
      </c>
      <c r="T2445" t="str">
        <f t="shared" si="154"/>
        <v>UNIQUE</v>
      </c>
      <c r="U2445" t="str">
        <f>IF(ISBLANK(Table1[[#This Row],[SizeOption]]),"NOT AVAILABLE",Table1[[#This Row],[SizeOption]])</f>
        <v>S, M, L, XL</v>
      </c>
      <c r="Y2445" t="str">
        <f>IF(Table2[[#This Row],[Column1]]&gt;50%,"HIGH DISCOUNT","LOW DISCOUNT")</f>
        <v>HIGH DISCOUNT</v>
      </c>
    </row>
    <row r="2446" spans="1:25" x14ac:dyDescent="0.25">
      <c r="A2446" s="1" t="s">
        <v>5182</v>
      </c>
      <c r="B2446" s="1">
        <v>10074597</v>
      </c>
      <c r="C2446" s="1" t="s">
        <v>92</v>
      </c>
      <c r="D2446" s="1" t="s">
        <v>76</v>
      </c>
      <c r="E2446" s="1" t="s">
        <v>48</v>
      </c>
      <c r="F2446" s="1" t="s">
        <v>36</v>
      </c>
      <c r="G2446" s="1" t="s">
        <v>5183</v>
      </c>
      <c r="H2446">
        <v>692</v>
      </c>
      <c r="I2446" s="1">
        <v>1649</v>
      </c>
      <c r="J2446" s="1" t="s">
        <v>60</v>
      </c>
      <c r="K2446" s="1" t="s">
        <v>26</v>
      </c>
      <c r="L2446" s="1">
        <v>4</v>
      </c>
      <c r="M2446" s="1">
        <v>652</v>
      </c>
      <c r="P2446" t="str">
        <f t="shared" si="155"/>
        <v>58%</v>
      </c>
      <c r="Q2446" s="12">
        <f t="shared" si="152"/>
        <v>0.57999999999999996</v>
      </c>
      <c r="R2446" s="9">
        <f t="shared" si="153"/>
        <v>692.58</v>
      </c>
      <c r="S2446" s="9">
        <f>IF(R2446="",AVERAGEIF(Table1[Category],Table1[[#This Row],[Category]],Table2[orignal data]),Table2[[#This Row],[orignal data]])</f>
        <v>692.58</v>
      </c>
      <c r="T2446" t="str">
        <f t="shared" si="154"/>
        <v>UNIQUE</v>
      </c>
      <c r="U2446" t="str">
        <f>IF(ISBLANK(Table1[[#This Row],[SizeOption]]),"NOT AVAILABLE",Table1[[#This Row],[SizeOption]])</f>
        <v>S, M, L, XL</v>
      </c>
      <c r="Y2446" t="str">
        <f>IF(Table2[[#This Row],[Column1]]&gt;50%,"HIGH DISCOUNT","LOW DISCOUNT")</f>
        <v>HIGH DISCOUNT</v>
      </c>
    </row>
    <row r="2447" spans="1:25" x14ac:dyDescent="0.25">
      <c r="A2447" s="2" t="s">
        <v>5184</v>
      </c>
      <c r="B2447" s="2">
        <v>12037942</v>
      </c>
      <c r="C2447" s="2" t="s">
        <v>64</v>
      </c>
      <c r="D2447" s="2" t="s">
        <v>76</v>
      </c>
      <c r="E2447" s="2" t="s">
        <v>365</v>
      </c>
      <c r="F2447" s="2" t="s">
        <v>36</v>
      </c>
      <c r="G2447" s="2" t="s">
        <v>5185</v>
      </c>
      <c r="H2447">
        <v>1044</v>
      </c>
      <c r="I2447" s="2">
        <v>1899</v>
      </c>
      <c r="J2447" s="2" t="s">
        <v>19</v>
      </c>
      <c r="K2447" s="2" t="s">
        <v>100</v>
      </c>
      <c r="L2447" s="2">
        <v>4.0999999999999996</v>
      </c>
      <c r="M2447" s="2">
        <v>652</v>
      </c>
      <c r="P2447" t="str">
        <f t="shared" si="155"/>
        <v>45%</v>
      </c>
      <c r="Q2447" s="12">
        <f t="shared" si="152"/>
        <v>0.45</v>
      </c>
      <c r="R2447" s="9">
        <f t="shared" si="153"/>
        <v>1044.4499999999998</v>
      </c>
      <c r="S2447" s="9">
        <f>IF(R2447="",AVERAGEIF(Table1[Category],Table1[[#This Row],[Category]],Table2[orignal data]),Table2[[#This Row],[orignal data]])</f>
        <v>1044.4499999999998</v>
      </c>
      <c r="T2447" t="str">
        <f t="shared" si="154"/>
        <v>UNIQUE</v>
      </c>
      <c r="U2447" t="str">
        <f>IF(ISBLANK(Table1[[#This Row],[SizeOption]]),"NOT AVAILABLE",Table1[[#This Row],[SizeOption]])</f>
        <v>XS, S, M, L, XL, XXL, 3XL</v>
      </c>
      <c r="Y2447" t="str">
        <f>IF(Table2[[#This Row],[Column1]]&gt;50%,"HIGH DISCOUNT","LOW DISCOUNT")</f>
        <v>LOW DISCOUNT</v>
      </c>
    </row>
    <row r="2448" spans="1:25" x14ac:dyDescent="0.25">
      <c r="A2448" s="1" t="s">
        <v>5186</v>
      </c>
      <c r="B2448" s="1">
        <v>10016721</v>
      </c>
      <c r="C2448" s="1" t="s">
        <v>92</v>
      </c>
      <c r="D2448" s="1" t="s">
        <v>76</v>
      </c>
      <c r="E2448" s="1" t="s">
        <v>148</v>
      </c>
      <c r="F2448" s="1" t="s">
        <v>36</v>
      </c>
      <c r="G2448" s="1" t="s">
        <v>5187</v>
      </c>
      <c r="H2448">
        <v>799</v>
      </c>
      <c r="I2448" s="1">
        <v>1949</v>
      </c>
      <c r="J2448" s="1" t="s">
        <v>95</v>
      </c>
      <c r="K2448" s="1" t="s">
        <v>39</v>
      </c>
      <c r="L2448" s="1">
        <v>4.3</v>
      </c>
      <c r="M2448" s="1">
        <v>652</v>
      </c>
      <c r="P2448" t="str">
        <f t="shared" si="155"/>
        <v>59%</v>
      </c>
      <c r="Q2448" s="12">
        <f t="shared" si="152"/>
        <v>0.59</v>
      </c>
      <c r="R2448" s="9">
        <f t="shared" si="153"/>
        <v>799.09000000000015</v>
      </c>
      <c r="S2448" s="9">
        <f>IF(R2448="",AVERAGEIF(Table1[Category],Table1[[#This Row],[Category]],Table2[orignal data]),Table2[[#This Row],[orignal data]])</f>
        <v>799.09000000000015</v>
      </c>
      <c r="T2448" t="str">
        <f t="shared" si="154"/>
        <v>UNIQUE</v>
      </c>
      <c r="U2448" t="str">
        <f>IF(ISBLANK(Table1[[#This Row],[SizeOption]]),"NOT AVAILABLE",Table1[[#This Row],[SizeOption]])</f>
        <v>S, M, L, XL, XXL</v>
      </c>
      <c r="Y2448" t="str">
        <f>IF(Table2[[#This Row],[Column1]]&gt;50%,"HIGH DISCOUNT","LOW DISCOUNT")</f>
        <v>HIGH DISCOUNT</v>
      </c>
    </row>
    <row r="2449" spans="1:25" x14ac:dyDescent="0.25">
      <c r="A2449" s="2" t="s">
        <v>5188</v>
      </c>
      <c r="B2449" s="2">
        <v>11460402</v>
      </c>
      <c r="C2449" s="2" t="s">
        <v>201</v>
      </c>
      <c r="D2449" s="2" t="s">
        <v>98</v>
      </c>
      <c r="E2449" s="2" t="s">
        <v>533</v>
      </c>
      <c r="F2449" s="2" t="s">
        <v>36</v>
      </c>
      <c r="G2449" s="2" t="s">
        <v>5189</v>
      </c>
      <c r="H2449">
        <v>479</v>
      </c>
      <c r="I2449" s="2">
        <v>1599</v>
      </c>
      <c r="J2449" s="2" t="s">
        <v>79</v>
      </c>
      <c r="K2449" s="2" t="s">
        <v>5190</v>
      </c>
      <c r="L2449" s="2">
        <v>4.4000000000000004</v>
      </c>
      <c r="M2449" s="2">
        <v>652</v>
      </c>
      <c r="P2449" t="str">
        <f t="shared" si="155"/>
        <v>70%</v>
      </c>
      <c r="Q2449" s="12">
        <f t="shared" si="152"/>
        <v>0.7</v>
      </c>
      <c r="R2449" s="9">
        <f t="shared" si="153"/>
        <v>479.70000000000005</v>
      </c>
      <c r="S2449" s="9">
        <f>IF(R2449="",AVERAGEIF(Table1[Category],Table1[[#This Row],[Category]],Table2[orignal data]),Table2[[#This Row],[orignal data]])</f>
        <v>479.70000000000005</v>
      </c>
      <c r="T2449" t="str">
        <f t="shared" si="154"/>
        <v>UNIQUE</v>
      </c>
      <c r="U2449" t="str">
        <f>IF(ISBLANK(Table1[[#This Row],[SizeOption]]),"NOT AVAILABLE",Table1[[#This Row],[SizeOption]])</f>
        <v>27, 29, 31, 33, 35, 37, 39</v>
      </c>
      <c r="Y2449" t="str">
        <f>IF(Table2[[#This Row],[Column1]]&gt;50%,"HIGH DISCOUNT","LOW DISCOUNT")</f>
        <v>HIGH DISCOUNT</v>
      </c>
    </row>
    <row r="2450" spans="1:25" x14ac:dyDescent="0.25">
      <c r="A2450" s="1" t="s">
        <v>5191</v>
      </c>
      <c r="B2450" s="1">
        <v>12915562</v>
      </c>
      <c r="C2450" s="1" t="s">
        <v>201</v>
      </c>
      <c r="D2450" s="1" t="s">
        <v>98</v>
      </c>
      <c r="E2450" s="1" t="s">
        <v>42</v>
      </c>
      <c r="F2450" s="1" t="s">
        <v>36</v>
      </c>
      <c r="G2450" s="1" t="s">
        <v>5192</v>
      </c>
      <c r="H2450">
        <v>561</v>
      </c>
      <c r="I2450" s="1">
        <v>749</v>
      </c>
      <c r="J2450" s="1" t="s">
        <v>282</v>
      </c>
      <c r="K2450" s="1" t="s">
        <v>100</v>
      </c>
      <c r="L2450" s="1">
        <v>4.4000000000000004</v>
      </c>
      <c r="M2450" s="1">
        <v>652</v>
      </c>
      <c r="P2450" t="str">
        <f t="shared" si="155"/>
        <v>25%</v>
      </c>
      <c r="Q2450" s="12">
        <f t="shared" si="152"/>
        <v>0.25</v>
      </c>
      <c r="R2450" s="9">
        <f t="shared" si="153"/>
        <v>561.75</v>
      </c>
      <c r="S2450" s="9">
        <f>IF(R2450="",AVERAGEIF(Table1[Category],Table1[[#This Row],[Category]],Table2[orignal data]),Table2[[#This Row],[orignal data]])</f>
        <v>561.75</v>
      </c>
      <c r="T2450" t="str">
        <f t="shared" si="154"/>
        <v>UNIQUE</v>
      </c>
      <c r="U2450" t="str">
        <f>IF(ISBLANK(Table1[[#This Row],[SizeOption]]),"NOT AVAILABLE",Table1[[#This Row],[SizeOption]])</f>
        <v>XS, S, M, L, XL, XXL, 3XL</v>
      </c>
      <c r="Y2450" t="str">
        <f>IF(Table2[[#This Row],[Column1]]&gt;50%,"HIGH DISCOUNT","LOW DISCOUNT")</f>
        <v>LOW DISCOUNT</v>
      </c>
    </row>
    <row r="2451" spans="1:25" x14ac:dyDescent="0.25">
      <c r="A2451" s="2" t="s">
        <v>5193</v>
      </c>
      <c r="B2451" s="2">
        <v>9965745</v>
      </c>
      <c r="C2451" s="2" t="s">
        <v>67</v>
      </c>
      <c r="D2451" s="2" t="s">
        <v>68</v>
      </c>
      <c r="E2451" s="2" t="s">
        <v>306</v>
      </c>
      <c r="F2451" s="2" t="s">
        <v>36</v>
      </c>
      <c r="G2451" s="2" t="s">
        <v>5194</v>
      </c>
      <c r="H2451">
        <v>809</v>
      </c>
      <c r="I2451" s="2">
        <v>1799</v>
      </c>
      <c r="J2451" s="2" t="s">
        <v>25</v>
      </c>
      <c r="K2451" s="2" t="s">
        <v>115</v>
      </c>
      <c r="L2451" s="2">
        <v>3.8</v>
      </c>
      <c r="M2451" s="2">
        <v>652</v>
      </c>
      <c r="P2451" t="str">
        <f t="shared" si="155"/>
        <v>55%</v>
      </c>
      <c r="Q2451" s="12">
        <f t="shared" si="152"/>
        <v>0.55000000000000004</v>
      </c>
      <c r="R2451" s="9">
        <f t="shared" si="153"/>
        <v>809.55</v>
      </c>
      <c r="S2451" s="9">
        <f>IF(R2451="",AVERAGEIF(Table1[Category],Table1[[#This Row],[Category]],Table2[orignal data]),Table2[[#This Row],[orignal data]])</f>
        <v>809.55</v>
      </c>
      <c r="T2451" t="str">
        <f t="shared" si="154"/>
        <v>UNIQUE</v>
      </c>
      <c r="U2451" t="str">
        <f>IF(ISBLANK(Table1[[#This Row],[SizeOption]]),"NOT AVAILABLE",Table1[[#This Row],[SizeOption]])</f>
        <v>XS, S, M, L, XL, XXL</v>
      </c>
      <c r="Y2451" t="str">
        <f>IF(Table2[[#This Row],[Column1]]&gt;50%,"HIGH DISCOUNT","LOW DISCOUNT")</f>
        <v>HIGH DISCOUNT</v>
      </c>
    </row>
    <row r="2452" spans="1:25" x14ac:dyDescent="0.25">
      <c r="A2452" s="1" t="s">
        <v>5195</v>
      </c>
      <c r="B2452" s="1">
        <v>14154056</v>
      </c>
      <c r="C2452" s="1" t="s">
        <v>102</v>
      </c>
      <c r="D2452" s="1" t="s">
        <v>41</v>
      </c>
      <c r="E2452" s="1" t="s">
        <v>23</v>
      </c>
      <c r="F2452" s="1" t="s">
        <v>36</v>
      </c>
      <c r="G2452" s="1" t="s">
        <v>5196</v>
      </c>
      <c r="I2452" s="1">
        <v>1049</v>
      </c>
      <c r="J2452" s="1" t="s">
        <v>602</v>
      </c>
      <c r="K2452" s="1" t="s">
        <v>26</v>
      </c>
      <c r="L2452" s="1">
        <v>4.2</v>
      </c>
      <c r="M2452" s="1">
        <v>652</v>
      </c>
      <c r="P2452" t="str">
        <f t="shared" si="155"/>
        <v>48%</v>
      </c>
      <c r="Q2452" s="12">
        <f t="shared" si="152"/>
        <v>0.48</v>
      </c>
      <c r="R2452" s="9">
        <f t="shared" si="153"/>
        <v>545.48</v>
      </c>
      <c r="S2452" s="9">
        <f>IF(R2452="",AVERAGEIF(Table1[Category],Table1[[#This Row],[Category]],Table2[orignal data]),Table2[[#This Row],[orignal data]])</f>
        <v>545.48</v>
      </c>
      <c r="T2452" t="str">
        <f t="shared" si="154"/>
        <v>UNIQUE</v>
      </c>
      <c r="U2452" t="str">
        <f>IF(ISBLANK(Table1[[#This Row],[SizeOption]]),"NOT AVAILABLE",Table1[[#This Row],[SizeOption]])</f>
        <v>S, M, L, XL</v>
      </c>
      <c r="Y2452" t="str">
        <f>IF(Table2[[#This Row],[Column1]]&gt;50%,"HIGH DISCOUNT","LOW DISCOUNT")</f>
        <v>LOW DISCOUNT</v>
      </c>
    </row>
    <row r="2453" spans="1:25" x14ac:dyDescent="0.25">
      <c r="A2453" s="2" t="s">
        <v>5197</v>
      </c>
      <c r="B2453" s="2">
        <v>11364148</v>
      </c>
      <c r="C2453" s="2" t="s">
        <v>181</v>
      </c>
      <c r="D2453" s="2" t="s">
        <v>41</v>
      </c>
      <c r="E2453" s="2" t="s">
        <v>148</v>
      </c>
      <c r="F2453" s="2" t="s">
        <v>36</v>
      </c>
      <c r="G2453" s="2" t="s">
        <v>5198</v>
      </c>
      <c r="I2453" s="2">
        <v>2499</v>
      </c>
      <c r="J2453" s="2" t="s">
        <v>84</v>
      </c>
      <c r="K2453" s="2" t="s">
        <v>115</v>
      </c>
      <c r="L2453" s="2">
        <v>4.2</v>
      </c>
      <c r="M2453" s="2">
        <v>652</v>
      </c>
      <c r="P2453" t="str">
        <f t="shared" si="155"/>
        <v>50%</v>
      </c>
      <c r="Q2453" s="12">
        <f t="shared" si="152"/>
        <v>0.5</v>
      </c>
      <c r="R2453" s="9">
        <f t="shared" si="153"/>
        <v>1249.5</v>
      </c>
      <c r="S2453" s="9">
        <f>IF(R2453="",AVERAGEIF(Table1[Category],Table1[[#This Row],[Category]],Table2[orignal data]),Table2[[#This Row],[orignal data]])</f>
        <v>1249.5</v>
      </c>
      <c r="T2453" t="str">
        <f t="shared" si="154"/>
        <v>UNIQUE</v>
      </c>
      <c r="U2453" t="str">
        <f>IF(ISBLANK(Table1[[#This Row],[SizeOption]]),"NOT AVAILABLE",Table1[[#This Row],[SizeOption]])</f>
        <v>XS, S, M, L, XL, XXL</v>
      </c>
      <c r="Y2453" t="str">
        <f>IF(Table2[[#This Row],[Column1]]&gt;50%,"HIGH DISCOUNT","LOW DISCOUNT")</f>
        <v>LOW DISCOUNT</v>
      </c>
    </row>
    <row r="2454" spans="1:25" x14ac:dyDescent="0.25">
      <c r="A2454" s="1" t="s">
        <v>5199</v>
      </c>
      <c r="B2454" s="1">
        <v>8469245</v>
      </c>
      <c r="C2454" s="1" t="s">
        <v>52</v>
      </c>
      <c r="D2454" s="1" t="s">
        <v>15</v>
      </c>
      <c r="E2454" s="1" t="s">
        <v>53</v>
      </c>
      <c r="F2454" s="1" t="s">
        <v>17</v>
      </c>
      <c r="G2454" s="1" t="s">
        <v>5200</v>
      </c>
      <c r="H2454">
        <v>887</v>
      </c>
      <c r="I2454" s="1">
        <v>1849</v>
      </c>
      <c r="J2454" s="1" t="s">
        <v>208</v>
      </c>
      <c r="K2454" s="1" t="s">
        <v>56</v>
      </c>
      <c r="L2454" s="1">
        <v>4.0999999999999996</v>
      </c>
      <c r="M2454" s="1">
        <v>651</v>
      </c>
      <c r="P2454" t="str">
        <f t="shared" si="155"/>
        <v>52%</v>
      </c>
      <c r="Q2454" s="12">
        <f t="shared" si="152"/>
        <v>0.52</v>
      </c>
      <c r="R2454" s="9">
        <f t="shared" si="153"/>
        <v>887.52</v>
      </c>
      <c r="S2454" s="9">
        <f>IF(R2454="",AVERAGEIF(Table1[Category],Table1[[#This Row],[Category]],Table2[orignal data]),Table2[[#This Row],[orignal data]])</f>
        <v>887.52</v>
      </c>
      <c r="T2454" t="str">
        <f t="shared" si="154"/>
        <v>UNIQUE</v>
      </c>
      <c r="U2454" t="str">
        <f>IF(ISBLANK(Table1[[#This Row],[SizeOption]]),"NOT AVAILABLE",Table1[[#This Row],[SizeOption]])</f>
        <v>30, 32, 34, 36</v>
      </c>
      <c r="Y2454" t="str">
        <f>IF(Table2[[#This Row],[Column1]]&gt;50%,"HIGH DISCOUNT","LOW DISCOUNT")</f>
        <v>HIGH DISCOUNT</v>
      </c>
    </row>
    <row r="2455" spans="1:25" x14ac:dyDescent="0.25">
      <c r="A2455" s="2" t="s">
        <v>5201</v>
      </c>
      <c r="B2455" s="2">
        <v>14033882</v>
      </c>
      <c r="C2455" s="2" t="s">
        <v>22</v>
      </c>
      <c r="D2455" s="2" t="s">
        <v>15</v>
      </c>
      <c r="E2455" s="2" t="s">
        <v>23</v>
      </c>
      <c r="F2455" s="2" t="s">
        <v>17</v>
      </c>
      <c r="G2455" s="2" t="s">
        <v>5202</v>
      </c>
      <c r="H2455">
        <v>314</v>
      </c>
      <c r="I2455" s="2">
        <v>1049</v>
      </c>
      <c r="J2455" s="2" t="s">
        <v>79</v>
      </c>
      <c r="K2455" s="2" t="s">
        <v>26</v>
      </c>
      <c r="L2455" s="2">
        <v>4</v>
      </c>
      <c r="M2455" s="2">
        <v>651</v>
      </c>
      <c r="P2455" t="str">
        <f t="shared" si="155"/>
        <v>70%</v>
      </c>
      <c r="Q2455" s="12">
        <f t="shared" si="152"/>
        <v>0.7</v>
      </c>
      <c r="R2455" s="9">
        <f t="shared" si="153"/>
        <v>314.70000000000005</v>
      </c>
      <c r="S2455" s="9">
        <f>IF(R2455="",AVERAGEIF(Table1[Category],Table1[[#This Row],[Category]],Table2[orignal data]),Table2[[#This Row],[orignal data]])</f>
        <v>314.70000000000005</v>
      </c>
      <c r="T2455" t="str">
        <f t="shared" si="154"/>
        <v>UNIQUE</v>
      </c>
      <c r="U2455" t="str">
        <f>IF(ISBLANK(Table1[[#This Row],[SizeOption]]),"NOT AVAILABLE",Table1[[#This Row],[SizeOption]])</f>
        <v>S, M, L, XL</v>
      </c>
      <c r="Y2455" t="str">
        <f>IF(Table2[[#This Row],[Column1]]&gt;50%,"HIGH DISCOUNT","LOW DISCOUNT")</f>
        <v>HIGH DISCOUNT</v>
      </c>
    </row>
    <row r="2456" spans="1:25" x14ac:dyDescent="0.25">
      <c r="A2456" s="1" t="s">
        <v>5203</v>
      </c>
      <c r="B2456" s="1">
        <v>18028768</v>
      </c>
      <c r="C2456" s="1" t="s">
        <v>295</v>
      </c>
      <c r="D2456" s="1" t="s">
        <v>197</v>
      </c>
      <c r="E2456" s="1" t="s">
        <v>939</v>
      </c>
      <c r="F2456" s="1" t="s">
        <v>17</v>
      </c>
      <c r="G2456" s="1" t="s">
        <v>4736</v>
      </c>
      <c r="I2456" s="1">
        <v>1098</v>
      </c>
      <c r="J2456" s="1"/>
      <c r="K2456" s="1" t="s">
        <v>26</v>
      </c>
      <c r="L2456" s="1">
        <v>4.4000000000000004</v>
      </c>
      <c r="M2456" s="1">
        <v>651</v>
      </c>
      <c r="P2456" t="str">
        <f t="shared" si="155"/>
        <v/>
      </c>
      <c r="Q2456" s="12" t="str">
        <f t="shared" si="152"/>
        <v/>
      </c>
      <c r="R2456" s="9" t="str">
        <f t="shared" si="153"/>
        <v/>
      </c>
      <c r="S2456" s="9">
        <f>IF(R2456="",AVERAGEIF(Table1[Category],Table1[[#This Row],[Category]],Table2[orignal data]),Table2[[#This Row],[orignal data]])</f>
        <v>552.70900000000006</v>
      </c>
      <c r="T2456" t="str">
        <f t="shared" si="154"/>
        <v>UNIQUE</v>
      </c>
      <c r="U2456" t="str">
        <f>IF(ISBLANK(Table1[[#This Row],[SizeOption]]),"NOT AVAILABLE",Table1[[#This Row],[SizeOption]])</f>
        <v>S, M, L, XL</v>
      </c>
      <c r="Y2456" t="str">
        <f>IF(Table2[[#This Row],[Column1]]&gt;50%,"HIGH DISCOUNT","LOW DISCOUNT")</f>
        <v>HIGH DISCOUNT</v>
      </c>
    </row>
    <row r="2457" spans="1:25" x14ac:dyDescent="0.25">
      <c r="A2457" s="2" t="s">
        <v>5204</v>
      </c>
      <c r="B2457" s="2">
        <v>9081865</v>
      </c>
      <c r="C2457" s="2" t="s">
        <v>5205</v>
      </c>
      <c r="D2457" s="2" t="s">
        <v>28</v>
      </c>
      <c r="E2457" s="2" t="s">
        <v>42</v>
      </c>
      <c r="F2457" s="2" t="s">
        <v>17</v>
      </c>
      <c r="G2457" s="2" t="s">
        <v>5206</v>
      </c>
      <c r="H2457">
        <v>647</v>
      </c>
      <c r="I2457" s="2">
        <v>1799</v>
      </c>
      <c r="J2457" s="2" t="s">
        <v>416</v>
      </c>
      <c r="K2457" s="2" t="s">
        <v>234</v>
      </c>
      <c r="L2457" s="2">
        <v>4.2</v>
      </c>
      <c r="M2457" s="2">
        <v>651</v>
      </c>
      <c r="P2457" t="str">
        <f t="shared" si="155"/>
        <v>64%</v>
      </c>
      <c r="Q2457" s="12">
        <f t="shared" si="152"/>
        <v>0.64</v>
      </c>
      <c r="R2457" s="9">
        <f t="shared" si="153"/>
        <v>647.63999999999987</v>
      </c>
      <c r="S2457" s="9">
        <f>IF(R2457="",AVERAGEIF(Table1[Category],Table1[[#This Row],[Category]],Table2[orignal data]),Table2[[#This Row],[orignal data]])</f>
        <v>647.63999999999987</v>
      </c>
      <c r="T2457" t="str">
        <f t="shared" si="154"/>
        <v>UNIQUE</v>
      </c>
      <c r="U2457" t="str">
        <f>IF(ISBLANK(Table1[[#This Row],[SizeOption]]),"NOT AVAILABLE",Table1[[#This Row],[SizeOption]])</f>
        <v>S, M, L, XL, XXL, 3XL</v>
      </c>
      <c r="Y2457" t="str">
        <f>IF(Table2[[#This Row],[Column1]]&gt;50%,"HIGH DISCOUNT","LOW DISCOUNT")</f>
        <v>HIGH DISCOUNT</v>
      </c>
    </row>
    <row r="2458" spans="1:25" x14ac:dyDescent="0.25">
      <c r="A2458" s="1" t="s">
        <v>5207</v>
      </c>
      <c r="B2458" s="1">
        <v>8879321</v>
      </c>
      <c r="C2458" s="1" t="s">
        <v>64</v>
      </c>
      <c r="D2458" s="1" t="s">
        <v>28</v>
      </c>
      <c r="E2458" s="1" t="s">
        <v>42</v>
      </c>
      <c r="F2458" s="1" t="s">
        <v>17</v>
      </c>
      <c r="G2458" s="1" t="s">
        <v>5208</v>
      </c>
      <c r="H2458">
        <v>244</v>
      </c>
      <c r="I2458" s="1">
        <v>699</v>
      </c>
      <c r="J2458" s="1" t="s">
        <v>150</v>
      </c>
      <c r="K2458" s="1" t="s">
        <v>39</v>
      </c>
      <c r="L2458" s="1">
        <v>4.3</v>
      </c>
      <c r="M2458" s="1">
        <v>651</v>
      </c>
      <c r="P2458" t="str">
        <f t="shared" si="155"/>
        <v>65%</v>
      </c>
      <c r="Q2458" s="12">
        <f t="shared" si="152"/>
        <v>0.65</v>
      </c>
      <c r="R2458" s="9">
        <f t="shared" si="153"/>
        <v>244.64999999999998</v>
      </c>
      <c r="S2458" s="9">
        <f>IF(R2458="",AVERAGEIF(Table1[Category],Table1[[#This Row],[Category]],Table2[orignal data]),Table2[[#This Row],[orignal data]])</f>
        <v>244.64999999999998</v>
      </c>
      <c r="T2458" t="str">
        <f t="shared" si="154"/>
        <v>UNIQUE</v>
      </c>
      <c r="U2458" t="str">
        <f>IF(ISBLANK(Table1[[#This Row],[SizeOption]]),"NOT AVAILABLE",Table1[[#This Row],[SizeOption]])</f>
        <v>S, M, L, XL, XXL</v>
      </c>
      <c r="Y2458" t="str">
        <f>IF(Table2[[#This Row],[Column1]]&gt;50%,"HIGH DISCOUNT","LOW DISCOUNT")</f>
        <v>HIGH DISCOUNT</v>
      </c>
    </row>
    <row r="2459" spans="1:25" x14ac:dyDescent="0.25">
      <c r="A2459" s="2" t="s">
        <v>5209</v>
      </c>
      <c r="B2459" s="2">
        <v>11464650</v>
      </c>
      <c r="C2459" s="2" t="s">
        <v>271</v>
      </c>
      <c r="D2459" s="2" t="s">
        <v>76</v>
      </c>
      <c r="E2459" s="2" t="s">
        <v>48</v>
      </c>
      <c r="F2459" s="2" t="s">
        <v>36</v>
      </c>
      <c r="G2459" s="2" t="s">
        <v>5210</v>
      </c>
      <c r="H2459">
        <v>674</v>
      </c>
      <c r="I2459" s="2">
        <v>1499</v>
      </c>
      <c r="J2459" s="2" t="s">
        <v>25</v>
      </c>
      <c r="K2459" s="2" t="s">
        <v>45</v>
      </c>
      <c r="L2459" s="2">
        <v>4.3</v>
      </c>
      <c r="M2459" s="2">
        <v>651</v>
      </c>
      <c r="P2459" t="str">
        <f t="shared" si="155"/>
        <v>55%</v>
      </c>
      <c r="Q2459" s="12">
        <f t="shared" si="152"/>
        <v>0.55000000000000004</v>
      </c>
      <c r="R2459" s="9">
        <f t="shared" si="153"/>
        <v>674.55</v>
      </c>
      <c r="S2459" s="9">
        <f>IF(R2459="",AVERAGEIF(Table1[Category],Table1[[#This Row],[Category]],Table2[orignal data]),Table2[[#This Row],[orignal data]])</f>
        <v>674.55</v>
      </c>
      <c r="T2459" t="str">
        <f t="shared" si="154"/>
        <v>UNIQUE</v>
      </c>
      <c r="U2459" t="str">
        <f>IF(ISBLANK(Table1[[#This Row],[SizeOption]]),"NOT AVAILABLE",Table1[[#This Row],[SizeOption]])</f>
        <v>XS, S, M, L, XL</v>
      </c>
      <c r="Y2459" t="str">
        <f>IF(Table2[[#This Row],[Column1]]&gt;50%,"HIGH DISCOUNT","LOW DISCOUNT")</f>
        <v>HIGH DISCOUNT</v>
      </c>
    </row>
    <row r="2460" spans="1:25" x14ac:dyDescent="0.25">
      <c r="A2460" s="1" t="s">
        <v>5211</v>
      </c>
      <c r="B2460" s="1">
        <v>9371747</v>
      </c>
      <c r="C2460" s="1" t="s">
        <v>97</v>
      </c>
      <c r="D2460" s="1" t="s">
        <v>98</v>
      </c>
      <c r="E2460" s="1" t="s">
        <v>93</v>
      </c>
      <c r="F2460" s="1" t="s">
        <v>36</v>
      </c>
      <c r="G2460" s="1" t="s">
        <v>5212</v>
      </c>
      <c r="H2460">
        <v>599</v>
      </c>
      <c r="I2460" s="1">
        <v>1499</v>
      </c>
      <c r="J2460" s="1" t="s">
        <v>55</v>
      </c>
      <c r="K2460" s="1" t="s">
        <v>100</v>
      </c>
      <c r="L2460" s="1">
        <v>4.0999999999999996</v>
      </c>
      <c r="M2460" s="1">
        <v>651</v>
      </c>
      <c r="P2460" t="str">
        <f t="shared" si="155"/>
        <v>60%</v>
      </c>
      <c r="Q2460" s="12">
        <f t="shared" si="152"/>
        <v>0.6</v>
      </c>
      <c r="R2460" s="9">
        <f t="shared" si="153"/>
        <v>599.6</v>
      </c>
      <c r="S2460" s="9">
        <f>IF(R2460="",AVERAGEIF(Table1[Category],Table1[[#This Row],[Category]],Table2[orignal data]),Table2[[#This Row],[orignal data]])</f>
        <v>599.6</v>
      </c>
      <c r="T2460" t="str">
        <f t="shared" si="154"/>
        <v>UNIQUE</v>
      </c>
      <c r="U2460" t="str">
        <f>IF(ISBLANK(Table1[[#This Row],[SizeOption]]),"NOT AVAILABLE",Table1[[#This Row],[SizeOption]])</f>
        <v>XS, S, M, L, XL, XXL, 3XL</v>
      </c>
      <c r="Y2460" t="str">
        <f>IF(Table2[[#This Row],[Column1]]&gt;50%,"HIGH DISCOUNT","LOW DISCOUNT")</f>
        <v>HIGH DISCOUNT</v>
      </c>
    </row>
    <row r="2461" spans="1:25" x14ac:dyDescent="0.25">
      <c r="A2461" s="2" t="s">
        <v>5213</v>
      </c>
      <c r="B2461" s="2">
        <v>15038460</v>
      </c>
      <c r="C2461" s="2" t="s">
        <v>295</v>
      </c>
      <c r="D2461" s="2" t="s">
        <v>15</v>
      </c>
      <c r="E2461" s="2" t="s">
        <v>16</v>
      </c>
      <c r="F2461" s="2" t="s">
        <v>17</v>
      </c>
      <c r="G2461" s="2" t="s">
        <v>5214</v>
      </c>
      <c r="H2461">
        <v>1959</v>
      </c>
      <c r="I2461" s="2">
        <v>2799</v>
      </c>
      <c r="J2461" s="2" t="s">
        <v>186</v>
      </c>
      <c r="K2461" s="2" t="s">
        <v>2664</v>
      </c>
      <c r="L2461" s="2">
        <v>4.4000000000000004</v>
      </c>
      <c r="M2461" s="2">
        <v>650</v>
      </c>
      <c r="P2461" t="str">
        <f t="shared" si="155"/>
        <v>30%</v>
      </c>
      <c r="Q2461" s="12">
        <f t="shared" si="152"/>
        <v>0.3</v>
      </c>
      <c r="R2461" s="9">
        <f t="shared" si="153"/>
        <v>1959.3000000000002</v>
      </c>
      <c r="S2461" s="9">
        <f>IF(R2461="",AVERAGEIF(Table1[Category],Table1[[#This Row],[Category]],Table2[orignal data]),Table2[[#This Row],[orignal data]])</f>
        <v>1959.3000000000002</v>
      </c>
      <c r="T2461" t="str">
        <f t="shared" si="154"/>
        <v>UNIQUE</v>
      </c>
      <c r="U2461" t="str">
        <f>IF(ISBLANK(Table1[[#This Row],[SizeOption]]),"NOT AVAILABLE",Table1[[#This Row],[SizeOption]])</f>
        <v>28, 30, 32, 34, 36, 38, 40, 42</v>
      </c>
      <c r="Y2461" t="str">
        <f>IF(Table2[[#This Row],[Column1]]&gt;50%,"HIGH DISCOUNT","LOW DISCOUNT")</f>
        <v>LOW DISCOUNT</v>
      </c>
    </row>
    <row r="2462" spans="1:25" x14ac:dyDescent="0.25">
      <c r="A2462" s="1" t="s">
        <v>5215</v>
      </c>
      <c r="B2462" s="1">
        <v>11560486</v>
      </c>
      <c r="C2462" s="1" t="s">
        <v>169</v>
      </c>
      <c r="D2462" s="1" t="s">
        <v>15</v>
      </c>
      <c r="E2462" s="1" t="s">
        <v>53</v>
      </c>
      <c r="F2462" s="1" t="s">
        <v>17</v>
      </c>
      <c r="G2462" s="1" t="s">
        <v>5216</v>
      </c>
      <c r="H2462">
        <v>1199</v>
      </c>
      <c r="I2462" s="1">
        <v>1999</v>
      </c>
      <c r="J2462" s="1" t="s">
        <v>50</v>
      </c>
      <c r="K2462" s="1" t="s">
        <v>171</v>
      </c>
      <c r="L2462" s="1">
        <v>4.0999999999999996</v>
      </c>
      <c r="M2462" s="1">
        <v>650</v>
      </c>
      <c r="P2462" t="str">
        <f t="shared" si="155"/>
        <v>40%</v>
      </c>
      <c r="Q2462" s="12">
        <f t="shared" si="152"/>
        <v>0.4</v>
      </c>
      <c r="R2462" s="9">
        <f t="shared" si="153"/>
        <v>1199.4000000000001</v>
      </c>
      <c r="S2462" s="9">
        <f>IF(R2462="",AVERAGEIF(Table1[Category],Table1[[#This Row],[Category]],Table2[orignal data]),Table2[[#This Row],[orignal data]])</f>
        <v>1199.4000000000001</v>
      </c>
      <c r="T2462" t="str">
        <f t="shared" si="154"/>
        <v>UNIQUE</v>
      </c>
      <c r="U2462" t="str">
        <f>IF(ISBLANK(Table1[[#This Row],[SizeOption]]),"NOT AVAILABLE",Table1[[#This Row],[SizeOption]])</f>
        <v>28, 30, 32, 34, 36, 38</v>
      </c>
      <c r="Y2462" t="str">
        <f>IF(Table2[[#This Row],[Column1]]&gt;50%,"HIGH DISCOUNT","LOW DISCOUNT")</f>
        <v>LOW DISCOUNT</v>
      </c>
    </row>
    <row r="2463" spans="1:25" x14ac:dyDescent="0.25">
      <c r="A2463" s="2" t="s">
        <v>5217</v>
      </c>
      <c r="B2463" s="2">
        <v>6863011</v>
      </c>
      <c r="C2463" s="2" t="s">
        <v>47</v>
      </c>
      <c r="D2463" s="2" t="s">
        <v>15</v>
      </c>
      <c r="E2463" s="2" t="s">
        <v>23</v>
      </c>
      <c r="F2463" s="2" t="s">
        <v>17</v>
      </c>
      <c r="G2463" s="2" t="s">
        <v>5218</v>
      </c>
      <c r="H2463">
        <v>934</v>
      </c>
      <c r="I2463" s="2">
        <v>1699</v>
      </c>
      <c r="J2463" s="2" t="s">
        <v>19</v>
      </c>
      <c r="K2463" s="2" t="s">
        <v>115</v>
      </c>
      <c r="L2463" s="2">
        <v>4.0999999999999996</v>
      </c>
      <c r="M2463" s="2">
        <v>650</v>
      </c>
      <c r="P2463" t="str">
        <f t="shared" si="155"/>
        <v>45%</v>
      </c>
      <c r="Q2463" s="12">
        <f t="shared" si="152"/>
        <v>0.45</v>
      </c>
      <c r="R2463" s="9">
        <f t="shared" si="153"/>
        <v>934.44999999999993</v>
      </c>
      <c r="S2463" s="9">
        <f>IF(R2463="",AVERAGEIF(Table1[Category],Table1[[#This Row],[Category]],Table2[orignal data]),Table2[[#This Row],[orignal data]])</f>
        <v>934.44999999999993</v>
      </c>
      <c r="T2463" t="str">
        <f t="shared" si="154"/>
        <v>UNIQUE</v>
      </c>
      <c r="U2463" t="str">
        <f>IF(ISBLANK(Table1[[#This Row],[SizeOption]]),"NOT AVAILABLE",Table1[[#This Row],[SizeOption]])</f>
        <v>XS, S, M, L, XL, XXL</v>
      </c>
      <c r="Y2463" t="str">
        <f>IF(Table2[[#This Row],[Column1]]&gt;50%,"HIGH DISCOUNT","LOW DISCOUNT")</f>
        <v>LOW DISCOUNT</v>
      </c>
    </row>
    <row r="2464" spans="1:25" x14ac:dyDescent="0.25">
      <c r="A2464" s="1" t="s">
        <v>5219</v>
      </c>
      <c r="B2464" s="1">
        <v>4149418</v>
      </c>
      <c r="C2464" s="1" t="s">
        <v>47</v>
      </c>
      <c r="D2464" s="1" t="s">
        <v>28</v>
      </c>
      <c r="E2464" s="1" t="s">
        <v>42</v>
      </c>
      <c r="F2464" s="1" t="s">
        <v>17</v>
      </c>
      <c r="G2464" s="1" t="s">
        <v>5220</v>
      </c>
      <c r="H2464">
        <v>519</v>
      </c>
      <c r="I2464" s="1">
        <v>1299</v>
      </c>
      <c r="J2464" s="1" t="s">
        <v>55</v>
      </c>
      <c r="K2464" s="1" t="s">
        <v>26</v>
      </c>
      <c r="L2464" s="1">
        <v>4.2</v>
      </c>
      <c r="M2464" s="1">
        <v>650</v>
      </c>
      <c r="P2464" t="str">
        <f t="shared" si="155"/>
        <v>60%</v>
      </c>
      <c r="Q2464" s="12">
        <f t="shared" si="152"/>
        <v>0.6</v>
      </c>
      <c r="R2464" s="9">
        <f t="shared" si="153"/>
        <v>519.6</v>
      </c>
      <c r="S2464" s="9">
        <f>IF(R2464="",AVERAGEIF(Table1[Category],Table1[[#This Row],[Category]],Table2[orignal data]),Table2[[#This Row],[orignal data]])</f>
        <v>519.6</v>
      </c>
      <c r="T2464" t="str">
        <f t="shared" si="154"/>
        <v>UNIQUE</v>
      </c>
      <c r="U2464" t="str">
        <f>IF(ISBLANK(Table1[[#This Row],[SizeOption]]),"NOT AVAILABLE",Table1[[#This Row],[SizeOption]])</f>
        <v>S, M, L, XL</v>
      </c>
      <c r="Y2464" t="str">
        <f>IF(Table2[[#This Row],[Column1]]&gt;50%,"HIGH DISCOUNT","LOW DISCOUNT")</f>
        <v>HIGH DISCOUNT</v>
      </c>
    </row>
    <row r="2465" spans="1:25" x14ac:dyDescent="0.25">
      <c r="A2465" s="2" t="s">
        <v>5221</v>
      </c>
      <c r="B2465" s="2">
        <v>2498476</v>
      </c>
      <c r="C2465" s="2" t="s">
        <v>14</v>
      </c>
      <c r="D2465" s="2" t="s">
        <v>28</v>
      </c>
      <c r="E2465" s="2" t="s">
        <v>42</v>
      </c>
      <c r="F2465" s="2" t="s">
        <v>17</v>
      </c>
      <c r="G2465" s="2" t="s">
        <v>5222</v>
      </c>
      <c r="H2465">
        <v>224</v>
      </c>
      <c r="I2465" s="2">
        <v>499</v>
      </c>
      <c r="J2465" s="2" t="s">
        <v>25</v>
      </c>
      <c r="K2465" s="2" t="s">
        <v>26</v>
      </c>
      <c r="L2465" s="2">
        <v>4.2</v>
      </c>
      <c r="M2465" s="2">
        <v>650</v>
      </c>
      <c r="P2465" t="str">
        <f t="shared" si="155"/>
        <v>55%</v>
      </c>
      <c r="Q2465" s="12">
        <f t="shared" si="152"/>
        <v>0.55000000000000004</v>
      </c>
      <c r="R2465" s="9">
        <f t="shared" si="153"/>
        <v>224.54999999999995</v>
      </c>
      <c r="S2465" s="9">
        <f>IF(R2465="",AVERAGEIF(Table1[Category],Table1[[#This Row],[Category]],Table2[orignal data]),Table2[[#This Row],[orignal data]])</f>
        <v>224.54999999999995</v>
      </c>
      <c r="T2465" t="str">
        <f t="shared" si="154"/>
        <v>UNIQUE</v>
      </c>
      <c r="U2465" t="str">
        <f>IF(ISBLANK(Table1[[#This Row],[SizeOption]]),"NOT AVAILABLE",Table1[[#This Row],[SizeOption]])</f>
        <v>S, M, L, XL</v>
      </c>
      <c r="Y2465" t="str">
        <f>IF(Table2[[#This Row],[Column1]]&gt;50%,"HIGH DISCOUNT","LOW DISCOUNT")</f>
        <v>HIGH DISCOUNT</v>
      </c>
    </row>
    <row r="2466" spans="1:25" x14ac:dyDescent="0.25">
      <c r="A2466" s="1" t="s">
        <v>5223</v>
      </c>
      <c r="B2466" s="1">
        <v>11726706</v>
      </c>
      <c r="C2466" s="1" t="s">
        <v>1506</v>
      </c>
      <c r="D2466" s="1" t="s">
        <v>28</v>
      </c>
      <c r="E2466" s="1" t="s">
        <v>42</v>
      </c>
      <c r="F2466" s="1" t="s">
        <v>17</v>
      </c>
      <c r="G2466" s="1" t="s">
        <v>5224</v>
      </c>
      <c r="H2466">
        <v>391</v>
      </c>
      <c r="I2466" s="1">
        <v>699</v>
      </c>
      <c r="J2466" s="1" t="s">
        <v>1340</v>
      </c>
      <c r="K2466" s="1" t="s">
        <v>1341</v>
      </c>
      <c r="L2466" s="1">
        <v>4.2</v>
      </c>
      <c r="M2466" s="1">
        <v>650</v>
      </c>
      <c r="P2466" t="str">
        <f t="shared" si="155"/>
        <v>44%</v>
      </c>
      <c r="Q2466" s="12">
        <f t="shared" si="152"/>
        <v>0.44</v>
      </c>
      <c r="R2466" s="9">
        <f t="shared" si="153"/>
        <v>391.44</v>
      </c>
      <c r="S2466" s="9">
        <f>IF(R2466="",AVERAGEIF(Table1[Category],Table1[[#This Row],[Category]],Table2[orignal data]),Table2[[#This Row],[orignal data]])</f>
        <v>391.44</v>
      </c>
      <c r="T2466" t="str">
        <f t="shared" si="154"/>
        <v>UNIQUE</v>
      </c>
      <c r="U2466" t="str">
        <f>IF(ISBLANK(Table1[[#This Row],[SizeOption]]),"NOT AVAILABLE",Table1[[#This Row],[SizeOption]])</f>
        <v>M, L, XL</v>
      </c>
      <c r="Y2466" t="str">
        <f>IF(Table2[[#This Row],[Column1]]&gt;50%,"HIGH DISCOUNT","LOW DISCOUNT")</f>
        <v>LOW DISCOUNT</v>
      </c>
    </row>
    <row r="2467" spans="1:25" x14ac:dyDescent="0.25">
      <c r="A2467" s="2" t="s">
        <v>5225</v>
      </c>
      <c r="B2467" s="2">
        <v>9371655</v>
      </c>
      <c r="C2467" s="2" t="s">
        <v>97</v>
      </c>
      <c r="D2467" s="2" t="s">
        <v>76</v>
      </c>
      <c r="E2467" s="2" t="s">
        <v>93</v>
      </c>
      <c r="F2467" s="2" t="s">
        <v>36</v>
      </c>
      <c r="G2467" s="2" t="s">
        <v>5226</v>
      </c>
      <c r="H2467">
        <v>594</v>
      </c>
      <c r="I2467" s="2">
        <v>1699</v>
      </c>
      <c r="J2467" s="2" t="s">
        <v>150</v>
      </c>
      <c r="K2467" s="2" t="s">
        <v>100</v>
      </c>
      <c r="L2467" s="2">
        <v>4.0999999999999996</v>
      </c>
      <c r="M2467" s="2">
        <v>650</v>
      </c>
      <c r="P2467" t="str">
        <f t="shared" si="155"/>
        <v>65%</v>
      </c>
      <c r="Q2467" s="12">
        <f t="shared" si="152"/>
        <v>0.65</v>
      </c>
      <c r="R2467" s="9">
        <f t="shared" si="153"/>
        <v>594.64999999999986</v>
      </c>
      <c r="S2467" s="9">
        <f>IF(R2467="",AVERAGEIF(Table1[Category],Table1[[#This Row],[Category]],Table2[orignal data]),Table2[[#This Row],[orignal data]])</f>
        <v>594.64999999999986</v>
      </c>
      <c r="T2467" t="str">
        <f t="shared" si="154"/>
        <v>UNIQUE</v>
      </c>
      <c r="U2467" t="str">
        <f>IF(ISBLANK(Table1[[#This Row],[SizeOption]]),"NOT AVAILABLE",Table1[[#This Row],[SizeOption]])</f>
        <v>XS, S, M, L, XL, XXL, 3XL</v>
      </c>
      <c r="Y2467" t="str">
        <f>IF(Table2[[#This Row],[Column1]]&gt;50%,"HIGH DISCOUNT","LOW DISCOUNT")</f>
        <v>HIGH DISCOUNT</v>
      </c>
    </row>
    <row r="2468" spans="1:25" x14ac:dyDescent="0.25">
      <c r="A2468" s="1" t="s">
        <v>5227</v>
      </c>
      <c r="B2468" s="1">
        <v>6552966</v>
      </c>
      <c r="C2468" s="1" t="s">
        <v>128</v>
      </c>
      <c r="D2468" s="1" t="s">
        <v>41</v>
      </c>
      <c r="E2468" s="1" t="s">
        <v>48</v>
      </c>
      <c r="F2468" s="1" t="s">
        <v>36</v>
      </c>
      <c r="G2468" s="1" t="s">
        <v>5228</v>
      </c>
      <c r="I2468" s="1">
        <v>1299</v>
      </c>
      <c r="J2468" s="1" t="s">
        <v>606</v>
      </c>
      <c r="K2468" s="1" t="s">
        <v>26</v>
      </c>
      <c r="L2468" s="1">
        <v>4.2</v>
      </c>
      <c r="M2468" s="1">
        <v>650</v>
      </c>
      <c r="P2468" t="str">
        <f t="shared" si="155"/>
        <v>54%</v>
      </c>
      <c r="Q2468" s="12">
        <f t="shared" si="152"/>
        <v>0.54</v>
      </c>
      <c r="R2468" s="9">
        <f t="shared" si="153"/>
        <v>597.54</v>
      </c>
      <c r="S2468" s="9">
        <f>IF(R2468="",AVERAGEIF(Table1[Category],Table1[[#This Row],[Category]],Table2[orignal data]),Table2[[#This Row],[orignal data]])</f>
        <v>597.54</v>
      </c>
      <c r="T2468" t="str">
        <f t="shared" si="154"/>
        <v>UNIQUE</v>
      </c>
      <c r="U2468" t="str">
        <f>IF(ISBLANK(Table1[[#This Row],[SizeOption]]),"NOT AVAILABLE",Table1[[#This Row],[SizeOption]])</f>
        <v>S, M, L, XL</v>
      </c>
      <c r="Y2468" t="str">
        <f>IF(Table2[[#This Row],[Column1]]&gt;50%,"HIGH DISCOUNT","LOW DISCOUNT")</f>
        <v>HIGH DISCOUNT</v>
      </c>
    </row>
    <row r="2469" spans="1:25" x14ac:dyDescent="0.25">
      <c r="A2469" s="2" t="s">
        <v>5229</v>
      </c>
      <c r="B2469" s="2">
        <v>17384856</v>
      </c>
      <c r="C2469" s="2" t="s">
        <v>14</v>
      </c>
      <c r="D2469" s="2" t="s">
        <v>41</v>
      </c>
      <c r="E2469" s="2" t="s">
        <v>42</v>
      </c>
      <c r="F2469" s="2" t="s">
        <v>36</v>
      </c>
      <c r="G2469" s="2" t="s">
        <v>2872</v>
      </c>
      <c r="I2469" s="2">
        <v>1398</v>
      </c>
      <c r="J2469" s="2" t="s">
        <v>84</v>
      </c>
      <c r="K2469" s="2" t="s">
        <v>45</v>
      </c>
      <c r="L2469" s="2">
        <v>4.4000000000000004</v>
      </c>
      <c r="M2469" s="2">
        <v>650</v>
      </c>
      <c r="P2469" t="str">
        <f t="shared" si="155"/>
        <v>50%</v>
      </c>
      <c r="Q2469" s="12">
        <f t="shared" si="152"/>
        <v>0.5</v>
      </c>
      <c r="R2469" s="9">
        <f t="shared" si="153"/>
        <v>699</v>
      </c>
      <c r="S2469" s="9">
        <f>IF(R2469="",AVERAGEIF(Table1[Category],Table1[[#This Row],[Category]],Table2[orignal data]),Table2[[#This Row],[orignal data]])</f>
        <v>699</v>
      </c>
      <c r="T2469" t="str">
        <f t="shared" si="154"/>
        <v>UNIQUE</v>
      </c>
      <c r="U2469" t="str">
        <f>IF(ISBLANK(Table1[[#This Row],[SizeOption]]),"NOT AVAILABLE",Table1[[#This Row],[SizeOption]])</f>
        <v>XS, S, M, L, XL</v>
      </c>
      <c r="Y2469" t="str">
        <f>IF(Table2[[#This Row],[Column1]]&gt;50%,"HIGH DISCOUNT","LOW DISCOUNT")</f>
        <v>LOW DISCOUNT</v>
      </c>
    </row>
    <row r="2470" spans="1:25" x14ac:dyDescent="0.25">
      <c r="A2470" s="1" t="s">
        <v>5230</v>
      </c>
      <c r="B2470" s="1">
        <v>9599113</v>
      </c>
      <c r="C2470" s="1" t="s">
        <v>5231</v>
      </c>
      <c r="D2470" s="1" t="s">
        <v>197</v>
      </c>
      <c r="E2470" s="1" t="s">
        <v>296</v>
      </c>
      <c r="F2470" s="1" t="s">
        <v>17</v>
      </c>
      <c r="G2470" s="1" t="s">
        <v>5232</v>
      </c>
      <c r="I2470" s="1">
        <v>1050</v>
      </c>
      <c r="J2470" s="1"/>
      <c r="K2470" s="1" t="s">
        <v>39</v>
      </c>
      <c r="L2470" s="1">
        <v>4.4000000000000004</v>
      </c>
      <c r="M2470" s="1">
        <v>649</v>
      </c>
      <c r="P2470" t="str">
        <f t="shared" si="155"/>
        <v/>
      </c>
      <c r="Q2470" s="12" t="str">
        <f t="shared" si="152"/>
        <v/>
      </c>
      <c r="R2470" s="9" t="str">
        <f t="shared" si="153"/>
        <v/>
      </c>
      <c r="S2470" s="9">
        <f>IF(R2470="",AVERAGEIF(Table1[Category],Table1[[#This Row],[Category]],Table2[orignal data]),Table2[[#This Row],[orignal data]])</f>
        <v>552.70900000000006</v>
      </c>
      <c r="T2470" t="str">
        <f t="shared" si="154"/>
        <v>UNIQUE</v>
      </c>
      <c r="U2470" t="str">
        <f>IF(ISBLANK(Table1[[#This Row],[SizeOption]]),"NOT AVAILABLE",Table1[[#This Row],[SizeOption]])</f>
        <v>S, M, L, XL, XXL</v>
      </c>
      <c r="Y2470" t="str">
        <f>IF(Table2[[#This Row],[Column1]]&gt;50%,"HIGH DISCOUNT","LOW DISCOUNT")</f>
        <v>HIGH DISCOUNT</v>
      </c>
    </row>
    <row r="2471" spans="1:25" x14ac:dyDescent="0.25">
      <c r="A2471" s="2" t="s">
        <v>5233</v>
      </c>
      <c r="B2471" s="2">
        <v>14370140</v>
      </c>
      <c r="C2471" s="2" t="s">
        <v>92</v>
      </c>
      <c r="D2471" s="2" t="s">
        <v>76</v>
      </c>
      <c r="E2471" s="2" t="s">
        <v>93</v>
      </c>
      <c r="F2471" s="2" t="s">
        <v>36</v>
      </c>
      <c r="G2471" s="2" t="s">
        <v>5234</v>
      </c>
      <c r="H2471">
        <v>558</v>
      </c>
      <c r="I2471" s="2">
        <v>1299</v>
      </c>
      <c r="J2471" s="2" t="s">
        <v>130</v>
      </c>
      <c r="K2471" s="2" t="s">
        <v>39</v>
      </c>
      <c r="L2471" s="2">
        <v>4.3</v>
      </c>
      <c r="M2471" s="2">
        <v>649</v>
      </c>
      <c r="P2471" t="str">
        <f t="shared" si="155"/>
        <v>57%</v>
      </c>
      <c r="Q2471" s="12">
        <f t="shared" si="152"/>
        <v>0.56999999999999995</v>
      </c>
      <c r="R2471" s="9">
        <f t="shared" si="153"/>
        <v>558.57000000000005</v>
      </c>
      <c r="S2471" s="9">
        <f>IF(R2471="",AVERAGEIF(Table1[Category],Table1[[#This Row],[Category]],Table2[orignal data]),Table2[[#This Row],[orignal data]])</f>
        <v>558.57000000000005</v>
      </c>
      <c r="T2471" t="str">
        <f t="shared" si="154"/>
        <v>UNIQUE</v>
      </c>
      <c r="U2471" t="str">
        <f>IF(ISBLANK(Table1[[#This Row],[SizeOption]]),"NOT AVAILABLE",Table1[[#This Row],[SizeOption]])</f>
        <v>S, M, L, XL, XXL</v>
      </c>
      <c r="Y2471" t="str">
        <f>IF(Table2[[#This Row],[Column1]]&gt;50%,"HIGH DISCOUNT","LOW DISCOUNT")</f>
        <v>HIGH DISCOUNT</v>
      </c>
    </row>
    <row r="2472" spans="1:25" x14ac:dyDescent="0.25">
      <c r="A2472" s="1" t="s">
        <v>5235</v>
      </c>
      <c r="B2472" s="1">
        <v>14508760</v>
      </c>
      <c r="C2472" s="1" t="s">
        <v>277</v>
      </c>
      <c r="D2472" s="1" t="s">
        <v>76</v>
      </c>
      <c r="E2472" s="1" t="s">
        <v>93</v>
      </c>
      <c r="F2472" s="1" t="s">
        <v>36</v>
      </c>
      <c r="G2472" s="1" t="s">
        <v>5236</v>
      </c>
      <c r="H2472">
        <v>689</v>
      </c>
      <c r="I2472" s="1">
        <v>2999</v>
      </c>
      <c r="J2472" s="1" t="s">
        <v>4337</v>
      </c>
      <c r="K2472" s="1" t="s">
        <v>39</v>
      </c>
      <c r="L2472" s="1">
        <v>4.0999999999999996</v>
      </c>
      <c r="M2472" s="1">
        <v>649</v>
      </c>
      <c r="P2472" t="str">
        <f t="shared" si="155"/>
        <v>77%</v>
      </c>
      <c r="Q2472" s="12">
        <f t="shared" si="152"/>
        <v>0.77</v>
      </c>
      <c r="R2472" s="9">
        <f t="shared" si="153"/>
        <v>689.77</v>
      </c>
      <c r="S2472" s="9">
        <f>IF(R2472="",AVERAGEIF(Table1[Category],Table1[[#This Row],[Category]],Table2[orignal data]),Table2[[#This Row],[orignal data]])</f>
        <v>689.77</v>
      </c>
      <c r="T2472" t="str">
        <f t="shared" si="154"/>
        <v>UNIQUE</v>
      </c>
      <c r="U2472" t="str">
        <f>IF(ISBLANK(Table1[[#This Row],[SizeOption]]),"NOT AVAILABLE",Table1[[#This Row],[SizeOption]])</f>
        <v>S, M, L, XL, XXL</v>
      </c>
      <c r="Y2472" t="str">
        <f>IF(Table2[[#This Row],[Column1]]&gt;50%,"HIGH DISCOUNT","LOW DISCOUNT")</f>
        <v>HIGH DISCOUNT</v>
      </c>
    </row>
    <row r="2473" spans="1:25" x14ac:dyDescent="0.25">
      <c r="A2473" s="2" t="s">
        <v>5237</v>
      </c>
      <c r="B2473" s="2">
        <v>8889401</v>
      </c>
      <c r="C2473" s="2" t="s">
        <v>924</v>
      </c>
      <c r="D2473" s="2" t="s">
        <v>76</v>
      </c>
      <c r="E2473" s="2" t="s">
        <v>77</v>
      </c>
      <c r="F2473" s="2" t="s">
        <v>36</v>
      </c>
      <c r="G2473" s="2" t="s">
        <v>5238</v>
      </c>
      <c r="H2473">
        <v>2251</v>
      </c>
      <c r="I2473" s="2">
        <v>4249</v>
      </c>
      <c r="J2473" s="2" t="s">
        <v>758</v>
      </c>
      <c r="K2473" s="2" t="s">
        <v>39</v>
      </c>
      <c r="L2473" s="2">
        <v>4.0999999999999996</v>
      </c>
      <c r="M2473" s="2">
        <v>649</v>
      </c>
      <c r="P2473" t="str">
        <f t="shared" si="155"/>
        <v>47%</v>
      </c>
      <c r="Q2473" s="12">
        <f t="shared" si="152"/>
        <v>0.47</v>
      </c>
      <c r="R2473" s="9">
        <f t="shared" si="153"/>
        <v>2251.9700000000003</v>
      </c>
      <c r="S2473" s="9">
        <f>IF(R2473="",AVERAGEIF(Table1[Category],Table1[[#This Row],[Category]],Table2[orignal data]),Table2[[#This Row],[orignal data]])</f>
        <v>2251.9700000000003</v>
      </c>
      <c r="T2473" t="str">
        <f t="shared" si="154"/>
        <v>UNIQUE</v>
      </c>
      <c r="U2473" t="str">
        <f>IF(ISBLANK(Table1[[#This Row],[SizeOption]]),"NOT AVAILABLE",Table1[[#This Row],[SizeOption]])</f>
        <v>S, M, L, XL, XXL</v>
      </c>
      <c r="Y2473" t="str">
        <f>IF(Table2[[#This Row],[Column1]]&gt;50%,"HIGH DISCOUNT","LOW DISCOUNT")</f>
        <v>LOW DISCOUNT</v>
      </c>
    </row>
    <row r="2474" spans="1:25" x14ac:dyDescent="0.25">
      <c r="A2474" s="1" t="s">
        <v>5239</v>
      </c>
      <c r="B2474" s="1">
        <v>12104794</v>
      </c>
      <c r="C2474" s="1" t="s">
        <v>97</v>
      </c>
      <c r="D2474" s="1" t="s">
        <v>76</v>
      </c>
      <c r="E2474" s="1" t="s">
        <v>77</v>
      </c>
      <c r="F2474" s="1" t="s">
        <v>36</v>
      </c>
      <c r="G2474" s="1" t="s">
        <v>5240</v>
      </c>
      <c r="H2474">
        <v>2694</v>
      </c>
      <c r="I2474" s="1">
        <v>4899</v>
      </c>
      <c r="J2474" s="1" t="s">
        <v>19</v>
      </c>
      <c r="K2474" s="1" t="s">
        <v>100</v>
      </c>
      <c r="L2474" s="1">
        <v>4.3</v>
      </c>
      <c r="M2474" s="1">
        <v>649</v>
      </c>
      <c r="P2474" t="str">
        <f t="shared" si="155"/>
        <v>45%</v>
      </c>
      <c r="Q2474" s="12">
        <f t="shared" si="152"/>
        <v>0.45</v>
      </c>
      <c r="R2474" s="9">
        <f t="shared" si="153"/>
        <v>2694.45</v>
      </c>
      <c r="S2474" s="9">
        <f>IF(R2474="",AVERAGEIF(Table1[Category],Table1[[#This Row],[Category]],Table2[orignal data]),Table2[[#This Row],[orignal data]])</f>
        <v>2694.45</v>
      </c>
      <c r="T2474" t="str">
        <f t="shared" si="154"/>
        <v>UNIQUE</v>
      </c>
      <c r="U2474" t="str">
        <f>IF(ISBLANK(Table1[[#This Row],[SizeOption]]),"NOT AVAILABLE",Table1[[#This Row],[SizeOption]])</f>
        <v>XS, S, M, L, XL, XXL, 3XL</v>
      </c>
      <c r="Y2474" t="str">
        <f>IF(Table2[[#This Row],[Column1]]&gt;50%,"HIGH DISCOUNT","LOW DISCOUNT")</f>
        <v>LOW DISCOUNT</v>
      </c>
    </row>
    <row r="2475" spans="1:25" x14ac:dyDescent="0.25">
      <c r="A2475" s="2" t="s">
        <v>5241</v>
      </c>
      <c r="B2475" s="2">
        <v>12530350</v>
      </c>
      <c r="C2475" s="2" t="s">
        <v>64</v>
      </c>
      <c r="D2475" s="2" t="s">
        <v>98</v>
      </c>
      <c r="E2475" s="2" t="s">
        <v>93</v>
      </c>
      <c r="F2475" s="2" t="s">
        <v>36</v>
      </c>
      <c r="G2475" s="2" t="s">
        <v>5242</v>
      </c>
      <c r="H2475">
        <v>539</v>
      </c>
      <c r="I2475" s="2">
        <v>1199</v>
      </c>
      <c r="J2475" s="2" t="s">
        <v>25</v>
      </c>
      <c r="K2475" s="2" t="s">
        <v>100</v>
      </c>
      <c r="L2475" s="2">
        <v>4</v>
      </c>
      <c r="M2475" s="2">
        <v>649</v>
      </c>
      <c r="P2475" t="str">
        <f t="shared" si="155"/>
        <v>55%</v>
      </c>
      <c r="Q2475" s="12">
        <f t="shared" si="152"/>
        <v>0.55000000000000004</v>
      </c>
      <c r="R2475" s="9">
        <f t="shared" si="153"/>
        <v>539.54999999999995</v>
      </c>
      <c r="S2475" s="9">
        <f>IF(R2475="",AVERAGEIF(Table1[Category],Table1[[#This Row],[Category]],Table2[orignal data]),Table2[[#This Row],[orignal data]])</f>
        <v>539.54999999999995</v>
      </c>
      <c r="T2475" t="str">
        <f t="shared" si="154"/>
        <v>UNIQUE</v>
      </c>
      <c r="U2475" t="str">
        <f>IF(ISBLANK(Table1[[#This Row],[SizeOption]]),"NOT AVAILABLE",Table1[[#This Row],[SizeOption]])</f>
        <v>XS, S, M, L, XL, XXL, 3XL</v>
      </c>
      <c r="Y2475" t="str">
        <f>IF(Table2[[#This Row],[Column1]]&gt;50%,"HIGH DISCOUNT","LOW DISCOUNT")</f>
        <v>HIGH DISCOUNT</v>
      </c>
    </row>
    <row r="2476" spans="1:25" x14ac:dyDescent="0.25">
      <c r="A2476" s="1" t="s">
        <v>5243</v>
      </c>
      <c r="B2476" s="1">
        <v>17383438</v>
      </c>
      <c r="C2476" s="1" t="s">
        <v>14</v>
      </c>
      <c r="D2476" s="1" t="s">
        <v>41</v>
      </c>
      <c r="E2476" s="1" t="s">
        <v>42</v>
      </c>
      <c r="F2476" s="1" t="s">
        <v>36</v>
      </c>
      <c r="G2476" s="1" t="s">
        <v>5244</v>
      </c>
      <c r="I2476" s="1">
        <v>1598</v>
      </c>
      <c r="J2476" s="1" t="s">
        <v>84</v>
      </c>
      <c r="K2476" s="1" t="s">
        <v>146</v>
      </c>
      <c r="L2476" s="1">
        <v>4.2</v>
      </c>
      <c r="M2476" s="1">
        <v>649</v>
      </c>
      <c r="P2476" t="str">
        <f t="shared" si="155"/>
        <v>50%</v>
      </c>
      <c r="Q2476" s="12">
        <f t="shared" si="152"/>
        <v>0.5</v>
      </c>
      <c r="R2476" s="9">
        <f t="shared" si="153"/>
        <v>799</v>
      </c>
      <c r="S2476" s="9">
        <f>IF(R2476="",AVERAGEIF(Table1[Category],Table1[[#This Row],[Category]],Table2[orignal data]),Table2[[#This Row],[orignal data]])</f>
        <v>799</v>
      </c>
      <c r="T2476" t="str">
        <f t="shared" si="154"/>
        <v>UNIQUE</v>
      </c>
      <c r="U2476" t="str">
        <f>IF(ISBLANK(Table1[[#This Row],[SizeOption]]),"NOT AVAILABLE",Table1[[#This Row],[SizeOption]])</f>
        <v>L, M, S, XS, XL</v>
      </c>
      <c r="Y2476" t="str">
        <f>IF(Table2[[#This Row],[Column1]]&gt;50%,"HIGH DISCOUNT","LOW DISCOUNT")</f>
        <v>LOW DISCOUNT</v>
      </c>
    </row>
    <row r="2477" spans="1:25" x14ac:dyDescent="0.25">
      <c r="A2477" s="2" t="s">
        <v>5245</v>
      </c>
      <c r="B2477" s="2">
        <v>10939132</v>
      </c>
      <c r="C2477" s="2" t="s">
        <v>14</v>
      </c>
      <c r="D2477" s="2" t="s">
        <v>28</v>
      </c>
      <c r="E2477" s="2" t="s">
        <v>42</v>
      </c>
      <c r="F2477" s="2" t="s">
        <v>17</v>
      </c>
      <c r="G2477" s="2" t="s">
        <v>5246</v>
      </c>
      <c r="H2477">
        <v>439</v>
      </c>
      <c r="I2477" s="2">
        <v>799</v>
      </c>
      <c r="J2477" s="2" t="s">
        <v>19</v>
      </c>
      <c r="K2477" s="2" t="s">
        <v>45</v>
      </c>
      <c r="L2477" s="2">
        <v>4.2</v>
      </c>
      <c r="M2477" s="2">
        <v>648</v>
      </c>
      <c r="P2477" t="str">
        <f t="shared" si="155"/>
        <v>45%</v>
      </c>
      <c r="Q2477" s="12">
        <f t="shared" si="152"/>
        <v>0.45</v>
      </c>
      <c r="R2477" s="9">
        <f t="shared" si="153"/>
        <v>439.45</v>
      </c>
      <c r="S2477" s="9">
        <f>IF(R2477="",AVERAGEIF(Table1[Category],Table1[[#This Row],[Category]],Table2[orignal data]),Table2[[#This Row],[orignal data]])</f>
        <v>439.45</v>
      </c>
      <c r="T2477" t="str">
        <f t="shared" si="154"/>
        <v>UNIQUE</v>
      </c>
      <c r="U2477" t="str">
        <f>IF(ISBLANK(Table1[[#This Row],[SizeOption]]),"NOT AVAILABLE",Table1[[#This Row],[SizeOption]])</f>
        <v>XS, S, M, L, XL</v>
      </c>
      <c r="Y2477" t="str">
        <f>IF(Table2[[#This Row],[Column1]]&gt;50%,"HIGH DISCOUNT","LOW DISCOUNT")</f>
        <v>LOW DISCOUNT</v>
      </c>
    </row>
    <row r="2478" spans="1:25" x14ac:dyDescent="0.25">
      <c r="A2478" s="1" t="s">
        <v>5247</v>
      </c>
      <c r="B2478" s="1">
        <v>13437234</v>
      </c>
      <c r="C2478" s="1" t="s">
        <v>97</v>
      </c>
      <c r="D2478" s="1" t="s">
        <v>76</v>
      </c>
      <c r="E2478" s="1" t="s">
        <v>77</v>
      </c>
      <c r="F2478" s="1" t="s">
        <v>36</v>
      </c>
      <c r="G2478" s="1" t="s">
        <v>5248</v>
      </c>
      <c r="H2478">
        <v>1259</v>
      </c>
      <c r="I2478" s="1">
        <v>2799</v>
      </c>
      <c r="J2478" s="1" t="s">
        <v>25</v>
      </c>
      <c r="K2478" s="1" t="s">
        <v>100</v>
      </c>
      <c r="L2478" s="1">
        <v>3.9</v>
      </c>
      <c r="M2478" s="1">
        <v>648</v>
      </c>
      <c r="P2478" t="str">
        <f t="shared" si="155"/>
        <v>55%</v>
      </c>
      <c r="Q2478" s="12">
        <f t="shared" si="152"/>
        <v>0.55000000000000004</v>
      </c>
      <c r="R2478" s="9">
        <f t="shared" si="153"/>
        <v>1259.55</v>
      </c>
      <c r="S2478" s="9">
        <f>IF(R2478="",AVERAGEIF(Table1[Category],Table1[[#This Row],[Category]],Table2[orignal data]),Table2[[#This Row],[orignal data]])</f>
        <v>1259.55</v>
      </c>
      <c r="T2478" t="str">
        <f t="shared" si="154"/>
        <v>UNIQUE</v>
      </c>
      <c r="U2478" t="str">
        <f>IF(ISBLANK(Table1[[#This Row],[SizeOption]]),"NOT AVAILABLE",Table1[[#This Row],[SizeOption]])</f>
        <v>XS, S, M, L, XL, XXL, 3XL</v>
      </c>
      <c r="Y2478" t="str">
        <f>IF(Table2[[#This Row],[Column1]]&gt;50%,"HIGH DISCOUNT","LOW DISCOUNT")</f>
        <v>HIGH DISCOUNT</v>
      </c>
    </row>
    <row r="2479" spans="1:25" x14ac:dyDescent="0.25">
      <c r="A2479" s="2" t="s">
        <v>5249</v>
      </c>
      <c r="B2479" s="2">
        <v>11244968</v>
      </c>
      <c r="C2479" s="2" t="s">
        <v>1375</v>
      </c>
      <c r="D2479" s="2" t="s">
        <v>76</v>
      </c>
      <c r="E2479" s="2" t="s">
        <v>320</v>
      </c>
      <c r="F2479" s="2" t="s">
        <v>36</v>
      </c>
      <c r="G2479" s="2" t="s">
        <v>5250</v>
      </c>
      <c r="H2479">
        <v>999</v>
      </c>
      <c r="I2479" s="2">
        <v>3999</v>
      </c>
      <c r="J2479" s="2" t="s">
        <v>109</v>
      </c>
      <c r="K2479" s="2" t="s">
        <v>164</v>
      </c>
      <c r="L2479" s="2">
        <v>4</v>
      </c>
      <c r="M2479" s="2">
        <v>648</v>
      </c>
      <c r="P2479" t="str">
        <f t="shared" si="155"/>
        <v>75%</v>
      </c>
      <c r="Q2479" s="12">
        <f t="shared" si="152"/>
        <v>0.75</v>
      </c>
      <c r="R2479" s="9">
        <f t="shared" si="153"/>
        <v>999.75</v>
      </c>
      <c r="S2479" s="9">
        <f>IF(R2479="",AVERAGEIF(Table1[Category],Table1[[#This Row],[Category]],Table2[orignal data]),Table2[[#This Row],[orignal data]])</f>
        <v>999.75</v>
      </c>
      <c r="T2479" t="str">
        <f t="shared" si="154"/>
        <v>UNIQUE</v>
      </c>
      <c r="U2479" t="str">
        <f>IF(ISBLANK(Table1[[#This Row],[SizeOption]]),"NOT AVAILABLE",Table1[[#This Row],[SizeOption]])</f>
        <v>Onesize</v>
      </c>
      <c r="Y2479" t="str">
        <f>IF(Table2[[#This Row],[Column1]]&gt;50%,"HIGH DISCOUNT","LOW DISCOUNT")</f>
        <v>HIGH DISCOUNT</v>
      </c>
    </row>
    <row r="2480" spans="1:25" x14ac:dyDescent="0.25">
      <c r="A2480" s="1" t="s">
        <v>5251</v>
      </c>
      <c r="B2480" s="1">
        <v>12176804</v>
      </c>
      <c r="C2480" s="1" t="s">
        <v>117</v>
      </c>
      <c r="D2480" s="1" t="s">
        <v>34</v>
      </c>
      <c r="E2480" s="1" t="s">
        <v>296</v>
      </c>
      <c r="F2480" s="1" t="s">
        <v>36</v>
      </c>
      <c r="G2480" s="1" t="s">
        <v>1721</v>
      </c>
      <c r="I2480" s="1">
        <v>699</v>
      </c>
      <c r="J2480" s="1"/>
      <c r="K2480" s="1" t="s">
        <v>26</v>
      </c>
      <c r="L2480" s="1">
        <v>4</v>
      </c>
      <c r="M2480" s="1">
        <v>648</v>
      </c>
      <c r="P2480" t="str">
        <f t="shared" si="155"/>
        <v/>
      </c>
      <c r="Q2480" s="12" t="str">
        <f t="shared" si="152"/>
        <v/>
      </c>
      <c r="R2480" s="9" t="str">
        <f t="shared" si="153"/>
        <v/>
      </c>
      <c r="S2480" s="9">
        <f>IF(R2480="",AVERAGEIF(Table1[Category],Table1[[#This Row],[Category]],Table2[orignal data]),Table2[[#This Row],[orignal data]])</f>
        <v>608.88518518518481</v>
      </c>
      <c r="T2480" t="str">
        <f t="shared" si="154"/>
        <v>UNIQUE</v>
      </c>
      <c r="U2480" t="str">
        <f>IF(ISBLANK(Table1[[#This Row],[SizeOption]]),"NOT AVAILABLE",Table1[[#This Row],[SizeOption]])</f>
        <v>S, M, L, XL</v>
      </c>
      <c r="Y2480" t="str">
        <f>IF(Table2[[#This Row],[Column1]]&gt;50%,"HIGH DISCOUNT","LOW DISCOUNT")</f>
        <v>HIGH DISCOUNT</v>
      </c>
    </row>
    <row r="2481" spans="1:25" x14ac:dyDescent="0.25">
      <c r="A2481" s="2" t="s">
        <v>5252</v>
      </c>
      <c r="B2481" s="2">
        <v>13437296</v>
      </c>
      <c r="C2481" s="2" t="s">
        <v>97</v>
      </c>
      <c r="D2481" s="2" t="s">
        <v>98</v>
      </c>
      <c r="E2481" s="2" t="s">
        <v>77</v>
      </c>
      <c r="F2481" s="2" t="s">
        <v>36</v>
      </c>
      <c r="G2481" s="2" t="s">
        <v>5253</v>
      </c>
      <c r="H2481">
        <v>659</v>
      </c>
      <c r="I2481" s="2">
        <v>2199</v>
      </c>
      <c r="J2481" s="2" t="s">
        <v>79</v>
      </c>
      <c r="K2481" s="2" t="s">
        <v>100</v>
      </c>
      <c r="L2481" s="2">
        <v>4.2</v>
      </c>
      <c r="M2481" s="2">
        <v>648</v>
      </c>
      <c r="P2481" t="str">
        <f t="shared" si="155"/>
        <v>70%</v>
      </c>
      <c r="Q2481" s="12">
        <f t="shared" si="152"/>
        <v>0.7</v>
      </c>
      <c r="R2481" s="9">
        <f t="shared" si="153"/>
        <v>659.7</v>
      </c>
      <c r="S2481" s="9">
        <f>IF(R2481="",AVERAGEIF(Table1[Category],Table1[[#This Row],[Category]],Table2[orignal data]),Table2[[#This Row],[orignal data]])</f>
        <v>659.7</v>
      </c>
      <c r="T2481" t="str">
        <f t="shared" si="154"/>
        <v>UNIQUE</v>
      </c>
      <c r="U2481" t="str">
        <f>IF(ISBLANK(Table1[[#This Row],[SizeOption]]),"NOT AVAILABLE",Table1[[#This Row],[SizeOption]])</f>
        <v>XS, S, M, L, XL, XXL, 3XL</v>
      </c>
      <c r="Y2481" t="str">
        <f>IF(Table2[[#This Row],[Column1]]&gt;50%,"HIGH DISCOUNT","LOW DISCOUNT")</f>
        <v>HIGH DISCOUNT</v>
      </c>
    </row>
    <row r="2482" spans="1:25" x14ac:dyDescent="0.25">
      <c r="A2482" s="1" t="s">
        <v>5254</v>
      </c>
      <c r="B2482" s="1">
        <v>12664634</v>
      </c>
      <c r="C2482" s="1" t="s">
        <v>206</v>
      </c>
      <c r="D2482" s="1" t="s">
        <v>41</v>
      </c>
      <c r="E2482" s="1" t="s">
        <v>48</v>
      </c>
      <c r="F2482" s="1" t="s">
        <v>36</v>
      </c>
      <c r="G2482" s="1" t="s">
        <v>5255</v>
      </c>
      <c r="I2482" s="1">
        <v>1399</v>
      </c>
      <c r="J2482" s="1" t="s">
        <v>84</v>
      </c>
      <c r="K2482" s="1" t="s">
        <v>311</v>
      </c>
      <c r="L2482" s="1">
        <v>4</v>
      </c>
      <c r="M2482" s="1">
        <v>648</v>
      </c>
      <c r="P2482" t="str">
        <f t="shared" si="155"/>
        <v>50%</v>
      </c>
      <c r="Q2482" s="12">
        <f t="shared" si="152"/>
        <v>0.5</v>
      </c>
      <c r="R2482" s="9">
        <f t="shared" si="153"/>
        <v>699.5</v>
      </c>
      <c r="S2482" s="9">
        <f>IF(R2482="",AVERAGEIF(Table1[Category],Table1[[#This Row],[Category]],Table2[orignal data]),Table2[[#This Row],[orignal data]])</f>
        <v>699.5</v>
      </c>
      <c r="T2482" t="str">
        <f t="shared" si="154"/>
        <v>UNIQUE</v>
      </c>
      <c r="U2482" t="str">
        <f>IF(ISBLANK(Table1[[#This Row],[SizeOption]]),"NOT AVAILABLE",Table1[[#This Row],[SizeOption]])</f>
        <v>XS, S, M, L</v>
      </c>
      <c r="Y2482" t="str">
        <f>IF(Table2[[#This Row],[Column1]]&gt;50%,"HIGH DISCOUNT","LOW DISCOUNT")</f>
        <v>LOW DISCOUNT</v>
      </c>
    </row>
    <row r="2483" spans="1:25" x14ac:dyDescent="0.25">
      <c r="A2483" s="2" t="s">
        <v>5256</v>
      </c>
      <c r="B2483" s="2">
        <v>11099570</v>
      </c>
      <c r="C2483" s="2" t="s">
        <v>800</v>
      </c>
      <c r="D2483" s="2" t="s">
        <v>41</v>
      </c>
      <c r="E2483" s="2" t="s">
        <v>148</v>
      </c>
      <c r="F2483" s="2" t="s">
        <v>36</v>
      </c>
      <c r="G2483" s="2" t="s">
        <v>5257</v>
      </c>
      <c r="I2483" s="2">
        <v>1699</v>
      </c>
      <c r="J2483" s="2" t="s">
        <v>95</v>
      </c>
      <c r="K2483" s="2" t="s">
        <v>39</v>
      </c>
      <c r="L2483" s="2">
        <v>3.8</v>
      </c>
      <c r="M2483" s="2">
        <v>648</v>
      </c>
      <c r="P2483" t="str">
        <f t="shared" si="155"/>
        <v>59%</v>
      </c>
      <c r="Q2483" s="12">
        <f t="shared" si="152"/>
        <v>0.59</v>
      </c>
      <c r="R2483" s="9">
        <f t="shared" si="153"/>
        <v>696.59</v>
      </c>
      <c r="S2483" s="9">
        <f>IF(R2483="",AVERAGEIF(Table1[Category],Table1[[#This Row],[Category]],Table2[orignal data]),Table2[[#This Row],[orignal data]])</f>
        <v>696.59</v>
      </c>
      <c r="T2483" t="str">
        <f t="shared" si="154"/>
        <v>UNIQUE</v>
      </c>
      <c r="U2483" t="str">
        <f>IF(ISBLANK(Table1[[#This Row],[SizeOption]]),"NOT AVAILABLE",Table1[[#This Row],[SizeOption]])</f>
        <v>S, M, L, XL, XXL</v>
      </c>
      <c r="Y2483" t="str">
        <f>IF(Table2[[#This Row],[Column1]]&gt;50%,"HIGH DISCOUNT","LOW DISCOUNT")</f>
        <v>HIGH DISCOUNT</v>
      </c>
    </row>
    <row r="2484" spans="1:25" x14ac:dyDescent="0.25">
      <c r="A2484" s="1" t="s">
        <v>5258</v>
      </c>
      <c r="B2484" s="1">
        <v>17523376</v>
      </c>
      <c r="C2484" s="1" t="s">
        <v>47</v>
      </c>
      <c r="D2484" s="1" t="s">
        <v>41</v>
      </c>
      <c r="E2484" s="1" t="s">
        <v>42</v>
      </c>
      <c r="F2484" s="1" t="s">
        <v>36</v>
      </c>
      <c r="G2484" s="1" t="s">
        <v>3084</v>
      </c>
      <c r="I2484" s="1">
        <v>1798</v>
      </c>
      <c r="J2484" s="1" t="s">
        <v>84</v>
      </c>
      <c r="K2484" s="1" t="s">
        <v>45</v>
      </c>
      <c r="L2484" s="1">
        <v>4.2</v>
      </c>
      <c r="M2484" s="1">
        <v>648</v>
      </c>
      <c r="P2484" t="str">
        <f t="shared" si="155"/>
        <v>50%</v>
      </c>
      <c r="Q2484" s="12">
        <f t="shared" si="152"/>
        <v>0.5</v>
      </c>
      <c r="R2484" s="9">
        <f t="shared" si="153"/>
        <v>899</v>
      </c>
      <c r="S2484" s="9">
        <f>IF(R2484="",AVERAGEIF(Table1[Category],Table1[[#This Row],[Category]],Table2[orignal data]),Table2[[#This Row],[orignal data]])</f>
        <v>899</v>
      </c>
      <c r="T2484" t="str">
        <f t="shared" si="154"/>
        <v>UNIQUE</v>
      </c>
      <c r="U2484" t="str">
        <f>IF(ISBLANK(Table1[[#This Row],[SizeOption]]),"NOT AVAILABLE",Table1[[#This Row],[SizeOption]])</f>
        <v>XS, S, M, L, XL</v>
      </c>
      <c r="Y2484" t="str">
        <f>IF(Table2[[#This Row],[Column1]]&gt;50%,"HIGH DISCOUNT","LOW DISCOUNT")</f>
        <v>LOW DISCOUNT</v>
      </c>
    </row>
    <row r="2485" spans="1:25" x14ac:dyDescent="0.25">
      <c r="A2485" s="2" t="s">
        <v>5259</v>
      </c>
      <c r="B2485" s="2">
        <v>10778684</v>
      </c>
      <c r="C2485" s="2" t="s">
        <v>14</v>
      </c>
      <c r="D2485" s="2" t="s">
        <v>41</v>
      </c>
      <c r="E2485" s="2" t="s">
        <v>42</v>
      </c>
      <c r="F2485" s="2" t="s">
        <v>36</v>
      </c>
      <c r="G2485" s="2" t="s">
        <v>5260</v>
      </c>
      <c r="I2485" s="2">
        <v>599</v>
      </c>
      <c r="J2485" s="2" t="s">
        <v>19</v>
      </c>
      <c r="K2485" s="2" t="s">
        <v>45</v>
      </c>
      <c r="L2485" s="2">
        <v>4.3</v>
      </c>
      <c r="M2485" s="2">
        <v>648</v>
      </c>
      <c r="P2485" t="str">
        <f t="shared" si="155"/>
        <v>45%</v>
      </c>
      <c r="Q2485" s="12">
        <f t="shared" si="152"/>
        <v>0.45</v>
      </c>
      <c r="R2485" s="9">
        <f t="shared" si="153"/>
        <v>329.45</v>
      </c>
      <c r="S2485" s="9">
        <f>IF(R2485="",AVERAGEIF(Table1[Category],Table1[[#This Row],[Category]],Table2[orignal data]),Table2[[#This Row],[orignal data]])</f>
        <v>329.45</v>
      </c>
      <c r="T2485" t="str">
        <f t="shared" si="154"/>
        <v>UNIQUE</v>
      </c>
      <c r="U2485" t="str">
        <f>IF(ISBLANK(Table1[[#This Row],[SizeOption]]),"NOT AVAILABLE",Table1[[#This Row],[SizeOption]])</f>
        <v>XS, S, M, L, XL</v>
      </c>
      <c r="Y2485" t="str">
        <f>IF(Table2[[#This Row],[Column1]]&gt;50%,"HIGH DISCOUNT","LOW DISCOUNT")</f>
        <v>LOW DISCOUNT</v>
      </c>
    </row>
    <row r="2486" spans="1:25" x14ac:dyDescent="0.25">
      <c r="A2486" s="1" t="s">
        <v>5261</v>
      </c>
      <c r="B2486" s="1">
        <v>13179848</v>
      </c>
      <c r="C2486" s="1" t="s">
        <v>107</v>
      </c>
      <c r="D2486" s="1" t="s">
        <v>41</v>
      </c>
      <c r="E2486" s="1" t="s">
        <v>48</v>
      </c>
      <c r="F2486" s="1" t="s">
        <v>36</v>
      </c>
      <c r="G2486" s="1" t="s">
        <v>5262</v>
      </c>
      <c r="I2486" s="1">
        <v>1399</v>
      </c>
      <c r="J2486" s="1"/>
      <c r="K2486" s="1" t="s">
        <v>45</v>
      </c>
      <c r="L2486" s="1">
        <v>4.5</v>
      </c>
      <c r="M2486" s="1">
        <v>648</v>
      </c>
      <c r="P2486" t="str">
        <f t="shared" si="155"/>
        <v/>
      </c>
      <c r="Q2486" s="12" t="str">
        <f t="shared" si="152"/>
        <v/>
      </c>
      <c r="R2486" s="9" t="str">
        <f t="shared" si="153"/>
        <v/>
      </c>
      <c r="S2486" s="9">
        <f>IF(R2486="",AVERAGEIF(Table1[Category],Table1[[#This Row],[Category]],Table2[orignal data]),Table2[[#This Row],[orignal data]])</f>
        <v>715.78890751086249</v>
      </c>
      <c r="T2486" t="str">
        <f t="shared" si="154"/>
        <v>UNIQUE</v>
      </c>
      <c r="U2486" t="str">
        <f>IF(ISBLANK(Table1[[#This Row],[SizeOption]]),"NOT AVAILABLE",Table1[[#This Row],[SizeOption]])</f>
        <v>XS, S, M, L, XL</v>
      </c>
      <c r="Y2486" t="str">
        <f>IF(Table2[[#This Row],[Column1]]&gt;50%,"HIGH DISCOUNT","LOW DISCOUNT")</f>
        <v>HIGH DISCOUNT</v>
      </c>
    </row>
    <row r="2487" spans="1:25" x14ac:dyDescent="0.25">
      <c r="A2487" s="2" t="s">
        <v>5263</v>
      </c>
      <c r="B2487" s="2">
        <v>9366013</v>
      </c>
      <c r="C2487" s="2" t="s">
        <v>113</v>
      </c>
      <c r="D2487" s="2" t="s">
        <v>76</v>
      </c>
      <c r="E2487" s="2" t="s">
        <v>77</v>
      </c>
      <c r="F2487" s="2" t="s">
        <v>17</v>
      </c>
      <c r="G2487" s="2" t="s">
        <v>5264</v>
      </c>
      <c r="H2487">
        <v>1359</v>
      </c>
      <c r="I2487" s="2">
        <v>3399</v>
      </c>
      <c r="J2487" s="2" t="s">
        <v>55</v>
      </c>
      <c r="K2487" s="2" t="s">
        <v>39</v>
      </c>
      <c r="L2487" s="2">
        <v>3.9</v>
      </c>
      <c r="M2487" s="2">
        <v>647</v>
      </c>
      <c r="P2487" t="str">
        <f t="shared" si="155"/>
        <v>60%</v>
      </c>
      <c r="Q2487" s="12">
        <f t="shared" si="152"/>
        <v>0.6</v>
      </c>
      <c r="R2487" s="9">
        <f t="shared" si="153"/>
        <v>1359.6000000000001</v>
      </c>
      <c r="S2487" s="9">
        <f>IF(R2487="",AVERAGEIF(Table1[Category],Table1[[#This Row],[Category]],Table2[orignal data]),Table2[[#This Row],[orignal data]])</f>
        <v>1359.6000000000001</v>
      </c>
      <c r="T2487" t="str">
        <f t="shared" si="154"/>
        <v>UNIQUE</v>
      </c>
      <c r="U2487" t="str">
        <f>IF(ISBLANK(Table1[[#This Row],[SizeOption]]),"NOT AVAILABLE",Table1[[#This Row],[SizeOption]])</f>
        <v>S, M, L, XL, XXL</v>
      </c>
      <c r="Y2487" t="str">
        <f>IF(Table2[[#This Row],[Column1]]&gt;50%,"HIGH DISCOUNT","LOW DISCOUNT")</f>
        <v>HIGH DISCOUNT</v>
      </c>
    </row>
    <row r="2488" spans="1:25" x14ac:dyDescent="0.25">
      <c r="A2488" s="1" t="s">
        <v>5265</v>
      </c>
      <c r="B2488" s="1">
        <v>9102595</v>
      </c>
      <c r="C2488" s="1" t="s">
        <v>14</v>
      </c>
      <c r="D2488" s="1" t="s">
        <v>28</v>
      </c>
      <c r="E2488" s="1" t="s">
        <v>42</v>
      </c>
      <c r="F2488" s="1" t="s">
        <v>17</v>
      </c>
      <c r="G2488" s="1" t="s">
        <v>5266</v>
      </c>
      <c r="H2488">
        <v>319</v>
      </c>
      <c r="I2488" s="1">
        <v>799</v>
      </c>
      <c r="J2488" s="1" t="s">
        <v>55</v>
      </c>
      <c r="K2488" s="1" t="s">
        <v>73</v>
      </c>
      <c r="L2488" s="1">
        <v>4.2</v>
      </c>
      <c r="M2488" s="1">
        <v>647</v>
      </c>
      <c r="P2488" t="str">
        <f t="shared" si="155"/>
        <v>60%</v>
      </c>
      <c r="Q2488" s="12">
        <f t="shared" si="152"/>
        <v>0.6</v>
      </c>
      <c r="R2488" s="9">
        <f t="shared" si="153"/>
        <v>319.60000000000002</v>
      </c>
      <c r="S2488" s="9">
        <f>IF(R2488="",AVERAGEIF(Table1[Category],Table1[[#This Row],[Category]],Table2[orignal data]),Table2[[#This Row],[orignal data]])</f>
        <v>319.60000000000002</v>
      </c>
      <c r="T2488" t="str">
        <f t="shared" si="154"/>
        <v>UNIQUE</v>
      </c>
      <c r="U2488" t="str">
        <f>IF(ISBLANK(Table1[[#This Row],[SizeOption]]),"NOT AVAILABLE",Table1[[#This Row],[SizeOption]])</f>
        <v>XS, S, M, L, XL, XXL, 3XL, 4XL</v>
      </c>
      <c r="Y2488" t="str">
        <f>IF(Table2[[#This Row],[Column1]]&gt;50%,"HIGH DISCOUNT","LOW DISCOUNT")</f>
        <v>HIGH DISCOUNT</v>
      </c>
    </row>
    <row r="2489" spans="1:25" x14ac:dyDescent="0.25">
      <c r="A2489" s="2" t="s">
        <v>5267</v>
      </c>
      <c r="B2489" s="2">
        <v>10500838</v>
      </c>
      <c r="C2489" s="2" t="s">
        <v>865</v>
      </c>
      <c r="D2489" s="2" t="s">
        <v>76</v>
      </c>
      <c r="E2489" s="2" t="s">
        <v>320</v>
      </c>
      <c r="F2489" s="2" t="s">
        <v>36</v>
      </c>
      <c r="G2489" s="2" t="s">
        <v>5268</v>
      </c>
      <c r="H2489">
        <v>674</v>
      </c>
      <c r="I2489" s="2">
        <v>1349</v>
      </c>
      <c r="J2489" s="2" t="s">
        <v>84</v>
      </c>
      <c r="K2489" s="2" t="s">
        <v>164</v>
      </c>
      <c r="L2489" s="2">
        <v>3.9</v>
      </c>
      <c r="M2489" s="2">
        <v>647</v>
      </c>
      <c r="P2489" t="str">
        <f t="shared" si="155"/>
        <v>50%</v>
      </c>
      <c r="Q2489" s="12">
        <f t="shared" si="152"/>
        <v>0.5</v>
      </c>
      <c r="R2489" s="9">
        <f t="shared" si="153"/>
        <v>674.5</v>
      </c>
      <c r="S2489" s="9">
        <f>IF(R2489="",AVERAGEIF(Table1[Category],Table1[[#This Row],[Category]],Table2[orignal data]),Table2[[#This Row],[orignal data]])</f>
        <v>674.5</v>
      </c>
      <c r="T2489" t="str">
        <f t="shared" si="154"/>
        <v>UNIQUE</v>
      </c>
      <c r="U2489" t="str">
        <f>IF(ISBLANK(Table1[[#This Row],[SizeOption]]),"NOT AVAILABLE",Table1[[#This Row],[SizeOption]])</f>
        <v>Onesize</v>
      </c>
      <c r="Y2489" t="str">
        <f>IF(Table2[[#This Row],[Column1]]&gt;50%,"HIGH DISCOUNT","LOW DISCOUNT")</f>
        <v>LOW DISCOUNT</v>
      </c>
    </row>
    <row r="2490" spans="1:25" x14ac:dyDescent="0.25">
      <c r="A2490" s="1" t="s">
        <v>5269</v>
      </c>
      <c r="B2490" s="1">
        <v>11569266</v>
      </c>
      <c r="C2490" s="1" t="s">
        <v>5270</v>
      </c>
      <c r="D2490" s="1" t="s">
        <v>76</v>
      </c>
      <c r="E2490" s="1" t="s">
        <v>77</v>
      </c>
      <c r="F2490" s="1" t="s">
        <v>36</v>
      </c>
      <c r="G2490" s="1" t="s">
        <v>5271</v>
      </c>
      <c r="H2490">
        <v>1418</v>
      </c>
      <c r="I2490" s="1">
        <v>3299</v>
      </c>
      <c r="J2490" s="1" t="s">
        <v>130</v>
      </c>
      <c r="K2490" s="1" t="s">
        <v>39</v>
      </c>
      <c r="L2490" s="1">
        <v>3.9</v>
      </c>
      <c r="M2490" s="1">
        <v>647</v>
      </c>
      <c r="P2490" t="str">
        <f t="shared" si="155"/>
        <v>57%</v>
      </c>
      <c r="Q2490" s="12">
        <f t="shared" si="152"/>
        <v>0.56999999999999995</v>
      </c>
      <c r="R2490" s="9">
        <f t="shared" si="153"/>
        <v>1418.5700000000002</v>
      </c>
      <c r="S2490" s="9">
        <f>IF(R2490="",AVERAGEIF(Table1[Category],Table1[[#This Row],[Category]],Table2[orignal data]),Table2[[#This Row],[orignal data]])</f>
        <v>1418.5700000000002</v>
      </c>
      <c r="T2490" t="str">
        <f t="shared" si="154"/>
        <v>UNIQUE</v>
      </c>
      <c r="U2490" t="str">
        <f>IF(ISBLANK(Table1[[#This Row],[SizeOption]]),"NOT AVAILABLE",Table1[[#This Row],[SizeOption]])</f>
        <v>S, M, L, XL, XXL</v>
      </c>
      <c r="Y2490" t="str">
        <f>IF(Table2[[#This Row],[Column1]]&gt;50%,"HIGH DISCOUNT","LOW DISCOUNT")</f>
        <v>HIGH DISCOUNT</v>
      </c>
    </row>
    <row r="2491" spans="1:25" x14ac:dyDescent="0.25">
      <c r="A2491" s="2" t="s">
        <v>5272</v>
      </c>
      <c r="B2491" s="2">
        <v>11671590</v>
      </c>
      <c r="C2491" s="2" t="s">
        <v>5273</v>
      </c>
      <c r="D2491" s="2" t="s">
        <v>76</v>
      </c>
      <c r="E2491" s="2" t="s">
        <v>5274</v>
      </c>
      <c r="F2491" s="2" t="s">
        <v>36</v>
      </c>
      <c r="G2491" s="2" t="s">
        <v>5275</v>
      </c>
      <c r="H2491">
        <v>1687</v>
      </c>
      <c r="I2491" s="2">
        <v>5818</v>
      </c>
      <c r="J2491" s="2" t="s">
        <v>279</v>
      </c>
      <c r="K2491" s="2" t="s">
        <v>164</v>
      </c>
      <c r="L2491" s="2">
        <v>4.3</v>
      </c>
      <c r="M2491" s="2">
        <v>647</v>
      </c>
      <c r="P2491" t="str">
        <f t="shared" si="155"/>
        <v>71%</v>
      </c>
      <c r="Q2491" s="12">
        <f t="shared" si="152"/>
        <v>0.71</v>
      </c>
      <c r="R2491" s="9">
        <f t="shared" si="153"/>
        <v>1687.2200000000003</v>
      </c>
      <c r="S2491" s="9">
        <f>IF(R2491="",AVERAGEIF(Table1[Category],Table1[[#This Row],[Category]],Table2[orignal data]),Table2[[#This Row],[orignal data]])</f>
        <v>1687.2200000000003</v>
      </c>
      <c r="T2491" t="str">
        <f t="shared" si="154"/>
        <v>UNIQUE</v>
      </c>
      <c r="U2491" t="str">
        <f>IF(ISBLANK(Table1[[#This Row],[SizeOption]]),"NOT AVAILABLE",Table1[[#This Row],[SizeOption]])</f>
        <v>Onesize</v>
      </c>
      <c r="Y2491" t="str">
        <f>IF(Table2[[#This Row],[Column1]]&gt;50%,"HIGH DISCOUNT","LOW DISCOUNT")</f>
        <v>HIGH DISCOUNT</v>
      </c>
    </row>
    <row r="2492" spans="1:25" x14ac:dyDescent="0.25">
      <c r="A2492" s="1" t="s">
        <v>5276</v>
      </c>
      <c r="B2492" s="1">
        <v>5702437</v>
      </c>
      <c r="C2492" s="1" t="s">
        <v>405</v>
      </c>
      <c r="D2492" s="1" t="s">
        <v>34</v>
      </c>
      <c r="E2492" s="1" t="s">
        <v>518</v>
      </c>
      <c r="F2492" s="1" t="s">
        <v>36</v>
      </c>
      <c r="G2492" s="1" t="s">
        <v>5277</v>
      </c>
      <c r="H2492">
        <v>593</v>
      </c>
      <c r="I2492" s="1">
        <v>899</v>
      </c>
      <c r="J2492" s="1" t="s">
        <v>3662</v>
      </c>
      <c r="K2492" s="1" t="s">
        <v>1341</v>
      </c>
      <c r="L2492" s="1">
        <v>3.9</v>
      </c>
      <c r="M2492" s="1">
        <v>647</v>
      </c>
      <c r="P2492" t="str">
        <f t="shared" si="155"/>
        <v>34%</v>
      </c>
      <c r="Q2492" s="12">
        <f t="shared" si="152"/>
        <v>0.34</v>
      </c>
      <c r="R2492" s="9">
        <f t="shared" si="153"/>
        <v>593.33999999999992</v>
      </c>
      <c r="S2492" s="9">
        <f>IF(R2492="",AVERAGEIF(Table1[Category],Table1[[#This Row],[Category]],Table2[orignal data]),Table2[[#This Row],[orignal data]])</f>
        <v>593.33999999999992</v>
      </c>
      <c r="T2492" t="str">
        <f t="shared" si="154"/>
        <v>UNIQUE</v>
      </c>
      <c r="U2492" t="str">
        <f>IF(ISBLANK(Table1[[#This Row],[SizeOption]]),"NOT AVAILABLE",Table1[[#This Row],[SizeOption]])</f>
        <v>M, L, XL</v>
      </c>
      <c r="Y2492" t="str">
        <f>IF(Table2[[#This Row],[Column1]]&gt;50%,"HIGH DISCOUNT","LOW DISCOUNT")</f>
        <v>LOW DISCOUNT</v>
      </c>
    </row>
    <row r="2493" spans="1:25" x14ac:dyDescent="0.25">
      <c r="A2493" s="2" t="s">
        <v>5278</v>
      </c>
      <c r="B2493" s="2">
        <v>12277586</v>
      </c>
      <c r="C2493" s="2" t="s">
        <v>290</v>
      </c>
      <c r="D2493" s="2" t="s">
        <v>41</v>
      </c>
      <c r="E2493" s="2" t="s">
        <v>53</v>
      </c>
      <c r="F2493" s="2" t="s">
        <v>36</v>
      </c>
      <c r="G2493" s="2" t="s">
        <v>5279</v>
      </c>
      <c r="I2493" s="2">
        <v>1799</v>
      </c>
      <c r="J2493" s="2" t="s">
        <v>84</v>
      </c>
      <c r="K2493" s="2" t="s">
        <v>428</v>
      </c>
      <c r="L2493" s="2">
        <v>4.3</v>
      </c>
      <c r="M2493" s="2">
        <v>647</v>
      </c>
      <c r="P2493" t="str">
        <f t="shared" si="155"/>
        <v>50%</v>
      </c>
      <c r="Q2493" s="12">
        <f t="shared" si="152"/>
        <v>0.5</v>
      </c>
      <c r="R2493" s="9">
        <f t="shared" si="153"/>
        <v>899.5</v>
      </c>
      <c r="S2493" s="9">
        <f>IF(R2493="",AVERAGEIF(Table1[Category],Table1[[#This Row],[Category]],Table2[orignal data]),Table2[[#This Row],[orignal data]])</f>
        <v>899.5</v>
      </c>
      <c r="T2493" t="str">
        <f t="shared" si="154"/>
        <v>UNIQUE</v>
      </c>
      <c r="U2493" t="str">
        <f>IF(ISBLANK(Table1[[#This Row],[SizeOption]]),"NOT AVAILABLE",Table1[[#This Row],[SizeOption]])</f>
        <v>26, 28, 30, 32, 34</v>
      </c>
      <c r="Y2493" t="str">
        <f>IF(Table2[[#This Row],[Column1]]&gt;50%,"HIGH DISCOUNT","LOW DISCOUNT")</f>
        <v>LOW DISCOUNT</v>
      </c>
    </row>
    <row r="2494" spans="1:25" x14ac:dyDescent="0.25">
      <c r="A2494" s="1" t="s">
        <v>5280</v>
      </c>
      <c r="B2494" s="1">
        <v>9249061</v>
      </c>
      <c r="C2494" s="1" t="s">
        <v>887</v>
      </c>
      <c r="D2494" s="1" t="s">
        <v>41</v>
      </c>
      <c r="E2494" s="1" t="s">
        <v>148</v>
      </c>
      <c r="F2494" s="1" t="s">
        <v>36</v>
      </c>
      <c r="G2494" s="1" t="s">
        <v>5281</v>
      </c>
      <c r="I2494" s="1">
        <v>2600</v>
      </c>
      <c r="J2494" s="1" t="s">
        <v>1863</v>
      </c>
      <c r="K2494" s="1" t="s">
        <v>26</v>
      </c>
      <c r="L2494" s="1">
        <v>4.4000000000000004</v>
      </c>
      <c r="M2494" s="1">
        <v>647</v>
      </c>
      <c r="P2494" t="str">
        <f t="shared" si="155"/>
        <v>39%</v>
      </c>
      <c r="Q2494" s="12">
        <f t="shared" si="152"/>
        <v>0.39</v>
      </c>
      <c r="R2494" s="9">
        <f t="shared" si="153"/>
        <v>1586</v>
      </c>
      <c r="S2494" s="9">
        <f>IF(R2494="",AVERAGEIF(Table1[Category],Table1[[#This Row],[Category]],Table2[orignal data]),Table2[[#This Row],[orignal data]])</f>
        <v>1586</v>
      </c>
      <c r="T2494" t="str">
        <f t="shared" si="154"/>
        <v>UNIQUE</v>
      </c>
      <c r="U2494" t="str">
        <f>IF(ISBLANK(Table1[[#This Row],[SizeOption]]),"NOT AVAILABLE",Table1[[#This Row],[SizeOption]])</f>
        <v>S, M, L, XL</v>
      </c>
      <c r="Y2494" t="str">
        <f>IF(Table2[[#This Row],[Column1]]&gt;50%,"HIGH DISCOUNT","LOW DISCOUNT")</f>
        <v>LOW DISCOUNT</v>
      </c>
    </row>
    <row r="2495" spans="1:25" x14ac:dyDescent="0.25">
      <c r="A2495" s="2" t="s">
        <v>5282</v>
      </c>
      <c r="B2495" s="2">
        <v>17525460</v>
      </c>
      <c r="C2495" s="2" t="s">
        <v>47</v>
      </c>
      <c r="D2495" s="2" t="s">
        <v>41</v>
      </c>
      <c r="E2495" s="2" t="s">
        <v>42</v>
      </c>
      <c r="F2495" s="2" t="s">
        <v>36</v>
      </c>
      <c r="G2495" s="2" t="s">
        <v>1169</v>
      </c>
      <c r="I2495" s="2">
        <v>1598</v>
      </c>
      <c r="J2495" s="2"/>
      <c r="K2495" s="2" t="s">
        <v>45</v>
      </c>
      <c r="L2495" s="2">
        <v>4.3</v>
      </c>
      <c r="M2495" s="2">
        <v>647</v>
      </c>
      <c r="P2495" t="str">
        <f t="shared" si="155"/>
        <v/>
      </c>
      <c r="Q2495" s="12" t="str">
        <f t="shared" si="152"/>
        <v/>
      </c>
      <c r="R2495" s="9" t="str">
        <f t="shared" si="153"/>
        <v/>
      </c>
      <c r="S2495" s="9">
        <f>IF(R2495="",AVERAGEIF(Table1[Category],Table1[[#This Row],[Category]],Table2[orignal data]),Table2[[#This Row],[orignal data]])</f>
        <v>715.78890751086249</v>
      </c>
      <c r="T2495" t="str">
        <f t="shared" si="154"/>
        <v>UNIQUE</v>
      </c>
      <c r="U2495" t="str">
        <f>IF(ISBLANK(Table1[[#This Row],[SizeOption]]),"NOT AVAILABLE",Table1[[#This Row],[SizeOption]])</f>
        <v>XS, S, M, L, XL</v>
      </c>
      <c r="Y2495" t="str">
        <f>IF(Table2[[#This Row],[Column1]]&gt;50%,"HIGH DISCOUNT","LOW DISCOUNT")</f>
        <v>HIGH DISCOUNT</v>
      </c>
    </row>
    <row r="2496" spans="1:25" x14ac:dyDescent="0.25">
      <c r="A2496" s="1" t="s">
        <v>5283</v>
      </c>
      <c r="B2496" s="1">
        <v>1616324</v>
      </c>
      <c r="C2496" s="1" t="s">
        <v>47</v>
      </c>
      <c r="D2496" s="1" t="s">
        <v>197</v>
      </c>
      <c r="E2496" s="1" t="s">
        <v>198</v>
      </c>
      <c r="F2496" s="1" t="s">
        <v>17</v>
      </c>
      <c r="G2496" s="1" t="s">
        <v>3849</v>
      </c>
      <c r="H2496">
        <v>319</v>
      </c>
      <c r="I2496" s="1">
        <v>399</v>
      </c>
      <c r="J2496" s="1" t="s">
        <v>412</v>
      </c>
      <c r="K2496" s="1" t="s">
        <v>164</v>
      </c>
      <c r="L2496" s="1">
        <v>4.3</v>
      </c>
      <c r="M2496" s="1">
        <v>646</v>
      </c>
      <c r="P2496" t="str">
        <f t="shared" si="155"/>
        <v>20%</v>
      </c>
      <c r="Q2496" s="12">
        <f t="shared" si="152"/>
        <v>0.2</v>
      </c>
      <c r="R2496" s="9">
        <f t="shared" si="153"/>
        <v>319.2</v>
      </c>
      <c r="S2496" s="9">
        <f>IF(R2496="",AVERAGEIF(Table1[Category],Table1[[#This Row],[Category]],Table2[orignal data]),Table2[[#This Row],[orignal data]])</f>
        <v>319.2</v>
      </c>
      <c r="T2496" t="str">
        <f t="shared" si="154"/>
        <v>UNIQUE</v>
      </c>
      <c r="U2496" t="str">
        <f>IF(ISBLANK(Table1[[#This Row],[SizeOption]]),"NOT AVAILABLE",Table1[[#This Row],[SizeOption]])</f>
        <v>Onesize</v>
      </c>
      <c r="Y2496" t="str">
        <f>IF(Table2[[#This Row],[Column1]]&gt;50%,"HIGH DISCOUNT","LOW DISCOUNT")</f>
        <v>LOW DISCOUNT</v>
      </c>
    </row>
    <row r="2497" spans="1:25" x14ac:dyDescent="0.25">
      <c r="A2497" s="2" t="s">
        <v>5284</v>
      </c>
      <c r="B2497" s="2">
        <v>11053762</v>
      </c>
      <c r="C2497" s="2" t="s">
        <v>75</v>
      </c>
      <c r="D2497" s="2" t="s">
        <v>76</v>
      </c>
      <c r="E2497" s="2" t="s">
        <v>365</v>
      </c>
      <c r="F2497" s="2" t="s">
        <v>36</v>
      </c>
      <c r="G2497" s="2" t="s">
        <v>5285</v>
      </c>
      <c r="H2497">
        <v>629</v>
      </c>
      <c r="I2497" s="2">
        <v>1399</v>
      </c>
      <c r="J2497" s="2" t="s">
        <v>25</v>
      </c>
      <c r="K2497" s="2" t="s">
        <v>39</v>
      </c>
      <c r="L2497" s="2">
        <v>4.3</v>
      </c>
      <c r="M2497" s="2">
        <v>646</v>
      </c>
      <c r="P2497" t="str">
        <f t="shared" si="155"/>
        <v>55%</v>
      </c>
      <c r="Q2497" s="12">
        <f t="shared" si="152"/>
        <v>0.55000000000000004</v>
      </c>
      <c r="R2497" s="9">
        <f t="shared" si="153"/>
        <v>629.54999999999995</v>
      </c>
      <c r="S2497" s="9">
        <f>IF(R2497="",AVERAGEIF(Table1[Category],Table1[[#This Row],[Category]],Table2[orignal data]),Table2[[#This Row],[orignal data]])</f>
        <v>629.54999999999995</v>
      </c>
      <c r="T2497" t="str">
        <f t="shared" si="154"/>
        <v>UNIQUE</v>
      </c>
      <c r="U2497" t="str">
        <f>IF(ISBLANK(Table1[[#This Row],[SizeOption]]),"NOT AVAILABLE",Table1[[#This Row],[SizeOption]])</f>
        <v>S, M, L, XL, XXL</v>
      </c>
      <c r="Y2497" t="str">
        <f>IF(Table2[[#This Row],[Column1]]&gt;50%,"HIGH DISCOUNT","LOW DISCOUNT")</f>
        <v>HIGH DISCOUNT</v>
      </c>
    </row>
    <row r="2498" spans="1:25" x14ac:dyDescent="0.25">
      <c r="A2498" s="1" t="s">
        <v>5286</v>
      </c>
      <c r="B2498" s="1">
        <v>13437262</v>
      </c>
      <c r="C2498" s="1" t="s">
        <v>97</v>
      </c>
      <c r="D2498" s="1" t="s">
        <v>76</v>
      </c>
      <c r="E2498" s="1" t="s">
        <v>77</v>
      </c>
      <c r="F2498" s="1" t="s">
        <v>36</v>
      </c>
      <c r="G2498" s="1" t="s">
        <v>5287</v>
      </c>
      <c r="H2498">
        <v>1049</v>
      </c>
      <c r="I2498" s="1">
        <v>2999</v>
      </c>
      <c r="J2498" s="1" t="s">
        <v>150</v>
      </c>
      <c r="K2498" s="1" t="s">
        <v>100</v>
      </c>
      <c r="L2498" s="1">
        <v>4</v>
      </c>
      <c r="M2498" s="1">
        <v>646</v>
      </c>
      <c r="P2498" t="str">
        <f t="shared" si="155"/>
        <v>65%</v>
      </c>
      <c r="Q2498" s="12">
        <f t="shared" ref="Q2498:Q2561" si="156">IF(P2498="","",IF(ISNUMBER(SEARCH("%",P2498)),P2498,P2498/I2498)*100%)</f>
        <v>0.65</v>
      </c>
      <c r="R2498" s="9">
        <f t="shared" ref="R2498:R2561" si="157">IF(P2498="","",I2498-(I2498*Q2498))</f>
        <v>1049.6499999999999</v>
      </c>
      <c r="S2498" s="9">
        <f>IF(R2498="",AVERAGEIF(Table1[Category],Table1[[#This Row],[Category]],Table2[orignal data]),Table2[[#This Row],[orignal data]])</f>
        <v>1049.6499999999999</v>
      </c>
      <c r="T2498" t="str">
        <f t="shared" ref="T2498:T2561" si="158">IF(COUNTIF($B$2:$B$5000,B2498)&gt;1,"DUPLICATE","UNIQUE")</f>
        <v>UNIQUE</v>
      </c>
      <c r="U2498" t="str">
        <f>IF(ISBLANK(Table1[[#This Row],[SizeOption]]),"NOT AVAILABLE",Table1[[#This Row],[SizeOption]])</f>
        <v>XS, S, M, L, XL, XXL, 3XL</v>
      </c>
      <c r="Y2498" t="str">
        <f>IF(Table2[[#This Row],[Column1]]&gt;50%,"HIGH DISCOUNT","LOW DISCOUNT")</f>
        <v>HIGH DISCOUNT</v>
      </c>
    </row>
    <row r="2499" spans="1:25" x14ac:dyDescent="0.25">
      <c r="A2499" s="2" t="s">
        <v>5288</v>
      </c>
      <c r="B2499" s="2">
        <v>8233165</v>
      </c>
      <c r="C2499" s="2" t="s">
        <v>377</v>
      </c>
      <c r="D2499" s="2" t="s">
        <v>98</v>
      </c>
      <c r="E2499" s="2" t="s">
        <v>93</v>
      </c>
      <c r="F2499" s="2" t="s">
        <v>36</v>
      </c>
      <c r="G2499" s="2" t="s">
        <v>5289</v>
      </c>
      <c r="H2499">
        <v>664</v>
      </c>
      <c r="I2499" s="2">
        <v>1899</v>
      </c>
      <c r="J2499" s="2" t="s">
        <v>150</v>
      </c>
      <c r="K2499" s="2" t="s">
        <v>100</v>
      </c>
      <c r="L2499" s="2">
        <v>4.4000000000000004</v>
      </c>
      <c r="M2499" s="2">
        <v>646</v>
      </c>
      <c r="P2499" t="str">
        <f t="shared" ref="P2499:P2562" si="159">TRIM(SUBSTITUTE(SUBSTITUTE(SUBSTITUTE(SUBSTITUTE(J2499,"OFF",""),"Rs.",""),"Hurry*",""),",",""))</f>
        <v>65%</v>
      </c>
      <c r="Q2499" s="12">
        <f t="shared" si="156"/>
        <v>0.65</v>
      </c>
      <c r="R2499" s="9">
        <f t="shared" si="157"/>
        <v>664.64999999999986</v>
      </c>
      <c r="S2499" s="9">
        <f>IF(R2499="",AVERAGEIF(Table1[Category],Table1[[#This Row],[Category]],Table2[orignal data]),Table2[[#This Row],[orignal data]])</f>
        <v>664.64999999999986</v>
      </c>
      <c r="T2499" t="str">
        <f t="shared" si="158"/>
        <v>UNIQUE</v>
      </c>
      <c r="U2499" t="str">
        <f>IF(ISBLANK(Table1[[#This Row],[SizeOption]]),"NOT AVAILABLE",Table1[[#This Row],[SizeOption]])</f>
        <v>XS, S, M, L, XL, XXL, 3XL</v>
      </c>
      <c r="Y2499" t="str">
        <f>IF(Table2[[#This Row],[Column1]]&gt;50%,"HIGH DISCOUNT","LOW DISCOUNT")</f>
        <v>HIGH DISCOUNT</v>
      </c>
    </row>
    <row r="2500" spans="1:25" x14ac:dyDescent="0.25">
      <c r="A2500" s="1" t="s">
        <v>5290</v>
      </c>
      <c r="B2500" s="1">
        <v>14139238</v>
      </c>
      <c r="C2500" s="1" t="s">
        <v>64</v>
      </c>
      <c r="D2500" s="1" t="s">
        <v>98</v>
      </c>
      <c r="E2500" s="1" t="s">
        <v>16</v>
      </c>
      <c r="F2500" s="1" t="s">
        <v>36</v>
      </c>
      <c r="G2500" s="1" t="s">
        <v>5291</v>
      </c>
      <c r="H2500">
        <v>839</v>
      </c>
      <c r="I2500" s="1">
        <v>2099</v>
      </c>
      <c r="J2500" s="1" t="s">
        <v>55</v>
      </c>
      <c r="K2500" s="1" t="s">
        <v>643</v>
      </c>
      <c r="L2500" s="1">
        <v>4.0999999999999996</v>
      </c>
      <c r="M2500" s="1">
        <v>646</v>
      </c>
      <c r="P2500" t="str">
        <f t="shared" si="159"/>
        <v>60%</v>
      </c>
      <c r="Q2500" s="12">
        <f t="shared" si="156"/>
        <v>0.6</v>
      </c>
      <c r="R2500" s="9">
        <f t="shared" si="157"/>
        <v>839.60000000000014</v>
      </c>
      <c r="S2500" s="9">
        <f>IF(R2500="",AVERAGEIF(Table1[Category],Table1[[#This Row],[Category]],Table2[orignal data]),Table2[[#This Row],[orignal data]])</f>
        <v>839.60000000000014</v>
      </c>
      <c r="T2500" t="str">
        <f t="shared" si="158"/>
        <v>UNIQUE</v>
      </c>
      <c r="U2500" t="str">
        <f>IF(ISBLANK(Table1[[#This Row],[SizeOption]]),"NOT AVAILABLE",Table1[[#This Row],[SizeOption]])</f>
        <v>26, 28, 30, 32, 34, 36, 38, 40</v>
      </c>
      <c r="Y2500" t="str">
        <f>IF(Table2[[#This Row],[Column1]]&gt;50%,"HIGH DISCOUNT","LOW DISCOUNT")</f>
        <v>HIGH DISCOUNT</v>
      </c>
    </row>
    <row r="2501" spans="1:25" x14ac:dyDescent="0.25">
      <c r="A2501" s="2" t="s">
        <v>5292</v>
      </c>
      <c r="B2501" s="2">
        <v>13072016</v>
      </c>
      <c r="C2501" s="2" t="s">
        <v>290</v>
      </c>
      <c r="D2501" s="2" t="s">
        <v>41</v>
      </c>
      <c r="E2501" s="2" t="s">
        <v>148</v>
      </c>
      <c r="F2501" s="2" t="s">
        <v>36</v>
      </c>
      <c r="G2501" s="2" t="s">
        <v>5293</v>
      </c>
      <c r="I2501" s="2">
        <v>1999</v>
      </c>
      <c r="J2501" s="2" t="s">
        <v>84</v>
      </c>
      <c r="K2501" s="2" t="s">
        <v>45</v>
      </c>
      <c r="L2501" s="2">
        <v>4.5999999999999996</v>
      </c>
      <c r="M2501" s="2">
        <v>646</v>
      </c>
      <c r="P2501" t="str">
        <f t="shared" si="159"/>
        <v>50%</v>
      </c>
      <c r="Q2501" s="12">
        <f t="shared" si="156"/>
        <v>0.5</v>
      </c>
      <c r="R2501" s="9">
        <f t="shared" si="157"/>
        <v>999.5</v>
      </c>
      <c r="S2501" s="9">
        <f>IF(R2501="",AVERAGEIF(Table1[Category],Table1[[#This Row],[Category]],Table2[orignal data]),Table2[[#This Row],[orignal data]])</f>
        <v>999.5</v>
      </c>
      <c r="T2501" t="str">
        <f t="shared" si="158"/>
        <v>UNIQUE</v>
      </c>
      <c r="U2501" t="str">
        <f>IF(ISBLANK(Table1[[#This Row],[SizeOption]]),"NOT AVAILABLE",Table1[[#This Row],[SizeOption]])</f>
        <v>XS, S, M, L, XL</v>
      </c>
      <c r="Y2501" t="str">
        <f>IF(Table2[[#This Row],[Column1]]&gt;50%,"HIGH DISCOUNT","LOW DISCOUNT")</f>
        <v>LOW DISCOUNT</v>
      </c>
    </row>
    <row r="2502" spans="1:25" x14ac:dyDescent="0.25">
      <c r="A2502" s="1" t="s">
        <v>5294</v>
      </c>
      <c r="B2502" s="1">
        <v>10730128</v>
      </c>
      <c r="C2502" s="1" t="s">
        <v>887</v>
      </c>
      <c r="D2502" s="1" t="s">
        <v>41</v>
      </c>
      <c r="E2502" s="1" t="s">
        <v>148</v>
      </c>
      <c r="F2502" s="1" t="s">
        <v>36</v>
      </c>
      <c r="G2502" s="1" t="s">
        <v>5295</v>
      </c>
      <c r="I2502" s="1">
        <v>2400</v>
      </c>
      <c r="J2502" s="1" t="s">
        <v>109</v>
      </c>
      <c r="K2502" s="1" t="s">
        <v>26</v>
      </c>
      <c r="L2502" s="1">
        <v>4.2</v>
      </c>
      <c r="M2502" s="1">
        <v>646</v>
      </c>
      <c r="P2502" t="str">
        <f t="shared" si="159"/>
        <v>75%</v>
      </c>
      <c r="Q2502" s="12">
        <f t="shared" si="156"/>
        <v>0.75</v>
      </c>
      <c r="R2502" s="9">
        <f t="shared" si="157"/>
        <v>600</v>
      </c>
      <c r="S2502" s="9">
        <f>IF(R2502="",AVERAGEIF(Table1[Category],Table1[[#This Row],[Category]],Table2[orignal data]),Table2[[#This Row],[orignal data]])</f>
        <v>600</v>
      </c>
      <c r="T2502" t="str">
        <f t="shared" si="158"/>
        <v>UNIQUE</v>
      </c>
      <c r="U2502" t="str">
        <f>IF(ISBLANK(Table1[[#This Row],[SizeOption]]),"NOT AVAILABLE",Table1[[#This Row],[SizeOption]])</f>
        <v>S, M, L, XL</v>
      </c>
      <c r="Y2502" t="str">
        <f>IF(Table2[[#This Row],[Column1]]&gt;50%,"HIGH DISCOUNT","LOW DISCOUNT")</f>
        <v>HIGH DISCOUNT</v>
      </c>
    </row>
    <row r="2503" spans="1:25" x14ac:dyDescent="0.25">
      <c r="A2503" s="2" t="s">
        <v>5296</v>
      </c>
      <c r="B2503" s="2">
        <v>9254703</v>
      </c>
      <c r="C2503" s="2" t="s">
        <v>271</v>
      </c>
      <c r="D2503" s="2" t="s">
        <v>41</v>
      </c>
      <c r="E2503" s="2" t="s">
        <v>82</v>
      </c>
      <c r="F2503" s="2" t="s">
        <v>36</v>
      </c>
      <c r="G2503" s="2" t="s">
        <v>5297</v>
      </c>
      <c r="I2503" s="2">
        <v>2599</v>
      </c>
      <c r="J2503" s="2" t="s">
        <v>50</v>
      </c>
      <c r="K2503" s="2" t="s">
        <v>45</v>
      </c>
      <c r="L2503" s="2">
        <v>4.2</v>
      </c>
      <c r="M2503" s="2">
        <v>646</v>
      </c>
      <c r="P2503" t="str">
        <f t="shared" si="159"/>
        <v>40%</v>
      </c>
      <c r="Q2503" s="12">
        <f t="shared" si="156"/>
        <v>0.4</v>
      </c>
      <c r="R2503" s="9">
        <f t="shared" si="157"/>
        <v>1559.3999999999999</v>
      </c>
      <c r="S2503" s="9">
        <f>IF(R2503="",AVERAGEIF(Table1[Category],Table1[[#This Row],[Category]],Table2[orignal data]),Table2[[#This Row],[orignal data]])</f>
        <v>1559.3999999999999</v>
      </c>
      <c r="T2503" t="str">
        <f t="shared" si="158"/>
        <v>UNIQUE</v>
      </c>
      <c r="U2503" t="str">
        <f>IF(ISBLANK(Table1[[#This Row],[SizeOption]]),"NOT AVAILABLE",Table1[[#This Row],[SizeOption]])</f>
        <v>XS, S, M, L, XL</v>
      </c>
      <c r="Y2503" t="str">
        <f>IF(Table2[[#This Row],[Column1]]&gt;50%,"HIGH DISCOUNT","LOW DISCOUNT")</f>
        <v>LOW DISCOUNT</v>
      </c>
    </row>
    <row r="2504" spans="1:25" x14ac:dyDescent="0.25">
      <c r="A2504" s="1" t="s">
        <v>5298</v>
      </c>
      <c r="B2504" s="1">
        <v>10562392</v>
      </c>
      <c r="C2504" s="1" t="s">
        <v>14</v>
      </c>
      <c r="D2504" s="1" t="s">
        <v>41</v>
      </c>
      <c r="E2504" s="1" t="s">
        <v>189</v>
      </c>
      <c r="F2504" s="1" t="s">
        <v>36</v>
      </c>
      <c r="G2504" s="1" t="s">
        <v>4394</v>
      </c>
      <c r="I2504" s="1">
        <v>2699</v>
      </c>
      <c r="J2504" s="1" t="s">
        <v>79</v>
      </c>
      <c r="K2504" s="1" t="s">
        <v>115</v>
      </c>
      <c r="L2504" s="1">
        <v>4.2</v>
      </c>
      <c r="M2504" s="1">
        <v>646</v>
      </c>
      <c r="P2504" t="str">
        <f t="shared" si="159"/>
        <v>70%</v>
      </c>
      <c r="Q2504" s="12">
        <f t="shared" si="156"/>
        <v>0.7</v>
      </c>
      <c r="R2504" s="9">
        <f t="shared" si="157"/>
        <v>809.7</v>
      </c>
      <c r="S2504" s="9">
        <f>IF(R2504="",AVERAGEIF(Table1[Category],Table1[[#This Row],[Category]],Table2[orignal data]),Table2[[#This Row],[orignal data]])</f>
        <v>809.7</v>
      </c>
      <c r="T2504" t="str">
        <f t="shared" si="158"/>
        <v>UNIQUE</v>
      </c>
      <c r="U2504" t="str">
        <f>IF(ISBLANK(Table1[[#This Row],[SizeOption]]),"NOT AVAILABLE",Table1[[#This Row],[SizeOption]])</f>
        <v>XS, S, M, L, XL, XXL</v>
      </c>
      <c r="Y2504" t="str">
        <f>IF(Table2[[#This Row],[Column1]]&gt;50%,"HIGH DISCOUNT","LOW DISCOUNT")</f>
        <v>HIGH DISCOUNT</v>
      </c>
    </row>
    <row r="2505" spans="1:25" x14ac:dyDescent="0.25">
      <c r="A2505" s="2" t="s">
        <v>5299</v>
      </c>
      <c r="B2505" s="2">
        <v>12965940</v>
      </c>
      <c r="C2505" s="2" t="s">
        <v>784</v>
      </c>
      <c r="D2505" s="2" t="s">
        <v>41</v>
      </c>
      <c r="E2505" s="2" t="s">
        <v>53</v>
      </c>
      <c r="F2505" s="2" t="s">
        <v>36</v>
      </c>
      <c r="G2505" s="2" t="s">
        <v>5300</v>
      </c>
      <c r="I2505" s="2">
        <v>899</v>
      </c>
      <c r="J2505" s="2" t="s">
        <v>3520</v>
      </c>
      <c r="K2505" s="2" t="s">
        <v>195</v>
      </c>
      <c r="L2505" s="2">
        <v>4.4000000000000004</v>
      </c>
      <c r="M2505" s="2">
        <v>646</v>
      </c>
      <c r="P2505" t="str">
        <f t="shared" si="159"/>
        <v>8%</v>
      </c>
      <c r="Q2505" s="12">
        <f t="shared" si="156"/>
        <v>0.08</v>
      </c>
      <c r="R2505" s="9">
        <f t="shared" si="157"/>
        <v>827.08</v>
      </c>
      <c r="S2505" s="9">
        <f>IF(R2505="",AVERAGEIF(Table1[Category],Table1[[#This Row],[Category]],Table2[orignal data]),Table2[[#This Row],[orignal data]])</f>
        <v>827.08</v>
      </c>
      <c r="T2505" t="str">
        <f t="shared" si="158"/>
        <v>UNIQUE</v>
      </c>
      <c r="U2505" t="str">
        <f>IF(ISBLANK(Table1[[#This Row],[SizeOption]]),"NOT AVAILABLE",Table1[[#This Row],[SizeOption]])</f>
        <v>28, 30, 32, 34, 36, 38, 40</v>
      </c>
      <c r="Y2505" t="str">
        <f>IF(Table2[[#This Row],[Column1]]&gt;50%,"HIGH DISCOUNT","LOW DISCOUNT")</f>
        <v>LOW DISCOUNT</v>
      </c>
    </row>
    <row r="2506" spans="1:25" x14ac:dyDescent="0.25">
      <c r="A2506" s="1" t="s">
        <v>5301</v>
      </c>
      <c r="B2506" s="1">
        <v>10020047</v>
      </c>
      <c r="C2506" s="1" t="s">
        <v>22</v>
      </c>
      <c r="D2506" s="1" t="s">
        <v>15</v>
      </c>
      <c r="E2506" s="1" t="s">
        <v>16</v>
      </c>
      <c r="F2506" s="1" t="s">
        <v>17</v>
      </c>
      <c r="G2506" s="1" t="s">
        <v>5302</v>
      </c>
      <c r="H2506">
        <v>974</v>
      </c>
      <c r="I2506" s="1">
        <v>2499</v>
      </c>
      <c r="J2506" s="1" t="s">
        <v>104</v>
      </c>
      <c r="K2506" s="1" t="s">
        <v>56</v>
      </c>
      <c r="L2506" s="1">
        <v>4.0999999999999996</v>
      </c>
      <c r="M2506" s="1">
        <v>645</v>
      </c>
      <c r="P2506" t="str">
        <f t="shared" si="159"/>
        <v>61%</v>
      </c>
      <c r="Q2506" s="12">
        <f t="shared" si="156"/>
        <v>0.61</v>
      </c>
      <c r="R2506" s="9">
        <f t="shared" si="157"/>
        <v>974.61000000000013</v>
      </c>
      <c r="S2506" s="9">
        <f>IF(R2506="",AVERAGEIF(Table1[Category],Table1[[#This Row],[Category]],Table2[orignal data]),Table2[[#This Row],[orignal data]])</f>
        <v>974.61000000000013</v>
      </c>
      <c r="T2506" t="str">
        <f t="shared" si="158"/>
        <v>UNIQUE</v>
      </c>
      <c r="U2506" t="str">
        <f>IF(ISBLANK(Table1[[#This Row],[SizeOption]]),"NOT AVAILABLE",Table1[[#This Row],[SizeOption]])</f>
        <v>30, 32, 34, 36</v>
      </c>
      <c r="Y2506" t="str">
        <f>IF(Table2[[#This Row],[Column1]]&gt;50%,"HIGH DISCOUNT","LOW DISCOUNT")</f>
        <v>HIGH DISCOUNT</v>
      </c>
    </row>
    <row r="2507" spans="1:25" x14ac:dyDescent="0.25">
      <c r="A2507" s="2" t="s">
        <v>5303</v>
      </c>
      <c r="B2507" s="2">
        <v>8897791</v>
      </c>
      <c r="C2507" s="2" t="s">
        <v>67</v>
      </c>
      <c r="D2507" s="2" t="s">
        <v>15</v>
      </c>
      <c r="E2507" s="2" t="s">
        <v>23</v>
      </c>
      <c r="F2507" s="2" t="s">
        <v>17</v>
      </c>
      <c r="G2507" s="2" t="s">
        <v>5304</v>
      </c>
      <c r="H2507">
        <v>664</v>
      </c>
      <c r="I2507" s="2">
        <v>1899</v>
      </c>
      <c r="J2507" s="2" t="s">
        <v>150</v>
      </c>
      <c r="K2507" s="2" t="s">
        <v>39</v>
      </c>
      <c r="L2507" s="2">
        <v>3.9</v>
      </c>
      <c r="M2507" s="2">
        <v>645</v>
      </c>
      <c r="P2507" t="str">
        <f t="shared" si="159"/>
        <v>65%</v>
      </c>
      <c r="Q2507" s="12">
        <f t="shared" si="156"/>
        <v>0.65</v>
      </c>
      <c r="R2507" s="9">
        <f t="shared" si="157"/>
        <v>664.64999999999986</v>
      </c>
      <c r="S2507" s="9">
        <f>IF(R2507="",AVERAGEIF(Table1[Category],Table1[[#This Row],[Category]],Table2[orignal data]),Table2[[#This Row],[orignal data]])</f>
        <v>664.64999999999986</v>
      </c>
      <c r="T2507" t="str">
        <f t="shared" si="158"/>
        <v>UNIQUE</v>
      </c>
      <c r="U2507" t="str">
        <f>IF(ISBLANK(Table1[[#This Row],[SizeOption]]),"NOT AVAILABLE",Table1[[#This Row],[SizeOption]])</f>
        <v>S, M, L, XL, XXL</v>
      </c>
      <c r="Y2507" t="str">
        <f>IF(Table2[[#This Row],[Column1]]&gt;50%,"HIGH DISCOUNT","LOW DISCOUNT")</f>
        <v>HIGH DISCOUNT</v>
      </c>
    </row>
    <row r="2508" spans="1:25" x14ac:dyDescent="0.25">
      <c r="A2508" s="1" t="s">
        <v>5305</v>
      </c>
      <c r="B2508" s="1">
        <v>8704519</v>
      </c>
      <c r="C2508" s="1" t="s">
        <v>1693</v>
      </c>
      <c r="D2508" s="1" t="s">
        <v>76</v>
      </c>
      <c r="E2508" s="1" t="s">
        <v>93</v>
      </c>
      <c r="F2508" s="1" t="s">
        <v>17</v>
      </c>
      <c r="G2508" s="1" t="s">
        <v>5306</v>
      </c>
      <c r="H2508">
        <v>1649</v>
      </c>
      <c r="I2508" s="1">
        <v>2999</v>
      </c>
      <c r="J2508" s="1" t="s">
        <v>19</v>
      </c>
      <c r="K2508" s="1" t="s">
        <v>39</v>
      </c>
      <c r="L2508" s="1">
        <v>4.4000000000000004</v>
      </c>
      <c r="M2508" s="1">
        <v>645</v>
      </c>
      <c r="P2508" t="str">
        <f t="shared" si="159"/>
        <v>45%</v>
      </c>
      <c r="Q2508" s="12">
        <f t="shared" si="156"/>
        <v>0.45</v>
      </c>
      <c r="R2508" s="9">
        <f t="shared" si="157"/>
        <v>1649.45</v>
      </c>
      <c r="S2508" s="9">
        <f>IF(R2508="",AVERAGEIF(Table1[Category],Table1[[#This Row],[Category]],Table2[orignal data]),Table2[[#This Row],[orignal data]])</f>
        <v>1649.45</v>
      </c>
      <c r="T2508" t="str">
        <f t="shared" si="158"/>
        <v>UNIQUE</v>
      </c>
      <c r="U2508" t="str">
        <f>IF(ISBLANK(Table1[[#This Row],[SizeOption]]),"NOT AVAILABLE",Table1[[#This Row],[SizeOption]])</f>
        <v>S, M, L, XL, XXL</v>
      </c>
      <c r="Y2508" t="str">
        <f>IF(Table2[[#This Row],[Column1]]&gt;50%,"HIGH DISCOUNT","LOW DISCOUNT")</f>
        <v>LOW DISCOUNT</v>
      </c>
    </row>
    <row r="2509" spans="1:25" x14ac:dyDescent="0.25">
      <c r="A2509" s="2" t="s">
        <v>5307</v>
      </c>
      <c r="B2509" s="2">
        <v>2391102</v>
      </c>
      <c r="C2509" s="2" t="s">
        <v>841</v>
      </c>
      <c r="D2509" s="2" t="s">
        <v>28</v>
      </c>
      <c r="E2509" s="2" t="s">
        <v>29</v>
      </c>
      <c r="F2509" s="2" t="s">
        <v>17</v>
      </c>
      <c r="G2509" s="2" t="s">
        <v>5308</v>
      </c>
      <c r="H2509">
        <v>1199</v>
      </c>
      <c r="I2509" s="2">
        <v>1999</v>
      </c>
      <c r="J2509" s="2" t="s">
        <v>50</v>
      </c>
      <c r="K2509" s="2" t="s">
        <v>253</v>
      </c>
      <c r="L2509" s="2">
        <v>4</v>
      </c>
      <c r="M2509" s="2">
        <v>645</v>
      </c>
      <c r="P2509" t="str">
        <f t="shared" si="159"/>
        <v>40%</v>
      </c>
      <c r="Q2509" s="12">
        <f t="shared" si="156"/>
        <v>0.4</v>
      </c>
      <c r="R2509" s="9">
        <f t="shared" si="157"/>
        <v>1199.4000000000001</v>
      </c>
      <c r="S2509" s="9">
        <f>IF(R2509="",AVERAGEIF(Table1[Category],Table1[[#This Row],[Category]],Table2[orignal data]),Table2[[#This Row],[orignal data]])</f>
        <v>1199.4000000000001</v>
      </c>
      <c r="T2509" t="str">
        <f t="shared" si="158"/>
        <v>UNIQUE</v>
      </c>
      <c r="U2509" t="str">
        <f>IF(ISBLANK(Table1[[#This Row],[SizeOption]]),"NOT AVAILABLE",Table1[[#This Row],[SizeOption]])</f>
        <v>38, 40, 42, 44</v>
      </c>
      <c r="Y2509" t="str">
        <f>IF(Table2[[#This Row],[Column1]]&gt;50%,"HIGH DISCOUNT","LOW DISCOUNT")</f>
        <v>LOW DISCOUNT</v>
      </c>
    </row>
    <row r="2510" spans="1:25" x14ac:dyDescent="0.25">
      <c r="A2510" s="1" t="s">
        <v>5309</v>
      </c>
      <c r="B2510" s="1">
        <v>3082392</v>
      </c>
      <c r="C2510" s="1" t="s">
        <v>47</v>
      </c>
      <c r="D2510" s="1" t="s">
        <v>28</v>
      </c>
      <c r="E2510" s="1" t="s">
        <v>42</v>
      </c>
      <c r="F2510" s="1" t="s">
        <v>17</v>
      </c>
      <c r="G2510" s="1" t="s">
        <v>5310</v>
      </c>
      <c r="H2510">
        <v>339</v>
      </c>
      <c r="I2510" s="1">
        <v>849</v>
      </c>
      <c r="J2510" s="1" t="s">
        <v>55</v>
      </c>
      <c r="K2510" s="1" t="s">
        <v>26</v>
      </c>
      <c r="L2510" s="1">
        <v>4.2</v>
      </c>
      <c r="M2510" s="1">
        <v>645</v>
      </c>
      <c r="P2510" t="str">
        <f t="shared" si="159"/>
        <v>60%</v>
      </c>
      <c r="Q2510" s="12">
        <f t="shared" si="156"/>
        <v>0.6</v>
      </c>
      <c r="R2510" s="9">
        <f t="shared" si="157"/>
        <v>339.6</v>
      </c>
      <c r="S2510" s="9">
        <f>IF(R2510="",AVERAGEIF(Table1[Category],Table1[[#This Row],[Category]],Table2[orignal data]),Table2[[#This Row],[orignal data]])</f>
        <v>339.6</v>
      </c>
      <c r="T2510" t="str">
        <f t="shared" si="158"/>
        <v>UNIQUE</v>
      </c>
      <c r="U2510" t="str">
        <f>IF(ISBLANK(Table1[[#This Row],[SizeOption]]),"NOT AVAILABLE",Table1[[#This Row],[SizeOption]])</f>
        <v>S, M, L, XL</v>
      </c>
      <c r="Y2510" t="str">
        <f>IF(Table2[[#This Row],[Column1]]&gt;50%,"HIGH DISCOUNT","LOW DISCOUNT")</f>
        <v>HIGH DISCOUNT</v>
      </c>
    </row>
    <row r="2511" spans="1:25" x14ac:dyDescent="0.25">
      <c r="A2511" s="2" t="s">
        <v>5311</v>
      </c>
      <c r="B2511" s="2">
        <v>9000189</v>
      </c>
      <c r="C2511" s="2" t="s">
        <v>377</v>
      </c>
      <c r="D2511" s="2" t="s">
        <v>76</v>
      </c>
      <c r="E2511" s="2" t="s">
        <v>77</v>
      </c>
      <c r="F2511" s="2" t="s">
        <v>36</v>
      </c>
      <c r="G2511" s="2" t="s">
        <v>5312</v>
      </c>
      <c r="H2511">
        <v>1257</v>
      </c>
      <c r="I2511" s="2">
        <v>3699</v>
      </c>
      <c r="J2511" s="2" t="s">
        <v>403</v>
      </c>
      <c r="K2511" s="2" t="s">
        <v>115</v>
      </c>
      <c r="L2511" s="2">
        <v>4</v>
      </c>
      <c r="M2511" s="2">
        <v>645</v>
      </c>
      <c r="P2511" t="str">
        <f t="shared" si="159"/>
        <v>66%</v>
      </c>
      <c r="Q2511" s="12">
        <f t="shared" si="156"/>
        <v>0.66</v>
      </c>
      <c r="R2511" s="9">
        <f t="shared" si="157"/>
        <v>1257.6599999999999</v>
      </c>
      <c r="S2511" s="9">
        <f>IF(R2511="",AVERAGEIF(Table1[Category],Table1[[#This Row],[Category]],Table2[orignal data]),Table2[[#This Row],[orignal data]])</f>
        <v>1257.6599999999999</v>
      </c>
      <c r="T2511" t="str">
        <f t="shared" si="158"/>
        <v>UNIQUE</v>
      </c>
      <c r="U2511" t="str">
        <f>IF(ISBLANK(Table1[[#This Row],[SizeOption]]),"NOT AVAILABLE",Table1[[#This Row],[SizeOption]])</f>
        <v>XS, S, M, L, XL, XXL</v>
      </c>
      <c r="Y2511" t="str">
        <f>IF(Table2[[#This Row],[Column1]]&gt;50%,"HIGH DISCOUNT","LOW DISCOUNT")</f>
        <v>HIGH DISCOUNT</v>
      </c>
    </row>
    <row r="2512" spans="1:25" x14ac:dyDescent="0.25">
      <c r="A2512" s="1" t="s">
        <v>5313</v>
      </c>
      <c r="B2512" s="1">
        <v>7865861</v>
      </c>
      <c r="C2512" s="1" t="s">
        <v>1592</v>
      </c>
      <c r="D2512" s="1" t="s">
        <v>34</v>
      </c>
      <c r="E2512" s="1" t="s">
        <v>118</v>
      </c>
      <c r="F2512" s="1" t="s">
        <v>36</v>
      </c>
      <c r="G2512" s="1" t="s">
        <v>5314</v>
      </c>
      <c r="H2512">
        <v>430</v>
      </c>
      <c r="I2512" s="1">
        <v>1075</v>
      </c>
      <c r="J2512" s="1" t="s">
        <v>55</v>
      </c>
      <c r="K2512" s="1" t="s">
        <v>1595</v>
      </c>
      <c r="L2512" s="1">
        <v>3.8</v>
      </c>
      <c r="M2512" s="1">
        <v>645</v>
      </c>
      <c r="P2512" t="str">
        <f t="shared" si="159"/>
        <v>60%</v>
      </c>
      <c r="Q2512" s="12">
        <f t="shared" si="156"/>
        <v>0.6</v>
      </c>
      <c r="R2512" s="9">
        <f t="shared" si="157"/>
        <v>430</v>
      </c>
      <c r="S2512" s="9">
        <f>IF(R2512="",AVERAGEIF(Table1[Category],Table1[[#This Row],[Category]],Table2[orignal data]),Table2[[#This Row],[orignal data]])</f>
        <v>430</v>
      </c>
      <c r="T2512" t="str">
        <f t="shared" si="158"/>
        <v>UNIQUE</v>
      </c>
      <c r="U2512" t="str">
        <f>IF(ISBLANK(Table1[[#This Row],[SizeOption]]),"NOT AVAILABLE",Table1[[#This Row],[SizeOption]])</f>
        <v>28B, 30B, 32B, 34B, 36B, 38B, 40B</v>
      </c>
      <c r="Y2512" t="str">
        <f>IF(Table2[[#This Row],[Column1]]&gt;50%,"HIGH DISCOUNT","LOW DISCOUNT")</f>
        <v>HIGH DISCOUNT</v>
      </c>
    </row>
    <row r="2513" spans="1:25" x14ac:dyDescent="0.25">
      <c r="A2513" s="2" t="s">
        <v>5315</v>
      </c>
      <c r="B2513" s="2">
        <v>11316784</v>
      </c>
      <c r="C2513" s="2" t="s">
        <v>5316</v>
      </c>
      <c r="D2513" s="2" t="s">
        <v>34</v>
      </c>
      <c r="E2513" s="2" t="s">
        <v>406</v>
      </c>
      <c r="F2513" s="2" t="s">
        <v>36</v>
      </c>
      <c r="G2513" s="2" t="s">
        <v>5317</v>
      </c>
      <c r="H2513">
        <v>1199</v>
      </c>
      <c r="I2513" s="2">
        <v>1999</v>
      </c>
      <c r="J2513" s="2" t="s">
        <v>50</v>
      </c>
      <c r="K2513" s="2" t="s">
        <v>26</v>
      </c>
      <c r="L2513" s="2">
        <v>3.9</v>
      </c>
      <c r="M2513" s="2">
        <v>645</v>
      </c>
      <c r="P2513" t="str">
        <f t="shared" si="159"/>
        <v>40%</v>
      </c>
      <c r="Q2513" s="12">
        <f t="shared" si="156"/>
        <v>0.4</v>
      </c>
      <c r="R2513" s="9">
        <f t="shared" si="157"/>
        <v>1199.4000000000001</v>
      </c>
      <c r="S2513" s="9">
        <f>IF(R2513="",AVERAGEIF(Table1[Category],Table1[[#This Row],[Category]],Table2[orignal data]),Table2[[#This Row],[orignal data]])</f>
        <v>1199.4000000000001</v>
      </c>
      <c r="T2513" t="str">
        <f t="shared" si="158"/>
        <v>UNIQUE</v>
      </c>
      <c r="U2513" t="str">
        <f>IF(ISBLANK(Table1[[#This Row],[SizeOption]]),"NOT AVAILABLE",Table1[[#This Row],[SizeOption]])</f>
        <v>S, M, L, XL</v>
      </c>
      <c r="Y2513" t="str">
        <f>IF(Table2[[#This Row],[Column1]]&gt;50%,"HIGH DISCOUNT","LOW DISCOUNT")</f>
        <v>LOW DISCOUNT</v>
      </c>
    </row>
    <row r="2514" spans="1:25" x14ac:dyDescent="0.25">
      <c r="A2514" s="1" t="s">
        <v>5318</v>
      </c>
      <c r="B2514" s="1">
        <v>4881843</v>
      </c>
      <c r="C2514" s="1" t="s">
        <v>67</v>
      </c>
      <c r="D2514" s="1" t="s">
        <v>68</v>
      </c>
      <c r="E2514" s="1" t="s">
        <v>306</v>
      </c>
      <c r="F2514" s="1" t="s">
        <v>36</v>
      </c>
      <c r="G2514" s="1" t="s">
        <v>5319</v>
      </c>
      <c r="H2514">
        <v>1124</v>
      </c>
      <c r="I2514" s="1">
        <v>2499</v>
      </c>
      <c r="J2514" s="1" t="s">
        <v>25</v>
      </c>
      <c r="K2514" s="1" t="s">
        <v>115</v>
      </c>
      <c r="L2514" s="1">
        <v>4.3</v>
      </c>
      <c r="M2514" s="1">
        <v>645</v>
      </c>
      <c r="P2514" t="str">
        <f t="shared" si="159"/>
        <v>55%</v>
      </c>
      <c r="Q2514" s="12">
        <f t="shared" si="156"/>
        <v>0.55000000000000004</v>
      </c>
      <c r="R2514" s="9">
        <f t="shared" si="157"/>
        <v>1124.55</v>
      </c>
      <c r="S2514" s="9">
        <f>IF(R2514="",AVERAGEIF(Table1[Category],Table1[[#This Row],[Category]],Table2[orignal data]),Table2[[#This Row],[orignal data]])</f>
        <v>1124.55</v>
      </c>
      <c r="T2514" t="str">
        <f t="shared" si="158"/>
        <v>UNIQUE</v>
      </c>
      <c r="U2514" t="str">
        <f>IF(ISBLANK(Table1[[#This Row],[SizeOption]]),"NOT AVAILABLE",Table1[[#This Row],[SizeOption]])</f>
        <v>XS, S, M, L, XL, XXL</v>
      </c>
      <c r="Y2514" t="str">
        <f>IF(Table2[[#This Row],[Column1]]&gt;50%,"HIGH DISCOUNT","LOW DISCOUNT")</f>
        <v>HIGH DISCOUNT</v>
      </c>
    </row>
    <row r="2515" spans="1:25" x14ac:dyDescent="0.25">
      <c r="A2515" s="2" t="s">
        <v>5320</v>
      </c>
      <c r="B2515" s="2">
        <v>17382052</v>
      </c>
      <c r="C2515" s="2" t="s">
        <v>14</v>
      </c>
      <c r="D2515" s="2" t="s">
        <v>41</v>
      </c>
      <c r="E2515" s="2" t="s">
        <v>42</v>
      </c>
      <c r="F2515" s="2" t="s">
        <v>36</v>
      </c>
      <c r="G2515" s="2" t="s">
        <v>2359</v>
      </c>
      <c r="I2515" s="2">
        <v>1598</v>
      </c>
      <c r="J2515" s="2" t="s">
        <v>84</v>
      </c>
      <c r="K2515" s="2" t="s">
        <v>45</v>
      </c>
      <c r="L2515" s="2">
        <v>4.0999999999999996</v>
      </c>
      <c r="M2515" s="2">
        <v>645</v>
      </c>
      <c r="P2515" t="str">
        <f t="shared" si="159"/>
        <v>50%</v>
      </c>
      <c r="Q2515" s="12">
        <f t="shared" si="156"/>
        <v>0.5</v>
      </c>
      <c r="R2515" s="9">
        <f t="shared" si="157"/>
        <v>799</v>
      </c>
      <c r="S2515" s="9">
        <f>IF(R2515="",AVERAGEIF(Table1[Category],Table1[[#This Row],[Category]],Table2[orignal data]),Table2[[#This Row],[orignal data]])</f>
        <v>799</v>
      </c>
      <c r="T2515" t="str">
        <f t="shared" si="158"/>
        <v>UNIQUE</v>
      </c>
      <c r="U2515" t="str">
        <f>IF(ISBLANK(Table1[[#This Row],[SizeOption]]),"NOT AVAILABLE",Table1[[#This Row],[SizeOption]])</f>
        <v>XS, S, M, L, XL</v>
      </c>
      <c r="Y2515" t="str">
        <f>IF(Table2[[#This Row],[Column1]]&gt;50%,"HIGH DISCOUNT","LOW DISCOUNT")</f>
        <v>LOW DISCOUNT</v>
      </c>
    </row>
    <row r="2516" spans="1:25" x14ac:dyDescent="0.25">
      <c r="A2516" s="1" t="s">
        <v>5321</v>
      </c>
      <c r="B2516" s="1">
        <v>6011928</v>
      </c>
      <c r="C2516" s="1" t="s">
        <v>14</v>
      </c>
      <c r="D2516" s="1" t="s">
        <v>41</v>
      </c>
      <c r="E2516" s="1" t="s">
        <v>306</v>
      </c>
      <c r="F2516" s="1" t="s">
        <v>36</v>
      </c>
      <c r="G2516" s="1" t="s">
        <v>5322</v>
      </c>
      <c r="I2516" s="1">
        <v>1599</v>
      </c>
      <c r="J2516" s="1" t="s">
        <v>79</v>
      </c>
      <c r="K2516" s="1" t="s">
        <v>115</v>
      </c>
      <c r="L2516" s="1">
        <v>3.8</v>
      </c>
      <c r="M2516" s="1">
        <v>645</v>
      </c>
      <c r="P2516" t="str">
        <f t="shared" si="159"/>
        <v>70%</v>
      </c>
      <c r="Q2516" s="12">
        <f t="shared" si="156"/>
        <v>0.7</v>
      </c>
      <c r="R2516" s="9">
        <f t="shared" si="157"/>
        <v>479.70000000000005</v>
      </c>
      <c r="S2516" s="9">
        <f>IF(R2516="",AVERAGEIF(Table1[Category],Table1[[#This Row],[Category]],Table2[orignal data]),Table2[[#This Row],[orignal data]])</f>
        <v>479.70000000000005</v>
      </c>
      <c r="T2516" t="str">
        <f t="shared" si="158"/>
        <v>UNIQUE</v>
      </c>
      <c r="U2516" t="str">
        <f>IF(ISBLANK(Table1[[#This Row],[SizeOption]]),"NOT AVAILABLE",Table1[[#This Row],[SizeOption]])</f>
        <v>XS, S, M, L, XL, XXL</v>
      </c>
      <c r="Y2516" t="str">
        <f>IF(Table2[[#This Row],[Column1]]&gt;50%,"HIGH DISCOUNT","LOW DISCOUNT")</f>
        <v>HIGH DISCOUNT</v>
      </c>
    </row>
    <row r="2517" spans="1:25" x14ac:dyDescent="0.25">
      <c r="A2517" s="2" t="s">
        <v>5323</v>
      </c>
      <c r="B2517" s="2">
        <v>17381764</v>
      </c>
      <c r="C2517" s="2" t="s">
        <v>14</v>
      </c>
      <c r="D2517" s="2" t="s">
        <v>41</v>
      </c>
      <c r="E2517" s="2" t="s">
        <v>42</v>
      </c>
      <c r="F2517" s="2" t="s">
        <v>36</v>
      </c>
      <c r="G2517" s="2" t="s">
        <v>5324</v>
      </c>
      <c r="I2517" s="2">
        <v>1998</v>
      </c>
      <c r="J2517" s="2"/>
      <c r="K2517" s="2" t="s">
        <v>45</v>
      </c>
      <c r="L2517" s="2">
        <v>4.0999999999999996</v>
      </c>
      <c r="M2517" s="2">
        <v>645</v>
      </c>
      <c r="P2517" t="str">
        <f t="shared" si="159"/>
        <v/>
      </c>
      <c r="Q2517" s="12" t="str">
        <f t="shared" si="156"/>
        <v/>
      </c>
      <c r="R2517" s="9" t="str">
        <f t="shared" si="157"/>
        <v/>
      </c>
      <c r="S2517" s="9">
        <f>IF(R2517="",AVERAGEIF(Table1[Category],Table1[[#This Row],[Category]],Table2[orignal data]),Table2[[#This Row],[orignal data]])</f>
        <v>715.78890751086249</v>
      </c>
      <c r="T2517" t="str">
        <f t="shared" si="158"/>
        <v>UNIQUE</v>
      </c>
      <c r="U2517" t="str">
        <f>IF(ISBLANK(Table1[[#This Row],[SizeOption]]),"NOT AVAILABLE",Table1[[#This Row],[SizeOption]])</f>
        <v>XS, S, M, L, XL</v>
      </c>
      <c r="Y2517" t="str">
        <f>IF(Table2[[#This Row],[Column1]]&gt;50%,"HIGH DISCOUNT","LOW DISCOUNT")</f>
        <v>HIGH DISCOUNT</v>
      </c>
    </row>
    <row r="2518" spans="1:25" x14ac:dyDescent="0.25">
      <c r="A2518" s="1" t="s">
        <v>5325</v>
      </c>
      <c r="B2518" s="1">
        <v>2357270</v>
      </c>
      <c r="C2518" s="1" t="s">
        <v>14</v>
      </c>
      <c r="D2518" s="1" t="s">
        <v>41</v>
      </c>
      <c r="E2518" s="1" t="s">
        <v>48</v>
      </c>
      <c r="F2518" s="1" t="s">
        <v>36</v>
      </c>
      <c r="G2518" s="1" t="s">
        <v>5326</v>
      </c>
      <c r="I2518" s="1">
        <v>999</v>
      </c>
      <c r="J2518" s="1" t="s">
        <v>25</v>
      </c>
      <c r="K2518" s="1" t="s">
        <v>45</v>
      </c>
      <c r="L2518" s="1">
        <v>4.0999999999999996</v>
      </c>
      <c r="M2518" s="1">
        <v>645</v>
      </c>
      <c r="P2518" t="str">
        <f t="shared" si="159"/>
        <v>55%</v>
      </c>
      <c r="Q2518" s="12">
        <f t="shared" si="156"/>
        <v>0.55000000000000004</v>
      </c>
      <c r="R2518" s="9">
        <f t="shared" si="157"/>
        <v>449.54999999999995</v>
      </c>
      <c r="S2518" s="9">
        <f>IF(R2518="",AVERAGEIF(Table1[Category],Table1[[#This Row],[Category]],Table2[orignal data]),Table2[[#This Row],[orignal data]])</f>
        <v>449.54999999999995</v>
      </c>
      <c r="T2518" t="str">
        <f t="shared" si="158"/>
        <v>UNIQUE</v>
      </c>
      <c r="U2518" t="str">
        <f>IF(ISBLANK(Table1[[#This Row],[SizeOption]]),"NOT AVAILABLE",Table1[[#This Row],[SizeOption]])</f>
        <v>XS, S, M, L, XL</v>
      </c>
      <c r="Y2518" t="str">
        <f>IF(Table2[[#This Row],[Column1]]&gt;50%,"HIGH DISCOUNT","LOW DISCOUNT")</f>
        <v>HIGH DISCOUNT</v>
      </c>
    </row>
    <row r="2519" spans="1:25" x14ac:dyDescent="0.25">
      <c r="A2519" s="2" t="s">
        <v>5327</v>
      </c>
      <c r="B2519" s="2">
        <v>6833359</v>
      </c>
      <c r="C2519" s="2" t="s">
        <v>67</v>
      </c>
      <c r="D2519" s="2" t="s">
        <v>15</v>
      </c>
      <c r="E2519" s="2" t="s">
        <v>23</v>
      </c>
      <c r="F2519" s="2" t="s">
        <v>17</v>
      </c>
      <c r="G2519" s="2" t="s">
        <v>5328</v>
      </c>
      <c r="I2519" s="2">
        <v>1299</v>
      </c>
      <c r="J2519" s="2"/>
      <c r="K2519" s="2" t="s">
        <v>39</v>
      </c>
      <c r="L2519" s="2">
        <v>3.9</v>
      </c>
      <c r="M2519" s="2">
        <v>644</v>
      </c>
      <c r="P2519" t="str">
        <f t="shared" si="159"/>
        <v/>
      </c>
      <c r="Q2519" s="12" t="str">
        <f t="shared" si="156"/>
        <v/>
      </c>
      <c r="R2519" s="9" t="str">
        <f t="shared" si="157"/>
        <v/>
      </c>
      <c r="S2519" s="9">
        <f>IF(R2519="",AVERAGEIF(Table1[Category],Table1[[#This Row],[Category]],Table2[orignal data]),Table2[[#This Row],[orignal data]])</f>
        <v>892.27590339892538</v>
      </c>
      <c r="T2519" t="str">
        <f t="shared" si="158"/>
        <v>UNIQUE</v>
      </c>
      <c r="U2519" t="str">
        <f>IF(ISBLANK(Table1[[#This Row],[SizeOption]]),"NOT AVAILABLE",Table1[[#This Row],[SizeOption]])</f>
        <v>S, M, L, XL, XXL</v>
      </c>
      <c r="Y2519" t="str">
        <f>IF(Table2[[#This Row],[Column1]]&gt;50%,"HIGH DISCOUNT","LOW DISCOUNT")</f>
        <v>HIGH DISCOUNT</v>
      </c>
    </row>
    <row r="2520" spans="1:25" x14ac:dyDescent="0.25">
      <c r="A2520" s="1" t="s">
        <v>5329</v>
      </c>
      <c r="B2520" s="1">
        <v>9445855</v>
      </c>
      <c r="C2520" s="1" t="s">
        <v>67</v>
      </c>
      <c r="D2520" s="1" t="s">
        <v>68</v>
      </c>
      <c r="E2520" s="1" t="s">
        <v>189</v>
      </c>
      <c r="F2520" s="1" t="s">
        <v>17</v>
      </c>
      <c r="G2520" s="1" t="s">
        <v>5330</v>
      </c>
      <c r="H2520">
        <v>1689</v>
      </c>
      <c r="I2520" s="1">
        <v>2599</v>
      </c>
      <c r="J2520" s="1" t="s">
        <v>44</v>
      </c>
      <c r="K2520" s="1" t="s">
        <v>39</v>
      </c>
      <c r="L2520" s="1">
        <v>3.8</v>
      </c>
      <c r="M2520" s="1">
        <v>644</v>
      </c>
      <c r="P2520" t="str">
        <f t="shared" si="159"/>
        <v>35%</v>
      </c>
      <c r="Q2520" s="12">
        <f t="shared" si="156"/>
        <v>0.35</v>
      </c>
      <c r="R2520" s="9">
        <f t="shared" si="157"/>
        <v>1689.35</v>
      </c>
      <c r="S2520" s="9">
        <f>IF(R2520="",AVERAGEIF(Table1[Category],Table1[[#This Row],[Category]],Table2[orignal data]),Table2[[#This Row],[orignal data]])</f>
        <v>1689.35</v>
      </c>
      <c r="T2520" t="str">
        <f t="shared" si="158"/>
        <v>UNIQUE</v>
      </c>
      <c r="U2520" t="str">
        <f>IF(ISBLANK(Table1[[#This Row],[SizeOption]]),"NOT AVAILABLE",Table1[[#This Row],[SizeOption]])</f>
        <v>S, M, L, XL, XXL</v>
      </c>
      <c r="Y2520" t="str">
        <f>IF(Table2[[#This Row],[Column1]]&gt;50%,"HIGH DISCOUNT","LOW DISCOUNT")</f>
        <v>LOW DISCOUNT</v>
      </c>
    </row>
    <row r="2521" spans="1:25" x14ac:dyDescent="0.25">
      <c r="A2521" s="2" t="s">
        <v>5331</v>
      </c>
      <c r="B2521" s="2">
        <v>13842380</v>
      </c>
      <c r="C2521" s="2" t="s">
        <v>52</v>
      </c>
      <c r="D2521" s="2" t="s">
        <v>28</v>
      </c>
      <c r="E2521" s="2" t="s">
        <v>29</v>
      </c>
      <c r="F2521" s="2" t="s">
        <v>17</v>
      </c>
      <c r="G2521" s="2" t="s">
        <v>4453</v>
      </c>
      <c r="H2521">
        <v>459</v>
      </c>
      <c r="I2521" s="2">
        <v>1149</v>
      </c>
      <c r="J2521" s="2" t="s">
        <v>55</v>
      </c>
      <c r="K2521" s="2" t="s">
        <v>90</v>
      </c>
      <c r="L2521" s="2">
        <v>4</v>
      </c>
      <c r="M2521" s="2">
        <v>644</v>
      </c>
      <c r="P2521" t="str">
        <f t="shared" si="159"/>
        <v>60%</v>
      </c>
      <c r="Q2521" s="12">
        <f t="shared" si="156"/>
        <v>0.6</v>
      </c>
      <c r="R2521" s="9">
        <f t="shared" si="157"/>
        <v>459.6</v>
      </c>
      <c r="S2521" s="9">
        <f>IF(R2521="",AVERAGEIF(Table1[Category],Table1[[#This Row],[Category]],Table2[orignal data]),Table2[[#This Row],[orignal data]])</f>
        <v>459.6</v>
      </c>
      <c r="T2521" t="str">
        <f t="shared" si="158"/>
        <v>UNIQUE</v>
      </c>
      <c r="U2521" t="str">
        <f>IF(ISBLANK(Table1[[#This Row],[SizeOption]]),"NOT AVAILABLE",Table1[[#This Row],[SizeOption]])</f>
        <v>39, 40, 42, 44</v>
      </c>
      <c r="Y2521" t="str">
        <f>IF(Table2[[#This Row],[Column1]]&gt;50%,"HIGH DISCOUNT","LOW DISCOUNT")</f>
        <v>HIGH DISCOUNT</v>
      </c>
    </row>
    <row r="2522" spans="1:25" x14ac:dyDescent="0.25">
      <c r="A2522" s="1" t="s">
        <v>5332</v>
      </c>
      <c r="B2522" s="1">
        <v>4149378</v>
      </c>
      <c r="C2522" s="1" t="s">
        <v>47</v>
      </c>
      <c r="D2522" s="1" t="s">
        <v>28</v>
      </c>
      <c r="E2522" s="1" t="s">
        <v>42</v>
      </c>
      <c r="F2522" s="1" t="s">
        <v>17</v>
      </c>
      <c r="G2522" s="1" t="s">
        <v>5333</v>
      </c>
      <c r="H2522">
        <v>649</v>
      </c>
      <c r="I2522" s="1">
        <v>1299</v>
      </c>
      <c r="J2522" s="1" t="s">
        <v>84</v>
      </c>
      <c r="K2522" s="1" t="s">
        <v>26</v>
      </c>
      <c r="L2522" s="1">
        <v>3.9</v>
      </c>
      <c r="M2522" s="1">
        <v>644</v>
      </c>
      <c r="P2522" t="str">
        <f t="shared" si="159"/>
        <v>50%</v>
      </c>
      <c r="Q2522" s="12">
        <f t="shared" si="156"/>
        <v>0.5</v>
      </c>
      <c r="R2522" s="9">
        <f t="shared" si="157"/>
        <v>649.5</v>
      </c>
      <c r="S2522" s="9">
        <f>IF(R2522="",AVERAGEIF(Table1[Category],Table1[[#This Row],[Category]],Table2[orignal data]),Table2[[#This Row],[orignal data]])</f>
        <v>649.5</v>
      </c>
      <c r="T2522" t="str">
        <f t="shared" si="158"/>
        <v>UNIQUE</v>
      </c>
      <c r="U2522" t="str">
        <f>IF(ISBLANK(Table1[[#This Row],[SizeOption]]),"NOT AVAILABLE",Table1[[#This Row],[SizeOption]])</f>
        <v>S, M, L, XL</v>
      </c>
      <c r="Y2522" t="str">
        <f>IF(Table2[[#This Row],[Column1]]&gt;50%,"HIGH DISCOUNT","LOW DISCOUNT")</f>
        <v>LOW DISCOUNT</v>
      </c>
    </row>
    <row r="2523" spans="1:25" x14ac:dyDescent="0.25">
      <c r="A2523" s="2" t="s">
        <v>5334</v>
      </c>
      <c r="B2523" s="2">
        <v>9334557</v>
      </c>
      <c r="C2523" s="2" t="s">
        <v>14</v>
      </c>
      <c r="D2523" s="2" t="s">
        <v>28</v>
      </c>
      <c r="E2523" s="2" t="s">
        <v>306</v>
      </c>
      <c r="F2523" s="2" t="s">
        <v>17</v>
      </c>
      <c r="G2523" s="2" t="s">
        <v>5335</v>
      </c>
      <c r="H2523">
        <v>519</v>
      </c>
      <c r="I2523" s="2">
        <v>1299</v>
      </c>
      <c r="J2523" s="2" t="s">
        <v>55</v>
      </c>
      <c r="K2523" s="2" t="s">
        <v>115</v>
      </c>
      <c r="L2523" s="2">
        <v>4.2</v>
      </c>
      <c r="M2523" s="2">
        <v>644</v>
      </c>
      <c r="P2523" t="str">
        <f t="shared" si="159"/>
        <v>60%</v>
      </c>
      <c r="Q2523" s="12">
        <f t="shared" si="156"/>
        <v>0.6</v>
      </c>
      <c r="R2523" s="9">
        <f t="shared" si="157"/>
        <v>519.6</v>
      </c>
      <c r="S2523" s="9">
        <f>IF(R2523="",AVERAGEIF(Table1[Category],Table1[[#This Row],[Category]],Table2[orignal data]),Table2[[#This Row],[orignal data]])</f>
        <v>519.6</v>
      </c>
      <c r="T2523" t="str">
        <f t="shared" si="158"/>
        <v>UNIQUE</v>
      </c>
      <c r="U2523" t="str">
        <f>IF(ISBLANK(Table1[[#This Row],[SizeOption]]),"NOT AVAILABLE",Table1[[#This Row],[SizeOption]])</f>
        <v>XS, S, M, L, XL, XXL</v>
      </c>
      <c r="Y2523" t="str">
        <f>IF(Table2[[#This Row],[Column1]]&gt;50%,"HIGH DISCOUNT","LOW DISCOUNT")</f>
        <v>HIGH DISCOUNT</v>
      </c>
    </row>
    <row r="2524" spans="1:25" x14ac:dyDescent="0.25">
      <c r="A2524" s="1" t="s">
        <v>5336</v>
      </c>
      <c r="B2524" s="1">
        <v>13021478</v>
      </c>
      <c r="C2524" s="1" t="s">
        <v>75</v>
      </c>
      <c r="D2524" s="1" t="s">
        <v>34</v>
      </c>
      <c r="E2524" s="1" t="s">
        <v>406</v>
      </c>
      <c r="F2524" s="1" t="s">
        <v>36</v>
      </c>
      <c r="G2524" s="1" t="s">
        <v>5337</v>
      </c>
      <c r="H2524">
        <v>961</v>
      </c>
      <c r="I2524" s="1">
        <v>2599</v>
      </c>
      <c r="J2524" s="1" t="s">
        <v>476</v>
      </c>
      <c r="K2524" s="1" t="s">
        <v>39</v>
      </c>
      <c r="L2524" s="1">
        <v>3.7</v>
      </c>
      <c r="M2524" s="1">
        <v>644</v>
      </c>
      <c r="P2524" t="str">
        <f t="shared" si="159"/>
        <v>63%</v>
      </c>
      <c r="Q2524" s="12">
        <f t="shared" si="156"/>
        <v>0.63</v>
      </c>
      <c r="R2524" s="9">
        <f t="shared" si="157"/>
        <v>961.62999999999988</v>
      </c>
      <c r="S2524" s="9">
        <f>IF(R2524="",AVERAGEIF(Table1[Category],Table1[[#This Row],[Category]],Table2[orignal data]),Table2[[#This Row],[orignal data]])</f>
        <v>961.62999999999988</v>
      </c>
      <c r="T2524" t="str">
        <f t="shared" si="158"/>
        <v>UNIQUE</v>
      </c>
      <c r="U2524" t="str">
        <f>IF(ISBLANK(Table1[[#This Row],[SizeOption]]),"NOT AVAILABLE",Table1[[#This Row],[SizeOption]])</f>
        <v>S, M, L, XL, XXL</v>
      </c>
      <c r="Y2524" t="str">
        <f>IF(Table2[[#This Row],[Column1]]&gt;50%,"HIGH DISCOUNT","LOW DISCOUNT")</f>
        <v>HIGH DISCOUNT</v>
      </c>
    </row>
    <row r="2525" spans="1:25" x14ac:dyDescent="0.25">
      <c r="A2525" s="2" t="s">
        <v>5338</v>
      </c>
      <c r="B2525" s="2">
        <v>2056691</v>
      </c>
      <c r="C2525" s="2" t="s">
        <v>64</v>
      </c>
      <c r="D2525" s="2" t="s">
        <v>98</v>
      </c>
      <c r="E2525" s="2" t="s">
        <v>48</v>
      </c>
      <c r="F2525" s="2" t="s">
        <v>36</v>
      </c>
      <c r="G2525" s="2" t="s">
        <v>5339</v>
      </c>
      <c r="H2525">
        <v>479</v>
      </c>
      <c r="I2525" s="2">
        <v>1199</v>
      </c>
      <c r="J2525" s="2" t="s">
        <v>141</v>
      </c>
      <c r="K2525" s="2" t="s">
        <v>115</v>
      </c>
      <c r="L2525" s="2">
        <v>4.0999999999999996</v>
      </c>
      <c r="M2525" s="2">
        <v>644</v>
      </c>
      <c r="P2525" t="str">
        <f t="shared" si="159"/>
        <v>60%</v>
      </c>
      <c r="Q2525" s="12">
        <f t="shared" si="156"/>
        <v>0.6</v>
      </c>
      <c r="R2525" s="9">
        <f t="shared" si="157"/>
        <v>479.6</v>
      </c>
      <c r="S2525" s="9">
        <f>IF(R2525="",AVERAGEIF(Table1[Category],Table1[[#This Row],[Category]],Table2[orignal data]),Table2[[#This Row],[orignal data]])</f>
        <v>479.6</v>
      </c>
      <c r="T2525" t="str">
        <f t="shared" si="158"/>
        <v>UNIQUE</v>
      </c>
      <c r="U2525" t="str">
        <f>IF(ISBLANK(Table1[[#This Row],[SizeOption]]),"NOT AVAILABLE",Table1[[#This Row],[SizeOption]])</f>
        <v>XS, S, M, L, XL, XXL</v>
      </c>
      <c r="Y2525" t="str">
        <f>IF(Table2[[#This Row],[Column1]]&gt;50%,"HIGH DISCOUNT","LOW DISCOUNT")</f>
        <v>HIGH DISCOUNT</v>
      </c>
    </row>
    <row r="2526" spans="1:25" x14ac:dyDescent="0.25">
      <c r="A2526" s="1" t="s">
        <v>5340</v>
      </c>
      <c r="B2526" s="1">
        <v>9044845</v>
      </c>
      <c r="C2526" s="1" t="s">
        <v>107</v>
      </c>
      <c r="D2526" s="1" t="s">
        <v>41</v>
      </c>
      <c r="E2526" s="1" t="s">
        <v>42</v>
      </c>
      <c r="F2526" s="1" t="s">
        <v>36</v>
      </c>
      <c r="G2526" s="1" t="s">
        <v>5341</v>
      </c>
      <c r="I2526" s="1">
        <v>1199</v>
      </c>
      <c r="J2526" s="1" t="s">
        <v>79</v>
      </c>
      <c r="K2526" s="1" t="s">
        <v>45</v>
      </c>
      <c r="L2526" s="1">
        <v>3.7</v>
      </c>
      <c r="M2526" s="1">
        <v>644</v>
      </c>
      <c r="P2526" t="str">
        <f t="shared" si="159"/>
        <v>70%</v>
      </c>
      <c r="Q2526" s="12">
        <f t="shared" si="156"/>
        <v>0.7</v>
      </c>
      <c r="R2526" s="9">
        <f t="shared" si="157"/>
        <v>359.70000000000005</v>
      </c>
      <c r="S2526" s="9">
        <f>IF(R2526="",AVERAGEIF(Table1[Category],Table1[[#This Row],[Category]],Table2[orignal data]),Table2[[#This Row],[orignal data]])</f>
        <v>359.70000000000005</v>
      </c>
      <c r="T2526" t="str">
        <f t="shared" si="158"/>
        <v>UNIQUE</v>
      </c>
      <c r="U2526" t="str">
        <f>IF(ISBLANK(Table1[[#This Row],[SizeOption]]),"NOT AVAILABLE",Table1[[#This Row],[SizeOption]])</f>
        <v>XS, S, M, L, XL</v>
      </c>
      <c r="Y2526" t="str">
        <f>IF(Table2[[#This Row],[Column1]]&gt;50%,"HIGH DISCOUNT","LOW DISCOUNT")</f>
        <v>HIGH DISCOUNT</v>
      </c>
    </row>
    <row r="2527" spans="1:25" x14ac:dyDescent="0.25">
      <c r="A2527" s="2" t="s">
        <v>5342</v>
      </c>
      <c r="B2527" s="2">
        <v>11132268</v>
      </c>
      <c r="C2527" s="2" t="s">
        <v>14</v>
      </c>
      <c r="D2527" s="2" t="s">
        <v>41</v>
      </c>
      <c r="E2527" s="2" t="s">
        <v>16</v>
      </c>
      <c r="F2527" s="2" t="s">
        <v>36</v>
      </c>
      <c r="G2527" s="2" t="s">
        <v>5343</v>
      </c>
      <c r="I2527" s="2">
        <v>2199</v>
      </c>
      <c r="J2527" s="2" t="s">
        <v>50</v>
      </c>
      <c r="K2527" s="2" t="s">
        <v>134</v>
      </c>
      <c r="L2527" s="2">
        <v>4.2</v>
      </c>
      <c r="M2527" s="2">
        <v>644</v>
      </c>
      <c r="P2527" t="str">
        <f t="shared" si="159"/>
        <v>40%</v>
      </c>
      <c r="Q2527" s="12">
        <f t="shared" si="156"/>
        <v>0.4</v>
      </c>
      <c r="R2527" s="9">
        <f t="shared" si="157"/>
        <v>1319.4</v>
      </c>
      <c r="S2527" s="9">
        <f>IF(R2527="",AVERAGEIF(Table1[Category],Table1[[#This Row],[Category]],Table2[orignal data]),Table2[[#This Row],[orignal data]])</f>
        <v>1319.4</v>
      </c>
      <c r="T2527" t="str">
        <f t="shared" si="158"/>
        <v>UNIQUE</v>
      </c>
      <c r="U2527" t="str">
        <f>IF(ISBLANK(Table1[[#This Row],[SizeOption]]),"NOT AVAILABLE",Table1[[#This Row],[SizeOption]])</f>
        <v>26, 28, 30, 32, 34, 36</v>
      </c>
      <c r="Y2527" t="str">
        <f>IF(Table2[[#This Row],[Column1]]&gt;50%,"HIGH DISCOUNT","LOW DISCOUNT")</f>
        <v>LOW DISCOUNT</v>
      </c>
    </row>
    <row r="2528" spans="1:25" x14ac:dyDescent="0.25">
      <c r="A2528" s="1" t="s">
        <v>5344</v>
      </c>
      <c r="B2528" s="1">
        <v>8195043</v>
      </c>
      <c r="C2528" s="1" t="s">
        <v>102</v>
      </c>
      <c r="D2528" s="1" t="s">
        <v>41</v>
      </c>
      <c r="E2528" s="1" t="s">
        <v>48</v>
      </c>
      <c r="F2528" s="1" t="s">
        <v>36</v>
      </c>
      <c r="G2528" s="1" t="s">
        <v>5345</v>
      </c>
      <c r="I2528" s="1">
        <v>849</v>
      </c>
      <c r="J2528" s="1" t="s">
        <v>602</v>
      </c>
      <c r="K2528" s="1" t="s">
        <v>26</v>
      </c>
      <c r="L2528" s="1">
        <v>4.0999999999999996</v>
      </c>
      <c r="M2528" s="1">
        <v>644</v>
      </c>
      <c r="P2528" t="str">
        <f t="shared" si="159"/>
        <v>48%</v>
      </c>
      <c r="Q2528" s="12">
        <f t="shared" si="156"/>
        <v>0.48</v>
      </c>
      <c r="R2528" s="9">
        <f t="shared" si="157"/>
        <v>441.48</v>
      </c>
      <c r="S2528" s="9">
        <f>IF(R2528="",AVERAGEIF(Table1[Category],Table1[[#This Row],[Category]],Table2[orignal data]),Table2[[#This Row],[orignal data]])</f>
        <v>441.48</v>
      </c>
      <c r="T2528" t="str">
        <f t="shared" si="158"/>
        <v>UNIQUE</v>
      </c>
      <c r="U2528" t="str">
        <f>IF(ISBLANK(Table1[[#This Row],[SizeOption]]),"NOT AVAILABLE",Table1[[#This Row],[SizeOption]])</f>
        <v>S, M, L, XL</v>
      </c>
      <c r="Y2528" t="str">
        <f>IF(Table2[[#This Row],[Column1]]&gt;50%,"HIGH DISCOUNT","LOW DISCOUNT")</f>
        <v>LOW DISCOUNT</v>
      </c>
    </row>
    <row r="2529" spans="1:25" x14ac:dyDescent="0.25">
      <c r="A2529" s="2" t="s">
        <v>5346</v>
      </c>
      <c r="B2529" s="2">
        <v>11401808</v>
      </c>
      <c r="C2529" s="2" t="s">
        <v>14</v>
      </c>
      <c r="D2529" s="2" t="s">
        <v>41</v>
      </c>
      <c r="E2529" s="2" t="s">
        <v>48</v>
      </c>
      <c r="F2529" s="2" t="s">
        <v>36</v>
      </c>
      <c r="G2529" s="2" t="s">
        <v>5347</v>
      </c>
      <c r="I2529" s="2">
        <v>899</v>
      </c>
      <c r="J2529" s="2" t="s">
        <v>25</v>
      </c>
      <c r="K2529" s="2" t="s">
        <v>45</v>
      </c>
      <c r="L2529" s="2">
        <v>4.3</v>
      </c>
      <c r="M2529" s="2">
        <v>644</v>
      </c>
      <c r="P2529" t="str">
        <f t="shared" si="159"/>
        <v>55%</v>
      </c>
      <c r="Q2529" s="12">
        <f t="shared" si="156"/>
        <v>0.55000000000000004</v>
      </c>
      <c r="R2529" s="9">
        <f t="shared" si="157"/>
        <v>404.54999999999995</v>
      </c>
      <c r="S2529" s="9">
        <f>IF(R2529="",AVERAGEIF(Table1[Category],Table1[[#This Row],[Category]],Table2[orignal data]),Table2[[#This Row],[orignal data]])</f>
        <v>404.54999999999995</v>
      </c>
      <c r="T2529" t="str">
        <f t="shared" si="158"/>
        <v>UNIQUE</v>
      </c>
      <c r="U2529" t="str">
        <f>IF(ISBLANK(Table1[[#This Row],[SizeOption]]),"NOT AVAILABLE",Table1[[#This Row],[SizeOption]])</f>
        <v>XS, S, M, L, XL</v>
      </c>
      <c r="Y2529" t="str">
        <f>IF(Table2[[#This Row],[Column1]]&gt;50%,"HIGH DISCOUNT","LOW DISCOUNT")</f>
        <v>HIGH DISCOUNT</v>
      </c>
    </row>
    <row r="2530" spans="1:25" x14ac:dyDescent="0.25">
      <c r="A2530" s="1" t="s">
        <v>5348</v>
      </c>
      <c r="B2530" s="1">
        <v>17525602</v>
      </c>
      <c r="C2530" s="1" t="s">
        <v>47</v>
      </c>
      <c r="D2530" s="1" t="s">
        <v>41</v>
      </c>
      <c r="E2530" s="1" t="s">
        <v>42</v>
      </c>
      <c r="F2530" s="1" t="s">
        <v>36</v>
      </c>
      <c r="G2530" s="1" t="s">
        <v>5125</v>
      </c>
      <c r="I2530" s="1">
        <v>1598</v>
      </c>
      <c r="J2530" s="1"/>
      <c r="K2530" s="1" t="s">
        <v>1234</v>
      </c>
      <c r="L2530" s="1">
        <v>4.2</v>
      </c>
      <c r="M2530" s="1">
        <v>644</v>
      </c>
      <c r="P2530" t="str">
        <f t="shared" si="159"/>
        <v/>
      </c>
      <c r="Q2530" s="12" t="str">
        <f t="shared" si="156"/>
        <v/>
      </c>
      <c r="R2530" s="9" t="str">
        <f t="shared" si="157"/>
        <v/>
      </c>
      <c r="S2530" s="9">
        <f>IF(R2530="",AVERAGEIF(Table1[Category],Table1[[#This Row],[Category]],Table2[orignal data]),Table2[[#This Row],[orignal data]])</f>
        <v>715.78890751086249</v>
      </c>
      <c r="T2530" t="str">
        <f t="shared" si="158"/>
        <v>UNIQUE</v>
      </c>
      <c r="U2530" t="str">
        <f>IF(ISBLANK(Table1[[#This Row],[SizeOption]]),"NOT AVAILABLE",Table1[[#This Row],[SizeOption]])</f>
        <v>XL, L, M, S, XS</v>
      </c>
      <c r="Y2530" t="str">
        <f>IF(Table2[[#This Row],[Column1]]&gt;50%,"HIGH DISCOUNT","LOW DISCOUNT")</f>
        <v>HIGH DISCOUNT</v>
      </c>
    </row>
    <row r="2531" spans="1:25" x14ac:dyDescent="0.25">
      <c r="A2531" s="2" t="s">
        <v>5349</v>
      </c>
      <c r="B2531" s="2">
        <v>4149423</v>
      </c>
      <c r="C2531" s="2" t="s">
        <v>47</v>
      </c>
      <c r="D2531" s="2" t="s">
        <v>28</v>
      </c>
      <c r="E2531" s="2" t="s">
        <v>42</v>
      </c>
      <c r="F2531" s="2" t="s">
        <v>17</v>
      </c>
      <c r="G2531" s="2" t="s">
        <v>5350</v>
      </c>
      <c r="H2531">
        <v>519</v>
      </c>
      <c r="I2531" s="2">
        <v>1299</v>
      </c>
      <c r="J2531" s="2" t="s">
        <v>55</v>
      </c>
      <c r="K2531" s="2" t="s">
        <v>26</v>
      </c>
      <c r="L2531" s="2">
        <v>4.2</v>
      </c>
      <c r="M2531" s="2">
        <v>643</v>
      </c>
      <c r="P2531" t="str">
        <f t="shared" si="159"/>
        <v>60%</v>
      </c>
      <c r="Q2531" s="12">
        <f t="shared" si="156"/>
        <v>0.6</v>
      </c>
      <c r="R2531" s="9">
        <f t="shared" si="157"/>
        <v>519.6</v>
      </c>
      <c r="S2531" s="9">
        <f>IF(R2531="",AVERAGEIF(Table1[Category],Table1[[#This Row],[Category]],Table2[orignal data]),Table2[[#This Row],[orignal data]])</f>
        <v>519.6</v>
      </c>
      <c r="T2531" t="str">
        <f t="shared" si="158"/>
        <v>UNIQUE</v>
      </c>
      <c r="U2531" t="str">
        <f>IF(ISBLANK(Table1[[#This Row],[SizeOption]]),"NOT AVAILABLE",Table1[[#This Row],[SizeOption]])</f>
        <v>S, M, L, XL</v>
      </c>
      <c r="Y2531" t="str">
        <f>IF(Table2[[#This Row],[Column1]]&gt;50%,"HIGH DISCOUNT","LOW DISCOUNT")</f>
        <v>HIGH DISCOUNT</v>
      </c>
    </row>
    <row r="2532" spans="1:25" x14ac:dyDescent="0.25">
      <c r="A2532" s="1" t="s">
        <v>5351</v>
      </c>
      <c r="B2532" s="1">
        <v>2178633</v>
      </c>
      <c r="C2532" s="1" t="s">
        <v>47</v>
      </c>
      <c r="D2532" s="1" t="s">
        <v>28</v>
      </c>
      <c r="E2532" s="1" t="s">
        <v>29</v>
      </c>
      <c r="F2532" s="1" t="s">
        <v>17</v>
      </c>
      <c r="G2532" s="1" t="s">
        <v>5352</v>
      </c>
      <c r="H2532">
        <v>599</v>
      </c>
      <c r="I2532" s="1">
        <v>1499</v>
      </c>
      <c r="J2532" s="1" t="s">
        <v>55</v>
      </c>
      <c r="K2532" s="1" t="s">
        <v>253</v>
      </c>
      <c r="L2532" s="1">
        <v>4</v>
      </c>
      <c r="M2532" s="1">
        <v>643</v>
      </c>
      <c r="P2532" t="str">
        <f t="shared" si="159"/>
        <v>60%</v>
      </c>
      <c r="Q2532" s="12">
        <f t="shared" si="156"/>
        <v>0.6</v>
      </c>
      <c r="R2532" s="9">
        <f t="shared" si="157"/>
        <v>599.6</v>
      </c>
      <c r="S2532" s="9">
        <f>IF(R2532="",AVERAGEIF(Table1[Category],Table1[[#This Row],[Category]],Table2[orignal data]),Table2[[#This Row],[orignal data]])</f>
        <v>599.6</v>
      </c>
      <c r="T2532" t="str">
        <f t="shared" si="158"/>
        <v>UNIQUE</v>
      </c>
      <c r="U2532" t="str">
        <f>IF(ISBLANK(Table1[[#This Row],[SizeOption]]),"NOT AVAILABLE",Table1[[#This Row],[SizeOption]])</f>
        <v>38, 40, 42, 44</v>
      </c>
      <c r="Y2532" t="str">
        <f>IF(Table2[[#This Row],[Column1]]&gt;50%,"HIGH DISCOUNT","LOW DISCOUNT")</f>
        <v>HIGH DISCOUNT</v>
      </c>
    </row>
    <row r="2533" spans="1:25" x14ac:dyDescent="0.25">
      <c r="A2533" s="2" t="s">
        <v>5353</v>
      </c>
      <c r="B2533" s="2">
        <v>10188255</v>
      </c>
      <c r="C2533" s="2" t="s">
        <v>169</v>
      </c>
      <c r="D2533" s="2" t="s">
        <v>28</v>
      </c>
      <c r="E2533" s="2" t="s">
        <v>42</v>
      </c>
      <c r="F2533" s="2" t="s">
        <v>17</v>
      </c>
      <c r="G2533" s="2" t="s">
        <v>5354</v>
      </c>
      <c r="H2533">
        <v>799</v>
      </c>
      <c r="I2533" s="2">
        <v>1599</v>
      </c>
      <c r="J2533" s="2" t="s">
        <v>84</v>
      </c>
      <c r="K2533" s="2" t="s">
        <v>39</v>
      </c>
      <c r="L2533" s="2">
        <v>4.2</v>
      </c>
      <c r="M2533" s="2">
        <v>643</v>
      </c>
      <c r="P2533" t="str">
        <f t="shared" si="159"/>
        <v>50%</v>
      </c>
      <c r="Q2533" s="12">
        <f t="shared" si="156"/>
        <v>0.5</v>
      </c>
      <c r="R2533" s="9">
        <f t="shared" si="157"/>
        <v>799.5</v>
      </c>
      <c r="S2533" s="9">
        <f>IF(R2533="",AVERAGEIF(Table1[Category],Table1[[#This Row],[Category]],Table2[orignal data]),Table2[[#This Row],[orignal data]])</f>
        <v>799.5</v>
      </c>
      <c r="T2533" t="str">
        <f t="shared" si="158"/>
        <v>UNIQUE</v>
      </c>
      <c r="U2533" t="str">
        <f>IF(ISBLANK(Table1[[#This Row],[SizeOption]]),"NOT AVAILABLE",Table1[[#This Row],[SizeOption]])</f>
        <v>S, M, L, XL, XXL</v>
      </c>
      <c r="Y2533" t="str">
        <f>IF(Table2[[#This Row],[Column1]]&gt;50%,"HIGH DISCOUNT","LOW DISCOUNT")</f>
        <v>LOW DISCOUNT</v>
      </c>
    </row>
    <row r="2534" spans="1:25" x14ac:dyDescent="0.25">
      <c r="A2534" s="1" t="s">
        <v>5355</v>
      </c>
      <c r="B2534" s="1">
        <v>10136913</v>
      </c>
      <c r="C2534" s="1" t="s">
        <v>47</v>
      </c>
      <c r="D2534" s="1" t="s">
        <v>28</v>
      </c>
      <c r="E2534" s="1" t="s">
        <v>306</v>
      </c>
      <c r="F2534" s="1" t="s">
        <v>17</v>
      </c>
      <c r="G2534" s="1" t="s">
        <v>5356</v>
      </c>
      <c r="H2534">
        <v>799</v>
      </c>
      <c r="I2534" s="1">
        <v>1999</v>
      </c>
      <c r="J2534" s="1" t="s">
        <v>55</v>
      </c>
      <c r="K2534" s="1" t="s">
        <v>26</v>
      </c>
      <c r="L2534" s="1">
        <v>4.0999999999999996</v>
      </c>
      <c r="M2534" s="1">
        <v>643</v>
      </c>
      <c r="P2534" t="str">
        <f t="shared" si="159"/>
        <v>60%</v>
      </c>
      <c r="Q2534" s="12">
        <f t="shared" si="156"/>
        <v>0.6</v>
      </c>
      <c r="R2534" s="9">
        <f t="shared" si="157"/>
        <v>799.60000000000014</v>
      </c>
      <c r="S2534" s="9">
        <f>IF(R2534="",AVERAGEIF(Table1[Category],Table1[[#This Row],[Category]],Table2[orignal data]),Table2[[#This Row],[orignal data]])</f>
        <v>799.60000000000014</v>
      </c>
      <c r="T2534" t="str">
        <f t="shared" si="158"/>
        <v>UNIQUE</v>
      </c>
      <c r="U2534" t="str">
        <f>IF(ISBLANK(Table1[[#This Row],[SizeOption]]),"NOT AVAILABLE",Table1[[#This Row],[SizeOption]])</f>
        <v>S, M, L, XL</v>
      </c>
      <c r="Y2534" t="str">
        <f>IF(Table2[[#This Row],[Column1]]&gt;50%,"HIGH DISCOUNT","LOW DISCOUNT")</f>
        <v>HIGH DISCOUNT</v>
      </c>
    </row>
    <row r="2535" spans="1:25" x14ac:dyDescent="0.25">
      <c r="A2535" s="2" t="s">
        <v>5357</v>
      </c>
      <c r="B2535" s="2">
        <v>8944837</v>
      </c>
      <c r="C2535" s="2" t="s">
        <v>97</v>
      </c>
      <c r="D2535" s="2" t="s">
        <v>76</v>
      </c>
      <c r="E2535" s="2" t="s">
        <v>93</v>
      </c>
      <c r="F2535" s="2" t="s">
        <v>36</v>
      </c>
      <c r="G2535" s="2" t="s">
        <v>5358</v>
      </c>
      <c r="H2535">
        <v>584</v>
      </c>
      <c r="I2535" s="2">
        <v>1299</v>
      </c>
      <c r="J2535" s="2" t="s">
        <v>25</v>
      </c>
      <c r="K2535" s="2" t="s">
        <v>100</v>
      </c>
      <c r="L2535" s="2">
        <v>4.3</v>
      </c>
      <c r="M2535" s="2">
        <v>643</v>
      </c>
      <c r="P2535" t="str">
        <f t="shared" si="159"/>
        <v>55%</v>
      </c>
      <c r="Q2535" s="12">
        <f t="shared" si="156"/>
        <v>0.55000000000000004</v>
      </c>
      <c r="R2535" s="9">
        <f t="shared" si="157"/>
        <v>584.54999999999995</v>
      </c>
      <c r="S2535" s="9">
        <f>IF(R2535="",AVERAGEIF(Table1[Category],Table1[[#This Row],[Category]],Table2[orignal data]),Table2[[#This Row],[orignal data]])</f>
        <v>584.54999999999995</v>
      </c>
      <c r="T2535" t="str">
        <f t="shared" si="158"/>
        <v>UNIQUE</v>
      </c>
      <c r="U2535" t="str">
        <f>IF(ISBLANK(Table1[[#This Row],[SizeOption]]),"NOT AVAILABLE",Table1[[#This Row],[SizeOption]])</f>
        <v>XS, S, M, L, XL, XXL, 3XL</v>
      </c>
      <c r="Y2535" t="str">
        <f>IF(Table2[[#This Row],[Column1]]&gt;50%,"HIGH DISCOUNT","LOW DISCOUNT")</f>
        <v>HIGH DISCOUNT</v>
      </c>
    </row>
    <row r="2536" spans="1:25" x14ac:dyDescent="0.25">
      <c r="A2536" s="1" t="s">
        <v>5359</v>
      </c>
      <c r="B2536" s="1">
        <v>8813229</v>
      </c>
      <c r="C2536" s="1" t="s">
        <v>201</v>
      </c>
      <c r="D2536" s="1" t="s">
        <v>98</v>
      </c>
      <c r="E2536" s="1" t="s">
        <v>42</v>
      </c>
      <c r="F2536" s="1" t="s">
        <v>36</v>
      </c>
      <c r="G2536" s="1" t="s">
        <v>5360</v>
      </c>
      <c r="H2536">
        <v>279</v>
      </c>
      <c r="I2536" s="1">
        <v>699</v>
      </c>
      <c r="J2536" s="1" t="s">
        <v>141</v>
      </c>
      <c r="K2536" s="1" t="s">
        <v>100</v>
      </c>
      <c r="L2536" s="1">
        <v>4.2</v>
      </c>
      <c r="M2536" s="1">
        <v>643</v>
      </c>
      <c r="P2536" t="str">
        <f t="shared" si="159"/>
        <v>60%</v>
      </c>
      <c r="Q2536" s="12">
        <f t="shared" si="156"/>
        <v>0.6</v>
      </c>
      <c r="R2536" s="9">
        <f t="shared" si="157"/>
        <v>279.60000000000002</v>
      </c>
      <c r="S2536" s="9">
        <f>IF(R2536="",AVERAGEIF(Table1[Category],Table1[[#This Row],[Category]],Table2[orignal data]),Table2[[#This Row],[orignal data]])</f>
        <v>279.60000000000002</v>
      </c>
      <c r="T2536" t="str">
        <f t="shared" si="158"/>
        <v>UNIQUE</v>
      </c>
      <c r="U2536" t="str">
        <f>IF(ISBLANK(Table1[[#This Row],[SizeOption]]),"NOT AVAILABLE",Table1[[#This Row],[SizeOption]])</f>
        <v>XS, S, M, L, XL, XXL, 3XL</v>
      </c>
      <c r="Y2536" t="str">
        <f>IF(Table2[[#This Row],[Column1]]&gt;50%,"HIGH DISCOUNT","LOW DISCOUNT")</f>
        <v>HIGH DISCOUNT</v>
      </c>
    </row>
    <row r="2537" spans="1:25" x14ac:dyDescent="0.25">
      <c r="A2537" s="2" t="s">
        <v>5361</v>
      </c>
      <c r="B2537" s="2">
        <v>2414651</v>
      </c>
      <c r="C2537" s="2" t="s">
        <v>430</v>
      </c>
      <c r="D2537" s="2" t="s">
        <v>41</v>
      </c>
      <c r="E2537" s="2" t="s">
        <v>148</v>
      </c>
      <c r="F2537" s="2" t="s">
        <v>36</v>
      </c>
      <c r="G2537" s="2" t="s">
        <v>5362</v>
      </c>
      <c r="I2537" s="2">
        <v>1599</v>
      </c>
      <c r="J2537" s="2" t="s">
        <v>4325</v>
      </c>
      <c r="K2537" s="2" t="s">
        <v>45</v>
      </c>
      <c r="L2537" s="2">
        <v>4</v>
      </c>
      <c r="M2537" s="2">
        <v>643</v>
      </c>
      <c r="P2537" t="str">
        <f t="shared" si="159"/>
        <v>1100</v>
      </c>
      <c r="Q2537" s="12">
        <f t="shared" si="156"/>
        <v>0.68792995622263919</v>
      </c>
      <c r="R2537" s="9">
        <f t="shared" si="157"/>
        <v>499</v>
      </c>
      <c r="S2537" s="9">
        <f>IF(R2537="",AVERAGEIF(Table1[Category],Table1[[#This Row],[Category]],Table2[orignal data]),Table2[[#This Row],[orignal data]])</f>
        <v>499</v>
      </c>
      <c r="T2537" t="str">
        <f t="shared" si="158"/>
        <v>UNIQUE</v>
      </c>
      <c r="U2537" t="str">
        <f>IF(ISBLANK(Table1[[#This Row],[SizeOption]]),"NOT AVAILABLE",Table1[[#This Row],[SizeOption]])</f>
        <v>XS, S, M, L, XL</v>
      </c>
      <c r="Y2537" t="str">
        <f>IF(Table2[[#This Row],[Column1]]&gt;50%,"HIGH DISCOUNT","LOW DISCOUNT")</f>
        <v>HIGH DISCOUNT</v>
      </c>
    </row>
    <row r="2538" spans="1:25" x14ac:dyDescent="0.25">
      <c r="A2538" s="1" t="s">
        <v>5363</v>
      </c>
      <c r="B2538" s="1">
        <v>11348386</v>
      </c>
      <c r="C2538" s="1" t="s">
        <v>124</v>
      </c>
      <c r="D2538" s="1" t="s">
        <v>41</v>
      </c>
      <c r="E2538" s="1" t="s">
        <v>148</v>
      </c>
      <c r="F2538" s="1" t="s">
        <v>36</v>
      </c>
      <c r="G2538" s="1" t="s">
        <v>5364</v>
      </c>
      <c r="I2538" s="1">
        <v>1599</v>
      </c>
      <c r="J2538" s="1" t="s">
        <v>130</v>
      </c>
      <c r="K2538" s="1" t="s">
        <v>115</v>
      </c>
      <c r="L2538" s="1">
        <v>4.0999999999999996</v>
      </c>
      <c r="M2538" s="1">
        <v>643</v>
      </c>
      <c r="P2538" t="str">
        <f t="shared" si="159"/>
        <v>57%</v>
      </c>
      <c r="Q2538" s="12">
        <f t="shared" si="156"/>
        <v>0.56999999999999995</v>
      </c>
      <c r="R2538" s="9">
        <f t="shared" si="157"/>
        <v>687.57</v>
      </c>
      <c r="S2538" s="9">
        <f>IF(R2538="",AVERAGEIF(Table1[Category],Table1[[#This Row],[Category]],Table2[orignal data]),Table2[[#This Row],[orignal data]])</f>
        <v>687.57</v>
      </c>
      <c r="T2538" t="str">
        <f t="shared" si="158"/>
        <v>UNIQUE</v>
      </c>
      <c r="U2538" t="str">
        <f>IF(ISBLANK(Table1[[#This Row],[SizeOption]]),"NOT AVAILABLE",Table1[[#This Row],[SizeOption]])</f>
        <v>XS, S, M, L, XL, XXL</v>
      </c>
      <c r="Y2538" t="str">
        <f>IF(Table2[[#This Row],[Column1]]&gt;50%,"HIGH DISCOUNT","LOW DISCOUNT")</f>
        <v>HIGH DISCOUNT</v>
      </c>
    </row>
    <row r="2539" spans="1:25" x14ac:dyDescent="0.25">
      <c r="A2539" s="2" t="s">
        <v>5365</v>
      </c>
      <c r="B2539" s="2">
        <v>11401664</v>
      </c>
      <c r="C2539" s="2" t="s">
        <v>14</v>
      </c>
      <c r="D2539" s="2" t="s">
        <v>41</v>
      </c>
      <c r="E2539" s="2" t="s">
        <v>42</v>
      </c>
      <c r="F2539" s="2" t="s">
        <v>36</v>
      </c>
      <c r="G2539" s="2" t="s">
        <v>5366</v>
      </c>
      <c r="I2539" s="2">
        <v>799</v>
      </c>
      <c r="J2539" s="2" t="s">
        <v>84</v>
      </c>
      <c r="K2539" s="2" t="s">
        <v>45</v>
      </c>
      <c r="L2539" s="2">
        <v>4.3</v>
      </c>
      <c r="M2539" s="2">
        <v>643</v>
      </c>
      <c r="P2539" t="str">
        <f t="shared" si="159"/>
        <v>50%</v>
      </c>
      <c r="Q2539" s="12">
        <f t="shared" si="156"/>
        <v>0.5</v>
      </c>
      <c r="R2539" s="9">
        <f t="shared" si="157"/>
        <v>399.5</v>
      </c>
      <c r="S2539" s="9">
        <f>IF(R2539="",AVERAGEIF(Table1[Category],Table1[[#This Row],[Category]],Table2[orignal data]),Table2[[#This Row],[orignal data]])</f>
        <v>399.5</v>
      </c>
      <c r="T2539" t="str">
        <f t="shared" si="158"/>
        <v>UNIQUE</v>
      </c>
      <c r="U2539" t="str">
        <f>IF(ISBLANK(Table1[[#This Row],[SizeOption]]),"NOT AVAILABLE",Table1[[#This Row],[SizeOption]])</f>
        <v>XS, S, M, L, XL</v>
      </c>
      <c r="Y2539" t="str">
        <f>IF(Table2[[#This Row],[Column1]]&gt;50%,"HIGH DISCOUNT","LOW DISCOUNT")</f>
        <v>LOW DISCOUNT</v>
      </c>
    </row>
    <row r="2540" spans="1:25" x14ac:dyDescent="0.25">
      <c r="A2540" s="1" t="s">
        <v>5367</v>
      </c>
      <c r="B2540" s="1">
        <v>11562728</v>
      </c>
      <c r="C2540" s="1" t="s">
        <v>3308</v>
      </c>
      <c r="D2540" s="1" t="s">
        <v>76</v>
      </c>
      <c r="E2540" s="1" t="s">
        <v>93</v>
      </c>
      <c r="F2540" s="1" t="s">
        <v>17</v>
      </c>
      <c r="G2540" s="1" t="s">
        <v>5368</v>
      </c>
      <c r="H2540">
        <v>764</v>
      </c>
      <c r="I2540" s="1">
        <v>1699</v>
      </c>
      <c r="J2540" s="1" t="s">
        <v>25</v>
      </c>
      <c r="K2540" s="1" t="s">
        <v>39</v>
      </c>
      <c r="L2540" s="1">
        <v>4.2</v>
      </c>
      <c r="M2540" s="1">
        <v>642</v>
      </c>
      <c r="P2540" t="str">
        <f t="shared" si="159"/>
        <v>55%</v>
      </c>
      <c r="Q2540" s="12">
        <f t="shared" si="156"/>
        <v>0.55000000000000004</v>
      </c>
      <c r="R2540" s="9">
        <f t="shared" si="157"/>
        <v>764.55</v>
      </c>
      <c r="S2540" s="9">
        <f>IF(R2540="",AVERAGEIF(Table1[Category],Table1[[#This Row],[Category]],Table2[orignal data]),Table2[[#This Row],[orignal data]])</f>
        <v>764.55</v>
      </c>
      <c r="T2540" t="str">
        <f t="shared" si="158"/>
        <v>UNIQUE</v>
      </c>
      <c r="U2540" t="str">
        <f>IF(ISBLANK(Table1[[#This Row],[SizeOption]]),"NOT AVAILABLE",Table1[[#This Row],[SizeOption]])</f>
        <v>S, M, L, XL, XXL</v>
      </c>
      <c r="Y2540" t="str">
        <f>IF(Table2[[#This Row],[Column1]]&gt;50%,"HIGH DISCOUNT","LOW DISCOUNT")</f>
        <v>HIGH DISCOUNT</v>
      </c>
    </row>
    <row r="2541" spans="1:25" x14ac:dyDescent="0.25">
      <c r="A2541" s="2" t="s">
        <v>5369</v>
      </c>
      <c r="B2541" s="2">
        <v>11445084</v>
      </c>
      <c r="C2541" s="2" t="s">
        <v>349</v>
      </c>
      <c r="D2541" s="2" t="s">
        <v>197</v>
      </c>
      <c r="E2541" s="2" t="s">
        <v>939</v>
      </c>
      <c r="F2541" s="2" t="s">
        <v>17</v>
      </c>
      <c r="G2541" s="2" t="s">
        <v>5370</v>
      </c>
      <c r="I2541" s="2">
        <v>439</v>
      </c>
      <c r="J2541" s="2"/>
      <c r="K2541" s="2" t="s">
        <v>352</v>
      </c>
      <c r="L2541" s="2">
        <v>4.2</v>
      </c>
      <c r="M2541" s="2">
        <v>642</v>
      </c>
      <c r="P2541" t="str">
        <f t="shared" si="159"/>
        <v/>
      </c>
      <c r="Q2541" s="12" t="str">
        <f t="shared" si="156"/>
        <v/>
      </c>
      <c r="R2541" s="9" t="str">
        <f t="shared" si="157"/>
        <v/>
      </c>
      <c r="S2541" s="9">
        <f>IF(R2541="",AVERAGEIF(Table1[Category],Table1[[#This Row],[Category]],Table2[orignal data]),Table2[[#This Row],[orignal data]])</f>
        <v>552.70900000000006</v>
      </c>
      <c r="T2541" t="str">
        <f t="shared" si="158"/>
        <v>UNIQUE</v>
      </c>
      <c r="U2541" t="str">
        <f>IF(ISBLANK(Table1[[#This Row],[SizeOption]]),"NOT AVAILABLE",Table1[[#This Row],[SizeOption]])</f>
        <v>S, M, L</v>
      </c>
      <c r="Y2541" t="str">
        <f>IF(Table2[[#This Row],[Column1]]&gt;50%,"HIGH DISCOUNT","LOW DISCOUNT")</f>
        <v>HIGH DISCOUNT</v>
      </c>
    </row>
    <row r="2542" spans="1:25" x14ac:dyDescent="0.25">
      <c r="A2542" s="1" t="s">
        <v>5371</v>
      </c>
      <c r="B2542" s="1">
        <v>11364038</v>
      </c>
      <c r="C2542" s="1" t="s">
        <v>169</v>
      </c>
      <c r="D2542" s="1" t="s">
        <v>28</v>
      </c>
      <c r="E2542" s="1" t="s">
        <v>42</v>
      </c>
      <c r="F2542" s="1" t="s">
        <v>17</v>
      </c>
      <c r="G2542" s="1" t="s">
        <v>5372</v>
      </c>
      <c r="H2542">
        <v>599</v>
      </c>
      <c r="I2542" s="1">
        <v>1199</v>
      </c>
      <c r="J2542" s="1" t="s">
        <v>84</v>
      </c>
      <c r="K2542" s="1" t="s">
        <v>39</v>
      </c>
      <c r="L2542" s="1">
        <v>4.0999999999999996</v>
      </c>
      <c r="M2542" s="1">
        <v>642</v>
      </c>
      <c r="P2542" t="str">
        <f t="shared" si="159"/>
        <v>50%</v>
      </c>
      <c r="Q2542" s="12">
        <f t="shared" si="156"/>
        <v>0.5</v>
      </c>
      <c r="R2542" s="9">
        <f t="shared" si="157"/>
        <v>599.5</v>
      </c>
      <c r="S2542" s="9">
        <f>IF(R2542="",AVERAGEIF(Table1[Category],Table1[[#This Row],[Category]],Table2[orignal data]),Table2[[#This Row],[orignal data]])</f>
        <v>599.5</v>
      </c>
      <c r="T2542" t="str">
        <f t="shared" si="158"/>
        <v>UNIQUE</v>
      </c>
      <c r="U2542" t="str">
        <f>IF(ISBLANK(Table1[[#This Row],[SizeOption]]),"NOT AVAILABLE",Table1[[#This Row],[SizeOption]])</f>
        <v>S, M, L, XL, XXL</v>
      </c>
      <c r="Y2542" t="str">
        <f>IF(Table2[[#This Row],[Column1]]&gt;50%,"HIGH DISCOUNT","LOW DISCOUNT")</f>
        <v>LOW DISCOUNT</v>
      </c>
    </row>
    <row r="2543" spans="1:25" x14ac:dyDescent="0.25">
      <c r="A2543" s="2" t="s">
        <v>5373</v>
      </c>
      <c r="B2543" s="2">
        <v>9200809</v>
      </c>
      <c r="C2543" s="2" t="s">
        <v>1176</v>
      </c>
      <c r="D2543" s="2" t="s">
        <v>28</v>
      </c>
      <c r="E2543" s="2" t="s">
        <v>42</v>
      </c>
      <c r="F2543" s="2" t="s">
        <v>17</v>
      </c>
      <c r="G2543" s="2" t="s">
        <v>5374</v>
      </c>
      <c r="H2543">
        <v>417</v>
      </c>
      <c r="I2543" s="2">
        <v>949</v>
      </c>
      <c r="J2543" s="2" t="s">
        <v>1204</v>
      </c>
      <c r="K2543" s="2" t="s">
        <v>26</v>
      </c>
      <c r="L2543" s="2">
        <v>3.8</v>
      </c>
      <c r="M2543" s="2">
        <v>642</v>
      </c>
      <c r="P2543" t="str">
        <f t="shared" si="159"/>
        <v>56%</v>
      </c>
      <c r="Q2543" s="12">
        <f t="shared" si="156"/>
        <v>0.56000000000000005</v>
      </c>
      <c r="R2543" s="9">
        <f t="shared" si="157"/>
        <v>417.55999999999995</v>
      </c>
      <c r="S2543" s="9">
        <f>IF(R2543="",AVERAGEIF(Table1[Category],Table1[[#This Row],[Category]],Table2[orignal data]),Table2[[#This Row],[orignal data]])</f>
        <v>417.55999999999995</v>
      </c>
      <c r="T2543" t="str">
        <f t="shared" si="158"/>
        <v>UNIQUE</v>
      </c>
      <c r="U2543" t="str">
        <f>IF(ISBLANK(Table1[[#This Row],[SizeOption]]),"NOT AVAILABLE",Table1[[#This Row],[SizeOption]])</f>
        <v>S, M, L, XL</v>
      </c>
      <c r="Y2543" t="str">
        <f>IF(Table2[[#This Row],[Column1]]&gt;50%,"HIGH DISCOUNT","LOW DISCOUNT")</f>
        <v>HIGH DISCOUNT</v>
      </c>
    </row>
    <row r="2544" spans="1:25" x14ac:dyDescent="0.25">
      <c r="A2544" s="1" t="s">
        <v>5375</v>
      </c>
      <c r="B2544" s="1">
        <v>14430996</v>
      </c>
      <c r="C2544" s="1" t="s">
        <v>64</v>
      </c>
      <c r="D2544" s="1" t="s">
        <v>76</v>
      </c>
      <c r="E2544" s="1" t="s">
        <v>93</v>
      </c>
      <c r="F2544" s="1" t="s">
        <v>36</v>
      </c>
      <c r="G2544" s="1" t="s">
        <v>5376</v>
      </c>
      <c r="H2544">
        <v>439</v>
      </c>
      <c r="I2544" s="1">
        <v>1099</v>
      </c>
      <c r="J2544" s="1" t="s">
        <v>55</v>
      </c>
      <c r="K2544" s="1" t="s">
        <v>100</v>
      </c>
      <c r="L2544" s="1">
        <v>4.3</v>
      </c>
      <c r="M2544" s="1">
        <v>642</v>
      </c>
      <c r="P2544" t="str">
        <f t="shared" si="159"/>
        <v>60%</v>
      </c>
      <c r="Q2544" s="12">
        <f t="shared" si="156"/>
        <v>0.6</v>
      </c>
      <c r="R2544" s="9">
        <f t="shared" si="157"/>
        <v>439.6</v>
      </c>
      <c r="S2544" s="9">
        <f>IF(R2544="",AVERAGEIF(Table1[Category],Table1[[#This Row],[Category]],Table2[orignal data]),Table2[[#This Row],[orignal data]])</f>
        <v>439.6</v>
      </c>
      <c r="T2544" t="str">
        <f t="shared" si="158"/>
        <v>UNIQUE</v>
      </c>
      <c r="U2544" t="str">
        <f>IF(ISBLANK(Table1[[#This Row],[SizeOption]]),"NOT AVAILABLE",Table1[[#This Row],[SizeOption]])</f>
        <v>XS, S, M, L, XL, XXL, 3XL</v>
      </c>
      <c r="Y2544" t="str">
        <f>IF(Table2[[#This Row],[Column1]]&gt;50%,"HIGH DISCOUNT","LOW DISCOUNT")</f>
        <v>HIGH DISCOUNT</v>
      </c>
    </row>
    <row r="2545" spans="1:25" x14ac:dyDescent="0.25">
      <c r="A2545" s="2" t="s">
        <v>5377</v>
      </c>
      <c r="B2545" s="2">
        <v>12104668</v>
      </c>
      <c r="C2545" s="2" t="s">
        <v>97</v>
      </c>
      <c r="D2545" s="2" t="s">
        <v>76</v>
      </c>
      <c r="E2545" s="2" t="s">
        <v>77</v>
      </c>
      <c r="F2545" s="2" t="s">
        <v>36</v>
      </c>
      <c r="G2545" s="2" t="s">
        <v>5378</v>
      </c>
      <c r="H2545">
        <v>2199</v>
      </c>
      <c r="I2545" s="2">
        <v>4399</v>
      </c>
      <c r="J2545" s="2" t="s">
        <v>84</v>
      </c>
      <c r="K2545" s="2" t="s">
        <v>100</v>
      </c>
      <c r="L2545" s="2">
        <v>4.4000000000000004</v>
      </c>
      <c r="M2545" s="2">
        <v>642</v>
      </c>
      <c r="P2545" t="str">
        <f t="shared" si="159"/>
        <v>50%</v>
      </c>
      <c r="Q2545" s="12">
        <f t="shared" si="156"/>
        <v>0.5</v>
      </c>
      <c r="R2545" s="9">
        <f t="shared" si="157"/>
        <v>2199.5</v>
      </c>
      <c r="S2545" s="9">
        <f>IF(R2545="",AVERAGEIF(Table1[Category],Table1[[#This Row],[Category]],Table2[orignal data]),Table2[[#This Row],[orignal data]])</f>
        <v>2199.5</v>
      </c>
      <c r="T2545" t="str">
        <f t="shared" si="158"/>
        <v>UNIQUE</v>
      </c>
      <c r="U2545" t="str">
        <f>IF(ISBLANK(Table1[[#This Row],[SizeOption]]),"NOT AVAILABLE",Table1[[#This Row],[SizeOption]])</f>
        <v>XS, S, M, L, XL, XXL, 3XL</v>
      </c>
      <c r="Y2545" t="str">
        <f>IF(Table2[[#This Row],[Column1]]&gt;50%,"HIGH DISCOUNT","LOW DISCOUNT")</f>
        <v>LOW DISCOUNT</v>
      </c>
    </row>
    <row r="2546" spans="1:25" x14ac:dyDescent="0.25">
      <c r="A2546" s="1" t="s">
        <v>5379</v>
      </c>
      <c r="B2546" s="1">
        <v>11505988</v>
      </c>
      <c r="C2546" s="1" t="s">
        <v>33</v>
      </c>
      <c r="D2546" s="1" t="s">
        <v>34</v>
      </c>
      <c r="E2546" s="1" t="s">
        <v>118</v>
      </c>
      <c r="F2546" s="1" t="s">
        <v>36</v>
      </c>
      <c r="G2546" s="1" t="s">
        <v>5380</v>
      </c>
      <c r="H2546">
        <v>426</v>
      </c>
      <c r="I2546" s="1">
        <v>449</v>
      </c>
      <c r="J2546" s="1" t="s">
        <v>764</v>
      </c>
      <c r="K2546" s="1" t="s">
        <v>5381</v>
      </c>
      <c r="L2546" s="1">
        <v>4.3</v>
      </c>
      <c r="M2546" s="1">
        <v>642</v>
      </c>
      <c r="P2546" t="str">
        <f t="shared" si="159"/>
        <v>5%</v>
      </c>
      <c r="Q2546" s="12">
        <f t="shared" si="156"/>
        <v>0.05</v>
      </c>
      <c r="R2546" s="9">
        <f t="shared" si="157"/>
        <v>426.55</v>
      </c>
      <c r="S2546" s="9">
        <f>IF(R2546="",AVERAGEIF(Table1[Category],Table1[[#This Row],[Category]],Table2[orignal data]),Table2[[#This Row],[orignal data]])</f>
        <v>426.55</v>
      </c>
      <c r="T2546" t="str">
        <f t="shared" si="158"/>
        <v>UNIQUE</v>
      </c>
      <c r="U2546" t="str">
        <f>IF(ISBLANK(Table1[[#This Row],[SizeOption]]),"NOT AVAILABLE",Table1[[#This Row],[SizeOption]])</f>
        <v>32DD, 32E, 34DD, 34F, 36DD, 36E, 36F, 38DD, 38E, 38F, 40C, 40D, 40DD, 40E, 42C, 42D, 42DD, 44DD</v>
      </c>
      <c r="Y2546" t="str">
        <f>IF(Table2[[#This Row],[Column1]]&gt;50%,"HIGH DISCOUNT","LOW DISCOUNT")</f>
        <v>LOW DISCOUNT</v>
      </c>
    </row>
    <row r="2547" spans="1:25" x14ac:dyDescent="0.25">
      <c r="A2547" s="2" t="s">
        <v>5382</v>
      </c>
      <c r="B2547" s="2">
        <v>13532790</v>
      </c>
      <c r="C2547" s="2" t="s">
        <v>206</v>
      </c>
      <c r="D2547" s="2" t="s">
        <v>41</v>
      </c>
      <c r="E2547" s="2" t="s">
        <v>48</v>
      </c>
      <c r="F2547" s="2" t="s">
        <v>36</v>
      </c>
      <c r="G2547" s="2" t="s">
        <v>5383</v>
      </c>
      <c r="I2547" s="2">
        <v>1399</v>
      </c>
      <c r="J2547" s="2" t="s">
        <v>84</v>
      </c>
      <c r="K2547" s="2" t="s">
        <v>311</v>
      </c>
      <c r="L2547" s="2">
        <v>4.0999999999999996</v>
      </c>
      <c r="M2547" s="2">
        <v>642</v>
      </c>
      <c r="P2547" t="str">
        <f t="shared" si="159"/>
        <v>50%</v>
      </c>
      <c r="Q2547" s="12">
        <f t="shared" si="156"/>
        <v>0.5</v>
      </c>
      <c r="R2547" s="9">
        <f t="shared" si="157"/>
        <v>699.5</v>
      </c>
      <c r="S2547" s="9">
        <f>IF(R2547="",AVERAGEIF(Table1[Category],Table1[[#This Row],[Category]],Table2[orignal data]),Table2[[#This Row],[orignal data]])</f>
        <v>699.5</v>
      </c>
      <c r="T2547" t="str">
        <f t="shared" si="158"/>
        <v>UNIQUE</v>
      </c>
      <c r="U2547" t="str">
        <f>IF(ISBLANK(Table1[[#This Row],[SizeOption]]),"NOT AVAILABLE",Table1[[#This Row],[SizeOption]])</f>
        <v>XS, S, M, L</v>
      </c>
      <c r="Y2547" t="str">
        <f>IF(Table2[[#This Row],[Column1]]&gt;50%,"HIGH DISCOUNT","LOW DISCOUNT")</f>
        <v>LOW DISCOUNT</v>
      </c>
    </row>
    <row r="2548" spans="1:25" x14ac:dyDescent="0.25">
      <c r="A2548" s="1" t="s">
        <v>5384</v>
      </c>
      <c r="B2548" s="1">
        <v>6491770</v>
      </c>
      <c r="C2548" s="1" t="s">
        <v>52</v>
      </c>
      <c r="D2548" s="1" t="s">
        <v>28</v>
      </c>
      <c r="E2548" s="1" t="s">
        <v>29</v>
      </c>
      <c r="F2548" s="1" t="s">
        <v>17</v>
      </c>
      <c r="G2548" s="1" t="s">
        <v>317</v>
      </c>
      <c r="H2548">
        <v>587</v>
      </c>
      <c r="I2548" s="1">
        <v>1249</v>
      </c>
      <c r="J2548" s="1" t="s">
        <v>89</v>
      </c>
      <c r="K2548" s="1" t="s">
        <v>90</v>
      </c>
      <c r="L2548" s="1">
        <v>4.0999999999999996</v>
      </c>
      <c r="M2548" s="1">
        <v>641</v>
      </c>
      <c r="P2548" t="str">
        <f t="shared" si="159"/>
        <v>53%</v>
      </c>
      <c r="Q2548" s="12">
        <f t="shared" si="156"/>
        <v>0.53</v>
      </c>
      <c r="R2548" s="9">
        <f t="shared" si="157"/>
        <v>587.03</v>
      </c>
      <c r="S2548" s="9">
        <f>IF(R2548="",AVERAGEIF(Table1[Category],Table1[[#This Row],[Category]],Table2[orignal data]),Table2[[#This Row],[orignal data]])</f>
        <v>587.03</v>
      </c>
      <c r="T2548" t="str">
        <f t="shared" si="158"/>
        <v>UNIQUE</v>
      </c>
      <c r="U2548" t="str">
        <f>IF(ISBLANK(Table1[[#This Row],[SizeOption]]),"NOT AVAILABLE",Table1[[#This Row],[SizeOption]])</f>
        <v>39, 40, 42, 44</v>
      </c>
      <c r="Y2548" t="str">
        <f>IF(Table2[[#This Row],[Column1]]&gt;50%,"HIGH DISCOUNT","LOW DISCOUNT")</f>
        <v>HIGH DISCOUNT</v>
      </c>
    </row>
    <row r="2549" spans="1:25" x14ac:dyDescent="0.25">
      <c r="A2549" s="2" t="s">
        <v>5385</v>
      </c>
      <c r="B2549" s="2">
        <v>8651931</v>
      </c>
      <c r="C2549" s="2" t="s">
        <v>52</v>
      </c>
      <c r="D2549" s="2" t="s">
        <v>28</v>
      </c>
      <c r="E2549" s="2" t="s">
        <v>29</v>
      </c>
      <c r="F2549" s="2" t="s">
        <v>17</v>
      </c>
      <c r="G2549" s="2" t="s">
        <v>5386</v>
      </c>
      <c r="H2549">
        <v>506</v>
      </c>
      <c r="I2549" s="2">
        <v>1299</v>
      </c>
      <c r="J2549" s="2" t="s">
        <v>104</v>
      </c>
      <c r="K2549" s="2" t="s">
        <v>90</v>
      </c>
      <c r="L2549" s="2">
        <v>3.6</v>
      </c>
      <c r="M2549" s="2">
        <v>641</v>
      </c>
      <c r="P2549" t="str">
        <f t="shared" si="159"/>
        <v>61%</v>
      </c>
      <c r="Q2549" s="12">
        <f t="shared" si="156"/>
        <v>0.61</v>
      </c>
      <c r="R2549" s="9">
        <f t="shared" si="157"/>
        <v>506.61</v>
      </c>
      <c r="S2549" s="9">
        <f>IF(R2549="",AVERAGEIF(Table1[Category],Table1[[#This Row],[Category]],Table2[orignal data]),Table2[[#This Row],[orignal data]])</f>
        <v>506.61</v>
      </c>
      <c r="T2549" t="str">
        <f t="shared" si="158"/>
        <v>UNIQUE</v>
      </c>
      <c r="U2549" t="str">
        <f>IF(ISBLANK(Table1[[#This Row],[SizeOption]]),"NOT AVAILABLE",Table1[[#This Row],[SizeOption]])</f>
        <v>39, 40, 42, 44</v>
      </c>
      <c r="Y2549" t="str">
        <f>IF(Table2[[#This Row],[Column1]]&gt;50%,"HIGH DISCOUNT","LOW DISCOUNT")</f>
        <v>HIGH DISCOUNT</v>
      </c>
    </row>
    <row r="2550" spans="1:25" x14ac:dyDescent="0.25">
      <c r="A2550" s="1" t="s">
        <v>5387</v>
      </c>
      <c r="B2550" s="1">
        <v>11326176</v>
      </c>
      <c r="C2550" s="1" t="s">
        <v>14</v>
      </c>
      <c r="D2550" s="1" t="s">
        <v>28</v>
      </c>
      <c r="E2550" s="1" t="s">
        <v>29</v>
      </c>
      <c r="F2550" s="1" t="s">
        <v>17</v>
      </c>
      <c r="G2550" s="1" t="s">
        <v>265</v>
      </c>
      <c r="H2550">
        <v>749</v>
      </c>
      <c r="I2550" s="1">
        <v>1499</v>
      </c>
      <c r="J2550" s="1" t="s">
        <v>84</v>
      </c>
      <c r="K2550" s="1" t="s">
        <v>253</v>
      </c>
      <c r="L2550" s="1">
        <v>4.3</v>
      </c>
      <c r="M2550" s="1">
        <v>641</v>
      </c>
      <c r="P2550" t="str">
        <f t="shared" si="159"/>
        <v>50%</v>
      </c>
      <c r="Q2550" s="12">
        <f t="shared" si="156"/>
        <v>0.5</v>
      </c>
      <c r="R2550" s="9">
        <f t="shared" si="157"/>
        <v>749.5</v>
      </c>
      <c r="S2550" s="9">
        <f>IF(R2550="",AVERAGEIF(Table1[Category],Table1[[#This Row],[Category]],Table2[orignal data]),Table2[[#This Row],[orignal data]])</f>
        <v>749.5</v>
      </c>
      <c r="T2550" t="str">
        <f t="shared" si="158"/>
        <v>UNIQUE</v>
      </c>
      <c r="U2550" t="str">
        <f>IF(ISBLANK(Table1[[#This Row],[SizeOption]]),"NOT AVAILABLE",Table1[[#This Row],[SizeOption]])</f>
        <v>38, 40, 42, 44</v>
      </c>
      <c r="Y2550" t="str">
        <f>IF(Table2[[#This Row],[Column1]]&gt;50%,"HIGH DISCOUNT","LOW DISCOUNT")</f>
        <v>LOW DISCOUNT</v>
      </c>
    </row>
    <row r="2551" spans="1:25" x14ac:dyDescent="0.25">
      <c r="A2551" s="2" t="s">
        <v>5388</v>
      </c>
      <c r="B2551" s="2">
        <v>11158214</v>
      </c>
      <c r="C2551" s="2" t="s">
        <v>64</v>
      </c>
      <c r="D2551" s="2" t="s">
        <v>28</v>
      </c>
      <c r="E2551" s="2" t="s">
        <v>29</v>
      </c>
      <c r="F2551" s="2" t="s">
        <v>17</v>
      </c>
      <c r="G2551" s="2" t="s">
        <v>5389</v>
      </c>
      <c r="H2551">
        <v>906</v>
      </c>
      <c r="I2551" s="2">
        <v>1649</v>
      </c>
      <c r="J2551" s="2" t="s">
        <v>19</v>
      </c>
      <c r="K2551" s="2" t="s">
        <v>361</v>
      </c>
      <c r="L2551" s="2">
        <v>4.3</v>
      </c>
      <c r="M2551" s="2">
        <v>641</v>
      </c>
      <c r="P2551" t="str">
        <f t="shared" si="159"/>
        <v>45%</v>
      </c>
      <c r="Q2551" s="12">
        <f t="shared" si="156"/>
        <v>0.45</v>
      </c>
      <c r="R2551" s="9">
        <f t="shared" si="157"/>
        <v>906.94999999999993</v>
      </c>
      <c r="S2551" s="9">
        <f>IF(R2551="",AVERAGEIF(Table1[Category],Table1[[#This Row],[Category]],Table2[orignal data]),Table2[[#This Row],[orignal data]])</f>
        <v>906.94999999999993</v>
      </c>
      <c r="T2551" t="str">
        <f t="shared" si="158"/>
        <v>UNIQUE</v>
      </c>
      <c r="U2551" t="str">
        <f>IF(ISBLANK(Table1[[#This Row],[SizeOption]]),"NOT AVAILABLE",Table1[[#This Row],[SizeOption]])</f>
        <v>38, 40, 42, 44, 46</v>
      </c>
      <c r="Y2551" t="str">
        <f>IF(Table2[[#This Row],[Column1]]&gt;50%,"HIGH DISCOUNT","LOW DISCOUNT")</f>
        <v>LOW DISCOUNT</v>
      </c>
    </row>
    <row r="2552" spans="1:25" x14ac:dyDescent="0.25">
      <c r="A2552" s="1" t="s">
        <v>5390</v>
      </c>
      <c r="B2552" s="1">
        <v>6838451</v>
      </c>
      <c r="C2552" s="1" t="s">
        <v>430</v>
      </c>
      <c r="D2552" s="1" t="s">
        <v>28</v>
      </c>
      <c r="E2552" s="1" t="s">
        <v>306</v>
      </c>
      <c r="F2552" s="1" t="s">
        <v>17</v>
      </c>
      <c r="G2552" s="1" t="s">
        <v>5391</v>
      </c>
      <c r="H2552">
        <v>549</v>
      </c>
      <c r="I2552" s="1">
        <v>2199</v>
      </c>
      <c r="J2552" s="1" t="s">
        <v>109</v>
      </c>
      <c r="K2552" s="1" t="s">
        <v>26</v>
      </c>
      <c r="L2552" s="1">
        <v>4.2</v>
      </c>
      <c r="M2552" s="1">
        <v>641</v>
      </c>
      <c r="P2552" t="str">
        <f t="shared" si="159"/>
        <v>75%</v>
      </c>
      <c r="Q2552" s="12">
        <f t="shared" si="156"/>
        <v>0.75</v>
      </c>
      <c r="R2552" s="9">
        <f t="shared" si="157"/>
        <v>549.75</v>
      </c>
      <c r="S2552" s="9">
        <f>IF(R2552="",AVERAGEIF(Table1[Category],Table1[[#This Row],[Category]],Table2[orignal data]),Table2[[#This Row],[orignal data]])</f>
        <v>549.75</v>
      </c>
      <c r="T2552" t="str">
        <f t="shared" si="158"/>
        <v>UNIQUE</v>
      </c>
      <c r="U2552" t="str">
        <f>IF(ISBLANK(Table1[[#This Row],[SizeOption]]),"NOT AVAILABLE",Table1[[#This Row],[SizeOption]])</f>
        <v>S, M, L, XL</v>
      </c>
      <c r="Y2552" t="str">
        <f>IF(Table2[[#This Row],[Column1]]&gt;50%,"HIGH DISCOUNT","LOW DISCOUNT")</f>
        <v>HIGH DISCOUNT</v>
      </c>
    </row>
    <row r="2553" spans="1:25" x14ac:dyDescent="0.25">
      <c r="A2553" s="2" t="s">
        <v>5392</v>
      </c>
      <c r="B2553" s="2">
        <v>12164228</v>
      </c>
      <c r="C2553" s="2" t="s">
        <v>14</v>
      </c>
      <c r="D2553" s="2" t="s">
        <v>28</v>
      </c>
      <c r="E2553" s="2" t="s">
        <v>29</v>
      </c>
      <c r="F2553" s="2" t="s">
        <v>17</v>
      </c>
      <c r="G2553" s="2" t="s">
        <v>5393</v>
      </c>
      <c r="I2553" s="2">
        <v>509</v>
      </c>
      <c r="J2553" s="2"/>
      <c r="K2553" s="2" t="s">
        <v>31</v>
      </c>
      <c r="L2553" s="2">
        <v>4.2</v>
      </c>
      <c r="M2553" s="2">
        <v>641</v>
      </c>
      <c r="P2553" t="str">
        <f t="shared" si="159"/>
        <v/>
      </c>
      <c r="Q2553" s="12" t="str">
        <f t="shared" si="156"/>
        <v/>
      </c>
      <c r="R2553" s="9" t="str">
        <f t="shared" si="157"/>
        <v/>
      </c>
      <c r="S2553" s="9">
        <f>IF(R2553="",AVERAGEIF(Table1[Category],Table1[[#This Row],[Category]],Table2[orignal data]),Table2[[#This Row],[orignal data]])</f>
        <v>671.7823941958867</v>
      </c>
      <c r="T2553" t="str">
        <f t="shared" si="158"/>
        <v>UNIQUE</v>
      </c>
      <c r="U2553" t="str">
        <f>IF(ISBLANK(Table1[[#This Row],[SizeOption]]),"NOT AVAILABLE",Table1[[#This Row],[SizeOption]])</f>
        <v>38, 40, 42, 44, 46, 48</v>
      </c>
      <c r="Y2553" t="str">
        <f>IF(Table2[[#This Row],[Column1]]&gt;50%,"HIGH DISCOUNT","LOW DISCOUNT")</f>
        <v>HIGH DISCOUNT</v>
      </c>
    </row>
    <row r="2554" spans="1:25" x14ac:dyDescent="0.25">
      <c r="A2554" s="1" t="s">
        <v>5394</v>
      </c>
      <c r="B2554" s="1">
        <v>12003924</v>
      </c>
      <c r="C2554" s="1" t="s">
        <v>14</v>
      </c>
      <c r="D2554" s="1" t="s">
        <v>28</v>
      </c>
      <c r="E2554" s="1" t="s">
        <v>42</v>
      </c>
      <c r="F2554" s="1" t="s">
        <v>17</v>
      </c>
      <c r="G2554" s="1" t="s">
        <v>5395</v>
      </c>
      <c r="H2554">
        <v>494</v>
      </c>
      <c r="I2554" s="1">
        <v>899</v>
      </c>
      <c r="J2554" s="1" t="s">
        <v>19</v>
      </c>
      <c r="K2554" s="1" t="s">
        <v>73</v>
      </c>
      <c r="L2554" s="1">
        <v>4.0999999999999996</v>
      </c>
      <c r="M2554" s="1">
        <v>641</v>
      </c>
      <c r="P2554" t="str">
        <f t="shared" si="159"/>
        <v>45%</v>
      </c>
      <c r="Q2554" s="12">
        <f t="shared" si="156"/>
        <v>0.45</v>
      </c>
      <c r="R2554" s="9">
        <f t="shared" si="157"/>
        <v>494.45</v>
      </c>
      <c r="S2554" s="9">
        <f>IF(R2554="",AVERAGEIF(Table1[Category],Table1[[#This Row],[Category]],Table2[orignal data]),Table2[[#This Row],[orignal data]])</f>
        <v>494.45</v>
      </c>
      <c r="T2554" t="str">
        <f t="shared" si="158"/>
        <v>UNIQUE</v>
      </c>
      <c r="U2554" t="str">
        <f>IF(ISBLANK(Table1[[#This Row],[SizeOption]]),"NOT AVAILABLE",Table1[[#This Row],[SizeOption]])</f>
        <v>XS, S, M, L, XL, XXL, 3XL, 4XL</v>
      </c>
      <c r="Y2554" t="str">
        <f>IF(Table2[[#This Row],[Column1]]&gt;50%,"HIGH DISCOUNT","LOW DISCOUNT")</f>
        <v>LOW DISCOUNT</v>
      </c>
    </row>
    <row r="2555" spans="1:25" x14ac:dyDescent="0.25">
      <c r="A2555" s="2" t="s">
        <v>5396</v>
      </c>
      <c r="B2555" s="2">
        <v>12442112</v>
      </c>
      <c r="C2555" s="2" t="s">
        <v>620</v>
      </c>
      <c r="D2555" s="2" t="s">
        <v>34</v>
      </c>
      <c r="E2555" s="2" t="s">
        <v>2910</v>
      </c>
      <c r="F2555" s="2" t="s">
        <v>36</v>
      </c>
      <c r="G2555" s="2" t="s">
        <v>5397</v>
      </c>
      <c r="H2555">
        <v>329</v>
      </c>
      <c r="I2555" s="2">
        <v>1099</v>
      </c>
      <c r="J2555" s="2" t="s">
        <v>79</v>
      </c>
      <c r="K2555" s="2" t="s">
        <v>26</v>
      </c>
      <c r="L2555" s="2">
        <v>4.2</v>
      </c>
      <c r="M2555" s="2">
        <v>641</v>
      </c>
      <c r="P2555" t="str">
        <f t="shared" si="159"/>
        <v>70%</v>
      </c>
      <c r="Q2555" s="12">
        <f t="shared" si="156"/>
        <v>0.7</v>
      </c>
      <c r="R2555" s="9">
        <f t="shared" si="157"/>
        <v>329.70000000000005</v>
      </c>
      <c r="S2555" s="9">
        <f>IF(R2555="",AVERAGEIF(Table1[Category],Table1[[#This Row],[Category]],Table2[orignal data]),Table2[[#This Row],[orignal data]])</f>
        <v>329.70000000000005</v>
      </c>
      <c r="T2555" t="str">
        <f t="shared" si="158"/>
        <v>UNIQUE</v>
      </c>
      <c r="U2555" t="str">
        <f>IF(ISBLANK(Table1[[#This Row],[SizeOption]]),"NOT AVAILABLE",Table1[[#This Row],[SizeOption]])</f>
        <v>S, M, L, XL</v>
      </c>
      <c r="Y2555" t="str">
        <f>IF(Table2[[#This Row],[Column1]]&gt;50%,"HIGH DISCOUNT","LOW DISCOUNT")</f>
        <v>HIGH DISCOUNT</v>
      </c>
    </row>
    <row r="2556" spans="1:25" x14ac:dyDescent="0.25">
      <c r="A2556" s="1" t="s">
        <v>5398</v>
      </c>
      <c r="B2556" s="1">
        <v>2525386</v>
      </c>
      <c r="C2556" s="1" t="s">
        <v>4309</v>
      </c>
      <c r="D2556" s="1" t="s">
        <v>34</v>
      </c>
      <c r="E2556" s="1" t="s">
        <v>118</v>
      </c>
      <c r="F2556" s="1" t="s">
        <v>36</v>
      </c>
      <c r="G2556" s="1" t="s">
        <v>5399</v>
      </c>
      <c r="H2556">
        <v>399</v>
      </c>
      <c r="I2556" s="1">
        <v>799</v>
      </c>
      <c r="J2556" s="1" t="s">
        <v>84</v>
      </c>
      <c r="K2556" s="1" t="s">
        <v>4311</v>
      </c>
      <c r="L2556" s="1">
        <v>3.7</v>
      </c>
      <c r="M2556" s="1">
        <v>641</v>
      </c>
      <c r="P2556" t="str">
        <f t="shared" si="159"/>
        <v>50%</v>
      </c>
      <c r="Q2556" s="12">
        <f t="shared" si="156"/>
        <v>0.5</v>
      </c>
      <c r="R2556" s="9">
        <f t="shared" si="157"/>
        <v>399.5</v>
      </c>
      <c r="S2556" s="9">
        <f>IF(R2556="",AVERAGEIF(Table1[Category],Table1[[#This Row],[Category]],Table2[orignal data]),Table2[[#This Row],[orignal data]])</f>
        <v>399.5</v>
      </c>
      <c r="T2556" t="str">
        <f t="shared" si="158"/>
        <v>UNIQUE</v>
      </c>
      <c r="U2556" t="str">
        <f>IF(ISBLANK(Table1[[#This Row],[SizeOption]]),"NOT AVAILABLE",Table1[[#This Row],[SizeOption]])</f>
        <v>30A, 30B, 32A, 32B, 34A, 34B, 36A, 36B</v>
      </c>
      <c r="Y2556" t="str">
        <f>IF(Table2[[#This Row],[Column1]]&gt;50%,"HIGH DISCOUNT","LOW DISCOUNT")</f>
        <v>LOW DISCOUNT</v>
      </c>
    </row>
    <row r="2557" spans="1:25" x14ac:dyDescent="0.25">
      <c r="A2557" s="2" t="s">
        <v>5400</v>
      </c>
      <c r="B2557" s="2">
        <v>9965779</v>
      </c>
      <c r="C2557" s="2" t="s">
        <v>67</v>
      </c>
      <c r="D2557" s="2" t="s">
        <v>68</v>
      </c>
      <c r="E2557" s="2" t="s">
        <v>306</v>
      </c>
      <c r="F2557" s="2" t="s">
        <v>36</v>
      </c>
      <c r="G2557" s="2" t="s">
        <v>5401</v>
      </c>
      <c r="H2557">
        <v>1099</v>
      </c>
      <c r="I2557" s="2">
        <v>2199</v>
      </c>
      <c r="J2557" s="2" t="s">
        <v>84</v>
      </c>
      <c r="K2557" s="2" t="s">
        <v>115</v>
      </c>
      <c r="L2557" s="2">
        <v>4.5</v>
      </c>
      <c r="M2557" s="2">
        <v>641</v>
      </c>
      <c r="P2557" t="str">
        <f t="shared" si="159"/>
        <v>50%</v>
      </c>
      <c r="Q2557" s="12">
        <f t="shared" si="156"/>
        <v>0.5</v>
      </c>
      <c r="R2557" s="9">
        <f t="shared" si="157"/>
        <v>1099.5</v>
      </c>
      <c r="S2557" s="9">
        <f>IF(R2557="",AVERAGEIF(Table1[Category],Table1[[#This Row],[Category]],Table2[orignal data]),Table2[[#This Row],[orignal data]])</f>
        <v>1099.5</v>
      </c>
      <c r="T2557" t="str">
        <f t="shared" si="158"/>
        <v>UNIQUE</v>
      </c>
      <c r="U2557" t="str">
        <f>IF(ISBLANK(Table1[[#This Row],[SizeOption]]),"NOT AVAILABLE",Table1[[#This Row],[SizeOption]])</f>
        <v>XS, S, M, L, XL, XXL</v>
      </c>
      <c r="Y2557" t="str">
        <f>IF(Table2[[#This Row],[Column1]]&gt;50%,"HIGH DISCOUNT","LOW DISCOUNT")</f>
        <v>LOW DISCOUNT</v>
      </c>
    </row>
    <row r="2558" spans="1:25" x14ac:dyDescent="0.25">
      <c r="A2558" s="1" t="s">
        <v>5402</v>
      </c>
      <c r="B2558" s="1">
        <v>12388862</v>
      </c>
      <c r="C2558" s="1" t="s">
        <v>887</v>
      </c>
      <c r="D2558" s="1" t="s">
        <v>41</v>
      </c>
      <c r="E2558" s="1" t="s">
        <v>148</v>
      </c>
      <c r="F2558" s="1" t="s">
        <v>36</v>
      </c>
      <c r="G2558" s="1" t="s">
        <v>5403</v>
      </c>
      <c r="I2558" s="1">
        <v>1699</v>
      </c>
      <c r="J2558" s="1" t="s">
        <v>1340</v>
      </c>
      <c r="K2558" s="1" t="s">
        <v>26</v>
      </c>
      <c r="L2558" s="1">
        <v>4.4000000000000004</v>
      </c>
      <c r="M2558" s="1">
        <v>641</v>
      </c>
      <c r="P2558" t="str">
        <f t="shared" si="159"/>
        <v>44%</v>
      </c>
      <c r="Q2558" s="12">
        <f t="shared" si="156"/>
        <v>0.44</v>
      </c>
      <c r="R2558" s="9">
        <f t="shared" si="157"/>
        <v>951.43999999999994</v>
      </c>
      <c r="S2558" s="9">
        <f>IF(R2558="",AVERAGEIF(Table1[Category],Table1[[#This Row],[Category]],Table2[orignal data]),Table2[[#This Row],[orignal data]])</f>
        <v>951.43999999999994</v>
      </c>
      <c r="T2558" t="str">
        <f t="shared" si="158"/>
        <v>UNIQUE</v>
      </c>
      <c r="U2558" t="str">
        <f>IF(ISBLANK(Table1[[#This Row],[SizeOption]]),"NOT AVAILABLE",Table1[[#This Row],[SizeOption]])</f>
        <v>S, M, L, XL</v>
      </c>
      <c r="Y2558" t="str">
        <f>IF(Table2[[#This Row],[Column1]]&gt;50%,"HIGH DISCOUNT","LOW DISCOUNT")</f>
        <v>LOW DISCOUNT</v>
      </c>
    </row>
    <row r="2559" spans="1:25" x14ac:dyDescent="0.25">
      <c r="A2559" s="2" t="s">
        <v>5404</v>
      </c>
      <c r="B2559" s="2">
        <v>13100548</v>
      </c>
      <c r="C2559" s="2" t="s">
        <v>102</v>
      </c>
      <c r="D2559" s="2" t="s">
        <v>41</v>
      </c>
      <c r="E2559" s="2" t="s">
        <v>16</v>
      </c>
      <c r="F2559" s="2" t="s">
        <v>36</v>
      </c>
      <c r="G2559" s="2" t="s">
        <v>5405</v>
      </c>
      <c r="I2559" s="2">
        <v>1699</v>
      </c>
      <c r="J2559" s="2" t="s">
        <v>95</v>
      </c>
      <c r="K2559" s="2" t="s">
        <v>428</v>
      </c>
      <c r="L2559" s="2">
        <v>4.0999999999999996</v>
      </c>
      <c r="M2559" s="2">
        <v>641</v>
      </c>
      <c r="P2559" t="str">
        <f t="shared" si="159"/>
        <v>59%</v>
      </c>
      <c r="Q2559" s="12">
        <f t="shared" si="156"/>
        <v>0.59</v>
      </c>
      <c r="R2559" s="9">
        <f t="shared" si="157"/>
        <v>696.59</v>
      </c>
      <c r="S2559" s="9">
        <f>IF(R2559="",AVERAGEIF(Table1[Category],Table1[[#This Row],[Category]],Table2[orignal data]),Table2[[#This Row],[orignal data]])</f>
        <v>696.59</v>
      </c>
      <c r="T2559" t="str">
        <f t="shared" si="158"/>
        <v>UNIQUE</v>
      </c>
      <c r="U2559" t="str">
        <f>IF(ISBLANK(Table1[[#This Row],[SizeOption]]),"NOT AVAILABLE",Table1[[#This Row],[SizeOption]])</f>
        <v>26, 28, 30, 32, 34</v>
      </c>
      <c r="Y2559" t="str">
        <f>IF(Table2[[#This Row],[Column1]]&gt;50%,"HIGH DISCOUNT","LOW DISCOUNT")</f>
        <v>HIGH DISCOUNT</v>
      </c>
    </row>
    <row r="2560" spans="1:25" x14ac:dyDescent="0.25">
      <c r="A2560" s="1" t="s">
        <v>5406</v>
      </c>
      <c r="B2560" s="1">
        <v>10606450</v>
      </c>
      <c r="C2560" s="1" t="s">
        <v>132</v>
      </c>
      <c r="D2560" s="1" t="s">
        <v>41</v>
      </c>
      <c r="E2560" s="1" t="s">
        <v>3635</v>
      </c>
      <c r="F2560" s="1" t="s">
        <v>36</v>
      </c>
      <c r="G2560" s="1" t="s">
        <v>5407</v>
      </c>
      <c r="I2560" s="1">
        <v>3999</v>
      </c>
      <c r="J2560" s="1" t="s">
        <v>589</v>
      </c>
      <c r="K2560" s="1" t="s">
        <v>428</v>
      </c>
      <c r="L2560" s="1">
        <v>4.5</v>
      </c>
      <c r="M2560" s="1">
        <v>641</v>
      </c>
      <c r="P2560" t="str">
        <f t="shared" si="159"/>
        <v>80%</v>
      </c>
      <c r="Q2560" s="12">
        <f t="shared" si="156"/>
        <v>0.8</v>
      </c>
      <c r="R2560" s="9">
        <f t="shared" si="157"/>
        <v>799.79999999999973</v>
      </c>
      <c r="S2560" s="9">
        <f>IF(R2560="",AVERAGEIF(Table1[Category],Table1[[#This Row],[Category]],Table2[orignal data]),Table2[[#This Row],[orignal data]])</f>
        <v>799.79999999999973</v>
      </c>
      <c r="T2560" t="str">
        <f t="shared" si="158"/>
        <v>UNIQUE</v>
      </c>
      <c r="U2560" t="str">
        <f>IF(ISBLANK(Table1[[#This Row],[SizeOption]]),"NOT AVAILABLE",Table1[[#This Row],[SizeOption]])</f>
        <v>26, 28, 30, 32, 34</v>
      </c>
      <c r="Y2560" t="str">
        <f>IF(Table2[[#This Row],[Column1]]&gt;50%,"HIGH DISCOUNT","LOW DISCOUNT")</f>
        <v>HIGH DISCOUNT</v>
      </c>
    </row>
    <row r="2561" spans="1:25" x14ac:dyDescent="0.25">
      <c r="A2561" s="2" t="s">
        <v>5408</v>
      </c>
      <c r="B2561" s="2">
        <v>2290963</v>
      </c>
      <c r="C2561" s="2" t="s">
        <v>14</v>
      </c>
      <c r="D2561" s="2" t="s">
        <v>15</v>
      </c>
      <c r="E2561" s="2" t="s">
        <v>53</v>
      </c>
      <c r="F2561" s="2" t="s">
        <v>17</v>
      </c>
      <c r="G2561" s="2" t="s">
        <v>5409</v>
      </c>
      <c r="H2561">
        <v>1199</v>
      </c>
      <c r="I2561" s="2">
        <v>1999</v>
      </c>
      <c r="J2561" s="2" t="s">
        <v>50</v>
      </c>
      <c r="K2561" s="2" t="s">
        <v>20</v>
      </c>
      <c r="L2561" s="2">
        <v>4.2</v>
      </c>
      <c r="M2561" s="2">
        <v>640</v>
      </c>
      <c r="P2561" t="str">
        <f t="shared" si="159"/>
        <v>40%</v>
      </c>
      <c r="Q2561" s="12">
        <f t="shared" si="156"/>
        <v>0.4</v>
      </c>
      <c r="R2561" s="9">
        <f t="shared" si="157"/>
        <v>1199.4000000000001</v>
      </c>
      <c r="S2561" s="9">
        <f>IF(R2561="",AVERAGEIF(Table1[Category],Table1[[#This Row],[Category]],Table2[orignal data]),Table2[[#This Row],[orignal data]])</f>
        <v>1199.4000000000001</v>
      </c>
      <c r="T2561" t="str">
        <f t="shared" si="158"/>
        <v>UNIQUE</v>
      </c>
      <c r="U2561" t="str">
        <f>IF(ISBLANK(Table1[[#This Row],[SizeOption]]),"NOT AVAILABLE",Table1[[#This Row],[SizeOption]])</f>
        <v>28, 30, 32, 34, 36</v>
      </c>
      <c r="Y2561" t="str">
        <f>IF(Table2[[#This Row],[Column1]]&gt;50%,"HIGH DISCOUNT","LOW DISCOUNT")</f>
        <v>LOW DISCOUNT</v>
      </c>
    </row>
    <row r="2562" spans="1:25" x14ac:dyDescent="0.25">
      <c r="A2562" s="1" t="s">
        <v>5410</v>
      </c>
      <c r="B2562" s="1">
        <v>8962375</v>
      </c>
      <c r="C2562" s="1" t="s">
        <v>14</v>
      </c>
      <c r="D2562" s="1" t="s">
        <v>15</v>
      </c>
      <c r="E2562" s="1" t="s">
        <v>16</v>
      </c>
      <c r="F2562" s="1" t="s">
        <v>17</v>
      </c>
      <c r="G2562" s="1" t="s">
        <v>3690</v>
      </c>
      <c r="H2562">
        <v>679</v>
      </c>
      <c r="I2562" s="1">
        <v>1699</v>
      </c>
      <c r="J2562" s="1" t="s">
        <v>55</v>
      </c>
      <c r="K2562" s="1" t="s">
        <v>134</v>
      </c>
      <c r="L2562" s="1">
        <v>4.0999999999999996</v>
      </c>
      <c r="M2562" s="1">
        <v>640</v>
      </c>
      <c r="P2562" t="str">
        <f t="shared" si="159"/>
        <v>60%</v>
      </c>
      <c r="Q2562" s="12">
        <f t="shared" ref="Q2562:Q2625" si="160">IF(P2562="","",IF(ISNUMBER(SEARCH("%",P2562)),P2562,P2562/I2562)*100%)</f>
        <v>0.6</v>
      </c>
      <c r="R2562" s="9">
        <f t="shared" ref="R2562:R2625" si="161">IF(P2562="","",I2562-(I2562*Q2562))</f>
        <v>679.6</v>
      </c>
      <c r="S2562" s="9">
        <f>IF(R2562="",AVERAGEIF(Table1[Category],Table1[[#This Row],[Category]],Table2[orignal data]),Table2[[#This Row],[orignal data]])</f>
        <v>679.6</v>
      </c>
      <c r="T2562" t="str">
        <f t="shared" ref="T2562:T2625" si="162">IF(COUNTIF($B$2:$B$5000,B2562)&gt;1,"DUPLICATE","UNIQUE")</f>
        <v>UNIQUE</v>
      </c>
      <c r="U2562" t="str">
        <f>IF(ISBLANK(Table1[[#This Row],[SizeOption]]),"NOT AVAILABLE",Table1[[#This Row],[SizeOption]])</f>
        <v>26, 28, 30, 32, 34, 36</v>
      </c>
      <c r="Y2562" t="str">
        <f>IF(Table2[[#This Row],[Column1]]&gt;50%,"HIGH DISCOUNT","LOW DISCOUNT")</f>
        <v>HIGH DISCOUNT</v>
      </c>
    </row>
    <row r="2563" spans="1:25" x14ac:dyDescent="0.25">
      <c r="A2563" s="2" t="s">
        <v>5411</v>
      </c>
      <c r="B2563" s="2">
        <v>2001982</v>
      </c>
      <c r="C2563" s="2" t="s">
        <v>169</v>
      </c>
      <c r="D2563" s="2" t="s">
        <v>28</v>
      </c>
      <c r="E2563" s="2" t="s">
        <v>42</v>
      </c>
      <c r="F2563" s="2" t="s">
        <v>17</v>
      </c>
      <c r="G2563" s="2" t="s">
        <v>5412</v>
      </c>
      <c r="H2563">
        <v>649</v>
      </c>
      <c r="I2563" s="2">
        <v>1299</v>
      </c>
      <c r="J2563" s="2" t="s">
        <v>84</v>
      </c>
      <c r="K2563" s="2" t="s">
        <v>39</v>
      </c>
      <c r="L2563" s="2">
        <v>4.0999999999999996</v>
      </c>
      <c r="M2563" s="2">
        <v>640</v>
      </c>
      <c r="P2563" t="str">
        <f t="shared" ref="P2563:P2626" si="163">TRIM(SUBSTITUTE(SUBSTITUTE(SUBSTITUTE(SUBSTITUTE(J2563,"OFF",""),"Rs.",""),"Hurry*",""),",",""))</f>
        <v>50%</v>
      </c>
      <c r="Q2563" s="12">
        <f t="shared" si="160"/>
        <v>0.5</v>
      </c>
      <c r="R2563" s="9">
        <f t="shared" si="161"/>
        <v>649.5</v>
      </c>
      <c r="S2563" s="9">
        <f>IF(R2563="",AVERAGEIF(Table1[Category],Table1[[#This Row],[Category]],Table2[orignal data]),Table2[[#This Row],[orignal data]])</f>
        <v>649.5</v>
      </c>
      <c r="T2563" t="str">
        <f t="shared" si="162"/>
        <v>UNIQUE</v>
      </c>
      <c r="U2563" t="str">
        <f>IF(ISBLANK(Table1[[#This Row],[SizeOption]]),"NOT AVAILABLE",Table1[[#This Row],[SizeOption]])</f>
        <v>S, M, L, XL, XXL</v>
      </c>
      <c r="Y2563" t="str">
        <f>IF(Table2[[#This Row],[Column1]]&gt;50%,"HIGH DISCOUNT","LOW DISCOUNT")</f>
        <v>LOW DISCOUNT</v>
      </c>
    </row>
    <row r="2564" spans="1:25" x14ac:dyDescent="0.25">
      <c r="A2564" s="1" t="s">
        <v>5413</v>
      </c>
      <c r="B2564" s="1">
        <v>8651929</v>
      </c>
      <c r="C2564" s="1" t="s">
        <v>52</v>
      </c>
      <c r="D2564" s="1" t="s">
        <v>28</v>
      </c>
      <c r="E2564" s="1" t="s">
        <v>29</v>
      </c>
      <c r="F2564" s="1" t="s">
        <v>17</v>
      </c>
      <c r="G2564" s="1" t="s">
        <v>5414</v>
      </c>
      <c r="H2564">
        <v>610</v>
      </c>
      <c r="I2564" s="1">
        <v>1299</v>
      </c>
      <c r="J2564" s="1" t="s">
        <v>89</v>
      </c>
      <c r="K2564" s="1" t="s">
        <v>90</v>
      </c>
      <c r="L2564" s="1">
        <v>3.8</v>
      </c>
      <c r="M2564" s="1">
        <v>640</v>
      </c>
      <c r="P2564" t="str">
        <f t="shared" si="163"/>
        <v>53%</v>
      </c>
      <c r="Q2564" s="12">
        <f t="shared" si="160"/>
        <v>0.53</v>
      </c>
      <c r="R2564" s="9">
        <f t="shared" si="161"/>
        <v>610.53</v>
      </c>
      <c r="S2564" s="9">
        <f>IF(R2564="",AVERAGEIF(Table1[Category],Table1[[#This Row],[Category]],Table2[orignal data]),Table2[[#This Row],[orignal data]])</f>
        <v>610.53</v>
      </c>
      <c r="T2564" t="str">
        <f t="shared" si="162"/>
        <v>UNIQUE</v>
      </c>
      <c r="U2564" t="str">
        <f>IF(ISBLANK(Table1[[#This Row],[SizeOption]]),"NOT AVAILABLE",Table1[[#This Row],[SizeOption]])</f>
        <v>39, 40, 42, 44</v>
      </c>
      <c r="Y2564" t="str">
        <f>IF(Table2[[#This Row],[Column1]]&gt;50%,"HIGH DISCOUNT","LOW DISCOUNT")</f>
        <v>HIGH DISCOUNT</v>
      </c>
    </row>
    <row r="2565" spans="1:25" x14ac:dyDescent="0.25">
      <c r="A2565" s="2" t="s">
        <v>5415</v>
      </c>
      <c r="B2565" s="2">
        <v>2388043</v>
      </c>
      <c r="C2565" s="2" t="s">
        <v>214</v>
      </c>
      <c r="D2565" s="2" t="s">
        <v>28</v>
      </c>
      <c r="E2565" s="2" t="s">
        <v>42</v>
      </c>
      <c r="F2565" s="2" t="s">
        <v>17</v>
      </c>
      <c r="G2565" s="2" t="s">
        <v>5416</v>
      </c>
      <c r="H2565">
        <v>339</v>
      </c>
      <c r="I2565" s="2">
        <v>849</v>
      </c>
      <c r="J2565" s="2" t="s">
        <v>55</v>
      </c>
      <c r="K2565" s="2" t="s">
        <v>39</v>
      </c>
      <c r="L2565" s="2">
        <v>4.2</v>
      </c>
      <c r="M2565" s="2">
        <v>640</v>
      </c>
      <c r="P2565" t="str">
        <f t="shared" si="163"/>
        <v>60%</v>
      </c>
      <c r="Q2565" s="12">
        <f t="shared" si="160"/>
        <v>0.6</v>
      </c>
      <c r="R2565" s="9">
        <f t="shared" si="161"/>
        <v>339.6</v>
      </c>
      <c r="S2565" s="9">
        <f>IF(R2565="",AVERAGEIF(Table1[Category],Table1[[#This Row],[Category]],Table2[orignal data]),Table2[[#This Row],[orignal data]])</f>
        <v>339.6</v>
      </c>
      <c r="T2565" t="str">
        <f t="shared" si="162"/>
        <v>UNIQUE</v>
      </c>
      <c r="U2565" t="str">
        <f>IF(ISBLANK(Table1[[#This Row],[SizeOption]]),"NOT AVAILABLE",Table1[[#This Row],[SizeOption]])</f>
        <v>S, M, L, XL, XXL</v>
      </c>
      <c r="Y2565" t="str">
        <f>IF(Table2[[#This Row],[Column1]]&gt;50%,"HIGH DISCOUNT","LOW DISCOUNT")</f>
        <v>HIGH DISCOUNT</v>
      </c>
    </row>
    <row r="2566" spans="1:25" x14ac:dyDescent="0.25">
      <c r="A2566" s="1" t="s">
        <v>5417</v>
      </c>
      <c r="B2566" s="1">
        <v>10074637</v>
      </c>
      <c r="C2566" s="1" t="s">
        <v>92</v>
      </c>
      <c r="D2566" s="1" t="s">
        <v>76</v>
      </c>
      <c r="E2566" s="1" t="s">
        <v>533</v>
      </c>
      <c r="F2566" s="1" t="s">
        <v>36</v>
      </c>
      <c r="G2566" s="1" t="s">
        <v>5418</v>
      </c>
      <c r="H2566">
        <v>545</v>
      </c>
      <c r="I2566" s="1">
        <v>1299</v>
      </c>
      <c r="J2566" s="1" t="s">
        <v>60</v>
      </c>
      <c r="K2566" s="1" t="s">
        <v>20</v>
      </c>
      <c r="L2566" s="1">
        <v>4.3</v>
      </c>
      <c r="M2566" s="1">
        <v>640</v>
      </c>
      <c r="P2566" t="str">
        <f t="shared" si="163"/>
        <v>58%</v>
      </c>
      <c r="Q2566" s="12">
        <f t="shared" si="160"/>
        <v>0.57999999999999996</v>
      </c>
      <c r="R2566" s="9">
        <f t="shared" si="161"/>
        <v>545.58000000000004</v>
      </c>
      <c r="S2566" s="9">
        <f>IF(R2566="",AVERAGEIF(Table1[Category],Table1[[#This Row],[Category]],Table2[orignal data]),Table2[[#This Row],[orignal data]])</f>
        <v>545.58000000000004</v>
      </c>
      <c r="T2566" t="str">
        <f t="shared" si="162"/>
        <v>UNIQUE</v>
      </c>
      <c r="U2566" t="str">
        <f>IF(ISBLANK(Table1[[#This Row],[SizeOption]]),"NOT AVAILABLE",Table1[[#This Row],[SizeOption]])</f>
        <v>28, 30, 32, 34, 36</v>
      </c>
      <c r="Y2566" t="str">
        <f>IF(Table2[[#This Row],[Column1]]&gt;50%,"HIGH DISCOUNT","LOW DISCOUNT")</f>
        <v>HIGH DISCOUNT</v>
      </c>
    </row>
    <row r="2567" spans="1:25" x14ac:dyDescent="0.25">
      <c r="A2567" s="2" t="s">
        <v>5419</v>
      </c>
      <c r="B2567" s="2">
        <v>14059924</v>
      </c>
      <c r="C2567" s="2" t="s">
        <v>620</v>
      </c>
      <c r="D2567" s="2" t="s">
        <v>34</v>
      </c>
      <c r="E2567" s="2" t="s">
        <v>518</v>
      </c>
      <c r="F2567" s="2" t="s">
        <v>36</v>
      </c>
      <c r="G2567" s="2" t="s">
        <v>5420</v>
      </c>
      <c r="H2567">
        <v>384</v>
      </c>
      <c r="I2567" s="2">
        <v>1099</v>
      </c>
      <c r="J2567" s="2" t="s">
        <v>150</v>
      </c>
      <c r="K2567" s="2" t="s">
        <v>26</v>
      </c>
      <c r="L2567" s="2">
        <v>4.4000000000000004</v>
      </c>
      <c r="M2567" s="2">
        <v>640</v>
      </c>
      <c r="P2567" t="str">
        <f t="shared" si="163"/>
        <v>65%</v>
      </c>
      <c r="Q2567" s="12">
        <f t="shared" si="160"/>
        <v>0.65</v>
      </c>
      <c r="R2567" s="9">
        <f t="shared" si="161"/>
        <v>384.65</v>
      </c>
      <c r="S2567" s="9">
        <f>IF(R2567="",AVERAGEIF(Table1[Category],Table1[[#This Row],[Category]],Table2[orignal data]),Table2[[#This Row],[orignal data]])</f>
        <v>384.65</v>
      </c>
      <c r="T2567" t="str">
        <f t="shared" si="162"/>
        <v>UNIQUE</v>
      </c>
      <c r="U2567" t="str">
        <f>IF(ISBLANK(Table1[[#This Row],[SizeOption]]),"NOT AVAILABLE",Table1[[#This Row],[SizeOption]])</f>
        <v>S, M, L, XL</v>
      </c>
      <c r="Y2567" t="str">
        <f>IF(Table2[[#This Row],[Column1]]&gt;50%,"HIGH DISCOUNT","LOW DISCOUNT")</f>
        <v>HIGH DISCOUNT</v>
      </c>
    </row>
    <row r="2568" spans="1:25" x14ac:dyDescent="0.25">
      <c r="A2568" s="1" t="s">
        <v>5421</v>
      </c>
      <c r="B2568" s="1">
        <v>17523498</v>
      </c>
      <c r="C2568" s="1" t="s">
        <v>47</v>
      </c>
      <c r="D2568" s="1" t="s">
        <v>41</v>
      </c>
      <c r="E2568" s="1" t="s">
        <v>42</v>
      </c>
      <c r="F2568" s="1" t="s">
        <v>36</v>
      </c>
      <c r="G2568" s="1" t="s">
        <v>2637</v>
      </c>
      <c r="I2568" s="1">
        <v>1398</v>
      </c>
      <c r="J2568" s="1" t="s">
        <v>84</v>
      </c>
      <c r="K2568" s="1" t="s">
        <v>45</v>
      </c>
      <c r="L2568" s="1">
        <v>4.3</v>
      </c>
      <c r="M2568" s="1">
        <v>640</v>
      </c>
      <c r="P2568" t="str">
        <f t="shared" si="163"/>
        <v>50%</v>
      </c>
      <c r="Q2568" s="12">
        <f t="shared" si="160"/>
        <v>0.5</v>
      </c>
      <c r="R2568" s="9">
        <f t="shared" si="161"/>
        <v>699</v>
      </c>
      <c r="S2568" s="9">
        <f>IF(R2568="",AVERAGEIF(Table1[Category],Table1[[#This Row],[Category]],Table2[orignal data]),Table2[[#This Row],[orignal data]])</f>
        <v>699</v>
      </c>
      <c r="T2568" t="str">
        <f t="shared" si="162"/>
        <v>UNIQUE</v>
      </c>
      <c r="U2568" t="str">
        <f>IF(ISBLANK(Table1[[#This Row],[SizeOption]]),"NOT AVAILABLE",Table1[[#This Row],[SizeOption]])</f>
        <v>XS, S, M, L, XL</v>
      </c>
      <c r="Y2568" t="str">
        <f>IF(Table2[[#This Row],[Column1]]&gt;50%,"HIGH DISCOUNT","LOW DISCOUNT")</f>
        <v>LOW DISCOUNT</v>
      </c>
    </row>
    <row r="2569" spans="1:25" x14ac:dyDescent="0.25">
      <c r="A2569" s="2" t="s">
        <v>5422</v>
      </c>
      <c r="B2569" s="2">
        <v>10861474</v>
      </c>
      <c r="C2569" s="2" t="s">
        <v>181</v>
      </c>
      <c r="D2569" s="2" t="s">
        <v>41</v>
      </c>
      <c r="E2569" s="2" t="s">
        <v>368</v>
      </c>
      <c r="F2569" s="2" t="s">
        <v>36</v>
      </c>
      <c r="G2569" s="2" t="s">
        <v>5423</v>
      </c>
      <c r="I2569" s="2">
        <v>1999</v>
      </c>
      <c r="J2569" s="2" t="s">
        <v>55</v>
      </c>
      <c r="K2569" s="2" t="s">
        <v>134</v>
      </c>
      <c r="L2569" s="2">
        <v>4.4000000000000004</v>
      </c>
      <c r="M2569" s="2">
        <v>640</v>
      </c>
      <c r="P2569" t="str">
        <f t="shared" si="163"/>
        <v>60%</v>
      </c>
      <c r="Q2569" s="12">
        <f t="shared" si="160"/>
        <v>0.6</v>
      </c>
      <c r="R2569" s="9">
        <f t="shared" si="161"/>
        <v>799.60000000000014</v>
      </c>
      <c r="S2569" s="9">
        <f>IF(R2569="",AVERAGEIF(Table1[Category],Table1[[#This Row],[Category]],Table2[orignal data]),Table2[[#This Row],[orignal data]])</f>
        <v>799.60000000000014</v>
      </c>
      <c r="T2569" t="str">
        <f t="shared" si="162"/>
        <v>UNIQUE</v>
      </c>
      <c r="U2569" t="str">
        <f>IF(ISBLANK(Table1[[#This Row],[SizeOption]]),"NOT AVAILABLE",Table1[[#This Row],[SizeOption]])</f>
        <v>26, 28, 30, 32, 34, 36</v>
      </c>
      <c r="Y2569" t="str">
        <f>IF(Table2[[#This Row],[Column1]]&gt;50%,"HIGH DISCOUNT","LOW DISCOUNT")</f>
        <v>HIGH DISCOUNT</v>
      </c>
    </row>
    <row r="2570" spans="1:25" x14ac:dyDescent="0.25">
      <c r="A2570" s="1" t="s">
        <v>5424</v>
      </c>
      <c r="B2570" s="1">
        <v>8168953</v>
      </c>
      <c r="C2570" s="1" t="s">
        <v>22</v>
      </c>
      <c r="D2570" s="1" t="s">
        <v>15</v>
      </c>
      <c r="E2570" s="1" t="s">
        <v>16</v>
      </c>
      <c r="F2570" s="1" t="s">
        <v>17</v>
      </c>
      <c r="G2570" s="1" t="s">
        <v>5425</v>
      </c>
      <c r="H2570">
        <v>832</v>
      </c>
      <c r="I2570" s="1">
        <v>2449</v>
      </c>
      <c r="J2570" s="1" t="s">
        <v>403</v>
      </c>
      <c r="K2570" s="1" t="s">
        <v>56</v>
      </c>
      <c r="L2570" s="1">
        <v>3.8</v>
      </c>
      <c r="M2570" s="1">
        <v>639</v>
      </c>
      <c r="P2570" t="str">
        <f t="shared" si="163"/>
        <v>66%</v>
      </c>
      <c r="Q2570" s="12">
        <f t="shared" si="160"/>
        <v>0.66</v>
      </c>
      <c r="R2570" s="9">
        <f t="shared" si="161"/>
        <v>832.65999999999985</v>
      </c>
      <c r="S2570" s="9">
        <f>IF(R2570="",AVERAGEIF(Table1[Category],Table1[[#This Row],[Category]],Table2[orignal data]),Table2[[#This Row],[orignal data]])</f>
        <v>832.65999999999985</v>
      </c>
      <c r="T2570" t="str">
        <f t="shared" si="162"/>
        <v>UNIQUE</v>
      </c>
      <c r="U2570" t="str">
        <f>IF(ISBLANK(Table1[[#This Row],[SizeOption]]),"NOT AVAILABLE",Table1[[#This Row],[SizeOption]])</f>
        <v>30, 32, 34, 36</v>
      </c>
      <c r="Y2570" t="str">
        <f>IF(Table2[[#This Row],[Column1]]&gt;50%,"HIGH DISCOUNT","LOW DISCOUNT")</f>
        <v>HIGH DISCOUNT</v>
      </c>
    </row>
    <row r="2571" spans="1:25" x14ac:dyDescent="0.25">
      <c r="A2571" s="2" t="s">
        <v>5426</v>
      </c>
      <c r="B2571" s="2">
        <v>8898205</v>
      </c>
      <c r="C2571" s="2" t="s">
        <v>67</v>
      </c>
      <c r="D2571" s="2" t="s">
        <v>68</v>
      </c>
      <c r="E2571" s="2" t="s">
        <v>42</v>
      </c>
      <c r="F2571" s="2" t="s">
        <v>17</v>
      </c>
      <c r="G2571" s="2" t="s">
        <v>5427</v>
      </c>
      <c r="H2571">
        <v>314</v>
      </c>
      <c r="I2571" s="2">
        <v>899</v>
      </c>
      <c r="J2571" s="2" t="s">
        <v>150</v>
      </c>
      <c r="K2571" s="2" t="s">
        <v>39</v>
      </c>
      <c r="L2571" s="2">
        <v>4.3</v>
      </c>
      <c r="M2571" s="2">
        <v>639</v>
      </c>
      <c r="P2571" t="str">
        <f t="shared" si="163"/>
        <v>65%</v>
      </c>
      <c r="Q2571" s="12">
        <f t="shared" si="160"/>
        <v>0.65</v>
      </c>
      <c r="R2571" s="9">
        <f t="shared" si="161"/>
        <v>314.64999999999998</v>
      </c>
      <c r="S2571" s="9">
        <f>IF(R2571="",AVERAGEIF(Table1[Category],Table1[[#This Row],[Category]],Table2[orignal data]),Table2[[#This Row],[orignal data]])</f>
        <v>314.64999999999998</v>
      </c>
      <c r="T2571" t="str">
        <f t="shared" si="162"/>
        <v>UNIQUE</v>
      </c>
      <c r="U2571" t="str">
        <f>IF(ISBLANK(Table1[[#This Row],[SizeOption]]),"NOT AVAILABLE",Table1[[#This Row],[SizeOption]])</f>
        <v>S, M, L, XL, XXL</v>
      </c>
      <c r="Y2571" t="str">
        <f>IF(Table2[[#This Row],[Column1]]&gt;50%,"HIGH DISCOUNT","LOW DISCOUNT")</f>
        <v>HIGH DISCOUNT</v>
      </c>
    </row>
    <row r="2572" spans="1:25" x14ac:dyDescent="0.25">
      <c r="A2572" s="1" t="s">
        <v>5428</v>
      </c>
      <c r="B2572" s="1">
        <v>5415497</v>
      </c>
      <c r="C2572" s="1" t="s">
        <v>14</v>
      </c>
      <c r="D2572" s="1" t="s">
        <v>28</v>
      </c>
      <c r="E2572" s="1" t="s">
        <v>1881</v>
      </c>
      <c r="F2572" s="1" t="s">
        <v>17</v>
      </c>
      <c r="G2572" s="1" t="s">
        <v>5429</v>
      </c>
      <c r="H2572">
        <v>679</v>
      </c>
      <c r="I2572" s="1">
        <v>1699</v>
      </c>
      <c r="J2572" s="1" t="s">
        <v>55</v>
      </c>
      <c r="K2572" s="1" t="s">
        <v>26</v>
      </c>
      <c r="L2572" s="1">
        <v>4.2</v>
      </c>
      <c r="M2572" s="1">
        <v>639</v>
      </c>
      <c r="P2572" t="str">
        <f t="shared" si="163"/>
        <v>60%</v>
      </c>
      <c r="Q2572" s="12">
        <f t="shared" si="160"/>
        <v>0.6</v>
      </c>
      <c r="R2572" s="9">
        <f t="shared" si="161"/>
        <v>679.6</v>
      </c>
      <c r="S2572" s="9">
        <f>IF(R2572="",AVERAGEIF(Table1[Category],Table1[[#This Row],[Category]],Table2[orignal data]),Table2[[#This Row],[orignal data]])</f>
        <v>679.6</v>
      </c>
      <c r="T2572" t="str">
        <f t="shared" si="162"/>
        <v>UNIQUE</v>
      </c>
      <c r="U2572" t="str">
        <f>IF(ISBLANK(Table1[[#This Row],[SizeOption]]),"NOT AVAILABLE",Table1[[#This Row],[SizeOption]])</f>
        <v>S, M, L, XL</v>
      </c>
      <c r="Y2572" t="str">
        <f>IF(Table2[[#This Row],[Column1]]&gt;50%,"HIGH DISCOUNT","LOW DISCOUNT")</f>
        <v>HIGH DISCOUNT</v>
      </c>
    </row>
    <row r="2573" spans="1:25" x14ac:dyDescent="0.25">
      <c r="A2573" s="2" t="s">
        <v>5430</v>
      </c>
      <c r="B2573" s="2">
        <v>10669530</v>
      </c>
      <c r="C2573" s="2" t="s">
        <v>2823</v>
      </c>
      <c r="D2573" s="2" t="s">
        <v>28</v>
      </c>
      <c r="E2573" s="2" t="s">
        <v>42</v>
      </c>
      <c r="F2573" s="2" t="s">
        <v>17</v>
      </c>
      <c r="G2573" s="2" t="s">
        <v>5431</v>
      </c>
      <c r="H2573">
        <v>659</v>
      </c>
      <c r="I2573" s="2">
        <v>1998</v>
      </c>
      <c r="J2573" s="2" t="s">
        <v>543</v>
      </c>
      <c r="K2573" s="2" t="s">
        <v>39</v>
      </c>
      <c r="L2573" s="2">
        <v>4.2</v>
      </c>
      <c r="M2573" s="2">
        <v>639</v>
      </c>
      <c r="P2573" t="str">
        <f t="shared" si="163"/>
        <v>67%</v>
      </c>
      <c r="Q2573" s="12">
        <f t="shared" si="160"/>
        <v>0.67</v>
      </c>
      <c r="R2573" s="9">
        <f t="shared" si="161"/>
        <v>659.33999999999992</v>
      </c>
      <c r="S2573" s="9">
        <f>IF(R2573="",AVERAGEIF(Table1[Category],Table1[[#This Row],[Category]],Table2[orignal data]),Table2[[#This Row],[orignal data]])</f>
        <v>659.33999999999992</v>
      </c>
      <c r="T2573" t="str">
        <f t="shared" si="162"/>
        <v>UNIQUE</v>
      </c>
      <c r="U2573" t="str">
        <f>IF(ISBLANK(Table1[[#This Row],[SizeOption]]),"NOT AVAILABLE",Table1[[#This Row],[SizeOption]])</f>
        <v>S, M, L, XL, XXL</v>
      </c>
      <c r="Y2573" t="str">
        <f>IF(Table2[[#This Row],[Column1]]&gt;50%,"HIGH DISCOUNT","LOW DISCOUNT")</f>
        <v>HIGH DISCOUNT</v>
      </c>
    </row>
    <row r="2574" spans="1:25" x14ac:dyDescent="0.25">
      <c r="A2574" s="1" t="s">
        <v>5432</v>
      </c>
      <c r="B2574" s="1">
        <v>10382467</v>
      </c>
      <c r="C2574" s="1" t="s">
        <v>924</v>
      </c>
      <c r="D2574" s="1" t="s">
        <v>76</v>
      </c>
      <c r="E2574" s="1" t="s">
        <v>320</v>
      </c>
      <c r="F2574" s="1" t="s">
        <v>36</v>
      </c>
      <c r="G2574" s="1" t="s">
        <v>2718</v>
      </c>
      <c r="H2574">
        <v>959</v>
      </c>
      <c r="I2574" s="1">
        <v>2999</v>
      </c>
      <c r="J2574" s="1" t="s">
        <v>839</v>
      </c>
      <c r="K2574" s="1" t="s">
        <v>164</v>
      </c>
      <c r="L2574" s="1">
        <v>4</v>
      </c>
      <c r="M2574" s="1">
        <v>639</v>
      </c>
      <c r="P2574" t="str">
        <f t="shared" si="163"/>
        <v>68%</v>
      </c>
      <c r="Q2574" s="12">
        <f t="shared" si="160"/>
        <v>0.68</v>
      </c>
      <c r="R2574" s="9">
        <f t="shared" si="161"/>
        <v>959.67999999999984</v>
      </c>
      <c r="S2574" s="9">
        <f>IF(R2574="",AVERAGEIF(Table1[Category],Table1[[#This Row],[Category]],Table2[orignal data]),Table2[[#This Row],[orignal data]])</f>
        <v>959.67999999999984</v>
      </c>
      <c r="T2574" t="str">
        <f t="shared" si="162"/>
        <v>UNIQUE</v>
      </c>
      <c r="U2574" t="str">
        <f>IF(ISBLANK(Table1[[#This Row],[SizeOption]]),"NOT AVAILABLE",Table1[[#This Row],[SizeOption]])</f>
        <v>Onesize</v>
      </c>
      <c r="Y2574" t="str">
        <f>IF(Table2[[#This Row],[Column1]]&gt;50%,"HIGH DISCOUNT","LOW DISCOUNT")</f>
        <v>HIGH DISCOUNT</v>
      </c>
    </row>
    <row r="2575" spans="1:25" x14ac:dyDescent="0.25">
      <c r="A2575" s="2" t="s">
        <v>5433</v>
      </c>
      <c r="B2575" s="2">
        <v>13021516</v>
      </c>
      <c r="C2575" s="2" t="s">
        <v>75</v>
      </c>
      <c r="D2575" s="2" t="s">
        <v>34</v>
      </c>
      <c r="E2575" s="2" t="s">
        <v>406</v>
      </c>
      <c r="F2575" s="2" t="s">
        <v>36</v>
      </c>
      <c r="G2575" s="2" t="s">
        <v>5434</v>
      </c>
      <c r="H2575">
        <v>961</v>
      </c>
      <c r="I2575" s="2">
        <v>2599</v>
      </c>
      <c r="J2575" s="2" t="s">
        <v>476</v>
      </c>
      <c r="K2575" s="2" t="s">
        <v>39</v>
      </c>
      <c r="L2575" s="2">
        <v>3.7</v>
      </c>
      <c r="M2575" s="2">
        <v>639</v>
      </c>
      <c r="P2575" t="str">
        <f t="shared" si="163"/>
        <v>63%</v>
      </c>
      <c r="Q2575" s="12">
        <f t="shared" si="160"/>
        <v>0.63</v>
      </c>
      <c r="R2575" s="9">
        <f t="shared" si="161"/>
        <v>961.62999999999988</v>
      </c>
      <c r="S2575" s="9">
        <f>IF(R2575="",AVERAGEIF(Table1[Category],Table1[[#This Row],[Category]],Table2[orignal data]),Table2[[#This Row],[orignal data]])</f>
        <v>961.62999999999988</v>
      </c>
      <c r="T2575" t="str">
        <f t="shared" si="162"/>
        <v>UNIQUE</v>
      </c>
      <c r="U2575" t="str">
        <f>IF(ISBLANK(Table1[[#This Row],[SizeOption]]),"NOT AVAILABLE",Table1[[#This Row],[SizeOption]])</f>
        <v>S, M, L, XL, XXL</v>
      </c>
      <c r="Y2575" t="str">
        <f>IF(Table2[[#This Row],[Column1]]&gt;50%,"HIGH DISCOUNT","LOW DISCOUNT")</f>
        <v>HIGH DISCOUNT</v>
      </c>
    </row>
    <row r="2576" spans="1:25" x14ac:dyDescent="0.25">
      <c r="A2576" s="1" t="s">
        <v>5435</v>
      </c>
      <c r="B2576" s="1">
        <v>12831978</v>
      </c>
      <c r="C2576" s="1" t="s">
        <v>221</v>
      </c>
      <c r="D2576" s="1" t="s">
        <v>98</v>
      </c>
      <c r="E2576" s="1" t="s">
        <v>23</v>
      </c>
      <c r="F2576" s="1" t="s">
        <v>36</v>
      </c>
      <c r="G2576" s="1" t="s">
        <v>5436</v>
      </c>
      <c r="H2576">
        <v>629</v>
      </c>
      <c r="I2576" s="1">
        <v>1799</v>
      </c>
      <c r="J2576" s="1" t="s">
        <v>150</v>
      </c>
      <c r="K2576" s="1" t="s">
        <v>223</v>
      </c>
      <c r="L2576" s="1">
        <v>4</v>
      </c>
      <c r="M2576" s="1">
        <v>639</v>
      </c>
      <c r="P2576" t="str">
        <f t="shared" si="163"/>
        <v>65%</v>
      </c>
      <c r="Q2576" s="12">
        <f t="shared" si="160"/>
        <v>0.65</v>
      </c>
      <c r="R2576" s="9">
        <f t="shared" si="161"/>
        <v>629.64999999999986</v>
      </c>
      <c r="S2576" s="9">
        <f>IF(R2576="",AVERAGEIF(Table1[Category],Table1[[#This Row],[Category]],Table2[orignal data]),Table2[[#This Row],[orignal data]])</f>
        <v>629.64999999999986</v>
      </c>
      <c r="T2576" t="str">
        <f t="shared" si="162"/>
        <v>UNIQUE</v>
      </c>
      <c r="U2576" t="str">
        <f>IF(ISBLANK(Table1[[#This Row],[SizeOption]]),"NOT AVAILABLE",Table1[[#This Row],[SizeOption]])</f>
        <v>S, M, L, XL, XXL, 3XL, 4XL</v>
      </c>
      <c r="Y2576" t="str">
        <f>IF(Table2[[#This Row],[Column1]]&gt;50%,"HIGH DISCOUNT","LOW DISCOUNT")</f>
        <v>HIGH DISCOUNT</v>
      </c>
    </row>
    <row r="2577" spans="1:25" x14ac:dyDescent="0.25">
      <c r="A2577" s="2" t="s">
        <v>5437</v>
      </c>
      <c r="B2577" s="2">
        <v>12375550</v>
      </c>
      <c r="C2577" s="2" t="s">
        <v>887</v>
      </c>
      <c r="D2577" s="2" t="s">
        <v>41</v>
      </c>
      <c r="E2577" s="2" t="s">
        <v>48</v>
      </c>
      <c r="F2577" s="2" t="s">
        <v>36</v>
      </c>
      <c r="G2577" s="2" t="s">
        <v>5438</v>
      </c>
      <c r="I2577" s="2">
        <v>1699</v>
      </c>
      <c r="J2577" s="2" t="s">
        <v>25</v>
      </c>
      <c r="K2577" s="2" t="s">
        <v>26</v>
      </c>
      <c r="L2577" s="2">
        <v>4.3</v>
      </c>
      <c r="M2577" s="2">
        <v>639</v>
      </c>
      <c r="P2577" t="str">
        <f t="shared" si="163"/>
        <v>55%</v>
      </c>
      <c r="Q2577" s="12">
        <f t="shared" si="160"/>
        <v>0.55000000000000004</v>
      </c>
      <c r="R2577" s="9">
        <f t="shared" si="161"/>
        <v>764.55</v>
      </c>
      <c r="S2577" s="9">
        <f>IF(R2577="",AVERAGEIF(Table1[Category],Table1[[#This Row],[Category]],Table2[orignal data]),Table2[[#This Row],[orignal data]])</f>
        <v>764.55</v>
      </c>
      <c r="T2577" t="str">
        <f t="shared" si="162"/>
        <v>UNIQUE</v>
      </c>
      <c r="U2577" t="str">
        <f>IF(ISBLANK(Table1[[#This Row],[SizeOption]]),"NOT AVAILABLE",Table1[[#This Row],[SizeOption]])</f>
        <v>S, M, L, XL</v>
      </c>
      <c r="Y2577" t="str">
        <f>IF(Table2[[#This Row],[Column1]]&gt;50%,"HIGH DISCOUNT","LOW DISCOUNT")</f>
        <v>HIGH DISCOUNT</v>
      </c>
    </row>
    <row r="2578" spans="1:25" x14ac:dyDescent="0.25">
      <c r="A2578" s="1" t="s">
        <v>5439</v>
      </c>
      <c r="B2578" s="1">
        <v>15300950</v>
      </c>
      <c r="C2578" s="1" t="s">
        <v>81</v>
      </c>
      <c r="D2578" s="1" t="s">
        <v>41</v>
      </c>
      <c r="E2578" s="1" t="s">
        <v>148</v>
      </c>
      <c r="F2578" s="1" t="s">
        <v>36</v>
      </c>
      <c r="G2578" s="1" t="s">
        <v>5440</v>
      </c>
      <c r="I2578" s="1">
        <v>2399</v>
      </c>
      <c r="J2578" s="1" t="s">
        <v>19</v>
      </c>
      <c r="K2578" s="1" t="s">
        <v>115</v>
      </c>
      <c r="L2578" s="1">
        <v>4.0999999999999996</v>
      </c>
      <c r="M2578" s="1">
        <v>639</v>
      </c>
      <c r="P2578" t="str">
        <f t="shared" si="163"/>
        <v>45%</v>
      </c>
      <c r="Q2578" s="12">
        <f t="shared" si="160"/>
        <v>0.45</v>
      </c>
      <c r="R2578" s="9">
        <f t="shared" si="161"/>
        <v>1319.45</v>
      </c>
      <c r="S2578" s="9">
        <f>IF(R2578="",AVERAGEIF(Table1[Category],Table1[[#This Row],[Category]],Table2[orignal data]),Table2[[#This Row],[orignal data]])</f>
        <v>1319.45</v>
      </c>
      <c r="T2578" t="str">
        <f t="shared" si="162"/>
        <v>UNIQUE</v>
      </c>
      <c r="U2578" t="str">
        <f>IF(ISBLANK(Table1[[#This Row],[SizeOption]]),"NOT AVAILABLE",Table1[[#This Row],[SizeOption]])</f>
        <v>XS, S, M, L, XL, XXL</v>
      </c>
      <c r="Y2578" t="str">
        <f>IF(Table2[[#This Row],[Column1]]&gt;50%,"HIGH DISCOUNT","LOW DISCOUNT")</f>
        <v>LOW DISCOUNT</v>
      </c>
    </row>
    <row r="2579" spans="1:25" x14ac:dyDescent="0.25">
      <c r="A2579" s="2" t="s">
        <v>5441</v>
      </c>
      <c r="B2579" s="2">
        <v>10969984</v>
      </c>
      <c r="C2579" s="2" t="s">
        <v>14</v>
      </c>
      <c r="D2579" s="2" t="s">
        <v>41</v>
      </c>
      <c r="E2579" s="2" t="s">
        <v>42</v>
      </c>
      <c r="F2579" s="2" t="s">
        <v>36</v>
      </c>
      <c r="G2579" s="2" t="s">
        <v>5442</v>
      </c>
      <c r="I2579" s="2">
        <v>999</v>
      </c>
      <c r="J2579" s="2" t="s">
        <v>150</v>
      </c>
      <c r="K2579" s="2" t="s">
        <v>45</v>
      </c>
      <c r="L2579" s="2">
        <v>4.2</v>
      </c>
      <c r="M2579" s="2">
        <v>639</v>
      </c>
      <c r="P2579" t="str">
        <f t="shared" si="163"/>
        <v>65%</v>
      </c>
      <c r="Q2579" s="12">
        <f t="shared" si="160"/>
        <v>0.65</v>
      </c>
      <c r="R2579" s="9">
        <f t="shared" si="161"/>
        <v>349.65</v>
      </c>
      <c r="S2579" s="9">
        <f>IF(R2579="",AVERAGEIF(Table1[Category],Table1[[#This Row],[Category]],Table2[orignal data]),Table2[[#This Row],[orignal data]])</f>
        <v>349.65</v>
      </c>
      <c r="T2579" t="str">
        <f t="shared" si="162"/>
        <v>UNIQUE</v>
      </c>
      <c r="U2579" t="str">
        <f>IF(ISBLANK(Table1[[#This Row],[SizeOption]]),"NOT AVAILABLE",Table1[[#This Row],[SizeOption]])</f>
        <v>XS, S, M, L, XL</v>
      </c>
      <c r="Y2579" t="str">
        <f>IF(Table2[[#This Row],[Column1]]&gt;50%,"HIGH DISCOUNT","LOW DISCOUNT")</f>
        <v>HIGH DISCOUNT</v>
      </c>
    </row>
    <row r="2580" spans="1:25" x14ac:dyDescent="0.25">
      <c r="A2580" s="1" t="s">
        <v>5443</v>
      </c>
      <c r="B2580" s="1">
        <v>11093692</v>
      </c>
      <c r="C2580" s="1" t="s">
        <v>52</v>
      </c>
      <c r="D2580" s="1" t="s">
        <v>15</v>
      </c>
      <c r="E2580" s="1" t="s">
        <v>16</v>
      </c>
      <c r="F2580" s="1" t="s">
        <v>17</v>
      </c>
      <c r="G2580" s="1" t="s">
        <v>5444</v>
      </c>
      <c r="H2580">
        <v>892</v>
      </c>
      <c r="I2580" s="1">
        <v>1899</v>
      </c>
      <c r="J2580" s="1" t="s">
        <v>89</v>
      </c>
      <c r="K2580" s="1" t="s">
        <v>816</v>
      </c>
      <c r="L2580" s="1">
        <v>4.0999999999999996</v>
      </c>
      <c r="M2580" s="1">
        <v>638</v>
      </c>
      <c r="P2580" t="str">
        <f t="shared" si="163"/>
        <v>53%</v>
      </c>
      <c r="Q2580" s="12">
        <f t="shared" si="160"/>
        <v>0.53</v>
      </c>
      <c r="R2580" s="9">
        <f t="shared" si="161"/>
        <v>892.53</v>
      </c>
      <c r="S2580" s="9">
        <f>IF(R2580="",AVERAGEIF(Table1[Category],Table1[[#This Row],[Category]],Table2[orignal data]),Table2[[#This Row],[orignal data]])</f>
        <v>892.53</v>
      </c>
      <c r="T2580" t="str">
        <f t="shared" si="162"/>
        <v>UNIQUE</v>
      </c>
      <c r="U2580" t="str">
        <f>IF(ISBLANK(Table1[[#This Row],[SizeOption]]),"NOT AVAILABLE",Table1[[#This Row],[SizeOption]])</f>
        <v>30, 32, 34, 36, 38</v>
      </c>
      <c r="Y2580" t="str">
        <f>IF(Table2[[#This Row],[Column1]]&gt;50%,"HIGH DISCOUNT","LOW DISCOUNT")</f>
        <v>HIGH DISCOUNT</v>
      </c>
    </row>
    <row r="2581" spans="1:25" x14ac:dyDescent="0.25">
      <c r="A2581" s="2" t="s">
        <v>5445</v>
      </c>
      <c r="B2581" s="2">
        <v>11422530</v>
      </c>
      <c r="C2581" s="2" t="s">
        <v>3308</v>
      </c>
      <c r="D2581" s="2" t="s">
        <v>76</v>
      </c>
      <c r="E2581" s="2" t="s">
        <v>93</v>
      </c>
      <c r="F2581" s="2" t="s">
        <v>17</v>
      </c>
      <c r="G2581" s="2" t="s">
        <v>5446</v>
      </c>
      <c r="H2581">
        <v>719</v>
      </c>
      <c r="I2581" s="2">
        <v>1599</v>
      </c>
      <c r="J2581" s="2" t="s">
        <v>25</v>
      </c>
      <c r="K2581" s="2" t="s">
        <v>39</v>
      </c>
      <c r="L2581" s="2">
        <v>4.3</v>
      </c>
      <c r="M2581" s="2">
        <v>638</v>
      </c>
      <c r="P2581" t="str">
        <f t="shared" si="163"/>
        <v>55%</v>
      </c>
      <c r="Q2581" s="12">
        <f t="shared" si="160"/>
        <v>0.55000000000000004</v>
      </c>
      <c r="R2581" s="9">
        <f t="shared" si="161"/>
        <v>719.55</v>
      </c>
      <c r="S2581" s="9">
        <f>IF(R2581="",AVERAGEIF(Table1[Category],Table1[[#This Row],[Category]],Table2[orignal data]),Table2[[#This Row],[orignal data]])</f>
        <v>719.55</v>
      </c>
      <c r="T2581" t="str">
        <f t="shared" si="162"/>
        <v>UNIQUE</v>
      </c>
      <c r="U2581" t="str">
        <f>IF(ISBLANK(Table1[[#This Row],[SizeOption]]),"NOT AVAILABLE",Table1[[#This Row],[SizeOption]])</f>
        <v>S, M, L, XL, XXL</v>
      </c>
      <c r="Y2581" t="str">
        <f>IF(Table2[[#This Row],[Column1]]&gt;50%,"HIGH DISCOUNT","LOW DISCOUNT")</f>
        <v>HIGH DISCOUNT</v>
      </c>
    </row>
    <row r="2582" spans="1:25" x14ac:dyDescent="0.25">
      <c r="A2582" s="1" t="s">
        <v>5447</v>
      </c>
      <c r="B2582" s="1">
        <v>10913804</v>
      </c>
      <c r="C2582" s="1" t="s">
        <v>92</v>
      </c>
      <c r="D2582" s="1" t="s">
        <v>76</v>
      </c>
      <c r="E2582" s="1" t="s">
        <v>77</v>
      </c>
      <c r="F2582" s="1" t="s">
        <v>36</v>
      </c>
      <c r="G2582" s="1" t="s">
        <v>5448</v>
      </c>
      <c r="H2582">
        <v>869</v>
      </c>
      <c r="I2582" s="1">
        <v>2349</v>
      </c>
      <c r="J2582" s="1" t="s">
        <v>476</v>
      </c>
      <c r="K2582" s="1" t="s">
        <v>39</v>
      </c>
      <c r="L2582" s="1">
        <v>4.0999999999999996</v>
      </c>
      <c r="M2582" s="1">
        <v>638</v>
      </c>
      <c r="P2582" t="str">
        <f t="shared" si="163"/>
        <v>63%</v>
      </c>
      <c r="Q2582" s="12">
        <f t="shared" si="160"/>
        <v>0.63</v>
      </c>
      <c r="R2582" s="9">
        <f t="shared" si="161"/>
        <v>869.12999999999988</v>
      </c>
      <c r="S2582" s="9">
        <f>IF(R2582="",AVERAGEIF(Table1[Category],Table1[[#This Row],[Category]],Table2[orignal data]),Table2[[#This Row],[orignal data]])</f>
        <v>869.12999999999988</v>
      </c>
      <c r="T2582" t="str">
        <f t="shared" si="162"/>
        <v>UNIQUE</v>
      </c>
      <c r="U2582" t="str">
        <f>IF(ISBLANK(Table1[[#This Row],[SizeOption]]),"NOT AVAILABLE",Table1[[#This Row],[SizeOption]])</f>
        <v>S, M, L, XL, XXL</v>
      </c>
      <c r="Y2582" t="str">
        <f>IF(Table2[[#This Row],[Column1]]&gt;50%,"HIGH DISCOUNT","LOW DISCOUNT")</f>
        <v>HIGH DISCOUNT</v>
      </c>
    </row>
    <row r="2583" spans="1:25" x14ac:dyDescent="0.25">
      <c r="A2583" s="2" t="s">
        <v>5449</v>
      </c>
      <c r="B2583" s="2">
        <v>13021500</v>
      </c>
      <c r="C2583" s="2" t="s">
        <v>75</v>
      </c>
      <c r="D2583" s="2" t="s">
        <v>34</v>
      </c>
      <c r="E2583" s="2" t="s">
        <v>406</v>
      </c>
      <c r="F2583" s="2" t="s">
        <v>36</v>
      </c>
      <c r="G2583" s="2" t="s">
        <v>5450</v>
      </c>
      <c r="H2583">
        <v>961</v>
      </c>
      <c r="I2583" s="2">
        <v>2599</v>
      </c>
      <c r="J2583" s="2" t="s">
        <v>476</v>
      </c>
      <c r="K2583" s="2" t="s">
        <v>39</v>
      </c>
      <c r="L2583" s="2">
        <v>3.8</v>
      </c>
      <c r="M2583" s="2">
        <v>638</v>
      </c>
      <c r="P2583" t="str">
        <f t="shared" si="163"/>
        <v>63%</v>
      </c>
      <c r="Q2583" s="12">
        <f t="shared" si="160"/>
        <v>0.63</v>
      </c>
      <c r="R2583" s="9">
        <f t="shared" si="161"/>
        <v>961.62999999999988</v>
      </c>
      <c r="S2583" s="9">
        <f>IF(R2583="",AVERAGEIF(Table1[Category],Table1[[#This Row],[Category]],Table2[orignal data]),Table2[[#This Row],[orignal data]])</f>
        <v>961.62999999999988</v>
      </c>
      <c r="T2583" t="str">
        <f t="shared" si="162"/>
        <v>UNIQUE</v>
      </c>
      <c r="U2583" t="str">
        <f>IF(ISBLANK(Table1[[#This Row],[SizeOption]]),"NOT AVAILABLE",Table1[[#This Row],[SizeOption]])</f>
        <v>S, M, L, XL, XXL</v>
      </c>
      <c r="Y2583" t="str">
        <f>IF(Table2[[#This Row],[Column1]]&gt;50%,"HIGH DISCOUNT","LOW DISCOUNT")</f>
        <v>HIGH DISCOUNT</v>
      </c>
    </row>
    <row r="2584" spans="1:25" x14ac:dyDescent="0.25">
      <c r="A2584" s="1" t="s">
        <v>5451</v>
      </c>
      <c r="B2584" s="1">
        <v>13975632</v>
      </c>
      <c r="C2584" s="1" t="s">
        <v>349</v>
      </c>
      <c r="D2584" s="1" t="s">
        <v>34</v>
      </c>
      <c r="E2584" s="1" t="s">
        <v>296</v>
      </c>
      <c r="F2584" s="1" t="s">
        <v>36</v>
      </c>
      <c r="G2584" s="1" t="s">
        <v>5452</v>
      </c>
      <c r="I2584" s="1">
        <v>498</v>
      </c>
      <c r="J2584" s="1"/>
      <c r="K2584" s="1" t="s">
        <v>352</v>
      </c>
      <c r="L2584" s="1">
        <v>4.2</v>
      </c>
      <c r="M2584" s="1">
        <v>638</v>
      </c>
      <c r="P2584" t="str">
        <f t="shared" si="163"/>
        <v/>
      </c>
      <c r="Q2584" s="12" t="str">
        <f t="shared" si="160"/>
        <v/>
      </c>
      <c r="R2584" s="9" t="str">
        <f t="shared" si="161"/>
        <v/>
      </c>
      <c r="S2584" s="9">
        <f>IF(R2584="",AVERAGEIF(Table1[Category],Table1[[#This Row],[Category]],Table2[orignal data]),Table2[[#This Row],[orignal data]])</f>
        <v>608.88518518518481</v>
      </c>
      <c r="T2584" t="str">
        <f t="shared" si="162"/>
        <v>UNIQUE</v>
      </c>
      <c r="U2584" t="str">
        <f>IF(ISBLANK(Table1[[#This Row],[SizeOption]]),"NOT AVAILABLE",Table1[[#This Row],[SizeOption]])</f>
        <v>S, M, L</v>
      </c>
      <c r="Y2584" t="str">
        <f>IF(Table2[[#This Row],[Column1]]&gt;50%,"HIGH DISCOUNT","LOW DISCOUNT")</f>
        <v>HIGH DISCOUNT</v>
      </c>
    </row>
    <row r="2585" spans="1:25" x14ac:dyDescent="0.25">
      <c r="A2585" s="2" t="s">
        <v>5453</v>
      </c>
      <c r="B2585" s="2">
        <v>6552995</v>
      </c>
      <c r="C2585" s="2" t="s">
        <v>128</v>
      </c>
      <c r="D2585" s="2" t="s">
        <v>41</v>
      </c>
      <c r="E2585" s="2" t="s">
        <v>48</v>
      </c>
      <c r="F2585" s="2" t="s">
        <v>36</v>
      </c>
      <c r="G2585" s="2" t="s">
        <v>129</v>
      </c>
      <c r="I2585" s="2">
        <v>1199</v>
      </c>
      <c r="J2585" s="2" t="s">
        <v>606</v>
      </c>
      <c r="K2585" s="2" t="s">
        <v>26</v>
      </c>
      <c r="L2585" s="2">
        <v>3.9</v>
      </c>
      <c r="M2585" s="2">
        <v>638</v>
      </c>
      <c r="P2585" t="str">
        <f t="shared" si="163"/>
        <v>54%</v>
      </c>
      <c r="Q2585" s="12">
        <f t="shared" si="160"/>
        <v>0.54</v>
      </c>
      <c r="R2585" s="9">
        <f t="shared" si="161"/>
        <v>551.54</v>
      </c>
      <c r="S2585" s="9">
        <f>IF(R2585="",AVERAGEIF(Table1[Category],Table1[[#This Row],[Category]],Table2[orignal data]),Table2[[#This Row],[orignal data]])</f>
        <v>551.54</v>
      </c>
      <c r="T2585" t="str">
        <f t="shared" si="162"/>
        <v>UNIQUE</v>
      </c>
      <c r="U2585" t="str">
        <f>IF(ISBLANK(Table1[[#This Row],[SizeOption]]),"NOT AVAILABLE",Table1[[#This Row],[SizeOption]])</f>
        <v>S, M, L, XL</v>
      </c>
      <c r="Y2585" t="str">
        <f>IF(Table2[[#This Row],[Column1]]&gt;50%,"HIGH DISCOUNT","LOW DISCOUNT")</f>
        <v>HIGH DISCOUNT</v>
      </c>
    </row>
    <row r="2586" spans="1:25" x14ac:dyDescent="0.25">
      <c r="A2586" s="1" t="s">
        <v>5454</v>
      </c>
      <c r="B2586" s="1">
        <v>11017848</v>
      </c>
      <c r="C2586" s="1" t="s">
        <v>14</v>
      </c>
      <c r="D2586" s="1" t="s">
        <v>41</v>
      </c>
      <c r="E2586" s="1" t="s">
        <v>16</v>
      </c>
      <c r="F2586" s="1" t="s">
        <v>36</v>
      </c>
      <c r="G2586" s="1" t="s">
        <v>5455</v>
      </c>
      <c r="I2586" s="1">
        <v>1599</v>
      </c>
      <c r="J2586" s="1" t="s">
        <v>84</v>
      </c>
      <c r="K2586" s="1" t="s">
        <v>134</v>
      </c>
      <c r="L2586" s="1">
        <v>4</v>
      </c>
      <c r="M2586" s="1">
        <v>638</v>
      </c>
      <c r="P2586" t="str">
        <f t="shared" si="163"/>
        <v>50%</v>
      </c>
      <c r="Q2586" s="12">
        <f t="shared" si="160"/>
        <v>0.5</v>
      </c>
      <c r="R2586" s="9">
        <f t="shared" si="161"/>
        <v>799.5</v>
      </c>
      <c r="S2586" s="9">
        <f>IF(R2586="",AVERAGEIF(Table1[Category],Table1[[#This Row],[Category]],Table2[orignal data]),Table2[[#This Row],[orignal data]])</f>
        <v>799.5</v>
      </c>
      <c r="T2586" t="str">
        <f t="shared" si="162"/>
        <v>UNIQUE</v>
      </c>
      <c r="U2586" t="str">
        <f>IF(ISBLANK(Table1[[#This Row],[SizeOption]]),"NOT AVAILABLE",Table1[[#This Row],[SizeOption]])</f>
        <v>26, 28, 30, 32, 34, 36</v>
      </c>
      <c r="Y2586" t="str">
        <f>IF(Table2[[#This Row],[Column1]]&gt;50%,"HIGH DISCOUNT","LOW DISCOUNT")</f>
        <v>LOW DISCOUNT</v>
      </c>
    </row>
    <row r="2587" spans="1:25" x14ac:dyDescent="0.25">
      <c r="A2587" s="2" t="s">
        <v>5456</v>
      </c>
      <c r="B2587" s="2">
        <v>11052604</v>
      </c>
      <c r="C2587" s="2" t="s">
        <v>184</v>
      </c>
      <c r="D2587" s="2" t="s">
        <v>41</v>
      </c>
      <c r="E2587" s="2" t="s">
        <v>48</v>
      </c>
      <c r="F2587" s="2" t="s">
        <v>36</v>
      </c>
      <c r="G2587" s="2" t="s">
        <v>5457</v>
      </c>
      <c r="I2587" s="2">
        <v>699</v>
      </c>
      <c r="J2587" s="2" t="s">
        <v>44</v>
      </c>
      <c r="K2587" s="2" t="s">
        <v>39</v>
      </c>
      <c r="L2587" s="2">
        <v>4.3</v>
      </c>
      <c r="M2587" s="2">
        <v>638</v>
      </c>
      <c r="P2587" t="str">
        <f t="shared" si="163"/>
        <v>35%</v>
      </c>
      <c r="Q2587" s="12">
        <f t="shared" si="160"/>
        <v>0.35</v>
      </c>
      <c r="R2587" s="9">
        <f t="shared" si="161"/>
        <v>454.35</v>
      </c>
      <c r="S2587" s="9">
        <f>IF(R2587="",AVERAGEIF(Table1[Category],Table1[[#This Row],[Category]],Table2[orignal data]),Table2[[#This Row],[orignal data]])</f>
        <v>454.35</v>
      </c>
      <c r="T2587" t="str">
        <f t="shared" si="162"/>
        <v>UNIQUE</v>
      </c>
      <c r="U2587" t="str">
        <f>IF(ISBLANK(Table1[[#This Row],[SizeOption]]),"NOT AVAILABLE",Table1[[#This Row],[SizeOption]])</f>
        <v>S, M, L, XL, XXL</v>
      </c>
      <c r="Y2587" t="str">
        <f>IF(Table2[[#This Row],[Column1]]&gt;50%,"HIGH DISCOUNT","LOW DISCOUNT")</f>
        <v>LOW DISCOUNT</v>
      </c>
    </row>
    <row r="2588" spans="1:25" x14ac:dyDescent="0.25">
      <c r="A2588" s="1" t="s">
        <v>5458</v>
      </c>
      <c r="B2588" s="1">
        <v>10064559</v>
      </c>
      <c r="C2588" s="1" t="s">
        <v>14</v>
      </c>
      <c r="D2588" s="1" t="s">
        <v>15</v>
      </c>
      <c r="E2588" s="1" t="s">
        <v>16</v>
      </c>
      <c r="F2588" s="1" t="s">
        <v>17</v>
      </c>
      <c r="G2588" s="1" t="s">
        <v>5459</v>
      </c>
      <c r="H2588">
        <v>1139</v>
      </c>
      <c r="I2588" s="1">
        <v>1899</v>
      </c>
      <c r="J2588" s="1" t="s">
        <v>50</v>
      </c>
      <c r="K2588" s="1" t="s">
        <v>20</v>
      </c>
      <c r="L2588" s="1">
        <v>3.9</v>
      </c>
      <c r="M2588" s="1">
        <v>637</v>
      </c>
      <c r="P2588" t="str">
        <f t="shared" si="163"/>
        <v>40%</v>
      </c>
      <c r="Q2588" s="12">
        <f t="shared" si="160"/>
        <v>0.4</v>
      </c>
      <c r="R2588" s="9">
        <f t="shared" si="161"/>
        <v>1139.4000000000001</v>
      </c>
      <c r="S2588" s="9">
        <f>IF(R2588="",AVERAGEIF(Table1[Category],Table1[[#This Row],[Category]],Table2[orignal data]),Table2[[#This Row],[orignal data]])</f>
        <v>1139.4000000000001</v>
      </c>
      <c r="T2588" t="str">
        <f t="shared" si="162"/>
        <v>UNIQUE</v>
      </c>
      <c r="U2588" t="str">
        <f>IF(ISBLANK(Table1[[#This Row],[SizeOption]]),"NOT AVAILABLE",Table1[[#This Row],[SizeOption]])</f>
        <v>28, 30, 32, 34, 36</v>
      </c>
      <c r="Y2588" t="str">
        <f>IF(Table2[[#This Row],[Column1]]&gt;50%,"HIGH DISCOUNT","LOW DISCOUNT")</f>
        <v>LOW DISCOUNT</v>
      </c>
    </row>
    <row r="2589" spans="1:25" x14ac:dyDescent="0.25">
      <c r="A2589" s="2" t="s">
        <v>5460</v>
      </c>
      <c r="B2589" s="2">
        <v>12837722</v>
      </c>
      <c r="C2589" s="2" t="s">
        <v>52</v>
      </c>
      <c r="D2589" s="2" t="s">
        <v>15</v>
      </c>
      <c r="E2589" s="2" t="s">
        <v>16</v>
      </c>
      <c r="F2589" s="2" t="s">
        <v>17</v>
      </c>
      <c r="G2589" s="2" t="s">
        <v>4350</v>
      </c>
      <c r="H2589">
        <v>749</v>
      </c>
      <c r="I2589" s="2">
        <v>1499</v>
      </c>
      <c r="J2589" s="2" t="s">
        <v>84</v>
      </c>
      <c r="K2589" s="2" t="s">
        <v>816</v>
      </c>
      <c r="L2589" s="2">
        <v>3.8</v>
      </c>
      <c r="M2589" s="2">
        <v>637</v>
      </c>
      <c r="P2589" t="str">
        <f t="shared" si="163"/>
        <v>50%</v>
      </c>
      <c r="Q2589" s="12">
        <f t="shared" si="160"/>
        <v>0.5</v>
      </c>
      <c r="R2589" s="9">
        <f t="shared" si="161"/>
        <v>749.5</v>
      </c>
      <c r="S2589" s="9">
        <f>IF(R2589="",AVERAGEIF(Table1[Category],Table1[[#This Row],[Category]],Table2[orignal data]),Table2[[#This Row],[orignal data]])</f>
        <v>749.5</v>
      </c>
      <c r="T2589" t="str">
        <f t="shared" si="162"/>
        <v>UNIQUE</v>
      </c>
      <c r="U2589" t="str">
        <f>IF(ISBLANK(Table1[[#This Row],[SizeOption]]),"NOT AVAILABLE",Table1[[#This Row],[SizeOption]])</f>
        <v>30, 32, 34, 36, 38</v>
      </c>
      <c r="Y2589" t="str">
        <f>IF(Table2[[#This Row],[Column1]]&gt;50%,"HIGH DISCOUNT","LOW DISCOUNT")</f>
        <v>LOW DISCOUNT</v>
      </c>
    </row>
    <row r="2590" spans="1:25" x14ac:dyDescent="0.25">
      <c r="A2590" s="1" t="s">
        <v>5461</v>
      </c>
      <c r="B2590" s="1">
        <v>13971574</v>
      </c>
      <c r="C2590" s="1" t="s">
        <v>5462</v>
      </c>
      <c r="D2590" s="1" t="s">
        <v>68</v>
      </c>
      <c r="E2590" s="1" t="s">
        <v>42</v>
      </c>
      <c r="F2590" s="1" t="s">
        <v>17</v>
      </c>
      <c r="G2590" s="1" t="s">
        <v>5463</v>
      </c>
      <c r="H2590">
        <v>714</v>
      </c>
      <c r="I2590" s="1">
        <v>1299</v>
      </c>
      <c r="J2590" s="1" t="s">
        <v>19</v>
      </c>
      <c r="K2590" s="1" t="s">
        <v>115</v>
      </c>
      <c r="L2590" s="1">
        <v>4.3</v>
      </c>
      <c r="M2590" s="1">
        <v>637</v>
      </c>
      <c r="P2590" t="str">
        <f t="shared" si="163"/>
        <v>45%</v>
      </c>
      <c r="Q2590" s="12">
        <f t="shared" si="160"/>
        <v>0.45</v>
      </c>
      <c r="R2590" s="9">
        <f t="shared" si="161"/>
        <v>714.44999999999993</v>
      </c>
      <c r="S2590" s="9">
        <f>IF(R2590="",AVERAGEIF(Table1[Category],Table1[[#This Row],[Category]],Table2[orignal data]),Table2[[#This Row],[orignal data]])</f>
        <v>714.44999999999993</v>
      </c>
      <c r="T2590" t="str">
        <f t="shared" si="162"/>
        <v>UNIQUE</v>
      </c>
      <c r="U2590" t="str">
        <f>IF(ISBLANK(Table1[[#This Row],[SizeOption]]),"NOT AVAILABLE",Table1[[#This Row],[SizeOption]])</f>
        <v>XS, S, M, L, XL, XXL</v>
      </c>
      <c r="Y2590" t="str">
        <f>IF(Table2[[#This Row],[Column1]]&gt;50%,"HIGH DISCOUNT","LOW DISCOUNT")</f>
        <v>LOW DISCOUNT</v>
      </c>
    </row>
    <row r="2591" spans="1:25" x14ac:dyDescent="0.25">
      <c r="A2591" s="2" t="s">
        <v>5464</v>
      </c>
      <c r="B2591" s="2">
        <v>11364058</v>
      </c>
      <c r="C2591" s="2" t="s">
        <v>169</v>
      </c>
      <c r="D2591" s="2" t="s">
        <v>28</v>
      </c>
      <c r="E2591" s="2" t="s">
        <v>42</v>
      </c>
      <c r="F2591" s="2" t="s">
        <v>17</v>
      </c>
      <c r="G2591" s="2" t="s">
        <v>5465</v>
      </c>
      <c r="H2591">
        <v>599</v>
      </c>
      <c r="I2591" s="2">
        <v>1199</v>
      </c>
      <c r="J2591" s="2" t="s">
        <v>84</v>
      </c>
      <c r="K2591" s="2" t="s">
        <v>39</v>
      </c>
      <c r="L2591" s="2">
        <v>4.2</v>
      </c>
      <c r="M2591" s="2">
        <v>637</v>
      </c>
      <c r="P2591" t="str">
        <f t="shared" si="163"/>
        <v>50%</v>
      </c>
      <c r="Q2591" s="12">
        <f t="shared" si="160"/>
        <v>0.5</v>
      </c>
      <c r="R2591" s="9">
        <f t="shared" si="161"/>
        <v>599.5</v>
      </c>
      <c r="S2591" s="9">
        <f>IF(R2591="",AVERAGEIF(Table1[Category],Table1[[#This Row],[Category]],Table2[orignal data]),Table2[[#This Row],[orignal data]])</f>
        <v>599.5</v>
      </c>
      <c r="T2591" t="str">
        <f t="shared" si="162"/>
        <v>UNIQUE</v>
      </c>
      <c r="U2591" t="str">
        <f>IF(ISBLANK(Table1[[#This Row],[SizeOption]]),"NOT AVAILABLE",Table1[[#This Row],[SizeOption]])</f>
        <v>S, M, L, XL, XXL</v>
      </c>
      <c r="Y2591" t="str">
        <f>IF(Table2[[#This Row],[Column1]]&gt;50%,"HIGH DISCOUNT","LOW DISCOUNT")</f>
        <v>LOW DISCOUNT</v>
      </c>
    </row>
    <row r="2592" spans="1:25" x14ac:dyDescent="0.25">
      <c r="A2592" s="1" t="s">
        <v>5466</v>
      </c>
      <c r="B2592" s="1">
        <v>7134489</v>
      </c>
      <c r="C2592" s="1" t="s">
        <v>14</v>
      </c>
      <c r="D2592" s="1" t="s">
        <v>28</v>
      </c>
      <c r="E2592" s="1" t="s">
        <v>29</v>
      </c>
      <c r="F2592" s="1" t="s">
        <v>17</v>
      </c>
      <c r="G2592" s="1" t="s">
        <v>760</v>
      </c>
      <c r="H2592">
        <v>719</v>
      </c>
      <c r="I2592" s="1">
        <v>1599</v>
      </c>
      <c r="J2592" s="1" t="s">
        <v>25</v>
      </c>
      <c r="K2592" s="1" t="s">
        <v>253</v>
      </c>
      <c r="L2592" s="1">
        <v>4.4000000000000004</v>
      </c>
      <c r="M2592" s="1">
        <v>637</v>
      </c>
      <c r="P2592" t="str">
        <f t="shared" si="163"/>
        <v>55%</v>
      </c>
      <c r="Q2592" s="12">
        <f t="shared" si="160"/>
        <v>0.55000000000000004</v>
      </c>
      <c r="R2592" s="9">
        <f t="shared" si="161"/>
        <v>719.55</v>
      </c>
      <c r="S2592" s="9">
        <f>IF(R2592="",AVERAGEIF(Table1[Category],Table1[[#This Row],[Category]],Table2[orignal data]),Table2[[#This Row],[orignal data]])</f>
        <v>719.55</v>
      </c>
      <c r="T2592" t="str">
        <f t="shared" si="162"/>
        <v>UNIQUE</v>
      </c>
      <c r="U2592" t="str">
        <f>IF(ISBLANK(Table1[[#This Row],[SizeOption]]),"NOT AVAILABLE",Table1[[#This Row],[SizeOption]])</f>
        <v>38, 40, 42, 44</v>
      </c>
      <c r="Y2592" t="str">
        <f>IF(Table2[[#This Row],[Column1]]&gt;50%,"HIGH DISCOUNT","LOW DISCOUNT")</f>
        <v>HIGH DISCOUNT</v>
      </c>
    </row>
    <row r="2593" spans="1:25" x14ac:dyDescent="0.25">
      <c r="A2593" s="2" t="s">
        <v>5467</v>
      </c>
      <c r="B2593" s="2">
        <v>11632496</v>
      </c>
      <c r="C2593" s="2" t="s">
        <v>14</v>
      </c>
      <c r="D2593" s="2" t="s">
        <v>28</v>
      </c>
      <c r="E2593" s="2" t="s">
        <v>42</v>
      </c>
      <c r="F2593" s="2" t="s">
        <v>17</v>
      </c>
      <c r="G2593" s="2" t="s">
        <v>5468</v>
      </c>
      <c r="H2593">
        <v>274</v>
      </c>
      <c r="I2593" s="2">
        <v>499</v>
      </c>
      <c r="J2593" s="2" t="s">
        <v>19</v>
      </c>
      <c r="K2593" s="2" t="s">
        <v>45</v>
      </c>
      <c r="L2593" s="2">
        <v>4.0999999999999996</v>
      </c>
      <c r="M2593" s="2">
        <v>637</v>
      </c>
      <c r="P2593" t="str">
        <f t="shared" si="163"/>
        <v>45%</v>
      </c>
      <c r="Q2593" s="12">
        <f t="shared" si="160"/>
        <v>0.45</v>
      </c>
      <c r="R2593" s="9">
        <f t="shared" si="161"/>
        <v>274.45</v>
      </c>
      <c r="S2593" s="9">
        <f>IF(R2593="",AVERAGEIF(Table1[Category],Table1[[#This Row],[Category]],Table2[orignal data]),Table2[[#This Row],[orignal data]])</f>
        <v>274.45</v>
      </c>
      <c r="T2593" t="str">
        <f t="shared" si="162"/>
        <v>UNIQUE</v>
      </c>
      <c r="U2593" t="str">
        <f>IF(ISBLANK(Table1[[#This Row],[SizeOption]]),"NOT AVAILABLE",Table1[[#This Row],[SizeOption]])</f>
        <v>XS, S, M, L, XL</v>
      </c>
      <c r="Y2593" t="str">
        <f>IF(Table2[[#This Row],[Column1]]&gt;50%,"HIGH DISCOUNT","LOW DISCOUNT")</f>
        <v>LOW DISCOUNT</v>
      </c>
    </row>
    <row r="2594" spans="1:25" x14ac:dyDescent="0.25">
      <c r="A2594" s="1" t="s">
        <v>5469</v>
      </c>
      <c r="B2594" s="1">
        <v>10389835</v>
      </c>
      <c r="C2594" s="1" t="s">
        <v>67</v>
      </c>
      <c r="D2594" s="1" t="s">
        <v>68</v>
      </c>
      <c r="E2594" s="1" t="s">
        <v>23</v>
      </c>
      <c r="F2594" s="1" t="s">
        <v>36</v>
      </c>
      <c r="G2594" s="1" t="s">
        <v>5470</v>
      </c>
      <c r="I2594" s="1">
        <v>2099</v>
      </c>
      <c r="J2594" s="1"/>
      <c r="K2594" s="1" t="s">
        <v>45</v>
      </c>
      <c r="L2594" s="1">
        <v>3.9</v>
      </c>
      <c r="M2594" s="1">
        <v>637</v>
      </c>
      <c r="P2594" t="str">
        <f t="shared" si="163"/>
        <v/>
      </c>
      <c r="Q2594" s="12" t="str">
        <f t="shared" si="160"/>
        <v/>
      </c>
      <c r="R2594" s="9" t="str">
        <f t="shared" si="161"/>
        <v/>
      </c>
      <c r="S2594" s="9">
        <f>IF(R2594="",AVERAGEIF(Table1[Category],Table1[[#This Row],[Category]],Table2[orignal data]),Table2[[#This Row],[orignal data]])</f>
        <v>734.32085365853686</v>
      </c>
      <c r="T2594" t="str">
        <f t="shared" si="162"/>
        <v>UNIQUE</v>
      </c>
      <c r="U2594" t="str">
        <f>IF(ISBLANK(Table1[[#This Row],[SizeOption]]),"NOT AVAILABLE",Table1[[#This Row],[SizeOption]])</f>
        <v>XS, S, M, L, XL</v>
      </c>
      <c r="Y2594" t="str">
        <f>IF(Table2[[#This Row],[Column1]]&gt;50%,"HIGH DISCOUNT","LOW DISCOUNT")</f>
        <v>HIGH DISCOUNT</v>
      </c>
    </row>
    <row r="2595" spans="1:25" x14ac:dyDescent="0.25">
      <c r="A2595" s="2" t="s">
        <v>5471</v>
      </c>
      <c r="B2595" s="2">
        <v>10962118</v>
      </c>
      <c r="C2595" s="2" t="s">
        <v>14</v>
      </c>
      <c r="D2595" s="2" t="s">
        <v>41</v>
      </c>
      <c r="E2595" s="2" t="s">
        <v>48</v>
      </c>
      <c r="F2595" s="2" t="s">
        <v>36</v>
      </c>
      <c r="G2595" s="2" t="s">
        <v>5472</v>
      </c>
      <c r="I2595" s="2">
        <v>1199</v>
      </c>
      <c r="J2595" s="2" t="s">
        <v>84</v>
      </c>
      <c r="K2595" s="2" t="s">
        <v>45</v>
      </c>
      <c r="L2595" s="2">
        <v>3.8</v>
      </c>
      <c r="M2595" s="2">
        <v>637</v>
      </c>
      <c r="P2595" t="str">
        <f t="shared" si="163"/>
        <v>50%</v>
      </c>
      <c r="Q2595" s="12">
        <f t="shared" si="160"/>
        <v>0.5</v>
      </c>
      <c r="R2595" s="9">
        <f t="shared" si="161"/>
        <v>599.5</v>
      </c>
      <c r="S2595" s="9">
        <f>IF(R2595="",AVERAGEIF(Table1[Category],Table1[[#This Row],[Category]],Table2[orignal data]),Table2[[#This Row],[orignal data]])</f>
        <v>599.5</v>
      </c>
      <c r="T2595" t="str">
        <f t="shared" si="162"/>
        <v>UNIQUE</v>
      </c>
      <c r="U2595" t="str">
        <f>IF(ISBLANK(Table1[[#This Row],[SizeOption]]),"NOT AVAILABLE",Table1[[#This Row],[SizeOption]])</f>
        <v>XS, S, M, L, XL</v>
      </c>
      <c r="Y2595" t="str">
        <f>IF(Table2[[#This Row],[Column1]]&gt;50%,"HIGH DISCOUNT","LOW DISCOUNT")</f>
        <v>LOW DISCOUNT</v>
      </c>
    </row>
    <row r="2596" spans="1:25" x14ac:dyDescent="0.25">
      <c r="A2596" s="1" t="s">
        <v>5473</v>
      </c>
      <c r="B2596" s="1">
        <v>8317535</v>
      </c>
      <c r="C2596" s="1" t="s">
        <v>1385</v>
      </c>
      <c r="D2596" s="1" t="s">
        <v>41</v>
      </c>
      <c r="E2596" s="1" t="s">
        <v>16</v>
      </c>
      <c r="F2596" s="1" t="s">
        <v>36</v>
      </c>
      <c r="G2596" s="1" t="s">
        <v>5474</v>
      </c>
      <c r="I2596" s="1">
        <v>2299</v>
      </c>
      <c r="J2596" s="1" t="s">
        <v>25</v>
      </c>
      <c r="K2596" s="1" t="s">
        <v>428</v>
      </c>
      <c r="L2596" s="1">
        <v>4.3</v>
      </c>
      <c r="M2596" s="1">
        <v>637</v>
      </c>
      <c r="P2596" t="str">
        <f t="shared" si="163"/>
        <v>55%</v>
      </c>
      <c r="Q2596" s="12">
        <f t="shared" si="160"/>
        <v>0.55000000000000004</v>
      </c>
      <c r="R2596" s="9">
        <f t="shared" si="161"/>
        <v>1034.55</v>
      </c>
      <c r="S2596" s="9">
        <f>IF(R2596="",AVERAGEIF(Table1[Category],Table1[[#This Row],[Category]],Table2[orignal data]),Table2[[#This Row],[orignal data]])</f>
        <v>1034.55</v>
      </c>
      <c r="T2596" t="str">
        <f t="shared" si="162"/>
        <v>UNIQUE</v>
      </c>
      <c r="U2596" t="str">
        <f>IF(ISBLANK(Table1[[#This Row],[SizeOption]]),"NOT AVAILABLE",Table1[[#This Row],[SizeOption]])</f>
        <v>26, 28, 30, 32, 34</v>
      </c>
      <c r="Y2596" t="str">
        <f>IF(Table2[[#This Row],[Column1]]&gt;50%,"HIGH DISCOUNT","LOW DISCOUNT")</f>
        <v>HIGH DISCOUNT</v>
      </c>
    </row>
    <row r="2597" spans="1:25" x14ac:dyDescent="0.25">
      <c r="A2597" s="2" t="s">
        <v>5475</v>
      </c>
      <c r="B2597" s="2">
        <v>10964492</v>
      </c>
      <c r="C2597" s="2" t="s">
        <v>14</v>
      </c>
      <c r="D2597" s="2" t="s">
        <v>41</v>
      </c>
      <c r="E2597" s="2" t="s">
        <v>48</v>
      </c>
      <c r="F2597" s="2" t="s">
        <v>36</v>
      </c>
      <c r="G2597" s="2" t="s">
        <v>5476</v>
      </c>
      <c r="I2597" s="2">
        <v>699</v>
      </c>
      <c r="J2597" s="2" t="s">
        <v>25</v>
      </c>
      <c r="K2597" s="2" t="s">
        <v>45</v>
      </c>
      <c r="L2597" s="2">
        <v>3.7</v>
      </c>
      <c r="M2597" s="2">
        <v>637</v>
      </c>
      <c r="P2597" t="str">
        <f t="shared" si="163"/>
        <v>55%</v>
      </c>
      <c r="Q2597" s="12">
        <f t="shared" si="160"/>
        <v>0.55000000000000004</v>
      </c>
      <c r="R2597" s="9">
        <f t="shared" si="161"/>
        <v>314.54999999999995</v>
      </c>
      <c r="S2597" s="9">
        <f>IF(R2597="",AVERAGEIF(Table1[Category],Table1[[#This Row],[Category]],Table2[orignal data]),Table2[[#This Row],[orignal data]])</f>
        <v>314.54999999999995</v>
      </c>
      <c r="T2597" t="str">
        <f t="shared" si="162"/>
        <v>UNIQUE</v>
      </c>
      <c r="U2597" t="str">
        <f>IF(ISBLANK(Table1[[#This Row],[SizeOption]]),"NOT AVAILABLE",Table1[[#This Row],[SizeOption]])</f>
        <v>XS, S, M, L, XL</v>
      </c>
      <c r="Y2597" t="str">
        <f>IF(Table2[[#This Row],[Column1]]&gt;50%,"HIGH DISCOUNT","LOW DISCOUNT")</f>
        <v>HIGH DISCOUNT</v>
      </c>
    </row>
    <row r="2598" spans="1:25" x14ac:dyDescent="0.25">
      <c r="A2598" s="1" t="s">
        <v>5477</v>
      </c>
      <c r="B2598" s="1">
        <v>11396698</v>
      </c>
      <c r="C2598" s="1" t="s">
        <v>14</v>
      </c>
      <c r="D2598" s="1" t="s">
        <v>41</v>
      </c>
      <c r="E2598" s="1" t="s">
        <v>42</v>
      </c>
      <c r="F2598" s="1" t="s">
        <v>36</v>
      </c>
      <c r="G2598" s="1" t="s">
        <v>5478</v>
      </c>
      <c r="I2598" s="1">
        <v>699</v>
      </c>
      <c r="J2598" s="1" t="s">
        <v>25</v>
      </c>
      <c r="K2598" s="1" t="s">
        <v>45</v>
      </c>
      <c r="L2598" s="1">
        <v>4.2</v>
      </c>
      <c r="M2598" s="1">
        <v>637</v>
      </c>
      <c r="P2598" t="str">
        <f t="shared" si="163"/>
        <v>55%</v>
      </c>
      <c r="Q2598" s="12">
        <f t="shared" si="160"/>
        <v>0.55000000000000004</v>
      </c>
      <c r="R2598" s="9">
        <f t="shared" si="161"/>
        <v>314.54999999999995</v>
      </c>
      <c r="S2598" s="9">
        <f>IF(R2598="",AVERAGEIF(Table1[Category],Table1[[#This Row],[Category]],Table2[orignal data]),Table2[[#This Row],[orignal data]])</f>
        <v>314.54999999999995</v>
      </c>
      <c r="T2598" t="str">
        <f t="shared" si="162"/>
        <v>UNIQUE</v>
      </c>
      <c r="U2598" t="str">
        <f>IF(ISBLANK(Table1[[#This Row],[SizeOption]]),"NOT AVAILABLE",Table1[[#This Row],[SizeOption]])</f>
        <v>XS, S, M, L, XL</v>
      </c>
      <c r="Y2598" t="str">
        <f>IF(Table2[[#This Row],[Column1]]&gt;50%,"HIGH DISCOUNT","LOW DISCOUNT")</f>
        <v>HIGH DISCOUNT</v>
      </c>
    </row>
    <row r="2599" spans="1:25" x14ac:dyDescent="0.25">
      <c r="A2599" s="2" t="s">
        <v>5479</v>
      </c>
      <c r="B2599" s="2">
        <v>11422660</v>
      </c>
      <c r="C2599" s="2" t="s">
        <v>3308</v>
      </c>
      <c r="D2599" s="2" t="s">
        <v>76</v>
      </c>
      <c r="E2599" s="2" t="s">
        <v>93</v>
      </c>
      <c r="F2599" s="2" t="s">
        <v>17</v>
      </c>
      <c r="G2599" s="2" t="s">
        <v>5480</v>
      </c>
      <c r="H2599">
        <v>719</v>
      </c>
      <c r="I2599" s="2">
        <v>1599</v>
      </c>
      <c r="J2599" s="2" t="s">
        <v>25</v>
      </c>
      <c r="K2599" s="2" t="s">
        <v>39</v>
      </c>
      <c r="L2599" s="2">
        <v>4.3</v>
      </c>
      <c r="M2599" s="2">
        <v>636</v>
      </c>
      <c r="P2599" t="str">
        <f t="shared" si="163"/>
        <v>55%</v>
      </c>
      <c r="Q2599" s="12">
        <f t="shared" si="160"/>
        <v>0.55000000000000004</v>
      </c>
      <c r="R2599" s="9">
        <f t="shared" si="161"/>
        <v>719.55</v>
      </c>
      <c r="S2599" s="9">
        <f>IF(R2599="",AVERAGEIF(Table1[Category],Table1[[#This Row],[Category]],Table2[orignal data]),Table2[[#This Row],[orignal data]])</f>
        <v>719.55</v>
      </c>
      <c r="T2599" t="str">
        <f t="shared" si="162"/>
        <v>UNIQUE</v>
      </c>
      <c r="U2599" t="str">
        <f>IF(ISBLANK(Table1[[#This Row],[SizeOption]]),"NOT AVAILABLE",Table1[[#This Row],[SizeOption]])</f>
        <v>S, M, L, XL, XXL</v>
      </c>
      <c r="Y2599" t="str">
        <f>IF(Table2[[#This Row],[Column1]]&gt;50%,"HIGH DISCOUNT","LOW DISCOUNT")</f>
        <v>HIGH DISCOUNT</v>
      </c>
    </row>
    <row r="2600" spans="1:25" x14ac:dyDescent="0.25">
      <c r="A2600" s="1" t="s">
        <v>5481</v>
      </c>
      <c r="B2600" s="1">
        <v>18028758</v>
      </c>
      <c r="C2600" s="1" t="s">
        <v>295</v>
      </c>
      <c r="D2600" s="1" t="s">
        <v>197</v>
      </c>
      <c r="E2600" s="1" t="s">
        <v>939</v>
      </c>
      <c r="F2600" s="1" t="s">
        <v>17</v>
      </c>
      <c r="G2600" s="1" t="s">
        <v>4736</v>
      </c>
      <c r="I2600" s="1">
        <v>1098</v>
      </c>
      <c r="J2600" s="1"/>
      <c r="K2600" s="1" t="s">
        <v>26</v>
      </c>
      <c r="L2600" s="1">
        <v>4.4000000000000004</v>
      </c>
      <c r="M2600" s="1">
        <v>636</v>
      </c>
      <c r="P2600" t="str">
        <f t="shared" si="163"/>
        <v/>
      </c>
      <c r="Q2600" s="12" t="str">
        <f t="shared" si="160"/>
        <v/>
      </c>
      <c r="R2600" s="9" t="str">
        <f t="shared" si="161"/>
        <v/>
      </c>
      <c r="S2600" s="9">
        <f>IF(R2600="",AVERAGEIF(Table1[Category],Table1[[#This Row],[Category]],Table2[orignal data]),Table2[[#This Row],[orignal data]])</f>
        <v>552.70900000000006</v>
      </c>
      <c r="T2600" t="str">
        <f t="shared" si="162"/>
        <v>UNIQUE</v>
      </c>
      <c r="U2600" t="str">
        <f>IF(ISBLANK(Table1[[#This Row],[SizeOption]]),"NOT AVAILABLE",Table1[[#This Row],[SizeOption]])</f>
        <v>S, M, L, XL</v>
      </c>
      <c r="Y2600" t="str">
        <f>IF(Table2[[#This Row],[Column1]]&gt;50%,"HIGH DISCOUNT","LOW DISCOUNT")</f>
        <v>HIGH DISCOUNT</v>
      </c>
    </row>
    <row r="2601" spans="1:25" x14ac:dyDescent="0.25">
      <c r="A2601" s="2" t="s">
        <v>5482</v>
      </c>
      <c r="B2601" s="2">
        <v>2478228</v>
      </c>
      <c r="C2601" s="2" t="s">
        <v>169</v>
      </c>
      <c r="D2601" s="2" t="s">
        <v>28</v>
      </c>
      <c r="E2601" s="2" t="s">
        <v>29</v>
      </c>
      <c r="F2601" s="2" t="s">
        <v>17</v>
      </c>
      <c r="G2601" s="2" t="s">
        <v>3557</v>
      </c>
      <c r="H2601">
        <v>1199</v>
      </c>
      <c r="I2601" s="2">
        <v>2399</v>
      </c>
      <c r="J2601" s="2" t="s">
        <v>84</v>
      </c>
      <c r="K2601" s="2" t="s">
        <v>484</v>
      </c>
      <c r="L2601" s="2">
        <v>4.3</v>
      </c>
      <c r="M2601" s="2">
        <v>636</v>
      </c>
      <c r="P2601" t="str">
        <f t="shared" si="163"/>
        <v>50%</v>
      </c>
      <c r="Q2601" s="12">
        <f t="shared" si="160"/>
        <v>0.5</v>
      </c>
      <c r="R2601" s="9">
        <f t="shared" si="161"/>
        <v>1199.5</v>
      </c>
      <c r="S2601" s="9">
        <f>IF(R2601="",AVERAGEIF(Table1[Category],Table1[[#This Row],[Category]],Table2[orignal data]),Table2[[#This Row],[orignal data]])</f>
        <v>1199.5</v>
      </c>
      <c r="T2601" t="str">
        <f t="shared" si="162"/>
        <v>UNIQUE</v>
      </c>
      <c r="U2601" t="str">
        <f>IF(ISBLANK(Table1[[#This Row],[SizeOption]]),"NOT AVAILABLE",Table1[[#This Row],[SizeOption]])</f>
        <v>39, 40, 42, 44, 46</v>
      </c>
      <c r="Y2601" t="str">
        <f>IF(Table2[[#This Row],[Column1]]&gt;50%,"HIGH DISCOUNT","LOW DISCOUNT")</f>
        <v>LOW DISCOUNT</v>
      </c>
    </row>
    <row r="2602" spans="1:25" x14ac:dyDescent="0.25">
      <c r="A2602" s="1" t="s">
        <v>5483</v>
      </c>
      <c r="B2602" s="1">
        <v>12524798</v>
      </c>
      <c r="C2602" s="1" t="s">
        <v>64</v>
      </c>
      <c r="D2602" s="1" t="s">
        <v>76</v>
      </c>
      <c r="E2602" s="1" t="s">
        <v>93</v>
      </c>
      <c r="F2602" s="1" t="s">
        <v>36</v>
      </c>
      <c r="G2602" s="1" t="s">
        <v>5484</v>
      </c>
      <c r="H2602">
        <v>519</v>
      </c>
      <c r="I2602" s="1">
        <v>1299</v>
      </c>
      <c r="J2602" s="1" t="s">
        <v>55</v>
      </c>
      <c r="K2602" s="1" t="s">
        <v>100</v>
      </c>
      <c r="L2602" s="1">
        <v>4.0999999999999996</v>
      </c>
      <c r="M2602" s="1">
        <v>636</v>
      </c>
      <c r="P2602" t="str">
        <f t="shared" si="163"/>
        <v>60%</v>
      </c>
      <c r="Q2602" s="12">
        <f t="shared" si="160"/>
        <v>0.6</v>
      </c>
      <c r="R2602" s="9">
        <f t="shared" si="161"/>
        <v>519.6</v>
      </c>
      <c r="S2602" s="9">
        <f>IF(R2602="",AVERAGEIF(Table1[Category],Table1[[#This Row],[Category]],Table2[orignal data]),Table2[[#This Row],[orignal data]])</f>
        <v>519.6</v>
      </c>
      <c r="T2602" t="str">
        <f t="shared" si="162"/>
        <v>UNIQUE</v>
      </c>
      <c r="U2602" t="str">
        <f>IF(ISBLANK(Table1[[#This Row],[SizeOption]]),"NOT AVAILABLE",Table1[[#This Row],[SizeOption]])</f>
        <v>XS, S, M, L, XL, XXL, 3XL</v>
      </c>
      <c r="Y2602" t="str">
        <f>IF(Table2[[#This Row],[Column1]]&gt;50%,"HIGH DISCOUNT","LOW DISCOUNT")</f>
        <v>HIGH DISCOUNT</v>
      </c>
    </row>
    <row r="2603" spans="1:25" x14ac:dyDescent="0.25">
      <c r="A2603" s="2" t="s">
        <v>5485</v>
      </c>
      <c r="B2603" s="2">
        <v>13983880</v>
      </c>
      <c r="C2603" s="2" t="s">
        <v>5486</v>
      </c>
      <c r="D2603" s="2" t="s">
        <v>76</v>
      </c>
      <c r="E2603" s="2" t="s">
        <v>368</v>
      </c>
      <c r="F2603" s="2" t="s">
        <v>36</v>
      </c>
      <c r="G2603" s="2" t="s">
        <v>5487</v>
      </c>
      <c r="H2603">
        <v>1749</v>
      </c>
      <c r="I2603" s="2">
        <v>4500</v>
      </c>
      <c r="J2603" s="2" t="s">
        <v>5488</v>
      </c>
      <c r="K2603" s="2" t="s">
        <v>164</v>
      </c>
      <c r="L2603" s="2">
        <v>4.4000000000000004</v>
      </c>
      <c r="M2603" s="2">
        <v>636</v>
      </c>
      <c r="P2603" t="str">
        <f t="shared" si="163"/>
        <v>2751</v>
      </c>
      <c r="Q2603" s="12">
        <f t="shared" si="160"/>
        <v>0.61133333333333328</v>
      </c>
      <c r="R2603" s="9">
        <f t="shared" si="161"/>
        <v>1749</v>
      </c>
      <c r="S2603" s="9">
        <f>IF(R2603="",AVERAGEIF(Table1[Category],Table1[[#This Row],[Category]],Table2[orignal data]),Table2[[#This Row],[orignal data]])</f>
        <v>1749</v>
      </c>
      <c r="T2603" t="str">
        <f t="shared" si="162"/>
        <v>UNIQUE</v>
      </c>
      <c r="U2603" t="str">
        <f>IF(ISBLANK(Table1[[#This Row],[SizeOption]]),"NOT AVAILABLE",Table1[[#This Row],[SizeOption]])</f>
        <v>Onesize</v>
      </c>
      <c r="Y2603" t="str">
        <f>IF(Table2[[#This Row],[Column1]]&gt;50%,"HIGH DISCOUNT","LOW DISCOUNT")</f>
        <v>HIGH DISCOUNT</v>
      </c>
    </row>
    <row r="2604" spans="1:25" x14ac:dyDescent="0.25">
      <c r="A2604" s="1" t="s">
        <v>5489</v>
      </c>
      <c r="B2604" s="1">
        <v>12187658</v>
      </c>
      <c r="C2604" s="1" t="s">
        <v>5490</v>
      </c>
      <c r="D2604" s="1" t="s">
        <v>34</v>
      </c>
      <c r="E2604" s="1" t="s">
        <v>5491</v>
      </c>
      <c r="F2604" s="1" t="s">
        <v>36</v>
      </c>
      <c r="G2604" s="1" t="s">
        <v>5492</v>
      </c>
      <c r="H2604">
        <v>329</v>
      </c>
      <c r="I2604" s="1">
        <v>599</v>
      </c>
      <c r="J2604" s="1" t="s">
        <v>19</v>
      </c>
      <c r="K2604" s="1" t="s">
        <v>164</v>
      </c>
      <c r="L2604" s="1">
        <v>3.9</v>
      </c>
      <c r="M2604" s="1">
        <v>636</v>
      </c>
      <c r="P2604" t="str">
        <f t="shared" si="163"/>
        <v>45%</v>
      </c>
      <c r="Q2604" s="12">
        <f t="shared" si="160"/>
        <v>0.45</v>
      </c>
      <c r="R2604" s="9">
        <f t="shared" si="161"/>
        <v>329.45</v>
      </c>
      <c r="S2604" s="9">
        <f>IF(R2604="",AVERAGEIF(Table1[Category],Table1[[#This Row],[Category]],Table2[orignal data]),Table2[[#This Row],[orignal data]])</f>
        <v>329.45</v>
      </c>
      <c r="T2604" t="str">
        <f t="shared" si="162"/>
        <v>UNIQUE</v>
      </c>
      <c r="U2604" t="str">
        <f>IF(ISBLANK(Table1[[#This Row],[SizeOption]]),"NOT AVAILABLE",Table1[[#This Row],[SizeOption]])</f>
        <v>Onesize</v>
      </c>
      <c r="Y2604" t="str">
        <f>IF(Table2[[#This Row],[Column1]]&gt;50%,"HIGH DISCOUNT","LOW DISCOUNT")</f>
        <v>LOW DISCOUNT</v>
      </c>
    </row>
    <row r="2605" spans="1:25" x14ac:dyDescent="0.25">
      <c r="A2605" s="2" t="s">
        <v>5493</v>
      </c>
      <c r="B2605" s="2">
        <v>11358928</v>
      </c>
      <c r="C2605" s="2" t="s">
        <v>169</v>
      </c>
      <c r="D2605" s="2" t="s">
        <v>15</v>
      </c>
      <c r="E2605" s="2" t="s">
        <v>16</v>
      </c>
      <c r="F2605" s="2" t="s">
        <v>17</v>
      </c>
      <c r="G2605" s="2" t="s">
        <v>5494</v>
      </c>
      <c r="H2605">
        <v>1559</v>
      </c>
      <c r="I2605" s="2">
        <v>2399</v>
      </c>
      <c r="J2605" s="2" t="s">
        <v>44</v>
      </c>
      <c r="K2605" s="2" t="s">
        <v>171</v>
      </c>
      <c r="L2605" s="2">
        <v>4.2</v>
      </c>
      <c r="M2605" s="2">
        <v>635</v>
      </c>
      <c r="P2605" t="str">
        <f t="shared" si="163"/>
        <v>35%</v>
      </c>
      <c r="Q2605" s="12">
        <f t="shared" si="160"/>
        <v>0.35</v>
      </c>
      <c r="R2605" s="9">
        <f t="shared" si="161"/>
        <v>1559.35</v>
      </c>
      <c r="S2605" s="9">
        <f>IF(R2605="",AVERAGEIF(Table1[Category],Table1[[#This Row],[Category]],Table2[orignal data]),Table2[[#This Row],[orignal data]])</f>
        <v>1559.35</v>
      </c>
      <c r="T2605" t="str">
        <f t="shared" si="162"/>
        <v>UNIQUE</v>
      </c>
      <c r="U2605" t="str">
        <f>IF(ISBLANK(Table1[[#This Row],[SizeOption]]),"NOT AVAILABLE",Table1[[#This Row],[SizeOption]])</f>
        <v>28, 30, 32, 34, 36, 38</v>
      </c>
      <c r="Y2605" t="str">
        <f>IF(Table2[[#This Row],[Column1]]&gt;50%,"HIGH DISCOUNT","LOW DISCOUNT")</f>
        <v>LOW DISCOUNT</v>
      </c>
    </row>
    <row r="2606" spans="1:25" x14ac:dyDescent="0.25">
      <c r="A2606" s="1" t="s">
        <v>5495</v>
      </c>
      <c r="B2606" s="1">
        <v>12005968</v>
      </c>
      <c r="C2606" s="1" t="s">
        <v>52</v>
      </c>
      <c r="D2606" s="1" t="s">
        <v>28</v>
      </c>
      <c r="E2606" s="1" t="s">
        <v>29</v>
      </c>
      <c r="F2606" s="1" t="s">
        <v>17</v>
      </c>
      <c r="G2606" s="1" t="s">
        <v>2619</v>
      </c>
      <c r="H2606">
        <v>574</v>
      </c>
      <c r="I2606" s="1">
        <v>1149</v>
      </c>
      <c r="J2606" s="1" t="s">
        <v>84</v>
      </c>
      <c r="K2606" s="1" t="s">
        <v>90</v>
      </c>
      <c r="L2606" s="1">
        <v>4.3</v>
      </c>
      <c r="M2606" s="1">
        <v>635</v>
      </c>
      <c r="P2606" t="str">
        <f t="shared" si="163"/>
        <v>50%</v>
      </c>
      <c r="Q2606" s="12">
        <f t="shared" si="160"/>
        <v>0.5</v>
      </c>
      <c r="R2606" s="9">
        <f t="shared" si="161"/>
        <v>574.5</v>
      </c>
      <c r="S2606" s="9">
        <f>IF(R2606="",AVERAGEIF(Table1[Category],Table1[[#This Row],[Category]],Table2[orignal data]),Table2[[#This Row],[orignal data]])</f>
        <v>574.5</v>
      </c>
      <c r="T2606" t="str">
        <f t="shared" si="162"/>
        <v>UNIQUE</v>
      </c>
      <c r="U2606" t="str">
        <f>IF(ISBLANK(Table1[[#This Row],[SizeOption]]),"NOT AVAILABLE",Table1[[#This Row],[SizeOption]])</f>
        <v>39, 40, 42, 44</v>
      </c>
      <c r="Y2606" t="str">
        <f>IF(Table2[[#This Row],[Column1]]&gt;50%,"HIGH DISCOUNT","LOW DISCOUNT")</f>
        <v>LOW DISCOUNT</v>
      </c>
    </row>
    <row r="2607" spans="1:25" x14ac:dyDescent="0.25">
      <c r="A2607" s="2" t="s">
        <v>5496</v>
      </c>
      <c r="B2607" s="2">
        <v>12299296</v>
      </c>
      <c r="C2607" s="2" t="s">
        <v>22</v>
      </c>
      <c r="D2607" s="2" t="s">
        <v>28</v>
      </c>
      <c r="E2607" s="2" t="s">
        <v>29</v>
      </c>
      <c r="F2607" s="2" t="s">
        <v>17</v>
      </c>
      <c r="G2607" s="2" t="s">
        <v>5497</v>
      </c>
      <c r="H2607">
        <v>475</v>
      </c>
      <c r="I2607" s="2">
        <v>1399</v>
      </c>
      <c r="J2607" s="2" t="s">
        <v>403</v>
      </c>
      <c r="K2607" s="2" t="s">
        <v>90</v>
      </c>
      <c r="L2607" s="2">
        <v>4</v>
      </c>
      <c r="M2607" s="2">
        <v>635</v>
      </c>
      <c r="P2607" t="str">
        <f t="shared" si="163"/>
        <v>66%</v>
      </c>
      <c r="Q2607" s="12">
        <f t="shared" si="160"/>
        <v>0.66</v>
      </c>
      <c r="R2607" s="9">
        <f t="shared" si="161"/>
        <v>475.65999999999997</v>
      </c>
      <c r="S2607" s="9">
        <f>IF(R2607="",AVERAGEIF(Table1[Category],Table1[[#This Row],[Category]],Table2[orignal data]),Table2[[#This Row],[orignal data]])</f>
        <v>475.65999999999997</v>
      </c>
      <c r="T2607" t="str">
        <f t="shared" si="162"/>
        <v>UNIQUE</v>
      </c>
      <c r="U2607" t="str">
        <f>IF(ISBLANK(Table1[[#This Row],[SizeOption]]),"NOT AVAILABLE",Table1[[#This Row],[SizeOption]])</f>
        <v>39, 40, 42, 44</v>
      </c>
      <c r="Y2607" t="str">
        <f>IF(Table2[[#This Row],[Column1]]&gt;50%,"HIGH DISCOUNT","LOW DISCOUNT")</f>
        <v>HIGH DISCOUNT</v>
      </c>
    </row>
    <row r="2608" spans="1:25" x14ac:dyDescent="0.25">
      <c r="A2608" s="1" t="s">
        <v>5498</v>
      </c>
      <c r="B2608" s="1">
        <v>1703189</v>
      </c>
      <c r="C2608" s="1" t="s">
        <v>52</v>
      </c>
      <c r="D2608" s="1" t="s">
        <v>28</v>
      </c>
      <c r="E2608" s="1" t="s">
        <v>29</v>
      </c>
      <c r="F2608" s="1" t="s">
        <v>17</v>
      </c>
      <c r="G2608" s="1" t="s">
        <v>4762</v>
      </c>
      <c r="H2608">
        <v>699</v>
      </c>
      <c r="I2608" s="1">
        <v>999</v>
      </c>
      <c r="J2608" s="1" t="s">
        <v>186</v>
      </c>
      <c r="K2608" s="1" t="s">
        <v>253</v>
      </c>
      <c r="L2608" s="1">
        <v>4.0999999999999996</v>
      </c>
      <c r="M2608" s="1">
        <v>635</v>
      </c>
      <c r="P2608" t="str">
        <f t="shared" si="163"/>
        <v>30%</v>
      </c>
      <c r="Q2608" s="12">
        <f t="shared" si="160"/>
        <v>0.3</v>
      </c>
      <c r="R2608" s="9">
        <f t="shared" si="161"/>
        <v>699.3</v>
      </c>
      <c r="S2608" s="9">
        <f>IF(R2608="",AVERAGEIF(Table1[Category],Table1[[#This Row],[Category]],Table2[orignal data]),Table2[[#This Row],[orignal data]])</f>
        <v>699.3</v>
      </c>
      <c r="T2608" t="str">
        <f t="shared" si="162"/>
        <v>UNIQUE</v>
      </c>
      <c r="U2608" t="str">
        <f>IF(ISBLANK(Table1[[#This Row],[SizeOption]]),"NOT AVAILABLE",Table1[[#This Row],[SizeOption]])</f>
        <v>38, 40, 42, 44</v>
      </c>
      <c r="Y2608" t="str">
        <f>IF(Table2[[#This Row],[Column1]]&gt;50%,"HIGH DISCOUNT","LOW DISCOUNT")</f>
        <v>LOW DISCOUNT</v>
      </c>
    </row>
    <row r="2609" spans="1:25" x14ac:dyDescent="0.25">
      <c r="A2609" s="2" t="s">
        <v>5499</v>
      </c>
      <c r="B2609" s="2">
        <v>10691350</v>
      </c>
      <c r="C2609" s="2" t="s">
        <v>181</v>
      </c>
      <c r="D2609" s="2" t="s">
        <v>76</v>
      </c>
      <c r="E2609" s="2" t="s">
        <v>148</v>
      </c>
      <c r="F2609" s="2" t="s">
        <v>36</v>
      </c>
      <c r="G2609" s="2" t="s">
        <v>5500</v>
      </c>
      <c r="H2609">
        <v>899</v>
      </c>
      <c r="I2609" s="2">
        <v>1999</v>
      </c>
      <c r="J2609" s="2" t="s">
        <v>25</v>
      </c>
      <c r="K2609" s="2" t="s">
        <v>115</v>
      </c>
      <c r="L2609" s="2">
        <v>4.0999999999999996</v>
      </c>
      <c r="M2609" s="2">
        <v>635</v>
      </c>
      <c r="P2609" t="str">
        <f t="shared" si="163"/>
        <v>55%</v>
      </c>
      <c r="Q2609" s="12">
        <f t="shared" si="160"/>
        <v>0.55000000000000004</v>
      </c>
      <c r="R2609" s="9">
        <f t="shared" si="161"/>
        <v>899.55</v>
      </c>
      <c r="S2609" s="9">
        <f>IF(R2609="",AVERAGEIF(Table1[Category],Table1[[#This Row],[Category]],Table2[orignal data]),Table2[[#This Row],[orignal data]])</f>
        <v>899.55</v>
      </c>
      <c r="T2609" t="str">
        <f t="shared" si="162"/>
        <v>UNIQUE</v>
      </c>
      <c r="U2609" t="str">
        <f>IF(ISBLANK(Table1[[#This Row],[SizeOption]]),"NOT AVAILABLE",Table1[[#This Row],[SizeOption]])</f>
        <v>XS, S, M, L, XL, XXL</v>
      </c>
      <c r="Y2609" t="str">
        <f>IF(Table2[[#This Row],[Column1]]&gt;50%,"HIGH DISCOUNT","LOW DISCOUNT")</f>
        <v>HIGH DISCOUNT</v>
      </c>
    </row>
    <row r="2610" spans="1:25" x14ac:dyDescent="0.25">
      <c r="A2610" s="1" t="s">
        <v>5501</v>
      </c>
      <c r="B2610" s="1">
        <v>8025487</v>
      </c>
      <c r="C2610" s="1" t="s">
        <v>303</v>
      </c>
      <c r="D2610" s="1" t="s">
        <v>34</v>
      </c>
      <c r="E2610" s="1" t="s">
        <v>296</v>
      </c>
      <c r="F2610" s="1" t="s">
        <v>36</v>
      </c>
      <c r="G2610" s="1" t="s">
        <v>5502</v>
      </c>
      <c r="H2610">
        <v>1152</v>
      </c>
      <c r="I2610" s="1">
        <v>1920</v>
      </c>
      <c r="J2610" s="1" t="s">
        <v>50</v>
      </c>
      <c r="K2610" s="1" t="s">
        <v>115</v>
      </c>
      <c r="L2610" s="1">
        <v>4.3</v>
      </c>
      <c r="M2610" s="1">
        <v>635</v>
      </c>
      <c r="P2610" t="str">
        <f t="shared" si="163"/>
        <v>40%</v>
      </c>
      <c r="Q2610" s="12">
        <f t="shared" si="160"/>
        <v>0.4</v>
      </c>
      <c r="R2610" s="9">
        <f t="shared" si="161"/>
        <v>1152</v>
      </c>
      <c r="S2610" s="9">
        <f>IF(R2610="",AVERAGEIF(Table1[Category],Table1[[#This Row],[Category]],Table2[orignal data]),Table2[[#This Row],[orignal data]])</f>
        <v>1152</v>
      </c>
      <c r="T2610" t="str">
        <f t="shared" si="162"/>
        <v>UNIQUE</v>
      </c>
      <c r="U2610" t="str">
        <f>IF(ISBLANK(Table1[[#This Row],[SizeOption]]),"NOT AVAILABLE",Table1[[#This Row],[SizeOption]])</f>
        <v>XS, S, M, L, XL, XXL</v>
      </c>
      <c r="Y2610" t="str">
        <f>IF(Table2[[#This Row],[Column1]]&gt;50%,"HIGH DISCOUNT","LOW DISCOUNT")</f>
        <v>LOW DISCOUNT</v>
      </c>
    </row>
    <row r="2611" spans="1:25" x14ac:dyDescent="0.25">
      <c r="A2611" s="2" t="s">
        <v>5503</v>
      </c>
      <c r="B2611" s="2">
        <v>17381490</v>
      </c>
      <c r="C2611" s="2" t="s">
        <v>14</v>
      </c>
      <c r="D2611" s="2" t="s">
        <v>41</v>
      </c>
      <c r="E2611" s="2" t="s">
        <v>42</v>
      </c>
      <c r="F2611" s="2" t="s">
        <v>36</v>
      </c>
      <c r="G2611" s="2" t="s">
        <v>696</v>
      </c>
      <c r="I2611" s="2">
        <v>1198</v>
      </c>
      <c r="J2611" s="2" t="s">
        <v>84</v>
      </c>
      <c r="K2611" s="2" t="s">
        <v>45</v>
      </c>
      <c r="L2611" s="2">
        <v>4.4000000000000004</v>
      </c>
      <c r="M2611" s="2">
        <v>635</v>
      </c>
      <c r="P2611" t="str">
        <f t="shared" si="163"/>
        <v>50%</v>
      </c>
      <c r="Q2611" s="12">
        <f t="shared" si="160"/>
        <v>0.5</v>
      </c>
      <c r="R2611" s="9">
        <f t="shared" si="161"/>
        <v>599</v>
      </c>
      <c r="S2611" s="9">
        <f>IF(R2611="",AVERAGEIF(Table1[Category],Table1[[#This Row],[Category]],Table2[orignal data]),Table2[[#This Row],[orignal data]])</f>
        <v>599</v>
      </c>
      <c r="T2611" t="str">
        <f t="shared" si="162"/>
        <v>UNIQUE</v>
      </c>
      <c r="U2611" t="str">
        <f>IF(ISBLANK(Table1[[#This Row],[SizeOption]]),"NOT AVAILABLE",Table1[[#This Row],[SizeOption]])</f>
        <v>XS, S, M, L, XL</v>
      </c>
      <c r="Y2611" t="str">
        <f>IF(Table2[[#This Row],[Column1]]&gt;50%,"HIGH DISCOUNT","LOW DISCOUNT")</f>
        <v>LOW DISCOUNT</v>
      </c>
    </row>
    <row r="2612" spans="1:25" x14ac:dyDescent="0.25">
      <c r="A2612" s="1" t="s">
        <v>5504</v>
      </c>
      <c r="B2612" s="1">
        <v>10380855</v>
      </c>
      <c r="C2612" s="1" t="s">
        <v>102</v>
      </c>
      <c r="D2612" s="1" t="s">
        <v>41</v>
      </c>
      <c r="E2612" s="1" t="s">
        <v>29</v>
      </c>
      <c r="F2612" s="1" t="s">
        <v>36</v>
      </c>
      <c r="G2612" s="1" t="s">
        <v>5505</v>
      </c>
      <c r="I2612" s="1">
        <v>1449</v>
      </c>
      <c r="J2612" s="1" t="s">
        <v>60</v>
      </c>
      <c r="K2612" s="1" t="s">
        <v>26</v>
      </c>
      <c r="L2612" s="1">
        <v>4.4000000000000004</v>
      </c>
      <c r="M2612" s="1">
        <v>635</v>
      </c>
      <c r="P2612" t="str">
        <f t="shared" si="163"/>
        <v>58%</v>
      </c>
      <c r="Q2612" s="12">
        <f t="shared" si="160"/>
        <v>0.57999999999999996</v>
      </c>
      <c r="R2612" s="9">
        <f t="shared" si="161"/>
        <v>608.58000000000004</v>
      </c>
      <c r="S2612" s="9">
        <f>IF(R2612="",AVERAGEIF(Table1[Category],Table1[[#This Row],[Category]],Table2[orignal data]),Table2[[#This Row],[orignal data]])</f>
        <v>608.58000000000004</v>
      </c>
      <c r="T2612" t="str">
        <f t="shared" si="162"/>
        <v>UNIQUE</v>
      </c>
      <c r="U2612" t="str">
        <f>IF(ISBLANK(Table1[[#This Row],[SizeOption]]),"NOT AVAILABLE",Table1[[#This Row],[SizeOption]])</f>
        <v>S, M, L, XL</v>
      </c>
      <c r="Y2612" t="str">
        <f>IF(Table2[[#This Row],[Column1]]&gt;50%,"HIGH DISCOUNT","LOW DISCOUNT")</f>
        <v>HIGH DISCOUNT</v>
      </c>
    </row>
    <row r="2613" spans="1:25" x14ac:dyDescent="0.25">
      <c r="A2613" s="2" t="s">
        <v>5506</v>
      </c>
      <c r="B2613" s="2">
        <v>11080656</v>
      </c>
      <c r="C2613" s="2" t="s">
        <v>5507</v>
      </c>
      <c r="D2613" s="2" t="s">
        <v>41</v>
      </c>
      <c r="E2613" s="2" t="s">
        <v>148</v>
      </c>
      <c r="F2613" s="2" t="s">
        <v>36</v>
      </c>
      <c r="G2613" s="2" t="s">
        <v>5508</v>
      </c>
      <c r="I2613" s="2">
        <v>1499</v>
      </c>
      <c r="J2613" s="2" t="s">
        <v>84</v>
      </c>
      <c r="K2613" s="2" t="s">
        <v>100</v>
      </c>
      <c r="L2613" s="2">
        <v>4.3</v>
      </c>
      <c r="M2613" s="2">
        <v>635</v>
      </c>
      <c r="P2613" t="str">
        <f t="shared" si="163"/>
        <v>50%</v>
      </c>
      <c r="Q2613" s="12">
        <f t="shared" si="160"/>
        <v>0.5</v>
      </c>
      <c r="R2613" s="9">
        <f t="shared" si="161"/>
        <v>749.5</v>
      </c>
      <c r="S2613" s="9">
        <f>IF(R2613="",AVERAGEIF(Table1[Category],Table1[[#This Row],[Category]],Table2[orignal data]),Table2[[#This Row],[orignal data]])</f>
        <v>749.5</v>
      </c>
      <c r="T2613" t="str">
        <f t="shared" si="162"/>
        <v>UNIQUE</v>
      </c>
      <c r="U2613" t="str">
        <f>IF(ISBLANK(Table1[[#This Row],[SizeOption]]),"NOT AVAILABLE",Table1[[#This Row],[SizeOption]])</f>
        <v>XS, S, M, L, XL, XXL, 3XL</v>
      </c>
      <c r="Y2613" t="str">
        <f>IF(Table2[[#This Row],[Column1]]&gt;50%,"HIGH DISCOUNT","LOW DISCOUNT")</f>
        <v>LOW DISCOUNT</v>
      </c>
    </row>
    <row r="2614" spans="1:25" x14ac:dyDescent="0.25">
      <c r="A2614" s="1" t="s">
        <v>5509</v>
      </c>
      <c r="B2614" s="1">
        <v>17524642</v>
      </c>
      <c r="C2614" s="1" t="s">
        <v>47</v>
      </c>
      <c r="D2614" s="1" t="s">
        <v>41</v>
      </c>
      <c r="E2614" s="1" t="s">
        <v>42</v>
      </c>
      <c r="F2614" s="1" t="s">
        <v>36</v>
      </c>
      <c r="G2614" s="1" t="s">
        <v>1316</v>
      </c>
      <c r="I2614" s="1">
        <v>1598</v>
      </c>
      <c r="J2614" s="1" t="s">
        <v>84</v>
      </c>
      <c r="K2614" s="1" t="s">
        <v>45</v>
      </c>
      <c r="L2614" s="1">
        <v>4</v>
      </c>
      <c r="M2614" s="1">
        <v>635</v>
      </c>
      <c r="P2614" t="str">
        <f t="shared" si="163"/>
        <v>50%</v>
      </c>
      <c r="Q2614" s="12">
        <f t="shared" si="160"/>
        <v>0.5</v>
      </c>
      <c r="R2614" s="9">
        <f t="shared" si="161"/>
        <v>799</v>
      </c>
      <c r="S2614" s="9">
        <f>IF(R2614="",AVERAGEIF(Table1[Category],Table1[[#This Row],[Category]],Table2[orignal data]),Table2[[#This Row],[orignal data]])</f>
        <v>799</v>
      </c>
      <c r="T2614" t="str">
        <f t="shared" si="162"/>
        <v>UNIQUE</v>
      </c>
      <c r="U2614" t="str">
        <f>IF(ISBLANK(Table1[[#This Row],[SizeOption]]),"NOT AVAILABLE",Table1[[#This Row],[SizeOption]])</f>
        <v>XS, S, M, L, XL</v>
      </c>
      <c r="Y2614" t="str">
        <f>IF(Table2[[#This Row],[Column1]]&gt;50%,"HIGH DISCOUNT","LOW DISCOUNT")</f>
        <v>LOW DISCOUNT</v>
      </c>
    </row>
    <row r="2615" spans="1:25" x14ac:dyDescent="0.25">
      <c r="A2615" s="2" t="s">
        <v>5510</v>
      </c>
      <c r="B2615" s="2">
        <v>11735662</v>
      </c>
      <c r="C2615" s="2" t="s">
        <v>184</v>
      </c>
      <c r="D2615" s="2" t="s">
        <v>41</v>
      </c>
      <c r="E2615" s="2" t="s">
        <v>48</v>
      </c>
      <c r="F2615" s="2" t="s">
        <v>36</v>
      </c>
      <c r="G2615" s="2" t="s">
        <v>5511</v>
      </c>
      <c r="I2615" s="2">
        <v>699</v>
      </c>
      <c r="J2615" s="2" t="s">
        <v>1602</v>
      </c>
      <c r="K2615" s="2" t="s">
        <v>39</v>
      </c>
      <c r="L2615" s="2">
        <v>4.3</v>
      </c>
      <c r="M2615" s="2">
        <v>635</v>
      </c>
      <c r="P2615" t="str">
        <f t="shared" si="163"/>
        <v>200</v>
      </c>
      <c r="Q2615" s="12">
        <f t="shared" si="160"/>
        <v>0.28612303290414881</v>
      </c>
      <c r="R2615" s="9">
        <f t="shared" si="161"/>
        <v>499</v>
      </c>
      <c r="S2615" s="9">
        <f>IF(R2615="",AVERAGEIF(Table1[Category],Table1[[#This Row],[Category]],Table2[orignal data]),Table2[[#This Row],[orignal data]])</f>
        <v>499</v>
      </c>
      <c r="T2615" t="str">
        <f t="shared" si="162"/>
        <v>UNIQUE</v>
      </c>
      <c r="U2615" t="str">
        <f>IF(ISBLANK(Table1[[#This Row],[SizeOption]]),"NOT AVAILABLE",Table1[[#This Row],[SizeOption]])</f>
        <v>S, M, L, XL, XXL</v>
      </c>
      <c r="Y2615" t="str">
        <f>IF(Table2[[#This Row],[Column1]]&gt;50%,"HIGH DISCOUNT","LOW DISCOUNT")</f>
        <v>LOW DISCOUNT</v>
      </c>
    </row>
    <row r="2616" spans="1:25" x14ac:dyDescent="0.25">
      <c r="A2616" s="1" t="s">
        <v>5512</v>
      </c>
      <c r="B2616" s="1">
        <v>11296054</v>
      </c>
      <c r="C2616" s="1" t="s">
        <v>14</v>
      </c>
      <c r="D2616" s="1" t="s">
        <v>41</v>
      </c>
      <c r="E2616" s="1" t="s">
        <v>42</v>
      </c>
      <c r="F2616" s="1" t="s">
        <v>36</v>
      </c>
      <c r="G2616" s="1" t="s">
        <v>4711</v>
      </c>
      <c r="I2616" s="1">
        <v>899</v>
      </c>
      <c r="J2616" s="1" t="s">
        <v>50</v>
      </c>
      <c r="K2616" s="1" t="s">
        <v>45</v>
      </c>
      <c r="L2616" s="1">
        <v>4.0999999999999996</v>
      </c>
      <c r="M2616" s="1">
        <v>635</v>
      </c>
      <c r="P2616" t="str">
        <f t="shared" si="163"/>
        <v>40%</v>
      </c>
      <c r="Q2616" s="12">
        <f t="shared" si="160"/>
        <v>0.4</v>
      </c>
      <c r="R2616" s="9">
        <f t="shared" si="161"/>
        <v>539.4</v>
      </c>
      <c r="S2616" s="9">
        <f>IF(R2616="",AVERAGEIF(Table1[Category],Table1[[#This Row],[Category]],Table2[orignal data]),Table2[[#This Row],[orignal data]])</f>
        <v>539.4</v>
      </c>
      <c r="T2616" t="str">
        <f t="shared" si="162"/>
        <v>UNIQUE</v>
      </c>
      <c r="U2616" t="str">
        <f>IF(ISBLANK(Table1[[#This Row],[SizeOption]]),"NOT AVAILABLE",Table1[[#This Row],[SizeOption]])</f>
        <v>XS, S, M, L, XL</v>
      </c>
      <c r="Y2616" t="str">
        <f>IF(Table2[[#This Row],[Column1]]&gt;50%,"HIGH DISCOUNT","LOW DISCOUNT")</f>
        <v>LOW DISCOUNT</v>
      </c>
    </row>
    <row r="2617" spans="1:25" x14ac:dyDescent="0.25">
      <c r="A2617" s="2" t="s">
        <v>5513</v>
      </c>
      <c r="B2617" s="2">
        <v>13275682</v>
      </c>
      <c r="C2617" s="2" t="s">
        <v>52</v>
      </c>
      <c r="D2617" s="2" t="s">
        <v>15</v>
      </c>
      <c r="E2617" s="2" t="s">
        <v>53</v>
      </c>
      <c r="F2617" s="2" t="s">
        <v>17</v>
      </c>
      <c r="G2617" s="2" t="s">
        <v>2270</v>
      </c>
      <c r="H2617">
        <v>751</v>
      </c>
      <c r="I2617" s="2">
        <v>1599</v>
      </c>
      <c r="J2617" s="2" t="s">
        <v>89</v>
      </c>
      <c r="K2617" s="2" t="s">
        <v>56</v>
      </c>
      <c r="L2617" s="2">
        <v>4</v>
      </c>
      <c r="M2617" s="2">
        <v>634</v>
      </c>
      <c r="P2617" t="str">
        <f t="shared" si="163"/>
        <v>53%</v>
      </c>
      <c r="Q2617" s="12">
        <f t="shared" si="160"/>
        <v>0.53</v>
      </c>
      <c r="R2617" s="9">
        <f t="shared" si="161"/>
        <v>751.53</v>
      </c>
      <c r="S2617" s="9">
        <f>IF(R2617="",AVERAGEIF(Table1[Category],Table1[[#This Row],[Category]],Table2[orignal data]),Table2[[#This Row],[orignal data]])</f>
        <v>751.53</v>
      </c>
      <c r="T2617" t="str">
        <f t="shared" si="162"/>
        <v>UNIQUE</v>
      </c>
      <c r="U2617" t="str">
        <f>IF(ISBLANK(Table1[[#This Row],[SizeOption]]),"NOT AVAILABLE",Table1[[#This Row],[SizeOption]])</f>
        <v>30, 32, 34, 36</v>
      </c>
      <c r="Y2617" t="str">
        <f>IF(Table2[[#This Row],[Column1]]&gt;50%,"HIGH DISCOUNT","LOW DISCOUNT")</f>
        <v>HIGH DISCOUNT</v>
      </c>
    </row>
    <row r="2618" spans="1:25" x14ac:dyDescent="0.25">
      <c r="A2618" s="1" t="s">
        <v>5514</v>
      </c>
      <c r="B2618" s="1">
        <v>10184937</v>
      </c>
      <c r="C2618" s="1" t="s">
        <v>271</v>
      </c>
      <c r="D2618" s="1" t="s">
        <v>76</v>
      </c>
      <c r="E2618" s="1" t="s">
        <v>93</v>
      </c>
      <c r="F2618" s="1" t="s">
        <v>17</v>
      </c>
      <c r="G2618" s="1" t="s">
        <v>5515</v>
      </c>
      <c r="H2618">
        <v>1049</v>
      </c>
      <c r="I2618" s="1">
        <v>2099</v>
      </c>
      <c r="J2618" s="1" t="s">
        <v>84</v>
      </c>
      <c r="K2618" s="1" t="s">
        <v>39</v>
      </c>
      <c r="L2618" s="1">
        <v>4.2</v>
      </c>
      <c r="M2618" s="1">
        <v>634</v>
      </c>
      <c r="P2618" t="str">
        <f t="shared" si="163"/>
        <v>50%</v>
      </c>
      <c r="Q2618" s="12">
        <f t="shared" si="160"/>
        <v>0.5</v>
      </c>
      <c r="R2618" s="9">
        <f t="shared" si="161"/>
        <v>1049.5</v>
      </c>
      <c r="S2618" s="9">
        <f>IF(R2618="",AVERAGEIF(Table1[Category],Table1[[#This Row],[Category]],Table2[orignal data]),Table2[[#This Row],[orignal data]])</f>
        <v>1049.5</v>
      </c>
      <c r="T2618" t="str">
        <f t="shared" si="162"/>
        <v>UNIQUE</v>
      </c>
      <c r="U2618" t="str">
        <f>IF(ISBLANK(Table1[[#This Row],[SizeOption]]),"NOT AVAILABLE",Table1[[#This Row],[SizeOption]])</f>
        <v>S, M, L, XL, XXL</v>
      </c>
      <c r="Y2618" t="str">
        <f>IF(Table2[[#This Row],[Column1]]&gt;50%,"HIGH DISCOUNT","LOW DISCOUNT")</f>
        <v>LOW DISCOUNT</v>
      </c>
    </row>
    <row r="2619" spans="1:25" x14ac:dyDescent="0.25">
      <c r="A2619" s="2" t="s">
        <v>5516</v>
      </c>
      <c r="B2619" s="2">
        <v>13036472</v>
      </c>
      <c r="C2619" s="2" t="s">
        <v>5517</v>
      </c>
      <c r="D2619" s="2" t="s">
        <v>68</v>
      </c>
      <c r="E2619" s="2" t="s">
        <v>189</v>
      </c>
      <c r="F2619" s="2" t="s">
        <v>17</v>
      </c>
      <c r="G2619" s="2" t="s">
        <v>5518</v>
      </c>
      <c r="H2619">
        <v>1169</v>
      </c>
      <c r="I2619" s="2">
        <v>1499</v>
      </c>
      <c r="J2619" s="2" t="s">
        <v>2014</v>
      </c>
      <c r="K2619" s="2" t="s">
        <v>39</v>
      </c>
      <c r="L2619" s="2">
        <v>4.0999999999999996</v>
      </c>
      <c r="M2619" s="2">
        <v>634</v>
      </c>
      <c r="P2619" t="str">
        <f t="shared" si="163"/>
        <v>22%</v>
      </c>
      <c r="Q2619" s="12">
        <f t="shared" si="160"/>
        <v>0.22</v>
      </c>
      <c r="R2619" s="9">
        <f t="shared" si="161"/>
        <v>1169.22</v>
      </c>
      <c r="S2619" s="9">
        <f>IF(R2619="",AVERAGEIF(Table1[Category],Table1[[#This Row],[Category]],Table2[orignal data]),Table2[[#This Row],[orignal data]])</f>
        <v>1169.22</v>
      </c>
      <c r="T2619" t="str">
        <f t="shared" si="162"/>
        <v>UNIQUE</v>
      </c>
      <c r="U2619" t="str">
        <f>IF(ISBLANK(Table1[[#This Row],[SizeOption]]),"NOT AVAILABLE",Table1[[#This Row],[SizeOption]])</f>
        <v>S, M, L, XL, XXL</v>
      </c>
      <c r="Y2619" t="str">
        <f>IF(Table2[[#This Row],[Column1]]&gt;50%,"HIGH DISCOUNT","LOW DISCOUNT")</f>
        <v>LOW DISCOUNT</v>
      </c>
    </row>
    <row r="2620" spans="1:25" x14ac:dyDescent="0.25">
      <c r="A2620" s="1" t="s">
        <v>5519</v>
      </c>
      <c r="B2620" s="1">
        <v>9951409</v>
      </c>
      <c r="C2620" s="1" t="s">
        <v>14</v>
      </c>
      <c r="D2620" s="1" t="s">
        <v>28</v>
      </c>
      <c r="E2620" s="1" t="s">
        <v>29</v>
      </c>
      <c r="F2620" s="1" t="s">
        <v>17</v>
      </c>
      <c r="G2620" s="1" t="s">
        <v>5520</v>
      </c>
      <c r="I2620" s="1">
        <v>1044</v>
      </c>
      <c r="J2620" s="1"/>
      <c r="K2620" s="1" t="s">
        <v>31</v>
      </c>
      <c r="L2620" s="1">
        <v>4.5</v>
      </c>
      <c r="M2620" s="1">
        <v>634</v>
      </c>
      <c r="P2620" t="str">
        <f t="shared" si="163"/>
        <v/>
      </c>
      <c r="Q2620" s="12" t="str">
        <f t="shared" si="160"/>
        <v/>
      </c>
      <c r="R2620" s="9" t="str">
        <f t="shared" si="161"/>
        <v/>
      </c>
      <c r="S2620" s="9">
        <f>IF(R2620="",AVERAGEIF(Table1[Category],Table1[[#This Row],[Category]],Table2[orignal data]),Table2[[#This Row],[orignal data]])</f>
        <v>671.7823941958867</v>
      </c>
      <c r="T2620" t="str">
        <f t="shared" si="162"/>
        <v>UNIQUE</v>
      </c>
      <c r="U2620" t="str">
        <f>IF(ISBLANK(Table1[[#This Row],[SizeOption]]),"NOT AVAILABLE",Table1[[#This Row],[SizeOption]])</f>
        <v>38, 40, 42, 44, 46, 48</v>
      </c>
      <c r="Y2620" t="str">
        <f>IF(Table2[[#This Row],[Column1]]&gt;50%,"HIGH DISCOUNT","LOW DISCOUNT")</f>
        <v>HIGH DISCOUNT</v>
      </c>
    </row>
    <row r="2621" spans="1:25" x14ac:dyDescent="0.25">
      <c r="A2621" s="2" t="s">
        <v>5521</v>
      </c>
      <c r="B2621" s="2">
        <v>11327084</v>
      </c>
      <c r="C2621" s="2" t="s">
        <v>14</v>
      </c>
      <c r="D2621" s="2" t="s">
        <v>28</v>
      </c>
      <c r="E2621" s="2" t="s">
        <v>29</v>
      </c>
      <c r="F2621" s="2" t="s">
        <v>17</v>
      </c>
      <c r="G2621" s="2" t="s">
        <v>5522</v>
      </c>
      <c r="H2621">
        <v>934</v>
      </c>
      <c r="I2621" s="2">
        <v>1699</v>
      </c>
      <c r="J2621" s="2" t="s">
        <v>19</v>
      </c>
      <c r="K2621" s="2" t="s">
        <v>253</v>
      </c>
      <c r="L2621" s="2">
        <v>4.3</v>
      </c>
      <c r="M2621" s="2">
        <v>634</v>
      </c>
      <c r="P2621" t="str">
        <f t="shared" si="163"/>
        <v>45%</v>
      </c>
      <c r="Q2621" s="12">
        <f t="shared" si="160"/>
        <v>0.45</v>
      </c>
      <c r="R2621" s="9">
        <f t="shared" si="161"/>
        <v>934.44999999999993</v>
      </c>
      <c r="S2621" s="9">
        <f>IF(R2621="",AVERAGEIF(Table1[Category],Table1[[#This Row],[Category]],Table2[orignal data]),Table2[[#This Row],[orignal data]])</f>
        <v>934.44999999999993</v>
      </c>
      <c r="T2621" t="str">
        <f t="shared" si="162"/>
        <v>UNIQUE</v>
      </c>
      <c r="U2621" t="str">
        <f>IF(ISBLANK(Table1[[#This Row],[SizeOption]]),"NOT AVAILABLE",Table1[[#This Row],[SizeOption]])</f>
        <v>38, 40, 42, 44</v>
      </c>
      <c r="Y2621" t="str">
        <f>IF(Table2[[#This Row],[Column1]]&gt;50%,"HIGH DISCOUNT","LOW DISCOUNT")</f>
        <v>LOW DISCOUNT</v>
      </c>
    </row>
    <row r="2622" spans="1:25" x14ac:dyDescent="0.25">
      <c r="A2622" s="1" t="s">
        <v>5523</v>
      </c>
      <c r="B2622" s="1">
        <v>12664470</v>
      </c>
      <c r="C2622" s="1" t="s">
        <v>64</v>
      </c>
      <c r="D2622" s="1" t="s">
        <v>28</v>
      </c>
      <c r="E2622" s="1" t="s">
        <v>29</v>
      </c>
      <c r="F2622" s="1" t="s">
        <v>17</v>
      </c>
      <c r="G2622" s="1" t="s">
        <v>5524</v>
      </c>
      <c r="H2622">
        <v>1079</v>
      </c>
      <c r="I2622" s="1">
        <v>2399</v>
      </c>
      <c r="J2622" s="1" t="s">
        <v>25</v>
      </c>
      <c r="K2622" s="1" t="s">
        <v>361</v>
      </c>
      <c r="L2622" s="1">
        <v>4.2</v>
      </c>
      <c r="M2622" s="1">
        <v>634</v>
      </c>
      <c r="P2622" t="str">
        <f t="shared" si="163"/>
        <v>55%</v>
      </c>
      <c r="Q2622" s="12">
        <f t="shared" si="160"/>
        <v>0.55000000000000004</v>
      </c>
      <c r="R2622" s="9">
        <f t="shared" si="161"/>
        <v>1079.55</v>
      </c>
      <c r="S2622" s="9">
        <f>IF(R2622="",AVERAGEIF(Table1[Category],Table1[[#This Row],[Category]],Table2[orignal data]),Table2[[#This Row],[orignal data]])</f>
        <v>1079.55</v>
      </c>
      <c r="T2622" t="str">
        <f t="shared" si="162"/>
        <v>UNIQUE</v>
      </c>
      <c r="U2622" t="str">
        <f>IF(ISBLANK(Table1[[#This Row],[SizeOption]]),"NOT AVAILABLE",Table1[[#This Row],[SizeOption]])</f>
        <v>38, 40, 42, 44, 46</v>
      </c>
      <c r="Y2622" t="str">
        <f>IF(Table2[[#This Row],[Column1]]&gt;50%,"HIGH DISCOUNT","LOW DISCOUNT")</f>
        <v>HIGH DISCOUNT</v>
      </c>
    </row>
    <row r="2623" spans="1:25" x14ac:dyDescent="0.25">
      <c r="A2623" s="2" t="s">
        <v>5525</v>
      </c>
      <c r="B2623" s="2">
        <v>13504004</v>
      </c>
      <c r="C2623" s="2" t="s">
        <v>490</v>
      </c>
      <c r="D2623" s="2" t="s">
        <v>28</v>
      </c>
      <c r="E2623" s="2" t="s">
        <v>42</v>
      </c>
      <c r="F2623" s="2" t="s">
        <v>17</v>
      </c>
      <c r="G2623" s="2" t="s">
        <v>5526</v>
      </c>
      <c r="I2623" s="2">
        <v>399</v>
      </c>
      <c r="J2623" s="2"/>
      <c r="K2623" s="2" t="s">
        <v>115</v>
      </c>
      <c r="L2623" s="2">
        <v>4.3</v>
      </c>
      <c r="M2623" s="2">
        <v>634</v>
      </c>
      <c r="P2623" t="str">
        <f t="shared" si="163"/>
        <v/>
      </c>
      <c r="Q2623" s="12" t="str">
        <f t="shared" si="160"/>
        <v/>
      </c>
      <c r="R2623" s="9" t="str">
        <f t="shared" si="161"/>
        <v/>
      </c>
      <c r="S2623" s="9">
        <f>IF(R2623="",AVERAGEIF(Table1[Category],Table1[[#This Row],[Category]],Table2[orignal data]),Table2[[#This Row],[orignal data]])</f>
        <v>671.7823941958867</v>
      </c>
      <c r="T2623" t="str">
        <f t="shared" si="162"/>
        <v>UNIQUE</v>
      </c>
      <c r="U2623" t="str">
        <f>IF(ISBLANK(Table1[[#This Row],[SizeOption]]),"NOT AVAILABLE",Table1[[#This Row],[SizeOption]])</f>
        <v>XS, S, M, L, XL, XXL</v>
      </c>
      <c r="Y2623" t="str">
        <f>IF(Table2[[#This Row],[Column1]]&gt;50%,"HIGH DISCOUNT","LOW DISCOUNT")</f>
        <v>HIGH DISCOUNT</v>
      </c>
    </row>
    <row r="2624" spans="1:25" x14ac:dyDescent="0.25">
      <c r="A2624" s="1" t="s">
        <v>5527</v>
      </c>
      <c r="B2624" s="1">
        <v>2215268</v>
      </c>
      <c r="C2624" s="1" t="s">
        <v>14</v>
      </c>
      <c r="D2624" s="1" t="s">
        <v>28</v>
      </c>
      <c r="E2624" s="1" t="s">
        <v>42</v>
      </c>
      <c r="F2624" s="1" t="s">
        <v>17</v>
      </c>
      <c r="G2624" s="1" t="s">
        <v>5528</v>
      </c>
      <c r="H2624">
        <v>319</v>
      </c>
      <c r="I2624" s="1">
        <v>799</v>
      </c>
      <c r="J2624" s="1" t="s">
        <v>55</v>
      </c>
      <c r="K2624" s="1" t="s">
        <v>26</v>
      </c>
      <c r="L2624" s="1">
        <v>4.3</v>
      </c>
      <c r="M2624" s="1">
        <v>634</v>
      </c>
      <c r="P2624" t="str">
        <f t="shared" si="163"/>
        <v>60%</v>
      </c>
      <c r="Q2624" s="12">
        <f t="shared" si="160"/>
        <v>0.6</v>
      </c>
      <c r="R2624" s="9">
        <f t="shared" si="161"/>
        <v>319.60000000000002</v>
      </c>
      <c r="S2624" s="9">
        <f>IF(R2624="",AVERAGEIF(Table1[Category],Table1[[#This Row],[Category]],Table2[orignal data]),Table2[[#This Row],[orignal data]])</f>
        <v>319.60000000000002</v>
      </c>
      <c r="T2624" t="str">
        <f t="shared" si="162"/>
        <v>UNIQUE</v>
      </c>
      <c r="U2624" t="str">
        <f>IF(ISBLANK(Table1[[#This Row],[SizeOption]]),"NOT AVAILABLE",Table1[[#This Row],[SizeOption]])</f>
        <v>S, M, L, XL</v>
      </c>
      <c r="Y2624" t="str">
        <f>IF(Table2[[#This Row],[Column1]]&gt;50%,"HIGH DISCOUNT","LOW DISCOUNT")</f>
        <v>HIGH DISCOUNT</v>
      </c>
    </row>
    <row r="2625" spans="1:25" x14ac:dyDescent="0.25">
      <c r="A2625" s="2" t="s">
        <v>5529</v>
      </c>
      <c r="B2625" s="2">
        <v>13237958</v>
      </c>
      <c r="C2625" s="2" t="s">
        <v>113</v>
      </c>
      <c r="D2625" s="2" t="s">
        <v>76</v>
      </c>
      <c r="E2625" s="2" t="s">
        <v>77</v>
      </c>
      <c r="F2625" s="2" t="s">
        <v>36</v>
      </c>
      <c r="G2625" s="2" t="s">
        <v>5530</v>
      </c>
      <c r="H2625">
        <v>899</v>
      </c>
      <c r="I2625" s="2">
        <v>1799</v>
      </c>
      <c r="J2625" s="2" t="s">
        <v>84</v>
      </c>
      <c r="K2625" s="2" t="s">
        <v>115</v>
      </c>
      <c r="L2625" s="2">
        <v>4</v>
      </c>
      <c r="M2625" s="2">
        <v>634</v>
      </c>
      <c r="P2625" t="str">
        <f t="shared" si="163"/>
        <v>50%</v>
      </c>
      <c r="Q2625" s="12">
        <f t="shared" si="160"/>
        <v>0.5</v>
      </c>
      <c r="R2625" s="9">
        <f t="shared" si="161"/>
        <v>899.5</v>
      </c>
      <c r="S2625" s="9">
        <f>IF(R2625="",AVERAGEIF(Table1[Category],Table1[[#This Row],[Category]],Table2[orignal data]),Table2[[#This Row],[orignal data]])</f>
        <v>899.5</v>
      </c>
      <c r="T2625" t="str">
        <f t="shared" si="162"/>
        <v>UNIQUE</v>
      </c>
      <c r="U2625" t="str">
        <f>IF(ISBLANK(Table1[[#This Row],[SizeOption]]),"NOT AVAILABLE",Table1[[#This Row],[SizeOption]])</f>
        <v>XS, S, M, L, XL, XXL</v>
      </c>
      <c r="Y2625" t="str">
        <f>IF(Table2[[#This Row],[Column1]]&gt;50%,"HIGH DISCOUNT","LOW DISCOUNT")</f>
        <v>LOW DISCOUNT</v>
      </c>
    </row>
    <row r="2626" spans="1:25" x14ac:dyDescent="0.25">
      <c r="A2626" s="1" t="s">
        <v>5531</v>
      </c>
      <c r="B2626" s="1">
        <v>11169382</v>
      </c>
      <c r="C2626" s="1" t="s">
        <v>1045</v>
      </c>
      <c r="D2626" s="1" t="s">
        <v>76</v>
      </c>
      <c r="E2626" s="1" t="s">
        <v>533</v>
      </c>
      <c r="F2626" s="1" t="s">
        <v>36</v>
      </c>
      <c r="G2626" s="1" t="s">
        <v>5532</v>
      </c>
      <c r="H2626">
        <v>841</v>
      </c>
      <c r="I2626" s="1">
        <v>2550</v>
      </c>
      <c r="J2626" s="1" t="s">
        <v>543</v>
      </c>
      <c r="K2626" s="1" t="s">
        <v>171</v>
      </c>
      <c r="L2626" s="1">
        <v>4</v>
      </c>
      <c r="M2626" s="1">
        <v>634</v>
      </c>
      <c r="P2626" t="str">
        <f t="shared" si="163"/>
        <v>67%</v>
      </c>
      <c r="Q2626" s="12">
        <f t="shared" ref="Q2626:Q2689" si="164">IF(P2626="","",IF(ISNUMBER(SEARCH("%",P2626)),P2626,P2626/I2626)*100%)</f>
        <v>0.67</v>
      </c>
      <c r="R2626" s="9">
        <f t="shared" ref="R2626:R2689" si="165">IF(P2626="","",I2626-(I2626*Q2626))</f>
        <v>841.5</v>
      </c>
      <c r="S2626" s="9">
        <f>IF(R2626="",AVERAGEIF(Table1[Category],Table1[[#This Row],[Category]],Table2[orignal data]),Table2[[#This Row],[orignal data]])</f>
        <v>841.5</v>
      </c>
      <c r="T2626" t="str">
        <f t="shared" ref="T2626:T2689" si="166">IF(COUNTIF($B$2:$B$5000,B2626)&gt;1,"DUPLICATE","UNIQUE")</f>
        <v>UNIQUE</v>
      </c>
      <c r="U2626" t="str">
        <f>IF(ISBLANK(Table1[[#This Row],[SizeOption]]),"NOT AVAILABLE",Table1[[#This Row],[SizeOption]])</f>
        <v>28, 30, 32, 34, 36, 38</v>
      </c>
      <c r="Y2626" t="str">
        <f>IF(Table2[[#This Row],[Column1]]&gt;50%,"HIGH DISCOUNT","LOW DISCOUNT")</f>
        <v>HIGH DISCOUNT</v>
      </c>
    </row>
    <row r="2627" spans="1:25" x14ac:dyDescent="0.25">
      <c r="A2627" s="2" t="s">
        <v>5533</v>
      </c>
      <c r="B2627" s="2">
        <v>14054966</v>
      </c>
      <c r="C2627" s="2" t="s">
        <v>5534</v>
      </c>
      <c r="D2627" s="2" t="s">
        <v>76</v>
      </c>
      <c r="E2627" s="2" t="s">
        <v>77</v>
      </c>
      <c r="F2627" s="2" t="s">
        <v>36</v>
      </c>
      <c r="G2627" s="2" t="s">
        <v>5535</v>
      </c>
      <c r="H2627">
        <v>747</v>
      </c>
      <c r="I2627" s="2">
        <v>2669</v>
      </c>
      <c r="J2627" s="2" t="s">
        <v>1377</v>
      </c>
      <c r="K2627" s="2" t="s">
        <v>39</v>
      </c>
      <c r="L2627" s="2">
        <v>4.2</v>
      </c>
      <c r="M2627" s="2">
        <v>634</v>
      </c>
      <c r="P2627" t="str">
        <f t="shared" ref="P2627:P2690" si="167">TRIM(SUBSTITUTE(SUBSTITUTE(SUBSTITUTE(SUBSTITUTE(J2627,"OFF",""),"Rs.",""),"Hurry*",""),",",""))</f>
        <v>72%</v>
      </c>
      <c r="Q2627" s="12">
        <f t="shared" si="164"/>
        <v>0.72</v>
      </c>
      <c r="R2627" s="9">
        <f t="shared" si="165"/>
        <v>747.32000000000016</v>
      </c>
      <c r="S2627" s="9">
        <f>IF(R2627="",AVERAGEIF(Table1[Category],Table1[[#This Row],[Category]],Table2[orignal data]),Table2[[#This Row],[orignal data]])</f>
        <v>747.32000000000016</v>
      </c>
      <c r="T2627" t="str">
        <f t="shared" si="166"/>
        <v>UNIQUE</v>
      </c>
      <c r="U2627" t="str">
        <f>IF(ISBLANK(Table1[[#This Row],[SizeOption]]),"NOT AVAILABLE",Table1[[#This Row],[SizeOption]])</f>
        <v>S, M, L, XL, XXL</v>
      </c>
      <c r="Y2627" t="str">
        <f>IF(Table2[[#This Row],[Column1]]&gt;50%,"HIGH DISCOUNT","LOW DISCOUNT")</f>
        <v>HIGH DISCOUNT</v>
      </c>
    </row>
    <row r="2628" spans="1:25" x14ac:dyDescent="0.25">
      <c r="A2628" s="1" t="s">
        <v>5536</v>
      </c>
      <c r="B2628" s="1">
        <v>12442032</v>
      </c>
      <c r="C2628" s="1" t="s">
        <v>620</v>
      </c>
      <c r="D2628" s="1" t="s">
        <v>34</v>
      </c>
      <c r="E2628" s="1" t="s">
        <v>2910</v>
      </c>
      <c r="F2628" s="1" t="s">
        <v>36</v>
      </c>
      <c r="G2628" s="1" t="s">
        <v>5537</v>
      </c>
      <c r="H2628">
        <v>359</v>
      </c>
      <c r="I2628" s="1">
        <v>1199</v>
      </c>
      <c r="J2628" s="1" t="s">
        <v>79</v>
      </c>
      <c r="K2628" s="1" t="s">
        <v>39</v>
      </c>
      <c r="L2628" s="1">
        <v>4.0999999999999996</v>
      </c>
      <c r="M2628" s="1">
        <v>634</v>
      </c>
      <c r="P2628" t="str">
        <f t="shared" si="167"/>
        <v>70%</v>
      </c>
      <c r="Q2628" s="12">
        <f t="shared" si="164"/>
        <v>0.7</v>
      </c>
      <c r="R2628" s="9">
        <f t="shared" si="165"/>
        <v>359.70000000000005</v>
      </c>
      <c r="S2628" s="9">
        <f>IF(R2628="",AVERAGEIF(Table1[Category],Table1[[#This Row],[Category]],Table2[orignal data]),Table2[[#This Row],[orignal data]])</f>
        <v>359.70000000000005</v>
      </c>
      <c r="T2628" t="str">
        <f t="shared" si="166"/>
        <v>UNIQUE</v>
      </c>
      <c r="U2628" t="str">
        <f>IF(ISBLANK(Table1[[#This Row],[SizeOption]]),"NOT AVAILABLE",Table1[[#This Row],[SizeOption]])</f>
        <v>S, M, L, XL, XXL</v>
      </c>
      <c r="Y2628" t="str">
        <f>IF(Table2[[#This Row],[Column1]]&gt;50%,"HIGH DISCOUNT","LOW DISCOUNT")</f>
        <v>HIGH DISCOUNT</v>
      </c>
    </row>
    <row r="2629" spans="1:25" x14ac:dyDescent="0.25">
      <c r="A2629" s="2" t="s">
        <v>5538</v>
      </c>
      <c r="B2629" s="2">
        <v>9902035</v>
      </c>
      <c r="C2629" s="2" t="s">
        <v>14</v>
      </c>
      <c r="D2629" s="2" t="s">
        <v>41</v>
      </c>
      <c r="E2629" s="2" t="s">
        <v>306</v>
      </c>
      <c r="F2629" s="2" t="s">
        <v>36</v>
      </c>
      <c r="G2629" s="2" t="s">
        <v>307</v>
      </c>
      <c r="I2629" s="2">
        <v>1099</v>
      </c>
      <c r="J2629" s="2" t="s">
        <v>55</v>
      </c>
      <c r="K2629" s="2" t="s">
        <v>115</v>
      </c>
      <c r="L2629" s="2">
        <v>4.4000000000000004</v>
      </c>
      <c r="M2629" s="2">
        <v>634</v>
      </c>
      <c r="P2629" t="str">
        <f t="shared" si="167"/>
        <v>60%</v>
      </c>
      <c r="Q2629" s="12">
        <f t="shared" si="164"/>
        <v>0.6</v>
      </c>
      <c r="R2629" s="9">
        <f t="shared" si="165"/>
        <v>439.6</v>
      </c>
      <c r="S2629" s="9">
        <f>IF(R2629="",AVERAGEIF(Table1[Category],Table1[[#This Row],[Category]],Table2[orignal data]),Table2[[#This Row],[orignal data]])</f>
        <v>439.6</v>
      </c>
      <c r="T2629" t="str">
        <f t="shared" si="166"/>
        <v>UNIQUE</v>
      </c>
      <c r="U2629" t="str">
        <f>IF(ISBLANK(Table1[[#This Row],[SizeOption]]),"NOT AVAILABLE",Table1[[#This Row],[SizeOption]])</f>
        <v>XS, S, M, L, XL, XXL</v>
      </c>
      <c r="Y2629" t="str">
        <f>IF(Table2[[#This Row],[Column1]]&gt;50%,"HIGH DISCOUNT","LOW DISCOUNT")</f>
        <v>HIGH DISCOUNT</v>
      </c>
    </row>
    <row r="2630" spans="1:25" x14ac:dyDescent="0.25">
      <c r="A2630" s="1" t="s">
        <v>5539</v>
      </c>
      <c r="B2630" s="1">
        <v>6705743</v>
      </c>
      <c r="C2630" s="1" t="s">
        <v>128</v>
      </c>
      <c r="D2630" s="1" t="s">
        <v>41</v>
      </c>
      <c r="E2630" s="1" t="s">
        <v>53</v>
      </c>
      <c r="F2630" s="1" t="s">
        <v>36</v>
      </c>
      <c r="G2630" s="1" t="s">
        <v>5540</v>
      </c>
      <c r="I2630" s="1">
        <v>1899</v>
      </c>
      <c r="J2630" s="1" t="s">
        <v>55</v>
      </c>
      <c r="K2630" s="1" t="s">
        <v>105</v>
      </c>
      <c r="L2630" s="1">
        <v>4.0999999999999996</v>
      </c>
      <c r="M2630" s="1">
        <v>634</v>
      </c>
      <c r="P2630" t="str">
        <f t="shared" si="167"/>
        <v>60%</v>
      </c>
      <c r="Q2630" s="12">
        <f t="shared" si="164"/>
        <v>0.6</v>
      </c>
      <c r="R2630" s="9">
        <f t="shared" si="165"/>
        <v>759.60000000000014</v>
      </c>
      <c r="S2630" s="9">
        <f>IF(R2630="",AVERAGEIF(Table1[Category],Table1[[#This Row],[Category]],Table2[orignal data]),Table2[[#This Row],[orignal data]])</f>
        <v>759.60000000000014</v>
      </c>
      <c r="T2630" t="str">
        <f t="shared" si="166"/>
        <v>UNIQUE</v>
      </c>
      <c r="U2630" t="str">
        <f>IF(ISBLANK(Table1[[#This Row],[SizeOption]]),"NOT AVAILABLE",Table1[[#This Row],[SizeOption]])</f>
        <v>28, 30, 32, 34</v>
      </c>
      <c r="Y2630" t="str">
        <f>IF(Table2[[#This Row],[Column1]]&gt;50%,"HIGH DISCOUNT","LOW DISCOUNT")</f>
        <v>HIGH DISCOUNT</v>
      </c>
    </row>
    <row r="2631" spans="1:25" x14ac:dyDescent="0.25">
      <c r="A2631" s="2" t="s">
        <v>5541</v>
      </c>
      <c r="B2631" s="2">
        <v>12221966</v>
      </c>
      <c r="C2631" s="2" t="s">
        <v>181</v>
      </c>
      <c r="D2631" s="2" t="s">
        <v>41</v>
      </c>
      <c r="E2631" s="2" t="s">
        <v>48</v>
      </c>
      <c r="F2631" s="2" t="s">
        <v>36</v>
      </c>
      <c r="G2631" s="2" t="s">
        <v>5542</v>
      </c>
      <c r="I2631" s="2">
        <v>899</v>
      </c>
      <c r="J2631" s="2" t="s">
        <v>84</v>
      </c>
      <c r="K2631" s="2" t="s">
        <v>45</v>
      </c>
      <c r="L2631" s="2">
        <v>4.5</v>
      </c>
      <c r="M2631" s="2">
        <v>634</v>
      </c>
      <c r="P2631" t="str">
        <f t="shared" si="167"/>
        <v>50%</v>
      </c>
      <c r="Q2631" s="12">
        <f t="shared" si="164"/>
        <v>0.5</v>
      </c>
      <c r="R2631" s="9">
        <f t="shared" si="165"/>
        <v>449.5</v>
      </c>
      <c r="S2631" s="9">
        <f>IF(R2631="",AVERAGEIF(Table1[Category],Table1[[#This Row],[Category]],Table2[orignal data]),Table2[[#This Row],[orignal data]])</f>
        <v>449.5</v>
      </c>
      <c r="T2631" t="str">
        <f t="shared" si="166"/>
        <v>UNIQUE</v>
      </c>
      <c r="U2631" t="str">
        <f>IF(ISBLANK(Table1[[#This Row],[SizeOption]]),"NOT AVAILABLE",Table1[[#This Row],[SizeOption]])</f>
        <v>XS, S, M, L, XL</v>
      </c>
      <c r="Y2631" t="str">
        <f>IF(Table2[[#This Row],[Column1]]&gt;50%,"HIGH DISCOUNT","LOW DISCOUNT")</f>
        <v>LOW DISCOUNT</v>
      </c>
    </row>
    <row r="2632" spans="1:25" x14ac:dyDescent="0.25">
      <c r="A2632" s="1" t="s">
        <v>5543</v>
      </c>
      <c r="B2632" s="1">
        <v>10906412</v>
      </c>
      <c r="C2632" s="1" t="s">
        <v>349</v>
      </c>
      <c r="D2632" s="1" t="s">
        <v>197</v>
      </c>
      <c r="E2632" s="1" t="s">
        <v>350</v>
      </c>
      <c r="F2632" s="1" t="s">
        <v>17</v>
      </c>
      <c r="G2632" s="1" t="s">
        <v>5544</v>
      </c>
      <c r="I2632" s="1">
        <v>369</v>
      </c>
      <c r="J2632" s="1"/>
      <c r="K2632" s="1" t="s">
        <v>352</v>
      </c>
      <c r="L2632" s="1">
        <v>4.5999999999999996</v>
      </c>
      <c r="M2632" s="1">
        <v>633</v>
      </c>
      <c r="P2632" t="str">
        <f t="shared" si="167"/>
        <v/>
      </c>
      <c r="Q2632" s="12" t="str">
        <f t="shared" si="164"/>
        <v/>
      </c>
      <c r="R2632" s="9" t="str">
        <f t="shared" si="165"/>
        <v/>
      </c>
      <c r="S2632" s="9">
        <f>IF(R2632="",AVERAGEIF(Table1[Category],Table1[[#This Row],[Category]],Table2[orignal data]),Table2[[#This Row],[orignal data]])</f>
        <v>552.70900000000006</v>
      </c>
      <c r="T2632" t="str">
        <f t="shared" si="166"/>
        <v>UNIQUE</v>
      </c>
      <c r="U2632" t="str">
        <f>IF(ISBLANK(Table1[[#This Row],[SizeOption]]),"NOT AVAILABLE",Table1[[#This Row],[SizeOption]])</f>
        <v>S, M, L</v>
      </c>
      <c r="Y2632" t="str">
        <f>IF(Table2[[#This Row],[Column1]]&gt;50%,"HIGH DISCOUNT","LOW DISCOUNT")</f>
        <v>HIGH DISCOUNT</v>
      </c>
    </row>
    <row r="2633" spans="1:25" x14ac:dyDescent="0.25">
      <c r="A2633" s="2" t="s">
        <v>5545</v>
      </c>
      <c r="B2633" s="2">
        <v>11638988</v>
      </c>
      <c r="C2633" s="2" t="s">
        <v>349</v>
      </c>
      <c r="D2633" s="2" t="s">
        <v>197</v>
      </c>
      <c r="E2633" s="2" t="s">
        <v>350</v>
      </c>
      <c r="F2633" s="2" t="s">
        <v>17</v>
      </c>
      <c r="G2633" s="2" t="s">
        <v>5546</v>
      </c>
      <c r="I2633" s="2">
        <v>738</v>
      </c>
      <c r="J2633" s="2"/>
      <c r="K2633" s="2" t="s">
        <v>352</v>
      </c>
      <c r="L2633" s="2">
        <v>4.5999999999999996</v>
      </c>
      <c r="M2633" s="2">
        <v>633</v>
      </c>
      <c r="P2633" t="str">
        <f t="shared" si="167"/>
        <v/>
      </c>
      <c r="Q2633" s="12" t="str">
        <f t="shared" si="164"/>
        <v/>
      </c>
      <c r="R2633" s="9" t="str">
        <f t="shared" si="165"/>
        <v/>
      </c>
      <c r="S2633" s="9">
        <f>IF(R2633="",AVERAGEIF(Table1[Category],Table1[[#This Row],[Category]],Table2[orignal data]),Table2[[#This Row],[orignal data]])</f>
        <v>552.70900000000006</v>
      </c>
      <c r="T2633" t="str">
        <f t="shared" si="166"/>
        <v>UNIQUE</v>
      </c>
      <c r="U2633" t="str">
        <f>IF(ISBLANK(Table1[[#This Row],[SizeOption]]),"NOT AVAILABLE",Table1[[#This Row],[SizeOption]])</f>
        <v>S, M, L</v>
      </c>
      <c r="Y2633" t="str">
        <f>IF(Table2[[#This Row],[Column1]]&gt;50%,"HIGH DISCOUNT","LOW DISCOUNT")</f>
        <v>HIGH DISCOUNT</v>
      </c>
    </row>
    <row r="2634" spans="1:25" x14ac:dyDescent="0.25">
      <c r="A2634" s="1" t="s">
        <v>5547</v>
      </c>
      <c r="B2634" s="1">
        <v>9445841</v>
      </c>
      <c r="C2634" s="1" t="s">
        <v>67</v>
      </c>
      <c r="D2634" s="1" t="s">
        <v>68</v>
      </c>
      <c r="E2634" s="1" t="s">
        <v>306</v>
      </c>
      <c r="F2634" s="1" t="s">
        <v>17</v>
      </c>
      <c r="G2634" s="1" t="s">
        <v>5548</v>
      </c>
      <c r="H2634">
        <v>874</v>
      </c>
      <c r="I2634" s="1">
        <v>2499</v>
      </c>
      <c r="J2634" s="1" t="s">
        <v>150</v>
      </c>
      <c r="K2634" s="1" t="s">
        <v>39</v>
      </c>
      <c r="L2634" s="1">
        <v>4.4000000000000004</v>
      </c>
      <c r="M2634" s="1">
        <v>633</v>
      </c>
      <c r="P2634" t="str">
        <f t="shared" si="167"/>
        <v>65%</v>
      </c>
      <c r="Q2634" s="12">
        <f t="shared" si="164"/>
        <v>0.65</v>
      </c>
      <c r="R2634" s="9">
        <f t="shared" si="165"/>
        <v>874.64999999999986</v>
      </c>
      <c r="S2634" s="9">
        <f>IF(R2634="",AVERAGEIF(Table1[Category],Table1[[#This Row],[Category]],Table2[orignal data]),Table2[[#This Row],[orignal data]])</f>
        <v>874.64999999999986</v>
      </c>
      <c r="T2634" t="str">
        <f t="shared" si="166"/>
        <v>UNIQUE</v>
      </c>
      <c r="U2634" t="str">
        <f>IF(ISBLANK(Table1[[#This Row],[SizeOption]]),"NOT AVAILABLE",Table1[[#This Row],[SizeOption]])</f>
        <v>S, M, L, XL, XXL</v>
      </c>
      <c r="Y2634" t="str">
        <f>IF(Table2[[#This Row],[Column1]]&gt;50%,"HIGH DISCOUNT","LOW DISCOUNT")</f>
        <v>HIGH DISCOUNT</v>
      </c>
    </row>
    <row r="2635" spans="1:25" x14ac:dyDescent="0.25">
      <c r="A2635" s="2" t="s">
        <v>5549</v>
      </c>
      <c r="B2635" s="2">
        <v>2338997</v>
      </c>
      <c r="C2635" s="2" t="s">
        <v>169</v>
      </c>
      <c r="D2635" s="2" t="s">
        <v>28</v>
      </c>
      <c r="E2635" s="2" t="s">
        <v>42</v>
      </c>
      <c r="F2635" s="2" t="s">
        <v>17</v>
      </c>
      <c r="G2635" s="2" t="s">
        <v>5550</v>
      </c>
      <c r="H2635">
        <v>499</v>
      </c>
      <c r="I2635" s="2">
        <v>999</v>
      </c>
      <c r="J2635" s="2" t="s">
        <v>84</v>
      </c>
      <c r="K2635" s="2" t="s">
        <v>39</v>
      </c>
      <c r="L2635" s="2">
        <v>4</v>
      </c>
      <c r="M2635" s="2">
        <v>633</v>
      </c>
      <c r="P2635" t="str">
        <f t="shared" si="167"/>
        <v>50%</v>
      </c>
      <c r="Q2635" s="12">
        <f t="shared" si="164"/>
        <v>0.5</v>
      </c>
      <c r="R2635" s="9">
        <f t="shared" si="165"/>
        <v>499.5</v>
      </c>
      <c r="S2635" s="9">
        <f>IF(R2635="",AVERAGEIF(Table1[Category],Table1[[#This Row],[Category]],Table2[orignal data]),Table2[[#This Row],[orignal data]])</f>
        <v>499.5</v>
      </c>
      <c r="T2635" t="str">
        <f t="shared" si="166"/>
        <v>UNIQUE</v>
      </c>
      <c r="U2635" t="str">
        <f>IF(ISBLANK(Table1[[#This Row],[SizeOption]]),"NOT AVAILABLE",Table1[[#This Row],[SizeOption]])</f>
        <v>S, M, L, XL, XXL</v>
      </c>
      <c r="Y2635" t="str">
        <f>IF(Table2[[#This Row],[Column1]]&gt;50%,"HIGH DISCOUNT","LOW DISCOUNT")</f>
        <v>LOW DISCOUNT</v>
      </c>
    </row>
    <row r="2636" spans="1:25" x14ac:dyDescent="0.25">
      <c r="A2636" s="1" t="s">
        <v>5551</v>
      </c>
      <c r="B2636" s="1">
        <v>11174498</v>
      </c>
      <c r="C2636" s="1" t="s">
        <v>97</v>
      </c>
      <c r="D2636" s="1" t="s">
        <v>76</v>
      </c>
      <c r="E2636" s="1" t="s">
        <v>148</v>
      </c>
      <c r="F2636" s="1" t="s">
        <v>36</v>
      </c>
      <c r="G2636" s="1" t="s">
        <v>5552</v>
      </c>
      <c r="H2636">
        <v>799</v>
      </c>
      <c r="I2636" s="1">
        <v>1999</v>
      </c>
      <c r="J2636" s="1" t="s">
        <v>55</v>
      </c>
      <c r="K2636" s="1" t="s">
        <v>100</v>
      </c>
      <c r="L2636" s="1">
        <v>4.0999999999999996</v>
      </c>
      <c r="M2636" s="1">
        <v>633</v>
      </c>
      <c r="P2636" t="str">
        <f t="shared" si="167"/>
        <v>60%</v>
      </c>
      <c r="Q2636" s="12">
        <f t="shared" si="164"/>
        <v>0.6</v>
      </c>
      <c r="R2636" s="9">
        <f t="shared" si="165"/>
        <v>799.60000000000014</v>
      </c>
      <c r="S2636" s="9">
        <f>IF(R2636="",AVERAGEIF(Table1[Category],Table1[[#This Row],[Category]],Table2[orignal data]),Table2[[#This Row],[orignal data]])</f>
        <v>799.60000000000014</v>
      </c>
      <c r="T2636" t="str">
        <f t="shared" si="166"/>
        <v>UNIQUE</v>
      </c>
      <c r="U2636" t="str">
        <f>IF(ISBLANK(Table1[[#This Row],[SizeOption]]),"NOT AVAILABLE",Table1[[#This Row],[SizeOption]])</f>
        <v>XS, S, M, L, XL, XXL, 3XL</v>
      </c>
      <c r="Y2636" t="str">
        <f>IF(Table2[[#This Row],[Column1]]&gt;50%,"HIGH DISCOUNT","LOW DISCOUNT")</f>
        <v>HIGH DISCOUNT</v>
      </c>
    </row>
    <row r="2637" spans="1:25" x14ac:dyDescent="0.25">
      <c r="A2637" s="2" t="s">
        <v>5553</v>
      </c>
      <c r="B2637" s="2">
        <v>12916578</v>
      </c>
      <c r="C2637" s="2" t="s">
        <v>221</v>
      </c>
      <c r="D2637" s="2" t="s">
        <v>98</v>
      </c>
      <c r="E2637" s="2" t="s">
        <v>148</v>
      </c>
      <c r="F2637" s="2" t="s">
        <v>36</v>
      </c>
      <c r="G2637" s="2" t="s">
        <v>5554</v>
      </c>
      <c r="H2637">
        <v>787</v>
      </c>
      <c r="I2637" s="2">
        <v>2249</v>
      </c>
      <c r="J2637" s="2" t="s">
        <v>150</v>
      </c>
      <c r="K2637" s="2" t="s">
        <v>223</v>
      </c>
      <c r="L2637" s="2">
        <v>3.9</v>
      </c>
      <c r="M2637" s="2">
        <v>633</v>
      </c>
      <c r="P2637" t="str">
        <f t="shared" si="167"/>
        <v>65%</v>
      </c>
      <c r="Q2637" s="12">
        <f t="shared" si="164"/>
        <v>0.65</v>
      </c>
      <c r="R2637" s="9">
        <f t="shared" si="165"/>
        <v>787.14999999999986</v>
      </c>
      <c r="S2637" s="9">
        <f>IF(R2637="",AVERAGEIF(Table1[Category],Table1[[#This Row],[Category]],Table2[orignal data]),Table2[[#This Row],[orignal data]])</f>
        <v>787.14999999999986</v>
      </c>
      <c r="T2637" t="str">
        <f t="shared" si="166"/>
        <v>UNIQUE</v>
      </c>
      <c r="U2637" t="str">
        <f>IF(ISBLANK(Table1[[#This Row],[SizeOption]]),"NOT AVAILABLE",Table1[[#This Row],[SizeOption]])</f>
        <v>S, M, L, XL, XXL, 3XL, 4XL</v>
      </c>
      <c r="Y2637" t="str">
        <f>IF(Table2[[#This Row],[Column1]]&gt;50%,"HIGH DISCOUNT","LOW DISCOUNT")</f>
        <v>HIGH DISCOUNT</v>
      </c>
    </row>
    <row r="2638" spans="1:25" x14ac:dyDescent="0.25">
      <c r="A2638" s="1" t="s">
        <v>5555</v>
      </c>
      <c r="B2638" s="1">
        <v>11844134</v>
      </c>
      <c r="C2638" s="1" t="s">
        <v>5556</v>
      </c>
      <c r="D2638" s="1" t="s">
        <v>41</v>
      </c>
      <c r="E2638" s="1" t="s">
        <v>48</v>
      </c>
      <c r="F2638" s="1" t="s">
        <v>36</v>
      </c>
      <c r="G2638" s="1" t="s">
        <v>5557</v>
      </c>
      <c r="I2638" s="1">
        <v>1395</v>
      </c>
      <c r="J2638" s="1" t="s">
        <v>282</v>
      </c>
      <c r="K2638" s="1" t="s">
        <v>45</v>
      </c>
      <c r="L2638" s="1">
        <v>4.3</v>
      </c>
      <c r="M2638" s="1">
        <v>633</v>
      </c>
      <c r="P2638" t="str">
        <f t="shared" si="167"/>
        <v>25%</v>
      </c>
      <c r="Q2638" s="12">
        <f t="shared" si="164"/>
        <v>0.25</v>
      </c>
      <c r="R2638" s="9">
        <f t="shared" si="165"/>
        <v>1046.25</v>
      </c>
      <c r="S2638" s="9">
        <f>IF(R2638="",AVERAGEIF(Table1[Category],Table1[[#This Row],[Category]],Table2[orignal data]),Table2[[#This Row],[orignal data]])</f>
        <v>1046.25</v>
      </c>
      <c r="T2638" t="str">
        <f t="shared" si="166"/>
        <v>UNIQUE</v>
      </c>
      <c r="U2638" t="str">
        <f>IF(ISBLANK(Table1[[#This Row],[SizeOption]]),"NOT AVAILABLE",Table1[[#This Row],[SizeOption]])</f>
        <v>XS, S, M, L, XL</v>
      </c>
      <c r="Y2638" t="str">
        <f>IF(Table2[[#This Row],[Column1]]&gt;50%,"HIGH DISCOUNT","LOW DISCOUNT")</f>
        <v>LOW DISCOUNT</v>
      </c>
    </row>
    <row r="2639" spans="1:25" x14ac:dyDescent="0.25">
      <c r="A2639" s="2" t="s">
        <v>5558</v>
      </c>
      <c r="B2639" s="2">
        <v>12031404</v>
      </c>
      <c r="C2639" s="2" t="s">
        <v>81</v>
      </c>
      <c r="D2639" s="2" t="s">
        <v>41</v>
      </c>
      <c r="E2639" s="2" t="s">
        <v>48</v>
      </c>
      <c r="F2639" s="2" t="s">
        <v>36</v>
      </c>
      <c r="G2639" s="2" t="s">
        <v>5559</v>
      </c>
      <c r="I2639" s="2">
        <v>1499</v>
      </c>
      <c r="J2639" s="2" t="s">
        <v>163</v>
      </c>
      <c r="K2639" s="2" t="s">
        <v>115</v>
      </c>
      <c r="L2639" s="2">
        <v>4.3</v>
      </c>
      <c r="M2639" s="2">
        <v>633</v>
      </c>
      <c r="P2639" t="str">
        <f t="shared" si="167"/>
        <v>51%</v>
      </c>
      <c r="Q2639" s="12">
        <f t="shared" si="164"/>
        <v>0.51</v>
      </c>
      <c r="R2639" s="9">
        <f t="shared" si="165"/>
        <v>734.51</v>
      </c>
      <c r="S2639" s="9">
        <f>IF(R2639="",AVERAGEIF(Table1[Category],Table1[[#This Row],[Category]],Table2[orignal data]),Table2[[#This Row],[orignal data]])</f>
        <v>734.51</v>
      </c>
      <c r="T2639" t="str">
        <f t="shared" si="166"/>
        <v>UNIQUE</v>
      </c>
      <c r="U2639" t="str">
        <f>IF(ISBLANK(Table1[[#This Row],[SizeOption]]),"NOT AVAILABLE",Table1[[#This Row],[SizeOption]])</f>
        <v>XS, S, M, L, XL, XXL</v>
      </c>
      <c r="Y2639" t="str">
        <f>IF(Table2[[#This Row],[Column1]]&gt;50%,"HIGH DISCOUNT","LOW DISCOUNT")</f>
        <v>HIGH DISCOUNT</v>
      </c>
    </row>
    <row r="2640" spans="1:25" x14ac:dyDescent="0.25">
      <c r="A2640" s="1" t="s">
        <v>5560</v>
      </c>
      <c r="B2640" s="1">
        <v>11489624</v>
      </c>
      <c r="C2640" s="1" t="s">
        <v>14</v>
      </c>
      <c r="D2640" s="1" t="s">
        <v>41</v>
      </c>
      <c r="E2640" s="1" t="s">
        <v>579</v>
      </c>
      <c r="F2640" s="1" t="s">
        <v>36</v>
      </c>
      <c r="G2640" s="1" t="s">
        <v>5561</v>
      </c>
      <c r="I2640" s="1">
        <v>1499</v>
      </c>
      <c r="J2640" s="1" t="s">
        <v>19</v>
      </c>
      <c r="K2640" s="1" t="s">
        <v>134</v>
      </c>
      <c r="L2640" s="1">
        <v>4.4000000000000004</v>
      </c>
      <c r="M2640" s="1">
        <v>633</v>
      </c>
      <c r="P2640" t="str">
        <f t="shared" si="167"/>
        <v>45%</v>
      </c>
      <c r="Q2640" s="12">
        <f t="shared" si="164"/>
        <v>0.45</v>
      </c>
      <c r="R2640" s="9">
        <f t="shared" si="165"/>
        <v>824.44999999999993</v>
      </c>
      <c r="S2640" s="9">
        <f>IF(R2640="",AVERAGEIF(Table1[Category],Table1[[#This Row],[Category]],Table2[orignal data]),Table2[[#This Row],[orignal data]])</f>
        <v>824.44999999999993</v>
      </c>
      <c r="T2640" t="str">
        <f t="shared" si="166"/>
        <v>UNIQUE</v>
      </c>
      <c r="U2640" t="str">
        <f>IF(ISBLANK(Table1[[#This Row],[SizeOption]]),"NOT AVAILABLE",Table1[[#This Row],[SizeOption]])</f>
        <v>26, 28, 30, 32, 34, 36</v>
      </c>
      <c r="Y2640" t="str">
        <f>IF(Table2[[#This Row],[Column1]]&gt;50%,"HIGH DISCOUNT","LOW DISCOUNT")</f>
        <v>LOW DISCOUNT</v>
      </c>
    </row>
    <row r="2641" spans="1:25" x14ac:dyDescent="0.25">
      <c r="A2641" s="2" t="s">
        <v>5562</v>
      </c>
      <c r="B2641" s="2">
        <v>17477814</v>
      </c>
      <c r="C2641" s="2" t="s">
        <v>107</v>
      </c>
      <c r="D2641" s="2" t="s">
        <v>41</v>
      </c>
      <c r="E2641" s="2" t="s">
        <v>42</v>
      </c>
      <c r="F2641" s="2" t="s">
        <v>36</v>
      </c>
      <c r="G2641" s="2" t="s">
        <v>5563</v>
      </c>
      <c r="I2641" s="2">
        <v>1598</v>
      </c>
      <c r="J2641" s="2" t="s">
        <v>55</v>
      </c>
      <c r="K2641" s="2" t="s">
        <v>45</v>
      </c>
      <c r="L2641" s="2">
        <v>4.2</v>
      </c>
      <c r="M2641" s="2">
        <v>633</v>
      </c>
      <c r="P2641" t="str">
        <f t="shared" si="167"/>
        <v>60%</v>
      </c>
      <c r="Q2641" s="12">
        <f t="shared" si="164"/>
        <v>0.6</v>
      </c>
      <c r="R2641" s="9">
        <f t="shared" si="165"/>
        <v>639.20000000000005</v>
      </c>
      <c r="S2641" s="9">
        <f>IF(R2641="",AVERAGEIF(Table1[Category],Table1[[#This Row],[Category]],Table2[orignal data]),Table2[[#This Row],[orignal data]])</f>
        <v>639.20000000000005</v>
      </c>
      <c r="T2641" t="str">
        <f t="shared" si="166"/>
        <v>UNIQUE</v>
      </c>
      <c r="U2641" t="str">
        <f>IF(ISBLANK(Table1[[#This Row],[SizeOption]]),"NOT AVAILABLE",Table1[[#This Row],[SizeOption]])</f>
        <v>XS, S, M, L, XL</v>
      </c>
      <c r="Y2641" t="str">
        <f>IF(Table2[[#This Row],[Column1]]&gt;50%,"HIGH DISCOUNT","LOW DISCOUNT")</f>
        <v>HIGH DISCOUNT</v>
      </c>
    </row>
    <row r="2642" spans="1:25" x14ac:dyDescent="0.25">
      <c r="A2642" s="1" t="s">
        <v>5564</v>
      </c>
      <c r="B2642" s="1">
        <v>12261676</v>
      </c>
      <c r="C2642" s="1" t="s">
        <v>102</v>
      </c>
      <c r="D2642" s="1" t="s">
        <v>41</v>
      </c>
      <c r="E2642" s="1" t="s">
        <v>16</v>
      </c>
      <c r="F2642" s="1" t="s">
        <v>36</v>
      </c>
      <c r="G2642" s="1" t="s">
        <v>5565</v>
      </c>
      <c r="I2642" s="1">
        <v>1849</v>
      </c>
      <c r="J2642" s="1" t="s">
        <v>95</v>
      </c>
      <c r="K2642" s="1" t="s">
        <v>428</v>
      </c>
      <c r="L2642" s="1">
        <v>3.9</v>
      </c>
      <c r="M2642" s="1">
        <v>633</v>
      </c>
      <c r="P2642" t="str">
        <f t="shared" si="167"/>
        <v>59%</v>
      </c>
      <c r="Q2642" s="12">
        <f t="shared" si="164"/>
        <v>0.59</v>
      </c>
      <c r="R2642" s="9">
        <f t="shared" si="165"/>
        <v>758.09000000000015</v>
      </c>
      <c r="S2642" s="9">
        <f>IF(R2642="",AVERAGEIF(Table1[Category],Table1[[#This Row],[Category]],Table2[orignal data]),Table2[[#This Row],[orignal data]])</f>
        <v>758.09000000000015</v>
      </c>
      <c r="T2642" t="str">
        <f t="shared" si="166"/>
        <v>UNIQUE</v>
      </c>
      <c r="U2642" t="str">
        <f>IF(ISBLANK(Table1[[#This Row],[SizeOption]]),"NOT AVAILABLE",Table1[[#This Row],[SizeOption]])</f>
        <v>26, 28, 30, 32, 34</v>
      </c>
      <c r="Y2642" t="str">
        <f>IF(Table2[[#This Row],[Column1]]&gt;50%,"HIGH DISCOUNT","LOW DISCOUNT")</f>
        <v>HIGH DISCOUNT</v>
      </c>
    </row>
    <row r="2643" spans="1:25" x14ac:dyDescent="0.25">
      <c r="A2643" s="2" t="s">
        <v>5566</v>
      </c>
      <c r="B2643" s="2">
        <v>9621443</v>
      </c>
      <c r="C2643" s="2" t="s">
        <v>136</v>
      </c>
      <c r="D2643" s="2" t="s">
        <v>41</v>
      </c>
      <c r="E2643" s="2" t="s">
        <v>137</v>
      </c>
      <c r="F2643" s="2" t="s">
        <v>36</v>
      </c>
      <c r="G2643" s="2" t="s">
        <v>2509</v>
      </c>
      <c r="I2643" s="2">
        <v>799</v>
      </c>
      <c r="J2643" s="2" t="s">
        <v>1204</v>
      </c>
      <c r="K2643" s="2" t="s">
        <v>20</v>
      </c>
      <c r="L2643" s="2">
        <v>3.9</v>
      </c>
      <c r="M2643" s="2">
        <v>633</v>
      </c>
      <c r="P2643" t="str">
        <f t="shared" si="167"/>
        <v>56%</v>
      </c>
      <c r="Q2643" s="12">
        <f t="shared" si="164"/>
        <v>0.56000000000000005</v>
      </c>
      <c r="R2643" s="9">
        <f t="shared" si="165"/>
        <v>351.55999999999995</v>
      </c>
      <c r="S2643" s="9">
        <f>IF(R2643="",AVERAGEIF(Table1[Category],Table1[[#This Row],[Category]],Table2[orignal data]),Table2[[#This Row],[orignal data]])</f>
        <v>351.55999999999995</v>
      </c>
      <c r="T2643" t="str">
        <f t="shared" si="166"/>
        <v>UNIQUE</v>
      </c>
      <c r="U2643" t="str">
        <f>IF(ISBLANK(Table1[[#This Row],[SizeOption]]),"NOT AVAILABLE",Table1[[#This Row],[SizeOption]])</f>
        <v>28, 30, 32, 34, 36</v>
      </c>
      <c r="Y2643" t="str">
        <f>IF(Table2[[#This Row],[Column1]]&gt;50%,"HIGH DISCOUNT","LOW DISCOUNT")</f>
        <v>HIGH DISCOUNT</v>
      </c>
    </row>
    <row r="2644" spans="1:25" x14ac:dyDescent="0.25">
      <c r="A2644" s="1" t="s">
        <v>5567</v>
      </c>
      <c r="B2644" s="1">
        <v>11903970</v>
      </c>
      <c r="C2644" s="1" t="s">
        <v>14</v>
      </c>
      <c r="D2644" s="1" t="s">
        <v>28</v>
      </c>
      <c r="E2644" s="1" t="s">
        <v>29</v>
      </c>
      <c r="F2644" s="1" t="s">
        <v>17</v>
      </c>
      <c r="G2644" s="1" t="s">
        <v>609</v>
      </c>
      <c r="H2644">
        <v>599</v>
      </c>
      <c r="I2644" s="1">
        <v>1199</v>
      </c>
      <c r="J2644" s="1" t="s">
        <v>84</v>
      </c>
      <c r="K2644" s="1" t="s">
        <v>253</v>
      </c>
      <c r="L2644" s="1">
        <v>4.2</v>
      </c>
      <c r="M2644" s="1">
        <v>632</v>
      </c>
      <c r="P2644" t="str">
        <f t="shared" si="167"/>
        <v>50%</v>
      </c>
      <c r="Q2644" s="12">
        <f t="shared" si="164"/>
        <v>0.5</v>
      </c>
      <c r="R2644" s="9">
        <f t="shared" si="165"/>
        <v>599.5</v>
      </c>
      <c r="S2644" s="9">
        <f>IF(R2644="",AVERAGEIF(Table1[Category],Table1[[#This Row],[Category]],Table2[orignal data]),Table2[[#This Row],[orignal data]])</f>
        <v>599.5</v>
      </c>
      <c r="T2644" t="str">
        <f t="shared" si="166"/>
        <v>UNIQUE</v>
      </c>
      <c r="U2644" t="str">
        <f>IF(ISBLANK(Table1[[#This Row],[SizeOption]]),"NOT AVAILABLE",Table1[[#This Row],[SizeOption]])</f>
        <v>38, 40, 42, 44</v>
      </c>
      <c r="Y2644" t="str">
        <f>IF(Table2[[#This Row],[Column1]]&gt;50%,"HIGH DISCOUNT","LOW DISCOUNT")</f>
        <v>LOW DISCOUNT</v>
      </c>
    </row>
    <row r="2645" spans="1:25" x14ac:dyDescent="0.25">
      <c r="A2645" s="2" t="s">
        <v>5568</v>
      </c>
      <c r="B2645" s="2">
        <v>11758158</v>
      </c>
      <c r="C2645" s="2" t="s">
        <v>64</v>
      </c>
      <c r="D2645" s="2" t="s">
        <v>28</v>
      </c>
      <c r="E2645" s="2" t="s">
        <v>29</v>
      </c>
      <c r="F2645" s="2" t="s">
        <v>17</v>
      </c>
      <c r="G2645" s="2" t="s">
        <v>5569</v>
      </c>
      <c r="H2645">
        <v>922</v>
      </c>
      <c r="I2645" s="2">
        <v>2049</v>
      </c>
      <c r="J2645" s="2" t="s">
        <v>25</v>
      </c>
      <c r="K2645" s="2" t="s">
        <v>361</v>
      </c>
      <c r="L2645" s="2">
        <v>4.3</v>
      </c>
      <c r="M2645" s="2">
        <v>632</v>
      </c>
      <c r="P2645" t="str">
        <f t="shared" si="167"/>
        <v>55%</v>
      </c>
      <c r="Q2645" s="12">
        <f t="shared" si="164"/>
        <v>0.55000000000000004</v>
      </c>
      <c r="R2645" s="9">
        <f t="shared" si="165"/>
        <v>922.05</v>
      </c>
      <c r="S2645" s="9">
        <f>IF(R2645="",AVERAGEIF(Table1[Category],Table1[[#This Row],[Category]],Table2[orignal data]),Table2[[#This Row],[orignal data]])</f>
        <v>922.05</v>
      </c>
      <c r="T2645" t="str">
        <f t="shared" si="166"/>
        <v>UNIQUE</v>
      </c>
      <c r="U2645" t="str">
        <f>IF(ISBLANK(Table1[[#This Row],[SizeOption]]),"NOT AVAILABLE",Table1[[#This Row],[SizeOption]])</f>
        <v>38, 40, 42, 44, 46</v>
      </c>
      <c r="Y2645" t="str">
        <f>IF(Table2[[#This Row],[Column1]]&gt;50%,"HIGH DISCOUNT","LOW DISCOUNT")</f>
        <v>HIGH DISCOUNT</v>
      </c>
    </row>
    <row r="2646" spans="1:25" x14ac:dyDescent="0.25">
      <c r="A2646" s="1" t="s">
        <v>5570</v>
      </c>
      <c r="B2646" s="1">
        <v>2338889</v>
      </c>
      <c r="C2646" s="1" t="s">
        <v>169</v>
      </c>
      <c r="D2646" s="1" t="s">
        <v>28</v>
      </c>
      <c r="E2646" s="1" t="s">
        <v>42</v>
      </c>
      <c r="F2646" s="1" t="s">
        <v>17</v>
      </c>
      <c r="G2646" s="1" t="s">
        <v>457</v>
      </c>
      <c r="H2646">
        <v>449</v>
      </c>
      <c r="I2646" s="1">
        <v>899</v>
      </c>
      <c r="J2646" s="1" t="s">
        <v>84</v>
      </c>
      <c r="K2646" s="1" t="s">
        <v>39</v>
      </c>
      <c r="L2646" s="1">
        <v>4.3</v>
      </c>
      <c r="M2646" s="1">
        <v>632</v>
      </c>
      <c r="P2646" t="str">
        <f t="shared" si="167"/>
        <v>50%</v>
      </c>
      <c r="Q2646" s="12">
        <f t="shared" si="164"/>
        <v>0.5</v>
      </c>
      <c r="R2646" s="9">
        <f t="shared" si="165"/>
        <v>449.5</v>
      </c>
      <c r="S2646" s="9">
        <f>IF(R2646="",AVERAGEIF(Table1[Category],Table1[[#This Row],[Category]],Table2[orignal data]),Table2[[#This Row],[orignal data]])</f>
        <v>449.5</v>
      </c>
      <c r="T2646" t="str">
        <f t="shared" si="166"/>
        <v>UNIQUE</v>
      </c>
      <c r="U2646" t="str">
        <f>IF(ISBLANK(Table1[[#This Row],[SizeOption]]),"NOT AVAILABLE",Table1[[#This Row],[SizeOption]])</f>
        <v>S, M, L, XL, XXL</v>
      </c>
      <c r="Y2646" t="str">
        <f>IF(Table2[[#This Row],[Column1]]&gt;50%,"HIGH DISCOUNT","LOW DISCOUNT")</f>
        <v>LOW DISCOUNT</v>
      </c>
    </row>
    <row r="2647" spans="1:25" x14ac:dyDescent="0.25">
      <c r="A2647" s="2" t="s">
        <v>5571</v>
      </c>
      <c r="B2647" s="2">
        <v>2339240</v>
      </c>
      <c r="C2647" s="2" t="s">
        <v>169</v>
      </c>
      <c r="D2647" s="2" t="s">
        <v>28</v>
      </c>
      <c r="E2647" s="2" t="s">
        <v>42</v>
      </c>
      <c r="F2647" s="2" t="s">
        <v>17</v>
      </c>
      <c r="G2647" s="2" t="s">
        <v>5572</v>
      </c>
      <c r="H2647">
        <v>599</v>
      </c>
      <c r="I2647" s="2">
        <v>999</v>
      </c>
      <c r="J2647" s="2" t="s">
        <v>50</v>
      </c>
      <c r="K2647" s="2" t="s">
        <v>39</v>
      </c>
      <c r="L2647" s="2">
        <v>4.2</v>
      </c>
      <c r="M2647" s="2">
        <v>632</v>
      </c>
      <c r="P2647" t="str">
        <f t="shared" si="167"/>
        <v>40%</v>
      </c>
      <c r="Q2647" s="12">
        <f t="shared" si="164"/>
        <v>0.4</v>
      </c>
      <c r="R2647" s="9">
        <f t="shared" si="165"/>
        <v>599.4</v>
      </c>
      <c r="S2647" s="9">
        <f>IF(R2647="",AVERAGEIF(Table1[Category],Table1[[#This Row],[Category]],Table2[orignal data]),Table2[[#This Row],[orignal data]])</f>
        <v>599.4</v>
      </c>
      <c r="T2647" t="str">
        <f t="shared" si="166"/>
        <v>UNIQUE</v>
      </c>
      <c r="U2647" t="str">
        <f>IF(ISBLANK(Table1[[#This Row],[SizeOption]]),"NOT AVAILABLE",Table1[[#This Row],[SizeOption]])</f>
        <v>S, M, L, XL, XXL</v>
      </c>
      <c r="Y2647" t="str">
        <f>IF(Table2[[#This Row],[Column1]]&gt;50%,"HIGH DISCOUNT","LOW DISCOUNT")</f>
        <v>LOW DISCOUNT</v>
      </c>
    </row>
    <row r="2648" spans="1:25" x14ac:dyDescent="0.25">
      <c r="A2648" s="1" t="s">
        <v>5573</v>
      </c>
      <c r="B2648" s="1">
        <v>12705418</v>
      </c>
      <c r="C2648" s="1" t="s">
        <v>2306</v>
      </c>
      <c r="D2648" s="1" t="s">
        <v>76</v>
      </c>
      <c r="E2648" s="1" t="s">
        <v>93</v>
      </c>
      <c r="F2648" s="1" t="s">
        <v>36</v>
      </c>
      <c r="G2648" s="1" t="s">
        <v>5574</v>
      </c>
      <c r="H2648">
        <v>609</v>
      </c>
      <c r="I2648" s="1">
        <v>1647</v>
      </c>
      <c r="J2648" s="1" t="s">
        <v>476</v>
      </c>
      <c r="K2648" s="1" t="s">
        <v>234</v>
      </c>
      <c r="L2648" s="1">
        <v>3.9</v>
      </c>
      <c r="M2648" s="1">
        <v>632</v>
      </c>
      <c r="P2648" t="str">
        <f t="shared" si="167"/>
        <v>63%</v>
      </c>
      <c r="Q2648" s="12">
        <f t="shared" si="164"/>
        <v>0.63</v>
      </c>
      <c r="R2648" s="9">
        <f t="shared" si="165"/>
        <v>609.3900000000001</v>
      </c>
      <c r="S2648" s="9">
        <f>IF(R2648="",AVERAGEIF(Table1[Category],Table1[[#This Row],[Category]],Table2[orignal data]),Table2[[#This Row],[orignal data]])</f>
        <v>609.3900000000001</v>
      </c>
      <c r="T2648" t="str">
        <f t="shared" si="166"/>
        <v>UNIQUE</v>
      </c>
      <c r="U2648" t="str">
        <f>IF(ISBLANK(Table1[[#This Row],[SizeOption]]),"NOT AVAILABLE",Table1[[#This Row],[SizeOption]])</f>
        <v>S, M, L, XL, XXL, 3XL</v>
      </c>
      <c r="Y2648" t="str">
        <f>IF(Table2[[#This Row],[Column1]]&gt;50%,"HIGH DISCOUNT","LOW DISCOUNT")</f>
        <v>HIGH DISCOUNT</v>
      </c>
    </row>
    <row r="2649" spans="1:25" x14ac:dyDescent="0.25">
      <c r="A2649" s="2" t="s">
        <v>5575</v>
      </c>
      <c r="B2649" s="2">
        <v>10561370</v>
      </c>
      <c r="C2649" s="2" t="s">
        <v>97</v>
      </c>
      <c r="D2649" s="2" t="s">
        <v>76</v>
      </c>
      <c r="E2649" s="2" t="s">
        <v>148</v>
      </c>
      <c r="F2649" s="2" t="s">
        <v>36</v>
      </c>
      <c r="G2649" s="2" t="s">
        <v>5576</v>
      </c>
      <c r="H2649">
        <v>1124</v>
      </c>
      <c r="I2649" s="2">
        <v>2499</v>
      </c>
      <c r="J2649" s="2" t="s">
        <v>25</v>
      </c>
      <c r="K2649" s="2" t="s">
        <v>100</v>
      </c>
      <c r="L2649" s="2">
        <v>4.4000000000000004</v>
      </c>
      <c r="M2649" s="2">
        <v>632</v>
      </c>
      <c r="P2649" t="str">
        <f t="shared" si="167"/>
        <v>55%</v>
      </c>
      <c r="Q2649" s="12">
        <f t="shared" si="164"/>
        <v>0.55000000000000004</v>
      </c>
      <c r="R2649" s="9">
        <f t="shared" si="165"/>
        <v>1124.55</v>
      </c>
      <c r="S2649" s="9">
        <f>IF(R2649="",AVERAGEIF(Table1[Category],Table1[[#This Row],[Category]],Table2[orignal data]),Table2[[#This Row],[orignal data]])</f>
        <v>1124.55</v>
      </c>
      <c r="T2649" t="str">
        <f t="shared" si="166"/>
        <v>UNIQUE</v>
      </c>
      <c r="U2649" t="str">
        <f>IF(ISBLANK(Table1[[#This Row],[SizeOption]]),"NOT AVAILABLE",Table1[[#This Row],[SizeOption]])</f>
        <v>XS, S, M, L, XL, XXL, 3XL</v>
      </c>
      <c r="Y2649" t="str">
        <f>IF(Table2[[#This Row],[Column1]]&gt;50%,"HIGH DISCOUNT","LOW DISCOUNT")</f>
        <v>HIGH DISCOUNT</v>
      </c>
    </row>
    <row r="2650" spans="1:25" x14ac:dyDescent="0.25">
      <c r="A2650" s="1" t="s">
        <v>5577</v>
      </c>
      <c r="B2650" s="1">
        <v>9719075</v>
      </c>
      <c r="C2650" s="1" t="s">
        <v>2408</v>
      </c>
      <c r="D2650" s="1" t="s">
        <v>76</v>
      </c>
      <c r="E2650" s="1" t="s">
        <v>77</v>
      </c>
      <c r="F2650" s="1" t="s">
        <v>36</v>
      </c>
      <c r="G2650" s="1" t="s">
        <v>5578</v>
      </c>
      <c r="H2650">
        <v>1275</v>
      </c>
      <c r="I2650" s="1">
        <v>2899</v>
      </c>
      <c r="J2650" s="1" t="s">
        <v>1204</v>
      </c>
      <c r="K2650" s="1" t="s">
        <v>39</v>
      </c>
      <c r="L2650" s="1">
        <v>4.2</v>
      </c>
      <c r="M2650" s="1">
        <v>632</v>
      </c>
      <c r="P2650" t="str">
        <f t="shared" si="167"/>
        <v>56%</v>
      </c>
      <c r="Q2650" s="12">
        <f t="shared" si="164"/>
        <v>0.56000000000000005</v>
      </c>
      <c r="R2650" s="9">
        <f t="shared" si="165"/>
        <v>1275.56</v>
      </c>
      <c r="S2650" s="9">
        <f>IF(R2650="",AVERAGEIF(Table1[Category],Table1[[#This Row],[Category]],Table2[orignal data]),Table2[[#This Row],[orignal data]])</f>
        <v>1275.56</v>
      </c>
      <c r="T2650" t="str">
        <f t="shared" si="166"/>
        <v>UNIQUE</v>
      </c>
      <c r="U2650" t="str">
        <f>IF(ISBLANK(Table1[[#This Row],[SizeOption]]),"NOT AVAILABLE",Table1[[#This Row],[SizeOption]])</f>
        <v>S, M, L, XL, XXL</v>
      </c>
      <c r="Y2650" t="str">
        <f>IF(Table2[[#This Row],[Column1]]&gt;50%,"HIGH DISCOUNT","LOW DISCOUNT")</f>
        <v>HIGH DISCOUNT</v>
      </c>
    </row>
    <row r="2651" spans="1:25" x14ac:dyDescent="0.25">
      <c r="A2651" s="2" t="s">
        <v>5579</v>
      </c>
      <c r="B2651" s="2">
        <v>12789914</v>
      </c>
      <c r="C2651" s="2" t="s">
        <v>102</v>
      </c>
      <c r="D2651" s="2" t="s">
        <v>41</v>
      </c>
      <c r="E2651" s="2" t="s">
        <v>148</v>
      </c>
      <c r="F2651" s="2" t="s">
        <v>36</v>
      </c>
      <c r="G2651" s="2" t="s">
        <v>5580</v>
      </c>
      <c r="I2651" s="2">
        <v>1749</v>
      </c>
      <c r="J2651" s="2" t="s">
        <v>60</v>
      </c>
      <c r="K2651" s="2" t="s">
        <v>26</v>
      </c>
      <c r="L2651" s="2">
        <v>4.5999999999999996</v>
      </c>
      <c r="M2651" s="2">
        <v>632</v>
      </c>
      <c r="P2651" t="str">
        <f t="shared" si="167"/>
        <v>58%</v>
      </c>
      <c r="Q2651" s="12">
        <f t="shared" si="164"/>
        <v>0.57999999999999996</v>
      </c>
      <c r="R2651" s="9">
        <f t="shared" si="165"/>
        <v>734.58</v>
      </c>
      <c r="S2651" s="9">
        <f>IF(R2651="",AVERAGEIF(Table1[Category],Table1[[#This Row],[Category]],Table2[orignal data]),Table2[[#This Row],[orignal data]])</f>
        <v>734.58</v>
      </c>
      <c r="T2651" t="str">
        <f t="shared" si="166"/>
        <v>UNIQUE</v>
      </c>
      <c r="U2651" t="str">
        <f>IF(ISBLANK(Table1[[#This Row],[SizeOption]]),"NOT AVAILABLE",Table1[[#This Row],[SizeOption]])</f>
        <v>S, M, L, XL</v>
      </c>
      <c r="Y2651" t="str">
        <f>IF(Table2[[#This Row],[Column1]]&gt;50%,"HIGH DISCOUNT","LOW DISCOUNT")</f>
        <v>HIGH DISCOUNT</v>
      </c>
    </row>
    <row r="2652" spans="1:25" x14ac:dyDescent="0.25">
      <c r="A2652" s="1" t="s">
        <v>5581</v>
      </c>
      <c r="B2652" s="1">
        <v>8856721</v>
      </c>
      <c r="C2652" s="1" t="s">
        <v>155</v>
      </c>
      <c r="D2652" s="1" t="s">
        <v>41</v>
      </c>
      <c r="E2652" s="1" t="s">
        <v>148</v>
      </c>
      <c r="F2652" s="1" t="s">
        <v>36</v>
      </c>
      <c r="G2652" s="1" t="s">
        <v>5582</v>
      </c>
      <c r="I2652" s="1">
        <v>1786</v>
      </c>
      <c r="J2652" s="1" t="s">
        <v>25</v>
      </c>
      <c r="K2652" s="1" t="s">
        <v>45</v>
      </c>
      <c r="L2652" s="1">
        <v>4.5</v>
      </c>
      <c r="M2652" s="1">
        <v>632</v>
      </c>
      <c r="P2652" t="str">
        <f t="shared" si="167"/>
        <v>55%</v>
      </c>
      <c r="Q2652" s="12">
        <f t="shared" si="164"/>
        <v>0.55000000000000004</v>
      </c>
      <c r="R2652" s="9">
        <f t="shared" si="165"/>
        <v>803.69999999999993</v>
      </c>
      <c r="S2652" s="9">
        <f>IF(R2652="",AVERAGEIF(Table1[Category],Table1[[#This Row],[Category]],Table2[orignal data]),Table2[[#This Row],[orignal data]])</f>
        <v>803.69999999999993</v>
      </c>
      <c r="T2652" t="str">
        <f t="shared" si="166"/>
        <v>UNIQUE</v>
      </c>
      <c r="U2652" t="str">
        <f>IF(ISBLANK(Table1[[#This Row],[SizeOption]]),"NOT AVAILABLE",Table1[[#This Row],[SizeOption]])</f>
        <v>XS, S, M, L, XL</v>
      </c>
      <c r="Y2652" t="str">
        <f>IF(Table2[[#This Row],[Column1]]&gt;50%,"HIGH DISCOUNT","LOW DISCOUNT")</f>
        <v>HIGH DISCOUNT</v>
      </c>
    </row>
    <row r="2653" spans="1:25" x14ac:dyDescent="0.25">
      <c r="A2653" s="2" t="s">
        <v>5583</v>
      </c>
      <c r="B2653" s="2">
        <v>10778632</v>
      </c>
      <c r="C2653" s="2" t="s">
        <v>14</v>
      </c>
      <c r="D2653" s="2" t="s">
        <v>41</v>
      </c>
      <c r="E2653" s="2" t="s">
        <v>42</v>
      </c>
      <c r="F2653" s="2" t="s">
        <v>36</v>
      </c>
      <c r="G2653" s="2" t="s">
        <v>1435</v>
      </c>
      <c r="I2653" s="2">
        <v>499</v>
      </c>
      <c r="J2653" s="2" t="s">
        <v>50</v>
      </c>
      <c r="K2653" s="2" t="s">
        <v>45</v>
      </c>
      <c r="L2653" s="2">
        <v>4.3</v>
      </c>
      <c r="M2653" s="2">
        <v>632</v>
      </c>
      <c r="P2653" t="str">
        <f t="shared" si="167"/>
        <v>40%</v>
      </c>
      <c r="Q2653" s="12">
        <f t="shared" si="164"/>
        <v>0.4</v>
      </c>
      <c r="R2653" s="9">
        <f t="shared" si="165"/>
        <v>299.39999999999998</v>
      </c>
      <c r="S2653" s="9">
        <f>IF(R2653="",AVERAGEIF(Table1[Category],Table1[[#This Row],[Category]],Table2[orignal data]),Table2[[#This Row],[orignal data]])</f>
        <v>299.39999999999998</v>
      </c>
      <c r="T2653" t="str">
        <f t="shared" si="166"/>
        <v>UNIQUE</v>
      </c>
      <c r="U2653" t="str">
        <f>IF(ISBLANK(Table1[[#This Row],[SizeOption]]),"NOT AVAILABLE",Table1[[#This Row],[SizeOption]])</f>
        <v>XS, S, M, L, XL</v>
      </c>
      <c r="Y2653" t="str">
        <f>IF(Table2[[#This Row],[Column1]]&gt;50%,"HIGH DISCOUNT","LOW DISCOUNT")</f>
        <v>LOW DISCOUNT</v>
      </c>
    </row>
    <row r="2654" spans="1:25" x14ac:dyDescent="0.25">
      <c r="A2654" s="1" t="s">
        <v>5584</v>
      </c>
      <c r="B2654" s="1">
        <v>11399196</v>
      </c>
      <c r="C2654" s="1" t="s">
        <v>1176</v>
      </c>
      <c r="D2654" s="1" t="s">
        <v>15</v>
      </c>
      <c r="E2654" s="1" t="s">
        <v>137</v>
      </c>
      <c r="F2654" s="1" t="s">
        <v>17</v>
      </c>
      <c r="G2654" s="1" t="s">
        <v>5585</v>
      </c>
      <c r="H2654">
        <v>441</v>
      </c>
      <c r="I2654" s="1">
        <v>919</v>
      </c>
      <c r="J2654" s="1" t="s">
        <v>208</v>
      </c>
      <c r="K2654" s="1" t="s">
        <v>5025</v>
      </c>
      <c r="L2654" s="1">
        <v>3.9</v>
      </c>
      <c r="M2654" s="1">
        <v>631</v>
      </c>
      <c r="P2654" t="str">
        <f t="shared" si="167"/>
        <v>52%</v>
      </c>
      <c r="Q2654" s="12">
        <f t="shared" si="164"/>
        <v>0.52</v>
      </c>
      <c r="R2654" s="9">
        <f t="shared" si="165"/>
        <v>441.12</v>
      </c>
      <c r="S2654" s="9">
        <f>IF(R2654="",AVERAGEIF(Table1[Category],Table1[[#This Row],[Category]],Table2[orignal data]),Table2[[#This Row],[orignal data]])</f>
        <v>441.12</v>
      </c>
      <c r="T2654" t="str">
        <f t="shared" si="166"/>
        <v>UNIQUE</v>
      </c>
      <c r="U2654" t="str">
        <f>IF(ISBLANK(Table1[[#This Row],[SizeOption]]),"NOT AVAILABLE",Table1[[#This Row],[SizeOption]])</f>
        <v>32, 34, 36</v>
      </c>
      <c r="Y2654" t="str">
        <f>IF(Table2[[#This Row],[Column1]]&gt;50%,"HIGH DISCOUNT","LOW DISCOUNT")</f>
        <v>HIGH DISCOUNT</v>
      </c>
    </row>
    <row r="2655" spans="1:25" x14ac:dyDescent="0.25">
      <c r="A2655" s="2" t="s">
        <v>5586</v>
      </c>
      <c r="B2655" s="2">
        <v>8064673</v>
      </c>
      <c r="C2655" s="2" t="s">
        <v>22</v>
      </c>
      <c r="D2655" s="2" t="s">
        <v>15</v>
      </c>
      <c r="E2655" s="2" t="s">
        <v>16</v>
      </c>
      <c r="F2655" s="2" t="s">
        <v>17</v>
      </c>
      <c r="G2655" s="2" t="s">
        <v>5587</v>
      </c>
      <c r="H2655">
        <v>832</v>
      </c>
      <c r="I2655" s="2">
        <v>2449</v>
      </c>
      <c r="J2655" s="2" t="s">
        <v>403</v>
      </c>
      <c r="K2655" s="2" t="s">
        <v>56</v>
      </c>
      <c r="L2655" s="2">
        <v>3.8</v>
      </c>
      <c r="M2655" s="2">
        <v>631</v>
      </c>
      <c r="P2655" t="str">
        <f t="shared" si="167"/>
        <v>66%</v>
      </c>
      <c r="Q2655" s="12">
        <f t="shared" si="164"/>
        <v>0.66</v>
      </c>
      <c r="R2655" s="9">
        <f t="shared" si="165"/>
        <v>832.65999999999985</v>
      </c>
      <c r="S2655" s="9">
        <f>IF(R2655="",AVERAGEIF(Table1[Category],Table1[[#This Row],[Category]],Table2[orignal data]),Table2[[#This Row],[orignal data]])</f>
        <v>832.65999999999985</v>
      </c>
      <c r="T2655" t="str">
        <f t="shared" si="166"/>
        <v>UNIQUE</v>
      </c>
      <c r="U2655" t="str">
        <f>IF(ISBLANK(Table1[[#This Row],[SizeOption]]),"NOT AVAILABLE",Table1[[#This Row],[SizeOption]])</f>
        <v>30, 32, 34, 36</v>
      </c>
      <c r="Y2655" t="str">
        <f>IF(Table2[[#This Row],[Column1]]&gt;50%,"HIGH DISCOUNT","LOW DISCOUNT")</f>
        <v>HIGH DISCOUNT</v>
      </c>
    </row>
    <row r="2656" spans="1:25" x14ac:dyDescent="0.25">
      <c r="A2656" s="1" t="s">
        <v>5588</v>
      </c>
      <c r="B2656" s="1">
        <v>8962415</v>
      </c>
      <c r="C2656" s="1" t="s">
        <v>14</v>
      </c>
      <c r="D2656" s="1" t="s">
        <v>15</v>
      </c>
      <c r="E2656" s="1" t="s">
        <v>16</v>
      </c>
      <c r="F2656" s="1" t="s">
        <v>17</v>
      </c>
      <c r="G2656" s="1" t="s">
        <v>478</v>
      </c>
      <c r="H2656">
        <v>799</v>
      </c>
      <c r="I2656" s="1">
        <v>1999</v>
      </c>
      <c r="J2656" s="1" t="s">
        <v>55</v>
      </c>
      <c r="K2656" s="1" t="s">
        <v>134</v>
      </c>
      <c r="L2656" s="1">
        <v>3.9</v>
      </c>
      <c r="M2656" s="1">
        <v>631</v>
      </c>
      <c r="P2656" t="str">
        <f t="shared" si="167"/>
        <v>60%</v>
      </c>
      <c r="Q2656" s="12">
        <f t="shared" si="164"/>
        <v>0.6</v>
      </c>
      <c r="R2656" s="9">
        <f t="shared" si="165"/>
        <v>799.60000000000014</v>
      </c>
      <c r="S2656" s="9">
        <f>IF(R2656="",AVERAGEIF(Table1[Category],Table1[[#This Row],[Category]],Table2[orignal data]),Table2[[#This Row],[orignal data]])</f>
        <v>799.60000000000014</v>
      </c>
      <c r="T2656" t="str">
        <f t="shared" si="166"/>
        <v>UNIQUE</v>
      </c>
      <c r="U2656" t="str">
        <f>IF(ISBLANK(Table1[[#This Row],[SizeOption]]),"NOT AVAILABLE",Table1[[#This Row],[SizeOption]])</f>
        <v>26, 28, 30, 32, 34, 36</v>
      </c>
      <c r="Y2656" t="str">
        <f>IF(Table2[[#This Row],[Column1]]&gt;50%,"HIGH DISCOUNT","LOW DISCOUNT")</f>
        <v>HIGH DISCOUNT</v>
      </c>
    </row>
    <row r="2657" spans="1:25" x14ac:dyDescent="0.25">
      <c r="A2657" s="2" t="s">
        <v>5589</v>
      </c>
      <c r="B2657" s="2">
        <v>10863412</v>
      </c>
      <c r="C2657" s="2" t="s">
        <v>52</v>
      </c>
      <c r="D2657" s="2" t="s">
        <v>15</v>
      </c>
      <c r="E2657" s="2" t="s">
        <v>53</v>
      </c>
      <c r="F2657" s="2" t="s">
        <v>17</v>
      </c>
      <c r="G2657" s="2" t="s">
        <v>5590</v>
      </c>
      <c r="H2657">
        <v>607</v>
      </c>
      <c r="I2657" s="2">
        <v>1599</v>
      </c>
      <c r="J2657" s="2" t="s">
        <v>126</v>
      </c>
      <c r="K2657" s="2" t="s">
        <v>56</v>
      </c>
      <c r="L2657" s="2">
        <v>4</v>
      </c>
      <c r="M2657" s="2">
        <v>631</v>
      </c>
      <c r="P2657" t="str">
        <f t="shared" si="167"/>
        <v>62%</v>
      </c>
      <c r="Q2657" s="12">
        <f t="shared" si="164"/>
        <v>0.62</v>
      </c>
      <c r="R2657" s="9">
        <f t="shared" si="165"/>
        <v>607.62</v>
      </c>
      <c r="S2657" s="9">
        <f>IF(R2657="",AVERAGEIF(Table1[Category],Table1[[#This Row],[Category]],Table2[orignal data]),Table2[[#This Row],[orignal data]])</f>
        <v>607.62</v>
      </c>
      <c r="T2657" t="str">
        <f t="shared" si="166"/>
        <v>UNIQUE</v>
      </c>
      <c r="U2657" t="str">
        <f>IF(ISBLANK(Table1[[#This Row],[SizeOption]]),"NOT AVAILABLE",Table1[[#This Row],[SizeOption]])</f>
        <v>30, 32, 34, 36</v>
      </c>
      <c r="Y2657" t="str">
        <f>IF(Table2[[#This Row],[Column1]]&gt;50%,"HIGH DISCOUNT","LOW DISCOUNT")</f>
        <v>HIGH DISCOUNT</v>
      </c>
    </row>
    <row r="2658" spans="1:25" x14ac:dyDescent="0.25">
      <c r="A2658" s="1" t="s">
        <v>5591</v>
      </c>
      <c r="B2658" s="1">
        <v>11444368</v>
      </c>
      <c r="C2658" s="1" t="s">
        <v>349</v>
      </c>
      <c r="D2658" s="1" t="s">
        <v>197</v>
      </c>
      <c r="E2658" s="1" t="s">
        <v>350</v>
      </c>
      <c r="F2658" s="1" t="s">
        <v>17</v>
      </c>
      <c r="G2658" s="1" t="s">
        <v>5592</v>
      </c>
      <c r="I2658" s="1">
        <v>599</v>
      </c>
      <c r="J2658" s="1"/>
      <c r="K2658" s="1" t="s">
        <v>352</v>
      </c>
      <c r="L2658" s="1">
        <v>4.5999999999999996</v>
      </c>
      <c r="M2658" s="1">
        <v>631</v>
      </c>
      <c r="P2658" t="str">
        <f t="shared" si="167"/>
        <v/>
      </c>
      <c r="Q2658" s="12" t="str">
        <f t="shared" si="164"/>
        <v/>
      </c>
      <c r="R2658" s="9" t="str">
        <f t="shared" si="165"/>
        <v/>
      </c>
      <c r="S2658" s="9">
        <f>IF(R2658="",AVERAGEIF(Table1[Category],Table1[[#This Row],[Category]],Table2[orignal data]),Table2[[#This Row],[orignal data]])</f>
        <v>552.70900000000006</v>
      </c>
      <c r="T2658" t="str">
        <f t="shared" si="166"/>
        <v>UNIQUE</v>
      </c>
      <c r="U2658" t="str">
        <f>IF(ISBLANK(Table1[[#This Row],[SizeOption]]),"NOT AVAILABLE",Table1[[#This Row],[SizeOption]])</f>
        <v>S, M, L</v>
      </c>
      <c r="Y2658" t="str">
        <f>IF(Table2[[#This Row],[Column1]]&gt;50%,"HIGH DISCOUNT","LOW DISCOUNT")</f>
        <v>HIGH DISCOUNT</v>
      </c>
    </row>
    <row r="2659" spans="1:25" x14ac:dyDescent="0.25">
      <c r="A2659" s="2" t="s">
        <v>5593</v>
      </c>
      <c r="B2659" s="2">
        <v>12941962</v>
      </c>
      <c r="C2659" s="2" t="s">
        <v>2895</v>
      </c>
      <c r="D2659" s="2" t="s">
        <v>68</v>
      </c>
      <c r="E2659" s="2" t="s">
        <v>189</v>
      </c>
      <c r="F2659" s="2" t="s">
        <v>17</v>
      </c>
      <c r="G2659" s="2" t="s">
        <v>5594</v>
      </c>
      <c r="H2659">
        <v>1055</v>
      </c>
      <c r="I2659" s="2">
        <v>1099</v>
      </c>
      <c r="J2659" s="2" t="s">
        <v>5595</v>
      </c>
      <c r="K2659" s="2" t="s">
        <v>100</v>
      </c>
      <c r="L2659" s="2">
        <v>4.2</v>
      </c>
      <c r="M2659" s="2">
        <v>631</v>
      </c>
      <c r="P2659" t="str">
        <f t="shared" si="167"/>
        <v>4%</v>
      </c>
      <c r="Q2659" s="12">
        <f t="shared" si="164"/>
        <v>0.04</v>
      </c>
      <c r="R2659" s="9">
        <f t="shared" si="165"/>
        <v>1055.04</v>
      </c>
      <c r="S2659" s="9">
        <f>IF(R2659="",AVERAGEIF(Table1[Category],Table1[[#This Row],[Category]],Table2[orignal data]),Table2[[#This Row],[orignal data]])</f>
        <v>1055.04</v>
      </c>
      <c r="T2659" t="str">
        <f t="shared" si="166"/>
        <v>UNIQUE</v>
      </c>
      <c r="U2659" t="str">
        <f>IF(ISBLANK(Table1[[#This Row],[SizeOption]]),"NOT AVAILABLE",Table1[[#This Row],[SizeOption]])</f>
        <v>XS, S, M, L, XL, XXL, 3XL</v>
      </c>
      <c r="Y2659" t="str">
        <f>IF(Table2[[#This Row],[Column1]]&gt;50%,"HIGH DISCOUNT","LOW DISCOUNT")</f>
        <v>LOW DISCOUNT</v>
      </c>
    </row>
    <row r="2660" spans="1:25" x14ac:dyDescent="0.25">
      <c r="A2660" s="1" t="s">
        <v>5596</v>
      </c>
      <c r="B2660" s="1">
        <v>11999462</v>
      </c>
      <c r="C2660" s="1" t="s">
        <v>67</v>
      </c>
      <c r="D2660" s="1" t="s">
        <v>68</v>
      </c>
      <c r="E2660" s="1" t="s">
        <v>42</v>
      </c>
      <c r="F2660" s="1" t="s">
        <v>17</v>
      </c>
      <c r="G2660" s="1" t="s">
        <v>5597</v>
      </c>
      <c r="H2660">
        <v>279</v>
      </c>
      <c r="I2660" s="1">
        <v>699</v>
      </c>
      <c r="J2660" s="1" t="s">
        <v>55</v>
      </c>
      <c r="K2660" s="1" t="s">
        <v>39</v>
      </c>
      <c r="L2660" s="1">
        <v>4.0999999999999996</v>
      </c>
      <c r="M2660" s="1">
        <v>631</v>
      </c>
      <c r="P2660" t="str">
        <f t="shared" si="167"/>
        <v>60%</v>
      </c>
      <c r="Q2660" s="12">
        <f t="shared" si="164"/>
        <v>0.6</v>
      </c>
      <c r="R2660" s="9">
        <f t="shared" si="165"/>
        <v>279.60000000000002</v>
      </c>
      <c r="S2660" s="9">
        <f>IF(R2660="",AVERAGEIF(Table1[Category],Table1[[#This Row],[Category]],Table2[orignal data]),Table2[[#This Row],[orignal data]])</f>
        <v>279.60000000000002</v>
      </c>
      <c r="T2660" t="str">
        <f t="shared" si="166"/>
        <v>UNIQUE</v>
      </c>
      <c r="U2660" t="str">
        <f>IF(ISBLANK(Table1[[#This Row],[SizeOption]]),"NOT AVAILABLE",Table1[[#This Row],[SizeOption]])</f>
        <v>S, M, L, XL, XXL</v>
      </c>
      <c r="Y2660" t="str">
        <f>IF(Table2[[#This Row],[Column1]]&gt;50%,"HIGH DISCOUNT","LOW DISCOUNT")</f>
        <v>HIGH DISCOUNT</v>
      </c>
    </row>
    <row r="2661" spans="1:25" x14ac:dyDescent="0.25">
      <c r="A2661" s="2" t="s">
        <v>5598</v>
      </c>
      <c r="B2661" s="2">
        <v>8237315</v>
      </c>
      <c r="C2661" s="2" t="s">
        <v>52</v>
      </c>
      <c r="D2661" s="2" t="s">
        <v>28</v>
      </c>
      <c r="E2661" s="2" t="s">
        <v>29</v>
      </c>
      <c r="F2661" s="2" t="s">
        <v>17</v>
      </c>
      <c r="G2661" s="2" t="s">
        <v>228</v>
      </c>
      <c r="H2661">
        <v>467</v>
      </c>
      <c r="I2661" s="2">
        <v>1199</v>
      </c>
      <c r="J2661" s="2" t="s">
        <v>104</v>
      </c>
      <c r="K2661" s="2" t="s">
        <v>90</v>
      </c>
      <c r="L2661" s="2">
        <v>4.2</v>
      </c>
      <c r="M2661" s="2">
        <v>631</v>
      </c>
      <c r="P2661" t="str">
        <f t="shared" si="167"/>
        <v>61%</v>
      </c>
      <c r="Q2661" s="12">
        <f t="shared" si="164"/>
        <v>0.61</v>
      </c>
      <c r="R2661" s="9">
        <f t="shared" si="165"/>
        <v>467.61</v>
      </c>
      <c r="S2661" s="9">
        <f>IF(R2661="",AVERAGEIF(Table1[Category],Table1[[#This Row],[Category]],Table2[orignal data]),Table2[[#This Row],[orignal data]])</f>
        <v>467.61</v>
      </c>
      <c r="T2661" t="str">
        <f t="shared" si="166"/>
        <v>UNIQUE</v>
      </c>
      <c r="U2661" t="str">
        <f>IF(ISBLANK(Table1[[#This Row],[SizeOption]]),"NOT AVAILABLE",Table1[[#This Row],[SizeOption]])</f>
        <v>39, 40, 42, 44</v>
      </c>
      <c r="Y2661" t="str">
        <f>IF(Table2[[#This Row],[Column1]]&gt;50%,"HIGH DISCOUNT","LOW DISCOUNT")</f>
        <v>HIGH DISCOUNT</v>
      </c>
    </row>
    <row r="2662" spans="1:25" x14ac:dyDescent="0.25">
      <c r="A2662" s="1" t="s">
        <v>5599</v>
      </c>
      <c r="B2662" s="1">
        <v>867504</v>
      </c>
      <c r="C2662" s="1" t="s">
        <v>14</v>
      </c>
      <c r="D2662" s="1" t="s">
        <v>28</v>
      </c>
      <c r="E2662" s="1" t="s">
        <v>42</v>
      </c>
      <c r="F2662" s="1" t="s">
        <v>17</v>
      </c>
      <c r="G2662" s="1" t="s">
        <v>5600</v>
      </c>
      <c r="H2662">
        <v>584</v>
      </c>
      <c r="I2662" s="1">
        <v>1299</v>
      </c>
      <c r="J2662" s="1" t="s">
        <v>25</v>
      </c>
      <c r="K2662" s="1" t="s">
        <v>26</v>
      </c>
      <c r="L2662" s="1">
        <v>4.2</v>
      </c>
      <c r="M2662" s="1">
        <v>631</v>
      </c>
      <c r="P2662" t="str">
        <f t="shared" si="167"/>
        <v>55%</v>
      </c>
      <c r="Q2662" s="12">
        <f t="shared" si="164"/>
        <v>0.55000000000000004</v>
      </c>
      <c r="R2662" s="9">
        <f t="shared" si="165"/>
        <v>584.54999999999995</v>
      </c>
      <c r="S2662" s="9">
        <f>IF(R2662="",AVERAGEIF(Table1[Category],Table1[[#This Row],[Category]],Table2[orignal data]),Table2[[#This Row],[orignal data]])</f>
        <v>584.54999999999995</v>
      </c>
      <c r="T2662" t="str">
        <f t="shared" si="166"/>
        <v>UNIQUE</v>
      </c>
      <c r="U2662" t="str">
        <f>IF(ISBLANK(Table1[[#This Row],[SizeOption]]),"NOT AVAILABLE",Table1[[#This Row],[SizeOption]])</f>
        <v>S, M, L, XL</v>
      </c>
      <c r="Y2662" t="str">
        <f>IF(Table2[[#This Row],[Column1]]&gt;50%,"HIGH DISCOUNT","LOW DISCOUNT")</f>
        <v>HIGH DISCOUNT</v>
      </c>
    </row>
    <row r="2663" spans="1:25" x14ac:dyDescent="0.25">
      <c r="A2663" s="2" t="s">
        <v>5601</v>
      </c>
      <c r="B2663" s="2">
        <v>1729511</v>
      </c>
      <c r="C2663" s="2" t="s">
        <v>169</v>
      </c>
      <c r="D2663" s="2" t="s">
        <v>28</v>
      </c>
      <c r="E2663" s="2" t="s">
        <v>42</v>
      </c>
      <c r="F2663" s="2" t="s">
        <v>17</v>
      </c>
      <c r="G2663" s="2" t="s">
        <v>5602</v>
      </c>
      <c r="H2663">
        <v>799</v>
      </c>
      <c r="I2663" s="2">
        <v>1599</v>
      </c>
      <c r="J2663" s="2" t="s">
        <v>84</v>
      </c>
      <c r="K2663" s="2" t="s">
        <v>39</v>
      </c>
      <c r="L2663" s="2">
        <v>4.2</v>
      </c>
      <c r="M2663" s="2">
        <v>631</v>
      </c>
      <c r="P2663" t="str">
        <f t="shared" si="167"/>
        <v>50%</v>
      </c>
      <c r="Q2663" s="12">
        <f t="shared" si="164"/>
        <v>0.5</v>
      </c>
      <c r="R2663" s="9">
        <f t="shared" si="165"/>
        <v>799.5</v>
      </c>
      <c r="S2663" s="9">
        <f>IF(R2663="",AVERAGEIF(Table1[Category],Table1[[#This Row],[Category]],Table2[orignal data]),Table2[[#This Row],[orignal data]])</f>
        <v>799.5</v>
      </c>
      <c r="T2663" t="str">
        <f t="shared" si="166"/>
        <v>UNIQUE</v>
      </c>
      <c r="U2663" t="str">
        <f>IF(ISBLANK(Table1[[#This Row],[SizeOption]]),"NOT AVAILABLE",Table1[[#This Row],[SizeOption]])</f>
        <v>S, M, L, XL, XXL</v>
      </c>
      <c r="Y2663" t="str">
        <f>IF(Table2[[#This Row],[Column1]]&gt;50%,"HIGH DISCOUNT","LOW DISCOUNT")</f>
        <v>LOW DISCOUNT</v>
      </c>
    </row>
    <row r="2664" spans="1:25" x14ac:dyDescent="0.25">
      <c r="A2664" s="1" t="s">
        <v>5603</v>
      </c>
      <c r="B2664" s="1">
        <v>13081826</v>
      </c>
      <c r="C2664" s="1" t="s">
        <v>92</v>
      </c>
      <c r="D2664" s="1" t="s">
        <v>76</v>
      </c>
      <c r="E2664" s="1" t="s">
        <v>533</v>
      </c>
      <c r="F2664" s="1" t="s">
        <v>36</v>
      </c>
      <c r="G2664" s="1" t="s">
        <v>5604</v>
      </c>
      <c r="H2664">
        <v>369</v>
      </c>
      <c r="I2664" s="1">
        <v>999</v>
      </c>
      <c r="J2664" s="1" t="s">
        <v>476</v>
      </c>
      <c r="K2664" s="1" t="s">
        <v>20</v>
      </c>
      <c r="L2664" s="1">
        <v>4.0999999999999996</v>
      </c>
      <c r="M2664" s="1">
        <v>631</v>
      </c>
      <c r="P2664" t="str">
        <f t="shared" si="167"/>
        <v>63%</v>
      </c>
      <c r="Q2664" s="12">
        <f t="shared" si="164"/>
        <v>0.63</v>
      </c>
      <c r="R2664" s="9">
        <f t="shared" si="165"/>
        <v>369.63</v>
      </c>
      <c r="S2664" s="9">
        <f>IF(R2664="",AVERAGEIF(Table1[Category],Table1[[#This Row],[Category]],Table2[orignal data]),Table2[[#This Row],[orignal data]])</f>
        <v>369.63</v>
      </c>
      <c r="T2664" t="str">
        <f t="shared" si="166"/>
        <v>UNIQUE</v>
      </c>
      <c r="U2664" t="str">
        <f>IF(ISBLANK(Table1[[#This Row],[SizeOption]]),"NOT AVAILABLE",Table1[[#This Row],[SizeOption]])</f>
        <v>28, 30, 32, 34, 36</v>
      </c>
      <c r="Y2664" t="str">
        <f>IF(Table2[[#This Row],[Column1]]&gt;50%,"HIGH DISCOUNT","LOW DISCOUNT")</f>
        <v>HIGH DISCOUNT</v>
      </c>
    </row>
    <row r="2665" spans="1:25" x14ac:dyDescent="0.25">
      <c r="A2665" s="2" t="s">
        <v>5605</v>
      </c>
      <c r="B2665" s="2">
        <v>9408677</v>
      </c>
      <c r="C2665" s="2" t="s">
        <v>33</v>
      </c>
      <c r="D2665" s="2" t="s">
        <v>34</v>
      </c>
      <c r="E2665" s="2" t="s">
        <v>118</v>
      </c>
      <c r="F2665" s="2" t="s">
        <v>36</v>
      </c>
      <c r="G2665" s="2" t="s">
        <v>5606</v>
      </c>
      <c r="H2665">
        <v>424</v>
      </c>
      <c r="I2665" s="2">
        <v>849</v>
      </c>
      <c r="J2665" s="2" t="s">
        <v>84</v>
      </c>
      <c r="K2665" s="2" t="s">
        <v>1113</v>
      </c>
      <c r="L2665" s="2">
        <v>4.3</v>
      </c>
      <c r="M2665" s="2">
        <v>631</v>
      </c>
      <c r="P2665" t="str">
        <f t="shared" si="167"/>
        <v>50%</v>
      </c>
      <c r="Q2665" s="12">
        <f t="shared" si="164"/>
        <v>0.5</v>
      </c>
      <c r="R2665" s="9">
        <f t="shared" si="165"/>
        <v>424.5</v>
      </c>
      <c r="S2665" s="9">
        <f>IF(R2665="",AVERAGEIF(Table1[Category],Table1[[#This Row],[Category]],Table2[orignal data]),Table2[[#This Row],[orignal data]])</f>
        <v>424.5</v>
      </c>
      <c r="T2665" t="str">
        <f t="shared" si="166"/>
        <v>UNIQUE</v>
      </c>
      <c r="U2665" t="str">
        <f>IF(ISBLANK(Table1[[#This Row],[SizeOption]]),"NOT AVAILABLE",Table1[[#This Row],[SizeOption]])</f>
        <v>32B, 32C, 32D, 34B, 34C, 34D, 36B, 36C, 36D, 38B, 38C, 38D</v>
      </c>
      <c r="Y2665" t="str">
        <f>IF(Table2[[#This Row],[Column1]]&gt;50%,"HIGH DISCOUNT","LOW DISCOUNT")</f>
        <v>LOW DISCOUNT</v>
      </c>
    </row>
    <row r="2666" spans="1:25" x14ac:dyDescent="0.25">
      <c r="A2666" s="1" t="s">
        <v>5607</v>
      </c>
      <c r="B2666" s="1">
        <v>13404414</v>
      </c>
      <c r="C2666" s="1" t="s">
        <v>64</v>
      </c>
      <c r="D2666" s="1" t="s">
        <v>98</v>
      </c>
      <c r="E2666" s="1" t="s">
        <v>93</v>
      </c>
      <c r="F2666" s="1" t="s">
        <v>36</v>
      </c>
      <c r="G2666" s="1" t="s">
        <v>5608</v>
      </c>
      <c r="H2666">
        <v>459</v>
      </c>
      <c r="I2666" s="1">
        <v>1149</v>
      </c>
      <c r="J2666" s="1" t="s">
        <v>141</v>
      </c>
      <c r="K2666" s="1" t="s">
        <v>100</v>
      </c>
      <c r="L2666" s="1">
        <v>4</v>
      </c>
      <c r="M2666" s="1">
        <v>631</v>
      </c>
      <c r="P2666" t="str">
        <f t="shared" si="167"/>
        <v>60%</v>
      </c>
      <c r="Q2666" s="12">
        <f t="shared" si="164"/>
        <v>0.6</v>
      </c>
      <c r="R2666" s="9">
        <f t="shared" si="165"/>
        <v>459.6</v>
      </c>
      <c r="S2666" s="9">
        <f>IF(R2666="",AVERAGEIF(Table1[Category],Table1[[#This Row],[Category]],Table2[orignal data]),Table2[[#This Row],[orignal data]])</f>
        <v>459.6</v>
      </c>
      <c r="T2666" t="str">
        <f t="shared" si="166"/>
        <v>UNIQUE</v>
      </c>
      <c r="U2666" t="str">
        <f>IF(ISBLANK(Table1[[#This Row],[SizeOption]]),"NOT AVAILABLE",Table1[[#This Row],[SizeOption]])</f>
        <v>XS, S, M, L, XL, XXL, 3XL</v>
      </c>
      <c r="Y2666" t="str">
        <f>IF(Table2[[#This Row],[Column1]]&gt;50%,"HIGH DISCOUNT","LOW DISCOUNT")</f>
        <v>HIGH DISCOUNT</v>
      </c>
    </row>
    <row r="2667" spans="1:25" x14ac:dyDescent="0.25">
      <c r="A2667" s="2" t="s">
        <v>5609</v>
      </c>
      <c r="B2667" s="2">
        <v>9295343</v>
      </c>
      <c r="C2667" s="2" t="s">
        <v>221</v>
      </c>
      <c r="D2667" s="2" t="s">
        <v>98</v>
      </c>
      <c r="E2667" s="2" t="s">
        <v>148</v>
      </c>
      <c r="F2667" s="2" t="s">
        <v>36</v>
      </c>
      <c r="G2667" s="2" t="s">
        <v>5610</v>
      </c>
      <c r="H2667">
        <v>659</v>
      </c>
      <c r="I2667" s="2">
        <v>2199</v>
      </c>
      <c r="J2667" s="2" t="s">
        <v>79</v>
      </c>
      <c r="K2667" s="2" t="s">
        <v>223</v>
      </c>
      <c r="L2667" s="2">
        <v>4</v>
      </c>
      <c r="M2667" s="2">
        <v>631</v>
      </c>
      <c r="P2667" t="str">
        <f t="shared" si="167"/>
        <v>70%</v>
      </c>
      <c r="Q2667" s="12">
        <f t="shared" si="164"/>
        <v>0.7</v>
      </c>
      <c r="R2667" s="9">
        <f t="shared" si="165"/>
        <v>659.7</v>
      </c>
      <c r="S2667" s="9">
        <f>IF(R2667="",AVERAGEIF(Table1[Category],Table1[[#This Row],[Category]],Table2[orignal data]),Table2[[#This Row],[orignal data]])</f>
        <v>659.7</v>
      </c>
      <c r="T2667" t="str">
        <f t="shared" si="166"/>
        <v>UNIQUE</v>
      </c>
      <c r="U2667" t="str">
        <f>IF(ISBLANK(Table1[[#This Row],[SizeOption]]),"NOT AVAILABLE",Table1[[#This Row],[SizeOption]])</f>
        <v>S, M, L, XL, XXL, 3XL, 4XL</v>
      </c>
      <c r="Y2667" t="str">
        <f>IF(Table2[[#This Row],[Column1]]&gt;50%,"HIGH DISCOUNT","LOW DISCOUNT")</f>
        <v>HIGH DISCOUNT</v>
      </c>
    </row>
    <row r="2668" spans="1:25" x14ac:dyDescent="0.25">
      <c r="A2668" s="1" t="s">
        <v>5611</v>
      </c>
      <c r="B2668" s="1">
        <v>13246066</v>
      </c>
      <c r="C2668" s="1" t="s">
        <v>92</v>
      </c>
      <c r="D2668" s="1" t="s">
        <v>41</v>
      </c>
      <c r="E2668" s="1" t="s">
        <v>148</v>
      </c>
      <c r="F2668" s="1" t="s">
        <v>36</v>
      </c>
      <c r="G2668" s="1" t="s">
        <v>5612</v>
      </c>
      <c r="I2668" s="1">
        <v>1699</v>
      </c>
      <c r="J2668" s="1" t="s">
        <v>55</v>
      </c>
      <c r="K2668" s="1" t="s">
        <v>39</v>
      </c>
      <c r="L2668" s="1">
        <v>4.2</v>
      </c>
      <c r="M2668" s="1">
        <v>631</v>
      </c>
      <c r="P2668" t="str">
        <f t="shared" si="167"/>
        <v>60%</v>
      </c>
      <c r="Q2668" s="12">
        <f t="shared" si="164"/>
        <v>0.6</v>
      </c>
      <c r="R2668" s="9">
        <f t="shared" si="165"/>
        <v>679.6</v>
      </c>
      <c r="S2668" s="9">
        <f>IF(R2668="",AVERAGEIF(Table1[Category],Table1[[#This Row],[Category]],Table2[orignal data]),Table2[[#This Row],[orignal data]])</f>
        <v>679.6</v>
      </c>
      <c r="T2668" t="str">
        <f t="shared" si="166"/>
        <v>UNIQUE</v>
      </c>
      <c r="U2668" t="str">
        <f>IF(ISBLANK(Table1[[#This Row],[SizeOption]]),"NOT AVAILABLE",Table1[[#This Row],[SizeOption]])</f>
        <v>S, M, L, XL, XXL</v>
      </c>
      <c r="Y2668" t="str">
        <f>IF(Table2[[#This Row],[Column1]]&gt;50%,"HIGH DISCOUNT","LOW DISCOUNT")</f>
        <v>HIGH DISCOUNT</v>
      </c>
    </row>
    <row r="2669" spans="1:25" x14ac:dyDescent="0.25">
      <c r="A2669" s="2" t="s">
        <v>5613</v>
      </c>
      <c r="B2669" s="2">
        <v>11531670</v>
      </c>
      <c r="C2669" s="2" t="s">
        <v>14</v>
      </c>
      <c r="D2669" s="2" t="s">
        <v>41</v>
      </c>
      <c r="E2669" s="2" t="s">
        <v>16</v>
      </c>
      <c r="F2669" s="2" t="s">
        <v>36</v>
      </c>
      <c r="G2669" s="2" t="s">
        <v>5614</v>
      </c>
      <c r="I2669" s="2">
        <v>2299</v>
      </c>
      <c r="J2669" s="2" t="s">
        <v>55</v>
      </c>
      <c r="K2669" s="2" t="s">
        <v>134</v>
      </c>
      <c r="L2669" s="2">
        <v>4.3</v>
      </c>
      <c r="M2669" s="2">
        <v>631</v>
      </c>
      <c r="P2669" t="str">
        <f t="shared" si="167"/>
        <v>60%</v>
      </c>
      <c r="Q2669" s="12">
        <f t="shared" si="164"/>
        <v>0.6</v>
      </c>
      <c r="R2669" s="9">
        <f t="shared" si="165"/>
        <v>919.60000000000014</v>
      </c>
      <c r="S2669" s="9">
        <f>IF(R2669="",AVERAGEIF(Table1[Category],Table1[[#This Row],[Category]],Table2[orignal data]),Table2[[#This Row],[orignal data]])</f>
        <v>919.60000000000014</v>
      </c>
      <c r="T2669" t="str">
        <f t="shared" si="166"/>
        <v>UNIQUE</v>
      </c>
      <c r="U2669" t="str">
        <f>IF(ISBLANK(Table1[[#This Row],[SizeOption]]),"NOT AVAILABLE",Table1[[#This Row],[SizeOption]])</f>
        <v>26, 28, 30, 32, 34, 36</v>
      </c>
      <c r="Y2669" t="str">
        <f>IF(Table2[[#This Row],[Column1]]&gt;50%,"HIGH DISCOUNT","LOW DISCOUNT")</f>
        <v>HIGH DISCOUNT</v>
      </c>
    </row>
    <row r="2670" spans="1:25" x14ac:dyDescent="0.25">
      <c r="A2670" s="1" t="s">
        <v>5615</v>
      </c>
      <c r="B2670" s="1">
        <v>10399335</v>
      </c>
      <c r="C2670" s="1" t="s">
        <v>92</v>
      </c>
      <c r="D2670" s="1" t="s">
        <v>41</v>
      </c>
      <c r="E2670" s="1" t="s">
        <v>148</v>
      </c>
      <c r="F2670" s="1" t="s">
        <v>36</v>
      </c>
      <c r="G2670" s="1" t="s">
        <v>5616</v>
      </c>
      <c r="I2670" s="1">
        <v>2499</v>
      </c>
      <c r="J2670" s="1" t="s">
        <v>839</v>
      </c>
      <c r="K2670" s="1" t="s">
        <v>39</v>
      </c>
      <c r="L2670" s="1">
        <v>4.2</v>
      </c>
      <c r="M2670" s="1">
        <v>631</v>
      </c>
      <c r="P2670" t="str">
        <f t="shared" si="167"/>
        <v>68%</v>
      </c>
      <c r="Q2670" s="12">
        <f t="shared" si="164"/>
        <v>0.68</v>
      </c>
      <c r="R2670" s="9">
        <f t="shared" si="165"/>
        <v>799.67999999999984</v>
      </c>
      <c r="S2670" s="9">
        <f>IF(R2670="",AVERAGEIF(Table1[Category],Table1[[#This Row],[Category]],Table2[orignal data]),Table2[[#This Row],[orignal data]])</f>
        <v>799.67999999999984</v>
      </c>
      <c r="T2670" t="str">
        <f t="shared" si="166"/>
        <v>UNIQUE</v>
      </c>
      <c r="U2670" t="str">
        <f>IF(ISBLANK(Table1[[#This Row],[SizeOption]]),"NOT AVAILABLE",Table1[[#This Row],[SizeOption]])</f>
        <v>S, M, L, XL, XXL</v>
      </c>
      <c r="Y2670" t="str">
        <f>IF(Table2[[#This Row],[Column1]]&gt;50%,"HIGH DISCOUNT","LOW DISCOUNT")</f>
        <v>HIGH DISCOUNT</v>
      </c>
    </row>
    <row r="2671" spans="1:25" x14ac:dyDescent="0.25">
      <c r="A2671" s="2" t="s">
        <v>5617</v>
      </c>
      <c r="B2671" s="2">
        <v>8473957</v>
      </c>
      <c r="C2671" s="2" t="s">
        <v>3581</v>
      </c>
      <c r="D2671" s="2" t="s">
        <v>41</v>
      </c>
      <c r="E2671" s="2" t="s">
        <v>592</v>
      </c>
      <c r="F2671" s="2" t="s">
        <v>36</v>
      </c>
      <c r="G2671" s="2" t="s">
        <v>5618</v>
      </c>
      <c r="I2671" s="2">
        <v>399</v>
      </c>
      <c r="J2671" s="2"/>
      <c r="K2671" s="2" t="s">
        <v>39</v>
      </c>
      <c r="L2671" s="2">
        <v>4.4000000000000004</v>
      </c>
      <c r="M2671" s="2">
        <v>631</v>
      </c>
      <c r="P2671" t="str">
        <f t="shared" si="167"/>
        <v/>
      </c>
      <c r="Q2671" s="12" t="str">
        <f t="shared" si="164"/>
        <v/>
      </c>
      <c r="R2671" s="9" t="str">
        <f t="shared" si="165"/>
        <v/>
      </c>
      <c r="S2671" s="9">
        <f>IF(R2671="",AVERAGEIF(Table1[Category],Table1[[#This Row],[Category]],Table2[orignal data]),Table2[[#This Row],[orignal data]])</f>
        <v>715.78890751086249</v>
      </c>
      <c r="T2671" t="str">
        <f t="shared" si="166"/>
        <v>UNIQUE</v>
      </c>
      <c r="U2671" t="str">
        <f>IF(ISBLANK(Table1[[#This Row],[SizeOption]]),"NOT AVAILABLE",Table1[[#This Row],[SizeOption]])</f>
        <v>S, M, L, XL, XXL</v>
      </c>
      <c r="Y2671" t="str">
        <f>IF(Table2[[#This Row],[Column1]]&gt;50%,"HIGH DISCOUNT","LOW DISCOUNT")</f>
        <v>HIGH DISCOUNT</v>
      </c>
    </row>
    <row r="2672" spans="1:25" x14ac:dyDescent="0.25">
      <c r="A2672" s="1" t="s">
        <v>5619</v>
      </c>
      <c r="B2672" s="1">
        <v>10092101</v>
      </c>
      <c r="C2672" s="1" t="s">
        <v>14</v>
      </c>
      <c r="D2672" s="1" t="s">
        <v>15</v>
      </c>
      <c r="E2672" s="1" t="s">
        <v>16</v>
      </c>
      <c r="F2672" s="1" t="s">
        <v>17</v>
      </c>
      <c r="G2672" s="1" t="s">
        <v>4074</v>
      </c>
      <c r="H2672">
        <v>719</v>
      </c>
      <c r="I2672" s="1">
        <v>1799</v>
      </c>
      <c r="J2672" s="1" t="s">
        <v>55</v>
      </c>
      <c r="K2672" s="1" t="s">
        <v>20</v>
      </c>
      <c r="L2672" s="1">
        <v>4.0999999999999996</v>
      </c>
      <c r="M2672" s="1">
        <v>630</v>
      </c>
      <c r="P2672" t="str">
        <f t="shared" si="167"/>
        <v>60%</v>
      </c>
      <c r="Q2672" s="12">
        <f t="shared" si="164"/>
        <v>0.6</v>
      </c>
      <c r="R2672" s="9">
        <f t="shared" si="165"/>
        <v>719.60000000000014</v>
      </c>
      <c r="S2672" s="9">
        <f>IF(R2672="",AVERAGEIF(Table1[Category],Table1[[#This Row],[Category]],Table2[orignal data]),Table2[[#This Row],[orignal data]])</f>
        <v>719.60000000000014</v>
      </c>
      <c r="T2672" t="str">
        <f t="shared" si="166"/>
        <v>UNIQUE</v>
      </c>
      <c r="U2672" t="str">
        <f>IF(ISBLANK(Table1[[#This Row],[SizeOption]]),"NOT AVAILABLE",Table1[[#This Row],[SizeOption]])</f>
        <v>28, 30, 32, 34, 36</v>
      </c>
      <c r="Y2672" t="str">
        <f>IF(Table2[[#This Row],[Column1]]&gt;50%,"HIGH DISCOUNT","LOW DISCOUNT")</f>
        <v>HIGH DISCOUNT</v>
      </c>
    </row>
    <row r="2673" spans="1:25" x14ac:dyDescent="0.25">
      <c r="A2673" s="2" t="s">
        <v>5620</v>
      </c>
      <c r="B2673" s="2">
        <v>9445473</v>
      </c>
      <c r="C2673" s="2" t="s">
        <v>67</v>
      </c>
      <c r="D2673" s="2" t="s">
        <v>68</v>
      </c>
      <c r="E2673" s="2" t="s">
        <v>306</v>
      </c>
      <c r="F2673" s="2" t="s">
        <v>17</v>
      </c>
      <c r="G2673" s="2" t="s">
        <v>5621</v>
      </c>
      <c r="H2673">
        <v>874</v>
      </c>
      <c r="I2673" s="2">
        <v>2499</v>
      </c>
      <c r="J2673" s="2" t="s">
        <v>150</v>
      </c>
      <c r="K2673" s="2" t="s">
        <v>39</v>
      </c>
      <c r="L2673" s="2">
        <v>4.2</v>
      </c>
      <c r="M2673" s="2">
        <v>630</v>
      </c>
      <c r="P2673" t="str">
        <f t="shared" si="167"/>
        <v>65%</v>
      </c>
      <c r="Q2673" s="12">
        <f t="shared" si="164"/>
        <v>0.65</v>
      </c>
      <c r="R2673" s="9">
        <f t="shared" si="165"/>
        <v>874.64999999999986</v>
      </c>
      <c r="S2673" s="9">
        <f>IF(R2673="",AVERAGEIF(Table1[Category],Table1[[#This Row],[Category]],Table2[orignal data]),Table2[[#This Row],[orignal data]])</f>
        <v>874.64999999999986</v>
      </c>
      <c r="T2673" t="str">
        <f t="shared" si="166"/>
        <v>UNIQUE</v>
      </c>
      <c r="U2673" t="str">
        <f>IF(ISBLANK(Table1[[#This Row],[SizeOption]]),"NOT AVAILABLE",Table1[[#This Row],[SizeOption]])</f>
        <v>S, M, L, XL, XXL</v>
      </c>
      <c r="Y2673" t="str">
        <f>IF(Table2[[#This Row],[Column1]]&gt;50%,"HIGH DISCOUNT","LOW DISCOUNT")</f>
        <v>HIGH DISCOUNT</v>
      </c>
    </row>
    <row r="2674" spans="1:25" x14ac:dyDescent="0.25">
      <c r="A2674" s="1" t="s">
        <v>5622</v>
      </c>
      <c r="B2674" s="1">
        <v>10004133</v>
      </c>
      <c r="C2674" s="1" t="s">
        <v>52</v>
      </c>
      <c r="D2674" s="1" t="s">
        <v>28</v>
      </c>
      <c r="E2674" s="1" t="s">
        <v>29</v>
      </c>
      <c r="F2674" s="1" t="s">
        <v>17</v>
      </c>
      <c r="G2674" s="1" t="s">
        <v>5623</v>
      </c>
      <c r="H2674">
        <v>649</v>
      </c>
      <c r="I2674" s="1">
        <v>1249</v>
      </c>
      <c r="J2674" s="1" t="s">
        <v>602</v>
      </c>
      <c r="K2674" s="1" t="s">
        <v>90</v>
      </c>
      <c r="L2674" s="1">
        <v>4.0999999999999996</v>
      </c>
      <c r="M2674" s="1">
        <v>630</v>
      </c>
      <c r="P2674" t="str">
        <f t="shared" si="167"/>
        <v>48%</v>
      </c>
      <c r="Q2674" s="12">
        <f t="shared" si="164"/>
        <v>0.48</v>
      </c>
      <c r="R2674" s="9">
        <f t="shared" si="165"/>
        <v>649.48</v>
      </c>
      <c r="S2674" s="9">
        <f>IF(R2674="",AVERAGEIF(Table1[Category],Table1[[#This Row],[Category]],Table2[orignal data]),Table2[[#This Row],[orignal data]])</f>
        <v>649.48</v>
      </c>
      <c r="T2674" t="str">
        <f t="shared" si="166"/>
        <v>UNIQUE</v>
      </c>
      <c r="U2674" t="str">
        <f>IF(ISBLANK(Table1[[#This Row],[SizeOption]]),"NOT AVAILABLE",Table1[[#This Row],[SizeOption]])</f>
        <v>39, 40, 42, 44</v>
      </c>
      <c r="Y2674" t="str">
        <f>IF(Table2[[#This Row],[Column1]]&gt;50%,"HIGH DISCOUNT","LOW DISCOUNT")</f>
        <v>LOW DISCOUNT</v>
      </c>
    </row>
    <row r="2675" spans="1:25" x14ac:dyDescent="0.25">
      <c r="A2675" s="2" t="s">
        <v>5624</v>
      </c>
      <c r="B2675" s="2">
        <v>11361168</v>
      </c>
      <c r="C2675" s="2" t="s">
        <v>169</v>
      </c>
      <c r="D2675" s="2" t="s">
        <v>28</v>
      </c>
      <c r="E2675" s="2" t="s">
        <v>29</v>
      </c>
      <c r="F2675" s="2" t="s">
        <v>17</v>
      </c>
      <c r="G2675" s="2" t="s">
        <v>5625</v>
      </c>
      <c r="H2675">
        <v>1319</v>
      </c>
      <c r="I2675" s="2">
        <v>2199</v>
      </c>
      <c r="J2675" s="2" t="s">
        <v>50</v>
      </c>
      <c r="K2675" s="2" t="s">
        <v>484</v>
      </c>
      <c r="L2675" s="2">
        <v>4.3</v>
      </c>
      <c r="M2675" s="2">
        <v>630</v>
      </c>
      <c r="P2675" t="str">
        <f t="shared" si="167"/>
        <v>40%</v>
      </c>
      <c r="Q2675" s="12">
        <f t="shared" si="164"/>
        <v>0.4</v>
      </c>
      <c r="R2675" s="9">
        <f t="shared" si="165"/>
        <v>1319.4</v>
      </c>
      <c r="S2675" s="9">
        <f>IF(R2675="",AVERAGEIF(Table1[Category],Table1[[#This Row],[Category]],Table2[orignal data]),Table2[[#This Row],[orignal data]])</f>
        <v>1319.4</v>
      </c>
      <c r="T2675" t="str">
        <f t="shared" si="166"/>
        <v>UNIQUE</v>
      </c>
      <c r="U2675" t="str">
        <f>IF(ISBLANK(Table1[[#This Row],[SizeOption]]),"NOT AVAILABLE",Table1[[#This Row],[SizeOption]])</f>
        <v>39, 40, 42, 44, 46</v>
      </c>
      <c r="Y2675" t="str">
        <f>IF(Table2[[#This Row],[Column1]]&gt;50%,"HIGH DISCOUNT","LOW DISCOUNT")</f>
        <v>LOW DISCOUNT</v>
      </c>
    </row>
    <row r="2676" spans="1:25" x14ac:dyDescent="0.25">
      <c r="A2676" s="1" t="s">
        <v>5626</v>
      </c>
      <c r="B2676" s="1">
        <v>6149141</v>
      </c>
      <c r="C2676" s="1" t="s">
        <v>14</v>
      </c>
      <c r="D2676" s="1" t="s">
        <v>28</v>
      </c>
      <c r="E2676" s="1" t="s">
        <v>42</v>
      </c>
      <c r="F2676" s="1" t="s">
        <v>17</v>
      </c>
      <c r="G2676" s="1" t="s">
        <v>5627</v>
      </c>
      <c r="H2676">
        <v>399</v>
      </c>
      <c r="I2676" s="1">
        <v>999</v>
      </c>
      <c r="J2676" s="1" t="s">
        <v>55</v>
      </c>
      <c r="K2676" s="1" t="s">
        <v>73</v>
      </c>
      <c r="L2676" s="1">
        <v>3.8</v>
      </c>
      <c r="M2676" s="1">
        <v>630</v>
      </c>
      <c r="P2676" t="str">
        <f t="shared" si="167"/>
        <v>60%</v>
      </c>
      <c r="Q2676" s="12">
        <f t="shared" si="164"/>
        <v>0.6</v>
      </c>
      <c r="R2676" s="9">
        <f t="shared" si="165"/>
        <v>399.6</v>
      </c>
      <c r="S2676" s="9">
        <f>IF(R2676="",AVERAGEIF(Table1[Category],Table1[[#This Row],[Category]],Table2[orignal data]),Table2[[#This Row],[orignal data]])</f>
        <v>399.6</v>
      </c>
      <c r="T2676" t="str">
        <f t="shared" si="166"/>
        <v>UNIQUE</v>
      </c>
      <c r="U2676" t="str">
        <f>IF(ISBLANK(Table1[[#This Row],[SizeOption]]),"NOT AVAILABLE",Table1[[#This Row],[SizeOption]])</f>
        <v>XS, S, M, L, XL, XXL, 3XL, 4XL</v>
      </c>
      <c r="Y2676" t="str">
        <f>IF(Table2[[#This Row],[Column1]]&gt;50%,"HIGH DISCOUNT","LOW DISCOUNT")</f>
        <v>HIGH DISCOUNT</v>
      </c>
    </row>
    <row r="2677" spans="1:25" x14ac:dyDescent="0.25">
      <c r="A2677" s="2" t="s">
        <v>5628</v>
      </c>
      <c r="B2677" s="2">
        <v>13175858</v>
      </c>
      <c r="C2677" s="2" t="s">
        <v>620</v>
      </c>
      <c r="D2677" s="2" t="s">
        <v>34</v>
      </c>
      <c r="E2677" s="2" t="s">
        <v>518</v>
      </c>
      <c r="F2677" s="2" t="s">
        <v>36</v>
      </c>
      <c r="G2677" s="2" t="s">
        <v>5629</v>
      </c>
      <c r="H2677">
        <v>269</v>
      </c>
      <c r="I2677" s="2">
        <v>899</v>
      </c>
      <c r="J2677" s="2" t="s">
        <v>79</v>
      </c>
      <c r="K2677" s="2" t="s">
        <v>26</v>
      </c>
      <c r="L2677" s="2">
        <v>3.9</v>
      </c>
      <c r="M2677" s="2">
        <v>630</v>
      </c>
      <c r="P2677" t="str">
        <f t="shared" si="167"/>
        <v>70%</v>
      </c>
      <c r="Q2677" s="12">
        <f t="shared" si="164"/>
        <v>0.7</v>
      </c>
      <c r="R2677" s="9">
        <f t="shared" si="165"/>
        <v>269.70000000000005</v>
      </c>
      <c r="S2677" s="9">
        <f>IF(R2677="",AVERAGEIF(Table1[Category],Table1[[#This Row],[Category]],Table2[orignal data]),Table2[[#This Row],[orignal data]])</f>
        <v>269.70000000000005</v>
      </c>
      <c r="T2677" t="str">
        <f t="shared" si="166"/>
        <v>UNIQUE</v>
      </c>
      <c r="U2677" t="str">
        <f>IF(ISBLANK(Table1[[#This Row],[SizeOption]]),"NOT AVAILABLE",Table1[[#This Row],[SizeOption]])</f>
        <v>S, M, L, XL</v>
      </c>
      <c r="Y2677" t="str">
        <f>IF(Table2[[#This Row],[Column1]]&gt;50%,"HIGH DISCOUNT","LOW DISCOUNT")</f>
        <v>HIGH DISCOUNT</v>
      </c>
    </row>
    <row r="2678" spans="1:25" x14ac:dyDescent="0.25">
      <c r="A2678" s="1" t="s">
        <v>5630</v>
      </c>
      <c r="B2678" s="1">
        <v>11938886</v>
      </c>
      <c r="C2678" s="1" t="s">
        <v>160</v>
      </c>
      <c r="D2678" s="1" t="s">
        <v>34</v>
      </c>
      <c r="E2678" s="1" t="s">
        <v>161</v>
      </c>
      <c r="F2678" s="1" t="s">
        <v>36</v>
      </c>
      <c r="G2678" s="1" t="s">
        <v>5631</v>
      </c>
      <c r="H2678">
        <v>489</v>
      </c>
      <c r="I2678" s="1">
        <v>999</v>
      </c>
      <c r="J2678" s="1" t="s">
        <v>163</v>
      </c>
      <c r="K2678" s="1" t="s">
        <v>164</v>
      </c>
      <c r="L2678" s="1">
        <v>4.0999999999999996</v>
      </c>
      <c r="M2678" s="1">
        <v>630</v>
      </c>
      <c r="P2678" t="str">
        <f t="shared" si="167"/>
        <v>51%</v>
      </c>
      <c r="Q2678" s="12">
        <f t="shared" si="164"/>
        <v>0.51</v>
      </c>
      <c r="R2678" s="9">
        <f t="shared" si="165"/>
        <v>489.51</v>
      </c>
      <c r="S2678" s="9">
        <f>IF(R2678="",AVERAGEIF(Table1[Category],Table1[[#This Row],[Category]],Table2[orignal data]),Table2[[#This Row],[orignal data]])</f>
        <v>489.51</v>
      </c>
      <c r="T2678" t="str">
        <f t="shared" si="166"/>
        <v>UNIQUE</v>
      </c>
      <c r="U2678" t="str">
        <f>IF(ISBLANK(Table1[[#This Row],[SizeOption]]),"NOT AVAILABLE",Table1[[#This Row],[SizeOption]])</f>
        <v>Onesize</v>
      </c>
      <c r="Y2678" t="str">
        <f>IF(Table2[[#This Row],[Column1]]&gt;50%,"HIGH DISCOUNT","LOW DISCOUNT")</f>
        <v>HIGH DISCOUNT</v>
      </c>
    </row>
    <row r="2679" spans="1:25" x14ac:dyDescent="0.25">
      <c r="A2679" s="2" t="s">
        <v>5632</v>
      </c>
      <c r="B2679" s="2">
        <v>10561478</v>
      </c>
      <c r="C2679" s="2" t="s">
        <v>97</v>
      </c>
      <c r="D2679" s="2" t="s">
        <v>98</v>
      </c>
      <c r="E2679" s="2" t="s">
        <v>148</v>
      </c>
      <c r="F2679" s="2" t="s">
        <v>36</v>
      </c>
      <c r="G2679" s="2" t="s">
        <v>5633</v>
      </c>
      <c r="H2679">
        <v>849</v>
      </c>
      <c r="I2679" s="2">
        <v>1699</v>
      </c>
      <c r="J2679" s="2" t="s">
        <v>84</v>
      </c>
      <c r="K2679" s="2" t="s">
        <v>100</v>
      </c>
      <c r="L2679" s="2">
        <v>4</v>
      </c>
      <c r="M2679" s="2">
        <v>630</v>
      </c>
      <c r="P2679" t="str">
        <f t="shared" si="167"/>
        <v>50%</v>
      </c>
      <c r="Q2679" s="12">
        <f t="shared" si="164"/>
        <v>0.5</v>
      </c>
      <c r="R2679" s="9">
        <f t="shared" si="165"/>
        <v>849.5</v>
      </c>
      <c r="S2679" s="9">
        <f>IF(R2679="",AVERAGEIF(Table1[Category],Table1[[#This Row],[Category]],Table2[orignal data]),Table2[[#This Row],[orignal data]])</f>
        <v>849.5</v>
      </c>
      <c r="T2679" t="str">
        <f t="shared" si="166"/>
        <v>UNIQUE</v>
      </c>
      <c r="U2679" t="str">
        <f>IF(ISBLANK(Table1[[#This Row],[SizeOption]]),"NOT AVAILABLE",Table1[[#This Row],[SizeOption]])</f>
        <v>XS, S, M, L, XL, XXL, 3XL</v>
      </c>
      <c r="Y2679" t="str">
        <f>IF(Table2[[#This Row],[Column1]]&gt;50%,"HIGH DISCOUNT","LOW DISCOUNT")</f>
        <v>LOW DISCOUNT</v>
      </c>
    </row>
    <row r="2680" spans="1:25" x14ac:dyDescent="0.25">
      <c r="A2680" s="1" t="s">
        <v>5634</v>
      </c>
      <c r="B2680" s="1">
        <v>17524668</v>
      </c>
      <c r="C2680" s="1" t="s">
        <v>47</v>
      </c>
      <c r="D2680" s="1" t="s">
        <v>41</v>
      </c>
      <c r="E2680" s="1" t="s">
        <v>42</v>
      </c>
      <c r="F2680" s="1" t="s">
        <v>36</v>
      </c>
      <c r="G2680" s="1" t="s">
        <v>1316</v>
      </c>
      <c r="I2680" s="1">
        <v>1598</v>
      </c>
      <c r="J2680" s="1" t="s">
        <v>84</v>
      </c>
      <c r="K2680" s="1" t="s">
        <v>447</v>
      </c>
      <c r="L2680" s="1">
        <v>4.0999999999999996</v>
      </c>
      <c r="M2680" s="1">
        <v>630</v>
      </c>
      <c r="P2680" t="str">
        <f t="shared" si="167"/>
        <v>50%</v>
      </c>
      <c r="Q2680" s="12">
        <f t="shared" si="164"/>
        <v>0.5</v>
      </c>
      <c r="R2680" s="9">
        <f t="shared" si="165"/>
        <v>799</v>
      </c>
      <c r="S2680" s="9">
        <f>IF(R2680="",AVERAGEIF(Table1[Category],Table1[[#This Row],[Category]],Table2[orignal data]),Table2[[#This Row],[orignal data]])</f>
        <v>799</v>
      </c>
      <c r="T2680" t="str">
        <f t="shared" si="166"/>
        <v>UNIQUE</v>
      </c>
      <c r="U2680" t="str">
        <f>IF(ISBLANK(Table1[[#This Row],[SizeOption]]),"NOT AVAILABLE",Table1[[#This Row],[SizeOption]])</f>
        <v>M, S, XS, XL, L</v>
      </c>
      <c r="Y2680" t="str">
        <f>IF(Table2[[#This Row],[Column1]]&gt;50%,"HIGH DISCOUNT","LOW DISCOUNT")</f>
        <v>LOW DISCOUNT</v>
      </c>
    </row>
    <row r="2681" spans="1:25" x14ac:dyDescent="0.25">
      <c r="A2681" s="2" t="s">
        <v>5635</v>
      </c>
      <c r="B2681" s="2">
        <v>12822674</v>
      </c>
      <c r="C2681" s="2" t="s">
        <v>92</v>
      </c>
      <c r="D2681" s="2" t="s">
        <v>41</v>
      </c>
      <c r="E2681" s="2" t="s">
        <v>53</v>
      </c>
      <c r="F2681" s="2" t="s">
        <v>36</v>
      </c>
      <c r="G2681" s="2" t="s">
        <v>5636</v>
      </c>
      <c r="I2681" s="2">
        <v>899</v>
      </c>
      <c r="J2681" s="2" t="s">
        <v>416</v>
      </c>
      <c r="K2681" s="2" t="s">
        <v>20</v>
      </c>
      <c r="L2681" s="2">
        <v>3.8</v>
      </c>
      <c r="M2681" s="2">
        <v>630</v>
      </c>
      <c r="P2681" t="str">
        <f t="shared" si="167"/>
        <v>64%</v>
      </c>
      <c r="Q2681" s="12">
        <f t="shared" si="164"/>
        <v>0.64</v>
      </c>
      <c r="R2681" s="9">
        <f t="shared" si="165"/>
        <v>323.64</v>
      </c>
      <c r="S2681" s="9">
        <f>IF(R2681="",AVERAGEIF(Table1[Category],Table1[[#This Row],[Category]],Table2[orignal data]),Table2[[#This Row],[orignal data]])</f>
        <v>323.64</v>
      </c>
      <c r="T2681" t="str">
        <f t="shared" si="166"/>
        <v>UNIQUE</v>
      </c>
      <c r="U2681" t="str">
        <f>IF(ISBLANK(Table1[[#This Row],[SizeOption]]),"NOT AVAILABLE",Table1[[#This Row],[SizeOption]])</f>
        <v>28, 30, 32, 34, 36</v>
      </c>
      <c r="Y2681" t="str">
        <f>IF(Table2[[#This Row],[Column1]]&gt;50%,"HIGH DISCOUNT","LOW DISCOUNT")</f>
        <v>HIGH DISCOUNT</v>
      </c>
    </row>
    <row r="2682" spans="1:25" x14ac:dyDescent="0.25">
      <c r="A2682" s="1" t="s">
        <v>5637</v>
      </c>
      <c r="B2682" s="1">
        <v>10764170</v>
      </c>
      <c r="C2682" s="1" t="s">
        <v>14</v>
      </c>
      <c r="D2682" s="1" t="s">
        <v>15</v>
      </c>
      <c r="E2682" s="1" t="s">
        <v>16</v>
      </c>
      <c r="F2682" s="1" t="s">
        <v>17</v>
      </c>
      <c r="G2682" s="1" t="s">
        <v>5638</v>
      </c>
      <c r="H2682">
        <v>879</v>
      </c>
      <c r="I2682" s="1">
        <v>2199</v>
      </c>
      <c r="J2682" s="1" t="s">
        <v>55</v>
      </c>
      <c r="K2682" s="1" t="s">
        <v>20</v>
      </c>
      <c r="L2682" s="1">
        <v>3.8</v>
      </c>
      <c r="M2682" s="1">
        <v>629</v>
      </c>
      <c r="P2682" t="str">
        <f t="shared" si="167"/>
        <v>60%</v>
      </c>
      <c r="Q2682" s="12">
        <f t="shared" si="164"/>
        <v>0.6</v>
      </c>
      <c r="R2682" s="9">
        <f t="shared" si="165"/>
        <v>879.60000000000014</v>
      </c>
      <c r="S2682" s="9">
        <f>IF(R2682="",AVERAGEIF(Table1[Category],Table1[[#This Row],[Category]],Table2[orignal data]),Table2[[#This Row],[orignal data]])</f>
        <v>879.60000000000014</v>
      </c>
      <c r="T2682" t="str">
        <f t="shared" si="166"/>
        <v>UNIQUE</v>
      </c>
      <c r="U2682" t="str">
        <f>IF(ISBLANK(Table1[[#This Row],[SizeOption]]),"NOT AVAILABLE",Table1[[#This Row],[SizeOption]])</f>
        <v>28, 30, 32, 34, 36</v>
      </c>
      <c r="Y2682" t="str">
        <f>IF(Table2[[#This Row],[Column1]]&gt;50%,"HIGH DISCOUNT","LOW DISCOUNT")</f>
        <v>HIGH DISCOUNT</v>
      </c>
    </row>
    <row r="2683" spans="1:25" x14ac:dyDescent="0.25">
      <c r="A2683" s="2" t="s">
        <v>5639</v>
      </c>
      <c r="B2683" s="2">
        <v>5387867</v>
      </c>
      <c r="C2683" s="2" t="s">
        <v>52</v>
      </c>
      <c r="D2683" s="2" t="s">
        <v>15</v>
      </c>
      <c r="E2683" s="2" t="s">
        <v>53</v>
      </c>
      <c r="F2683" s="2" t="s">
        <v>17</v>
      </c>
      <c r="G2683" s="2" t="s">
        <v>5640</v>
      </c>
      <c r="H2683">
        <v>604</v>
      </c>
      <c r="I2683" s="2">
        <v>1549</v>
      </c>
      <c r="J2683" s="2" t="s">
        <v>104</v>
      </c>
      <c r="K2683" s="2" t="s">
        <v>56</v>
      </c>
      <c r="L2683" s="2">
        <v>3.9</v>
      </c>
      <c r="M2683" s="2">
        <v>629</v>
      </c>
      <c r="P2683" t="str">
        <f t="shared" si="167"/>
        <v>61%</v>
      </c>
      <c r="Q2683" s="12">
        <f t="shared" si="164"/>
        <v>0.61</v>
      </c>
      <c r="R2683" s="9">
        <f t="shared" si="165"/>
        <v>604.11</v>
      </c>
      <c r="S2683" s="9">
        <f>IF(R2683="",AVERAGEIF(Table1[Category],Table1[[#This Row],[Category]],Table2[orignal data]),Table2[[#This Row],[orignal data]])</f>
        <v>604.11</v>
      </c>
      <c r="T2683" t="str">
        <f t="shared" si="166"/>
        <v>UNIQUE</v>
      </c>
      <c r="U2683" t="str">
        <f>IF(ISBLANK(Table1[[#This Row],[SizeOption]]),"NOT AVAILABLE",Table1[[#This Row],[SizeOption]])</f>
        <v>30, 32, 34, 36</v>
      </c>
      <c r="Y2683" t="str">
        <f>IF(Table2[[#This Row],[Column1]]&gt;50%,"HIGH DISCOUNT","LOW DISCOUNT")</f>
        <v>HIGH DISCOUNT</v>
      </c>
    </row>
    <row r="2684" spans="1:25" x14ac:dyDescent="0.25">
      <c r="A2684" s="1" t="s">
        <v>5641</v>
      </c>
      <c r="B2684" s="1">
        <v>10285699</v>
      </c>
      <c r="C2684" s="1" t="s">
        <v>52</v>
      </c>
      <c r="D2684" s="1" t="s">
        <v>15</v>
      </c>
      <c r="E2684" s="1" t="s">
        <v>137</v>
      </c>
      <c r="F2684" s="1" t="s">
        <v>17</v>
      </c>
      <c r="G2684" s="1" t="s">
        <v>5642</v>
      </c>
      <c r="H2684">
        <v>587</v>
      </c>
      <c r="I2684" s="1">
        <v>1249</v>
      </c>
      <c r="J2684" s="1" t="s">
        <v>89</v>
      </c>
      <c r="K2684" s="1" t="s">
        <v>56</v>
      </c>
      <c r="L2684" s="1">
        <v>4.3</v>
      </c>
      <c r="M2684" s="1">
        <v>629</v>
      </c>
      <c r="P2684" t="str">
        <f t="shared" si="167"/>
        <v>53%</v>
      </c>
      <c r="Q2684" s="12">
        <f t="shared" si="164"/>
        <v>0.53</v>
      </c>
      <c r="R2684" s="9">
        <f t="shared" si="165"/>
        <v>587.03</v>
      </c>
      <c r="S2684" s="9">
        <f>IF(R2684="",AVERAGEIF(Table1[Category],Table1[[#This Row],[Category]],Table2[orignal data]),Table2[[#This Row],[orignal data]])</f>
        <v>587.03</v>
      </c>
      <c r="T2684" t="str">
        <f t="shared" si="166"/>
        <v>UNIQUE</v>
      </c>
      <c r="U2684" t="str">
        <f>IF(ISBLANK(Table1[[#This Row],[SizeOption]]),"NOT AVAILABLE",Table1[[#This Row],[SizeOption]])</f>
        <v>30, 32, 34, 36</v>
      </c>
      <c r="Y2684" t="str">
        <f>IF(Table2[[#This Row],[Column1]]&gt;50%,"HIGH DISCOUNT","LOW DISCOUNT")</f>
        <v>HIGH DISCOUNT</v>
      </c>
    </row>
    <row r="2685" spans="1:25" x14ac:dyDescent="0.25">
      <c r="A2685" s="2" t="s">
        <v>5643</v>
      </c>
      <c r="B2685" s="2">
        <v>11036310</v>
      </c>
      <c r="C2685" s="2" t="s">
        <v>349</v>
      </c>
      <c r="D2685" s="2" t="s">
        <v>197</v>
      </c>
      <c r="E2685" s="2" t="s">
        <v>296</v>
      </c>
      <c r="F2685" s="2" t="s">
        <v>17</v>
      </c>
      <c r="G2685" s="2" t="s">
        <v>5644</v>
      </c>
      <c r="I2685" s="2">
        <v>398</v>
      </c>
      <c r="J2685" s="2"/>
      <c r="K2685" s="2" t="s">
        <v>352</v>
      </c>
      <c r="L2685" s="2">
        <v>4.4000000000000004</v>
      </c>
      <c r="M2685" s="2">
        <v>629</v>
      </c>
      <c r="P2685" t="str">
        <f t="shared" si="167"/>
        <v/>
      </c>
      <c r="Q2685" s="12" t="str">
        <f t="shared" si="164"/>
        <v/>
      </c>
      <c r="R2685" s="9" t="str">
        <f t="shared" si="165"/>
        <v/>
      </c>
      <c r="S2685" s="9">
        <f>IF(R2685="",AVERAGEIF(Table1[Category],Table1[[#This Row],[Category]],Table2[orignal data]),Table2[[#This Row],[orignal data]])</f>
        <v>552.70900000000006</v>
      </c>
      <c r="T2685" t="str">
        <f t="shared" si="166"/>
        <v>UNIQUE</v>
      </c>
      <c r="U2685" t="str">
        <f>IF(ISBLANK(Table1[[#This Row],[SizeOption]]),"NOT AVAILABLE",Table1[[#This Row],[SizeOption]])</f>
        <v>S, M, L</v>
      </c>
      <c r="Y2685" t="str">
        <f>IF(Table2[[#This Row],[Column1]]&gt;50%,"HIGH DISCOUNT","LOW DISCOUNT")</f>
        <v>HIGH DISCOUNT</v>
      </c>
    </row>
    <row r="2686" spans="1:25" x14ac:dyDescent="0.25">
      <c r="A2686" s="1" t="s">
        <v>5645</v>
      </c>
      <c r="B2686" s="1">
        <v>11639112</v>
      </c>
      <c r="C2686" s="1" t="s">
        <v>349</v>
      </c>
      <c r="D2686" s="1" t="s">
        <v>197</v>
      </c>
      <c r="E2686" s="1" t="s">
        <v>296</v>
      </c>
      <c r="F2686" s="1" t="s">
        <v>17</v>
      </c>
      <c r="G2686" s="1" t="s">
        <v>5646</v>
      </c>
      <c r="I2686" s="1">
        <v>836</v>
      </c>
      <c r="J2686" s="1"/>
      <c r="K2686" s="1" t="s">
        <v>352</v>
      </c>
      <c r="L2686" s="1">
        <v>4.4000000000000004</v>
      </c>
      <c r="M2686" s="1">
        <v>629</v>
      </c>
      <c r="P2686" t="str">
        <f t="shared" si="167"/>
        <v/>
      </c>
      <c r="Q2686" s="12" t="str">
        <f t="shared" si="164"/>
        <v/>
      </c>
      <c r="R2686" s="9" t="str">
        <f t="shared" si="165"/>
        <v/>
      </c>
      <c r="S2686" s="9">
        <f>IF(R2686="",AVERAGEIF(Table1[Category],Table1[[#This Row],[Category]],Table2[orignal data]),Table2[[#This Row],[orignal data]])</f>
        <v>552.70900000000006</v>
      </c>
      <c r="T2686" t="str">
        <f t="shared" si="166"/>
        <v>UNIQUE</v>
      </c>
      <c r="U2686" t="str">
        <f>IF(ISBLANK(Table1[[#This Row],[SizeOption]]),"NOT AVAILABLE",Table1[[#This Row],[SizeOption]])</f>
        <v>S, M, L</v>
      </c>
      <c r="Y2686" t="str">
        <f>IF(Table2[[#This Row],[Column1]]&gt;50%,"HIGH DISCOUNT","LOW DISCOUNT")</f>
        <v>HIGH DISCOUNT</v>
      </c>
    </row>
    <row r="2687" spans="1:25" x14ac:dyDescent="0.25">
      <c r="A2687" s="2" t="s">
        <v>5647</v>
      </c>
      <c r="B2687" s="2">
        <v>13938102</v>
      </c>
      <c r="C2687" s="2" t="s">
        <v>52</v>
      </c>
      <c r="D2687" s="2" t="s">
        <v>28</v>
      </c>
      <c r="E2687" s="2" t="s">
        <v>29</v>
      </c>
      <c r="F2687" s="2" t="s">
        <v>17</v>
      </c>
      <c r="G2687" s="2" t="s">
        <v>1639</v>
      </c>
      <c r="H2687">
        <v>563</v>
      </c>
      <c r="I2687" s="2">
        <v>1199</v>
      </c>
      <c r="J2687" s="2" t="s">
        <v>89</v>
      </c>
      <c r="K2687" s="2" t="s">
        <v>90</v>
      </c>
      <c r="L2687" s="2">
        <v>4.3</v>
      </c>
      <c r="M2687" s="2">
        <v>629</v>
      </c>
      <c r="P2687" t="str">
        <f t="shared" si="167"/>
        <v>53%</v>
      </c>
      <c r="Q2687" s="12">
        <f t="shared" si="164"/>
        <v>0.53</v>
      </c>
      <c r="R2687" s="9">
        <f t="shared" si="165"/>
        <v>563.53</v>
      </c>
      <c r="S2687" s="9">
        <f>IF(R2687="",AVERAGEIF(Table1[Category],Table1[[#This Row],[Category]],Table2[orignal data]),Table2[[#This Row],[orignal data]])</f>
        <v>563.53</v>
      </c>
      <c r="T2687" t="str">
        <f t="shared" si="166"/>
        <v>UNIQUE</v>
      </c>
      <c r="U2687" t="str">
        <f>IF(ISBLANK(Table1[[#This Row],[SizeOption]]),"NOT AVAILABLE",Table1[[#This Row],[SizeOption]])</f>
        <v>39, 40, 42, 44</v>
      </c>
      <c r="Y2687" t="str">
        <f>IF(Table2[[#This Row],[Column1]]&gt;50%,"HIGH DISCOUNT","LOW DISCOUNT")</f>
        <v>HIGH DISCOUNT</v>
      </c>
    </row>
    <row r="2688" spans="1:25" x14ac:dyDescent="0.25">
      <c r="A2688" s="1" t="s">
        <v>5648</v>
      </c>
      <c r="B2688" s="1">
        <v>13488726</v>
      </c>
      <c r="C2688" s="1" t="s">
        <v>1281</v>
      </c>
      <c r="D2688" s="1" t="s">
        <v>28</v>
      </c>
      <c r="E2688" s="1" t="s">
        <v>93</v>
      </c>
      <c r="F2688" s="1" t="s">
        <v>17</v>
      </c>
      <c r="G2688" s="1" t="s">
        <v>5649</v>
      </c>
      <c r="H2688">
        <v>989</v>
      </c>
      <c r="I2688" s="1">
        <v>2199</v>
      </c>
      <c r="J2688" s="1" t="s">
        <v>25</v>
      </c>
      <c r="K2688" s="1" t="s">
        <v>115</v>
      </c>
      <c r="L2688" s="1">
        <v>4.3</v>
      </c>
      <c r="M2688" s="1">
        <v>629</v>
      </c>
      <c r="P2688" t="str">
        <f t="shared" si="167"/>
        <v>55%</v>
      </c>
      <c r="Q2688" s="12">
        <f t="shared" si="164"/>
        <v>0.55000000000000004</v>
      </c>
      <c r="R2688" s="9">
        <f t="shared" si="165"/>
        <v>989.55</v>
      </c>
      <c r="S2688" s="9">
        <f>IF(R2688="",AVERAGEIF(Table1[Category],Table1[[#This Row],[Category]],Table2[orignal data]),Table2[[#This Row],[orignal data]])</f>
        <v>989.55</v>
      </c>
      <c r="T2688" t="str">
        <f t="shared" si="166"/>
        <v>UNIQUE</v>
      </c>
      <c r="U2688" t="str">
        <f>IF(ISBLANK(Table1[[#This Row],[SizeOption]]),"NOT AVAILABLE",Table1[[#This Row],[SizeOption]])</f>
        <v>XS, S, M, L, XL, XXL</v>
      </c>
      <c r="Y2688" t="str">
        <f>IF(Table2[[#This Row],[Column1]]&gt;50%,"HIGH DISCOUNT","LOW DISCOUNT")</f>
        <v>HIGH DISCOUNT</v>
      </c>
    </row>
    <row r="2689" spans="1:25" x14ac:dyDescent="0.25">
      <c r="A2689" s="2" t="s">
        <v>5650</v>
      </c>
      <c r="B2689" s="2">
        <v>16600952</v>
      </c>
      <c r="C2689" s="2" t="s">
        <v>1024</v>
      </c>
      <c r="D2689" s="2" t="s">
        <v>76</v>
      </c>
      <c r="E2689" s="2" t="s">
        <v>77</v>
      </c>
      <c r="F2689" s="2" t="s">
        <v>36</v>
      </c>
      <c r="G2689" s="2" t="s">
        <v>5651</v>
      </c>
      <c r="H2689">
        <v>974</v>
      </c>
      <c r="I2689" s="2">
        <v>3748</v>
      </c>
      <c r="J2689" s="2" t="s">
        <v>2469</v>
      </c>
      <c r="K2689" s="2" t="s">
        <v>39</v>
      </c>
      <c r="L2689" s="2">
        <v>4</v>
      </c>
      <c r="M2689" s="2">
        <v>629</v>
      </c>
      <c r="P2689" t="str">
        <f t="shared" si="167"/>
        <v>74%</v>
      </c>
      <c r="Q2689" s="12">
        <f t="shared" si="164"/>
        <v>0.74</v>
      </c>
      <c r="R2689" s="9">
        <f t="shared" si="165"/>
        <v>974.48</v>
      </c>
      <c r="S2689" s="9">
        <f>IF(R2689="",AVERAGEIF(Table1[Category],Table1[[#This Row],[Category]],Table2[orignal data]),Table2[[#This Row],[orignal data]])</f>
        <v>974.48</v>
      </c>
      <c r="T2689" t="str">
        <f t="shared" si="166"/>
        <v>UNIQUE</v>
      </c>
      <c r="U2689" t="str">
        <f>IF(ISBLANK(Table1[[#This Row],[SizeOption]]),"NOT AVAILABLE",Table1[[#This Row],[SizeOption]])</f>
        <v>S, M, L, XL, XXL</v>
      </c>
      <c r="Y2689" t="str">
        <f>IF(Table2[[#This Row],[Column1]]&gt;50%,"HIGH DISCOUNT","LOW DISCOUNT")</f>
        <v>HIGH DISCOUNT</v>
      </c>
    </row>
    <row r="2690" spans="1:25" x14ac:dyDescent="0.25">
      <c r="A2690" s="1" t="s">
        <v>5652</v>
      </c>
      <c r="B2690" s="1">
        <v>12530346</v>
      </c>
      <c r="C2690" s="1" t="s">
        <v>64</v>
      </c>
      <c r="D2690" s="1" t="s">
        <v>98</v>
      </c>
      <c r="E2690" s="1" t="s">
        <v>93</v>
      </c>
      <c r="F2690" s="1" t="s">
        <v>36</v>
      </c>
      <c r="G2690" s="1" t="s">
        <v>5653</v>
      </c>
      <c r="H2690">
        <v>419</v>
      </c>
      <c r="I2690" s="1">
        <v>1399</v>
      </c>
      <c r="J2690" s="1" t="s">
        <v>79</v>
      </c>
      <c r="K2690" s="1" t="s">
        <v>100</v>
      </c>
      <c r="L2690" s="1">
        <v>4.0999999999999996</v>
      </c>
      <c r="M2690" s="1">
        <v>629</v>
      </c>
      <c r="P2690" t="str">
        <f t="shared" si="167"/>
        <v>70%</v>
      </c>
      <c r="Q2690" s="12">
        <f t="shared" ref="Q2690:Q2753" si="168">IF(P2690="","",IF(ISNUMBER(SEARCH("%",P2690)),P2690,P2690/I2690)*100%)</f>
        <v>0.7</v>
      </c>
      <c r="R2690" s="9">
        <f t="shared" ref="R2690:R2753" si="169">IF(P2690="","",I2690-(I2690*Q2690))</f>
        <v>419.70000000000005</v>
      </c>
      <c r="S2690" s="9">
        <f>IF(R2690="",AVERAGEIF(Table1[Category],Table1[[#This Row],[Category]],Table2[orignal data]),Table2[[#This Row],[orignal data]])</f>
        <v>419.70000000000005</v>
      </c>
      <c r="T2690" t="str">
        <f t="shared" ref="T2690:T2753" si="170">IF(COUNTIF($B$2:$B$5000,B2690)&gt;1,"DUPLICATE","UNIQUE")</f>
        <v>UNIQUE</v>
      </c>
      <c r="U2690" t="str">
        <f>IF(ISBLANK(Table1[[#This Row],[SizeOption]]),"NOT AVAILABLE",Table1[[#This Row],[SizeOption]])</f>
        <v>XS, S, M, L, XL, XXL, 3XL</v>
      </c>
      <c r="Y2690" t="str">
        <f>IF(Table2[[#This Row],[Column1]]&gt;50%,"HIGH DISCOUNT","LOW DISCOUNT")</f>
        <v>HIGH DISCOUNT</v>
      </c>
    </row>
    <row r="2691" spans="1:25" x14ac:dyDescent="0.25">
      <c r="A2691" s="2" t="s">
        <v>5654</v>
      </c>
      <c r="B2691" s="2">
        <v>7106902</v>
      </c>
      <c r="C2691" s="2" t="s">
        <v>377</v>
      </c>
      <c r="D2691" s="2" t="s">
        <v>98</v>
      </c>
      <c r="E2691" s="2" t="s">
        <v>93</v>
      </c>
      <c r="F2691" s="2" t="s">
        <v>36</v>
      </c>
      <c r="G2691" s="2" t="s">
        <v>5655</v>
      </c>
      <c r="H2691">
        <v>542</v>
      </c>
      <c r="I2691" s="2">
        <v>1749</v>
      </c>
      <c r="J2691" s="2" t="s">
        <v>731</v>
      </c>
      <c r="K2691" s="2" t="s">
        <v>100</v>
      </c>
      <c r="L2691" s="2">
        <v>4.0999999999999996</v>
      </c>
      <c r="M2691" s="2">
        <v>629</v>
      </c>
      <c r="P2691" t="str">
        <f t="shared" ref="P2691:P2754" si="171">TRIM(SUBSTITUTE(SUBSTITUTE(SUBSTITUTE(SUBSTITUTE(J2691,"OFF",""),"Rs.",""),"Hurry*",""),",",""))</f>
        <v>69%</v>
      </c>
      <c r="Q2691" s="12">
        <f t="shared" si="168"/>
        <v>0.69</v>
      </c>
      <c r="R2691" s="9">
        <f t="shared" si="169"/>
        <v>542.19000000000005</v>
      </c>
      <c r="S2691" s="9">
        <f>IF(R2691="",AVERAGEIF(Table1[Category],Table1[[#This Row],[Category]],Table2[orignal data]),Table2[[#This Row],[orignal data]])</f>
        <v>542.19000000000005</v>
      </c>
      <c r="T2691" t="str">
        <f t="shared" si="170"/>
        <v>UNIQUE</v>
      </c>
      <c r="U2691" t="str">
        <f>IF(ISBLANK(Table1[[#This Row],[SizeOption]]),"NOT AVAILABLE",Table1[[#This Row],[SizeOption]])</f>
        <v>XS, S, M, L, XL, XXL, 3XL</v>
      </c>
      <c r="Y2691" t="str">
        <f>IF(Table2[[#This Row],[Column1]]&gt;50%,"HIGH DISCOUNT","LOW DISCOUNT")</f>
        <v>HIGH DISCOUNT</v>
      </c>
    </row>
    <row r="2692" spans="1:25" x14ac:dyDescent="0.25">
      <c r="A2692" s="1" t="s">
        <v>5656</v>
      </c>
      <c r="B2692" s="1">
        <v>2447589</v>
      </c>
      <c r="C2692" s="1" t="s">
        <v>377</v>
      </c>
      <c r="D2692" s="1" t="s">
        <v>98</v>
      </c>
      <c r="E2692" s="1" t="s">
        <v>93</v>
      </c>
      <c r="F2692" s="1" t="s">
        <v>36</v>
      </c>
      <c r="G2692" s="1" t="s">
        <v>5657</v>
      </c>
      <c r="H2692">
        <v>719</v>
      </c>
      <c r="I2692" s="1">
        <v>2399</v>
      </c>
      <c r="J2692" s="1" t="s">
        <v>79</v>
      </c>
      <c r="K2692" s="1" t="s">
        <v>39</v>
      </c>
      <c r="L2692" s="1">
        <v>4.3</v>
      </c>
      <c r="M2692" s="1">
        <v>629</v>
      </c>
      <c r="P2692" t="str">
        <f t="shared" si="171"/>
        <v>70%</v>
      </c>
      <c r="Q2692" s="12">
        <f t="shared" si="168"/>
        <v>0.7</v>
      </c>
      <c r="R2692" s="9">
        <f t="shared" si="169"/>
        <v>719.7</v>
      </c>
      <c r="S2692" s="9">
        <f>IF(R2692="",AVERAGEIF(Table1[Category],Table1[[#This Row],[Category]],Table2[orignal data]),Table2[[#This Row],[orignal data]])</f>
        <v>719.7</v>
      </c>
      <c r="T2692" t="str">
        <f t="shared" si="170"/>
        <v>UNIQUE</v>
      </c>
      <c r="U2692" t="str">
        <f>IF(ISBLANK(Table1[[#This Row],[SizeOption]]),"NOT AVAILABLE",Table1[[#This Row],[SizeOption]])</f>
        <v>S, M, L, XL, XXL</v>
      </c>
      <c r="Y2692" t="str">
        <f>IF(Table2[[#This Row],[Column1]]&gt;50%,"HIGH DISCOUNT","LOW DISCOUNT")</f>
        <v>HIGH DISCOUNT</v>
      </c>
    </row>
    <row r="2693" spans="1:25" x14ac:dyDescent="0.25">
      <c r="A2693" s="2" t="s">
        <v>5658</v>
      </c>
      <c r="B2693" s="2">
        <v>1710948</v>
      </c>
      <c r="C2693" s="2" t="s">
        <v>47</v>
      </c>
      <c r="D2693" s="2" t="s">
        <v>41</v>
      </c>
      <c r="E2693" s="2" t="s">
        <v>48</v>
      </c>
      <c r="F2693" s="2" t="s">
        <v>36</v>
      </c>
      <c r="G2693" s="2" t="s">
        <v>5659</v>
      </c>
      <c r="I2693" s="2">
        <v>1099</v>
      </c>
      <c r="J2693" s="2" t="s">
        <v>412</v>
      </c>
      <c r="K2693" s="2" t="s">
        <v>45</v>
      </c>
      <c r="L2693" s="2">
        <v>4.3</v>
      </c>
      <c r="M2693" s="2">
        <v>629</v>
      </c>
      <c r="P2693" t="str">
        <f t="shared" si="171"/>
        <v>20%</v>
      </c>
      <c r="Q2693" s="12">
        <f t="shared" si="168"/>
        <v>0.2</v>
      </c>
      <c r="R2693" s="9">
        <f t="shared" si="169"/>
        <v>879.2</v>
      </c>
      <c r="S2693" s="9">
        <f>IF(R2693="",AVERAGEIF(Table1[Category],Table1[[#This Row],[Category]],Table2[orignal data]),Table2[[#This Row],[orignal data]])</f>
        <v>879.2</v>
      </c>
      <c r="T2693" t="str">
        <f t="shared" si="170"/>
        <v>UNIQUE</v>
      </c>
      <c r="U2693" t="str">
        <f>IF(ISBLANK(Table1[[#This Row],[SizeOption]]),"NOT AVAILABLE",Table1[[#This Row],[SizeOption]])</f>
        <v>XS, S, M, L, XL</v>
      </c>
      <c r="Y2693" t="str">
        <f>IF(Table2[[#This Row],[Column1]]&gt;50%,"HIGH DISCOUNT","LOW DISCOUNT")</f>
        <v>LOW DISCOUNT</v>
      </c>
    </row>
    <row r="2694" spans="1:25" x14ac:dyDescent="0.25">
      <c r="A2694" s="1" t="s">
        <v>5660</v>
      </c>
      <c r="B2694" s="1">
        <v>12374876</v>
      </c>
      <c r="C2694" s="1" t="s">
        <v>887</v>
      </c>
      <c r="D2694" s="1" t="s">
        <v>41</v>
      </c>
      <c r="E2694" s="1" t="s">
        <v>48</v>
      </c>
      <c r="F2694" s="1" t="s">
        <v>36</v>
      </c>
      <c r="G2694" s="1" t="s">
        <v>5661</v>
      </c>
      <c r="I2694" s="1">
        <v>1479</v>
      </c>
      <c r="J2694" s="1" t="s">
        <v>758</v>
      </c>
      <c r="K2694" s="1" t="s">
        <v>26</v>
      </c>
      <c r="L2694" s="1">
        <v>4.3</v>
      </c>
      <c r="M2694" s="1">
        <v>629</v>
      </c>
      <c r="P2694" t="str">
        <f t="shared" si="171"/>
        <v>47%</v>
      </c>
      <c r="Q2694" s="12">
        <f t="shared" si="168"/>
        <v>0.47</v>
      </c>
      <c r="R2694" s="9">
        <f t="shared" si="169"/>
        <v>783.87</v>
      </c>
      <c r="S2694" s="9">
        <f>IF(R2694="",AVERAGEIF(Table1[Category],Table1[[#This Row],[Category]],Table2[orignal data]),Table2[[#This Row],[orignal data]])</f>
        <v>783.87</v>
      </c>
      <c r="T2694" t="str">
        <f t="shared" si="170"/>
        <v>UNIQUE</v>
      </c>
      <c r="U2694" t="str">
        <f>IF(ISBLANK(Table1[[#This Row],[SizeOption]]),"NOT AVAILABLE",Table1[[#This Row],[SizeOption]])</f>
        <v>S, M, L, XL</v>
      </c>
      <c r="Y2694" t="str">
        <f>IF(Table2[[#This Row],[Column1]]&gt;50%,"HIGH DISCOUNT","LOW DISCOUNT")</f>
        <v>LOW DISCOUNT</v>
      </c>
    </row>
    <row r="2695" spans="1:25" x14ac:dyDescent="0.25">
      <c r="A2695" s="2" t="s">
        <v>5662</v>
      </c>
      <c r="B2695" s="2">
        <v>10377129</v>
      </c>
      <c r="C2695" s="2" t="s">
        <v>14</v>
      </c>
      <c r="D2695" s="2" t="s">
        <v>41</v>
      </c>
      <c r="E2695" s="2" t="s">
        <v>1881</v>
      </c>
      <c r="F2695" s="2" t="s">
        <v>36</v>
      </c>
      <c r="G2695" s="2" t="s">
        <v>5663</v>
      </c>
      <c r="I2695" s="2">
        <v>1799</v>
      </c>
      <c r="J2695" s="2" t="s">
        <v>55</v>
      </c>
      <c r="K2695" s="2" t="s">
        <v>115</v>
      </c>
      <c r="L2695" s="2">
        <v>4.3</v>
      </c>
      <c r="M2695" s="2">
        <v>629</v>
      </c>
      <c r="P2695" t="str">
        <f t="shared" si="171"/>
        <v>60%</v>
      </c>
      <c r="Q2695" s="12">
        <f t="shared" si="168"/>
        <v>0.6</v>
      </c>
      <c r="R2695" s="9">
        <f t="shared" si="169"/>
        <v>719.60000000000014</v>
      </c>
      <c r="S2695" s="9">
        <f>IF(R2695="",AVERAGEIF(Table1[Category],Table1[[#This Row],[Category]],Table2[orignal data]),Table2[[#This Row],[orignal data]])</f>
        <v>719.60000000000014</v>
      </c>
      <c r="T2695" t="str">
        <f t="shared" si="170"/>
        <v>UNIQUE</v>
      </c>
      <c r="U2695" t="str">
        <f>IF(ISBLANK(Table1[[#This Row],[SizeOption]]),"NOT AVAILABLE",Table1[[#This Row],[SizeOption]])</f>
        <v>XS, S, M, L, XL, XXL</v>
      </c>
      <c r="Y2695" t="str">
        <f>IF(Table2[[#This Row],[Column1]]&gt;50%,"HIGH DISCOUNT","LOW DISCOUNT")</f>
        <v>HIGH DISCOUNT</v>
      </c>
    </row>
    <row r="2696" spans="1:25" x14ac:dyDescent="0.25">
      <c r="A2696" s="1" t="s">
        <v>5664</v>
      </c>
      <c r="B2696" s="1">
        <v>11644202</v>
      </c>
      <c r="C2696" s="1" t="s">
        <v>81</v>
      </c>
      <c r="D2696" s="1" t="s">
        <v>41</v>
      </c>
      <c r="E2696" s="1" t="s">
        <v>82</v>
      </c>
      <c r="F2696" s="1" t="s">
        <v>36</v>
      </c>
      <c r="G2696" s="1" t="s">
        <v>5665</v>
      </c>
      <c r="I2696" s="1">
        <v>2499</v>
      </c>
      <c r="J2696" s="1" t="s">
        <v>758</v>
      </c>
      <c r="K2696" s="1" t="s">
        <v>45</v>
      </c>
      <c r="L2696" s="1">
        <v>4.5</v>
      </c>
      <c r="M2696" s="1">
        <v>629</v>
      </c>
      <c r="P2696" t="str">
        <f t="shared" si="171"/>
        <v>47%</v>
      </c>
      <c r="Q2696" s="12">
        <f t="shared" si="168"/>
        <v>0.47</v>
      </c>
      <c r="R2696" s="9">
        <f t="shared" si="169"/>
        <v>1324.47</v>
      </c>
      <c r="S2696" s="9">
        <f>IF(R2696="",AVERAGEIF(Table1[Category],Table1[[#This Row],[Category]],Table2[orignal data]),Table2[[#This Row],[orignal data]])</f>
        <v>1324.47</v>
      </c>
      <c r="T2696" t="str">
        <f t="shared" si="170"/>
        <v>UNIQUE</v>
      </c>
      <c r="U2696" t="str">
        <f>IF(ISBLANK(Table1[[#This Row],[SizeOption]]),"NOT AVAILABLE",Table1[[#This Row],[SizeOption]])</f>
        <v>XS, S, M, L, XL</v>
      </c>
      <c r="Y2696" t="str">
        <f>IF(Table2[[#This Row],[Column1]]&gt;50%,"HIGH DISCOUNT","LOW DISCOUNT")</f>
        <v>LOW DISCOUNT</v>
      </c>
    </row>
    <row r="2697" spans="1:25" x14ac:dyDescent="0.25">
      <c r="A2697" s="2" t="s">
        <v>5666</v>
      </c>
      <c r="B2697" s="2">
        <v>11109404</v>
      </c>
      <c r="C2697" s="2" t="s">
        <v>887</v>
      </c>
      <c r="D2697" s="2" t="s">
        <v>41</v>
      </c>
      <c r="E2697" s="2" t="s">
        <v>148</v>
      </c>
      <c r="F2697" s="2" t="s">
        <v>36</v>
      </c>
      <c r="G2697" s="2" t="s">
        <v>5667</v>
      </c>
      <c r="I2697" s="2">
        <v>2499</v>
      </c>
      <c r="J2697" s="2" t="s">
        <v>1377</v>
      </c>
      <c r="K2697" s="2" t="s">
        <v>26</v>
      </c>
      <c r="L2697" s="2">
        <v>4.2</v>
      </c>
      <c r="M2697" s="2">
        <v>629</v>
      </c>
      <c r="P2697" t="str">
        <f t="shared" si="171"/>
        <v>72%</v>
      </c>
      <c r="Q2697" s="12">
        <f t="shared" si="168"/>
        <v>0.72</v>
      </c>
      <c r="R2697" s="9">
        <f t="shared" si="169"/>
        <v>699.72</v>
      </c>
      <c r="S2697" s="9">
        <f>IF(R2697="",AVERAGEIF(Table1[Category],Table1[[#This Row],[Category]],Table2[orignal data]),Table2[[#This Row],[orignal data]])</f>
        <v>699.72</v>
      </c>
      <c r="T2697" t="str">
        <f t="shared" si="170"/>
        <v>UNIQUE</v>
      </c>
      <c r="U2697" t="str">
        <f>IF(ISBLANK(Table1[[#This Row],[SizeOption]]),"NOT AVAILABLE",Table1[[#This Row],[SizeOption]])</f>
        <v>S, M, L, XL</v>
      </c>
      <c r="Y2697" t="str">
        <f>IF(Table2[[#This Row],[Column1]]&gt;50%,"HIGH DISCOUNT","LOW DISCOUNT")</f>
        <v>HIGH DISCOUNT</v>
      </c>
    </row>
    <row r="2698" spans="1:25" x14ac:dyDescent="0.25">
      <c r="A2698" s="1" t="s">
        <v>5668</v>
      </c>
      <c r="B2698" s="1">
        <v>17383070</v>
      </c>
      <c r="C2698" s="1" t="s">
        <v>14</v>
      </c>
      <c r="D2698" s="1" t="s">
        <v>41</v>
      </c>
      <c r="E2698" s="1" t="s">
        <v>42</v>
      </c>
      <c r="F2698" s="1" t="s">
        <v>36</v>
      </c>
      <c r="G2698" s="1" t="s">
        <v>5669</v>
      </c>
      <c r="I2698" s="1">
        <v>1498</v>
      </c>
      <c r="J2698" s="1"/>
      <c r="K2698" s="1" t="s">
        <v>146</v>
      </c>
      <c r="L2698" s="1">
        <v>4.3</v>
      </c>
      <c r="M2698" s="1">
        <v>629</v>
      </c>
      <c r="P2698" t="str">
        <f t="shared" si="171"/>
        <v/>
      </c>
      <c r="Q2698" s="12" t="str">
        <f t="shared" si="168"/>
        <v/>
      </c>
      <c r="R2698" s="9" t="str">
        <f t="shared" si="169"/>
        <v/>
      </c>
      <c r="S2698" s="9">
        <f>IF(R2698="",AVERAGEIF(Table1[Category],Table1[[#This Row],[Category]],Table2[orignal data]),Table2[[#This Row],[orignal data]])</f>
        <v>715.78890751086249</v>
      </c>
      <c r="T2698" t="str">
        <f t="shared" si="170"/>
        <v>UNIQUE</v>
      </c>
      <c r="U2698" t="str">
        <f>IF(ISBLANK(Table1[[#This Row],[SizeOption]]),"NOT AVAILABLE",Table1[[#This Row],[SizeOption]])</f>
        <v>L, M, S, XS, XL</v>
      </c>
      <c r="Y2698" t="str">
        <f>IF(Table2[[#This Row],[Column1]]&gt;50%,"HIGH DISCOUNT","LOW DISCOUNT")</f>
        <v>HIGH DISCOUNT</v>
      </c>
    </row>
    <row r="2699" spans="1:25" x14ac:dyDescent="0.25">
      <c r="A2699" s="2" t="s">
        <v>5670</v>
      </c>
      <c r="B2699" s="2">
        <v>12180550</v>
      </c>
      <c r="C2699" s="2" t="s">
        <v>14</v>
      </c>
      <c r="D2699" s="2" t="s">
        <v>15</v>
      </c>
      <c r="E2699" s="2" t="s">
        <v>53</v>
      </c>
      <c r="F2699" s="2" t="s">
        <v>17</v>
      </c>
      <c r="G2699" s="2" t="s">
        <v>5671</v>
      </c>
      <c r="H2699">
        <v>1199</v>
      </c>
      <c r="I2699" s="2">
        <v>1999</v>
      </c>
      <c r="J2699" s="2" t="s">
        <v>50</v>
      </c>
      <c r="K2699" s="2" t="s">
        <v>195</v>
      </c>
      <c r="L2699" s="2">
        <v>4.2</v>
      </c>
      <c r="M2699" s="2">
        <v>628</v>
      </c>
      <c r="P2699" t="str">
        <f t="shared" si="171"/>
        <v>40%</v>
      </c>
      <c r="Q2699" s="12">
        <f t="shared" si="168"/>
        <v>0.4</v>
      </c>
      <c r="R2699" s="9">
        <f t="shared" si="169"/>
        <v>1199.4000000000001</v>
      </c>
      <c r="S2699" s="9">
        <f>IF(R2699="",AVERAGEIF(Table1[Category],Table1[[#This Row],[Category]],Table2[orignal data]),Table2[[#This Row],[orignal data]])</f>
        <v>1199.4000000000001</v>
      </c>
      <c r="T2699" t="str">
        <f t="shared" si="170"/>
        <v>UNIQUE</v>
      </c>
      <c r="U2699" t="str">
        <f>IF(ISBLANK(Table1[[#This Row],[SizeOption]]),"NOT AVAILABLE",Table1[[#This Row],[SizeOption]])</f>
        <v>28, 30, 32, 34, 36, 38, 40</v>
      </c>
      <c r="Y2699" t="str">
        <f>IF(Table2[[#This Row],[Column1]]&gt;50%,"HIGH DISCOUNT","LOW DISCOUNT")</f>
        <v>LOW DISCOUNT</v>
      </c>
    </row>
    <row r="2700" spans="1:25" x14ac:dyDescent="0.25">
      <c r="A2700" s="1" t="s">
        <v>5672</v>
      </c>
      <c r="B2700" s="1">
        <v>1966134</v>
      </c>
      <c r="C2700" s="1" t="s">
        <v>4545</v>
      </c>
      <c r="D2700" s="1" t="s">
        <v>28</v>
      </c>
      <c r="E2700" s="1" t="s">
        <v>42</v>
      </c>
      <c r="F2700" s="1" t="s">
        <v>17</v>
      </c>
      <c r="G2700" s="1" t="s">
        <v>5673</v>
      </c>
      <c r="H2700">
        <v>599</v>
      </c>
      <c r="I2700" s="1">
        <v>1499</v>
      </c>
      <c r="J2700" s="1" t="s">
        <v>55</v>
      </c>
      <c r="K2700" s="1" t="s">
        <v>39</v>
      </c>
      <c r="L2700" s="1">
        <v>4.0999999999999996</v>
      </c>
      <c r="M2700" s="1">
        <v>628</v>
      </c>
      <c r="P2700" t="str">
        <f t="shared" si="171"/>
        <v>60%</v>
      </c>
      <c r="Q2700" s="12">
        <f t="shared" si="168"/>
        <v>0.6</v>
      </c>
      <c r="R2700" s="9">
        <f t="shared" si="169"/>
        <v>599.6</v>
      </c>
      <c r="S2700" s="9">
        <f>IF(R2700="",AVERAGEIF(Table1[Category],Table1[[#This Row],[Category]],Table2[orignal data]),Table2[[#This Row],[orignal data]])</f>
        <v>599.6</v>
      </c>
      <c r="T2700" t="str">
        <f t="shared" si="170"/>
        <v>UNIQUE</v>
      </c>
      <c r="U2700" t="str">
        <f>IF(ISBLANK(Table1[[#This Row],[SizeOption]]),"NOT AVAILABLE",Table1[[#This Row],[SizeOption]])</f>
        <v>S, M, L, XL, XXL</v>
      </c>
      <c r="Y2700" t="str">
        <f>IF(Table2[[#This Row],[Column1]]&gt;50%,"HIGH DISCOUNT","LOW DISCOUNT")</f>
        <v>HIGH DISCOUNT</v>
      </c>
    </row>
    <row r="2701" spans="1:25" x14ac:dyDescent="0.25">
      <c r="A2701" s="2" t="s">
        <v>5674</v>
      </c>
      <c r="B2701" s="2">
        <v>10187601</v>
      </c>
      <c r="C2701" s="2" t="s">
        <v>169</v>
      </c>
      <c r="D2701" s="2" t="s">
        <v>28</v>
      </c>
      <c r="E2701" s="2" t="s">
        <v>29</v>
      </c>
      <c r="F2701" s="2" t="s">
        <v>17</v>
      </c>
      <c r="G2701" s="2" t="s">
        <v>5675</v>
      </c>
      <c r="H2701">
        <v>1099</v>
      </c>
      <c r="I2701" s="2">
        <v>2199</v>
      </c>
      <c r="J2701" s="2" t="s">
        <v>84</v>
      </c>
      <c r="K2701" s="2" t="s">
        <v>484</v>
      </c>
      <c r="L2701" s="2">
        <v>4.2</v>
      </c>
      <c r="M2701" s="2">
        <v>628</v>
      </c>
      <c r="P2701" t="str">
        <f t="shared" si="171"/>
        <v>50%</v>
      </c>
      <c r="Q2701" s="12">
        <f t="shared" si="168"/>
        <v>0.5</v>
      </c>
      <c r="R2701" s="9">
        <f t="shared" si="169"/>
        <v>1099.5</v>
      </c>
      <c r="S2701" s="9">
        <f>IF(R2701="",AVERAGEIF(Table1[Category],Table1[[#This Row],[Category]],Table2[orignal data]),Table2[[#This Row],[orignal data]])</f>
        <v>1099.5</v>
      </c>
      <c r="T2701" t="str">
        <f t="shared" si="170"/>
        <v>UNIQUE</v>
      </c>
      <c r="U2701" t="str">
        <f>IF(ISBLANK(Table1[[#This Row],[SizeOption]]),"NOT AVAILABLE",Table1[[#This Row],[SizeOption]])</f>
        <v>39, 40, 42, 44, 46</v>
      </c>
      <c r="Y2701" t="str">
        <f>IF(Table2[[#This Row],[Column1]]&gt;50%,"HIGH DISCOUNT","LOW DISCOUNT")</f>
        <v>LOW DISCOUNT</v>
      </c>
    </row>
    <row r="2702" spans="1:25" x14ac:dyDescent="0.25">
      <c r="A2702" s="1" t="s">
        <v>5676</v>
      </c>
      <c r="B2702" s="1">
        <v>17062988</v>
      </c>
      <c r="C2702" s="1" t="s">
        <v>837</v>
      </c>
      <c r="D2702" s="1" t="s">
        <v>76</v>
      </c>
      <c r="E2702" s="1" t="s">
        <v>77</v>
      </c>
      <c r="F2702" s="1" t="s">
        <v>36</v>
      </c>
      <c r="G2702" s="1" t="s">
        <v>5677</v>
      </c>
      <c r="H2702">
        <v>887</v>
      </c>
      <c r="I2702" s="1">
        <v>3699</v>
      </c>
      <c r="J2702" s="1" t="s">
        <v>5678</v>
      </c>
      <c r="K2702" s="1" t="s">
        <v>39</v>
      </c>
      <c r="L2702" s="1">
        <v>4.0999999999999996</v>
      </c>
      <c r="M2702" s="1">
        <v>628</v>
      </c>
      <c r="P2702" t="str">
        <f t="shared" si="171"/>
        <v>76%</v>
      </c>
      <c r="Q2702" s="12">
        <f t="shared" si="168"/>
        <v>0.76</v>
      </c>
      <c r="R2702" s="9">
        <f t="shared" si="169"/>
        <v>887.75999999999976</v>
      </c>
      <c r="S2702" s="9">
        <f>IF(R2702="",AVERAGEIF(Table1[Category],Table1[[#This Row],[Category]],Table2[orignal data]),Table2[[#This Row],[orignal data]])</f>
        <v>887.75999999999976</v>
      </c>
      <c r="T2702" t="str">
        <f t="shared" si="170"/>
        <v>UNIQUE</v>
      </c>
      <c r="U2702" t="str">
        <f>IF(ISBLANK(Table1[[#This Row],[SizeOption]]),"NOT AVAILABLE",Table1[[#This Row],[SizeOption]])</f>
        <v>S, M, L, XL, XXL</v>
      </c>
      <c r="Y2702" t="str">
        <f>IF(Table2[[#This Row],[Column1]]&gt;50%,"HIGH DISCOUNT","LOW DISCOUNT")</f>
        <v>HIGH DISCOUNT</v>
      </c>
    </row>
    <row r="2703" spans="1:25" x14ac:dyDescent="0.25">
      <c r="A2703" s="2" t="s">
        <v>5679</v>
      </c>
      <c r="B2703" s="2">
        <v>8350053</v>
      </c>
      <c r="C2703" s="2" t="s">
        <v>97</v>
      </c>
      <c r="D2703" s="2" t="s">
        <v>76</v>
      </c>
      <c r="E2703" s="2" t="s">
        <v>77</v>
      </c>
      <c r="F2703" s="2" t="s">
        <v>36</v>
      </c>
      <c r="G2703" s="2" t="s">
        <v>5680</v>
      </c>
      <c r="H2703">
        <v>1714</v>
      </c>
      <c r="I2703" s="2">
        <v>4899</v>
      </c>
      <c r="J2703" s="2" t="s">
        <v>150</v>
      </c>
      <c r="K2703" s="2" t="s">
        <v>100</v>
      </c>
      <c r="L2703" s="2">
        <v>4.0999999999999996</v>
      </c>
      <c r="M2703" s="2">
        <v>628</v>
      </c>
      <c r="P2703" t="str">
        <f t="shared" si="171"/>
        <v>65%</v>
      </c>
      <c r="Q2703" s="12">
        <f t="shared" si="168"/>
        <v>0.65</v>
      </c>
      <c r="R2703" s="9">
        <f t="shared" si="169"/>
        <v>1714.65</v>
      </c>
      <c r="S2703" s="9">
        <f>IF(R2703="",AVERAGEIF(Table1[Category],Table1[[#This Row],[Category]],Table2[orignal data]),Table2[[#This Row],[orignal data]])</f>
        <v>1714.65</v>
      </c>
      <c r="T2703" t="str">
        <f t="shared" si="170"/>
        <v>UNIQUE</v>
      </c>
      <c r="U2703" t="str">
        <f>IF(ISBLANK(Table1[[#This Row],[SizeOption]]),"NOT AVAILABLE",Table1[[#This Row],[SizeOption]])</f>
        <v>XS, S, M, L, XL, XXL, 3XL</v>
      </c>
      <c r="Y2703" t="str">
        <f>IF(Table2[[#This Row],[Column1]]&gt;50%,"HIGH DISCOUNT","LOW DISCOUNT")</f>
        <v>HIGH DISCOUNT</v>
      </c>
    </row>
    <row r="2704" spans="1:25" x14ac:dyDescent="0.25">
      <c r="A2704" s="1" t="s">
        <v>5681</v>
      </c>
      <c r="B2704" s="1">
        <v>15313286</v>
      </c>
      <c r="C2704" s="1" t="s">
        <v>64</v>
      </c>
      <c r="D2704" s="1" t="s">
        <v>98</v>
      </c>
      <c r="E2704" s="1" t="s">
        <v>42</v>
      </c>
      <c r="F2704" s="1" t="s">
        <v>36</v>
      </c>
      <c r="G2704" s="1" t="s">
        <v>5682</v>
      </c>
      <c r="H2704">
        <v>319</v>
      </c>
      <c r="I2704" s="1">
        <v>799</v>
      </c>
      <c r="J2704" s="1" t="s">
        <v>141</v>
      </c>
      <c r="K2704" s="1" t="s">
        <v>100</v>
      </c>
      <c r="L2704" s="1">
        <v>4.3</v>
      </c>
      <c r="M2704" s="1">
        <v>628</v>
      </c>
      <c r="P2704" t="str">
        <f t="shared" si="171"/>
        <v>60%</v>
      </c>
      <c r="Q2704" s="12">
        <f t="shared" si="168"/>
        <v>0.6</v>
      </c>
      <c r="R2704" s="9">
        <f t="shared" si="169"/>
        <v>319.60000000000002</v>
      </c>
      <c r="S2704" s="9">
        <f>IF(R2704="",AVERAGEIF(Table1[Category],Table1[[#This Row],[Category]],Table2[orignal data]),Table2[[#This Row],[orignal data]])</f>
        <v>319.60000000000002</v>
      </c>
      <c r="T2704" t="str">
        <f t="shared" si="170"/>
        <v>UNIQUE</v>
      </c>
      <c r="U2704" t="str">
        <f>IF(ISBLANK(Table1[[#This Row],[SizeOption]]),"NOT AVAILABLE",Table1[[#This Row],[SizeOption]])</f>
        <v>XS, S, M, L, XL, XXL, 3XL</v>
      </c>
      <c r="Y2704" t="str">
        <f>IF(Table2[[#This Row],[Column1]]&gt;50%,"HIGH DISCOUNT","LOW DISCOUNT")</f>
        <v>HIGH DISCOUNT</v>
      </c>
    </row>
    <row r="2705" spans="1:25" x14ac:dyDescent="0.25">
      <c r="A2705" s="2" t="s">
        <v>5683</v>
      </c>
      <c r="B2705" s="2">
        <v>10054581</v>
      </c>
      <c r="C2705" s="2" t="s">
        <v>1158</v>
      </c>
      <c r="D2705" s="2" t="s">
        <v>41</v>
      </c>
      <c r="E2705" s="2" t="s">
        <v>48</v>
      </c>
      <c r="F2705" s="2" t="s">
        <v>36</v>
      </c>
      <c r="G2705" s="2" t="s">
        <v>5684</v>
      </c>
      <c r="I2705" s="2">
        <v>1170</v>
      </c>
      <c r="J2705" s="2" t="s">
        <v>55</v>
      </c>
      <c r="K2705" s="2" t="s">
        <v>311</v>
      </c>
      <c r="L2705" s="2">
        <v>3.8</v>
      </c>
      <c r="M2705" s="2">
        <v>628</v>
      </c>
      <c r="P2705" t="str">
        <f t="shared" si="171"/>
        <v>60%</v>
      </c>
      <c r="Q2705" s="12">
        <f t="shared" si="168"/>
        <v>0.6</v>
      </c>
      <c r="R2705" s="9">
        <f t="shared" si="169"/>
        <v>468</v>
      </c>
      <c r="S2705" s="9">
        <f>IF(R2705="",AVERAGEIF(Table1[Category],Table1[[#This Row],[Category]],Table2[orignal data]),Table2[[#This Row],[orignal data]])</f>
        <v>468</v>
      </c>
      <c r="T2705" t="str">
        <f t="shared" si="170"/>
        <v>UNIQUE</v>
      </c>
      <c r="U2705" t="str">
        <f>IF(ISBLANK(Table1[[#This Row],[SizeOption]]),"NOT AVAILABLE",Table1[[#This Row],[SizeOption]])</f>
        <v>XS, S, M, L</v>
      </c>
      <c r="Y2705" t="str">
        <f>IF(Table2[[#This Row],[Column1]]&gt;50%,"HIGH DISCOUNT","LOW DISCOUNT")</f>
        <v>HIGH DISCOUNT</v>
      </c>
    </row>
    <row r="2706" spans="1:25" x14ac:dyDescent="0.25">
      <c r="A2706" s="1" t="s">
        <v>5685</v>
      </c>
      <c r="B2706" s="1">
        <v>11144258</v>
      </c>
      <c r="C2706" s="1" t="s">
        <v>47</v>
      </c>
      <c r="D2706" s="1" t="s">
        <v>41</v>
      </c>
      <c r="E2706" s="1" t="s">
        <v>48</v>
      </c>
      <c r="F2706" s="1" t="s">
        <v>36</v>
      </c>
      <c r="G2706" s="1" t="s">
        <v>5686</v>
      </c>
      <c r="I2706" s="1">
        <v>1499</v>
      </c>
      <c r="J2706" s="1" t="s">
        <v>44</v>
      </c>
      <c r="K2706" s="1" t="s">
        <v>45</v>
      </c>
      <c r="L2706" s="1">
        <v>4.4000000000000004</v>
      </c>
      <c r="M2706" s="1">
        <v>628</v>
      </c>
      <c r="P2706" t="str">
        <f t="shared" si="171"/>
        <v>35%</v>
      </c>
      <c r="Q2706" s="12">
        <f t="shared" si="168"/>
        <v>0.35</v>
      </c>
      <c r="R2706" s="9">
        <f t="shared" si="169"/>
        <v>974.35</v>
      </c>
      <c r="S2706" s="9">
        <f>IF(R2706="",AVERAGEIF(Table1[Category],Table1[[#This Row],[Category]],Table2[orignal data]),Table2[[#This Row],[orignal data]])</f>
        <v>974.35</v>
      </c>
      <c r="T2706" t="str">
        <f t="shared" si="170"/>
        <v>UNIQUE</v>
      </c>
      <c r="U2706" t="str">
        <f>IF(ISBLANK(Table1[[#This Row],[SizeOption]]),"NOT AVAILABLE",Table1[[#This Row],[SizeOption]])</f>
        <v>XS, S, M, L, XL</v>
      </c>
      <c r="Y2706" t="str">
        <f>IF(Table2[[#This Row],[Column1]]&gt;50%,"HIGH DISCOUNT","LOW DISCOUNT")</f>
        <v>LOW DISCOUNT</v>
      </c>
    </row>
    <row r="2707" spans="1:25" x14ac:dyDescent="0.25">
      <c r="A2707" s="2" t="s">
        <v>5687</v>
      </c>
      <c r="B2707" s="2">
        <v>11144044</v>
      </c>
      <c r="C2707" s="2" t="s">
        <v>47</v>
      </c>
      <c r="D2707" s="2" t="s">
        <v>41</v>
      </c>
      <c r="E2707" s="2" t="s">
        <v>48</v>
      </c>
      <c r="F2707" s="2" t="s">
        <v>36</v>
      </c>
      <c r="G2707" s="2" t="s">
        <v>5688</v>
      </c>
      <c r="I2707" s="2">
        <v>1599</v>
      </c>
      <c r="J2707" s="2" t="s">
        <v>1005</v>
      </c>
      <c r="K2707" s="2" t="s">
        <v>45</v>
      </c>
      <c r="L2707" s="2">
        <v>3.9</v>
      </c>
      <c r="M2707" s="2">
        <v>628</v>
      </c>
      <c r="P2707" t="str">
        <f t="shared" si="171"/>
        <v>10%</v>
      </c>
      <c r="Q2707" s="12">
        <f t="shared" si="168"/>
        <v>0.1</v>
      </c>
      <c r="R2707" s="9">
        <f t="shared" si="169"/>
        <v>1439.1</v>
      </c>
      <c r="S2707" s="9">
        <f>IF(R2707="",AVERAGEIF(Table1[Category],Table1[[#This Row],[Category]],Table2[orignal data]),Table2[[#This Row],[orignal data]])</f>
        <v>1439.1</v>
      </c>
      <c r="T2707" t="str">
        <f t="shared" si="170"/>
        <v>UNIQUE</v>
      </c>
      <c r="U2707" t="str">
        <f>IF(ISBLANK(Table1[[#This Row],[SizeOption]]),"NOT AVAILABLE",Table1[[#This Row],[SizeOption]])</f>
        <v>XS, S, M, L, XL</v>
      </c>
      <c r="Y2707" t="str">
        <f>IF(Table2[[#This Row],[Column1]]&gt;50%,"HIGH DISCOUNT","LOW DISCOUNT")</f>
        <v>LOW DISCOUNT</v>
      </c>
    </row>
    <row r="2708" spans="1:25" x14ac:dyDescent="0.25">
      <c r="A2708" s="1" t="s">
        <v>5689</v>
      </c>
      <c r="B2708" s="1">
        <v>12180558</v>
      </c>
      <c r="C2708" s="1" t="s">
        <v>14</v>
      </c>
      <c r="D2708" s="1" t="s">
        <v>15</v>
      </c>
      <c r="E2708" s="1" t="s">
        <v>53</v>
      </c>
      <c r="F2708" s="1" t="s">
        <v>17</v>
      </c>
      <c r="G2708" s="1" t="s">
        <v>5690</v>
      </c>
      <c r="I2708" s="1">
        <v>2199</v>
      </c>
      <c r="J2708" s="1"/>
      <c r="K2708" s="1" t="s">
        <v>195</v>
      </c>
      <c r="L2708" s="1">
        <v>4.4000000000000004</v>
      </c>
      <c r="M2708" s="1">
        <v>627</v>
      </c>
      <c r="P2708" t="str">
        <f t="shared" si="171"/>
        <v/>
      </c>
      <c r="Q2708" s="12" t="str">
        <f t="shared" si="168"/>
        <v/>
      </c>
      <c r="R2708" s="9" t="str">
        <f t="shared" si="169"/>
        <v/>
      </c>
      <c r="S2708" s="9">
        <f>IF(R2708="",AVERAGEIF(Table1[Category],Table1[[#This Row],[Category]],Table2[orignal data]),Table2[[#This Row],[orignal data]])</f>
        <v>892.27590339892538</v>
      </c>
      <c r="T2708" t="str">
        <f t="shared" si="170"/>
        <v>UNIQUE</v>
      </c>
      <c r="U2708" t="str">
        <f>IF(ISBLANK(Table1[[#This Row],[SizeOption]]),"NOT AVAILABLE",Table1[[#This Row],[SizeOption]])</f>
        <v>28, 30, 32, 34, 36, 38, 40</v>
      </c>
      <c r="Y2708" t="str">
        <f>IF(Table2[[#This Row],[Column1]]&gt;50%,"HIGH DISCOUNT","LOW DISCOUNT")</f>
        <v>HIGH DISCOUNT</v>
      </c>
    </row>
    <row r="2709" spans="1:25" x14ac:dyDescent="0.25">
      <c r="A2709" s="2" t="s">
        <v>5691</v>
      </c>
      <c r="B2709" s="2">
        <v>10646514</v>
      </c>
      <c r="C2709" s="2" t="s">
        <v>22</v>
      </c>
      <c r="D2709" s="2" t="s">
        <v>15</v>
      </c>
      <c r="E2709" s="2" t="s">
        <v>16</v>
      </c>
      <c r="F2709" s="2" t="s">
        <v>17</v>
      </c>
      <c r="G2709" s="2" t="s">
        <v>5692</v>
      </c>
      <c r="H2709">
        <v>874</v>
      </c>
      <c r="I2709" s="2">
        <v>2499</v>
      </c>
      <c r="J2709" s="2" t="s">
        <v>150</v>
      </c>
      <c r="K2709" s="2" t="s">
        <v>56</v>
      </c>
      <c r="L2709" s="2">
        <v>3.9</v>
      </c>
      <c r="M2709" s="2">
        <v>627</v>
      </c>
      <c r="P2709" t="str">
        <f t="shared" si="171"/>
        <v>65%</v>
      </c>
      <c r="Q2709" s="12">
        <f t="shared" si="168"/>
        <v>0.65</v>
      </c>
      <c r="R2709" s="9">
        <f t="shared" si="169"/>
        <v>874.64999999999986</v>
      </c>
      <c r="S2709" s="9">
        <f>IF(R2709="",AVERAGEIF(Table1[Category],Table1[[#This Row],[Category]],Table2[orignal data]),Table2[[#This Row],[orignal data]])</f>
        <v>874.64999999999986</v>
      </c>
      <c r="T2709" t="str">
        <f t="shared" si="170"/>
        <v>UNIQUE</v>
      </c>
      <c r="U2709" t="str">
        <f>IF(ISBLANK(Table1[[#This Row],[SizeOption]]),"NOT AVAILABLE",Table1[[#This Row],[SizeOption]])</f>
        <v>30, 32, 34, 36</v>
      </c>
      <c r="Y2709" t="str">
        <f>IF(Table2[[#This Row],[Column1]]&gt;50%,"HIGH DISCOUNT","LOW DISCOUNT")</f>
        <v>HIGH DISCOUNT</v>
      </c>
    </row>
    <row r="2710" spans="1:25" x14ac:dyDescent="0.25">
      <c r="A2710" s="1" t="s">
        <v>5693</v>
      </c>
      <c r="B2710" s="1">
        <v>2344590</v>
      </c>
      <c r="C2710" s="1" t="s">
        <v>5462</v>
      </c>
      <c r="D2710" s="1" t="s">
        <v>15</v>
      </c>
      <c r="E2710" s="1" t="s">
        <v>23</v>
      </c>
      <c r="F2710" s="1" t="s">
        <v>17</v>
      </c>
      <c r="G2710" s="1" t="s">
        <v>5694</v>
      </c>
      <c r="H2710">
        <v>1234</v>
      </c>
      <c r="I2710" s="1">
        <v>1899</v>
      </c>
      <c r="J2710" s="1" t="s">
        <v>44</v>
      </c>
      <c r="K2710" s="1" t="s">
        <v>26</v>
      </c>
      <c r="L2710" s="1">
        <v>4.4000000000000004</v>
      </c>
      <c r="M2710" s="1">
        <v>627</v>
      </c>
      <c r="P2710" t="str">
        <f t="shared" si="171"/>
        <v>35%</v>
      </c>
      <c r="Q2710" s="12">
        <f t="shared" si="168"/>
        <v>0.35</v>
      </c>
      <c r="R2710" s="9">
        <f t="shared" si="169"/>
        <v>1234.3499999999999</v>
      </c>
      <c r="S2710" s="9">
        <f>IF(R2710="",AVERAGEIF(Table1[Category],Table1[[#This Row],[Category]],Table2[orignal data]),Table2[[#This Row],[orignal data]])</f>
        <v>1234.3499999999999</v>
      </c>
      <c r="T2710" t="str">
        <f t="shared" si="170"/>
        <v>UNIQUE</v>
      </c>
      <c r="U2710" t="str">
        <f>IF(ISBLANK(Table1[[#This Row],[SizeOption]]),"NOT AVAILABLE",Table1[[#This Row],[SizeOption]])</f>
        <v>S, M, L, XL</v>
      </c>
      <c r="Y2710" t="str">
        <f>IF(Table2[[#This Row],[Column1]]&gt;50%,"HIGH DISCOUNT","LOW DISCOUNT")</f>
        <v>LOW DISCOUNT</v>
      </c>
    </row>
    <row r="2711" spans="1:25" x14ac:dyDescent="0.25">
      <c r="A2711" s="2" t="s">
        <v>5695</v>
      </c>
      <c r="B2711" s="2">
        <v>1806152</v>
      </c>
      <c r="C2711" s="2" t="s">
        <v>169</v>
      </c>
      <c r="D2711" s="2" t="s">
        <v>28</v>
      </c>
      <c r="E2711" s="2" t="s">
        <v>29</v>
      </c>
      <c r="F2711" s="2" t="s">
        <v>17</v>
      </c>
      <c r="G2711" s="2" t="s">
        <v>5696</v>
      </c>
      <c r="H2711">
        <v>1149</v>
      </c>
      <c r="I2711" s="2">
        <v>2299</v>
      </c>
      <c r="J2711" s="2" t="s">
        <v>84</v>
      </c>
      <c r="K2711" s="2" t="s">
        <v>484</v>
      </c>
      <c r="L2711" s="2">
        <v>4.2</v>
      </c>
      <c r="M2711" s="2">
        <v>627</v>
      </c>
      <c r="P2711" t="str">
        <f t="shared" si="171"/>
        <v>50%</v>
      </c>
      <c r="Q2711" s="12">
        <f t="shared" si="168"/>
        <v>0.5</v>
      </c>
      <c r="R2711" s="9">
        <f t="shared" si="169"/>
        <v>1149.5</v>
      </c>
      <c r="S2711" s="9">
        <f>IF(R2711="",AVERAGEIF(Table1[Category],Table1[[#This Row],[Category]],Table2[orignal data]),Table2[[#This Row],[orignal data]])</f>
        <v>1149.5</v>
      </c>
      <c r="T2711" t="str">
        <f t="shared" si="170"/>
        <v>UNIQUE</v>
      </c>
      <c r="U2711" t="str">
        <f>IF(ISBLANK(Table1[[#This Row],[SizeOption]]),"NOT AVAILABLE",Table1[[#This Row],[SizeOption]])</f>
        <v>39, 40, 42, 44, 46</v>
      </c>
      <c r="Y2711" t="str">
        <f>IF(Table2[[#This Row],[Column1]]&gt;50%,"HIGH DISCOUNT","LOW DISCOUNT")</f>
        <v>LOW DISCOUNT</v>
      </c>
    </row>
    <row r="2712" spans="1:25" x14ac:dyDescent="0.25">
      <c r="A2712" s="1" t="s">
        <v>5697</v>
      </c>
      <c r="B2712" s="1">
        <v>6849350</v>
      </c>
      <c r="C2712" s="1" t="s">
        <v>14</v>
      </c>
      <c r="D2712" s="1" t="s">
        <v>28</v>
      </c>
      <c r="E2712" s="1" t="s">
        <v>29</v>
      </c>
      <c r="F2712" s="1" t="s">
        <v>17</v>
      </c>
      <c r="G2712" s="1" t="s">
        <v>5698</v>
      </c>
      <c r="H2712">
        <v>1034</v>
      </c>
      <c r="I2712" s="1">
        <v>2299</v>
      </c>
      <c r="J2712" s="1" t="s">
        <v>25</v>
      </c>
      <c r="K2712" s="1" t="s">
        <v>31</v>
      </c>
      <c r="L2712" s="1">
        <v>3.8</v>
      </c>
      <c r="M2712" s="1">
        <v>627</v>
      </c>
      <c r="P2712" t="str">
        <f t="shared" si="171"/>
        <v>55%</v>
      </c>
      <c r="Q2712" s="12">
        <f t="shared" si="168"/>
        <v>0.55000000000000004</v>
      </c>
      <c r="R2712" s="9">
        <f t="shared" si="169"/>
        <v>1034.55</v>
      </c>
      <c r="S2712" s="9">
        <f>IF(R2712="",AVERAGEIF(Table1[Category],Table1[[#This Row],[Category]],Table2[orignal data]),Table2[[#This Row],[orignal data]])</f>
        <v>1034.55</v>
      </c>
      <c r="T2712" t="str">
        <f t="shared" si="170"/>
        <v>UNIQUE</v>
      </c>
      <c r="U2712" t="str">
        <f>IF(ISBLANK(Table1[[#This Row],[SizeOption]]),"NOT AVAILABLE",Table1[[#This Row],[SizeOption]])</f>
        <v>38, 40, 42, 44, 46, 48</v>
      </c>
      <c r="Y2712" t="str">
        <f>IF(Table2[[#This Row],[Column1]]&gt;50%,"HIGH DISCOUNT","LOW DISCOUNT")</f>
        <v>HIGH DISCOUNT</v>
      </c>
    </row>
    <row r="2713" spans="1:25" x14ac:dyDescent="0.25">
      <c r="A2713" s="2" t="s">
        <v>5699</v>
      </c>
      <c r="B2713" s="2">
        <v>1816490</v>
      </c>
      <c r="C2713" s="2" t="s">
        <v>52</v>
      </c>
      <c r="D2713" s="2" t="s">
        <v>28</v>
      </c>
      <c r="E2713" s="2" t="s">
        <v>42</v>
      </c>
      <c r="F2713" s="2" t="s">
        <v>17</v>
      </c>
      <c r="G2713" s="2" t="s">
        <v>5700</v>
      </c>
      <c r="H2713">
        <v>329</v>
      </c>
      <c r="I2713" s="2">
        <v>549</v>
      </c>
      <c r="J2713" s="2" t="s">
        <v>50</v>
      </c>
      <c r="K2713" s="2" t="s">
        <v>26</v>
      </c>
      <c r="L2713" s="2">
        <v>4.0999999999999996</v>
      </c>
      <c r="M2713" s="2">
        <v>627</v>
      </c>
      <c r="P2713" t="str">
        <f t="shared" si="171"/>
        <v>40%</v>
      </c>
      <c r="Q2713" s="12">
        <f t="shared" si="168"/>
        <v>0.4</v>
      </c>
      <c r="R2713" s="9">
        <f t="shared" si="169"/>
        <v>329.4</v>
      </c>
      <c r="S2713" s="9">
        <f>IF(R2713="",AVERAGEIF(Table1[Category],Table1[[#This Row],[Category]],Table2[orignal data]),Table2[[#This Row],[orignal data]])</f>
        <v>329.4</v>
      </c>
      <c r="T2713" t="str">
        <f t="shared" si="170"/>
        <v>UNIQUE</v>
      </c>
      <c r="U2713" t="str">
        <f>IF(ISBLANK(Table1[[#This Row],[SizeOption]]),"NOT AVAILABLE",Table1[[#This Row],[SizeOption]])</f>
        <v>S, M, L, XL</v>
      </c>
      <c r="Y2713" t="str">
        <f>IF(Table2[[#This Row],[Column1]]&gt;50%,"HIGH DISCOUNT","LOW DISCOUNT")</f>
        <v>LOW DISCOUNT</v>
      </c>
    </row>
    <row r="2714" spans="1:25" x14ac:dyDescent="0.25">
      <c r="A2714" s="1" t="s">
        <v>5701</v>
      </c>
      <c r="B2714" s="1">
        <v>12509616</v>
      </c>
      <c r="C2714" s="1" t="s">
        <v>865</v>
      </c>
      <c r="D2714" s="1" t="s">
        <v>76</v>
      </c>
      <c r="E2714" s="1" t="s">
        <v>77</v>
      </c>
      <c r="F2714" s="1" t="s">
        <v>36</v>
      </c>
      <c r="G2714" s="1" t="s">
        <v>5702</v>
      </c>
      <c r="H2714">
        <v>1999</v>
      </c>
      <c r="I2714" s="1">
        <v>4999</v>
      </c>
      <c r="J2714" s="1" t="s">
        <v>55</v>
      </c>
      <c r="K2714" s="1" t="s">
        <v>39</v>
      </c>
      <c r="L2714" s="1">
        <v>4.4000000000000004</v>
      </c>
      <c r="M2714" s="1">
        <v>627</v>
      </c>
      <c r="P2714" t="str">
        <f t="shared" si="171"/>
        <v>60%</v>
      </c>
      <c r="Q2714" s="12">
        <f t="shared" si="168"/>
        <v>0.6</v>
      </c>
      <c r="R2714" s="9">
        <f t="shared" si="169"/>
        <v>1999.6</v>
      </c>
      <c r="S2714" s="9">
        <f>IF(R2714="",AVERAGEIF(Table1[Category],Table1[[#This Row],[Category]],Table2[orignal data]),Table2[[#This Row],[orignal data]])</f>
        <v>1999.6</v>
      </c>
      <c r="T2714" t="str">
        <f t="shared" si="170"/>
        <v>UNIQUE</v>
      </c>
      <c r="U2714" t="str">
        <f>IF(ISBLANK(Table1[[#This Row],[SizeOption]]),"NOT AVAILABLE",Table1[[#This Row],[SizeOption]])</f>
        <v>S, M, L, XL, XXL</v>
      </c>
      <c r="Y2714" t="str">
        <f>IF(Table2[[#This Row],[Column1]]&gt;50%,"HIGH DISCOUNT","LOW DISCOUNT")</f>
        <v>HIGH DISCOUNT</v>
      </c>
    </row>
    <row r="2715" spans="1:25" x14ac:dyDescent="0.25">
      <c r="A2715" s="2" t="s">
        <v>5703</v>
      </c>
      <c r="B2715" s="2">
        <v>12679522</v>
      </c>
      <c r="C2715" s="2" t="s">
        <v>1375</v>
      </c>
      <c r="D2715" s="2" t="s">
        <v>76</v>
      </c>
      <c r="E2715" s="2" t="s">
        <v>320</v>
      </c>
      <c r="F2715" s="2" t="s">
        <v>36</v>
      </c>
      <c r="G2715" s="2" t="s">
        <v>5704</v>
      </c>
      <c r="H2715">
        <v>853</v>
      </c>
      <c r="I2715" s="2">
        <v>6099</v>
      </c>
      <c r="J2715" s="2" t="s">
        <v>5705</v>
      </c>
      <c r="K2715" s="2" t="s">
        <v>164</v>
      </c>
      <c r="L2715" s="2">
        <v>4.3</v>
      </c>
      <c r="M2715" s="2">
        <v>627</v>
      </c>
      <c r="P2715" t="str">
        <f t="shared" si="171"/>
        <v>86%</v>
      </c>
      <c r="Q2715" s="12">
        <f t="shared" si="168"/>
        <v>0.86</v>
      </c>
      <c r="R2715" s="9">
        <f t="shared" si="169"/>
        <v>853.85999999999967</v>
      </c>
      <c r="S2715" s="9">
        <f>IF(R2715="",AVERAGEIF(Table1[Category],Table1[[#This Row],[Category]],Table2[orignal data]),Table2[[#This Row],[orignal data]])</f>
        <v>853.85999999999967</v>
      </c>
      <c r="T2715" t="str">
        <f t="shared" si="170"/>
        <v>UNIQUE</v>
      </c>
      <c r="U2715" t="str">
        <f>IF(ISBLANK(Table1[[#This Row],[SizeOption]]),"NOT AVAILABLE",Table1[[#This Row],[SizeOption]])</f>
        <v>Onesize</v>
      </c>
      <c r="Y2715" t="str">
        <f>IF(Table2[[#This Row],[Column1]]&gt;50%,"HIGH DISCOUNT","LOW DISCOUNT")</f>
        <v>HIGH DISCOUNT</v>
      </c>
    </row>
    <row r="2716" spans="1:25" x14ac:dyDescent="0.25">
      <c r="A2716" s="1" t="s">
        <v>5706</v>
      </c>
      <c r="B2716" s="1">
        <v>13437306</v>
      </c>
      <c r="C2716" s="1" t="s">
        <v>97</v>
      </c>
      <c r="D2716" s="1" t="s">
        <v>98</v>
      </c>
      <c r="E2716" s="1" t="s">
        <v>148</v>
      </c>
      <c r="F2716" s="1" t="s">
        <v>36</v>
      </c>
      <c r="G2716" s="1" t="s">
        <v>5707</v>
      </c>
      <c r="H2716">
        <v>759</v>
      </c>
      <c r="I2716" s="1">
        <v>1899</v>
      </c>
      <c r="J2716" s="1" t="s">
        <v>55</v>
      </c>
      <c r="K2716" s="1" t="s">
        <v>100</v>
      </c>
      <c r="L2716" s="1">
        <v>4.3</v>
      </c>
      <c r="M2716" s="1">
        <v>627</v>
      </c>
      <c r="P2716" t="str">
        <f t="shared" si="171"/>
        <v>60%</v>
      </c>
      <c r="Q2716" s="12">
        <f t="shared" si="168"/>
        <v>0.6</v>
      </c>
      <c r="R2716" s="9">
        <f t="shared" si="169"/>
        <v>759.60000000000014</v>
      </c>
      <c r="S2716" s="9">
        <f>IF(R2716="",AVERAGEIF(Table1[Category],Table1[[#This Row],[Category]],Table2[orignal data]),Table2[[#This Row],[orignal data]])</f>
        <v>759.60000000000014</v>
      </c>
      <c r="T2716" t="str">
        <f t="shared" si="170"/>
        <v>UNIQUE</v>
      </c>
      <c r="U2716" t="str">
        <f>IF(ISBLANK(Table1[[#This Row],[SizeOption]]),"NOT AVAILABLE",Table1[[#This Row],[SizeOption]])</f>
        <v>XS, S, M, L, XL, XXL, 3XL</v>
      </c>
      <c r="Y2716" t="str">
        <f>IF(Table2[[#This Row],[Column1]]&gt;50%,"HIGH DISCOUNT","LOW DISCOUNT")</f>
        <v>HIGH DISCOUNT</v>
      </c>
    </row>
    <row r="2717" spans="1:25" x14ac:dyDescent="0.25">
      <c r="A2717" s="2" t="s">
        <v>5708</v>
      </c>
      <c r="B2717" s="2">
        <v>2280937</v>
      </c>
      <c r="C2717" s="2" t="s">
        <v>181</v>
      </c>
      <c r="D2717" s="2" t="s">
        <v>41</v>
      </c>
      <c r="E2717" s="2" t="s">
        <v>306</v>
      </c>
      <c r="F2717" s="2" t="s">
        <v>36</v>
      </c>
      <c r="G2717" s="2" t="s">
        <v>5709</v>
      </c>
      <c r="I2717" s="2">
        <v>1799</v>
      </c>
      <c r="J2717" s="2" t="s">
        <v>84</v>
      </c>
      <c r="K2717" s="2" t="s">
        <v>39</v>
      </c>
      <c r="L2717" s="2">
        <v>4.0999999999999996</v>
      </c>
      <c r="M2717" s="2">
        <v>627</v>
      </c>
      <c r="P2717" t="str">
        <f t="shared" si="171"/>
        <v>50%</v>
      </c>
      <c r="Q2717" s="12">
        <f t="shared" si="168"/>
        <v>0.5</v>
      </c>
      <c r="R2717" s="9">
        <f t="shared" si="169"/>
        <v>899.5</v>
      </c>
      <c r="S2717" s="9">
        <f>IF(R2717="",AVERAGEIF(Table1[Category],Table1[[#This Row],[Category]],Table2[orignal data]),Table2[[#This Row],[orignal data]])</f>
        <v>899.5</v>
      </c>
      <c r="T2717" t="str">
        <f t="shared" si="170"/>
        <v>UNIQUE</v>
      </c>
      <c r="U2717" t="str">
        <f>IF(ISBLANK(Table1[[#This Row],[SizeOption]]),"NOT AVAILABLE",Table1[[#This Row],[SizeOption]])</f>
        <v>S, M, L, XL, XXL</v>
      </c>
      <c r="Y2717" t="str">
        <f>IF(Table2[[#This Row],[Column1]]&gt;50%,"HIGH DISCOUNT","LOW DISCOUNT")</f>
        <v>LOW DISCOUNT</v>
      </c>
    </row>
    <row r="2718" spans="1:25" x14ac:dyDescent="0.25">
      <c r="A2718" s="1" t="s">
        <v>5710</v>
      </c>
      <c r="B2718" s="1">
        <v>11634540</v>
      </c>
      <c r="C2718" s="1" t="s">
        <v>81</v>
      </c>
      <c r="D2718" s="1" t="s">
        <v>41</v>
      </c>
      <c r="E2718" s="1" t="s">
        <v>82</v>
      </c>
      <c r="F2718" s="1" t="s">
        <v>36</v>
      </c>
      <c r="G2718" s="1" t="s">
        <v>5711</v>
      </c>
      <c r="I2718" s="1">
        <v>2499</v>
      </c>
      <c r="J2718" s="1" t="s">
        <v>208</v>
      </c>
      <c r="K2718" s="1" t="s">
        <v>45</v>
      </c>
      <c r="L2718" s="1">
        <v>4.3</v>
      </c>
      <c r="M2718" s="1">
        <v>627</v>
      </c>
      <c r="P2718" t="str">
        <f t="shared" si="171"/>
        <v>52%</v>
      </c>
      <c r="Q2718" s="12">
        <f t="shared" si="168"/>
        <v>0.52</v>
      </c>
      <c r="R2718" s="9">
        <f t="shared" si="169"/>
        <v>1199.52</v>
      </c>
      <c r="S2718" s="9">
        <f>IF(R2718="",AVERAGEIF(Table1[Category],Table1[[#This Row],[Category]],Table2[orignal data]),Table2[[#This Row],[orignal data]])</f>
        <v>1199.52</v>
      </c>
      <c r="T2718" t="str">
        <f t="shared" si="170"/>
        <v>UNIQUE</v>
      </c>
      <c r="U2718" t="str">
        <f>IF(ISBLANK(Table1[[#This Row],[SizeOption]]),"NOT AVAILABLE",Table1[[#This Row],[SizeOption]])</f>
        <v>XS, S, M, L, XL</v>
      </c>
      <c r="Y2718" t="str">
        <f>IF(Table2[[#This Row],[Column1]]&gt;50%,"HIGH DISCOUNT","LOW DISCOUNT")</f>
        <v>HIGH DISCOUNT</v>
      </c>
    </row>
    <row r="2719" spans="1:25" x14ac:dyDescent="0.25">
      <c r="A2719" s="2" t="s">
        <v>5712</v>
      </c>
      <c r="B2719" s="2">
        <v>6397172</v>
      </c>
      <c r="C2719" s="2" t="s">
        <v>14</v>
      </c>
      <c r="D2719" s="2" t="s">
        <v>41</v>
      </c>
      <c r="E2719" s="2" t="s">
        <v>1881</v>
      </c>
      <c r="F2719" s="2" t="s">
        <v>36</v>
      </c>
      <c r="G2719" s="2" t="s">
        <v>5713</v>
      </c>
      <c r="I2719" s="2">
        <v>999</v>
      </c>
      <c r="J2719" s="2" t="s">
        <v>25</v>
      </c>
      <c r="K2719" s="2" t="s">
        <v>115</v>
      </c>
      <c r="L2719" s="2">
        <v>4</v>
      </c>
      <c r="M2719" s="2">
        <v>627</v>
      </c>
      <c r="P2719" t="str">
        <f t="shared" si="171"/>
        <v>55%</v>
      </c>
      <c r="Q2719" s="12">
        <f t="shared" si="168"/>
        <v>0.55000000000000004</v>
      </c>
      <c r="R2719" s="9">
        <f t="shared" si="169"/>
        <v>449.54999999999995</v>
      </c>
      <c r="S2719" s="9">
        <f>IF(R2719="",AVERAGEIF(Table1[Category],Table1[[#This Row],[Category]],Table2[orignal data]),Table2[[#This Row],[orignal data]])</f>
        <v>449.54999999999995</v>
      </c>
      <c r="T2719" t="str">
        <f t="shared" si="170"/>
        <v>UNIQUE</v>
      </c>
      <c r="U2719" t="str">
        <f>IF(ISBLANK(Table1[[#This Row],[SizeOption]]),"NOT AVAILABLE",Table1[[#This Row],[SizeOption]])</f>
        <v>XS, S, M, L, XL, XXL</v>
      </c>
      <c r="Y2719" t="str">
        <f>IF(Table2[[#This Row],[Column1]]&gt;50%,"HIGH DISCOUNT","LOW DISCOUNT")</f>
        <v>HIGH DISCOUNT</v>
      </c>
    </row>
    <row r="2720" spans="1:25" x14ac:dyDescent="0.25">
      <c r="A2720" s="1" t="s">
        <v>5714</v>
      </c>
      <c r="B2720" s="1">
        <v>4322597</v>
      </c>
      <c r="C2720" s="1" t="s">
        <v>52</v>
      </c>
      <c r="D2720" s="1" t="s">
        <v>15</v>
      </c>
      <c r="E2720" s="1" t="s">
        <v>16</v>
      </c>
      <c r="F2720" s="1" t="s">
        <v>17</v>
      </c>
      <c r="G2720" s="1" t="s">
        <v>5715</v>
      </c>
      <c r="H2720">
        <v>887</v>
      </c>
      <c r="I2720" s="1">
        <v>1849</v>
      </c>
      <c r="J2720" s="1" t="s">
        <v>208</v>
      </c>
      <c r="K2720" s="1" t="s">
        <v>816</v>
      </c>
      <c r="L2720" s="1">
        <v>4.0999999999999996</v>
      </c>
      <c r="M2720" s="1">
        <v>626</v>
      </c>
      <c r="P2720" t="str">
        <f t="shared" si="171"/>
        <v>52%</v>
      </c>
      <c r="Q2720" s="12">
        <f t="shared" si="168"/>
        <v>0.52</v>
      </c>
      <c r="R2720" s="9">
        <f t="shared" si="169"/>
        <v>887.52</v>
      </c>
      <c r="S2720" s="9">
        <f>IF(R2720="",AVERAGEIF(Table1[Category],Table1[[#This Row],[Category]],Table2[orignal data]),Table2[[#This Row],[orignal data]])</f>
        <v>887.52</v>
      </c>
      <c r="T2720" t="str">
        <f t="shared" si="170"/>
        <v>UNIQUE</v>
      </c>
      <c r="U2720" t="str">
        <f>IF(ISBLANK(Table1[[#This Row],[SizeOption]]),"NOT AVAILABLE",Table1[[#This Row],[SizeOption]])</f>
        <v>30, 32, 34, 36, 38</v>
      </c>
      <c r="Y2720" t="str">
        <f>IF(Table2[[#This Row],[Column1]]&gt;50%,"HIGH DISCOUNT","LOW DISCOUNT")</f>
        <v>HIGH DISCOUNT</v>
      </c>
    </row>
    <row r="2721" spans="1:25" x14ac:dyDescent="0.25">
      <c r="A2721" s="2" t="s">
        <v>5716</v>
      </c>
      <c r="B2721" s="2">
        <v>13961900</v>
      </c>
      <c r="C2721" s="2" t="s">
        <v>517</v>
      </c>
      <c r="D2721" s="2" t="s">
        <v>15</v>
      </c>
      <c r="E2721" s="2" t="s">
        <v>23</v>
      </c>
      <c r="F2721" s="2" t="s">
        <v>17</v>
      </c>
      <c r="G2721" s="2" t="s">
        <v>5717</v>
      </c>
      <c r="H2721">
        <v>659</v>
      </c>
      <c r="I2721" s="2">
        <v>1499</v>
      </c>
      <c r="J2721" s="2" t="s">
        <v>1204</v>
      </c>
      <c r="K2721" s="2" t="s">
        <v>26</v>
      </c>
      <c r="L2721" s="2">
        <v>4.0999999999999996</v>
      </c>
      <c r="M2721" s="2">
        <v>626</v>
      </c>
      <c r="P2721" t="str">
        <f t="shared" si="171"/>
        <v>56%</v>
      </c>
      <c r="Q2721" s="12">
        <f t="shared" si="168"/>
        <v>0.56000000000000005</v>
      </c>
      <c r="R2721" s="9">
        <f t="shared" si="169"/>
        <v>659.56</v>
      </c>
      <c r="S2721" s="9">
        <f>IF(R2721="",AVERAGEIF(Table1[Category],Table1[[#This Row],[Category]],Table2[orignal data]),Table2[[#This Row],[orignal data]])</f>
        <v>659.56</v>
      </c>
      <c r="T2721" t="str">
        <f t="shared" si="170"/>
        <v>UNIQUE</v>
      </c>
      <c r="U2721" t="str">
        <f>IF(ISBLANK(Table1[[#This Row],[SizeOption]]),"NOT AVAILABLE",Table1[[#This Row],[SizeOption]])</f>
        <v>S, M, L, XL</v>
      </c>
      <c r="Y2721" t="str">
        <f>IF(Table2[[#This Row],[Column1]]&gt;50%,"HIGH DISCOUNT","LOW DISCOUNT")</f>
        <v>HIGH DISCOUNT</v>
      </c>
    </row>
    <row r="2722" spans="1:25" x14ac:dyDescent="0.25">
      <c r="A2722" s="1" t="s">
        <v>5718</v>
      </c>
      <c r="B2722" s="1">
        <v>6411291</v>
      </c>
      <c r="C2722" s="1" t="s">
        <v>14</v>
      </c>
      <c r="D2722" s="1" t="s">
        <v>28</v>
      </c>
      <c r="E2722" s="1" t="s">
        <v>189</v>
      </c>
      <c r="F2722" s="1" t="s">
        <v>17</v>
      </c>
      <c r="G2722" s="1" t="s">
        <v>5719</v>
      </c>
      <c r="H2722">
        <v>919</v>
      </c>
      <c r="I2722" s="1">
        <v>2299</v>
      </c>
      <c r="J2722" s="1" t="s">
        <v>55</v>
      </c>
      <c r="K2722" s="1" t="s">
        <v>234</v>
      </c>
      <c r="L2722" s="1">
        <v>3.8</v>
      </c>
      <c r="M2722" s="1">
        <v>626</v>
      </c>
      <c r="P2722" t="str">
        <f t="shared" si="171"/>
        <v>60%</v>
      </c>
      <c r="Q2722" s="12">
        <f t="shared" si="168"/>
        <v>0.6</v>
      </c>
      <c r="R2722" s="9">
        <f t="shared" si="169"/>
        <v>919.60000000000014</v>
      </c>
      <c r="S2722" s="9">
        <f>IF(R2722="",AVERAGEIF(Table1[Category],Table1[[#This Row],[Category]],Table2[orignal data]),Table2[[#This Row],[orignal data]])</f>
        <v>919.60000000000014</v>
      </c>
      <c r="T2722" t="str">
        <f t="shared" si="170"/>
        <v>UNIQUE</v>
      </c>
      <c r="U2722" t="str">
        <f>IF(ISBLANK(Table1[[#This Row],[SizeOption]]),"NOT AVAILABLE",Table1[[#This Row],[SizeOption]])</f>
        <v>S, M, L, XL, XXL, 3XL</v>
      </c>
      <c r="Y2722" t="str">
        <f>IF(Table2[[#This Row],[Column1]]&gt;50%,"HIGH DISCOUNT","LOW DISCOUNT")</f>
        <v>HIGH DISCOUNT</v>
      </c>
    </row>
    <row r="2723" spans="1:25" x14ac:dyDescent="0.25">
      <c r="A2723" s="2" t="s">
        <v>5720</v>
      </c>
      <c r="B2723" s="2">
        <v>14122522</v>
      </c>
      <c r="C2723" s="2" t="s">
        <v>113</v>
      </c>
      <c r="D2723" s="2" t="s">
        <v>76</v>
      </c>
      <c r="E2723" s="2" t="s">
        <v>93</v>
      </c>
      <c r="F2723" s="2" t="s">
        <v>36</v>
      </c>
      <c r="G2723" s="2" t="s">
        <v>5721</v>
      </c>
      <c r="H2723">
        <v>559</v>
      </c>
      <c r="I2723" s="2">
        <v>1599</v>
      </c>
      <c r="J2723" s="2" t="s">
        <v>150</v>
      </c>
      <c r="K2723" s="2" t="s">
        <v>115</v>
      </c>
      <c r="L2723" s="2">
        <v>3.9</v>
      </c>
      <c r="M2723" s="2">
        <v>626</v>
      </c>
      <c r="P2723" t="str">
        <f t="shared" si="171"/>
        <v>65%</v>
      </c>
      <c r="Q2723" s="12">
        <f t="shared" si="168"/>
        <v>0.65</v>
      </c>
      <c r="R2723" s="9">
        <f t="shared" si="169"/>
        <v>559.64999999999986</v>
      </c>
      <c r="S2723" s="9">
        <f>IF(R2723="",AVERAGEIF(Table1[Category],Table1[[#This Row],[Category]],Table2[orignal data]),Table2[[#This Row],[orignal data]])</f>
        <v>559.64999999999986</v>
      </c>
      <c r="T2723" t="str">
        <f t="shared" si="170"/>
        <v>UNIQUE</v>
      </c>
      <c r="U2723" t="str">
        <f>IF(ISBLANK(Table1[[#This Row],[SizeOption]]),"NOT AVAILABLE",Table1[[#This Row],[SizeOption]])</f>
        <v>XS, S, M, L, XL, XXL</v>
      </c>
      <c r="Y2723" t="str">
        <f>IF(Table2[[#This Row],[Column1]]&gt;50%,"HIGH DISCOUNT","LOW DISCOUNT")</f>
        <v>HIGH DISCOUNT</v>
      </c>
    </row>
    <row r="2724" spans="1:25" x14ac:dyDescent="0.25">
      <c r="A2724" s="1" t="s">
        <v>5722</v>
      </c>
      <c r="B2724" s="1">
        <v>7033884</v>
      </c>
      <c r="C2724" s="1" t="s">
        <v>271</v>
      </c>
      <c r="D2724" s="1" t="s">
        <v>76</v>
      </c>
      <c r="E2724" s="1" t="s">
        <v>93</v>
      </c>
      <c r="F2724" s="1" t="s">
        <v>36</v>
      </c>
      <c r="G2724" s="1" t="s">
        <v>5723</v>
      </c>
      <c r="H2724">
        <v>699</v>
      </c>
      <c r="I2724" s="1">
        <v>1999</v>
      </c>
      <c r="J2724" s="1" t="s">
        <v>150</v>
      </c>
      <c r="K2724" s="1" t="s">
        <v>45</v>
      </c>
      <c r="L2724" s="1">
        <v>3.9</v>
      </c>
      <c r="M2724" s="1">
        <v>626</v>
      </c>
      <c r="P2724" t="str">
        <f t="shared" si="171"/>
        <v>65%</v>
      </c>
      <c r="Q2724" s="12">
        <f t="shared" si="168"/>
        <v>0.65</v>
      </c>
      <c r="R2724" s="9">
        <f t="shared" si="169"/>
        <v>699.64999999999986</v>
      </c>
      <c r="S2724" s="9">
        <f>IF(R2724="",AVERAGEIF(Table1[Category],Table1[[#This Row],[Category]],Table2[orignal data]),Table2[[#This Row],[orignal data]])</f>
        <v>699.64999999999986</v>
      </c>
      <c r="T2724" t="str">
        <f t="shared" si="170"/>
        <v>UNIQUE</v>
      </c>
      <c r="U2724" t="str">
        <f>IF(ISBLANK(Table1[[#This Row],[SizeOption]]),"NOT AVAILABLE",Table1[[#This Row],[SizeOption]])</f>
        <v>XS, S, M, L, XL</v>
      </c>
      <c r="Y2724" t="str">
        <f>IF(Table2[[#This Row],[Column1]]&gt;50%,"HIGH DISCOUNT","LOW DISCOUNT")</f>
        <v>HIGH DISCOUNT</v>
      </c>
    </row>
    <row r="2725" spans="1:25" x14ac:dyDescent="0.25">
      <c r="A2725" s="2" t="s">
        <v>5724</v>
      </c>
      <c r="B2725" s="2">
        <v>12266388</v>
      </c>
      <c r="C2725" s="2" t="s">
        <v>5053</v>
      </c>
      <c r="D2725" s="2" t="s">
        <v>34</v>
      </c>
      <c r="E2725" s="2" t="s">
        <v>118</v>
      </c>
      <c r="F2725" s="2" t="s">
        <v>36</v>
      </c>
      <c r="G2725" s="2" t="s">
        <v>5725</v>
      </c>
      <c r="H2725">
        <v>639</v>
      </c>
      <c r="I2725" s="2">
        <v>799</v>
      </c>
      <c r="J2725" s="2" t="s">
        <v>412</v>
      </c>
      <c r="K2725" s="2" t="s">
        <v>5055</v>
      </c>
      <c r="L2725" s="2">
        <v>4.4000000000000004</v>
      </c>
      <c r="M2725" s="2">
        <v>626</v>
      </c>
      <c r="P2725" t="str">
        <f t="shared" si="171"/>
        <v>20%</v>
      </c>
      <c r="Q2725" s="12">
        <f t="shared" si="168"/>
        <v>0.2</v>
      </c>
      <c r="R2725" s="9">
        <f t="shared" si="169"/>
        <v>639.20000000000005</v>
      </c>
      <c r="S2725" s="9">
        <f>IF(R2725="",AVERAGEIF(Table1[Category],Table1[[#This Row],[Category]],Table2[orignal data]),Table2[[#This Row],[orignal data]])</f>
        <v>639.20000000000005</v>
      </c>
      <c r="T2725" t="str">
        <f t="shared" si="170"/>
        <v>UNIQUE</v>
      </c>
      <c r="U2725" t="str">
        <f>IF(ISBLANK(Table1[[#This Row],[SizeOption]]),"NOT AVAILABLE",Table1[[#This Row],[SizeOption]])</f>
        <v>30C, 32C, 34C, 36C, 38C, 40C, 42C</v>
      </c>
      <c r="Y2725" t="str">
        <f>IF(Table2[[#This Row],[Column1]]&gt;50%,"HIGH DISCOUNT","LOW DISCOUNT")</f>
        <v>LOW DISCOUNT</v>
      </c>
    </row>
    <row r="2726" spans="1:25" x14ac:dyDescent="0.25">
      <c r="A2726" s="1" t="s">
        <v>5726</v>
      </c>
      <c r="B2726" s="1">
        <v>8377311</v>
      </c>
      <c r="C2726" s="1" t="s">
        <v>3685</v>
      </c>
      <c r="D2726" s="1" t="s">
        <v>41</v>
      </c>
      <c r="E2726" s="1" t="s">
        <v>818</v>
      </c>
      <c r="F2726" s="1" t="s">
        <v>36</v>
      </c>
      <c r="G2726" s="1" t="s">
        <v>5727</v>
      </c>
      <c r="I2726" s="1">
        <v>1799</v>
      </c>
      <c r="J2726" s="1" t="s">
        <v>55</v>
      </c>
      <c r="K2726" s="1" t="s">
        <v>26</v>
      </c>
      <c r="L2726" s="1">
        <v>4.0999999999999996</v>
      </c>
      <c r="M2726" s="1">
        <v>626</v>
      </c>
      <c r="P2726" t="str">
        <f t="shared" si="171"/>
        <v>60%</v>
      </c>
      <c r="Q2726" s="12">
        <f t="shared" si="168"/>
        <v>0.6</v>
      </c>
      <c r="R2726" s="9">
        <f t="shared" si="169"/>
        <v>719.60000000000014</v>
      </c>
      <c r="S2726" s="9">
        <f>IF(R2726="",AVERAGEIF(Table1[Category],Table1[[#This Row],[Category]],Table2[orignal data]),Table2[[#This Row],[orignal data]])</f>
        <v>719.60000000000014</v>
      </c>
      <c r="T2726" t="str">
        <f t="shared" si="170"/>
        <v>UNIQUE</v>
      </c>
      <c r="U2726" t="str">
        <f>IF(ISBLANK(Table1[[#This Row],[SizeOption]]),"NOT AVAILABLE",Table1[[#This Row],[SizeOption]])</f>
        <v>S, M, L, XL</v>
      </c>
      <c r="Y2726" t="str">
        <f>IF(Table2[[#This Row],[Column1]]&gt;50%,"HIGH DISCOUNT","LOW DISCOUNT")</f>
        <v>HIGH DISCOUNT</v>
      </c>
    </row>
    <row r="2727" spans="1:25" x14ac:dyDescent="0.25">
      <c r="A2727" s="2" t="s">
        <v>5728</v>
      </c>
      <c r="B2727" s="2">
        <v>11037610</v>
      </c>
      <c r="C2727" s="2" t="s">
        <v>346</v>
      </c>
      <c r="D2727" s="2" t="s">
        <v>41</v>
      </c>
      <c r="E2727" s="2" t="s">
        <v>579</v>
      </c>
      <c r="F2727" s="2" t="s">
        <v>36</v>
      </c>
      <c r="G2727" s="2" t="s">
        <v>5729</v>
      </c>
      <c r="I2727" s="2">
        <v>1899</v>
      </c>
      <c r="J2727" s="2" t="s">
        <v>150</v>
      </c>
      <c r="K2727" s="2" t="s">
        <v>134</v>
      </c>
      <c r="L2727" s="2">
        <v>3.3</v>
      </c>
      <c r="M2727" s="2">
        <v>626</v>
      </c>
      <c r="P2727" t="str">
        <f t="shared" si="171"/>
        <v>65%</v>
      </c>
      <c r="Q2727" s="12">
        <f t="shared" si="168"/>
        <v>0.65</v>
      </c>
      <c r="R2727" s="9">
        <f t="shared" si="169"/>
        <v>664.64999999999986</v>
      </c>
      <c r="S2727" s="9">
        <f>IF(R2727="",AVERAGEIF(Table1[Category],Table1[[#This Row],[Category]],Table2[orignal data]),Table2[[#This Row],[orignal data]])</f>
        <v>664.64999999999986</v>
      </c>
      <c r="T2727" t="str">
        <f t="shared" si="170"/>
        <v>UNIQUE</v>
      </c>
      <c r="U2727" t="str">
        <f>IF(ISBLANK(Table1[[#This Row],[SizeOption]]),"NOT AVAILABLE",Table1[[#This Row],[SizeOption]])</f>
        <v>26, 28, 30, 32, 34, 36</v>
      </c>
      <c r="Y2727" t="str">
        <f>IF(Table2[[#This Row],[Column1]]&gt;50%,"HIGH DISCOUNT","LOW DISCOUNT")</f>
        <v>HIGH DISCOUNT</v>
      </c>
    </row>
    <row r="2728" spans="1:25" x14ac:dyDescent="0.25">
      <c r="A2728" s="1" t="s">
        <v>5730</v>
      </c>
      <c r="B2728" s="1">
        <v>12190438</v>
      </c>
      <c r="C2728" s="1" t="s">
        <v>124</v>
      </c>
      <c r="D2728" s="1" t="s">
        <v>41</v>
      </c>
      <c r="E2728" s="1" t="s">
        <v>16</v>
      </c>
      <c r="F2728" s="1" t="s">
        <v>36</v>
      </c>
      <c r="G2728" s="1" t="s">
        <v>5731</v>
      </c>
      <c r="I2728" s="1">
        <v>2999</v>
      </c>
      <c r="J2728" s="1" t="s">
        <v>55</v>
      </c>
      <c r="K2728" s="1" t="s">
        <v>2290</v>
      </c>
      <c r="L2728" s="1">
        <v>4.2</v>
      </c>
      <c r="M2728" s="1">
        <v>626</v>
      </c>
      <c r="P2728" t="str">
        <f t="shared" si="171"/>
        <v>60%</v>
      </c>
      <c r="Q2728" s="12">
        <f t="shared" si="168"/>
        <v>0.6</v>
      </c>
      <c r="R2728" s="9">
        <f t="shared" si="169"/>
        <v>1199.6000000000001</v>
      </c>
      <c r="S2728" s="9">
        <f>IF(R2728="",AVERAGEIF(Table1[Category],Table1[[#This Row],[Category]],Table2[orignal data]),Table2[[#This Row],[orignal data]])</f>
        <v>1199.6000000000001</v>
      </c>
      <c r="T2728" t="str">
        <f t="shared" si="170"/>
        <v>UNIQUE</v>
      </c>
      <c r="U2728" t="str">
        <f>IF(ISBLANK(Table1[[#This Row],[SizeOption]]),"NOT AVAILABLE",Table1[[#This Row],[SizeOption]])</f>
        <v>26, 28, 30, 32, 34, 36, 38</v>
      </c>
      <c r="Y2728" t="str">
        <f>IF(Table2[[#This Row],[Column1]]&gt;50%,"HIGH DISCOUNT","LOW DISCOUNT")</f>
        <v>HIGH DISCOUNT</v>
      </c>
    </row>
    <row r="2729" spans="1:25" x14ac:dyDescent="0.25">
      <c r="A2729" s="2" t="s">
        <v>5732</v>
      </c>
      <c r="B2729" s="2">
        <v>11893730</v>
      </c>
      <c r="C2729" s="2" t="s">
        <v>14</v>
      </c>
      <c r="D2729" s="2" t="s">
        <v>41</v>
      </c>
      <c r="E2729" s="2" t="s">
        <v>42</v>
      </c>
      <c r="F2729" s="2" t="s">
        <v>36</v>
      </c>
      <c r="G2729" s="2" t="s">
        <v>5733</v>
      </c>
      <c r="I2729" s="2">
        <v>799</v>
      </c>
      <c r="J2729" s="2" t="s">
        <v>50</v>
      </c>
      <c r="K2729" s="2" t="s">
        <v>45</v>
      </c>
      <c r="L2729" s="2">
        <v>4.0999999999999996</v>
      </c>
      <c r="M2729" s="2">
        <v>626</v>
      </c>
      <c r="P2729" t="str">
        <f t="shared" si="171"/>
        <v>40%</v>
      </c>
      <c r="Q2729" s="12">
        <f t="shared" si="168"/>
        <v>0.4</v>
      </c>
      <c r="R2729" s="9">
        <f t="shared" si="169"/>
        <v>479.4</v>
      </c>
      <c r="S2729" s="9">
        <f>IF(R2729="",AVERAGEIF(Table1[Category],Table1[[#This Row],[Category]],Table2[orignal data]),Table2[[#This Row],[orignal data]])</f>
        <v>479.4</v>
      </c>
      <c r="T2729" t="str">
        <f t="shared" si="170"/>
        <v>UNIQUE</v>
      </c>
      <c r="U2729" t="str">
        <f>IF(ISBLANK(Table1[[#This Row],[SizeOption]]),"NOT AVAILABLE",Table1[[#This Row],[SizeOption]])</f>
        <v>XS, S, M, L, XL</v>
      </c>
      <c r="Y2729" t="str">
        <f>IF(Table2[[#This Row],[Column1]]&gt;50%,"HIGH DISCOUNT","LOW DISCOUNT")</f>
        <v>LOW DISCOUNT</v>
      </c>
    </row>
    <row r="2730" spans="1:25" x14ac:dyDescent="0.25">
      <c r="A2730" s="1" t="s">
        <v>5734</v>
      </c>
      <c r="B2730" s="1">
        <v>11995110</v>
      </c>
      <c r="C2730" s="1" t="s">
        <v>107</v>
      </c>
      <c r="D2730" s="1" t="s">
        <v>41</v>
      </c>
      <c r="E2730" s="1" t="s">
        <v>137</v>
      </c>
      <c r="F2730" s="1" t="s">
        <v>36</v>
      </c>
      <c r="G2730" s="1" t="s">
        <v>5735</v>
      </c>
      <c r="I2730" s="1">
        <v>1299</v>
      </c>
      <c r="J2730" s="1"/>
      <c r="K2730" s="1" t="s">
        <v>134</v>
      </c>
      <c r="L2730" s="1">
        <v>4.3</v>
      </c>
      <c r="M2730" s="1">
        <v>626</v>
      </c>
      <c r="P2730" t="str">
        <f t="shared" si="171"/>
        <v/>
      </c>
      <c r="Q2730" s="12" t="str">
        <f t="shared" si="168"/>
        <v/>
      </c>
      <c r="R2730" s="9" t="str">
        <f t="shared" si="169"/>
        <v/>
      </c>
      <c r="S2730" s="9">
        <f>IF(R2730="",AVERAGEIF(Table1[Category],Table1[[#This Row],[Category]],Table2[orignal data]),Table2[[#This Row],[orignal data]])</f>
        <v>715.78890751086249</v>
      </c>
      <c r="T2730" t="str">
        <f t="shared" si="170"/>
        <v>UNIQUE</v>
      </c>
      <c r="U2730" t="str">
        <f>IF(ISBLANK(Table1[[#This Row],[SizeOption]]),"NOT AVAILABLE",Table1[[#This Row],[SizeOption]])</f>
        <v>26, 28, 30, 32, 34, 36</v>
      </c>
      <c r="Y2730" t="str">
        <f>IF(Table2[[#This Row],[Column1]]&gt;50%,"HIGH DISCOUNT","LOW DISCOUNT")</f>
        <v>HIGH DISCOUNT</v>
      </c>
    </row>
    <row r="2731" spans="1:25" x14ac:dyDescent="0.25">
      <c r="A2731" s="2" t="s">
        <v>5736</v>
      </c>
      <c r="B2731" s="2">
        <v>8301915</v>
      </c>
      <c r="C2731" s="2" t="s">
        <v>47</v>
      </c>
      <c r="D2731" s="2" t="s">
        <v>28</v>
      </c>
      <c r="E2731" s="2" t="s">
        <v>42</v>
      </c>
      <c r="F2731" s="2" t="s">
        <v>17</v>
      </c>
      <c r="G2731" s="2" t="s">
        <v>5737</v>
      </c>
      <c r="H2731">
        <v>519</v>
      </c>
      <c r="I2731" s="2">
        <v>1299</v>
      </c>
      <c r="J2731" s="2" t="s">
        <v>55</v>
      </c>
      <c r="K2731" s="2" t="s">
        <v>26</v>
      </c>
      <c r="L2731" s="2">
        <v>4.2</v>
      </c>
      <c r="M2731" s="2">
        <v>625</v>
      </c>
      <c r="P2731" t="str">
        <f t="shared" si="171"/>
        <v>60%</v>
      </c>
      <c r="Q2731" s="12">
        <f t="shared" si="168"/>
        <v>0.6</v>
      </c>
      <c r="R2731" s="9">
        <f t="shared" si="169"/>
        <v>519.6</v>
      </c>
      <c r="S2731" s="9">
        <f>IF(R2731="",AVERAGEIF(Table1[Category],Table1[[#This Row],[Category]],Table2[orignal data]),Table2[[#This Row],[orignal data]])</f>
        <v>519.6</v>
      </c>
      <c r="T2731" t="str">
        <f t="shared" si="170"/>
        <v>UNIQUE</v>
      </c>
      <c r="U2731" t="str">
        <f>IF(ISBLANK(Table1[[#This Row],[SizeOption]]),"NOT AVAILABLE",Table1[[#This Row],[SizeOption]])</f>
        <v>S, M, L, XL</v>
      </c>
      <c r="Y2731" t="str">
        <f>IF(Table2[[#This Row],[Column1]]&gt;50%,"HIGH DISCOUNT","LOW DISCOUNT")</f>
        <v>HIGH DISCOUNT</v>
      </c>
    </row>
    <row r="2732" spans="1:25" x14ac:dyDescent="0.25">
      <c r="A2732" s="1" t="s">
        <v>5738</v>
      </c>
      <c r="B2732" s="1">
        <v>9564819</v>
      </c>
      <c r="C2732" s="1" t="s">
        <v>14</v>
      </c>
      <c r="D2732" s="1" t="s">
        <v>28</v>
      </c>
      <c r="E2732" s="1" t="s">
        <v>1881</v>
      </c>
      <c r="F2732" s="1" t="s">
        <v>17</v>
      </c>
      <c r="G2732" s="1" t="s">
        <v>5739</v>
      </c>
      <c r="H2732">
        <v>639</v>
      </c>
      <c r="I2732" s="1">
        <v>1599</v>
      </c>
      <c r="J2732" s="1" t="s">
        <v>55</v>
      </c>
      <c r="K2732" s="1" t="s">
        <v>115</v>
      </c>
      <c r="L2732" s="1">
        <v>4.3</v>
      </c>
      <c r="M2732" s="1">
        <v>625</v>
      </c>
      <c r="P2732" t="str">
        <f t="shared" si="171"/>
        <v>60%</v>
      </c>
      <c r="Q2732" s="12">
        <f t="shared" si="168"/>
        <v>0.6</v>
      </c>
      <c r="R2732" s="9">
        <f t="shared" si="169"/>
        <v>639.6</v>
      </c>
      <c r="S2732" s="9">
        <f>IF(R2732="",AVERAGEIF(Table1[Category],Table1[[#This Row],[Category]],Table2[orignal data]),Table2[[#This Row],[orignal data]])</f>
        <v>639.6</v>
      </c>
      <c r="T2732" t="str">
        <f t="shared" si="170"/>
        <v>UNIQUE</v>
      </c>
      <c r="U2732" t="str">
        <f>IF(ISBLANK(Table1[[#This Row],[SizeOption]]),"NOT AVAILABLE",Table1[[#This Row],[SizeOption]])</f>
        <v>XS, S, M, L, XL, XXL</v>
      </c>
      <c r="Y2732" t="str">
        <f>IF(Table2[[#This Row],[Column1]]&gt;50%,"HIGH DISCOUNT","LOW DISCOUNT")</f>
        <v>HIGH DISCOUNT</v>
      </c>
    </row>
    <row r="2733" spans="1:25" x14ac:dyDescent="0.25">
      <c r="A2733" s="2" t="s">
        <v>5740</v>
      </c>
      <c r="B2733" s="2">
        <v>1406441</v>
      </c>
      <c r="C2733" s="2" t="s">
        <v>214</v>
      </c>
      <c r="D2733" s="2" t="s">
        <v>28</v>
      </c>
      <c r="E2733" s="2" t="s">
        <v>306</v>
      </c>
      <c r="F2733" s="2" t="s">
        <v>17</v>
      </c>
      <c r="G2733" s="2" t="s">
        <v>5741</v>
      </c>
      <c r="H2733">
        <v>549</v>
      </c>
      <c r="I2733" s="2">
        <v>2199</v>
      </c>
      <c r="J2733" s="2" t="s">
        <v>109</v>
      </c>
      <c r="K2733" s="2" t="s">
        <v>26</v>
      </c>
      <c r="L2733" s="2">
        <v>3.9</v>
      </c>
      <c r="M2733" s="2">
        <v>625</v>
      </c>
      <c r="P2733" t="str">
        <f t="shared" si="171"/>
        <v>75%</v>
      </c>
      <c r="Q2733" s="12">
        <f t="shared" si="168"/>
        <v>0.75</v>
      </c>
      <c r="R2733" s="9">
        <f t="shared" si="169"/>
        <v>549.75</v>
      </c>
      <c r="S2733" s="9">
        <f>IF(R2733="",AVERAGEIF(Table1[Category],Table1[[#This Row],[Category]],Table2[orignal data]),Table2[[#This Row],[orignal data]])</f>
        <v>549.75</v>
      </c>
      <c r="T2733" t="str">
        <f t="shared" si="170"/>
        <v>UNIQUE</v>
      </c>
      <c r="U2733" t="str">
        <f>IF(ISBLANK(Table1[[#This Row],[SizeOption]]),"NOT AVAILABLE",Table1[[#This Row],[SizeOption]])</f>
        <v>S, M, L, XL</v>
      </c>
      <c r="Y2733" t="str">
        <f>IF(Table2[[#This Row],[Column1]]&gt;50%,"HIGH DISCOUNT","LOW DISCOUNT")</f>
        <v>HIGH DISCOUNT</v>
      </c>
    </row>
    <row r="2734" spans="1:25" x14ac:dyDescent="0.25">
      <c r="A2734" s="1" t="s">
        <v>5742</v>
      </c>
      <c r="B2734" s="1">
        <v>11571434</v>
      </c>
      <c r="C2734" s="1" t="s">
        <v>5743</v>
      </c>
      <c r="D2734" s="1" t="s">
        <v>76</v>
      </c>
      <c r="E2734" s="1" t="s">
        <v>320</v>
      </c>
      <c r="F2734" s="1" t="s">
        <v>36</v>
      </c>
      <c r="G2734" s="1" t="s">
        <v>5744</v>
      </c>
      <c r="H2734">
        <v>1098</v>
      </c>
      <c r="I2734" s="1">
        <v>4995</v>
      </c>
      <c r="J2734" s="1" t="s">
        <v>1469</v>
      </c>
      <c r="K2734" s="1" t="s">
        <v>164</v>
      </c>
      <c r="L2734" s="1">
        <v>4.0999999999999996</v>
      </c>
      <c r="M2734" s="1">
        <v>625</v>
      </c>
      <c r="P2734" t="str">
        <f t="shared" si="171"/>
        <v>78%</v>
      </c>
      <c r="Q2734" s="12">
        <f t="shared" si="168"/>
        <v>0.78</v>
      </c>
      <c r="R2734" s="9">
        <f t="shared" si="169"/>
        <v>1098.9000000000001</v>
      </c>
      <c r="S2734" s="9">
        <f>IF(R2734="",AVERAGEIF(Table1[Category],Table1[[#This Row],[Category]],Table2[orignal data]),Table2[[#This Row],[orignal data]])</f>
        <v>1098.9000000000001</v>
      </c>
      <c r="T2734" t="str">
        <f t="shared" si="170"/>
        <v>UNIQUE</v>
      </c>
      <c r="U2734" t="str">
        <f>IF(ISBLANK(Table1[[#This Row],[SizeOption]]),"NOT AVAILABLE",Table1[[#This Row],[SizeOption]])</f>
        <v>Onesize</v>
      </c>
      <c r="Y2734" t="str">
        <f>IF(Table2[[#This Row],[Column1]]&gt;50%,"HIGH DISCOUNT","LOW DISCOUNT")</f>
        <v>HIGH DISCOUNT</v>
      </c>
    </row>
    <row r="2735" spans="1:25" x14ac:dyDescent="0.25">
      <c r="A2735" s="2" t="s">
        <v>5745</v>
      </c>
      <c r="B2735" s="2">
        <v>17524676</v>
      </c>
      <c r="C2735" s="2" t="s">
        <v>47</v>
      </c>
      <c r="D2735" s="2" t="s">
        <v>41</v>
      </c>
      <c r="E2735" s="2" t="s">
        <v>42</v>
      </c>
      <c r="F2735" s="2" t="s">
        <v>36</v>
      </c>
      <c r="G2735" s="2" t="s">
        <v>1316</v>
      </c>
      <c r="I2735" s="2">
        <v>1598</v>
      </c>
      <c r="J2735" s="2" t="s">
        <v>84</v>
      </c>
      <c r="K2735" s="2" t="s">
        <v>447</v>
      </c>
      <c r="L2735" s="2">
        <v>4.0999999999999996</v>
      </c>
      <c r="M2735" s="2">
        <v>625</v>
      </c>
      <c r="P2735" t="str">
        <f t="shared" si="171"/>
        <v>50%</v>
      </c>
      <c r="Q2735" s="12">
        <f t="shared" si="168"/>
        <v>0.5</v>
      </c>
      <c r="R2735" s="9">
        <f t="shared" si="169"/>
        <v>799</v>
      </c>
      <c r="S2735" s="9">
        <f>IF(R2735="",AVERAGEIF(Table1[Category],Table1[[#This Row],[Category]],Table2[orignal data]),Table2[[#This Row],[orignal data]])</f>
        <v>799</v>
      </c>
      <c r="T2735" t="str">
        <f t="shared" si="170"/>
        <v>UNIQUE</v>
      </c>
      <c r="U2735" t="str">
        <f>IF(ISBLANK(Table1[[#This Row],[SizeOption]]),"NOT AVAILABLE",Table1[[#This Row],[SizeOption]])</f>
        <v>M, S, XS, XL, L</v>
      </c>
      <c r="Y2735" t="str">
        <f>IF(Table2[[#This Row],[Column1]]&gt;50%,"HIGH DISCOUNT","LOW DISCOUNT")</f>
        <v>LOW DISCOUNT</v>
      </c>
    </row>
    <row r="2736" spans="1:25" x14ac:dyDescent="0.25">
      <c r="A2736" s="1" t="s">
        <v>5746</v>
      </c>
      <c r="B2736" s="1">
        <v>6713837</v>
      </c>
      <c r="C2736" s="1" t="s">
        <v>14</v>
      </c>
      <c r="D2736" s="1" t="s">
        <v>28</v>
      </c>
      <c r="E2736" s="1" t="s">
        <v>42</v>
      </c>
      <c r="F2736" s="1" t="s">
        <v>17</v>
      </c>
      <c r="G2736" s="1" t="s">
        <v>5747</v>
      </c>
      <c r="H2736">
        <v>399</v>
      </c>
      <c r="I2736" s="1">
        <v>799</v>
      </c>
      <c r="J2736" s="1" t="s">
        <v>84</v>
      </c>
      <c r="K2736" s="1" t="s">
        <v>45</v>
      </c>
      <c r="L2736" s="1">
        <v>4.2</v>
      </c>
      <c r="M2736" s="1">
        <v>624</v>
      </c>
      <c r="P2736" t="str">
        <f t="shared" si="171"/>
        <v>50%</v>
      </c>
      <c r="Q2736" s="12">
        <f t="shared" si="168"/>
        <v>0.5</v>
      </c>
      <c r="R2736" s="9">
        <f t="shared" si="169"/>
        <v>399.5</v>
      </c>
      <c r="S2736" s="9">
        <f>IF(R2736="",AVERAGEIF(Table1[Category],Table1[[#This Row],[Category]],Table2[orignal data]),Table2[[#This Row],[orignal data]])</f>
        <v>399.5</v>
      </c>
      <c r="T2736" t="str">
        <f t="shared" si="170"/>
        <v>UNIQUE</v>
      </c>
      <c r="U2736" t="str">
        <f>IF(ISBLANK(Table1[[#This Row],[SizeOption]]),"NOT AVAILABLE",Table1[[#This Row],[SizeOption]])</f>
        <v>XS, S, M, L, XL</v>
      </c>
      <c r="Y2736" t="str">
        <f>IF(Table2[[#This Row],[Column1]]&gt;50%,"HIGH DISCOUNT","LOW DISCOUNT")</f>
        <v>LOW DISCOUNT</v>
      </c>
    </row>
    <row r="2737" spans="1:25" x14ac:dyDescent="0.25">
      <c r="A2737" s="2" t="s">
        <v>5748</v>
      </c>
      <c r="B2737" s="2">
        <v>12851442</v>
      </c>
      <c r="C2737" s="2" t="s">
        <v>64</v>
      </c>
      <c r="D2737" s="2" t="s">
        <v>76</v>
      </c>
      <c r="E2737" s="2" t="s">
        <v>93</v>
      </c>
      <c r="F2737" s="2" t="s">
        <v>36</v>
      </c>
      <c r="G2737" s="2" t="s">
        <v>5749</v>
      </c>
      <c r="H2737">
        <v>559</v>
      </c>
      <c r="I2737" s="2">
        <v>1399</v>
      </c>
      <c r="J2737" s="2" t="s">
        <v>55</v>
      </c>
      <c r="K2737" s="2" t="s">
        <v>100</v>
      </c>
      <c r="L2737" s="2">
        <v>4.0999999999999996</v>
      </c>
      <c r="M2737" s="2">
        <v>624</v>
      </c>
      <c r="P2737" t="str">
        <f t="shared" si="171"/>
        <v>60%</v>
      </c>
      <c r="Q2737" s="12">
        <f t="shared" si="168"/>
        <v>0.6</v>
      </c>
      <c r="R2737" s="9">
        <f t="shared" si="169"/>
        <v>559.6</v>
      </c>
      <c r="S2737" s="9">
        <f>IF(R2737="",AVERAGEIF(Table1[Category],Table1[[#This Row],[Category]],Table2[orignal data]),Table2[[#This Row],[orignal data]])</f>
        <v>559.6</v>
      </c>
      <c r="T2737" t="str">
        <f t="shared" si="170"/>
        <v>UNIQUE</v>
      </c>
      <c r="U2737" t="str">
        <f>IF(ISBLANK(Table1[[#This Row],[SizeOption]]),"NOT AVAILABLE",Table1[[#This Row],[SizeOption]])</f>
        <v>XS, S, M, L, XL, XXL, 3XL</v>
      </c>
      <c r="Y2737" t="str">
        <f>IF(Table2[[#This Row],[Column1]]&gt;50%,"HIGH DISCOUNT","LOW DISCOUNT")</f>
        <v>HIGH DISCOUNT</v>
      </c>
    </row>
    <row r="2738" spans="1:25" x14ac:dyDescent="0.25">
      <c r="A2738" s="1" t="s">
        <v>5750</v>
      </c>
      <c r="B2738" s="1">
        <v>12400478</v>
      </c>
      <c r="C2738" s="1" t="s">
        <v>1074</v>
      </c>
      <c r="D2738" s="1" t="s">
        <v>76</v>
      </c>
      <c r="E2738" s="1" t="s">
        <v>148</v>
      </c>
      <c r="F2738" s="1" t="s">
        <v>36</v>
      </c>
      <c r="G2738" s="1" t="s">
        <v>5751</v>
      </c>
      <c r="H2738">
        <v>849</v>
      </c>
      <c r="I2738" s="1">
        <v>2499</v>
      </c>
      <c r="J2738" s="1" t="s">
        <v>403</v>
      </c>
      <c r="K2738" s="1" t="s">
        <v>39</v>
      </c>
      <c r="L2738" s="1">
        <v>4.2</v>
      </c>
      <c r="M2738" s="1">
        <v>624</v>
      </c>
      <c r="P2738" t="str">
        <f t="shared" si="171"/>
        <v>66%</v>
      </c>
      <c r="Q2738" s="12">
        <f t="shared" si="168"/>
        <v>0.66</v>
      </c>
      <c r="R2738" s="9">
        <f t="shared" si="169"/>
        <v>849.65999999999985</v>
      </c>
      <c r="S2738" s="9">
        <f>IF(R2738="",AVERAGEIF(Table1[Category],Table1[[#This Row],[Category]],Table2[orignal data]),Table2[[#This Row],[orignal data]])</f>
        <v>849.65999999999985</v>
      </c>
      <c r="T2738" t="str">
        <f t="shared" si="170"/>
        <v>UNIQUE</v>
      </c>
      <c r="U2738" t="str">
        <f>IF(ISBLANK(Table1[[#This Row],[SizeOption]]),"NOT AVAILABLE",Table1[[#This Row],[SizeOption]])</f>
        <v>S, M, L, XL, XXL</v>
      </c>
      <c r="Y2738" t="str">
        <f>IF(Table2[[#This Row],[Column1]]&gt;50%,"HIGH DISCOUNT","LOW DISCOUNT")</f>
        <v>HIGH DISCOUNT</v>
      </c>
    </row>
    <row r="2739" spans="1:25" x14ac:dyDescent="0.25">
      <c r="A2739" s="2" t="s">
        <v>5752</v>
      </c>
      <c r="B2739" s="2">
        <v>13737396</v>
      </c>
      <c r="C2739" s="2" t="s">
        <v>1711</v>
      </c>
      <c r="D2739" s="2" t="s">
        <v>76</v>
      </c>
      <c r="E2739" s="2" t="s">
        <v>77</v>
      </c>
      <c r="F2739" s="2" t="s">
        <v>36</v>
      </c>
      <c r="G2739" s="2" t="s">
        <v>5753</v>
      </c>
      <c r="H2739">
        <v>1439</v>
      </c>
      <c r="I2739" s="2">
        <v>4498</v>
      </c>
      <c r="J2739" s="2" t="s">
        <v>839</v>
      </c>
      <c r="K2739" s="2" t="s">
        <v>5754</v>
      </c>
      <c r="L2739" s="2">
        <v>4</v>
      </c>
      <c r="M2739" s="2">
        <v>624</v>
      </c>
      <c r="P2739" t="str">
        <f t="shared" si="171"/>
        <v>68%</v>
      </c>
      <c r="Q2739" s="12">
        <f t="shared" si="168"/>
        <v>0.68</v>
      </c>
      <c r="R2739" s="9">
        <f t="shared" si="169"/>
        <v>1439.3599999999997</v>
      </c>
      <c r="S2739" s="9">
        <f>IF(R2739="",AVERAGEIF(Table1[Category],Table1[[#This Row],[Category]],Table2[orignal data]),Table2[[#This Row],[orignal data]])</f>
        <v>1439.3599999999997</v>
      </c>
      <c r="T2739" t="str">
        <f t="shared" si="170"/>
        <v>UNIQUE</v>
      </c>
      <c r="U2739" t="str">
        <f>IF(ISBLANK(Table1[[#This Row],[SizeOption]]),"NOT AVAILABLE",Table1[[#This Row],[SizeOption]])</f>
        <v>32/37, M, L, XL, XXL, 3XL</v>
      </c>
      <c r="Y2739" t="str">
        <f>IF(Table2[[#This Row],[Column1]]&gt;50%,"HIGH DISCOUNT","LOW DISCOUNT")</f>
        <v>HIGH DISCOUNT</v>
      </c>
    </row>
    <row r="2740" spans="1:25" x14ac:dyDescent="0.25">
      <c r="A2740" s="1" t="s">
        <v>5755</v>
      </c>
      <c r="B2740" s="1">
        <v>17385164</v>
      </c>
      <c r="C2740" s="1" t="s">
        <v>14</v>
      </c>
      <c r="D2740" s="1" t="s">
        <v>41</v>
      </c>
      <c r="E2740" s="1" t="s">
        <v>42</v>
      </c>
      <c r="F2740" s="1" t="s">
        <v>36</v>
      </c>
      <c r="G2740" s="1" t="s">
        <v>2373</v>
      </c>
      <c r="I2740" s="1">
        <v>1398</v>
      </c>
      <c r="J2740" s="1" t="s">
        <v>84</v>
      </c>
      <c r="K2740" s="1" t="s">
        <v>45</v>
      </c>
      <c r="L2740" s="1">
        <v>4.4000000000000004</v>
      </c>
      <c r="M2740" s="1">
        <v>624</v>
      </c>
      <c r="P2740" t="str">
        <f t="shared" si="171"/>
        <v>50%</v>
      </c>
      <c r="Q2740" s="12">
        <f t="shared" si="168"/>
        <v>0.5</v>
      </c>
      <c r="R2740" s="9">
        <f t="shared" si="169"/>
        <v>699</v>
      </c>
      <c r="S2740" s="9">
        <f>IF(R2740="",AVERAGEIF(Table1[Category],Table1[[#This Row],[Category]],Table2[orignal data]),Table2[[#This Row],[orignal data]])</f>
        <v>699</v>
      </c>
      <c r="T2740" t="str">
        <f t="shared" si="170"/>
        <v>UNIQUE</v>
      </c>
      <c r="U2740" t="str">
        <f>IF(ISBLANK(Table1[[#This Row],[SizeOption]]),"NOT AVAILABLE",Table1[[#This Row],[SizeOption]])</f>
        <v>XS, S, M, L, XL</v>
      </c>
      <c r="Y2740" t="str">
        <f>IF(Table2[[#This Row],[Column1]]&gt;50%,"HIGH DISCOUNT","LOW DISCOUNT")</f>
        <v>LOW DISCOUNT</v>
      </c>
    </row>
    <row r="2741" spans="1:25" x14ac:dyDescent="0.25">
      <c r="A2741" s="2" t="s">
        <v>5756</v>
      </c>
      <c r="B2741" s="2">
        <v>11118426</v>
      </c>
      <c r="C2741" s="2" t="s">
        <v>14</v>
      </c>
      <c r="D2741" s="2" t="s">
        <v>41</v>
      </c>
      <c r="E2741" s="2" t="s">
        <v>137</v>
      </c>
      <c r="F2741" s="2" t="s">
        <v>36</v>
      </c>
      <c r="G2741" s="2" t="s">
        <v>5757</v>
      </c>
      <c r="I2741" s="2">
        <v>1499</v>
      </c>
      <c r="J2741" s="2" t="s">
        <v>50</v>
      </c>
      <c r="K2741" s="2" t="s">
        <v>134</v>
      </c>
      <c r="L2741" s="2">
        <v>4.3</v>
      </c>
      <c r="M2741" s="2">
        <v>624</v>
      </c>
      <c r="P2741" t="str">
        <f t="shared" si="171"/>
        <v>40%</v>
      </c>
      <c r="Q2741" s="12">
        <f t="shared" si="168"/>
        <v>0.4</v>
      </c>
      <c r="R2741" s="9">
        <f t="shared" si="169"/>
        <v>899.4</v>
      </c>
      <c r="S2741" s="9">
        <f>IF(R2741="",AVERAGEIF(Table1[Category],Table1[[#This Row],[Category]],Table2[orignal data]),Table2[[#This Row],[orignal data]])</f>
        <v>899.4</v>
      </c>
      <c r="T2741" t="str">
        <f t="shared" si="170"/>
        <v>UNIQUE</v>
      </c>
      <c r="U2741" t="str">
        <f>IF(ISBLANK(Table1[[#This Row],[SizeOption]]),"NOT AVAILABLE",Table1[[#This Row],[SizeOption]])</f>
        <v>26, 28, 30, 32, 34, 36</v>
      </c>
      <c r="Y2741" t="str">
        <f>IF(Table2[[#This Row],[Column1]]&gt;50%,"HIGH DISCOUNT","LOW DISCOUNT")</f>
        <v>LOW DISCOUNT</v>
      </c>
    </row>
    <row r="2742" spans="1:25" x14ac:dyDescent="0.25">
      <c r="A2742" s="1" t="s">
        <v>5758</v>
      </c>
      <c r="B2742" s="1">
        <v>12737888</v>
      </c>
      <c r="C2742" s="1" t="s">
        <v>181</v>
      </c>
      <c r="D2742" s="1" t="s">
        <v>41</v>
      </c>
      <c r="E2742" s="1" t="s">
        <v>306</v>
      </c>
      <c r="F2742" s="1" t="s">
        <v>36</v>
      </c>
      <c r="G2742" s="1" t="s">
        <v>5759</v>
      </c>
      <c r="I2742" s="1">
        <v>1799</v>
      </c>
      <c r="J2742" s="1" t="s">
        <v>84</v>
      </c>
      <c r="K2742" s="1" t="s">
        <v>45</v>
      </c>
      <c r="L2742" s="1">
        <v>4.3</v>
      </c>
      <c r="M2742" s="1">
        <v>624</v>
      </c>
      <c r="P2742" t="str">
        <f t="shared" si="171"/>
        <v>50%</v>
      </c>
      <c r="Q2742" s="12">
        <f t="shared" si="168"/>
        <v>0.5</v>
      </c>
      <c r="R2742" s="9">
        <f t="shared" si="169"/>
        <v>899.5</v>
      </c>
      <c r="S2742" s="9">
        <f>IF(R2742="",AVERAGEIF(Table1[Category],Table1[[#This Row],[Category]],Table2[orignal data]),Table2[[#This Row],[orignal data]])</f>
        <v>899.5</v>
      </c>
      <c r="T2742" t="str">
        <f t="shared" si="170"/>
        <v>UNIQUE</v>
      </c>
      <c r="U2742" t="str">
        <f>IF(ISBLANK(Table1[[#This Row],[SizeOption]]),"NOT AVAILABLE",Table1[[#This Row],[SizeOption]])</f>
        <v>XS, S, M, L, XL</v>
      </c>
      <c r="Y2742" t="str">
        <f>IF(Table2[[#This Row],[Column1]]&gt;50%,"HIGH DISCOUNT","LOW DISCOUNT")</f>
        <v>LOW DISCOUNT</v>
      </c>
    </row>
    <row r="2743" spans="1:25" x14ac:dyDescent="0.25">
      <c r="A2743" s="2" t="s">
        <v>5760</v>
      </c>
      <c r="B2743" s="2">
        <v>9340989</v>
      </c>
      <c r="C2743" s="2" t="s">
        <v>676</v>
      </c>
      <c r="D2743" s="2" t="s">
        <v>41</v>
      </c>
      <c r="E2743" s="2" t="s">
        <v>48</v>
      </c>
      <c r="F2743" s="2" t="s">
        <v>36</v>
      </c>
      <c r="G2743" s="2" t="s">
        <v>2417</v>
      </c>
      <c r="I2743" s="2">
        <v>1998</v>
      </c>
      <c r="J2743" s="2" t="s">
        <v>84</v>
      </c>
      <c r="K2743" s="2" t="s">
        <v>26</v>
      </c>
      <c r="L2743" s="2">
        <v>3.6</v>
      </c>
      <c r="M2743" s="2">
        <v>624</v>
      </c>
      <c r="P2743" t="str">
        <f t="shared" si="171"/>
        <v>50%</v>
      </c>
      <c r="Q2743" s="12">
        <f t="shared" si="168"/>
        <v>0.5</v>
      </c>
      <c r="R2743" s="9">
        <f t="shared" si="169"/>
        <v>999</v>
      </c>
      <c r="S2743" s="9">
        <f>IF(R2743="",AVERAGEIF(Table1[Category],Table1[[#This Row],[Category]],Table2[orignal data]),Table2[[#This Row],[orignal data]])</f>
        <v>999</v>
      </c>
      <c r="T2743" t="str">
        <f t="shared" si="170"/>
        <v>UNIQUE</v>
      </c>
      <c r="U2743" t="str">
        <f>IF(ISBLANK(Table1[[#This Row],[SizeOption]]),"NOT AVAILABLE",Table1[[#This Row],[SizeOption]])</f>
        <v>S, M, L, XL</v>
      </c>
      <c r="Y2743" t="str">
        <f>IF(Table2[[#This Row],[Column1]]&gt;50%,"HIGH DISCOUNT","LOW DISCOUNT")</f>
        <v>LOW DISCOUNT</v>
      </c>
    </row>
    <row r="2744" spans="1:25" x14ac:dyDescent="0.25">
      <c r="A2744" s="1" t="s">
        <v>5761</v>
      </c>
      <c r="B2744" s="1">
        <v>12288060</v>
      </c>
      <c r="C2744" s="1" t="s">
        <v>181</v>
      </c>
      <c r="D2744" s="1" t="s">
        <v>41</v>
      </c>
      <c r="E2744" s="1" t="s">
        <v>189</v>
      </c>
      <c r="F2744" s="1" t="s">
        <v>36</v>
      </c>
      <c r="G2744" s="1" t="s">
        <v>5762</v>
      </c>
      <c r="I2744" s="1">
        <v>1999</v>
      </c>
      <c r="J2744" s="1" t="s">
        <v>84</v>
      </c>
      <c r="K2744" s="1" t="s">
        <v>115</v>
      </c>
      <c r="L2744" s="1">
        <v>4.3</v>
      </c>
      <c r="M2744" s="1">
        <v>624</v>
      </c>
      <c r="P2744" t="str">
        <f t="shared" si="171"/>
        <v>50%</v>
      </c>
      <c r="Q2744" s="12">
        <f t="shared" si="168"/>
        <v>0.5</v>
      </c>
      <c r="R2744" s="9">
        <f t="shared" si="169"/>
        <v>999.5</v>
      </c>
      <c r="S2744" s="9">
        <f>IF(R2744="",AVERAGEIF(Table1[Category],Table1[[#This Row],[Category]],Table2[orignal data]),Table2[[#This Row],[orignal data]])</f>
        <v>999.5</v>
      </c>
      <c r="T2744" t="str">
        <f t="shared" si="170"/>
        <v>UNIQUE</v>
      </c>
      <c r="U2744" t="str">
        <f>IF(ISBLANK(Table1[[#This Row],[SizeOption]]),"NOT AVAILABLE",Table1[[#This Row],[SizeOption]])</f>
        <v>XS, S, M, L, XL, XXL</v>
      </c>
      <c r="Y2744" t="str">
        <f>IF(Table2[[#This Row],[Column1]]&gt;50%,"HIGH DISCOUNT","LOW DISCOUNT")</f>
        <v>LOW DISCOUNT</v>
      </c>
    </row>
    <row r="2745" spans="1:25" x14ac:dyDescent="0.25">
      <c r="A2745" s="2" t="s">
        <v>5763</v>
      </c>
      <c r="B2745" s="2">
        <v>7211068</v>
      </c>
      <c r="C2745" s="2" t="s">
        <v>102</v>
      </c>
      <c r="D2745" s="2" t="s">
        <v>41</v>
      </c>
      <c r="E2745" s="2" t="s">
        <v>48</v>
      </c>
      <c r="F2745" s="2" t="s">
        <v>36</v>
      </c>
      <c r="G2745" s="2" t="s">
        <v>5764</v>
      </c>
      <c r="I2745" s="2">
        <v>999</v>
      </c>
      <c r="J2745" s="2" t="s">
        <v>55</v>
      </c>
      <c r="K2745" s="2" t="s">
        <v>26</v>
      </c>
      <c r="L2745" s="2">
        <v>4.3</v>
      </c>
      <c r="M2745" s="2">
        <v>624</v>
      </c>
      <c r="P2745" t="str">
        <f t="shared" si="171"/>
        <v>60%</v>
      </c>
      <c r="Q2745" s="12">
        <f t="shared" si="168"/>
        <v>0.6</v>
      </c>
      <c r="R2745" s="9">
        <f t="shared" si="169"/>
        <v>399.6</v>
      </c>
      <c r="S2745" s="9">
        <f>IF(R2745="",AVERAGEIF(Table1[Category],Table1[[#This Row],[Category]],Table2[orignal data]),Table2[[#This Row],[orignal data]])</f>
        <v>399.6</v>
      </c>
      <c r="T2745" t="str">
        <f t="shared" si="170"/>
        <v>UNIQUE</v>
      </c>
      <c r="U2745" t="str">
        <f>IF(ISBLANK(Table1[[#This Row],[SizeOption]]),"NOT AVAILABLE",Table1[[#This Row],[SizeOption]])</f>
        <v>S, M, L, XL</v>
      </c>
      <c r="Y2745" t="str">
        <f>IF(Table2[[#This Row],[Column1]]&gt;50%,"HIGH DISCOUNT","LOW DISCOUNT")</f>
        <v>HIGH DISCOUNT</v>
      </c>
    </row>
    <row r="2746" spans="1:25" x14ac:dyDescent="0.25">
      <c r="A2746" s="1" t="s">
        <v>5765</v>
      </c>
      <c r="B2746" s="1">
        <v>17382840</v>
      </c>
      <c r="C2746" s="1" t="s">
        <v>14</v>
      </c>
      <c r="D2746" s="1" t="s">
        <v>41</v>
      </c>
      <c r="E2746" s="1" t="s">
        <v>42</v>
      </c>
      <c r="F2746" s="1" t="s">
        <v>36</v>
      </c>
      <c r="G2746" s="1" t="s">
        <v>380</v>
      </c>
      <c r="I2746" s="1">
        <v>1598</v>
      </c>
      <c r="J2746" s="1"/>
      <c r="K2746" s="1" t="s">
        <v>45</v>
      </c>
      <c r="L2746" s="1">
        <v>4.3</v>
      </c>
      <c r="M2746" s="1">
        <v>624</v>
      </c>
      <c r="P2746" t="str">
        <f t="shared" si="171"/>
        <v/>
      </c>
      <c r="Q2746" s="12" t="str">
        <f t="shared" si="168"/>
        <v/>
      </c>
      <c r="R2746" s="9" t="str">
        <f t="shared" si="169"/>
        <v/>
      </c>
      <c r="S2746" s="9">
        <f>IF(R2746="",AVERAGEIF(Table1[Category],Table1[[#This Row],[Category]],Table2[orignal data]),Table2[[#This Row],[orignal data]])</f>
        <v>715.78890751086249</v>
      </c>
      <c r="T2746" t="str">
        <f t="shared" si="170"/>
        <v>UNIQUE</v>
      </c>
      <c r="U2746" t="str">
        <f>IF(ISBLANK(Table1[[#This Row],[SizeOption]]),"NOT AVAILABLE",Table1[[#This Row],[SizeOption]])</f>
        <v>XS, S, M, L, XL</v>
      </c>
      <c r="Y2746" t="str">
        <f>IF(Table2[[#This Row],[Column1]]&gt;50%,"HIGH DISCOUNT","LOW DISCOUNT")</f>
        <v>HIGH DISCOUNT</v>
      </c>
    </row>
    <row r="2747" spans="1:25" x14ac:dyDescent="0.25">
      <c r="A2747" s="2" t="s">
        <v>5766</v>
      </c>
      <c r="B2747" s="2">
        <v>8064709</v>
      </c>
      <c r="C2747" s="2" t="s">
        <v>22</v>
      </c>
      <c r="D2747" s="2" t="s">
        <v>15</v>
      </c>
      <c r="E2747" s="2" t="s">
        <v>16</v>
      </c>
      <c r="F2747" s="2" t="s">
        <v>17</v>
      </c>
      <c r="G2747" s="2" t="s">
        <v>5767</v>
      </c>
      <c r="H2747">
        <v>832</v>
      </c>
      <c r="I2747" s="2">
        <v>2449</v>
      </c>
      <c r="J2747" s="2" t="s">
        <v>403</v>
      </c>
      <c r="K2747" s="2" t="s">
        <v>56</v>
      </c>
      <c r="L2747" s="2">
        <v>4</v>
      </c>
      <c r="M2747" s="2">
        <v>623</v>
      </c>
      <c r="P2747" t="str">
        <f t="shared" si="171"/>
        <v>66%</v>
      </c>
      <c r="Q2747" s="12">
        <f t="shared" si="168"/>
        <v>0.66</v>
      </c>
      <c r="R2747" s="9">
        <f t="shared" si="169"/>
        <v>832.65999999999985</v>
      </c>
      <c r="S2747" s="9">
        <f>IF(R2747="",AVERAGEIF(Table1[Category],Table1[[#This Row],[Category]],Table2[orignal data]),Table2[[#This Row],[orignal data]])</f>
        <v>832.65999999999985</v>
      </c>
      <c r="T2747" t="str">
        <f t="shared" si="170"/>
        <v>UNIQUE</v>
      </c>
      <c r="U2747" t="str">
        <f>IF(ISBLANK(Table1[[#This Row],[SizeOption]]),"NOT AVAILABLE",Table1[[#This Row],[SizeOption]])</f>
        <v>30, 32, 34, 36</v>
      </c>
      <c r="Y2747" t="str">
        <f>IF(Table2[[#This Row],[Column1]]&gt;50%,"HIGH DISCOUNT","LOW DISCOUNT")</f>
        <v>HIGH DISCOUNT</v>
      </c>
    </row>
    <row r="2748" spans="1:25" x14ac:dyDescent="0.25">
      <c r="A2748" s="1" t="s">
        <v>5768</v>
      </c>
      <c r="B2748" s="1">
        <v>2221356</v>
      </c>
      <c r="C2748" s="1" t="s">
        <v>201</v>
      </c>
      <c r="D2748" s="1" t="s">
        <v>28</v>
      </c>
      <c r="E2748" s="1" t="s">
        <v>42</v>
      </c>
      <c r="F2748" s="1" t="s">
        <v>17</v>
      </c>
      <c r="G2748" s="1" t="s">
        <v>5769</v>
      </c>
      <c r="H2748">
        <v>549</v>
      </c>
      <c r="I2748" s="1">
        <v>1099</v>
      </c>
      <c r="J2748" s="1" t="s">
        <v>84</v>
      </c>
      <c r="K2748" s="1" t="s">
        <v>26</v>
      </c>
      <c r="L2748" s="1">
        <v>4.0999999999999996</v>
      </c>
      <c r="M2748" s="1">
        <v>623</v>
      </c>
      <c r="P2748" t="str">
        <f t="shared" si="171"/>
        <v>50%</v>
      </c>
      <c r="Q2748" s="12">
        <f t="shared" si="168"/>
        <v>0.5</v>
      </c>
      <c r="R2748" s="9">
        <f t="shared" si="169"/>
        <v>549.5</v>
      </c>
      <c r="S2748" s="9">
        <f>IF(R2748="",AVERAGEIF(Table1[Category],Table1[[#This Row],[Category]],Table2[orignal data]),Table2[[#This Row],[orignal data]])</f>
        <v>549.5</v>
      </c>
      <c r="T2748" t="str">
        <f t="shared" si="170"/>
        <v>UNIQUE</v>
      </c>
      <c r="U2748" t="str">
        <f>IF(ISBLANK(Table1[[#This Row],[SizeOption]]),"NOT AVAILABLE",Table1[[#This Row],[SizeOption]])</f>
        <v>S, M, L, XL</v>
      </c>
      <c r="Y2748" t="str">
        <f>IF(Table2[[#This Row],[Column1]]&gt;50%,"HIGH DISCOUNT","LOW DISCOUNT")</f>
        <v>LOW DISCOUNT</v>
      </c>
    </row>
    <row r="2749" spans="1:25" x14ac:dyDescent="0.25">
      <c r="A2749" s="2" t="s">
        <v>5770</v>
      </c>
      <c r="B2749" s="2">
        <v>9072385</v>
      </c>
      <c r="C2749" s="2" t="s">
        <v>201</v>
      </c>
      <c r="D2749" s="2" t="s">
        <v>76</v>
      </c>
      <c r="E2749" s="2" t="s">
        <v>93</v>
      </c>
      <c r="F2749" s="2" t="s">
        <v>36</v>
      </c>
      <c r="G2749" s="2" t="s">
        <v>5771</v>
      </c>
      <c r="H2749">
        <v>1079</v>
      </c>
      <c r="I2749" s="2">
        <v>1799</v>
      </c>
      <c r="J2749" s="2" t="s">
        <v>50</v>
      </c>
      <c r="K2749" s="2" t="s">
        <v>100</v>
      </c>
      <c r="L2749" s="2">
        <v>4</v>
      </c>
      <c r="M2749" s="2">
        <v>623</v>
      </c>
      <c r="P2749" t="str">
        <f t="shared" si="171"/>
        <v>40%</v>
      </c>
      <c r="Q2749" s="12">
        <f t="shared" si="168"/>
        <v>0.4</v>
      </c>
      <c r="R2749" s="9">
        <f t="shared" si="169"/>
        <v>1079.4000000000001</v>
      </c>
      <c r="S2749" s="9">
        <f>IF(R2749="",AVERAGEIF(Table1[Category],Table1[[#This Row],[Category]],Table2[orignal data]),Table2[[#This Row],[orignal data]])</f>
        <v>1079.4000000000001</v>
      </c>
      <c r="T2749" t="str">
        <f t="shared" si="170"/>
        <v>UNIQUE</v>
      </c>
      <c r="U2749" t="str">
        <f>IF(ISBLANK(Table1[[#This Row],[SizeOption]]),"NOT AVAILABLE",Table1[[#This Row],[SizeOption]])</f>
        <v>XS, S, M, L, XL, XXL, 3XL</v>
      </c>
      <c r="Y2749" t="str">
        <f>IF(Table2[[#This Row],[Column1]]&gt;50%,"HIGH DISCOUNT","LOW DISCOUNT")</f>
        <v>LOW DISCOUNT</v>
      </c>
    </row>
    <row r="2750" spans="1:25" x14ac:dyDescent="0.25">
      <c r="A2750" s="1" t="s">
        <v>5772</v>
      </c>
      <c r="B2750" s="1">
        <v>13747918</v>
      </c>
      <c r="C2750" s="1" t="s">
        <v>1489</v>
      </c>
      <c r="D2750" s="1" t="s">
        <v>76</v>
      </c>
      <c r="E2750" s="1" t="s">
        <v>77</v>
      </c>
      <c r="F2750" s="1" t="s">
        <v>36</v>
      </c>
      <c r="G2750" s="1" t="s">
        <v>5773</v>
      </c>
      <c r="H2750">
        <v>1539</v>
      </c>
      <c r="I2750" s="1">
        <v>3499</v>
      </c>
      <c r="J2750" s="1" t="s">
        <v>1204</v>
      </c>
      <c r="K2750" s="1" t="s">
        <v>115</v>
      </c>
      <c r="L2750" s="1">
        <v>4.2</v>
      </c>
      <c r="M2750" s="1">
        <v>623</v>
      </c>
      <c r="P2750" t="str">
        <f t="shared" si="171"/>
        <v>56%</v>
      </c>
      <c r="Q2750" s="12">
        <f t="shared" si="168"/>
        <v>0.56000000000000005</v>
      </c>
      <c r="R2750" s="9">
        <f t="shared" si="169"/>
        <v>1539.5599999999997</v>
      </c>
      <c r="S2750" s="9">
        <f>IF(R2750="",AVERAGEIF(Table1[Category],Table1[[#This Row],[Category]],Table2[orignal data]),Table2[[#This Row],[orignal data]])</f>
        <v>1539.5599999999997</v>
      </c>
      <c r="T2750" t="str">
        <f t="shared" si="170"/>
        <v>UNIQUE</v>
      </c>
      <c r="U2750" t="str">
        <f>IF(ISBLANK(Table1[[#This Row],[SizeOption]]),"NOT AVAILABLE",Table1[[#This Row],[SizeOption]])</f>
        <v>XS, S, M, L, XL, XXL</v>
      </c>
      <c r="Y2750" t="str">
        <f>IF(Table2[[#This Row],[Column1]]&gt;50%,"HIGH DISCOUNT","LOW DISCOUNT")</f>
        <v>HIGH DISCOUNT</v>
      </c>
    </row>
    <row r="2751" spans="1:25" x14ac:dyDescent="0.25">
      <c r="A2751" s="2" t="s">
        <v>5774</v>
      </c>
      <c r="B2751" s="2">
        <v>10561274</v>
      </c>
      <c r="C2751" s="2" t="s">
        <v>97</v>
      </c>
      <c r="D2751" s="2" t="s">
        <v>98</v>
      </c>
      <c r="E2751" s="2" t="s">
        <v>93</v>
      </c>
      <c r="F2751" s="2" t="s">
        <v>36</v>
      </c>
      <c r="G2751" s="2" t="s">
        <v>5775</v>
      </c>
      <c r="H2751">
        <v>494</v>
      </c>
      <c r="I2751" s="2">
        <v>1099</v>
      </c>
      <c r="J2751" s="2" t="s">
        <v>25</v>
      </c>
      <c r="K2751" s="2" t="s">
        <v>100</v>
      </c>
      <c r="L2751" s="2">
        <v>4</v>
      </c>
      <c r="M2751" s="2">
        <v>623</v>
      </c>
      <c r="P2751" t="str">
        <f t="shared" si="171"/>
        <v>55%</v>
      </c>
      <c r="Q2751" s="12">
        <f t="shared" si="168"/>
        <v>0.55000000000000004</v>
      </c>
      <c r="R2751" s="9">
        <f t="shared" si="169"/>
        <v>494.54999999999995</v>
      </c>
      <c r="S2751" s="9">
        <f>IF(R2751="",AVERAGEIF(Table1[Category],Table1[[#This Row],[Category]],Table2[orignal data]),Table2[[#This Row],[orignal data]])</f>
        <v>494.54999999999995</v>
      </c>
      <c r="T2751" t="str">
        <f t="shared" si="170"/>
        <v>UNIQUE</v>
      </c>
      <c r="U2751" t="str">
        <f>IF(ISBLANK(Table1[[#This Row],[SizeOption]]),"NOT AVAILABLE",Table1[[#This Row],[SizeOption]])</f>
        <v>XS, S, M, L, XL, XXL, 3XL</v>
      </c>
      <c r="Y2751" t="str">
        <f>IF(Table2[[#This Row],[Column1]]&gt;50%,"HIGH DISCOUNT","LOW DISCOUNT")</f>
        <v>HIGH DISCOUNT</v>
      </c>
    </row>
    <row r="2752" spans="1:25" x14ac:dyDescent="0.25">
      <c r="A2752" s="1" t="s">
        <v>5776</v>
      </c>
      <c r="B2752" s="1">
        <v>17381520</v>
      </c>
      <c r="C2752" s="1" t="s">
        <v>14</v>
      </c>
      <c r="D2752" s="1" t="s">
        <v>41</v>
      </c>
      <c r="E2752" s="1" t="s">
        <v>42</v>
      </c>
      <c r="F2752" s="1" t="s">
        <v>36</v>
      </c>
      <c r="G2752" s="1" t="s">
        <v>657</v>
      </c>
      <c r="I2752" s="1">
        <v>1198</v>
      </c>
      <c r="J2752" s="1" t="s">
        <v>84</v>
      </c>
      <c r="K2752" s="1" t="s">
        <v>45</v>
      </c>
      <c r="L2752" s="1">
        <v>4.4000000000000004</v>
      </c>
      <c r="M2752" s="1">
        <v>623</v>
      </c>
      <c r="P2752" t="str">
        <f t="shared" si="171"/>
        <v>50%</v>
      </c>
      <c r="Q2752" s="12">
        <f t="shared" si="168"/>
        <v>0.5</v>
      </c>
      <c r="R2752" s="9">
        <f t="shared" si="169"/>
        <v>599</v>
      </c>
      <c r="S2752" s="9">
        <f>IF(R2752="",AVERAGEIF(Table1[Category],Table1[[#This Row],[Category]],Table2[orignal data]),Table2[[#This Row],[orignal data]])</f>
        <v>599</v>
      </c>
      <c r="T2752" t="str">
        <f t="shared" si="170"/>
        <v>UNIQUE</v>
      </c>
      <c r="U2752" t="str">
        <f>IF(ISBLANK(Table1[[#This Row],[SizeOption]]),"NOT AVAILABLE",Table1[[#This Row],[SizeOption]])</f>
        <v>XS, S, M, L, XL</v>
      </c>
      <c r="Y2752" t="str">
        <f>IF(Table2[[#This Row],[Column1]]&gt;50%,"HIGH DISCOUNT","LOW DISCOUNT")</f>
        <v>LOW DISCOUNT</v>
      </c>
    </row>
    <row r="2753" spans="1:25" x14ac:dyDescent="0.25">
      <c r="A2753" s="2" t="s">
        <v>5777</v>
      </c>
      <c r="B2753" s="2">
        <v>17385790</v>
      </c>
      <c r="C2753" s="2" t="s">
        <v>14</v>
      </c>
      <c r="D2753" s="2" t="s">
        <v>41</v>
      </c>
      <c r="E2753" s="2" t="s">
        <v>42</v>
      </c>
      <c r="F2753" s="2" t="s">
        <v>36</v>
      </c>
      <c r="G2753" s="2" t="s">
        <v>2443</v>
      </c>
      <c r="I2753" s="2">
        <v>1398</v>
      </c>
      <c r="J2753" s="2" t="s">
        <v>84</v>
      </c>
      <c r="K2753" s="2" t="s">
        <v>45</v>
      </c>
      <c r="L2753" s="2">
        <v>4.3</v>
      </c>
      <c r="M2753" s="2">
        <v>623</v>
      </c>
      <c r="P2753" t="str">
        <f t="shared" si="171"/>
        <v>50%</v>
      </c>
      <c r="Q2753" s="12">
        <f t="shared" si="168"/>
        <v>0.5</v>
      </c>
      <c r="R2753" s="9">
        <f t="shared" si="169"/>
        <v>699</v>
      </c>
      <c r="S2753" s="9">
        <f>IF(R2753="",AVERAGEIF(Table1[Category],Table1[[#This Row],[Category]],Table2[orignal data]),Table2[[#This Row],[orignal data]])</f>
        <v>699</v>
      </c>
      <c r="T2753" t="str">
        <f t="shared" si="170"/>
        <v>UNIQUE</v>
      </c>
      <c r="U2753" t="str">
        <f>IF(ISBLANK(Table1[[#This Row],[SizeOption]]),"NOT AVAILABLE",Table1[[#This Row],[SizeOption]])</f>
        <v>XS, S, M, L, XL</v>
      </c>
      <c r="Y2753" t="str">
        <f>IF(Table2[[#This Row],[Column1]]&gt;50%,"HIGH DISCOUNT","LOW DISCOUNT")</f>
        <v>LOW DISCOUNT</v>
      </c>
    </row>
    <row r="2754" spans="1:25" x14ac:dyDescent="0.25">
      <c r="A2754" s="1" t="s">
        <v>5778</v>
      </c>
      <c r="B2754" s="1">
        <v>12867304</v>
      </c>
      <c r="C2754" s="1" t="s">
        <v>121</v>
      </c>
      <c r="D2754" s="1" t="s">
        <v>41</v>
      </c>
      <c r="E2754" s="1" t="s">
        <v>16</v>
      </c>
      <c r="F2754" s="1" t="s">
        <v>36</v>
      </c>
      <c r="G2754" s="1" t="s">
        <v>5779</v>
      </c>
      <c r="I2754" s="1">
        <v>1999</v>
      </c>
      <c r="J2754" s="1" t="s">
        <v>186</v>
      </c>
      <c r="K2754" s="1" t="s">
        <v>428</v>
      </c>
      <c r="L2754" s="1">
        <v>4.0999999999999996</v>
      </c>
      <c r="M2754" s="1">
        <v>623</v>
      </c>
      <c r="P2754" t="str">
        <f t="shared" si="171"/>
        <v>30%</v>
      </c>
      <c r="Q2754" s="12">
        <f t="shared" ref="Q2754:Q2817" si="172">IF(P2754="","",IF(ISNUMBER(SEARCH("%",P2754)),P2754,P2754/I2754)*100%)</f>
        <v>0.3</v>
      </c>
      <c r="R2754" s="9">
        <f t="shared" ref="R2754:R2817" si="173">IF(P2754="","",I2754-(I2754*Q2754))</f>
        <v>1399.3000000000002</v>
      </c>
      <c r="S2754" s="9">
        <f>IF(R2754="",AVERAGEIF(Table1[Category],Table1[[#This Row],[Category]],Table2[orignal data]),Table2[[#This Row],[orignal data]])</f>
        <v>1399.3000000000002</v>
      </c>
      <c r="T2754" t="str">
        <f t="shared" ref="T2754:T2817" si="174">IF(COUNTIF($B$2:$B$5000,B2754)&gt;1,"DUPLICATE","UNIQUE")</f>
        <v>UNIQUE</v>
      </c>
      <c r="U2754" t="str">
        <f>IF(ISBLANK(Table1[[#This Row],[SizeOption]]),"NOT AVAILABLE",Table1[[#This Row],[SizeOption]])</f>
        <v>26, 28, 30, 32, 34</v>
      </c>
      <c r="Y2754" t="str">
        <f>IF(Table2[[#This Row],[Column1]]&gt;50%,"HIGH DISCOUNT","LOW DISCOUNT")</f>
        <v>LOW DISCOUNT</v>
      </c>
    </row>
    <row r="2755" spans="1:25" x14ac:dyDescent="0.25">
      <c r="A2755" s="2" t="s">
        <v>5780</v>
      </c>
      <c r="B2755" s="2">
        <v>11607044</v>
      </c>
      <c r="C2755" s="2" t="s">
        <v>47</v>
      </c>
      <c r="D2755" s="2" t="s">
        <v>41</v>
      </c>
      <c r="E2755" s="2" t="s">
        <v>16</v>
      </c>
      <c r="F2755" s="2" t="s">
        <v>36</v>
      </c>
      <c r="G2755" s="2" t="s">
        <v>5781</v>
      </c>
      <c r="I2755" s="2">
        <v>2199</v>
      </c>
      <c r="J2755" s="2" t="s">
        <v>150</v>
      </c>
      <c r="K2755" s="2" t="s">
        <v>134</v>
      </c>
      <c r="L2755" s="2">
        <v>4.0999999999999996</v>
      </c>
      <c r="M2755" s="2">
        <v>623</v>
      </c>
      <c r="P2755" t="str">
        <f t="shared" ref="P2755:P2818" si="175">TRIM(SUBSTITUTE(SUBSTITUTE(SUBSTITUTE(SUBSTITUTE(J2755,"OFF",""),"Rs.",""),"Hurry*",""),",",""))</f>
        <v>65%</v>
      </c>
      <c r="Q2755" s="12">
        <f t="shared" si="172"/>
        <v>0.65</v>
      </c>
      <c r="R2755" s="9">
        <f t="shared" si="173"/>
        <v>769.64999999999986</v>
      </c>
      <c r="S2755" s="9">
        <f>IF(R2755="",AVERAGEIF(Table1[Category],Table1[[#This Row],[Category]],Table2[orignal data]),Table2[[#This Row],[orignal data]])</f>
        <v>769.64999999999986</v>
      </c>
      <c r="T2755" t="str">
        <f t="shared" si="174"/>
        <v>UNIQUE</v>
      </c>
      <c r="U2755" t="str">
        <f>IF(ISBLANK(Table1[[#This Row],[SizeOption]]),"NOT AVAILABLE",Table1[[#This Row],[SizeOption]])</f>
        <v>26, 28, 30, 32, 34, 36</v>
      </c>
      <c r="Y2755" t="str">
        <f>IF(Table2[[#This Row],[Column1]]&gt;50%,"HIGH DISCOUNT","LOW DISCOUNT")</f>
        <v>HIGH DISCOUNT</v>
      </c>
    </row>
    <row r="2756" spans="1:25" x14ac:dyDescent="0.25">
      <c r="A2756" s="1" t="s">
        <v>5782</v>
      </c>
      <c r="B2756" s="1">
        <v>11893760</v>
      </c>
      <c r="C2756" s="1" t="s">
        <v>14</v>
      </c>
      <c r="D2756" s="1" t="s">
        <v>41</v>
      </c>
      <c r="E2756" s="1" t="s">
        <v>42</v>
      </c>
      <c r="F2756" s="1" t="s">
        <v>36</v>
      </c>
      <c r="G2756" s="1" t="s">
        <v>5783</v>
      </c>
      <c r="I2756" s="1">
        <v>699</v>
      </c>
      <c r="J2756" s="1" t="s">
        <v>84</v>
      </c>
      <c r="K2756" s="1" t="s">
        <v>45</v>
      </c>
      <c r="L2756" s="1">
        <v>4.2</v>
      </c>
      <c r="M2756" s="1">
        <v>623</v>
      </c>
      <c r="P2756" t="str">
        <f t="shared" si="175"/>
        <v>50%</v>
      </c>
      <c r="Q2756" s="12">
        <f t="shared" si="172"/>
        <v>0.5</v>
      </c>
      <c r="R2756" s="9">
        <f t="shared" si="173"/>
        <v>349.5</v>
      </c>
      <c r="S2756" s="9">
        <f>IF(R2756="",AVERAGEIF(Table1[Category],Table1[[#This Row],[Category]],Table2[orignal data]),Table2[[#This Row],[orignal data]])</f>
        <v>349.5</v>
      </c>
      <c r="T2756" t="str">
        <f t="shared" si="174"/>
        <v>UNIQUE</v>
      </c>
      <c r="U2756" t="str">
        <f>IF(ISBLANK(Table1[[#This Row],[SizeOption]]),"NOT AVAILABLE",Table1[[#This Row],[SizeOption]])</f>
        <v>XS, S, M, L, XL</v>
      </c>
      <c r="Y2756" t="str">
        <f>IF(Table2[[#This Row],[Column1]]&gt;50%,"HIGH DISCOUNT","LOW DISCOUNT")</f>
        <v>LOW DISCOUNT</v>
      </c>
    </row>
    <row r="2757" spans="1:25" x14ac:dyDescent="0.25">
      <c r="A2757" s="2" t="s">
        <v>5784</v>
      </c>
      <c r="B2757" s="2">
        <v>14062990</v>
      </c>
      <c r="C2757" s="2" t="s">
        <v>102</v>
      </c>
      <c r="D2757" s="2" t="s">
        <v>41</v>
      </c>
      <c r="E2757" s="2" t="s">
        <v>23</v>
      </c>
      <c r="F2757" s="2" t="s">
        <v>36</v>
      </c>
      <c r="G2757" s="2" t="s">
        <v>4817</v>
      </c>
      <c r="I2757" s="2">
        <v>999</v>
      </c>
      <c r="J2757" s="2" t="s">
        <v>55</v>
      </c>
      <c r="K2757" s="2" t="s">
        <v>26</v>
      </c>
      <c r="L2757" s="2">
        <v>4.0999999999999996</v>
      </c>
      <c r="M2757" s="2">
        <v>623</v>
      </c>
      <c r="P2757" t="str">
        <f t="shared" si="175"/>
        <v>60%</v>
      </c>
      <c r="Q2757" s="12">
        <f t="shared" si="172"/>
        <v>0.6</v>
      </c>
      <c r="R2757" s="9">
        <f t="shared" si="173"/>
        <v>399.6</v>
      </c>
      <c r="S2757" s="9">
        <f>IF(R2757="",AVERAGEIF(Table1[Category],Table1[[#This Row],[Category]],Table2[orignal data]),Table2[[#This Row],[orignal data]])</f>
        <v>399.6</v>
      </c>
      <c r="T2757" t="str">
        <f t="shared" si="174"/>
        <v>UNIQUE</v>
      </c>
      <c r="U2757" t="str">
        <f>IF(ISBLANK(Table1[[#This Row],[SizeOption]]),"NOT AVAILABLE",Table1[[#This Row],[SizeOption]])</f>
        <v>S, M, L, XL</v>
      </c>
      <c r="Y2757" t="str">
        <f>IF(Table2[[#This Row],[Column1]]&gt;50%,"HIGH DISCOUNT","LOW DISCOUNT")</f>
        <v>HIGH DISCOUNT</v>
      </c>
    </row>
    <row r="2758" spans="1:25" x14ac:dyDescent="0.25">
      <c r="A2758" s="1" t="s">
        <v>5785</v>
      </c>
      <c r="B2758" s="1">
        <v>10046853</v>
      </c>
      <c r="C2758" s="1" t="s">
        <v>14</v>
      </c>
      <c r="D2758" s="1" t="s">
        <v>15</v>
      </c>
      <c r="E2758" s="1" t="s">
        <v>16</v>
      </c>
      <c r="F2758" s="1" t="s">
        <v>17</v>
      </c>
      <c r="G2758" s="1" t="s">
        <v>1320</v>
      </c>
      <c r="H2758">
        <v>799</v>
      </c>
      <c r="I2758" s="1">
        <v>1999</v>
      </c>
      <c r="J2758" s="1" t="s">
        <v>55</v>
      </c>
      <c r="K2758" s="1" t="s">
        <v>20</v>
      </c>
      <c r="L2758" s="1">
        <v>4</v>
      </c>
      <c r="M2758" s="1">
        <v>622</v>
      </c>
      <c r="P2758" t="str">
        <f t="shared" si="175"/>
        <v>60%</v>
      </c>
      <c r="Q2758" s="12">
        <f t="shared" si="172"/>
        <v>0.6</v>
      </c>
      <c r="R2758" s="9">
        <f t="shared" si="173"/>
        <v>799.60000000000014</v>
      </c>
      <c r="S2758" s="9">
        <f>IF(R2758="",AVERAGEIF(Table1[Category],Table1[[#This Row],[Category]],Table2[orignal data]),Table2[[#This Row],[orignal data]])</f>
        <v>799.60000000000014</v>
      </c>
      <c r="T2758" t="str">
        <f t="shared" si="174"/>
        <v>UNIQUE</v>
      </c>
      <c r="U2758" t="str">
        <f>IF(ISBLANK(Table1[[#This Row],[SizeOption]]),"NOT AVAILABLE",Table1[[#This Row],[SizeOption]])</f>
        <v>28, 30, 32, 34, 36</v>
      </c>
      <c r="Y2758" t="str">
        <f>IF(Table2[[#This Row],[Column1]]&gt;50%,"HIGH DISCOUNT","LOW DISCOUNT")</f>
        <v>HIGH DISCOUNT</v>
      </c>
    </row>
    <row r="2759" spans="1:25" x14ac:dyDescent="0.25">
      <c r="A2759" s="2" t="s">
        <v>5786</v>
      </c>
      <c r="B2759" s="2">
        <v>11770274</v>
      </c>
      <c r="C2759" s="2" t="s">
        <v>3030</v>
      </c>
      <c r="D2759" s="2" t="s">
        <v>76</v>
      </c>
      <c r="E2759" s="2" t="s">
        <v>3223</v>
      </c>
      <c r="F2759" s="2" t="s">
        <v>17</v>
      </c>
      <c r="G2759" s="2" t="s">
        <v>5787</v>
      </c>
      <c r="H2759">
        <v>499</v>
      </c>
      <c r="I2759" s="2">
        <v>999</v>
      </c>
      <c r="J2759" s="2" t="s">
        <v>84</v>
      </c>
      <c r="K2759" s="2" t="s">
        <v>39</v>
      </c>
      <c r="L2759" s="2">
        <v>4.2</v>
      </c>
      <c r="M2759" s="2">
        <v>622</v>
      </c>
      <c r="P2759" t="str">
        <f t="shared" si="175"/>
        <v>50%</v>
      </c>
      <c r="Q2759" s="12">
        <f t="shared" si="172"/>
        <v>0.5</v>
      </c>
      <c r="R2759" s="9">
        <f t="shared" si="173"/>
        <v>499.5</v>
      </c>
      <c r="S2759" s="9">
        <f>IF(R2759="",AVERAGEIF(Table1[Category],Table1[[#This Row],[Category]],Table2[orignal data]),Table2[[#This Row],[orignal data]])</f>
        <v>499.5</v>
      </c>
      <c r="T2759" t="str">
        <f t="shared" si="174"/>
        <v>UNIQUE</v>
      </c>
      <c r="U2759" t="str">
        <f>IF(ISBLANK(Table1[[#This Row],[SizeOption]]),"NOT AVAILABLE",Table1[[#This Row],[SizeOption]])</f>
        <v>S, M, L, XL, XXL</v>
      </c>
      <c r="Y2759" t="str">
        <f>IF(Table2[[#This Row],[Column1]]&gt;50%,"HIGH DISCOUNT","LOW DISCOUNT")</f>
        <v>LOW DISCOUNT</v>
      </c>
    </row>
    <row r="2760" spans="1:25" x14ac:dyDescent="0.25">
      <c r="A2760" s="1" t="s">
        <v>5788</v>
      </c>
      <c r="B2760" s="1">
        <v>11199278</v>
      </c>
      <c r="C2760" s="1" t="s">
        <v>113</v>
      </c>
      <c r="D2760" s="1" t="s">
        <v>76</v>
      </c>
      <c r="E2760" s="1" t="s">
        <v>93</v>
      </c>
      <c r="F2760" s="1" t="s">
        <v>36</v>
      </c>
      <c r="G2760" s="1" t="s">
        <v>5789</v>
      </c>
      <c r="H2760">
        <v>1099</v>
      </c>
      <c r="I2760" s="1">
        <v>2199</v>
      </c>
      <c r="J2760" s="1" t="s">
        <v>84</v>
      </c>
      <c r="K2760" s="1" t="s">
        <v>115</v>
      </c>
      <c r="L2760" s="1">
        <v>4.2</v>
      </c>
      <c r="M2760" s="1">
        <v>622</v>
      </c>
      <c r="P2760" t="str">
        <f t="shared" si="175"/>
        <v>50%</v>
      </c>
      <c r="Q2760" s="12">
        <f t="shared" si="172"/>
        <v>0.5</v>
      </c>
      <c r="R2760" s="9">
        <f t="shared" si="173"/>
        <v>1099.5</v>
      </c>
      <c r="S2760" s="9">
        <f>IF(R2760="",AVERAGEIF(Table1[Category],Table1[[#This Row],[Category]],Table2[orignal data]),Table2[[#This Row],[orignal data]])</f>
        <v>1099.5</v>
      </c>
      <c r="T2760" t="str">
        <f t="shared" si="174"/>
        <v>UNIQUE</v>
      </c>
      <c r="U2760" t="str">
        <f>IF(ISBLANK(Table1[[#This Row],[SizeOption]]),"NOT AVAILABLE",Table1[[#This Row],[SizeOption]])</f>
        <v>XS, S, M, L, XL, XXL</v>
      </c>
      <c r="Y2760" t="str">
        <f>IF(Table2[[#This Row],[Column1]]&gt;50%,"HIGH DISCOUNT","LOW DISCOUNT")</f>
        <v>LOW DISCOUNT</v>
      </c>
    </row>
    <row r="2761" spans="1:25" x14ac:dyDescent="0.25">
      <c r="A2761" s="2" t="s">
        <v>5790</v>
      </c>
      <c r="B2761" s="2">
        <v>13789772</v>
      </c>
      <c r="C2761" s="2" t="s">
        <v>113</v>
      </c>
      <c r="D2761" s="2" t="s">
        <v>76</v>
      </c>
      <c r="E2761" s="2" t="s">
        <v>77</v>
      </c>
      <c r="F2761" s="2" t="s">
        <v>36</v>
      </c>
      <c r="G2761" s="2" t="s">
        <v>5791</v>
      </c>
      <c r="H2761">
        <v>1484</v>
      </c>
      <c r="I2761" s="2">
        <v>3299</v>
      </c>
      <c r="J2761" s="2" t="s">
        <v>25</v>
      </c>
      <c r="K2761" s="2" t="s">
        <v>73</v>
      </c>
      <c r="L2761" s="2">
        <v>4.3</v>
      </c>
      <c r="M2761" s="2">
        <v>622</v>
      </c>
      <c r="P2761" t="str">
        <f t="shared" si="175"/>
        <v>55%</v>
      </c>
      <c r="Q2761" s="12">
        <f t="shared" si="172"/>
        <v>0.55000000000000004</v>
      </c>
      <c r="R2761" s="9">
        <f t="shared" si="173"/>
        <v>1484.55</v>
      </c>
      <c r="S2761" s="9">
        <f>IF(R2761="",AVERAGEIF(Table1[Category],Table1[[#This Row],[Category]],Table2[orignal data]),Table2[[#This Row],[orignal data]])</f>
        <v>1484.55</v>
      </c>
      <c r="T2761" t="str">
        <f t="shared" si="174"/>
        <v>UNIQUE</v>
      </c>
      <c r="U2761" t="str">
        <f>IF(ISBLANK(Table1[[#This Row],[SizeOption]]),"NOT AVAILABLE",Table1[[#This Row],[SizeOption]])</f>
        <v>XS, S, M, L, XL, XXL, 3XL, 4XL</v>
      </c>
      <c r="Y2761" t="str">
        <f>IF(Table2[[#This Row],[Column1]]&gt;50%,"HIGH DISCOUNT","LOW DISCOUNT")</f>
        <v>HIGH DISCOUNT</v>
      </c>
    </row>
    <row r="2762" spans="1:25" x14ac:dyDescent="0.25">
      <c r="A2762" s="1" t="s">
        <v>5792</v>
      </c>
      <c r="B2762" s="1">
        <v>11607438</v>
      </c>
      <c r="C2762" s="1" t="s">
        <v>1127</v>
      </c>
      <c r="D2762" s="1" t="s">
        <v>76</v>
      </c>
      <c r="E2762" s="1" t="s">
        <v>77</v>
      </c>
      <c r="F2762" s="1" t="s">
        <v>36</v>
      </c>
      <c r="G2762" s="1" t="s">
        <v>5793</v>
      </c>
      <c r="H2762">
        <v>1449</v>
      </c>
      <c r="I2762" s="1">
        <v>4999</v>
      </c>
      <c r="J2762" s="1" t="s">
        <v>279</v>
      </c>
      <c r="K2762" s="1" t="s">
        <v>26</v>
      </c>
      <c r="L2762" s="1">
        <v>4</v>
      </c>
      <c r="M2762" s="1">
        <v>622</v>
      </c>
      <c r="P2762" t="str">
        <f t="shared" si="175"/>
        <v>71%</v>
      </c>
      <c r="Q2762" s="12">
        <f t="shared" si="172"/>
        <v>0.71</v>
      </c>
      <c r="R2762" s="9">
        <f t="shared" si="173"/>
        <v>1449.71</v>
      </c>
      <c r="S2762" s="9">
        <f>IF(R2762="",AVERAGEIF(Table1[Category],Table1[[#This Row],[Category]],Table2[orignal data]),Table2[[#This Row],[orignal data]])</f>
        <v>1449.71</v>
      </c>
      <c r="T2762" t="str">
        <f t="shared" si="174"/>
        <v>UNIQUE</v>
      </c>
      <c r="U2762" t="str">
        <f>IF(ISBLANK(Table1[[#This Row],[SizeOption]]),"NOT AVAILABLE",Table1[[#This Row],[SizeOption]])</f>
        <v>S, M, L, XL</v>
      </c>
      <c r="Y2762" t="str">
        <f>IF(Table2[[#This Row],[Column1]]&gt;50%,"HIGH DISCOUNT","LOW DISCOUNT")</f>
        <v>HIGH DISCOUNT</v>
      </c>
    </row>
    <row r="2763" spans="1:25" x14ac:dyDescent="0.25">
      <c r="A2763" s="2" t="s">
        <v>5794</v>
      </c>
      <c r="B2763" s="2">
        <v>14668766</v>
      </c>
      <c r="C2763" s="2" t="s">
        <v>1375</v>
      </c>
      <c r="D2763" s="2" t="s">
        <v>76</v>
      </c>
      <c r="E2763" s="2" t="s">
        <v>320</v>
      </c>
      <c r="F2763" s="2" t="s">
        <v>36</v>
      </c>
      <c r="G2763" s="2" t="s">
        <v>5795</v>
      </c>
      <c r="H2763">
        <v>2519</v>
      </c>
      <c r="I2763" s="2">
        <v>5599</v>
      </c>
      <c r="J2763" s="2" t="s">
        <v>25</v>
      </c>
      <c r="K2763" s="2" t="s">
        <v>164</v>
      </c>
      <c r="L2763" s="2">
        <v>3.8</v>
      </c>
      <c r="M2763" s="2">
        <v>622</v>
      </c>
      <c r="P2763" t="str">
        <f t="shared" si="175"/>
        <v>55%</v>
      </c>
      <c r="Q2763" s="12">
        <f t="shared" si="172"/>
        <v>0.55000000000000004</v>
      </c>
      <c r="R2763" s="9">
        <f t="shared" si="173"/>
        <v>2519.5499999999997</v>
      </c>
      <c r="S2763" s="9">
        <f>IF(R2763="",AVERAGEIF(Table1[Category],Table1[[#This Row],[Category]],Table2[orignal data]),Table2[[#This Row],[orignal data]])</f>
        <v>2519.5499999999997</v>
      </c>
      <c r="T2763" t="str">
        <f t="shared" si="174"/>
        <v>UNIQUE</v>
      </c>
      <c r="U2763" t="str">
        <f>IF(ISBLANK(Table1[[#This Row],[SizeOption]]),"NOT AVAILABLE",Table1[[#This Row],[SizeOption]])</f>
        <v>Onesize</v>
      </c>
      <c r="Y2763" t="str">
        <f>IF(Table2[[#This Row],[Column1]]&gt;50%,"HIGH DISCOUNT","LOW DISCOUNT")</f>
        <v>HIGH DISCOUNT</v>
      </c>
    </row>
    <row r="2764" spans="1:25" x14ac:dyDescent="0.25">
      <c r="A2764" s="1" t="s">
        <v>5796</v>
      </c>
      <c r="B2764" s="1">
        <v>17523500</v>
      </c>
      <c r="C2764" s="1" t="s">
        <v>47</v>
      </c>
      <c r="D2764" s="1" t="s">
        <v>41</v>
      </c>
      <c r="E2764" s="1" t="s">
        <v>42</v>
      </c>
      <c r="F2764" s="1" t="s">
        <v>36</v>
      </c>
      <c r="G2764" s="1" t="s">
        <v>2637</v>
      </c>
      <c r="I2764" s="1">
        <v>1398</v>
      </c>
      <c r="J2764" s="1" t="s">
        <v>84</v>
      </c>
      <c r="K2764" s="1" t="s">
        <v>45</v>
      </c>
      <c r="L2764" s="1">
        <v>4.4000000000000004</v>
      </c>
      <c r="M2764" s="1">
        <v>622</v>
      </c>
      <c r="P2764" t="str">
        <f t="shared" si="175"/>
        <v>50%</v>
      </c>
      <c r="Q2764" s="12">
        <f t="shared" si="172"/>
        <v>0.5</v>
      </c>
      <c r="R2764" s="9">
        <f t="shared" si="173"/>
        <v>699</v>
      </c>
      <c r="S2764" s="9">
        <f>IF(R2764="",AVERAGEIF(Table1[Category],Table1[[#This Row],[Category]],Table2[orignal data]),Table2[[#This Row],[orignal data]])</f>
        <v>699</v>
      </c>
      <c r="T2764" t="str">
        <f t="shared" si="174"/>
        <v>UNIQUE</v>
      </c>
      <c r="U2764" t="str">
        <f>IF(ISBLANK(Table1[[#This Row],[SizeOption]]),"NOT AVAILABLE",Table1[[#This Row],[SizeOption]])</f>
        <v>XS, S, M, L, XL</v>
      </c>
      <c r="Y2764" t="str">
        <f>IF(Table2[[#This Row],[Column1]]&gt;50%,"HIGH DISCOUNT","LOW DISCOUNT")</f>
        <v>LOW DISCOUNT</v>
      </c>
    </row>
    <row r="2765" spans="1:25" x14ac:dyDescent="0.25">
      <c r="A2765" s="2" t="s">
        <v>5797</v>
      </c>
      <c r="B2765" s="2">
        <v>6011817</v>
      </c>
      <c r="C2765" s="2" t="s">
        <v>14</v>
      </c>
      <c r="D2765" s="2" t="s">
        <v>41</v>
      </c>
      <c r="E2765" s="2" t="s">
        <v>306</v>
      </c>
      <c r="F2765" s="2" t="s">
        <v>36</v>
      </c>
      <c r="G2765" s="2" t="s">
        <v>5798</v>
      </c>
      <c r="I2765" s="2">
        <v>1499</v>
      </c>
      <c r="J2765" s="2" t="s">
        <v>79</v>
      </c>
      <c r="K2765" s="2" t="s">
        <v>45</v>
      </c>
      <c r="L2765" s="2">
        <v>4</v>
      </c>
      <c r="M2765" s="2">
        <v>622</v>
      </c>
      <c r="P2765" t="str">
        <f t="shared" si="175"/>
        <v>70%</v>
      </c>
      <c r="Q2765" s="12">
        <f t="shared" si="172"/>
        <v>0.7</v>
      </c>
      <c r="R2765" s="9">
        <f t="shared" si="173"/>
        <v>449.70000000000005</v>
      </c>
      <c r="S2765" s="9">
        <f>IF(R2765="",AVERAGEIF(Table1[Category],Table1[[#This Row],[Category]],Table2[orignal data]),Table2[[#This Row],[orignal data]])</f>
        <v>449.70000000000005</v>
      </c>
      <c r="T2765" t="str">
        <f t="shared" si="174"/>
        <v>UNIQUE</v>
      </c>
      <c r="U2765" t="str">
        <f>IF(ISBLANK(Table1[[#This Row],[SizeOption]]),"NOT AVAILABLE",Table1[[#This Row],[SizeOption]])</f>
        <v>XS, S, M, L, XL</v>
      </c>
      <c r="Y2765" t="str">
        <f>IF(Table2[[#This Row],[Column1]]&gt;50%,"HIGH DISCOUNT","LOW DISCOUNT")</f>
        <v>HIGH DISCOUNT</v>
      </c>
    </row>
    <row r="2766" spans="1:25" x14ac:dyDescent="0.25">
      <c r="A2766" s="1" t="s">
        <v>5799</v>
      </c>
      <c r="B2766" s="1">
        <v>11882806</v>
      </c>
      <c r="C2766" s="1" t="s">
        <v>887</v>
      </c>
      <c r="D2766" s="1" t="s">
        <v>41</v>
      </c>
      <c r="E2766" s="1" t="s">
        <v>148</v>
      </c>
      <c r="F2766" s="1" t="s">
        <v>36</v>
      </c>
      <c r="G2766" s="1" t="s">
        <v>5800</v>
      </c>
      <c r="I2766" s="1">
        <v>1798</v>
      </c>
      <c r="J2766" s="1" t="s">
        <v>79</v>
      </c>
      <c r="K2766" s="1" t="s">
        <v>26</v>
      </c>
      <c r="L2766" s="1">
        <v>4.2</v>
      </c>
      <c r="M2766" s="1">
        <v>622</v>
      </c>
      <c r="P2766" t="str">
        <f t="shared" si="175"/>
        <v>70%</v>
      </c>
      <c r="Q2766" s="12">
        <f t="shared" si="172"/>
        <v>0.7</v>
      </c>
      <c r="R2766" s="9">
        <f t="shared" si="173"/>
        <v>539.40000000000009</v>
      </c>
      <c r="S2766" s="9">
        <f>IF(R2766="",AVERAGEIF(Table1[Category],Table1[[#This Row],[Category]],Table2[orignal data]),Table2[[#This Row],[orignal data]])</f>
        <v>539.40000000000009</v>
      </c>
      <c r="T2766" t="str">
        <f t="shared" si="174"/>
        <v>UNIQUE</v>
      </c>
      <c r="U2766" t="str">
        <f>IF(ISBLANK(Table1[[#This Row],[SizeOption]]),"NOT AVAILABLE",Table1[[#This Row],[SizeOption]])</f>
        <v>S, M, L, XL</v>
      </c>
      <c r="Y2766" t="str">
        <f>IF(Table2[[#This Row],[Column1]]&gt;50%,"HIGH DISCOUNT","LOW DISCOUNT")</f>
        <v>HIGH DISCOUNT</v>
      </c>
    </row>
    <row r="2767" spans="1:25" x14ac:dyDescent="0.25">
      <c r="A2767" s="2" t="s">
        <v>5801</v>
      </c>
      <c r="B2767" s="2">
        <v>10604560</v>
      </c>
      <c r="C2767" s="2" t="s">
        <v>181</v>
      </c>
      <c r="D2767" s="2" t="s">
        <v>41</v>
      </c>
      <c r="E2767" s="2" t="s">
        <v>82</v>
      </c>
      <c r="F2767" s="2" t="s">
        <v>36</v>
      </c>
      <c r="G2767" s="2" t="s">
        <v>5802</v>
      </c>
      <c r="I2767" s="2">
        <v>2199</v>
      </c>
      <c r="J2767" s="2" t="s">
        <v>3520</v>
      </c>
      <c r="K2767" s="2" t="s">
        <v>115</v>
      </c>
      <c r="L2767" s="2">
        <v>4.5</v>
      </c>
      <c r="M2767" s="2">
        <v>622</v>
      </c>
      <c r="P2767" t="str">
        <f t="shared" si="175"/>
        <v>8%</v>
      </c>
      <c r="Q2767" s="12">
        <f t="shared" si="172"/>
        <v>0.08</v>
      </c>
      <c r="R2767" s="9">
        <f t="shared" si="173"/>
        <v>2023.08</v>
      </c>
      <c r="S2767" s="9">
        <f>IF(R2767="",AVERAGEIF(Table1[Category],Table1[[#This Row],[Category]],Table2[orignal data]),Table2[[#This Row],[orignal data]])</f>
        <v>2023.08</v>
      </c>
      <c r="T2767" t="str">
        <f t="shared" si="174"/>
        <v>UNIQUE</v>
      </c>
      <c r="U2767" t="str">
        <f>IF(ISBLANK(Table1[[#This Row],[SizeOption]]),"NOT AVAILABLE",Table1[[#This Row],[SizeOption]])</f>
        <v>XS, S, M, L, XL, XXL</v>
      </c>
      <c r="Y2767" t="str">
        <f>IF(Table2[[#This Row],[Column1]]&gt;50%,"HIGH DISCOUNT","LOW DISCOUNT")</f>
        <v>LOW DISCOUNT</v>
      </c>
    </row>
    <row r="2768" spans="1:25" x14ac:dyDescent="0.25">
      <c r="A2768" s="1" t="s">
        <v>5803</v>
      </c>
      <c r="B2768" s="1">
        <v>13815392</v>
      </c>
      <c r="C2768" s="1" t="s">
        <v>52</v>
      </c>
      <c r="D2768" s="1" t="s">
        <v>15</v>
      </c>
      <c r="E2768" s="1" t="s">
        <v>16</v>
      </c>
      <c r="F2768" s="1" t="s">
        <v>17</v>
      </c>
      <c r="G2768" s="1" t="s">
        <v>4030</v>
      </c>
      <c r="H2768">
        <v>775</v>
      </c>
      <c r="I2768" s="1">
        <v>1649</v>
      </c>
      <c r="J2768" s="1" t="s">
        <v>89</v>
      </c>
      <c r="K2768" s="1" t="s">
        <v>816</v>
      </c>
      <c r="L2768" s="1">
        <v>3.9</v>
      </c>
      <c r="M2768" s="1">
        <v>621</v>
      </c>
      <c r="P2768" t="str">
        <f t="shared" si="175"/>
        <v>53%</v>
      </c>
      <c r="Q2768" s="12">
        <f t="shared" si="172"/>
        <v>0.53</v>
      </c>
      <c r="R2768" s="9">
        <f t="shared" si="173"/>
        <v>775.03</v>
      </c>
      <c r="S2768" s="9">
        <f>IF(R2768="",AVERAGEIF(Table1[Category],Table1[[#This Row],[Category]],Table2[orignal data]),Table2[[#This Row],[orignal data]])</f>
        <v>775.03</v>
      </c>
      <c r="T2768" t="str">
        <f t="shared" si="174"/>
        <v>UNIQUE</v>
      </c>
      <c r="U2768" t="str">
        <f>IF(ISBLANK(Table1[[#This Row],[SizeOption]]),"NOT AVAILABLE",Table1[[#This Row],[SizeOption]])</f>
        <v>30, 32, 34, 36, 38</v>
      </c>
      <c r="Y2768" t="str">
        <f>IF(Table2[[#This Row],[Column1]]&gt;50%,"HIGH DISCOUNT","LOW DISCOUNT")</f>
        <v>HIGH DISCOUNT</v>
      </c>
    </row>
    <row r="2769" spans="1:25" x14ac:dyDescent="0.25">
      <c r="A2769" s="2" t="s">
        <v>5804</v>
      </c>
      <c r="B2769" s="2">
        <v>10106021</v>
      </c>
      <c r="C2769" s="2" t="s">
        <v>67</v>
      </c>
      <c r="D2769" s="2" t="s">
        <v>68</v>
      </c>
      <c r="E2769" s="2" t="s">
        <v>42</v>
      </c>
      <c r="F2769" s="2" t="s">
        <v>17</v>
      </c>
      <c r="G2769" s="2" t="s">
        <v>5805</v>
      </c>
      <c r="H2769">
        <v>384</v>
      </c>
      <c r="I2769" s="2">
        <v>699</v>
      </c>
      <c r="J2769" s="2" t="s">
        <v>19</v>
      </c>
      <c r="K2769" s="2" t="s">
        <v>39</v>
      </c>
      <c r="L2769" s="2">
        <v>4.0999999999999996</v>
      </c>
      <c r="M2769" s="2">
        <v>621</v>
      </c>
      <c r="P2769" t="str">
        <f t="shared" si="175"/>
        <v>45%</v>
      </c>
      <c r="Q2769" s="12">
        <f t="shared" si="172"/>
        <v>0.45</v>
      </c>
      <c r="R2769" s="9">
        <f t="shared" si="173"/>
        <v>384.45</v>
      </c>
      <c r="S2769" s="9">
        <f>IF(R2769="",AVERAGEIF(Table1[Category],Table1[[#This Row],[Category]],Table2[orignal data]),Table2[[#This Row],[orignal data]])</f>
        <v>384.45</v>
      </c>
      <c r="T2769" t="str">
        <f t="shared" si="174"/>
        <v>UNIQUE</v>
      </c>
      <c r="U2769" t="str">
        <f>IF(ISBLANK(Table1[[#This Row],[SizeOption]]),"NOT AVAILABLE",Table1[[#This Row],[SizeOption]])</f>
        <v>S, M, L, XL, XXL</v>
      </c>
      <c r="Y2769" t="str">
        <f>IF(Table2[[#This Row],[Column1]]&gt;50%,"HIGH DISCOUNT","LOW DISCOUNT")</f>
        <v>LOW DISCOUNT</v>
      </c>
    </row>
    <row r="2770" spans="1:25" x14ac:dyDescent="0.25">
      <c r="A2770" s="1" t="s">
        <v>5806</v>
      </c>
      <c r="B2770" s="1">
        <v>11200646</v>
      </c>
      <c r="C2770" s="1" t="s">
        <v>113</v>
      </c>
      <c r="D2770" s="1" t="s">
        <v>28</v>
      </c>
      <c r="E2770" s="1" t="s">
        <v>93</v>
      </c>
      <c r="F2770" s="1" t="s">
        <v>17</v>
      </c>
      <c r="G2770" s="1" t="s">
        <v>5807</v>
      </c>
      <c r="H2770">
        <v>559</v>
      </c>
      <c r="I2770" s="1">
        <v>1599</v>
      </c>
      <c r="J2770" s="1" t="s">
        <v>150</v>
      </c>
      <c r="K2770" s="1" t="s">
        <v>39</v>
      </c>
      <c r="L2770" s="1">
        <v>3.8</v>
      </c>
      <c r="M2770" s="1">
        <v>621</v>
      </c>
      <c r="P2770" t="str">
        <f t="shared" si="175"/>
        <v>65%</v>
      </c>
      <c r="Q2770" s="12">
        <f t="shared" si="172"/>
        <v>0.65</v>
      </c>
      <c r="R2770" s="9">
        <f t="shared" si="173"/>
        <v>559.64999999999986</v>
      </c>
      <c r="S2770" s="9">
        <f>IF(R2770="",AVERAGEIF(Table1[Category],Table1[[#This Row],[Category]],Table2[orignal data]),Table2[[#This Row],[orignal data]])</f>
        <v>559.64999999999986</v>
      </c>
      <c r="T2770" t="str">
        <f t="shared" si="174"/>
        <v>UNIQUE</v>
      </c>
      <c r="U2770" t="str">
        <f>IF(ISBLANK(Table1[[#This Row],[SizeOption]]),"NOT AVAILABLE",Table1[[#This Row],[SizeOption]])</f>
        <v>S, M, L, XL, XXL</v>
      </c>
      <c r="Y2770" t="str">
        <f>IF(Table2[[#This Row],[Column1]]&gt;50%,"HIGH DISCOUNT","LOW DISCOUNT")</f>
        <v>HIGH DISCOUNT</v>
      </c>
    </row>
    <row r="2771" spans="1:25" x14ac:dyDescent="0.25">
      <c r="A2771" s="2" t="s">
        <v>5808</v>
      </c>
      <c r="B2771" s="2">
        <v>10187703</v>
      </c>
      <c r="C2771" s="2" t="s">
        <v>169</v>
      </c>
      <c r="D2771" s="2" t="s">
        <v>28</v>
      </c>
      <c r="E2771" s="2" t="s">
        <v>29</v>
      </c>
      <c r="F2771" s="2" t="s">
        <v>17</v>
      </c>
      <c r="G2771" s="2" t="s">
        <v>5809</v>
      </c>
      <c r="H2771">
        <v>1099</v>
      </c>
      <c r="I2771" s="2">
        <v>2199</v>
      </c>
      <c r="J2771" s="2" t="s">
        <v>84</v>
      </c>
      <c r="K2771" s="2" t="s">
        <v>484</v>
      </c>
      <c r="L2771" s="2">
        <v>4.3</v>
      </c>
      <c r="M2771" s="2">
        <v>621</v>
      </c>
      <c r="P2771" t="str">
        <f t="shared" si="175"/>
        <v>50%</v>
      </c>
      <c r="Q2771" s="12">
        <f t="shared" si="172"/>
        <v>0.5</v>
      </c>
      <c r="R2771" s="9">
        <f t="shared" si="173"/>
        <v>1099.5</v>
      </c>
      <c r="S2771" s="9">
        <f>IF(R2771="",AVERAGEIF(Table1[Category],Table1[[#This Row],[Category]],Table2[orignal data]),Table2[[#This Row],[orignal data]])</f>
        <v>1099.5</v>
      </c>
      <c r="T2771" t="str">
        <f t="shared" si="174"/>
        <v>UNIQUE</v>
      </c>
      <c r="U2771" t="str">
        <f>IF(ISBLANK(Table1[[#This Row],[SizeOption]]),"NOT AVAILABLE",Table1[[#This Row],[SizeOption]])</f>
        <v>39, 40, 42, 44, 46</v>
      </c>
      <c r="Y2771" t="str">
        <f>IF(Table2[[#This Row],[Column1]]&gt;50%,"HIGH DISCOUNT","LOW DISCOUNT")</f>
        <v>LOW DISCOUNT</v>
      </c>
    </row>
    <row r="2772" spans="1:25" x14ac:dyDescent="0.25">
      <c r="A2772" s="1" t="s">
        <v>5810</v>
      </c>
      <c r="B2772" s="1">
        <v>12853658</v>
      </c>
      <c r="C2772" s="1" t="s">
        <v>5811</v>
      </c>
      <c r="D2772" s="1" t="s">
        <v>28</v>
      </c>
      <c r="E2772" s="1" t="s">
        <v>29</v>
      </c>
      <c r="F2772" s="1" t="s">
        <v>17</v>
      </c>
      <c r="G2772" s="1" t="s">
        <v>5812</v>
      </c>
      <c r="H2772">
        <v>1247</v>
      </c>
      <c r="I2772" s="1">
        <v>2495</v>
      </c>
      <c r="J2772" s="1" t="s">
        <v>84</v>
      </c>
      <c r="K2772" s="1" t="s">
        <v>361</v>
      </c>
      <c r="L2772" s="1">
        <v>4.5</v>
      </c>
      <c r="M2772" s="1">
        <v>621</v>
      </c>
      <c r="P2772" t="str">
        <f t="shared" si="175"/>
        <v>50%</v>
      </c>
      <c r="Q2772" s="12">
        <f t="shared" si="172"/>
        <v>0.5</v>
      </c>
      <c r="R2772" s="9">
        <f t="shared" si="173"/>
        <v>1247.5</v>
      </c>
      <c r="S2772" s="9">
        <f>IF(R2772="",AVERAGEIF(Table1[Category],Table1[[#This Row],[Category]],Table2[orignal data]),Table2[[#This Row],[orignal data]])</f>
        <v>1247.5</v>
      </c>
      <c r="T2772" t="str">
        <f t="shared" si="174"/>
        <v>UNIQUE</v>
      </c>
      <c r="U2772" t="str">
        <f>IF(ISBLANK(Table1[[#This Row],[SizeOption]]),"NOT AVAILABLE",Table1[[#This Row],[SizeOption]])</f>
        <v>38, 40, 42, 44, 46</v>
      </c>
      <c r="Y2772" t="str">
        <f>IF(Table2[[#This Row],[Column1]]&gt;50%,"HIGH DISCOUNT","LOW DISCOUNT")</f>
        <v>LOW DISCOUNT</v>
      </c>
    </row>
    <row r="2773" spans="1:25" x14ac:dyDescent="0.25">
      <c r="A2773" s="2" t="s">
        <v>5813</v>
      </c>
      <c r="B2773" s="2">
        <v>1703248</v>
      </c>
      <c r="C2773" s="2" t="s">
        <v>52</v>
      </c>
      <c r="D2773" s="2" t="s">
        <v>28</v>
      </c>
      <c r="E2773" s="2" t="s">
        <v>42</v>
      </c>
      <c r="F2773" s="2" t="s">
        <v>17</v>
      </c>
      <c r="G2773" s="2" t="s">
        <v>5814</v>
      </c>
      <c r="H2773">
        <v>314</v>
      </c>
      <c r="I2773" s="2">
        <v>699</v>
      </c>
      <c r="J2773" s="2" t="s">
        <v>25</v>
      </c>
      <c r="K2773" s="2" t="s">
        <v>26</v>
      </c>
      <c r="L2773" s="2">
        <v>3.9</v>
      </c>
      <c r="M2773" s="2">
        <v>621</v>
      </c>
      <c r="P2773" t="str">
        <f t="shared" si="175"/>
        <v>55%</v>
      </c>
      <c r="Q2773" s="12">
        <f t="shared" si="172"/>
        <v>0.55000000000000004</v>
      </c>
      <c r="R2773" s="9">
        <f t="shared" si="173"/>
        <v>314.54999999999995</v>
      </c>
      <c r="S2773" s="9">
        <f>IF(R2773="",AVERAGEIF(Table1[Category],Table1[[#This Row],[Category]],Table2[orignal data]),Table2[[#This Row],[orignal data]])</f>
        <v>314.54999999999995</v>
      </c>
      <c r="T2773" t="str">
        <f t="shared" si="174"/>
        <v>UNIQUE</v>
      </c>
      <c r="U2773" t="str">
        <f>IF(ISBLANK(Table1[[#This Row],[SizeOption]]),"NOT AVAILABLE",Table1[[#This Row],[SizeOption]])</f>
        <v>S, M, L, XL</v>
      </c>
      <c r="Y2773" t="str">
        <f>IF(Table2[[#This Row],[Column1]]&gt;50%,"HIGH DISCOUNT","LOW DISCOUNT")</f>
        <v>HIGH DISCOUNT</v>
      </c>
    </row>
    <row r="2774" spans="1:25" x14ac:dyDescent="0.25">
      <c r="A2774" s="1" t="s">
        <v>5815</v>
      </c>
      <c r="B2774" s="1">
        <v>15344728</v>
      </c>
      <c r="C2774" s="1" t="s">
        <v>1013</v>
      </c>
      <c r="D2774" s="1" t="s">
        <v>76</v>
      </c>
      <c r="E2774" s="1" t="s">
        <v>77</v>
      </c>
      <c r="F2774" s="1" t="s">
        <v>36</v>
      </c>
      <c r="G2774" s="1" t="s">
        <v>5816</v>
      </c>
      <c r="H2774">
        <v>2559</v>
      </c>
      <c r="I2774" s="1">
        <v>6399</v>
      </c>
      <c r="J2774" s="1" t="s">
        <v>55</v>
      </c>
      <c r="K2774" s="1" t="s">
        <v>115</v>
      </c>
      <c r="L2774" s="1">
        <v>4.4000000000000004</v>
      </c>
      <c r="M2774" s="1">
        <v>621</v>
      </c>
      <c r="P2774" t="str">
        <f t="shared" si="175"/>
        <v>60%</v>
      </c>
      <c r="Q2774" s="12">
        <f t="shared" si="172"/>
        <v>0.6</v>
      </c>
      <c r="R2774" s="9">
        <f t="shared" si="173"/>
        <v>2559.6000000000004</v>
      </c>
      <c r="S2774" s="9">
        <f>IF(R2774="",AVERAGEIF(Table1[Category],Table1[[#This Row],[Category]],Table2[orignal data]),Table2[[#This Row],[orignal data]])</f>
        <v>2559.6000000000004</v>
      </c>
      <c r="T2774" t="str">
        <f t="shared" si="174"/>
        <v>UNIQUE</v>
      </c>
      <c r="U2774" t="str">
        <f>IF(ISBLANK(Table1[[#This Row],[SizeOption]]),"NOT AVAILABLE",Table1[[#This Row],[SizeOption]])</f>
        <v>XS, S, M, L, XL, XXL</v>
      </c>
      <c r="Y2774" t="str">
        <f>IF(Table2[[#This Row],[Column1]]&gt;50%,"HIGH DISCOUNT","LOW DISCOUNT")</f>
        <v>HIGH DISCOUNT</v>
      </c>
    </row>
    <row r="2775" spans="1:25" x14ac:dyDescent="0.25">
      <c r="A2775" s="2" t="s">
        <v>5817</v>
      </c>
      <c r="B2775" s="2">
        <v>13130408</v>
      </c>
      <c r="C2775" s="2" t="s">
        <v>33</v>
      </c>
      <c r="D2775" s="2" t="s">
        <v>34</v>
      </c>
      <c r="E2775" s="2" t="s">
        <v>118</v>
      </c>
      <c r="F2775" s="2" t="s">
        <v>36</v>
      </c>
      <c r="G2775" s="2" t="s">
        <v>5818</v>
      </c>
      <c r="H2775">
        <v>359</v>
      </c>
      <c r="I2775" s="2">
        <v>449</v>
      </c>
      <c r="J2775" s="2" t="s">
        <v>412</v>
      </c>
      <c r="K2775" s="2" t="s">
        <v>1113</v>
      </c>
      <c r="L2775" s="2">
        <v>4.3</v>
      </c>
      <c r="M2775" s="2">
        <v>621</v>
      </c>
      <c r="P2775" t="str">
        <f t="shared" si="175"/>
        <v>20%</v>
      </c>
      <c r="Q2775" s="12">
        <f t="shared" si="172"/>
        <v>0.2</v>
      </c>
      <c r="R2775" s="9">
        <f t="shared" si="173"/>
        <v>359.2</v>
      </c>
      <c r="S2775" s="9">
        <f>IF(R2775="",AVERAGEIF(Table1[Category],Table1[[#This Row],[Category]],Table2[orignal data]),Table2[[#This Row],[orignal data]])</f>
        <v>359.2</v>
      </c>
      <c r="T2775" t="str">
        <f t="shared" si="174"/>
        <v>UNIQUE</v>
      </c>
      <c r="U2775" t="str">
        <f>IF(ISBLANK(Table1[[#This Row],[SizeOption]]),"NOT AVAILABLE",Table1[[#This Row],[SizeOption]])</f>
        <v>32B, 32C, 32D, 34B, 34C, 34D, 36B, 36C, 36D, 38B, 38C, 38D</v>
      </c>
      <c r="Y2775" t="str">
        <f>IF(Table2[[#This Row],[Column1]]&gt;50%,"HIGH DISCOUNT","LOW DISCOUNT")</f>
        <v>LOW DISCOUNT</v>
      </c>
    </row>
    <row r="2776" spans="1:25" x14ac:dyDescent="0.25">
      <c r="A2776" s="1" t="s">
        <v>5819</v>
      </c>
      <c r="B2776" s="1">
        <v>13104188</v>
      </c>
      <c r="C2776" s="1" t="s">
        <v>201</v>
      </c>
      <c r="D2776" s="1" t="s">
        <v>98</v>
      </c>
      <c r="E2776" s="1" t="s">
        <v>16</v>
      </c>
      <c r="F2776" s="1" t="s">
        <v>36</v>
      </c>
      <c r="G2776" s="1" t="s">
        <v>5820</v>
      </c>
      <c r="H2776">
        <v>759</v>
      </c>
      <c r="I2776" s="1">
        <v>1899</v>
      </c>
      <c r="J2776" s="1" t="s">
        <v>55</v>
      </c>
      <c r="K2776" s="1" t="s">
        <v>643</v>
      </c>
      <c r="L2776" s="1">
        <v>4.4000000000000004</v>
      </c>
      <c r="M2776" s="1">
        <v>621</v>
      </c>
      <c r="P2776" t="str">
        <f t="shared" si="175"/>
        <v>60%</v>
      </c>
      <c r="Q2776" s="12">
        <f t="shared" si="172"/>
        <v>0.6</v>
      </c>
      <c r="R2776" s="9">
        <f t="shared" si="173"/>
        <v>759.60000000000014</v>
      </c>
      <c r="S2776" s="9">
        <f>IF(R2776="",AVERAGEIF(Table1[Category],Table1[[#This Row],[Category]],Table2[orignal data]),Table2[[#This Row],[orignal data]])</f>
        <v>759.60000000000014</v>
      </c>
      <c r="T2776" t="str">
        <f t="shared" si="174"/>
        <v>UNIQUE</v>
      </c>
      <c r="U2776" t="str">
        <f>IF(ISBLANK(Table1[[#This Row],[SizeOption]]),"NOT AVAILABLE",Table1[[#This Row],[SizeOption]])</f>
        <v>26, 28, 30, 32, 34, 36, 38, 40</v>
      </c>
      <c r="Y2776" t="str">
        <f>IF(Table2[[#This Row],[Column1]]&gt;50%,"HIGH DISCOUNT","LOW DISCOUNT")</f>
        <v>HIGH DISCOUNT</v>
      </c>
    </row>
    <row r="2777" spans="1:25" x14ac:dyDescent="0.25">
      <c r="A2777" s="2" t="s">
        <v>5821</v>
      </c>
      <c r="B2777" s="2">
        <v>11099552</v>
      </c>
      <c r="C2777" s="2" t="s">
        <v>800</v>
      </c>
      <c r="D2777" s="2" t="s">
        <v>41</v>
      </c>
      <c r="E2777" s="2" t="s">
        <v>148</v>
      </c>
      <c r="F2777" s="2" t="s">
        <v>36</v>
      </c>
      <c r="G2777" s="2" t="s">
        <v>5822</v>
      </c>
      <c r="I2777" s="2">
        <v>1699</v>
      </c>
      <c r="J2777" s="2" t="s">
        <v>95</v>
      </c>
      <c r="K2777" s="2" t="s">
        <v>39</v>
      </c>
      <c r="L2777" s="2">
        <v>4</v>
      </c>
      <c r="M2777" s="2">
        <v>621</v>
      </c>
      <c r="P2777" t="str">
        <f t="shared" si="175"/>
        <v>59%</v>
      </c>
      <c r="Q2777" s="12">
        <f t="shared" si="172"/>
        <v>0.59</v>
      </c>
      <c r="R2777" s="9">
        <f t="shared" si="173"/>
        <v>696.59</v>
      </c>
      <c r="S2777" s="9">
        <f>IF(R2777="",AVERAGEIF(Table1[Category],Table1[[#This Row],[Category]],Table2[orignal data]),Table2[[#This Row],[orignal data]])</f>
        <v>696.59</v>
      </c>
      <c r="T2777" t="str">
        <f t="shared" si="174"/>
        <v>UNIQUE</v>
      </c>
      <c r="U2777" t="str">
        <f>IF(ISBLANK(Table1[[#This Row],[SizeOption]]),"NOT AVAILABLE",Table1[[#This Row],[SizeOption]])</f>
        <v>S, M, L, XL, XXL</v>
      </c>
      <c r="Y2777" t="str">
        <f>IF(Table2[[#This Row],[Column1]]&gt;50%,"HIGH DISCOUNT","LOW DISCOUNT")</f>
        <v>HIGH DISCOUNT</v>
      </c>
    </row>
    <row r="2778" spans="1:25" x14ac:dyDescent="0.25">
      <c r="A2778" s="1" t="s">
        <v>5823</v>
      </c>
      <c r="B2778" s="1">
        <v>8643225</v>
      </c>
      <c r="C2778" s="1" t="s">
        <v>181</v>
      </c>
      <c r="D2778" s="1" t="s">
        <v>41</v>
      </c>
      <c r="E2778" s="1" t="s">
        <v>148</v>
      </c>
      <c r="F2778" s="1" t="s">
        <v>36</v>
      </c>
      <c r="G2778" s="1" t="s">
        <v>5824</v>
      </c>
      <c r="I2778" s="1">
        <v>2299</v>
      </c>
      <c r="J2778" s="1" t="s">
        <v>84</v>
      </c>
      <c r="K2778" s="1" t="s">
        <v>115</v>
      </c>
      <c r="L2778" s="1">
        <v>4.3</v>
      </c>
      <c r="M2778" s="1">
        <v>621</v>
      </c>
      <c r="P2778" t="str">
        <f t="shared" si="175"/>
        <v>50%</v>
      </c>
      <c r="Q2778" s="12">
        <f t="shared" si="172"/>
        <v>0.5</v>
      </c>
      <c r="R2778" s="9">
        <f t="shared" si="173"/>
        <v>1149.5</v>
      </c>
      <c r="S2778" s="9">
        <f>IF(R2778="",AVERAGEIF(Table1[Category],Table1[[#This Row],[Category]],Table2[orignal data]),Table2[[#This Row],[orignal data]])</f>
        <v>1149.5</v>
      </c>
      <c r="T2778" t="str">
        <f t="shared" si="174"/>
        <v>UNIQUE</v>
      </c>
      <c r="U2778" t="str">
        <f>IF(ISBLANK(Table1[[#This Row],[SizeOption]]),"NOT AVAILABLE",Table1[[#This Row],[SizeOption]])</f>
        <v>XS, S, M, L, XL, XXL</v>
      </c>
      <c r="Y2778" t="str">
        <f>IF(Table2[[#This Row],[Column1]]&gt;50%,"HIGH DISCOUNT","LOW DISCOUNT")</f>
        <v>LOW DISCOUNT</v>
      </c>
    </row>
    <row r="2779" spans="1:25" x14ac:dyDescent="0.25">
      <c r="A2779" s="2" t="s">
        <v>5825</v>
      </c>
      <c r="B2779" s="2">
        <v>11108928</v>
      </c>
      <c r="C2779" s="2" t="s">
        <v>52</v>
      </c>
      <c r="D2779" s="2" t="s">
        <v>15</v>
      </c>
      <c r="E2779" s="2" t="s">
        <v>16</v>
      </c>
      <c r="F2779" s="2" t="s">
        <v>17</v>
      </c>
      <c r="G2779" s="2" t="s">
        <v>5826</v>
      </c>
      <c r="H2779">
        <v>740</v>
      </c>
      <c r="I2779" s="2">
        <v>1899</v>
      </c>
      <c r="J2779" s="2" t="s">
        <v>104</v>
      </c>
      <c r="K2779" s="2" t="s">
        <v>816</v>
      </c>
      <c r="L2779" s="2">
        <v>3.9</v>
      </c>
      <c r="M2779" s="2">
        <v>620</v>
      </c>
      <c r="P2779" t="str">
        <f t="shared" si="175"/>
        <v>61%</v>
      </c>
      <c r="Q2779" s="12">
        <f t="shared" si="172"/>
        <v>0.61</v>
      </c>
      <c r="R2779" s="9">
        <f t="shared" si="173"/>
        <v>740.61000000000013</v>
      </c>
      <c r="S2779" s="9">
        <f>IF(R2779="",AVERAGEIF(Table1[Category],Table1[[#This Row],[Category]],Table2[orignal data]),Table2[[#This Row],[orignal data]])</f>
        <v>740.61000000000013</v>
      </c>
      <c r="T2779" t="str">
        <f t="shared" si="174"/>
        <v>UNIQUE</v>
      </c>
      <c r="U2779" t="str">
        <f>IF(ISBLANK(Table1[[#This Row],[SizeOption]]),"NOT AVAILABLE",Table1[[#This Row],[SizeOption]])</f>
        <v>30, 32, 34, 36, 38</v>
      </c>
      <c r="Y2779" t="str">
        <f>IF(Table2[[#This Row],[Column1]]&gt;50%,"HIGH DISCOUNT","LOW DISCOUNT")</f>
        <v>HIGH DISCOUNT</v>
      </c>
    </row>
    <row r="2780" spans="1:25" x14ac:dyDescent="0.25">
      <c r="A2780" s="1" t="s">
        <v>5827</v>
      </c>
      <c r="B2780" s="1">
        <v>7633387</v>
      </c>
      <c r="C2780" s="1" t="s">
        <v>346</v>
      </c>
      <c r="D2780" s="1" t="s">
        <v>15</v>
      </c>
      <c r="E2780" s="1" t="s">
        <v>16</v>
      </c>
      <c r="F2780" s="1" t="s">
        <v>17</v>
      </c>
      <c r="G2780" s="1" t="s">
        <v>5828</v>
      </c>
      <c r="H2780">
        <v>899</v>
      </c>
      <c r="I2780" s="1">
        <v>1499</v>
      </c>
      <c r="J2780" s="1" t="s">
        <v>50</v>
      </c>
      <c r="K2780" s="1" t="s">
        <v>20</v>
      </c>
      <c r="L2780" s="1">
        <v>3.8</v>
      </c>
      <c r="M2780" s="1">
        <v>620</v>
      </c>
      <c r="P2780" t="str">
        <f t="shared" si="175"/>
        <v>40%</v>
      </c>
      <c r="Q2780" s="12">
        <f t="shared" si="172"/>
        <v>0.4</v>
      </c>
      <c r="R2780" s="9">
        <f t="shared" si="173"/>
        <v>899.4</v>
      </c>
      <c r="S2780" s="9">
        <f>IF(R2780="",AVERAGEIF(Table1[Category],Table1[[#This Row],[Category]],Table2[orignal data]),Table2[[#This Row],[orignal data]])</f>
        <v>899.4</v>
      </c>
      <c r="T2780" t="str">
        <f t="shared" si="174"/>
        <v>UNIQUE</v>
      </c>
      <c r="U2780" t="str">
        <f>IF(ISBLANK(Table1[[#This Row],[SizeOption]]),"NOT AVAILABLE",Table1[[#This Row],[SizeOption]])</f>
        <v>28, 30, 32, 34, 36</v>
      </c>
      <c r="Y2780" t="str">
        <f>IF(Table2[[#This Row],[Column1]]&gt;50%,"HIGH DISCOUNT","LOW DISCOUNT")</f>
        <v>LOW DISCOUNT</v>
      </c>
    </row>
    <row r="2781" spans="1:25" x14ac:dyDescent="0.25">
      <c r="A2781" s="2" t="s">
        <v>5829</v>
      </c>
      <c r="B2781" s="2">
        <v>11638822</v>
      </c>
      <c r="C2781" s="2" t="s">
        <v>349</v>
      </c>
      <c r="D2781" s="2" t="s">
        <v>197</v>
      </c>
      <c r="E2781" s="2" t="s">
        <v>1807</v>
      </c>
      <c r="F2781" s="2" t="s">
        <v>17</v>
      </c>
      <c r="G2781" s="2" t="s">
        <v>5830</v>
      </c>
      <c r="I2781" s="2">
        <v>638</v>
      </c>
      <c r="J2781" s="2"/>
      <c r="K2781" s="2" t="s">
        <v>352</v>
      </c>
      <c r="L2781" s="2">
        <v>4.4000000000000004</v>
      </c>
      <c r="M2781" s="2">
        <v>620</v>
      </c>
      <c r="P2781" t="str">
        <f t="shared" si="175"/>
        <v/>
      </c>
      <c r="Q2781" s="12" t="str">
        <f t="shared" si="172"/>
        <v/>
      </c>
      <c r="R2781" s="9" t="str">
        <f t="shared" si="173"/>
        <v/>
      </c>
      <c r="S2781" s="9">
        <f>IF(R2781="",AVERAGEIF(Table1[Category],Table1[[#This Row],[Category]],Table2[orignal data]),Table2[[#This Row],[orignal data]])</f>
        <v>552.70900000000006</v>
      </c>
      <c r="T2781" t="str">
        <f t="shared" si="174"/>
        <v>UNIQUE</v>
      </c>
      <c r="U2781" t="str">
        <f>IF(ISBLANK(Table1[[#This Row],[SizeOption]]),"NOT AVAILABLE",Table1[[#This Row],[SizeOption]])</f>
        <v>S, M, L</v>
      </c>
      <c r="Y2781" t="str">
        <f>IF(Table2[[#This Row],[Column1]]&gt;50%,"HIGH DISCOUNT","LOW DISCOUNT")</f>
        <v>HIGH DISCOUNT</v>
      </c>
    </row>
    <row r="2782" spans="1:25" x14ac:dyDescent="0.25">
      <c r="A2782" s="1" t="s">
        <v>5831</v>
      </c>
      <c r="B2782" s="1">
        <v>11227214</v>
      </c>
      <c r="C2782" s="1" t="s">
        <v>232</v>
      </c>
      <c r="D2782" s="1" t="s">
        <v>76</v>
      </c>
      <c r="E2782" s="1" t="s">
        <v>368</v>
      </c>
      <c r="F2782" s="1" t="s">
        <v>36</v>
      </c>
      <c r="G2782" s="1" t="s">
        <v>5832</v>
      </c>
      <c r="H2782">
        <v>799</v>
      </c>
      <c r="I2782" s="1">
        <v>1999</v>
      </c>
      <c r="J2782" s="1" t="s">
        <v>55</v>
      </c>
      <c r="K2782" s="1" t="s">
        <v>134</v>
      </c>
      <c r="L2782" s="1">
        <v>4.3</v>
      </c>
      <c r="M2782" s="1">
        <v>620</v>
      </c>
      <c r="P2782" t="str">
        <f t="shared" si="175"/>
        <v>60%</v>
      </c>
      <c r="Q2782" s="12">
        <f t="shared" si="172"/>
        <v>0.6</v>
      </c>
      <c r="R2782" s="9">
        <f t="shared" si="173"/>
        <v>799.60000000000014</v>
      </c>
      <c r="S2782" s="9">
        <f>IF(R2782="",AVERAGEIF(Table1[Category],Table1[[#This Row],[Category]],Table2[orignal data]),Table2[[#This Row],[orignal data]])</f>
        <v>799.60000000000014</v>
      </c>
      <c r="T2782" t="str">
        <f t="shared" si="174"/>
        <v>UNIQUE</v>
      </c>
      <c r="U2782" t="str">
        <f>IF(ISBLANK(Table1[[#This Row],[SizeOption]]),"NOT AVAILABLE",Table1[[#This Row],[SizeOption]])</f>
        <v>26, 28, 30, 32, 34, 36</v>
      </c>
      <c r="Y2782" t="str">
        <f>IF(Table2[[#This Row],[Column1]]&gt;50%,"HIGH DISCOUNT","LOW DISCOUNT")</f>
        <v>HIGH DISCOUNT</v>
      </c>
    </row>
    <row r="2783" spans="1:25" x14ac:dyDescent="0.25">
      <c r="A2783" s="2" t="s">
        <v>5833</v>
      </c>
      <c r="B2783" s="2">
        <v>10847900</v>
      </c>
      <c r="C2783" s="2" t="s">
        <v>102</v>
      </c>
      <c r="D2783" s="2" t="s">
        <v>41</v>
      </c>
      <c r="E2783" s="2" t="s">
        <v>148</v>
      </c>
      <c r="F2783" s="2" t="s">
        <v>36</v>
      </c>
      <c r="G2783" s="2" t="s">
        <v>5834</v>
      </c>
      <c r="I2783" s="2">
        <v>1749</v>
      </c>
      <c r="J2783" s="2" t="s">
        <v>602</v>
      </c>
      <c r="K2783" s="2" t="s">
        <v>26</v>
      </c>
      <c r="L2783" s="2">
        <v>4.3</v>
      </c>
      <c r="M2783" s="2">
        <v>620</v>
      </c>
      <c r="P2783" t="str">
        <f t="shared" si="175"/>
        <v>48%</v>
      </c>
      <c r="Q2783" s="12">
        <f t="shared" si="172"/>
        <v>0.48</v>
      </c>
      <c r="R2783" s="9">
        <f t="shared" si="173"/>
        <v>909.48</v>
      </c>
      <c r="S2783" s="9">
        <f>IF(R2783="",AVERAGEIF(Table1[Category],Table1[[#This Row],[Category]],Table2[orignal data]),Table2[[#This Row],[orignal data]])</f>
        <v>909.48</v>
      </c>
      <c r="T2783" t="str">
        <f t="shared" si="174"/>
        <v>UNIQUE</v>
      </c>
      <c r="U2783" t="str">
        <f>IF(ISBLANK(Table1[[#This Row],[SizeOption]]),"NOT AVAILABLE",Table1[[#This Row],[SizeOption]])</f>
        <v>S, M, L, XL</v>
      </c>
      <c r="Y2783" t="str">
        <f>IF(Table2[[#This Row],[Column1]]&gt;50%,"HIGH DISCOUNT","LOW DISCOUNT")</f>
        <v>LOW DISCOUNT</v>
      </c>
    </row>
    <row r="2784" spans="1:25" x14ac:dyDescent="0.25">
      <c r="A2784" s="1" t="s">
        <v>5835</v>
      </c>
      <c r="B2784" s="1">
        <v>10696598</v>
      </c>
      <c r="C2784" s="1" t="s">
        <v>700</v>
      </c>
      <c r="D2784" s="1" t="s">
        <v>41</v>
      </c>
      <c r="E2784" s="1" t="s">
        <v>16</v>
      </c>
      <c r="F2784" s="1" t="s">
        <v>36</v>
      </c>
      <c r="G2784" s="1" t="s">
        <v>4217</v>
      </c>
      <c r="I2784" s="1">
        <v>2399</v>
      </c>
      <c r="J2784" s="1" t="s">
        <v>84</v>
      </c>
      <c r="K2784" s="1" t="s">
        <v>428</v>
      </c>
      <c r="L2784" s="1">
        <v>4.2</v>
      </c>
      <c r="M2784" s="1">
        <v>620</v>
      </c>
      <c r="P2784" t="str">
        <f t="shared" si="175"/>
        <v>50%</v>
      </c>
      <c r="Q2784" s="12">
        <f t="shared" si="172"/>
        <v>0.5</v>
      </c>
      <c r="R2784" s="9">
        <f t="shared" si="173"/>
        <v>1199.5</v>
      </c>
      <c r="S2784" s="9">
        <f>IF(R2784="",AVERAGEIF(Table1[Category],Table1[[#This Row],[Category]],Table2[orignal data]),Table2[[#This Row],[orignal data]])</f>
        <v>1199.5</v>
      </c>
      <c r="T2784" t="str">
        <f t="shared" si="174"/>
        <v>UNIQUE</v>
      </c>
      <c r="U2784" t="str">
        <f>IF(ISBLANK(Table1[[#This Row],[SizeOption]]),"NOT AVAILABLE",Table1[[#This Row],[SizeOption]])</f>
        <v>26, 28, 30, 32, 34</v>
      </c>
      <c r="Y2784" t="str">
        <f>IF(Table2[[#This Row],[Column1]]&gt;50%,"HIGH DISCOUNT","LOW DISCOUNT")</f>
        <v>LOW DISCOUNT</v>
      </c>
    </row>
    <row r="2785" spans="1:25" x14ac:dyDescent="0.25">
      <c r="A2785" s="2" t="s">
        <v>5836</v>
      </c>
      <c r="B2785" s="2">
        <v>12402734</v>
      </c>
      <c r="C2785" s="2" t="s">
        <v>169</v>
      </c>
      <c r="D2785" s="2" t="s">
        <v>197</v>
      </c>
      <c r="E2785" s="2" t="s">
        <v>198</v>
      </c>
      <c r="F2785" s="2" t="s">
        <v>17</v>
      </c>
      <c r="G2785" s="2" t="s">
        <v>3000</v>
      </c>
      <c r="H2785">
        <v>421</v>
      </c>
      <c r="I2785" s="2">
        <v>649</v>
      </c>
      <c r="J2785" s="2" t="s">
        <v>44</v>
      </c>
      <c r="K2785" s="2" t="s">
        <v>164</v>
      </c>
      <c r="L2785" s="2">
        <v>4.2</v>
      </c>
      <c r="M2785" s="2">
        <v>619</v>
      </c>
      <c r="P2785" t="str">
        <f t="shared" si="175"/>
        <v>35%</v>
      </c>
      <c r="Q2785" s="12">
        <f t="shared" si="172"/>
        <v>0.35</v>
      </c>
      <c r="R2785" s="9">
        <f t="shared" si="173"/>
        <v>421.85</v>
      </c>
      <c r="S2785" s="9">
        <f>IF(R2785="",AVERAGEIF(Table1[Category],Table1[[#This Row],[Category]],Table2[orignal data]),Table2[[#This Row],[orignal data]])</f>
        <v>421.85</v>
      </c>
      <c r="T2785" t="str">
        <f t="shared" si="174"/>
        <v>UNIQUE</v>
      </c>
      <c r="U2785" t="str">
        <f>IF(ISBLANK(Table1[[#This Row],[SizeOption]]),"NOT AVAILABLE",Table1[[#This Row],[SizeOption]])</f>
        <v>Onesize</v>
      </c>
      <c r="Y2785" t="str">
        <f>IF(Table2[[#This Row],[Column1]]&gt;50%,"HIGH DISCOUNT","LOW DISCOUNT")</f>
        <v>LOW DISCOUNT</v>
      </c>
    </row>
    <row r="2786" spans="1:25" x14ac:dyDescent="0.25">
      <c r="A2786" s="1" t="s">
        <v>5837</v>
      </c>
      <c r="B2786" s="1">
        <v>11036524</v>
      </c>
      <c r="C2786" s="1" t="s">
        <v>349</v>
      </c>
      <c r="D2786" s="1" t="s">
        <v>197</v>
      </c>
      <c r="E2786" s="1" t="s">
        <v>296</v>
      </c>
      <c r="F2786" s="1" t="s">
        <v>17</v>
      </c>
      <c r="G2786" s="1" t="s">
        <v>5838</v>
      </c>
      <c r="I2786" s="1">
        <v>209</v>
      </c>
      <c r="J2786" s="1"/>
      <c r="K2786" s="1" t="s">
        <v>352</v>
      </c>
      <c r="L2786" s="1">
        <v>4.5</v>
      </c>
      <c r="M2786" s="1">
        <v>619</v>
      </c>
      <c r="P2786" t="str">
        <f t="shared" si="175"/>
        <v/>
      </c>
      <c r="Q2786" s="12" t="str">
        <f t="shared" si="172"/>
        <v/>
      </c>
      <c r="R2786" s="9" t="str">
        <f t="shared" si="173"/>
        <v/>
      </c>
      <c r="S2786" s="9">
        <f>IF(R2786="",AVERAGEIF(Table1[Category],Table1[[#This Row],[Category]],Table2[orignal data]),Table2[[#This Row],[orignal data]])</f>
        <v>552.70900000000006</v>
      </c>
      <c r="T2786" t="str">
        <f t="shared" si="174"/>
        <v>UNIQUE</v>
      </c>
      <c r="U2786" t="str">
        <f>IF(ISBLANK(Table1[[#This Row],[SizeOption]]),"NOT AVAILABLE",Table1[[#This Row],[SizeOption]])</f>
        <v>S, M, L</v>
      </c>
      <c r="Y2786" t="str">
        <f>IF(Table2[[#This Row],[Column1]]&gt;50%,"HIGH DISCOUNT","LOW DISCOUNT")</f>
        <v>HIGH DISCOUNT</v>
      </c>
    </row>
    <row r="2787" spans="1:25" x14ac:dyDescent="0.25">
      <c r="A2787" s="2" t="s">
        <v>5839</v>
      </c>
      <c r="B2787" s="2">
        <v>11639114</v>
      </c>
      <c r="C2787" s="2" t="s">
        <v>349</v>
      </c>
      <c r="D2787" s="2" t="s">
        <v>197</v>
      </c>
      <c r="E2787" s="2" t="s">
        <v>296</v>
      </c>
      <c r="F2787" s="2" t="s">
        <v>17</v>
      </c>
      <c r="G2787" s="2" t="s">
        <v>5840</v>
      </c>
      <c r="I2787" s="2">
        <v>418</v>
      </c>
      <c r="J2787" s="2"/>
      <c r="K2787" s="2" t="s">
        <v>352</v>
      </c>
      <c r="L2787" s="2">
        <v>4.5</v>
      </c>
      <c r="M2787" s="2">
        <v>619</v>
      </c>
      <c r="P2787" t="str">
        <f t="shared" si="175"/>
        <v/>
      </c>
      <c r="Q2787" s="12" t="str">
        <f t="shared" si="172"/>
        <v/>
      </c>
      <c r="R2787" s="9" t="str">
        <f t="shared" si="173"/>
        <v/>
      </c>
      <c r="S2787" s="9">
        <f>IF(R2787="",AVERAGEIF(Table1[Category],Table1[[#This Row],[Category]],Table2[orignal data]),Table2[[#This Row],[orignal data]])</f>
        <v>552.70900000000006</v>
      </c>
      <c r="T2787" t="str">
        <f t="shared" si="174"/>
        <v>UNIQUE</v>
      </c>
      <c r="U2787" t="str">
        <f>IF(ISBLANK(Table1[[#This Row],[SizeOption]]),"NOT AVAILABLE",Table1[[#This Row],[SizeOption]])</f>
        <v>S, M, L</v>
      </c>
      <c r="Y2787" t="str">
        <f>IF(Table2[[#This Row],[Column1]]&gt;50%,"HIGH DISCOUNT","LOW DISCOUNT")</f>
        <v>HIGH DISCOUNT</v>
      </c>
    </row>
    <row r="2788" spans="1:25" x14ac:dyDescent="0.25">
      <c r="A2788" s="1" t="s">
        <v>5841</v>
      </c>
      <c r="B2788" s="1">
        <v>10450360</v>
      </c>
      <c r="C2788" s="1" t="s">
        <v>22</v>
      </c>
      <c r="D2788" s="1" t="s">
        <v>28</v>
      </c>
      <c r="E2788" s="1" t="s">
        <v>29</v>
      </c>
      <c r="F2788" s="1" t="s">
        <v>17</v>
      </c>
      <c r="G2788" s="1" t="s">
        <v>5842</v>
      </c>
      <c r="H2788">
        <v>445</v>
      </c>
      <c r="I2788" s="1">
        <v>1349</v>
      </c>
      <c r="J2788" s="1" t="s">
        <v>543</v>
      </c>
      <c r="K2788" s="1" t="s">
        <v>90</v>
      </c>
      <c r="L2788" s="1">
        <v>4.0999999999999996</v>
      </c>
      <c r="M2788" s="1">
        <v>619</v>
      </c>
      <c r="P2788" t="str">
        <f t="shared" si="175"/>
        <v>67%</v>
      </c>
      <c r="Q2788" s="12">
        <f t="shared" si="172"/>
        <v>0.67</v>
      </c>
      <c r="R2788" s="9">
        <f t="shared" si="173"/>
        <v>445.16999999999996</v>
      </c>
      <c r="S2788" s="9">
        <f>IF(R2788="",AVERAGEIF(Table1[Category],Table1[[#This Row],[Category]],Table2[orignal data]),Table2[[#This Row],[orignal data]])</f>
        <v>445.16999999999996</v>
      </c>
      <c r="T2788" t="str">
        <f t="shared" si="174"/>
        <v>UNIQUE</v>
      </c>
      <c r="U2788" t="str">
        <f>IF(ISBLANK(Table1[[#This Row],[SizeOption]]),"NOT AVAILABLE",Table1[[#This Row],[SizeOption]])</f>
        <v>39, 40, 42, 44</v>
      </c>
      <c r="Y2788" t="str">
        <f>IF(Table2[[#This Row],[Column1]]&gt;50%,"HIGH DISCOUNT","LOW DISCOUNT")</f>
        <v>HIGH DISCOUNT</v>
      </c>
    </row>
    <row r="2789" spans="1:25" x14ac:dyDescent="0.25">
      <c r="A2789" s="2" t="s">
        <v>5843</v>
      </c>
      <c r="B2789" s="2">
        <v>5415551</v>
      </c>
      <c r="C2789" s="2" t="s">
        <v>14</v>
      </c>
      <c r="D2789" s="2" t="s">
        <v>28</v>
      </c>
      <c r="E2789" s="2" t="s">
        <v>1881</v>
      </c>
      <c r="F2789" s="2" t="s">
        <v>17</v>
      </c>
      <c r="G2789" s="2" t="s">
        <v>5844</v>
      </c>
      <c r="H2789">
        <v>639</v>
      </c>
      <c r="I2789" s="2">
        <v>1599</v>
      </c>
      <c r="J2789" s="2" t="s">
        <v>55</v>
      </c>
      <c r="K2789" s="2" t="s">
        <v>115</v>
      </c>
      <c r="L2789" s="2">
        <v>4.2</v>
      </c>
      <c r="M2789" s="2">
        <v>619</v>
      </c>
      <c r="P2789" t="str">
        <f t="shared" si="175"/>
        <v>60%</v>
      </c>
      <c r="Q2789" s="12">
        <f t="shared" si="172"/>
        <v>0.6</v>
      </c>
      <c r="R2789" s="9">
        <f t="shared" si="173"/>
        <v>639.6</v>
      </c>
      <c r="S2789" s="9">
        <f>IF(R2789="",AVERAGEIF(Table1[Category],Table1[[#This Row],[Category]],Table2[orignal data]),Table2[[#This Row],[orignal data]])</f>
        <v>639.6</v>
      </c>
      <c r="T2789" t="str">
        <f t="shared" si="174"/>
        <v>UNIQUE</v>
      </c>
      <c r="U2789" t="str">
        <f>IF(ISBLANK(Table1[[#This Row],[SizeOption]]),"NOT AVAILABLE",Table1[[#This Row],[SizeOption]])</f>
        <v>XS, S, M, L, XL, XXL</v>
      </c>
      <c r="Y2789" t="str">
        <f>IF(Table2[[#This Row],[Column1]]&gt;50%,"HIGH DISCOUNT","LOW DISCOUNT")</f>
        <v>HIGH DISCOUNT</v>
      </c>
    </row>
    <row r="2790" spans="1:25" x14ac:dyDescent="0.25">
      <c r="A2790" s="1" t="s">
        <v>5845</v>
      </c>
      <c r="B2790" s="1">
        <v>8889689</v>
      </c>
      <c r="C2790" s="1" t="s">
        <v>14</v>
      </c>
      <c r="D2790" s="1" t="s">
        <v>28</v>
      </c>
      <c r="E2790" s="1" t="s">
        <v>29</v>
      </c>
      <c r="F2790" s="1" t="s">
        <v>17</v>
      </c>
      <c r="G2790" s="1" t="s">
        <v>5846</v>
      </c>
      <c r="H2790">
        <v>719</v>
      </c>
      <c r="I2790" s="1">
        <v>1599</v>
      </c>
      <c r="J2790" s="1" t="s">
        <v>25</v>
      </c>
      <c r="K2790" s="1" t="s">
        <v>31</v>
      </c>
      <c r="L2790" s="1">
        <v>4.3</v>
      </c>
      <c r="M2790" s="1">
        <v>619</v>
      </c>
      <c r="P2790" t="str">
        <f t="shared" si="175"/>
        <v>55%</v>
      </c>
      <c r="Q2790" s="12">
        <f t="shared" si="172"/>
        <v>0.55000000000000004</v>
      </c>
      <c r="R2790" s="9">
        <f t="shared" si="173"/>
        <v>719.55</v>
      </c>
      <c r="S2790" s="9">
        <f>IF(R2790="",AVERAGEIF(Table1[Category],Table1[[#This Row],[Category]],Table2[orignal data]),Table2[[#This Row],[orignal data]])</f>
        <v>719.55</v>
      </c>
      <c r="T2790" t="str">
        <f t="shared" si="174"/>
        <v>UNIQUE</v>
      </c>
      <c r="U2790" t="str">
        <f>IF(ISBLANK(Table1[[#This Row],[SizeOption]]),"NOT AVAILABLE",Table1[[#This Row],[SizeOption]])</f>
        <v>38, 40, 42, 44, 46, 48</v>
      </c>
      <c r="Y2790" t="str">
        <f>IF(Table2[[#This Row],[Column1]]&gt;50%,"HIGH DISCOUNT","LOW DISCOUNT")</f>
        <v>HIGH DISCOUNT</v>
      </c>
    </row>
    <row r="2791" spans="1:25" x14ac:dyDescent="0.25">
      <c r="A2791" s="2" t="s">
        <v>5847</v>
      </c>
      <c r="B2791" s="2">
        <v>2232090</v>
      </c>
      <c r="C2791" s="2" t="s">
        <v>47</v>
      </c>
      <c r="D2791" s="2" t="s">
        <v>28</v>
      </c>
      <c r="E2791" s="2" t="s">
        <v>42</v>
      </c>
      <c r="F2791" s="2" t="s">
        <v>17</v>
      </c>
      <c r="G2791" s="2" t="s">
        <v>5848</v>
      </c>
      <c r="H2791">
        <v>269</v>
      </c>
      <c r="I2791" s="2">
        <v>599</v>
      </c>
      <c r="J2791" s="2" t="s">
        <v>25</v>
      </c>
      <c r="K2791" s="2" t="s">
        <v>26</v>
      </c>
      <c r="L2791" s="2">
        <v>4.2</v>
      </c>
      <c r="M2791" s="2">
        <v>619</v>
      </c>
      <c r="P2791" t="str">
        <f t="shared" si="175"/>
        <v>55%</v>
      </c>
      <c r="Q2791" s="12">
        <f t="shared" si="172"/>
        <v>0.55000000000000004</v>
      </c>
      <c r="R2791" s="9">
        <f t="shared" si="173"/>
        <v>269.54999999999995</v>
      </c>
      <c r="S2791" s="9">
        <f>IF(R2791="",AVERAGEIF(Table1[Category],Table1[[#This Row],[Category]],Table2[orignal data]),Table2[[#This Row],[orignal data]])</f>
        <v>269.54999999999995</v>
      </c>
      <c r="T2791" t="str">
        <f t="shared" si="174"/>
        <v>UNIQUE</v>
      </c>
      <c r="U2791" t="str">
        <f>IF(ISBLANK(Table1[[#This Row],[SizeOption]]),"NOT AVAILABLE",Table1[[#This Row],[SizeOption]])</f>
        <v>S, M, L, XL</v>
      </c>
      <c r="Y2791" t="str">
        <f>IF(Table2[[#This Row],[Column1]]&gt;50%,"HIGH DISCOUNT","LOW DISCOUNT")</f>
        <v>HIGH DISCOUNT</v>
      </c>
    </row>
    <row r="2792" spans="1:25" x14ac:dyDescent="0.25">
      <c r="A2792" s="1" t="s">
        <v>5849</v>
      </c>
      <c r="B2792" s="1">
        <v>8349579</v>
      </c>
      <c r="C2792" s="1" t="s">
        <v>97</v>
      </c>
      <c r="D2792" s="1" t="s">
        <v>76</v>
      </c>
      <c r="E2792" s="1" t="s">
        <v>1708</v>
      </c>
      <c r="F2792" s="1" t="s">
        <v>36</v>
      </c>
      <c r="G2792" s="1" t="s">
        <v>5850</v>
      </c>
      <c r="H2792">
        <v>1264</v>
      </c>
      <c r="I2792" s="1">
        <v>2299</v>
      </c>
      <c r="J2792" s="1" t="s">
        <v>19</v>
      </c>
      <c r="K2792" s="1" t="s">
        <v>100</v>
      </c>
      <c r="L2792" s="1">
        <v>4.4000000000000004</v>
      </c>
      <c r="M2792" s="1">
        <v>619</v>
      </c>
      <c r="P2792" t="str">
        <f t="shared" si="175"/>
        <v>45%</v>
      </c>
      <c r="Q2792" s="12">
        <f t="shared" si="172"/>
        <v>0.45</v>
      </c>
      <c r="R2792" s="9">
        <f t="shared" si="173"/>
        <v>1264.45</v>
      </c>
      <c r="S2792" s="9">
        <f>IF(R2792="",AVERAGEIF(Table1[Category],Table1[[#This Row],[Category]],Table2[orignal data]),Table2[[#This Row],[orignal data]])</f>
        <v>1264.45</v>
      </c>
      <c r="T2792" t="str">
        <f t="shared" si="174"/>
        <v>UNIQUE</v>
      </c>
      <c r="U2792" t="str">
        <f>IF(ISBLANK(Table1[[#This Row],[SizeOption]]),"NOT AVAILABLE",Table1[[#This Row],[SizeOption]])</f>
        <v>XS, S, M, L, XL, XXL, 3XL</v>
      </c>
      <c r="Y2792" t="str">
        <f>IF(Table2[[#This Row],[Column1]]&gt;50%,"HIGH DISCOUNT","LOW DISCOUNT")</f>
        <v>LOW DISCOUNT</v>
      </c>
    </row>
    <row r="2793" spans="1:25" x14ac:dyDescent="0.25">
      <c r="A2793" s="2" t="s">
        <v>5851</v>
      </c>
      <c r="B2793" s="2">
        <v>12625342</v>
      </c>
      <c r="C2793" s="2" t="s">
        <v>64</v>
      </c>
      <c r="D2793" s="2" t="s">
        <v>98</v>
      </c>
      <c r="E2793" s="2" t="s">
        <v>148</v>
      </c>
      <c r="F2793" s="2" t="s">
        <v>36</v>
      </c>
      <c r="G2793" s="2" t="s">
        <v>5852</v>
      </c>
      <c r="H2793">
        <v>539</v>
      </c>
      <c r="I2793" s="2">
        <v>1799</v>
      </c>
      <c r="J2793" s="2" t="s">
        <v>1566</v>
      </c>
      <c r="K2793" s="2" t="s">
        <v>115</v>
      </c>
      <c r="L2793" s="2">
        <v>4.5</v>
      </c>
      <c r="M2793" s="2">
        <v>619</v>
      </c>
      <c r="P2793" t="str">
        <f t="shared" si="175"/>
        <v>70%</v>
      </c>
      <c r="Q2793" s="12">
        <f t="shared" si="172"/>
        <v>0.7</v>
      </c>
      <c r="R2793" s="9">
        <f t="shared" si="173"/>
        <v>539.70000000000005</v>
      </c>
      <c r="S2793" s="9">
        <f>IF(R2793="",AVERAGEIF(Table1[Category],Table1[[#This Row],[Category]],Table2[orignal data]),Table2[[#This Row],[orignal data]])</f>
        <v>539.70000000000005</v>
      </c>
      <c r="T2793" t="str">
        <f t="shared" si="174"/>
        <v>UNIQUE</v>
      </c>
      <c r="U2793" t="str">
        <f>IF(ISBLANK(Table1[[#This Row],[SizeOption]]),"NOT AVAILABLE",Table1[[#This Row],[SizeOption]])</f>
        <v>XS, S, M, L, XL, XXL</v>
      </c>
      <c r="Y2793" t="str">
        <f>IF(Table2[[#This Row],[Column1]]&gt;50%,"HIGH DISCOUNT","LOW DISCOUNT")</f>
        <v>HIGH DISCOUNT</v>
      </c>
    </row>
    <row r="2794" spans="1:25" x14ac:dyDescent="0.25">
      <c r="A2794" s="1" t="s">
        <v>5853</v>
      </c>
      <c r="B2794" s="1">
        <v>12051516</v>
      </c>
      <c r="C2794" s="1" t="s">
        <v>64</v>
      </c>
      <c r="D2794" s="1" t="s">
        <v>98</v>
      </c>
      <c r="E2794" s="1" t="s">
        <v>48</v>
      </c>
      <c r="F2794" s="1" t="s">
        <v>36</v>
      </c>
      <c r="G2794" s="1" t="s">
        <v>5854</v>
      </c>
      <c r="H2794">
        <v>759</v>
      </c>
      <c r="I2794" s="1">
        <v>1899</v>
      </c>
      <c r="J2794" s="1" t="s">
        <v>141</v>
      </c>
      <c r="K2794" s="1" t="s">
        <v>115</v>
      </c>
      <c r="L2794" s="1">
        <v>3.7</v>
      </c>
      <c r="M2794" s="1">
        <v>619</v>
      </c>
      <c r="P2794" t="str">
        <f t="shared" si="175"/>
        <v>60%</v>
      </c>
      <c r="Q2794" s="12">
        <f t="shared" si="172"/>
        <v>0.6</v>
      </c>
      <c r="R2794" s="9">
        <f t="shared" si="173"/>
        <v>759.60000000000014</v>
      </c>
      <c r="S2794" s="9">
        <f>IF(R2794="",AVERAGEIF(Table1[Category],Table1[[#This Row],[Category]],Table2[orignal data]),Table2[[#This Row],[orignal data]])</f>
        <v>759.60000000000014</v>
      </c>
      <c r="T2794" t="str">
        <f t="shared" si="174"/>
        <v>UNIQUE</v>
      </c>
      <c r="U2794" t="str">
        <f>IF(ISBLANK(Table1[[#This Row],[SizeOption]]),"NOT AVAILABLE",Table1[[#This Row],[SizeOption]])</f>
        <v>XS, S, M, L, XL, XXL</v>
      </c>
      <c r="Y2794" t="str">
        <f>IF(Table2[[#This Row],[Column1]]&gt;50%,"HIGH DISCOUNT","LOW DISCOUNT")</f>
        <v>HIGH DISCOUNT</v>
      </c>
    </row>
    <row r="2795" spans="1:25" x14ac:dyDescent="0.25">
      <c r="A2795" s="2" t="s">
        <v>5855</v>
      </c>
      <c r="B2795" s="2">
        <v>17524646</v>
      </c>
      <c r="C2795" s="2" t="s">
        <v>47</v>
      </c>
      <c r="D2795" s="2" t="s">
        <v>41</v>
      </c>
      <c r="E2795" s="2" t="s">
        <v>42</v>
      </c>
      <c r="F2795" s="2" t="s">
        <v>36</v>
      </c>
      <c r="G2795" s="2" t="s">
        <v>1316</v>
      </c>
      <c r="I2795" s="2">
        <v>1598</v>
      </c>
      <c r="J2795" s="2" t="s">
        <v>84</v>
      </c>
      <c r="K2795" s="2" t="s">
        <v>45</v>
      </c>
      <c r="L2795" s="2">
        <v>4.0999999999999996</v>
      </c>
      <c r="M2795" s="2">
        <v>619</v>
      </c>
      <c r="P2795" t="str">
        <f t="shared" si="175"/>
        <v>50%</v>
      </c>
      <c r="Q2795" s="12">
        <f t="shared" si="172"/>
        <v>0.5</v>
      </c>
      <c r="R2795" s="9">
        <f t="shared" si="173"/>
        <v>799</v>
      </c>
      <c r="S2795" s="9">
        <f>IF(R2795="",AVERAGEIF(Table1[Category],Table1[[#This Row],[Category]],Table2[orignal data]),Table2[[#This Row],[orignal data]])</f>
        <v>799</v>
      </c>
      <c r="T2795" t="str">
        <f t="shared" si="174"/>
        <v>UNIQUE</v>
      </c>
      <c r="U2795" t="str">
        <f>IF(ISBLANK(Table1[[#This Row],[SizeOption]]),"NOT AVAILABLE",Table1[[#This Row],[SizeOption]])</f>
        <v>XS, S, M, L, XL</v>
      </c>
      <c r="Y2795" t="str">
        <f>IF(Table2[[#This Row],[Column1]]&gt;50%,"HIGH DISCOUNT","LOW DISCOUNT")</f>
        <v>LOW DISCOUNT</v>
      </c>
    </row>
    <row r="2796" spans="1:25" x14ac:dyDescent="0.25">
      <c r="A2796" s="1" t="s">
        <v>5856</v>
      </c>
      <c r="B2796" s="1">
        <v>6914153</v>
      </c>
      <c r="C2796" s="1" t="s">
        <v>221</v>
      </c>
      <c r="D2796" s="1" t="s">
        <v>41</v>
      </c>
      <c r="E2796" s="1" t="s">
        <v>148</v>
      </c>
      <c r="F2796" s="1" t="s">
        <v>36</v>
      </c>
      <c r="G2796" s="1" t="s">
        <v>5857</v>
      </c>
      <c r="I2796" s="1">
        <v>2699</v>
      </c>
      <c r="J2796" s="1" t="s">
        <v>79</v>
      </c>
      <c r="K2796" s="1" t="s">
        <v>223</v>
      </c>
      <c r="L2796" s="1">
        <v>3.7</v>
      </c>
      <c r="M2796" s="1">
        <v>619</v>
      </c>
      <c r="P2796" t="str">
        <f t="shared" si="175"/>
        <v>70%</v>
      </c>
      <c r="Q2796" s="12">
        <f t="shared" si="172"/>
        <v>0.7</v>
      </c>
      <c r="R2796" s="9">
        <f t="shared" si="173"/>
        <v>809.7</v>
      </c>
      <c r="S2796" s="9">
        <f>IF(R2796="",AVERAGEIF(Table1[Category],Table1[[#This Row],[Category]],Table2[orignal data]),Table2[[#This Row],[orignal data]])</f>
        <v>809.7</v>
      </c>
      <c r="T2796" t="str">
        <f t="shared" si="174"/>
        <v>UNIQUE</v>
      </c>
      <c r="U2796" t="str">
        <f>IF(ISBLANK(Table1[[#This Row],[SizeOption]]),"NOT AVAILABLE",Table1[[#This Row],[SizeOption]])</f>
        <v>S, M, L, XL, XXL, 3XL, 4XL</v>
      </c>
      <c r="Y2796" t="str">
        <f>IF(Table2[[#This Row],[Column1]]&gt;50%,"HIGH DISCOUNT","LOW DISCOUNT")</f>
        <v>HIGH DISCOUNT</v>
      </c>
    </row>
    <row r="2797" spans="1:25" x14ac:dyDescent="0.25">
      <c r="A2797" s="2" t="s">
        <v>5858</v>
      </c>
      <c r="B2797" s="2">
        <v>10562418</v>
      </c>
      <c r="C2797" s="2" t="s">
        <v>14</v>
      </c>
      <c r="D2797" s="2" t="s">
        <v>41</v>
      </c>
      <c r="E2797" s="2" t="s">
        <v>189</v>
      </c>
      <c r="F2797" s="2" t="s">
        <v>36</v>
      </c>
      <c r="G2797" s="2" t="s">
        <v>4394</v>
      </c>
      <c r="I2797" s="2">
        <v>2699</v>
      </c>
      <c r="J2797" s="2" t="s">
        <v>79</v>
      </c>
      <c r="K2797" s="2" t="s">
        <v>45</v>
      </c>
      <c r="L2797" s="2">
        <v>4.3</v>
      </c>
      <c r="M2797" s="2">
        <v>619</v>
      </c>
      <c r="P2797" t="str">
        <f t="shared" si="175"/>
        <v>70%</v>
      </c>
      <c r="Q2797" s="12">
        <f t="shared" si="172"/>
        <v>0.7</v>
      </c>
      <c r="R2797" s="9">
        <f t="shared" si="173"/>
        <v>809.7</v>
      </c>
      <c r="S2797" s="9">
        <f>IF(R2797="",AVERAGEIF(Table1[Category],Table1[[#This Row],[Category]],Table2[orignal data]),Table2[[#This Row],[orignal data]])</f>
        <v>809.7</v>
      </c>
      <c r="T2797" t="str">
        <f t="shared" si="174"/>
        <v>UNIQUE</v>
      </c>
      <c r="U2797" t="str">
        <f>IF(ISBLANK(Table1[[#This Row],[SizeOption]]),"NOT AVAILABLE",Table1[[#This Row],[SizeOption]])</f>
        <v>XS, S, M, L, XL</v>
      </c>
      <c r="Y2797" t="str">
        <f>IF(Table2[[#This Row],[Column1]]&gt;50%,"HIGH DISCOUNT","LOW DISCOUNT")</f>
        <v>HIGH DISCOUNT</v>
      </c>
    </row>
    <row r="2798" spans="1:25" x14ac:dyDescent="0.25">
      <c r="A2798" s="1" t="s">
        <v>5859</v>
      </c>
      <c r="B2798" s="1">
        <v>10970110</v>
      </c>
      <c r="C2798" s="1" t="s">
        <v>14</v>
      </c>
      <c r="D2798" s="1" t="s">
        <v>41</v>
      </c>
      <c r="E2798" s="1" t="s">
        <v>42</v>
      </c>
      <c r="F2798" s="1" t="s">
        <v>36</v>
      </c>
      <c r="G2798" s="1" t="s">
        <v>5860</v>
      </c>
      <c r="I2798" s="1">
        <v>799</v>
      </c>
      <c r="J2798" s="1" t="s">
        <v>680</v>
      </c>
      <c r="K2798" s="1" t="s">
        <v>45</v>
      </c>
      <c r="L2798" s="1">
        <v>4.4000000000000004</v>
      </c>
      <c r="M2798" s="1">
        <v>619</v>
      </c>
      <c r="P2798" t="str">
        <f t="shared" si="175"/>
        <v>300</v>
      </c>
      <c r="Q2798" s="12">
        <f t="shared" si="172"/>
        <v>0.37546933667083854</v>
      </c>
      <c r="R2798" s="9">
        <f t="shared" si="173"/>
        <v>499</v>
      </c>
      <c r="S2798" s="9">
        <f>IF(R2798="",AVERAGEIF(Table1[Category],Table1[[#This Row],[Category]],Table2[orignal data]),Table2[[#This Row],[orignal data]])</f>
        <v>499</v>
      </c>
      <c r="T2798" t="str">
        <f t="shared" si="174"/>
        <v>UNIQUE</v>
      </c>
      <c r="U2798" t="str">
        <f>IF(ISBLANK(Table1[[#This Row],[SizeOption]]),"NOT AVAILABLE",Table1[[#This Row],[SizeOption]])</f>
        <v>XS, S, M, L, XL</v>
      </c>
      <c r="Y2798" t="str">
        <f>IF(Table2[[#This Row],[Column1]]&gt;50%,"HIGH DISCOUNT","LOW DISCOUNT")</f>
        <v>LOW DISCOUNT</v>
      </c>
    </row>
    <row r="2799" spans="1:25" x14ac:dyDescent="0.25">
      <c r="A2799" s="2" t="s">
        <v>5861</v>
      </c>
      <c r="B2799" s="2">
        <v>2490910</v>
      </c>
      <c r="C2799" s="2" t="s">
        <v>47</v>
      </c>
      <c r="D2799" s="2" t="s">
        <v>41</v>
      </c>
      <c r="E2799" s="2" t="s">
        <v>42</v>
      </c>
      <c r="F2799" s="2" t="s">
        <v>36</v>
      </c>
      <c r="G2799" s="2" t="s">
        <v>5862</v>
      </c>
      <c r="I2799" s="2">
        <v>799</v>
      </c>
      <c r="J2799" s="2" t="s">
        <v>55</v>
      </c>
      <c r="K2799" s="2" t="s">
        <v>45</v>
      </c>
      <c r="L2799" s="2">
        <v>4.3</v>
      </c>
      <c r="M2799" s="2">
        <v>619</v>
      </c>
      <c r="P2799" t="str">
        <f t="shared" si="175"/>
        <v>60%</v>
      </c>
      <c r="Q2799" s="12">
        <f t="shared" si="172"/>
        <v>0.6</v>
      </c>
      <c r="R2799" s="9">
        <f t="shared" si="173"/>
        <v>319.60000000000002</v>
      </c>
      <c r="S2799" s="9">
        <f>IF(R2799="",AVERAGEIF(Table1[Category],Table1[[#This Row],[Category]],Table2[orignal data]),Table2[[#This Row],[orignal data]])</f>
        <v>319.60000000000002</v>
      </c>
      <c r="T2799" t="str">
        <f t="shared" si="174"/>
        <v>UNIQUE</v>
      </c>
      <c r="U2799" t="str">
        <f>IF(ISBLANK(Table1[[#This Row],[SizeOption]]),"NOT AVAILABLE",Table1[[#This Row],[SizeOption]])</f>
        <v>XS, S, M, L, XL</v>
      </c>
      <c r="Y2799" t="str">
        <f>IF(Table2[[#This Row],[Column1]]&gt;50%,"HIGH DISCOUNT","LOW DISCOUNT")</f>
        <v>HIGH DISCOUNT</v>
      </c>
    </row>
    <row r="2800" spans="1:25" x14ac:dyDescent="0.25">
      <c r="A2800" s="1" t="s">
        <v>5863</v>
      </c>
      <c r="B2800" s="1">
        <v>13858434</v>
      </c>
      <c r="C2800" s="1" t="s">
        <v>52</v>
      </c>
      <c r="D2800" s="1" t="s">
        <v>15</v>
      </c>
      <c r="E2800" s="1" t="s">
        <v>137</v>
      </c>
      <c r="F2800" s="1" t="s">
        <v>17</v>
      </c>
      <c r="G2800" s="1" t="s">
        <v>5864</v>
      </c>
      <c r="H2800">
        <v>399</v>
      </c>
      <c r="I2800" s="1">
        <v>799</v>
      </c>
      <c r="J2800" s="1" t="s">
        <v>84</v>
      </c>
      <c r="K2800" s="1" t="s">
        <v>56</v>
      </c>
      <c r="L2800" s="1">
        <v>4.3</v>
      </c>
      <c r="M2800" s="1">
        <v>618</v>
      </c>
      <c r="P2800" t="str">
        <f t="shared" si="175"/>
        <v>50%</v>
      </c>
      <c r="Q2800" s="12">
        <f t="shared" si="172"/>
        <v>0.5</v>
      </c>
      <c r="R2800" s="9">
        <f t="shared" si="173"/>
        <v>399.5</v>
      </c>
      <c r="S2800" s="9">
        <f>IF(R2800="",AVERAGEIF(Table1[Category],Table1[[#This Row],[Category]],Table2[orignal data]),Table2[[#This Row],[orignal data]])</f>
        <v>399.5</v>
      </c>
      <c r="T2800" t="str">
        <f t="shared" si="174"/>
        <v>UNIQUE</v>
      </c>
      <c r="U2800" t="str">
        <f>IF(ISBLANK(Table1[[#This Row],[SizeOption]]),"NOT AVAILABLE",Table1[[#This Row],[SizeOption]])</f>
        <v>30, 32, 34, 36</v>
      </c>
      <c r="Y2800" t="str">
        <f>IF(Table2[[#This Row],[Column1]]&gt;50%,"HIGH DISCOUNT","LOW DISCOUNT")</f>
        <v>LOW DISCOUNT</v>
      </c>
    </row>
    <row r="2801" spans="1:25" x14ac:dyDescent="0.25">
      <c r="A2801" s="2" t="s">
        <v>5865</v>
      </c>
      <c r="B2801" s="2">
        <v>12554996</v>
      </c>
      <c r="C2801" s="2" t="s">
        <v>64</v>
      </c>
      <c r="D2801" s="2" t="s">
        <v>15</v>
      </c>
      <c r="E2801" s="2" t="s">
        <v>53</v>
      </c>
      <c r="F2801" s="2" t="s">
        <v>17</v>
      </c>
      <c r="G2801" s="2" t="s">
        <v>5866</v>
      </c>
      <c r="H2801">
        <v>774</v>
      </c>
      <c r="I2801" s="2">
        <v>3099</v>
      </c>
      <c r="J2801" s="2" t="s">
        <v>109</v>
      </c>
      <c r="K2801" s="2" t="s">
        <v>171</v>
      </c>
      <c r="L2801" s="2">
        <v>4</v>
      </c>
      <c r="M2801" s="2">
        <v>618</v>
      </c>
      <c r="P2801" t="str">
        <f t="shared" si="175"/>
        <v>75%</v>
      </c>
      <c r="Q2801" s="12">
        <f t="shared" si="172"/>
        <v>0.75</v>
      </c>
      <c r="R2801" s="9">
        <f t="shared" si="173"/>
        <v>774.75</v>
      </c>
      <c r="S2801" s="9">
        <f>IF(R2801="",AVERAGEIF(Table1[Category],Table1[[#This Row],[Category]],Table2[orignal data]),Table2[[#This Row],[orignal data]])</f>
        <v>774.75</v>
      </c>
      <c r="T2801" t="str">
        <f t="shared" si="174"/>
        <v>UNIQUE</v>
      </c>
      <c r="U2801" t="str">
        <f>IF(ISBLANK(Table1[[#This Row],[SizeOption]]),"NOT AVAILABLE",Table1[[#This Row],[SizeOption]])</f>
        <v>28, 30, 32, 34, 36, 38</v>
      </c>
      <c r="Y2801" t="str">
        <f>IF(Table2[[#This Row],[Column1]]&gt;50%,"HIGH DISCOUNT","LOW DISCOUNT")</f>
        <v>HIGH DISCOUNT</v>
      </c>
    </row>
    <row r="2802" spans="1:25" x14ac:dyDescent="0.25">
      <c r="A2802" s="1" t="s">
        <v>5867</v>
      </c>
      <c r="B2802" s="1">
        <v>15038426</v>
      </c>
      <c r="C2802" s="1" t="s">
        <v>295</v>
      </c>
      <c r="D2802" s="1" t="s">
        <v>15</v>
      </c>
      <c r="E2802" s="1" t="s">
        <v>16</v>
      </c>
      <c r="F2802" s="1" t="s">
        <v>17</v>
      </c>
      <c r="G2802" s="1" t="s">
        <v>5868</v>
      </c>
      <c r="H2802">
        <v>1739</v>
      </c>
      <c r="I2802" s="1">
        <v>2899</v>
      </c>
      <c r="J2802" s="1" t="s">
        <v>50</v>
      </c>
      <c r="K2802" s="1" t="s">
        <v>2664</v>
      </c>
      <c r="L2802" s="1">
        <v>4.3</v>
      </c>
      <c r="M2802" s="1">
        <v>618</v>
      </c>
      <c r="P2802" t="str">
        <f t="shared" si="175"/>
        <v>40%</v>
      </c>
      <c r="Q2802" s="12">
        <f t="shared" si="172"/>
        <v>0.4</v>
      </c>
      <c r="R2802" s="9">
        <f t="shared" si="173"/>
        <v>1739.3999999999999</v>
      </c>
      <c r="S2802" s="9">
        <f>IF(R2802="",AVERAGEIF(Table1[Category],Table1[[#This Row],[Category]],Table2[orignal data]),Table2[[#This Row],[orignal data]])</f>
        <v>1739.3999999999999</v>
      </c>
      <c r="T2802" t="str">
        <f t="shared" si="174"/>
        <v>UNIQUE</v>
      </c>
      <c r="U2802" t="str">
        <f>IF(ISBLANK(Table1[[#This Row],[SizeOption]]),"NOT AVAILABLE",Table1[[#This Row],[SizeOption]])</f>
        <v>28, 30, 32, 34, 36, 38, 40, 42</v>
      </c>
      <c r="Y2802" t="str">
        <f>IF(Table2[[#This Row],[Column1]]&gt;50%,"HIGH DISCOUNT","LOW DISCOUNT")</f>
        <v>LOW DISCOUNT</v>
      </c>
    </row>
    <row r="2803" spans="1:25" x14ac:dyDescent="0.25">
      <c r="A2803" s="2" t="s">
        <v>5869</v>
      </c>
      <c r="B2803" s="2">
        <v>2463363</v>
      </c>
      <c r="C2803" s="2" t="s">
        <v>47</v>
      </c>
      <c r="D2803" s="2" t="s">
        <v>15</v>
      </c>
      <c r="E2803" s="2" t="s">
        <v>23</v>
      </c>
      <c r="F2803" s="2" t="s">
        <v>17</v>
      </c>
      <c r="G2803" s="2" t="s">
        <v>5870</v>
      </c>
      <c r="H2803">
        <v>599</v>
      </c>
      <c r="I2803" s="2">
        <v>1499</v>
      </c>
      <c r="J2803" s="2" t="s">
        <v>55</v>
      </c>
      <c r="K2803" s="2" t="s">
        <v>115</v>
      </c>
      <c r="L2803" s="2">
        <v>4</v>
      </c>
      <c r="M2803" s="2">
        <v>618</v>
      </c>
      <c r="P2803" t="str">
        <f t="shared" si="175"/>
        <v>60%</v>
      </c>
      <c r="Q2803" s="12">
        <f t="shared" si="172"/>
        <v>0.6</v>
      </c>
      <c r="R2803" s="9">
        <f t="shared" si="173"/>
        <v>599.6</v>
      </c>
      <c r="S2803" s="9">
        <f>IF(R2803="",AVERAGEIF(Table1[Category],Table1[[#This Row],[Category]],Table2[orignal data]),Table2[[#This Row],[orignal data]])</f>
        <v>599.6</v>
      </c>
      <c r="T2803" t="str">
        <f t="shared" si="174"/>
        <v>UNIQUE</v>
      </c>
      <c r="U2803" t="str">
        <f>IF(ISBLANK(Table1[[#This Row],[SizeOption]]),"NOT AVAILABLE",Table1[[#This Row],[SizeOption]])</f>
        <v>XS, S, M, L, XL, XXL</v>
      </c>
      <c r="Y2803" t="str">
        <f>IF(Table2[[#This Row],[Column1]]&gt;50%,"HIGH DISCOUNT","LOW DISCOUNT")</f>
        <v>HIGH DISCOUNT</v>
      </c>
    </row>
    <row r="2804" spans="1:25" x14ac:dyDescent="0.25">
      <c r="A2804" s="1" t="s">
        <v>5871</v>
      </c>
      <c r="B2804" s="1">
        <v>11363116</v>
      </c>
      <c r="C2804" s="1" t="s">
        <v>169</v>
      </c>
      <c r="D2804" s="1" t="s">
        <v>28</v>
      </c>
      <c r="E2804" s="1" t="s">
        <v>42</v>
      </c>
      <c r="F2804" s="1" t="s">
        <v>17</v>
      </c>
      <c r="G2804" s="1" t="s">
        <v>5872</v>
      </c>
      <c r="H2804">
        <v>659</v>
      </c>
      <c r="I2804" s="1">
        <v>1199</v>
      </c>
      <c r="J2804" s="1" t="s">
        <v>19</v>
      </c>
      <c r="K2804" s="1" t="s">
        <v>39</v>
      </c>
      <c r="L2804" s="1">
        <v>4</v>
      </c>
      <c r="M2804" s="1">
        <v>618</v>
      </c>
      <c r="P2804" t="str">
        <f t="shared" si="175"/>
        <v>45%</v>
      </c>
      <c r="Q2804" s="12">
        <f t="shared" si="172"/>
        <v>0.45</v>
      </c>
      <c r="R2804" s="9">
        <f t="shared" si="173"/>
        <v>659.44999999999993</v>
      </c>
      <c r="S2804" s="9">
        <f>IF(R2804="",AVERAGEIF(Table1[Category],Table1[[#This Row],[Category]],Table2[orignal data]),Table2[[#This Row],[orignal data]])</f>
        <v>659.44999999999993</v>
      </c>
      <c r="T2804" t="str">
        <f t="shared" si="174"/>
        <v>UNIQUE</v>
      </c>
      <c r="U2804" t="str">
        <f>IF(ISBLANK(Table1[[#This Row],[SizeOption]]),"NOT AVAILABLE",Table1[[#This Row],[SizeOption]])</f>
        <v>S, M, L, XL, XXL</v>
      </c>
      <c r="Y2804" t="str">
        <f>IF(Table2[[#This Row],[Column1]]&gt;50%,"HIGH DISCOUNT","LOW DISCOUNT")</f>
        <v>LOW DISCOUNT</v>
      </c>
    </row>
    <row r="2805" spans="1:25" x14ac:dyDescent="0.25">
      <c r="A2805" s="2" t="s">
        <v>5873</v>
      </c>
      <c r="B2805" s="2">
        <v>10944596</v>
      </c>
      <c r="C2805" s="2" t="s">
        <v>14</v>
      </c>
      <c r="D2805" s="2" t="s">
        <v>28</v>
      </c>
      <c r="E2805" s="2" t="s">
        <v>29</v>
      </c>
      <c r="F2805" s="2" t="s">
        <v>17</v>
      </c>
      <c r="G2805" s="2" t="s">
        <v>5874</v>
      </c>
      <c r="H2805">
        <v>674</v>
      </c>
      <c r="I2805" s="2">
        <v>1499</v>
      </c>
      <c r="J2805" s="2" t="s">
        <v>25</v>
      </c>
      <c r="K2805" s="2" t="s">
        <v>253</v>
      </c>
      <c r="L2805" s="2">
        <v>4.2</v>
      </c>
      <c r="M2805" s="2">
        <v>618</v>
      </c>
      <c r="P2805" t="str">
        <f t="shared" si="175"/>
        <v>55%</v>
      </c>
      <c r="Q2805" s="12">
        <f t="shared" si="172"/>
        <v>0.55000000000000004</v>
      </c>
      <c r="R2805" s="9">
        <f t="shared" si="173"/>
        <v>674.55</v>
      </c>
      <c r="S2805" s="9">
        <f>IF(R2805="",AVERAGEIF(Table1[Category],Table1[[#This Row],[Category]],Table2[orignal data]),Table2[[#This Row],[orignal data]])</f>
        <v>674.55</v>
      </c>
      <c r="T2805" t="str">
        <f t="shared" si="174"/>
        <v>UNIQUE</v>
      </c>
      <c r="U2805" t="str">
        <f>IF(ISBLANK(Table1[[#This Row],[SizeOption]]),"NOT AVAILABLE",Table1[[#This Row],[SizeOption]])</f>
        <v>38, 40, 42, 44</v>
      </c>
      <c r="Y2805" t="str">
        <f>IF(Table2[[#This Row],[Column1]]&gt;50%,"HIGH DISCOUNT","LOW DISCOUNT")</f>
        <v>HIGH DISCOUNT</v>
      </c>
    </row>
    <row r="2806" spans="1:25" x14ac:dyDescent="0.25">
      <c r="A2806" s="1" t="s">
        <v>5875</v>
      </c>
      <c r="B2806" s="1">
        <v>2199702</v>
      </c>
      <c r="C2806" s="1" t="s">
        <v>346</v>
      </c>
      <c r="D2806" s="1" t="s">
        <v>28</v>
      </c>
      <c r="E2806" s="1" t="s">
        <v>42</v>
      </c>
      <c r="F2806" s="1" t="s">
        <v>17</v>
      </c>
      <c r="G2806" s="1" t="s">
        <v>5876</v>
      </c>
      <c r="H2806">
        <v>314</v>
      </c>
      <c r="I2806" s="1">
        <v>699</v>
      </c>
      <c r="J2806" s="1" t="s">
        <v>25</v>
      </c>
      <c r="K2806" s="1" t="s">
        <v>39</v>
      </c>
      <c r="L2806" s="1">
        <v>4.2</v>
      </c>
      <c r="M2806" s="1">
        <v>618</v>
      </c>
      <c r="P2806" t="str">
        <f t="shared" si="175"/>
        <v>55%</v>
      </c>
      <c r="Q2806" s="12">
        <f t="shared" si="172"/>
        <v>0.55000000000000004</v>
      </c>
      <c r="R2806" s="9">
        <f t="shared" si="173"/>
        <v>314.54999999999995</v>
      </c>
      <c r="S2806" s="9">
        <f>IF(R2806="",AVERAGEIF(Table1[Category],Table1[[#This Row],[Category]],Table2[orignal data]),Table2[[#This Row],[orignal data]])</f>
        <v>314.54999999999995</v>
      </c>
      <c r="T2806" t="str">
        <f t="shared" si="174"/>
        <v>UNIQUE</v>
      </c>
      <c r="U2806" t="str">
        <f>IF(ISBLANK(Table1[[#This Row],[SizeOption]]),"NOT AVAILABLE",Table1[[#This Row],[SizeOption]])</f>
        <v>S, M, L, XL, XXL</v>
      </c>
      <c r="Y2806" t="str">
        <f>IF(Table2[[#This Row],[Column1]]&gt;50%,"HIGH DISCOUNT","LOW DISCOUNT")</f>
        <v>HIGH DISCOUNT</v>
      </c>
    </row>
    <row r="2807" spans="1:25" x14ac:dyDescent="0.25">
      <c r="A2807" s="2" t="s">
        <v>5877</v>
      </c>
      <c r="B2807" s="2">
        <v>1272495</v>
      </c>
      <c r="C2807" s="2" t="s">
        <v>52</v>
      </c>
      <c r="D2807" s="2" t="s">
        <v>28</v>
      </c>
      <c r="E2807" s="2" t="s">
        <v>29</v>
      </c>
      <c r="F2807" s="2" t="s">
        <v>17</v>
      </c>
      <c r="G2807" s="2" t="s">
        <v>5878</v>
      </c>
      <c r="H2807">
        <v>599</v>
      </c>
      <c r="I2807" s="2">
        <v>999</v>
      </c>
      <c r="J2807" s="2" t="s">
        <v>50</v>
      </c>
      <c r="K2807" s="2" t="s">
        <v>1674</v>
      </c>
      <c r="L2807" s="2">
        <v>4</v>
      </c>
      <c r="M2807" s="2">
        <v>618</v>
      </c>
      <c r="P2807" t="str">
        <f t="shared" si="175"/>
        <v>40%</v>
      </c>
      <c r="Q2807" s="12">
        <f t="shared" si="172"/>
        <v>0.4</v>
      </c>
      <c r="R2807" s="9">
        <f t="shared" si="173"/>
        <v>599.4</v>
      </c>
      <c r="S2807" s="9">
        <f>IF(R2807="",AVERAGEIF(Table1[Category],Table1[[#This Row],[Category]],Table2[orignal data]),Table2[[#This Row],[orignal data]])</f>
        <v>599.4</v>
      </c>
      <c r="T2807" t="str">
        <f t="shared" si="174"/>
        <v>UNIQUE</v>
      </c>
      <c r="U2807" t="str">
        <f>IF(ISBLANK(Table1[[#This Row],[SizeOption]]),"NOT AVAILABLE",Table1[[#This Row],[SizeOption]])</f>
        <v>38, 39, 40, 42, 44</v>
      </c>
      <c r="Y2807" t="str">
        <f>IF(Table2[[#This Row],[Column1]]&gt;50%,"HIGH DISCOUNT","LOW DISCOUNT")</f>
        <v>LOW DISCOUNT</v>
      </c>
    </row>
    <row r="2808" spans="1:25" x14ac:dyDescent="0.25">
      <c r="A2808" s="1" t="s">
        <v>5879</v>
      </c>
      <c r="B2808" s="1">
        <v>11113616</v>
      </c>
      <c r="C2808" s="1" t="s">
        <v>2641</v>
      </c>
      <c r="D2808" s="1" t="s">
        <v>76</v>
      </c>
      <c r="E2808" s="1" t="s">
        <v>77</v>
      </c>
      <c r="F2808" s="1" t="s">
        <v>36</v>
      </c>
      <c r="G2808" s="1" t="s">
        <v>5880</v>
      </c>
      <c r="H2808">
        <v>809</v>
      </c>
      <c r="I2808" s="1">
        <v>2699</v>
      </c>
      <c r="J2808" s="1" t="s">
        <v>79</v>
      </c>
      <c r="K2808" s="1" t="s">
        <v>39</v>
      </c>
      <c r="L2808" s="1">
        <v>3.9</v>
      </c>
      <c r="M2808" s="1">
        <v>618</v>
      </c>
      <c r="P2808" t="str">
        <f t="shared" si="175"/>
        <v>70%</v>
      </c>
      <c r="Q2808" s="12">
        <f t="shared" si="172"/>
        <v>0.7</v>
      </c>
      <c r="R2808" s="9">
        <f t="shared" si="173"/>
        <v>809.7</v>
      </c>
      <c r="S2808" s="9">
        <f>IF(R2808="",AVERAGEIF(Table1[Category],Table1[[#This Row],[Category]],Table2[orignal data]),Table2[[#This Row],[orignal data]])</f>
        <v>809.7</v>
      </c>
      <c r="T2808" t="str">
        <f t="shared" si="174"/>
        <v>UNIQUE</v>
      </c>
      <c r="U2808" t="str">
        <f>IF(ISBLANK(Table1[[#This Row],[SizeOption]]),"NOT AVAILABLE",Table1[[#This Row],[SizeOption]])</f>
        <v>S, M, L, XL, XXL</v>
      </c>
      <c r="Y2808" t="str">
        <f>IF(Table2[[#This Row],[Column1]]&gt;50%,"HIGH DISCOUNT","LOW DISCOUNT")</f>
        <v>HIGH DISCOUNT</v>
      </c>
    </row>
    <row r="2809" spans="1:25" x14ac:dyDescent="0.25">
      <c r="A2809" s="2" t="s">
        <v>5881</v>
      </c>
      <c r="B2809" s="2">
        <v>14172582</v>
      </c>
      <c r="C2809" s="2" t="s">
        <v>64</v>
      </c>
      <c r="D2809" s="2" t="s">
        <v>76</v>
      </c>
      <c r="E2809" s="2" t="s">
        <v>93</v>
      </c>
      <c r="F2809" s="2" t="s">
        <v>36</v>
      </c>
      <c r="G2809" s="2" t="s">
        <v>5882</v>
      </c>
      <c r="H2809">
        <v>539</v>
      </c>
      <c r="I2809" s="2">
        <v>899</v>
      </c>
      <c r="J2809" s="2" t="s">
        <v>50</v>
      </c>
      <c r="K2809" s="2" t="s">
        <v>100</v>
      </c>
      <c r="L2809" s="2">
        <v>4.0999999999999996</v>
      </c>
      <c r="M2809" s="2">
        <v>618</v>
      </c>
      <c r="P2809" t="str">
        <f t="shared" si="175"/>
        <v>40%</v>
      </c>
      <c r="Q2809" s="12">
        <f t="shared" si="172"/>
        <v>0.4</v>
      </c>
      <c r="R2809" s="9">
        <f t="shared" si="173"/>
        <v>539.4</v>
      </c>
      <c r="S2809" s="9">
        <f>IF(R2809="",AVERAGEIF(Table1[Category],Table1[[#This Row],[Category]],Table2[orignal data]),Table2[[#This Row],[orignal data]])</f>
        <v>539.4</v>
      </c>
      <c r="T2809" t="str">
        <f t="shared" si="174"/>
        <v>UNIQUE</v>
      </c>
      <c r="U2809" t="str">
        <f>IF(ISBLANK(Table1[[#This Row],[SizeOption]]),"NOT AVAILABLE",Table1[[#This Row],[SizeOption]])</f>
        <v>XS, S, M, L, XL, XXL, 3XL</v>
      </c>
      <c r="Y2809" t="str">
        <f>IF(Table2[[#This Row],[Column1]]&gt;50%,"HIGH DISCOUNT","LOW DISCOUNT")</f>
        <v>LOW DISCOUNT</v>
      </c>
    </row>
    <row r="2810" spans="1:25" x14ac:dyDescent="0.25">
      <c r="A2810" s="1" t="s">
        <v>5883</v>
      </c>
      <c r="B2810" s="1">
        <v>2496748</v>
      </c>
      <c r="C2810" s="1" t="s">
        <v>4422</v>
      </c>
      <c r="D2810" s="1" t="s">
        <v>34</v>
      </c>
      <c r="E2810" s="1" t="s">
        <v>296</v>
      </c>
      <c r="F2810" s="1" t="s">
        <v>36</v>
      </c>
      <c r="G2810" s="1" t="s">
        <v>5884</v>
      </c>
      <c r="H2810">
        <v>398</v>
      </c>
      <c r="I2810" s="1">
        <v>699</v>
      </c>
      <c r="J2810" s="1" t="s">
        <v>4424</v>
      </c>
      <c r="K2810" s="1" t="s">
        <v>881</v>
      </c>
      <c r="L2810" s="1">
        <v>4</v>
      </c>
      <c r="M2810" s="1">
        <v>618</v>
      </c>
      <c r="P2810" t="str">
        <f t="shared" si="175"/>
        <v>43 %</v>
      </c>
      <c r="Q2810" s="12">
        <f t="shared" si="172"/>
        <v>0.43</v>
      </c>
      <c r="R2810" s="9">
        <f t="shared" si="173"/>
        <v>398.43</v>
      </c>
      <c r="S2810" s="9">
        <f>IF(R2810="",AVERAGEIF(Table1[Category],Table1[[#This Row],[Category]],Table2[orignal data]),Table2[[#This Row],[orignal data]])</f>
        <v>398.43</v>
      </c>
      <c r="T2810" t="str">
        <f t="shared" si="174"/>
        <v>UNIQUE</v>
      </c>
      <c r="U2810" t="str">
        <f>IF(ISBLANK(Table1[[#This Row],[SizeOption]]),"NOT AVAILABLE",Table1[[#This Row],[SizeOption]])</f>
        <v>M, L, XL, XXL</v>
      </c>
      <c r="Y2810" t="str">
        <f>IF(Table2[[#This Row],[Column1]]&gt;50%,"HIGH DISCOUNT","LOW DISCOUNT")</f>
        <v>LOW DISCOUNT</v>
      </c>
    </row>
    <row r="2811" spans="1:25" x14ac:dyDescent="0.25">
      <c r="A2811" s="2" t="s">
        <v>5885</v>
      </c>
      <c r="B2811" s="2">
        <v>4317331</v>
      </c>
      <c r="C2811" s="2" t="s">
        <v>14</v>
      </c>
      <c r="D2811" s="2" t="s">
        <v>41</v>
      </c>
      <c r="E2811" s="2" t="s">
        <v>48</v>
      </c>
      <c r="F2811" s="2" t="s">
        <v>36</v>
      </c>
      <c r="G2811" s="2" t="s">
        <v>5886</v>
      </c>
      <c r="I2811" s="2">
        <v>1099</v>
      </c>
      <c r="J2811" s="2" t="s">
        <v>4409</v>
      </c>
      <c r="K2811" s="2" t="s">
        <v>45</v>
      </c>
      <c r="L2811" s="2">
        <v>4.4000000000000004</v>
      </c>
      <c r="M2811" s="2">
        <v>618</v>
      </c>
      <c r="P2811" t="str">
        <f t="shared" si="175"/>
        <v>600</v>
      </c>
      <c r="Q2811" s="12">
        <f t="shared" si="172"/>
        <v>0.54595086442220198</v>
      </c>
      <c r="R2811" s="9">
        <f t="shared" si="173"/>
        <v>499</v>
      </c>
      <c r="S2811" s="9">
        <f>IF(R2811="",AVERAGEIF(Table1[Category],Table1[[#This Row],[Category]],Table2[orignal data]),Table2[[#This Row],[orignal data]])</f>
        <v>499</v>
      </c>
      <c r="T2811" t="str">
        <f t="shared" si="174"/>
        <v>UNIQUE</v>
      </c>
      <c r="U2811" t="str">
        <f>IF(ISBLANK(Table1[[#This Row],[SizeOption]]),"NOT AVAILABLE",Table1[[#This Row],[SizeOption]])</f>
        <v>XS, S, M, L, XL</v>
      </c>
      <c r="Y2811" t="str">
        <f>IF(Table2[[#This Row],[Column1]]&gt;50%,"HIGH DISCOUNT","LOW DISCOUNT")</f>
        <v>HIGH DISCOUNT</v>
      </c>
    </row>
    <row r="2812" spans="1:25" x14ac:dyDescent="0.25">
      <c r="A2812" s="1" t="s">
        <v>5887</v>
      </c>
      <c r="B2812" s="1">
        <v>17524618</v>
      </c>
      <c r="C2812" s="1" t="s">
        <v>47</v>
      </c>
      <c r="D2812" s="1" t="s">
        <v>41</v>
      </c>
      <c r="E2812" s="1" t="s">
        <v>42</v>
      </c>
      <c r="F2812" s="1" t="s">
        <v>36</v>
      </c>
      <c r="G2812" s="1" t="s">
        <v>1316</v>
      </c>
      <c r="I2812" s="1">
        <v>1598</v>
      </c>
      <c r="J2812" s="1" t="s">
        <v>84</v>
      </c>
      <c r="K2812" s="1" t="s">
        <v>45</v>
      </c>
      <c r="L2812" s="1">
        <v>4.0999999999999996</v>
      </c>
      <c r="M2812" s="1">
        <v>618</v>
      </c>
      <c r="P2812" t="str">
        <f t="shared" si="175"/>
        <v>50%</v>
      </c>
      <c r="Q2812" s="12">
        <f t="shared" si="172"/>
        <v>0.5</v>
      </c>
      <c r="R2812" s="9">
        <f t="shared" si="173"/>
        <v>799</v>
      </c>
      <c r="S2812" s="9">
        <f>IF(R2812="",AVERAGEIF(Table1[Category],Table1[[#This Row],[Category]],Table2[orignal data]),Table2[[#This Row],[orignal data]])</f>
        <v>799</v>
      </c>
      <c r="T2812" t="str">
        <f t="shared" si="174"/>
        <v>UNIQUE</v>
      </c>
      <c r="U2812" t="str">
        <f>IF(ISBLANK(Table1[[#This Row],[SizeOption]]),"NOT AVAILABLE",Table1[[#This Row],[SizeOption]])</f>
        <v>XS, S, M, L, XL</v>
      </c>
      <c r="Y2812" t="str">
        <f>IF(Table2[[#This Row],[Column1]]&gt;50%,"HIGH DISCOUNT","LOW DISCOUNT")</f>
        <v>LOW DISCOUNT</v>
      </c>
    </row>
    <row r="2813" spans="1:25" x14ac:dyDescent="0.25">
      <c r="A2813" s="2" t="s">
        <v>5888</v>
      </c>
      <c r="B2813" s="2">
        <v>13633418</v>
      </c>
      <c r="C2813" s="2" t="s">
        <v>181</v>
      </c>
      <c r="D2813" s="2" t="s">
        <v>41</v>
      </c>
      <c r="E2813" s="2" t="s">
        <v>16</v>
      </c>
      <c r="F2813" s="2" t="s">
        <v>36</v>
      </c>
      <c r="G2813" s="2" t="s">
        <v>5889</v>
      </c>
      <c r="I2813" s="2">
        <v>1999</v>
      </c>
      <c r="J2813" s="2" t="s">
        <v>130</v>
      </c>
      <c r="K2813" s="2" t="s">
        <v>134</v>
      </c>
      <c r="L2813" s="2">
        <v>4.0999999999999996</v>
      </c>
      <c r="M2813" s="2">
        <v>618</v>
      </c>
      <c r="P2813" t="str">
        <f t="shared" si="175"/>
        <v>57%</v>
      </c>
      <c r="Q2813" s="12">
        <f t="shared" si="172"/>
        <v>0.56999999999999995</v>
      </c>
      <c r="R2813" s="9">
        <f t="shared" si="173"/>
        <v>859.57000000000016</v>
      </c>
      <c r="S2813" s="9">
        <f>IF(R2813="",AVERAGEIF(Table1[Category],Table1[[#This Row],[Category]],Table2[orignal data]),Table2[[#This Row],[orignal data]])</f>
        <v>859.57000000000016</v>
      </c>
      <c r="T2813" t="str">
        <f t="shared" si="174"/>
        <v>UNIQUE</v>
      </c>
      <c r="U2813" t="str">
        <f>IF(ISBLANK(Table1[[#This Row],[SizeOption]]),"NOT AVAILABLE",Table1[[#This Row],[SizeOption]])</f>
        <v>26, 28, 30, 32, 34, 36</v>
      </c>
      <c r="Y2813" t="str">
        <f>IF(Table2[[#This Row],[Column1]]&gt;50%,"HIGH DISCOUNT","LOW DISCOUNT")</f>
        <v>HIGH DISCOUNT</v>
      </c>
    </row>
    <row r="2814" spans="1:25" x14ac:dyDescent="0.25">
      <c r="A2814" s="1" t="s">
        <v>5890</v>
      </c>
      <c r="B2814" s="1">
        <v>13093896</v>
      </c>
      <c r="C2814" s="1" t="s">
        <v>1952</v>
      </c>
      <c r="D2814" s="1" t="s">
        <v>15</v>
      </c>
      <c r="E2814" s="1" t="s">
        <v>53</v>
      </c>
      <c r="F2814" s="1" t="s">
        <v>17</v>
      </c>
      <c r="G2814" s="1" t="s">
        <v>5891</v>
      </c>
      <c r="H2814">
        <v>899</v>
      </c>
      <c r="I2814" s="1">
        <v>2499</v>
      </c>
      <c r="J2814" s="1" t="s">
        <v>416</v>
      </c>
      <c r="K2814" s="1" t="s">
        <v>56</v>
      </c>
      <c r="L2814" s="1">
        <v>3.9</v>
      </c>
      <c r="M2814" s="1">
        <v>617</v>
      </c>
      <c r="P2814" t="str">
        <f t="shared" si="175"/>
        <v>64%</v>
      </c>
      <c r="Q2814" s="12">
        <f t="shared" si="172"/>
        <v>0.64</v>
      </c>
      <c r="R2814" s="9">
        <f t="shared" si="173"/>
        <v>899.63999999999987</v>
      </c>
      <c r="S2814" s="9">
        <f>IF(R2814="",AVERAGEIF(Table1[Category],Table1[[#This Row],[Category]],Table2[orignal data]),Table2[[#This Row],[orignal data]])</f>
        <v>899.63999999999987</v>
      </c>
      <c r="T2814" t="str">
        <f t="shared" si="174"/>
        <v>UNIQUE</v>
      </c>
      <c r="U2814" t="str">
        <f>IF(ISBLANK(Table1[[#This Row],[SizeOption]]),"NOT AVAILABLE",Table1[[#This Row],[SizeOption]])</f>
        <v>30, 32, 34, 36</v>
      </c>
      <c r="Y2814" t="str">
        <f>IF(Table2[[#This Row],[Column1]]&gt;50%,"HIGH DISCOUNT","LOW DISCOUNT")</f>
        <v>HIGH DISCOUNT</v>
      </c>
    </row>
    <row r="2815" spans="1:25" x14ac:dyDescent="0.25">
      <c r="A2815" s="2" t="s">
        <v>5892</v>
      </c>
      <c r="B2815" s="2">
        <v>16578310</v>
      </c>
      <c r="C2815" s="2" t="s">
        <v>349</v>
      </c>
      <c r="D2815" s="2" t="s">
        <v>197</v>
      </c>
      <c r="E2815" s="2" t="s">
        <v>296</v>
      </c>
      <c r="F2815" s="2" t="s">
        <v>17</v>
      </c>
      <c r="G2815" s="2" t="s">
        <v>5893</v>
      </c>
      <c r="I2815" s="2">
        <v>478</v>
      </c>
      <c r="J2815" s="2"/>
      <c r="K2815" s="2" t="s">
        <v>5894</v>
      </c>
      <c r="L2815" s="2">
        <v>4.3</v>
      </c>
      <c r="M2815" s="2">
        <v>617</v>
      </c>
      <c r="P2815" t="str">
        <f t="shared" si="175"/>
        <v/>
      </c>
      <c r="Q2815" s="12" t="str">
        <f t="shared" si="172"/>
        <v/>
      </c>
      <c r="R2815" s="9" t="str">
        <f t="shared" si="173"/>
        <v/>
      </c>
      <c r="S2815" s="9">
        <f>IF(R2815="",AVERAGEIF(Table1[Category],Table1[[#This Row],[Category]],Table2[orignal data]),Table2[[#This Row],[orignal data]])</f>
        <v>552.70900000000006</v>
      </c>
      <c r="T2815" t="str">
        <f t="shared" si="174"/>
        <v>UNIQUE</v>
      </c>
      <c r="U2815" t="str">
        <f>IF(ISBLANK(Table1[[#This Row],[SizeOption]]),"NOT AVAILABLE",Table1[[#This Row],[SizeOption]])</f>
        <v>M, S, L</v>
      </c>
      <c r="Y2815" t="str">
        <f>IF(Table2[[#This Row],[Column1]]&gt;50%,"HIGH DISCOUNT","LOW DISCOUNT")</f>
        <v>HIGH DISCOUNT</v>
      </c>
    </row>
    <row r="2816" spans="1:25" x14ac:dyDescent="0.25">
      <c r="A2816" s="1" t="s">
        <v>5895</v>
      </c>
      <c r="B2816" s="1">
        <v>9299023</v>
      </c>
      <c r="C2816" s="1" t="s">
        <v>67</v>
      </c>
      <c r="D2816" s="1" t="s">
        <v>68</v>
      </c>
      <c r="E2816" s="1" t="s">
        <v>306</v>
      </c>
      <c r="F2816" s="1" t="s">
        <v>17</v>
      </c>
      <c r="G2816" s="1" t="s">
        <v>5896</v>
      </c>
      <c r="H2816">
        <v>1249</v>
      </c>
      <c r="I2816" s="1">
        <v>2499</v>
      </c>
      <c r="J2816" s="1" t="s">
        <v>84</v>
      </c>
      <c r="K2816" s="1" t="s">
        <v>39</v>
      </c>
      <c r="L2816" s="1">
        <v>4.0999999999999996</v>
      </c>
      <c r="M2816" s="1">
        <v>617</v>
      </c>
      <c r="P2816" t="str">
        <f t="shared" si="175"/>
        <v>50%</v>
      </c>
      <c r="Q2816" s="12">
        <f t="shared" si="172"/>
        <v>0.5</v>
      </c>
      <c r="R2816" s="9">
        <f t="shared" si="173"/>
        <v>1249.5</v>
      </c>
      <c r="S2816" s="9">
        <f>IF(R2816="",AVERAGEIF(Table1[Category],Table1[[#This Row],[Category]],Table2[orignal data]),Table2[[#This Row],[orignal data]])</f>
        <v>1249.5</v>
      </c>
      <c r="T2816" t="str">
        <f t="shared" si="174"/>
        <v>UNIQUE</v>
      </c>
      <c r="U2816" t="str">
        <f>IF(ISBLANK(Table1[[#This Row],[SizeOption]]),"NOT AVAILABLE",Table1[[#This Row],[SizeOption]])</f>
        <v>S, M, L, XL, XXL</v>
      </c>
      <c r="Y2816" t="str">
        <f>IF(Table2[[#This Row],[Column1]]&gt;50%,"HIGH DISCOUNT","LOW DISCOUNT")</f>
        <v>LOW DISCOUNT</v>
      </c>
    </row>
    <row r="2817" spans="1:25" x14ac:dyDescent="0.25">
      <c r="A2817" s="2" t="s">
        <v>5897</v>
      </c>
      <c r="B2817" s="2">
        <v>14121984</v>
      </c>
      <c r="C2817" s="2" t="s">
        <v>113</v>
      </c>
      <c r="D2817" s="2" t="s">
        <v>76</v>
      </c>
      <c r="E2817" s="2" t="s">
        <v>77</v>
      </c>
      <c r="F2817" s="2" t="s">
        <v>36</v>
      </c>
      <c r="G2817" s="2" t="s">
        <v>5898</v>
      </c>
      <c r="H2817">
        <v>909</v>
      </c>
      <c r="I2817" s="2">
        <v>2599</v>
      </c>
      <c r="J2817" s="2" t="s">
        <v>150</v>
      </c>
      <c r="K2817" s="2" t="s">
        <v>115</v>
      </c>
      <c r="L2817" s="2">
        <v>4.3</v>
      </c>
      <c r="M2817" s="2">
        <v>617</v>
      </c>
      <c r="P2817" t="str">
        <f t="shared" si="175"/>
        <v>65%</v>
      </c>
      <c r="Q2817" s="12">
        <f t="shared" si="172"/>
        <v>0.65</v>
      </c>
      <c r="R2817" s="9">
        <f t="shared" si="173"/>
        <v>909.64999999999986</v>
      </c>
      <c r="S2817" s="9">
        <f>IF(R2817="",AVERAGEIF(Table1[Category],Table1[[#This Row],[Category]],Table2[orignal data]),Table2[[#This Row],[orignal data]])</f>
        <v>909.64999999999986</v>
      </c>
      <c r="T2817" t="str">
        <f t="shared" si="174"/>
        <v>UNIQUE</v>
      </c>
      <c r="U2817" t="str">
        <f>IF(ISBLANK(Table1[[#This Row],[SizeOption]]),"NOT AVAILABLE",Table1[[#This Row],[SizeOption]])</f>
        <v>XS, S, M, L, XL, XXL</v>
      </c>
      <c r="Y2817" t="str">
        <f>IF(Table2[[#This Row],[Column1]]&gt;50%,"HIGH DISCOUNT","LOW DISCOUNT")</f>
        <v>HIGH DISCOUNT</v>
      </c>
    </row>
    <row r="2818" spans="1:25" x14ac:dyDescent="0.25">
      <c r="A2818" s="1" t="s">
        <v>5899</v>
      </c>
      <c r="B2818" s="1">
        <v>2039878</v>
      </c>
      <c r="C2818" s="1" t="s">
        <v>377</v>
      </c>
      <c r="D2818" s="1" t="s">
        <v>98</v>
      </c>
      <c r="E2818" s="1" t="s">
        <v>53</v>
      </c>
      <c r="F2818" s="1" t="s">
        <v>36</v>
      </c>
      <c r="G2818" s="1" t="s">
        <v>5900</v>
      </c>
      <c r="H2818">
        <v>623</v>
      </c>
      <c r="I2818" s="1">
        <v>1299</v>
      </c>
      <c r="J2818" s="1" t="s">
        <v>208</v>
      </c>
      <c r="K2818" s="1" t="s">
        <v>20</v>
      </c>
      <c r="L2818" s="1">
        <v>4.0999999999999996</v>
      </c>
      <c r="M2818" s="1">
        <v>617</v>
      </c>
      <c r="P2818" t="str">
        <f t="shared" si="175"/>
        <v>52%</v>
      </c>
      <c r="Q2818" s="12">
        <f t="shared" ref="Q2818:Q2881" si="176">IF(P2818="","",IF(ISNUMBER(SEARCH("%",P2818)),P2818,P2818/I2818)*100%)</f>
        <v>0.52</v>
      </c>
      <c r="R2818" s="9">
        <f t="shared" ref="R2818:R2881" si="177">IF(P2818="","",I2818-(I2818*Q2818))</f>
        <v>623.52</v>
      </c>
      <c r="S2818" s="9">
        <f>IF(R2818="",AVERAGEIF(Table1[Category],Table1[[#This Row],[Category]],Table2[orignal data]),Table2[[#This Row],[orignal data]])</f>
        <v>623.52</v>
      </c>
      <c r="T2818" t="str">
        <f t="shared" ref="T2818:T2881" si="178">IF(COUNTIF($B$2:$B$5000,B2818)&gt;1,"DUPLICATE","UNIQUE")</f>
        <v>UNIQUE</v>
      </c>
      <c r="U2818" t="str">
        <f>IF(ISBLANK(Table1[[#This Row],[SizeOption]]),"NOT AVAILABLE",Table1[[#This Row],[SizeOption]])</f>
        <v>28, 30, 32, 34, 36</v>
      </c>
      <c r="Y2818" t="str">
        <f>IF(Table2[[#This Row],[Column1]]&gt;50%,"HIGH DISCOUNT","LOW DISCOUNT")</f>
        <v>HIGH DISCOUNT</v>
      </c>
    </row>
    <row r="2819" spans="1:25" x14ac:dyDescent="0.25">
      <c r="A2819" s="2" t="s">
        <v>5901</v>
      </c>
      <c r="B2819" s="2">
        <v>13382018</v>
      </c>
      <c r="C2819" s="2" t="s">
        <v>221</v>
      </c>
      <c r="D2819" s="2" t="s">
        <v>98</v>
      </c>
      <c r="E2819" s="2" t="s">
        <v>48</v>
      </c>
      <c r="F2819" s="2" t="s">
        <v>36</v>
      </c>
      <c r="G2819" s="2" t="s">
        <v>5902</v>
      </c>
      <c r="H2819">
        <v>577</v>
      </c>
      <c r="I2819" s="2">
        <v>1649</v>
      </c>
      <c r="J2819" s="2" t="s">
        <v>150</v>
      </c>
      <c r="K2819" s="2" t="s">
        <v>223</v>
      </c>
      <c r="L2819" s="2">
        <v>4.3</v>
      </c>
      <c r="M2819" s="2">
        <v>617</v>
      </c>
      <c r="P2819" t="str">
        <f t="shared" ref="P2819:P2882" si="179">TRIM(SUBSTITUTE(SUBSTITUTE(SUBSTITUTE(SUBSTITUTE(J2819,"OFF",""),"Rs.",""),"Hurry*",""),",",""))</f>
        <v>65%</v>
      </c>
      <c r="Q2819" s="12">
        <f t="shared" si="176"/>
        <v>0.65</v>
      </c>
      <c r="R2819" s="9">
        <f t="shared" si="177"/>
        <v>577.14999999999986</v>
      </c>
      <c r="S2819" s="9">
        <f>IF(R2819="",AVERAGEIF(Table1[Category],Table1[[#This Row],[Category]],Table2[orignal data]),Table2[[#This Row],[orignal data]])</f>
        <v>577.14999999999986</v>
      </c>
      <c r="T2819" t="str">
        <f t="shared" si="178"/>
        <v>UNIQUE</v>
      </c>
      <c r="U2819" t="str">
        <f>IF(ISBLANK(Table1[[#This Row],[SizeOption]]),"NOT AVAILABLE",Table1[[#This Row],[SizeOption]])</f>
        <v>S, M, L, XL, XXL, 3XL, 4XL</v>
      </c>
      <c r="Y2819" t="str">
        <f>IF(Table2[[#This Row],[Column1]]&gt;50%,"HIGH DISCOUNT","LOW DISCOUNT")</f>
        <v>HIGH DISCOUNT</v>
      </c>
    </row>
    <row r="2820" spans="1:25" x14ac:dyDescent="0.25">
      <c r="A2820" s="1" t="s">
        <v>5903</v>
      </c>
      <c r="B2820" s="1">
        <v>12104912</v>
      </c>
      <c r="C2820" s="1" t="s">
        <v>97</v>
      </c>
      <c r="D2820" s="1" t="s">
        <v>98</v>
      </c>
      <c r="E2820" s="1" t="s">
        <v>77</v>
      </c>
      <c r="F2820" s="1" t="s">
        <v>36</v>
      </c>
      <c r="G2820" s="1" t="s">
        <v>5904</v>
      </c>
      <c r="H2820">
        <v>899</v>
      </c>
      <c r="I2820" s="1">
        <v>2999</v>
      </c>
      <c r="J2820" s="1" t="s">
        <v>79</v>
      </c>
      <c r="K2820" s="1" t="s">
        <v>100</v>
      </c>
      <c r="L2820" s="1">
        <v>4.2</v>
      </c>
      <c r="M2820" s="1">
        <v>617</v>
      </c>
      <c r="P2820" t="str">
        <f t="shared" si="179"/>
        <v>70%</v>
      </c>
      <c r="Q2820" s="12">
        <f t="shared" si="176"/>
        <v>0.7</v>
      </c>
      <c r="R2820" s="9">
        <f t="shared" si="177"/>
        <v>899.70000000000027</v>
      </c>
      <c r="S2820" s="9">
        <f>IF(R2820="",AVERAGEIF(Table1[Category],Table1[[#This Row],[Category]],Table2[orignal data]),Table2[[#This Row],[orignal data]])</f>
        <v>899.70000000000027</v>
      </c>
      <c r="T2820" t="str">
        <f t="shared" si="178"/>
        <v>UNIQUE</v>
      </c>
      <c r="U2820" t="str">
        <f>IF(ISBLANK(Table1[[#This Row],[SizeOption]]),"NOT AVAILABLE",Table1[[#This Row],[SizeOption]])</f>
        <v>XS, S, M, L, XL, XXL, 3XL</v>
      </c>
      <c r="Y2820" t="str">
        <f>IF(Table2[[#This Row],[Column1]]&gt;50%,"HIGH DISCOUNT","LOW DISCOUNT")</f>
        <v>HIGH DISCOUNT</v>
      </c>
    </row>
    <row r="2821" spans="1:25" x14ac:dyDescent="0.25">
      <c r="A2821" s="2" t="s">
        <v>5905</v>
      </c>
      <c r="B2821" s="2">
        <v>6011988</v>
      </c>
      <c r="C2821" s="2" t="s">
        <v>14</v>
      </c>
      <c r="D2821" s="2" t="s">
        <v>41</v>
      </c>
      <c r="E2821" s="2" t="s">
        <v>306</v>
      </c>
      <c r="F2821" s="2" t="s">
        <v>36</v>
      </c>
      <c r="G2821" s="2" t="s">
        <v>5906</v>
      </c>
      <c r="I2821" s="2">
        <v>1299</v>
      </c>
      <c r="J2821" s="2" t="s">
        <v>55</v>
      </c>
      <c r="K2821" s="2" t="s">
        <v>115</v>
      </c>
      <c r="L2821" s="2">
        <v>3.9</v>
      </c>
      <c r="M2821" s="2">
        <v>617</v>
      </c>
      <c r="P2821" t="str">
        <f t="shared" si="179"/>
        <v>60%</v>
      </c>
      <c r="Q2821" s="12">
        <f t="shared" si="176"/>
        <v>0.6</v>
      </c>
      <c r="R2821" s="9">
        <f t="shared" si="177"/>
        <v>519.6</v>
      </c>
      <c r="S2821" s="9">
        <f>IF(R2821="",AVERAGEIF(Table1[Category],Table1[[#This Row],[Category]],Table2[orignal data]),Table2[[#This Row],[orignal data]])</f>
        <v>519.6</v>
      </c>
      <c r="T2821" t="str">
        <f t="shared" si="178"/>
        <v>UNIQUE</v>
      </c>
      <c r="U2821" t="str">
        <f>IF(ISBLANK(Table1[[#This Row],[SizeOption]]),"NOT AVAILABLE",Table1[[#This Row],[SizeOption]])</f>
        <v>XS, S, M, L, XL, XXL</v>
      </c>
      <c r="Y2821" t="str">
        <f>IF(Table2[[#This Row],[Column1]]&gt;50%,"HIGH DISCOUNT","LOW DISCOUNT")</f>
        <v>HIGH DISCOUNT</v>
      </c>
    </row>
    <row r="2822" spans="1:25" x14ac:dyDescent="0.25">
      <c r="A2822" s="1" t="s">
        <v>5907</v>
      </c>
      <c r="B2822" s="1">
        <v>10778622</v>
      </c>
      <c r="C2822" s="1" t="s">
        <v>14</v>
      </c>
      <c r="D2822" s="1" t="s">
        <v>41</v>
      </c>
      <c r="E2822" s="1" t="s">
        <v>42</v>
      </c>
      <c r="F2822" s="1" t="s">
        <v>36</v>
      </c>
      <c r="G2822" s="1" t="s">
        <v>4028</v>
      </c>
      <c r="I2822" s="1">
        <v>599</v>
      </c>
      <c r="J2822" s="1"/>
      <c r="K2822" s="1" t="s">
        <v>45</v>
      </c>
      <c r="L2822" s="1">
        <v>4.0999999999999996</v>
      </c>
      <c r="M2822" s="1">
        <v>617</v>
      </c>
      <c r="P2822" t="str">
        <f t="shared" si="179"/>
        <v/>
      </c>
      <c r="Q2822" s="12" t="str">
        <f t="shared" si="176"/>
        <v/>
      </c>
      <c r="R2822" s="9" t="str">
        <f t="shared" si="177"/>
        <v/>
      </c>
      <c r="S2822" s="9">
        <f>IF(R2822="",AVERAGEIF(Table1[Category],Table1[[#This Row],[Category]],Table2[orignal data]),Table2[[#This Row],[orignal data]])</f>
        <v>715.78890751086249</v>
      </c>
      <c r="T2822" t="str">
        <f t="shared" si="178"/>
        <v>UNIQUE</v>
      </c>
      <c r="U2822" t="str">
        <f>IF(ISBLANK(Table1[[#This Row],[SizeOption]]),"NOT AVAILABLE",Table1[[#This Row],[SizeOption]])</f>
        <v>XS, S, M, L, XL</v>
      </c>
      <c r="Y2822" t="str">
        <f>IF(Table2[[#This Row],[Column1]]&gt;50%,"HIGH DISCOUNT","LOW DISCOUNT")</f>
        <v>HIGH DISCOUNT</v>
      </c>
    </row>
    <row r="2823" spans="1:25" x14ac:dyDescent="0.25">
      <c r="A2823" s="2" t="s">
        <v>5908</v>
      </c>
      <c r="B2823" s="2">
        <v>14014784</v>
      </c>
      <c r="C2823" s="2" t="s">
        <v>52</v>
      </c>
      <c r="D2823" s="2" t="s">
        <v>15</v>
      </c>
      <c r="E2823" s="2" t="s">
        <v>23</v>
      </c>
      <c r="F2823" s="2" t="s">
        <v>17</v>
      </c>
      <c r="G2823" s="2" t="s">
        <v>813</v>
      </c>
      <c r="H2823">
        <v>359</v>
      </c>
      <c r="I2823" s="2">
        <v>899</v>
      </c>
      <c r="J2823" s="2" t="s">
        <v>55</v>
      </c>
      <c r="K2823" s="2" t="s">
        <v>26</v>
      </c>
      <c r="L2823" s="2">
        <v>4</v>
      </c>
      <c r="M2823" s="2">
        <v>616</v>
      </c>
      <c r="P2823" t="str">
        <f t="shared" si="179"/>
        <v>60%</v>
      </c>
      <c r="Q2823" s="12">
        <f t="shared" si="176"/>
        <v>0.6</v>
      </c>
      <c r="R2823" s="9">
        <f t="shared" si="177"/>
        <v>359.6</v>
      </c>
      <c r="S2823" s="9">
        <f>IF(R2823="",AVERAGEIF(Table1[Category],Table1[[#This Row],[Category]],Table2[orignal data]),Table2[[#This Row],[orignal data]])</f>
        <v>359.6</v>
      </c>
      <c r="T2823" t="str">
        <f t="shared" si="178"/>
        <v>UNIQUE</v>
      </c>
      <c r="U2823" t="str">
        <f>IF(ISBLANK(Table1[[#This Row],[SizeOption]]),"NOT AVAILABLE",Table1[[#This Row],[SizeOption]])</f>
        <v>S, M, L, XL</v>
      </c>
      <c r="Y2823" t="str">
        <f>IF(Table2[[#This Row],[Column1]]&gt;50%,"HIGH DISCOUNT","LOW DISCOUNT")</f>
        <v>HIGH DISCOUNT</v>
      </c>
    </row>
    <row r="2824" spans="1:25" x14ac:dyDescent="0.25">
      <c r="A2824" s="1" t="s">
        <v>5909</v>
      </c>
      <c r="B2824" s="1">
        <v>12005986</v>
      </c>
      <c r="C2824" s="1" t="s">
        <v>52</v>
      </c>
      <c r="D2824" s="1" t="s">
        <v>15</v>
      </c>
      <c r="E2824" s="1" t="s">
        <v>16</v>
      </c>
      <c r="F2824" s="1" t="s">
        <v>17</v>
      </c>
      <c r="G2824" s="1" t="s">
        <v>4350</v>
      </c>
      <c r="H2824">
        <v>675</v>
      </c>
      <c r="I2824" s="1">
        <v>1299</v>
      </c>
      <c r="J2824" s="1" t="s">
        <v>602</v>
      </c>
      <c r="K2824" s="1" t="s">
        <v>816</v>
      </c>
      <c r="L2824" s="1">
        <v>4</v>
      </c>
      <c r="M2824" s="1">
        <v>616</v>
      </c>
      <c r="P2824" t="str">
        <f t="shared" si="179"/>
        <v>48%</v>
      </c>
      <c r="Q2824" s="12">
        <f t="shared" si="176"/>
        <v>0.48</v>
      </c>
      <c r="R2824" s="9">
        <f t="shared" si="177"/>
        <v>675.48</v>
      </c>
      <c r="S2824" s="9">
        <f>IF(R2824="",AVERAGEIF(Table1[Category],Table1[[#This Row],[Category]],Table2[orignal data]),Table2[[#This Row],[orignal data]])</f>
        <v>675.48</v>
      </c>
      <c r="T2824" t="str">
        <f t="shared" si="178"/>
        <v>UNIQUE</v>
      </c>
      <c r="U2824" t="str">
        <f>IF(ISBLANK(Table1[[#This Row],[SizeOption]]),"NOT AVAILABLE",Table1[[#This Row],[SizeOption]])</f>
        <v>30, 32, 34, 36, 38</v>
      </c>
      <c r="Y2824" t="str">
        <f>IF(Table2[[#This Row],[Column1]]&gt;50%,"HIGH DISCOUNT","LOW DISCOUNT")</f>
        <v>LOW DISCOUNT</v>
      </c>
    </row>
    <row r="2825" spans="1:25" x14ac:dyDescent="0.25">
      <c r="A2825" s="2" t="s">
        <v>5910</v>
      </c>
      <c r="B2825" s="2">
        <v>11363500</v>
      </c>
      <c r="C2825" s="2" t="s">
        <v>169</v>
      </c>
      <c r="D2825" s="2" t="s">
        <v>28</v>
      </c>
      <c r="E2825" s="2" t="s">
        <v>42</v>
      </c>
      <c r="F2825" s="2" t="s">
        <v>17</v>
      </c>
      <c r="G2825" s="2" t="s">
        <v>5911</v>
      </c>
      <c r="H2825">
        <v>599</v>
      </c>
      <c r="I2825" s="2">
        <v>1199</v>
      </c>
      <c r="J2825" s="2" t="s">
        <v>84</v>
      </c>
      <c r="K2825" s="2" t="s">
        <v>39</v>
      </c>
      <c r="L2825" s="2">
        <v>4.2</v>
      </c>
      <c r="M2825" s="2">
        <v>616</v>
      </c>
      <c r="P2825" t="str">
        <f t="shared" si="179"/>
        <v>50%</v>
      </c>
      <c r="Q2825" s="12">
        <f t="shared" si="176"/>
        <v>0.5</v>
      </c>
      <c r="R2825" s="9">
        <f t="shared" si="177"/>
        <v>599.5</v>
      </c>
      <c r="S2825" s="9">
        <f>IF(R2825="",AVERAGEIF(Table1[Category],Table1[[#This Row],[Category]],Table2[orignal data]),Table2[[#This Row],[orignal data]])</f>
        <v>599.5</v>
      </c>
      <c r="T2825" t="str">
        <f t="shared" si="178"/>
        <v>UNIQUE</v>
      </c>
      <c r="U2825" t="str">
        <f>IF(ISBLANK(Table1[[#This Row],[SizeOption]]),"NOT AVAILABLE",Table1[[#This Row],[SizeOption]])</f>
        <v>S, M, L, XL, XXL</v>
      </c>
      <c r="Y2825" t="str">
        <f>IF(Table2[[#This Row],[Column1]]&gt;50%,"HIGH DISCOUNT","LOW DISCOUNT")</f>
        <v>LOW DISCOUNT</v>
      </c>
    </row>
    <row r="2826" spans="1:25" x14ac:dyDescent="0.25">
      <c r="A2826" s="1" t="s">
        <v>5912</v>
      </c>
      <c r="B2826" s="1">
        <v>10018797</v>
      </c>
      <c r="C2826" s="1" t="s">
        <v>277</v>
      </c>
      <c r="D2826" s="1" t="s">
        <v>76</v>
      </c>
      <c r="E2826" s="1" t="s">
        <v>93</v>
      </c>
      <c r="F2826" s="1" t="s">
        <v>36</v>
      </c>
      <c r="G2826" s="1" t="s">
        <v>5913</v>
      </c>
      <c r="H2826">
        <v>569</v>
      </c>
      <c r="I2826" s="1">
        <v>1499</v>
      </c>
      <c r="J2826" s="1" t="s">
        <v>126</v>
      </c>
      <c r="K2826" s="1" t="s">
        <v>39</v>
      </c>
      <c r="L2826" s="1">
        <v>3.8</v>
      </c>
      <c r="M2826" s="1">
        <v>616</v>
      </c>
      <c r="P2826" t="str">
        <f t="shared" si="179"/>
        <v>62%</v>
      </c>
      <c r="Q2826" s="12">
        <f t="shared" si="176"/>
        <v>0.62</v>
      </c>
      <c r="R2826" s="9">
        <f t="shared" si="177"/>
        <v>569.62</v>
      </c>
      <c r="S2826" s="9">
        <f>IF(R2826="",AVERAGEIF(Table1[Category],Table1[[#This Row],[Category]],Table2[orignal data]),Table2[[#This Row],[orignal data]])</f>
        <v>569.62</v>
      </c>
      <c r="T2826" t="str">
        <f t="shared" si="178"/>
        <v>UNIQUE</v>
      </c>
      <c r="U2826" t="str">
        <f>IF(ISBLANK(Table1[[#This Row],[SizeOption]]),"NOT AVAILABLE",Table1[[#This Row],[SizeOption]])</f>
        <v>S, M, L, XL, XXL</v>
      </c>
      <c r="Y2826" t="str">
        <f>IF(Table2[[#This Row],[Column1]]&gt;50%,"HIGH DISCOUNT","LOW DISCOUNT")</f>
        <v>HIGH DISCOUNT</v>
      </c>
    </row>
    <row r="2827" spans="1:25" x14ac:dyDescent="0.25">
      <c r="A2827" s="2" t="s">
        <v>5914</v>
      </c>
      <c r="B2827" s="2">
        <v>12167274</v>
      </c>
      <c r="C2827" s="2" t="s">
        <v>67</v>
      </c>
      <c r="D2827" s="2" t="s">
        <v>68</v>
      </c>
      <c r="E2827" s="2" t="s">
        <v>23</v>
      </c>
      <c r="F2827" s="2" t="s">
        <v>36</v>
      </c>
      <c r="G2827" s="2" t="s">
        <v>5915</v>
      </c>
      <c r="H2827">
        <v>764</v>
      </c>
      <c r="I2827" s="2">
        <v>1699</v>
      </c>
      <c r="J2827" s="2" t="s">
        <v>25</v>
      </c>
      <c r="K2827" s="2" t="s">
        <v>45</v>
      </c>
      <c r="L2827" s="2">
        <v>4.4000000000000004</v>
      </c>
      <c r="M2827" s="2">
        <v>616</v>
      </c>
      <c r="P2827" t="str">
        <f t="shared" si="179"/>
        <v>55%</v>
      </c>
      <c r="Q2827" s="12">
        <f t="shared" si="176"/>
        <v>0.55000000000000004</v>
      </c>
      <c r="R2827" s="9">
        <f t="shared" si="177"/>
        <v>764.55</v>
      </c>
      <c r="S2827" s="9">
        <f>IF(R2827="",AVERAGEIF(Table1[Category],Table1[[#This Row],[Category]],Table2[orignal data]),Table2[[#This Row],[orignal data]])</f>
        <v>764.55</v>
      </c>
      <c r="T2827" t="str">
        <f t="shared" si="178"/>
        <v>UNIQUE</v>
      </c>
      <c r="U2827" t="str">
        <f>IF(ISBLANK(Table1[[#This Row],[SizeOption]]),"NOT AVAILABLE",Table1[[#This Row],[SizeOption]])</f>
        <v>XS, S, M, L, XL</v>
      </c>
      <c r="Y2827" t="str">
        <f>IF(Table2[[#This Row],[Column1]]&gt;50%,"HIGH DISCOUNT","LOW DISCOUNT")</f>
        <v>HIGH DISCOUNT</v>
      </c>
    </row>
    <row r="2828" spans="1:25" x14ac:dyDescent="0.25">
      <c r="A2828" s="1" t="s">
        <v>5916</v>
      </c>
      <c r="B2828" s="1">
        <v>11045876</v>
      </c>
      <c r="C2828" s="1" t="s">
        <v>14</v>
      </c>
      <c r="D2828" s="1" t="s">
        <v>41</v>
      </c>
      <c r="E2828" s="1" t="s">
        <v>16</v>
      </c>
      <c r="F2828" s="1" t="s">
        <v>36</v>
      </c>
      <c r="G2828" s="1" t="s">
        <v>5917</v>
      </c>
      <c r="I2828" s="1">
        <v>2099</v>
      </c>
      <c r="J2828" s="1" t="s">
        <v>79</v>
      </c>
      <c r="K2828" s="1" t="s">
        <v>134</v>
      </c>
      <c r="L2828" s="1">
        <v>3.8</v>
      </c>
      <c r="M2828" s="1">
        <v>616</v>
      </c>
      <c r="P2828" t="str">
        <f t="shared" si="179"/>
        <v>70%</v>
      </c>
      <c r="Q2828" s="12">
        <f t="shared" si="176"/>
        <v>0.7</v>
      </c>
      <c r="R2828" s="9">
        <f t="shared" si="177"/>
        <v>629.70000000000005</v>
      </c>
      <c r="S2828" s="9">
        <f>IF(R2828="",AVERAGEIF(Table1[Category],Table1[[#This Row],[Category]],Table2[orignal data]),Table2[[#This Row],[orignal data]])</f>
        <v>629.70000000000005</v>
      </c>
      <c r="T2828" t="str">
        <f t="shared" si="178"/>
        <v>UNIQUE</v>
      </c>
      <c r="U2828" t="str">
        <f>IF(ISBLANK(Table1[[#This Row],[SizeOption]]),"NOT AVAILABLE",Table1[[#This Row],[SizeOption]])</f>
        <v>26, 28, 30, 32, 34, 36</v>
      </c>
      <c r="Y2828" t="str">
        <f>IF(Table2[[#This Row],[Column1]]&gt;50%,"HIGH DISCOUNT","LOW DISCOUNT")</f>
        <v>HIGH DISCOUNT</v>
      </c>
    </row>
    <row r="2829" spans="1:25" x14ac:dyDescent="0.25">
      <c r="A2829" s="2" t="s">
        <v>5918</v>
      </c>
      <c r="B2829" s="2">
        <v>11257750</v>
      </c>
      <c r="C2829" s="2" t="s">
        <v>490</v>
      </c>
      <c r="D2829" s="2" t="s">
        <v>41</v>
      </c>
      <c r="E2829" s="2" t="s">
        <v>306</v>
      </c>
      <c r="F2829" s="2" t="s">
        <v>36</v>
      </c>
      <c r="G2829" s="2" t="s">
        <v>5919</v>
      </c>
      <c r="I2829" s="2">
        <v>1499</v>
      </c>
      <c r="J2829" s="2"/>
      <c r="K2829" s="2" t="s">
        <v>45</v>
      </c>
      <c r="L2829" s="2">
        <v>4.5</v>
      </c>
      <c r="M2829" s="2">
        <v>616</v>
      </c>
      <c r="P2829" t="str">
        <f t="shared" si="179"/>
        <v/>
      </c>
      <c r="Q2829" s="12" t="str">
        <f t="shared" si="176"/>
        <v/>
      </c>
      <c r="R2829" s="9" t="str">
        <f t="shared" si="177"/>
        <v/>
      </c>
      <c r="S2829" s="9">
        <f>IF(R2829="",AVERAGEIF(Table1[Category],Table1[[#This Row],[Category]],Table2[orignal data]),Table2[[#This Row],[orignal data]])</f>
        <v>715.78890751086249</v>
      </c>
      <c r="T2829" t="str">
        <f t="shared" si="178"/>
        <v>UNIQUE</v>
      </c>
      <c r="U2829" t="str">
        <f>IF(ISBLANK(Table1[[#This Row],[SizeOption]]),"NOT AVAILABLE",Table1[[#This Row],[SizeOption]])</f>
        <v>XS, S, M, L, XL</v>
      </c>
      <c r="Y2829" t="str">
        <f>IF(Table2[[#This Row],[Column1]]&gt;50%,"HIGH DISCOUNT","LOW DISCOUNT")</f>
        <v>HIGH DISCOUNT</v>
      </c>
    </row>
    <row r="2830" spans="1:25" x14ac:dyDescent="0.25">
      <c r="A2830" s="1" t="s">
        <v>5920</v>
      </c>
      <c r="B2830" s="1">
        <v>6832318</v>
      </c>
      <c r="C2830" s="1" t="s">
        <v>169</v>
      </c>
      <c r="D2830" s="1" t="s">
        <v>15</v>
      </c>
      <c r="E2830" s="1" t="s">
        <v>16</v>
      </c>
      <c r="F2830" s="1" t="s">
        <v>17</v>
      </c>
      <c r="G2830" s="1" t="s">
        <v>2511</v>
      </c>
      <c r="H2830">
        <v>1649</v>
      </c>
      <c r="I2830" s="1">
        <v>3299</v>
      </c>
      <c r="J2830" s="1" t="s">
        <v>84</v>
      </c>
      <c r="K2830" s="1" t="s">
        <v>171</v>
      </c>
      <c r="L2830" s="1">
        <v>4</v>
      </c>
      <c r="M2830" s="1">
        <v>615</v>
      </c>
      <c r="P2830" t="str">
        <f t="shared" si="179"/>
        <v>50%</v>
      </c>
      <c r="Q2830" s="12">
        <f t="shared" si="176"/>
        <v>0.5</v>
      </c>
      <c r="R2830" s="9">
        <f t="shared" si="177"/>
        <v>1649.5</v>
      </c>
      <c r="S2830" s="9">
        <f>IF(R2830="",AVERAGEIF(Table1[Category],Table1[[#This Row],[Category]],Table2[orignal data]),Table2[[#This Row],[orignal data]])</f>
        <v>1649.5</v>
      </c>
      <c r="T2830" t="str">
        <f t="shared" si="178"/>
        <v>UNIQUE</v>
      </c>
      <c r="U2830" t="str">
        <f>IF(ISBLANK(Table1[[#This Row],[SizeOption]]),"NOT AVAILABLE",Table1[[#This Row],[SizeOption]])</f>
        <v>28, 30, 32, 34, 36, 38</v>
      </c>
      <c r="Y2830" t="str">
        <f>IF(Table2[[#This Row],[Column1]]&gt;50%,"HIGH DISCOUNT","LOW DISCOUNT")</f>
        <v>LOW DISCOUNT</v>
      </c>
    </row>
    <row r="2831" spans="1:25" x14ac:dyDescent="0.25">
      <c r="A2831" s="2" t="s">
        <v>5921</v>
      </c>
      <c r="B2831" s="2">
        <v>6832526</v>
      </c>
      <c r="C2831" s="2" t="s">
        <v>169</v>
      </c>
      <c r="D2831" s="2" t="s">
        <v>15</v>
      </c>
      <c r="E2831" s="2" t="s">
        <v>16</v>
      </c>
      <c r="F2831" s="2" t="s">
        <v>17</v>
      </c>
      <c r="G2831" s="2" t="s">
        <v>5922</v>
      </c>
      <c r="H2831">
        <v>1799</v>
      </c>
      <c r="I2831" s="2">
        <v>2999</v>
      </c>
      <c r="J2831" s="2" t="s">
        <v>50</v>
      </c>
      <c r="K2831" s="2" t="s">
        <v>171</v>
      </c>
      <c r="L2831" s="2">
        <v>4.0999999999999996</v>
      </c>
      <c r="M2831" s="2">
        <v>615</v>
      </c>
      <c r="P2831" t="str">
        <f t="shared" si="179"/>
        <v>40%</v>
      </c>
      <c r="Q2831" s="12">
        <f t="shared" si="176"/>
        <v>0.4</v>
      </c>
      <c r="R2831" s="9">
        <f t="shared" si="177"/>
        <v>1799.3999999999999</v>
      </c>
      <c r="S2831" s="9">
        <f>IF(R2831="",AVERAGEIF(Table1[Category],Table1[[#This Row],[Category]],Table2[orignal data]),Table2[[#This Row],[orignal data]])</f>
        <v>1799.3999999999999</v>
      </c>
      <c r="T2831" t="str">
        <f t="shared" si="178"/>
        <v>UNIQUE</v>
      </c>
      <c r="U2831" t="str">
        <f>IF(ISBLANK(Table1[[#This Row],[SizeOption]]),"NOT AVAILABLE",Table1[[#This Row],[SizeOption]])</f>
        <v>28, 30, 32, 34, 36, 38</v>
      </c>
      <c r="Y2831" t="str">
        <f>IF(Table2[[#This Row],[Column1]]&gt;50%,"HIGH DISCOUNT","LOW DISCOUNT")</f>
        <v>LOW DISCOUNT</v>
      </c>
    </row>
    <row r="2832" spans="1:25" x14ac:dyDescent="0.25">
      <c r="A2832" s="1" t="s">
        <v>5923</v>
      </c>
      <c r="B2832" s="1">
        <v>10187459</v>
      </c>
      <c r="C2832" s="1" t="s">
        <v>169</v>
      </c>
      <c r="D2832" s="1" t="s">
        <v>15</v>
      </c>
      <c r="E2832" s="1" t="s">
        <v>16</v>
      </c>
      <c r="F2832" s="1" t="s">
        <v>17</v>
      </c>
      <c r="G2832" s="1" t="s">
        <v>5924</v>
      </c>
      <c r="H2832">
        <v>1449</v>
      </c>
      <c r="I2832" s="1">
        <v>2899</v>
      </c>
      <c r="J2832" s="1" t="s">
        <v>84</v>
      </c>
      <c r="K2832" s="1" t="s">
        <v>171</v>
      </c>
      <c r="L2832" s="1">
        <v>4.2</v>
      </c>
      <c r="M2832" s="1">
        <v>615</v>
      </c>
      <c r="P2832" t="str">
        <f t="shared" si="179"/>
        <v>50%</v>
      </c>
      <c r="Q2832" s="12">
        <f t="shared" si="176"/>
        <v>0.5</v>
      </c>
      <c r="R2832" s="9">
        <f t="shared" si="177"/>
        <v>1449.5</v>
      </c>
      <c r="S2832" s="9">
        <f>IF(R2832="",AVERAGEIF(Table1[Category],Table1[[#This Row],[Category]],Table2[orignal data]),Table2[[#This Row],[orignal data]])</f>
        <v>1449.5</v>
      </c>
      <c r="T2832" t="str">
        <f t="shared" si="178"/>
        <v>UNIQUE</v>
      </c>
      <c r="U2832" t="str">
        <f>IF(ISBLANK(Table1[[#This Row],[SizeOption]]),"NOT AVAILABLE",Table1[[#This Row],[SizeOption]])</f>
        <v>28, 30, 32, 34, 36, 38</v>
      </c>
      <c r="Y2832" t="str">
        <f>IF(Table2[[#This Row],[Column1]]&gt;50%,"HIGH DISCOUNT","LOW DISCOUNT")</f>
        <v>LOW DISCOUNT</v>
      </c>
    </row>
    <row r="2833" spans="1:25" x14ac:dyDescent="0.25">
      <c r="A2833" s="2" t="s">
        <v>5925</v>
      </c>
      <c r="B2833" s="2">
        <v>10187585</v>
      </c>
      <c r="C2833" s="2" t="s">
        <v>169</v>
      </c>
      <c r="D2833" s="2" t="s">
        <v>28</v>
      </c>
      <c r="E2833" s="2" t="s">
        <v>29</v>
      </c>
      <c r="F2833" s="2" t="s">
        <v>17</v>
      </c>
      <c r="G2833" s="2" t="s">
        <v>5926</v>
      </c>
      <c r="H2833">
        <v>1249</v>
      </c>
      <c r="I2833" s="2">
        <v>2499</v>
      </c>
      <c r="J2833" s="2" t="s">
        <v>84</v>
      </c>
      <c r="K2833" s="2" t="s">
        <v>484</v>
      </c>
      <c r="L2833" s="2">
        <v>4.2</v>
      </c>
      <c r="M2833" s="2">
        <v>615</v>
      </c>
      <c r="P2833" t="str">
        <f t="shared" si="179"/>
        <v>50%</v>
      </c>
      <c r="Q2833" s="12">
        <f t="shared" si="176"/>
        <v>0.5</v>
      </c>
      <c r="R2833" s="9">
        <f t="shared" si="177"/>
        <v>1249.5</v>
      </c>
      <c r="S2833" s="9">
        <f>IF(R2833="",AVERAGEIF(Table1[Category],Table1[[#This Row],[Category]],Table2[orignal data]),Table2[[#This Row],[orignal data]])</f>
        <v>1249.5</v>
      </c>
      <c r="T2833" t="str">
        <f t="shared" si="178"/>
        <v>UNIQUE</v>
      </c>
      <c r="U2833" t="str">
        <f>IF(ISBLANK(Table1[[#This Row],[SizeOption]]),"NOT AVAILABLE",Table1[[#This Row],[SizeOption]])</f>
        <v>39, 40, 42, 44, 46</v>
      </c>
      <c r="Y2833" t="str">
        <f>IF(Table2[[#This Row],[Column1]]&gt;50%,"HIGH DISCOUNT","LOW DISCOUNT")</f>
        <v>LOW DISCOUNT</v>
      </c>
    </row>
    <row r="2834" spans="1:25" x14ac:dyDescent="0.25">
      <c r="A2834" s="1" t="s">
        <v>5927</v>
      </c>
      <c r="B2834" s="1">
        <v>11432190</v>
      </c>
      <c r="C2834" s="1" t="s">
        <v>346</v>
      </c>
      <c r="D2834" s="1" t="s">
        <v>28</v>
      </c>
      <c r="E2834" s="1" t="s">
        <v>42</v>
      </c>
      <c r="F2834" s="1" t="s">
        <v>17</v>
      </c>
      <c r="G2834" s="1" t="s">
        <v>5928</v>
      </c>
      <c r="H2834">
        <v>314</v>
      </c>
      <c r="I2834" s="1">
        <v>699</v>
      </c>
      <c r="J2834" s="1" t="s">
        <v>25</v>
      </c>
      <c r="K2834" s="1" t="s">
        <v>39</v>
      </c>
      <c r="L2834" s="1">
        <v>4.0999999999999996</v>
      </c>
      <c r="M2834" s="1">
        <v>615</v>
      </c>
      <c r="P2834" t="str">
        <f t="shared" si="179"/>
        <v>55%</v>
      </c>
      <c r="Q2834" s="12">
        <f t="shared" si="176"/>
        <v>0.55000000000000004</v>
      </c>
      <c r="R2834" s="9">
        <f t="shared" si="177"/>
        <v>314.54999999999995</v>
      </c>
      <c r="S2834" s="9">
        <f>IF(R2834="",AVERAGEIF(Table1[Category],Table1[[#This Row],[Category]],Table2[orignal data]),Table2[[#This Row],[orignal data]])</f>
        <v>314.54999999999995</v>
      </c>
      <c r="T2834" t="str">
        <f t="shared" si="178"/>
        <v>UNIQUE</v>
      </c>
      <c r="U2834" t="str">
        <f>IF(ISBLANK(Table1[[#This Row],[SizeOption]]),"NOT AVAILABLE",Table1[[#This Row],[SizeOption]])</f>
        <v>S, M, L, XL, XXL</v>
      </c>
      <c r="Y2834" t="str">
        <f>IF(Table2[[#This Row],[Column1]]&gt;50%,"HIGH DISCOUNT","LOW DISCOUNT")</f>
        <v>HIGH DISCOUNT</v>
      </c>
    </row>
    <row r="2835" spans="1:25" x14ac:dyDescent="0.25">
      <c r="A2835" s="2" t="s">
        <v>5929</v>
      </c>
      <c r="B2835" s="2">
        <v>14046624</v>
      </c>
      <c r="C2835" s="2" t="s">
        <v>1489</v>
      </c>
      <c r="D2835" s="2" t="s">
        <v>76</v>
      </c>
      <c r="E2835" s="2" t="s">
        <v>93</v>
      </c>
      <c r="F2835" s="2" t="s">
        <v>36</v>
      </c>
      <c r="G2835" s="2" t="s">
        <v>5930</v>
      </c>
      <c r="H2835">
        <v>636</v>
      </c>
      <c r="I2835" s="2">
        <v>1299</v>
      </c>
      <c r="J2835" s="2" t="s">
        <v>163</v>
      </c>
      <c r="K2835" s="2" t="s">
        <v>115</v>
      </c>
      <c r="L2835" s="2">
        <v>4.4000000000000004</v>
      </c>
      <c r="M2835" s="2">
        <v>615</v>
      </c>
      <c r="P2835" t="str">
        <f t="shared" si="179"/>
        <v>51%</v>
      </c>
      <c r="Q2835" s="12">
        <f t="shared" si="176"/>
        <v>0.51</v>
      </c>
      <c r="R2835" s="9">
        <f t="shared" si="177"/>
        <v>636.51</v>
      </c>
      <c r="S2835" s="9">
        <f>IF(R2835="",AVERAGEIF(Table1[Category],Table1[[#This Row],[Category]],Table2[orignal data]),Table2[[#This Row],[orignal data]])</f>
        <v>636.51</v>
      </c>
      <c r="T2835" t="str">
        <f t="shared" si="178"/>
        <v>UNIQUE</v>
      </c>
      <c r="U2835" t="str">
        <f>IF(ISBLANK(Table1[[#This Row],[SizeOption]]),"NOT AVAILABLE",Table1[[#This Row],[SizeOption]])</f>
        <v>XS, S, M, L, XL, XXL</v>
      </c>
      <c r="Y2835" t="str">
        <f>IF(Table2[[#This Row],[Column1]]&gt;50%,"HIGH DISCOUNT","LOW DISCOUNT")</f>
        <v>HIGH DISCOUNT</v>
      </c>
    </row>
    <row r="2836" spans="1:25" x14ac:dyDescent="0.25">
      <c r="A2836" s="1" t="s">
        <v>5931</v>
      </c>
      <c r="B2836" s="1">
        <v>11458586</v>
      </c>
      <c r="C2836" s="1" t="s">
        <v>1375</v>
      </c>
      <c r="D2836" s="1" t="s">
        <v>76</v>
      </c>
      <c r="E2836" s="1" t="s">
        <v>320</v>
      </c>
      <c r="F2836" s="1" t="s">
        <v>36</v>
      </c>
      <c r="G2836" s="1" t="s">
        <v>5932</v>
      </c>
      <c r="H2836">
        <v>979</v>
      </c>
      <c r="I2836" s="1">
        <v>4080</v>
      </c>
      <c r="J2836" s="1" t="s">
        <v>5678</v>
      </c>
      <c r="K2836" s="1" t="s">
        <v>164</v>
      </c>
      <c r="L2836" s="1">
        <v>4.3</v>
      </c>
      <c r="M2836" s="1">
        <v>615</v>
      </c>
      <c r="P2836" t="str">
        <f t="shared" si="179"/>
        <v>76%</v>
      </c>
      <c r="Q2836" s="12">
        <f t="shared" si="176"/>
        <v>0.76</v>
      </c>
      <c r="R2836" s="9">
        <f t="shared" si="177"/>
        <v>979.19999999999982</v>
      </c>
      <c r="S2836" s="9">
        <f>IF(R2836="",AVERAGEIF(Table1[Category],Table1[[#This Row],[Category]],Table2[orignal data]),Table2[[#This Row],[orignal data]])</f>
        <v>979.19999999999982</v>
      </c>
      <c r="T2836" t="str">
        <f t="shared" si="178"/>
        <v>UNIQUE</v>
      </c>
      <c r="U2836" t="str">
        <f>IF(ISBLANK(Table1[[#This Row],[SizeOption]]),"NOT AVAILABLE",Table1[[#This Row],[SizeOption]])</f>
        <v>Onesize</v>
      </c>
      <c r="Y2836" t="str">
        <f>IF(Table2[[#This Row],[Column1]]&gt;50%,"HIGH DISCOUNT","LOW DISCOUNT")</f>
        <v>HIGH DISCOUNT</v>
      </c>
    </row>
    <row r="2837" spans="1:25" x14ac:dyDescent="0.25">
      <c r="A2837" s="2" t="s">
        <v>5933</v>
      </c>
      <c r="B2837" s="2">
        <v>10304943</v>
      </c>
      <c r="C2837" s="2" t="s">
        <v>5934</v>
      </c>
      <c r="D2837" s="2" t="s">
        <v>98</v>
      </c>
      <c r="E2837" s="2" t="s">
        <v>118</v>
      </c>
      <c r="F2837" s="2" t="s">
        <v>36</v>
      </c>
      <c r="G2837" s="2" t="s">
        <v>5935</v>
      </c>
      <c r="H2837">
        <v>339</v>
      </c>
      <c r="I2837" s="2">
        <v>899</v>
      </c>
      <c r="J2837" s="2" t="s">
        <v>5936</v>
      </c>
      <c r="K2837" s="2" t="s">
        <v>5937</v>
      </c>
      <c r="L2837" s="2">
        <v>4.3</v>
      </c>
      <c r="M2837" s="2">
        <v>615</v>
      </c>
      <c r="P2837" t="str">
        <f t="shared" si="179"/>
        <v>560</v>
      </c>
      <c r="Q2837" s="12">
        <f t="shared" si="176"/>
        <v>0.62291434927697442</v>
      </c>
      <c r="R2837" s="9">
        <f t="shared" si="177"/>
        <v>339</v>
      </c>
      <c r="S2837" s="9">
        <f>IF(R2837="",AVERAGEIF(Table1[Category],Table1[[#This Row],[Category]],Table2[orignal data]),Table2[[#This Row],[orignal data]])</f>
        <v>339</v>
      </c>
      <c r="T2837" t="str">
        <f t="shared" si="178"/>
        <v>UNIQUE</v>
      </c>
      <c r="U2837" t="str">
        <f>IF(ISBLANK(Table1[[#This Row],[SizeOption]]),"NOT AVAILABLE",Table1[[#This Row],[SizeOption]])</f>
        <v>38B, 38C, 38D, 40B, 40C, 40D, 42B, 42C, 42D, 44B, 44C, 44D, 46B, 46C, 46D</v>
      </c>
      <c r="Y2837" t="str">
        <f>IF(Table2[[#This Row],[Column1]]&gt;50%,"HIGH DISCOUNT","LOW DISCOUNT")</f>
        <v>HIGH DISCOUNT</v>
      </c>
    </row>
    <row r="2838" spans="1:25" x14ac:dyDescent="0.25">
      <c r="A2838" s="1" t="s">
        <v>5938</v>
      </c>
      <c r="B2838" s="1">
        <v>17523402</v>
      </c>
      <c r="C2838" s="1" t="s">
        <v>47</v>
      </c>
      <c r="D2838" s="1" t="s">
        <v>41</v>
      </c>
      <c r="E2838" s="1" t="s">
        <v>42</v>
      </c>
      <c r="F2838" s="1" t="s">
        <v>36</v>
      </c>
      <c r="G2838" s="1" t="s">
        <v>5939</v>
      </c>
      <c r="I2838" s="1">
        <v>1398</v>
      </c>
      <c r="J2838" s="1" t="s">
        <v>84</v>
      </c>
      <c r="K2838" s="1" t="s">
        <v>45</v>
      </c>
      <c r="L2838" s="1">
        <v>4.2</v>
      </c>
      <c r="M2838" s="1">
        <v>615</v>
      </c>
      <c r="P2838" t="str">
        <f t="shared" si="179"/>
        <v>50%</v>
      </c>
      <c r="Q2838" s="12">
        <f t="shared" si="176"/>
        <v>0.5</v>
      </c>
      <c r="R2838" s="9">
        <f t="shared" si="177"/>
        <v>699</v>
      </c>
      <c r="S2838" s="9">
        <f>IF(R2838="",AVERAGEIF(Table1[Category],Table1[[#This Row],[Category]],Table2[orignal data]),Table2[[#This Row],[orignal data]])</f>
        <v>699</v>
      </c>
      <c r="T2838" t="str">
        <f t="shared" si="178"/>
        <v>UNIQUE</v>
      </c>
      <c r="U2838" t="str">
        <f>IF(ISBLANK(Table1[[#This Row],[SizeOption]]),"NOT AVAILABLE",Table1[[#This Row],[SizeOption]])</f>
        <v>XS, S, M, L, XL</v>
      </c>
      <c r="Y2838" t="str">
        <f>IF(Table2[[#This Row],[Column1]]&gt;50%,"HIGH DISCOUNT","LOW DISCOUNT")</f>
        <v>LOW DISCOUNT</v>
      </c>
    </row>
    <row r="2839" spans="1:25" x14ac:dyDescent="0.25">
      <c r="A2839" s="2" t="s">
        <v>5940</v>
      </c>
      <c r="B2839" s="2">
        <v>2392496</v>
      </c>
      <c r="C2839" s="2" t="s">
        <v>107</v>
      </c>
      <c r="D2839" s="2" t="s">
        <v>41</v>
      </c>
      <c r="E2839" s="2" t="s">
        <v>148</v>
      </c>
      <c r="F2839" s="2" t="s">
        <v>36</v>
      </c>
      <c r="G2839" s="2" t="s">
        <v>5941</v>
      </c>
      <c r="I2839" s="2">
        <v>1599</v>
      </c>
      <c r="J2839" s="2" t="s">
        <v>55</v>
      </c>
      <c r="K2839" s="2" t="s">
        <v>45</v>
      </c>
      <c r="L2839" s="2">
        <v>4</v>
      </c>
      <c r="M2839" s="2">
        <v>615</v>
      </c>
      <c r="P2839" t="str">
        <f t="shared" si="179"/>
        <v>60%</v>
      </c>
      <c r="Q2839" s="12">
        <f t="shared" si="176"/>
        <v>0.6</v>
      </c>
      <c r="R2839" s="9">
        <f t="shared" si="177"/>
        <v>639.6</v>
      </c>
      <c r="S2839" s="9">
        <f>IF(R2839="",AVERAGEIF(Table1[Category],Table1[[#This Row],[Category]],Table2[orignal data]),Table2[[#This Row],[orignal data]])</f>
        <v>639.6</v>
      </c>
      <c r="T2839" t="str">
        <f t="shared" si="178"/>
        <v>UNIQUE</v>
      </c>
      <c r="U2839" t="str">
        <f>IF(ISBLANK(Table1[[#This Row],[SizeOption]]),"NOT AVAILABLE",Table1[[#This Row],[SizeOption]])</f>
        <v>XS, S, M, L, XL</v>
      </c>
      <c r="Y2839" t="str">
        <f>IF(Table2[[#This Row],[Column1]]&gt;50%,"HIGH DISCOUNT","LOW DISCOUNT")</f>
        <v>HIGH DISCOUNT</v>
      </c>
    </row>
    <row r="2840" spans="1:25" x14ac:dyDescent="0.25">
      <c r="A2840" s="1" t="s">
        <v>5942</v>
      </c>
      <c r="B2840" s="1">
        <v>2414664</v>
      </c>
      <c r="C2840" s="1" t="s">
        <v>430</v>
      </c>
      <c r="D2840" s="1" t="s">
        <v>41</v>
      </c>
      <c r="E2840" s="1" t="s">
        <v>42</v>
      </c>
      <c r="F2840" s="1" t="s">
        <v>36</v>
      </c>
      <c r="G2840" s="1" t="s">
        <v>5943</v>
      </c>
      <c r="I2840" s="1">
        <v>899</v>
      </c>
      <c r="J2840" s="1" t="s">
        <v>25</v>
      </c>
      <c r="K2840" s="1" t="s">
        <v>45</v>
      </c>
      <c r="L2840" s="1">
        <v>4.3</v>
      </c>
      <c r="M2840" s="1">
        <v>615</v>
      </c>
      <c r="P2840" t="str">
        <f t="shared" si="179"/>
        <v>55%</v>
      </c>
      <c r="Q2840" s="12">
        <f t="shared" si="176"/>
        <v>0.55000000000000004</v>
      </c>
      <c r="R2840" s="9">
        <f t="shared" si="177"/>
        <v>404.54999999999995</v>
      </c>
      <c r="S2840" s="9">
        <f>IF(R2840="",AVERAGEIF(Table1[Category],Table1[[#This Row],[Category]],Table2[orignal data]),Table2[[#This Row],[orignal data]])</f>
        <v>404.54999999999995</v>
      </c>
      <c r="T2840" t="str">
        <f t="shared" si="178"/>
        <v>UNIQUE</v>
      </c>
      <c r="U2840" t="str">
        <f>IF(ISBLANK(Table1[[#This Row],[SizeOption]]),"NOT AVAILABLE",Table1[[#This Row],[SizeOption]])</f>
        <v>XS, S, M, L, XL</v>
      </c>
      <c r="Y2840" t="str">
        <f>IF(Table2[[#This Row],[Column1]]&gt;50%,"HIGH DISCOUNT","LOW DISCOUNT")</f>
        <v>HIGH DISCOUNT</v>
      </c>
    </row>
    <row r="2841" spans="1:25" x14ac:dyDescent="0.25">
      <c r="A2841" s="2" t="s">
        <v>5944</v>
      </c>
      <c r="B2841" s="2">
        <v>12903012</v>
      </c>
      <c r="C2841" s="2" t="s">
        <v>349</v>
      </c>
      <c r="D2841" s="2" t="s">
        <v>197</v>
      </c>
      <c r="E2841" s="2" t="s">
        <v>350</v>
      </c>
      <c r="F2841" s="2" t="s">
        <v>17</v>
      </c>
      <c r="G2841" s="2" t="s">
        <v>5945</v>
      </c>
      <c r="I2841" s="2">
        <v>299</v>
      </c>
      <c r="J2841" s="2"/>
      <c r="K2841" s="2" t="s">
        <v>352</v>
      </c>
      <c r="L2841" s="2">
        <v>4.4000000000000004</v>
      </c>
      <c r="M2841" s="2">
        <v>614</v>
      </c>
      <c r="P2841" t="str">
        <f t="shared" si="179"/>
        <v/>
      </c>
      <c r="Q2841" s="12" t="str">
        <f t="shared" si="176"/>
        <v/>
      </c>
      <c r="R2841" s="9" t="str">
        <f t="shared" si="177"/>
        <v/>
      </c>
      <c r="S2841" s="9">
        <f>IF(R2841="",AVERAGEIF(Table1[Category],Table1[[#This Row],[Category]],Table2[orignal data]),Table2[[#This Row],[orignal data]])</f>
        <v>552.70900000000006</v>
      </c>
      <c r="T2841" t="str">
        <f t="shared" si="178"/>
        <v>UNIQUE</v>
      </c>
      <c r="U2841" t="str">
        <f>IF(ISBLANK(Table1[[#This Row],[SizeOption]]),"NOT AVAILABLE",Table1[[#This Row],[SizeOption]])</f>
        <v>S, M, L</v>
      </c>
      <c r="Y2841" t="str">
        <f>IF(Table2[[#This Row],[Column1]]&gt;50%,"HIGH DISCOUNT","LOW DISCOUNT")</f>
        <v>HIGH DISCOUNT</v>
      </c>
    </row>
    <row r="2842" spans="1:25" x14ac:dyDescent="0.25">
      <c r="A2842" s="1" t="s">
        <v>5946</v>
      </c>
      <c r="B2842" s="1">
        <v>18028784</v>
      </c>
      <c r="C2842" s="1" t="s">
        <v>295</v>
      </c>
      <c r="D2842" s="1" t="s">
        <v>197</v>
      </c>
      <c r="E2842" s="1" t="s">
        <v>939</v>
      </c>
      <c r="F2842" s="1" t="s">
        <v>17</v>
      </c>
      <c r="G2842" s="1" t="s">
        <v>4736</v>
      </c>
      <c r="I2842" s="1">
        <v>1098</v>
      </c>
      <c r="J2842" s="1"/>
      <c r="K2842" s="1" t="s">
        <v>26</v>
      </c>
      <c r="L2842" s="1">
        <v>4.4000000000000004</v>
      </c>
      <c r="M2842" s="1">
        <v>614</v>
      </c>
      <c r="P2842" t="str">
        <f t="shared" si="179"/>
        <v/>
      </c>
      <c r="Q2842" s="12" t="str">
        <f t="shared" si="176"/>
        <v/>
      </c>
      <c r="R2842" s="9" t="str">
        <f t="shared" si="177"/>
        <v/>
      </c>
      <c r="S2842" s="9">
        <f>IF(R2842="",AVERAGEIF(Table1[Category],Table1[[#This Row],[Category]],Table2[orignal data]),Table2[[#This Row],[orignal data]])</f>
        <v>552.70900000000006</v>
      </c>
      <c r="T2842" t="str">
        <f t="shared" si="178"/>
        <v>UNIQUE</v>
      </c>
      <c r="U2842" t="str">
        <f>IF(ISBLANK(Table1[[#This Row],[SizeOption]]),"NOT AVAILABLE",Table1[[#This Row],[SizeOption]])</f>
        <v>S, M, L, XL</v>
      </c>
      <c r="Y2842" t="str">
        <f>IF(Table2[[#This Row],[Column1]]&gt;50%,"HIGH DISCOUNT","LOW DISCOUNT")</f>
        <v>HIGH DISCOUNT</v>
      </c>
    </row>
    <row r="2843" spans="1:25" x14ac:dyDescent="0.25">
      <c r="A2843" s="2" t="s">
        <v>5947</v>
      </c>
      <c r="B2843" s="2">
        <v>13988128</v>
      </c>
      <c r="C2843" s="2" t="s">
        <v>545</v>
      </c>
      <c r="D2843" s="2" t="s">
        <v>76</v>
      </c>
      <c r="E2843" s="2" t="s">
        <v>320</v>
      </c>
      <c r="F2843" s="2" t="s">
        <v>36</v>
      </c>
      <c r="G2843" s="2" t="s">
        <v>5948</v>
      </c>
      <c r="H2843">
        <v>1539</v>
      </c>
      <c r="I2843" s="2">
        <v>7699</v>
      </c>
      <c r="J2843" s="2" t="s">
        <v>589</v>
      </c>
      <c r="K2843" s="2" t="s">
        <v>164</v>
      </c>
      <c r="L2843" s="2">
        <v>4.2</v>
      </c>
      <c r="M2843" s="2">
        <v>614</v>
      </c>
      <c r="P2843" t="str">
        <f t="shared" si="179"/>
        <v>80%</v>
      </c>
      <c r="Q2843" s="12">
        <f t="shared" si="176"/>
        <v>0.8</v>
      </c>
      <c r="R2843" s="9">
        <f t="shared" si="177"/>
        <v>1539.7999999999993</v>
      </c>
      <c r="S2843" s="9">
        <f>IF(R2843="",AVERAGEIF(Table1[Category],Table1[[#This Row],[Category]],Table2[orignal data]),Table2[[#This Row],[orignal data]])</f>
        <v>1539.7999999999993</v>
      </c>
      <c r="T2843" t="str">
        <f t="shared" si="178"/>
        <v>UNIQUE</v>
      </c>
      <c r="U2843" t="str">
        <f>IF(ISBLANK(Table1[[#This Row],[SizeOption]]),"NOT AVAILABLE",Table1[[#This Row],[SizeOption]])</f>
        <v>Onesize</v>
      </c>
      <c r="Y2843" t="str">
        <f>IF(Table2[[#This Row],[Column1]]&gt;50%,"HIGH DISCOUNT","LOW DISCOUNT")</f>
        <v>HIGH DISCOUNT</v>
      </c>
    </row>
    <row r="2844" spans="1:25" x14ac:dyDescent="0.25">
      <c r="A2844" s="1" t="s">
        <v>5949</v>
      </c>
      <c r="B2844" s="1">
        <v>12441636</v>
      </c>
      <c r="C2844" s="1" t="s">
        <v>620</v>
      </c>
      <c r="D2844" s="1" t="s">
        <v>34</v>
      </c>
      <c r="E2844" s="1" t="s">
        <v>406</v>
      </c>
      <c r="F2844" s="1" t="s">
        <v>36</v>
      </c>
      <c r="G2844" s="1" t="s">
        <v>5950</v>
      </c>
      <c r="H2844">
        <v>559</v>
      </c>
      <c r="I2844" s="1">
        <v>1599</v>
      </c>
      <c r="J2844" s="1" t="s">
        <v>150</v>
      </c>
      <c r="K2844" s="1" t="s">
        <v>26</v>
      </c>
      <c r="L2844" s="1">
        <v>4.4000000000000004</v>
      </c>
      <c r="M2844" s="1">
        <v>614</v>
      </c>
      <c r="P2844" t="str">
        <f t="shared" si="179"/>
        <v>65%</v>
      </c>
      <c r="Q2844" s="12">
        <f t="shared" si="176"/>
        <v>0.65</v>
      </c>
      <c r="R2844" s="9">
        <f t="shared" si="177"/>
        <v>559.64999999999986</v>
      </c>
      <c r="S2844" s="9">
        <f>IF(R2844="",AVERAGEIF(Table1[Category],Table1[[#This Row],[Category]],Table2[orignal data]),Table2[[#This Row],[orignal data]])</f>
        <v>559.64999999999986</v>
      </c>
      <c r="T2844" t="str">
        <f t="shared" si="178"/>
        <v>UNIQUE</v>
      </c>
      <c r="U2844" t="str">
        <f>IF(ISBLANK(Table1[[#This Row],[SizeOption]]),"NOT AVAILABLE",Table1[[#This Row],[SizeOption]])</f>
        <v>S, M, L, XL</v>
      </c>
      <c r="Y2844" t="str">
        <f>IF(Table2[[#This Row],[Column1]]&gt;50%,"HIGH DISCOUNT","LOW DISCOUNT")</f>
        <v>HIGH DISCOUNT</v>
      </c>
    </row>
    <row r="2845" spans="1:25" x14ac:dyDescent="0.25">
      <c r="A2845" s="2" t="s">
        <v>5951</v>
      </c>
      <c r="B2845" s="2">
        <v>12959222</v>
      </c>
      <c r="C2845" s="2" t="s">
        <v>784</v>
      </c>
      <c r="D2845" s="2" t="s">
        <v>68</v>
      </c>
      <c r="E2845" s="2" t="s">
        <v>137</v>
      </c>
      <c r="F2845" s="2" t="s">
        <v>36</v>
      </c>
      <c r="G2845" s="2" t="s">
        <v>5952</v>
      </c>
      <c r="I2845" s="2">
        <v>899</v>
      </c>
      <c r="J2845" s="2"/>
      <c r="K2845" s="2" t="s">
        <v>5953</v>
      </c>
      <c r="L2845" s="2">
        <v>4.5999999999999996</v>
      </c>
      <c r="M2845" s="2">
        <v>614</v>
      </c>
      <c r="P2845" t="str">
        <f t="shared" si="179"/>
        <v/>
      </c>
      <c r="Q2845" s="12" t="str">
        <f t="shared" si="176"/>
        <v/>
      </c>
      <c r="R2845" s="9" t="str">
        <f t="shared" si="177"/>
        <v/>
      </c>
      <c r="S2845" s="9">
        <f>IF(R2845="",AVERAGEIF(Table1[Category],Table1[[#This Row],[Category]],Table2[orignal data]),Table2[[#This Row],[orignal data]])</f>
        <v>734.32085365853686</v>
      </c>
      <c r="T2845" t="str">
        <f t="shared" si="178"/>
        <v>UNIQUE</v>
      </c>
      <c r="U2845" t="str">
        <f>IF(ISBLANK(Table1[[#This Row],[SizeOption]]),"NOT AVAILABLE",Table1[[#This Row],[SizeOption]])</f>
        <v>28, 30, 32, 34, 36, 40</v>
      </c>
      <c r="Y2845" t="str">
        <f>IF(Table2[[#This Row],[Column1]]&gt;50%,"HIGH DISCOUNT","LOW DISCOUNT")</f>
        <v>HIGH DISCOUNT</v>
      </c>
    </row>
    <row r="2846" spans="1:25" x14ac:dyDescent="0.25">
      <c r="A2846" s="1" t="s">
        <v>5954</v>
      </c>
      <c r="B2846" s="1">
        <v>17381522</v>
      </c>
      <c r="C2846" s="1" t="s">
        <v>14</v>
      </c>
      <c r="D2846" s="1" t="s">
        <v>41</v>
      </c>
      <c r="E2846" s="1" t="s">
        <v>42</v>
      </c>
      <c r="F2846" s="1" t="s">
        <v>36</v>
      </c>
      <c r="G2846" s="1" t="s">
        <v>696</v>
      </c>
      <c r="I2846" s="1">
        <v>1198</v>
      </c>
      <c r="J2846" s="1" t="s">
        <v>84</v>
      </c>
      <c r="K2846" s="1" t="s">
        <v>45</v>
      </c>
      <c r="L2846" s="1">
        <v>4.4000000000000004</v>
      </c>
      <c r="M2846" s="1">
        <v>614</v>
      </c>
      <c r="P2846" t="str">
        <f t="shared" si="179"/>
        <v>50%</v>
      </c>
      <c r="Q2846" s="12">
        <f t="shared" si="176"/>
        <v>0.5</v>
      </c>
      <c r="R2846" s="9">
        <f t="shared" si="177"/>
        <v>599</v>
      </c>
      <c r="S2846" s="9">
        <f>IF(R2846="",AVERAGEIF(Table1[Category],Table1[[#This Row],[Category]],Table2[orignal data]),Table2[[#This Row],[orignal data]])</f>
        <v>599</v>
      </c>
      <c r="T2846" t="str">
        <f t="shared" si="178"/>
        <v>UNIQUE</v>
      </c>
      <c r="U2846" t="str">
        <f>IF(ISBLANK(Table1[[#This Row],[SizeOption]]),"NOT AVAILABLE",Table1[[#This Row],[SizeOption]])</f>
        <v>XS, S, M, L, XL</v>
      </c>
      <c r="Y2846" t="str">
        <f>IF(Table2[[#This Row],[Column1]]&gt;50%,"HIGH DISCOUNT","LOW DISCOUNT")</f>
        <v>LOW DISCOUNT</v>
      </c>
    </row>
    <row r="2847" spans="1:25" x14ac:dyDescent="0.25">
      <c r="A2847" s="2" t="s">
        <v>5955</v>
      </c>
      <c r="B2847" s="2">
        <v>11120364</v>
      </c>
      <c r="C2847" s="2" t="s">
        <v>676</v>
      </c>
      <c r="D2847" s="2" t="s">
        <v>41</v>
      </c>
      <c r="E2847" s="2" t="s">
        <v>818</v>
      </c>
      <c r="F2847" s="2" t="s">
        <v>36</v>
      </c>
      <c r="G2847" s="2" t="s">
        <v>5956</v>
      </c>
      <c r="I2847" s="2">
        <v>1299</v>
      </c>
      <c r="J2847" s="2" t="s">
        <v>25</v>
      </c>
      <c r="K2847" s="2" t="s">
        <v>26</v>
      </c>
      <c r="L2847" s="2">
        <v>3.7</v>
      </c>
      <c r="M2847" s="2">
        <v>614</v>
      </c>
      <c r="P2847" t="str">
        <f t="shared" si="179"/>
        <v>55%</v>
      </c>
      <c r="Q2847" s="12">
        <f t="shared" si="176"/>
        <v>0.55000000000000004</v>
      </c>
      <c r="R2847" s="9">
        <f t="shared" si="177"/>
        <v>584.54999999999995</v>
      </c>
      <c r="S2847" s="9">
        <f>IF(R2847="",AVERAGEIF(Table1[Category],Table1[[#This Row],[Category]],Table2[orignal data]),Table2[[#This Row],[orignal data]])</f>
        <v>584.54999999999995</v>
      </c>
      <c r="T2847" t="str">
        <f t="shared" si="178"/>
        <v>UNIQUE</v>
      </c>
      <c r="U2847" t="str">
        <f>IF(ISBLANK(Table1[[#This Row],[SizeOption]]),"NOT AVAILABLE",Table1[[#This Row],[SizeOption]])</f>
        <v>S, M, L, XL</v>
      </c>
      <c r="Y2847" t="str">
        <f>IF(Table2[[#This Row],[Column1]]&gt;50%,"HIGH DISCOUNT","LOW DISCOUNT")</f>
        <v>HIGH DISCOUNT</v>
      </c>
    </row>
    <row r="2848" spans="1:25" x14ac:dyDescent="0.25">
      <c r="A2848" s="1" t="s">
        <v>5957</v>
      </c>
      <c r="B2848" s="1">
        <v>17384828</v>
      </c>
      <c r="C2848" s="1" t="s">
        <v>14</v>
      </c>
      <c r="D2848" s="1" t="s">
        <v>41</v>
      </c>
      <c r="E2848" s="1" t="s">
        <v>42</v>
      </c>
      <c r="F2848" s="1" t="s">
        <v>36</v>
      </c>
      <c r="G2848" s="1" t="s">
        <v>1405</v>
      </c>
      <c r="I2848" s="1">
        <v>1398</v>
      </c>
      <c r="J2848" s="1" t="s">
        <v>84</v>
      </c>
      <c r="K2848" s="1" t="s">
        <v>45</v>
      </c>
      <c r="L2848" s="1">
        <v>4.4000000000000004</v>
      </c>
      <c r="M2848" s="1">
        <v>614</v>
      </c>
      <c r="P2848" t="str">
        <f t="shared" si="179"/>
        <v>50%</v>
      </c>
      <c r="Q2848" s="12">
        <f t="shared" si="176"/>
        <v>0.5</v>
      </c>
      <c r="R2848" s="9">
        <f t="shared" si="177"/>
        <v>699</v>
      </c>
      <c r="S2848" s="9">
        <f>IF(R2848="",AVERAGEIF(Table1[Category],Table1[[#This Row],[Category]],Table2[orignal data]),Table2[[#This Row],[orignal data]])</f>
        <v>699</v>
      </c>
      <c r="T2848" t="str">
        <f t="shared" si="178"/>
        <v>UNIQUE</v>
      </c>
      <c r="U2848" t="str">
        <f>IF(ISBLANK(Table1[[#This Row],[SizeOption]]),"NOT AVAILABLE",Table1[[#This Row],[SizeOption]])</f>
        <v>XS, S, M, L, XL</v>
      </c>
      <c r="Y2848" t="str">
        <f>IF(Table2[[#This Row],[Column1]]&gt;50%,"HIGH DISCOUNT","LOW DISCOUNT")</f>
        <v>LOW DISCOUNT</v>
      </c>
    </row>
    <row r="2849" spans="1:25" x14ac:dyDescent="0.25">
      <c r="A2849" s="2" t="s">
        <v>5958</v>
      </c>
      <c r="B2849" s="2">
        <v>15577328</v>
      </c>
      <c r="C2849" s="2" t="s">
        <v>499</v>
      </c>
      <c r="D2849" s="2" t="s">
        <v>41</v>
      </c>
      <c r="E2849" s="2" t="s">
        <v>148</v>
      </c>
      <c r="F2849" s="2" t="s">
        <v>36</v>
      </c>
      <c r="G2849" s="2" t="s">
        <v>5959</v>
      </c>
      <c r="I2849" s="2">
        <v>2399</v>
      </c>
      <c r="J2849" s="2" t="s">
        <v>84</v>
      </c>
      <c r="K2849" s="2" t="s">
        <v>115</v>
      </c>
      <c r="L2849" s="2">
        <v>4.0999999999999996</v>
      </c>
      <c r="M2849" s="2">
        <v>614</v>
      </c>
      <c r="P2849" t="str">
        <f t="shared" si="179"/>
        <v>50%</v>
      </c>
      <c r="Q2849" s="12">
        <f t="shared" si="176"/>
        <v>0.5</v>
      </c>
      <c r="R2849" s="9">
        <f t="shared" si="177"/>
        <v>1199.5</v>
      </c>
      <c r="S2849" s="9">
        <f>IF(R2849="",AVERAGEIF(Table1[Category],Table1[[#This Row],[Category]],Table2[orignal data]),Table2[[#This Row],[orignal data]])</f>
        <v>1199.5</v>
      </c>
      <c r="T2849" t="str">
        <f t="shared" si="178"/>
        <v>UNIQUE</v>
      </c>
      <c r="U2849" t="str">
        <f>IF(ISBLANK(Table1[[#This Row],[SizeOption]]),"NOT AVAILABLE",Table1[[#This Row],[SizeOption]])</f>
        <v>XS, S, M, L, XL, XXL</v>
      </c>
      <c r="Y2849" t="str">
        <f>IF(Table2[[#This Row],[Column1]]&gt;50%,"HIGH DISCOUNT","LOW DISCOUNT")</f>
        <v>LOW DISCOUNT</v>
      </c>
    </row>
    <row r="2850" spans="1:25" x14ac:dyDescent="0.25">
      <c r="A2850" s="1" t="s">
        <v>5960</v>
      </c>
      <c r="B2850" s="1">
        <v>10606466</v>
      </c>
      <c r="C2850" s="1" t="s">
        <v>132</v>
      </c>
      <c r="D2850" s="1" t="s">
        <v>41</v>
      </c>
      <c r="E2850" s="1" t="s">
        <v>5961</v>
      </c>
      <c r="F2850" s="1" t="s">
        <v>36</v>
      </c>
      <c r="G2850" s="1" t="s">
        <v>5962</v>
      </c>
      <c r="I2850" s="1">
        <v>3199</v>
      </c>
      <c r="J2850" s="1" t="s">
        <v>79</v>
      </c>
      <c r="K2850" s="1" t="s">
        <v>45</v>
      </c>
      <c r="L2850" s="1">
        <v>4</v>
      </c>
      <c r="M2850" s="1">
        <v>614</v>
      </c>
      <c r="P2850" t="str">
        <f t="shared" si="179"/>
        <v>70%</v>
      </c>
      <c r="Q2850" s="12">
        <f t="shared" si="176"/>
        <v>0.7</v>
      </c>
      <c r="R2850" s="9">
        <f t="shared" si="177"/>
        <v>959.70000000000027</v>
      </c>
      <c r="S2850" s="9">
        <f>IF(R2850="",AVERAGEIF(Table1[Category],Table1[[#This Row],[Category]],Table2[orignal data]),Table2[[#This Row],[orignal data]])</f>
        <v>959.70000000000027</v>
      </c>
      <c r="T2850" t="str">
        <f t="shared" si="178"/>
        <v>UNIQUE</v>
      </c>
      <c r="U2850" t="str">
        <f>IF(ISBLANK(Table1[[#This Row],[SizeOption]]),"NOT AVAILABLE",Table1[[#This Row],[SizeOption]])</f>
        <v>XS, S, M, L, XL</v>
      </c>
      <c r="Y2850" t="str">
        <f>IF(Table2[[#This Row],[Column1]]&gt;50%,"HIGH DISCOUNT","LOW DISCOUNT")</f>
        <v>HIGH DISCOUNT</v>
      </c>
    </row>
    <row r="2851" spans="1:25" x14ac:dyDescent="0.25">
      <c r="A2851" s="2" t="s">
        <v>5963</v>
      </c>
      <c r="B2851" s="2">
        <v>7149905</v>
      </c>
      <c r="C2851" s="2" t="s">
        <v>1299</v>
      </c>
      <c r="D2851" s="2" t="s">
        <v>15</v>
      </c>
      <c r="E2851" s="2" t="s">
        <v>53</v>
      </c>
      <c r="F2851" s="2" t="s">
        <v>17</v>
      </c>
      <c r="G2851" s="2" t="s">
        <v>5964</v>
      </c>
      <c r="H2851">
        <v>989</v>
      </c>
      <c r="I2851" s="2">
        <v>2199</v>
      </c>
      <c r="J2851" s="2" t="s">
        <v>25</v>
      </c>
      <c r="K2851" s="2" t="s">
        <v>56</v>
      </c>
      <c r="L2851" s="2">
        <v>3.9</v>
      </c>
      <c r="M2851" s="2">
        <v>613</v>
      </c>
      <c r="P2851" t="str">
        <f t="shared" si="179"/>
        <v>55%</v>
      </c>
      <c r="Q2851" s="12">
        <f t="shared" si="176"/>
        <v>0.55000000000000004</v>
      </c>
      <c r="R2851" s="9">
        <f t="shared" si="177"/>
        <v>989.55</v>
      </c>
      <c r="S2851" s="9">
        <f>IF(R2851="",AVERAGEIF(Table1[Category],Table1[[#This Row],[Category]],Table2[orignal data]),Table2[[#This Row],[orignal data]])</f>
        <v>989.55</v>
      </c>
      <c r="T2851" t="str">
        <f t="shared" si="178"/>
        <v>UNIQUE</v>
      </c>
      <c r="U2851" t="str">
        <f>IF(ISBLANK(Table1[[#This Row],[SizeOption]]),"NOT AVAILABLE",Table1[[#This Row],[SizeOption]])</f>
        <v>30, 32, 34, 36</v>
      </c>
      <c r="Y2851" t="str">
        <f>IF(Table2[[#This Row],[Column1]]&gt;50%,"HIGH DISCOUNT","LOW DISCOUNT")</f>
        <v>HIGH DISCOUNT</v>
      </c>
    </row>
    <row r="2852" spans="1:25" x14ac:dyDescent="0.25">
      <c r="A2852" s="1" t="s">
        <v>5965</v>
      </c>
      <c r="B2852" s="1">
        <v>9966851</v>
      </c>
      <c r="C2852" s="1" t="s">
        <v>938</v>
      </c>
      <c r="D2852" s="1" t="s">
        <v>197</v>
      </c>
      <c r="E2852" s="1" t="s">
        <v>939</v>
      </c>
      <c r="F2852" s="1" t="s">
        <v>17</v>
      </c>
      <c r="G2852" s="1" t="s">
        <v>5966</v>
      </c>
      <c r="H2852">
        <v>674</v>
      </c>
      <c r="I2852" s="1">
        <v>1499</v>
      </c>
      <c r="J2852" s="1" t="s">
        <v>25</v>
      </c>
      <c r="K2852" s="1" t="s">
        <v>39</v>
      </c>
      <c r="L2852" s="1">
        <v>4.2</v>
      </c>
      <c r="M2852" s="1">
        <v>613</v>
      </c>
      <c r="P2852" t="str">
        <f t="shared" si="179"/>
        <v>55%</v>
      </c>
      <c r="Q2852" s="12">
        <f t="shared" si="176"/>
        <v>0.55000000000000004</v>
      </c>
      <c r="R2852" s="9">
        <f t="shared" si="177"/>
        <v>674.55</v>
      </c>
      <c r="S2852" s="9">
        <f>IF(R2852="",AVERAGEIF(Table1[Category],Table1[[#This Row],[Category]],Table2[orignal data]),Table2[[#This Row],[orignal data]])</f>
        <v>674.55</v>
      </c>
      <c r="T2852" t="str">
        <f t="shared" si="178"/>
        <v>UNIQUE</v>
      </c>
      <c r="U2852" t="str">
        <f>IF(ISBLANK(Table1[[#This Row],[SizeOption]]),"NOT AVAILABLE",Table1[[#This Row],[SizeOption]])</f>
        <v>S, M, L, XL, XXL</v>
      </c>
      <c r="Y2852" t="str">
        <f>IF(Table2[[#This Row],[Column1]]&gt;50%,"HIGH DISCOUNT","LOW DISCOUNT")</f>
        <v>HIGH DISCOUNT</v>
      </c>
    </row>
    <row r="2853" spans="1:25" x14ac:dyDescent="0.25">
      <c r="A2853" s="2" t="s">
        <v>5967</v>
      </c>
      <c r="B2853" s="2">
        <v>11999598</v>
      </c>
      <c r="C2853" s="2" t="s">
        <v>67</v>
      </c>
      <c r="D2853" s="2" t="s">
        <v>68</v>
      </c>
      <c r="E2853" s="2" t="s">
        <v>42</v>
      </c>
      <c r="F2853" s="2" t="s">
        <v>17</v>
      </c>
      <c r="G2853" s="2" t="s">
        <v>5968</v>
      </c>
      <c r="H2853">
        <v>279</v>
      </c>
      <c r="I2853" s="2">
        <v>699</v>
      </c>
      <c r="J2853" s="2" t="s">
        <v>55</v>
      </c>
      <c r="K2853" s="2" t="s">
        <v>39</v>
      </c>
      <c r="L2853" s="2">
        <v>4.2</v>
      </c>
      <c r="M2853" s="2">
        <v>613</v>
      </c>
      <c r="P2853" t="str">
        <f t="shared" si="179"/>
        <v>60%</v>
      </c>
      <c r="Q2853" s="12">
        <f t="shared" si="176"/>
        <v>0.6</v>
      </c>
      <c r="R2853" s="9">
        <f t="shared" si="177"/>
        <v>279.60000000000002</v>
      </c>
      <c r="S2853" s="9">
        <f>IF(R2853="",AVERAGEIF(Table1[Category],Table1[[#This Row],[Category]],Table2[orignal data]),Table2[[#This Row],[orignal data]])</f>
        <v>279.60000000000002</v>
      </c>
      <c r="T2853" t="str">
        <f t="shared" si="178"/>
        <v>UNIQUE</v>
      </c>
      <c r="U2853" t="str">
        <f>IF(ISBLANK(Table1[[#This Row],[SizeOption]]),"NOT AVAILABLE",Table1[[#This Row],[SizeOption]])</f>
        <v>S, M, L, XL, XXL</v>
      </c>
      <c r="Y2853" t="str">
        <f>IF(Table2[[#This Row],[Column1]]&gt;50%,"HIGH DISCOUNT","LOW DISCOUNT")</f>
        <v>HIGH DISCOUNT</v>
      </c>
    </row>
    <row r="2854" spans="1:25" x14ac:dyDescent="0.25">
      <c r="A2854" s="1" t="s">
        <v>5969</v>
      </c>
      <c r="B2854" s="1">
        <v>4149404</v>
      </c>
      <c r="C2854" s="1" t="s">
        <v>47</v>
      </c>
      <c r="D2854" s="1" t="s">
        <v>28</v>
      </c>
      <c r="E2854" s="1" t="s">
        <v>42</v>
      </c>
      <c r="F2854" s="1" t="s">
        <v>17</v>
      </c>
      <c r="G2854" s="1" t="s">
        <v>5970</v>
      </c>
      <c r="H2854">
        <v>519</v>
      </c>
      <c r="I2854" s="1">
        <v>1299</v>
      </c>
      <c r="J2854" s="1" t="s">
        <v>55</v>
      </c>
      <c r="K2854" s="1" t="s">
        <v>26</v>
      </c>
      <c r="L2854" s="1">
        <v>4.3</v>
      </c>
      <c r="M2854" s="1">
        <v>613</v>
      </c>
      <c r="P2854" t="str">
        <f t="shared" si="179"/>
        <v>60%</v>
      </c>
      <c r="Q2854" s="12">
        <f t="shared" si="176"/>
        <v>0.6</v>
      </c>
      <c r="R2854" s="9">
        <f t="shared" si="177"/>
        <v>519.6</v>
      </c>
      <c r="S2854" s="9">
        <f>IF(R2854="",AVERAGEIF(Table1[Category],Table1[[#This Row],[Category]],Table2[orignal data]),Table2[[#This Row],[orignal data]])</f>
        <v>519.6</v>
      </c>
      <c r="T2854" t="str">
        <f t="shared" si="178"/>
        <v>UNIQUE</v>
      </c>
      <c r="U2854" t="str">
        <f>IF(ISBLANK(Table1[[#This Row],[SizeOption]]),"NOT AVAILABLE",Table1[[#This Row],[SizeOption]])</f>
        <v>S, M, L, XL</v>
      </c>
      <c r="Y2854" t="str">
        <f>IF(Table2[[#This Row],[Column1]]&gt;50%,"HIGH DISCOUNT","LOW DISCOUNT")</f>
        <v>HIGH DISCOUNT</v>
      </c>
    </row>
    <row r="2855" spans="1:25" x14ac:dyDescent="0.25">
      <c r="A2855" s="2" t="s">
        <v>5971</v>
      </c>
      <c r="B2855" s="2">
        <v>8826189</v>
      </c>
      <c r="C2855" s="2" t="s">
        <v>47</v>
      </c>
      <c r="D2855" s="2" t="s">
        <v>28</v>
      </c>
      <c r="E2855" s="2" t="s">
        <v>42</v>
      </c>
      <c r="F2855" s="2" t="s">
        <v>17</v>
      </c>
      <c r="G2855" s="2" t="s">
        <v>5972</v>
      </c>
      <c r="H2855">
        <v>519</v>
      </c>
      <c r="I2855" s="2">
        <v>1299</v>
      </c>
      <c r="J2855" s="2" t="s">
        <v>55</v>
      </c>
      <c r="K2855" s="2" t="s">
        <v>26</v>
      </c>
      <c r="L2855" s="2">
        <v>4.3</v>
      </c>
      <c r="M2855" s="2">
        <v>613</v>
      </c>
      <c r="P2855" t="str">
        <f t="shared" si="179"/>
        <v>60%</v>
      </c>
      <c r="Q2855" s="12">
        <f t="shared" si="176"/>
        <v>0.6</v>
      </c>
      <c r="R2855" s="9">
        <f t="shared" si="177"/>
        <v>519.6</v>
      </c>
      <c r="S2855" s="9">
        <f>IF(R2855="",AVERAGEIF(Table1[Category],Table1[[#This Row],[Category]],Table2[orignal data]),Table2[[#This Row],[orignal data]])</f>
        <v>519.6</v>
      </c>
      <c r="T2855" t="str">
        <f t="shared" si="178"/>
        <v>UNIQUE</v>
      </c>
      <c r="U2855" t="str">
        <f>IF(ISBLANK(Table1[[#This Row],[SizeOption]]),"NOT AVAILABLE",Table1[[#This Row],[SizeOption]])</f>
        <v>S, M, L, XL</v>
      </c>
      <c r="Y2855" t="str">
        <f>IF(Table2[[#This Row],[Column1]]&gt;50%,"HIGH DISCOUNT","LOW DISCOUNT")</f>
        <v>HIGH DISCOUNT</v>
      </c>
    </row>
    <row r="2856" spans="1:25" x14ac:dyDescent="0.25">
      <c r="A2856" s="1" t="s">
        <v>5973</v>
      </c>
      <c r="B2856" s="1">
        <v>10740958</v>
      </c>
      <c r="C2856" s="1" t="s">
        <v>14</v>
      </c>
      <c r="D2856" s="1" t="s">
        <v>28</v>
      </c>
      <c r="E2856" s="1" t="s">
        <v>29</v>
      </c>
      <c r="F2856" s="1" t="s">
        <v>17</v>
      </c>
      <c r="G2856" s="1" t="s">
        <v>5974</v>
      </c>
      <c r="H2856">
        <v>899</v>
      </c>
      <c r="I2856" s="1">
        <v>1499</v>
      </c>
      <c r="J2856" s="1" t="s">
        <v>50</v>
      </c>
      <c r="K2856" s="1" t="s">
        <v>253</v>
      </c>
      <c r="L2856" s="1">
        <v>4.4000000000000004</v>
      </c>
      <c r="M2856" s="1">
        <v>613</v>
      </c>
      <c r="P2856" t="str">
        <f t="shared" si="179"/>
        <v>40%</v>
      </c>
      <c r="Q2856" s="12">
        <f t="shared" si="176"/>
        <v>0.4</v>
      </c>
      <c r="R2856" s="9">
        <f t="shared" si="177"/>
        <v>899.4</v>
      </c>
      <c r="S2856" s="9">
        <f>IF(R2856="",AVERAGEIF(Table1[Category],Table1[[#This Row],[Category]],Table2[orignal data]),Table2[[#This Row],[orignal data]])</f>
        <v>899.4</v>
      </c>
      <c r="T2856" t="str">
        <f t="shared" si="178"/>
        <v>UNIQUE</v>
      </c>
      <c r="U2856" t="str">
        <f>IF(ISBLANK(Table1[[#This Row],[SizeOption]]),"NOT AVAILABLE",Table1[[#This Row],[SizeOption]])</f>
        <v>38, 40, 42, 44</v>
      </c>
      <c r="Y2856" t="str">
        <f>IF(Table2[[#This Row],[Column1]]&gt;50%,"HIGH DISCOUNT","LOW DISCOUNT")</f>
        <v>LOW DISCOUNT</v>
      </c>
    </row>
    <row r="2857" spans="1:25" x14ac:dyDescent="0.25">
      <c r="A2857" s="2" t="s">
        <v>5975</v>
      </c>
      <c r="B2857" s="2">
        <v>12947504</v>
      </c>
      <c r="C2857" s="2" t="s">
        <v>14</v>
      </c>
      <c r="D2857" s="2" t="s">
        <v>28</v>
      </c>
      <c r="E2857" s="2" t="s">
        <v>29</v>
      </c>
      <c r="F2857" s="2" t="s">
        <v>17</v>
      </c>
      <c r="G2857" s="2" t="s">
        <v>5976</v>
      </c>
      <c r="H2857">
        <v>674</v>
      </c>
      <c r="I2857" s="2">
        <v>1499</v>
      </c>
      <c r="J2857" s="2" t="s">
        <v>25</v>
      </c>
      <c r="K2857" s="2" t="s">
        <v>31</v>
      </c>
      <c r="L2857" s="2">
        <v>4.3</v>
      </c>
      <c r="M2857" s="2">
        <v>613</v>
      </c>
      <c r="P2857" t="str">
        <f t="shared" si="179"/>
        <v>55%</v>
      </c>
      <c r="Q2857" s="12">
        <f t="shared" si="176"/>
        <v>0.55000000000000004</v>
      </c>
      <c r="R2857" s="9">
        <f t="shared" si="177"/>
        <v>674.55</v>
      </c>
      <c r="S2857" s="9">
        <f>IF(R2857="",AVERAGEIF(Table1[Category],Table1[[#This Row],[Category]],Table2[orignal data]),Table2[[#This Row],[orignal data]])</f>
        <v>674.55</v>
      </c>
      <c r="T2857" t="str">
        <f t="shared" si="178"/>
        <v>UNIQUE</v>
      </c>
      <c r="U2857" t="str">
        <f>IF(ISBLANK(Table1[[#This Row],[SizeOption]]),"NOT AVAILABLE",Table1[[#This Row],[SizeOption]])</f>
        <v>38, 40, 42, 44, 46, 48</v>
      </c>
      <c r="Y2857" t="str">
        <f>IF(Table2[[#This Row],[Column1]]&gt;50%,"HIGH DISCOUNT","LOW DISCOUNT")</f>
        <v>HIGH DISCOUNT</v>
      </c>
    </row>
    <row r="2858" spans="1:25" x14ac:dyDescent="0.25">
      <c r="A2858" s="1" t="s">
        <v>5977</v>
      </c>
      <c r="B2858" s="1">
        <v>2338542</v>
      </c>
      <c r="C2858" s="1" t="s">
        <v>169</v>
      </c>
      <c r="D2858" s="1" t="s">
        <v>28</v>
      </c>
      <c r="E2858" s="1" t="s">
        <v>29</v>
      </c>
      <c r="F2858" s="1" t="s">
        <v>17</v>
      </c>
      <c r="G2858" s="1" t="s">
        <v>5978</v>
      </c>
      <c r="H2858">
        <v>1099</v>
      </c>
      <c r="I2858" s="1">
        <v>2199</v>
      </c>
      <c r="J2858" s="1" t="s">
        <v>84</v>
      </c>
      <c r="K2858" s="1" t="s">
        <v>484</v>
      </c>
      <c r="L2858" s="1">
        <v>4.0999999999999996</v>
      </c>
      <c r="M2858" s="1">
        <v>613</v>
      </c>
      <c r="P2858" t="str">
        <f t="shared" si="179"/>
        <v>50%</v>
      </c>
      <c r="Q2858" s="12">
        <f t="shared" si="176"/>
        <v>0.5</v>
      </c>
      <c r="R2858" s="9">
        <f t="shared" si="177"/>
        <v>1099.5</v>
      </c>
      <c r="S2858" s="9">
        <f>IF(R2858="",AVERAGEIF(Table1[Category],Table1[[#This Row],[Category]],Table2[orignal data]),Table2[[#This Row],[orignal data]])</f>
        <v>1099.5</v>
      </c>
      <c r="T2858" t="str">
        <f t="shared" si="178"/>
        <v>UNIQUE</v>
      </c>
      <c r="U2858" t="str">
        <f>IF(ISBLANK(Table1[[#This Row],[SizeOption]]),"NOT AVAILABLE",Table1[[#This Row],[SizeOption]])</f>
        <v>39, 40, 42, 44, 46</v>
      </c>
      <c r="Y2858" t="str">
        <f>IF(Table2[[#This Row],[Column1]]&gt;50%,"HIGH DISCOUNT","LOW DISCOUNT")</f>
        <v>LOW DISCOUNT</v>
      </c>
    </row>
    <row r="2859" spans="1:25" x14ac:dyDescent="0.25">
      <c r="A2859" s="2" t="s">
        <v>5979</v>
      </c>
      <c r="B2859" s="2">
        <v>8470027</v>
      </c>
      <c r="C2859" s="2" t="s">
        <v>14</v>
      </c>
      <c r="D2859" s="2" t="s">
        <v>28</v>
      </c>
      <c r="E2859" s="2" t="s">
        <v>29</v>
      </c>
      <c r="F2859" s="2" t="s">
        <v>17</v>
      </c>
      <c r="G2859" s="2" t="s">
        <v>5980</v>
      </c>
      <c r="H2859">
        <v>1149</v>
      </c>
      <c r="I2859" s="2">
        <v>2299</v>
      </c>
      <c r="J2859" s="2" t="s">
        <v>84</v>
      </c>
      <c r="K2859" s="2" t="s">
        <v>253</v>
      </c>
      <c r="L2859" s="2">
        <v>4.0999999999999996</v>
      </c>
      <c r="M2859" s="2">
        <v>613</v>
      </c>
      <c r="P2859" t="str">
        <f t="shared" si="179"/>
        <v>50%</v>
      </c>
      <c r="Q2859" s="12">
        <f t="shared" si="176"/>
        <v>0.5</v>
      </c>
      <c r="R2859" s="9">
        <f t="shared" si="177"/>
        <v>1149.5</v>
      </c>
      <c r="S2859" s="9">
        <f>IF(R2859="",AVERAGEIF(Table1[Category],Table1[[#This Row],[Category]],Table2[orignal data]),Table2[[#This Row],[orignal data]])</f>
        <v>1149.5</v>
      </c>
      <c r="T2859" t="str">
        <f t="shared" si="178"/>
        <v>UNIQUE</v>
      </c>
      <c r="U2859" t="str">
        <f>IF(ISBLANK(Table1[[#This Row],[SizeOption]]),"NOT AVAILABLE",Table1[[#This Row],[SizeOption]])</f>
        <v>38, 40, 42, 44</v>
      </c>
      <c r="Y2859" t="str">
        <f>IF(Table2[[#This Row],[Column1]]&gt;50%,"HIGH DISCOUNT","LOW DISCOUNT")</f>
        <v>LOW DISCOUNT</v>
      </c>
    </row>
    <row r="2860" spans="1:25" x14ac:dyDescent="0.25">
      <c r="A2860" s="1" t="s">
        <v>5981</v>
      </c>
      <c r="B2860" s="1">
        <v>13038030</v>
      </c>
      <c r="C2860" s="1" t="s">
        <v>779</v>
      </c>
      <c r="D2860" s="1" t="s">
        <v>34</v>
      </c>
      <c r="E2860" s="1" t="s">
        <v>296</v>
      </c>
      <c r="F2860" s="1" t="s">
        <v>36</v>
      </c>
      <c r="G2860" s="1" t="s">
        <v>5982</v>
      </c>
      <c r="I2860" s="1">
        <v>729</v>
      </c>
      <c r="J2860" s="1"/>
      <c r="K2860" s="1" t="s">
        <v>39</v>
      </c>
      <c r="L2860" s="1">
        <v>4.4000000000000004</v>
      </c>
      <c r="M2860" s="1">
        <v>613</v>
      </c>
      <c r="P2860" t="str">
        <f t="shared" si="179"/>
        <v/>
      </c>
      <c r="Q2860" s="12" t="str">
        <f t="shared" si="176"/>
        <v/>
      </c>
      <c r="R2860" s="9" t="str">
        <f t="shared" si="177"/>
        <v/>
      </c>
      <c r="S2860" s="9">
        <f>IF(R2860="",AVERAGEIF(Table1[Category],Table1[[#This Row],[Category]],Table2[orignal data]),Table2[[#This Row],[orignal data]])</f>
        <v>608.88518518518481</v>
      </c>
      <c r="T2860" t="str">
        <f t="shared" si="178"/>
        <v>UNIQUE</v>
      </c>
      <c r="U2860" t="str">
        <f>IF(ISBLANK(Table1[[#This Row],[SizeOption]]),"NOT AVAILABLE",Table1[[#This Row],[SizeOption]])</f>
        <v>S, M, L, XL, XXL</v>
      </c>
      <c r="Y2860" t="str">
        <f>IF(Table2[[#This Row],[Column1]]&gt;50%,"HIGH DISCOUNT","LOW DISCOUNT")</f>
        <v>HIGH DISCOUNT</v>
      </c>
    </row>
    <row r="2861" spans="1:25" x14ac:dyDescent="0.25">
      <c r="A2861" s="2" t="s">
        <v>5983</v>
      </c>
      <c r="B2861" s="2">
        <v>8505843</v>
      </c>
      <c r="C2861" s="2" t="s">
        <v>1385</v>
      </c>
      <c r="D2861" s="2" t="s">
        <v>41</v>
      </c>
      <c r="E2861" s="2" t="s">
        <v>16</v>
      </c>
      <c r="F2861" s="2" t="s">
        <v>36</v>
      </c>
      <c r="G2861" s="2" t="s">
        <v>5984</v>
      </c>
      <c r="I2861" s="2">
        <v>1899</v>
      </c>
      <c r="J2861" s="2" t="s">
        <v>273</v>
      </c>
      <c r="K2861" s="2" t="s">
        <v>428</v>
      </c>
      <c r="L2861" s="2">
        <v>3.2</v>
      </c>
      <c r="M2861" s="2">
        <v>613</v>
      </c>
      <c r="P2861" t="str">
        <f t="shared" si="179"/>
        <v>45 %</v>
      </c>
      <c r="Q2861" s="12">
        <f t="shared" si="176"/>
        <v>0.45</v>
      </c>
      <c r="R2861" s="9">
        <f t="shared" si="177"/>
        <v>1044.4499999999998</v>
      </c>
      <c r="S2861" s="9">
        <f>IF(R2861="",AVERAGEIF(Table1[Category],Table1[[#This Row],[Category]],Table2[orignal data]),Table2[[#This Row],[orignal data]])</f>
        <v>1044.4499999999998</v>
      </c>
      <c r="T2861" t="str">
        <f t="shared" si="178"/>
        <v>UNIQUE</v>
      </c>
      <c r="U2861" t="str">
        <f>IF(ISBLANK(Table1[[#This Row],[SizeOption]]),"NOT AVAILABLE",Table1[[#This Row],[SizeOption]])</f>
        <v>26, 28, 30, 32, 34</v>
      </c>
      <c r="Y2861" t="str">
        <f>IF(Table2[[#This Row],[Column1]]&gt;50%,"HIGH DISCOUNT","LOW DISCOUNT")</f>
        <v>LOW DISCOUNT</v>
      </c>
    </row>
    <row r="2862" spans="1:25" x14ac:dyDescent="0.25">
      <c r="A2862" s="1" t="s">
        <v>5985</v>
      </c>
      <c r="B2862" s="1">
        <v>7633370</v>
      </c>
      <c r="C2862" s="1" t="s">
        <v>346</v>
      </c>
      <c r="D2862" s="1" t="s">
        <v>15</v>
      </c>
      <c r="E2862" s="1" t="s">
        <v>16</v>
      </c>
      <c r="F2862" s="1" t="s">
        <v>17</v>
      </c>
      <c r="G2862" s="1" t="s">
        <v>5828</v>
      </c>
      <c r="H2862">
        <v>809</v>
      </c>
      <c r="I2862" s="1">
        <v>1799</v>
      </c>
      <c r="J2862" s="1" t="s">
        <v>25</v>
      </c>
      <c r="K2862" s="1" t="s">
        <v>20</v>
      </c>
      <c r="L2862" s="1">
        <v>3.9</v>
      </c>
      <c r="M2862" s="1">
        <v>612</v>
      </c>
      <c r="P2862" t="str">
        <f t="shared" si="179"/>
        <v>55%</v>
      </c>
      <c r="Q2862" s="12">
        <f t="shared" si="176"/>
        <v>0.55000000000000004</v>
      </c>
      <c r="R2862" s="9">
        <f t="shared" si="177"/>
        <v>809.55</v>
      </c>
      <c r="S2862" s="9">
        <f>IF(R2862="",AVERAGEIF(Table1[Category],Table1[[#This Row],[Category]],Table2[orignal data]),Table2[[#This Row],[orignal data]])</f>
        <v>809.55</v>
      </c>
      <c r="T2862" t="str">
        <f t="shared" si="178"/>
        <v>UNIQUE</v>
      </c>
      <c r="U2862" t="str">
        <f>IF(ISBLANK(Table1[[#This Row],[SizeOption]]),"NOT AVAILABLE",Table1[[#This Row],[SizeOption]])</f>
        <v>28, 30, 32, 34, 36</v>
      </c>
      <c r="Y2862" t="str">
        <f>IF(Table2[[#This Row],[Column1]]&gt;50%,"HIGH DISCOUNT","LOW DISCOUNT")</f>
        <v>HIGH DISCOUNT</v>
      </c>
    </row>
    <row r="2863" spans="1:25" x14ac:dyDescent="0.25">
      <c r="A2863" s="2" t="s">
        <v>5986</v>
      </c>
      <c r="B2863" s="2">
        <v>10683666</v>
      </c>
      <c r="C2863" s="2" t="s">
        <v>604</v>
      </c>
      <c r="D2863" s="2" t="s">
        <v>28</v>
      </c>
      <c r="E2863" s="2" t="s">
        <v>29</v>
      </c>
      <c r="F2863" s="2" t="s">
        <v>17</v>
      </c>
      <c r="G2863" s="2" t="s">
        <v>5987</v>
      </c>
      <c r="H2863">
        <v>545</v>
      </c>
      <c r="I2863" s="2">
        <v>1299</v>
      </c>
      <c r="J2863" s="2" t="s">
        <v>60</v>
      </c>
      <c r="K2863" s="2" t="s">
        <v>607</v>
      </c>
      <c r="L2863" s="2">
        <v>3.6</v>
      </c>
      <c r="M2863" s="2">
        <v>612</v>
      </c>
      <c r="P2863" t="str">
        <f t="shared" si="179"/>
        <v>58%</v>
      </c>
      <c r="Q2863" s="12">
        <f t="shared" si="176"/>
        <v>0.57999999999999996</v>
      </c>
      <c r="R2863" s="9">
        <f t="shared" si="177"/>
        <v>545.58000000000004</v>
      </c>
      <c r="S2863" s="9">
        <f>IF(R2863="",AVERAGEIF(Table1[Category],Table1[[#This Row],[Category]],Table2[orignal data]),Table2[[#This Row],[orignal data]])</f>
        <v>545.58000000000004</v>
      </c>
      <c r="T2863" t="str">
        <f t="shared" si="178"/>
        <v>UNIQUE</v>
      </c>
      <c r="U2863" t="str">
        <f>IF(ISBLANK(Table1[[#This Row],[SizeOption]]),"NOT AVAILABLE",Table1[[#This Row],[SizeOption]])</f>
        <v>36, 38, 40, 42, 44</v>
      </c>
      <c r="Y2863" t="str">
        <f>IF(Table2[[#This Row],[Column1]]&gt;50%,"HIGH DISCOUNT","LOW DISCOUNT")</f>
        <v>HIGH DISCOUNT</v>
      </c>
    </row>
    <row r="2864" spans="1:25" x14ac:dyDescent="0.25">
      <c r="A2864" s="1" t="s">
        <v>5988</v>
      </c>
      <c r="B2864" s="1">
        <v>1847237</v>
      </c>
      <c r="C2864" s="1" t="s">
        <v>841</v>
      </c>
      <c r="D2864" s="1" t="s">
        <v>28</v>
      </c>
      <c r="E2864" s="1" t="s">
        <v>29</v>
      </c>
      <c r="F2864" s="1" t="s">
        <v>17</v>
      </c>
      <c r="G2864" s="1" t="s">
        <v>5989</v>
      </c>
      <c r="H2864">
        <v>899</v>
      </c>
      <c r="I2864" s="1">
        <v>1999</v>
      </c>
      <c r="J2864" s="1" t="s">
        <v>25</v>
      </c>
      <c r="K2864" s="1" t="s">
        <v>253</v>
      </c>
      <c r="L2864" s="1">
        <v>3.8</v>
      </c>
      <c r="M2864" s="1">
        <v>612</v>
      </c>
      <c r="P2864" t="str">
        <f t="shared" si="179"/>
        <v>55%</v>
      </c>
      <c r="Q2864" s="12">
        <f t="shared" si="176"/>
        <v>0.55000000000000004</v>
      </c>
      <c r="R2864" s="9">
        <f t="shared" si="177"/>
        <v>899.55</v>
      </c>
      <c r="S2864" s="9">
        <f>IF(R2864="",AVERAGEIF(Table1[Category],Table1[[#This Row],[Category]],Table2[orignal data]),Table2[[#This Row],[orignal data]])</f>
        <v>899.55</v>
      </c>
      <c r="T2864" t="str">
        <f t="shared" si="178"/>
        <v>UNIQUE</v>
      </c>
      <c r="U2864" t="str">
        <f>IF(ISBLANK(Table1[[#This Row],[SizeOption]]),"NOT AVAILABLE",Table1[[#This Row],[SizeOption]])</f>
        <v>38, 40, 42, 44</v>
      </c>
      <c r="Y2864" t="str">
        <f>IF(Table2[[#This Row],[Column1]]&gt;50%,"HIGH DISCOUNT","LOW DISCOUNT")</f>
        <v>HIGH DISCOUNT</v>
      </c>
    </row>
    <row r="2865" spans="1:25" x14ac:dyDescent="0.25">
      <c r="A2865" s="2" t="s">
        <v>5990</v>
      </c>
      <c r="B2865" s="2">
        <v>10307501</v>
      </c>
      <c r="C2865" s="2" t="s">
        <v>14</v>
      </c>
      <c r="D2865" s="2" t="s">
        <v>28</v>
      </c>
      <c r="E2865" s="2" t="s">
        <v>42</v>
      </c>
      <c r="F2865" s="2" t="s">
        <v>17</v>
      </c>
      <c r="G2865" s="2" t="s">
        <v>5991</v>
      </c>
      <c r="I2865" s="2">
        <v>324</v>
      </c>
      <c r="J2865" s="2"/>
      <c r="K2865" s="2" t="s">
        <v>26</v>
      </c>
      <c r="L2865" s="2">
        <v>4</v>
      </c>
      <c r="M2865" s="2">
        <v>612</v>
      </c>
      <c r="P2865" t="str">
        <f t="shared" si="179"/>
        <v/>
      </c>
      <c r="Q2865" s="12" t="str">
        <f t="shared" si="176"/>
        <v/>
      </c>
      <c r="R2865" s="9" t="str">
        <f t="shared" si="177"/>
        <v/>
      </c>
      <c r="S2865" s="9">
        <f>IF(R2865="",AVERAGEIF(Table1[Category],Table1[[#This Row],[Category]],Table2[orignal data]),Table2[[#This Row],[orignal data]])</f>
        <v>671.7823941958867</v>
      </c>
      <c r="T2865" t="str">
        <f t="shared" si="178"/>
        <v>UNIQUE</v>
      </c>
      <c r="U2865" t="str">
        <f>IF(ISBLANK(Table1[[#This Row],[SizeOption]]),"NOT AVAILABLE",Table1[[#This Row],[SizeOption]])</f>
        <v>S, M, L, XL</v>
      </c>
      <c r="Y2865" t="str">
        <f>IF(Table2[[#This Row],[Column1]]&gt;50%,"HIGH DISCOUNT","LOW DISCOUNT")</f>
        <v>HIGH DISCOUNT</v>
      </c>
    </row>
    <row r="2866" spans="1:25" x14ac:dyDescent="0.25">
      <c r="A2866" s="1" t="s">
        <v>5992</v>
      </c>
      <c r="B2866" s="1">
        <v>10917766</v>
      </c>
      <c r="C2866" s="1" t="s">
        <v>67</v>
      </c>
      <c r="D2866" s="1" t="s">
        <v>34</v>
      </c>
      <c r="E2866" s="1" t="s">
        <v>118</v>
      </c>
      <c r="F2866" s="1" t="s">
        <v>36</v>
      </c>
      <c r="G2866" s="1" t="s">
        <v>5993</v>
      </c>
      <c r="H2866">
        <v>799</v>
      </c>
      <c r="I2866" s="1">
        <v>1999</v>
      </c>
      <c r="J2866" s="1" t="s">
        <v>55</v>
      </c>
      <c r="K2866" s="1" t="s">
        <v>45</v>
      </c>
      <c r="L2866" s="1">
        <v>4.4000000000000004</v>
      </c>
      <c r="M2866" s="1">
        <v>612</v>
      </c>
      <c r="P2866" t="str">
        <f t="shared" si="179"/>
        <v>60%</v>
      </c>
      <c r="Q2866" s="12">
        <f t="shared" si="176"/>
        <v>0.6</v>
      </c>
      <c r="R2866" s="9">
        <f t="shared" si="177"/>
        <v>799.60000000000014</v>
      </c>
      <c r="S2866" s="9">
        <f>IF(R2866="",AVERAGEIF(Table1[Category],Table1[[#This Row],[Category]],Table2[orignal data]),Table2[[#This Row],[orignal data]])</f>
        <v>799.60000000000014</v>
      </c>
      <c r="T2866" t="str">
        <f t="shared" si="178"/>
        <v>UNIQUE</v>
      </c>
      <c r="U2866" t="str">
        <f>IF(ISBLANK(Table1[[#This Row],[SizeOption]]),"NOT AVAILABLE",Table1[[#This Row],[SizeOption]])</f>
        <v>XS, S, M, L, XL</v>
      </c>
      <c r="Y2866" t="str">
        <f>IF(Table2[[#This Row],[Column1]]&gt;50%,"HIGH DISCOUNT","LOW DISCOUNT")</f>
        <v>HIGH DISCOUNT</v>
      </c>
    </row>
    <row r="2867" spans="1:25" x14ac:dyDescent="0.25">
      <c r="A2867" s="2" t="s">
        <v>5994</v>
      </c>
      <c r="B2867" s="2">
        <v>12752550</v>
      </c>
      <c r="C2867" s="2" t="s">
        <v>124</v>
      </c>
      <c r="D2867" s="2" t="s">
        <v>41</v>
      </c>
      <c r="E2867" s="2" t="s">
        <v>82</v>
      </c>
      <c r="F2867" s="2" t="s">
        <v>36</v>
      </c>
      <c r="G2867" s="2" t="s">
        <v>5995</v>
      </c>
      <c r="I2867" s="2">
        <v>2599</v>
      </c>
      <c r="J2867" s="2" t="s">
        <v>476</v>
      </c>
      <c r="K2867" s="2" t="s">
        <v>45</v>
      </c>
      <c r="L2867" s="2">
        <v>4.2</v>
      </c>
      <c r="M2867" s="2">
        <v>612</v>
      </c>
      <c r="P2867" t="str">
        <f t="shared" si="179"/>
        <v>63%</v>
      </c>
      <c r="Q2867" s="12">
        <f t="shared" si="176"/>
        <v>0.63</v>
      </c>
      <c r="R2867" s="9">
        <f t="shared" si="177"/>
        <v>961.62999999999988</v>
      </c>
      <c r="S2867" s="9">
        <f>IF(R2867="",AVERAGEIF(Table1[Category],Table1[[#This Row],[Category]],Table2[orignal data]),Table2[[#This Row],[orignal data]])</f>
        <v>961.62999999999988</v>
      </c>
      <c r="T2867" t="str">
        <f t="shared" si="178"/>
        <v>UNIQUE</v>
      </c>
      <c r="U2867" t="str">
        <f>IF(ISBLANK(Table1[[#This Row],[SizeOption]]),"NOT AVAILABLE",Table1[[#This Row],[SizeOption]])</f>
        <v>XS, S, M, L, XL</v>
      </c>
      <c r="Y2867" t="str">
        <f>IF(Table2[[#This Row],[Column1]]&gt;50%,"HIGH DISCOUNT","LOW DISCOUNT")</f>
        <v>HIGH DISCOUNT</v>
      </c>
    </row>
    <row r="2868" spans="1:25" x14ac:dyDescent="0.25">
      <c r="A2868" s="1" t="s">
        <v>5996</v>
      </c>
      <c r="B2868" s="1">
        <v>13040386</v>
      </c>
      <c r="C2868" s="1" t="s">
        <v>67</v>
      </c>
      <c r="D2868" s="1" t="s">
        <v>15</v>
      </c>
      <c r="E2868" s="1" t="s">
        <v>23</v>
      </c>
      <c r="F2868" s="1" t="s">
        <v>17</v>
      </c>
      <c r="G2868" s="1" t="s">
        <v>5997</v>
      </c>
      <c r="I2868" s="1">
        <v>1899</v>
      </c>
      <c r="J2868" s="1"/>
      <c r="K2868" s="1" t="s">
        <v>39</v>
      </c>
      <c r="L2868" s="1">
        <v>4</v>
      </c>
      <c r="M2868" s="1">
        <v>611</v>
      </c>
      <c r="P2868" t="str">
        <f t="shared" si="179"/>
        <v/>
      </c>
      <c r="Q2868" s="12" t="str">
        <f t="shared" si="176"/>
        <v/>
      </c>
      <c r="R2868" s="9" t="str">
        <f t="shared" si="177"/>
        <v/>
      </c>
      <c r="S2868" s="9">
        <f>IF(R2868="",AVERAGEIF(Table1[Category],Table1[[#This Row],[Category]],Table2[orignal data]),Table2[[#This Row],[orignal data]])</f>
        <v>892.27590339892538</v>
      </c>
      <c r="T2868" t="str">
        <f t="shared" si="178"/>
        <v>UNIQUE</v>
      </c>
      <c r="U2868" t="str">
        <f>IF(ISBLANK(Table1[[#This Row],[SizeOption]]),"NOT AVAILABLE",Table1[[#This Row],[SizeOption]])</f>
        <v>S, M, L, XL, XXL</v>
      </c>
      <c r="Y2868" t="str">
        <f>IF(Table2[[#This Row],[Column1]]&gt;50%,"HIGH DISCOUNT","LOW DISCOUNT")</f>
        <v>HIGH DISCOUNT</v>
      </c>
    </row>
    <row r="2869" spans="1:25" x14ac:dyDescent="0.25">
      <c r="A2869" s="2" t="s">
        <v>5998</v>
      </c>
      <c r="B2869" s="2">
        <v>10202161</v>
      </c>
      <c r="C2869" s="2" t="s">
        <v>64</v>
      </c>
      <c r="D2869" s="2" t="s">
        <v>15</v>
      </c>
      <c r="E2869" s="2" t="s">
        <v>23</v>
      </c>
      <c r="F2869" s="2" t="s">
        <v>17</v>
      </c>
      <c r="G2869" s="2" t="s">
        <v>5999</v>
      </c>
      <c r="H2869">
        <v>449</v>
      </c>
      <c r="I2869" s="2">
        <v>1499</v>
      </c>
      <c r="J2869" s="2" t="s">
        <v>79</v>
      </c>
      <c r="K2869" s="2" t="s">
        <v>39</v>
      </c>
      <c r="L2869" s="2">
        <v>3.8</v>
      </c>
      <c r="M2869" s="2">
        <v>611</v>
      </c>
      <c r="P2869" t="str">
        <f t="shared" si="179"/>
        <v>70%</v>
      </c>
      <c r="Q2869" s="12">
        <f t="shared" si="176"/>
        <v>0.7</v>
      </c>
      <c r="R2869" s="9">
        <f t="shared" si="177"/>
        <v>449.70000000000005</v>
      </c>
      <c r="S2869" s="9">
        <f>IF(R2869="",AVERAGEIF(Table1[Category],Table1[[#This Row],[Category]],Table2[orignal data]),Table2[[#This Row],[orignal data]])</f>
        <v>449.70000000000005</v>
      </c>
      <c r="T2869" t="str">
        <f t="shared" si="178"/>
        <v>UNIQUE</v>
      </c>
      <c r="U2869" t="str">
        <f>IF(ISBLANK(Table1[[#This Row],[SizeOption]]),"NOT AVAILABLE",Table1[[#This Row],[SizeOption]])</f>
        <v>S, M, L, XL, XXL</v>
      </c>
      <c r="Y2869" t="str">
        <f>IF(Table2[[#This Row],[Column1]]&gt;50%,"HIGH DISCOUNT","LOW DISCOUNT")</f>
        <v>HIGH DISCOUNT</v>
      </c>
    </row>
    <row r="2870" spans="1:25" x14ac:dyDescent="0.25">
      <c r="A2870" s="1" t="s">
        <v>6000</v>
      </c>
      <c r="B2870" s="1">
        <v>10248153</v>
      </c>
      <c r="C2870" s="1" t="s">
        <v>794</v>
      </c>
      <c r="D2870" s="1" t="s">
        <v>197</v>
      </c>
      <c r="E2870" s="1" t="s">
        <v>1807</v>
      </c>
      <c r="F2870" s="1" t="s">
        <v>17</v>
      </c>
      <c r="G2870" s="1" t="s">
        <v>6001</v>
      </c>
      <c r="H2870">
        <v>424</v>
      </c>
      <c r="I2870" s="1">
        <v>499</v>
      </c>
      <c r="J2870" s="1" t="s">
        <v>786</v>
      </c>
      <c r="K2870" s="1" t="s">
        <v>352</v>
      </c>
      <c r="L2870" s="1">
        <v>3.8</v>
      </c>
      <c r="M2870" s="1">
        <v>611</v>
      </c>
      <c r="P2870" t="str">
        <f t="shared" si="179"/>
        <v>15%</v>
      </c>
      <c r="Q2870" s="12">
        <f t="shared" si="176"/>
        <v>0.15</v>
      </c>
      <c r="R2870" s="9">
        <f t="shared" si="177"/>
        <v>424.15</v>
      </c>
      <c r="S2870" s="9">
        <f>IF(R2870="",AVERAGEIF(Table1[Category],Table1[[#This Row],[Category]],Table2[orignal data]),Table2[[#This Row],[orignal data]])</f>
        <v>424.15</v>
      </c>
      <c r="T2870" t="str">
        <f t="shared" si="178"/>
        <v>UNIQUE</v>
      </c>
      <c r="U2870" t="str">
        <f>IF(ISBLANK(Table1[[#This Row],[SizeOption]]),"NOT AVAILABLE",Table1[[#This Row],[SizeOption]])</f>
        <v>S, M, L</v>
      </c>
      <c r="Y2870" t="str">
        <f>IF(Table2[[#This Row],[Column1]]&gt;50%,"HIGH DISCOUNT","LOW DISCOUNT")</f>
        <v>LOW DISCOUNT</v>
      </c>
    </row>
    <row r="2871" spans="1:25" x14ac:dyDescent="0.25">
      <c r="A2871" s="2" t="s">
        <v>6002</v>
      </c>
      <c r="B2871" s="2">
        <v>11786040</v>
      </c>
      <c r="C2871" s="2" t="s">
        <v>794</v>
      </c>
      <c r="D2871" s="2" t="s">
        <v>197</v>
      </c>
      <c r="E2871" s="2" t="s">
        <v>1807</v>
      </c>
      <c r="F2871" s="2" t="s">
        <v>17</v>
      </c>
      <c r="G2871" s="2" t="s">
        <v>6003</v>
      </c>
      <c r="I2871" s="2">
        <v>998</v>
      </c>
      <c r="J2871" s="2"/>
      <c r="K2871" s="2" t="s">
        <v>352</v>
      </c>
      <c r="L2871" s="2">
        <v>3.8</v>
      </c>
      <c r="M2871" s="2">
        <v>611</v>
      </c>
      <c r="P2871" t="str">
        <f t="shared" si="179"/>
        <v/>
      </c>
      <c r="Q2871" s="12" t="str">
        <f t="shared" si="176"/>
        <v/>
      </c>
      <c r="R2871" s="9" t="str">
        <f t="shared" si="177"/>
        <v/>
      </c>
      <c r="S2871" s="9">
        <f>IF(R2871="",AVERAGEIF(Table1[Category],Table1[[#This Row],[Category]],Table2[orignal data]),Table2[[#This Row],[orignal data]])</f>
        <v>552.70900000000006</v>
      </c>
      <c r="T2871" t="str">
        <f t="shared" si="178"/>
        <v>UNIQUE</v>
      </c>
      <c r="U2871" t="str">
        <f>IF(ISBLANK(Table1[[#This Row],[SizeOption]]),"NOT AVAILABLE",Table1[[#This Row],[SizeOption]])</f>
        <v>S, M, L</v>
      </c>
      <c r="Y2871" t="str">
        <f>IF(Table2[[#This Row],[Column1]]&gt;50%,"HIGH DISCOUNT","LOW DISCOUNT")</f>
        <v>HIGH DISCOUNT</v>
      </c>
    </row>
    <row r="2872" spans="1:25" x14ac:dyDescent="0.25">
      <c r="A2872" s="1" t="s">
        <v>6004</v>
      </c>
      <c r="B2872" s="1">
        <v>10180527</v>
      </c>
      <c r="C2872" s="1" t="s">
        <v>6005</v>
      </c>
      <c r="D2872" s="1" t="s">
        <v>28</v>
      </c>
      <c r="E2872" s="1" t="s">
        <v>42</v>
      </c>
      <c r="F2872" s="1" t="s">
        <v>17</v>
      </c>
      <c r="G2872" s="1" t="s">
        <v>6006</v>
      </c>
      <c r="H2872">
        <v>599</v>
      </c>
      <c r="I2872" s="1">
        <v>1249</v>
      </c>
      <c r="J2872" s="1" t="s">
        <v>208</v>
      </c>
      <c r="K2872" s="1" t="s">
        <v>39</v>
      </c>
      <c r="L2872" s="1">
        <v>4.3</v>
      </c>
      <c r="M2872" s="1">
        <v>611</v>
      </c>
      <c r="P2872" t="str">
        <f t="shared" si="179"/>
        <v>52%</v>
      </c>
      <c r="Q2872" s="12">
        <f t="shared" si="176"/>
        <v>0.52</v>
      </c>
      <c r="R2872" s="9">
        <f t="shared" si="177"/>
        <v>599.52</v>
      </c>
      <c r="S2872" s="9">
        <f>IF(R2872="",AVERAGEIF(Table1[Category],Table1[[#This Row],[Category]],Table2[orignal data]),Table2[[#This Row],[orignal data]])</f>
        <v>599.52</v>
      </c>
      <c r="T2872" t="str">
        <f t="shared" si="178"/>
        <v>UNIQUE</v>
      </c>
      <c r="U2872" t="str">
        <f>IF(ISBLANK(Table1[[#This Row],[SizeOption]]),"NOT AVAILABLE",Table1[[#This Row],[SizeOption]])</f>
        <v>S, M, L, XL, XXL</v>
      </c>
      <c r="Y2872" t="str">
        <f>IF(Table2[[#This Row],[Column1]]&gt;50%,"HIGH DISCOUNT","LOW DISCOUNT")</f>
        <v>HIGH DISCOUNT</v>
      </c>
    </row>
    <row r="2873" spans="1:25" x14ac:dyDescent="0.25">
      <c r="A2873" s="2" t="s">
        <v>6007</v>
      </c>
      <c r="B2873" s="2">
        <v>9951287</v>
      </c>
      <c r="C2873" s="2" t="s">
        <v>14</v>
      </c>
      <c r="D2873" s="2" t="s">
        <v>28</v>
      </c>
      <c r="E2873" s="2" t="s">
        <v>29</v>
      </c>
      <c r="F2873" s="2" t="s">
        <v>17</v>
      </c>
      <c r="G2873" s="2" t="s">
        <v>6008</v>
      </c>
      <c r="I2873" s="2">
        <v>679</v>
      </c>
      <c r="J2873" s="2"/>
      <c r="K2873" s="2" t="s">
        <v>253</v>
      </c>
      <c r="L2873" s="2">
        <v>4.2</v>
      </c>
      <c r="M2873" s="2">
        <v>611</v>
      </c>
      <c r="P2873" t="str">
        <f t="shared" si="179"/>
        <v/>
      </c>
      <c r="Q2873" s="12" t="str">
        <f t="shared" si="176"/>
        <v/>
      </c>
      <c r="R2873" s="9" t="str">
        <f t="shared" si="177"/>
        <v/>
      </c>
      <c r="S2873" s="9">
        <f>IF(R2873="",AVERAGEIF(Table1[Category],Table1[[#This Row],[Category]],Table2[orignal data]),Table2[[#This Row],[orignal data]])</f>
        <v>671.7823941958867</v>
      </c>
      <c r="T2873" t="str">
        <f t="shared" si="178"/>
        <v>UNIQUE</v>
      </c>
      <c r="U2873" t="str">
        <f>IF(ISBLANK(Table1[[#This Row],[SizeOption]]),"NOT AVAILABLE",Table1[[#This Row],[SizeOption]])</f>
        <v>38, 40, 42, 44</v>
      </c>
      <c r="Y2873" t="str">
        <f>IF(Table2[[#This Row],[Column1]]&gt;50%,"HIGH DISCOUNT","LOW DISCOUNT")</f>
        <v>HIGH DISCOUNT</v>
      </c>
    </row>
    <row r="2874" spans="1:25" x14ac:dyDescent="0.25">
      <c r="A2874" s="1" t="s">
        <v>6009</v>
      </c>
      <c r="B2874" s="1">
        <v>12015500</v>
      </c>
      <c r="C2874" s="1" t="s">
        <v>797</v>
      </c>
      <c r="D2874" s="1" t="s">
        <v>76</v>
      </c>
      <c r="E2874" s="1" t="s">
        <v>93</v>
      </c>
      <c r="F2874" s="1" t="s">
        <v>36</v>
      </c>
      <c r="G2874" s="1" t="s">
        <v>6010</v>
      </c>
      <c r="H2874">
        <v>1007</v>
      </c>
      <c r="I2874" s="1">
        <v>2399</v>
      </c>
      <c r="J2874" s="1" t="s">
        <v>60</v>
      </c>
      <c r="K2874" s="1" t="s">
        <v>39</v>
      </c>
      <c r="L2874" s="1">
        <v>4.3</v>
      </c>
      <c r="M2874" s="1">
        <v>611</v>
      </c>
      <c r="P2874" t="str">
        <f t="shared" si="179"/>
        <v>58%</v>
      </c>
      <c r="Q2874" s="12">
        <f t="shared" si="176"/>
        <v>0.57999999999999996</v>
      </c>
      <c r="R2874" s="9">
        <f t="shared" si="177"/>
        <v>1007.5800000000002</v>
      </c>
      <c r="S2874" s="9">
        <f>IF(R2874="",AVERAGEIF(Table1[Category],Table1[[#This Row],[Category]],Table2[orignal data]),Table2[[#This Row],[orignal data]])</f>
        <v>1007.5800000000002</v>
      </c>
      <c r="T2874" t="str">
        <f t="shared" si="178"/>
        <v>UNIQUE</v>
      </c>
      <c r="U2874" t="str">
        <f>IF(ISBLANK(Table1[[#This Row],[SizeOption]]),"NOT AVAILABLE",Table1[[#This Row],[SizeOption]])</f>
        <v>S, M, L, XL, XXL</v>
      </c>
      <c r="Y2874" t="str">
        <f>IF(Table2[[#This Row],[Column1]]&gt;50%,"HIGH DISCOUNT","LOW DISCOUNT")</f>
        <v>HIGH DISCOUNT</v>
      </c>
    </row>
    <row r="2875" spans="1:25" x14ac:dyDescent="0.25">
      <c r="A2875" s="2" t="s">
        <v>6011</v>
      </c>
      <c r="B2875" s="2">
        <v>14006676</v>
      </c>
      <c r="C2875" s="2" t="s">
        <v>545</v>
      </c>
      <c r="D2875" s="2" t="s">
        <v>76</v>
      </c>
      <c r="E2875" s="2" t="s">
        <v>320</v>
      </c>
      <c r="F2875" s="2" t="s">
        <v>36</v>
      </c>
      <c r="G2875" s="2" t="s">
        <v>6012</v>
      </c>
      <c r="H2875">
        <v>1137</v>
      </c>
      <c r="I2875" s="2">
        <v>3249</v>
      </c>
      <c r="J2875" s="2" t="s">
        <v>150</v>
      </c>
      <c r="K2875" s="2" t="s">
        <v>164</v>
      </c>
      <c r="L2875" s="2">
        <v>4</v>
      </c>
      <c r="M2875" s="2">
        <v>611</v>
      </c>
      <c r="P2875" t="str">
        <f t="shared" si="179"/>
        <v>65%</v>
      </c>
      <c r="Q2875" s="12">
        <f t="shared" si="176"/>
        <v>0.65</v>
      </c>
      <c r="R2875" s="9">
        <f t="shared" si="177"/>
        <v>1137.1500000000001</v>
      </c>
      <c r="S2875" s="9">
        <f>IF(R2875="",AVERAGEIF(Table1[Category],Table1[[#This Row],[Category]],Table2[orignal data]),Table2[[#This Row],[orignal data]])</f>
        <v>1137.1500000000001</v>
      </c>
      <c r="T2875" t="str">
        <f t="shared" si="178"/>
        <v>UNIQUE</v>
      </c>
      <c r="U2875" t="str">
        <f>IF(ISBLANK(Table1[[#This Row],[SizeOption]]),"NOT AVAILABLE",Table1[[#This Row],[SizeOption]])</f>
        <v>Onesize</v>
      </c>
      <c r="Y2875" t="str">
        <f>IF(Table2[[#This Row],[Column1]]&gt;50%,"HIGH DISCOUNT","LOW DISCOUNT")</f>
        <v>HIGH DISCOUNT</v>
      </c>
    </row>
    <row r="2876" spans="1:25" x14ac:dyDescent="0.25">
      <c r="A2876" s="1" t="s">
        <v>6013</v>
      </c>
      <c r="B2876" s="1">
        <v>13437314</v>
      </c>
      <c r="C2876" s="1" t="s">
        <v>97</v>
      </c>
      <c r="D2876" s="1" t="s">
        <v>98</v>
      </c>
      <c r="E2876" s="1" t="s">
        <v>93</v>
      </c>
      <c r="F2876" s="1" t="s">
        <v>36</v>
      </c>
      <c r="G2876" s="1" t="s">
        <v>6014</v>
      </c>
      <c r="H2876">
        <v>749</v>
      </c>
      <c r="I2876" s="1">
        <v>1499</v>
      </c>
      <c r="J2876" s="1" t="s">
        <v>84</v>
      </c>
      <c r="K2876" s="1" t="s">
        <v>100</v>
      </c>
      <c r="L2876" s="1">
        <v>4.2</v>
      </c>
      <c r="M2876" s="1">
        <v>611</v>
      </c>
      <c r="P2876" t="str">
        <f t="shared" si="179"/>
        <v>50%</v>
      </c>
      <c r="Q2876" s="12">
        <f t="shared" si="176"/>
        <v>0.5</v>
      </c>
      <c r="R2876" s="9">
        <f t="shared" si="177"/>
        <v>749.5</v>
      </c>
      <c r="S2876" s="9">
        <f>IF(R2876="",AVERAGEIF(Table1[Category],Table1[[#This Row],[Category]],Table2[orignal data]),Table2[[#This Row],[orignal data]])</f>
        <v>749.5</v>
      </c>
      <c r="T2876" t="str">
        <f t="shared" si="178"/>
        <v>UNIQUE</v>
      </c>
      <c r="U2876" t="str">
        <f>IF(ISBLANK(Table1[[#This Row],[SizeOption]]),"NOT AVAILABLE",Table1[[#This Row],[SizeOption]])</f>
        <v>XS, S, M, L, XL, XXL, 3XL</v>
      </c>
      <c r="Y2876" t="str">
        <f>IF(Table2[[#This Row],[Column1]]&gt;50%,"HIGH DISCOUNT","LOW DISCOUNT")</f>
        <v>LOW DISCOUNT</v>
      </c>
    </row>
    <row r="2877" spans="1:25" x14ac:dyDescent="0.25">
      <c r="A2877" s="2" t="s">
        <v>6015</v>
      </c>
      <c r="B2877" s="2">
        <v>13532782</v>
      </c>
      <c r="C2877" s="2" t="s">
        <v>206</v>
      </c>
      <c r="D2877" s="2" t="s">
        <v>41</v>
      </c>
      <c r="E2877" s="2" t="s">
        <v>48</v>
      </c>
      <c r="F2877" s="2" t="s">
        <v>36</v>
      </c>
      <c r="G2877" s="2" t="s">
        <v>6016</v>
      </c>
      <c r="I2877" s="2">
        <v>1399</v>
      </c>
      <c r="J2877" s="2" t="s">
        <v>84</v>
      </c>
      <c r="K2877" s="2" t="s">
        <v>311</v>
      </c>
      <c r="L2877" s="2">
        <v>4</v>
      </c>
      <c r="M2877" s="2">
        <v>611</v>
      </c>
      <c r="P2877" t="str">
        <f t="shared" si="179"/>
        <v>50%</v>
      </c>
      <c r="Q2877" s="12">
        <f t="shared" si="176"/>
        <v>0.5</v>
      </c>
      <c r="R2877" s="9">
        <f t="shared" si="177"/>
        <v>699.5</v>
      </c>
      <c r="S2877" s="9">
        <f>IF(R2877="",AVERAGEIF(Table1[Category],Table1[[#This Row],[Category]],Table2[orignal data]),Table2[[#This Row],[orignal data]])</f>
        <v>699.5</v>
      </c>
      <c r="T2877" t="str">
        <f t="shared" si="178"/>
        <v>UNIQUE</v>
      </c>
      <c r="U2877" t="str">
        <f>IF(ISBLANK(Table1[[#This Row],[SizeOption]]),"NOT AVAILABLE",Table1[[#This Row],[SizeOption]])</f>
        <v>XS, S, M, L</v>
      </c>
      <c r="Y2877" t="str">
        <f>IF(Table2[[#This Row],[Column1]]&gt;50%,"HIGH DISCOUNT","LOW DISCOUNT")</f>
        <v>LOW DISCOUNT</v>
      </c>
    </row>
    <row r="2878" spans="1:25" x14ac:dyDescent="0.25">
      <c r="A2878" s="1" t="s">
        <v>6017</v>
      </c>
      <c r="B2878" s="1">
        <v>12160350</v>
      </c>
      <c r="C2878" s="1" t="s">
        <v>800</v>
      </c>
      <c r="D2878" s="1" t="s">
        <v>41</v>
      </c>
      <c r="E2878" s="1" t="s">
        <v>148</v>
      </c>
      <c r="F2878" s="1" t="s">
        <v>36</v>
      </c>
      <c r="G2878" s="1" t="s">
        <v>6018</v>
      </c>
      <c r="I2878" s="1">
        <v>1699</v>
      </c>
      <c r="J2878" s="1" t="s">
        <v>150</v>
      </c>
      <c r="K2878" s="1" t="s">
        <v>26</v>
      </c>
      <c r="L2878" s="1">
        <v>3.8</v>
      </c>
      <c r="M2878" s="1">
        <v>611</v>
      </c>
      <c r="P2878" t="str">
        <f t="shared" si="179"/>
        <v>65%</v>
      </c>
      <c r="Q2878" s="12">
        <f t="shared" si="176"/>
        <v>0.65</v>
      </c>
      <c r="R2878" s="9">
        <f t="shared" si="177"/>
        <v>594.64999999999986</v>
      </c>
      <c r="S2878" s="9">
        <f>IF(R2878="",AVERAGEIF(Table1[Category],Table1[[#This Row],[Category]],Table2[orignal data]),Table2[[#This Row],[orignal data]])</f>
        <v>594.64999999999986</v>
      </c>
      <c r="T2878" t="str">
        <f t="shared" si="178"/>
        <v>UNIQUE</v>
      </c>
      <c r="U2878" t="str">
        <f>IF(ISBLANK(Table1[[#This Row],[SizeOption]]),"NOT AVAILABLE",Table1[[#This Row],[SizeOption]])</f>
        <v>S, M, L, XL</v>
      </c>
      <c r="Y2878" t="str">
        <f>IF(Table2[[#This Row],[Column1]]&gt;50%,"HIGH DISCOUNT","LOW DISCOUNT")</f>
        <v>HIGH DISCOUNT</v>
      </c>
    </row>
    <row r="2879" spans="1:25" x14ac:dyDescent="0.25">
      <c r="A2879" s="2" t="s">
        <v>6019</v>
      </c>
      <c r="B2879" s="2">
        <v>12466140</v>
      </c>
      <c r="C2879" s="2" t="s">
        <v>121</v>
      </c>
      <c r="D2879" s="2" t="s">
        <v>41</v>
      </c>
      <c r="E2879" s="2" t="s">
        <v>16</v>
      </c>
      <c r="F2879" s="2" t="s">
        <v>36</v>
      </c>
      <c r="G2879" s="2" t="s">
        <v>6020</v>
      </c>
      <c r="I2879" s="2">
        <v>2299</v>
      </c>
      <c r="J2879" s="2" t="s">
        <v>79</v>
      </c>
      <c r="K2879" s="2" t="s">
        <v>134</v>
      </c>
      <c r="L2879" s="2">
        <v>4.4000000000000004</v>
      </c>
      <c r="M2879" s="2">
        <v>611</v>
      </c>
      <c r="P2879" t="str">
        <f t="shared" si="179"/>
        <v>70%</v>
      </c>
      <c r="Q2879" s="12">
        <f t="shared" si="176"/>
        <v>0.7</v>
      </c>
      <c r="R2879" s="9">
        <f t="shared" si="177"/>
        <v>689.7</v>
      </c>
      <c r="S2879" s="9">
        <f>IF(R2879="",AVERAGEIF(Table1[Category],Table1[[#This Row],[Category]],Table2[orignal data]),Table2[[#This Row],[orignal data]])</f>
        <v>689.7</v>
      </c>
      <c r="T2879" t="str">
        <f t="shared" si="178"/>
        <v>UNIQUE</v>
      </c>
      <c r="U2879" t="str">
        <f>IF(ISBLANK(Table1[[#This Row],[SizeOption]]),"NOT AVAILABLE",Table1[[#This Row],[SizeOption]])</f>
        <v>26, 28, 30, 32, 34, 36</v>
      </c>
      <c r="Y2879" t="str">
        <f>IF(Table2[[#This Row],[Column1]]&gt;50%,"HIGH DISCOUNT","LOW DISCOUNT")</f>
        <v>HIGH DISCOUNT</v>
      </c>
    </row>
    <row r="2880" spans="1:25" x14ac:dyDescent="0.25">
      <c r="A2880" s="1" t="s">
        <v>6021</v>
      </c>
      <c r="B2880" s="1">
        <v>11401654</v>
      </c>
      <c r="C2880" s="1" t="s">
        <v>14</v>
      </c>
      <c r="D2880" s="1" t="s">
        <v>41</v>
      </c>
      <c r="E2880" s="1" t="s">
        <v>48</v>
      </c>
      <c r="F2880" s="1" t="s">
        <v>36</v>
      </c>
      <c r="G2880" s="1" t="s">
        <v>6022</v>
      </c>
      <c r="I2880" s="1">
        <v>899</v>
      </c>
      <c r="J2880" s="1" t="s">
        <v>55</v>
      </c>
      <c r="K2880" s="1" t="s">
        <v>45</v>
      </c>
      <c r="L2880" s="1">
        <v>4.0999999999999996</v>
      </c>
      <c r="M2880" s="1">
        <v>611</v>
      </c>
      <c r="P2880" t="str">
        <f t="shared" si="179"/>
        <v>60%</v>
      </c>
      <c r="Q2880" s="12">
        <f t="shared" si="176"/>
        <v>0.6</v>
      </c>
      <c r="R2880" s="9">
        <f t="shared" si="177"/>
        <v>359.6</v>
      </c>
      <c r="S2880" s="9">
        <f>IF(R2880="",AVERAGEIF(Table1[Category],Table1[[#This Row],[Category]],Table2[orignal data]),Table2[[#This Row],[orignal data]])</f>
        <v>359.6</v>
      </c>
      <c r="T2880" t="str">
        <f t="shared" si="178"/>
        <v>UNIQUE</v>
      </c>
      <c r="U2880" t="str">
        <f>IF(ISBLANK(Table1[[#This Row],[SizeOption]]),"NOT AVAILABLE",Table1[[#This Row],[SizeOption]])</f>
        <v>XS, S, M, L, XL</v>
      </c>
      <c r="Y2880" t="str">
        <f>IF(Table2[[#This Row],[Column1]]&gt;50%,"HIGH DISCOUNT","LOW DISCOUNT")</f>
        <v>HIGH DISCOUNT</v>
      </c>
    </row>
    <row r="2881" spans="1:25" x14ac:dyDescent="0.25">
      <c r="A2881" s="2" t="s">
        <v>6023</v>
      </c>
      <c r="B2881" s="2">
        <v>2525011</v>
      </c>
      <c r="C2881" s="2" t="s">
        <v>14</v>
      </c>
      <c r="D2881" s="2" t="s">
        <v>15</v>
      </c>
      <c r="E2881" s="2" t="s">
        <v>16</v>
      </c>
      <c r="F2881" s="2" t="s">
        <v>17</v>
      </c>
      <c r="G2881" s="2" t="s">
        <v>6024</v>
      </c>
      <c r="I2881" s="2">
        <v>1999</v>
      </c>
      <c r="J2881" s="2"/>
      <c r="K2881" s="2" t="s">
        <v>20</v>
      </c>
      <c r="L2881" s="2">
        <v>3.9</v>
      </c>
      <c r="M2881" s="2">
        <v>610</v>
      </c>
      <c r="P2881" t="str">
        <f t="shared" si="179"/>
        <v/>
      </c>
      <c r="Q2881" s="12" t="str">
        <f t="shared" si="176"/>
        <v/>
      </c>
      <c r="R2881" s="9" t="str">
        <f t="shared" si="177"/>
        <v/>
      </c>
      <c r="S2881" s="9">
        <f>IF(R2881="",AVERAGEIF(Table1[Category],Table1[[#This Row],[Category]],Table2[orignal data]),Table2[[#This Row],[orignal data]])</f>
        <v>892.27590339892538</v>
      </c>
      <c r="T2881" t="str">
        <f t="shared" si="178"/>
        <v>UNIQUE</v>
      </c>
      <c r="U2881" t="str">
        <f>IF(ISBLANK(Table1[[#This Row],[SizeOption]]),"NOT AVAILABLE",Table1[[#This Row],[SizeOption]])</f>
        <v>28, 30, 32, 34, 36</v>
      </c>
      <c r="Y2881" t="str">
        <f>IF(Table2[[#This Row],[Column1]]&gt;50%,"HIGH DISCOUNT","LOW DISCOUNT")</f>
        <v>HIGH DISCOUNT</v>
      </c>
    </row>
    <row r="2882" spans="1:25" x14ac:dyDescent="0.25">
      <c r="A2882" s="1" t="s">
        <v>6025</v>
      </c>
      <c r="B2882" s="1">
        <v>10188171</v>
      </c>
      <c r="C2882" s="1" t="s">
        <v>169</v>
      </c>
      <c r="D2882" s="1" t="s">
        <v>15</v>
      </c>
      <c r="E2882" s="1" t="s">
        <v>53</v>
      </c>
      <c r="F2882" s="1" t="s">
        <v>17</v>
      </c>
      <c r="G2882" s="1" t="s">
        <v>6026</v>
      </c>
      <c r="H2882">
        <v>1689</v>
      </c>
      <c r="I2882" s="1">
        <v>2599</v>
      </c>
      <c r="J2882" s="1" t="s">
        <v>44</v>
      </c>
      <c r="K2882" s="1" t="s">
        <v>171</v>
      </c>
      <c r="L2882" s="1">
        <v>4.2</v>
      </c>
      <c r="M2882" s="1">
        <v>610</v>
      </c>
      <c r="P2882" t="str">
        <f t="shared" si="179"/>
        <v>35%</v>
      </c>
      <c r="Q2882" s="12">
        <f t="shared" ref="Q2882:Q2945" si="180">IF(P2882="","",IF(ISNUMBER(SEARCH("%",P2882)),P2882,P2882/I2882)*100%)</f>
        <v>0.35</v>
      </c>
      <c r="R2882" s="9">
        <f t="shared" ref="R2882:R2945" si="181">IF(P2882="","",I2882-(I2882*Q2882))</f>
        <v>1689.35</v>
      </c>
      <c r="S2882" s="9">
        <f>IF(R2882="",AVERAGEIF(Table1[Category],Table1[[#This Row],[Category]],Table2[orignal data]),Table2[[#This Row],[orignal data]])</f>
        <v>1689.35</v>
      </c>
      <c r="T2882" t="str">
        <f t="shared" ref="T2882:T2945" si="182">IF(COUNTIF($B$2:$B$5000,B2882)&gt;1,"DUPLICATE","UNIQUE")</f>
        <v>UNIQUE</v>
      </c>
      <c r="U2882" t="str">
        <f>IF(ISBLANK(Table1[[#This Row],[SizeOption]]),"NOT AVAILABLE",Table1[[#This Row],[SizeOption]])</f>
        <v>28, 30, 32, 34, 36, 38</v>
      </c>
      <c r="Y2882" t="str">
        <f>IF(Table2[[#This Row],[Column1]]&gt;50%,"HIGH DISCOUNT","LOW DISCOUNT")</f>
        <v>LOW DISCOUNT</v>
      </c>
    </row>
    <row r="2883" spans="1:25" x14ac:dyDescent="0.25">
      <c r="A2883" s="2" t="s">
        <v>6027</v>
      </c>
      <c r="B2883" s="2">
        <v>2002145</v>
      </c>
      <c r="C2883" s="2" t="s">
        <v>430</v>
      </c>
      <c r="D2883" s="2" t="s">
        <v>15</v>
      </c>
      <c r="E2883" s="2" t="s">
        <v>23</v>
      </c>
      <c r="F2883" s="2" t="s">
        <v>17</v>
      </c>
      <c r="G2883" s="2" t="s">
        <v>6028</v>
      </c>
      <c r="H2883">
        <v>659</v>
      </c>
      <c r="I2883" s="2">
        <v>2199</v>
      </c>
      <c r="J2883" s="2" t="s">
        <v>79</v>
      </c>
      <c r="K2883" s="2" t="s">
        <v>39</v>
      </c>
      <c r="L2883" s="2">
        <v>3.9</v>
      </c>
      <c r="M2883" s="2">
        <v>610</v>
      </c>
      <c r="P2883" t="str">
        <f t="shared" ref="P2883:P2946" si="183">TRIM(SUBSTITUTE(SUBSTITUTE(SUBSTITUTE(SUBSTITUTE(J2883,"OFF",""),"Rs.",""),"Hurry*",""),",",""))</f>
        <v>70%</v>
      </c>
      <c r="Q2883" s="12">
        <f t="shared" si="180"/>
        <v>0.7</v>
      </c>
      <c r="R2883" s="9">
        <f t="shared" si="181"/>
        <v>659.7</v>
      </c>
      <c r="S2883" s="9">
        <f>IF(R2883="",AVERAGEIF(Table1[Category],Table1[[#This Row],[Category]],Table2[orignal data]),Table2[[#This Row],[orignal data]])</f>
        <v>659.7</v>
      </c>
      <c r="T2883" t="str">
        <f t="shared" si="182"/>
        <v>UNIQUE</v>
      </c>
      <c r="U2883" t="str">
        <f>IF(ISBLANK(Table1[[#This Row],[SizeOption]]),"NOT AVAILABLE",Table1[[#This Row],[SizeOption]])</f>
        <v>S, M, L, XL, XXL</v>
      </c>
      <c r="Y2883" t="str">
        <f>IF(Table2[[#This Row],[Column1]]&gt;50%,"HIGH DISCOUNT","LOW DISCOUNT")</f>
        <v>HIGH DISCOUNT</v>
      </c>
    </row>
    <row r="2884" spans="1:25" x14ac:dyDescent="0.25">
      <c r="A2884" s="1" t="s">
        <v>6029</v>
      </c>
      <c r="B2884" s="1">
        <v>10248017</v>
      </c>
      <c r="C2884" s="1" t="s">
        <v>794</v>
      </c>
      <c r="D2884" s="1" t="s">
        <v>197</v>
      </c>
      <c r="E2884" s="1" t="s">
        <v>350</v>
      </c>
      <c r="F2884" s="1" t="s">
        <v>17</v>
      </c>
      <c r="G2884" s="1" t="s">
        <v>6030</v>
      </c>
      <c r="I2884" s="1">
        <v>259</v>
      </c>
      <c r="J2884" s="1"/>
      <c r="K2884" s="1" t="s">
        <v>352</v>
      </c>
      <c r="L2884" s="1">
        <v>4</v>
      </c>
      <c r="M2884" s="1">
        <v>610</v>
      </c>
      <c r="P2884" t="str">
        <f t="shared" si="183"/>
        <v/>
      </c>
      <c r="Q2884" s="12" t="str">
        <f t="shared" si="180"/>
        <v/>
      </c>
      <c r="R2884" s="9" t="str">
        <f t="shared" si="181"/>
        <v/>
      </c>
      <c r="S2884" s="9">
        <f>IF(R2884="",AVERAGEIF(Table1[Category],Table1[[#This Row],[Category]],Table2[orignal data]),Table2[[#This Row],[orignal data]])</f>
        <v>552.70900000000006</v>
      </c>
      <c r="T2884" t="str">
        <f t="shared" si="182"/>
        <v>UNIQUE</v>
      </c>
      <c r="U2884" t="str">
        <f>IF(ISBLANK(Table1[[#This Row],[SizeOption]]),"NOT AVAILABLE",Table1[[#This Row],[SizeOption]])</f>
        <v>S, M, L</v>
      </c>
      <c r="Y2884" t="str">
        <f>IF(Table2[[#This Row],[Column1]]&gt;50%,"HIGH DISCOUNT","LOW DISCOUNT")</f>
        <v>HIGH DISCOUNT</v>
      </c>
    </row>
    <row r="2885" spans="1:25" x14ac:dyDescent="0.25">
      <c r="A2885" s="2" t="s">
        <v>6031</v>
      </c>
      <c r="B2885" s="2">
        <v>2002018</v>
      </c>
      <c r="C2885" s="2" t="s">
        <v>169</v>
      </c>
      <c r="D2885" s="2" t="s">
        <v>28</v>
      </c>
      <c r="E2885" s="2" t="s">
        <v>42</v>
      </c>
      <c r="F2885" s="2" t="s">
        <v>17</v>
      </c>
      <c r="G2885" s="2" t="s">
        <v>6032</v>
      </c>
      <c r="H2885">
        <v>799</v>
      </c>
      <c r="I2885" s="2">
        <v>1599</v>
      </c>
      <c r="J2885" s="2" t="s">
        <v>84</v>
      </c>
      <c r="K2885" s="2" t="s">
        <v>39</v>
      </c>
      <c r="L2885" s="2">
        <v>4.0999999999999996</v>
      </c>
      <c r="M2885" s="2">
        <v>610</v>
      </c>
      <c r="P2885" t="str">
        <f t="shared" si="183"/>
        <v>50%</v>
      </c>
      <c r="Q2885" s="12">
        <f t="shared" si="180"/>
        <v>0.5</v>
      </c>
      <c r="R2885" s="9">
        <f t="shared" si="181"/>
        <v>799.5</v>
      </c>
      <c r="S2885" s="9">
        <f>IF(R2885="",AVERAGEIF(Table1[Category],Table1[[#This Row],[Category]],Table2[orignal data]),Table2[[#This Row],[orignal data]])</f>
        <v>799.5</v>
      </c>
      <c r="T2885" t="str">
        <f t="shared" si="182"/>
        <v>UNIQUE</v>
      </c>
      <c r="U2885" t="str">
        <f>IF(ISBLANK(Table1[[#This Row],[SizeOption]]),"NOT AVAILABLE",Table1[[#This Row],[SizeOption]])</f>
        <v>S, M, L, XL, XXL</v>
      </c>
      <c r="Y2885" t="str">
        <f>IF(Table2[[#This Row],[Column1]]&gt;50%,"HIGH DISCOUNT","LOW DISCOUNT")</f>
        <v>LOW DISCOUNT</v>
      </c>
    </row>
    <row r="2886" spans="1:25" x14ac:dyDescent="0.25">
      <c r="A2886" s="1" t="s">
        <v>6033</v>
      </c>
      <c r="B2886" s="1">
        <v>9981425</v>
      </c>
      <c r="C2886" s="1" t="s">
        <v>92</v>
      </c>
      <c r="D2886" s="1" t="s">
        <v>76</v>
      </c>
      <c r="E2886" s="1" t="s">
        <v>148</v>
      </c>
      <c r="F2886" s="1" t="s">
        <v>36</v>
      </c>
      <c r="G2886" s="1" t="s">
        <v>6034</v>
      </c>
      <c r="H2886">
        <v>839</v>
      </c>
      <c r="I2886" s="1">
        <v>2399</v>
      </c>
      <c r="J2886" s="1" t="s">
        <v>150</v>
      </c>
      <c r="K2886" s="1" t="s">
        <v>39</v>
      </c>
      <c r="L2886" s="1">
        <v>4.4000000000000004</v>
      </c>
      <c r="M2886" s="1">
        <v>610</v>
      </c>
      <c r="P2886" t="str">
        <f t="shared" si="183"/>
        <v>65%</v>
      </c>
      <c r="Q2886" s="12">
        <f t="shared" si="180"/>
        <v>0.65</v>
      </c>
      <c r="R2886" s="9">
        <f t="shared" si="181"/>
        <v>839.64999999999986</v>
      </c>
      <c r="S2886" s="9">
        <f>IF(R2886="",AVERAGEIF(Table1[Category],Table1[[#This Row],[Category]],Table2[orignal data]),Table2[[#This Row],[orignal data]])</f>
        <v>839.64999999999986</v>
      </c>
      <c r="T2886" t="str">
        <f t="shared" si="182"/>
        <v>UNIQUE</v>
      </c>
      <c r="U2886" t="str">
        <f>IF(ISBLANK(Table1[[#This Row],[SizeOption]]),"NOT AVAILABLE",Table1[[#This Row],[SizeOption]])</f>
        <v>S, M, L, XL, XXL</v>
      </c>
      <c r="Y2886" t="str">
        <f>IF(Table2[[#This Row],[Column1]]&gt;50%,"HIGH DISCOUNT","LOW DISCOUNT")</f>
        <v>HIGH DISCOUNT</v>
      </c>
    </row>
    <row r="2887" spans="1:25" x14ac:dyDescent="0.25">
      <c r="A2887" s="2" t="s">
        <v>6035</v>
      </c>
      <c r="B2887" s="2">
        <v>8340727</v>
      </c>
      <c r="C2887" s="2" t="s">
        <v>924</v>
      </c>
      <c r="D2887" s="2" t="s">
        <v>76</v>
      </c>
      <c r="E2887" s="2" t="s">
        <v>5274</v>
      </c>
      <c r="F2887" s="2" t="s">
        <v>36</v>
      </c>
      <c r="G2887" s="2" t="s">
        <v>6036</v>
      </c>
      <c r="H2887">
        <v>2947</v>
      </c>
      <c r="I2887" s="2">
        <v>6549</v>
      </c>
      <c r="J2887" s="2" t="s">
        <v>25</v>
      </c>
      <c r="K2887" s="2" t="s">
        <v>164</v>
      </c>
      <c r="L2887" s="2">
        <v>4</v>
      </c>
      <c r="M2887" s="2">
        <v>610</v>
      </c>
      <c r="P2887" t="str">
        <f t="shared" si="183"/>
        <v>55%</v>
      </c>
      <c r="Q2887" s="12">
        <f t="shared" si="180"/>
        <v>0.55000000000000004</v>
      </c>
      <c r="R2887" s="9">
        <f t="shared" si="181"/>
        <v>2947.0499999999997</v>
      </c>
      <c r="S2887" s="9">
        <f>IF(R2887="",AVERAGEIF(Table1[Category],Table1[[#This Row],[Category]],Table2[orignal data]),Table2[[#This Row],[orignal data]])</f>
        <v>2947.0499999999997</v>
      </c>
      <c r="T2887" t="str">
        <f t="shared" si="182"/>
        <v>UNIQUE</v>
      </c>
      <c r="U2887" t="str">
        <f>IF(ISBLANK(Table1[[#This Row],[SizeOption]]),"NOT AVAILABLE",Table1[[#This Row],[SizeOption]])</f>
        <v>Onesize</v>
      </c>
      <c r="Y2887" t="str">
        <f>IF(Table2[[#This Row],[Column1]]&gt;50%,"HIGH DISCOUNT","LOW DISCOUNT")</f>
        <v>HIGH DISCOUNT</v>
      </c>
    </row>
    <row r="2888" spans="1:25" x14ac:dyDescent="0.25">
      <c r="A2888" s="1" t="s">
        <v>6037</v>
      </c>
      <c r="B2888" s="1">
        <v>14208164</v>
      </c>
      <c r="C2888" s="1" t="s">
        <v>64</v>
      </c>
      <c r="D2888" s="1" t="s">
        <v>98</v>
      </c>
      <c r="E2888" s="1" t="s">
        <v>48</v>
      </c>
      <c r="F2888" s="1" t="s">
        <v>36</v>
      </c>
      <c r="G2888" s="1" t="s">
        <v>6038</v>
      </c>
      <c r="H2888">
        <v>479</v>
      </c>
      <c r="I2888" s="1">
        <v>1199</v>
      </c>
      <c r="J2888" s="1" t="s">
        <v>55</v>
      </c>
      <c r="K2888" s="1" t="s">
        <v>115</v>
      </c>
      <c r="L2888" s="1">
        <v>3.6</v>
      </c>
      <c r="M2888" s="1">
        <v>610</v>
      </c>
      <c r="P2888" t="str">
        <f t="shared" si="183"/>
        <v>60%</v>
      </c>
      <c r="Q2888" s="12">
        <f t="shared" si="180"/>
        <v>0.6</v>
      </c>
      <c r="R2888" s="9">
        <f t="shared" si="181"/>
        <v>479.6</v>
      </c>
      <c r="S2888" s="9">
        <f>IF(R2888="",AVERAGEIF(Table1[Category],Table1[[#This Row],[Category]],Table2[orignal data]),Table2[[#This Row],[orignal data]])</f>
        <v>479.6</v>
      </c>
      <c r="T2888" t="str">
        <f t="shared" si="182"/>
        <v>UNIQUE</v>
      </c>
      <c r="U2888" t="str">
        <f>IF(ISBLANK(Table1[[#This Row],[SizeOption]]),"NOT AVAILABLE",Table1[[#This Row],[SizeOption]])</f>
        <v>XS, S, M, L, XL, XXL</v>
      </c>
      <c r="Y2888" t="str">
        <f>IF(Table2[[#This Row],[Column1]]&gt;50%,"HIGH DISCOUNT","LOW DISCOUNT")</f>
        <v>HIGH DISCOUNT</v>
      </c>
    </row>
    <row r="2889" spans="1:25" x14ac:dyDescent="0.25">
      <c r="A2889" s="2" t="s">
        <v>6039</v>
      </c>
      <c r="B2889" s="2">
        <v>12530342</v>
      </c>
      <c r="C2889" s="2" t="s">
        <v>64</v>
      </c>
      <c r="D2889" s="2" t="s">
        <v>98</v>
      </c>
      <c r="E2889" s="2" t="s">
        <v>93</v>
      </c>
      <c r="F2889" s="2" t="s">
        <v>36</v>
      </c>
      <c r="G2889" s="2" t="s">
        <v>6040</v>
      </c>
      <c r="H2889">
        <v>479</v>
      </c>
      <c r="I2889" s="2">
        <v>1199</v>
      </c>
      <c r="J2889" s="2" t="s">
        <v>141</v>
      </c>
      <c r="K2889" s="2" t="s">
        <v>234</v>
      </c>
      <c r="L2889" s="2">
        <v>4.0999999999999996</v>
      </c>
      <c r="M2889" s="2">
        <v>610</v>
      </c>
      <c r="P2889" t="str">
        <f t="shared" si="183"/>
        <v>60%</v>
      </c>
      <c r="Q2889" s="12">
        <f t="shared" si="180"/>
        <v>0.6</v>
      </c>
      <c r="R2889" s="9">
        <f t="shared" si="181"/>
        <v>479.6</v>
      </c>
      <c r="S2889" s="9">
        <f>IF(R2889="",AVERAGEIF(Table1[Category],Table1[[#This Row],[Category]],Table2[orignal data]),Table2[[#This Row],[orignal data]])</f>
        <v>479.6</v>
      </c>
      <c r="T2889" t="str">
        <f t="shared" si="182"/>
        <v>UNIQUE</v>
      </c>
      <c r="U2889" t="str">
        <f>IF(ISBLANK(Table1[[#This Row],[SizeOption]]),"NOT AVAILABLE",Table1[[#This Row],[SizeOption]])</f>
        <v>S, M, L, XL, XXL, 3XL</v>
      </c>
      <c r="Y2889" t="str">
        <f>IF(Table2[[#This Row],[Column1]]&gt;50%,"HIGH DISCOUNT","LOW DISCOUNT")</f>
        <v>HIGH DISCOUNT</v>
      </c>
    </row>
    <row r="2890" spans="1:25" x14ac:dyDescent="0.25">
      <c r="A2890" s="1" t="s">
        <v>6041</v>
      </c>
      <c r="B2890" s="1">
        <v>2495151</v>
      </c>
      <c r="C2890" s="1" t="s">
        <v>47</v>
      </c>
      <c r="D2890" s="1" t="s">
        <v>41</v>
      </c>
      <c r="E2890" s="1" t="s">
        <v>48</v>
      </c>
      <c r="F2890" s="1" t="s">
        <v>36</v>
      </c>
      <c r="G2890" s="1" t="s">
        <v>4864</v>
      </c>
      <c r="I2890" s="1">
        <v>1099</v>
      </c>
      <c r="J2890" s="1" t="s">
        <v>25</v>
      </c>
      <c r="K2890" s="1" t="s">
        <v>45</v>
      </c>
      <c r="L2890" s="1">
        <v>4.2</v>
      </c>
      <c r="M2890" s="1">
        <v>610</v>
      </c>
      <c r="P2890" t="str">
        <f t="shared" si="183"/>
        <v>55%</v>
      </c>
      <c r="Q2890" s="12">
        <f t="shared" si="180"/>
        <v>0.55000000000000004</v>
      </c>
      <c r="R2890" s="9">
        <f t="shared" si="181"/>
        <v>494.54999999999995</v>
      </c>
      <c r="S2890" s="9">
        <f>IF(R2890="",AVERAGEIF(Table1[Category],Table1[[#This Row],[Category]],Table2[orignal data]),Table2[[#This Row],[orignal data]])</f>
        <v>494.54999999999995</v>
      </c>
      <c r="T2890" t="str">
        <f t="shared" si="182"/>
        <v>UNIQUE</v>
      </c>
      <c r="U2890" t="str">
        <f>IF(ISBLANK(Table1[[#This Row],[SizeOption]]),"NOT AVAILABLE",Table1[[#This Row],[SizeOption]])</f>
        <v>XS, S, M, L, XL</v>
      </c>
      <c r="Y2890" t="str">
        <f>IF(Table2[[#This Row],[Column1]]&gt;50%,"HIGH DISCOUNT","LOW DISCOUNT")</f>
        <v>HIGH DISCOUNT</v>
      </c>
    </row>
    <row r="2891" spans="1:25" x14ac:dyDescent="0.25">
      <c r="A2891" s="2" t="s">
        <v>6042</v>
      </c>
      <c r="B2891" s="2">
        <v>10144243</v>
      </c>
      <c r="C2891" s="2" t="s">
        <v>14</v>
      </c>
      <c r="D2891" s="2" t="s">
        <v>41</v>
      </c>
      <c r="E2891" s="2" t="s">
        <v>42</v>
      </c>
      <c r="F2891" s="2" t="s">
        <v>36</v>
      </c>
      <c r="G2891" s="2" t="s">
        <v>6043</v>
      </c>
      <c r="I2891" s="2">
        <v>1199</v>
      </c>
      <c r="J2891" s="2" t="s">
        <v>84</v>
      </c>
      <c r="K2891" s="2" t="s">
        <v>45</v>
      </c>
      <c r="L2891" s="2">
        <v>4.2</v>
      </c>
      <c r="M2891" s="2">
        <v>610</v>
      </c>
      <c r="P2891" t="str">
        <f t="shared" si="183"/>
        <v>50%</v>
      </c>
      <c r="Q2891" s="12">
        <f t="shared" si="180"/>
        <v>0.5</v>
      </c>
      <c r="R2891" s="9">
        <f t="shared" si="181"/>
        <v>599.5</v>
      </c>
      <c r="S2891" s="9">
        <f>IF(R2891="",AVERAGEIF(Table1[Category],Table1[[#This Row],[Category]],Table2[orignal data]),Table2[[#This Row],[orignal data]])</f>
        <v>599.5</v>
      </c>
      <c r="T2891" t="str">
        <f t="shared" si="182"/>
        <v>UNIQUE</v>
      </c>
      <c r="U2891" t="str">
        <f>IF(ISBLANK(Table1[[#This Row],[SizeOption]]),"NOT AVAILABLE",Table1[[#This Row],[SizeOption]])</f>
        <v>XS, S, M, L, XL</v>
      </c>
      <c r="Y2891" t="str">
        <f>IF(Table2[[#This Row],[Column1]]&gt;50%,"HIGH DISCOUNT","LOW DISCOUNT")</f>
        <v>LOW DISCOUNT</v>
      </c>
    </row>
    <row r="2892" spans="1:25" x14ac:dyDescent="0.25">
      <c r="A2892" s="1" t="s">
        <v>6044</v>
      </c>
      <c r="B2892" s="1">
        <v>8352779</v>
      </c>
      <c r="C2892" s="1" t="s">
        <v>47</v>
      </c>
      <c r="D2892" s="1" t="s">
        <v>41</v>
      </c>
      <c r="E2892" s="1" t="s">
        <v>48</v>
      </c>
      <c r="F2892" s="1" t="s">
        <v>36</v>
      </c>
      <c r="G2892" s="1" t="s">
        <v>6045</v>
      </c>
      <c r="I2892" s="1">
        <v>1399</v>
      </c>
      <c r="J2892" s="1" t="s">
        <v>25</v>
      </c>
      <c r="K2892" s="1" t="s">
        <v>45</v>
      </c>
      <c r="L2892" s="1">
        <v>3.9</v>
      </c>
      <c r="M2892" s="1">
        <v>610</v>
      </c>
      <c r="P2892" t="str">
        <f t="shared" si="183"/>
        <v>55%</v>
      </c>
      <c r="Q2892" s="12">
        <f t="shared" si="180"/>
        <v>0.55000000000000004</v>
      </c>
      <c r="R2892" s="9">
        <f t="shared" si="181"/>
        <v>629.54999999999995</v>
      </c>
      <c r="S2892" s="9">
        <f>IF(R2892="",AVERAGEIF(Table1[Category],Table1[[#This Row],[Category]],Table2[orignal data]),Table2[[#This Row],[orignal data]])</f>
        <v>629.54999999999995</v>
      </c>
      <c r="T2892" t="str">
        <f t="shared" si="182"/>
        <v>UNIQUE</v>
      </c>
      <c r="U2892" t="str">
        <f>IF(ISBLANK(Table1[[#This Row],[SizeOption]]),"NOT AVAILABLE",Table1[[#This Row],[SizeOption]])</f>
        <v>XS, S, M, L, XL</v>
      </c>
      <c r="Y2892" t="str">
        <f>IF(Table2[[#This Row],[Column1]]&gt;50%,"HIGH DISCOUNT","LOW DISCOUNT")</f>
        <v>HIGH DISCOUNT</v>
      </c>
    </row>
    <row r="2893" spans="1:25" x14ac:dyDescent="0.25">
      <c r="A2893" s="2" t="s">
        <v>6046</v>
      </c>
      <c r="B2893" s="2">
        <v>13270264</v>
      </c>
      <c r="C2893" s="2" t="s">
        <v>14</v>
      </c>
      <c r="D2893" s="2" t="s">
        <v>41</v>
      </c>
      <c r="E2893" s="2" t="s">
        <v>42</v>
      </c>
      <c r="F2893" s="2" t="s">
        <v>36</v>
      </c>
      <c r="G2893" s="2" t="s">
        <v>6047</v>
      </c>
      <c r="I2893" s="2">
        <v>799</v>
      </c>
      <c r="J2893" s="2" t="s">
        <v>50</v>
      </c>
      <c r="K2893" s="2" t="s">
        <v>45</v>
      </c>
      <c r="L2893" s="2">
        <v>4.3</v>
      </c>
      <c r="M2893" s="2">
        <v>610</v>
      </c>
      <c r="P2893" t="str">
        <f t="shared" si="183"/>
        <v>40%</v>
      </c>
      <c r="Q2893" s="12">
        <f t="shared" si="180"/>
        <v>0.4</v>
      </c>
      <c r="R2893" s="9">
        <f t="shared" si="181"/>
        <v>479.4</v>
      </c>
      <c r="S2893" s="9">
        <f>IF(R2893="",AVERAGEIF(Table1[Category],Table1[[#This Row],[Category]],Table2[orignal data]),Table2[[#This Row],[orignal data]])</f>
        <v>479.4</v>
      </c>
      <c r="T2893" t="str">
        <f t="shared" si="182"/>
        <v>UNIQUE</v>
      </c>
      <c r="U2893" t="str">
        <f>IF(ISBLANK(Table1[[#This Row],[SizeOption]]),"NOT AVAILABLE",Table1[[#This Row],[SizeOption]])</f>
        <v>XS, S, M, L, XL</v>
      </c>
      <c r="Y2893" t="str">
        <f>IF(Table2[[#This Row],[Column1]]&gt;50%,"HIGH DISCOUNT","LOW DISCOUNT")</f>
        <v>LOW DISCOUNT</v>
      </c>
    </row>
    <row r="2894" spans="1:25" x14ac:dyDescent="0.25">
      <c r="A2894" s="1" t="s">
        <v>6048</v>
      </c>
      <c r="B2894" s="1">
        <v>11680624</v>
      </c>
      <c r="C2894" s="1" t="s">
        <v>14</v>
      </c>
      <c r="D2894" s="1" t="s">
        <v>41</v>
      </c>
      <c r="E2894" s="1" t="s">
        <v>48</v>
      </c>
      <c r="F2894" s="1" t="s">
        <v>36</v>
      </c>
      <c r="G2894" s="1" t="s">
        <v>6049</v>
      </c>
      <c r="I2894" s="1">
        <v>899</v>
      </c>
      <c r="J2894" s="1" t="s">
        <v>150</v>
      </c>
      <c r="K2894" s="1" t="s">
        <v>6050</v>
      </c>
      <c r="L2894" s="1">
        <v>4.0999999999999996</v>
      </c>
      <c r="M2894" s="1">
        <v>610</v>
      </c>
      <c r="P2894" t="str">
        <f t="shared" si="183"/>
        <v>65%</v>
      </c>
      <c r="Q2894" s="12">
        <f t="shared" si="180"/>
        <v>0.65</v>
      </c>
      <c r="R2894" s="9">
        <f t="shared" si="181"/>
        <v>314.64999999999998</v>
      </c>
      <c r="S2894" s="9">
        <f>IF(R2894="",AVERAGEIF(Table1[Category],Table1[[#This Row],[Category]],Table2[orignal data]),Table2[[#This Row],[orignal data]])</f>
        <v>314.64999999999998</v>
      </c>
      <c r="T2894" t="str">
        <f t="shared" si="182"/>
        <v>UNIQUE</v>
      </c>
      <c r="U2894" t="str">
        <f>IF(ISBLANK(Table1[[#This Row],[SizeOption]]),"NOT AVAILABLE",Table1[[#This Row],[SizeOption]])</f>
        <v>Onesize, XS, S, M, L, XL</v>
      </c>
      <c r="Y2894" t="str">
        <f>IF(Table2[[#This Row],[Column1]]&gt;50%,"HIGH DISCOUNT","LOW DISCOUNT")</f>
        <v>HIGH DISCOUNT</v>
      </c>
    </row>
    <row r="2895" spans="1:25" x14ac:dyDescent="0.25">
      <c r="A2895" s="2" t="s">
        <v>6051</v>
      </c>
      <c r="B2895" s="2">
        <v>11182520</v>
      </c>
      <c r="C2895" s="2" t="s">
        <v>107</v>
      </c>
      <c r="D2895" s="2" t="s">
        <v>41</v>
      </c>
      <c r="E2895" s="2" t="s">
        <v>42</v>
      </c>
      <c r="F2895" s="2" t="s">
        <v>36</v>
      </c>
      <c r="G2895" s="2" t="s">
        <v>6052</v>
      </c>
      <c r="I2895" s="2">
        <v>999</v>
      </c>
      <c r="J2895" s="2" t="s">
        <v>528</v>
      </c>
      <c r="K2895" s="2" t="s">
        <v>45</v>
      </c>
      <c r="L2895" s="2">
        <v>4.3</v>
      </c>
      <c r="M2895" s="2">
        <v>610</v>
      </c>
      <c r="P2895" t="str">
        <f t="shared" si="183"/>
        <v>500</v>
      </c>
      <c r="Q2895" s="12">
        <f t="shared" si="180"/>
        <v>0.50050050050050054</v>
      </c>
      <c r="R2895" s="9">
        <f t="shared" si="181"/>
        <v>498.99999999999994</v>
      </c>
      <c r="S2895" s="9">
        <f>IF(R2895="",AVERAGEIF(Table1[Category],Table1[[#This Row],[Category]],Table2[orignal data]),Table2[[#This Row],[orignal data]])</f>
        <v>498.99999999999994</v>
      </c>
      <c r="T2895" t="str">
        <f t="shared" si="182"/>
        <v>UNIQUE</v>
      </c>
      <c r="U2895" t="str">
        <f>IF(ISBLANK(Table1[[#This Row],[SizeOption]]),"NOT AVAILABLE",Table1[[#This Row],[SizeOption]])</f>
        <v>XS, S, M, L, XL</v>
      </c>
      <c r="Y2895" t="str">
        <f>IF(Table2[[#This Row],[Column1]]&gt;50%,"HIGH DISCOUNT","LOW DISCOUNT")</f>
        <v>HIGH DISCOUNT</v>
      </c>
    </row>
    <row r="2896" spans="1:25" x14ac:dyDescent="0.25">
      <c r="A2896" s="1" t="s">
        <v>6053</v>
      </c>
      <c r="B2896" s="1">
        <v>6832236</v>
      </c>
      <c r="C2896" s="1" t="s">
        <v>169</v>
      </c>
      <c r="D2896" s="1" t="s">
        <v>15</v>
      </c>
      <c r="E2896" s="1" t="s">
        <v>16</v>
      </c>
      <c r="F2896" s="1" t="s">
        <v>17</v>
      </c>
      <c r="G2896" s="1" t="s">
        <v>6054</v>
      </c>
      <c r="H2896">
        <v>1399</v>
      </c>
      <c r="I2896" s="1">
        <v>2799</v>
      </c>
      <c r="J2896" s="1" t="s">
        <v>84</v>
      </c>
      <c r="K2896" s="1" t="s">
        <v>171</v>
      </c>
      <c r="L2896" s="1">
        <v>4.0999999999999996</v>
      </c>
      <c r="M2896" s="1">
        <v>609</v>
      </c>
      <c r="P2896" t="str">
        <f t="shared" si="183"/>
        <v>50%</v>
      </c>
      <c r="Q2896" s="12">
        <f t="shared" si="180"/>
        <v>0.5</v>
      </c>
      <c r="R2896" s="9">
        <f t="shared" si="181"/>
        <v>1399.5</v>
      </c>
      <c r="S2896" s="9">
        <f>IF(R2896="",AVERAGEIF(Table1[Category],Table1[[#This Row],[Category]],Table2[orignal data]),Table2[[#This Row],[orignal data]])</f>
        <v>1399.5</v>
      </c>
      <c r="T2896" t="str">
        <f t="shared" si="182"/>
        <v>UNIQUE</v>
      </c>
      <c r="U2896" t="str">
        <f>IF(ISBLANK(Table1[[#This Row],[SizeOption]]),"NOT AVAILABLE",Table1[[#This Row],[SizeOption]])</f>
        <v>28, 30, 32, 34, 36, 38</v>
      </c>
      <c r="Y2896" t="str">
        <f>IF(Table2[[#This Row],[Column1]]&gt;50%,"HIGH DISCOUNT","LOW DISCOUNT")</f>
        <v>LOW DISCOUNT</v>
      </c>
    </row>
    <row r="2897" spans="1:25" x14ac:dyDescent="0.25">
      <c r="A2897" s="2" t="s">
        <v>6055</v>
      </c>
      <c r="B2897" s="2">
        <v>18028830</v>
      </c>
      <c r="C2897" s="2" t="s">
        <v>295</v>
      </c>
      <c r="D2897" s="2" t="s">
        <v>197</v>
      </c>
      <c r="E2897" s="2" t="s">
        <v>939</v>
      </c>
      <c r="F2897" s="2" t="s">
        <v>17</v>
      </c>
      <c r="G2897" s="2" t="s">
        <v>4736</v>
      </c>
      <c r="I2897" s="2">
        <v>1098</v>
      </c>
      <c r="J2897" s="2"/>
      <c r="K2897" s="2" t="s">
        <v>26</v>
      </c>
      <c r="L2897" s="2">
        <v>4.4000000000000004</v>
      </c>
      <c r="M2897" s="2">
        <v>609</v>
      </c>
      <c r="P2897" t="str">
        <f t="shared" si="183"/>
        <v/>
      </c>
      <c r="Q2897" s="12" t="str">
        <f t="shared" si="180"/>
        <v/>
      </c>
      <c r="R2897" s="9" t="str">
        <f t="shared" si="181"/>
        <v/>
      </c>
      <c r="S2897" s="9">
        <f>IF(R2897="",AVERAGEIF(Table1[Category],Table1[[#This Row],[Category]],Table2[orignal data]),Table2[[#This Row],[orignal data]])</f>
        <v>552.70900000000006</v>
      </c>
      <c r="T2897" t="str">
        <f t="shared" si="182"/>
        <v>UNIQUE</v>
      </c>
      <c r="U2897" t="str">
        <f>IF(ISBLANK(Table1[[#This Row],[SizeOption]]),"NOT AVAILABLE",Table1[[#This Row],[SizeOption]])</f>
        <v>S, M, L, XL</v>
      </c>
      <c r="Y2897" t="str">
        <f>IF(Table2[[#This Row],[Column1]]&gt;50%,"HIGH DISCOUNT","LOW DISCOUNT")</f>
        <v>HIGH DISCOUNT</v>
      </c>
    </row>
    <row r="2898" spans="1:25" x14ac:dyDescent="0.25">
      <c r="A2898" s="1" t="s">
        <v>6056</v>
      </c>
      <c r="B2898" s="1">
        <v>11904010</v>
      </c>
      <c r="C2898" s="1" t="s">
        <v>14</v>
      </c>
      <c r="D2898" s="1" t="s">
        <v>28</v>
      </c>
      <c r="E2898" s="1" t="s">
        <v>29</v>
      </c>
      <c r="F2898" s="1" t="s">
        <v>17</v>
      </c>
      <c r="G2898" s="1" t="s">
        <v>6057</v>
      </c>
      <c r="H2898">
        <v>599</v>
      </c>
      <c r="I2898" s="1">
        <v>1199</v>
      </c>
      <c r="J2898" s="1" t="s">
        <v>84</v>
      </c>
      <c r="K2898" s="1" t="s">
        <v>253</v>
      </c>
      <c r="L2898" s="1">
        <v>4.4000000000000004</v>
      </c>
      <c r="M2898" s="1">
        <v>609</v>
      </c>
      <c r="P2898" t="str">
        <f t="shared" si="183"/>
        <v>50%</v>
      </c>
      <c r="Q2898" s="12">
        <f t="shared" si="180"/>
        <v>0.5</v>
      </c>
      <c r="R2898" s="9">
        <f t="shared" si="181"/>
        <v>599.5</v>
      </c>
      <c r="S2898" s="9">
        <f>IF(R2898="",AVERAGEIF(Table1[Category],Table1[[#This Row],[Category]],Table2[orignal data]),Table2[[#This Row],[orignal data]])</f>
        <v>599.5</v>
      </c>
      <c r="T2898" t="str">
        <f t="shared" si="182"/>
        <v>UNIQUE</v>
      </c>
      <c r="U2898" t="str">
        <f>IF(ISBLANK(Table1[[#This Row],[SizeOption]]),"NOT AVAILABLE",Table1[[#This Row],[SizeOption]])</f>
        <v>38, 40, 42, 44</v>
      </c>
      <c r="Y2898" t="str">
        <f>IF(Table2[[#This Row],[Column1]]&gt;50%,"HIGH DISCOUNT","LOW DISCOUNT")</f>
        <v>LOW DISCOUNT</v>
      </c>
    </row>
    <row r="2899" spans="1:25" x14ac:dyDescent="0.25">
      <c r="A2899" s="2" t="s">
        <v>6058</v>
      </c>
      <c r="B2899" s="2">
        <v>11114290</v>
      </c>
      <c r="C2899" s="2" t="s">
        <v>52</v>
      </c>
      <c r="D2899" s="2" t="s">
        <v>28</v>
      </c>
      <c r="E2899" s="2" t="s">
        <v>29</v>
      </c>
      <c r="F2899" s="2" t="s">
        <v>17</v>
      </c>
      <c r="G2899" s="2" t="s">
        <v>6059</v>
      </c>
      <c r="H2899">
        <v>665</v>
      </c>
      <c r="I2899" s="2">
        <v>1799</v>
      </c>
      <c r="J2899" s="2" t="s">
        <v>476</v>
      </c>
      <c r="K2899" s="2" t="s">
        <v>90</v>
      </c>
      <c r="L2899" s="2">
        <v>4.3</v>
      </c>
      <c r="M2899" s="2">
        <v>609</v>
      </c>
      <c r="P2899" t="str">
        <f t="shared" si="183"/>
        <v>63%</v>
      </c>
      <c r="Q2899" s="12">
        <f t="shared" si="180"/>
        <v>0.63</v>
      </c>
      <c r="R2899" s="9">
        <f t="shared" si="181"/>
        <v>665.62999999999988</v>
      </c>
      <c r="S2899" s="9">
        <f>IF(R2899="",AVERAGEIF(Table1[Category],Table1[[#This Row],[Category]],Table2[orignal data]),Table2[[#This Row],[orignal data]])</f>
        <v>665.62999999999988</v>
      </c>
      <c r="T2899" t="str">
        <f t="shared" si="182"/>
        <v>UNIQUE</v>
      </c>
      <c r="U2899" t="str">
        <f>IF(ISBLANK(Table1[[#This Row],[SizeOption]]),"NOT AVAILABLE",Table1[[#This Row],[SizeOption]])</f>
        <v>39, 40, 42, 44</v>
      </c>
      <c r="Y2899" t="str">
        <f>IF(Table2[[#This Row],[Column1]]&gt;50%,"HIGH DISCOUNT","LOW DISCOUNT")</f>
        <v>HIGH DISCOUNT</v>
      </c>
    </row>
    <row r="2900" spans="1:25" x14ac:dyDescent="0.25">
      <c r="A2900" s="1" t="s">
        <v>6060</v>
      </c>
      <c r="B2900" s="1">
        <v>5508852</v>
      </c>
      <c r="C2900" s="1" t="s">
        <v>64</v>
      </c>
      <c r="D2900" s="1" t="s">
        <v>28</v>
      </c>
      <c r="E2900" s="1" t="s">
        <v>42</v>
      </c>
      <c r="F2900" s="1" t="s">
        <v>17</v>
      </c>
      <c r="G2900" s="1" t="s">
        <v>5208</v>
      </c>
      <c r="H2900">
        <v>314</v>
      </c>
      <c r="I2900" s="1">
        <v>899</v>
      </c>
      <c r="J2900" s="1" t="s">
        <v>150</v>
      </c>
      <c r="K2900" s="1" t="s">
        <v>39</v>
      </c>
      <c r="L2900" s="1">
        <v>4.0999999999999996</v>
      </c>
      <c r="M2900" s="1">
        <v>609</v>
      </c>
      <c r="P2900" t="str">
        <f t="shared" si="183"/>
        <v>65%</v>
      </c>
      <c r="Q2900" s="12">
        <f t="shared" si="180"/>
        <v>0.65</v>
      </c>
      <c r="R2900" s="9">
        <f t="shared" si="181"/>
        <v>314.64999999999998</v>
      </c>
      <c r="S2900" s="9">
        <f>IF(R2900="",AVERAGEIF(Table1[Category],Table1[[#This Row],[Category]],Table2[orignal data]),Table2[[#This Row],[orignal data]])</f>
        <v>314.64999999999998</v>
      </c>
      <c r="T2900" t="str">
        <f t="shared" si="182"/>
        <v>UNIQUE</v>
      </c>
      <c r="U2900" t="str">
        <f>IF(ISBLANK(Table1[[#This Row],[SizeOption]]),"NOT AVAILABLE",Table1[[#This Row],[SizeOption]])</f>
        <v>S, M, L, XL, XXL</v>
      </c>
      <c r="Y2900" t="str">
        <f>IF(Table2[[#This Row],[Column1]]&gt;50%,"HIGH DISCOUNT","LOW DISCOUNT")</f>
        <v>HIGH DISCOUNT</v>
      </c>
    </row>
    <row r="2901" spans="1:25" x14ac:dyDescent="0.25">
      <c r="A2901" s="2" t="s">
        <v>6061</v>
      </c>
      <c r="B2901" s="2">
        <v>12851454</v>
      </c>
      <c r="C2901" s="2" t="s">
        <v>64</v>
      </c>
      <c r="D2901" s="2" t="s">
        <v>76</v>
      </c>
      <c r="E2901" s="2" t="s">
        <v>93</v>
      </c>
      <c r="F2901" s="2" t="s">
        <v>36</v>
      </c>
      <c r="G2901" s="2" t="s">
        <v>6062</v>
      </c>
      <c r="H2901">
        <v>629</v>
      </c>
      <c r="I2901" s="2">
        <v>1399</v>
      </c>
      <c r="J2901" s="2" t="s">
        <v>25</v>
      </c>
      <c r="K2901" s="2" t="s">
        <v>100</v>
      </c>
      <c r="L2901" s="2">
        <v>4.0999999999999996</v>
      </c>
      <c r="M2901" s="2">
        <v>609</v>
      </c>
      <c r="P2901" t="str">
        <f t="shared" si="183"/>
        <v>55%</v>
      </c>
      <c r="Q2901" s="12">
        <f t="shared" si="180"/>
        <v>0.55000000000000004</v>
      </c>
      <c r="R2901" s="9">
        <f t="shared" si="181"/>
        <v>629.54999999999995</v>
      </c>
      <c r="S2901" s="9">
        <f>IF(R2901="",AVERAGEIF(Table1[Category],Table1[[#This Row],[Category]],Table2[orignal data]),Table2[[#This Row],[orignal data]])</f>
        <v>629.54999999999995</v>
      </c>
      <c r="T2901" t="str">
        <f t="shared" si="182"/>
        <v>UNIQUE</v>
      </c>
      <c r="U2901" t="str">
        <f>IF(ISBLANK(Table1[[#This Row],[SizeOption]]),"NOT AVAILABLE",Table1[[#This Row],[SizeOption]])</f>
        <v>XS, S, M, L, XL, XXL, 3XL</v>
      </c>
      <c r="Y2901" t="str">
        <f>IF(Table2[[#This Row],[Column1]]&gt;50%,"HIGH DISCOUNT","LOW DISCOUNT")</f>
        <v>HIGH DISCOUNT</v>
      </c>
    </row>
    <row r="2902" spans="1:25" x14ac:dyDescent="0.25">
      <c r="A2902" s="1" t="s">
        <v>6063</v>
      </c>
      <c r="B2902" s="1">
        <v>12103902</v>
      </c>
      <c r="C2902" s="1" t="s">
        <v>6064</v>
      </c>
      <c r="D2902" s="1" t="s">
        <v>76</v>
      </c>
      <c r="E2902" s="1" t="s">
        <v>93</v>
      </c>
      <c r="F2902" s="1" t="s">
        <v>36</v>
      </c>
      <c r="G2902" s="1" t="s">
        <v>6065</v>
      </c>
      <c r="H2902">
        <v>873</v>
      </c>
      <c r="I2902" s="1">
        <v>2299</v>
      </c>
      <c r="J2902" s="1" t="s">
        <v>126</v>
      </c>
      <c r="K2902" s="1" t="s">
        <v>234</v>
      </c>
      <c r="L2902" s="1">
        <v>4.0999999999999996</v>
      </c>
      <c r="M2902" s="1">
        <v>609</v>
      </c>
      <c r="P2902" t="str">
        <f t="shared" si="183"/>
        <v>62%</v>
      </c>
      <c r="Q2902" s="12">
        <f t="shared" si="180"/>
        <v>0.62</v>
      </c>
      <c r="R2902" s="9">
        <f t="shared" si="181"/>
        <v>873.62000000000012</v>
      </c>
      <c r="S2902" s="9">
        <f>IF(R2902="",AVERAGEIF(Table1[Category],Table1[[#This Row],[Category]],Table2[orignal data]),Table2[[#This Row],[orignal data]])</f>
        <v>873.62000000000012</v>
      </c>
      <c r="T2902" t="str">
        <f t="shared" si="182"/>
        <v>UNIQUE</v>
      </c>
      <c r="U2902" t="str">
        <f>IF(ISBLANK(Table1[[#This Row],[SizeOption]]),"NOT AVAILABLE",Table1[[#This Row],[SizeOption]])</f>
        <v>S, M, L, XL, XXL, 3XL</v>
      </c>
      <c r="Y2902" t="str">
        <f>IF(Table2[[#This Row],[Column1]]&gt;50%,"HIGH DISCOUNT","LOW DISCOUNT")</f>
        <v>HIGH DISCOUNT</v>
      </c>
    </row>
    <row r="2903" spans="1:25" x14ac:dyDescent="0.25">
      <c r="A2903" s="2" t="s">
        <v>6066</v>
      </c>
      <c r="B2903" s="2">
        <v>11611278</v>
      </c>
      <c r="C2903" s="2" t="s">
        <v>924</v>
      </c>
      <c r="D2903" s="2" t="s">
        <v>76</v>
      </c>
      <c r="E2903" s="2" t="s">
        <v>77</v>
      </c>
      <c r="F2903" s="2" t="s">
        <v>36</v>
      </c>
      <c r="G2903" s="2" t="s">
        <v>6067</v>
      </c>
      <c r="H2903">
        <v>3374</v>
      </c>
      <c r="I2903" s="2">
        <v>7499</v>
      </c>
      <c r="J2903" s="2" t="s">
        <v>25</v>
      </c>
      <c r="K2903" s="2" t="s">
        <v>115</v>
      </c>
      <c r="L2903" s="2">
        <v>4.3</v>
      </c>
      <c r="M2903" s="2">
        <v>609</v>
      </c>
      <c r="P2903" t="str">
        <f t="shared" si="183"/>
        <v>55%</v>
      </c>
      <c r="Q2903" s="12">
        <f t="shared" si="180"/>
        <v>0.55000000000000004</v>
      </c>
      <c r="R2903" s="9">
        <f t="shared" si="181"/>
        <v>3374.5499999999993</v>
      </c>
      <c r="S2903" s="9">
        <f>IF(R2903="",AVERAGEIF(Table1[Category],Table1[[#This Row],[Category]],Table2[orignal data]),Table2[[#This Row],[orignal data]])</f>
        <v>3374.5499999999993</v>
      </c>
      <c r="T2903" t="str">
        <f t="shared" si="182"/>
        <v>UNIQUE</v>
      </c>
      <c r="U2903" t="str">
        <f>IF(ISBLANK(Table1[[#This Row],[SizeOption]]),"NOT AVAILABLE",Table1[[#This Row],[SizeOption]])</f>
        <v>XS, S, M, L, XL, XXL</v>
      </c>
      <c r="Y2903" t="str">
        <f>IF(Table2[[#This Row],[Column1]]&gt;50%,"HIGH DISCOUNT","LOW DISCOUNT")</f>
        <v>HIGH DISCOUNT</v>
      </c>
    </row>
    <row r="2904" spans="1:25" x14ac:dyDescent="0.25">
      <c r="A2904" s="1" t="s">
        <v>6068</v>
      </c>
      <c r="B2904" s="1">
        <v>10779724</v>
      </c>
      <c r="C2904" s="1" t="s">
        <v>3510</v>
      </c>
      <c r="D2904" s="1" t="s">
        <v>34</v>
      </c>
      <c r="E2904" s="1" t="s">
        <v>296</v>
      </c>
      <c r="F2904" s="1" t="s">
        <v>36</v>
      </c>
      <c r="G2904" s="1" t="s">
        <v>6069</v>
      </c>
      <c r="I2904" s="1">
        <v>449</v>
      </c>
      <c r="J2904" s="1"/>
      <c r="K2904" s="1" t="s">
        <v>352</v>
      </c>
      <c r="L2904" s="1">
        <v>4.3</v>
      </c>
      <c r="M2904" s="1">
        <v>609</v>
      </c>
      <c r="P2904" t="str">
        <f t="shared" si="183"/>
        <v/>
      </c>
      <c r="Q2904" s="12" t="str">
        <f t="shared" si="180"/>
        <v/>
      </c>
      <c r="R2904" s="9" t="str">
        <f t="shared" si="181"/>
        <v/>
      </c>
      <c r="S2904" s="9">
        <f>IF(R2904="",AVERAGEIF(Table1[Category],Table1[[#This Row],[Category]],Table2[orignal data]),Table2[[#This Row],[orignal data]])</f>
        <v>608.88518518518481</v>
      </c>
      <c r="T2904" t="str">
        <f t="shared" si="182"/>
        <v>UNIQUE</v>
      </c>
      <c r="U2904" t="str">
        <f>IF(ISBLANK(Table1[[#This Row],[SizeOption]]),"NOT AVAILABLE",Table1[[#This Row],[SizeOption]])</f>
        <v>S, M, L</v>
      </c>
      <c r="Y2904" t="str">
        <f>IF(Table2[[#This Row],[Column1]]&gt;50%,"HIGH DISCOUNT","LOW DISCOUNT")</f>
        <v>HIGH DISCOUNT</v>
      </c>
    </row>
    <row r="2905" spans="1:25" x14ac:dyDescent="0.25">
      <c r="A2905" s="2" t="s">
        <v>6070</v>
      </c>
      <c r="B2905" s="2">
        <v>11866264</v>
      </c>
      <c r="C2905" s="2" t="s">
        <v>181</v>
      </c>
      <c r="D2905" s="2" t="s">
        <v>41</v>
      </c>
      <c r="E2905" s="2" t="s">
        <v>148</v>
      </c>
      <c r="F2905" s="2" t="s">
        <v>36</v>
      </c>
      <c r="G2905" s="2" t="s">
        <v>6071</v>
      </c>
      <c r="I2905" s="2">
        <v>1899</v>
      </c>
      <c r="J2905" s="2" t="s">
        <v>84</v>
      </c>
      <c r="K2905" s="2" t="s">
        <v>115</v>
      </c>
      <c r="L2905" s="2">
        <v>3.8</v>
      </c>
      <c r="M2905" s="2">
        <v>609</v>
      </c>
      <c r="P2905" t="str">
        <f t="shared" si="183"/>
        <v>50%</v>
      </c>
      <c r="Q2905" s="12">
        <f t="shared" si="180"/>
        <v>0.5</v>
      </c>
      <c r="R2905" s="9">
        <f t="shared" si="181"/>
        <v>949.5</v>
      </c>
      <c r="S2905" s="9">
        <f>IF(R2905="",AVERAGEIF(Table1[Category],Table1[[#This Row],[Category]],Table2[orignal data]),Table2[[#This Row],[orignal data]])</f>
        <v>949.5</v>
      </c>
      <c r="T2905" t="str">
        <f t="shared" si="182"/>
        <v>UNIQUE</v>
      </c>
      <c r="U2905" t="str">
        <f>IF(ISBLANK(Table1[[#This Row],[SizeOption]]),"NOT AVAILABLE",Table1[[#This Row],[SizeOption]])</f>
        <v>XS, S, M, L, XL, XXL</v>
      </c>
      <c r="Y2905" t="str">
        <f>IF(Table2[[#This Row],[Column1]]&gt;50%,"HIGH DISCOUNT","LOW DISCOUNT")</f>
        <v>LOW DISCOUNT</v>
      </c>
    </row>
    <row r="2906" spans="1:25" x14ac:dyDescent="0.25">
      <c r="A2906" s="1" t="s">
        <v>6072</v>
      </c>
      <c r="B2906" s="1">
        <v>9022577</v>
      </c>
      <c r="C2906" s="1" t="s">
        <v>14</v>
      </c>
      <c r="D2906" s="1" t="s">
        <v>41</v>
      </c>
      <c r="E2906" s="1" t="s">
        <v>16</v>
      </c>
      <c r="F2906" s="1" t="s">
        <v>36</v>
      </c>
      <c r="G2906" s="1" t="s">
        <v>6073</v>
      </c>
      <c r="I2906" s="1">
        <v>1999</v>
      </c>
      <c r="J2906" s="1" t="s">
        <v>19</v>
      </c>
      <c r="K2906" s="1" t="s">
        <v>134</v>
      </c>
      <c r="L2906" s="1">
        <v>4.0999999999999996</v>
      </c>
      <c r="M2906" s="1">
        <v>609</v>
      </c>
      <c r="P2906" t="str">
        <f t="shared" si="183"/>
        <v>45%</v>
      </c>
      <c r="Q2906" s="12">
        <f t="shared" si="180"/>
        <v>0.45</v>
      </c>
      <c r="R2906" s="9">
        <f t="shared" si="181"/>
        <v>1099.4499999999998</v>
      </c>
      <c r="S2906" s="9">
        <f>IF(R2906="",AVERAGEIF(Table1[Category],Table1[[#This Row],[Category]],Table2[orignal data]),Table2[[#This Row],[orignal data]])</f>
        <v>1099.4499999999998</v>
      </c>
      <c r="T2906" t="str">
        <f t="shared" si="182"/>
        <v>UNIQUE</v>
      </c>
      <c r="U2906" t="str">
        <f>IF(ISBLANK(Table1[[#This Row],[SizeOption]]),"NOT AVAILABLE",Table1[[#This Row],[SizeOption]])</f>
        <v>26, 28, 30, 32, 34, 36</v>
      </c>
      <c r="Y2906" t="str">
        <f>IF(Table2[[#This Row],[Column1]]&gt;50%,"HIGH DISCOUNT","LOW DISCOUNT")</f>
        <v>LOW DISCOUNT</v>
      </c>
    </row>
    <row r="2907" spans="1:25" x14ac:dyDescent="0.25">
      <c r="A2907" s="2" t="s">
        <v>6074</v>
      </c>
      <c r="B2907" s="2">
        <v>11288920</v>
      </c>
      <c r="C2907" s="2" t="s">
        <v>676</v>
      </c>
      <c r="D2907" s="2" t="s">
        <v>41</v>
      </c>
      <c r="E2907" s="2" t="s">
        <v>148</v>
      </c>
      <c r="F2907" s="2" t="s">
        <v>36</v>
      </c>
      <c r="G2907" s="2" t="s">
        <v>6075</v>
      </c>
      <c r="I2907" s="2">
        <v>2999</v>
      </c>
      <c r="J2907" s="2" t="s">
        <v>25</v>
      </c>
      <c r="K2907" s="2" t="s">
        <v>26</v>
      </c>
      <c r="L2907" s="2">
        <v>4.2</v>
      </c>
      <c r="M2907" s="2">
        <v>609</v>
      </c>
      <c r="P2907" t="str">
        <f t="shared" si="183"/>
        <v>55%</v>
      </c>
      <c r="Q2907" s="12">
        <f t="shared" si="180"/>
        <v>0.55000000000000004</v>
      </c>
      <c r="R2907" s="9">
        <f t="shared" si="181"/>
        <v>1349.55</v>
      </c>
      <c r="S2907" s="9">
        <f>IF(R2907="",AVERAGEIF(Table1[Category],Table1[[#This Row],[Category]],Table2[orignal data]),Table2[[#This Row],[orignal data]])</f>
        <v>1349.55</v>
      </c>
      <c r="T2907" t="str">
        <f t="shared" si="182"/>
        <v>UNIQUE</v>
      </c>
      <c r="U2907" t="str">
        <f>IF(ISBLANK(Table1[[#This Row],[SizeOption]]),"NOT AVAILABLE",Table1[[#This Row],[SizeOption]])</f>
        <v>S, M, L, XL</v>
      </c>
      <c r="Y2907" t="str">
        <f>IF(Table2[[#This Row],[Column1]]&gt;50%,"HIGH DISCOUNT","LOW DISCOUNT")</f>
        <v>HIGH DISCOUNT</v>
      </c>
    </row>
    <row r="2908" spans="1:25" x14ac:dyDescent="0.25">
      <c r="A2908" s="1" t="s">
        <v>6076</v>
      </c>
      <c r="B2908" s="1">
        <v>2383148</v>
      </c>
      <c r="C2908" s="1" t="s">
        <v>47</v>
      </c>
      <c r="D2908" s="1" t="s">
        <v>41</v>
      </c>
      <c r="E2908" s="1" t="s">
        <v>137</v>
      </c>
      <c r="F2908" s="1" t="s">
        <v>36</v>
      </c>
      <c r="G2908" s="1" t="s">
        <v>6077</v>
      </c>
      <c r="I2908" s="1">
        <v>799</v>
      </c>
      <c r="J2908" s="1"/>
      <c r="K2908" s="1" t="s">
        <v>134</v>
      </c>
      <c r="L2908" s="1">
        <v>4.2</v>
      </c>
      <c r="M2908" s="1">
        <v>609</v>
      </c>
      <c r="P2908" t="str">
        <f t="shared" si="183"/>
        <v/>
      </c>
      <c r="Q2908" s="12" t="str">
        <f t="shared" si="180"/>
        <v/>
      </c>
      <c r="R2908" s="9" t="str">
        <f t="shared" si="181"/>
        <v/>
      </c>
      <c r="S2908" s="9">
        <f>IF(R2908="",AVERAGEIF(Table1[Category],Table1[[#This Row],[Category]],Table2[orignal data]),Table2[[#This Row],[orignal data]])</f>
        <v>715.78890751086249</v>
      </c>
      <c r="T2908" t="str">
        <f t="shared" si="182"/>
        <v>UNIQUE</v>
      </c>
      <c r="U2908" t="str">
        <f>IF(ISBLANK(Table1[[#This Row],[SizeOption]]),"NOT AVAILABLE",Table1[[#This Row],[SizeOption]])</f>
        <v>26, 28, 30, 32, 34, 36</v>
      </c>
      <c r="Y2908" t="str">
        <f>IF(Table2[[#This Row],[Column1]]&gt;50%,"HIGH DISCOUNT","LOW DISCOUNT")</f>
        <v>HIGH DISCOUNT</v>
      </c>
    </row>
    <row r="2909" spans="1:25" x14ac:dyDescent="0.25">
      <c r="A2909" s="2" t="s">
        <v>6078</v>
      </c>
      <c r="B2909" s="2">
        <v>11333080</v>
      </c>
      <c r="C2909" s="2" t="s">
        <v>188</v>
      </c>
      <c r="D2909" s="2" t="s">
        <v>41</v>
      </c>
      <c r="E2909" s="2" t="s">
        <v>818</v>
      </c>
      <c r="F2909" s="2" t="s">
        <v>36</v>
      </c>
      <c r="G2909" s="2" t="s">
        <v>6079</v>
      </c>
      <c r="I2909" s="2">
        <v>999</v>
      </c>
      <c r="J2909" s="2" t="s">
        <v>25</v>
      </c>
      <c r="K2909" s="2" t="s">
        <v>26</v>
      </c>
      <c r="L2909" s="2">
        <v>4.2</v>
      </c>
      <c r="M2909" s="2">
        <v>609</v>
      </c>
      <c r="P2909" t="str">
        <f t="shared" si="183"/>
        <v>55%</v>
      </c>
      <c r="Q2909" s="12">
        <f t="shared" si="180"/>
        <v>0.55000000000000004</v>
      </c>
      <c r="R2909" s="9">
        <f t="shared" si="181"/>
        <v>449.54999999999995</v>
      </c>
      <c r="S2909" s="9">
        <f>IF(R2909="",AVERAGEIF(Table1[Category],Table1[[#This Row],[Category]],Table2[orignal data]),Table2[[#This Row],[orignal data]])</f>
        <v>449.54999999999995</v>
      </c>
      <c r="T2909" t="str">
        <f t="shared" si="182"/>
        <v>UNIQUE</v>
      </c>
      <c r="U2909" t="str">
        <f>IF(ISBLANK(Table1[[#This Row],[SizeOption]]),"NOT AVAILABLE",Table1[[#This Row],[SizeOption]])</f>
        <v>S, M, L, XL</v>
      </c>
      <c r="Y2909" t="str">
        <f>IF(Table2[[#This Row],[Column1]]&gt;50%,"HIGH DISCOUNT","LOW DISCOUNT")</f>
        <v>HIGH DISCOUNT</v>
      </c>
    </row>
    <row r="2910" spans="1:25" x14ac:dyDescent="0.25">
      <c r="A2910" s="1" t="s">
        <v>6080</v>
      </c>
      <c r="B2910" s="1">
        <v>14121270</v>
      </c>
      <c r="C2910" s="1" t="s">
        <v>52</v>
      </c>
      <c r="D2910" s="1" t="s">
        <v>15</v>
      </c>
      <c r="E2910" s="1" t="s">
        <v>137</v>
      </c>
      <c r="F2910" s="1" t="s">
        <v>17</v>
      </c>
      <c r="G2910" s="1" t="s">
        <v>6081</v>
      </c>
      <c r="H2910">
        <v>374</v>
      </c>
      <c r="I2910" s="1">
        <v>749</v>
      </c>
      <c r="J2910" s="1" t="s">
        <v>84</v>
      </c>
      <c r="K2910" s="1" t="s">
        <v>56</v>
      </c>
      <c r="L2910" s="1">
        <v>4.2</v>
      </c>
      <c r="M2910" s="1">
        <v>608</v>
      </c>
      <c r="P2910" t="str">
        <f t="shared" si="183"/>
        <v>50%</v>
      </c>
      <c r="Q2910" s="12">
        <f t="shared" si="180"/>
        <v>0.5</v>
      </c>
      <c r="R2910" s="9">
        <f t="shared" si="181"/>
        <v>374.5</v>
      </c>
      <c r="S2910" s="9">
        <f>IF(R2910="",AVERAGEIF(Table1[Category],Table1[[#This Row],[Category]],Table2[orignal data]),Table2[[#This Row],[orignal data]])</f>
        <v>374.5</v>
      </c>
      <c r="T2910" t="str">
        <f t="shared" si="182"/>
        <v>UNIQUE</v>
      </c>
      <c r="U2910" t="str">
        <f>IF(ISBLANK(Table1[[#This Row],[SizeOption]]),"NOT AVAILABLE",Table1[[#This Row],[SizeOption]])</f>
        <v>30, 32, 34, 36</v>
      </c>
      <c r="Y2910" t="str">
        <f>IF(Table2[[#This Row],[Column1]]&gt;50%,"HIGH DISCOUNT","LOW DISCOUNT")</f>
        <v>LOW DISCOUNT</v>
      </c>
    </row>
    <row r="2911" spans="1:25" x14ac:dyDescent="0.25">
      <c r="A2911" s="2" t="s">
        <v>6082</v>
      </c>
      <c r="B2911" s="2">
        <v>11255730</v>
      </c>
      <c r="C2911" s="2" t="s">
        <v>14</v>
      </c>
      <c r="D2911" s="2" t="s">
        <v>15</v>
      </c>
      <c r="E2911" s="2" t="s">
        <v>16</v>
      </c>
      <c r="F2911" s="2" t="s">
        <v>17</v>
      </c>
      <c r="G2911" s="2" t="s">
        <v>6083</v>
      </c>
      <c r="H2911">
        <v>679</v>
      </c>
      <c r="I2911" s="2">
        <v>1699</v>
      </c>
      <c r="J2911" s="2" t="s">
        <v>55</v>
      </c>
      <c r="K2911" s="2" t="s">
        <v>134</v>
      </c>
      <c r="L2911" s="2">
        <v>4</v>
      </c>
      <c r="M2911" s="2">
        <v>608</v>
      </c>
      <c r="P2911" t="str">
        <f t="shared" si="183"/>
        <v>60%</v>
      </c>
      <c r="Q2911" s="12">
        <f t="shared" si="180"/>
        <v>0.6</v>
      </c>
      <c r="R2911" s="9">
        <f t="shared" si="181"/>
        <v>679.6</v>
      </c>
      <c r="S2911" s="9">
        <f>IF(R2911="",AVERAGEIF(Table1[Category],Table1[[#This Row],[Category]],Table2[orignal data]),Table2[[#This Row],[orignal data]])</f>
        <v>679.6</v>
      </c>
      <c r="T2911" t="str">
        <f t="shared" si="182"/>
        <v>UNIQUE</v>
      </c>
      <c r="U2911" t="str">
        <f>IF(ISBLANK(Table1[[#This Row],[SizeOption]]),"NOT AVAILABLE",Table1[[#This Row],[SizeOption]])</f>
        <v>26, 28, 30, 32, 34, 36</v>
      </c>
      <c r="Y2911" t="str">
        <f>IF(Table2[[#This Row],[Column1]]&gt;50%,"HIGH DISCOUNT","LOW DISCOUNT")</f>
        <v>HIGH DISCOUNT</v>
      </c>
    </row>
    <row r="2912" spans="1:25" x14ac:dyDescent="0.25">
      <c r="A2912" s="1" t="s">
        <v>6084</v>
      </c>
      <c r="B2912" s="1">
        <v>18028792</v>
      </c>
      <c r="C2912" s="1" t="s">
        <v>295</v>
      </c>
      <c r="D2912" s="1" t="s">
        <v>197</v>
      </c>
      <c r="E2912" s="1" t="s">
        <v>939</v>
      </c>
      <c r="F2912" s="1" t="s">
        <v>17</v>
      </c>
      <c r="G2912" s="1" t="s">
        <v>4736</v>
      </c>
      <c r="I2912" s="1">
        <v>1098</v>
      </c>
      <c r="J2912" s="1"/>
      <c r="K2912" s="1" t="s">
        <v>26</v>
      </c>
      <c r="L2912" s="1">
        <v>4.4000000000000004</v>
      </c>
      <c r="M2912" s="1">
        <v>608</v>
      </c>
      <c r="P2912" t="str">
        <f t="shared" si="183"/>
        <v/>
      </c>
      <c r="Q2912" s="12" t="str">
        <f t="shared" si="180"/>
        <v/>
      </c>
      <c r="R2912" s="9" t="str">
        <f t="shared" si="181"/>
        <v/>
      </c>
      <c r="S2912" s="9">
        <f>IF(R2912="",AVERAGEIF(Table1[Category],Table1[[#This Row],[Category]],Table2[orignal data]),Table2[[#This Row],[orignal data]])</f>
        <v>552.70900000000006</v>
      </c>
      <c r="T2912" t="str">
        <f t="shared" si="182"/>
        <v>UNIQUE</v>
      </c>
      <c r="U2912" t="str">
        <f>IF(ISBLANK(Table1[[#This Row],[SizeOption]]),"NOT AVAILABLE",Table1[[#This Row],[SizeOption]])</f>
        <v>S, M, L, XL</v>
      </c>
      <c r="Y2912" t="str">
        <f>IF(Table2[[#This Row],[Column1]]&gt;50%,"HIGH DISCOUNT","LOW DISCOUNT")</f>
        <v>HIGH DISCOUNT</v>
      </c>
    </row>
    <row r="2913" spans="1:25" x14ac:dyDescent="0.25">
      <c r="A2913" s="2" t="s">
        <v>6085</v>
      </c>
      <c r="B2913" s="2">
        <v>12368030</v>
      </c>
      <c r="C2913" s="2" t="s">
        <v>6086</v>
      </c>
      <c r="D2913" s="2" t="s">
        <v>28</v>
      </c>
      <c r="E2913" s="2" t="s">
        <v>42</v>
      </c>
      <c r="F2913" s="2" t="s">
        <v>17</v>
      </c>
      <c r="G2913" s="2" t="s">
        <v>6087</v>
      </c>
      <c r="H2913">
        <v>587</v>
      </c>
      <c r="I2913" s="2">
        <v>1249</v>
      </c>
      <c r="J2913" s="2" t="s">
        <v>89</v>
      </c>
      <c r="K2913" s="2" t="s">
        <v>39</v>
      </c>
      <c r="L2913" s="2">
        <v>4.2</v>
      </c>
      <c r="M2913" s="2">
        <v>608</v>
      </c>
      <c r="P2913" t="str">
        <f t="shared" si="183"/>
        <v>53%</v>
      </c>
      <c r="Q2913" s="12">
        <f t="shared" si="180"/>
        <v>0.53</v>
      </c>
      <c r="R2913" s="9">
        <f t="shared" si="181"/>
        <v>587.03</v>
      </c>
      <c r="S2913" s="9">
        <f>IF(R2913="",AVERAGEIF(Table1[Category],Table1[[#This Row],[Category]],Table2[orignal data]),Table2[[#This Row],[orignal data]])</f>
        <v>587.03</v>
      </c>
      <c r="T2913" t="str">
        <f t="shared" si="182"/>
        <v>UNIQUE</v>
      </c>
      <c r="U2913" t="str">
        <f>IF(ISBLANK(Table1[[#This Row],[SizeOption]]),"NOT AVAILABLE",Table1[[#This Row],[SizeOption]])</f>
        <v>S, M, L, XL, XXL</v>
      </c>
      <c r="Y2913" t="str">
        <f>IF(Table2[[#This Row],[Column1]]&gt;50%,"HIGH DISCOUNT","LOW DISCOUNT")</f>
        <v>HIGH DISCOUNT</v>
      </c>
    </row>
    <row r="2914" spans="1:25" x14ac:dyDescent="0.25">
      <c r="A2914" s="1" t="s">
        <v>6088</v>
      </c>
      <c r="B2914" s="1">
        <v>8325285</v>
      </c>
      <c r="C2914" s="1" t="s">
        <v>47</v>
      </c>
      <c r="D2914" s="1" t="s">
        <v>28</v>
      </c>
      <c r="E2914" s="1" t="s">
        <v>42</v>
      </c>
      <c r="F2914" s="1" t="s">
        <v>17</v>
      </c>
      <c r="G2914" s="1" t="s">
        <v>6089</v>
      </c>
      <c r="H2914">
        <v>519</v>
      </c>
      <c r="I2914" s="1">
        <v>1299</v>
      </c>
      <c r="J2914" s="1" t="s">
        <v>55</v>
      </c>
      <c r="K2914" s="1" t="s">
        <v>26</v>
      </c>
      <c r="L2914" s="1">
        <v>4.2</v>
      </c>
      <c r="M2914" s="1">
        <v>608</v>
      </c>
      <c r="P2914" t="str">
        <f t="shared" si="183"/>
        <v>60%</v>
      </c>
      <c r="Q2914" s="12">
        <f t="shared" si="180"/>
        <v>0.6</v>
      </c>
      <c r="R2914" s="9">
        <f t="shared" si="181"/>
        <v>519.6</v>
      </c>
      <c r="S2914" s="9">
        <f>IF(R2914="",AVERAGEIF(Table1[Category],Table1[[#This Row],[Category]],Table2[orignal data]),Table2[[#This Row],[orignal data]])</f>
        <v>519.6</v>
      </c>
      <c r="T2914" t="str">
        <f t="shared" si="182"/>
        <v>UNIQUE</v>
      </c>
      <c r="U2914" t="str">
        <f>IF(ISBLANK(Table1[[#This Row],[SizeOption]]),"NOT AVAILABLE",Table1[[#This Row],[SizeOption]])</f>
        <v>S, M, L, XL</v>
      </c>
      <c r="Y2914" t="str">
        <f>IF(Table2[[#This Row],[Column1]]&gt;50%,"HIGH DISCOUNT","LOW DISCOUNT")</f>
        <v>HIGH DISCOUNT</v>
      </c>
    </row>
    <row r="2915" spans="1:25" x14ac:dyDescent="0.25">
      <c r="A2915" s="2" t="s">
        <v>6090</v>
      </c>
      <c r="B2915" s="2">
        <v>11659166</v>
      </c>
      <c r="C2915" s="2" t="s">
        <v>47</v>
      </c>
      <c r="D2915" s="2" t="s">
        <v>28</v>
      </c>
      <c r="E2915" s="2" t="s">
        <v>29</v>
      </c>
      <c r="F2915" s="2" t="s">
        <v>17</v>
      </c>
      <c r="G2915" s="2" t="s">
        <v>6091</v>
      </c>
      <c r="H2915">
        <v>759</v>
      </c>
      <c r="I2915" s="2">
        <v>1899</v>
      </c>
      <c r="J2915" s="2" t="s">
        <v>55</v>
      </c>
      <c r="K2915" s="2" t="s">
        <v>253</v>
      </c>
      <c r="L2915" s="2">
        <v>4</v>
      </c>
      <c r="M2915" s="2">
        <v>608</v>
      </c>
      <c r="P2915" t="str">
        <f t="shared" si="183"/>
        <v>60%</v>
      </c>
      <c r="Q2915" s="12">
        <f t="shared" si="180"/>
        <v>0.6</v>
      </c>
      <c r="R2915" s="9">
        <f t="shared" si="181"/>
        <v>759.60000000000014</v>
      </c>
      <c r="S2915" s="9">
        <f>IF(R2915="",AVERAGEIF(Table1[Category],Table1[[#This Row],[Category]],Table2[orignal data]),Table2[[#This Row],[orignal data]])</f>
        <v>759.60000000000014</v>
      </c>
      <c r="T2915" t="str">
        <f t="shared" si="182"/>
        <v>UNIQUE</v>
      </c>
      <c r="U2915" t="str">
        <f>IF(ISBLANK(Table1[[#This Row],[SizeOption]]),"NOT AVAILABLE",Table1[[#This Row],[SizeOption]])</f>
        <v>38, 40, 42, 44</v>
      </c>
      <c r="Y2915" t="str">
        <f>IF(Table2[[#This Row],[Column1]]&gt;50%,"HIGH DISCOUNT","LOW DISCOUNT")</f>
        <v>HIGH DISCOUNT</v>
      </c>
    </row>
    <row r="2916" spans="1:25" x14ac:dyDescent="0.25">
      <c r="A2916" s="1" t="s">
        <v>6092</v>
      </c>
      <c r="B2916" s="1">
        <v>12816476</v>
      </c>
      <c r="C2916" s="1" t="s">
        <v>64</v>
      </c>
      <c r="D2916" s="1" t="s">
        <v>28</v>
      </c>
      <c r="E2916" s="1" t="s">
        <v>42</v>
      </c>
      <c r="F2916" s="1" t="s">
        <v>17</v>
      </c>
      <c r="G2916" s="1" t="s">
        <v>4135</v>
      </c>
      <c r="H2916">
        <v>269</v>
      </c>
      <c r="I2916" s="1">
        <v>599</v>
      </c>
      <c r="J2916" s="1" t="s">
        <v>25</v>
      </c>
      <c r="K2916" s="1" t="s">
        <v>26</v>
      </c>
      <c r="L2916" s="1">
        <v>4.2</v>
      </c>
      <c r="M2916" s="1">
        <v>608</v>
      </c>
      <c r="P2916" t="str">
        <f t="shared" si="183"/>
        <v>55%</v>
      </c>
      <c r="Q2916" s="12">
        <f t="shared" si="180"/>
        <v>0.55000000000000004</v>
      </c>
      <c r="R2916" s="9">
        <f t="shared" si="181"/>
        <v>269.54999999999995</v>
      </c>
      <c r="S2916" s="9">
        <f>IF(R2916="",AVERAGEIF(Table1[Category],Table1[[#This Row],[Category]],Table2[orignal data]),Table2[[#This Row],[orignal data]])</f>
        <v>269.54999999999995</v>
      </c>
      <c r="T2916" t="str">
        <f t="shared" si="182"/>
        <v>UNIQUE</v>
      </c>
      <c r="U2916" t="str">
        <f>IF(ISBLANK(Table1[[#This Row],[SizeOption]]),"NOT AVAILABLE",Table1[[#This Row],[SizeOption]])</f>
        <v>S, M, L, XL</v>
      </c>
      <c r="Y2916" t="str">
        <f>IF(Table2[[#This Row],[Column1]]&gt;50%,"HIGH DISCOUNT","LOW DISCOUNT")</f>
        <v>HIGH DISCOUNT</v>
      </c>
    </row>
    <row r="2917" spans="1:25" x14ac:dyDescent="0.25">
      <c r="A2917" s="2" t="s">
        <v>6093</v>
      </c>
      <c r="B2917" s="2">
        <v>13075448</v>
      </c>
      <c r="C2917" s="2" t="s">
        <v>92</v>
      </c>
      <c r="D2917" s="2" t="s">
        <v>76</v>
      </c>
      <c r="E2917" s="2" t="s">
        <v>93</v>
      </c>
      <c r="F2917" s="2" t="s">
        <v>36</v>
      </c>
      <c r="G2917" s="2" t="s">
        <v>6094</v>
      </c>
      <c r="H2917">
        <v>491</v>
      </c>
      <c r="I2917" s="2">
        <v>1199</v>
      </c>
      <c r="J2917" s="2" t="s">
        <v>95</v>
      </c>
      <c r="K2917" s="2" t="s">
        <v>39</v>
      </c>
      <c r="L2917" s="2">
        <v>3.9</v>
      </c>
      <c r="M2917" s="2">
        <v>608</v>
      </c>
      <c r="P2917" t="str">
        <f t="shared" si="183"/>
        <v>59%</v>
      </c>
      <c r="Q2917" s="12">
        <f t="shared" si="180"/>
        <v>0.59</v>
      </c>
      <c r="R2917" s="9">
        <f t="shared" si="181"/>
        <v>491.59000000000003</v>
      </c>
      <c r="S2917" s="9">
        <f>IF(R2917="",AVERAGEIF(Table1[Category],Table1[[#This Row],[Category]],Table2[orignal data]),Table2[[#This Row],[orignal data]])</f>
        <v>491.59000000000003</v>
      </c>
      <c r="T2917" t="str">
        <f t="shared" si="182"/>
        <v>UNIQUE</v>
      </c>
      <c r="U2917" t="str">
        <f>IF(ISBLANK(Table1[[#This Row],[SizeOption]]),"NOT AVAILABLE",Table1[[#This Row],[SizeOption]])</f>
        <v>S, M, L, XL, XXL</v>
      </c>
      <c r="Y2917" t="str">
        <f>IF(Table2[[#This Row],[Column1]]&gt;50%,"HIGH DISCOUNT","LOW DISCOUNT")</f>
        <v>HIGH DISCOUNT</v>
      </c>
    </row>
    <row r="2918" spans="1:25" x14ac:dyDescent="0.25">
      <c r="A2918" s="1" t="s">
        <v>6095</v>
      </c>
      <c r="B2918" s="1">
        <v>14850348</v>
      </c>
      <c r="C2918" s="1" t="s">
        <v>1375</v>
      </c>
      <c r="D2918" s="1" t="s">
        <v>76</v>
      </c>
      <c r="E2918" s="1" t="s">
        <v>320</v>
      </c>
      <c r="F2918" s="1" t="s">
        <v>36</v>
      </c>
      <c r="G2918" s="1" t="s">
        <v>6096</v>
      </c>
      <c r="H2918">
        <v>1819</v>
      </c>
      <c r="I2918" s="1">
        <v>5199</v>
      </c>
      <c r="J2918" s="1" t="s">
        <v>150</v>
      </c>
      <c r="K2918" s="1" t="s">
        <v>164</v>
      </c>
      <c r="L2918" s="1">
        <v>4.3</v>
      </c>
      <c r="M2918" s="1">
        <v>608</v>
      </c>
      <c r="P2918" t="str">
        <f t="shared" si="183"/>
        <v>65%</v>
      </c>
      <c r="Q2918" s="12">
        <f t="shared" si="180"/>
        <v>0.65</v>
      </c>
      <c r="R2918" s="9">
        <f t="shared" si="181"/>
        <v>1819.65</v>
      </c>
      <c r="S2918" s="9">
        <f>IF(R2918="",AVERAGEIF(Table1[Category],Table1[[#This Row],[Category]],Table2[orignal data]),Table2[[#This Row],[orignal data]])</f>
        <v>1819.65</v>
      </c>
      <c r="T2918" t="str">
        <f t="shared" si="182"/>
        <v>UNIQUE</v>
      </c>
      <c r="U2918" t="str">
        <f>IF(ISBLANK(Table1[[#This Row],[SizeOption]]),"NOT AVAILABLE",Table1[[#This Row],[SizeOption]])</f>
        <v>Onesize</v>
      </c>
      <c r="Y2918" t="str">
        <f>IF(Table2[[#This Row],[Column1]]&gt;50%,"HIGH DISCOUNT","LOW DISCOUNT")</f>
        <v>HIGH DISCOUNT</v>
      </c>
    </row>
    <row r="2919" spans="1:25" x14ac:dyDescent="0.25">
      <c r="A2919" s="2" t="s">
        <v>6097</v>
      </c>
      <c r="B2919" s="2">
        <v>2339838</v>
      </c>
      <c r="C2919" s="2" t="s">
        <v>377</v>
      </c>
      <c r="D2919" s="2" t="s">
        <v>98</v>
      </c>
      <c r="E2919" s="2" t="s">
        <v>53</v>
      </c>
      <c r="F2919" s="2" t="s">
        <v>36</v>
      </c>
      <c r="G2919" s="2" t="s">
        <v>6098</v>
      </c>
      <c r="H2919">
        <v>623</v>
      </c>
      <c r="I2919" s="2">
        <v>1299</v>
      </c>
      <c r="J2919" s="2" t="s">
        <v>208</v>
      </c>
      <c r="K2919" s="2" t="s">
        <v>20</v>
      </c>
      <c r="L2919" s="2">
        <v>4.0999999999999996</v>
      </c>
      <c r="M2919" s="2">
        <v>608</v>
      </c>
      <c r="P2919" t="str">
        <f t="shared" si="183"/>
        <v>52%</v>
      </c>
      <c r="Q2919" s="12">
        <f t="shared" si="180"/>
        <v>0.52</v>
      </c>
      <c r="R2919" s="9">
        <f t="shared" si="181"/>
        <v>623.52</v>
      </c>
      <c r="S2919" s="9">
        <f>IF(R2919="",AVERAGEIF(Table1[Category],Table1[[#This Row],[Category]],Table2[orignal data]),Table2[[#This Row],[orignal data]])</f>
        <v>623.52</v>
      </c>
      <c r="T2919" t="str">
        <f t="shared" si="182"/>
        <v>UNIQUE</v>
      </c>
      <c r="U2919" t="str">
        <f>IF(ISBLANK(Table1[[#This Row],[SizeOption]]),"NOT AVAILABLE",Table1[[#This Row],[SizeOption]])</f>
        <v>28, 30, 32, 34, 36</v>
      </c>
      <c r="Y2919" t="str">
        <f>IF(Table2[[#This Row],[Column1]]&gt;50%,"HIGH DISCOUNT","LOW DISCOUNT")</f>
        <v>HIGH DISCOUNT</v>
      </c>
    </row>
    <row r="2920" spans="1:25" x14ac:dyDescent="0.25">
      <c r="A2920" s="1" t="s">
        <v>6099</v>
      </c>
      <c r="B2920" s="1">
        <v>12288178</v>
      </c>
      <c r="C2920" s="1" t="s">
        <v>181</v>
      </c>
      <c r="D2920" s="1" t="s">
        <v>41</v>
      </c>
      <c r="E2920" s="1" t="s">
        <v>368</v>
      </c>
      <c r="F2920" s="1" t="s">
        <v>36</v>
      </c>
      <c r="G2920" s="1" t="s">
        <v>6100</v>
      </c>
      <c r="I2920" s="1">
        <v>1199</v>
      </c>
      <c r="J2920" s="1" t="s">
        <v>84</v>
      </c>
      <c r="K2920" s="1" t="s">
        <v>428</v>
      </c>
      <c r="L2920" s="1">
        <v>4.3</v>
      </c>
      <c r="M2920" s="1">
        <v>608</v>
      </c>
      <c r="P2920" t="str">
        <f t="shared" si="183"/>
        <v>50%</v>
      </c>
      <c r="Q2920" s="12">
        <f t="shared" si="180"/>
        <v>0.5</v>
      </c>
      <c r="R2920" s="9">
        <f t="shared" si="181"/>
        <v>599.5</v>
      </c>
      <c r="S2920" s="9">
        <f>IF(R2920="",AVERAGEIF(Table1[Category],Table1[[#This Row],[Category]],Table2[orignal data]),Table2[[#This Row],[orignal data]])</f>
        <v>599.5</v>
      </c>
      <c r="T2920" t="str">
        <f t="shared" si="182"/>
        <v>UNIQUE</v>
      </c>
      <c r="U2920" t="str">
        <f>IF(ISBLANK(Table1[[#This Row],[SizeOption]]),"NOT AVAILABLE",Table1[[#This Row],[SizeOption]])</f>
        <v>26, 28, 30, 32, 34</v>
      </c>
      <c r="Y2920" t="str">
        <f>IF(Table2[[#This Row],[Column1]]&gt;50%,"HIGH DISCOUNT","LOW DISCOUNT")</f>
        <v>LOW DISCOUNT</v>
      </c>
    </row>
    <row r="2921" spans="1:25" x14ac:dyDescent="0.25">
      <c r="A2921" s="2" t="s">
        <v>6101</v>
      </c>
      <c r="B2921" s="2">
        <v>10962748</v>
      </c>
      <c r="C2921" s="2" t="s">
        <v>14</v>
      </c>
      <c r="D2921" s="2" t="s">
        <v>41</v>
      </c>
      <c r="E2921" s="2" t="s">
        <v>48</v>
      </c>
      <c r="F2921" s="2" t="s">
        <v>36</v>
      </c>
      <c r="G2921" s="2" t="s">
        <v>6102</v>
      </c>
      <c r="I2921" s="2">
        <v>1299</v>
      </c>
      <c r="J2921" s="2" t="s">
        <v>55</v>
      </c>
      <c r="K2921" s="2" t="s">
        <v>45</v>
      </c>
      <c r="L2921" s="2">
        <v>4.0999999999999996</v>
      </c>
      <c r="M2921" s="2">
        <v>608</v>
      </c>
      <c r="P2921" t="str">
        <f t="shared" si="183"/>
        <v>60%</v>
      </c>
      <c r="Q2921" s="12">
        <f t="shared" si="180"/>
        <v>0.6</v>
      </c>
      <c r="R2921" s="9">
        <f t="shared" si="181"/>
        <v>519.6</v>
      </c>
      <c r="S2921" s="9">
        <f>IF(R2921="",AVERAGEIF(Table1[Category],Table1[[#This Row],[Category]],Table2[orignal data]),Table2[[#This Row],[orignal data]])</f>
        <v>519.6</v>
      </c>
      <c r="T2921" t="str">
        <f t="shared" si="182"/>
        <v>UNIQUE</v>
      </c>
      <c r="U2921" t="str">
        <f>IF(ISBLANK(Table1[[#This Row],[SizeOption]]),"NOT AVAILABLE",Table1[[#This Row],[SizeOption]])</f>
        <v>XS, S, M, L, XL</v>
      </c>
      <c r="Y2921" t="str">
        <f>IF(Table2[[#This Row],[Column1]]&gt;50%,"HIGH DISCOUNT","LOW DISCOUNT")</f>
        <v>HIGH DISCOUNT</v>
      </c>
    </row>
    <row r="2922" spans="1:25" x14ac:dyDescent="0.25">
      <c r="A2922" s="1" t="s">
        <v>6103</v>
      </c>
      <c r="B2922" s="1">
        <v>17524620</v>
      </c>
      <c r="C2922" s="1" t="s">
        <v>47</v>
      </c>
      <c r="D2922" s="1" t="s">
        <v>41</v>
      </c>
      <c r="E2922" s="1" t="s">
        <v>42</v>
      </c>
      <c r="F2922" s="1" t="s">
        <v>36</v>
      </c>
      <c r="G2922" s="1" t="s">
        <v>1316</v>
      </c>
      <c r="I2922" s="1">
        <v>1598</v>
      </c>
      <c r="J2922" s="1" t="s">
        <v>84</v>
      </c>
      <c r="K2922" s="1" t="s">
        <v>45</v>
      </c>
      <c r="L2922" s="1">
        <v>4.0999999999999996</v>
      </c>
      <c r="M2922" s="1">
        <v>608</v>
      </c>
      <c r="P2922" t="str">
        <f t="shared" si="183"/>
        <v>50%</v>
      </c>
      <c r="Q2922" s="12">
        <f t="shared" si="180"/>
        <v>0.5</v>
      </c>
      <c r="R2922" s="9">
        <f t="shared" si="181"/>
        <v>799</v>
      </c>
      <c r="S2922" s="9">
        <f>IF(R2922="",AVERAGEIF(Table1[Category],Table1[[#This Row],[Category]],Table2[orignal data]),Table2[[#This Row],[orignal data]])</f>
        <v>799</v>
      </c>
      <c r="T2922" t="str">
        <f t="shared" si="182"/>
        <v>UNIQUE</v>
      </c>
      <c r="U2922" t="str">
        <f>IF(ISBLANK(Table1[[#This Row],[SizeOption]]),"NOT AVAILABLE",Table1[[#This Row],[SizeOption]])</f>
        <v>XS, S, M, L, XL</v>
      </c>
      <c r="Y2922" t="str">
        <f>IF(Table2[[#This Row],[Column1]]&gt;50%,"HIGH DISCOUNT","LOW DISCOUNT")</f>
        <v>LOW DISCOUNT</v>
      </c>
    </row>
    <row r="2923" spans="1:25" x14ac:dyDescent="0.25">
      <c r="A2923" s="2" t="s">
        <v>6104</v>
      </c>
      <c r="B2923" s="2">
        <v>7260729</v>
      </c>
      <c r="C2923" s="2" t="s">
        <v>952</v>
      </c>
      <c r="D2923" s="2" t="s">
        <v>41</v>
      </c>
      <c r="E2923" s="2" t="s">
        <v>16</v>
      </c>
      <c r="F2923" s="2" t="s">
        <v>36</v>
      </c>
      <c r="G2923" s="2" t="s">
        <v>6105</v>
      </c>
      <c r="I2923" s="2">
        <v>1899</v>
      </c>
      <c r="J2923" s="2" t="s">
        <v>84</v>
      </c>
      <c r="K2923" s="2" t="s">
        <v>428</v>
      </c>
      <c r="L2923" s="2">
        <v>3.9</v>
      </c>
      <c r="M2923" s="2">
        <v>608</v>
      </c>
      <c r="P2923" t="str">
        <f t="shared" si="183"/>
        <v>50%</v>
      </c>
      <c r="Q2923" s="12">
        <f t="shared" si="180"/>
        <v>0.5</v>
      </c>
      <c r="R2923" s="9">
        <f t="shared" si="181"/>
        <v>949.5</v>
      </c>
      <c r="S2923" s="9">
        <f>IF(R2923="",AVERAGEIF(Table1[Category],Table1[[#This Row],[Category]],Table2[orignal data]),Table2[[#This Row],[orignal data]])</f>
        <v>949.5</v>
      </c>
      <c r="T2923" t="str">
        <f t="shared" si="182"/>
        <v>UNIQUE</v>
      </c>
      <c r="U2923" t="str">
        <f>IF(ISBLANK(Table1[[#This Row],[SizeOption]]),"NOT AVAILABLE",Table1[[#This Row],[SizeOption]])</f>
        <v>26, 28, 30, 32, 34</v>
      </c>
      <c r="Y2923" t="str">
        <f>IF(Table2[[#This Row],[Column1]]&gt;50%,"HIGH DISCOUNT","LOW DISCOUNT")</f>
        <v>LOW DISCOUNT</v>
      </c>
    </row>
    <row r="2924" spans="1:25" x14ac:dyDescent="0.25">
      <c r="A2924" s="1" t="s">
        <v>6106</v>
      </c>
      <c r="B2924" s="1">
        <v>3084800</v>
      </c>
      <c r="C2924" s="1" t="s">
        <v>420</v>
      </c>
      <c r="D2924" s="1" t="s">
        <v>68</v>
      </c>
      <c r="E2924" s="1" t="s">
        <v>42</v>
      </c>
      <c r="F2924" s="1" t="s">
        <v>17</v>
      </c>
      <c r="G2924" s="1" t="s">
        <v>6107</v>
      </c>
      <c r="H2924">
        <v>599</v>
      </c>
      <c r="I2924" s="1">
        <v>1199</v>
      </c>
      <c r="J2924" s="1" t="s">
        <v>84</v>
      </c>
      <c r="K2924" s="1" t="s">
        <v>26</v>
      </c>
      <c r="L2924" s="1">
        <v>4.2</v>
      </c>
      <c r="M2924" s="1">
        <v>607</v>
      </c>
      <c r="P2924" t="str">
        <f t="shared" si="183"/>
        <v>50%</v>
      </c>
      <c r="Q2924" s="12">
        <f t="shared" si="180"/>
        <v>0.5</v>
      </c>
      <c r="R2924" s="9">
        <f t="shared" si="181"/>
        <v>599.5</v>
      </c>
      <c r="S2924" s="9">
        <f>IF(R2924="",AVERAGEIF(Table1[Category],Table1[[#This Row],[Category]],Table2[orignal data]),Table2[[#This Row],[orignal data]])</f>
        <v>599.5</v>
      </c>
      <c r="T2924" t="str">
        <f t="shared" si="182"/>
        <v>UNIQUE</v>
      </c>
      <c r="U2924" t="str">
        <f>IF(ISBLANK(Table1[[#This Row],[SizeOption]]),"NOT AVAILABLE",Table1[[#This Row],[SizeOption]])</f>
        <v>S, M, L, XL</v>
      </c>
      <c r="Y2924" t="str">
        <f>IF(Table2[[#This Row],[Column1]]&gt;50%,"HIGH DISCOUNT","LOW DISCOUNT")</f>
        <v>LOW DISCOUNT</v>
      </c>
    </row>
    <row r="2925" spans="1:25" x14ac:dyDescent="0.25">
      <c r="A2925" s="2" t="s">
        <v>6108</v>
      </c>
      <c r="B2925" s="2">
        <v>11896066</v>
      </c>
      <c r="C2925" s="2" t="s">
        <v>14</v>
      </c>
      <c r="D2925" s="2" t="s">
        <v>28</v>
      </c>
      <c r="E2925" s="2" t="s">
        <v>29</v>
      </c>
      <c r="F2925" s="2" t="s">
        <v>17</v>
      </c>
      <c r="G2925" s="2" t="s">
        <v>6109</v>
      </c>
      <c r="I2925" s="2">
        <v>909</v>
      </c>
      <c r="J2925" s="2"/>
      <c r="K2925" s="2" t="s">
        <v>253</v>
      </c>
      <c r="L2925" s="2">
        <v>4.4000000000000004</v>
      </c>
      <c r="M2925" s="2">
        <v>607</v>
      </c>
      <c r="P2925" t="str">
        <f t="shared" si="183"/>
        <v/>
      </c>
      <c r="Q2925" s="12" t="str">
        <f t="shared" si="180"/>
        <v/>
      </c>
      <c r="R2925" s="9" t="str">
        <f t="shared" si="181"/>
        <v/>
      </c>
      <c r="S2925" s="9">
        <f>IF(R2925="",AVERAGEIF(Table1[Category],Table1[[#This Row],[Category]],Table2[orignal data]),Table2[[#This Row],[orignal data]])</f>
        <v>671.7823941958867</v>
      </c>
      <c r="T2925" t="str">
        <f t="shared" si="182"/>
        <v>UNIQUE</v>
      </c>
      <c r="U2925" t="str">
        <f>IF(ISBLANK(Table1[[#This Row],[SizeOption]]),"NOT AVAILABLE",Table1[[#This Row],[SizeOption]])</f>
        <v>38, 40, 42, 44</v>
      </c>
      <c r="Y2925" t="str">
        <f>IF(Table2[[#This Row],[Column1]]&gt;50%,"HIGH DISCOUNT","LOW DISCOUNT")</f>
        <v>HIGH DISCOUNT</v>
      </c>
    </row>
    <row r="2926" spans="1:25" x14ac:dyDescent="0.25">
      <c r="A2926" s="1" t="s">
        <v>6110</v>
      </c>
      <c r="B2926" s="1">
        <v>10922022</v>
      </c>
      <c r="C2926" s="1" t="s">
        <v>420</v>
      </c>
      <c r="D2926" s="1" t="s">
        <v>41</v>
      </c>
      <c r="E2926" s="1" t="s">
        <v>306</v>
      </c>
      <c r="F2926" s="1" t="s">
        <v>36</v>
      </c>
      <c r="G2926" s="1" t="s">
        <v>6111</v>
      </c>
      <c r="I2926" s="1">
        <v>1699</v>
      </c>
      <c r="J2926" s="1" t="s">
        <v>84</v>
      </c>
      <c r="K2926" s="1" t="s">
        <v>26</v>
      </c>
      <c r="L2926" s="1">
        <v>4.4000000000000004</v>
      </c>
      <c r="M2926" s="1">
        <v>607</v>
      </c>
      <c r="P2926" t="str">
        <f t="shared" si="183"/>
        <v>50%</v>
      </c>
      <c r="Q2926" s="12">
        <f t="shared" si="180"/>
        <v>0.5</v>
      </c>
      <c r="R2926" s="9">
        <f t="shared" si="181"/>
        <v>849.5</v>
      </c>
      <c r="S2926" s="9">
        <f>IF(R2926="",AVERAGEIF(Table1[Category],Table1[[#This Row],[Category]],Table2[orignal data]),Table2[[#This Row],[orignal data]])</f>
        <v>849.5</v>
      </c>
      <c r="T2926" t="str">
        <f t="shared" si="182"/>
        <v>UNIQUE</v>
      </c>
      <c r="U2926" t="str">
        <f>IF(ISBLANK(Table1[[#This Row],[SizeOption]]),"NOT AVAILABLE",Table1[[#This Row],[SizeOption]])</f>
        <v>S, M, L, XL</v>
      </c>
      <c r="Y2926" t="str">
        <f>IF(Table2[[#This Row],[Column1]]&gt;50%,"HIGH DISCOUNT","LOW DISCOUNT")</f>
        <v>LOW DISCOUNT</v>
      </c>
    </row>
    <row r="2927" spans="1:25" x14ac:dyDescent="0.25">
      <c r="A2927" s="2" t="s">
        <v>6112</v>
      </c>
      <c r="B2927" s="2">
        <v>10498536</v>
      </c>
      <c r="C2927" s="2" t="s">
        <v>67</v>
      </c>
      <c r="D2927" s="2" t="s">
        <v>41</v>
      </c>
      <c r="E2927" s="2" t="s">
        <v>23</v>
      </c>
      <c r="F2927" s="2" t="s">
        <v>36</v>
      </c>
      <c r="G2927" s="2" t="s">
        <v>6113</v>
      </c>
      <c r="I2927" s="2">
        <v>2099</v>
      </c>
      <c r="J2927" s="2" t="s">
        <v>79</v>
      </c>
      <c r="K2927" s="2" t="s">
        <v>45</v>
      </c>
      <c r="L2927" s="2">
        <v>4.5</v>
      </c>
      <c r="M2927" s="2">
        <v>607</v>
      </c>
      <c r="P2927" t="str">
        <f t="shared" si="183"/>
        <v>70%</v>
      </c>
      <c r="Q2927" s="12">
        <f t="shared" si="180"/>
        <v>0.7</v>
      </c>
      <c r="R2927" s="9">
        <f t="shared" si="181"/>
        <v>629.70000000000005</v>
      </c>
      <c r="S2927" s="9">
        <f>IF(R2927="",AVERAGEIF(Table1[Category],Table1[[#This Row],[Category]],Table2[orignal data]),Table2[[#This Row],[orignal data]])</f>
        <v>629.70000000000005</v>
      </c>
      <c r="T2927" t="str">
        <f t="shared" si="182"/>
        <v>UNIQUE</v>
      </c>
      <c r="U2927" t="str">
        <f>IF(ISBLANK(Table1[[#This Row],[SizeOption]]),"NOT AVAILABLE",Table1[[#This Row],[SizeOption]])</f>
        <v>XS, S, M, L, XL</v>
      </c>
      <c r="Y2927" t="str">
        <f>IF(Table2[[#This Row],[Column1]]&gt;50%,"HIGH DISCOUNT","LOW DISCOUNT")</f>
        <v>HIGH DISCOUNT</v>
      </c>
    </row>
    <row r="2928" spans="1:25" x14ac:dyDescent="0.25">
      <c r="A2928" s="1" t="s">
        <v>6114</v>
      </c>
      <c r="B2928" s="1">
        <v>11234408</v>
      </c>
      <c r="C2928" s="1" t="s">
        <v>290</v>
      </c>
      <c r="D2928" s="1" t="s">
        <v>41</v>
      </c>
      <c r="E2928" s="1" t="s">
        <v>53</v>
      </c>
      <c r="F2928" s="1" t="s">
        <v>36</v>
      </c>
      <c r="G2928" s="1" t="s">
        <v>6115</v>
      </c>
      <c r="I2928" s="1">
        <v>2199</v>
      </c>
      <c r="J2928" s="1" t="s">
        <v>84</v>
      </c>
      <c r="K2928" s="1" t="s">
        <v>428</v>
      </c>
      <c r="L2928" s="1">
        <v>4.2</v>
      </c>
      <c r="M2928" s="1">
        <v>607</v>
      </c>
      <c r="P2928" t="str">
        <f t="shared" si="183"/>
        <v>50%</v>
      </c>
      <c r="Q2928" s="12">
        <f t="shared" si="180"/>
        <v>0.5</v>
      </c>
      <c r="R2928" s="9">
        <f t="shared" si="181"/>
        <v>1099.5</v>
      </c>
      <c r="S2928" s="9">
        <f>IF(R2928="",AVERAGEIF(Table1[Category],Table1[[#This Row],[Category]],Table2[orignal data]),Table2[[#This Row],[orignal data]])</f>
        <v>1099.5</v>
      </c>
      <c r="T2928" t="str">
        <f t="shared" si="182"/>
        <v>UNIQUE</v>
      </c>
      <c r="U2928" t="str">
        <f>IF(ISBLANK(Table1[[#This Row],[SizeOption]]),"NOT AVAILABLE",Table1[[#This Row],[SizeOption]])</f>
        <v>26, 28, 30, 32, 34</v>
      </c>
      <c r="Y2928" t="str">
        <f>IF(Table2[[#This Row],[Column1]]&gt;50%,"HIGH DISCOUNT","LOW DISCOUNT")</f>
        <v>LOW DISCOUNT</v>
      </c>
    </row>
    <row r="2929" spans="1:25" x14ac:dyDescent="0.25">
      <c r="A2929" s="2" t="s">
        <v>6116</v>
      </c>
      <c r="B2929" s="2">
        <v>17383990</v>
      </c>
      <c r="C2929" s="2" t="s">
        <v>14</v>
      </c>
      <c r="D2929" s="2" t="s">
        <v>41</v>
      </c>
      <c r="E2929" s="2" t="s">
        <v>42</v>
      </c>
      <c r="F2929" s="2" t="s">
        <v>36</v>
      </c>
      <c r="G2929" s="2" t="s">
        <v>696</v>
      </c>
      <c r="I2929" s="2">
        <v>1298</v>
      </c>
      <c r="J2929" s="2"/>
      <c r="K2929" s="2" t="s">
        <v>146</v>
      </c>
      <c r="L2929" s="2">
        <v>4.3</v>
      </c>
      <c r="M2929" s="2">
        <v>607</v>
      </c>
      <c r="P2929" t="str">
        <f t="shared" si="183"/>
        <v/>
      </c>
      <c r="Q2929" s="12" t="str">
        <f t="shared" si="180"/>
        <v/>
      </c>
      <c r="R2929" s="9" t="str">
        <f t="shared" si="181"/>
        <v/>
      </c>
      <c r="S2929" s="9">
        <f>IF(R2929="",AVERAGEIF(Table1[Category],Table1[[#This Row],[Category]],Table2[orignal data]),Table2[[#This Row],[orignal data]])</f>
        <v>715.78890751086249</v>
      </c>
      <c r="T2929" t="str">
        <f t="shared" si="182"/>
        <v>UNIQUE</v>
      </c>
      <c r="U2929" t="str">
        <f>IF(ISBLANK(Table1[[#This Row],[SizeOption]]),"NOT AVAILABLE",Table1[[#This Row],[SizeOption]])</f>
        <v>L, M, S, XS, XL</v>
      </c>
      <c r="Y2929" t="str">
        <f>IF(Table2[[#This Row],[Column1]]&gt;50%,"HIGH DISCOUNT","LOW DISCOUNT")</f>
        <v>HIGH DISCOUNT</v>
      </c>
    </row>
    <row r="2930" spans="1:25" x14ac:dyDescent="0.25">
      <c r="A2930" s="1" t="s">
        <v>6117</v>
      </c>
      <c r="B2930" s="1">
        <v>11274794</v>
      </c>
      <c r="C2930" s="1" t="s">
        <v>14</v>
      </c>
      <c r="D2930" s="1" t="s">
        <v>15</v>
      </c>
      <c r="E2930" s="1" t="s">
        <v>16</v>
      </c>
      <c r="F2930" s="1" t="s">
        <v>17</v>
      </c>
      <c r="G2930" s="1" t="s">
        <v>1066</v>
      </c>
      <c r="H2930">
        <v>999</v>
      </c>
      <c r="I2930" s="1">
        <v>1999</v>
      </c>
      <c r="J2930" s="1" t="s">
        <v>84</v>
      </c>
      <c r="K2930" s="1" t="s">
        <v>20</v>
      </c>
      <c r="L2930" s="1">
        <v>3.7</v>
      </c>
      <c r="M2930" s="1">
        <v>606</v>
      </c>
      <c r="P2930" t="str">
        <f t="shared" si="183"/>
        <v>50%</v>
      </c>
      <c r="Q2930" s="12">
        <f t="shared" si="180"/>
        <v>0.5</v>
      </c>
      <c r="R2930" s="9">
        <f t="shared" si="181"/>
        <v>999.5</v>
      </c>
      <c r="S2930" s="9">
        <f>IF(R2930="",AVERAGEIF(Table1[Category],Table1[[#This Row],[Category]],Table2[orignal data]),Table2[[#This Row],[orignal data]])</f>
        <v>999.5</v>
      </c>
      <c r="T2930" t="str">
        <f t="shared" si="182"/>
        <v>UNIQUE</v>
      </c>
      <c r="U2930" t="str">
        <f>IF(ISBLANK(Table1[[#This Row],[SizeOption]]),"NOT AVAILABLE",Table1[[#This Row],[SizeOption]])</f>
        <v>28, 30, 32, 34, 36</v>
      </c>
      <c r="Y2930" t="str">
        <f>IF(Table2[[#This Row],[Column1]]&gt;50%,"HIGH DISCOUNT","LOW DISCOUNT")</f>
        <v>LOW DISCOUNT</v>
      </c>
    </row>
    <row r="2931" spans="1:25" x14ac:dyDescent="0.25">
      <c r="A2931" s="2" t="s">
        <v>6118</v>
      </c>
      <c r="B2931" s="2">
        <v>17978982</v>
      </c>
      <c r="C2931" s="2" t="s">
        <v>295</v>
      </c>
      <c r="D2931" s="2" t="s">
        <v>197</v>
      </c>
      <c r="E2931" s="2" t="s">
        <v>296</v>
      </c>
      <c r="F2931" s="2" t="s">
        <v>17</v>
      </c>
      <c r="G2931" s="2" t="s">
        <v>6119</v>
      </c>
      <c r="I2931" s="2">
        <v>597</v>
      </c>
      <c r="J2931" s="2"/>
      <c r="K2931" s="2" t="s">
        <v>6120</v>
      </c>
      <c r="L2931" s="2">
        <v>4.2</v>
      </c>
      <c r="M2931" s="2">
        <v>606</v>
      </c>
      <c r="P2931" t="str">
        <f t="shared" si="183"/>
        <v/>
      </c>
      <c r="Q2931" s="12" t="str">
        <f t="shared" si="180"/>
        <v/>
      </c>
      <c r="R2931" s="9" t="str">
        <f t="shared" si="181"/>
        <v/>
      </c>
      <c r="S2931" s="9">
        <f>IF(R2931="",AVERAGEIF(Table1[Category],Table1[[#This Row],[Category]],Table2[orignal data]),Table2[[#This Row],[orignal data]])</f>
        <v>552.70900000000006</v>
      </c>
      <c r="T2931" t="str">
        <f t="shared" si="182"/>
        <v>UNIQUE</v>
      </c>
      <c r="U2931" t="str">
        <f>IF(ISBLANK(Table1[[#This Row],[SizeOption]]),"NOT AVAILABLE",Table1[[#This Row],[SizeOption]])</f>
        <v>XL, S, M, L</v>
      </c>
      <c r="Y2931" t="str">
        <f>IF(Table2[[#This Row],[Column1]]&gt;50%,"HIGH DISCOUNT","LOW DISCOUNT")</f>
        <v>HIGH DISCOUNT</v>
      </c>
    </row>
    <row r="2932" spans="1:25" x14ac:dyDescent="0.25">
      <c r="A2932" s="1" t="s">
        <v>6121</v>
      </c>
      <c r="B2932" s="1">
        <v>486789</v>
      </c>
      <c r="C2932" s="1" t="s">
        <v>1299</v>
      </c>
      <c r="D2932" s="1" t="s">
        <v>28</v>
      </c>
      <c r="E2932" s="1" t="s">
        <v>29</v>
      </c>
      <c r="F2932" s="1" t="s">
        <v>17</v>
      </c>
      <c r="G2932" s="1" t="s">
        <v>6122</v>
      </c>
      <c r="H2932">
        <v>799</v>
      </c>
      <c r="I2932" s="1">
        <v>1599</v>
      </c>
      <c r="J2932" s="1" t="s">
        <v>84</v>
      </c>
      <c r="K2932" s="1" t="s">
        <v>3714</v>
      </c>
      <c r="L2932" s="1">
        <v>3.8</v>
      </c>
      <c r="M2932" s="1">
        <v>606</v>
      </c>
      <c r="P2932" t="str">
        <f t="shared" si="183"/>
        <v>50%</v>
      </c>
      <c r="Q2932" s="12">
        <f t="shared" si="180"/>
        <v>0.5</v>
      </c>
      <c r="R2932" s="9">
        <f t="shared" si="181"/>
        <v>799.5</v>
      </c>
      <c r="S2932" s="9">
        <f>IF(R2932="",AVERAGEIF(Table1[Category],Table1[[#This Row],[Category]],Table2[orignal data]),Table2[[#This Row],[orignal data]])</f>
        <v>799.5</v>
      </c>
      <c r="T2932" t="str">
        <f t="shared" si="182"/>
        <v>UNIQUE</v>
      </c>
      <c r="U2932" t="str">
        <f>IF(ISBLANK(Table1[[#This Row],[SizeOption]]),"NOT AVAILABLE",Table1[[#This Row],[SizeOption]])</f>
        <v>37, 38, 39, 40, 42, 44</v>
      </c>
      <c r="Y2932" t="str">
        <f>IF(Table2[[#This Row],[Column1]]&gt;50%,"HIGH DISCOUNT","LOW DISCOUNT")</f>
        <v>LOW DISCOUNT</v>
      </c>
    </row>
    <row r="2933" spans="1:25" x14ac:dyDescent="0.25">
      <c r="A2933" s="2" t="s">
        <v>6123</v>
      </c>
      <c r="B2933" s="2">
        <v>8894461</v>
      </c>
      <c r="C2933" s="2" t="s">
        <v>14</v>
      </c>
      <c r="D2933" s="2" t="s">
        <v>28</v>
      </c>
      <c r="E2933" s="2" t="s">
        <v>29</v>
      </c>
      <c r="F2933" s="2" t="s">
        <v>17</v>
      </c>
      <c r="G2933" s="2" t="s">
        <v>6124</v>
      </c>
      <c r="H2933">
        <v>1139</v>
      </c>
      <c r="I2933" s="2">
        <v>1899</v>
      </c>
      <c r="J2933" s="2" t="s">
        <v>50</v>
      </c>
      <c r="K2933" s="2" t="s">
        <v>253</v>
      </c>
      <c r="L2933" s="2">
        <v>3.9</v>
      </c>
      <c r="M2933" s="2">
        <v>606</v>
      </c>
      <c r="P2933" t="str">
        <f t="shared" si="183"/>
        <v>40%</v>
      </c>
      <c r="Q2933" s="12">
        <f t="shared" si="180"/>
        <v>0.4</v>
      </c>
      <c r="R2933" s="9">
        <f t="shared" si="181"/>
        <v>1139.4000000000001</v>
      </c>
      <c r="S2933" s="9">
        <f>IF(R2933="",AVERAGEIF(Table1[Category],Table1[[#This Row],[Category]],Table2[orignal data]),Table2[[#This Row],[orignal data]])</f>
        <v>1139.4000000000001</v>
      </c>
      <c r="T2933" t="str">
        <f t="shared" si="182"/>
        <v>UNIQUE</v>
      </c>
      <c r="U2933" t="str">
        <f>IF(ISBLANK(Table1[[#This Row],[SizeOption]]),"NOT AVAILABLE",Table1[[#This Row],[SizeOption]])</f>
        <v>38, 40, 42, 44</v>
      </c>
      <c r="Y2933" t="str">
        <f>IF(Table2[[#This Row],[Column1]]&gt;50%,"HIGH DISCOUNT","LOW DISCOUNT")</f>
        <v>LOW DISCOUNT</v>
      </c>
    </row>
    <row r="2934" spans="1:25" x14ac:dyDescent="0.25">
      <c r="A2934" s="1" t="s">
        <v>6125</v>
      </c>
      <c r="B2934" s="1">
        <v>13705338</v>
      </c>
      <c r="C2934" s="1" t="s">
        <v>6126</v>
      </c>
      <c r="D2934" s="1" t="s">
        <v>76</v>
      </c>
      <c r="E2934" s="1" t="s">
        <v>93</v>
      </c>
      <c r="F2934" s="1" t="s">
        <v>36</v>
      </c>
      <c r="G2934" s="1" t="s">
        <v>6127</v>
      </c>
      <c r="H2934">
        <v>879</v>
      </c>
      <c r="I2934" s="1">
        <v>1999</v>
      </c>
      <c r="J2934" s="1" t="s">
        <v>1204</v>
      </c>
      <c r="K2934" s="1" t="s">
        <v>234</v>
      </c>
      <c r="L2934" s="1">
        <v>4.3</v>
      </c>
      <c r="M2934" s="1">
        <v>606</v>
      </c>
      <c r="P2934" t="str">
        <f t="shared" si="183"/>
        <v>56%</v>
      </c>
      <c r="Q2934" s="12">
        <f t="shared" si="180"/>
        <v>0.56000000000000005</v>
      </c>
      <c r="R2934" s="9">
        <f t="shared" si="181"/>
        <v>879.56</v>
      </c>
      <c r="S2934" s="9">
        <f>IF(R2934="",AVERAGEIF(Table1[Category],Table1[[#This Row],[Category]],Table2[orignal data]),Table2[[#This Row],[orignal data]])</f>
        <v>879.56</v>
      </c>
      <c r="T2934" t="str">
        <f t="shared" si="182"/>
        <v>UNIQUE</v>
      </c>
      <c r="U2934" t="str">
        <f>IF(ISBLANK(Table1[[#This Row],[SizeOption]]),"NOT AVAILABLE",Table1[[#This Row],[SizeOption]])</f>
        <v>S, M, L, XL, XXL, 3XL</v>
      </c>
      <c r="Y2934" t="str">
        <f>IF(Table2[[#This Row],[Column1]]&gt;50%,"HIGH DISCOUNT","LOW DISCOUNT")</f>
        <v>HIGH DISCOUNT</v>
      </c>
    </row>
    <row r="2935" spans="1:25" x14ac:dyDescent="0.25">
      <c r="A2935" s="2" t="s">
        <v>6128</v>
      </c>
      <c r="B2935" s="2">
        <v>10016713</v>
      </c>
      <c r="C2935" s="2" t="s">
        <v>92</v>
      </c>
      <c r="D2935" s="2" t="s">
        <v>76</v>
      </c>
      <c r="E2935" s="2" t="s">
        <v>148</v>
      </c>
      <c r="F2935" s="2" t="s">
        <v>36</v>
      </c>
      <c r="G2935" s="2" t="s">
        <v>6129</v>
      </c>
      <c r="H2935">
        <v>839</v>
      </c>
      <c r="I2935" s="2">
        <v>2399</v>
      </c>
      <c r="J2935" s="2" t="s">
        <v>150</v>
      </c>
      <c r="K2935" s="2" t="s">
        <v>39</v>
      </c>
      <c r="L2935" s="2">
        <v>3.8</v>
      </c>
      <c r="M2935" s="2">
        <v>606</v>
      </c>
      <c r="P2935" t="str">
        <f t="shared" si="183"/>
        <v>65%</v>
      </c>
      <c r="Q2935" s="12">
        <f t="shared" si="180"/>
        <v>0.65</v>
      </c>
      <c r="R2935" s="9">
        <f t="shared" si="181"/>
        <v>839.64999999999986</v>
      </c>
      <c r="S2935" s="9">
        <f>IF(R2935="",AVERAGEIF(Table1[Category],Table1[[#This Row],[Category]],Table2[orignal data]),Table2[[#This Row],[orignal data]])</f>
        <v>839.64999999999986</v>
      </c>
      <c r="T2935" t="str">
        <f t="shared" si="182"/>
        <v>UNIQUE</v>
      </c>
      <c r="U2935" t="str">
        <f>IF(ISBLANK(Table1[[#This Row],[SizeOption]]),"NOT AVAILABLE",Table1[[#This Row],[SizeOption]])</f>
        <v>S, M, L, XL, XXL</v>
      </c>
      <c r="Y2935" t="str">
        <f>IF(Table2[[#This Row],[Column1]]&gt;50%,"HIGH DISCOUNT","LOW DISCOUNT")</f>
        <v>HIGH DISCOUNT</v>
      </c>
    </row>
    <row r="2936" spans="1:25" x14ac:dyDescent="0.25">
      <c r="A2936" s="1" t="s">
        <v>6130</v>
      </c>
      <c r="B2936" s="1">
        <v>11399560</v>
      </c>
      <c r="C2936" s="1" t="s">
        <v>6131</v>
      </c>
      <c r="D2936" s="1" t="s">
        <v>76</v>
      </c>
      <c r="E2936" s="1" t="s">
        <v>77</v>
      </c>
      <c r="F2936" s="1" t="s">
        <v>36</v>
      </c>
      <c r="G2936" s="1" t="s">
        <v>6132</v>
      </c>
      <c r="H2936">
        <v>1379</v>
      </c>
      <c r="I2936" s="1">
        <v>4599</v>
      </c>
      <c r="J2936" s="1" t="s">
        <v>79</v>
      </c>
      <c r="K2936" s="1" t="s">
        <v>39</v>
      </c>
      <c r="L2936" s="1">
        <v>4.3</v>
      </c>
      <c r="M2936" s="1">
        <v>606</v>
      </c>
      <c r="P2936" t="str">
        <f t="shared" si="183"/>
        <v>70%</v>
      </c>
      <c r="Q2936" s="12">
        <f t="shared" si="180"/>
        <v>0.7</v>
      </c>
      <c r="R2936" s="9">
        <f t="shared" si="181"/>
        <v>1379.7000000000003</v>
      </c>
      <c r="S2936" s="9">
        <f>IF(R2936="",AVERAGEIF(Table1[Category],Table1[[#This Row],[Category]],Table2[orignal data]),Table2[[#This Row],[orignal data]])</f>
        <v>1379.7000000000003</v>
      </c>
      <c r="T2936" t="str">
        <f t="shared" si="182"/>
        <v>UNIQUE</v>
      </c>
      <c r="U2936" t="str">
        <f>IF(ISBLANK(Table1[[#This Row],[SizeOption]]),"NOT AVAILABLE",Table1[[#This Row],[SizeOption]])</f>
        <v>S, M, L, XL, XXL</v>
      </c>
      <c r="Y2936" t="str">
        <f>IF(Table2[[#This Row],[Column1]]&gt;50%,"HIGH DISCOUNT","LOW DISCOUNT")</f>
        <v>HIGH DISCOUNT</v>
      </c>
    </row>
    <row r="2937" spans="1:25" x14ac:dyDescent="0.25">
      <c r="A2937" s="2" t="s">
        <v>6133</v>
      </c>
      <c r="B2937" s="2">
        <v>11541578</v>
      </c>
      <c r="C2937" s="2" t="s">
        <v>14</v>
      </c>
      <c r="D2937" s="2" t="s">
        <v>41</v>
      </c>
      <c r="E2937" s="2" t="s">
        <v>16</v>
      </c>
      <c r="F2937" s="2" t="s">
        <v>36</v>
      </c>
      <c r="G2937" s="2" t="s">
        <v>751</v>
      </c>
      <c r="I2937" s="2">
        <v>1699</v>
      </c>
      <c r="J2937" s="2" t="s">
        <v>84</v>
      </c>
      <c r="K2937" s="2" t="s">
        <v>134</v>
      </c>
      <c r="L2937" s="2">
        <v>4.2</v>
      </c>
      <c r="M2937" s="2">
        <v>606</v>
      </c>
      <c r="P2937" t="str">
        <f t="shared" si="183"/>
        <v>50%</v>
      </c>
      <c r="Q2937" s="12">
        <f t="shared" si="180"/>
        <v>0.5</v>
      </c>
      <c r="R2937" s="9">
        <f t="shared" si="181"/>
        <v>849.5</v>
      </c>
      <c r="S2937" s="9">
        <f>IF(R2937="",AVERAGEIF(Table1[Category],Table1[[#This Row],[Category]],Table2[orignal data]),Table2[[#This Row],[orignal data]])</f>
        <v>849.5</v>
      </c>
      <c r="T2937" t="str">
        <f t="shared" si="182"/>
        <v>UNIQUE</v>
      </c>
      <c r="U2937" t="str">
        <f>IF(ISBLANK(Table1[[#This Row],[SizeOption]]),"NOT AVAILABLE",Table1[[#This Row],[SizeOption]])</f>
        <v>26, 28, 30, 32, 34, 36</v>
      </c>
      <c r="Y2937" t="str">
        <f>IF(Table2[[#This Row],[Column1]]&gt;50%,"HIGH DISCOUNT","LOW DISCOUNT")</f>
        <v>LOW DISCOUNT</v>
      </c>
    </row>
    <row r="2938" spans="1:25" x14ac:dyDescent="0.25">
      <c r="A2938" s="1" t="s">
        <v>6134</v>
      </c>
      <c r="B2938" s="1">
        <v>11541684</v>
      </c>
      <c r="C2938" s="1" t="s">
        <v>14</v>
      </c>
      <c r="D2938" s="1" t="s">
        <v>41</v>
      </c>
      <c r="E2938" s="1" t="s">
        <v>16</v>
      </c>
      <c r="F2938" s="1" t="s">
        <v>36</v>
      </c>
      <c r="G2938" s="1" t="s">
        <v>6135</v>
      </c>
      <c r="I2938" s="1">
        <v>2299</v>
      </c>
      <c r="J2938" s="1" t="s">
        <v>19</v>
      </c>
      <c r="K2938" s="1" t="s">
        <v>134</v>
      </c>
      <c r="L2938" s="1">
        <v>4.0999999999999996</v>
      </c>
      <c r="M2938" s="1">
        <v>606</v>
      </c>
      <c r="P2938" t="str">
        <f t="shared" si="183"/>
        <v>45%</v>
      </c>
      <c r="Q2938" s="12">
        <f t="shared" si="180"/>
        <v>0.45</v>
      </c>
      <c r="R2938" s="9">
        <f t="shared" si="181"/>
        <v>1264.45</v>
      </c>
      <c r="S2938" s="9">
        <f>IF(R2938="",AVERAGEIF(Table1[Category],Table1[[#This Row],[Category]],Table2[orignal data]),Table2[[#This Row],[orignal data]])</f>
        <v>1264.45</v>
      </c>
      <c r="T2938" t="str">
        <f t="shared" si="182"/>
        <v>UNIQUE</v>
      </c>
      <c r="U2938" t="str">
        <f>IF(ISBLANK(Table1[[#This Row],[SizeOption]]),"NOT AVAILABLE",Table1[[#This Row],[SizeOption]])</f>
        <v>26, 28, 30, 32, 34, 36</v>
      </c>
      <c r="Y2938" t="str">
        <f>IF(Table2[[#This Row],[Column1]]&gt;50%,"HIGH DISCOUNT","LOW DISCOUNT")</f>
        <v>LOW DISCOUNT</v>
      </c>
    </row>
    <row r="2939" spans="1:25" x14ac:dyDescent="0.25">
      <c r="A2939" s="2" t="s">
        <v>6136</v>
      </c>
      <c r="B2939" s="2">
        <v>17382024</v>
      </c>
      <c r="C2939" s="2" t="s">
        <v>14</v>
      </c>
      <c r="D2939" s="2" t="s">
        <v>41</v>
      </c>
      <c r="E2939" s="2" t="s">
        <v>42</v>
      </c>
      <c r="F2939" s="2" t="s">
        <v>36</v>
      </c>
      <c r="G2939" s="2" t="s">
        <v>1988</v>
      </c>
      <c r="I2939" s="2">
        <v>1698</v>
      </c>
      <c r="J2939" s="2"/>
      <c r="K2939" s="2" t="s">
        <v>45</v>
      </c>
      <c r="L2939" s="2">
        <v>3.9</v>
      </c>
      <c r="M2939" s="2">
        <v>606</v>
      </c>
      <c r="P2939" t="str">
        <f t="shared" si="183"/>
        <v/>
      </c>
      <c r="Q2939" s="12" t="str">
        <f t="shared" si="180"/>
        <v/>
      </c>
      <c r="R2939" s="9" t="str">
        <f t="shared" si="181"/>
        <v/>
      </c>
      <c r="S2939" s="9">
        <f>IF(R2939="",AVERAGEIF(Table1[Category],Table1[[#This Row],[Category]],Table2[orignal data]),Table2[[#This Row],[orignal data]])</f>
        <v>715.78890751086249</v>
      </c>
      <c r="T2939" t="str">
        <f t="shared" si="182"/>
        <v>UNIQUE</v>
      </c>
      <c r="U2939" t="str">
        <f>IF(ISBLANK(Table1[[#This Row],[SizeOption]]),"NOT AVAILABLE",Table1[[#This Row],[SizeOption]])</f>
        <v>XS, S, M, L, XL</v>
      </c>
      <c r="Y2939" t="str">
        <f>IF(Table2[[#This Row],[Column1]]&gt;50%,"HIGH DISCOUNT","LOW DISCOUNT")</f>
        <v>HIGH DISCOUNT</v>
      </c>
    </row>
    <row r="2940" spans="1:25" x14ac:dyDescent="0.25">
      <c r="A2940" s="1" t="s">
        <v>6137</v>
      </c>
      <c r="B2940" s="1">
        <v>7243641</v>
      </c>
      <c r="C2940" s="1" t="s">
        <v>14</v>
      </c>
      <c r="D2940" s="1" t="s">
        <v>15</v>
      </c>
      <c r="E2940" s="1" t="s">
        <v>16</v>
      </c>
      <c r="F2940" s="1" t="s">
        <v>17</v>
      </c>
      <c r="G2940" s="1" t="s">
        <v>3068</v>
      </c>
      <c r="H2940">
        <v>1099</v>
      </c>
      <c r="I2940" s="1">
        <v>1999</v>
      </c>
      <c r="J2940" s="1" t="s">
        <v>19</v>
      </c>
      <c r="K2940" s="1" t="s">
        <v>20</v>
      </c>
      <c r="L2940" s="1">
        <v>3.9</v>
      </c>
      <c r="M2940" s="1">
        <v>605</v>
      </c>
      <c r="P2940" t="str">
        <f t="shared" si="183"/>
        <v>45%</v>
      </c>
      <c r="Q2940" s="12">
        <f t="shared" si="180"/>
        <v>0.45</v>
      </c>
      <c r="R2940" s="9">
        <f t="shared" si="181"/>
        <v>1099.4499999999998</v>
      </c>
      <c r="S2940" s="9">
        <f>IF(R2940="",AVERAGEIF(Table1[Category],Table1[[#This Row],[Category]],Table2[orignal data]),Table2[[#This Row],[orignal data]])</f>
        <v>1099.4499999999998</v>
      </c>
      <c r="T2940" t="str">
        <f t="shared" si="182"/>
        <v>UNIQUE</v>
      </c>
      <c r="U2940" t="str">
        <f>IF(ISBLANK(Table1[[#This Row],[SizeOption]]),"NOT AVAILABLE",Table1[[#This Row],[SizeOption]])</f>
        <v>28, 30, 32, 34, 36</v>
      </c>
      <c r="Y2940" t="str">
        <f>IF(Table2[[#This Row],[Column1]]&gt;50%,"HIGH DISCOUNT","LOW DISCOUNT")</f>
        <v>LOW DISCOUNT</v>
      </c>
    </row>
    <row r="2941" spans="1:25" x14ac:dyDescent="0.25">
      <c r="A2941" s="2" t="s">
        <v>6138</v>
      </c>
      <c r="B2941" s="2">
        <v>10064549</v>
      </c>
      <c r="C2941" s="2" t="s">
        <v>14</v>
      </c>
      <c r="D2941" s="2" t="s">
        <v>15</v>
      </c>
      <c r="E2941" s="2" t="s">
        <v>16</v>
      </c>
      <c r="F2941" s="2" t="s">
        <v>17</v>
      </c>
      <c r="G2941" s="2" t="s">
        <v>3068</v>
      </c>
      <c r="H2941">
        <v>809</v>
      </c>
      <c r="I2941" s="2">
        <v>1799</v>
      </c>
      <c r="J2941" s="2" t="s">
        <v>25</v>
      </c>
      <c r="K2941" s="2" t="s">
        <v>20</v>
      </c>
      <c r="L2941" s="2">
        <v>4</v>
      </c>
      <c r="M2941" s="2">
        <v>605</v>
      </c>
      <c r="P2941" t="str">
        <f t="shared" si="183"/>
        <v>55%</v>
      </c>
      <c r="Q2941" s="12">
        <f t="shared" si="180"/>
        <v>0.55000000000000004</v>
      </c>
      <c r="R2941" s="9">
        <f t="shared" si="181"/>
        <v>809.55</v>
      </c>
      <c r="S2941" s="9">
        <f>IF(R2941="",AVERAGEIF(Table1[Category],Table1[[#This Row],[Category]],Table2[orignal data]),Table2[[#This Row],[orignal data]])</f>
        <v>809.55</v>
      </c>
      <c r="T2941" t="str">
        <f t="shared" si="182"/>
        <v>UNIQUE</v>
      </c>
      <c r="U2941" t="str">
        <f>IF(ISBLANK(Table1[[#This Row],[SizeOption]]),"NOT AVAILABLE",Table1[[#This Row],[SizeOption]])</f>
        <v>28, 30, 32, 34, 36</v>
      </c>
      <c r="Y2941" t="str">
        <f>IF(Table2[[#This Row],[Column1]]&gt;50%,"HIGH DISCOUNT","LOW DISCOUNT")</f>
        <v>HIGH DISCOUNT</v>
      </c>
    </row>
    <row r="2942" spans="1:25" x14ac:dyDescent="0.25">
      <c r="A2942" s="1" t="s">
        <v>6139</v>
      </c>
      <c r="B2942" s="1">
        <v>10550820</v>
      </c>
      <c r="C2942" s="1" t="s">
        <v>52</v>
      </c>
      <c r="D2942" s="1" t="s">
        <v>15</v>
      </c>
      <c r="E2942" s="1" t="s">
        <v>137</v>
      </c>
      <c r="F2942" s="1" t="s">
        <v>17</v>
      </c>
      <c r="G2942" s="1" t="s">
        <v>6140</v>
      </c>
      <c r="H2942">
        <v>624</v>
      </c>
      <c r="I2942" s="1">
        <v>1249</v>
      </c>
      <c r="J2942" s="1" t="s">
        <v>84</v>
      </c>
      <c r="K2942" s="1" t="s">
        <v>56</v>
      </c>
      <c r="L2942" s="1">
        <v>4.2</v>
      </c>
      <c r="M2942" s="1">
        <v>605</v>
      </c>
      <c r="P2942" t="str">
        <f t="shared" si="183"/>
        <v>50%</v>
      </c>
      <c r="Q2942" s="12">
        <f t="shared" si="180"/>
        <v>0.5</v>
      </c>
      <c r="R2942" s="9">
        <f t="shared" si="181"/>
        <v>624.5</v>
      </c>
      <c r="S2942" s="9">
        <f>IF(R2942="",AVERAGEIF(Table1[Category],Table1[[#This Row],[Category]],Table2[orignal data]),Table2[[#This Row],[orignal data]])</f>
        <v>624.5</v>
      </c>
      <c r="T2942" t="str">
        <f t="shared" si="182"/>
        <v>UNIQUE</v>
      </c>
      <c r="U2942" t="str">
        <f>IF(ISBLANK(Table1[[#This Row],[SizeOption]]),"NOT AVAILABLE",Table1[[#This Row],[SizeOption]])</f>
        <v>30, 32, 34, 36</v>
      </c>
      <c r="Y2942" t="str">
        <f>IF(Table2[[#This Row],[Column1]]&gt;50%,"HIGH DISCOUNT","LOW DISCOUNT")</f>
        <v>LOW DISCOUNT</v>
      </c>
    </row>
    <row r="2943" spans="1:25" x14ac:dyDescent="0.25">
      <c r="A2943" s="2" t="s">
        <v>6141</v>
      </c>
      <c r="B2943" s="2">
        <v>10986452</v>
      </c>
      <c r="C2943" s="2" t="s">
        <v>47</v>
      </c>
      <c r="D2943" s="2" t="s">
        <v>197</v>
      </c>
      <c r="E2943" s="2" t="s">
        <v>198</v>
      </c>
      <c r="F2943" s="2" t="s">
        <v>17</v>
      </c>
      <c r="G2943" s="2" t="s">
        <v>6142</v>
      </c>
      <c r="H2943">
        <v>349</v>
      </c>
      <c r="I2943" s="2">
        <v>499</v>
      </c>
      <c r="J2943" s="2" t="s">
        <v>186</v>
      </c>
      <c r="K2943" s="2" t="s">
        <v>164</v>
      </c>
      <c r="L2943" s="2">
        <v>4.2</v>
      </c>
      <c r="M2943" s="2">
        <v>605</v>
      </c>
      <c r="P2943" t="str">
        <f t="shared" si="183"/>
        <v>30%</v>
      </c>
      <c r="Q2943" s="12">
        <f t="shared" si="180"/>
        <v>0.3</v>
      </c>
      <c r="R2943" s="9">
        <f t="shared" si="181"/>
        <v>349.3</v>
      </c>
      <c r="S2943" s="9">
        <f>IF(R2943="",AVERAGEIF(Table1[Category],Table1[[#This Row],[Category]],Table2[orignal data]),Table2[[#This Row],[orignal data]])</f>
        <v>349.3</v>
      </c>
      <c r="T2943" t="str">
        <f t="shared" si="182"/>
        <v>UNIQUE</v>
      </c>
      <c r="U2943" t="str">
        <f>IF(ISBLANK(Table1[[#This Row],[SizeOption]]),"NOT AVAILABLE",Table1[[#This Row],[SizeOption]])</f>
        <v>Onesize</v>
      </c>
      <c r="Y2943" t="str">
        <f>IF(Table2[[#This Row],[Column1]]&gt;50%,"HIGH DISCOUNT","LOW DISCOUNT")</f>
        <v>LOW DISCOUNT</v>
      </c>
    </row>
    <row r="2944" spans="1:25" x14ac:dyDescent="0.25">
      <c r="A2944" s="1" t="s">
        <v>6143</v>
      </c>
      <c r="B2944" s="1">
        <v>2004670</v>
      </c>
      <c r="C2944" s="1" t="s">
        <v>623</v>
      </c>
      <c r="D2944" s="1" t="s">
        <v>34</v>
      </c>
      <c r="E2944" s="1" t="s">
        <v>118</v>
      </c>
      <c r="F2944" s="1" t="s">
        <v>36</v>
      </c>
      <c r="G2944" s="1" t="s">
        <v>6144</v>
      </c>
      <c r="H2944">
        <v>281</v>
      </c>
      <c r="I2944" s="1">
        <v>599</v>
      </c>
      <c r="J2944" s="1" t="s">
        <v>89</v>
      </c>
      <c r="K2944" s="1" t="s">
        <v>2429</v>
      </c>
      <c r="L2944" s="1">
        <v>4.0999999999999996</v>
      </c>
      <c r="M2944" s="1">
        <v>605</v>
      </c>
      <c r="P2944" t="str">
        <f t="shared" si="183"/>
        <v>53%</v>
      </c>
      <c r="Q2944" s="12">
        <f t="shared" si="180"/>
        <v>0.53</v>
      </c>
      <c r="R2944" s="9">
        <f t="shared" si="181"/>
        <v>281.52999999999997</v>
      </c>
      <c r="S2944" s="9">
        <f>IF(R2944="",AVERAGEIF(Table1[Category],Table1[[#This Row],[Category]],Table2[orignal data]),Table2[[#This Row],[orignal data]])</f>
        <v>281.52999999999997</v>
      </c>
      <c r="T2944" t="str">
        <f t="shared" si="182"/>
        <v>UNIQUE</v>
      </c>
      <c r="U2944" t="str">
        <f>IF(ISBLANK(Table1[[#This Row],[SizeOption]]),"NOT AVAILABLE",Table1[[#This Row],[SizeOption]])</f>
        <v>32B, 32C, 32D, 34B, 34C, 34D, 36B, 36C, 36D, 38B, 38C, 40B, 40C</v>
      </c>
      <c r="Y2944" t="str">
        <f>IF(Table2[[#This Row],[Column1]]&gt;50%,"HIGH DISCOUNT","LOW DISCOUNT")</f>
        <v>HIGH DISCOUNT</v>
      </c>
    </row>
    <row r="2945" spans="1:25" x14ac:dyDescent="0.25">
      <c r="A2945" s="2" t="s">
        <v>6145</v>
      </c>
      <c r="B2945" s="2">
        <v>3013686</v>
      </c>
      <c r="C2945" s="2" t="s">
        <v>349</v>
      </c>
      <c r="D2945" s="2" t="s">
        <v>34</v>
      </c>
      <c r="E2945" s="2" t="s">
        <v>118</v>
      </c>
      <c r="F2945" s="2" t="s">
        <v>36</v>
      </c>
      <c r="G2945" s="2" t="s">
        <v>6146</v>
      </c>
      <c r="I2945" s="2">
        <v>878</v>
      </c>
      <c r="J2945" s="2"/>
      <c r="K2945" s="2" t="s">
        <v>2723</v>
      </c>
      <c r="L2945" s="2">
        <v>4</v>
      </c>
      <c r="M2945" s="2">
        <v>605</v>
      </c>
      <c r="P2945" t="str">
        <f t="shared" si="183"/>
        <v/>
      </c>
      <c r="Q2945" s="12" t="str">
        <f t="shared" si="180"/>
        <v/>
      </c>
      <c r="R2945" s="9" t="str">
        <f t="shared" si="181"/>
        <v/>
      </c>
      <c r="S2945" s="9">
        <f>IF(R2945="",AVERAGEIF(Table1[Category],Table1[[#This Row],[Category]],Table2[orignal data]),Table2[[#This Row],[orignal data]])</f>
        <v>608.88518518518481</v>
      </c>
      <c r="T2945" t="str">
        <f t="shared" si="182"/>
        <v>UNIQUE</v>
      </c>
      <c r="U2945" t="str">
        <f>IF(ISBLANK(Table1[[#This Row],[SizeOption]]),"NOT AVAILABLE",Table1[[#This Row],[SizeOption]])</f>
        <v>30B, 32B, 34B</v>
      </c>
      <c r="Y2945" t="str">
        <f>IF(Table2[[#This Row],[Column1]]&gt;50%,"HIGH DISCOUNT","LOW DISCOUNT")</f>
        <v>HIGH DISCOUNT</v>
      </c>
    </row>
    <row r="2946" spans="1:25" x14ac:dyDescent="0.25">
      <c r="A2946" s="1" t="s">
        <v>6147</v>
      </c>
      <c r="B2946" s="1">
        <v>11053928</v>
      </c>
      <c r="C2946" s="1" t="s">
        <v>377</v>
      </c>
      <c r="D2946" s="1" t="s">
        <v>98</v>
      </c>
      <c r="E2946" s="1" t="s">
        <v>53</v>
      </c>
      <c r="F2946" s="1" t="s">
        <v>36</v>
      </c>
      <c r="G2946" s="1" t="s">
        <v>6148</v>
      </c>
      <c r="H2946">
        <v>620</v>
      </c>
      <c r="I2946" s="1">
        <v>1149</v>
      </c>
      <c r="J2946" s="1" t="s">
        <v>2415</v>
      </c>
      <c r="K2946" s="1" t="s">
        <v>20</v>
      </c>
      <c r="L2946" s="1">
        <v>3.9</v>
      </c>
      <c r="M2946" s="1">
        <v>605</v>
      </c>
      <c r="P2946" t="str">
        <f t="shared" si="183"/>
        <v>46%</v>
      </c>
      <c r="Q2946" s="12">
        <f t="shared" ref="Q2946:Q3009" si="184">IF(P2946="","",IF(ISNUMBER(SEARCH("%",P2946)),P2946,P2946/I2946)*100%)</f>
        <v>0.46</v>
      </c>
      <c r="R2946" s="9">
        <f t="shared" ref="R2946:R3009" si="185">IF(P2946="","",I2946-(I2946*Q2946))</f>
        <v>620.45999999999992</v>
      </c>
      <c r="S2946" s="9">
        <f>IF(R2946="",AVERAGEIF(Table1[Category],Table1[[#This Row],[Category]],Table2[orignal data]),Table2[[#This Row],[orignal data]])</f>
        <v>620.45999999999992</v>
      </c>
      <c r="T2946" t="str">
        <f t="shared" ref="T2946:T3009" si="186">IF(COUNTIF($B$2:$B$5000,B2946)&gt;1,"DUPLICATE","UNIQUE")</f>
        <v>UNIQUE</v>
      </c>
      <c r="U2946" t="str">
        <f>IF(ISBLANK(Table1[[#This Row],[SizeOption]]),"NOT AVAILABLE",Table1[[#This Row],[SizeOption]])</f>
        <v>28, 30, 32, 34, 36</v>
      </c>
      <c r="Y2946" t="str">
        <f>IF(Table2[[#This Row],[Column1]]&gt;50%,"HIGH DISCOUNT","LOW DISCOUNT")</f>
        <v>LOW DISCOUNT</v>
      </c>
    </row>
    <row r="2947" spans="1:25" x14ac:dyDescent="0.25">
      <c r="A2947" s="2" t="s">
        <v>6149</v>
      </c>
      <c r="B2947" s="2">
        <v>12104870</v>
      </c>
      <c r="C2947" s="2" t="s">
        <v>97</v>
      </c>
      <c r="D2947" s="2" t="s">
        <v>98</v>
      </c>
      <c r="E2947" s="2" t="s">
        <v>77</v>
      </c>
      <c r="F2947" s="2" t="s">
        <v>36</v>
      </c>
      <c r="G2947" s="2" t="s">
        <v>6150</v>
      </c>
      <c r="H2947">
        <v>599</v>
      </c>
      <c r="I2947" s="2">
        <v>2399</v>
      </c>
      <c r="J2947" s="2" t="s">
        <v>109</v>
      </c>
      <c r="K2947" s="2" t="s">
        <v>100</v>
      </c>
      <c r="L2947" s="2">
        <v>4.3</v>
      </c>
      <c r="M2947" s="2">
        <v>605</v>
      </c>
      <c r="P2947" t="str">
        <f t="shared" ref="P2947:P3010" si="187">TRIM(SUBSTITUTE(SUBSTITUTE(SUBSTITUTE(SUBSTITUTE(J2947,"OFF",""),"Rs.",""),"Hurry*",""),",",""))</f>
        <v>75%</v>
      </c>
      <c r="Q2947" s="12">
        <f t="shared" si="184"/>
        <v>0.75</v>
      </c>
      <c r="R2947" s="9">
        <f t="shared" si="185"/>
        <v>599.75</v>
      </c>
      <c r="S2947" s="9">
        <f>IF(R2947="",AVERAGEIF(Table1[Category],Table1[[#This Row],[Category]],Table2[orignal data]),Table2[[#This Row],[orignal data]])</f>
        <v>599.75</v>
      </c>
      <c r="T2947" t="str">
        <f t="shared" si="186"/>
        <v>UNIQUE</v>
      </c>
      <c r="U2947" t="str">
        <f>IF(ISBLANK(Table1[[#This Row],[SizeOption]]),"NOT AVAILABLE",Table1[[#This Row],[SizeOption]])</f>
        <v>XS, S, M, L, XL, XXL, 3XL</v>
      </c>
      <c r="Y2947" t="str">
        <f>IF(Table2[[#This Row],[Column1]]&gt;50%,"HIGH DISCOUNT","LOW DISCOUNT")</f>
        <v>HIGH DISCOUNT</v>
      </c>
    </row>
    <row r="2948" spans="1:25" x14ac:dyDescent="0.25">
      <c r="A2948" s="1" t="s">
        <v>6151</v>
      </c>
      <c r="B2948" s="1">
        <v>2293433</v>
      </c>
      <c r="C2948" s="1" t="s">
        <v>67</v>
      </c>
      <c r="D2948" s="1" t="s">
        <v>68</v>
      </c>
      <c r="E2948" s="1" t="s">
        <v>23</v>
      </c>
      <c r="F2948" s="1" t="s">
        <v>36</v>
      </c>
      <c r="G2948" s="1" t="s">
        <v>6152</v>
      </c>
      <c r="H2948">
        <v>949</v>
      </c>
      <c r="I2948" s="1">
        <v>1899</v>
      </c>
      <c r="J2948" s="1" t="s">
        <v>84</v>
      </c>
      <c r="K2948" s="1" t="s">
        <v>45</v>
      </c>
      <c r="L2948" s="1">
        <v>3.9</v>
      </c>
      <c r="M2948" s="1">
        <v>605</v>
      </c>
      <c r="P2948" t="str">
        <f t="shared" si="187"/>
        <v>50%</v>
      </c>
      <c r="Q2948" s="12">
        <f t="shared" si="184"/>
        <v>0.5</v>
      </c>
      <c r="R2948" s="9">
        <f t="shared" si="185"/>
        <v>949.5</v>
      </c>
      <c r="S2948" s="9">
        <f>IF(R2948="",AVERAGEIF(Table1[Category],Table1[[#This Row],[Category]],Table2[orignal data]),Table2[[#This Row],[orignal data]])</f>
        <v>949.5</v>
      </c>
      <c r="T2948" t="str">
        <f t="shared" si="186"/>
        <v>UNIQUE</v>
      </c>
      <c r="U2948" t="str">
        <f>IF(ISBLANK(Table1[[#This Row],[SizeOption]]),"NOT AVAILABLE",Table1[[#This Row],[SizeOption]])</f>
        <v>XS, S, M, L, XL</v>
      </c>
      <c r="Y2948" t="str">
        <f>IF(Table2[[#This Row],[Column1]]&gt;50%,"HIGH DISCOUNT","LOW DISCOUNT")</f>
        <v>LOW DISCOUNT</v>
      </c>
    </row>
    <row r="2949" spans="1:25" x14ac:dyDescent="0.25">
      <c r="A2949" s="2" t="s">
        <v>6153</v>
      </c>
      <c r="B2949" s="2">
        <v>12129998</v>
      </c>
      <c r="C2949" s="2" t="s">
        <v>676</v>
      </c>
      <c r="D2949" s="2" t="s">
        <v>41</v>
      </c>
      <c r="E2949" s="2" t="s">
        <v>48</v>
      </c>
      <c r="F2949" s="2" t="s">
        <v>36</v>
      </c>
      <c r="G2949" s="2" t="s">
        <v>6154</v>
      </c>
      <c r="I2949" s="2">
        <v>1299</v>
      </c>
      <c r="J2949" s="2" t="s">
        <v>25</v>
      </c>
      <c r="K2949" s="2" t="s">
        <v>26</v>
      </c>
      <c r="L2949" s="2">
        <v>4.0999999999999996</v>
      </c>
      <c r="M2949" s="2">
        <v>605</v>
      </c>
      <c r="P2949" t="str">
        <f t="shared" si="187"/>
        <v>55%</v>
      </c>
      <c r="Q2949" s="12">
        <f t="shared" si="184"/>
        <v>0.55000000000000004</v>
      </c>
      <c r="R2949" s="9">
        <f t="shared" si="185"/>
        <v>584.54999999999995</v>
      </c>
      <c r="S2949" s="9">
        <f>IF(R2949="",AVERAGEIF(Table1[Category],Table1[[#This Row],[Category]],Table2[orignal data]),Table2[[#This Row],[orignal data]])</f>
        <v>584.54999999999995</v>
      </c>
      <c r="T2949" t="str">
        <f t="shared" si="186"/>
        <v>UNIQUE</v>
      </c>
      <c r="U2949" t="str">
        <f>IF(ISBLANK(Table1[[#This Row],[SizeOption]]),"NOT AVAILABLE",Table1[[#This Row],[SizeOption]])</f>
        <v>S, M, L, XL</v>
      </c>
      <c r="Y2949" t="str">
        <f>IF(Table2[[#This Row],[Column1]]&gt;50%,"HIGH DISCOUNT","LOW DISCOUNT")</f>
        <v>HIGH DISCOUNT</v>
      </c>
    </row>
    <row r="2950" spans="1:25" x14ac:dyDescent="0.25">
      <c r="A2950" s="1" t="s">
        <v>6155</v>
      </c>
      <c r="B2950" s="1">
        <v>17524666</v>
      </c>
      <c r="C2950" s="1" t="s">
        <v>47</v>
      </c>
      <c r="D2950" s="1" t="s">
        <v>41</v>
      </c>
      <c r="E2950" s="1" t="s">
        <v>42</v>
      </c>
      <c r="F2950" s="1" t="s">
        <v>36</v>
      </c>
      <c r="G2950" s="1" t="s">
        <v>1316</v>
      </c>
      <c r="I2950" s="1">
        <v>1598</v>
      </c>
      <c r="J2950" s="1" t="s">
        <v>84</v>
      </c>
      <c r="K2950" s="1" t="s">
        <v>146</v>
      </c>
      <c r="L2950" s="1">
        <v>4.0999999999999996</v>
      </c>
      <c r="M2950" s="1">
        <v>605</v>
      </c>
      <c r="P2950" t="str">
        <f t="shared" si="187"/>
        <v>50%</v>
      </c>
      <c r="Q2950" s="12">
        <f t="shared" si="184"/>
        <v>0.5</v>
      </c>
      <c r="R2950" s="9">
        <f t="shared" si="185"/>
        <v>799</v>
      </c>
      <c r="S2950" s="9">
        <f>IF(R2950="",AVERAGEIF(Table1[Category],Table1[[#This Row],[Category]],Table2[orignal data]),Table2[[#This Row],[orignal data]])</f>
        <v>799</v>
      </c>
      <c r="T2950" t="str">
        <f t="shared" si="186"/>
        <v>UNIQUE</v>
      </c>
      <c r="U2950" t="str">
        <f>IF(ISBLANK(Table1[[#This Row],[SizeOption]]),"NOT AVAILABLE",Table1[[#This Row],[SizeOption]])</f>
        <v>L, M, S, XS, XL</v>
      </c>
      <c r="Y2950" t="str">
        <f>IF(Table2[[#This Row],[Column1]]&gt;50%,"HIGH DISCOUNT","LOW DISCOUNT")</f>
        <v>LOW DISCOUNT</v>
      </c>
    </row>
    <row r="2951" spans="1:25" x14ac:dyDescent="0.25">
      <c r="A2951" s="2" t="s">
        <v>6156</v>
      </c>
      <c r="B2951" s="2">
        <v>7289178</v>
      </c>
      <c r="C2951" s="2" t="s">
        <v>1345</v>
      </c>
      <c r="D2951" s="2" t="s">
        <v>41</v>
      </c>
      <c r="E2951" s="2" t="s">
        <v>16</v>
      </c>
      <c r="F2951" s="2" t="s">
        <v>36</v>
      </c>
      <c r="G2951" s="2" t="s">
        <v>6157</v>
      </c>
      <c r="I2951" s="2">
        <v>2299</v>
      </c>
      <c r="J2951" s="2" t="s">
        <v>104</v>
      </c>
      <c r="K2951" s="2" t="s">
        <v>6158</v>
      </c>
      <c r="L2951" s="2">
        <v>4.0999999999999996</v>
      </c>
      <c r="M2951" s="2">
        <v>605</v>
      </c>
      <c r="P2951" t="str">
        <f t="shared" si="187"/>
        <v>61%</v>
      </c>
      <c r="Q2951" s="12">
        <f t="shared" si="184"/>
        <v>0.61</v>
      </c>
      <c r="R2951" s="9">
        <f t="shared" si="185"/>
        <v>896.61000000000013</v>
      </c>
      <c r="S2951" s="9">
        <f>IF(R2951="",AVERAGEIF(Table1[Category],Table1[[#This Row],[Category]],Table2[orignal data]),Table2[[#This Row],[orignal data]])</f>
        <v>896.61000000000013</v>
      </c>
      <c r="T2951" t="str">
        <f t="shared" si="186"/>
        <v>UNIQUE</v>
      </c>
      <c r="U2951" t="str">
        <f>IF(ISBLANK(Table1[[#This Row],[SizeOption]]),"NOT AVAILABLE",Table1[[#This Row],[SizeOption]])</f>
        <v>28, 30, 32, 34, 36, 38, 40, 42, 44</v>
      </c>
      <c r="Y2951" t="str">
        <f>IF(Table2[[#This Row],[Column1]]&gt;50%,"HIGH DISCOUNT","LOW DISCOUNT")</f>
        <v>HIGH DISCOUNT</v>
      </c>
    </row>
    <row r="2952" spans="1:25" x14ac:dyDescent="0.25">
      <c r="A2952" s="1" t="s">
        <v>6159</v>
      </c>
      <c r="B2952" s="1">
        <v>11542032</v>
      </c>
      <c r="C2952" s="1" t="s">
        <v>14</v>
      </c>
      <c r="D2952" s="1" t="s">
        <v>41</v>
      </c>
      <c r="E2952" s="1" t="s">
        <v>16</v>
      </c>
      <c r="F2952" s="1" t="s">
        <v>36</v>
      </c>
      <c r="G2952" s="1" t="s">
        <v>6160</v>
      </c>
      <c r="I2952" s="1">
        <v>2699</v>
      </c>
      <c r="J2952" s="1" t="s">
        <v>55</v>
      </c>
      <c r="K2952" s="1" t="s">
        <v>134</v>
      </c>
      <c r="L2952" s="1">
        <v>4.5</v>
      </c>
      <c r="M2952" s="1">
        <v>605</v>
      </c>
      <c r="P2952" t="str">
        <f t="shared" si="187"/>
        <v>60%</v>
      </c>
      <c r="Q2952" s="12">
        <f t="shared" si="184"/>
        <v>0.6</v>
      </c>
      <c r="R2952" s="9">
        <f t="shared" si="185"/>
        <v>1079.6000000000001</v>
      </c>
      <c r="S2952" s="9">
        <f>IF(R2952="",AVERAGEIF(Table1[Category],Table1[[#This Row],[Category]],Table2[orignal data]),Table2[[#This Row],[orignal data]])</f>
        <v>1079.6000000000001</v>
      </c>
      <c r="T2952" t="str">
        <f t="shared" si="186"/>
        <v>UNIQUE</v>
      </c>
      <c r="U2952" t="str">
        <f>IF(ISBLANK(Table1[[#This Row],[SizeOption]]),"NOT AVAILABLE",Table1[[#This Row],[SizeOption]])</f>
        <v>26, 28, 30, 32, 34, 36</v>
      </c>
      <c r="Y2952" t="str">
        <f>IF(Table2[[#This Row],[Column1]]&gt;50%,"HIGH DISCOUNT","LOW DISCOUNT")</f>
        <v>HIGH DISCOUNT</v>
      </c>
    </row>
    <row r="2953" spans="1:25" x14ac:dyDescent="0.25">
      <c r="A2953" s="2" t="s">
        <v>6161</v>
      </c>
      <c r="B2953" s="2">
        <v>10797974</v>
      </c>
      <c r="C2953" s="2" t="s">
        <v>81</v>
      </c>
      <c r="D2953" s="2" t="s">
        <v>41</v>
      </c>
      <c r="E2953" s="2" t="s">
        <v>82</v>
      </c>
      <c r="F2953" s="2" t="s">
        <v>36</v>
      </c>
      <c r="G2953" s="2" t="s">
        <v>6162</v>
      </c>
      <c r="I2953" s="2">
        <v>2999</v>
      </c>
      <c r="J2953" s="2" t="s">
        <v>130</v>
      </c>
      <c r="K2953" s="2" t="s">
        <v>115</v>
      </c>
      <c r="L2953" s="2">
        <v>4.0999999999999996</v>
      </c>
      <c r="M2953" s="2">
        <v>605</v>
      </c>
      <c r="P2953" t="str">
        <f t="shared" si="187"/>
        <v>57%</v>
      </c>
      <c r="Q2953" s="12">
        <f t="shared" si="184"/>
        <v>0.56999999999999995</v>
      </c>
      <c r="R2953" s="9">
        <f t="shared" si="185"/>
        <v>1289.5700000000002</v>
      </c>
      <c r="S2953" s="9">
        <f>IF(R2953="",AVERAGEIF(Table1[Category],Table1[[#This Row],[Category]],Table2[orignal data]),Table2[[#This Row],[orignal data]])</f>
        <v>1289.5700000000002</v>
      </c>
      <c r="T2953" t="str">
        <f t="shared" si="186"/>
        <v>UNIQUE</v>
      </c>
      <c r="U2953" t="str">
        <f>IF(ISBLANK(Table1[[#This Row],[SizeOption]]),"NOT AVAILABLE",Table1[[#This Row],[SizeOption]])</f>
        <v>XS, S, M, L, XL, XXL</v>
      </c>
      <c r="Y2953" t="str">
        <f>IF(Table2[[#This Row],[Column1]]&gt;50%,"HIGH DISCOUNT","LOW DISCOUNT")</f>
        <v>HIGH DISCOUNT</v>
      </c>
    </row>
    <row r="2954" spans="1:25" x14ac:dyDescent="0.25">
      <c r="A2954" s="1" t="s">
        <v>6163</v>
      </c>
      <c r="B2954" s="1">
        <v>13321874</v>
      </c>
      <c r="C2954" s="1" t="s">
        <v>14</v>
      </c>
      <c r="D2954" s="1" t="s">
        <v>41</v>
      </c>
      <c r="E2954" s="1" t="s">
        <v>42</v>
      </c>
      <c r="F2954" s="1" t="s">
        <v>36</v>
      </c>
      <c r="G2954" s="1" t="s">
        <v>6164</v>
      </c>
      <c r="I2954" s="1">
        <v>799</v>
      </c>
      <c r="J2954" s="1" t="s">
        <v>25</v>
      </c>
      <c r="K2954" s="1" t="s">
        <v>45</v>
      </c>
      <c r="L2954" s="1">
        <v>4.3</v>
      </c>
      <c r="M2954" s="1">
        <v>605</v>
      </c>
      <c r="P2954" t="str">
        <f t="shared" si="187"/>
        <v>55%</v>
      </c>
      <c r="Q2954" s="12">
        <f t="shared" si="184"/>
        <v>0.55000000000000004</v>
      </c>
      <c r="R2954" s="9">
        <f t="shared" si="185"/>
        <v>359.54999999999995</v>
      </c>
      <c r="S2954" s="9">
        <f>IF(R2954="",AVERAGEIF(Table1[Category],Table1[[#This Row],[Category]],Table2[orignal data]),Table2[[#This Row],[orignal data]])</f>
        <v>359.54999999999995</v>
      </c>
      <c r="T2954" t="str">
        <f t="shared" si="186"/>
        <v>UNIQUE</v>
      </c>
      <c r="U2954" t="str">
        <f>IF(ISBLANK(Table1[[#This Row],[SizeOption]]),"NOT AVAILABLE",Table1[[#This Row],[SizeOption]])</f>
        <v>XS, S, M, L, XL</v>
      </c>
      <c r="Y2954" t="str">
        <f>IF(Table2[[#This Row],[Column1]]&gt;50%,"HIGH DISCOUNT","LOW DISCOUNT")</f>
        <v>HIGH DISCOUNT</v>
      </c>
    </row>
    <row r="2955" spans="1:25" x14ac:dyDescent="0.25">
      <c r="A2955" s="2" t="s">
        <v>6165</v>
      </c>
      <c r="B2955" s="2">
        <v>11364154</v>
      </c>
      <c r="C2955" s="2" t="s">
        <v>181</v>
      </c>
      <c r="D2955" s="2" t="s">
        <v>41</v>
      </c>
      <c r="E2955" s="2" t="s">
        <v>48</v>
      </c>
      <c r="F2955" s="2" t="s">
        <v>36</v>
      </c>
      <c r="G2955" s="2" t="s">
        <v>6166</v>
      </c>
      <c r="I2955" s="2">
        <v>999</v>
      </c>
      <c r="J2955" s="2" t="s">
        <v>602</v>
      </c>
      <c r="K2955" s="2" t="s">
        <v>115</v>
      </c>
      <c r="L2955" s="2">
        <v>4.3</v>
      </c>
      <c r="M2955" s="2">
        <v>605</v>
      </c>
      <c r="P2955" t="str">
        <f t="shared" si="187"/>
        <v>48%</v>
      </c>
      <c r="Q2955" s="12">
        <f t="shared" si="184"/>
        <v>0.48</v>
      </c>
      <c r="R2955" s="9">
        <f t="shared" si="185"/>
        <v>519.48</v>
      </c>
      <c r="S2955" s="9">
        <f>IF(R2955="",AVERAGEIF(Table1[Category],Table1[[#This Row],[Category]],Table2[orignal data]),Table2[[#This Row],[orignal data]])</f>
        <v>519.48</v>
      </c>
      <c r="T2955" t="str">
        <f t="shared" si="186"/>
        <v>UNIQUE</v>
      </c>
      <c r="U2955" t="str">
        <f>IF(ISBLANK(Table1[[#This Row],[SizeOption]]),"NOT AVAILABLE",Table1[[#This Row],[SizeOption]])</f>
        <v>XS, S, M, L, XL, XXL</v>
      </c>
      <c r="Y2955" t="str">
        <f>IF(Table2[[#This Row],[Column1]]&gt;50%,"HIGH DISCOUNT","LOW DISCOUNT")</f>
        <v>LOW DISCOUNT</v>
      </c>
    </row>
    <row r="2956" spans="1:25" x14ac:dyDescent="0.25">
      <c r="A2956" s="1" t="s">
        <v>6167</v>
      </c>
      <c r="B2956" s="1">
        <v>13859558</v>
      </c>
      <c r="C2956" s="1" t="s">
        <v>14</v>
      </c>
      <c r="D2956" s="1" t="s">
        <v>15</v>
      </c>
      <c r="E2956" s="1" t="s">
        <v>53</v>
      </c>
      <c r="F2956" s="1" t="s">
        <v>17</v>
      </c>
      <c r="G2956" s="1" t="s">
        <v>6168</v>
      </c>
      <c r="H2956">
        <v>584</v>
      </c>
      <c r="I2956" s="1">
        <v>1299</v>
      </c>
      <c r="J2956" s="1" t="s">
        <v>25</v>
      </c>
      <c r="K2956" s="1" t="s">
        <v>20</v>
      </c>
      <c r="L2956" s="1">
        <v>3.9</v>
      </c>
      <c r="M2956" s="1">
        <v>604</v>
      </c>
      <c r="P2956" t="str">
        <f t="shared" si="187"/>
        <v>55%</v>
      </c>
      <c r="Q2956" s="12">
        <f t="shared" si="184"/>
        <v>0.55000000000000004</v>
      </c>
      <c r="R2956" s="9">
        <f t="shared" si="185"/>
        <v>584.54999999999995</v>
      </c>
      <c r="S2956" s="9">
        <f>IF(R2956="",AVERAGEIF(Table1[Category],Table1[[#This Row],[Category]],Table2[orignal data]),Table2[[#This Row],[orignal data]])</f>
        <v>584.54999999999995</v>
      </c>
      <c r="T2956" t="str">
        <f t="shared" si="186"/>
        <v>UNIQUE</v>
      </c>
      <c r="U2956" t="str">
        <f>IF(ISBLANK(Table1[[#This Row],[SizeOption]]),"NOT AVAILABLE",Table1[[#This Row],[SizeOption]])</f>
        <v>28, 30, 32, 34, 36</v>
      </c>
      <c r="Y2956" t="str">
        <f>IF(Table2[[#This Row],[Column1]]&gt;50%,"HIGH DISCOUNT","LOW DISCOUNT")</f>
        <v>HIGH DISCOUNT</v>
      </c>
    </row>
    <row r="2957" spans="1:25" x14ac:dyDescent="0.25">
      <c r="A2957" s="2" t="s">
        <v>6169</v>
      </c>
      <c r="B2957" s="2">
        <v>10792190</v>
      </c>
      <c r="C2957" s="2" t="s">
        <v>52</v>
      </c>
      <c r="D2957" s="2" t="s">
        <v>15</v>
      </c>
      <c r="E2957" s="2" t="s">
        <v>137</v>
      </c>
      <c r="F2957" s="2" t="s">
        <v>17</v>
      </c>
      <c r="G2957" s="2" t="s">
        <v>6170</v>
      </c>
      <c r="H2957">
        <v>587</v>
      </c>
      <c r="I2957" s="2">
        <v>1249</v>
      </c>
      <c r="J2957" s="2" t="s">
        <v>89</v>
      </c>
      <c r="K2957" s="2" t="s">
        <v>56</v>
      </c>
      <c r="L2957" s="2">
        <v>4.2</v>
      </c>
      <c r="M2957" s="2">
        <v>604</v>
      </c>
      <c r="P2957" t="str">
        <f t="shared" si="187"/>
        <v>53%</v>
      </c>
      <c r="Q2957" s="12">
        <f t="shared" si="184"/>
        <v>0.53</v>
      </c>
      <c r="R2957" s="9">
        <f t="shared" si="185"/>
        <v>587.03</v>
      </c>
      <c r="S2957" s="9">
        <f>IF(R2957="",AVERAGEIF(Table1[Category],Table1[[#This Row],[Category]],Table2[orignal data]),Table2[[#This Row],[orignal data]])</f>
        <v>587.03</v>
      </c>
      <c r="T2957" t="str">
        <f t="shared" si="186"/>
        <v>UNIQUE</v>
      </c>
      <c r="U2957" t="str">
        <f>IF(ISBLANK(Table1[[#This Row],[SizeOption]]),"NOT AVAILABLE",Table1[[#This Row],[SizeOption]])</f>
        <v>30, 32, 34, 36</v>
      </c>
      <c r="Y2957" t="str">
        <f>IF(Table2[[#This Row],[Column1]]&gt;50%,"HIGH DISCOUNT","LOW DISCOUNT")</f>
        <v>HIGH DISCOUNT</v>
      </c>
    </row>
    <row r="2958" spans="1:25" x14ac:dyDescent="0.25">
      <c r="A2958" s="1" t="s">
        <v>6171</v>
      </c>
      <c r="B2958" s="1">
        <v>13488722</v>
      </c>
      <c r="C2958" s="1" t="s">
        <v>1281</v>
      </c>
      <c r="D2958" s="1" t="s">
        <v>76</v>
      </c>
      <c r="E2958" s="1" t="s">
        <v>93</v>
      </c>
      <c r="F2958" s="1" t="s">
        <v>17</v>
      </c>
      <c r="G2958" s="1" t="s">
        <v>6172</v>
      </c>
      <c r="H2958">
        <v>989</v>
      </c>
      <c r="I2958" s="1">
        <v>2199</v>
      </c>
      <c r="J2958" s="1" t="s">
        <v>25</v>
      </c>
      <c r="K2958" s="1" t="s">
        <v>115</v>
      </c>
      <c r="L2958" s="1">
        <v>4.3</v>
      </c>
      <c r="M2958" s="1">
        <v>604</v>
      </c>
      <c r="P2958" t="str">
        <f t="shared" si="187"/>
        <v>55%</v>
      </c>
      <c r="Q2958" s="12">
        <f t="shared" si="184"/>
        <v>0.55000000000000004</v>
      </c>
      <c r="R2958" s="9">
        <f t="shared" si="185"/>
        <v>989.55</v>
      </c>
      <c r="S2958" s="9">
        <f>IF(R2958="",AVERAGEIF(Table1[Category],Table1[[#This Row],[Category]],Table2[orignal data]),Table2[[#This Row],[orignal data]])</f>
        <v>989.55</v>
      </c>
      <c r="T2958" t="str">
        <f t="shared" si="186"/>
        <v>UNIQUE</v>
      </c>
      <c r="U2958" t="str">
        <f>IF(ISBLANK(Table1[[#This Row],[SizeOption]]),"NOT AVAILABLE",Table1[[#This Row],[SizeOption]])</f>
        <v>XS, S, M, L, XL, XXL</v>
      </c>
      <c r="Y2958" t="str">
        <f>IF(Table2[[#This Row],[Column1]]&gt;50%,"HIGH DISCOUNT","LOW DISCOUNT")</f>
        <v>HIGH DISCOUNT</v>
      </c>
    </row>
    <row r="2959" spans="1:25" x14ac:dyDescent="0.25">
      <c r="A2959" s="2" t="s">
        <v>6173</v>
      </c>
      <c r="B2959" s="2">
        <v>1758558</v>
      </c>
      <c r="C2959" s="2" t="s">
        <v>169</v>
      </c>
      <c r="D2959" s="2" t="s">
        <v>28</v>
      </c>
      <c r="E2959" s="2" t="s">
        <v>29</v>
      </c>
      <c r="F2959" s="2" t="s">
        <v>17</v>
      </c>
      <c r="G2959" s="2" t="s">
        <v>6174</v>
      </c>
      <c r="H2959">
        <v>1499</v>
      </c>
      <c r="I2959" s="2">
        <v>2499</v>
      </c>
      <c r="J2959" s="2" t="s">
        <v>50</v>
      </c>
      <c r="K2959" s="2" t="s">
        <v>484</v>
      </c>
      <c r="L2959" s="2">
        <v>4.2</v>
      </c>
      <c r="M2959" s="2">
        <v>604</v>
      </c>
      <c r="P2959" t="str">
        <f t="shared" si="187"/>
        <v>40%</v>
      </c>
      <c r="Q2959" s="12">
        <f t="shared" si="184"/>
        <v>0.4</v>
      </c>
      <c r="R2959" s="9">
        <f t="shared" si="185"/>
        <v>1499.4</v>
      </c>
      <c r="S2959" s="9">
        <f>IF(R2959="",AVERAGEIF(Table1[Category],Table1[[#This Row],[Category]],Table2[orignal data]),Table2[[#This Row],[orignal data]])</f>
        <v>1499.4</v>
      </c>
      <c r="T2959" t="str">
        <f t="shared" si="186"/>
        <v>UNIQUE</v>
      </c>
      <c r="U2959" t="str">
        <f>IF(ISBLANK(Table1[[#This Row],[SizeOption]]),"NOT AVAILABLE",Table1[[#This Row],[SizeOption]])</f>
        <v>39, 40, 42, 44, 46</v>
      </c>
      <c r="Y2959" t="str">
        <f>IF(Table2[[#This Row],[Column1]]&gt;50%,"HIGH DISCOUNT","LOW DISCOUNT")</f>
        <v>LOW DISCOUNT</v>
      </c>
    </row>
    <row r="2960" spans="1:25" x14ac:dyDescent="0.25">
      <c r="A2960" s="1" t="s">
        <v>6175</v>
      </c>
      <c r="B2960" s="1">
        <v>10939048</v>
      </c>
      <c r="C2960" s="1" t="s">
        <v>14</v>
      </c>
      <c r="D2960" s="1" t="s">
        <v>28</v>
      </c>
      <c r="E2960" s="1" t="s">
        <v>42</v>
      </c>
      <c r="F2960" s="1" t="s">
        <v>17</v>
      </c>
      <c r="G2960" s="1" t="s">
        <v>6176</v>
      </c>
      <c r="H2960">
        <v>349</v>
      </c>
      <c r="I2960" s="1">
        <v>699</v>
      </c>
      <c r="J2960" s="1" t="s">
        <v>84</v>
      </c>
      <c r="K2960" s="1" t="s">
        <v>45</v>
      </c>
      <c r="L2960" s="1">
        <v>4.2</v>
      </c>
      <c r="M2960" s="1">
        <v>604</v>
      </c>
      <c r="P2960" t="str">
        <f t="shared" si="187"/>
        <v>50%</v>
      </c>
      <c r="Q2960" s="12">
        <f t="shared" si="184"/>
        <v>0.5</v>
      </c>
      <c r="R2960" s="9">
        <f t="shared" si="185"/>
        <v>349.5</v>
      </c>
      <c r="S2960" s="9">
        <f>IF(R2960="",AVERAGEIF(Table1[Category],Table1[[#This Row],[Category]],Table2[orignal data]),Table2[[#This Row],[orignal data]])</f>
        <v>349.5</v>
      </c>
      <c r="T2960" t="str">
        <f t="shared" si="186"/>
        <v>UNIQUE</v>
      </c>
      <c r="U2960" t="str">
        <f>IF(ISBLANK(Table1[[#This Row],[SizeOption]]),"NOT AVAILABLE",Table1[[#This Row],[SizeOption]])</f>
        <v>XS, S, M, L, XL</v>
      </c>
      <c r="Y2960" t="str">
        <f>IF(Table2[[#This Row],[Column1]]&gt;50%,"HIGH DISCOUNT","LOW DISCOUNT")</f>
        <v>LOW DISCOUNT</v>
      </c>
    </row>
    <row r="2961" spans="1:25" x14ac:dyDescent="0.25">
      <c r="A2961" s="2" t="s">
        <v>6177</v>
      </c>
      <c r="B2961" s="2">
        <v>14194616</v>
      </c>
      <c r="C2961" s="2" t="s">
        <v>92</v>
      </c>
      <c r="D2961" s="2" t="s">
        <v>76</v>
      </c>
      <c r="E2961" s="2" t="s">
        <v>533</v>
      </c>
      <c r="F2961" s="2" t="s">
        <v>36</v>
      </c>
      <c r="G2961" s="2" t="s">
        <v>6178</v>
      </c>
      <c r="H2961">
        <v>370</v>
      </c>
      <c r="I2961" s="2">
        <v>949</v>
      </c>
      <c r="J2961" s="2" t="s">
        <v>104</v>
      </c>
      <c r="K2961" s="2" t="s">
        <v>20</v>
      </c>
      <c r="L2961" s="2">
        <v>4.3</v>
      </c>
      <c r="M2961" s="2">
        <v>604</v>
      </c>
      <c r="P2961" t="str">
        <f t="shared" si="187"/>
        <v>61%</v>
      </c>
      <c r="Q2961" s="12">
        <f t="shared" si="184"/>
        <v>0.61</v>
      </c>
      <c r="R2961" s="9">
        <f t="shared" si="185"/>
        <v>370.11</v>
      </c>
      <c r="S2961" s="9">
        <f>IF(R2961="",AVERAGEIF(Table1[Category],Table1[[#This Row],[Category]],Table2[orignal data]),Table2[[#This Row],[orignal data]])</f>
        <v>370.11</v>
      </c>
      <c r="T2961" t="str">
        <f t="shared" si="186"/>
        <v>UNIQUE</v>
      </c>
      <c r="U2961" t="str">
        <f>IF(ISBLANK(Table1[[#This Row],[SizeOption]]),"NOT AVAILABLE",Table1[[#This Row],[SizeOption]])</f>
        <v>28, 30, 32, 34, 36</v>
      </c>
      <c r="Y2961" t="str">
        <f>IF(Table2[[#This Row],[Column1]]&gt;50%,"HIGH DISCOUNT","LOW DISCOUNT")</f>
        <v>HIGH DISCOUNT</v>
      </c>
    </row>
    <row r="2962" spans="1:25" x14ac:dyDescent="0.25">
      <c r="A2962" s="1" t="s">
        <v>6179</v>
      </c>
      <c r="B2962" s="1">
        <v>8969633</v>
      </c>
      <c r="C2962" s="1" t="s">
        <v>221</v>
      </c>
      <c r="D2962" s="1" t="s">
        <v>98</v>
      </c>
      <c r="E2962" s="1" t="s">
        <v>148</v>
      </c>
      <c r="F2962" s="1" t="s">
        <v>36</v>
      </c>
      <c r="G2962" s="1" t="s">
        <v>6180</v>
      </c>
      <c r="H2962">
        <v>699</v>
      </c>
      <c r="I2962" s="1">
        <v>1999</v>
      </c>
      <c r="J2962" s="1" t="s">
        <v>150</v>
      </c>
      <c r="K2962" s="1" t="s">
        <v>223</v>
      </c>
      <c r="L2962" s="1">
        <v>4.0999999999999996</v>
      </c>
      <c r="M2962" s="1">
        <v>604</v>
      </c>
      <c r="P2962" t="str">
        <f t="shared" si="187"/>
        <v>65%</v>
      </c>
      <c r="Q2962" s="12">
        <f t="shared" si="184"/>
        <v>0.65</v>
      </c>
      <c r="R2962" s="9">
        <f t="shared" si="185"/>
        <v>699.64999999999986</v>
      </c>
      <c r="S2962" s="9">
        <f>IF(R2962="",AVERAGEIF(Table1[Category],Table1[[#This Row],[Category]],Table2[orignal data]),Table2[[#This Row],[orignal data]])</f>
        <v>699.64999999999986</v>
      </c>
      <c r="T2962" t="str">
        <f t="shared" si="186"/>
        <v>UNIQUE</v>
      </c>
      <c r="U2962" t="str">
        <f>IF(ISBLANK(Table1[[#This Row],[SizeOption]]),"NOT AVAILABLE",Table1[[#This Row],[SizeOption]])</f>
        <v>S, M, L, XL, XXL, 3XL, 4XL</v>
      </c>
      <c r="Y2962" t="str">
        <f>IF(Table2[[#This Row],[Column1]]&gt;50%,"HIGH DISCOUNT","LOW DISCOUNT")</f>
        <v>HIGH DISCOUNT</v>
      </c>
    </row>
    <row r="2963" spans="1:25" x14ac:dyDescent="0.25">
      <c r="A2963" s="2" t="s">
        <v>6181</v>
      </c>
      <c r="B2963" s="2">
        <v>14268564</v>
      </c>
      <c r="C2963" s="2" t="s">
        <v>64</v>
      </c>
      <c r="D2963" s="2" t="s">
        <v>98</v>
      </c>
      <c r="E2963" s="2" t="s">
        <v>592</v>
      </c>
      <c r="F2963" s="2" t="s">
        <v>36</v>
      </c>
      <c r="G2963" s="2" t="s">
        <v>6182</v>
      </c>
      <c r="H2963">
        <v>359</v>
      </c>
      <c r="I2963" s="2">
        <v>899</v>
      </c>
      <c r="J2963" s="2" t="s">
        <v>55</v>
      </c>
      <c r="K2963" s="2" t="s">
        <v>39</v>
      </c>
      <c r="L2963" s="2">
        <v>4.5</v>
      </c>
      <c r="M2963" s="2">
        <v>604</v>
      </c>
      <c r="P2963" t="str">
        <f t="shared" si="187"/>
        <v>60%</v>
      </c>
      <c r="Q2963" s="12">
        <f t="shared" si="184"/>
        <v>0.6</v>
      </c>
      <c r="R2963" s="9">
        <f t="shared" si="185"/>
        <v>359.6</v>
      </c>
      <c r="S2963" s="9">
        <f>IF(R2963="",AVERAGEIF(Table1[Category],Table1[[#This Row],[Category]],Table2[orignal data]),Table2[[#This Row],[orignal data]])</f>
        <v>359.6</v>
      </c>
      <c r="T2963" t="str">
        <f t="shared" si="186"/>
        <v>UNIQUE</v>
      </c>
      <c r="U2963" t="str">
        <f>IF(ISBLANK(Table1[[#This Row],[SizeOption]]),"NOT AVAILABLE",Table1[[#This Row],[SizeOption]])</f>
        <v>S, M, L, XL, XXL</v>
      </c>
      <c r="Y2963" t="str">
        <f>IF(Table2[[#This Row],[Column1]]&gt;50%,"HIGH DISCOUNT","LOW DISCOUNT")</f>
        <v>HIGH DISCOUNT</v>
      </c>
    </row>
    <row r="2964" spans="1:25" x14ac:dyDescent="0.25">
      <c r="A2964" s="1" t="s">
        <v>6183</v>
      </c>
      <c r="B2964" s="1">
        <v>12789592</v>
      </c>
      <c r="C2964" s="1" t="s">
        <v>102</v>
      </c>
      <c r="D2964" s="1" t="s">
        <v>41</v>
      </c>
      <c r="E2964" s="1" t="s">
        <v>29</v>
      </c>
      <c r="F2964" s="1" t="s">
        <v>36</v>
      </c>
      <c r="G2964" s="1" t="s">
        <v>6184</v>
      </c>
      <c r="I2964" s="1">
        <v>1099</v>
      </c>
      <c r="J2964" s="1" t="s">
        <v>606</v>
      </c>
      <c r="K2964" s="1" t="s">
        <v>26</v>
      </c>
      <c r="L2964" s="1">
        <v>4</v>
      </c>
      <c r="M2964" s="1">
        <v>604</v>
      </c>
      <c r="P2964" t="str">
        <f t="shared" si="187"/>
        <v>54%</v>
      </c>
      <c r="Q2964" s="12">
        <f t="shared" si="184"/>
        <v>0.54</v>
      </c>
      <c r="R2964" s="9">
        <f t="shared" si="185"/>
        <v>505.53999999999996</v>
      </c>
      <c r="S2964" s="9">
        <f>IF(R2964="",AVERAGEIF(Table1[Category],Table1[[#This Row],[Category]],Table2[orignal data]),Table2[[#This Row],[orignal data]])</f>
        <v>505.53999999999996</v>
      </c>
      <c r="T2964" t="str">
        <f t="shared" si="186"/>
        <v>UNIQUE</v>
      </c>
      <c r="U2964" t="str">
        <f>IF(ISBLANK(Table1[[#This Row],[SizeOption]]),"NOT AVAILABLE",Table1[[#This Row],[SizeOption]])</f>
        <v>S, M, L, XL</v>
      </c>
      <c r="Y2964" t="str">
        <f>IF(Table2[[#This Row],[Column1]]&gt;50%,"HIGH DISCOUNT","LOW DISCOUNT")</f>
        <v>HIGH DISCOUNT</v>
      </c>
    </row>
    <row r="2965" spans="1:25" x14ac:dyDescent="0.25">
      <c r="A2965" s="2" t="s">
        <v>6185</v>
      </c>
      <c r="B2965" s="2">
        <v>9901957</v>
      </c>
      <c r="C2965" s="2" t="s">
        <v>14</v>
      </c>
      <c r="D2965" s="2" t="s">
        <v>41</v>
      </c>
      <c r="E2965" s="2" t="s">
        <v>306</v>
      </c>
      <c r="F2965" s="2" t="s">
        <v>36</v>
      </c>
      <c r="G2965" s="2" t="s">
        <v>6186</v>
      </c>
      <c r="I2965" s="2">
        <v>1199</v>
      </c>
      <c r="J2965" s="2" t="s">
        <v>150</v>
      </c>
      <c r="K2965" s="2" t="s">
        <v>115</v>
      </c>
      <c r="L2965" s="2">
        <v>4.2</v>
      </c>
      <c r="M2965" s="2">
        <v>604</v>
      </c>
      <c r="P2965" t="str">
        <f t="shared" si="187"/>
        <v>65%</v>
      </c>
      <c r="Q2965" s="12">
        <f t="shared" si="184"/>
        <v>0.65</v>
      </c>
      <c r="R2965" s="9">
        <f t="shared" si="185"/>
        <v>419.65</v>
      </c>
      <c r="S2965" s="9">
        <f>IF(R2965="",AVERAGEIF(Table1[Category],Table1[[#This Row],[Category]],Table2[orignal data]),Table2[[#This Row],[orignal data]])</f>
        <v>419.65</v>
      </c>
      <c r="T2965" t="str">
        <f t="shared" si="186"/>
        <v>UNIQUE</v>
      </c>
      <c r="U2965" t="str">
        <f>IF(ISBLANK(Table1[[#This Row],[SizeOption]]),"NOT AVAILABLE",Table1[[#This Row],[SizeOption]])</f>
        <v>XS, S, M, L, XL, XXL</v>
      </c>
      <c r="Y2965" t="str">
        <f>IF(Table2[[#This Row],[Column1]]&gt;50%,"HIGH DISCOUNT","LOW DISCOUNT")</f>
        <v>HIGH DISCOUNT</v>
      </c>
    </row>
    <row r="2966" spans="1:25" x14ac:dyDescent="0.25">
      <c r="A2966" s="1" t="s">
        <v>6187</v>
      </c>
      <c r="B2966" s="1">
        <v>11677786</v>
      </c>
      <c r="C2966" s="1" t="s">
        <v>290</v>
      </c>
      <c r="D2966" s="1" t="s">
        <v>41</v>
      </c>
      <c r="E2966" s="1" t="s">
        <v>48</v>
      </c>
      <c r="F2966" s="1" t="s">
        <v>36</v>
      </c>
      <c r="G2966" s="1" t="s">
        <v>6188</v>
      </c>
      <c r="I2966" s="1">
        <v>1299</v>
      </c>
      <c r="J2966" s="1" t="s">
        <v>84</v>
      </c>
      <c r="K2966" s="1" t="s">
        <v>311</v>
      </c>
      <c r="L2966" s="1">
        <v>4.4000000000000004</v>
      </c>
      <c r="M2966" s="1">
        <v>604</v>
      </c>
      <c r="P2966" t="str">
        <f t="shared" si="187"/>
        <v>50%</v>
      </c>
      <c r="Q2966" s="12">
        <f t="shared" si="184"/>
        <v>0.5</v>
      </c>
      <c r="R2966" s="9">
        <f t="shared" si="185"/>
        <v>649.5</v>
      </c>
      <c r="S2966" s="9">
        <f>IF(R2966="",AVERAGEIF(Table1[Category],Table1[[#This Row],[Category]],Table2[orignal data]),Table2[[#This Row],[orignal data]])</f>
        <v>649.5</v>
      </c>
      <c r="T2966" t="str">
        <f t="shared" si="186"/>
        <v>UNIQUE</v>
      </c>
      <c r="U2966" t="str">
        <f>IF(ISBLANK(Table1[[#This Row],[SizeOption]]),"NOT AVAILABLE",Table1[[#This Row],[SizeOption]])</f>
        <v>XS, S, M, L</v>
      </c>
      <c r="Y2966" t="str">
        <f>IF(Table2[[#This Row],[Column1]]&gt;50%,"HIGH DISCOUNT","LOW DISCOUNT")</f>
        <v>LOW DISCOUNT</v>
      </c>
    </row>
    <row r="2967" spans="1:25" x14ac:dyDescent="0.25">
      <c r="A2967" s="2" t="s">
        <v>6189</v>
      </c>
      <c r="B2967" s="2">
        <v>17524640</v>
      </c>
      <c r="C2967" s="2" t="s">
        <v>47</v>
      </c>
      <c r="D2967" s="2" t="s">
        <v>41</v>
      </c>
      <c r="E2967" s="2" t="s">
        <v>42</v>
      </c>
      <c r="F2967" s="2" t="s">
        <v>36</v>
      </c>
      <c r="G2967" s="2" t="s">
        <v>1316</v>
      </c>
      <c r="I2967" s="2">
        <v>1598</v>
      </c>
      <c r="J2967" s="2" t="s">
        <v>84</v>
      </c>
      <c r="K2967" s="2" t="s">
        <v>45</v>
      </c>
      <c r="L2967" s="2">
        <v>4.0999999999999996</v>
      </c>
      <c r="M2967" s="2">
        <v>604</v>
      </c>
      <c r="P2967" t="str">
        <f t="shared" si="187"/>
        <v>50%</v>
      </c>
      <c r="Q2967" s="12">
        <f t="shared" si="184"/>
        <v>0.5</v>
      </c>
      <c r="R2967" s="9">
        <f t="shared" si="185"/>
        <v>799</v>
      </c>
      <c r="S2967" s="9">
        <f>IF(R2967="",AVERAGEIF(Table1[Category],Table1[[#This Row],[Category]],Table2[orignal data]),Table2[[#This Row],[orignal data]])</f>
        <v>799</v>
      </c>
      <c r="T2967" t="str">
        <f t="shared" si="186"/>
        <v>UNIQUE</v>
      </c>
      <c r="U2967" t="str">
        <f>IF(ISBLANK(Table1[[#This Row],[SizeOption]]),"NOT AVAILABLE",Table1[[#This Row],[SizeOption]])</f>
        <v>XS, S, M, L, XL</v>
      </c>
      <c r="Y2967" t="str">
        <f>IF(Table2[[#This Row],[Column1]]&gt;50%,"HIGH DISCOUNT","LOW DISCOUNT")</f>
        <v>LOW DISCOUNT</v>
      </c>
    </row>
    <row r="2968" spans="1:25" x14ac:dyDescent="0.25">
      <c r="A2968" s="1" t="s">
        <v>6190</v>
      </c>
      <c r="B2968" s="1">
        <v>17524658</v>
      </c>
      <c r="C2968" s="1" t="s">
        <v>47</v>
      </c>
      <c r="D2968" s="1" t="s">
        <v>41</v>
      </c>
      <c r="E2968" s="1" t="s">
        <v>42</v>
      </c>
      <c r="F2968" s="1" t="s">
        <v>36</v>
      </c>
      <c r="G2968" s="1" t="s">
        <v>1316</v>
      </c>
      <c r="I2968" s="1">
        <v>1598</v>
      </c>
      <c r="J2968" s="1" t="s">
        <v>84</v>
      </c>
      <c r="K2968" s="1" t="s">
        <v>45</v>
      </c>
      <c r="L2968" s="1">
        <v>4.0999999999999996</v>
      </c>
      <c r="M2968" s="1">
        <v>604</v>
      </c>
      <c r="P2968" t="str">
        <f t="shared" si="187"/>
        <v>50%</v>
      </c>
      <c r="Q2968" s="12">
        <f t="shared" si="184"/>
        <v>0.5</v>
      </c>
      <c r="R2968" s="9">
        <f t="shared" si="185"/>
        <v>799</v>
      </c>
      <c r="S2968" s="9">
        <f>IF(R2968="",AVERAGEIF(Table1[Category],Table1[[#This Row],[Category]],Table2[orignal data]),Table2[[#This Row],[orignal data]])</f>
        <v>799</v>
      </c>
      <c r="T2968" t="str">
        <f t="shared" si="186"/>
        <v>UNIQUE</v>
      </c>
      <c r="U2968" t="str">
        <f>IF(ISBLANK(Table1[[#This Row],[SizeOption]]),"NOT AVAILABLE",Table1[[#This Row],[SizeOption]])</f>
        <v>XS, S, M, L, XL</v>
      </c>
      <c r="Y2968" t="str">
        <f>IF(Table2[[#This Row],[Column1]]&gt;50%,"HIGH DISCOUNT","LOW DISCOUNT")</f>
        <v>LOW DISCOUNT</v>
      </c>
    </row>
    <row r="2969" spans="1:25" x14ac:dyDescent="0.25">
      <c r="A2969" s="2" t="s">
        <v>6191</v>
      </c>
      <c r="B2969" s="2">
        <v>9968719</v>
      </c>
      <c r="C2969" s="2" t="s">
        <v>47</v>
      </c>
      <c r="D2969" s="2" t="s">
        <v>41</v>
      </c>
      <c r="E2969" s="2" t="s">
        <v>306</v>
      </c>
      <c r="F2969" s="2" t="s">
        <v>36</v>
      </c>
      <c r="G2969" s="2" t="s">
        <v>6192</v>
      </c>
      <c r="I2969" s="2">
        <v>1599</v>
      </c>
      <c r="J2969" s="2" t="s">
        <v>25</v>
      </c>
      <c r="K2969" s="2" t="s">
        <v>26</v>
      </c>
      <c r="L2969" s="2">
        <v>4.0999999999999996</v>
      </c>
      <c r="M2969" s="2">
        <v>604</v>
      </c>
      <c r="P2969" t="str">
        <f t="shared" si="187"/>
        <v>55%</v>
      </c>
      <c r="Q2969" s="12">
        <f t="shared" si="184"/>
        <v>0.55000000000000004</v>
      </c>
      <c r="R2969" s="9">
        <f t="shared" si="185"/>
        <v>719.55</v>
      </c>
      <c r="S2969" s="9">
        <f>IF(R2969="",AVERAGEIF(Table1[Category],Table1[[#This Row],[Category]],Table2[orignal data]),Table2[[#This Row],[orignal data]])</f>
        <v>719.55</v>
      </c>
      <c r="T2969" t="str">
        <f t="shared" si="186"/>
        <v>UNIQUE</v>
      </c>
      <c r="U2969" t="str">
        <f>IF(ISBLANK(Table1[[#This Row],[SizeOption]]),"NOT AVAILABLE",Table1[[#This Row],[SizeOption]])</f>
        <v>S, M, L, XL</v>
      </c>
      <c r="Y2969" t="str">
        <f>IF(Table2[[#This Row],[Column1]]&gt;50%,"HIGH DISCOUNT","LOW DISCOUNT")</f>
        <v>HIGH DISCOUNT</v>
      </c>
    </row>
    <row r="2970" spans="1:25" x14ac:dyDescent="0.25">
      <c r="A2970" s="1" t="s">
        <v>6193</v>
      </c>
      <c r="B2970" s="1">
        <v>12388718</v>
      </c>
      <c r="C2970" s="1" t="s">
        <v>1194</v>
      </c>
      <c r="D2970" s="1" t="s">
        <v>41</v>
      </c>
      <c r="E2970" s="1" t="s">
        <v>53</v>
      </c>
      <c r="F2970" s="1" t="s">
        <v>36</v>
      </c>
      <c r="G2970" s="1" t="s">
        <v>6194</v>
      </c>
      <c r="I2970" s="1">
        <v>1799</v>
      </c>
      <c r="J2970" s="1" t="s">
        <v>126</v>
      </c>
      <c r="K2970" s="1" t="s">
        <v>171</v>
      </c>
      <c r="L2970" s="1">
        <v>4.2</v>
      </c>
      <c r="M2970" s="1">
        <v>604</v>
      </c>
      <c r="P2970" t="str">
        <f t="shared" si="187"/>
        <v>62%</v>
      </c>
      <c r="Q2970" s="12">
        <f t="shared" si="184"/>
        <v>0.62</v>
      </c>
      <c r="R2970" s="9">
        <f t="shared" si="185"/>
        <v>683.62000000000012</v>
      </c>
      <c r="S2970" s="9">
        <f>IF(R2970="",AVERAGEIF(Table1[Category],Table1[[#This Row],[Category]],Table2[orignal data]),Table2[[#This Row],[orignal data]])</f>
        <v>683.62000000000012</v>
      </c>
      <c r="T2970" t="str">
        <f t="shared" si="186"/>
        <v>UNIQUE</v>
      </c>
      <c r="U2970" t="str">
        <f>IF(ISBLANK(Table1[[#This Row],[SizeOption]]),"NOT AVAILABLE",Table1[[#This Row],[SizeOption]])</f>
        <v>28, 30, 32, 34, 36, 38</v>
      </c>
      <c r="Y2970" t="str">
        <f>IF(Table2[[#This Row],[Column1]]&gt;50%,"HIGH DISCOUNT","LOW DISCOUNT")</f>
        <v>HIGH DISCOUNT</v>
      </c>
    </row>
    <row r="2971" spans="1:25" x14ac:dyDescent="0.25">
      <c r="A2971" s="2" t="s">
        <v>6195</v>
      </c>
      <c r="B2971" s="2">
        <v>6791178</v>
      </c>
      <c r="C2971" s="2" t="s">
        <v>887</v>
      </c>
      <c r="D2971" s="2" t="s">
        <v>41</v>
      </c>
      <c r="E2971" s="2" t="s">
        <v>48</v>
      </c>
      <c r="F2971" s="2" t="s">
        <v>36</v>
      </c>
      <c r="G2971" s="2" t="s">
        <v>6196</v>
      </c>
      <c r="I2971" s="2">
        <v>1998</v>
      </c>
      <c r="J2971" s="2" t="s">
        <v>554</v>
      </c>
      <c r="K2971" s="2" t="s">
        <v>26</v>
      </c>
      <c r="L2971" s="2">
        <v>4.2</v>
      </c>
      <c r="M2971" s="2">
        <v>604</v>
      </c>
      <c r="P2971" t="str">
        <f t="shared" si="187"/>
        <v>36%</v>
      </c>
      <c r="Q2971" s="12">
        <f t="shared" si="184"/>
        <v>0.36</v>
      </c>
      <c r="R2971" s="9">
        <f t="shared" si="185"/>
        <v>1278.72</v>
      </c>
      <c r="S2971" s="9">
        <f>IF(R2971="",AVERAGEIF(Table1[Category],Table1[[#This Row],[Category]],Table2[orignal data]),Table2[[#This Row],[orignal data]])</f>
        <v>1278.72</v>
      </c>
      <c r="T2971" t="str">
        <f t="shared" si="186"/>
        <v>UNIQUE</v>
      </c>
      <c r="U2971" t="str">
        <f>IF(ISBLANK(Table1[[#This Row],[SizeOption]]),"NOT AVAILABLE",Table1[[#This Row],[SizeOption]])</f>
        <v>S, M, L, XL</v>
      </c>
      <c r="Y2971" t="str">
        <f>IF(Table2[[#This Row],[Column1]]&gt;50%,"HIGH DISCOUNT","LOW DISCOUNT")</f>
        <v>LOW DISCOUNT</v>
      </c>
    </row>
    <row r="2972" spans="1:25" x14ac:dyDescent="0.25">
      <c r="A2972" s="1" t="s">
        <v>6197</v>
      </c>
      <c r="B2972" s="1">
        <v>4451422</v>
      </c>
      <c r="C2972" s="1" t="s">
        <v>14</v>
      </c>
      <c r="D2972" s="1" t="s">
        <v>41</v>
      </c>
      <c r="E2972" s="1" t="s">
        <v>16</v>
      </c>
      <c r="F2972" s="1" t="s">
        <v>36</v>
      </c>
      <c r="G2972" s="1" t="s">
        <v>6198</v>
      </c>
      <c r="I2972" s="1">
        <v>1999</v>
      </c>
      <c r="J2972" s="1" t="s">
        <v>84</v>
      </c>
      <c r="K2972" s="1" t="s">
        <v>134</v>
      </c>
      <c r="L2972" s="1">
        <v>3.8</v>
      </c>
      <c r="M2972" s="1">
        <v>604</v>
      </c>
      <c r="P2972" t="str">
        <f t="shared" si="187"/>
        <v>50%</v>
      </c>
      <c r="Q2972" s="12">
        <f t="shared" si="184"/>
        <v>0.5</v>
      </c>
      <c r="R2972" s="9">
        <f t="shared" si="185"/>
        <v>999.5</v>
      </c>
      <c r="S2972" s="9">
        <f>IF(R2972="",AVERAGEIF(Table1[Category],Table1[[#This Row],[Category]],Table2[orignal data]),Table2[[#This Row],[orignal data]])</f>
        <v>999.5</v>
      </c>
      <c r="T2972" t="str">
        <f t="shared" si="186"/>
        <v>UNIQUE</v>
      </c>
      <c r="U2972" t="str">
        <f>IF(ISBLANK(Table1[[#This Row],[SizeOption]]),"NOT AVAILABLE",Table1[[#This Row],[SizeOption]])</f>
        <v>26, 28, 30, 32, 34, 36</v>
      </c>
      <c r="Y2972" t="str">
        <f>IF(Table2[[#This Row],[Column1]]&gt;50%,"HIGH DISCOUNT","LOW DISCOUNT")</f>
        <v>LOW DISCOUNT</v>
      </c>
    </row>
    <row r="2973" spans="1:25" x14ac:dyDescent="0.25">
      <c r="A2973" s="2" t="s">
        <v>6199</v>
      </c>
      <c r="B2973" s="2">
        <v>9125973</v>
      </c>
      <c r="C2973" s="2" t="s">
        <v>47</v>
      </c>
      <c r="D2973" s="2" t="s">
        <v>41</v>
      </c>
      <c r="E2973" s="2" t="s">
        <v>42</v>
      </c>
      <c r="F2973" s="2" t="s">
        <v>36</v>
      </c>
      <c r="G2973" s="2" t="s">
        <v>6200</v>
      </c>
      <c r="I2973" s="2">
        <v>749</v>
      </c>
      <c r="J2973" s="2" t="s">
        <v>6201</v>
      </c>
      <c r="K2973" s="2" t="s">
        <v>45</v>
      </c>
      <c r="L2973" s="2">
        <v>4.2</v>
      </c>
      <c r="M2973" s="2">
        <v>604</v>
      </c>
      <c r="P2973" t="str">
        <f t="shared" si="187"/>
        <v>250</v>
      </c>
      <c r="Q2973" s="12">
        <f t="shared" si="184"/>
        <v>0.33377837116154874</v>
      </c>
      <c r="R2973" s="9">
        <f t="shared" si="185"/>
        <v>499</v>
      </c>
      <c r="S2973" s="9">
        <f>IF(R2973="",AVERAGEIF(Table1[Category],Table1[[#This Row],[Category]],Table2[orignal data]),Table2[[#This Row],[orignal data]])</f>
        <v>499</v>
      </c>
      <c r="T2973" t="str">
        <f t="shared" si="186"/>
        <v>UNIQUE</v>
      </c>
      <c r="U2973" t="str">
        <f>IF(ISBLANK(Table1[[#This Row],[SizeOption]]),"NOT AVAILABLE",Table1[[#This Row],[SizeOption]])</f>
        <v>XS, S, M, L, XL</v>
      </c>
      <c r="Y2973" t="str">
        <f>IF(Table2[[#This Row],[Column1]]&gt;50%,"HIGH DISCOUNT","LOW DISCOUNT")</f>
        <v>LOW DISCOUNT</v>
      </c>
    </row>
    <row r="2974" spans="1:25" x14ac:dyDescent="0.25">
      <c r="A2974" s="1" t="s">
        <v>6202</v>
      </c>
      <c r="B2974" s="1">
        <v>10968554</v>
      </c>
      <c r="C2974" s="1" t="s">
        <v>14</v>
      </c>
      <c r="D2974" s="1" t="s">
        <v>41</v>
      </c>
      <c r="E2974" s="1" t="s">
        <v>42</v>
      </c>
      <c r="F2974" s="1" t="s">
        <v>36</v>
      </c>
      <c r="G2974" s="1" t="s">
        <v>6203</v>
      </c>
      <c r="I2974" s="1">
        <v>799</v>
      </c>
      <c r="J2974" s="1" t="s">
        <v>84</v>
      </c>
      <c r="K2974" s="1" t="s">
        <v>45</v>
      </c>
      <c r="L2974" s="1">
        <v>4.2</v>
      </c>
      <c r="M2974" s="1">
        <v>604</v>
      </c>
      <c r="P2974" t="str">
        <f t="shared" si="187"/>
        <v>50%</v>
      </c>
      <c r="Q2974" s="12">
        <f t="shared" si="184"/>
        <v>0.5</v>
      </c>
      <c r="R2974" s="9">
        <f t="shared" si="185"/>
        <v>399.5</v>
      </c>
      <c r="S2974" s="9">
        <f>IF(R2974="",AVERAGEIF(Table1[Category],Table1[[#This Row],[Category]],Table2[orignal data]),Table2[[#This Row],[orignal data]])</f>
        <v>399.5</v>
      </c>
      <c r="T2974" t="str">
        <f t="shared" si="186"/>
        <v>UNIQUE</v>
      </c>
      <c r="U2974" t="str">
        <f>IF(ISBLANK(Table1[[#This Row],[SizeOption]]),"NOT AVAILABLE",Table1[[#This Row],[SizeOption]])</f>
        <v>XS, S, M, L, XL</v>
      </c>
      <c r="Y2974" t="str">
        <f>IF(Table2[[#This Row],[Column1]]&gt;50%,"HIGH DISCOUNT","LOW DISCOUNT")</f>
        <v>LOW DISCOUNT</v>
      </c>
    </row>
    <row r="2975" spans="1:25" x14ac:dyDescent="0.25">
      <c r="A2975" s="2" t="s">
        <v>6204</v>
      </c>
      <c r="B2975" s="2">
        <v>10969896</v>
      </c>
      <c r="C2975" s="2" t="s">
        <v>14</v>
      </c>
      <c r="D2975" s="2" t="s">
        <v>41</v>
      </c>
      <c r="E2975" s="2" t="s">
        <v>42</v>
      </c>
      <c r="F2975" s="2" t="s">
        <v>36</v>
      </c>
      <c r="G2975" s="2" t="s">
        <v>6205</v>
      </c>
      <c r="I2975" s="2">
        <v>999</v>
      </c>
      <c r="J2975" s="2" t="s">
        <v>55</v>
      </c>
      <c r="K2975" s="2" t="s">
        <v>45</v>
      </c>
      <c r="L2975" s="2">
        <v>4.2</v>
      </c>
      <c r="M2975" s="2">
        <v>604</v>
      </c>
      <c r="P2975" t="str">
        <f t="shared" si="187"/>
        <v>60%</v>
      </c>
      <c r="Q2975" s="12">
        <f t="shared" si="184"/>
        <v>0.6</v>
      </c>
      <c r="R2975" s="9">
        <f t="shared" si="185"/>
        <v>399.6</v>
      </c>
      <c r="S2975" s="9">
        <f>IF(R2975="",AVERAGEIF(Table1[Category],Table1[[#This Row],[Category]],Table2[orignal data]),Table2[[#This Row],[orignal data]])</f>
        <v>399.6</v>
      </c>
      <c r="T2975" t="str">
        <f t="shared" si="186"/>
        <v>UNIQUE</v>
      </c>
      <c r="U2975" t="str">
        <f>IF(ISBLANK(Table1[[#This Row],[SizeOption]]),"NOT AVAILABLE",Table1[[#This Row],[SizeOption]])</f>
        <v>XS, S, M, L, XL</v>
      </c>
      <c r="Y2975" t="str">
        <f>IF(Table2[[#This Row],[Column1]]&gt;50%,"HIGH DISCOUNT","LOW DISCOUNT")</f>
        <v>HIGH DISCOUNT</v>
      </c>
    </row>
    <row r="2976" spans="1:25" x14ac:dyDescent="0.25">
      <c r="A2976" s="1" t="s">
        <v>6206</v>
      </c>
      <c r="B2976" s="1">
        <v>12345338</v>
      </c>
      <c r="C2976" s="1" t="s">
        <v>490</v>
      </c>
      <c r="D2976" s="1" t="s">
        <v>41</v>
      </c>
      <c r="E2976" s="1" t="s">
        <v>29</v>
      </c>
      <c r="F2976" s="1" t="s">
        <v>36</v>
      </c>
      <c r="G2976" s="1" t="s">
        <v>6207</v>
      </c>
      <c r="I2976" s="1">
        <v>1499</v>
      </c>
      <c r="J2976" s="1"/>
      <c r="K2976" s="1" t="s">
        <v>311</v>
      </c>
      <c r="L2976" s="1">
        <v>4.4000000000000004</v>
      </c>
      <c r="M2976" s="1">
        <v>604</v>
      </c>
      <c r="P2976" t="str">
        <f t="shared" si="187"/>
        <v/>
      </c>
      <c r="Q2976" s="12" t="str">
        <f t="shared" si="184"/>
        <v/>
      </c>
      <c r="R2976" s="9" t="str">
        <f t="shared" si="185"/>
        <v/>
      </c>
      <c r="S2976" s="9">
        <f>IF(R2976="",AVERAGEIF(Table1[Category],Table1[[#This Row],[Category]],Table2[orignal data]),Table2[[#This Row],[orignal data]])</f>
        <v>715.78890751086249</v>
      </c>
      <c r="T2976" t="str">
        <f t="shared" si="186"/>
        <v>UNIQUE</v>
      </c>
      <c r="U2976" t="str">
        <f>IF(ISBLANK(Table1[[#This Row],[SizeOption]]),"NOT AVAILABLE",Table1[[#This Row],[SizeOption]])</f>
        <v>XS, S, M, L</v>
      </c>
      <c r="Y2976" t="str">
        <f>IF(Table2[[#This Row],[Column1]]&gt;50%,"HIGH DISCOUNT","LOW DISCOUNT")</f>
        <v>HIGH DISCOUNT</v>
      </c>
    </row>
    <row r="2977" spans="1:25" x14ac:dyDescent="0.25">
      <c r="A2977" s="2" t="s">
        <v>6208</v>
      </c>
      <c r="B2977" s="2">
        <v>11878810</v>
      </c>
      <c r="C2977" s="2" t="s">
        <v>6209</v>
      </c>
      <c r="D2977" s="2" t="s">
        <v>28</v>
      </c>
      <c r="E2977" s="2" t="s">
        <v>42</v>
      </c>
      <c r="F2977" s="2" t="s">
        <v>17</v>
      </c>
      <c r="G2977" s="2" t="s">
        <v>6210</v>
      </c>
      <c r="H2977">
        <v>623</v>
      </c>
      <c r="I2977" s="2">
        <v>1299</v>
      </c>
      <c r="J2977" s="2" t="s">
        <v>208</v>
      </c>
      <c r="K2977" s="2" t="s">
        <v>26</v>
      </c>
      <c r="L2977" s="2">
        <v>4.0999999999999996</v>
      </c>
      <c r="M2977" s="2">
        <v>603</v>
      </c>
      <c r="P2977" t="str">
        <f t="shared" si="187"/>
        <v>52%</v>
      </c>
      <c r="Q2977" s="12">
        <f t="shared" si="184"/>
        <v>0.52</v>
      </c>
      <c r="R2977" s="9">
        <f t="shared" si="185"/>
        <v>623.52</v>
      </c>
      <c r="S2977" s="9">
        <f>IF(R2977="",AVERAGEIF(Table1[Category],Table1[[#This Row],[Category]],Table2[orignal data]),Table2[[#This Row],[orignal data]])</f>
        <v>623.52</v>
      </c>
      <c r="T2977" t="str">
        <f t="shared" si="186"/>
        <v>UNIQUE</v>
      </c>
      <c r="U2977" t="str">
        <f>IF(ISBLANK(Table1[[#This Row],[SizeOption]]),"NOT AVAILABLE",Table1[[#This Row],[SizeOption]])</f>
        <v>S, M, L, XL</v>
      </c>
      <c r="Y2977" t="str">
        <f>IF(Table2[[#This Row],[Column1]]&gt;50%,"HIGH DISCOUNT","LOW DISCOUNT")</f>
        <v>HIGH DISCOUNT</v>
      </c>
    </row>
    <row r="2978" spans="1:25" x14ac:dyDescent="0.25">
      <c r="A2978" s="1" t="s">
        <v>6211</v>
      </c>
      <c r="B2978" s="1">
        <v>12800760</v>
      </c>
      <c r="C2978" s="1" t="s">
        <v>887</v>
      </c>
      <c r="D2978" s="1" t="s">
        <v>41</v>
      </c>
      <c r="E2978" s="1" t="s">
        <v>48</v>
      </c>
      <c r="F2978" s="1" t="s">
        <v>36</v>
      </c>
      <c r="G2978" s="1" t="s">
        <v>6212</v>
      </c>
      <c r="I2978" s="1">
        <v>1479</v>
      </c>
      <c r="J2978" s="1" t="s">
        <v>731</v>
      </c>
      <c r="K2978" s="1" t="s">
        <v>26</v>
      </c>
      <c r="L2978" s="1">
        <v>4.5</v>
      </c>
      <c r="M2978" s="1">
        <v>603</v>
      </c>
      <c r="P2978" t="str">
        <f t="shared" si="187"/>
        <v>69%</v>
      </c>
      <c r="Q2978" s="12">
        <f t="shared" si="184"/>
        <v>0.69</v>
      </c>
      <c r="R2978" s="9">
        <f t="shared" si="185"/>
        <v>458.49000000000012</v>
      </c>
      <c r="S2978" s="9">
        <f>IF(R2978="",AVERAGEIF(Table1[Category],Table1[[#This Row],[Category]],Table2[orignal data]),Table2[[#This Row],[orignal data]])</f>
        <v>458.49000000000012</v>
      </c>
      <c r="T2978" t="str">
        <f t="shared" si="186"/>
        <v>UNIQUE</v>
      </c>
      <c r="U2978" t="str">
        <f>IF(ISBLANK(Table1[[#This Row],[SizeOption]]),"NOT AVAILABLE",Table1[[#This Row],[SizeOption]])</f>
        <v>S, M, L, XL</v>
      </c>
      <c r="Y2978" t="str">
        <f>IF(Table2[[#This Row],[Column1]]&gt;50%,"HIGH DISCOUNT","LOW DISCOUNT")</f>
        <v>HIGH DISCOUNT</v>
      </c>
    </row>
    <row r="2979" spans="1:25" x14ac:dyDescent="0.25">
      <c r="A2979" s="2" t="s">
        <v>6213</v>
      </c>
      <c r="B2979" s="2">
        <v>11271818</v>
      </c>
      <c r="C2979" s="2" t="s">
        <v>107</v>
      </c>
      <c r="D2979" s="2" t="s">
        <v>41</v>
      </c>
      <c r="E2979" s="2" t="s">
        <v>48</v>
      </c>
      <c r="F2979" s="2" t="s">
        <v>36</v>
      </c>
      <c r="G2979" s="2" t="s">
        <v>6214</v>
      </c>
      <c r="I2979" s="2">
        <v>1499</v>
      </c>
      <c r="J2979" s="2" t="s">
        <v>84</v>
      </c>
      <c r="K2979" s="2" t="s">
        <v>45</v>
      </c>
      <c r="L2979" s="2">
        <v>4.3</v>
      </c>
      <c r="M2979" s="2">
        <v>603</v>
      </c>
      <c r="P2979" t="str">
        <f t="shared" si="187"/>
        <v>50%</v>
      </c>
      <c r="Q2979" s="12">
        <f t="shared" si="184"/>
        <v>0.5</v>
      </c>
      <c r="R2979" s="9">
        <f t="shared" si="185"/>
        <v>749.5</v>
      </c>
      <c r="S2979" s="9">
        <f>IF(R2979="",AVERAGEIF(Table1[Category],Table1[[#This Row],[Category]],Table2[orignal data]),Table2[[#This Row],[orignal data]])</f>
        <v>749.5</v>
      </c>
      <c r="T2979" t="str">
        <f t="shared" si="186"/>
        <v>UNIQUE</v>
      </c>
      <c r="U2979" t="str">
        <f>IF(ISBLANK(Table1[[#This Row],[SizeOption]]),"NOT AVAILABLE",Table1[[#This Row],[SizeOption]])</f>
        <v>XS, S, M, L, XL</v>
      </c>
      <c r="Y2979" t="str">
        <f>IF(Table2[[#This Row],[Column1]]&gt;50%,"HIGH DISCOUNT","LOW DISCOUNT")</f>
        <v>LOW DISCOUNT</v>
      </c>
    </row>
    <row r="2980" spans="1:25" x14ac:dyDescent="0.25">
      <c r="A2980" s="1" t="s">
        <v>6215</v>
      </c>
      <c r="B2980" s="1">
        <v>17524616</v>
      </c>
      <c r="C2980" s="1" t="s">
        <v>47</v>
      </c>
      <c r="D2980" s="1" t="s">
        <v>41</v>
      </c>
      <c r="E2980" s="1" t="s">
        <v>42</v>
      </c>
      <c r="F2980" s="1" t="s">
        <v>36</v>
      </c>
      <c r="G2980" s="1" t="s">
        <v>1316</v>
      </c>
      <c r="I2980" s="1">
        <v>1598</v>
      </c>
      <c r="J2980" s="1" t="s">
        <v>84</v>
      </c>
      <c r="K2980" s="1" t="s">
        <v>45</v>
      </c>
      <c r="L2980" s="1">
        <v>4</v>
      </c>
      <c r="M2980" s="1">
        <v>603</v>
      </c>
      <c r="P2980" t="str">
        <f t="shared" si="187"/>
        <v>50%</v>
      </c>
      <c r="Q2980" s="12">
        <f t="shared" si="184"/>
        <v>0.5</v>
      </c>
      <c r="R2980" s="9">
        <f t="shared" si="185"/>
        <v>799</v>
      </c>
      <c r="S2980" s="9">
        <f>IF(R2980="",AVERAGEIF(Table1[Category],Table1[[#This Row],[Category]],Table2[orignal data]),Table2[[#This Row],[orignal data]])</f>
        <v>799</v>
      </c>
      <c r="T2980" t="str">
        <f t="shared" si="186"/>
        <v>UNIQUE</v>
      </c>
      <c r="U2980" t="str">
        <f>IF(ISBLANK(Table1[[#This Row],[SizeOption]]),"NOT AVAILABLE",Table1[[#This Row],[SizeOption]])</f>
        <v>XS, S, M, L, XL</v>
      </c>
      <c r="Y2980" t="str">
        <f>IF(Table2[[#This Row],[Column1]]&gt;50%,"HIGH DISCOUNT","LOW DISCOUNT")</f>
        <v>LOW DISCOUNT</v>
      </c>
    </row>
    <row r="2981" spans="1:25" x14ac:dyDescent="0.25">
      <c r="A2981" s="2" t="s">
        <v>6216</v>
      </c>
      <c r="B2981" s="2">
        <v>11680702</v>
      </c>
      <c r="C2981" s="2" t="s">
        <v>107</v>
      </c>
      <c r="D2981" s="2" t="s">
        <v>41</v>
      </c>
      <c r="E2981" s="2" t="s">
        <v>148</v>
      </c>
      <c r="F2981" s="2" t="s">
        <v>36</v>
      </c>
      <c r="G2981" s="2" t="s">
        <v>6217</v>
      </c>
      <c r="I2981" s="2">
        <v>2199</v>
      </c>
      <c r="J2981" s="2" t="s">
        <v>186</v>
      </c>
      <c r="K2981" s="2" t="s">
        <v>45</v>
      </c>
      <c r="L2981" s="2">
        <v>4.3</v>
      </c>
      <c r="M2981" s="2">
        <v>603</v>
      </c>
      <c r="P2981" t="str">
        <f t="shared" si="187"/>
        <v>30%</v>
      </c>
      <c r="Q2981" s="12">
        <f t="shared" si="184"/>
        <v>0.3</v>
      </c>
      <c r="R2981" s="9">
        <f t="shared" si="185"/>
        <v>1539.3000000000002</v>
      </c>
      <c r="S2981" s="9">
        <f>IF(R2981="",AVERAGEIF(Table1[Category],Table1[[#This Row],[Category]],Table2[orignal data]),Table2[[#This Row],[orignal data]])</f>
        <v>1539.3000000000002</v>
      </c>
      <c r="T2981" t="str">
        <f t="shared" si="186"/>
        <v>UNIQUE</v>
      </c>
      <c r="U2981" t="str">
        <f>IF(ISBLANK(Table1[[#This Row],[SizeOption]]),"NOT AVAILABLE",Table1[[#This Row],[SizeOption]])</f>
        <v>XS, S, M, L, XL</v>
      </c>
      <c r="Y2981" t="str">
        <f>IF(Table2[[#This Row],[Column1]]&gt;50%,"HIGH DISCOUNT","LOW DISCOUNT")</f>
        <v>LOW DISCOUNT</v>
      </c>
    </row>
    <row r="2982" spans="1:25" x14ac:dyDescent="0.25">
      <c r="A2982" s="1" t="s">
        <v>6218</v>
      </c>
      <c r="B2982" s="1">
        <v>11697388</v>
      </c>
      <c r="C2982" s="1" t="s">
        <v>14</v>
      </c>
      <c r="D2982" s="1" t="s">
        <v>41</v>
      </c>
      <c r="E2982" s="1" t="s">
        <v>42</v>
      </c>
      <c r="F2982" s="1" t="s">
        <v>36</v>
      </c>
      <c r="G2982" s="1" t="s">
        <v>6219</v>
      </c>
      <c r="I2982" s="1">
        <v>599</v>
      </c>
      <c r="J2982" s="1" t="s">
        <v>25</v>
      </c>
      <c r="K2982" s="1" t="s">
        <v>45</v>
      </c>
      <c r="L2982" s="1">
        <v>4.3</v>
      </c>
      <c r="M2982" s="1">
        <v>603</v>
      </c>
      <c r="P2982" t="str">
        <f t="shared" si="187"/>
        <v>55%</v>
      </c>
      <c r="Q2982" s="12">
        <f t="shared" si="184"/>
        <v>0.55000000000000004</v>
      </c>
      <c r="R2982" s="9">
        <f t="shared" si="185"/>
        <v>269.54999999999995</v>
      </c>
      <c r="S2982" s="9">
        <f>IF(R2982="",AVERAGEIF(Table1[Category],Table1[[#This Row],[Category]],Table2[orignal data]),Table2[[#This Row],[orignal data]])</f>
        <v>269.54999999999995</v>
      </c>
      <c r="T2982" t="str">
        <f t="shared" si="186"/>
        <v>UNIQUE</v>
      </c>
      <c r="U2982" t="str">
        <f>IF(ISBLANK(Table1[[#This Row],[SizeOption]]),"NOT AVAILABLE",Table1[[#This Row],[SizeOption]])</f>
        <v>XS, S, M, L, XL</v>
      </c>
      <c r="Y2982" t="str">
        <f>IF(Table2[[#This Row],[Column1]]&gt;50%,"HIGH DISCOUNT","LOW DISCOUNT")</f>
        <v>HIGH DISCOUNT</v>
      </c>
    </row>
    <row r="2983" spans="1:25" x14ac:dyDescent="0.25">
      <c r="A2983" s="2" t="s">
        <v>6220</v>
      </c>
      <c r="B2983" s="2">
        <v>1546306</v>
      </c>
      <c r="C2983" s="2" t="s">
        <v>67</v>
      </c>
      <c r="D2983" s="2" t="s">
        <v>41</v>
      </c>
      <c r="E2983" s="2" t="s">
        <v>48</v>
      </c>
      <c r="F2983" s="2" t="s">
        <v>36</v>
      </c>
      <c r="G2983" s="2" t="s">
        <v>6221</v>
      </c>
      <c r="I2983" s="2">
        <v>699</v>
      </c>
      <c r="J2983" s="2" t="s">
        <v>25</v>
      </c>
      <c r="K2983" s="2" t="s">
        <v>45</v>
      </c>
      <c r="L2983" s="2">
        <v>4.2</v>
      </c>
      <c r="M2983" s="2">
        <v>603</v>
      </c>
      <c r="P2983" t="str">
        <f t="shared" si="187"/>
        <v>55%</v>
      </c>
      <c r="Q2983" s="12">
        <f t="shared" si="184"/>
        <v>0.55000000000000004</v>
      </c>
      <c r="R2983" s="9">
        <f t="shared" si="185"/>
        <v>314.54999999999995</v>
      </c>
      <c r="S2983" s="9">
        <f>IF(R2983="",AVERAGEIF(Table1[Category],Table1[[#This Row],[Category]],Table2[orignal data]),Table2[[#This Row],[orignal data]])</f>
        <v>314.54999999999995</v>
      </c>
      <c r="T2983" t="str">
        <f t="shared" si="186"/>
        <v>UNIQUE</v>
      </c>
      <c r="U2983" t="str">
        <f>IF(ISBLANK(Table1[[#This Row],[SizeOption]]),"NOT AVAILABLE",Table1[[#This Row],[SizeOption]])</f>
        <v>XS, S, M, L, XL</v>
      </c>
      <c r="Y2983" t="str">
        <f>IF(Table2[[#This Row],[Column1]]&gt;50%,"HIGH DISCOUNT","LOW DISCOUNT")</f>
        <v>HIGH DISCOUNT</v>
      </c>
    </row>
    <row r="2984" spans="1:25" x14ac:dyDescent="0.25">
      <c r="A2984" s="1" t="s">
        <v>6222</v>
      </c>
      <c r="B2984" s="1">
        <v>11296172</v>
      </c>
      <c r="C2984" s="1" t="s">
        <v>14</v>
      </c>
      <c r="D2984" s="1" t="s">
        <v>41</v>
      </c>
      <c r="E2984" s="1" t="s">
        <v>42</v>
      </c>
      <c r="F2984" s="1" t="s">
        <v>36</v>
      </c>
      <c r="G2984" s="1" t="s">
        <v>6223</v>
      </c>
      <c r="I2984" s="1">
        <v>699</v>
      </c>
      <c r="J2984" s="1" t="s">
        <v>19</v>
      </c>
      <c r="K2984" s="1" t="s">
        <v>45</v>
      </c>
      <c r="L2984" s="1">
        <v>4</v>
      </c>
      <c r="M2984" s="1">
        <v>603</v>
      </c>
      <c r="P2984" t="str">
        <f t="shared" si="187"/>
        <v>45%</v>
      </c>
      <c r="Q2984" s="12">
        <f t="shared" si="184"/>
        <v>0.45</v>
      </c>
      <c r="R2984" s="9">
        <f t="shared" si="185"/>
        <v>384.45</v>
      </c>
      <c r="S2984" s="9">
        <f>IF(R2984="",AVERAGEIF(Table1[Category],Table1[[#This Row],[Category]],Table2[orignal data]),Table2[[#This Row],[orignal data]])</f>
        <v>384.45</v>
      </c>
      <c r="T2984" t="str">
        <f t="shared" si="186"/>
        <v>UNIQUE</v>
      </c>
      <c r="U2984" t="str">
        <f>IF(ISBLANK(Table1[[#This Row],[SizeOption]]),"NOT AVAILABLE",Table1[[#This Row],[SizeOption]])</f>
        <v>XS, S, M, L, XL</v>
      </c>
      <c r="Y2984" t="str">
        <f>IF(Table2[[#This Row],[Column1]]&gt;50%,"HIGH DISCOUNT","LOW DISCOUNT")</f>
        <v>LOW DISCOUNT</v>
      </c>
    </row>
    <row r="2985" spans="1:25" x14ac:dyDescent="0.25">
      <c r="A2985" s="2" t="s">
        <v>6224</v>
      </c>
      <c r="B2985" s="2">
        <v>1901032</v>
      </c>
      <c r="C2985" s="2" t="s">
        <v>128</v>
      </c>
      <c r="D2985" s="2" t="s">
        <v>41</v>
      </c>
      <c r="E2985" s="2" t="s">
        <v>48</v>
      </c>
      <c r="F2985" s="2" t="s">
        <v>36</v>
      </c>
      <c r="G2985" s="2" t="s">
        <v>6225</v>
      </c>
      <c r="I2985" s="2">
        <v>999</v>
      </c>
      <c r="J2985" s="2" t="s">
        <v>2415</v>
      </c>
      <c r="K2985" s="2" t="s">
        <v>26</v>
      </c>
      <c r="L2985" s="2">
        <v>3.8</v>
      </c>
      <c r="M2985" s="2">
        <v>603</v>
      </c>
      <c r="P2985" t="str">
        <f t="shared" si="187"/>
        <v>46%</v>
      </c>
      <c r="Q2985" s="12">
        <f t="shared" si="184"/>
        <v>0.46</v>
      </c>
      <c r="R2985" s="9">
        <f t="shared" si="185"/>
        <v>539.46</v>
      </c>
      <c r="S2985" s="9">
        <f>IF(R2985="",AVERAGEIF(Table1[Category],Table1[[#This Row],[Category]],Table2[orignal data]),Table2[[#This Row],[orignal data]])</f>
        <v>539.46</v>
      </c>
      <c r="T2985" t="str">
        <f t="shared" si="186"/>
        <v>UNIQUE</v>
      </c>
      <c r="U2985" t="str">
        <f>IF(ISBLANK(Table1[[#This Row],[SizeOption]]),"NOT AVAILABLE",Table1[[#This Row],[SizeOption]])</f>
        <v>S, M, L, XL</v>
      </c>
      <c r="Y2985" t="str">
        <f>IF(Table2[[#This Row],[Column1]]&gt;50%,"HIGH DISCOUNT","LOW DISCOUNT")</f>
        <v>LOW DISCOUNT</v>
      </c>
    </row>
    <row r="2986" spans="1:25" x14ac:dyDescent="0.25">
      <c r="A2986" s="1" t="s">
        <v>6226</v>
      </c>
      <c r="B2986" s="1">
        <v>5345802</v>
      </c>
      <c r="C2986" s="1" t="s">
        <v>3911</v>
      </c>
      <c r="D2986" s="1" t="s">
        <v>15</v>
      </c>
      <c r="E2986" s="1" t="s">
        <v>137</v>
      </c>
      <c r="F2986" s="1" t="s">
        <v>17</v>
      </c>
      <c r="G2986" s="1" t="s">
        <v>6227</v>
      </c>
      <c r="H2986">
        <v>539</v>
      </c>
      <c r="I2986" s="1">
        <v>899</v>
      </c>
      <c r="J2986" s="1" t="s">
        <v>50</v>
      </c>
      <c r="K2986" s="1" t="s">
        <v>171</v>
      </c>
      <c r="L2986" s="1">
        <v>4.2</v>
      </c>
      <c r="M2986" s="1">
        <v>602</v>
      </c>
      <c r="P2986" t="str">
        <f t="shared" si="187"/>
        <v>40%</v>
      </c>
      <c r="Q2986" s="12">
        <f t="shared" si="184"/>
        <v>0.4</v>
      </c>
      <c r="R2986" s="9">
        <f t="shared" si="185"/>
        <v>539.4</v>
      </c>
      <c r="S2986" s="9">
        <f>IF(R2986="",AVERAGEIF(Table1[Category],Table1[[#This Row],[Category]],Table2[orignal data]),Table2[[#This Row],[orignal data]])</f>
        <v>539.4</v>
      </c>
      <c r="T2986" t="str">
        <f t="shared" si="186"/>
        <v>UNIQUE</v>
      </c>
      <c r="U2986" t="str">
        <f>IF(ISBLANK(Table1[[#This Row],[SizeOption]]),"NOT AVAILABLE",Table1[[#This Row],[SizeOption]])</f>
        <v>28, 30, 32, 34, 36, 38</v>
      </c>
      <c r="Y2986" t="str">
        <f>IF(Table2[[#This Row],[Column1]]&gt;50%,"HIGH DISCOUNT","LOW DISCOUNT")</f>
        <v>LOW DISCOUNT</v>
      </c>
    </row>
    <row r="2987" spans="1:25" x14ac:dyDescent="0.25">
      <c r="A2987" s="2" t="s">
        <v>6228</v>
      </c>
      <c r="B2987" s="2">
        <v>2041658</v>
      </c>
      <c r="C2987" s="2" t="s">
        <v>52</v>
      </c>
      <c r="D2987" s="2" t="s">
        <v>28</v>
      </c>
      <c r="E2987" s="2" t="s">
        <v>29</v>
      </c>
      <c r="F2987" s="2" t="s">
        <v>17</v>
      </c>
      <c r="G2987" s="2" t="s">
        <v>6229</v>
      </c>
      <c r="H2987">
        <v>516</v>
      </c>
      <c r="I2987" s="2">
        <v>1099</v>
      </c>
      <c r="J2987" s="2" t="s">
        <v>89</v>
      </c>
      <c r="K2987" s="2" t="s">
        <v>90</v>
      </c>
      <c r="L2987" s="2">
        <v>4.4000000000000004</v>
      </c>
      <c r="M2987" s="2">
        <v>602</v>
      </c>
      <c r="P2987" t="str">
        <f t="shared" si="187"/>
        <v>53%</v>
      </c>
      <c r="Q2987" s="12">
        <f t="shared" si="184"/>
        <v>0.53</v>
      </c>
      <c r="R2987" s="9">
        <f t="shared" si="185"/>
        <v>516.53</v>
      </c>
      <c r="S2987" s="9">
        <f>IF(R2987="",AVERAGEIF(Table1[Category],Table1[[#This Row],[Category]],Table2[orignal data]),Table2[[#This Row],[orignal data]])</f>
        <v>516.53</v>
      </c>
      <c r="T2987" t="str">
        <f t="shared" si="186"/>
        <v>UNIQUE</v>
      </c>
      <c r="U2987" t="str">
        <f>IF(ISBLANK(Table1[[#This Row],[SizeOption]]),"NOT AVAILABLE",Table1[[#This Row],[SizeOption]])</f>
        <v>39, 40, 42, 44</v>
      </c>
      <c r="Y2987" t="str">
        <f>IF(Table2[[#This Row],[Column1]]&gt;50%,"HIGH DISCOUNT","LOW DISCOUNT")</f>
        <v>HIGH DISCOUNT</v>
      </c>
    </row>
    <row r="2988" spans="1:25" x14ac:dyDescent="0.25">
      <c r="A2988" s="1" t="s">
        <v>6230</v>
      </c>
      <c r="B2988" s="1">
        <v>4450306</v>
      </c>
      <c r="C2988" s="1" t="s">
        <v>47</v>
      </c>
      <c r="D2988" s="1" t="s">
        <v>28</v>
      </c>
      <c r="E2988" s="1" t="s">
        <v>29</v>
      </c>
      <c r="F2988" s="1" t="s">
        <v>17</v>
      </c>
      <c r="G2988" s="1" t="s">
        <v>6231</v>
      </c>
      <c r="H2988">
        <v>989</v>
      </c>
      <c r="I2988" s="1">
        <v>2199</v>
      </c>
      <c r="J2988" s="1" t="s">
        <v>25</v>
      </c>
      <c r="K2988" s="1" t="s">
        <v>253</v>
      </c>
      <c r="L2988" s="1">
        <v>4</v>
      </c>
      <c r="M2988" s="1">
        <v>602</v>
      </c>
      <c r="P2988" t="str">
        <f t="shared" si="187"/>
        <v>55%</v>
      </c>
      <c r="Q2988" s="12">
        <f t="shared" si="184"/>
        <v>0.55000000000000004</v>
      </c>
      <c r="R2988" s="9">
        <f t="shared" si="185"/>
        <v>989.55</v>
      </c>
      <c r="S2988" s="9">
        <f>IF(R2988="",AVERAGEIF(Table1[Category],Table1[[#This Row],[Category]],Table2[orignal data]),Table2[[#This Row],[orignal data]])</f>
        <v>989.55</v>
      </c>
      <c r="T2988" t="str">
        <f t="shared" si="186"/>
        <v>UNIQUE</v>
      </c>
      <c r="U2988" t="str">
        <f>IF(ISBLANK(Table1[[#This Row],[SizeOption]]),"NOT AVAILABLE",Table1[[#This Row],[SizeOption]])</f>
        <v>38, 40, 42, 44</v>
      </c>
      <c r="Y2988" t="str">
        <f>IF(Table2[[#This Row],[Column1]]&gt;50%,"HIGH DISCOUNT","LOW DISCOUNT")</f>
        <v>HIGH DISCOUNT</v>
      </c>
    </row>
    <row r="2989" spans="1:25" x14ac:dyDescent="0.25">
      <c r="A2989" s="2" t="s">
        <v>6232</v>
      </c>
      <c r="B2989" s="2">
        <v>11361568</v>
      </c>
      <c r="C2989" s="2" t="s">
        <v>169</v>
      </c>
      <c r="D2989" s="2" t="s">
        <v>28</v>
      </c>
      <c r="E2989" s="2" t="s">
        <v>29</v>
      </c>
      <c r="F2989" s="2" t="s">
        <v>17</v>
      </c>
      <c r="G2989" s="2" t="s">
        <v>6233</v>
      </c>
      <c r="H2989">
        <v>1199</v>
      </c>
      <c r="I2989" s="2">
        <v>2399</v>
      </c>
      <c r="J2989" s="2" t="s">
        <v>84</v>
      </c>
      <c r="K2989" s="2" t="s">
        <v>484</v>
      </c>
      <c r="L2989" s="2">
        <v>4.2</v>
      </c>
      <c r="M2989" s="2">
        <v>602</v>
      </c>
      <c r="P2989" t="str">
        <f t="shared" si="187"/>
        <v>50%</v>
      </c>
      <c r="Q2989" s="12">
        <f t="shared" si="184"/>
        <v>0.5</v>
      </c>
      <c r="R2989" s="9">
        <f t="shared" si="185"/>
        <v>1199.5</v>
      </c>
      <c r="S2989" s="9">
        <f>IF(R2989="",AVERAGEIF(Table1[Category],Table1[[#This Row],[Category]],Table2[orignal data]),Table2[[#This Row],[orignal data]])</f>
        <v>1199.5</v>
      </c>
      <c r="T2989" t="str">
        <f t="shared" si="186"/>
        <v>UNIQUE</v>
      </c>
      <c r="U2989" t="str">
        <f>IF(ISBLANK(Table1[[#This Row],[SizeOption]]),"NOT AVAILABLE",Table1[[#This Row],[SizeOption]])</f>
        <v>39, 40, 42, 44, 46</v>
      </c>
      <c r="Y2989" t="str">
        <f>IF(Table2[[#This Row],[Column1]]&gt;50%,"HIGH DISCOUNT","LOW DISCOUNT")</f>
        <v>LOW DISCOUNT</v>
      </c>
    </row>
    <row r="2990" spans="1:25" x14ac:dyDescent="0.25">
      <c r="A2990" s="1" t="s">
        <v>6234</v>
      </c>
      <c r="B2990" s="1">
        <v>1997338</v>
      </c>
      <c r="C2990" s="1" t="s">
        <v>14</v>
      </c>
      <c r="D2990" s="1" t="s">
        <v>28</v>
      </c>
      <c r="E2990" s="1" t="s">
        <v>42</v>
      </c>
      <c r="F2990" s="1" t="s">
        <v>17</v>
      </c>
      <c r="G2990" s="1" t="s">
        <v>6235</v>
      </c>
      <c r="I2990" s="1">
        <v>749</v>
      </c>
      <c r="J2990" s="1"/>
      <c r="K2990" s="1" t="s">
        <v>45</v>
      </c>
      <c r="L2990" s="1">
        <v>4.3</v>
      </c>
      <c r="M2990" s="1">
        <v>602</v>
      </c>
      <c r="P2990" t="str">
        <f t="shared" si="187"/>
        <v/>
      </c>
      <c r="Q2990" s="12" t="str">
        <f t="shared" si="184"/>
        <v/>
      </c>
      <c r="R2990" s="9" t="str">
        <f t="shared" si="185"/>
        <v/>
      </c>
      <c r="S2990" s="9">
        <f>IF(R2990="",AVERAGEIF(Table1[Category],Table1[[#This Row],[Category]],Table2[orignal data]),Table2[[#This Row],[orignal data]])</f>
        <v>671.7823941958867</v>
      </c>
      <c r="T2990" t="str">
        <f t="shared" si="186"/>
        <v>UNIQUE</v>
      </c>
      <c r="U2990" t="str">
        <f>IF(ISBLANK(Table1[[#This Row],[SizeOption]]),"NOT AVAILABLE",Table1[[#This Row],[SizeOption]])</f>
        <v>XS, S, M, L, XL</v>
      </c>
      <c r="Y2990" t="str">
        <f>IF(Table2[[#This Row],[Column1]]&gt;50%,"HIGH DISCOUNT","LOW DISCOUNT")</f>
        <v>HIGH DISCOUNT</v>
      </c>
    </row>
    <row r="2991" spans="1:25" x14ac:dyDescent="0.25">
      <c r="A2991" s="2" t="s">
        <v>6236</v>
      </c>
      <c r="B2991" s="2">
        <v>11113836</v>
      </c>
      <c r="C2991" s="2" t="s">
        <v>113</v>
      </c>
      <c r="D2991" s="2" t="s">
        <v>76</v>
      </c>
      <c r="E2991" s="2" t="s">
        <v>148</v>
      </c>
      <c r="F2991" s="2" t="s">
        <v>36</v>
      </c>
      <c r="G2991" s="2" t="s">
        <v>6237</v>
      </c>
      <c r="H2991">
        <v>584</v>
      </c>
      <c r="I2991" s="2">
        <v>1299</v>
      </c>
      <c r="J2991" s="2" t="s">
        <v>25</v>
      </c>
      <c r="K2991" s="2" t="s">
        <v>115</v>
      </c>
      <c r="L2991" s="2">
        <v>3.8</v>
      </c>
      <c r="M2991" s="2">
        <v>602</v>
      </c>
      <c r="P2991" t="str">
        <f t="shared" si="187"/>
        <v>55%</v>
      </c>
      <c r="Q2991" s="12">
        <f t="shared" si="184"/>
        <v>0.55000000000000004</v>
      </c>
      <c r="R2991" s="9">
        <f t="shared" si="185"/>
        <v>584.54999999999995</v>
      </c>
      <c r="S2991" s="9">
        <f>IF(R2991="",AVERAGEIF(Table1[Category],Table1[[#This Row],[Category]],Table2[orignal data]),Table2[[#This Row],[orignal data]])</f>
        <v>584.54999999999995</v>
      </c>
      <c r="T2991" t="str">
        <f t="shared" si="186"/>
        <v>UNIQUE</v>
      </c>
      <c r="U2991" t="str">
        <f>IF(ISBLANK(Table1[[#This Row],[SizeOption]]),"NOT AVAILABLE",Table1[[#This Row],[SizeOption]])</f>
        <v>XS, S, M, L, XL, XXL</v>
      </c>
      <c r="Y2991" t="str">
        <f>IF(Table2[[#This Row],[Column1]]&gt;50%,"HIGH DISCOUNT","LOW DISCOUNT")</f>
        <v>HIGH DISCOUNT</v>
      </c>
    </row>
    <row r="2992" spans="1:25" x14ac:dyDescent="0.25">
      <c r="A2992" s="1" t="s">
        <v>6238</v>
      </c>
      <c r="B2992" s="1">
        <v>7224389</v>
      </c>
      <c r="C2992" s="1" t="s">
        <v>277</v>
      </c>
      <c r="D2992" s="1" t="s">
        <v>76</v>
      </c>
      <c r="E2992" s="1" t="s">
        <v>93</v>
      </c>
      <c r="F2992" s="1" t="s">
        <v>36</v>
      </c>
      <c r="G2992" s="1" t="s">
        <v>6239</v>
      </c>
      <c r="H2992">
        <v>719</v>
      </c>
      <c r="I2992" s="1">
        <v>1599</v>
      </c>
      <c r="J2992" s="1" t="s">
        <v>25</v>
      </c>
      <c r="K2992" s="1" t="s">
        <v>39</v>
      </c>
      <c r="L2992" s="1">
        <v>4.3</v>
      </c>
      <c r="M2992" s="1">
        <v>602</v>
      </c>
      <c r="P2992" t="str">
        <f t="shared" si="187"/>
        <v>55%</v>
      </c>
      <c r="Q2992" s="12">
        <f t="shared" si="184"/>
        <v>0.55000000000000004</v>
      </c>
      <c r="R2992" s="9">
        <f t="shared" si="185"/>
        <v>719.55</v>
      </c>
      <c r="S2992" s="9">
        <f>IF(R2992="",AVERAGEIF(Table1[Category],Table1[[#This Row],[Category]],Table2[orignal data]),Table2[[#This Row],[orignal data]])</f>
        <v>719.55</v>
      </c>
      <c r="T2992" t="str">
        <f t="shared" si="186"/>
        <v>UNIQUE</v>
      </c>
      <c r="U2992" t="str">
        <f>IF(ISBLANK(Table1[[#This Row],[SizeOption]]),"NOT AVAILABLE",Table1[[#This Row],[SizeOption]])</f>
        <v>S, M, L, XL, XXL</v>
      </c>
      <c r="Y2992" t="str">
        <f>IF(Table2[[#This Row],[Column1]]&gt;50%,"HIGH DISCOUNT","LOW DISCOUNT")</f>
        <v>HIGH DISCOUNT</v>
      </c>
    </row>
    <row r="2993" spans="1:25" x14ac:dyDescent="0.25">
      <c r="A2993" s="2" t="s">
        <v>6240</v>
      </c>
      <c r="B2993" s="2">
        <v>2693895</v>
      </c>
      <c r="C2993" s="2" t="s">
        <v>92</v>
      </c>
      <c r="D2993" s="2" t="s">
        <v>76</v>
      </c>
      <c r="E2993" s="2" t="s">
        <v>93</v>
      </c>
      <c r="F2993" s="2" t="s">
        <v>36</v>
      </c>
      <c r="G2993" s="2" t="s">
        <v>6241</v>
      </c>
      <c r="H2993">
        <v>577</v>
      </c>
      <c r="I2993" s="2">
        <v>1749</v>
      </c>
      <c r="J2993" s="2" t="s">
        <v>543</v>
      </c>
      <c r="K2993" s="2" t="s">
        <v>39</v>
      </c>
      <c r="L2993" s="2">
        <v>4.0999999999999996</v>
      </c>
      <c r="M2993" s="2">
        <v>602</v>
      </c>
      <c r="P2993" t="str">
        <f t="shared" si="187"/>
        <v>67%</v>
      </c>
      <c r="Q2993" s="12">
        <f t="shared" si="184"/>
        <v>0.67</v>
      </c>
      <c r="R2993" s="9">
        <f t="shared" si="185"/>
        <v>577.16999999999985</v>
      </c>
      <c r="S2993" s="9">
        <f>IF(R2993="",AVERAGEIF(Table1[Category],Table1[[#This Row],[Category]],Table2[orignal data]),Table2[[#This Row],[orignal data]])</f>
        <v>577.16999999999985</v>
      </c>
      <c r="T2993" t="str">
        <f t="shared" si="186"/>
        <v>UNIQUE</v>
      </c>
      <c r="U2993" t="str">
        <f>IF(ISBLANK(Table1[[#This Row],[SizeOption]]),"NOT AVAILABLE",Table1[[#This Row],[SizeOption]])</f>
        <v>S, M, L, XL, XXL</v>
      </c>
      <c r="Y2993" t="str">
        <f>IF(Table2[[#This Row],[Column1]]&gt;50%,"HIGH DISCOUNT","LOW DISCOUNT")</f>
        <v>HIGH DISCOUNT</v>
      </c>
    </row>
    <row r="2994" spans="1:25" x14ac:dyDescent="0.25">
      <c r="A2994" s="1" t="s">
        <v>6242</v>
      </c>
      <c r="B2994" s="1">
        <v>14140618</v>
      </c>
      <c r="C2994" s="1" t="s">
        <v>201</v>
      </c>
      <c r="D2994" s="1" t="s">
        <v>98</v>
      </c>
      <c r="E2994" s="1" t="s">
        <v>42</v>
      </c>
      <c r="F2994" s="1" t="s">
        <v>36</v>
      </c>
      <c r="G2994" s="1" t="s">
        <v>6243</v>
      </c>
      <c r="H2994">
        <v>629</v>
      </c>
      <c r="I2994" s="1">
        <v>899</v>
      </c>
      <c r="J2994" s="1" t="s">
        <v>186</v>
      </c>
      <c r="K2994" s="1" t="s">
        <v>100</v>
      </c>
      <c r="L2994" s="1">
        <v>4.4000000000000004</v>
      </c>
      <c r="M2994" s="1">
        <v>602</v>
      </c>
      <c r="P2994" t="str">
        <f t="shared" si="187"/>
        <v>30%</v>
      </c>
      <c r="Q2994" s="12">
        <f t="shared" si="184"/>
        <v>0.3</v>
      </c>
      <c r="R2994" s="9">
        <f t="shared" si="185"/>
        <v>629.29999999999995</v>
      </c>
      <c r="S2994" s="9">
        <f>IF(R2994="",AVERAGEIF(Table1[Category],Table1[[#This Row],[Category]],Table2[orignal data]),Table2[[#This Row],[orignal data]])</f>
        <v>629.29999999999995</v>
      </c>
      <c r="T2994" t="str">
        <f t="shared" si="186"/>
        <v>UNIQUE</v>
      </c>
      <c r="U2994" t="str">
        <f>IF(ISBLANK(Table1[[#This Row],[SizeOption]]),"NOT AVAILABLE",Table1[[#This Row],[SizeOption]])</f>
        <v>XS, S, M, L, XL, XXL, 3XL</v>
      </c>
      <c r="Y2994" t="str">
        <f>IF(Table2[[#This Row],[Column1]]&gt;50%,"HIGH DISCOUNT","LOW DISCOUNT")</f>
        <v>LOW DISCOUNT</v>
      </c>
    </row>
    <row r="2995" spans="1:25" x14ac:dyDescent="0.25">
      <c r="A2995" s="2" t="s">
        <v>6244</v>
      </c>
      <c r="B2995" s="2">
        <v>11174242</v>
      </c>
      <c r="C2995" s="2" t="s">
        <v>97</v>
      </c>
      <c r="D2995" s="2" t="s">
        <v>98</v>
      </c>
      <c r="E2995" s="2" t="s">
        <v>93</v>
      </c>
      <c r="F2995" s="2" t="s">
        <v>36</v>
      </c>
      <c r="G2995" s="2" t="s">
        <v>6245</v>
      </c>
      <c r="H2995">
        <v>549</v>
      </c>
      <c r="I2995" s="2">
        <v>999</v>
      </c>
      <c r="J2995" s="2" t="s">
        <v>19</v>
      </c>
      <c r="K2995" s="2" t="s">
        <v>100</v>
      </c>
      <c r="L2995" s="2">
        <v>3.9</v>
      </c>
      <c r="M2995" s="2">
        <v>602</v>
      </c>
      <c r="P2995" t="str">
        <f t="shared" si="187"/>
        <v>45%</v>
      </c>
      <c r="Q2995" s="12">
        <f t="shared" si="184"/>
        <v>0.45</v>
      </c>
      <c r="R2995" s="9">
        <f t="shared" si="185"/>
        <v>549.45000000000005</v>
      </c>
      <c r="S2995" s="9">
        <f>IF(R2995="",AVERAGEIF(Table1[Category],Table1[[#This Row],[Category]],Table2[orignal data]),Table2[[#This Row],[orignal data]])</f>
        <v>549.45000000000005</v>
      </c>
      <c r="T2995" t="str">
        <f t="shared" si="186"/>
        <v>UNIQUE</v>
      </c>
      <c r="U2995" t="str">
        <f>IF(ISBLANK(Table1[[#This Row],[SizeOption]]),"NOT AVAILABLE",Table1[[#This Row],[SizeOption]])</f>
        <v>XS, S, M, L, XL, XXL, 3XL</v>
      </c>
      <c r="Y2995" t="str">
        <f>IF(Table2[[#This Row],[Column1]]&gt;50%,"HIGH DISCOUNT","LOW DISCOUNT")</f>
        <v>LOW DISCOUNT</v>
      </c>
    </row>
    <row r="2996" spans="1:25" x14ac:dyDescent="0.25">
      <c r="A2996" s="1" t="s">
        <v>6246</v>
      </c>
      <c r="B2996" s="1">
        <v>11549424</v>
      </c>
      <c r="C2996" s="1" t="s">
        <v>181</v>
      </c>
      <c r="D2996" s="1" t="s">
        <v>41</v>
      </c>
      <c r="E2996" s="1" t="s">
        <v>48</v>
      </c>
      <c r="F2996" s="1" t="s">
        <v>36</v>
      </c>
      <c r="G2996" s="1" t="s">
        <v>6247</v>
      </c>
      <c r="I2996" s="1">
        <v>1399</v>
      </c>
      <c r="J2996" s="1" t="s">
        <v>84</v>
      </c>
      <c r="K2996" s="1" t="s">
        <v>115</v>
      </c>
      <c r="L2996" s="1">
        <v>4.2</v>
      </c>
      <c r="M2996" s="1">
        <v>602</v>
      </c>
      <c r="P2996" t="str">
        <f t="shared" si="187"/>
        <v>50%</v>
      </c>
      <c r="Q2996" s="12">
        <f t="shared" si="184"/>
        <v>0.5</v>
      </c>
      <c r="R2996" s="9">
        <f t="shared" si="185"/>
        <v>699.5</v>
      </c>
      <c r="S2996" s="9">
        <f>IF(R2996="",AVERAGEIF(Table1[Category],Table1[[#This Row],[Category]],Table2[orignal data]),Table2[[#This Row],[orignal data]])</f>
        <v>699.5</v>
      </c>
      <c r="T2996" t="str">
        <f t="shared" si="186"/>
        <v>UNIQUE</v>
      </c>
      <c r="U2996" t="str">
        <f>IF(ISBLANK(Table1[[#This Row],[SizeOption]]),"NOT AVAILABLE",Table1[[#This Row],[SizeOption]])</f>
        <v>XS, S, M, L, XL, XXL</v>
      </c>
      <c r="Y2996" t="str">
        <f>IF(Table2[[#This Row],[Column1]]&gt;50%,"HIGH DISCOUNT","LOW DISCOUNT")</f>
        <v>LOW DISCOUNT</v>
      </c>
    </row>
    <row r="2997" spans="1:25" x14ac:dyDescent="0.25">
      <c r="A2997" s="2" t="s">
        <v>6248</v>
      </c>
      <c r="B2997" s="2">
        <v>13088236</v>
      </c>
      <c r="C2997" s="2" t="s">
        <v>5507</v>
      </c>
      <c r="D2997" s="2" t="s">
        <v>41</v>
      </c>
      <c r="E2997" s="2" t="s">
        <v>148</v>
      </c>
      <c r="F2997" s="2" t="s">
        <v>36</v>
      </c>
      <c r="G2997" s="2" t="s">
        <v>6249</v>
      </c>
      <c r="I2997" s="2">
        <v>1699</v>
      </c>
      <c r="J2997" s="2" t="s">
        <v>84</v>
      </c>
      <c r="K2997" s="2" t="s">
        <v>115</v>
      </c>
      <c r="L2997" s="2">
        <v>4</v>
      </c>
      <c r="M2997" s="2">
        <v>602</v>
      </c>
      <c r="P2997" t="str">
        <f t="shared" si="187"/>
        <v>50%</v>
      </c>
      <c r="Q2997" s="12">
        <f t="shared" si="184"/>
        <v>0.5</v>
      </c>
      <c r="R2997" s="9">
        <f t="shared" si="185"/>
        <v>849.5</v>
      </c>
      <c r="S2997" s="9">
        <f>IF(R2997="",AVERAGEIF(Table1[Category],Table1[[#This Row],[Category]],Table2[orignal data]),Table2[[#This Row],[orignal data]])</f>
        <v>849.5</v>
      </c>
      <c r="T2997" t="str">
        <f t="shared" si="186"/>
        <v>UNIQUE</v>
      </c>
      <c r="U2997" t="str">
        <f>IF(ISBLANK(Table1[[#This Row],[SizeOption]]),"NOT AVAILABLE",Table1[[#This Row],[SizeOption]])</f>
        <v>XS, S, M, L, XL, XXL</v>
      </c>
      <c r="Y2997" t="str">
        <f>IF(Table2[[#This Row],[Column1]]&gt;50%,"HIGH DISCOUNT","LOW DISCOUNT")</f>
        <v>LOW DISCOUNT</v>
      </c>
    </row>
    <row r="2998" spans="1:25" x14ac:dyDescent="0.25">
      <c r="A2998" s="1" t="s">
        <v>6250</v>
      </c>
      <c r="B2998" s="1">
        <v>10058485</v>
      </c>
      <c r="C2998" s="1" t="s">
        <v>14</v>
      </c>
      <c r="D2998" s="1" t="s">
        <v>41</v>
      </c>
      <c r="E2998" s="1" t="s">
        <v>16</v>
      </c>
      <c r="F2998" s="1" t="s">
        <v>36</v>
      </c>
      <c r="G2998" s="1" t="s">
        <v>6251</v>
      </c>
      <c r="I2998" s="1">
        <v>2099</v>
      </c>
      <c r="J2998" s="1" t="s">
        <v>84</v>
      </c>
      <c r="K2998" s="1" t="s">
        <v>134</v>
      </c>
      <c r="L2998" s="1">
        <v>4.2</v>
      </c>
      <c r="M2998" s="1">
        <v>602</v>
      </c>
      <c r="P2998" t="str">
        <f t="shared" si="187"/>
        <v>50%</v>
      </c>
      <c r="Q2998" s="12">
        <f t="shared" si="184"/>
        <v>0.5</v>
      </c>
      <c r="R2998" s="9">
        <f t="shared" si="185"/>
        <v>1049.5</v>
      </c>
      <c r="S2998" s="9">
        <f>IF(R2998="",AVERAGEIF(Table1[Category],Table1[[#This Row],[Category]],Table2[orignal data]),Table2[[#This Row],[orignal data]])</f>
        <v>1049.5</v>
      </c>
      <c r="T2998" t="str">
        <f t="shared" si="186"/>
        <v>UNIQUE</v>
      </c>
      <c r="U2998" t="str">
        <f>IF(ISBLANK(Table1[[#This Row],[SizeOption]]),"NOT AVAILABLE",Table1[[#This Row],[SizeOption]])</f>
        <v>26, 28, 30, 32, 34, 36</v>
      </c>
      <c r="Y2998" t="str">
        <f>IF(Table2[[#This Row],[Column1]]&gt;50%,"HIGH DISCOUNT","LOW DISCOUNT")</f>
        <v>LOW DISCOUNT</v>
      </c>
    </row>
    <row r="2999" spans="1:25" x14ac:dyDescent="0.25">
      <c r="A2999" s="2" t="s">
        <v>6252</v>
      </c>
      <c r="B2999" s="2">
        <v>11272226</v>
      </c>
      <c r="C2999" s="2" t="s">
        <v>107</v>
      </c>
      <c r="D2999" s="2" t="s">
        <v>41</v>
      </c>
      <c r="E2999" s="2" t="s">
        <v>48</v>
      </c>
      <c r="F2999" s="2" t="s">
        <v>36</v>
      </c>
      <c r="G2999" s="2" t="s">
        <v>6253</v>
      </c>
      <c r="I2999" s="2">
        <v>799</v>
      </c>
      <c r="J2999" s="2" t="s">
        <v>25</v>
      </c>
      <c r="K2999" s="2" t="s">
        <v>45</v>
      </c>
      <c r="L2999" s="2">
        <v>4.3</v>
      </c>
      <c r="M2999" s="2">
        <v>602</v>
      </c>
      <c r="P2999" t="str">
        <f t="shared" si="187"/>
        <v>55%</v>
      </c>
      <c r="Q2999" s="12">
        <f t="shared" si="184"/>
        <v>0.55000000000000004</v>
      </c>
      <c r="R2999" s="9">
        <f t="shared" si="185"/>
        <v>359.54999999999995</v>
      </c>
      <c r="S2999" s="9">
        <f>IF(R2999="",AVERAGEIF(Table1[Category],Table1[[#This Row],[Category]],Table2[orignal data]),Table2[[#This Row],[orignal data]])</f>
        <v>359.54999999999995</v>
      </c>
      <c r="T2999" t="str">
        <f t="shared" si="186"/>
        <v>UNIQUE</v>
      </c>
      <c r="U2999" t="str">
        <f>IF(ISBLANK(Table1[[#This Row],[SizeOption]]),"NOT AVAILABLE",Table1[[#This Row],[SizeOption]])</f>
        <v>XS, S, M, L, XL</v>
      </c>
      <c r="Y2999" t="str">
        <f>IF(Table2[[#This Row],[Column1]]&gt;50%,"HIGH DISCOUNT","LOW DISCOUNT")</f>
        <v>HIGH DISCOUNT</v>
      </c>
    </row>
    <row r="3000" spans="1:25" x14ac:dyDescent="0.25">
      <c r="A3000" s="1" t="s">
        <v>6254</v>
      </c>
      <c r="B3000" s="1">
        <v>11401904</v>
      </c>
      <c r="C3000" s="1" t="s">
        <v>14</v>
      </c>
      <c r="D3000" s="1" t="s">
        <v>41</v>
      </c>
      <c r="E3000" s="1" t="s">
        <v>42</v>
      </c>
      <c r="F3000" s="1" t="s">
        <v>36</v>
      </c>
      <c r="G3000" s="1" t="s">
        <v>6255</v>
      </c>
      <c r="I3000" s="1">
        <v>899</v>
      </c>
      <c r="J3000" s="1" t="s">
        <v>25</v>
      </c>
      <c r="K3000" s="1" t="s">
        <v>45</v>
      </c>
      <c r="L3000" s="1">
        <v>4.4000000000000004</v>
      </c>
      <c r="M3000" s="1">
        <v>602</v>
      </c>
      <c r="P3000" t="str">
        <f t="shared" si="187"/>
        <v>55%</v>
      </c>
      <c r="Q3000" s="12">
        <f t="shared" si="184"/>
        <v>0.55000000000000004</v>
      </c>
      <c r="R3000" s="9">
        <f t="shared" si="185"/>
        <v>404.54999999999995</v>
      </c>
      <c r="S3000" s="9">
        <f>IF(R3000="",AVERAGEIF(Table1[Category],Table1[[#This Row],[Category]],Table2[orignal data]),Table2[[#This Row],[orignal data]])</f>
        <v>404.54999999999995</v>
      </c>
      <c r="T3000" t="str">
        <f t="shared" si="186"/>
        <v>UNIQUE</v>
      </c>
      <c r="U3000" t="str">
        <f>IF(ISBLANK(Table1[[#This Row],[SizeOption]]),"NOT AVAILABLE",Table1[[#This Row],[SizeOption]])</f>
        <v>XS, S, M, L, XL</v>
      </c>
      <c r="Y3000" t="str">
        <f>IF(Table2[[#This Row],[Column1]]&gt;50%,"HIGH DISCOUNT","LOW DISCOUNT")</f>
        <v>HIGH DISCOUNT</v>
      </c>
    </row>
    <row r="3001" spans="1:25" x14ac:dyDescent="0.25">
      <c r="A3001" s="2" t="s">
        <v>6256</v>
      </c>
      <c r="B3001" s="2">
        <v>11327116</v>
      </c>
      <c r="C3001" s="2" t="s">
        <v>14</v>
      </c>
      <c r="D3001" s="2" t="s">
        <v>28</v>
      </c>
      <c r="E3001" s="2" t="s">
        <v>29</v>
      </c>
      <c r="F3001" s="2" t="s">
        <v>17</v>
      </c>
      <c r="G3001" s="2" t="s">
        <v>6257</v>
      </c>
      <c r="H3001">
        <v>674</v>
      </c>
      <c r="I3001" s="2">
        <v>1499</v>
      </c>
      <c r="J3001" s="2" t="s">
        <v>25</v>
      </c>
      <c r="K3001" s="2" t="s">
        <v>253</v>
      </c>
      <c r="L3001" s="2">
        <v>4.3</v>
      </c>
      <c r="M3001" s="2">
        <v>601</v>
      </c>
      <c r="P3001" t="str">
        <f t="shared" si="187"/>
        <v>55%</v>
      </c>
      <c r="Q3001" s="12">
        <f t="shared" si="184"/>
        <v>0.55000000000000004</v>
      </c>
      <c r="R3001" s="9">
        <f t="shared" si="185"/>
        <v>674.55</v>
      </c>
      <c r="S3001" s="9">
        <f>IF(R3001="",AVERAGEIF(Table1[Category],Table1[[#This Row],[Category]],Table2[orignal data]),Table2[[#This Row],[orignal data]])</f>
        <v>674.55</v>
      </c>
      <c r="T3001" t="str">
        <f t="shared" si="186"/>
        <v>UNIQUE</v>
      </c>
      <c r="U3001" t="str">
        <f>IF(ISBLANK(Table1[[#This Row],[SizeOption]]),"NOT AVAILABLE",Table1[[#This Row],[SizeOption]])</f>
        <v>38, 40, 42, 44</v>
      </c>
      <c r="Y3001" t="str">
        <f>IF(Table2[[#This Row],[Column1]]&gt;50%,"HIGH DISCOUNT","LOW DISCOUNT")</f>
        <v>HIGH DISCOUNT</v>
      </c>
    </row>
    <row r="3002" spans="1:25" x14ac:dyDescent="0.25">
      <c r="A3002" s="1" t="s">
        <v>6258</v>
      </c>
      <c r="B3002" s="1">
        <v>11423194</v>
      </c>
      <c r="C3002" s="1" t="s">
        <v>924</v>
      </c>
      <c r="D3002" s="1" t="s">
        <v>76</v>
      </c>
      <c r="E3002" s="1" t="s">
        <v>320</v>
      </c>
      <c r="F3002" s="1" t="s">
        <v>36</v>
      </c>
      <c r="G3002" s="1" t="s">
        <v>6259</v>
      </c>
      <c r="H3002">
        <v>1849</v>
      </c>
      <c r="I3002" s="1">
        <v>3699</v>
      </c>
      <c r="J3002" s="1" t="s">
        <v>84</v>
      </c>
      <c r="K3002" s="1" t="s">
        <v>164</v>
      </c>
      <c r="L3002" s="1">
        <v>4.5</v>
      </c>
      <c r="M3002" s="1">
        <v>601</v>
      </c>
      <c r="P3002" t="str">
        <f t="shared" si="187"/>
        <v>50%</v>
      </c>
      <c r="Q3002" s="12">
        <f t="shared" si="184"/>
        <v>0.5</v>
      </c>
      <c r="R3002" s="9">
        <f t="shared" si="185"/>
        <v>1849.5</v>
      </c>
      <c r="S3002" s="9">
        <f>IF(R3002="",AVERAGEIF(Table1[Category],Table1[[#This Row],[Category]],Table2[orignal data]),Table2[[#This Row],[orignal data]])</f>
        <v>1849.5</v>
      </c>
      <c r="T3002" t="str">
        <f t="shared" si="186"/>
        <v>UNIQUE</v>
      </c>
      <c r="U3002" t="str">
        <f>IF(ISBLANK(Table1[[#This Row],[SizeOption]]),"NOT AVAILABLE",Table1[[#This Row],[SizeOption]])</f>
        <v>Onesize</v>
      </c>
      <c r="Y3002" t="str">
        <f>IF(Table2[[#This Row],[Column1]]&gt;50%,"HIGH DISCOUNT","LOW DISCOUNT")</f>
        <v>LOW DISCOUNT</v>
      </c>
    </row>
    <row r="3003" spans="1:25" x14ac:dyDescent="0.25">
      <c r="A3003" s="2" t="s">
        <v>6260</v>
      </c>
      <c r="B3003" s="2">
        <v>11068136</v>
      </c>
      <c r="C3003" s="2" t="s">
        <v>349</v>
      </c>
      <c r="D3003" s="2" t="s">
        <v>34</v>
      </c>
      <c r="E3003" s="2" t="s">
        <v>296</v>
      </c>
      <c r="F3003" s="2" t="s">
        <v>36</v>
      </c>
      <c r="G3003" s="2" t="s">
        <v>6261</v>
      </c>
      <c r="I3003" s="2">
        <v>259</v>
      </c>
      <c r="J3003" s="2"/>
      <c r="K3003" s="2" t="s">
        <v>352</v>
      </c>
      <c r="L3003" s="2">
        <v>4.5999999999999996</v>
      </c>
      <c r="M3003" s="2">
        <v>601</v>
      </c>
      <c r="P3003" t="str">
        <f t="shared" si="187"/>
        <v/>
      </c>
      <c r="Q3003" s="12" t="str">
        <f t="shared" si="184"/>
        <v/>
      </c>
      <c r="R3003" s="9" t="str">
        <f t="shared" si="185"/>
        <v/>
      </c>
      <c r="S3003" s="9">
        <f>IF(R3003="",AVERAGEIF(Table1[Category],Table1[[#This Row],[Category]],Table2[orignal data]),Table2[[#This Row],[orignal data]])</f>
        <v>608.88518518518481</v>
      </c>
      <c r="T3003" t="str">
        <f t="shared" si="186"/>
        <v>UNIQUE</v>
      </c>
      <c r="U3003" t="str">
        <f>IF(ISBLANK(Table1[[#This Row],[SizeOption]]),"NOT AVAILABLE",Table1[[#This Row],[SizeOption]])</f>
        <v>S, M, L</v>
      </c>
      <c r="Y3003" t="str">
        <f>IF(Table2[[#This Row],[Column1]]&gt;50%,"HIGH DISCOUNT","LOW DISCOUNT")</f>
        <v>HIGH DISCOUNT</v>
      </c>
    </row>
    <row r="3004" spans="1:25" x14ac:dyDescent="0.25">
      <c r="A3004" s="1" t="s">
        <v>6262</v>
      </c>
      <c r="B3004" s="1">
        <v>11810534</v>
      </c>
      <c r="C3004" s="1" t="s">
        <v>349</v>
      </c>
      <c r="D3004" s="1" t="s">
        <v>34</v>
      </c>
      <c r="E3004" s="1" t="s">
        <v>296</v>
      </c>
      <c r="F3004" s="1" t="s">
        <v>36</v>
      </c>
      <c r="G3004" s="1" t="s">
        <v>6263</v>
      </c>
      <c r="I3004" s="1">
        <v>518</v>
      </c>
      <c r="J3004" s="1"/>
      <c r="K3004" s="1" t="s">
        <v>352</v>
      </c>
      <c r="L3004" s="1">
        <v>4.5999999999999996</v>
      </c>
      <c r="M3004" s="1">
        <v>601</v>
      </c>
      <c r="P3004" t="str">
        <f t="shared" si="187"/>
        <v/>
      </c>
      <c r="Q3004" s="12" t="str">
        <f t="shared" si="184"/>
        <v/>
      </c>
      <c r="R3004" s="9" t="str">
        <f t="shared" si="185"/>
        <v/>
      </c>
      <c r="S3004" s="9">
        <f>IF(R3004="",AVERAGEIF(Table1[Category],Table1[[#This Row],[Category]],Table2[orignal data]),Table2[[#This Row],[orignal data]])</f>
        <v>608.88518518518481</v>
      </c>
      <c r="T3004" t="str">
        <f t="shared" si="186"/>
        <v>UNIQUE</v>
      </c>
      <c r="U3004" t="str">
        <f>IF(ISBLANK(Table1[[#This Row],[SizeOption]]),"NOT AVAILABLE",Table1[[#This Row],[SizeOption]])</f>
        <v>S, M, L</v>
      </c>
      <c r="Y3004" t="str">
        <f>IF(Table2[[#This Row],[Column1]]&gt;50%,"HIGH DISCOUNT","LOW DISCOUNT")</f>
        <v>HIGH DISCOUNT</v>
      </c>
    </row>
    <row r="3005" spans="1:25" x14ac:dyDescent="0.25">
      <c r="A3005" s="2" t="s">
        <v>6264</v>
      </c>
      <c r="B3005" s="2">
        <v>2298921</v>
      </c>
      <c r="C3005" s="2" t="s">
        <v>33</v>
      </c>
      <c r="D3005" s="2" t="s">
        <v>34</v>
      </c>
      <c r="E3005" s="2" t="s">
        <v>118</v>
      </c>
      <c r="F3005" s="2" t="s">
        <v>36</v>
      </c>
      <c r="G3005" s="2" t="s">
        <v>6265</v>
      </c>
      <c r="I3005" s="2">
        <v>599</v>
      </c>
      <c r="J3005" s="2"/>
      <c r="K3005" s="2" t="s">
        <v>6266</v>
      </c>
      <c r="L3005" s="2">
        <v>4.2</v>
      </c>
      <c r="M3005" s="2">
        <v>601</v>
      </c>
      <c r="P3005" t="str">
        <f t="shared" si="187"/>
        <v/>
      </c>
      <c r="Q3005" s="12" t="str">
        <f t="shared" si="184"/>
        <v/>
      </c>
      <c r="R3005" s="9" t="str">
        <f t="shared" si="185"/>
        <v/>
      </c>
      <c r="S3005" s="9">
        <f>IF(R3005="",AVERAGEIF(Table1[Category],Table1[[#This Row],[Category]],Table2[orignal data]),Table2[[#This Row],[orignal data]])</f>
        <v>608.88518518518481</v>
      </c>
      <c r="T3005" t="str">
        <f t="shared" si="186"/>
        <v>UNIQUE</v>
      </c>
      <c r="U3005" t="str">
        <f>IF(ISBLANK(Table1[[#This Row],[SizeOption]]),"NOT AVAILABLE",Table1[[#This Row],[SizeOption]])</f>
        <v>32D, 32DD, 34D, 34DD, 36D, 36DD, 38D, 38DD, 40C, 40D, 40DD</v>
      </c>
      <c r="Y3005" t="str">
        <f>IF(Table2[[#This Row],[Column1]]&gt;50%,"HIGH DISCOUNT","LOW DISCOUNT")</f>
        <v>HIGH DISCOUNT</v>
      </c>
    </row>
    <row r="3006" spans="1:25" x14ac:dyDescent="0.25">
      <c r="A3006" s="1" t="s">
        <v>6267</v>
      </c>
      <c r="B3006" s="1">
        <v>2152694</v>
      </c>
      <c r="C3006" s="1" t="s">
        <v>64</v>
      </c>
      <c r="D3006" s="1" t="s">
        <v>98</v>
      </c>
      <c r="E3006" s="1" t="s">
        <v>93</v>
      </c>
      <c r="F3006" s="1" t="s">
        <v>36</v>
      </c>
      <c r="G3006" s="1" t="s">
        <v>6268</v>
      </c>
      <c r="H3006">
        <v>519</v>
      </c>
      <c r="I3006" s="1">
        <v>1299</v>
      </c>
      <c r="J3006" s="1" t="s">
        <v>141</v>
      </c>
      <c r="K3006" s="1" t="s">
        <v>100</v>
      </c>
      <c r="L3006" s="1">
        <v>3.9</v>
      </c>
      <c r="M3006" s="1">
        <v>601</v>
      </c>
      <c r="P3006" t="str">
        <f t="shared" si="187"/>
        <v>60%</v>
      </c>
      <c r="Q3006" s="12">
        <f t="shared" si="184"/>
        <v>0.6</v>
      </c>
      <c r="R3006" s="9">
        <f t="shared" si="185"/>
        <v>519.6</v>
      </c>
      <c r="S3006" s="9">
        <f>IF(R3006="",AVERAGEIF(Table1[Category],Table1[[#This Row],[Category]],Table2[orignal data]),Table2[[#This Row],[orignal data]])</f>
        <v>519.6</v>
      </c>
      <c r="T3006" t="str">
        <f t="shared" si="186"/>
        <v>UNIQUE</v>
      </c>
      <c r="U3006" t="str">
        <f>IF(ISBLANK(Table1[[#This Row],[SizeOption]]),"NOT AVAILABLE",Table1[[#This Row],[SizeOption]])</f>
        <v>XS, S, M, L, XL, XXL, 3XL</v>
      </c>
      <c r="Y3006" t="str">
        <f>IF(Table2[[#This Row],[Column1]]&gt;50%,"HIGH DISCOUNT","LOW DISCOUNT")</f>
        <v>HIGH DISCOUNT</v>
      </c>
    </row>
    <row r="3007" spans="1:25" x14ac:dyDescent="0.25">
      <c r="A3007" s="2" t="s">
        <v>6269</v>
      </c>
      <c r="B3007" s="2">
        <v>1800330</v>
      </c>
      <c r="C3007" s="2" t="s">
        <v>201</v>
      </c>
      <c r="D3007" s="2" t="s">
        <v>98</v>
      </c>
      <c r="E3007" s="2" t="s">
        <v>16</v>
      </c>
      <c r="F3007" s="2" t="s">
        <v>36</v>
      </c>
      <c r="G3007" s="2" t="s">
        <v>6270</v>
      </c>
      <c r="H3007">
        <v>599</v>
      </c>
      <c r="I3007" s="2">
        <v>2399</v>
      </c>
      <c r="J3007" s="2" t="s">
        <v>109</v>
      </c>
      <c r="K3007" s="2" t="s">
        <v>643</v>
      </c>
      <c r="L3007" s="2">
        <v>4.2</v>
      </c>
      <c r="M3007" s="2">
        <v>601</v>
      </c>
      <c r="P3007" t="str">
        <f t="shared" si="187"/>
        <v>75%</v>
      </c>
      <c r="Q3007" s="12">
        <f t="shared" si="184"/>
        <v>0.75</v>
      </c>
      <c r="R3007" s="9">
        <f t="shared" si="185"/>
        <v>599.75</v>
      </c>
      <c r="S3007" s="9">
        <f>IF(R3007="",AVERAGEIF(Table1[Category],Table1[[#This Row],[Category]],Table2[orignal data]),Table2[[#This Row],[orignal data]])</f>
        <v>599.75</v>
      </c>
      <c r="T3007" t="str">
        <f t="shared" si="186"/>
        <v>UNIQUE</v>
      </c>
      <c r="U3007" t="str">
        <f>IF(ISBLANK(Table1[[#This Row],[SizeOption]]),"NOT AVAILABLE",Table1[[#This Row],[SizeOption]])</f>
        <v>26, 28, 30, 32, 34, 36, 38, 40</v>
      </c>
      <c r="Y3007" t="str">
        <f>IF(Table2[[#This Row],[Column1]]&gt;50%,"HIGH DISCOUNT","LOW DISCOUNT")</f>
        <v>HIGH DISCOUNT</v>
      </c>
    </row>
    <row r="3008" spans="1:25" x14ac:dyDescent="0.25">
      <c r="A3008" s="1" t="s">
        <v>6271</v>
      </c>
      <c r="B3008" s="1">
        <v>11991534</v>
      </c>
      <c r="C3008" s="1" t="s">
        <v>14</v>
      </c>
      <c r="D3008" s="1" t="s">
        <v>41</v>
      </c>
      <c r="E3008" s="1" t="s">
        <v>306</v>
      </c>
      <c r="F3008" s="1" t="s">
        <v>36</v>
      </c>
      <c r="G3008" s="1" t="s">
        <v>6272</v>
      </c>
      <c r="I3008" s="1">
        <v>1199</v>
      </c>
      <c r="J3008" s="1" t="s">
        <v>79</v>
      </c>
      <c r="K3008" s="1" t="s">
        <v>115</v>
      </c>
      <c r="L3008" s="1">
        <v>4.3</v>
      </c>
      <c r="M3008" s="1">
        <v>601</v>
      </c>
      <c r="P3008" t="str">
        <f t="shared" si="187"/>
        <v>70%</v>
      </c>
      <c r="Q3008" s="12">
        <f t="shared" si="184"/>
        <v>0.7</v>
      </c>
      <c r="R3008" s="9">
        <f t="shared" si="185"/>
        <v>359.70000000000005</v>
      </c>
      <c r="S3008" s="9">
        <f>IF(R3008="",AVERAGEIF(Table1[Category],Table1[[#This Row],[Category]],Table2[orignal data]),Table2[[#This Row],[orignal data]])</f>
        <v>359.70000000000005</v>
      </c>
      <c r="T3008" t="str">
        <f t="shared" si="186"/>
        <v>UNIQUE</v>
      </c>
      <c r="U3008" t="str">
        <f>IF(ISBLANK(Table1[[#This Row],[SizeOption]]),"NOT AVAILABLE",Table1[[#This Row],[SizeOption]])</f>
        <v>XS, S, M, L, XL, XXL</v>
      </c>
      <c r="Y3008" t="str">
        <f>IF(Table2[[#This Row],[Column1]]&gt;50%,"HIGH DISCOUNT","LOW DISCOUNT")</f>
        <v>HIGH DISCOUNT</v>
      </c>
    </row>
    <row r="3009" spans="1:25" x14ac:dyDescent="0.25">
      <c r="A3009" s="2" t="s">
        <v>6273</v>
      </c>
      <c r="B3009" s="2">
        <v>2432653</v>
      </c>
      <c r="C3009" s="2" t="s">
        <v>5556</v>
      </c>
      <c r="D3009" s="2" t="s">
        <v>41</v>
      </c>
      <c r="E3009" s="2" t="s">
        <v>148</v>
      </c>
      <c r="F3009" s="2" t="s">
        <v>36</v>
      </c>
      <c r="G3009" s="2" t="s">
        <v>6274</v>
      </c>
      <c r="I3009" s="2">
        <v>1395</v>
      </c>
      <c r="J3009" s="2" t="s">
        <v>282</v>
      </c>
      <c r="K3009" s="2" t="s">
        <v>115</v>
      </c>
      <c r="L3009" s="2">
        <v>4.5</v>
      </c>
      <c r="M3009" s="2">
        <v>601</v>
      </c>
      <c r="P3009" t="str">
        <f t="shared" si="187"/>
        <v>25%</v>
      </c>
      <c r="Q3009" s="12">
        <f t="shared" si="184"/>
        <v>0.25</v>
      </c>
      <c r="R3009" s="9">
        <f t="shared" si="185"/>
        <v>1046.25</v>
      </c>
      <c r="S3009" s="9">
        <f>IF(R3009="",AVERAGEIF(Table1[Category],Table1[[#This Row],[Category]],Table2[orignal data]),Table2[[#This Row],[orignal data]])</f>
        <v>1046.25</v>
      </c>
      <c r="T3009" t="str">
        <f t="shared" si="186"/>
        <v>UNIQUE</v>
      </c>
      <c r="U3009" t="str">
        <f>IF(ISBLANK(Table1[[#This Row],[SizeOption]]),"NOT AVAILABLE",Table1[[#This Row],[SizeOption]])</f>
        <v>XS, S, M, L, XL, XXL</v>
      </c>
      <c r="Y3009" t="str">
        <f>IF(Table2[[#This Row],[Column1]]&gt;50%,"HIGH DISCOUNT","LOW DISCOUNT")</f>
        <v>LOW DISCOUNT</v>
      </c>
    </row>
    <row r="3010" spans="1:25" x14ac:dyDescent="0.25">
      <c r="A3010" s="1" t="s">
        <v>6275</v>
      </c>
      <c r="B3010" s="1">
        <v>12698614</v>
      </c>
      <c r="C3010" s="1" t="s">
        <v>14</v>
      </c>
      <c r="D3010" s="1" t="s">
        <v>41</v>
      </c>
      <c r="E3010" s="1" t="s">
        <v>189</v>
      </c>
      <c r="F3010" s="1" t="s">
        <v>36</v>
      </c>
      <c r="G3010" s="1" t="s">
        <v>6276</v>
      </c>
      <c r="I3010" s="1">
        <v>3299</v>
      </c>
      <c r="J3010" s="1" t="s">
        <v>79</v>
      </c>
      <c r="K3010" s="1" t="s">
        <v>115</v>
      </c>
      <c r="L3010" s="1">
        <v>3.7</v>
      </c>
      <c r="M3010" s="1">
        <v>601</v>
      </c>
      <c r="P3010" t="str">
        <f t="shared" si="187"/>
        <v>70%</v>
      </c>
      <c r="Q3010" s="12">
        <f t="shared" ref="Q3010:Q3073" si="188">IF(P3010="","",IF(ISNUMBER(SEARCH("%",P3010)),P3010,P3010/I3010)*100%)</f>
        <v>0.7</v>
      </c>
      <c r="R3010" s="9">
        <f t="shared" ref="R3010:R3073" si="189">IF(P3010="","",I3010-(I3010*Q3010))</f>
        <v>989.70000000000027</v>
      </c>
      <c r="S3010" s="9">
        <f>IF(R3010="",AVERAGEIF(Table1[Category],Table1[[#This Row],[Category]],Table2[orignal data]),Table2[[#This Row],[orignal data]])</f>
        <v>989.70000000000027</v>
      </c>
      <c r="T3010" t="str">
        <f t="shared" ref="T3010:T3073" si="190">IF(COUNTIF($B$2:$B$5000,B3010)&gt;1,"DUPLICATE","UNIQUE")</f>
        <v>UNIQUE</v>
      </c>
      <c r="U3010" t="str">
        <f>IF(ISBLANK(Table1[[#This Row],[SizeOption]]),"NOT AVAILABLE",Table1[[#This Row],[SizeOption]])</f>
        <v>XS, S, M, L, XL, XXL</v>
      </c>
      <c r="Y3010" t="str">
        <f>IF(Table2[[#This Row],[Column1]]&gt;50%,"HIGH DISCOUNT","LOW DISCOUNT")</f>
        <v>HIGH DISCOUNT</v>
      </c>
    </row>
    <row r="3011" spans="1:25" x14ac:dyDescent="0.25">
      <c r="A3011" s="2" t="s">
        <v>6277</v>
      </c>
      <c r="B3011" s="2">
        <v>13320974</v>
      </c>
      <c r="C3011" s="2" t="s">
        <v>47</v>
      </c>
      <c r="D3011" s="2" t="s">
        <v>41</v>
      </c>
      <c r="E3011" s="2" t="s">
        <v>42</v>
      </c>
      <c r="F3011" s="2" t="s">
        <v>36</v>
      </c>
      <c r="G3011" s="2" t="s">
        <v>6278</v>
      </c>
      <c r="I3011" s="2">
        <v>849</v>
      </c>
      <c r="J3011" s="2" t="s">
        <v>186</v>
      </c>
      <c r="K3011" s="2" t="s">
        <v>45</v>
      </c>
      <c r="L3011" s="2">
        <v>4.2</v>
      </c>
      <c r="M3011" s="2">
        <v>601</v>
      </c>
      <c r="P3011" t="str">
        <f t="shared" ref="P3011:P3074" si="191">TRIM(SUBSTITUTE(SUBSTITUTE(SUBSTITUTE(SUBSTITUTE(J3011,"OFF",""),"Rs.",""),"Hurry*",""),",",""))</f>
        <v>30%</v>
      </c>
      <c r="Q3011" s="12">
        <f t="shared" si="188"/>
        <v>0.3</v>
      </c>
      <c r="R3011" s="9">
        <f t="shared" si="189"/>
        <v>594.29999999999995</v>
      </c>
      <c r="S3011" s="9">
        <f>IF(R3011="",AVERAGEIF(Table1[Category],Table1[[#This Row],[Category]],Table2[orignal data]),Table2[[#This Row],[orignal data]])</f>
        <v>594.29999999999995</v>
      </c>
      <c r="T3011" t="str">
        <f t="shared" si="190"/>
        <v>UNIQUE</v>
      </c>
      <c r="U3011" t="str">
        <f>IF(ISBLANK(Table1[[#This Row],[SizeOption]]),"NOT AVAILABLE",Table1[[#This Row],[SizeOption]])</f>
        <v>XS, S, M, L, XL</v>
      </c>
      <c r="Y3011" t="str">
        <f>IF(Table2[[#This Row],[Column1]]&gt;50%,"HIGH DISCOUNT","LOW DISCOUNT")</f>
        <v>LOW DISCOUNT</v>
      </c>
    </row>
    <row r="3012" spans="1:25" x14ac:dyDescent="0.25">
      <c r="A3012" s="1" t="s">
        <v>6279</v>
      </c>
      <c r="B3012" s="1">
        <v>10970290</v>
      </c>
      <c r="C3012" s="1" t="s">
        <v>14</v>
      </c>
      <c r="D3012" s="1" t="s">
        <v>41</v>
      </c>
      <c r="E3012" s="1" t="s">
        <v>42</v>
      </c>
      <c r="F3012" s="1" t="s">
        <v>36</v>
      </c>
      <c r="G3012" s="1" t="s">
        <v>6280</v>
      </c>
      <c r="I3012" s="1">
        <v>999</v>
      </c>
      <c r="J3012" s="1" t="s">
        <v>528</v>
      </c>
      <c r="K3012" s="1" t="s">
        <v>45</v>
      </c>
      <c r="L3012" s="1">
        <v>4.2</v>
      </c>
      <c r="M3012" s="1">
        <v>601</v>
      </c>
      <c r="P3012" t="str">
        <f t="shared" si="191"/>
        <v>500</v>
      </c>
      <c r="Q3012" s="12">
        <f t="shared" si="188"/>
        <v>0.50050050050050054</v>
      </c>
      <c r="R3012" s="9">
        <f t="shared" si="189"/>
        <v>498.99999999999994</v>
      </c>
      <c r="S3012" s="9">
        <f>IF(R3012="",AVERAGEIF(Table1[Category],Table1[[#This Row],[Category]],Table2[orignal data]),Table2[[#This Row],[orignal data]])</f>
        <v>498.99999999999994</v>
      </c>
      <c r="T3012" t="str">
        <f t="shared" si="190"/>
        <v>UNIQUE</v>
      </c>
      <c r="U3012" t="str">
        <f>IF(ISBLANK(Table1[[#This Row],[SizeOption]]),"NOT AVAILABLE",Table1[[#This Row],[SizeOption]])</f>
        <v>XS, S, M, L, XL</v>
      </c>
      <c r="Y3012" t="str">
        <f>IF(Table2[[#This Row],[Column1]]&gt;50%,"HIGH DISCOUNT","LOW DISCOUNT")</f>
        <v>HIGH DISCOUNT</v>
      </c>
    </row>
    <row r="3013" spans="1:25" x14ac:dyDescent="0.25">
      <c r="A3013" s="2" t="s">
        <v>6281</v>
      </c>
      <c r="B3013" s="2">
        <v>8367901</v>
      </c>
      <c r="C3013" s="2" t="s">
        <v>3030</v>
      </c>
      <c r="D3013" s="2" t="s">
        <v>41</v>
      </c>
      <c r="E3013" s="2" t="s">
        <v>53</v>
      </c>
      <c r="F3013" s="2" t="s">
        <v>36</v>
      </c>
      <c r="G3013" s="2" t="s">
        <v>6282</v>
      </c>
      <c r="I3013" s="2">
        <v>999</v>
      </c>
      <c r="J3013" s="2" t="s">
        <v>2327</v>
      </c>
      <c r="K3013" s="2" t="s">
        <v>20</v>
      </c>
      <c r="L3013" s="2">
        <v>3.9</v>
      </c>
      <c r="M3013" s="2">
        <v>601</v>
      </c>
      <c r="P3013" t="str">
        <f t="shared" si="191"/>
        <v>42%</v>
      </c>
      <c r="Q3013" s="12">
        <f t="shared" si="188"/>
        <v>0.42</v>
      </c>
      <c r="R3013" s="9">
        <f t="shared" si="189"/>
        <v>579.42000000000007</v>
      </c>
      <c r="S3013" s="9">
        <f>IF(R3013="",AVERAGEIF(Table1[Category],Table1[[#This Row],[Category]],Table2[orignal data]),Table2[[#This Row],[orignal data]])</f>
        <v>579.42000000000007</v>
      </c>
      <c r="T3013" t="str">
        <f t="shared" si="190"/>
        <v>UNIQUE</v>
      </c>
      <c r="U3013" t="str">
        <f>IF(ISBLANK(Table1[[#This Row],[SizeOption]]),"NOT AVAILABLE",Table1[[#This Row],[SizeOption]])</f>
        <v>28, 30, 32, 34, 36</v>
      </c>
      <c r="Y3013" t="str">
        <f>IF(Table2[[#This Row],[Column1]]&gt;50%,"HIGH DISCOUNT","LOW DISCOUNT")</f>
        <v>LOW DISCOUNT</v>
      </c>
    </row>
    <row r="3014" spans="1:25" x14ac:dyDescent="0.25">
      <c r="A3014" s="1" t="s">
        <v>6283</v>
      </c>
      <c r="B3014" s="1">
        <v>17383976</v>
      </c>
      <c r="C3014" s="1" t="s">
        <v>14</v>
      </c>
      <c r="D3014" s="1" t="s">
        <v>41</v>
      </c>
      <c r="E3014" s="1" t="s">
        <v>42</v>
      </c>
      <c r="F3014" s="1" t="s">
        <v>36</v>
      </c>
      <c r="G3014" s="1" t="s">
        <v>696</v>
      </c>
      <c r="I3014" s="1">
        <v>1298</v>
      </c>
      <c r="J3014" s="1"/>
      <c r="K3014" s="1" t="s">
        <v>146</v>
      </c>
      <c r="L3014" s="1">
        <v>4.3</v>
      </c>
      <c r="M3014" s="1">
        <v>601</v>
      </c>
      <c r="P3014" t="str">
        <f t="shared" si="191"/>
        <v/>
      </c>
      <c r="Q3014" s="12" t="str">
        <f t="shared" si="188"/>
        <v/>
      </c>
      <c r="R3014" s="9" t="str">
        <f t="shared" si="189"/>
        <v/>
      </c>
      <c r="S3014" s="9">
        <f>IF(R3014="",AVERAGEIF(Table1[Category],Table1[[#This Row],[Category]],Table2[orignal data]),Table2[[#This Row],[orignal data]])</f>
        <v>715.78890751086249</v>
      </c>
      <c r="T3014" t="str">
        <f t="shared" si="190"/>
        <v>UNIQUE</v>
      </c>
      <c r="U3014" t="str">
        <f>IF(ISBLANK(Table1[[#This Row],[SizeOption]]),"NOT AVAILABLE",Table1[[#This Row],[SizeOption]])</f>
        <v>L, M, S, XS, XL</v>
      </c>
      <c r="Y3014" t="str">
        <f>IF(Table2[[#This Row],[Column1]]&gt;50%,"HIGH DISCOUNT","LOW DISCOUNT")</f>
        <v>HIGH DISCOUNT</v>
      </c>
    </row>
    <row r="3015" spans="1:25" x14ac:dyDescent="0.25">
      <c r="A3015" s="2" t="s">
        <v>6284</v>
      </c>
      <c r="B3015" s="2">
        <v>9294989</v>
      </c>
      <c r="C3015" s="2" t="s">
        <v>271</v>
      </c>
      <c r="D3015" s="2" t="s">
        <v>76</v>
      </c>
      <c r="E3015" s="2" t="s">
        <v>93</v>
      </c>
      <c r="F3015" s="2" t="s">
        <v>17</v>
      </c>
      <c r="G3015" s="2" t="s">
        <v>6285</v>
      </c>
      <c r="H3015">
        <v>839</v>
      </c>
      <c r="I3015" s="2">
        <v>2099</v>
      </c>
      <c r="J3015" s="2" t="s">
        <v>55</v>
      </c>
      <c r="K3015" s="2" t="s">
        <v>39</v>
      </c>
      <c r="L3015" s="2">
        <v>4.0999999999999996</v>
      </c>
      <c r="M3015" s="2">
        <v>600</v>
      </c>
      <c r="P3015" t="str">
        <f t="shared" si="191"/>
        <v>60%</v>
      </c>
      <c r="Q3015" s="12">
        <f t="shared" si="188"/>
        <v>0.6</v>
      </c>
      <c r="R3015" s="9">
        <f t="shared" si="189"/>
        <v>839.60000000000014</v>
      </c>
      <c r="S3015" s="9">
        <f>IF(R3015="",AVERAGEIF(Table1[Category],Table1[[#This Row],[Category]],Table2[orignal data]),Table2[[#This Row],[orignal data]])</f>
        <v>839.60000000000014</v>
      </c>
      <c r="T3015" t="str">
        <f t="shared" si="190"/>
        <v>UNIQUE</v>
      </c>
      <c r="U3015" t="str">
        <f>IF(ISBLANK(Table1[[#This Row],[SizeOption]]),"NOT AVAILABLE",Table1[[#This Row],[SizeOption]])</f>
        <v>S, M, L, XL, XXL</v>
      </c>
      <c r="Y3015" t="str">
        <f>IF(Table2[[#This Row],[Column1]]&gt;50%,"HIGH DISCOUNT","LOW DISCOUNT")</f>
        <v>HIGH DISCOUNT</v>
      </c>
    </row>
    <row r="3016" spans="1:25" x14ac:dyDescent="0.25">
      <c r="A3016" s="1" t="s">
        <v>6286</v>
      </c>
      <c r="B3016" s="1">
        <v>12970020</v>
      </c>
      <c r="C3016" s="1" t="s">
        <v>22</v>
      </c>
      <c r="D3016" s="1" t="s">
        <v>28</v>
      </c>
      <c r="E3016" s="1" t="s">
        <v>29</v>
      </c>
      <c r="F3016" s="1" t="s">
        <v>17</v>
      </c>
      <c r="G3016" s="1" t="s">
        <v>6287</v>
      </c>
      <c r="H3016">
        <v>615</v>
      </c>
      <c r="I3016" s="1">
        <v>1399</v>
      </c>
      <c r="J3016" s="1" t="s">
        <v>1204</v>
      </c>
      <c r="K3016" s="1" t="s">
        <v>90</v>
      </c>
      <c r="L3016" s="1">
        <v>4.3</v>
      </c>
      <c r="M3016" s="1">
        <v>600</v>
      </c>
      <c r="P3016" t="str">
        <f t="shared" si="191"/>
        <v>56%</v>
      </c>
      <c r="Q3016" s="12">
        <f t="shared" si="188"/>
        <v>0.56000000000000005</v>
      </c>
      <c r="R3016" s="9">
        <f t="shared" si="189"/>
        <v>615.55999999999995</v>
      </c>
      <c r="S3016" s="9">
        <f>IF(R3016="",AVERAGEIF(Table1[Category],Table1[[#This Row],[Category]],Table2[orignal data]),Table2[[#This Row],[orignal data]])</f>
        <v>615.55999999999995</v>
      </c>
      <c r="T3016" t="str">
        <f t="shared" si="190"/>
        <v>UNIQUE</v>
      </c>
      <c r="U3016" t="str">
        <f>IF(ISBLANK(Table1[[#This Row],[SizeOption]]),"NOT AVAILABLE",Table1[[#This Row],[SizeOption]])</f>
        <v>39, 40, 42, 44</v>
      </c>
      <c r="Y3016" t="str">
        <f>IF(Table2[[#This Row],[Column1]]&gt;50%,"HIGH DISCOUNT","LOW DISCOUNT")</f>
        <v>HIGH DISCOUNT</v>
      </c>
    </row>
    <row r="3017" spans="1:25" x14ac:dyDescent="0.25">
      <c r="A3017" s="2" t="s">
        <v>6288</v>
      </c>
      <c r="B3017" s="2">
        <v>11531100</v>
      </c>
      <c r="C3017" s="2" t="s">
        <v>1828</v>
      </c>
      <c r="D3017" s="2" t="s">
        <v>76</v>
      </c>
      <c r="E3017" s="2" t="s">
        <v>93</v>
      </c>
      <c r="F3017" s="2" t="s">
        <v>36</v>
      </c>
      <c r="G3017" s="2" t="s">
        <v>6289</v>
      </c>
      <c r="H3017">
        <v>845</v>
      </c>
      <c r="I3017" s="2">
        <v>1799</v>
      </c>
      <c r="J3017" s="2" t="s">
        <v>89</v>
      </c>
      <c r="K3017" s="2" t="s">
        <v>39</v>
      </c>
      <c r="L3017" s="2">
        <v>4.3</v>
      </c>
      <c r="M3017" s="2">
        <v>600</v>
      </c>
      <c r="P3017" t="str">
        <f t="shared" si="191"/>
        <v>53%</v>
      </c>
      <c r="Q3017" s="12">
        <f t="shared" si="188"/>
        <v>0.53</v>
      </c>
      <c r="R3017" s="9">
        <f t="shared" si="189"/>
        <v>845.53</v>
      </c>
      <c r="S3017" s="9">
        <f>IF(R3017="",AVERAGEIF(Table1[Category],Table1[[#This Row],[Category]],Table2[orignal data]),Table2[[#This Row],[orignal data]])</f>
        <v>845.53</v>
      </c>
      <c r="T3017" t="str">
        <f t="shared" si="190"/>
        <v>UNIQUE</v>
      </c>
      <c r="U3017" t="str">
        <f>IF(ISBLANK(Table1[[#This Row],[SizeOption]]),"NOT AVAILABLE",Table1[[#This Row],[SizeOption]])</f>
        <v>S, M, L, XL, XXL</v>
      </c>
      <c r="Y3017" t="str">
        <f>IF(Table2[[#This Row],[Column1]]&gt;50%,"HIGH DISCOUNT","LOW DISCOUNT")</f>
        <v>HIGH DISCOUNT</v>
      </c>
    </row>
    <row r="3018" spans="1:25" x14ac:dyDescent="0.25">
      <c r="A3018" s="1" t="s">
        <v>6290</v>
      </c>
      <c r="B3018" s="1">
        <v>12851406</v>
      </c>
      <c r="C3018" s="1" t="s">
        <v>64</v>
      </c>
      <c r="D3018" s="1" t="s">
        <v>98</v>
      </c>
      <c r="E3018" s="1" t="s">
        <v>93</v>
      </c>
      <c r="F3018" s="1" t="s">
        <v>36</v>
      </c>
      <c r="G3018" s="1" t="s">
        <v>6291</v>
      </c>
      <c r="H3018">
        <v>559</v>
      </c>
      <c r="I3018" s="1">
        <v>1399</v>
      </c>
      <c r="J3018" s="1" t="s">
        <v>141</v>
      </c>
      <c r="K3018" s="1" t="s">
        <v>100</v>
      </c>
      <c r="L3018" s="1">
        <v>4.0999999999999996</v>
      </c>
      <c r="M3018" s="1">
        <v>600</v>
      </c>
      <c r="P3018" t="str">
        <f t="shared" si="191"/>
        <v>60%</v>
      </c>
      <c r="Q3018" s="12">
        <f t="shared" si="188"/>
        <v>0.6</v>
      </c>
      <c r="R3018" s="9">
        <f t="shared" si="189"/>
        <v>559.6</v>
      </c>
      <c r="S3018" s="9">
        <f>IF(R3018="",AVERAGEIF(Table1[Category],Table1[[#This Row],[Category]],Table2[orignal data]),Table2[[#This Row],[orignal data]])</f>
        <v>559.6</v>
      </c>
      <c r="T3018" t="str">
        <f t="shared" si="190"/>
        <v>UNIQUE</v>
      </c>
      <c r="U3018" t="str">
        <f>IF(ISBLANK(Table1[[#This Row],[SizeOption]]),"NOT AVAILABLE",Table1[[#This Row],[SizeOption]])</f>
        <v>XS, S, M, L, XL, XXL, 3XL</v>
      </c>
      <c r="Y3018" t="str">
        <f>IF(Table2[[#This Row],[Column1]]&gt;50%,"HIGH DISCOUNT","LOW DISCOUNT")</f>
        <v>HIGH DISCOUNT</v>
      </c>
    </row>
    <row r="3019" spans="1:25" x14ac:dyDescent="0.25">
      <c r="A3019" s="2" t="s">
        <v>6292</v>
      </c>
      <c r="B3019" s="2">
        <v>12522924</v>
      </c>
      <c r="C3019" s="2" t="s">
        <v>64</v>
      </c>
      <c r="D3019" s="2" t="s">
        <v>98</v>
      </c>
      <c r="E3019" s="2" t="s">
        <v>16</v>
      </c>
      <c r="F3019" s="2" t="s">
        <v>36</v>
      </c>
      <c r="G3019" s="2" t="s">
        <v>6293</v>
      </c>
      <c r="I3019" s="2">
        <v>1999</v>
      </c>
      <c r="J3019" s="2"/>
      <c r="K3019" s="2" t="s">
        <v>643</v>
      </c>
      <c r="L3019" s="2">
        <v>4.0999999999999996</v>
      </c>
      <c r="M3019" s="2">
        <v>600</v>
      </c>
      <c r="P3019" t="str">
        <f t="shared" si="191"/>
        <v/>
      </c>
      <c r="Q3019" s="12" t="str">
        <f t="shared" si="188"/>
        <v/>
      </c>
      <c r="R3019" s="9" t="str">
        <f t="shared" si="189"/>
        <v/>
      </c>
      <c r="S3019" s="9">
        <f>IF(R3019="",AVERAGEIF(Table1[Category],Table1[[#This Row],[Category]],Table2[orignal data]),Table2[[#This Row],[orignal data]])</f>
        <v>680.92918566775427</v>
      </c>
      <c r="T3019" t="str">
        <f t="shared" si="190"/>
        <v>UNIQUE</v>
      </c>
      <c r="U3019" t="str">
        <f>IF(ISBLANK(Table1[[#This Row],[SizeOption]]),"NOT AVAILABLE",Table1[[#This Row],[SizeOption]])</f>
        <v>26, 28, 30, 32, 34, 36, 38, 40</v>
      </c>
      <c r="Y3019" t="str">
        <f>IF(Table2[[#This Row],[Column1]]&gt;50%,"HIGH DISCOUNT","LOW DISCOUNT")</f>
        <v>HIGH DISCOUNT</v>
      </c>
    </row>
    <row r="3020" spans="1:25" x14ac:dyDescent="0.25">
      <c r="A3020" s="1" t="s">
        <v>6294</v>
      </c>
      <c r="B3020" s="1">
        <v>7695809</v>
      </c>
      <c r="C3020" s="1" t="s">
        <v>67</v>
      </c>
      <c r="D3020" s="1" t="s">
        <v>68</v>
      </c>
      <c r="E3020" s="1" t="s">
        <v>42</v>
      </c>
      <c r="F3020" s="1" t="s">
        <v>36</v>
      </c>
      <c r="G3020" s="1" t="s">
        <v>6295</v>
      </c>
      <c r="I3020" s="1">
        <v>1299</v>
      </c>
      <c r="J3020" s="1"/>
      <c r="K3020" s="1" t="s">
        <v>45</v>
      </c>
      <c r="L3020" s="1">
        <v>4.5</v>
      </c>
      <c r="M3020" s="1">
        <v>600</v>
      </c>
      <c r="P3020" t="str">
        <f t="shared" si="191"/>
        <v/>
      </c>
      <c r="Q3020" s="12" t="str">
        <f t="shared" si="188"/>
        <v/>
      </c>
      <c r="R3020" s="9" t="str">
        <f t="shared" si="189"/>
        <v/>
      </c>
      <c r="S3020" s="9">
        <f>IF(R3020="",AVERAGEIF(Table1[Category],Table1[[#This Row],[Category]],Table2[orignal data]),Table2[[#This Row],[orignal data]])</f>
        <v>734.32085365853686</v>
      </c>
      <c r="T3020" t="str">
        <f t="shared" si="190"/>
        <v>UNIQUE</v>
      </c>
      <c r="U3020" t="str">
        <f>IF(ISBLANK(Table1[[#This Row],[SizeOption]]),"NOT AVAILABLE",Table1[[#This Row],[SizeOption]])</f>
        <v>XS, S, M, L, XL</v>
      </c>
      <c r="Y3020" t="str">
        <f>IF(Table2[[#This Row],[Column1]]&gt;50%,"HIGH DISCOUNT","LOW DISCOUNT")</f>
        <v>HIGH DISCOUNT</v>
      </c>
    </row>
    <row r="3021" spans="1:25" x14ac:dyDescent="0.25">
      <c r="A3021" s="2" t="s">
        <v>6296</v>
      </c>
      <c r="B3021" s="2">
        <v>13738616</v>
      </c>
      <c r="C3021" s="2" t="s">
        <v>290</v>
      </c>
      <c r="D3021" s="2" t="s">
        <v>41</v>
      </c>
      <c r="E3021" s="2" t="s">
        <v>48</v>
      </c>
      <c r="F3021" s="2" t="s">
        <v>36</v>
      </c>
      <c r="G3021" s="2" t="s">
        <v>6297</v>
      </c>
      <c r="I3021" s="2">
        <v>1299</v>
      </c>
      <c r="J3021" s="2" t="s">
        <v>19</v>
      </c>
      <c r="K3021" s="2" t="s">
        <v>45</v>
      </c>
      <c r="L3021" s="2">
        <v>4.2</v>
      </c>
      <c r="M3021" s="2">
        <v>600</v>
      </c>
      <c r="P3021" t="str">
        <f t="shared" si="191"/>
        <v>45%</v>
      </c>
      <c r="Q3021" s="12">
        <f t="shared" si="188"/>
        <v>0.45</v>
      </c>
      <c r="R3021" s="9">
        <f t="shared" si="189"/>
        <v>714.44999999999993</v>
      </c>
      <c r="S3021" s="9">
        <f>IF(R3021="",AVERAGEIF(Table1[Category],Table1[[#This Row],[Category]],Table2[orignal data]),Table2[[#This Row],[orignal data]])</f>
        <v>714.44999999999993</v>
      </c>
      <c r="T3021" t="str">
        <f t="shared" si="190"/>
        <v>UNIQUE</v>
      </c>
      <c r="U3021" t="str">
        <f>IF(ISBLANK(Table1[[#This Row],[SizeOption]]),"NOT AVAILABLE",Table1[[#This Row],[SizeOption]])</f>
        <v>XS, S, M, L, XL</v>
      </c>
      <c r="Y3021" t="str">
        <f>IF(Table2[[#This Row],[Column1]]&gt;50%,"HIGH DISCOUNT","LOW DISCOUNT")</f>
        <v>LOW DISCOUNT</v>
      </c>
    </row>
    <row r="3022" spans="1:25" x14ac:dyDescent="0.25">
      <c r="A3022" s="1" t="s">
        <v>6298</v>
      </c>
      <c r="B3022" s="1">
        <v>8860719</v>
      </c>
      <c r="C3022" s="1" t="s">
        <v>271</v>
      </c>
      <c r="D3022" s="1" t="s">
        <v>41</v>
      </c>
      <c r="E3022" s="1" t="s">
        <v>48</v>
      </c>
      <c r="F3022" s="1" t="s">
        <v>36</v>
      </c>
      <c r="G3022" s="1" t="s">
        <v>6299</v>
      </c>
      <c r="I3022" s="1">
        <v>1499</v>
      </c>
      <c r="J3022" s="1" t="s">
        <v>79</v>
      </c>
      <c r="K3022" s="1" t="s">
        <v>45</v>
      </c>
      <c r="L3022" s="1">
        <v>4.3</v>
      </c>
      <c r="M3022" s="1">
        <v>600</v>
      </c>
      <c r="P3022" t="str">
        <f t="shared" si="191"/>
        <v>70%</v>
      </c>
      <c r="Q3022" s="12">
        <f t="shared" si="188"/>
        <v>0.7</v>
      </c>
      <c r="R3022" s="9">
        <f t="shared" si="189"/>
        <v>449.70000000000005</v>
      </c>
      <c r="S3022" s="9">
        <f>IF(R3022="",AVERAGEIF(Table1[Category],Table1[[#This Row],[Category]],Table2[orignal data]),Table2[[#This Row],[orignal data]])</f>
        <v>449.70000000000005</v>
      </c>
      <c r="T3022" t="str">
        <f t="shared" si="190"/>
        <v>UNIQUE</v>
      </c>
      <c r="U3022" t="str">
        <f>IF(ISBLANK(Table1[[#This Row],[SizeOption]]),"NOT AVAILABLE",Table1[[#This Row],[SizeOption]])</f>
        <v>XS, S, M, L, XL</v>
      </c>
      <c r="Y3022" t="str">
        <f>IF(Table2[[#This Row],[Column1]]&gt;50%,"HIGH DISCOUNT","LOW DISCOUNT")</f>
        <v>HIGH DISCOUNT</v>
      </c>
    </row>
    <row r="3023" spans="1:25" x14ac:dyDescent="0.25">
      <c r="A3023" s="2" t="s">
        <v>6300</v>
      </c>
      <c r="B3023" s="2">
        <v>10082953</v>
      </c>
      <c r="C3023" s="2" t="s">
        <v>102</v>
      </c>
      <c r="D3023" s="2" t="s">
        <v>41</v>
      </c>
      <c r="E3023" s="2" t="s">
        <v>148</v>
      </c>
      <c r="F3023" s="2" t="s">
        <v>36</v>
      </c>
      <c r="G3023" s="2" t="s">
        <v>6301</v>
      </c>
      <c r="I3023" s="2">
        <v>1649</v>
      </c>
      <c r="J3023" s="2" t="s">
        <v>602</v>
      </c>
      <c r="K3023" s="2" t="s">
        <v>26</v>
      </c>
      <c r="L3023" s="2">
        <v>4.2</v>
      </c>
      <c r="M3023" s="2">
        <v>600</v>
      </c>
      <c r="P3023" t="str">
        <f t="shared" si="191"/>
        <v>48%</v>
      </c>
      <c r="Q3023" s="12">
        <f t="shared" si="188"/>
        <v>0.48</v>
      </c>
      <c r="R3023" s="9">
        <f t="shared" si="189"/>
        <v>857.48</v>
      </c>
      <c r="S3023" s="9">
        <f>IF(R3023="",AVERAGEIF(Table1[Category],Table1[[#This Row],[Category]],Table2[orignal data]),Table2[[#This Row],[orignal data]])</f>
        <v>857.48</v>
      </c>
      <c r="T3023" t="str">
        <f t="shared" si="190"/>
        <v>UNIQUE</v>
      </c>
      <c r="U3023" t="str">
        <f>IF(ISBLANK(Table1[[#This Row],[SizeOption]]),"NOT AVAILABLE",Table1[[#This Row],[SizeOption]])</f>
        <v>S, M, L, XL</v>
      </c>
      <c r="Y3023" t="str">
        <f>IF(Table2[[#This Row],[Column1]]&gt;50%,"HIGH DISCOUNT","LOW DISCOUNT")</f>
        <v>LOW DISCOUNT</v>
      </c>
    </row>
    <row r="3024" spans="1:25" x14ac:dyDescent="0.25">
      <c r="A3024" s="1" t="s">
        <v>6302</v>
      </c>
      <c r="B3024" s="1">
        <v>8505847</v>
      </c>
      <c r="C3024" s="1" t="s">
        <v>1385</v>
      </c>
      <c r="D3024" s="1" t="s">
        <v>41</v>
      </c>
      <c r="E3024" s="1" t="s">
        <v>16</v>
      </c>
      <c r="F3024" s="1" t="s">
        <v>36</v>
      </c>
      <c r="G3024" s="1" t="s">
        <v>6303</v>
      </c>
      <c r="I3024" s="1">
        <v>1999</v>
      </c>
      <c r="J3024" s="1" t="s">
        <v>19</v>
      </c>
      <c r="K3024" s="1" t="s">
        <v>428</v>
      </c>
      <c r="L3024" s="1">
        <v>4.3</v>
      </c>
      <c r="M3024" s="1">
        <v>600</v>
      </c>
      <c r="P3024" t="str">
        <f t="shared" si="191"/>
        <v>45%</v>
      </c>
      <c r="Q3024" s="12">
        <f t="shared" si="188"/>
        <v>0.45</v>
      </c>
      <c r="R3024" s="9">
        <f t="shared" si="189"/>
        <v>1099.4499999999998</v>
      </c>
      <c r="S3024" s="9">
        <f>IF(R3024="",AVERAGEIF(Table1[Category],Table1[[#This Row],[Category]],Table2[orignal data]),Table2[[#This Row],[orignal data]])</f>
        <v>1099.4499999999998</v>
      </c>
      <c r="T3024" t="str">
        <f t="shared" si="190"/>
        <v>UNIQUE</v>
      </c>
      <c r="U3024" t="str">
        <f>IF(ISBLANK(Table1[[#This Row],[SizeOption]]),"NOT AVAILABLE",Table1[[#This Row],[SizeOption]])</f>
        <v>26, 28, 30, 32, 34</v>
      </c>
      <c r="Y3024" t="str">
        <f>IF(Table2[[#This Row],[Column1]]&gt;50%,"HIGH DISCOUNT","LOW DISCOUNT")</f>
        <v>LOW DISCOUNT</v>
      </c>
    </row>
    <row r="3025" spans="1:25" x14ac:dyDescent="0.25">
      <c r="A3025" s="2" t="s">
        <v>6304</v>
      </c>
      <c r="B3025" s="2">
        <v>10604534</v>
      </c>
      <c r="C3025" s="2" t="s">
        <v>181</v>
      </c>
      <c r="D3025" s="2" t="s">
        <v>41</v>
      </c>
      <c r="E3025" s="2" t="s">
        <v>82</v>
      </c>
      <c r="F3025" s="2" t="s">
        <v>36</v>
      </c>
      <c r="G3025" s="2" t="s">
        <v>6305</v>
      </c>
      <c r="I3025" s="2">
        <v>2399</v>
      </c>
      <c r="J3025" s="2" t="s">
        <v>25</v>
      </c>
      <c r="K3025" s="2" t="s">
        <v>115</v>
      </c>
      <c r="L3025" s="2">
        <v>4.4000000000000004</v>
      </c>
      <c r="M3025" s="2">
        <v>600</v>
      </c>
      <c r="P3025" t="str">
        <f t="shared" si="191"/>
        <v>55%</v>
      </c>
      <c r="Q3025" s="12">
        <f t="shared" si="188"/>
        <v>0.55000000000000004</v>
      </c>
      <c r="R3025" s="9">
        <f t="shared" si="189"/>
        <v>1079.55</v>
      </c>
      <c r="S3025" s="9">
        <f>IF(R3025="",AVERAGEIF(Table1[Category],Table1[[#This Row],[Category]],Table2[orignal data]),Table2[[#This Row],[orignal data]])</f>
        <v>1079.55</v>
      </c>
      <c r="T3025" t="str">
        <f t="shared" si="190"/>
        <v>UNIQUE</v>
      </c>
      <c r="U3025" t="str">
        <f>IF(ISBLANK(Table1[[#This Row],[SizeOption]]),"NOT AVAILABLE",Table1[[#This Row],[SizeOption]])</f>
        <v>XS, S, M, L, XL, XXL</v>
      </c>
      <c r="Y3025" t="str">
        <f>IF(Table2[[#This Row],[Column1]]&gt;50%,"HIGH DISCOUNT","LOW DISCOUNT")</f>
        <v>HIGH DISCOUNT</v>
      </c>
    </row>
    <row r="3026" spans="1:25" x14ac:dyDescent="0.25">
      <c r="A3026" s="1" t="s">
        <v>6306</v>
      </c>
      <c r="B3026" s="1">
        <v>2490934</v>
      </c>
      <c r="C3026" s="1" t="s">
        <v>47</v>
      </c>
      <c r="D3026" s="1" t="s">
        <v>41</v>
      </c>
      <c r="E3026" s="1" t="s">
        <v>42</v>
      </c>
      <c r="F3026" s="1" t="s">
        <v>36</v>
      </c>
      <c r="G3026" s="1" t="s">
        <v>6307</v>
      </c>
      <c r="I3026" s="1">
        <v>699</v>
      </c>
      <c r="J3026" s="1" t="s">
        <v>1602</v>
      </c>
      <c r="K3026" s="1" t="s">
        <v>45</v>
      </c>
      <c r="L3026" s="1">
        <v>4.5</v>
      </c>
      <c r="M3026" s="1">
        <v>600</v>
      </c>
      <c r="P3026" t="str">
        <f t="shared" si="191"/>
        <v>200</v>
      </c>
      <c r="Q3026" s="12">
        <f t="shared" si="188"/>
        <v>0.28612303290414881</v>
      </c>
      <c r="R3026" s="9">
        <f t="shared" si="189"/>
        <v>499</v>
      </c>
      <c r="S3026" s="9">
        <f>IF(R3026="",AVERAGEIF(Table1[Category],Table1[[#This Row],[Category]],Table2[orignal data]),Table2[[#This Row],[orignal data]])</f>
        <v>499</v>
      </c>
      <c r="T3026" t="str">
        <f t="shared" si="190"/>
        <v>UNIQUE</v>
      </c>
      <c r="U3026" t="str">
        <f>IF(ISBLANK(Table1[[#This Row],[SizeOption]]),"NOT AVAILABLE",Table1[[#This Row],[SizeOption]])</f>
        <v>XS, S, M, L, XL</v>
      </c>
      <c r="Y3026" t="str">
        <f>IF(Table2[[#This Row],[Column1]]&gt;50%,"HIGH DISCOUNT","LOW DISCOUNT")</f>
        <v>LOW DISCOUNT</v>
      </c>
    </row>
    <row r="3027" spans="1:25" x14ac:dyDescent="0.25">
      <c r="A3027" s="2" t="s">
        <v>6308</v>
      </c>
      <c r="B3027" s="2">
        <v>12193328</v>
      </c>
      <c r="C3027" s="2" t="s">
        <v>14</v>
      </c>
      <c r="D3027" s="2" t="s">
        <v>41</v>
      </c>
      <c r="E3027" s="2" t="s">
        <v>42</v>
      </c>
      <c r="F3027" s="2" t="s">
        <v>36</v>
      </c>
      <c r="G3027" s="2" t="s">
        <v>6309</v>
      </c>
      <c r="I3027" s="2">
        <v>799</v>
      </c>
      <c r="J3027" s="2" t="s">
        <v>25</v>
      </c>
      <c r="K3027" s="2" t="s">
        <v>45</v>
      </c>
      <c r="L3027" s="2">
        <v>4.4000000000000004</v>
      </c>
      <c r="M3027" s="2">
        <v>600</v>
      </c>
      <c r="P3027" t="str">
        <f t="shared" si="191"/>
        <v>55%</v>
      </c>
      <c r="Q3027" s="12">
        <f t="shared" si="188"/>
        <v>0.55000000000000004</v>
      </c>
      <c r="R3027" s="9">
        <f t="shared" si="189"/>
        <v>359.54999999999995</v>
      </c>
      <c r="S3027" s="9">
        <f>IF(R3027="",AVERAGEIF(Table1[Category],Table1[[#This Row],[Category]],Table2[orignal data]),Table2[[#This Row],[orignal data]])</f>
        <v>359.54999999999995</v>
      </c>
      <c r="T3027" t="str">
        <f t="shared" si="190"/>
        <v>UNIQUE</v>
      </c>
      <c r="U3027" t="str">
        <f>IF(ISBLANK(Table1[[#This Row],[SizeOption]]),"NOT AVAILABLE",Table1[[#This Row],[SizeOption]])</f>
        <v>XS, S, M, L, XL</v>
      </c>
      <c r="Y3027" t="str">
        <f>IF(Table2[[#This Row],[Column1]]&gt;50%,"HIGH DISCOUNT","LOW DISCOUNT")</f>
        <v>HIGH DISCOUNT</v>
      </c>
    </row>
    <row r="3028" spans="1:25" x14ac:dyDescent="0.25">
      <c r="A3028" s="1" t="s">
        <v>6310</v>
      </c>
      <c r="B3028" s="1">
        <v>1966990</v>
      </c>
      <c r="C3028" s="1" t="s">
        <v>794</v>
      </c>
      <c r="D3028" s="1" t="s">
        <v>15</v>
      </c>
      <c r="E3028" s="1" t="s">
        <v>53</v>
      </c>
      <c r="F3028" s="1" t="s">
        <v>17</v>
      </c>
      <c r="G3028" s="1" t="s">
        <v>6311</v>
      </c>
      <c r="I3028" s="1">
        <v>2099</v>
      </c>
      <c r="J3028" s="1"/>
      <c r="K3028" s="1" t="s">
        <v>195</v>
      </c>
      <c r="L3028" s="1">
        <v>4.3</v>
      </c>
      <c r="M3028" s="1">
        <v>599</v>
      </c>
      <c r="P3028" t="str">
        <f t="shared" si="191"/>
        <v/>
      </c>
      <c r="Q3028" s="12" t="str">
        <f t="shared" si="188"/>
        <v/>
      </c>
      <c r="R3028" s="9" t="str">
        <f t="shared" si="189"/>
        <v/>
      </c>
      <c r="S3028" s="9">
        <f>IF(R3028="",AVERAGEIF(Table1[Category],Table1[[#This Row],[Category]],Table2[orignal data]),Table2[[#This Row],[orignal data]])</f>
        <v>892.27590339892538</v>
      </c>
      <c r="T3028" t="str">
        <f t="shared" si="190"/>
        <v>UNIQUE</v>
      </c>
      <c r="U3028" t="str">
        <f>IF(ISBLANK(Table1[[#This Row],[SizeOption]]),"NOT AVAILABLE",Table1[[#This Row],[SizeOption]])</f>
        <v>28, 30, 32, 34, 36, 38, 40</v>
      </c>
      <c r="Y3028" t="str">
        <f>IF(Table2[[#This Row],[Column1]]&gt;50%,"HIGH DISCOUNT","LOW DISCOUNT")</f>
        <v>HIGH DISCOUNT</v>
      </c>
    </row>
    <row r="3029" spans="1:25" x14ac:dyDescent="0.25">
      <c r="A3029" s="2" t="s">
        <v>6312</v>
      </c>
      <c r="B3029" s="2">
        <v>11198082</v>
      </c>
      <c r="C3029" s="2" t="s">
        <v>1176</v>
      </c>
      <c r="D3029" s="2" t="s">
        <v>15</v>
      </c>
      <c r="E3029" s="2" t="s">
        <v>23</v>
      </c>
      <c r="F3029" s="2" t="s">
        <v>17</v>
      </c>
      <c r="G3029" s="2" t="s">
        <v>6313</v>
      </c>
      <c r="H3029">
        <v>621</v>
      </c>
      <c r="I3029" s="2">
        <v>1109</v>
      </c>
      <c r="J3029" s="2" t="s">
        <v>1340</v>
      </c>
      <c r="K3029" s="2" t="s">
        <v>1341</v>
      </c>
      <c r="L3029" s="2">
        <v>3.8</v>
      </c>
      <c r="M3029" s="2">
        <v>599</v>
      </c>
      <c r="P3029" t="str">
        <f t="shared" si="191"/>
        <v>44%</v>
      </c>
      <c r="Q3029" s="12">
        <f t="shared" si="188"/>
        <v>0.44</v>
      </c>
      <c r="R3029" s="9">
        <f t="shared" si="189"/>
        <v>621.04</v>
      </c>
      <c r="S3029" s="9">
        <f>IF(R3029="",AVERAGEIF(Table1[Category],Table1[[#This Row],[Category]],Table2[orignal data]),Table2[[#This Row],[orignal data]])</f>
        <v>621.04</v>
      </c>
      <c r="T3029" t="str">
        <f t="shared" si="190"/>
        <v>UNIQUE</v>
      </c>
      <c r="U3029" t="str">
        <f>IF(ISBLANK(Table1[[#This Row],[SizeOption]]),"NOT AVAILABLE",Table1[[#This Row],[SizeOption]])</f>
        <v>M, L, XL</v>
      </c>
      <c r="Y3029" t="str">
        <f>IF(Table2[[#This Row],[Column1]]&gt;50%,"HIGH DISCOUNT","LOW DISCOUNT")</f>
        <v>LOW DISCOUNT</v>
      </c>
    </row>
    <row r="3030" spans="1:25" x14ac:dyDescent="0.25">
      <c r="A3030" s="1" t="s">
        <v>6314</v>
      </c>
      <c r="B3030" s="1">
        <v>1868250</v>
      </c>
      <c r="C3030" s="1" t="s">
        <v>67</v>
      </c>
      <c r="D3030" s="1" t="s">
        <v>68</v>
      </c>
      <c r="E3030" s="1" t="s">
        <v>189</v>
      </c>
      <c r="F3030" s="1" t="s">
        <v>17</v>
      </c>
      <c r="G3030" s="1" t="s">
        <v>6315</v>
      </c>
      <c r="H3030">
        <v>1154</v>
      </c>
      <c r="I3030" s="1">
        <v>3299</v>
      </c>
      <c r="J3030" s="1" t="s">
        <v>150</v>
      </c>
      <c r="K3030" s="1" t="s">
        <v>39</v>
      </c>
      <c r="L3030" s="1">
        <v>3.9</v>
      </c>
      <c r="M3030" s="1">
        <v>599</v>
      </c>
      <c r="P3030" t="str">
        <f t="shared" si="191"/>
        <v>65%</v>
      </c>
      <c r="Q3030" s="12">
        <f t="shared" si="188"/>
        <v>0.65</v>
      </c>
      <c r="R3030" s="9">
        <f t="shared" si="189"/>
        <v>1154.6500000000001</v>
      </c>
      <c r="S3030" s="9">
        <f>IF(R3030="",AVERAGEIF(Table1[Category],Table1[[#This Row],[Category]],Table2[orignal data]),Table2[[#This Row],[orignal data]])</f>
        <v>1154.6500000000001</v>
      </c>
      <c r="T3030" t="str">
        <f t="shared" si="190"/>
        <v>UNIQUE</v>
      </c>
      <c r="U3030" t="str">
        <f>IF(ISBLANK(Table1[[#This Row],[SizeOption]]),"NOT AVAILABLE",Table1[[#This Row],[SizeOption]])</f>
        <v>S, M, L, XL, XXL</v>
      </c>
      <c r="Y3030" t="str">
        <f>IF(Table2[[#This Row],[Column1]]&gt;50%,"HIGH DISCOUNT","LOW DISCOUNT")</f>
        <v>HIGH DISCOUNT</v>
      </c>
    </row>
    <row r="3031" spans="1:25" x14ac:dyDescent="0.25">
      <c r="A3031" s="2" t="s">
        <v>6316</v>
      </c>
      <c r="B3031" s="2">
        <v>14098622</v>
      </c>
      <c r="C3031" s="2" t="s">
        <v>64</v>
      </c>
      <c r="D3031" s="2" t="s">
        <v>28</v>
      </c>
      <c r="E3031" s="2" t="s">
        <v>29</v>
      </c>
      <c r="F3031" s="2" t="s">
        <v>17</v>
      </c>
      <c r="G3031" s="2" t="s">
        <v>6317</v>
      </c>
      <c r="H3031">
        <v>1099</v>
      </c>
      <c r="I3031" s="2">
        <v>1999</v>
      </c>
      <c r="J3031" s="2" t="s">
        <v>19</v>
      </c>
      <c r="K3031" s="2" t="s">
        <v>361</v>
      </c>
      <c r="L3031" s="2">
        <v>4.3</v>
      </c>
      <c r="M3031" s="2">
        <v>599</v>
      </c>
      <c r="P3031" t="str">
        <f t="shared" si="191"/>
        <v>45%</v>
      </c>
      <c r="Q3031" s="12">
        <f t="shared" si="188"/>
        <v>0.45</v>
      </c>
      <c r="R3031" s="9">
        <f t="shared" si="189"/>
        <v>1099.4499999999998</v>
      </c>
      <c r="S3031" s="9">
        <f>IF(R3031="",AVERAGEIF(Table1[Category],Table1[[#This Row],[Category]],Table2[orignal data]),Table2[[#This Row],[orignal data]])</f>
        <v>1099.4499999999998</v>
      </c>
      <c r="T3031" t="str">
        <f t="shared" si="190"/>
        <v>UNIQUE</v>
      </c>
      <c r="U3031" t="str">
        <f>IF(ISBLANK(Table1[[#This Row],[SizeOption]]),"NOT AVAILABLE",Table1[[#This Row],[SizeOption]])</f>
        <v>38, 40, 42, 44, 46</v>
      </c>
      <c r="Y3031" t="str">
        <f>IF(Table2[[#This Row],[Column1]]&gt;50%,"HIGH DISCOUNT","LOW DISCOUNT")</f>
        <v>LOW DISCOUNT</v>
      </c>
    </row>
    <row r="3032" spans="1:25" x14ac:dyDescent="0.25">
      <c r="A3032" s="1" t="s">
        <v>6318</v>
      </c>
      <c r="B3032" s="1">
        <v>12115912</v>
      </c>
      <c r="C3032" s="1" t="s">
        <v>47</v>
      </c>
      <c r="D3032" s="1" t="s">
        <v>28</v>
      </c>
      <c r="E3032" s="1" t="s">
        <v>42</v>
      </c>
      <c r="F3032" s="1" t="s">
        <v>17</v>
      </c>
      <c r="G3032" s="1" t="s">
        <v>655</v>
      </c>
      <c r="H3032">
        <v>279</v>
      </c>
      <c r="I3032" s="1">
        <v>699</v>
      </c>
      <c r="J3032" s="1" t="s">
        <v>55</v>
      </c>
      <c r="K3032" s="1" t="s">
        <v>26</v>
      </c>
      <c r="L3032" s="1">
        <v>4.2</v>
      </c>
      <c r="M3032" s="1">
        <v>599</v>
      </c>
      <c r="P3032" t="str">
        <f t="shared" si="191"/>
        <v>60%</v>
      </c>
      <c r="Q3032" s="12">
        <f t="shared" si="188"/>
        <v>0.6</v>
      </c>
      <c r="R3032" s="9">
        <f t="shared" si="189"/>
        <v>279.60000000000002</v>
      </c>
      <c r="S3032" s="9">
        <f>IF(R3032="",AVERAGEIF(Table1[Category],Table1[[#This Row],[Category]],Table2[orignal data]),Table2[[#This Row],[orignal data]])</f>
        <v>279.60000000000002</v>
      </c>
      <c r="T3032" t="str">
        <f t="shared" si="190"/>
        <v>UNIQUE</v>
      </c>
      <c r="U3032" t="str">
        <f>IF(ISBLANK(Table1[[#This Row],[SizeOption]]),"NOT AVAILABLE",Table1[[#This Row],[SizeOption]])</f>
        <v>S, M, L, XL</v>
      </c>
      <c r="Y3032" t="str">
        <f>IF(Table2[[#This Row],[Column1]]&gt;50%,"HIGH DISCOUNT","LOW DISCOUNT")</f>
        <v>HIGH DISCOUNT</v>
      </c>
    </row>
    <row r="3033" spans="1:25" x14ac:dyDescent="0.25">
      <c r="A3033" s="2" t="s">
        <v>6319</v>
      </c>
      <c r="B3033" s="2">
        <v>9162489</v>
      </c>
      <c r="C3033" s="2" t="s">
        <v>6131</v>
      </c>
      <c r="D3033" s="2" t="s">
        <v>76</v>
      </c>
      <c r="E3033" s="2" t="s">
        <v>77</v>
      </c>
      <c r="F3033" s="2" t="s">
        <v>36</v>
      </c>
      <c r="G3033" s="2" t="s">
        <v>6320</v>
      </c>
      <c r="H3033">
        <v>944</v>
      </c>
      <c r="I3033" s="2">
        <v>3149</v>
      </c>
      <c r="J3033" s="2" t="s">
        <v>79</v>
      </c>
      <c r="K3033" s="2" t="s">
        <v>234</v>
      </c>
      <c r="L3033" s="2">
        <v>4</v>
      </c>
      <c r="M3033" s="2">
        <v>599</v>
      </c>
      <c r="P3033" t="str">
        <f t="shared" si="191"/>
        <v>70%</v>
      </c>
      <c r="Q3033" s="12">
        <f t="shared" si="188"/>
        <v>0.7</v>
      </c>
      <c r="R3033" s="9">
        <f t="shared" si="189"/>
        <v>944.70000000000027</v>
      </c>
      <c r="S3033" s="9">
        <f>IF(R3033="",AVERAGEIF(Table1[Category],Table1[[#This Row],[Category]],Table2[orignal data]),Table2[[#This Row],[orignal data]])</f>
        <v>944.70000000000027</v>
      </c>
      <c r="T3033" t="str">
        <f t="shared" si="190"/>
        <v>UNIQUE</v>
      </c>
      <c r="U3033" t="str">
        <f>IF(ISBLANK(Table1[[#This Row],[SizeOption]]),"NOT AVAILABLE",Table1[[#This Row],[SizeOption]])</f>
        <v>S, M, L, XL, XXL, 3XL</v>
      </c>
      <c r="Y3033" t="str">
        <f>IF(Table2[[#This Row],[Column1]]&gt;50%,"HIGH DISCOUNT","LOW DISCOUNT")</f>
        <v>HIGH DISCOUNT</v>
      </c>
    </row>
    <row r="3034" spans="1:25" x14ac:dyDescent="0.25">
      <c r="A3034" s="1" t="s">
        <v>6321</v>
      </c>
      <c r="B3034" s="1">
        <v>12635974</v>
      </c>
      <c r="C3034" s="1" t="s">
        <v>221</v>
      </c>
      <c r="D3034" s="1" t="s">
        <v>98</v>
      </c>
      <c r="E3034" s="1" t="s">
        <v>48</v>
      </c>
      <c r="F3034" s="1" t="s">
        <v>36</v>
      </c>
      <c r="G3034" s="1" t="s">
        <v>6322</v>
      </c>
      <c r="H3034">
        <v>399</v>
      </c>
      <c r="I3034" s="1">
        <v>999</v>
      </c>
      <c r="J3034" s="1" t="s">
        <v>55</v>
      </c>
      <c r="K3034" s="1" t="s">
        <v>223</v>
      </c>
      <c r="L3034" s="1">
        <v>4.0999999999999996</v>
      </c>
      <c r="M3034" s="1">
        <v>599</v>
      </c>
      <c r="P3034" t="str">
        <f t="shared" si="191"/>
        <v>60%</v>
      </c>
      <c r="Q3034" s="12">
        <f t="shared" si="188"/>
        <v>0.6</v>
      </c>
      <c r="R3034" s="9">
        <f t="shared" si="189"/>
        <v>399.6</v>
      </c>
      <c r="S3034" s="9">
        <f>IF(R3034="",AVERAGEIF(Table1[Category],Table1[[#This Row],[Category]],Table2[orignal data]),Table2[[#This Row],[orignal data]])</f>
        <v>399.6</v>
      </c>
      <c r="T3034" t="str">
        <f t="shared" si="190"/>
        <v>UNIQUE</v>
      </c>
      <c r="U3034" t="str">
        <f>IF(ISBLANK(Table1[[#This Row],[SizeOption]]),"NOT AVAILABLE",Table1[[#This Row],[SizeOption]])</f>
        <v>S, M, L, XL, XXL, 3XL, 4XL</v>
      </c>
      <c r="Y3034" t="str">
        <f>IF(Table2[[#This Row],[Column1]]&gt;50%,"HIGH DISCOUNT","LOW DISCOUNT")</f>
        <v>HIGH DISCOUNT</v>
      </c>
    </row>
    <row r="3035" spans="1:25" x14ac:dyDescent="0.25">
      <c r="A3035" s="2" t="s">
        <v>6323</v>
      </c>
      <c r="B3035" s="2">
        <v>13532722</v>
      </c>
      <c r="C3035" s="2" t="s">
        <v>206</v>
      </c>
      <c r="D3035" s="2" t="s">
        <v>41</v>
      </c>
      <c r="E3035" s="2" t="s">
        <v>48</v>
      </c>
      <c r="F3035" s="2" t="s">
        <v>36</v>
      </c>
      <c r="G3035" s="2" t="s">
        <v>6324</v>
      </c>
      <c r="I3035" s="2">
        <v>1299</v>
      </c>
      <c r="J3035" s="2" t="s">
        <v>84</v>
      </c>
      <c r="K3035" s="2" t="s">
        <v>26</v>
      </c>
      <c r="L3035" s="2">
        <v>4.3</v>
      </c>
      <c r="M3035" s="2">
        <v>599</v>
      </c>
      <c r="P3035" t="str">
        <f t="shared" si="191"/>
        <v>50%</v>
      </c>
      <c r="Q3035" s="12">
        <f t="shared" si="188"/>
        <v>0.5</v>
      </c>
      <c r="R3035" s="9">
        <f t="shared" si="189"/>
        <v>649.5</v>
      </c>
      <c r="S3035" s="9">
        <f>IF(R3035="",AVERAGEIF(Table1[Category],Table1[[#This Row],[Category]],Table2[orignal data]),Table2[[#This Row],[orignal data]])</f>
        <v>649.5</v>
      </c>
      <c r="T3035" t="str">
        <f t="shared" si="190"/>
        <v>UNIQUE</v>
      </c>
      <c r="U3035" t="str">
        <f>IF(ISBLANK(Table1[[#This Row],[SizeOption]]),"NOT AVAILABLE",Table1[[#This Row],[SizeOption]])</f>
        <v>S, M, L, XL</v>
      </c>
      <c r="Y3035" t="str">
        <f>IF(Table2[[#This Row],[Column1]]&gt;50%,"HIGH DISCOUNT","LOW DISCOUNT")</f>
        <v>LOW DISCOUNT</v>
      </c>
    </row>
    <row r="3036" spans="1:25" x14ac:dyDescent="0.25">
      <c r="A3036" s="1" t="s">
        <v>6325</v>
      </c>
      <c r="B3036" s="1">
        <v>12876644</v>
      </c>
      <c r="C3036" s="1" t="s">
        <v>102</v>
      </c>
      <c r="D3036" s="1" t="s">
        <v>41</v>
      </c>
      <c r="E3036" s="1" t="s">
        <v>148</v>
      </c>
      <c r="F3036" s="1" t="s">
        <v>36</v>
      </c>
      <c r="G3036" s="1" t="s">
        <v>6326</v>
      </c>
      <c r="I3036" s="1">
        <v>1449</v>
      </c>
      <c r="J3036" s="1" t="s">
        <v>55</v>
      </c>
      <c r="K3036" s="1" t="s">
        <v>26</v>
      </c>
      <c r="L3036" s="1">
        <v>4.4000000000000004</v>
      </c>
      <c r="M3036" s="1">
        <v>599</v>
      </c>
      <c r="P3036" t="str">
        <f t="shared" si="191"/>
        <v>60%</v>
      </c>
      <c r="Q3036" s="12">
        <f t="shared" si="188"/>
        <v>0.6</v>
      </c>
      <c r="R3036" s="9">
        <f t="shared" si="189"/>
        <v>579.6</v>
      </c>
      <c r="S3036" s="9">
        <f>IF(R3036="",AVERAGEIF(Table1[Category],Table1[[#This Row],[Category]],Table2[orignal data]),Table2[[#This Row],[orignal data]])</f>
        <v>579.6</v>
      </c>
      <c r="T3036" t="str">
        <f t="shared" si="190"/>
        <v>UNIQUE</v>
      </c>
      <c r="U3036" t="str">
        <f>IF(ISBLANK(Table1[[#This Row],[SizeOption]]),"NOT AVAILABLE",Table1[[#This Row],[SizeOption]])</f>
        <v>S, M, L, XL</v>
      </c>
      <c r="Y3036" t="str">
        <f>IF(Table2[[#This Row],[Column1]]&gt;50%,"HIGH DISCOUNT","LOW DISCOUNT")</f>
        <v>HIGH DISCOUNT</v>
      </c>
    </row>
    <row r="3037" spans="1:25" x14ac:dyDescent="0.25">
      <c r="A3037" s="2" t="s">
        <v>6327</v>
      </c>
      <c r="B3037" s="2">
        <v>11183034</v>
      </c>
      <c r="C3037" s="2" t="s">
        <v>107</v>
      </c>
      <c r="D3037" s="2" t="s">
        <v>41</v>
      </c>
      <c r="E3037" s="2" t="s">
        <v>48</v>
      </c>
      <c r="F3037" s="2" t="s">
        <v>36</v>
      </c>
      <c r="G3037" s="2" t="s">
        <v>6328</v>
      </c>
      <c r="I3037" s="2">
        <v>1499</v>
      </c>
      <c r="J3037" s="2" t="s">
        <v>25</v>
      </c>
      <c r="K3037" s="2" t="s">
        <v>45</v>
      </c>
      <c r="L3037" s="2">
        <v>4.3</v>
      </c>
      <c r="M3037" s="2">
        <v>599</v>
      </c>
      <c r="P3037" t="str">
        <f t="shared" si="191"/>
        <v>55%</v>
      </c>
      <c r="Q3037" s="12">
        <f t="shared" si="188"/>
        <v>0.55000000000000004</v>
      </c>
      <c r="R3037" s="9">
        <f t="shared" si="189"/>
        <v>674.55</v>
      </c>
      <c r="S3037" s="9">
        <f>IF(R3037="",AVERAGEIF(Table1[Category],Table1[[#This Row],[Category]],Table2[orignal data]),Table2[[#This Row],[orignal data]])</f>
        <v>674.55</v>
      </c>
      <c r="T3037" t="str">
        <f t="shared" si="190"/>
        <v>UNIQUE</v>
      </c>
      <c r="U3037" t="str">
        <f>IF(ISBLANK(Table1[[#This Row],[SizeOption]]),"NOT AVAILABLE",Table1[[#This Row],[SizeOption]])</f>
        <v>XS, S, M, L, XL</v>
      </c>
      <c r="Y3037" t="str">
        <f>IF(Table2[[#This Row],[Column1]]&gt;50%,"HIGH DISCOUNT","LOW DISCOUNT")</f>
        <v>HIGH DISCOUNT</v>
      </c>
    </row>
    <row r="3038" spans="1:25" x14ac:dyDescent="0.25">
      <c r="A3038" s="1" t="s">
        <v>6329</v>
      </c>
      <c r="B3038" s="1">
        <v>17524632</v>
      </c>
      <c r="C3038" s="1" t="s">
        <v>47</v>
      </c>
      <c r="D3038" s="1" t="s">
        <v>41</v>
      </c>
      <c r="E3038" s="1" t="s">
        <v>42</v>
      </c>
      <c r="F3038" s="1" t="s">
        <v>36</v>
      </c>
      <c r="G3038" s="1" t="s">
        <v>1316</v>
      </c>
      <c r="I3038" s="1">
        <v>1598</v>
      </c>
      <c r="J3038" s="1" t="s">
        <v>84</v>
      </c>
      <c r="K3038" s="1" t="s">
        <v>45</v>
      </c>
      <c r="L3038" s="1">
        <v>4.0999999999999996</v>
      </c>
      <c r="M3038" s="1">
        <v>599</v>
      </c>
      <c r="P3038" t="str">
        <f t="shared" si="191"/>
        <v>50%</v>
      </c>
      <c r="Q3038" s="12">
        <f t="shared" si="188"/>
        <v>0.5</v>
      </c>
      <c r="R3038" s="9">
        <f t="shared" si="189"/>
        <v>799</v>
      </c>
      <c r="S3038" s="9">
        <f>IF(R3038="",AVERAGEIF(Table1[Category],Table1[[#This Row],[Category]],Table2[orignal data]),Table2[[#This Row],[orignal data]])</f>
        <v>799</v>
      </c>
      <c r="T3038" t="str">
        <f t="shared" si="190"/>
        <v>UNIQUE</v>
      </c>
      <c r="U3038" t="str">
        <f>IF(ISBLANK(Table1[[#This Row],[SizeOption]]),"NOT AVAILABLE",Table1[[#This Row],[SizeOption]])</f>
        <v>XS, S, M, L, XL</v>
      </c>
      <c r="Y3038" t="str">
        <f>IF(Table2[[#This Row],[Column1]]&gt;50%,"HIGH DISCOUNT","LOW DISCOUNT")</f>
        <v>LOW DISCOUNT</v>
      </c>
    </row>
    <row r="3039" spans="1:25" x14ac:dyDescent="0.25">
      <c r="A3039" s="2" t="s">
        <v>6330</v>
      </c>
      <c r="B3039" s="2">
        <v>17525584</v>
      </c>
      <c r="C3039" s="2" t="s">
        <v>47</v>
      </c>
      <c r="D3039" s="2" t="s">
        <v>41</v>
      </c>
      <c r="E3039" s="2" t="s">
        <v>42</v>
      </c>
      <c r="F3039" s="2" t="s">
        <v>36</v>
      </c>
      <c r="G3039" s="2" t="s">
        <v>4889</v>
      </c>
      <c r="I3039" s="2">
        <v>1598</v>
      </c>
      <c r="J3039" s="2"/>
      <c r="K3039" s="2" t="s">
        <v>45</v>
      </c>
      <c r="L3039" s="2">
        <v>4.4000000000000004</v>
      </c>
      <c r="M3039" s="2">
        <v>599</v>
      </c>
      <c r="P3039" t="str">
        <f t="shared" si="191"/>
        <v/>
      </c>
      <c r="Q3039" s="12" t="str">
        <f t="shared" si="188"/>
        <v/>
      </c>
      <c r="R3039" s="9" t="str">
        <f t="shared" si="189"/>
        <v/>
      </c>
      <c r="S3039" s="9">
        <f>IF(R3039="",AVERAGEIF(Table1[Category],Table1[[#This Row],[Category]],Table2[orignal data]),Table2[[#This Row],[orignal data]])</f>
        <v>715.78890751086249</v>
      </c>
      <c r="T3039" t="str">
        <f t="shared" si="190"/>
        <v>UNIQUE</v>
      </c>
      <c r="U3039" t="str">
        <f>IF(ISBLANK(Table1[[#This Row],[SizeOption]]),"NOT AVAILABLE",Table1[[#This Row],[SizeOption]])</f>
        <v>XS, S, M, L, XL</v>
      </c>
      <c r="Y3039" t="str">
        <f>IF(Table2[[#This Row],[Column1]]&gt;50%,"HIGH DISCOUNT","LOW DISCOUNT")</f>
        <v>HIGH DISCOUNT</v>
      </c>
    </row>
    <row r="3040" spans="1:25" x14ac:dyDescent="0.25">
      <c r="A3040" s="1" t="s">
        <v>6331</v>
      </c>
      <c r="B3040" s="1">
        <v>7139177</v>
      </c>
      <c r="C3040" s="1" t="s">
        <v>14</v>
      </c>
      <c r="D3040" s="1" t="s">
        <v>41</v>
      </c>
      <c r="E3040" s="1" t="s">
        <v>16</v>
      </c>
      <c r="F3040" s="1" t="s">
        <v>36</v>
      </c>
      <c r="G3040" s="1" t="s">
        <v>751</v>
      </c>
      <c r="I3040" s="1">
        <v>1899</v>
      </c>
      <c r="J3040" s="1" t="s">
        <v>25</v>
      </c>
      <c r="K3040" s="1" t="s">
        <v>134</v>
      </c>
      <c r="L3040" s="1">
        <v>4.3</v>
      </c>
      <c r="M3040" s="1">
        <v>599</v>
      </c>
      <c r="P3040" t="str">
        <f t="shared" si="191"/>
        <v>55%</v>
      </c>
      <c r="Q3040" s="12">
        <f t="shared" si="188"/>
        <v>0.55000000000000004</v>
      </c>
      <c r="R3040" s="9">
        <f t="shared" si="189"/>
        <v>854.55</v>
      </c>
      <c r="S3040" s="9">
        <f>IF(R3040="",AVERAGEIF(Table1[Category],Table1[[#This Row],[Category]],Table2[orignal data]),Table2[[#This Row],[orignal data]])</f>
        <v>854.55</v>
      </c>
      <c r="T3040" t="str">
        <f t="shared" si="190"/>
        <v>UNIQUE</v>
      </c>
      <c r="U3040" t="str">
        <f>IF(ISBLANK(Table1[[#This Row],[SizeOption]]),"NOT AVAILABLE",Table1[[#This Row],[SizeOption]])</f>
        <v>26, 28, 30, 32, 34, 36</v>
      </c>
      <c r="Y3040" t="str">
        <f>IF(Table2[[#This Row],[Column1]]&gt;50%,"HIGH DISCOUNT","LOW DISCOUNT")</f>
        <v>HIGH DISCOUNT</v>
      </c>
    </row>
    <row r="3041" spans="1:25" x14ac:dyDescent="0.25">
      <c r="A3041" s="2" t="s">
        <v>6332</v>
      </c>
      <c r="B3041" s="2">
        <v>12762090</v>
      </c>
      <c r="C3041" s="2" t="s">
        <v>800</v>
      </c>
      <c r="D3041" s="2" t="s">
        <v>41</v>
      </c>
      <c r="E3041" s="2" t="s">
        <v>82</v>
      </c>
      <c r="F3041" s="2" t="s">
        <v>36</v>
      </c>
      <c r="G3041" s="2" t="s">
        <v>6333</v>
      </c>
      <c r="I3041" s="2">
        <v>1899</v>
      </c>
      <c r="J3041" s="2" t="s">
        <v>95</v>
      </c>
      <c r="K3041" s="2" t="s">
        <v>26</v>
      </c>
      <c r="L3041" s="2">
        <v>3.9</v>
      </c>
      <c r="M3041" s="2">
        <v>599</v>
      </c>
      <c r="P3041" t="str">
        <f t="shared" si="191"/>
        <v>59%</v>
      </c>
      <c r="Q3041" s="12">
        <f t="shared" si="188"/>
        <v>0.59</v>
      </c>
      <c r="R3041" s="9">
        <f t="shared" si="189"/>
        <v>778.59000000000015</v>
      </c>
      <c r="S3041" s="9">
        <f>IF(R3041="",AVERAGEIF(Table1[Category],Table1[[#This Row],[Category]],Table2[orignal data]),Table2[[#This Row],[orignal data]])</f>
        <v>778.59000000000015</v>
      </c>
      <c r="T3041" t="str">
        <f t="shared" si="190"/>
        <v>UNIQUE</v>
      </c>
      <c r="U3041" t="str">
        <f>IF(ISBLANK(Table1[[#This Row],[SizeOption]]),"NOT AVAILABLE",Table1[[#This Row],[SizeOption]])</f>
        <v>S, M, L, XL</v>
      </c>
      <c r="Y3041" t="str">
        <f>IF(Table2[[#This Row],[Column1]]&gt;50%,"HIGH DISCOUNT","LOW DISCOUNT")</f>
        <v>HIGH DISCOUNT</v>
      </c>
    </row>
    <row r="3042" spans="1:25" x14ac:dyDescent="0.25">
      <c r="A3042" s="1" t="s">
        <v>6334</v>
      </c>
      <c r="B3042" s="1">
        <v>11401894</v>
      </c>
      <c r="C3042" s="1" t="s">
        <v>14</v>
      </c>
      <c r="D3042" s="1" t="s">
        <v>41</v>
      </c>
      <c r="E3042" s="1" t="s">
        <v>42</v>
      </c>
      <c r="F3042" s="1" t="s">
        <v>36</v>
      </c>
      <c r="G3042" s="1" t="s">
        <v>6335</v>
      </c>
      <c r="I3042" s="1">
        <v>799</v>
      </c>
      <c r="J3042" s="1" t="s">
        <v>19</v>
      </c>
      <c r="K3042" s="1" t="s">
        <v>45</v>
      </c>
      <c r="L3042" s="1">
        <v>4.2</v>
      </c>
      <c r="M3042" s="1">
        <v>599</v>
      </c>
      <c r="P3042" t="str">
        <f t="shared" si="191"/>
        <v>45%</v>
      </c>
      <c r="Q3042" s="12">
        <f t="shared" si="188"/>
        <v>0.45</v>
      </c>
      <c r="R3042" s="9">
        <f t="shared" si="189"/>
        <v>439.45</v>
      </c>
      <c r="S3042" s="9">
        <f>IF(R3042="",AVERAGEIF(Table1[Category],Table1[[#This Row],[Category]],Table2[orignal data]),Table2[[#This Row],[orignal data]])</f>
        <v>439.45</v>
      </c>
      <c r="T3042" t="str">
        <f t="shared" si="190"/>
        <v>UNIQUE</v>
      </c>
      <c r="U3042" t="str">
        <f>IF(ISBLANK(Table1[[#This Row],[SizeOption]]),"NOT AVAILABLE",Table1[[#This Row],[SizeOption]])</f>
        <v>XS, S, M, L, XL</v>
      </c>
      <c r="Y3042" t="str">
        <f>IF(Table2[[#This Row],[Column1]]&gt;50%,"HIGH DISCOUNT","LOW DISCOUNT")</f>
        <v>LOW DISCOUNT</v>
      </c>
    </row>
    <row r="3043" spans="1:25" x14ac:dyDescent="0.25">
      <c r="A3043" s="2" t="s">
        <v>6336</v>
      </c>
      <c r="B3043" s="2">
        <v>3880903</v>
      </c>
      <c r="C3043" s="2" t="s">
        <v>52</v>
      </c>
      <c r="D3043" s="2" t="s">
        <v>15</v>
      </c>
      <c r="E3043" s="2" t="s">
        <v>16</v>
      </c>
      <c r="F3043" s="2" t="s">
        <v>17</v>
      </c>
      <c r="G3043" s="2" t="s">
        <v>6337</v>
      </c>
      <c r="H3043">
        <v>739</v>
      </c>
      <c r="I3043" s="2">
        <v>1849</v>
      </c>
      <c r="J3043" s="2" t="s">
        <v>55</v>
      </c>
      <c r="K3043" s="2" t="s">
        <v>816</v>
      </c>
      <c r="L3043" s="2">
        <v>3.9</v>
      </c>
      <c r="M3043" s="2">
        <v>598</v>
      </c>
      <c r="P3043" t="str">
        <f t="shared" si="191"/>
        <v>60%</v>
      </c>
      <c r="Q3043" s="12">
        <f t="shared" si="188"/>
        <v>0.6</v>
      </c>
      <c r="R3043" s="9">
        <f t="shared" si="189"/>
        <v>739.60000000000014</v>
      </c>
      <c r="S3043" s="9">
        <f>IF(R3043="",AVERAGEIF(Table1[Category],Table1[[#This Row],[Category]],Table2[orignal data]),Table2[[#This Row],[orignal data]])</f>
        <v>739.60000000000014</v>
      </c>
      <c r="T3043" t="str">
        <f t="shared" si="190"/>
        <v>UNIQUE</v>
      </c>
      <c r="U3043" t="str">
        <f>IF(ISBLANK(Table1[[#This Row],[SizeOption]]),"NOT AVAILABLE",Table1[[#This Row],[SizeOption]])</f>
        <v>30, 32, 34, 36, 38</v>
      </c>
      <c r="Y3043" t="str">
        <f>IF(Table2[[#This Row],[Column1]]&gt;50%,"HIGH DISCOUNT","LOW DISCOUNT")</f>
        <v>HIGH DISCOUNT</v>
      </c>
    </row>
    <row r="3044" spans="1:25" x14ac:dyDescent="0.25">
      <c r="A3044" s="1" t="s">
        <v>6338</v>
      </c>
      <c r="B3044" s="1">
        <v>13238938</v>
      </c>
      <c r="C3044" s="1" t="s">
        <v>113</v>
      </c>
      <c r="D3044" s="1" t="s">
        <v>76</v>
      </c>
      <c r="E3044" s="1" t="s">
        <v>93</v>
      </c>
      <c r="F3044" s="1" t="s">
        <v>17</v>
      </c>
      <c r="G3044" s="1" t="s">
        <v>6339</v>
      </c>
      <c r="H3044">
        <v>559</v>
      </c>
      <c r="I3044" s="1">
        <v>1599</v>
      </c>
      <c r="J3044" s="1" t="s">
        <v>150</v>
      </c>
      <c r="K3044" s="1" t="s">
        <v>39</v>
      </c>
      <c r="L3044" s="1">
        <v>4.2</v>
      </c>
      <c r="M3044" s="1">
        <v>598</v>
      </c>
      <c r="P3044" t="str">
        <f t="shared" si="191"/>
        <v>65%</v>
      </c>
      <c r="Q3044" s="12">
        <f t="shared" si="188"/>
        <v>0.65</v>
      </c>
      <c r="R3044" s="9">
        <f t="shared" si="189"/>
        <v>559.64999999999986</v>
      </c>
      <c r="S3044" s="9">
        <f>IF(R3044="",AVERAGEIF(Table1[Category],Table1[[#This Row],[Category]],Table2[orignal data]),Table2[[#This Row],[orignal data]])</f>
        <v>559.64999999999986</v>
      </c>
      <c r="T3044" t="str">
        <f t="shared" si="190"/>
        <v>UNIQUE</v>
      </c>
      <c r="U3044" t="str">
        <f>IF(ISBLANK(Table1[[#This Row],[SizeOption]]),"NOT AVAILABLE",Table1[[#This Row],[SizeOption]])</f>
        <v>S, M, L, XL, XXL</v>
      </c>
      <c r="Y3044" t="str">
        <f>IF(Table2[[#This Row],[Column1]]&gt;50%,"HIGH DISCOUNT","LOW DISCOUNT")</f>
        <v>HIGH DISCOUNT</v>
      </c>
    </row>
    <row r="3045" spans="1:25" x14ac:dyDescent="0.25">
      <c r="A3045" s="2" t="s">
        <v>6340</v>
      </c>
      <c r="B3045" s="2">
        <v>14322004</v>
      </c>
      <c r="C3045" s="2" t="s">
        <v>6341</v>
      </c>
      <c r="D3045" s="2" t="s">
        <v>197</v>
      </c>
      <c r="E3045" s="2" t="s">
        <v>198</v>
      </c>
      <c r="F3045" s="2" t="s">
        <v>17</v>
      </c>
      <c r="G3045" s="2" t="s">
        <v>6342</v>
      </c>
      <c r="H3045">
        <v>236</v>
      </c>
      <c r="I3045" s="2">
        <v>249</v>
      </c>
      <c r="J3045" s="2" t="s">
        <v>764</v>
      </c>
      <c r="K3045" s="2" t="s">
        <v>6343</v>
      </c>
      <c r="L3045" s="2">
        <v>4</v>
      </c>
      <c r="M3045" s="2">
        <v>598</v>
      </c>
      <c r="P3045" t="str">
        <f t="shared" si="191"/>
        <v>5%</v>
      </c>
      <c r="Q3045" s="12">
        <f t="shared" si="188"/>
        <v>0.05</v>
      </c>
      <c r="R3045" s="9">
        <f t="shared" si="189"/>
        <v>236.55</v>
      </c>
      <c r="S3045" s="9">
        <f>IF(R3045="",AVERAGEIF(Table1[Category],Table1[[#This Row],[Category]],Table2[orignal data]),Table2[[#This Row],[orignal data]])</f>
        <v>236.55</v>
      </c>
      <c r="T3045" t="str">
        <f t="shared" si="190"/>
        <v>UNIQUE</v>
      </c>
      <c r="U3045" t="str">
        <f>IF(ISBLANK(Table1[[#This Row],[SizeOption]]),"NOT AVAILABLE",Table1[[#This Row],[SizeOption]])</f>
        <v>UK2.5, UK5.5, UK8.5, UK12</v>
      </c>
      <c r="Y3045" t="str">
        <f>IF(Table2[[#This Row],[Column1]]&gt;50%,"HIGH DISCOUNT","LOW DISCOUNT")</f>
        <v>LOW DISCOUNT</v>
      </c>
    </row>
    <row r="3046" spans="1:25" x14ac:dyDescent="0.25">
      <c r="A3046" s="1" t="s">
        <v>6344</v>
      </c>
      <c r="B3046" s="1">
        <v>13658904</v>
      </c>
      <c r="C3046" s="1" t="s">
        <v>52</v>
      </c>
      <c r="D3046" s="1" t="s">
        <v>28</v>
      </c>
      <c r="E3046" s="1" t="s">
        <v>29</v>
      </c>
      <c r="F3046" s="1" t="s">
        <v>17</v>
      </c>
      <c r="G3046" s="1" t="s">
        <v>6345</v>
      </c>
      <c r="H3046">
        <v>516</v>
      </c>
      <c r="I3046" s="1">
        <v>1099</v>
      </c>
      <c r="J3046" s="1" t="s">
        <v>89</v>
      </c>
      <c r="K3046" s="1" t="s">
        <v>90</v>
      </c>
      <c r="L3046" s="1">
        <v>4.2</v>
      </c>
      <c r="M3046" s="1">
        <v>598</v>
      </c>
      <c r="P3046" t="str">
        <f t="shared" si="191"/>
        <v>53%</v>
      </c>
      <c r="Q3046" s="12">
        <f t="shared" si="188"/>
        <v>0.53</v>
      </c>
      <c r="R3046" s="9">
        <f t="shared" si="189"/>
        <v>516.53</v>
      </c>
      <c r="S3046" s="9">
        <f>IF(R3046="",AVERAGEIF(Table1[Category],Table1[[#This Row],[Category]],Table2[orignal data]),Table2[[#This Row],[orignal data]])</f>
        <v>516.53</v>
      </c>
      <c r="T3046" t="str">
        <f t="shared" si="190"/>
        <v>UNIQUE</v>
      </c>
      <c r="U3046" t="str">
        <f>IF(ISBLANK(Table1[[#This Row],[SizeOption]]),"NOT AVAILABLE",Table1[[#This Row],[SizeOption]])</f>
        <v>39, 40, 42, 44</v>
      </c>
      <c r="Y3046" t="str">
        <f>IF(Table2[[#This Row],[Column1]]&gt;50%,"HIGH DISCOUNT","LOW DISCOUNT")</f>
        <v>HIGH DISCOUNT</v>
      </c>
    </row>
    <row r="3047" spans="1:25" x14ac:dyDescent="0.25">
      <c r="A3047" s="2" t="s">
        <v>6346</v>
      </c>
      <c r="B3047" s="2">
        <v>11278658</v>
      </c>
      <c r="C3047" s="2" t="s">
        <v>14</v>
      </c>
      <c r="D3047" s="2" t="s">
        <v>28</v>
      </c>
      <c r="E3047" s="2" t="s">
        <v>42</v>
      </c>
      <c r="F3047" s="2" t="s">
        <v>17</v>
      </c>
      <c r="G3047" s="2" t="s">
        <v>72</v>
      </c>
      <c r="H3047">
        <v>769</v>
      </c>
      <c r="I3047" s="2">
        <v>1399</v>
      </c>
      <c r="J3047" s="2" t="s">
        <v>19</v>
      </c>
      <c r="K3047" s="2" t="s">
        <v>26</v>
      </c>
      <c r="L3047" s="2">
        <v>4.2</v>
      </c>
      <c r="M3047" s="2">
        <v>598</v>
      </c>
      <c r="P3047" t="str">
        <f t="shared" si="191"/>
        <v>45%</v>
      </c>
      <c r="Q3047" s="12">
        <f t="shared" si="188"/>
        <v>0.45</v>
      </c>
      <c r="R3047" s="9">
        <f t="shared" si="189"/>
        <v>769.44999999999993</v>
      </c>
      <c r="S3047" s="9">
        <f>IF(R3047="",AVERAGEIF(Table1[Category],Table1[[#This Row],[Category]],Table2[orignal data]),Table2[[#This Row],[orignal data]])</f>
        <v>769.44999999999993</v>
      </c>
      <c r="T3047" t="str">
        <f t="shared" si="190"/>
        <v>UNIQUE</v>
      </c>
      <c r="U3047" t="str">
        <f>IF(ISBLANK(Table1[[#This Row],[SizeOption]]),"NOT AVAILABLE",Table1[[#This Row],[SizeOption]])</f>
        <v>S, M, L, XL</v>
      </c>
      <c r="Y3047" t="str">
        <f>IF(Table2[[#This Row],[Column1]]&gt;50%,"HIGH DISCOUNT","LOW DISCOUNT")</f>
        <v>LOW DISCOUNT</v>
      </c>
    </row>
    <row r="3048" spans="1:25" x14ac:dyDescent="0.25">
      <c r="A3048" s="1" t="s">
        <v>6347</v>
      </c>
      <c r="B3048" s="1">
        <v>2414326</v>
      </c>
      <c r="C3048" s="1" t="s">
        <v>64</v>
      </c>
      <c r="D3048" s="1" t="s">
        <v>28</v>
      </c>
      <c r="E3048" s="1" t="s">
        <v>29</v>
      </c>
      <c r="F3048" s="1" t="s">
        <v>17</v>
      </c>
      <c r="G3048" s="1" t="s">
        <v>6348</v>
      </c>
      <c r="H3048">
        <v>759</v>
      </c>
      <c r="I3048" s="1">
        <v>1899</v>
      </c>
      <c r="J3048" s="1" t="s">
        <v>55</v>
      </c>
      <c r="K3048" s="1" t="s">
        <v>361</v>
      </c>
      <c r="L3048" s="1">
        <v>4.0999999999999996</v>
      </c>
      <c r="M3048" s="1">
        <v>598</v>
      </c>
      <c r="P3048" t="str">
        <f t="shared" si="191"/>
        <v>60%</v>
      </c>
      <c r="Q3048" s="12">
        <f t="shared" si="188"/>
        <v>0.6</v>
      </c>
      <c r="R3048" s="9">
        <f t="shared" si="189"/>
        <v>759.60000000000014</v>
      </c>
      <c r="S3048" s="9">
        <f>IF(R3048="",AVERAGEIF(Table1[Category],Table1[[#This Row],[Category]],Table2[orignal data]),Table2[[#This Row],[orignal data]])</f>
        <v>759.60000000000014</v>
      </c>
      <c r="T3048" t="str">
        <f t="shared" si="190"/>
        <v>UNIQUE</v>
      </c>
      <c r="U3048" t="str">
        <f>IF(ISBLANK(Table1[[#This Row],[SizeOption]]),"NOT AVAILABLE",Table1[[#This Row],[SizeOption]])</f>
        <v>38, 40, 42, 44, 46</v>
      </c>
      <c r="Y3048" t="str">
        <f>IF(Table2[[#This Row],[Column1]]&gt;50%,"HIGH DISCOUNT","LOW DISCOUNT")</f>
        <v>HIGH DISCOUNT</v>
      </c>
    </row>
    <row r="3049" spans="1:25" x14ac:dyDescent="0.25">
      <c r="A3049" s="2" t="s">
        <v>6349</v>
      </c>
      <c r="B3049" s="2">
        <v>11531184</v>
      </c>
      <c r="C3049" s="2" t="s">
        <v>75</v>
      </c>
      <c r="D3049" s="2" t="s">
        <v>76</v>
      </c>
      <c r="E3049" s="2" t="s">
        <v>93</v>
      </c>
      <c r="F3049" s="2" t="s">
        <v>36</v>
      </c>
      <c r="G3049" s="2" t="s">
        <v>6350</v>
      </c>
      <c r="H3049">
        <v>503</v>
      </c>
      <c r="I3049" s="2">
        <v>1799</v>
      </c>
      <c r="J3049" s="2" t="s">
        <v>1377</v>
      </c>
      <c r="K3049" s="2" t="s">
        <v>39</v>
      </c>
      <c r="L3049" s="2">
        <v>4.2</v>
      </c>
      <c r="M3049" s="2">
        <v>598</v>
      </c>
      <c r="P3049" t="str">
        <f t="shared" si="191"/>
        <v>72%</v>
      </c>
      <c r="Q3049" s="12">
        <f t="shared" si="188"/>
        <v>0.72</v>
      </c>
      <c r="R3049" s="9">
        <f t="shared" si="189"/>
        <v>503.72</v>
      </c>
      <c r="S3049" s="9">
        <f>IF(R3049="",AVERAGEIF(Table1[Category],Table1[[#This Row],[Category]],Table2[orignal data]),Table2[[#This Row],[orignal data]])</f>
        <v>503.72</v>
      </c>
      <c r="T3049" t="str">
        <f t="shared" si="190"/>
        <v>UNIQUE</v>
      </c>
      <c r="U3049" t="str">
        <f>IF(ISBLANK(Table1[[#This Row],[SizeOption]]),"NOT AVAILABLE",Table1[[#This Row],[SizeOption]])</f>
        <v>S, M, L, XL, XXL</v>
      </c>
      <c r="Y3049" t="str">
        <f>IF(Table2[[#This Row],[Column1]]&gt;50%,"HIGH DISCOUNT","LOW DISCOUNT")</f>
        <v>HIGH DISCOUNT</v>
      </c>
    </row>
    <row r="3050" spans="1:25" x14ac:dyDescent="0.25">
      <c r="A3050" s="1" t="s">
        <v>6351</v>
      </c>
      <c r="B3050" s="1">
        <v>8349867</v>
      </c>
      <c r="C3050" s="1" t="s">
        <v>97</v>
      </c>
      <c r="D3050" s="1" t="s">
        <v>76</v>
      </c>
      <c r="E3050" s="1" t="s">
        <v>93</v>
      </c>
      <c r="F3050" s="1" t="s">
        <v>36</v>
      </c>
      <c r="G3050" s="1" t="s">
        <v>6352</v>
      </c>
      <c r="H3050">
        <v>1484</v>
      </c>
      <c r="I3050" s="1">
        <v>2699</v>
      </c>
      <c r="J3050" s="1" t="s">
        <v>19</v>
      </c>
      <c r="K3050" s="1" t="s">
        <v>100</v>
      </c>
      <c r="L3050" s="1">
        <v>4.3</v>
      </c>
      <c r="M3050" s="1">
        <v>598</v>
      </c>
      <c r="P3050" t="str">
        <f t="shared" si="191"/>
        <v>45%</v>
      </c>
      <c r="Q3050" s="12">
        <f t="shared" si="188"/>
        <v>0.45</v>
      </c>
      <c r="R3050" s="9">
        <f t="shared" si="189"/>
        <v>1484.45</v>
      </c>
      <c r="S3050" s="9">
        <f>IF(R3050="",AVERAGEIF(Table1[Category],Table1[[#This Row],[Category]],Table2[orignal data]),Table2[[#This Row],[orignal data]])</f>
        <v>1484.45</v>
      </c>
      <c r="T3050" t="str">
        <f t="shared" si="190"/>
        <v>UNIQUE</v>
      </c>
      <c r="U3050" t="str">
        <f>IF(ISBLANK(Table1[[#This Row],[SizeOption]]),"NOT AVAILABLE",Table1[[#This Row],[SizeOption]])</f>
        <v>XS, S, M, L, XL, XXL, 3XL</v>
      </c>
      <c r="Y3050" t="str">
        <f>IF(Table2[[#This Row],[Column1]]&gt;50%,"HIGH DISCOUNT","LOW DISCOUNT")</f>
        <v>LOW DISCOUNT</v>
      </c>
    </row>
    <row r="3051" spans="1:25" x14ac:dyDescent="0.25">
      <c r="A3051" s="2" t="s">
        <v>6353</v>
      </c>
      <c r="B3051" s="2">
        <v>13021584</v>
      </c>
      <c r="C3051" s="2" t="s">
        <v>117</v>
      </c>
      <c r="D3051" s="2" t="s">
        <v>34</v>
      </c>
      <c r="E3051" s="2" t="s">
        <v>118</v>
      </c>
      <c r="F3051" s="2" t="s">
        <v>36</v>
      </c>
      <c r="G3051" s="2" t="s">
        <v>6354</v>
      </c>
      <c r="I3051" s="2">
        <v>599</v>
      </c>
      <c r="J3051" s="2"/>
      <c r="K3051" s="2" t="s">
        <v>510</v>
      </c>
      <c r="L3051" s="2">
        <v>4.4000000000000004</v>
      </c>
      <c r="M3051" s="2">
        <v>598</v>
      </c>
      <c r="P3051" t="str">
        <f t="shared" si="191"/>
        <v/>
      </c>
      <c r="Q3051" s="12" t="str">
        <f t="shared" si="188"/>
        <v/>
      </c>
      <c r="R3051" s="9" t="str">
        <f t="shared" si="189"/>
        <v/>
      </c>
      <c r="S3051" s="9">
        <f>IF(R3051="",AVERAGEIF(Table1[Category],Table1[[#This Row],[Category]],Table2[orignal data]),Table2[[#This Row],[orignal data]])</f>
        <v>608.88518518518481</v>
      </c>
      <c r="T3051" t="str">
        <f t="shared" si="190"/>
        <v>UNIQUE</v>
      </c>
      <c r="U3051" t="str">
        <f>IF(ISBLANK(Table1[[#This Row],[SizeOption]]),"NOT AVAILABLE",Table1[[#This Row],[SizeOption]])</f>
        <v>32B, 32C, 32D, 34B, 34C, 34D, 36B, 36C, 36D, 38B, 38C</v>
      </c>
      <c r="Y3051" t="str">
        <f>IF(Table2[[#This Row],[Column1]]&gt;50%,"HIGH DISCOUNT","LOW DISCOUNT")</f>
        <v>HIGH DISCOUNT</v>
      </c>
    </row>
    <row r="3052" spans="1:25" x14ac:dyDescent="0.25">
      <c r="A3052" s="1" t="s">
        <v>6355</v>
      </c>
      <c r="B3052" s="1">
        <v>12050644</v>
      </c>
      <c r="C3052" s="1" t="s">
        <v>64</v>
      </c>
      <c r="D3052" s="1" t="s">
        <v>98</v>
      </c>
      <c r="E3052" s="1" t="s">
        <v>93</v>
      </c>
      <c r="F3052" s="1" t="s">
        <v>36</v>
      </c>
      <c r="G3052" s="1" t="s">
        <v>1040</v>
      </c>
      <c r="H3052">
        <v>419</v>
      </c>
      <c r="I3052" s="1">
        <v>1399</v>
      </c>
      <c r="J3052" s="1" t="s">
        <v>1566</v>
      </c>
      <c r="K3052" s="1" t="s">
        <v>234</v>
      </c>
      <c r="L3052" s="1">
        <v>4</v>
      </c>
      <c r="M3052" s="1">
        <v>598</v>
      </c>
      <c r="P3052" t="str">
        <f t="shared" si="191"/>
        <v>70%</v>
      </c>
      <c r="Q3052" s="12">
        <f t="shared" si="188"/>
        <v>0.7</v>
      </c>
      <c r="R3052" s="9">
        <f t="shared" si="189"/>
        <v>419.70000000000005</v>
      </c>
      <c r="S3052" s="9">
        <f>IF(R3052="",AVERAGEIF(Table1[Category],Table1[[#This Row],[Category]],Table2[orignal data]),Table2[[#This Row],[orignal data]])</f>
        <v>419.70000000000005</v>
      </c>
      <c r="T3052" t="str">
        <f t="shared" si="190"/>
        <v>UNIQUE</v>
      </c>
      <c r="U3052" t="str">
        <f>IF(ISBLANK(Table1[[#This Row],[SizeOption]]),"NOT AVAILABLE",Table1[[#This Row],[SizeOption]])</f>
        <v>S, M, L, XL, XXL, 3XL</v>
      </c>
      <c r="Y3052" t="str">
        <f>IF(Table2[[#This Row],[Column1]]&gt;50%,"HIGH DISCOUNT","LOW DISCOUNT")</f>
        <v>HIGH DISCOUNT</v>
      </c>
    </row>
    <row r="3053" spans="1:25" x14ac:dyDescent="0.25">
      <c r="A3053" s="2" t="s">
        <v>6356</v>
      </c>
      <c r="B3053" s="2">
        <v>17524630</v>
      </c>
      <c r="C3053" s="2" t="s">
        <v>47</v>
      </c>
      <c r="D3053" s="2" t="s">
        <v>41</v>
      </c>
      <c r="E3053" s="2" t="s">
        <v>42</v>
      </c>
      <c r="F3053" s="2" t="s">
        <v>36</v>
      </c>
      <c r="G3053" s="2" t="s">
        <v>1316</v>
      </c>
      <c r="I3053" s="2">
        <v>1598</v>
      </c>
      <c r="J3053" s="2" t="s">
        <v>84</v>
      </c>
      <c r="K3053" s="2" t="s">
        <v>45</v>
      </c>
      <c r="L3053" s="2">
        <v>4.0999999999999996</v>
      </c>
      <c r="M3053" s="2">
        <v>598</v>
      </c>
      <c r="P3053" t="str">
        <f t="shared" si="191"/>
        <v>50%</v>
      </c>
      <c r="Q3053" s="12">
        <f t="shared" si="188"/>
        <v>0.5</v>
      </c>
      <c r="R3053" s="9">
        <f t="shared" si="189"/>
        <v>799</v>
      </c>
      <c r="S3053" s="9">
        <f>IF(R3053="",AVERAGEIF(Table1[Category],Table1[[#This Row],[Category]],Table2[orignal data]),Table2[[#This Row],[orignal data]])</f>
        <v>799</v>
      </c>
      <c r="T3053" t="str">
        <f t="shared" si="190"/>
        <v>UNIQUE</v>
      </c>
      <c r="U3053" t="str">
        <f>IF(ISBLANK(Table1[[#This Row],[SizeOption]]),"NOT AVAILABLE",Table1[[#This Row],[SizeOption]])</f>
        <v>XS, S, M, L, XL</v>
      </c>
      <c r="Y3053" t="str">
        <f>IF(Table2[[#This Row],[Column1]]&gt;50%,"HIGH DISCOUNT","LOW DISCOUNT")</f>
        <v>LOW DISCOUNT</v>
      </c>
    </row>
    <row r="3054" spans="1:25" x14ac:dyDescent="0.25">
      <c r="A3054" s="1" t="s">
        <v>6357</v>
      </c>
      <c r="B3054" s="1">
        <v>17524644</v>
      </c>
      <c r="C3054" s="1" t="s">
        <v>47</v>
      </c>
      <c r="D3054" s="1" t="s">
        <v>41</v>
      </c>
      <c r="E3054" s="1" t="s">
        <v>42</v>
      </c>
      <c r="F3054" s="1" t="s">
        <v>36</v>
      </c>
      <c r="G3054" s="1" t="s">
        <v>1316</v>
      </c>
      <c r="I3054" s="1">
        <v>1598</v>
      </c>
      <c r="J3054" s="1" t="s">
        <v>84</v>
      </c>
      <c r="K3054" s="1" t="s">
        <v>45</v>
      </c>
      <c r="L3054" s="1">
        <v>4.0999999999999996</v>
      </c>
      <c r="M3054" s="1">
        <v>598</v>
      </c>
      <c r="P3054" t="str">
        <f t="shared" si="191"/>
        <v>50%</v>
      </c>
      <c r="Q3054" s="12">
        <f t="shared" si="188"/>
        <v>0.5</v>
      </c>
      <c r="R3054" s="9">
        <f t="shared" si="189"/>
        <v>799</v>
      </c>
      <c r="S3054" s="9">
        <f>IF(R3054="",AVERAGEIF(Table1[Category],Table1[[#This Row],[Category]],Table2[orignal data]),Table2[[#This Row],[orignal data]])</f>
        <v>799</v>
      </c>
      <c r="T3054" t="str">
        <f t="shared" si="190"/>
        <v>UNIQUE</v>
      </c>
      <c r="U3054" t="str">
        <f>IF(ISBLANK(Table1[[#This Row],[SizeOption]]),"NOT AVAILABLE",Table1[[#This Row],[SizeOption]])</f>
        <v>XS, S, M, L, XL</v>
      </c>
      <c r="Y3054" t="str">
        <f>IF(Table2[[#This Row],[Column1]]&gt;50%,"HIGH DISCOUNT","LOW DISCOUNT")</f>
        <v>LOW DISCOUNT</v>
      </c>
    </row>
    <row r="3055" spans="1:25" x14ac:dyDescent="0.25">
      <c r="A3055" s="2" t="s">
        <v>6358</v>
      </c>
      <c r="B3055" s="2">
        <v>10604482</v>
      </c>
      <c r="C3055" s="2" t="s">
        <v>181</v>
      </c>
      <c r="D3055" s="2" t="s">
        <v>41</v>
      </c>
      <c r="E3055" s="2" t="s">
        <v>368</v>
      </c>
      <c r="F3055" s="2" t="s">
        <v>36</v>
      </c>
      <c r="G3055" s="2" t="s">
        <v>6359</v>
      </c>
      <c r="I3055" s="2">
        <v>1999</v>
      </c>
      <c r="J3055" s="2" t="s">
        <v>1204</v>
      </c>
      <c r="K3055" s="2" t="s">
        <v>134</v>
      </c>
      <c r="L3055" s="2">
        <v>4.0999999999999996</v>
      </c>
      <c r="M3055" s="2">
        <v>598</v>
      </c>
      <c r="P3055" t="str">
        <f t="shared" si="191"/>
        <v>56%</v>
      </c>
      <c r="Q3055" s="12">
        <f t="shared" si="188"/>
        <v>0.56000000000000005</v>
      </c>
      <c r="R3055" s="9">
        <f t="shared" si="189"/>
        <v>879.56</v>
      </c>
      <c r="S3055" s="9">
        <f>IF(R3055="",AVERAGEIF(Table1[Category],Table1[[#This Row],[Category]],Table2[orignal data]),Table2[[#This Row],[orignal data]])</f>
        <v>879.56</v>
      </c>
      <c r="T3055" t="str">
        <f t="shared" si="190"/>
        <v>UNIQUE</v>
      </c>
      <c r="U3055" t="str">
        <f>IF(ISBLANK(Table1[[#This Row],[SizeOption]]),"NOT AVAILABLE",Table1[[#This Row],[SizeOption]])</f>
        <v>26, 28, 30, 32, 34, 36</v>
      </c>
      <c r="Y3055" t="str">
        <f>IF(Table2[[#This Row],[Column1]]&gt;50%,"HIGH DISCOUNT","LOW DISCOUNT")</f>
        <v>HIGH DISCOUNT</v>
      </c>
    </row>
    <row r="3056" spans="1:25" x14ac:dyDescent="0.25">
      <c r="A3056" s="1" t="s">
        <v>6360</v>
      </c>
      <c r="B3056" s="1">
        <v>10773356</v>
      </c>
      <c r="C3056" s="1" t="s">
        <v>290</v>
      </c>
      <c r="D3056" s="1" t="s">
        <v>41</v>
      </c>
      <c r="E3056" s="1" t="s">
        <v>148</v>
      </c>
      <c r="F3056" s="1" t="s">
        <v>36</v>
      </c>
      <c r="G3056" s="1" t="s">
        <v>6361</v>
      </c>
      <c r="I3056" s="1">
        <v>2299</v>
      </c>
      <c r="J3056" s="1" t="s">
        <v>84</v>
      </c>
      <c r="K3056" s="1" t="s">
        <v>45</v>
      </c>
      <c r="L3056" s="1">
        <v>4.5</v>
      </c>
      <c r="M3056" s="1">
        <v>598</v>
      </c>
      <c r="P3056" t="str">
        <f t="shared" si="191"/>
        <v>50%</v>
      </c>
      <c r="Q3056" s="12">
        <f t="shared" si="188"/>
        <v>0.5</v>
      </c>
      <c r="R3056" s="9">
        <f t="shared" si="189"/>
        <v>1149.5</v>
      </c>
      <c r="S3056" s="9">
        <f>IF(R3056="",AVERAGEIF(Table1[Category],Table1[[#This Row],[Category]],Table2[orignal data]),Table2[[#This Row],[orignal data]])</f>
        <v>1149.5</v>
      </c>
      <c r="T3056" t="str">
        <f t="shared" si="190"/>
        <v>UNIQUE</v>
      </c>
      <c r="U3056" t="str">
        <f>IF(ISBLANK(Table1[[#This Row],[SizeOption]]),"NOT AVAILABLE",Table1[[#This Row],[SizeOption]])</f>
        <v>XS, S, M, L, XL</v>
      </c>
      <c r="Y3056" t="str">
        <f>IF(Table2[[#This Row],[Column1]]&gt;50%,"HIGH DISCOUNT","LOW DISCOUNT")</f>
        <v>LOW DISCOUNT</v>
      </c>
    </row>
    <row r="3057" spans="1:25" x14ac:dyDescent="0.25">
      <c r="A3057" s="2" t="s">
        <v>6362</v>
      </c>
      <c r="B3057" s="2">
        <v>10968580</v>
      </c>
      <c r="C3057" s="2" t="s">
        <v>14</v>
      </c>
      <c r="D3057" s="2" t="s">
        <v>41</v>
      </c>
      <c r="E3057" s="2" t="s">
        <v>42</v>
      </c>
      <c r="F3057" s="2" t="s">
        <v>36</v>
      </c>
      <c r="G3057" s="2" t="s">
        <v>6363</v>
      </c>
      <c r="I3057" s="2">
        <v>699</v>
      </c>
      <c r="J3057" s="2" t="s">
        <v>84</v>
      </c>
      <c r="K3057" s="2" t="s">
        <v>45</v>
      </c>
      <c r="L3057" s="2">
        <v>4.4000000000000004</v>
      </c>
      <c r="M3057" s="2">
        <v>598</v>
      </c>
      <c r="P3057" t="str">
        <f t="shared" si="191"/>
        <v>50%</v>
      </c>
      <c r="Q3057" s="12">
        <f t="shared" si="188"/>
        <v>0.5</v>
      </c>
      <c r="R3057" s="9">
        <f t="shared" si="189"/>
        <v>349.5</v>
      </c>
      <c r="S3057" s="9">
        <f>IF(R3057="",AVERAGEIF(Table1[Category],Table1[[#This Row],[Category]],Table2[orignal data]),Table2[[#This Row],[orignal data]])</f>
        <v>349.5</v>
      </c>
      <c r="T3057" t="str">
        <f t="shared" si="190"/>
        <v>UNIQUE</v>
      </c>
      <c r="U3057" t="str">
        <f>IF(ISBLANK(Table1[[#This Row],[SizeOption]]),"NOT AVAILABLE",Table1[[#This Row],[SizeOption]])</f>
        <v>XS, S, M, L, XL</v>
      </c>
      <c r="Y3057" t="str">
        <f>IF(Table2[[#This Row],[Column1]]&gt;50%,"HIGH DISCOUNT","LOW DISCOUNT")</f>
        <v>LOW DISCOUNT</v>
      </c>
    </row>
    <row r="3058" spans="1:25" x14ac:dyDescent="0.25">
      <c r="A3058" s="1" t="s">
        <v>6364</v>
      </c>
      <c r="B3058" s="1">
        <v>11326374</v>
      </c>
      <c r="C3058" s="1" t="s">
        <v>14</v>
      </c>
      <c r="D3058" s="1" t="s">
        <v>28</v>
      </c>
      <c r="E3058" s="1" t="s">
        <v>29</v>
      </c>
      <c r="F3058" s="1" t="s">
        <v>17</v>
      </c>
      <c r="G3058" s="1" t="s">
        <v>6365</v>
      </c>
      <c r="H3058">
        <v>539</v>
      </c>
      <c r="I3058" s="1">
        <v>1799</v>
      </c>
      <c r="J3058" s="1" t="s">
        <v>79</v>
      </c>
      <c r="K3058" s="1" t="s">
        <v>253</v>
      </c>
      <c r="L3058" s="1">
        <v>3</v>
      </c>
      <c r="M3058" s="1">
        <v>597</v>
      </c>
      <c r="P3058" t="str">
        <f t="shared" si="191"/>
        <v>70%</v>
      </c>
      <c r="Q3058" s="12">
        <f t="shared" si="188"/>
        <v>0.7</v>
      </c>
      <c r="R3058" s="9">
        <f t="shared" si="189"/>
        <v>539.70000000000005</v>
      </c>
      <c r="S3058" s="9">
        <f>IF(R3058="",AVERAGEIF(Table1[Category],Table1[[#This Row],[Category]],Table2[orignal data]),Table2[[#This Row],[orignal data]])</f>
        <v>539.70000000000005</v>
      </c>
      <c r="T3058" t="str">
        <f t="shared" si="190"/>
        <v>UNIQUE</v>
      </c>
      <c r="U3058" t="str">
        <f>IF(ISBLANK(Table1[[#This Row],[SizeOption]]),"NOT AVAILABLE",Table1[[#This Row],[SizeOption]])</f>
        <v>38, 40, 42, 44</v>
      </c>
      <c r="Y3058" t="str">
        <f>IF(Table2[[#This Row],[Column1]]&gt;50%,"HIGH DISCOUNT","LOW DISCOUNT")</f>
        <v>HIGH DISCOUNT</v>
      </c>
    </row>
    <row r="3059" spans="1:25" x14ac:dyDescent="0.25">
      <c r="A3059" s="2" t="s">
        <v>6366</v>
      </c>
      <c r="B3059" s="2">
        <v>1038959</v>
      </c>
      <c r="C3059" s="2" t="s">
        <v>1299</v>
      </c>
      <c r="D3059" s="2" t="s">
        <v>28</v>
      </c>
      <c r="E3059" s="2" t="s">
        <v>29</v>
      </c>
      <c r="F3059" s="2" t="s">
        <v>17</v>
      </c>
      <c r="G3059" s="2" t="s">
        <v>6367</v>
      </c>
      <c r="H3059">
        <v>899</v>
      </c>
      <c r="I3059" s="2">
        <v>1999</v>
      </c>
      <c r="J3059" s="2" t="s">
        <v>25</v>
      </c>
      <c r="K3059" s="2" t="s">
        <v>1674</v>
      </c>
      <c r="L3059" s="2">
        <v>4.0999999999999996</v>
      </c>
      <c r="M3059" s="2">
        <v>597</v>
      </c>
      <c r="P3059" t="str">
        <f t="shared" si="191"/>
        <v>55%</v>
      </c>
      <c r="Q3059" s="12">
        <f t="shared" si="188"/>
        <v>0.55000000000000004</v>
      </c>
      <c r="R3059" s="9">
        <f t="shared" si="189"/>
        <v>899.55</v>
      </c>
      <c r="S3059" s="9">
        <f>IF(R3059="",AVERAGEIF(Table1[Category],Table1[[#This Row],[Category]],Table2[orignal data]),Table2[[#This Row],[orignal data]])</f>
        <v>899.55</v>
      </c>
      <c r="T3059" t="str">
        <f t="shared" si="190"/>
        <v>UNIQUE</v>
      </c>
      <c r="U3059" t="str">
        <f>IF(ISBLANK(Table1[[#This Row],[SizeOption]]),"NOT AVAILABLE",Table1[[#This Row],[SizeOption]])</f>
        <v>38, 39, 40, 42, 44</v>
      </c>
      <c r="Y3059" t="str">
        <f>IF(Table2[[#This Row],[Column1]]&gt;50%,"HIGH DISCOUNT","LOW DISCOUNT")</f>
        <v>HIGH DISCOUNT</v>
      </c>
    </row>
    <row r="3060" spans="1:25" x14ac:dyDescent="0.25">
      <c r="A3060" s="1" t="s">
        <v>6368</v>
      </c>
      <c r="B3060" s="1">
        <v>10863066</v>
      </c>
      <c r="C3060" s="1" t="s">
        <v>14</v>
      </c>
      <c r="D3060" s="1" t="s">
        <v>28</v>
      </c>
      <c r="E3060" s="1" t="s">
        <v>29</v>
      </c>
      <c r="F3060" s="1" t="s">
        <v>17</v>
      </c>
      <c r="G3060" s="1" t="s">
        <v>6369</v>
      </c>
      <c r="H3060">
        <v>1199</v>
      </c>
      <c r="I3060" s="1">
        <v>1999</v>
      </c>
      <c r="J3060" s="1" t="s">
        <v>50</v>
      </c>
      <c r="K3060" s="1" t="s">
        <v>253</v>
      </c>
      <c r="L3060" s="1">
        <v>4.0999999999999996</v>
      </c>
      <c r="M3060" s="1">
        <v>597</v>
      </c>
      <c r="P3060" t="str">
        <f t="shared" si="191"/>
        <v>40%</v>
      </c>
      <c r="Q3060" s="12">
        <f t="shared" si="188"/>
        <v>0.4</v>
      </c>
      <c r="R3060" s="9">
        <f t="shared" si="189"/>
        <v>1199.4000000000001</v>
      </c>
      <c r="S3060" s="9">
        <f>IF(R3060="",AVERAGEIF(Table1[Category],Table1[[#This Row],[Category]],Table2[orignal data]),Table2[[#This Row],[orignal data]])</f>
        <v>1199.4000000000001</v>
      </c>
      <c r="T3060" t="str">
        <f t="shared" si="190"/>
        <v>UNIQUE</v>
      </c>
      <c r="U3060" t="str">
        <f>IF(ISBLANK(Table1[[#This Row],[SizeOption]]),"NOT AVAILABLE",Table1[[#This Row],[SizeOption]])</f>
        <v>38, 40, 42, 44</v>
      </c>
      <c r="Y3060" t="str">
        <f>IF(Table2[[#This Row],[Column1]]&gt;50%,"HIGH DISCOUNT","LOW DISCOUNT")</f>
        <v>LOW DISCOUNT</v>
      </c>
    </row>
    <row r="3061" spans="1:25" x14ac:dyDescent="0.25">
      <c r="A3061" s="2" t="s">
        <v>6370</v>
      </c>
      <c r="B3061" s="2">
        <v>9342501</v>
      </c>
      <c r="C3061" s="2" t="s">
        <v>604</v>
      </c>
      <c r="D3061" s="2" t="s">
        <v>28</v>
      </c>
      <c r="E3061" s="2" t="s">
        <v>29</v>
      </c>
      <c r="F3061" s="2" t="s">
        <v>17</v>
      </c>
      <c r="G3061" s="2" t="s">
        <v>6371</v>
      </c>
      <c r="H3061">
        <v>1818</v>
      </c>
      <c r="I3061" s="2">
        <v>2598</v>
      </c>
      <c r="J3061" s="2" t="s">
        <v>186</v>
      </c>
      <c r="K3061" s="2" t="s">
        <v>6372</v>
      </c>
      <c r="L3061" s="2">
        <v>3.8</v>
      </c>
      <c r="M3061" s="2">
        <v>597</v>
      </c>
      <c r="P3061" t="str">
        <f t="shared" si="191"/>
        <v>30%</v>
      </c>
      <c r="Q3061" s="12">
        <f t="shared" si="188"/>
        <v>0.3</v>
      </c>
      <c r="R3061" s="9">
        <f t="shared" si="189"/>
        <v>1818.6</v>
      </c>
      <c r="S3061" s="9">
        <f>IF(R3061="",AVERAGEIF(Table1[Category],Table1[[#This Row],[Category]],Table2[orignal data]),Table2[[#This Row],[orignal data]])</f>
        <v>1818.6</v>
      </c>
      <c r="T3061" t="str">
        <f t="shared" si="190"/>
        <v>UNIQUE</v>
      </c>
      <c r="U3061" t="str">
        <f>IF(ISBLANK(Table1[[#This Row],[SizeOption]]),"NOT AVAILABLE",Table1[[#This Row],[SizeOption]])</f>
        <v>44, 42, 40, 38, 36</v>
      </c>
      <c r="Y3061" t="str">
        <f>IF(Table2[[#This Row],[Column1]]&gt;50%,"HIGH DISCOUNT","LOW DISCOUNT")</f>
        <v>LOW DISCOUNT</v>
      </c>
    </row>
    <row r="3062" spans="1:25" x14ac:dyDescent="0.25">
      <c r="A3062" s="1" t="s">
        <v>6373</v>
      </c>
      <c r="B3062" s="1">
        <v>9334709</v>
      </c>
      <c r="C3062" s="1" t="s">
        <v>14</v>
      </c>
      <c r="D3062" s="1" t="s">
        <v>28</v>
      </c>
      <c r="E3062" s="1" t="s">
        <v>42</v>
      </c>
      <c r="F3062" s="1" t="s">
        <v>17</v>
      </c>
      <c r="G3062" s="1" t="s">
        <v>6374</v>
      </c>
      <c r="I3062" s="1">
        <v>699</v>
      </c>
      <c r="J3062" s="1"/>
      <c r="K3062" s="1" t="s">
        <v>45</v>
      </c>
      <c r="L3062" s="1">
        <v>4.2</v>
      </c>
      <c r="M3062" s="1">
        <v>597</v>
      </c>
      <c r="P3062" t="str">
        <f t="shared" si="191"/>
        <v/>
      </c>
      <c r="Q3062" s="12" t="str">
        <f t="shared" si="188"/>
        <v/>
      </c>
      <c r="R3062" s="9" t="str">
        <f t="shared" si="189"/>
        <v/>
      </c>
      <c r="S3062" s="9">
        <f>IF(R3062="",AVERAGEIF(Table1[Category],Table1[[#This Row],[Category]],Table2[orignal data]),Table2[[#This Row],[orignal data]])</f>
        <v>671.7823941958867</v>
      </c>
      <c r="T3062" t="str">
        <f t="shared" si="190"/>
        <v>UNIQUE</v>
      </c>
      <c r="U3062" t="str">
        <f>IF(ISBLANK(Table1[[#This Row],[SizeOption]]),"NOT AVAILABLE",Table1[[#This Row],[SizeOption]])</f>
        <v>XS, S, M, L, XL</v>
      </c>
      <c r="Y3062" t="str">
        <f>IF(Table2[[#This Row],[Column1]]&gt;50%,"HIGH DISCOUNT","LOW DISCOUNT")</f>
        <v>HIGH DISCOUNT</v>
      </c>
    </row>
    <row r="3063" spans="1:25" x14ac:dyDescent="0.25">
      <c r="A3063" s="2" t="s">
        <v>6375</v>
      </c>
      <c r="B3063" s="2">
        <v>7538236</v>
      </c>
      <c r="C3063" s="2" t="s">
        <v>271</v>
      </c>
      <c r="D3063" s="2" t="s">
        <v>76</v>
      </c>
      <c r="E3063" s="2" t="s">
        <v>1411</v>
      </c>
      <c r="F3063" s="2" t="s">
        <v>36</v>
      </c>
      <c r="G3063" s="2" t="s">
        <v>6376</v>
      </c>
      <c r="H3063">
        <v>439</v>
      </c>
      <c r="I3063" s="2">
        <v>1099</v>
      </c>
      <c r="J3063" s="2" t="s">
        <v>55</v>
      </c>
      <c r="K3063" s="2" t="s">
        <v>164</v>
      </c>
      <c r="L3063" s="2">
        <v>4.5</v>
      </c>
      <c r="M3063" s="2">
        <v>597</v>
      </c>
      <c r="P3063" t="str">
        <f t="shared" si="191"/>
        <v>60%</v>
      </c>
      <c r="Q3063" s="12">
        <f t="shared" si="188"/>
        <v>0.6</v>
      </c>
      <c r="R3063" s="9">
        <f t="shared" si="189"/>
        <v>439.6</v>
      </c>
      <c r="S3063" s="9">
        <f>IF(R3063="",AVERAGEIF(Table1[Category],Table1[[#This Row],[Category]],Table2[orignal data]),Table2[[#This Row],[orignal data]])</f>
        <v>439.6</v>
      </c>
      <c r="T3063" t="str">
        <f t="shared" si="190"/>
        <v>UNIQUE</v>
      </c>
      <c r="U3063" t="str">
        <f>IF(ISBLANK(Table1[[#This Row],[SizeOption]]),"NOT AVAILABLE",Table1[[#This Row],[SizeOption]])</f>
        <v>Onesize</v>
      </c>
      <c r="Y3063" t="str">
        <f>IF(Table2[[#This Row],[Column1]]&gt;50%,"HIGH DISCOUNT","LOW DISCOUNT")</f>
        <v>HIGH DISCOUNT</v>
      </c>
    </row>
    <row r="3064" spans="1:25" x14ac:dyDescent="0.25">
      <c r="A3064" s="1" t="s">
        <v>6377</v>
      </c>
      <c r="B3064" s="1">
        <v>13594784</v>
      </c>
      <c r="C3064" s="1" t="s">
        <v>2306</v>
      </c>
      <c r="D3064" s="1" t="s">
        <v>76</v>
      </c>
      <c r="E3064" s="1" t="s">
        <v>93</v>
      </c>
      <c r="F3064" s="1" t="s">
        <v>36</v>
      </c>
      <c r="G3064" s="1" t="s">
        <v>6378</v>
      </c>
      <c r="H3064">
        <v>752</v>
      </c>
      <c r="I3064" s="1">
        <v>1568</v>
      </c>
      <c r="J3064" s="1" t="s">
        <v>208</v>
      </c>
      <c r="K3064" s="1" t="s">
        <v>234</v>
      </c>
      <c r="L3064" s="1">
        <v>4.2</v>
      </c>
      <c r="M3064" s="1">
        <v>597</v>
      </c>
      <c r="P3064" t="str">
        <f t="shared" si="191"/>
        <v>52%</v>
      </c>
      <c r="Q3064" s="12">
        <f t="shared" si="188"/>
        <v>0.52</v>
      </c>
      <c r="R3064" s="9">
        <f t="shared" si="189"/>
        <v>752.64</v>
      </c>
      <c r="S3064" s="9">
        <f>IF(R3064="",AVERAGEIF(Table1[Category],Table1[[#This Row],[Category]],Table2[orignal data]),Table2[[#This Row],[orignal data]])</f>
        <v>752.64</v>
      </c>
      <c r="T3064" t="str">
        <f t="shared" si="190"/>
        <v>UNIQUE</v>
      </c>
      <c r="U3064" t="str">
        <f>IF(ISBLANK(Table1[[#This Row],[SizeOption]]),"NOT AVAILABLE",Table1[[#This Row],[SizeOption]])</f>
        <v>S, M, L, XL, XXL, 3XL</v>
      </c>
      <c r="Y3064" t="str">
        <f>IF(Table2[[#This Row],[Column1]]&gt;50%,"HIGH DISCOUNT","LOW DISCOUNT")</f>
        <v>HIGH DISCOUNT</v>
      </c>
    </row>
    <row r="3065" spans="1:25" x14ac:dyDescent="0.25">
      <c r="A3065" s="2" t="s">
        <v>6379</v>
      </c>
      <c r="B3065" s="2">
        <v>15495246</v>
      </c>
      <c r="C3065" s="2" t="s">
        <v>6380</v>
      </c>
      <c r="D3065" s="2" t="s">
        <v>76</v>
      </c>
      <c r="E3065" s="2" t="s">
        <v>93</v>
      </c>
      <c r="F3065" s="2" t="s">
        <v>36</v>
      </c>
      <c r="G3065" s="2" t="s">
        <v>6381</v>
      </c>
      <c r="H3065">
        <v>599</v>
      </c>
      <c r="I3065" s="2">
        <v>1999</v>
      </c>
      <c r="J3065" s="2" t="s">
        <v>79</v>
      </c>
      <c r="K3065" s="2" t="s">
        <v>39</v>
      </c>
      <c r="L3065" s="2">
        <v>4.0999999999999996</v>
      </c>
      <c r="M3065" s="2">
        <v>597</v>
      </c>
      <c r="P3065" t="str">
        <f t="shared" si="191"/>
        <v>70%</v>
      </c>
      <c r="Q3065" s="12">
        <f t="shared" si="188"/>
        <v>0.7</v>
      </c>
      <c r="R3065" s="9">
        <f t="shared" si="189"/>
        <v>599.70000000000005</v>
      </c>
      <c r="S3065" s="9">
        <f>IF(R3065="",AVERAGEIF(Table1[Category],Table1[[#This Row],[Category]],Table2[orignal data]),Table2[[#This Row],[orignal data]])</f>
        <v>599.70000000000005</v>
      </c>
      <c r="T3065" t="str">
        <f t="shared" si="190"/>
        <v>UNIQUE</v>
      </c>
      <c r="U3065" t="str">
        <f>IF(ISBLANK(Table1[[#This Row],[SizeOption]]),"NOT AVAILABLE",Table1[[#This Row],[SizeOption]])</f>
        <v>S, M, L, XL, XXL</v>
      </c>
      <c r="Y3065" t="str">
        <f>IF(Table2[[#This Row],[Column1]]&gt;50%,"HIGH DISCOUNT","LOW DISCOUNT")</f>
        <v>HIGH DISCOUNT</v>
      </c>
    </row>
    <row r="3066" spans="1:25" x14ac:dyDescent="0.25">
      <c r="A3066" s="1" t="s">
        <v>6382</v>
      </c>
      <c r="B3066" s="1">
        <v>10653790</v>
      </c>
      <c r="C3066" s="1" t="s">
        <v>277</v>
      </c>
      <c r="D3066" s="1" t="s">
        <v>76</v>
      </c>
      <c r="E3066" s="1" t="s">
        <v>368</v>
      </c>
      <c r="F3066" s="1" t="s">
        <v>36</v>
      </c>
      <c r="G3066" s="1" t="s">
        <v>6383</v>
      </c>
      <c r="H3066">
        <v>967</v>
      </c>
      <c r="I3066" s="1">
        <v>2199</v>
      </c>
      <c r="J3066" s="1" t="s">
        <v>1204</v>
      </c>
      <c r="K3066" s="1" t="s">
        <v>6384</v>
      </c>
      <c r="L3066" s="1">
        <v>4.3</v>
      </c>
      <c r="M3066" s="1">
        <v>597</v>
      </c>
      <c r="P3066" t="str">
        <f t="shared" si="191"/>
        <v>56%</v>
      </c>
      <c r="Q3066" s="12">
        <f t="shared" si="188"/>
        <v>0.56000000000000005</v>
      </c>
      <c r="R3066" s="9">
        <f t="shared" si="189"/>
        <v>967.56</v>
      </c>
      <c r="S3066" s="9">
        <f>IF(R3066="",AVERAGEIF(Table1[Category],Table1[[#This Row],[Category]],Table2[orignal data]),Table2[[#This Row],[orignal data]])</f>
        <v>967.56</v>
      </c>
      <c r="T3066" t="str">
        <f t="shared" si="190"/>
        <v>UNIQUE</v>
      </c>
      <c r="U3066" t="str">
        <f>IF(ISBLANK(Table1[[#This Row],[SizeOption]]),"NOT AVAILABLE",Table1[[#This Row],[SizeOption]])</f>
        <v>26, 28, 30, 32, 35</v>
      </c>
      <c r="Y3066" t="str">
        <f>IF(Table2[[#This Row],[Column1]]&gt;50%,"HIGH DISCOUNT","LOW DISCOUNT")</f>
        <v>HIGH DISCOUNT</v>
      </c>
    </row>
    <row r="3067" spans="1:25" x14ac:dyDescent="0.25">
      <c r="A3067" s="2" t="s">
        <v>6385</v>
      </c>
      <c r="B3067" s="2">
        <v>17524624</v>
      </c>
      <c r="C3067" s="2" t="s">
        <v>47</v>
      </c>
      <c r="D3067" s="2" t="s">
        <v>41</v>
      </c>
      <c r="E3067" s="2" t="s">
        <v>42</v>
      </c>
      <c r="F3067" s="2" t="s">
        <v>36</v>
      </c>
      <c r="G3067" s="2" t="s">
        <v>1316</v>
      </c>
      <c r="I3067" s="2">
        <v>1598</v>
      </c>
      <c r="J3067" s="2" t="s">
        <v>84</v>
      </c>
      <c r="K3067" s="2" t="s">
        <v>45</v>
      </c>
      <c r="L3067" s="2">
        <v>4.0999999999999996</v>
      </c>
      <c r="M3067" s="2">
        <v>597</v>
      </c>
      <c r="P3067" t="str">
        <f t="shared" si="191"/>
        <v>50%</v>
      </c>
      <c r="Q3067" s="12">
        <f t="shared" si="188"/>
        <v>0.5</v>
      </c>
      <c r="R3067" s="9">
        <f t="shared" si="189"/>
        <v>799</v>
      </c>
      <c r="S3067" s="9">
        <f>IF(R3067="",AVERAGEIF(Table1[Category],Table1[[#This Row],[Category]],Table2[orignal data]),Table2[[#This Row],[orignal data]])</f>
        <v>799</v>
      </c>
      <c r="T3067" t="str">
        <f t="shared" si="190"/>
        <v>UNIQUE</v>
      </c>
      <c r="U3067" t="str">
        <f>IF(ISBLANK(Table1[[#This Row],[SizeOption]]),"NOT AVAILABLE",Table1[[#This Row],[SizeOption]])</f>
        <v>XS, S, M, L, XL</v>
      </c>
      <c r="Y3067" t="str">
        <f>IF(Table2[[#This Row],[Column1]]&gt;50%,"HIGH DISCOUNT","LOW DISCOUNT")</f>
        <v>LOW DISCOUNT</v>
      </c>
    </row>
    <row r="3068" spans="1:25" x14ac:dyDescent="0.25">
      <c r="A3068" s="1" t="s">
        <v>6386</v>
      </c>
      <c r="B3068" s="1">
        <v>8488101</v>
      </c>
      <c r="C3068" s="1" t="s">
        <v>181</v>
      </c>
      <c r="D3068" s="1" t="s">
        <v>41</v>
      </c>
      <c r="E3068" s="1" t="s">
        <v>148</v>
      </c>
      <c r="F3068" s="1" t="s">
        <v>36</v>
      </c>
      <c r="G3068" s="1" t="s">
        <v>6387</v>
      </c>
      <c r="I3068" s="1">
        <v>1799</v>
      </c>
      <c r="J3068" s="1" t="s">
        <v>84</v>
      </c>
      <c r="K3068" s="1" t="s">
        <v>115</v>
      </c>
      <c r="L3068" s="1">
        <v>4</v>
      </c>
      <c r="M3068" s="1">
        <v>597</v>
      </c>
      <c r="P3068" t="str">
        <f t="shared" si="191"/>
        <v>50%</v>
      </c>
      <c r="Q3068" s="12">
        <f t="shared" si="188"/>
        <v>0.5</v>
      </c>
      <c r="R3068" s="9">
        <f t="shared" si="189"/>
        <v>899.5</v>
      </c>
      <c r="S3068" s="9">
        <f>IF(R3068="",AVERAGEIF(Table1[Category],Table1[[#This Row],[Category]],Table2[orignal data]),Table2[[#This Row],[orignal data]])</f>
        <v>899.5</v>
      </c>
      <c r="T3068" t="str">
        <f t="shared" si="190"/>
        <v>UNIQUE</v>
      </c>
      <c r="U3068" t="str">
        <f>IF(ISBLANK(Table1[[#This Row],[SizeOption]]),"NOT AVAILABLE",Table1[[#This Row],[SizeOption]])</f>
        <v>XS, S, M, L, XL, XXL</v>
      </c>
      <c r="Y3068" t="str">
        <f>IF(Table2[[#This Row],[Column1]]&gt;50%,"HIGH DISCOUNT","LOW DISCOUNT")</f>
        <v>LOW DISCOUNT</v>
      </c>
    </row>
    <row r="3069" spans="1:25" x14ac:dyDescent="0.25">
      <c r="A3069" s="2" t="s">
        <v>6388</v>
      </c>
      <c r="B3069" s="2">
        <v>13780910</v>
      </c>
      <c r="C3069" s="2" t="s">
        <v>499</v>
      </c>
      <c r="D3069" s="2" t="s">
        <v>41</v>
      </c>
      <c r="E3069" s="2" t="s">
        <v>148</v>
      </c>
      <c r="F3069" s="2" t="s">
        <v>36</v>
      </c>
      <c r="G3069" s="2" t="s">
        <v>6389</v>
      </c>
      <c r="I3069" s="2">
        <v>2599</v>
      </c>
      <c r="J3069" s="2" t="s">
        <v>84</v>
      </c>
      <c r="K3069" s="2" t="s">
        <v>115</v>
      </c>
      <c r="L3069" s="2">
        <v>4.4000000000000004</v>
      </c>
      <c r="M3069" s="2">
        <v>597</v>
      </c>
      <c r="P3069" t="str">
        <f t="shared" si="191"/>
        <v>50%</v>
      </c>
      <c r="Q3069" s="12">
        <f t="shared" si="188"/>
        <v>0.5</v>
      </c>
      <c r="R3069" s="9">
        <f t="shared" si="189"/>
        <v>1299.5</v>
      </c>
      <c r="S3069" s="9">
        <f>IF(R3069="",AVERAGEIF(Table1[Category],Table1[[#This Row],[Category]],Table2[orignal data]),Table2[[#This Row],[orignal data]])</f>
        <v>1299.5</v>
      </c>
      <c r="T3069" t="str">
        <f t="shared" si="190"/>
        <v>UNIQUE</v>
      </c>
      <c r="U3069" t="str">
        <f>IF(ISBLANK(Table1[[#This Row],[SizeOption]]),"NOT AVAILABLE",Table1[[#This Row],[SizeOption]])</f>
        <v>XS, S, M, L, XL, XXL</v>
      </c>
      <c r="Y3069" t="str">
        <f>IF(Table2[[#This Row],[Column1]]&gt;50%,"HIGH DISCOUNT","LOW DISCOUNT")</f>
        <v>LOW DISCOUNT</v>
      </c>
    </row>
    <row r="3070" spans="1:25" x14ac:dyDescent="0.25">
      <c r="A3070" s="1" t="s">
        <v>6390</v>
      </c>
      <c r="B3070" s="1">
        <v>10132463</v>
      </c>
      <c r="C3070" s="1" t="s">
        <v>6391</v>
      </c>
      <c r="D3070" s="1" t="s">
        <v>41</v>
      </c>
      <c r="E3070" s="1" t="s">
        <v>148</v>
      </c>
      <c r="F3070" s="1" t="s">
        <v>36</v>
      </c>
      <c r="G3070" s="1" t="s">
        <v>6392</v>
      </c>
      <c r="I3070" s="1">
        <v>4999</v>
      </c>
      <c r="J3070" s="1" t="s">
        <v>60</v>
      </c>
      <c r="K3070" s="1" t="s">
        <v>45</v>
      </c>
      <c r="L3070" s="1">
        <v>4.2</v>
      </c>
      <c r="M3070" s="1">
        <v>597</v>
      </c>
      <c r="P3070" t="str">
        <f t="shared" si="191"/>
        <v>58%</v>
      </c>
      <c r="Q3070" s="12">
        <f t="shared" si="188"/>
        <v>0.57999999999999996</v>
      </c>
      <c r="R3070" s="9">
        <f t="shared" si="189"/>
        <v>2099.5800000000004</v>
      </c>
      <c r="S3070" s="9">
        <f>IF(R3070="",AVERAGEIF(Table1[Category],Table1[[#This Row],[Category]],Table2[orignal data]),Table2[[#This Row],[orignal data]])</f>
        <v>2099.5800000000004</v>
      </c>
      <c r="T3070" t="str">
        <f t="shared" si="190"/>
        <v>UNIQUE</v>
      </c>
      <c r="U3070" t="str">
        <f>IF(ISBLANK(Table1[[#This Row],[SizeOption]]),"NOT AVAILABLE",Table1[[#This Row],[SizeOption]])</f>
        <v>XS, S, M, L, XL</v>
      </c>
      <c r="Y3070" t="str">
        <f>IF(Table2[[#This Row],[Column1]]&gt;50%,"HIGH DISCOUNT","LOW DISCOUNT")</f>
        <v>HIGH DISCOUNT</v>
      </c>
    </row>
    <row r="3071" spans="1:25" x14ac:dyDescent="0.25">
      <c r="A3071" s="2" t="s">
        <v>6393</v>
      </c>
      <c r="B3071" s="2">
        <v>8962401</v>
      </c>
      <c r="C3071" s="2" t="s">
        <v>14</v>
      </c>
      <c r="D3071" s="2" t="s">
        <v>15</v>
      </c>
      <c r="E3071" s="2" t="s">
        <v>16</v>
      </c>
      <c r="F3071" s="2" t="s">
        <v>17</v>
      </c>
      <c r="G3071" s="2" t="s">
        <v>918</v>
      </c>
      <c r="H3071">
        <v>764</v>
      </c>
      <c r="I3071" s="2">
        <v>1699</v>
      </c>
      <c r="J3071" s="2" t="s">
        <v>25</v>
      </c>
      <c r="K3071" s="2" t="s">
        <v>134</v>
      </c>
      <c r="L3071" s="2">
        <v>4</v>
      </c>
      <c r="M3071" s="2">
        <v>596</v>
      </c>
      <c r="P3071" t="str">
        <f t="shared" si="191"/>
        <v>55%</v>
      </c>
      <c r="Q3071" s="12">
        <f t="shared" si="188"/>
        <v>0.55000000000000004</v>
      </c>
      <c r="R3071" s="9">
        <f t="shared" si="189"/>
        <v>764.55</v>
      </c>
      <c r="S3071" s="9">
        <f>IF(R3071="",AVERAGEIF(Table1[Category],Table1[[#This Row],[Category]],Table2[orignal data]),Table2[[#This Row],[orignal data]])</f>
        <v>764.55</v>
      </c>
      <c r="T3071" t="str">
        <f t="shared" si="190"/>
        <v>UNIQUE</v>
      </c>
      <c r="U3071" t="str">
        <f>IF(ISBLANK(Table1[[#This Row],[SizeOption]]),"NOT AVAILABLE",Table1[[#This Row],[SizeOption]])</f>
        <v>26, 28, 30, 32, 34, 36</v>
      </c>
      <c r="Y3071" t="str">
        <f>IF(Table2[[#This Row],[Column1]]&gt;50%,"HIGH DISCOUNT","LOW DISCOUNT")</f>
        <v>HIGH DISCOUNT</v>
      </c>
    </row>
    <row r="3072" spans="1:25" x14ac:dyDescent="0.25">
      <c r="A3072" s="1" t="s">
        <v>6394</v>
      </c>
      <c r="B3072" s="1">
        <v>11744372</v>
      </c>
      <c r="C3072" s="1" t="s">
        <v>6395</v>
      </c>
      <c r="D3072" s="1" t="s">
        <v>15</v>
      </c>
      <c r="E3072" s="1" t="s">
        <v>16</v>
      </c>
      <c r="F3072" s="1" t="s">
        <v>17</v>
      </c>
      <c r="G3072" s="1" t="s">
        <v>6396</v>
      </c>
      <c r="H3072">
        <v>883</v>
      </c>
      <c r="I3072" s="1">
        <v>1699</v>
      </c>
      <c r="J3072" s="1" t="s">
        <v>602</v>
      </c>
      <c r="K3072" s="1" t="s">
        <v>195</v>
      </c>
      <c r="L3072" s="1">
        <v>3.9</v>
      </c>
      <c r="M3072" s="1">
        <v>596</v>
      </c>
      <c r="P3072" t="str">
        <f t="shared" si="191"/>
        <v>48%</v>
      </c>
      <c r="Q3072" s="12">
        <f t="shared" si="188"/>
        <v>0.48</v>
      </c>
      <c r="R3072" s="9">
        <f t="shared" si="189"/>
        <v>883.48</v>
      </c>
      <c r="S3072" s="9">
        <f>IF(R3072="",AVERAGEIF(Table1[Category],Table1[[#This Row],[Category]],Table2[orignal data]),Table2[[#This Row],[orignal data]])</f>
        <v>883.48</v>
      </c>
      <c r="T3072" t="str">
        <f t="shared" si="190"/>
        <v>UNIQUE</v>
      </c>
      <c r="U3072" t="str">
        <f>IF(ISBLANK(Table1[[#This Row],[SizeOption]]),"NOT AVAILABLE",Table1[[#This Row],[SizeOption]])</f>
        <v>28, 30, 32, 34, 36, 38, 40</v>
      </c>
      <c r="Y3072" t="str">
        <f>IF(Table2[[#This Row],[Column1]]&gt;50%,"HIGH DISCOUNT","LOW DISCOUNT")</f>
        <v>LOW DISCOUNT</v>
      </c>
    </row>
    <row r="3073" spans="1:25" x14ac:dyDescent="0.25">
      <c r="A3073" s="2" t="s">
        <v>6397</v>
      </c>
      <c r="B3073" s="2">
        <v>10106047</v>
      </c>
      <c r="C3073" s="2" t="s">
        <v>67</v>
      </c>
      <c r="D3073" s="2" t="s">
        <v>68</v>
      </c>
      <c r="E3073" s="2" t="s">
        <v>42</v>
      </c>
      <c r="F3073" s="2" t="s">
        <v>17</v>
      </c>
      <c r="G3073" s="2" t="s">
        <v>6398</v>
      </c>
      <c r="H3073">
        <v>314</v>
      </c>
      <c r="I3073" s="2">
        <v>899</v>
      </c>
      <c r="J3073" s="2" t="s">
        <v>150</v>
      </c>
      <c r="K3073" s="2" t="s">
        <v>39</v>
      </c>
      <c r="L3073" s="2">
        <v>4.2</v>
      </c>
      <c r="M3073" s="2">
        <v>596</v>
      </c>
      <c r="P3073" t="str">
        <f t="shared" si="191"/>
        <v>65%</v>
      </c>
      <c r="Q3073" s="12">
        <f t="shared" si="188"/>
        <v>0.65</v>
      </c>
      <c r="R3073" s="9">
        <f t="shared" si="189"/>
        <v>314.64999999999998</v>
      </c>
      <c r="S3073" s="9">
        <f>IF(R3073="",AVERAGEIF(Table1[Category],Table1[[#This Row],[Category]],Table2[orignal data]),Table2[[#This Row],[orignal data]])</f>
        <v>314.64999999999998</v>
      </c>
      <c r="T3073" t="str">
        <f t="shared" si="190"/>
        <v>UNIQUE</v>
      </c>
      <c r="U3073" t="str">
        <f>IF(ISBLANK(Table1[[#This Row],[SizeOption]]),"NOT AVAILABLE",Table1[[#This Row],[SizeOption]])</f>
        <v>S, M, L, XL, XXL</v>
      </c>
      <c r="Y3073" t="str">
        <f>IF(Table2[[#This Row],[Column1]]&gt;50%,"HIGH DISCOUNT","LOW DISCOUNT")</f>
        <v>HIGH DISCOUNT</v>
      </c>
    </row>
    <row r="3074" spans="1:25" x14ac:dyDescent="0.25">
      <c r="A3074" s="1" t="s">
        <v>6399</v>
      </c>
      <c r="B3074" s="1">
        <v>13169092</v>
      </c>
      <c r="C3074" s="1" t="s">
        <v>1489</v>
      </c>
      <c r="D3074" s="1" t="s">
        <v>76</v>
      </c>
      <c r="E3074" s="1" t="s">
        <v>77</v>
      </c>
      <c r="F3074" s="1" t="s">
        <v>36</v>
      </c>
      <c r="G3074" s="1" t="s">
        <v>6400</v>
      </c>
      <c r="H3074">
        <v>2034</v>
      </c>
      <c r="I3074" s="1">
        <v>3699</v>
      </c>
      <c r="J3074" s="1" t="s">
        <v>19</v>
      </c>
      <c r="K3074" s="1" t="s">
        <v>115</v>
      </c>
      <c r="L3074" s="1">
        <v>4.3</v>
      </c>
      <c r="M3074" s="1">
        <v>596</v>
      </c>
      <c r="P3074" t="str">
        <f t="shared" si="191"/>
        <v>45%</v>
      </c>
      <c r="Q3074" s="12">
        <f t="shared" ref="Q3074:Q3137" si="192">IF(P3074="","",IF(ISNUMBER(SEARCH("%",P3074)),P3074,P3074/I3074)*100%)</f>
        <v>0.45</v>
      </c>
      <c r="R3074" s="9">
        <f t="shared" ref="R3074:R3137" si="193">IF(P3074="","",I3074-(I3074*Q3074))</f>
        <v>2034.45</v>
      </c>
      <c r="S3074" s="9">
        <f>IF(R3074="",AVERAGEIF(Table1[Category],Table1[[#This Row],[Category]],Table2[orignal data]),Table2[[#This Row],[orignal data]])</f>
        <v>2034.45</v>
      </c>
      <c r="T3074" t="str">
        <f t="shared" ref="T3074:T3137" si="194">IF(COUNTIF($B$2:$B$5000,B3074)&gt;1,"DUPLICATE","UNIQUE")</f>
        <v>UNIQUE</v>
      </c>
      <c r="U3074" t="str">
        <f>IF(ISBLANK(Table1[[#This Row],[SizeOption]]),"NOT AVAILABLE",Table1[[#This Row],[SizeOption]])</f>
        <v>XS, S, M, L, XL, XXL</v>
      </c>
      <c r="Y3074" t="str">
        <f>IF(Table2[[#This Row],[Column1]]&gt;50%,"HIGH DISCOUNT","LOW DISCOUNT")</f>
        <v>LOW DISCOUNT</v>
      </c>
    </row>
    <row r="3075" spans="1:25" x14ac:dyDescent="0.25">
      <c r="A3075" s="2" t="s">
        <v>6401</v>
      </c>
      <c r="B3075" s="2">
        <v>11076746</v>
      </c>
      <c r="C3075" s="2" t="s">
        <v>1375</v>
      </c>
      <c r="D3075" s="2" t="s">
        <v>76</v>
      </c>
      <c r="E3075" s="2" t="s">
        <v>320</v>
      </c>
      <c r="F3075" s="2" t="s">
        <v>36</v>
      </c>
      <c r="G3075" s="2" t="s">
        <v>6402</v>
      </c>
      <c r="H3075">
        <v>1499</v>
      </c>
      <c r="I3075" s="2">
        <v>5999</v>
      </c>
      <c r="J3075" s="2" t="s">
        <v>109</v>
      </c>
      <c r="K3075" s="2" t="s">
        <v>164</v>
      </c>
      <c r="L3075" s="2">
        <v>4</v>
      </c>
      <c r="M3075" s="2">
        <v>596</v>
      </c>
      <c r="P3075" t="str">
        <f t="shared" ref="P3075:P3138" si="195">TRIM(SUBSTITUTE(SUBSTITUTE(SUBSTITUTE(SUBSTITUTE(J3075,"OFF",""),"Rs.",""),"Hurry*",""),",",""))</f>
        <v>75%</v>
      </c>
      <c r="Q3075" s="12">
        <f t="shared" si="192"/>
        <v>0.75</v>
      </c>
      <c r="R3075" s="9">
        <f t="shared" si="193"/>
        <v>1499.75</v>
      </c>
      <c r="S3075" s="9">
        <f>IF(R3075="",AVERAGEIF(Table1[Category],Table1[[#This Row],[Category]],Table2[orignal data]),Table2[[#This Row],[orignal data]])</f>
        <v>1499.75</v>
      </c>
      <c r="T3075" t="str">
        <f t="shared" si="194"/>
        <v>UNIQUE</v>
      </c>
      <c r="U3075" t="str">
        <f>IF(ISBLANK(Table1[[#This Row],[SizeOption]]),"NOT AVAILABLE",Table1[[#This Row],[SizeOption]])</f>
        <v>Onesize</v>
      </c>
      <c r="Y3075" t="str">
        <f>IF(Table2[[#This Row],[Column1]]&gt;50%,"HIGH DISCOUNT","LOW DISCOUNT")</f>
        <v>HIGH DISCOUNT</v>
      </c>
    </row>
    <row r="3076" spans="1:25" x14ac:dyDescent="0.25">
      <c r="A3076" s="1" t="s">
        <v>6403</v>
      </c>
      <c r="B3076" s="1">
        <v>12530348</v>
      </c>
      <c r="C3076" s="1" t="s">
        <v>64</v>
      </c>
      <c r="D3076" s="1" t="s">
        <v>98</v>
      </c>
      <c r="E3076" s="1" t="s">
        <v>93</v>
      </c>
      <c r="F3076" s="1" t="s">
        <v>36</v>
      </c>
      <c r="G3076" s="1" t="s">
        <v>6404</v>
      </c>
      <c r="H3076">
        <v>479</v>
      </c>
      <c r="I3076" s="1">
        <v>1199</v>
      </c>
      <c r="J3076" s="1" t="s">
        <v>141</v>
      </c>
      <c r="K3076" s="1" t="s">
        <v>234</v>
      </c>
      <c r="L3076" s="1">
        <v>4.0999999999999996</v>
      </c>
      <c r="M3076" s="1">
        <v>596</v>
      </c>
      <c r="P3076" t="str">
        <f t="shared" si="195"/>
        <v>60%</v>
      </c>
      <c r="Q3076" s="12">
        <f t="shared" si="192"/>
        <v>0.6</v>
      </c>
      <c r="R3076" s="9">
        <f t="shared" si="193"/>
        <v>479.6</v>
      </c>
      <c r="S3076" s="9">
        <f>IF(R3076="",AVERAGEIF(Table1[Category],Table1[[#This Row],[Category]],Table2[orignal data]),Table2[[#This Row],[orignal data]])</f>
        <v>479.6</v>
      </c>
      <c r="T3076" t="str">
        <f t="shared" si="194"/>
        <v>UNIQUE</v>
      </c>
      <c r="U3076" t="str">
        <f>IF(ISBLANK(Table1[[#This Row],[SizeOption]]),"NOT AVAILABLE",Table1[[#This Row],[SizeOption]])</f>
        <v>S, M, L, XL, XXL, 3XL</v>
      </c>
      <c r="Y3076" t="str">
        <f>IF(Table2[[#This Row],[Column1]]&gt;50%,"HIGH DISCOUNT","LOW DISCOUNT")</f>
        <v>HIGH DISCOUNT</v>
      </c>
    </row>
    <row r="3077" spans="1:25" x14ac:dyDescent="0.25">
      <c r="A3077" s="2" t="s">
        <v>6405</v>
      </c>
      <c r="B3077" s="2">
        <v>13532786</v>
      </c>
      <c r="C3077" s="2" t="s">
        <v>206</v>
      </c>
      <c r="D3077" s="2" t="s">
        <v>41</v>
      </c>
      <c r="E3077" s="2" t="s">
        <v>48</v>
      </c>
      <c r="F3077" s="2" t="s">
        <v>36</v>
      </c>
      <c r="G3077" s="2" t="s">
        <v>6406</v>
      </c>
      <c r="I3077" s="2">
        <v>1399</v>
      </c>
      <c r="J3077" s="2" t="s">
        <v>84</v>
      </c>
      <c r="K3077" s="2" t="s">
        <v>311</v>
      </c>
      <c r="L3077" s="2">
        <v>4</v>
      </c>
      <c r="M3077" s="2">
        <v>596</v>
      </c>
      <c r="P3077" t="str">
        <f t="shared" si="195"/>
        <v>50%</v>
      </c>
      <c r="Q3077" s="12">
        <f t="shared" si="192"/>
        <v>0.5</v>
      </c>
      <c r="R3077" s="9">
        <f t="shared" si="193"/>
        <v>699.5</v>
      </c>
      <c r="S3077" s="9">
        <f>IF(R3077="",AVERAGEIF(Table1[Category],Table1[[#This Row],[Category]],Table2[orignal data]),Table2[[#This Row],[orignal data]])</f>
        <v>699.5</v>
      </c>
      <c r="T3077" t="str">
        <f t="shared" si="194"/>
        <v>UNIQUE</v>
      </c>
      <c r="U3077" t="str">
        <f>IF(ISBLANK(Table1[[#This Row],[SizeOption]]),"NOT AVAILABLE",Table1[[#This Row],[SizeOption]])</f>
        <v>XS, S, M, L</v>
      </c>
      <c r="Y3077" t="str">
        <f>IF(Table2[[#This Row],[Column1]]&gt;50%,"HIGH DISCOUNT","LOW DISCOUNT")</f>
        <v>LOW DISCOUNT</v>
      </c>
    </row>
    <row r="3078" spans="1:25" x14ac:dyDescent="0.25">
      <c r="A3078" s="1" t="s">
        <v>6407</v>
      </c>
      <c r="B3078" s="1">
        <v>13581118</v>
      </c>
      <c r="C3078" s="1" t="s">
        <v>181</v>
      </c>
      <c r="D3078" s="1" t="s">
        <v>41</v>
      </c>
      <c r="E3078" s="1" t="s">
        <v>48</v>
      </c>
      <c r="F3078" s="1" t="s">
        <v>36</v>
      </c>
      <c r="G3078" s="1" t="s">
        <v>6408</v>
      </c>
      <c r="I3078" s="1">
        <v>1499</v>
      </c>
      <c r="J3078" s="1" t="s">
        <v>25</v>
      </c>
      <c r="K3078" s="1" t="s">
        <v>45</v>
      </c>
      <c r="L3078" s="1">
        <v>4.3</v>
      </c>
      <c r="M3078" s="1">
        <v>596</v>
      </c>
      <c r="P3078" t="str">
        <f t="shared" si="195"/>
        <v>55%</v>
      </c>
      <c r="Q3078" s="12">
        <f t="shared" si="192"/>
        <v>0.55000000000000004</v>
      </c>
      <c r="R3078" s="9">
        <f t="shared" si="193"/>
        <v>674.55</v>
      </c>
      <c r="S3078" s="9">
        <f>IF(R3078="",AVERAGEIF(Table1[Category],Table1[[#This Row],[Category]],Table2[orignal data]),Table2[[#This Row],[orignal data]])</f>
        <v>674.55</v>
      </c>
      <c r="T3078" t="str">
        <f t="shared" si="194"/>
        <v>UNIQUE</v>
      </c>
      <c r="U3078" t="str">
        <f>IF(ISBLANK(Table1[[#This Row],[SizeOption]]),"NOT AVAILABLE",Table1[[#This Row],[SizeOption]])</f>
        <v>XS, S, M, L, XL</v>
      </c>
      <c r="Y3078" t="str">
        <f>IF(Table2[[#This Row],[Column1]]&gt;50%,"HIGH DISCOUNT","LOW DISCOUNT")</f>
        <v>HIGH DISCOUNT</v>
      </c>
    </row>
    <row r="3079" spans="1:25" x14ac:dyDescent="0.25">
      <c r="A3079" s="2" t="s">
        <v>6409</v>
      </c>
      <c r="B3079" s="2">
        <v>8593717</v>
      </c>
      <c r="C3079" s="2" t="s">
        <v>14</v>
      </c>
      <c r="D3079" s="2" t="s">
        <v>41</v>
      </c>
      <c r="E3079" s="2" t="s">
        <v>48</v>
      </c>
      <c r="F3079" s="2" t="s">
        <v>36</v>
      </c>
      <c r="G3079" s="2" t="s">
        <v>6410</v>
      </c>
      <c r="I3079" s="2">
        <v>599</v>
      </c>
      <c r="J3079" s="2" t="s">
        <v>25</v>
      </c>
      <c r="K3079" s="2" t="s">
        <v>45</v>
      </c>
      <c r="L3079" s="2">
        <v>4.0999999999999996</v>
      </c>
      <c r="M3079" s="2">
        <v>596</v>
      </c>
      <c r="P3079" t="str">
        <f t="shared" si="195"/>
        <v>55%</v>
      </c>
      <c r="Q3079" s="12">
        <f t="shared" si="192"/>
        <v>0.55000000000000004</v>
      </c>
      <c r="R3079" s="9">
        <f t="shared" si="193"/>
        <v>269.54999999999995</v>
      </c>
      <c r="S3079" s="9">
        <f>IF(R3079="",AVERAGEIF(Table1[Category],Table1[[#This Row],[Category]],Table2[orignal data]),Table2[[#This Row],[orignal data]])</f>
        <v>269.54999999999995</v>
      </c>
      <c r="T3079" t="str">
        <f t="shared" si="194"/>
        <v>UNIQUE</v>
      </c>
      <c r="U3079" t="str">
        <f>IF(ISBLANK(Table1[[#This Row],[SizeOption]]),"NOT AVAILABLE",Table1[[#This Row],[SizeOption]])</f>
        <v>XS, S, M, L, XL</v>
      </c>
      <c r="Y3079" t="str">
        <f>IF(Table2[[#This Row],[Column1]]&gt;50%,"HIGH DISCOUNT","LOW DISCOUNT")</f>
        <v>HIGH DISCOUNT</v>
      </c>
    </row>
    <row r="3080" spans="1:25" x14ac:dyDescent="0.25">
      <c r="A3080" s="1" t="s">
        <v>6411</v>
      </c>
      <c r="B3080" s="1">
        <v>10778650</v>
      </c>
      <c r="C3080" s="1" t="s">
        <v>14</v>
      </c>
      <c r="D3080" s="1" t="s">
        <v>41</v>
      </c>
      <c r="E3080" s="1" t="s">
        <v>42</v>
      </c>
      <c r="F3080" s="1" t="s">
        <v>36</v>
      </c>
      <c r="G3080" s="1" t="s">
        <v>6412</v>
      </c>
      <c r="I3080" s="1">
        <v>699</v>
      </c>
      <c r="J3080" s="1" t="s">
        <v>55</v>
      </c>
      <c r="K3080" s="1" t="s">
        <v>45</v>
      </c>
      <c r="L3080" s="1">
        <v>4</v>
      </c>
      <c r="M3080" s="1">
        <v>596</v>
      </c>
      <c r="P3080" t="str">
        <f t="shared" si="195"/>
        <v>60%</v>
      </c>
      <c r="Q3080" s="12">
        <f t="shared" si="192"/>
        <v>0.6</v>
      </c>
      <c r="R3080" s="9">
        <f t="shared" si="193"/>
        <v>279.60000000000002</v>
      </c>
      <c r="S3080" s="9">
        <f>IF(R3080="",AVERAGEIF(Table1[Category],Table1[[#This Row],[Category]],Table2[orignal data]),Table2[[#This Row],[orignal data]])</f>
        <v>279.60000000000002</v>
      </c>
      <c r="T3080" t="str">
        <f t="shared" si="194"/>
        <v>UNIQUE</v>
      </c>
      <c r="U3080" t="str">
        <f>IF(ISBLANK(Table1[[#This Row],[SizeOption]]),"NOT AVAILABLE",Table1[[#This Row],[SizeOption]])</f>
        <v>XS, S, M, L, XL</v>
      </c>
      <c r="Y3080" t="str">
        <f>IF(Table2[[#This Row],[Column1]]&gt;50%,"HIGH DISCOUNT","LOW DISCOUNT")</f>
        <v>HIGH DISCOUNT</v>
      </c>
    </row>
    <row r="3081" spans="1:25" x14ac:dyDescent="0.25">
      <c r="A3081" s="2" t="s">
        <v>6413</v>
      </c>
      <c r="B3081" s="2">
        <v>6558977</v>
      </c>
      <c r="C3081" s="2" t="s">
        <v>6414</v>
      </c>
      <c r="D3081" s="2" t="s">
        <v>15</v>
      </c>
      <c r="E3081" s="2" t="s">
        <v>53</v>
      </c>
      <c r="F3081" s="2" t="s">
        <v>17</v>
      </c>
      <c r="G3081" s="2" t="s">
        <v>6415</v>
      </c>
      <c r="H3081">
        <v>899</v>
      </c>
      <c r="I3081" s="2">
        <v>2999</v>
      </c>
      <c r="J3081" s="2" t="s">
        <v>79</v>
      </c>
      <c r="K3081" s="2" t="s">
        <v>2664</v>
      </c>
      <c r="L3081" s="2">
        <v>4.2</v>
      </c>
      <c r="M3081" s="2">
        <v>595</v>
      </c>
      <c r="P3081" t="str">
        <f t="shared" si="195"/>
        <v>70%</v>
      </c>
      <c r="Q3081" s="12">
        <f t="shared" si="192"/>
        <v>0.7</v>
      </c>
      <c r="R3081" s="9">
        <f t="shared" si="193"/>
        <v>899.70000000000027</v>
      </c>
      <c r="S3081" s="9">
        <f>IF(R3081="",AVERAGEIF(Table1[Category],Table1[[#This Row],[Category]],Table2[orignal data]),Table2[[#This Row],[orignal data]])</f>
        <v>899.70000000000027</v>
      </c>
      <c r="T3081" t="str">
        <f t="shared" si="194"/>
        <v>UNIQUE</v>
      </c>
      <c r="U3081" t="str">
        <f>IF(ISBLANK(Table1[[#This Row],[SizeOption]]),"NOT AVAILABLE",Table1[[#This Row],[SizeOption]])</f>
        <v>28, 30, 32, 34, 36, 38, 40, 42</v>
      </c>
      <c r="Y3081" t="str">
        <f>IF(Table2[[#This Row],[Column1]]&gt;50%,"HIGH DISCOUNT","LOW DISCOUNT")</f>
        <v>HIGH DISCOUNT</v>
      </c>
    </row>
    <row r="3082" spans="1:25" x14ac:dyDescent="0.25">
      <c r="A3082" s="1" t="s">
        <v>6416</v>
      </c>
      <c r="B3082" s="1">
        <v>2352554</v>
      </c>
      <c r="C3082" s="1" t="s">
        <v>4545</v>
      </c>
      <c r="D3082" s="1" t="s">
        <v>28</v>
      </c>
      <c r="E3082" s="1" t="s">
        <v>42</v>
      </c>
      <c r="F3082" s="1" t="s">
        <v>17</v>
      </c>
      <c r="G3082" s="1" t="s">
        <v>6417</v>
      </c>
      <c r="H3082">
        <v>494</v>
      </c>
      <c r="I3082" s="1">
        <v>1499</v>
      </c>
      <c r="J3082" s="1" t="s">
        <v>543</v>
      </c>
      <c r="K3082" s="1" t="s">
        <v>39</v>
      </c>
      <c r="L3082" s="1">
        <v>4.0999999999999996</v>
      </c>
      <c r="M3082" s="1">
        <v>595</v>
      </c>
      <c r="P3082" t="str">
        <f t="shared" si="195"/>
        <v>67%</v>
      </c>
      <c r="Q3082" s="12">
        <f t="shared" si="192"/>
        <v>0.67</v>
      </c>
      <c r="R3082" s="9">
        <f t="shared" si="193"/>
        <v>494.66999999999996</v>
      </c>
      <c r="S3082" s="9">
        <f>IF(R3082="",AVERAGEIF(Table1[Category],Table1[[#This Row],[Category]],Table2[orignal data]),Table2[[#This Row],[orignal data]])</f>
        <v>494.66999999999996</v>
      </c>
      <c r="T3082" t="str">
        <f t="shared" si="194"/>
        <v>UNIQUE</v>
      </c>
      <c r="U3082" t="str">
        <f>IF(ISBLANK(Table1[[#This Row],[SizeOption]]),"NOT AVAILABLE",Table1[[#This Row],[SizeOption]])</f>
        <v>S, M, L, XL, XXL</v>
      </c>
      <c r="Y3082" t="str">
        <f>IF(Table2[[#This Row],[Column1]]&gt;50%,"HIGH DISCOUNT","LOW DISCOUNT")</f>
        <v>HIGH DISCOUNT</v>
      </c>
    </row>
    <row r="3083" spans="1:25" x14ac:dyDescent="0.25">
      <c r="A3083" s="2" t="s">
        <v>6418</v>
      </c>
      <c r="B3083" s="2">
        <v>10099655</v>
      </c>
      <c r="C3083" s="2" t="s">
        <v>14</v>
      </c>
      <c r="D3083" s="2" t="s">
        <v>28</v>
      </c>
      <c r="E3083" s="2" t="s">
        <v>306</v>
      </c>
      <c r="F3083" s="2" t="s">
        <v>17</v>
      </c>
      <c r="G3083" s="2" t="s">
        <v>6419</v>
      </c>
      <c r="H3083">
        <v>759</v>
      </c>
      <c r="I3083" s="2">
        <v>1899</v>
      </c>
      <c r="J3083" s="2" t="s">
        <v>55</v>
      </c>
      <c r="K3083" s="2" t="s">
        <v>26</v>
      </c>
      <c r="L3083" s="2">
        <v>4.2</v>
      </c>
      <c r="M3083" s="2">
        <v>595</v>
      </c>
      <c r="P3083" t="str">
        <f t="shared" si="195"/>
        <v>60%</v>
      </c>
      <c r="Q3083" s="12">
        <f t="shared" si="192"/>
        <v>0.6</v>
      </c>
      <c r="R3083" s="9">
        <f t="shared" si="193"/>
        <v>759.60000000000014</v>
      </c>
      <c r="S3083" s="9">
        <f>IF(R3083="",AVERAGEIF(Table1[Category],Table1[[#This Row],[Category]],Table2[orignal data]),Table2[[#This Row],[orignal data]])</f>
        <v>759.60000000000014</v>
      </c>
      <c r="T3083" t="str">
        <f t="shared" si="194"/>
        <v>UNIQUE</v>
      </c>
      <c r="U3083" t="str">
        <f>IF(ISBLANK(Table1[[#This Row],[SizeOption]]),"NOT AVAILABLE",Table1[[#This Row],[SizeOption]])</f>
        <v>S, M, L, XL</v>
      </c>
      <c r="Y3083" t="str">
        <f>IF(Table2[[#This Row],[Column1]]&gt;50%,"HIGH DISCOUNT","LOW DISCOUNT")</f>
        <v>HIGH DISCOUNT</v>
      </c>
    </row>
    <row r="3084" spans="1:25" x14ac:dyDescent="0.25">
      <c r="A3084" s="1" t="s">
        <v>6420</v>
      </c>
      <c r="B3084" s="1">
        <v>2358027</v>
      </c>
      <c r="C3084" s="1" t="s">
        <v>841</v>
      </c>
      <c r="D3084" s="1" t="s">
        <v>28</v>
      </c>
      <c r="E3084" s="1" t="s">
        <v>29</v>
      </c>
      <c r="F3084" s="1" t="s">
        <v>17</v>
      </c>
      <c r="G3084" s="1" t="s">
        <v>6421</v>
      </c>
      <c r="H3084">
        <v>899</v>
      </c>
      <c r="I3084" s="1">
        <v>1999</v>
      </c>
      <c r="J3084" s="1" t="s">
        <v>25</v>
      </c>
      <c r="K3084" s="1" t="s">
        <v>253</v>
      </c>
      <c r="L3084" s="1">
        <v>4.2</v>
      </c>
      <c r="M3084" s="1">
        <v>595</v>
      </c>
      <c r="P3084" t="str">
        <f t="shared" si="195"/>
        <v>55%</v>
      </c>
      <c r="Q3084" s="12">
        <f t="shared" si="192"/>
        <v>0.55000000000000004</v>
      </c>
      <c r="R3084" s="9">
        <f t="shared" si="193"/>
        <v>899.55</v>
      </c>
      <c r="S3084" s="9">
        <f>IF(R3084="",AVERAGEIF(Table1[Category],Table1[[#This Row],[Category]],Table2[orignal data]),Table2[[#This Row],[orignal data]])</f>
        <v>899.55</v>
      </c>
      <c r="T3084" t="str">
        <f t="shared" si="194"/>
        <v>UNIQUE</v>
      </c>
      <c r="U3084" t="str">
        <f>IF(ISBLANK(Table1[[#This Row],[SizeOption]]),"NOT AVAILABLE",Table1[[#This Row],[SizeOption]])</f>
        <v>38, 40, 42, 44</v>
      </c>
      <c r="Y3084" t="str">
        <f>IF(Table2[[#This Row],[Column1]]&gt;50%,"HIGH DISCOUNT","LOW DISCOUNT")</f>
        <v>HIGH DISCOUNT</v>
      </c>
    </row>
    <row r="3085" spans="1:25" x14ac:dyDescent="0.25">
      <c r="A3085" s="2" t="s">
        <v>6422</v>
      </c>
      <c r="B3085" s="2">
        <v>8458745</v>
      </c>
      <c r="C3085" s="2" t="s">
        <v>97</v>
      </c>
      <c r="D3085" s="2" t="s">
        <v>76</v>
      </c>
      <c r="E3085" s="2" t="s">
        <v>48</v>
      </c>
      <c r="F3085" s="2" t="s">
        <v>36</v>
      </c>
      <c r="G3085" s="2" t="s">
        <v>6423</v>
      </c>
      <c r="H3085">
        <v>934</v>
      </c>
      <c r="I3085" s="2">
        <v>1699</v>
      </c>
      <c r="J3085" s="2" t="s">
        <v>19</v>
      </c>
      <c r="K3085" s="2" t="s">
        <v>100</v>
      </c>
      <c r="L3085" s="2">
        <v>3.4</v>
      </c>
      <c r="M3085" s="2">
        <v>595</v>
      </c>
      <c r="P3085" t="str">
        <f t="shared" si="195"/>
        <v>45%</v>
      </c>
      <c r="Q3085" s="12">
        <f t="shared" si="192"/>
        <v>0.45</v>
      </c>
      <c r="R3085" s="9">
        <f t="shared" si="193"/>
        <v>934.44999999999993</v>
      </c>
      <c r="S3085" s="9">
        <f>IF(R3085="",AVERAGEIF(Table1[Category],Table1[[#This Row],[Category]],Table2[orignal data]),Table2[[#This Row],[orignal data]])</f>
        <v>934.44999999999993</v>
      </c>
      <c r="T3085" t="str">
        <f t="shared" si="194"/>
        <v>UNIQUE</v>
      </c>
      <c r="U3085" t="str">
        <f>IF(ISBLANK(Table1[[#This Row],[SizeOption]]),"NOT AVAILABLE",Table1[[#This Row],[SizeOption]])</f>
        <v>XS, S, M, L, XL, XXL, 3XL</v>
      </c>
      <c r="Y3085" t="str">
        <f>IF(Table2[[#This Row],[Column1]]&gt;50%,"HIGH DISCOUNT","LOW DISCOUNT")</f>
        <v>LOW DISCOUNT</v>
      </c>
    </row>
    <row r="3086" spans="1:25" x14ac:dyDescent="0.25">
      <c r="A3086" s="1" t="s">
        <v>6424</v>
      </c>
      <c r="B3086" s="1">
        <v>11244982</v>
      </c>
      <c r="C3086" s="1" t="s">
        <v>1375</v>
      </c>
      <c r="D3086" s="1" t="s">
        <v>76</v>
      </c>
      <c r="E3086" s="1" t="s">
        <v>320</v>
      </c>
      <c r="F3086" s="1" t="s">
        <v>36</v>
      </c>
      <c r="G3086" s="1" t="s">
        <v>6425</v>
      </c>
      <c r="H3086">
        <v>999</v>
      </c>
      <c r="I3086" s="1">
        <v>3999</v>
      </c>
      <c r="J3086" s="1" t="s">
        <v>109</v>
      </c>
      <c r="K3086" s="1" t="s">
        <v>164</v>
      </c>
      <c r="L3086" s="1">
        <v>4.2</v>
      </c>
      <c r="M3086" s="1">
        <v>595</v>
      </c>
      <c r="P3086" t="str">
        <f t="shared" si="195"/>
        <v>75%</v>
      </c>
      <c r="Q3086" s="12">
        <f t="shared" si="192"/>
        <v>0.75</v>
      </c>
      <c r="R3086" s="9">
        <f t="shared" si="193"/>
        <v>999.75</v>
      </c>
      <c r="S3086" s="9">
        <f>IF(R3086="",AVERAGEIF(Table1[Category],Table1[[#This Row],[Category]],Table2[orignal data]),Table2[[#This Row],[orignal data]])</f>
        <v>999.75</v>
      </c>
      <c r="T3086" t="str">
        <f t="shared" si="194"/>
        <v>UNIQUE</v>
      </c>
      <c r="U3086" t="str">
        <f>IF(ISBLANK(Table1[[#This Row],[SizeOption]]),"NOT AVAILABLE",Table1[[#This Row],[SizeOption]])</f>
        <v>Onesize</v>
      </c>
      <c r="Y3086" t="str">
        <f>IF(Table2[[#This Row],[Column1]]&gt;50%,"HIGH DISCOUNT","LOW DISCOUNT")</f>
        <v>HIGH DISCOUNT</v>
      </c>
    </row>
    <row r="3087" spans="1:25" x14ac:dyDescent="0.25">
      <c r="A3087" s="2" t="s">
        <v>6426</v>
      </c>
      <c r="B3087" s="2">
        <v>13905728</v>
      </c>
      <c r="C3087" s="2" t="s">
        <v>113</v>
      </c>
      <c r="D3087" s="2" t="s">
        <v>76</v>
      </c>
      <c r="E3087" s="2" t="s">
        <v>592</v>
      </c>
      <c r="F3087" s="2" t="s">
        <v>36</v>
      </c>
      <c r="G3087" s="2" t="s">
        <v>6427</v>
      </c>
      <c r="H3087">
        <v>209</v>
      </c>
      <c r="I3087" s="2">
        <v>599</v>
      </c>
      <c r="J3087" s="2" t="s">
        <v>150</v>
      </c>
      <c r="K3087" s="2" t="s">
        <v>39</v>
      </c>
      <c r="L3087" s="2">
        <v>3.5</v>
      </c>
      <c r="M3087" s="2">
        <v>595</v>
      </c>
      <c r="P3087" t="str">
        <f t="shared" si="195"/>
        <v>65%</v>
      </c>
      <c r="Q3087" s="12">
        <f t="shared" si="192"/>
        <v>0.65</v>
      </c>
      <c r="R3087" s="9">
        <f t="shared" si="193"/>
        <v>209.64999999999998</v>
      </c>
      <c r="S3087" s="9">
        <f>IF(R3087="",AVERAGEIF(Table1[Category],Table1[[#This Row],[Category]],Table2[orignal data]),Table2[[#This Row],[orignal data]])</f>
        <v>209.64999999999998</v>
      </c>
      <c r="T3087" t="str">
        <f t="shared" si="194"/>
        <v>UNIQUE</v>
      </c>
      <c r="U3087" t="str">
        <f>IF(ISBLANK(Table1[[#This Row],[SizeOption]]),"NOT AVAILABLE",Table1[[#This Row],[SizeOption]])</f>
        <v>S, M, L, XL, XXL</v>
      </c>
      <c r="Y3087" t="str">
        <f>IF(Table2[[#This Row],[Column1]]&gt;50%,"HIGH DISCOUNT","LOW DISCOUNT")</f>
        <v>HIGH DISCOUNT</v>
      </c>
    </row>
    <row r="3088" spans="1:25" x14ac:dyDescent="0.25">
      <c r="A3088" s="1" t="s">
        <v>6428</v>
      </c>
      <c r="B3088" s="1">
        <v>13897772</v>
      </c>
      <c r="C3088" s="1" t="s">
        <v>221</v>
      </c>
      <c r="D3088" s="1" t="s">
        <v>98</v>
      </c>
      <c r="E3088" s="1" t="s">
        <v>148</v>
      </c>
      <c r="F3088" s="1" t="s">
        <v>36</v>
      </c>
      <c r="G3088" s="1" t="s">
        <v>6429</v>
      </c>
      <c r="H3088">
        <v>699</v>
      </c>
      <c r="I3088" s="1">
        <v>1999</v>
      </c>
      <c r="J3088" s="1" t="s">
        <v>150</v>
      </c>
      <c r="K3088" s="1" t="s">
        <v>223</v>
      </c>
      <c r="L3088" s="1">
        <v>4.4000000000000004</v>
      </c>
      <c r="M3088" s="1">
        <v>595</v>
      </c>
      <c r="P3088" t="str">
        <f t="shared" si="195"/>
        <v>65%</v>
      </c>
      <c r="Q3088" s="12">
        <f t="shared" si="192"/>
        <v>0.65</v>
      </c>
      <c r="R3088" s="9">
        <f t="shared" si="193"/>
        <v>699.64999999999986</v>
      </c>
      <c r="S3088" s="9">
        <f>IF(R3088="",AVERAGEIF(Table1[Category],Table1[[#This Row],[Category]],Table2[orignal data]),Table2[[#This Row],[orignal data]])</f>
        <v>699.64999999999986</v>
      </c>
      <c r="T3088" t="str">
        <f t="shared" si="194"/>
        <v>UNIQUE</v>
      </c>
      <c r="U3088" t="str">
        <f>IF(ISBLANK(Table1[[#This Row],[SizeOption]]),"NOT AVAILABLE",Table1[[#This Row],[SizeOption]])</f>
        <v>S, M, L, XL, XXL, 3XL, 4XL</v>
      </c>
      <c r="Y3088" t="str">
        <f>IF(Table2[[#This Row],[Column1]]&gt;50%,"HIGH DISCOUNT","LOW DISCOUNT")</f>
        <v>HIGH DISCOUNT</v>
      </c>
    </row>
    <row r="3089" spans="1:25" x14ac:dyDescent="0.25">
      <c r="A3089" s="2" t="s">
        <v>6430</v>
      </c>
      <c r="B3089" s="2">
        <v>17524680</v>
      </c>
      <c r="C3089" s="2" t="s">
        <v>47</v>
      </c>
      <c r="D3089" s="2" t="s">
        <v>41</v>
      </c>
      <c r="E3089" s="2" t="s">
        <v>42</v>
      </c>
      <c r="F3089" s="2" t="s">
        <v>36</v>
      </c>
      <c r="G3089" s="2" t="s">
        <v>6431</v>
      </c>
      <c r="I3089" s="2">
        <v>1598</v>
      </c>
      <c r="J3089" s="2" t="s">
        <v>84</v>
      </c>
      <c r="K3089" s="2" t="s">
        <v>3215</v>
      </c>
      <c r="L3089" s="2">
        <v>4.0999999999999996</v>
      </c>
      <c r="M3089" s="2">
        <v>595</v>
      </c>
      <c r="P3089" t="str">
        <f t="shared" si="195"/>
        <v>50%</v>
      </c>
      <c r="Q3089" s="12">
        <f t="shared" si="192"/>
        <v>0.5</v>
      </c>
      <c r="R3089" s="9">
        <f t="shared" si="193"/>
        <v>799</v>
      </c>
      <c r="S3089" s="9">
        <f>IF(R3089="",AVERAGEIF(Table1[Category],Table1[[#This Row],[Category]],Table2[orignal data]),Table2[[#This Row],[orignal data]])</f>
        <v>799</v>
      </c>
      <c r="T3089" t="str">
        <f t="shared" si="194"/>
        <v>UNIQUE</v>
      </c>
      <c r="U3089" t="str">
        <f>IF(ISBLANK(Table1[[#This Row],[SizeOption]]),"NOT AVAILABLE",Table1[[#This Row],[SizeOption]])</f>
        <v>XS, XL, L, M, S</v>
      </c>
      <c r="Y3089" t="str">
        <f>IF(Table2[[#This Row],[Column1]]&gt;50%,"HIGH DISCOUNT","LOW DISCOUNT")</f>
        <v>LOW DISCOUNT</v>
      </c>
    </row>
    <row r="3090" spans="1:25" x14ac:dyDescent="0.25">
      <c r="A3090" s="1" t="s">
        <v>6432</v>
      </c>
      <c r="B3090" s="1">
        <v>11046736</v>
      </c>
      <c r="C3090" s="1" t="s">
        <v>887</v>
      </c>
      <c r="D3090" s="1" t="s">
        <v>41</v>
      </c>
      <c r="E3090" s="1" t="s">
        <v>148</v>
      </c>
      <c r="F3090" s="1" t="s">
        <v>36</v>
      </c>
      <c r="G3090" s="1" t="s">
        <v>6433</v>
      </c>
      <c r="I3090" s="1">
        <v>2400</v>
      </c>
      <c r="J3090" s="1" t="s">
        <v>476</v>
      </c>
      <c r="K3090" s="1" t="s">
        <v>26</v>
      </c>
      <c r="L3090" s="1">
        <v>4.4000000000000004</v>
      </c>
      <c r="M3090" s="1">
        <v>595</v>
      </c>
      <c r="P3090" t="str">
        <f t="shared" si="195"/>
        <v>63%</v>
      </c>
      <c r="Q3090" s="12">
        <f t="shared" si="192"/>
        <v>0.63</v>
      </c>
      <c r="R3090" s="9">
        <f t="shared" si="193"/>
        <v>888</v>
      </c>
      <c r="S3090" s="9">
        <f>IF(R3090="",AVERAGEIF(Table1[Category],Table1[[#This Row],[Category]],Table2[orignal data]),Table2[[#This Row],[orignal data]])</f>
        <v>888</v>
      </c>
      <c r="T3090" t="str">
        <f t="shared" si="194"/>
        <v>UNIQUE</v>
      </c>
      <c r="U3090" t="str">
        <f>IF(ISBLANK(Table1[[#This Row],[SizeOption]]),"NOT AVAILABLE",Table1[[#This Row],[SizeOption]])</f>
        <v>S, M, L, XL</v>
      </c>
      <c r="Y3090" t="str">
        <f>IF(Table2[[#This Row],[Column1]]&gt;50%,"HIGH DISCOUNT","LOW DISCOUNT")</f>
        <v>HIGH DISCOUNT</v>
      </c>
    </row>
    <row r="3091" spans="1:25" x14ac:dyDescent="0.25">
      <c r="A3091" s="2" t="s">
        <v>6434</v>
      </c>
      <c r="B3091" s="2">
        <v>9396259</v>
      </c>
      <c r="C3091" s="2" t="s">
        <v>4322</v>
      </c>
      <c r="D3091" s="2" t="s">
        <v>41</v>
      </c>
      <c r="E3091" s="2" t="s">
        <v>148</v>
      </c>
      <c r="F3091" s="2" t="s">
        <v>36</v>
      </c>
      <c r="G3091" s="2" t="s">
        <v>6435</v>
      </c>
      <c r="I3091" s="2">
        <v>2495</v>
      </c>
      <c r="J3091" s="2" t="s">
        <v>84</v>
      </c>
      <c r="K3091" s="2" t="s">
        <v>45</v>
      </c>
      <c r="L3091" s="2">
        <v>4.3</v>
      </c>
      <c r="M3091" s="2">
        <v>595</v>
      </c>
      <c r="P3091" t="str">
        <f t="shared" si="195"/>
        <v>50%</v>
      </c>
      <c r="Q3091" s="12">
        <f t="shared" si="192"/>
        <v>0.5</v>
      </c>
      <c r="R3091" s="9">
        <f t="shared" si="193"/>
        <v>1247.5</v>
      </c>
      <c r="S3091" s="9">
        <f>IF(R3091="",AVERAGEIF(Table1[Category],Table1[[#This Row],[Category]],Table2[orignal data]),Table2[[#This Row],[orignal data]])</f>
        <v>1247.5</v>
      </c>
      <c r="T3091" t="str">
        <f t="shared" si="194"/>
        <v>UNIQUE</v>
      </c>
      <c r="U3091" t="str">
        <f>IF(ISBLANK(Table1[[#This Row],[SizeOption]]),"NOT AVAILABLE",Table1[[#This Row],[SizeOption]])</f>
        <v>XS, S, M, L, XL</v>
      </c>
      <c r="Y3091" t="str">
        <f>IF(Table2[[#This Row],[Column1]]&gt;50%,"HIGH DISCOUNT","LOW DISCOUNT")</f>
        <v>LOW DISCOUNT</v>
      </c>
    </row>
    <row r="3092" spans="1:25" x14ac:dyDescent="0.25">
      <c r="A3092" s="1" t="s">
        <v>6436</v>
      </c>
      <c r="B3092" s="1">
        <v>7573014</v>
      </c>
      <c r="C3092" s="1" t="s">
        <v>92</v>
      </c>
      <c r="D3092" s="1" t="s">
        <v>41</v>
      </c>
      <c r="E3092" s="1" t="s">
        <v>53</v>
      </c>
      <c r="F3092" s="1" t="s">
        <v>36</v>
      </c>
      <c r="G3092" s="1" t="s">
        <v>6437</v>
      </c>
      <c r="I3092" s="1">
        <v>999</v>
      </c>
      <c r="J3092" s="1" t="s">
        <v>130</v>
      </c>
      <c r="K3092" s="1" t="s">
        <v>20</v>
      </c>
      <c r="L3092" s="1">
        <v>3.7</v>
      </c>
      <c r="M3092" s="1">
        <v>595</v>
      </c>
      <c r="P3092" t="str">
        <f t="shared" si="195"/>
        <v>57%</v>
      </c>
      <c r="Q3092" s="12">
        <f t="shared" si="192"/>
        <v>0.56999999999999995</v>
      </c>
      <c r="R3092" s="9">
        <f t="shared" si="193"/>
        <v>429.57000000000005</v>
      </c>
      <c r="S3092" s="9">
        <f>IF(R3092="",AVERAGEIF(Table1[Category],Table1[[#This Row],[Category]],Table2[orignal data]),Table2[[#This Row],[orignal data]])</f>
        <v>429.57000000000005</v>
      </c>
      <c r="T3092" t="str">
        <f t="shared" si="194"/>
        <v>UNIQUE</v>
      </c>
      <c r="U3092" t="str">
        <f>IF(ISBLANK(Table1[[#This Row],[SizeOption]]),"NOT AVAILABLE",Table1[[#This Row],[SizeOption]])</f>
        <v>28, 30, 32, 34, 36</v>
      </c>
      <c r="Y3092" t="str">
        <f>IF(Table2[[#This Row],[Column1]]&gt;50%,"HIGH DISCOUNT","LOW DISCOUNT")</f>
        <v>HIGH DISCOUNT</v>
      </c>
    </row>
    <row r="3093" spans="1:25" x14ac:dyDescent="0.25">
      <c r="A3093" s="2" t="s">
        <v>6438</v>
      </c>
      <c r="B3093" s="2">
        <v>12358332</v>
      </c>
      <c r="C3093" s="2" t="s">
        <v>14</v>
      </c>
      <c r="D3093" s="2" t="s">
        <v>15</v>
      </c>
      <c r="E3093" s="2" t="s">
        <v>16</v>
      </c>
      <c r="F3093" s="2" t="s">
        <v>17</v>
      </c>
      <c r="G3093" s="2" t="s">
        <v>6439</v>
      </c>
      <c r="H3093">
        <v>949</v>
      </c>
      <c r="I3093" s="2">
        <v>1899</v>
      </c>
      <c r="J3093" s="2" t="s">
        <v>84</v>
      </c>
      <c r="K3093" s="2" t="s">
        <v>20</v>
      </c>
      <c r="L3093" s="2">
        <v>3.5</v>
      </c>
      <c r="M3093" s="2">
        <v>594</v>
      </c>
      <c r="P3093" t="str">
        <f t="shared" si="195"/>
        <v>50%</v>
      </c>
      <c r="Q3093" s="12">
        <f t="shared" si="192"/>
        <v>0.5</v>
      </c>
      <c r="R3093" s="9">
        <f t="shared" si="193"/>
        <v>949.5</v>
      </c>
      <c r="S3093" s="9">
        <f>IF(R3093="",AVERAGEIF(Table1[Category],Table1[[#This Row],[Category]],Table2[orignal data]),Table2[[#This Row],[orignal data]])</f>
        <v>949.5</v>
      </c>
      <c r="T3093" t="str">
        <f t="shared" si="194"/>
        <v>UNIQUE</v>
      </c>
      <c r="U3093" t="str">
        <f>IF(ISBLANK(Table1[[#This Row],[SizeOption]]),"NOT AVAILABLE",Table1[[#This Row],[SizeOption]])</f>
        <v>28, 30, 32, 34, 36</v>
      </c>
      <c r="Y3093" t="str">
        <f>IF(Table2[[#This Row],[Column1]]&gt;50%,"HIGH DISCOUNT","LOW DISCOUNT")</f>
        <v>LOW DISCOUNT</v>
      </c>
    </row>
    <row r="3094" spans="1:25" x14ac:dyDescent="0.25">
      <c r="A3094" s="1" t="s">
        <v>6440</v>
      </c>
      <c r="B3094" s="1">
        <v>11315404</v>
      </c>
      <c r="C3094" s="1" t="s">
        <v>52</v>
      </c>
      <c r="D3094" s="1" t="s">
        <v>15</v>
      </c>
      <c r="E3094" s="1" t="s">
        <v>16</v>
      </c>
      <c r="F3094" s="1" t="s">
        <v>17</v>
      </c>
      <c r="G3094" s="1" t="s">
        <v>4350</v>
      </c>
      <c r="H3094">
        <v>892</v>
      </c>
      <c r="I3094" s="1">
        <v>1899</v>
      </c>
      <c r="J3094" s="1" t="s">
        <v>89</v>
      </c>
      <c r="K3094" s="1" t="s">
        <v>816</v>
      </c>
      <c r="L3094" s="1">
        <v>4</v>
      </c>
      <c r="M3094" s="1">
        <v>594</v>
      </c>
      <c r="P3094" t="str">
        <f t="shared" si="195"/>
        <v>53%</v>
      </c>
      <c r="Q3094" s="12">
        <f t="shared" si="192"/>
        <v>0.53</v>
      </c>
      <c r="R3094" s="9">
        <f t="shared" si="193"/>
        <v>892.53</v>
      </c>
      <c r="S3094" s="9">
        <f>IF(R3094="",AVERAGEIF(Table1[Category],Table1[[#This Row],[Category]],Table2[orignal data]),Table2[[#This Row],[orignal data]])</f>
        <v>892.53</v>
      </c>
      <c r="T3094" t="str">
        <f t="shared" si="194"/>
        <v>UNIQUE</v>
      </c>
      <c r="U3094" t="str">
        <f>IF(ISBLANK(Table1[[#This Row],[SizeOption]]),"NOT AVAILABLE",Table1[[#This Row],[SizeOption]])</f>
        <v>30, 32, 34, 36, 38</v>
      </c>
      <c r="Y3094" t="str">
        <f>IF(Table2[[#This Row],[Column1]]&gt;50%,"HIGH DISCOUNT","LOW DISCOUNT")</f>
        <v>HIGH DISCOUNT</v>
      </c>
    </row>
    <row r="3095" spans="1:25" x14ac:dyDescent="0.25">
      <c r="A3095" s="2" t="s">
        <v>6441</v>
      </c>
      <c r="B3095" s="2">
        <v>11267248</v>
      </c>
      <c r="C3095" s="2" t="s">
        <v>1608</v>
      </c>
      <c r="D3095" s="2" t="s">
        <v>15</v>
      </c>
      <c r="E3095" s="2" t="s">
        <v>53</v>
      </c>
      <c r="F3095" s="2" t="s">
        <v>17</v>
      </c>
      <c r="G3095" s="2" t="s">
        <v>6442</v>
      </c>
      <c r="H3095">
        <v>697</v>
      </c>
      <c r="I3095" s="2">
        <v>1549</v>
      </c>
      <c r="J3095" s="2" t="s">
        <v>25</v>
      </c>
      <c r="K3095" s="2" t="s">
        <v>56</v>
      </c>
      <c r="L3095" s="2">
        <v>4.0999999999999996</v>
      </c>
      <c r="M3095" s="2">
        <v>594</v>
      </c>
      <c r="P3095" t="str">
        <f t="shared" si="195"/>
        <v>55%</v>
      </c>
      <c r="Q3095" s="12">
        <f t="shared" si="192"/>
        <v>0.55000000000000004</v>
      </c>
      <c r="R3095" s="9">
        <f t="shared" si="193"/>
        <v>697.05</v>
      </c>
      <c r="S3095" s="9">
        <f>IF(R3095="",AVERAGEIF(Table1[Category],Table1[[#This Row],[Category]],Table2[orignal data]),Table2[[#This Row],[orignal data]])</f>
        <v>697.05</v>
      </c>
      <c r="T3095" t="str">
        <f t="shared" si="194"/>
        <v>UNIQUE</v>
      </c>
      <c r="U3095" t="str">
        <f>IF(ISBLANK(Table1[[#This Row],[SizeOption]]),"NOT AVAILABLE",Table1[[#This Row],[SizeOption]])</f>
        <v>30, 32, 34, 36</v>
      </c>
      <c r="Y3095" t="str">
        <f>IF(Table2[[#This Row],[Column1]]&gt;50%,"HIGH DISCOUNT","LOW DISCOUNT")</f>
        <v>HIGH DISCOUNT</v>
      </c>
    </row>
    <row r="3096" spans="1:25" x14ac:dyDescent="0.25">
      <c r="A3096" s="1" t="s">
        <v>6443</v>
      </c>
      <c r="B3096" s="1">
        <v>11949510</v>
      </c>
      <c r="C3096" s="1" t="s">
        <v>5462</v>
      </c>
      <c r="D3096" s="1" t="s">
        <v>197</v>
      </c>
      <c r="E3096" s="1" t="s">
        <v>198</v>
      </c>
      <c r="F3096" s="1" t="s">
        <v>17</v>
      </c>
      <c r="G3096" s="1" t="s">
        <v>6444</v>
      </c>
      <c r="I3096" s="1">
        <v>299</v>
      </c>
      <c r="J3096" s="1"/>
      <c r="K3096" s="1" t="s">
        <v>6445</v>
      </c>
      <c r="L3096" s="1">
        <v>4.4000000000000004</v>
      </c>
      <c r="M3096" s="1">
        <v>594</v>
      </c>
      <c r="P3096" t="str">
        <f t="shared" si="195"/>
        <v/>
      </c>
      <c r="Q3096" s="12" t="str">
        <f t="shared" si="192"/>
        <v/>
      </c>
      <c r="R3096" s="9" t="str">
        <f t="shared" si="193"/>
        <v/>
      </c>
      <c r="S3096" s="9">
        <f>IF(R3096="",AVERAGEIF(Table1[Category],Table1[[#This Row],[Category]],Table2[orignal data]),Table2[[#This Row],[orignal data]])</f>
        <v>552.70900000000006</v>
      </c>
      <c r="T3096" t="str">
        <f t="shared" si="194"/>
        <v>UNIQUE</v>
      </c>
      <c r="U3096" t="str">
        <f>IF(ISBLANK(Table1[[#This Row],[SizeOption]]),"NOT AVAILABLE",Table1[[#This Row],[SizeOption]])</f>
        <v xml:space="preserve">Pack, </v>
      </c>
      <c r="Y3096" t="str">
        <f>IF(Table2[[#This Row],[Column1]]&gt;50%,"HIGH DISCOUNT","LOW DISCOUNT")</f>
        <v>HIGH DISCOUNT</v>
      </c>
    </row>
    <row r="3097" spans="1:25" x14ac:dyDescent="0.25">
      <c r="A3097" s="2" t="s">
        <v>6446</v>
      </c>
      <c r="B3097" s="2">
        <v>13815384</v>
      </c>
      <c r="C3097" s="2" t="s">
        <v>52</v>
      </c>
      <c r="D3097" s="2" t="s">
        <v>28</v>
      </c>
      <c r="E3097" s="2" t="s">
        <v>29</v>
      </c>
      <c r="F3097" s="2" t="s">
        <v>17</v>
      </c>
      <c r="G3097" s="2" t="s">
        <v>6447</v>
      </c>
      <c r="H3097">
        <v>493</v>
      </c>
      <c r="I3097" s="2">
        <v>1049</v>
      </c>
      <c r="J3097" s="2" t="s">
        <v>89</v>
      </c>
      <c r="K3097" s="2" t="s">
        <v>90</v>
      </c>
      <c r="L3097" s="2">
        <v>4.2</v>
      </c>
      <c r="M3097" s="2">
        <v>594</v>
      </c>
      <c r="P3097" t="str">
        <f t="shared" si="195"/>
        <v>53%</v>
      </c>
      <c r="Q3097" s="12">
        <f t="shared" si="192"/>
        <v>0.53</v>
      </c>
      <c r="R3097" s="9">
        <f t="shared" si="193"/>
        <v>493.03</v>
      </c>
      <c r="S3097" s="9">
        <f>IF(R3097="",AVERAGEIF(Table1[Category],Table1[[#This Row],[Category]],Table2[orignal data]),Table2[[#This Row],[orignal data]])</f>
        <v>493.03</v>
      </c>
      <c r="T3097" t="str">
        <f t="shared" si="194"/>
        <v>UNIQUE</v>
      </c>
      <c r="U3097" t="str">
        <f>IF(ISBLANK(Table1[[#This Row],[SizeOption]]),"NOT AVAILABLE",Table1[[#This Row],[SizeOption]])</f>
        <v>39, 40, 42, 44</v>
      </c>
      <c r="Y3097" t="str">
        <f>IF(Table2[[#This Row],[Column1]]&gt;50%,"HIGH DISCOUNT","LOW DISCOUNT")</f>
        <v>HIGH DISCOUNT</v>
      </c>
    </row>
    <row r="3098" spans="1:25" x14ac:dyDescent="0.25">
      <c r="A3098" s="1" t="s">
        <v>6448</v>
      </c>
      <c r="B3098" s="1">
        <v>2391095</v>
      </c>
      <c r="C3098" s="1" t="s">
        <v>841</v>
      </c>
      <c r="D3098" s="1" t="s">
        <v>28</v>
      </c>
      <c r="E3098" s="1" t="s">
        <v>29</v>
      </c>
      <c r="F3098" s="1" t="s">
        <v>17</v>
      </c>
      <c r="G3098" s="1" t="s">
        <v>6449</v>
      </c>
      <c r="H3098">
        <v>899</v>
      </c>
      <c r="I3098" s="1">
        <v>1999</v>
      </c>
      <c r="J3098" s="1" t="s">
        <v>25</v>
      </c>
      <c r="K3098" s="1" t="s">
        <v>253</v>
      </c>
      <c r="L3098" s="1">
        <v>4</v>
      </c>
      <c r="M3098" s="1">
        <v>594</v>
      </c>
      <c r="P3098" t="str">
        <f t="shared" si="195"/>
        <v>55%</v>
      </c>
      <c r="Q3098" s="12">
        <f t="shared" si="192"/>
        <v>0.55000000000000004</v>
      </c>
      <c r="R3098" s="9">
        <f t="shared" si="193"/>
        <v>899.55</v>
      </c>
      <c r="S3098" s="9">
        <f>IF(R3098="",AVERAGEIF(Table1[Category],Table1[[#This Row],[Category]],Table2[orignal data]),Table2[[#This Row],[orignal data]])</f>
        <v>899.55</v>
      </c>
      <c r="T3098" t="str">
        <f t="shared" si="194"/>
        <v>UNIQUE</v>
      </c>
      <c r="U3098" t="str">
        <f>IF(ISBLANK(Table1[[#This Row],[SizeOption]]),"NOT AVAILABLE",Table1[[#This Row],[SizeOption]])</f>
        <v>38, 40, 42, 44</v>
      </c>
      <c r="Y3098" t="str">
        <f>IF(Table2[[#This Row],[Column1]]&gt;50%,"HIGH DISCOUNT","LOW DISCOUNT")</f>
        <v>HIGH DISCOUNT</v>
      </c>
    </row>
    <row r="3099" spans="1:25" x14ac:dyDescent="0.25">
      <c r="A3099" s="2" t="s">
        <v>6450</v>
      </c>
      <c r="B3099" s="2">
        <v>10381773</v>
      </c>
      <c r="C3099" s="2" t="s">
        <v>319</v>
      </c>
      <c r="D3099" s="2" t="s">
        <v>76</v>
      </c>
      <c r="E3099" s="2" t="s">
        <v>320</v>
      </c>
      <c r="F3099" s="2" t="s">
        <v>36</v>
      </c>
      <c r="G3099" s="2" t="s">
        <v>6451</v>
      </c>
      <c r="H3099">
        <v>1231</v>
      </c>
      <c r="I3099" s="2">
        <v>2798</v>
      </c>
      <c r="J3099" s="2" t="s">
        <v>1204</v>
      </c>
      <c r="K3099" s="2" t="s">
        <v>164</v>
      </c>
      <c r="L3099" s="2">
        <v>4.0999999999999996</v>
      </c>
      <c r="M3099" s="2">
        <v>594</v>
      </c>
      <c r="P3099" t="str">
        <f t="shared" si="195"/>
        <v>56%</v>
      </c>
      <c r="Q3099" s="12">
        <f t="shared" si="192"/>
        <v>0.56000000000000005</v>
      </c>
      <c r="R3099" s="9">
        <f t="shared" si="193"/>
        <v>1231.1199999999999</v>
      </c>
      <c r="S3099" s="9">
        <f>IF(R3099="",AVERAGEIF(Table1[Category],Table1[[#This Row],[Category]],Table2[orignal data]),Table2[[#This Row],[orignal data]])</f>
        <v>1231.1199999999999</v>
      </c>
      <c r="T3099" t="str">
        <f t="shared" si="194"/>
        <v>UNIQUE</v>
      </c>
      <c r="U3099" t="str">
        <f>IF(ISBLANK(Table1[[#This Row],[SizeOption]]),"NOT AVAILABLE",Table1[[#This Row],[SizeOption]])</f>
        <v>Onesize</v>
      </c>
      <c r="Y3099" t="str">
        <f>IF(Table2[[#This Row],[Column1]]&gt;50%,"HIGH DISCOUNT","LOW DISCOUNT")</f>
        <v>HIGH DISCOUNT</v>
      </c>
    </row>
    <row r="3100" spans="1:25" x14ac:dyDescent="0.25">
      <c r="A3100" s="1" t="s">
        <v>6452</v>
      </c>
      <c r="B3100" s="1">
        <v>1485453</v>
      </c>
      <c r="C3100" s="1" t="s">
        <v>2479</v>
      </c>
      <c r="D3100" s="1" t="s">
        <v>76</v>
      </c>
      <c r="E3100" s="1" t="s">
        <v>320</v>
      </c>
      <c r="F3100" s="1" t="s">
        <v>36</v>
      </c>
      <c r="G3100" s="1" t="s">
        <v>6453</v>
      </c>
      <c r="H3100">
        <v>2145</v>
      </c>
      <c r="I3100" s="1">
        <v>5500</v>
      </c>
      <c r="J3100" s="1" t="s">
        <v>104</v>
      </c>
      <c r="K3100" s="1" t="s">
        <v>164</v>
      </c>
      <c r="L3100" s="1">
        <v>3.9</v>
      </c>
      <c r="M3100" s="1">
        <v>594</v>
      </c>
      <c r="P3100" t="str">
        <f t="shared" si="195"/>
        <v>61%</v>
      </c>
      <c r="Q3100" s="12">
        <f t="shared" si="192"/>
        <v>0.61</v>
      </c>
      <c r="R3100" s="9">
        <f t="shared" si="193"/>
        <v>2145</v>
      </c>
      <c r="S3100" s="9">
        <f>IF(R3100="",AVERAGEIF(Table1[Category],Table1[[#This Row],[Category]],Table2[orignal data]),Table2[[#This Row],[orignal data]])</f>
        <v>2145</v>
      </c>
      <c r="T3100" t="str">
        <f t="shared" si="194"/>
        <v>UNIQUE</v>
      </c>
      <c r="U3100" t="str">
        <f>IF(ISBLANK(Table1[[#This Row],[SizeOption]]),"NOT AVAILABLE",Table1[[#This Row],[SizeOption]])</f>
        <v>Onesize</v>
      </c>
      <c r="Y3100" t="str">
        <f>IF(Table2[[#This Row],[Column1]]&gt;50%,"HIGH DISCOUNT","LOW DISCOUNT")</f>
        <v>HIGH DISCOUNT</v>
      </c>
    </row>
    <row r="3101" spans="1:25" x14ac:dyDescent="0.25">
      <c r="A3101" s="2" t="s">
        <v>6454</v>
      </c>
      <c r="B3101" s="2">
        <v>10565570</v>
      </c>
      <c r="C3101" s="2" t="s">
        <v>67</v>
      </c>
      <c r="D3101" s="2" t="s">
        <v>68</v>
      </c>
      <c r="E3101" s="2" t="s">
        <v>42</v>
      </c>
      <c r="F3101" s="2" t="s">
        <v>36</v>
      </c>
      <c r="G3101" s="2" t="s">
        <v>6455</v>
      </c>
      <c r="H3101">
        <v>494</v>
      </c>
      <c r="I3101" s="2">
        <v>1099</v>
      </c>
      <c r="J3101" s="2" t="s">
        <v>25</v>
      </c>
      <c r="K3101" s="2" t="s">
        <v>45</v>
      </c>
      <c r="L3101" s="2">
        <v>4.4000000000000004</v>
      </c>
      <c r="M3101" s="2">
        <v>594</v>
      </c>
      <c r="P3101" t="str">
        <f t="shared" si="195"/>
        <v>55%</v>
      </c>
      <c r="Q3101" s="12">
        <f t="shared" si="192"/>
        <v>0.55000000000000004</v>
      </c>
      <c r="R3101" s="9">
        <f t="shared" si="193"/>
        <v>494.54999999999995</v>
      </c>
      <c r="S3101" s="9">
        <f>IF(R3101="",AVERAGEIF(Table1[Category],Table1[[#This Row],[Category]],Table2[orignal data]),Table2[[#This Row],[orignal data]])</f>
        <v>494.54999999999995</v>
      </c>
      <c r="T3101" t="str">
        <f t="shared" si="194"/>
        <v>UNIQUE</v>
      </c>
      <c r="U3101" t="str">
        <f>IF(ISBLANK(Table1[[#This Row],[SizeOption]]),"NOT AVAILABLE",Table1[[#This Row],[SizeOption]])</f>
        <v>XS, S, M, L, XL</v>
      </c>
      <c r="Y3101" t="str">
        <f>IF(Table2[[#This Row],[Column1]]&gt;50%,"HIGH DISCOUNT","LOW DISCOUNT")</f>
        <v>HIGH DISCOUNT</v>
      </c>
    </row>
    <row r="3102" spans="1:25" x14ac:dyDescent="0.25">
      <c r="A3102" s="1" t="s">
        <v>6456</v>
      </c>
      <c r="B3102" s="1">
        <v>12178094</v>
      </c>
      <c r="C3102" s="1" t="s">
        <v>14</v>
      </c>
      <c r="D3102" s="1" t="s">
        <v>41</v>
      </c>
      <c r="E3102" s="1" t="s">
        <v>189</v>
      </c>
      <c r="F3102" s="1" t="s">
        <v>36</v>
      </c>
      <c r="G3102" s="1" t="s">
        <v>6457</v>
      </c>
      <c r="I3102" s="1">
        <v>2499</v>
      </c>
      <c r="J3102" s="1" t="s">
        <v>25</v>
      </c>
      <c r="K3102" s="1" t="s">
        <v>115</v>
      </c>
      <c r="L3102" s="1">
        <v>4.5</v>
      </c>
      <c r="M3102" s="1">
        <v>594</v>
      </c>
      <c r="P3102" t="str">
        <f t="shared" si="195"/>
        <v>55%</v>
      </c>
      <c r="Q3102" s="12">
        <f t="shared" si="192"/>
        <v>0.55000000000000004</v>
      </c>
      <c r="R3102" s="9">
        <f t="shared" si="193"/>
        <v>1124.55</v>
      </c>
      <c r="S3102" s="9">
        <f>IF(R3102="",AVERAGEIF(Table1[Category],Table1[[#This Row],[Category]],Table2[orignal data]),Table2[[#This Row],[orignal data]])</f>
        <v>1124.55</v>
      </c>
      <c r="T3102" t="str">
        <f t="shared" si="194"/>
        <v>UNIQUE</v>
      </c>
      <c r="U3102" t="str">
        <f>IF(ISBLANK(Table1[[#This Row],[SizeOption]]),"NOT AVAILABLE",Table1[[#This Row],[SizeOption]])</f>
        <v>XS, S, M, L, XL, XXL</v>
      </c>
      <c r="Y3102" t="str">
        <f>IF(Table2[[#This Row],[Column1]]&gt;50%,"HIGH DISCOUNT","LOW DISCOUNT")</f>
        <v>HIGH DISCOUNT</v>
      </c>
    </row>
    <row r="3103" spans="1:25" x14ac:dyDescent="0.25">
      <c r="A3103" s="2" t="s">
        <v>6458</v>
      </c>
      <c r="B3103" s="2">
        <v>11243924</v>
      </c>
      <c r="C3103" s="2" t="s">
        <v>1322</v>
      </c>
      <c r="D3103" s="2" t="s">
        <v>41</v>
      </c>
      <c r="E3103" s="2" t="s">
        <v>592</v>
      </c>
      <c r="F3103" s="2" t="s">
        <v>36</v>
      </c>
      <c r="G3103" s="2" t="s">
        <v>6459</v>
      </c>
      <c r="I3103" s="2">
        <v>549</v>
      </c>
      <c r="J3103" s="2"/>
      <c r="K3103" s="2" t="s">
        <v>352</v>
      </c>
      <c r="L3103" s="2">
        <v>4.5</v>
      </c>
      <c r="M3103" s="2">
        <v>594</v>
      </c>
      <c r="P3103" t="str">
        <f t="shared" si="195"/>
        <v/>
      </c>
      <c r="Q3103" s="12" t="str">
        <f t="shared" si="192"/>
        <v/>
      </c>
      <c r="R3103" s="9" t="str">
        <f t="shared" si="193"/>
        <v/>
      </c>
      <c r="S3103" s="9">
        <f>IF(R3103="",AVERAGEIF(Table1[Category],Table1[[#This Row],[Category]],Table2[orignal data]),Table2[[#This Row],[orignal data]])</f>
        <v>715.78890751086249</v>
      </c>
      <c r="T3103" t="str">
        <f t="shared" si="194"/>
        <v>UNIQUE</v>
      </c>
      <c r="U3103" t="str">
        <f>IF(ISBLANK(Table1[[#This Row],[SizeOption]]),"NOT AVAILABLE",Table1[[#This Row],[SizeOption]])</f>
        <v>S, M, L</v>
      </c>
      <c r="Y3103" t="str">
        <f>IF(Table2[[#This Row],[Column1]]&gt;50%,"HIGH DISCOUNT","LOW DISCOUNT")</f>
        <v>HIGH DISCOUNT</v>
      </c>
    </row>
    <row r="3104" spans="1:25" x14ac:dyDescent="0.25">
      <c r="A3104" s="1" t="s">
        <v>6460</v>
      </c>
      <c r="B3104" s="1">
        <v>11893686</v>
      </c>
      <c r="C3104" s="1" t="s">
        <v>14</v>
      </c>
      <c r="D3104" s="1" t="s">
        <v>41</v>
      </c>
      <c r="E3104" s="1" t="s">
        <v>42</v>
      </c>
      <c r="F3104" s="1" t="s">
        <v>36</v>
      </c>
      <c r="G3104" s="1" t="s">
        <v>6461</v>
      </c>
      <c r="I3104" s="1">
        <v>599</v>
      </c>
      <c r="J3104" s="1" t="s">
        <v>186</v>
      </c>
      <c r="K3104" s="1" t="s">
        <v>45</v>
      </c>
      <c r="L3104" s="1">
        <v>4.2</v>
      </c>
      <c r="M3104" s="1">
        <v>594</v>
      </c>
      <c r="P3104" t="str">
        <f t="shared" si="195"/>
        <v>30%</v>
      </c>
      <c r="Q3104" s="12">
        <f t="shared" si="192"/>
        <v>0.3</v>
      </c>
      <c r="R3104" s="9">
        <f t="shared" si="193"/>
        <v>419.3</v>
      </c>
      <c r="S3104" s="9">
        <f>IF(R3104="",AVERAGEIF(Table1[Category],Table1[[#This Row],[Category]],Table2[orignal data]),Table2[[#This Row],[orignal data]])</f>
        <v>419.3</v>
      </c>
      <c r="T3104" t="str">
        <f t="shared" si="194"/>
        <v>UNIQUE</v>
      </c>
      <c r="U3104" t="str">
        <f>IF(ISBLANK(Table1[[#This Row],[SizeOption]]),"NOT AVAILABLE",Table1[[#This Row],[SizeOption]])</f>
        <v>XS, S, M, L, XL</v>
      </c>
      <c r="Y3104" t="str">
        <f>IF(Table2[[#This Row],[Column1]]&gt;50%,"HIGH DISCOUNT","LOW DISCOUNT")</f>
        <v>LOW DISCOUNT</v>
      </c>
    </row>
    <row r="3105" spans="1:25" x14ac:dyDescent="0.25">
      <c r="A3105" s="2" t="s">
        <v>6462</v>
      </c>
      <c r="B3105" s="2">
        <v>8962449</v>
      </c>
      <c r="C3105" s="2" t="s">
        <v>14</v>
      </c>
      <c r="D3105" s="2" t="s">
        <v>15</v>
      </c>
      <c r="E3105" s="2" t="s">
        <v>16</v>
      </c>
      <c r="F3105" s="2" t="s">
        <v>17</v>
      </c>
      <c r="G3105" s="2" t="s">
        <v>1494</v>
      </c>
      <c r="I3105" s="2">
        <v>1999</v>
      </c>
      <c r="J3105" s="2"/>
      <c r="K3105" s="2" t="s">
        <v>134</v>
      </c>
      <c r="L3105" s="2">
        <v>3.6</v>
      </c>
      <c r="M3105" s="2">
        <v>593</v>
      </c>
      <c r="P3105" t="str">
        <f t="shared" si="195"/>
        <v/>
      </c>
      <c r="Q3105" s="12" t="str">
        <f t="shared" si="192"/>
        <v/>
      </c>
      <c r="R3105" s="9" t="str">
        <f t="shared" si="193"/>
        <v/>
      </c>
      <c r="S3105" s="9">
        <f>IF(R3105="",AVERAGEIF(Table1[Category],Table1[[#This Row],[Category]],Table2[orignal data]),Table2[[#This Row],[orignal data]])</f>
        <v>892.27590339892538</v>
      </c>
      <c r="T3105" t="str">
        <f t="shared" si="194"/>
        <v>UNIQUE</v>
      </c>
      <c r="U3105" t="str">
        <f>IF(ISBLANK(Table1[[#This Row],[SizeOption]]),"NOT AVAILABLE",Table1[[#This Row],[SizeOption]])</f>
        <v>26, 28, 30, 32, 34, 36</v>
      </c>
      <c r="Y3105" t="str">
        <f>IF(Table2[[#This Row],[Column1]]&gt;50%,"HIGH DISCOUNT","LOW DISCOUNT")</f>
        <v>HIGH DISCOUNT</v>
      </c>
    </row>
    <row r="3106" spans="1:25" x14ac:dyDescent="0.25">
      <c r="A3106" s="1" t="s">
        <v>6463</v>
      </c>
      <c r="B3106" s="1">
        <v>10861802</v>
      </c>
      <c r="C3106" s="1" t="s">
        <v>794</v>
      </c>
      <c r="D3106" s="1" t="s">
        <v>197</v>
      </c>
      <c r="E3106" s="1" t="s">
        <v>518</v>
      </c>
      <c r="F3106" s="1" t="s">
        <v>17</v>
      </c>
      <c r="G3106" s="1" t="s">
        <v>6464</v>
      </c>
      <c r="H3106">
        <v>1079</v>
      </c>
      <c r="I3106" s="1">
        <v>1199</v>
      </c>
      <c r="J3106" s="1" t="s">
        <v>1005</v>
      </c>
      <c r="K3106" s="1" t="s">
        <v>39</v>
      </c>
      <c r="L3106" s="1">
        <v>4.5</v>
      </c>
      <c r="M3106" s="1">
        <v>593</v>
      </c>
      <c r="P3106" t="str">
        <f t="shared" si="195"/>
        <v>10%</v>
      </c>
      <c r="Q3106" s="12">
        <f t="shared" si="192"/>
        <v>0.1</v>
      </c>
      <c r="R3106" s="9">
        <f t="shared" si="193"/>
        <v>1079.0999999999999</v>
      </c>
      <c r="S3106" s="9">
        <f>IF(R3106="",AVERAGEIF(Table1[Category],Table1[[#This Row],[Category]],Table2[orignal data]),Table2[[#This Row],[orignal data]])</f>
        <v>1079.0999999999999</v>
      </c>
      <c r="T3106" t="str">
        <f t="shared" si="194"/>
        <v>UNIQUE</v>
      </c>
      <c r="U3106" t="str">
        <f>IF(ISBLANK(Table1[[#This Row],[SizeOption]]),"NOT AVAILABLE",Table1[[#This Row],[SizeOption]])</f>
        <v>S, M, L, XL, XXL</v>
      </c>
      <c r="Y3106" t="str">
        <f>IF(Table2[[#This Row],[Column1]]&gt;50%,"HIGH DISCOUNT","LOW DISCOUNT")</f>
        <v>LOW DISCOUNT</v>
      </c>
    </row>
    <row r="3107" spans="1:25" x14ac:dyDescent="0.25">
      <c r="A3107" s="2" t="s">
        <v>6465</v>
      </c>
      <c r="B3107" s="2">
        <v>17977616</v>
      </c>
      <c r="C3107" s="2" t="s">
        <v>794</v>
      </c>
      <c r="D3107" s="2" t="s">
        <v>197</v>
      </c>
      <c r="E3107" s="2" t="s">
        <v>2168</v>
      </c>
      <c r="F3107" s="2" t="s">
        <v>17</v>
      </c>
      <c r="G3107" s="2" t="s">
        <v>6466</v>
      </c>
      <c r="I3107" s="2">
        <v>1648</v>
      </c>
      <c r="J3107" s="2"/>
      <c r="K3107" s="2" t="s">
        <v>352</v>
      </c>
      <c r="L3107" s="2">
        <v>4.4000000000000004</v>
      </c>
      <c r="M3107" s="2">
        <v>593</v>
      </c>
      <c r="P3107" t="str">
        <f t="shared" si="195"/>
        <v/>
      </c>
      <c r="Q3107" s="12" t="str">
        <f t="shared" si="192"/>
        <v/>
      </c>
      <c r="R3107" s="9" t="str">
        <f t="shared" si="193"/>
        <v/>
      </c>
      <c r="S3107" s="9">
        <f>IF(R3107="",AVERAGEIF(Table1[Category],Table1[[#This Row],[Category]],Table2[orignal data]),Table2[[#This Row],[orignal data]])</f>
        <v>552.70900000000006</v>
      </c>
      <c r="T3107" t="str">
        <f t="shared" si="194"/>
        <v>UNIQUE</v>
      </c>
      <c r="U3107" t="str">
        <f>IF(ISBLANK(Table1[[#This Row],[SizeOption]]),"NOT AVAILABLE",Table1[[#This Row],[SizeOption]])</f>
        <v>S, M, L</v>
      </c>
      <c r="Y3107" t="str">
        <f>IF(Table2[[#This Row],[Column1]]&gt;50%,"HIGH DISCOUNT","LOW DISCOUNT")</f>
        <v>HIGH DISCOUNT</v>
      </c>
    </row>
    <row r="3108" spans="1:25" x14ac:dyDescent="0.25">
      <c r="A3108" s="1" t="s">
        <v>6467</v>
      </c>
      <c r="B3108" s="1">
        <v>2170644</v>
      </c>
      <c r="C3108" s="1" t="s">
        <v>67</v>
      </c>
      <c r="D3108" s="1" t="s">
        <v>68</v>
      </c>
      <c r="E3108" s="1" t="s">
        <v>189</v>
      </c>
      <c r="F3108" s="1" t="s">
        <v>17</v>
      </c>
      <c r="G3108" s="1" t="s">
        <v>6468</v>
      </c>
      <c r="H3108">
        <v>909</v>
      </c>
      <c r="I3108" s="1">
        <v>2599</v>
      </c>
      <c r="J3108" s="1" t="s">
        <v>150</v>
      </c>
      <c r="K3108" s="1" t="s">
        <v>39</v>
      </c>
      <c r="L3108" s="1">
        <v>3.8</v>
      </c>
      <c r="M3108" s="1">
        <v>593</v>
      </c>
      <c r="P3108" t="str">
        <f t="shared" si="195"/>
        <v>65%</v>
      </c>
      <c r="Q3108" s="12">
        <f t="shared" si="192"/>
        <v>0.65</v>
      </c>
      <c r="R3108" s="9">
        <f t="shared" si="193"/>
        <v>909.64999999999986</v>
      </c>
      <c r="S3108" s="9">
        <f>IF(R3108="",AVERAGEIF(Table1[Category],Table1[[#This Row],[Category]],Table2[orignal data]),Table2[[#This Row],[orignal data]])</f>
        <v>909.64999999999986</v>
      </c>
      <c r="T3108" t="str">
        <f t="shared" si="194"/>
        <v>UNIQUE</v>
      </c>
      <c r="U3108" t="str">
        <f>IF(ISBLANK(Table1[[#This Row],[SizeOption]]),"NOT AVAILABLE",Table1[[#This Row],[SizeOption]])</f>
        <v>S, M, L, XL, XXL</v>
      </c>
      <c r="Y3108" t="str">
        <f>IF(Table2[[#This Row],[Column1]]&gt;50%,"HIGH DISCOUNT","LOW DISCOUNT")</f>
        <v>HIGH DISCOUNT</v>
      </c>
    </row>
    <row r="3109" spans="1:25" x14ac:dyDescent="0.25">
      <c r="A3109" s="2" t="s">
        <v>6469</v>
      </c>
      <c r="B3109" s="2">
        <v>4149376</v>
      </c>
      <c r="C3109" s="2" t="s">
        <v>47</v>
      </c>
      <c r="D3109" s="2" t="s">
        <v>28</v>
      </c>
      <c r="E3109" s="2" t="s">
        <v>42</v>
      </c>
      <c r="F3109" s="2" t="s">
        <v>17</v>
      </c>
      <c r="G3109" s="2" t="s">
        <v>6470</v>
      </c>
      <c r="H3109">
        <v>649</v>
      </c>
      <c r="I3109" s="2">
        <v>1299</v>
      </c>
      <c r="J3109" s="2" t="s">
        <v>84</v>
      </c>
      <c r="K3109" s="2" t="s">
        <v>26</v>
      </c>
      <c r="L3109" s="2">
        <v>4</v>
      </c>
      <c r="M3109" s="2">
        <v>593</v>
      </c>
      <c r="P3109" t="str">
        <f t="shared" si="195"/>
        <v>50%</v>
      </c>
      <c r="Q3109" s="12">
        <f t="shared" si="192"/>
        <v>0.5</v>
      </c>
      <c r="R3109" s="9">
        <f t="shared" si="193"/>
        <v>649.5</v>
      </c>
      <c r="S3109" s="9">
        <f>IF(R3109="",AVERAGEIF(Table1[Category],Table1[[#This Row],[Category]],Table2[orignal data]),Table2[[#This Row],[orignal data]])</f>
        <v>649.5</v>
      </c>
      <c r="T3109" t="str">
        <f t="shared" si="194"/>
        <v>UNIQUE</v>
      </c>
      <c r="U3109" t="str">
        <f>IF(ISBLANK(Table1[[#This Row],[SizeOption]]),"NOT AVAILABLE",Table1[[#This Row],[SizeOption]])</f>
        <v>S, M, L, XL</v>
      </c>
      <c r="Y3109" t="str">
        <f>IF(Table2[[#This Row],[Column1]]&gt;50%,"HIGH DISCOUNT","LOW DISCOUNT")</f>
        <v>LOW DISCOUNT</v>
      </c>
    </row>
    <row r="3110" spans="1:25" x14ac:dyDescent="0.25">
      <c r="A3110" s="1" t="s">
        <v>6471</v>
      </c>
      <c r="B3110" s="1">
        <v>9370997</v>
      </c>
      <c r="C3110" s="1" t="s">
        <v>97</v>
      </c>
      <c r="D3110" s="1" t="s">
        <v>76</v>
      </c>
      <c r="E3110" s="1" t="s">
        <v>93</v>
      </c>
      <c r="F3110" s="1" t="s">
        <v>36</v>
      </c>
      <c r="G3110" s="1" t="s">
        <v>6472</v>
      </c>
      <c r="H3110">
        <v>674</v>
      </c>
      <c r="I3110" s="1">
        <v>1499</v>
      </c>
      <c r="J3110" s="1" t="s">
        <v>25</v>
      </c>
      <c r="K3110" s="1" t="s">
        <v>100</v>
      </c>
      <c r="L3110" s="1">
        <v>4</v>
      </c>
      <c r="M3110" s="1">
        <v>593</v>
      </c>
      <c r="P3110" t="str">
        <f t="shared" si="195"/>
        <v>55%</v>
      </c>
      <c r="Q3110" s="12">
        <f t="shared" si="192"/>
        <v>0.55000000000000004</v>
      </c>
      <c r="R3110" s="9">
        <f t="shared" si="193"/>
        <v>674.55</v>
      </c>
      <c r="S3110" s="9">
        <f>IF(R3110="",AVERAGEIF(Table1[Category],Table1[[#This Row],[Category]],Table2[orignal data]),Table2[[#This Row],[orignal data]])</f>
        <v>674.55</v>
      </c>
      <c r="T3110" t="str">
        <f t="shared" si="194"/>
        <v>UNIQUE</v>
      </c>
      <c r="U3110" t="str">
        <f>IF(ISBLANK(Table1[[#This Row],[SizeOption]]),"NOT AVAILABLE",Table1[[#This Row],[SizeOption]])</f>
        <v>XS, S, M, L, XL, XXL, 3XL</v>
      </c>
      <c r="Y3110" t="str">
        <f>IF(Table2[[#This Row],[Column1]]&gt;50%,"HIGH DISCOUNT","LOW DISCOUNT")</f>
        <v>HIGH DISCOUNT</v>
      </c>
    </row>
    <row r="3111" spans="1:25" x14ac:dyDescent="0.25">
      <c r="A3111" s="2" t="s">
        <v>6473</v>
      </c>
      <c r="B3111" s="2">
        <v>11531250</v>
      </c>
      <c r="C3111" s="2" t="s">
        <v>75</v>
      </c>
      <c r="D3111" s="2" t="s">
        <v>76</v>
      </c>
      <c r="E3111" s="2" t="s">
        <v>77</v>
      </c>
      <c r="F3111" s="2" t="s">
        <v>36</v>
      </c>
      <c r="G3111" s="2" t="s">
        <v>6474</v>
      </c>
      <c r="H3111">
        <v>849</v>
      </c>
      <c r="I3111" s="2">
        <v>2499</v>
      </c>
      <c r="J3111" s="2" t="s">
        <v>403</v>
      </c>
      <c r="K3111" s="2" t="s">
        <v>39</v>
      </c>
      <c r="L3111" s="2">
        <v>4.2</v>
      </c>
      <c r="M3111" s="2">
        <v>593</v>
      </c>
      <c r="P3111" t="str">
        <f t="shared" si="195"/>
        <v>66%</v>
      </c>
      <c r="Q3111" s="12">
        <f t="shared" si="192"/>
        <v>0.66</v>
      </c>
      <c r="R3111" s="9">
        <f t="shared" si="193"/>
        <v>849.65999999999985</v>
      </c>
      <c r="S3111" s="9">
        <f>IF(R3111="",AVERAGEIF(Table1[Category],Table1[[#This Row],[Category]],Table2[orignal data]),Table2[[#This Row],[orignal data]])</f>
        <v>849.65999999999985</v>
      </c>
      <c r="T3111" t="str">
        <f t="shared" si="194"/>
        <v>UNIQUE</v>
      </c>
      <c r="U3111" t="str">
        <f>IF(ISBLANK(Table1[[#This Row],[SizeOption]]),"NOT AVAILABLE",Table1[[#This Row],[SizeOption]])</f>
        <v>S, M, L, XL, XXL</v>
      </c>
      <c r="Y3111" t="str">
        <f>IF(Table2[[#This Row],[Column1]]&gt;50%,"HIGH DISCOUNT","LOW DISCOUNT")</f>
        <v>HIGH DISCOUNT</v>
      </c>
    </row>
    <row r="3112" spans="1:25" x14ac:dyDescent="0.25">
      <c r="A3112" s="1" t="s">
        <v>6475</v>
      </c>
      <c r="B3112" s="1">
        <v>9690329</v>
      </c>
      <c r="C3112" s="1" t="s">
        <v>33</v>
      </c>
      <c r="D3112" s="1" t="s">
        <v>34</v>
      </c>
      <c r="E3112" s="1" t="s">
        <v>118</v>
      </c>
      <c r="F3112" s="1" t="s">
        <v>36</v>
      </c>
      <c r="G3112" s="1" t="s">
        <v>6476</v>
      </c>
      <c r="H3112">
        <v>434</v>
      </c>
      <c r="I3112" s="1">
        <v>579</v>
      </c>
      <c r="J3112" s="1" t="s">
        <v>282</v>
      </c>
      <c r="K3112" s="1" t="s">
        <v>1113</v>
      </c>
      <c r="L3112" s="1">
        <v>4.3</v>
      </c>
      <c r="M3112" s="1">
        <v>593</v>
      </c>
      <c r="P3112" t="str">
        <f t="shared" si="195"/>
        <v>25%</v>
      </c>
      <c r="Q3112" s="12">
        <f t="shared" si="192"/>
        <v>0.25</v>
      </c>
      <c r="R3112" s="9">
        <f t="shared" si="193"/>
        <v>434.25</v>
      </c>
      <c r="S3112" s="9">
        <f>IF(R3112="",AVERAGEIF(Table1[Category],Table1[[#This Row],[Category]],Table2[orignal data]),Table2[[#This Row],[orignal data]])</f>
        <v>434.25</v>
      </c>
      <c r="T3112" t="str">
        <f t="shared" si="194"/>
        <v>UNIQUE</v>
      </c>
      <c r="U3112" t="str">
        <f>IF(ISBLANK(Table1[[#This Row],[SizeOption]]),"NOT AVAILABLE",Table1[[#This Row],[SizeOption]])</f>
        <v>32B, 32C, 32D, 34B, 34C, 34D, 36B, 36C, 36D, 38B, 38C, 38D</v>
      </c>
      <c r="Y3112" t="str">
        <f>IF(Table2[[#This Row],[Column1]]&gt;50%,"HIGH DISCOUNT","LOW DISCOUNT")</f>
        <v>LOW DISCOUNT</v>
      </c>
    </row>
    <row r="3113" spans="1:25" x14ac:dyDescent="0.25">
      <c r="A3113" s="2" t="s">
        <v>6477</v>
      </c>
      <c r="B3113" s="2">
        <v>12701410</v>
      </c>
      <c r="C3113" s="2" t="s">
        <v>117</v>
      </c>
      <c r="D3113" s="2" t="s">
        <v>34</v>
      </c>
      <c r="E3113" s="2" t="s">
        <v>118</v>
      </c>
      <c r="F3113" s="2" t="s">
        <v>36</v>
      </c>
      <c r="G3113" s="2" t="s">
        <v>6478</v>
      </c>
      <c r="I3113" s="2">
        <v>779</v>
      </c>
      <c r="J3113" s="2"/>
      <c r="K3113" s="2" t="s">
        <v>6479</v>
      </c>
      <c r="L3113" s="2">
        <v>4.5</v>
      </c>
      <c r="M3113" s="2">
        <v>593</v>
      </c>
      <c r="P3113" t="str">
        <f t="shared" si="195"/>
        <v/>
      </c>
      <c r="Q3113" s="12" t="str">
        <f t="shared" si="192"/>
        <v/>
      </c>
      <c r="R3113" s="9" t="str">
        <f t="shared" si="193"/>
        <v/>
      </c>
      <c r="S3113" s="9">
        <f>IF(R3113="",AVERAGEIF(Table1[Category],Table1[[#This Row],[Category]],Table2[orignal data]),Table2[[#This Row],[orignal data]])</f>
        <v>608.88518518518481</v>
      </c>
      <c r="T3113" t="str">
        <f t="shared" si="194"/>
        <v>UNIQUE</v>
      </c>
      <c r="U3113" t="str">
        <f>IF(ISBLANK(Table1[[#This Row],[SizeOption]]),"NOT AVAILABLE",Table1[[#This Row],[SizeOption]])</f>
        <v>34B, 34C, 34D, 36B, 36C, 36D, 38B, 38C, 38D</v>
      </c>
      <c r="Y3113" t="str">
        <f>IF(Table2[[#This Row],[Column1]]&gt;50%,"HIGH DISCOUNT","LOW DISCOUNT")</f>
        <v>HIGH DISCOUNT</v>
      </c>
    </row>
    <row r="3114" spans="1:25" x14ac:dyDescent="0.25">
      <c r="A3114" s="1" t="s">
        <v>6480</v>
      </c>
      <c r="B3114" s="1">
        <v>8357719</v>
      </c>
      <c r="C3114" s="1" t="s">
        <v>33</v>
      </c>
      <c r="D3114" s="1" t="s">
        <v>34</v>
      </c>
      <c r="E3114" s="1" t="s">
        <v>118</v>
      </c>
      <c r="F3114" s="1" t="s">
        <v>36</v>
      </c>
      <c r="G3114" s="1" t="s">
        <v>6481</v>
      </c>
      <c r="H3114">
        <v>492</v>
      </c>
      <c r="I3114" s="1">
        <v>895</v>
      </c>
      <c r="J3114" s="1" t="s">
        <v>19</v>
      </c>
      <c r="K3114" s="1" t="s">
        <v>1113</v>
      </c>
      <c r="L3114" s="1">
        <v>4.4000000000000004</v>
      </c>
      <c r="M3114" s="1">
        <v>593</v>
      </c>
      <c r="P3114" t="str">
        <f t="shared" si="195"/>
        <v>45%</v>
      </c>
      <c r="Q3114" s="12">
        <f t="shared" si="192"/>
        <v>0.45</v>
      </c>
      <c r="R3114" s="9">
        <f t="shared" si="193"/>
        <v>492.25</v>
      </c>
      <c r="S3114" s="9">
        <f>IF(R3114="",AVERAGEIF(Table1[Category],Table1[[#This Row],[Category]],Table2[orignal data]),Table2[[#This Row],[orignal data]])</f>
        <v>492.25</v>
      </c>
      <c r="T3114" t="str">
        <f t="shared" si="194"/>
        <v>UNIQUE</v>
      </c>
      <c r="U3114" t="str">
        <f>IF(ISBLANK(Table1[[#This Row],[SizeOption]]),"NOT AVAILABLE",Table1[[#This Row],[SizeOption]])</f>
        <v>32B, 32C, 32D, 34B, 34C, 34D, 36B, 36C, 36D, 38B, 38C, 38D</v>
      </c>
      <c r="Y3114" t="str">
        <f>IF(Table2[[#This Row],[Column1]]&gt;50%,"HIGH DISCOUNT","LOW DISCOUNT")</f>
        <v>LOW DISCOUNT</v>
      </c>
    </row>
    <row r="3115" spans="1:25" x14ac:dyDescent="0.25">
      <c r="A3115" s="2" t="s">
        <v>6482</v>
      </c>
      <c r="B3115" s="2">
        <v>8379301</v>
      </c>
      <c r="C3115" s="2" t="s">
        <v>67</v>
      </c>
      <c r="D3115" s="2" t="s">
        <v>68</v>
      </c>
      <c r="E3115" s="2" t="s">
        <v>42</v>
      </c>
      <c r="F3115" s="2" t="s">
        <v>36</v>
      </c>
      <c r="G3115" s="2" t="s">
        <v>6483</v>
      </c>
      <c r="H3115">
        <v>404</v>
      </c>
      <c r="I3115" s="2">
        <v>899</v>
      </c>
      <c r="J3115" s="2" t="s">
        <v>25</v>
      </c>
      <c r="K3115" s="2" t="s">
        <v>45</v>
      </c>
      <c r="L3115" s="2">
        <v>4.3</v>
      </c>
      <c r="M3115" s="2">
        <v>593</v>
      </c>
      <c r="P3115" t="str">
        <f t="shared" si="195"/>
        <v>55%</v>
      </c>
      <c r="Q3115" s="12">
        <f t="shared" si="192"/>
        <v>0.55000000000000004</v>
      </c>
      <c r="R3115" s="9">
        <f t="shared" si="193"/>
        <v>404.54999999999995</v>
      </c>
      <c r="S3115" s="9">
        <f>IF(R3115="",AVERAGEIF(Table1[Category],Table1[[#This Row],[Category]],Table2[orignal data]),Table2[[#This Row],[orignal data]])</f>
        <v>404.54999999999995</v>
      </c>
      <c r="T3115" t="str">
        <f t="shared" si="194"/>
        <v>UNIQUE</v>
      </c>
      <c r="U3115" t="str">
        <f>IF(ISBLANK(Table1[[#This Row],[SizeOption]]),"NOT AVAILABLE",Table1[[#This Row],[SizeOption]])</f>
        <v>XS, S, M, L, XL</v>
      </c>
      <c r="Y3115" t="str">
        <f>IF(Table2[[#This Row],[Column1]]&gt;50%,"HIGH DISCOUNT","LOW DISCOUNT")</f>
        <v>HIGH DISCOUNT</v>
      </c>
    </row>
    <row r="3116" spans="1:25" x14ac:dyDescent="0.25">
      <c r="A3116" s="1" t="s">
        <v>6484</v>
      </c>
      <c r="B3116" s="1">
        <v>10019867</v>
      </c>
      <c r="C3116" s="1" t="s">
        <v>2353</v>
      </c>
      <c r="D3116" s="1" t="s">
        <v>41</v>
      </c>
      <c r="E3116" s="1" t="s">
        <v>48</v>
      </c>
      <c r="F3116" s="1" t="s">
        <v>36</v>
      </c>
      <c r="G3116" s="1" t="s">
        <v>6485</v>
      </c>
      <c r="I3116" s="1">
        <v>1199</v>
      </c>
      <c r="J3116" s="1" t="s">
        <v>130</v>
      </c>
      <c r="K3116" s="1" t="s">
        <v>45</v>
      </c>
      <c r="L3116" s="1">
        <v>4.3</v>
      </c>
      <c r="M3116" s="1">
        <v>593</v>
      </c>
      <c r="P3116" t="str">
        <f t="shared" si="195"/>
        <v>57%</v>
      </c>
      <c r="Q3116" s="12">
        <f t="shared" si="192"/>
        <v>0.56999999999999995</v>
      </c>
      <c r="R3116" s="9">
        <f t="shared" si="193"/>
        <v>515.57000000000005</v>
      </c>
      <c r="S3116" s="9">
        <f>IF(R3116="",AVERAGEIF(Table1[Category],Table1[[#This Row],[Category]],Table2[orignal data]),Table2[[#This Row],[orignal data]])</f>
        <v>515.57000000000005</v>
      </c>
      <c r="T3116" t="str">
        <f t="shared" si="194"/>
        <v>UNIQUE</v>
      </c>
      <c r="U3116" t="str">
        <f>IF(ISBLANK(Table1[[#This Row],[SizeOption]]),"NOT AVAILABLE",Table1[[#This Row],[SizeOption]])</f>
        <v>XS, S, M, L, XL</v>
      </c>
      <c r="Y3116" t="str">
        <f>IF(Table2[[#This Row],[Column1]]&gt;50%,"HIGH DISCOUNT","LOW DISCOUNT")</f>
        <v>HIGH DISCOUNT</v>
      </c>
    </row>
    <row r="3117" spans="1:25" x14ac:dyDescent="0.25">
      <c r="A3117" s="2" t="s">
        <v>6486</v>
      </c>
      <c r="B3117" s="2">
        <v>12293600</v>
      </c>
      <c r="C3117" s="2" t="s">
        <v>5053</v>
      </c>
      <c r="D3117" s="2" t="s">
        <v>41</v>
      </c>
      <c r="E3117" s="2" t="s">
        <v>148</v>
      </c>
      <c r="F3117" s="2" t="s">
        <v>36</v>
      </c>
      <c r="G3117" s="2" t="s">
        <v>6487</v>
      </c>
      <c r="I3117" s="2">
        <v>1427</v>
      </c>
      <c r="J3117" s="2" t="s">
        <v>535</v>
      </c>
      <c r="K3117" s="2" t="s">
        <v>1713</v>
      </c>
      <c r="L3117" s="2">
        <v>4.3</v>
      </c>
      <c r="M3117" s="2">
        <v>593</v>
      </c>
      <c r="P3117" t="str">
        <f t="shared" si="195"/>
        <v>27%</v>
      </c>
      <c r="Q3117" s="12">
        <f t="shared" si="192"/>
        <v>0.27</v>
      </c>
      <c r="R3117" s="9">
        <f t="shared" si="193"/>
        <v>1041.71</v>
      </c>
      <c r="S3117" s="9">
        <f>IF(R3117="",AVERAGEIF(Table1[Category],Table1[[#This Row],[Category]],Table2[orignal data]),Table2[[#This Row],[orignal data]])</f>
        <v>1041.71</v>
      </c>
      <c r="T3117" t="str">
        <f t="shared" si="194"/>
        <v>UNIQUE</v>
      </c>
      <c r="U3117" t="str">
        <f>IF(ISBLANK(Table1[[#This Row],[SizeOption]]),"NOT AVAILABLE",Table1[[#This Row],[SizeOption]])</f>
        <v>M, L, XL, XXL, 3XL</v>
      </c>
      <c r="Y3117" t="str">
        <f>IF(Table2[[#This Row],[Column1]]&gt;50%,"HIGH DISCOUNT","LOW DISCOUNT")</f>
        <v>LOW DISCOUNT</v>
      </c>
    </row>
    <row r="3118" spans="1:25" x14ac:dyDescent="0.25">
      <c r="A3118" s="1" t="s">
        <v>6488</v>
      </c>
      <c r="B3118" s="1">
        <v>10847888</v>
      </c>
      <c r="C3118" s="1" t="s">
        <v>102</v>
      </c>
      <c r="D3118" s="1" t="s">
        <v>41</v>
      </c>
      <c r="E3118" s="1" t="s">
        <v>148</v>
      </c>
      <c r="F3118" s="1" t="s">
        <v>36</v>
      </c>
      <c r="G3118" s="1" t="s">
        <v>6489</v>
      </c>
      <c r="I3118" s="1">
        <v>1449</v>
      </c>
      <c r="J3118" s="1" t="s">
        <v>758</v>
      </c>
      <c r="K3118" s="1" t="s">
        <v>26</v>
      </c>
      <c r="L3118" s="1">
        <v>4</v>
      </c>
      <c r="M3118" s="1">
        <v>593</v>
      </c>
      <c r="P3118" t="str">
        <f t="shared" si="195"/>
        <v>47%</v>
      </c>
      <c r="Q3118" s="12">
        <f t="shared" si="192"/>
        <v>0.47</v>
      </c>
      <c r="R3118" s="9">
        <f t="shared" si="193"/>
        <v>767.97</v>
      </c>
      <c r="S3118" s="9">
        <f>IF(R3118="",AVERAGEIF(Table1[Category],Table1[[#This Row],[Category]],Table2[orignal data]),Table2[[#This Row],[orignal data]])</f>
        <v>767.97</v>
      </c>
      <c r="T3118" t="str">
        <f t="shared" si="194"/>
        <v>UNIQUE</v>
      </c>
      <c r="U3118" t="str">
        <f>IF(ISBLANK(Table1[[#This Row],[SizeOption]]),"NOT AVAILABLE",Table1[[#This Row],[SizeOption]])</f>
        <v>S, M, L, XL</v>
      </c>
      <c r="Y3118" t="str">
        <f>IF(Table2[[#This Row],[Column1]]&gt;50%,"HIGH DISCOUNT","LOW DISCOUNT")</f>
        <v>LOW DISCOUNT</v>
      </c>
    </row>
    <row r="3119" spans="1:25" x14ac:dyDescent="0.25">
      <c r="A3119" s="2" t="s">
        <v>6490</v>
      </c>
      <c r="B3119" s="2">
        <v>17524614</v>
      </c>
      <c r="C3119" s="2" t="s">
        <v>47</v>
      </c>
      <c r="D3119" s="2" t="s">
        <v>41</v>
      </c>
      <c r="E3119" s="2" t="s">
        <v>42</v>
      </c>
      <c r="F3119" s="2" t="s">
        <v>36</v>
      </c>
      <c r="G3119" s="2" t="s">
        <v>1316</v>
      </c>
      <c r="I3119" s="2">
        <v>1598</v>
      </c>
      <c r="J3119" s="2" t="s">
        <v>84</v>
      </c>
      <c r="K3119" s="2" t="s">
        <v>45</v>
      </c>
      <c r="L3119" s="2">
        <v>4</v>
      </c>
      <c r="M3119" s="2">
        <v>593</v>
      </c>
      <c r="P3119" t="str">
        <f t="shared" si="195"/>
        <v>50%</v>
      </c>
      <c r="Q3119" s="12">
        <f t="shared" si="192"/>
        <v>0.5</v>
      </c>
      <c r="R3119" s="9">
        <f t="shared" si="193"/>
        <v>799</v>
      </c>
      <c r="S3119" s="9">
        <f>IF(R3119="",AVERAGEIF(Table1[Category],Table1[[#This Row],[Category]],Table2[orignal data]),Table2[[#This Row],[orignal data]])</f>
        <v>799</v>
      </c>
      <c r="T3119" t="str">
        <f t="shared" si="194"/>
        <v>UNIQUE</v>
      </c>
      <c r="U3119" t="str">
        <f>IF(ISBLANK(Table1[[#This Row],[SizeOption]]),"NOT AVAILABLE",Table1[[#This Row],[SizeOption]])</f>
        <v>XS, S, M, L, XL</v>
      </c>
      <c r="Y3119" t="str">
        <f>IF(Table2[[#This Row],[Column1]]&gt;50%,"HIGH DISCOUNT","LOW DISCOUNT")</f>
        <v>LOW DISCOUNT</v>
      </c>
    </row>
    <row r="3120" spans="1:25" x14ac:dyDescent="0.25">
      <c r="A3120" s="1" t="s">
        <v>6491</v>
      </c>
      <c r="B3120" s="1">
        <v>17524608</v>
      </c>
      <c r="C3120" s="1" t="s">
        <v>47</v>
      </c>
      <c r="D3120" s="1" t="s">
        <v>41</v>
      </c>
      <c r="E3120" s="1" t="s">
        <v>42</v>
      </c>
      <c r="F3120" s="1" t="s">
        <v>36</v>
      </c>
      <c r="G3120" s="1" t="s">
        <v>1316</v>
      </c>
      <c r="I3120" s="1">
        <v>1598</v>
      </c>
      <c r="J3120" s="1" t="s">
        <v>84</v>
      </c>
      <c r="K3120" s="1" t="s">
        <v>45</v>
      </c>
      <c r="L3120" s="1">
        <v>4.0999999999999996</v>
      </c>
      <c r="M3120" s="1">
        <v>593</v>
      </c>
      <c r="P3120" t="str">
        <f t="shared" si="195"/>
        <v>50%</v>
      </c>
      <c r="Q3120" s="12">
        <f t="shared" si="192"/>
        <v>0.5</v>
      </c>
      <c r="R3120" s="9">
        <f t="shared" si="193"/>
        <v>799</v>
      </c>
      <c r="S3120" s="9">
        <f>IF(R3120="",AVERAGEIF(Table1[Category],Table1[[#This Row],[Category]],Table2[orignal data]),Table2[[#This Row],[orignal data]])</f>
        <v>799</v>
      </c>
      <c r="T3120" t="str">
        <f t="shared" si="194"/>
        <v>UNIQUE</v>
      </c>
      <c r="U3120" t="str">
        <f>IF(ISBLANK(Table1[[#This Row],[SizeOption]]),"NOT AVAILABLE",Table1[[#This Row],[SizeOption]])</f>
        <v>XS, S, M, L, XL</v>
      </c>
      <c r="Y3120" t="str">
        <f>IF(Table2[[#This Row],[Column1]]&gt;50%,"HIGH DISCOUNT","LOW DISCOUNT")</f>
        <v>LOW DISCOUNT</v>
      </c>
    </row>
    <row r="3121" spans="1:25" x14ac:dyDescent="0.25">
      <c r="A3121" s="2" t="s">
        <v>6492</v>
      </c>
      <c r="B3121" s="2">
        <v>13126834</v>
      </c>
      <c r="C3121" s="2" t="s">
        <v>14</v>
      </c>
      <c r="D3121" s="2" t="s">
        <v>41</v>
      </c>
      <c r="E3121" s="2" t="s">
        <v>42</v>
      </c>
      <c r="F3121" s="2" t="s">
        <v>36</v>
      </c>
      <c r="G3121" s="2" t="s">
        <v>6493</v>
      </c>
      <c r="I3121" s="2">
        <v>599</v>
      </c>
      <c r="J3121" s="2" t="s">
        <v>19</v>
      </c>
      <c r="K3121" s="2" t="s">
        <v>45</v>
      </c>
      <c r="L3121" s="2">
        <v>4.4000000000000004</v>
      </c>
      <c r="M3121" s="2">
        <v>593</v>
      </c>
      <c r="P3121" t="str">
        <f t="shared" si="195"/>
        <v>45%</v>
      </c>
      <c r="Q3121" s="12">
        <f t="shared" si="192"/>
        <v>0.45</v>
      </c>
      <c r="R3121" s="9">
        <f t="shared" si="193"/>
        <v>329.45</v>
      </c>
      <c r="S3121" s="9">
        <f>IF(R3121="",AVERAGEIF(Table1[Category],Table1[[#This Row],[Category]],Table2[orignal data]),Table2[[#This Row],[orignal data]])</f>
        <v>329.45</v>
      </c>
      <c r="T3121" t="str">
        <f t="shared" si="194"/>
        <v>UNIQUE</v>
      </c>
      <c r="U3121" t="str">
        <f>IF(ISBLANK(Table1[[#This Row],[SizeOption]]),"NOT AVAILABLE",Table1[[#This Row],[SizeOption]])</f>
        <v>XS, S, M, L, XL</v>
      </c>
      <c r="Y3121" t="str">
        <f>IF(Table2[[#This Row],[Column1]]&gt;50%,"HIGH DISCOUNT","LOW DISCOUNT")</f>
        <v>LOW DISCOUNT</v>
      </c>
    </row>
    <row r="3122" spans="1:25" x14ac:dyDescent="0.25">
      <c r="A3122" s="1" t="s">
        <v>6494</v>
      </c>
      <c r="B3122" s="1">
        <v>9265367</v>
      </c>
      <c r="C3122" s="1" t="s">
        <v>107</v>
      </c>
      <c r="D3122" s="1" t="s">
        <v>41</v>
      </c>
      <c r="E3122" s="1" t="s">
        <v>48</v>
      </c>
      <c r="F3122" s="1" t="s">
        <v>36</v>
      </c>
      <c r="G3122" s="1" t="s">
        <v>6495</v>
      </c>
      <c r="I3122" s="1">
        <v>899</v>
      </c>
      <c r="J3122" s="1" t="s">
        <v>55</v>
      </c>
      <c r="K3122" s="1" t="s">
        <v>45</v>
      </c>
      <c r="L3122" s="1">
        <v>4.4000000000000004</v>
      </c>
      <c r="M3122" s="1">
        <v>593</v>
      </c>
      <c r="P3122" t="str">
        <f t="shared" si="195"/>
        <v>60%</v>
      </c>
      <c r="Q3122" s="12">
        <f t="shared" si="192"/>
        <v>0.6</v>
      </c>
      <c r="R3122" s="9">
        <f t="shared" si="193"/>
        <v>359.6</v>
      </c>
      <c r="S3122" s="9">
        <f>IF(R3122="",AVERAGEIF(Table1[Category],Table1[[#This Row],[Category]],Table2[orignal data]),Table2[[#This Row],[orignal data]])</f>
        <v>359.6</v>
      </c>
      <c r="T3122" t="str">
        <f t="shared" si="194"/>
        <v>UNIQUE</v>
      </c>
      <c r="U3122" t="str">
        <f>IF(ISBLANK(Table1[[#This Row],[SizeOption]]),"NOT AVAILABLE",Table1[[#This Row],[SizeOption]])</f>
        <v>XS, S, M, L, XL</v>
      </c>
      <c r="Y3122" t="str">
        <f>IF(Table2[[#This Row],[Column1]]&gt;50%,"HIGH DISCOUNT","LOW DISCOUNT")</f>
        <v>HIGH DISCOUNT</v>
      </c>
    </row>
    <row r="3123" spans="1:25" x14ac:dyDescent="0.25">
      <c r="A3123" s="2" t="s">
        <v>6496</v>
      </c>
      <c r="B3123" s="2">
        <v>10092089</v>
      </c>
      <c r="C3123" s="2" t="s">
        <v>14</v>
      </c>
      <c r="D3123" s="2" t="s">
        <v>15</v>
      </c>
      <c r="E3123" s="2" t="s">
        <v>16</v>
      </c>
      <c r="F3123" s="2" t="s">
        <v>17</v>
      </c>
      <c r="G3123" s="2" t="s">
        <v>2439</v>
      </c>
      <c r="H3123">
        <v>879</v>
      </c>
      <c r="I3123" s="2">
        <v>2199</v>
      </c>
      <c r="J3123" s="2" t="s">
        <v>55</v>
      </c>
      <c r="K3123" s="2" t="s">
        <v>20</v>
      </c>
      <c r="L3123" s="2">
        <v>3.8</v>
      </c>
      <c r="M3123" s="2">
        <v>592</v>
      </c>
      <c r="P3123" t="str">
        <f t="shared" si="195"/>
        <v>60%</v>
      </c>
      <c r="Q3123" s="12">
        <f t="shared" si="192"/>
        <v>0.6</v>
      </c>
      <c r="R3123" s="9">
        <f t="shared" si="193"/>
        <v>879.60000000000014</v>
      </c>
      <c r="S3123" s="9">
        <f>IF(R3123="",AVERAGEIF(Table1[Category],Table1[[#This Row],[Category]],Table2[orignal data]),Table2[[#This Row],[orignal data]])</f>
        <v>879.60000000000014</v>
      </c>
      <c r="T3123" t="str">
        <f t="shared" si="194"/>
        <v>UNIQUE</v>
      </c>
      <c r="U3123" t="str">
        <f>IF(ISBLANK(Table1[[#This Row],[SizeOption]]),"NOT AVAILABLE",Table1[[#This Row],[SizeOption]])</f>
        <v>28, 30, 32, 34, 36</v>
      </c>
      <c r="Y3123" t="str">
        <f>IF(Table2[[#This Row],[Column1]]&gt;50%,"HIGH DISCOUNT","LOW DISCOUNT")</f>
        <v>HIGH DISCOUNT</v>
      </c>
    </row>
    <row r="3124" spans="1:25" x14ac:dyDescent="0.25">
      <c r="A3124" s="1" t="s">
        <v>6497</v>
      </c>
      <c r="B3124" s="1">
        <v>10064519</v>
      </c>
      <c r="C3124" s="1" t="s">
        <v>14</v>
      </c>
      <c r="D3124" s="1" t="s">
        <v>15</v>
      </c>
      <c r="E3124" s="1" t="s">
        <v>16</v>
      </c>
      <c r="F3124" s="1" t="s">
        <v>17</v>
      </c>
      <c r="G3124" s="1" t="s">
        <v>918</v>
      </c>
      <c r="H3124">
        <v>879</v>
      </c>
      <c r="I3124" s="1">
        <v>2199</v>
      </c>
      <c r="J3124" s="1" t="s">
        <v>55</v>
      </c>
      <c r="K3124" s="1" t="s">
        <v>20</v>
      </c>
      <c r="L3124" s="1">
        <v>3.9</v>
      </c>
      <c r="M3124" s="1">
        <v>592</v>
      </c>
      <c r="P3124" t="str">
        <f t="shared" si="195"/>
        <v>60%</v>
      </c>
      <c r="Q3124" s="12">
        <f t="shared" si="192"/>
        <v>0.6</v>
      </c>
      <c r="R3124" s="9">
        <f t="shared" si="193"/>
        <v>879.60000000000014</v>
      </c>
      <c r="S3124" s="9">
        <f>IF(R3124="",AVERAGEIF(Table1[Category],Table1[[#This Row],[Category]],Table2[orignal data]),Table2[[#This Row],[orignal data]])</f>
        <v>879.60000000000014</v>
      </c>
      <c r="T3124" t="str">
        <f t="shared" si="194"/>
        <v>UNIQUE</v>
      </c>
      <c r="U3124" t="str">
        <f>IF(ISBLANK(Table1[[#This Row],[SizeOption]]),"NOT AVAILABLE",Table1[[#This Row],[SizeOption]])</f>
        <v>28, 30, 32, 34, 36</v>
      </c>
      <c r="Y3124" t="str">
        <f>IF(Table2[[#This Row],[Column1]]&gt;50%,"HIGH DISCOUNT","LOW DISCOUNT")</f>
        <v>HIGH DISCOUNT</v>
      </c>
    </row>
    <row r="3125" spans="1:25" x14ac:dyDescent="0.25">
      <c r="A3125" s="2" t="s">
        <v>6498</v>
      </c>
      <c r="B3125" s="2">
        <v>12983788</v>
      </c>
      <c r="C3125" s="2" t="s">
        <v>47</v>
      </c>
      <c r="D3125" s="2" t="s">
        <v>15</v>
      </c>
      <c r="E3125" s="2" t="s">
        <v>16</v>
      </c>
      <c r="F3125" s="2" t="s">
        <v>17</v>
      </c>
      <c r="G3125" s="2" t="s">
        <v>6499</v>
      </c>
      <c r="H3125">
        <v>499</v>
      </c>
      <c r="I3125" s="2">
        <v>1999</v>
      </c>
      <c r="J3125" s="2" t="s">
        <v>109</v>
      </c>
      <c r="K3125" s="2" t="s">
        <v>20</v>
      </c>
      <c r="L3125" s="2">
        <v>4</v>
      </c>
      <c r="M3125" s="2">
        <v>592</v>
      </c>
      <c r="P3125" t="str">
        <f t="shared" si="195"/>
        <v>75%</v>
      </c>
      <c r="Q3125" s="12">
        <f t="shared" si="192"/>
        <v>0.75</v>
      </c>
      <c r="R3125" s="9">
        <f t="shared" si="193"/>
        <v>499.75</v>
      </c>
      <c r="S3125" s="9">
        <f>IF(R3125="",AVERAGEIF(Table1[Category],Table1[[#This Row],[Category]],Table2[orignal data]),Table2[[#This Row],[orignal data]])</f>
        <v>499.75</v>
      </c>
      <c r="T3125" t="str">
        <f t="shared" si="194"/>
        <v>UNIQUE</v>
      </c>
      <c r="U3125" t="str">
        <f>IF(ISBLANK(Table1[[#This Row],[SizeOption]]),"NOT AVAILABLE",Table1[[#This Row],[SizeOption]])</f>
        <v>28, 30, 32, 34, 36</v>
      </c>
      <c r="Y3125" t="str">
        <f>IF(Table2[[#This Row],[Column1]]&gt;50%,"HIGH DISCOUNT","LOW DISCOUNT")</f>
        <v>HIGH DISCOUNT</v>
      </c>
    </row>
    <row r="3126" spans="1:25" x14ac:dyDescent="0.25">
      <c r="A3126" s="1" t="s">
        <v>6500</v>
      </c>
      <c r="B3126" s="1">
        <v>2389026</v>
      </c>
      <c r="C3126" s="1" t="s">
        <v>517</v>
      </c>
      <c r="D3126" s="1" t="s">
        <v>15</v>
      </c>
      <c r="E3126" s="1" t="s">
        <v>53</v>
      </c>
      <c r="F3126" s="1" t="s">
        <v>17</v>
      </c>
      <c r="G3126" s="1" t="s">
        <v>6501</v>
      </c>
      <c r="H3126">
        <v>989</v>
      </c>
      <c r="I3126" s="1">
        <v>1499</v>
      </c>
      <c r="J3126" s="1" t="s">
        <v>3662</v>
      </c>
      <c r="K3126" s="1" t="s">
        <v>6502</v>
      </c>
      <c r="L3126" s="1">
        <v>4.0999999999999996</v>
      </c>
      <c r="M3126" s="1">
        <v>592</v>
      </c>
      <c r="P3126" t="str">
        <f t="shared" si="195"/>
        <v>34%</v>
      </c>
      <c r="Q3126" s="12">
        <f t="shared" si="192"/>
        <v>0.34</v>
      </c>
      <c r="R3126" s="9">
        <f t="shared" si="193"/>
        <v>989.33999999999992</v>
      </c>
      <c r="S3126" s="9">
        <f>IF(R3126="",AVERAGEIF(Table1[Category],Table1[[#This Row],[Category]],Table2[orignal data]),Table2[[#This Row],[orignal data]])</f>
        <v>989.33999999999992</v>
      </c>
      <c r="T3126" t="str">
        <f t="shared" si="194"/>
        <v>UNIQUE</v>
      </c>
      <c r="U3126" t="str">
        <f>IF(ISBLANK(Table1[[#This Row],[SizeOption]]),"NOT AVAILABLE",Table1[[#This Row],[SizeOption]])</f>
        <v>30, 32, 34, 36, 38, 40, 42</v>
      </c>
      <c r="Y3126" t="str">
        <f>IF(Table2[[#This Row],[Column1]]&gt;50%,"HIGH DISCOUNT","LOW DISCOUNT")</f>
        <v>LOW DISCOUNT</v>
      </c>
    </row>
    <row r="3127" spans="1:25" x14ac:dyDescent="0.25">
      <c r="A3127" s="2" t="s">
        <v>6503</v>
      </c>
      <c r="B3127" s="2">
        <v>13488728</v>
      </c>
      <c r="C3127" s="2" t="s">
        <v>1281</v>
      </c>
      <c r="D3127" s="2" t="s">
        <v>76</v>
      </c>
      <c r="E3127" s="2" t="s">
        <v>93</v>
      </c>
      <c r="F3127" s="2" t="s">
        <v>17</v>
      </c>
      <c r="G3127" s="2" t="s">
        <v>6504</v>
      </c>
      <c r="H3127">
        <v>989</v>
      </c>
      <c r="I3127" s="2">
        <v>2199</v>
      </c>
      <c r="J3127" s="2" t="s">
        <v>25</v>
      </c>
      <c r="K3127" s="2" t="s">
        <v>115</v>
      </c>
      <c r="L3127" s="2">
        <v>4.4000000000000004</v>
      </c>
      <c r="M3127" s="2">
        <v>592</v>
      </c>
      <c r="P3127" t="str">
        <f t="shared" si="195"/>
        <v>55%</v>
      </c>
      <c r="Q3127" s="12">
        <f t="shared" si="192"/>
        <v>0.55000000000000004</v>
      </c>
      <c r="R3127" s="9">
        <f t="shared" si="193"/>
        <v>989.55</v>
      </c>
      <c r="S3127" s="9">
        <f>IF(R3127="",AVERAGEIF(Table1[Category],Table1[[#This Row],[Category]],Table2[orignal data]),Table2[[#This Row],[orignal data]])</f>
        <v>989.55</v>
      </c>
      <c r="T3127" t="str">
        <f t="shared" si="194"/>
        <v>UNIQUE</v>
      </c>
      <c r="U3127" t="str">
        <f>IF(ISBLANK(Table1[[#This Row],[SizeOption]]),"NOT AVAILABLE",Table1[[#This Row],[SizeOption]])</f>
        <v>XS, S, M, L, XL, XXL</v>
      </c>
      <c r="Y3127" t="str">
        <f>IF(Table2[[#This Row],[Column1]]&gt;50%,"HIGH DISCOUNT","LOW DISCOUNT")</f>
        <v>HIGH DISCOUNT</v>
      </c>
    </row>
    <row r="3128" spans="1:25" x14ac:dyDescent="0.25">
      <c r="A3128" s="1" t="s">
        <v>6505</v>
      </c>
      <c r="B3128" s="1">
        <v>11805404</v>
      </c>
      <c r="C3128" s="1" t="s">
        <v>794</v>
      </c>
      <c r="D3128" s="1" t="s">
        <v>197</v>
      </c>
      <c r="E3128" s="1" t="s">
        <v>4987</v>
      </c>
      <c r="F3128" s="1" t="s">
        <v>17</v>
      </c>
      <c r="G3128" s="1" t="s">
        <v>6506</v>
      </c>
      <c r="I3128" s="1">
        <v>1448</v>
      </c>
      <c r="J3128" s="1"/>
      <c r="K3128" s="1" t="s">
        <v>5894</v>
      </c>
      <c r="L3128" s="1">
        <v>4.4000000000000004</v>
      </c>
      <c r="M3128" s="1">
        <v>592</v>
      </c>
      <c r="P3128" t="str">
        <f t="shared" si="195"/>
        <v/>
      </c>
      <c r="Q3128" s="12" t="str">
        <f t="shared" si="192"/>
        <v/>
      </c>
      <c r="R3128" s="9" t="str">
        <f t="shared" si="193"/>
        <v/>
      </c>
      <c r="S3128" s="9">
        <f>IF(R3128="",AVERAGEIF(Table1[Category],Table1[[#This Row],[Category]],Table2[orignal data]),Table2[[#This Row],[orignal data]])</f>
        <v>552.70900000000006</v>
      </c>
      <c r="T3128" t="str">
        <f t="shared" si="194"/>
        <v>UNIQUE</v>
      </c>
      <c r="U3128" t="str">
        <f>IF(ISBLANK(Table1[[#This Row],[SizeOption]]),"NOT AVAILABLE",Table1[[#This Row],[SizeOption]])</f>
        <v>M, S, L</v>
      </c>
      <c r="Y3128" t="str">
        <f>IF(Table2[[#This Row],[Column1]]&gt;50%,"HIGH DISCOUNT","LOW DISCOUNT")</f>
        <v>HIGH DISCOUNT</v>
      </c>
    </row>
    <row r="3129" spans="1:25" x14ac:dyDescent="0.25">
      <c r="A3129" s="2" t="s">
        <v>6507</v>
      </c>
      <c r="B3129" s="2">
        <v>10891018</v>
      </c>
      <c r="C3129" s="2" t="s">
        <v>420</v>
      </c>
      <c r="D3129" s="2" t="s">
        <v>68</v>
      </c>
      <c r="E3129" s="2" t="s">
        <v>42</v>
      </c>
      <c r="F3129" s="2" t="s">
        <v>17</v>
      </c>
      <c r="G3129" s="2" t="s">
        <v>6508</v>
      </c>
      <c r="H3129">
        <v>599</v>
      </c>
      <c r="I3129" s="2">
        <v>1199</v>
      </c>
      <c r="J3129" s="2" t="s">
        <v>84</v>
      </c>
      <c r="K3129" s="2" t="s">
        <v>26</v>
      </c>
      <c r="L3129" s="2">
        <v>3.9</v>
      </c>
      <c r="M3129" s="2">
        <v>592</v>
      </c>
      <c r="P3129" t="str">
        <f t="shared" si="195"/>
        <v>50%</v>
      </c>
      <c r="Q3129" s="12">
        <f t="shared" si="192"/>
        <v>0.5</v>
      </c>
      <c r="R3129" s="9">
        <f t="shared" si="193"/>
        <v>599.5</v>
      </c>
      <c r="S3129" s="9">
        <f>IF(R3129="",AVERAGEIF(Table1[Category],Table1[[#This Row],[Category]],Table2[orignal data]),Table2[[#This Row],[orignal data]])</f>
        <v>599.5</v>
      </c>
      <c r="T3129" t="str">
        <f t="shared" si="194"/>
        <v>UNIQUE</v>
      </c>
      <c r="U3129" t="str">
        <f>IF(ISBLANK(Table1[[#This Row],[SizeOption]]),"NOT AVAILABLE",Table1[[#This Row],[SizeOption]])</f>
        <v>S, M, L, XL</v>
      </c>
      <c r="Y3129" t="str">
        <f>IF(Table2[[#This Row],[Column1]]&gt;50%,"HIGH DISCOUNT","LOW DISCOUNT")</f>
        <v>LOW DISCOUNT</v>
      </c>
    </row>
    <row r="3130" spans="1:25" x14ac:dyDescent="0.25">
      <c r="A3130" s="1" t="s">
        <v>6509</v>
      </c>
      <c r="B3130" s="1">
        <v>11194966</v>
      </c>
      <c r="C3130" s="1" t="s">
        <v>47</v>
      </c>
      <c r="D3130" s="1" t="s">
        <v>28</v>
      </c>
      <c r="E3130" s="1" t="s">
        <v>29</v>
      </c>
      <c r="F3130" s="1" t="s">
        <v>17</v>
      </c>
      <c r="G3130" s="1" t="s">
        <v>6510</v>
      </c>
      <c r="H3130">
        <v>879</v>
      </c>
      <c r="I3130" s="1">
        <v>2199</v>
      </c>
      <c r="J3130" s="1" t="s">
        <v>55</v>
      </c>
      <c r="K3130" s="1" t="s">
        <v>253</v>
      </c>
      <c r="L3130" s="1">
        <v>4.0999999999999996</v>
      </c>
      <c r="M3130" s="1">
        <v>592</v>
      </c>
      <c r="P3130" t="str">
        <f t="shared" si="195"/>
        <v>60%</v>
      </c>
      <c r="Q3130" s="12">
        <f t="shared" si="192"/>
        <v>0.6</v>
      </c>
      <c r="R3130" s="9">
        <f t="shared" si="193"/>
        <v>879.60000000000014</v>
      </c>
      <c r="S3130" s="9">
        <f>IF(R3130="",AVERAGEIF(Table1[Category],Table1[[#This Row],[Category]],Table2[orignal data]),Table2[[#This Row],[orignal data]])</f>
        <v>879.60000000000014</v>
      </c>
      <c r="T3130" t="str">
        <f t="shared" si="194"/>
        <v>UNIQUE</v>
      </c>
      <c r="U3130" t="str">
        <f>IF(ISBLANK(Table1[[#This Row],[SizeOption]]),"NOT AVAILABLE",Table1[[#This Row],[SizeOption]])</f>
        <v>38, 40, 42, 44</v>
      </c>
      <c r="Y3130" t="str">
        <f>IF(Table2[[#This Row],[Column1]]&gt;50%,"HIGH DISCOUNT","LOW DISCOUNT")</f>
        <v>HIGH DISCOUNT</v>
      </c>
    </row>
    <row r="3131" spans="1:25" x14ac:dyDescent="0.25">
      <c r="A3131" s="2" t="s">
        <v>6511</v>
      </c>
      <c r="B3131" s="2">
        <v>13000002</v>
      </c>
      <c r="C3131" s="2" t="s">
        <v>92</v>
      </c>
      <c r="D3131" s="2" t="s">
        <v>76</v>
      </c>
      <c r="E3131" s="2" t="s">
        <v>48</v>
      </c>
      <c r="F3131" s="2" t="s">
        <v>36</v>
      </c>
      <c r="G3131" s="2" t="s">
        <v>6512</v>
      </c>
      <c r="H3131">
        <v>428</v>
      </c>
      <c r="I3131" s="2">
        <v>1099</v>
      </c>
      <c r="J3131" s="2" t="s">
        <v>104</v>
      </c>
      <c r="K3131" s="2" t="s">
        <v>39</v>
      </c>
      <c r="L3131" s="2">
        <v>4.0999999999999996</v>
      </c>
      <c r="M3131" s="2">
        <v>592</v>
      </c>
      <c r="P3131" t="str">
        <f t="shared" si="195"/>
        <v>61%</v>
      </c>
      <c r="Q3131" s="12">
        <f t="shared" si="192"/>
        <v>0.61</v>
      </c>
      <c r="R3131" s="9">
        <f t="shared" si="193"/>
        <v>428.61</v>
      </c>
      <c r="S3131" s="9">
        <f>IF(R3131="",AVERAGEIF(Table1[Category],Table1[[#This Row],[Category]],Table2[orignal data]),Table2[[#This Row],[orignal data]])</f>
        <v>428.61</v>
      </c>
      <c r="T3131" t="str">
        <f t="shared" si="194"/>
        <v>UNIQUE</v>
      </c>
      <c r="U3131" t="str">
        <f>IF(ISBLANK(Table1[[#This Row],[SizeOption]]),"NOT AVAILABLE",Table1[[#This Row],[SizeOption]])</f>
        <v>S, M, L, XL, XXL</v>
      </c>
      <c r="Y3131" t="str">
        <f>IF(Table2[[#This Row],[Column1]]&gt;50%,"HIGH DISCOUNT","LOW DISCOUNT")</f>
        <v>HIGH DISCOUNT</v>
      </c>
    </row>
    <row r="3132" spans="1:25" x14ac:dyDescent="0.25">
      <c r="A3132" s="1" t="s">
        <v>6513</v>
      </c>
      <c r="B3132" s="1">
        <v>2094577</v>
      </c>
      <c r="C3132" s="1" t="s">
        <v>92</v>
      </c>
      <c r="D3132" s="1" t="s">
        <v>76</v>
      </c>
      <c r="E3132" s="1" t="s">
        <v>93</v>
      </c>
      <c r="F3132" s="1" t="s">
        <v>36</v>
      </c>
      <c r="G3132" s="1" t="s">
        <v>6514</v>
      </c>
      <c r="H3132">
        <v>612</v>
      </c>
      <c r="I3132" s="1">
        <v>1749</v>
      </c>
      <c r="J3132" s="1" t="s">
        <v>150</v>
      </c>
      <c r="K3132" s="1" t="s">
        <v>39</v>
      </c>
      <c r="L3132" s="1">
        <v>4.0999999999999996</v>
      </c>
      <c r="M3132" s="1">
        <v>592</v>
      </c>
      <c r="P3132" t="str">
        <f t="shared" si="195"/>
        <v>65%</v>
      </c>
      <c r="Q3132" s="12">
        <f t="shared" si="192"/>
        <v>0.65</v>
      </c>
      <c r="R3132" s="9">
        <f t="shared" si="193"/>
        <v>612.14999999999986</v>
      </c>
      <c r="S3132" s="9">
        <f>IF(R3132="",AVERAGEIF(Table1[Category],Table1[[#This Row],[Category]],Table2[orignal data]),Table2[[#This Row],[orignal data]])</f>
        <v>612.14999999999986</v>
      </c>
      <c r="T3132" t="str">
        <f t="shared" si="194"/>
        <v>UNIQUE</v>
      </c>
      <c r="U3132" t="str">
        <f>IF(ISBLANK(Table1[[#This Row],[SizeOption]]),"NOT AVAILABLE",Table1[[#This Row],[SizeOption]])</f>
        <v>S, M, L, XL, XXL</v>
      </c>
      <c r="Y3132" t="str">
        <f>IF(Table2[[#This Row],[Column1]]&gt;50%,"HIGH DISCOUNT","LOW DISCOUNT")</f>
        <v>HIGH DISCOUNT</v>
      </c>
    </row>
    <row r="3133" spans="1:25" x14ac:dyDescent="0.25">
      <c r="A3133" s="2" t="s">
        <v>6515</v>
      </c>
      <c r="B3133" s="2">
        <v>11048804</v>
      </c>
      <c r="C3133" s="2" t="s">
        <v>3736</v>
      </c>
      <c r="D3133" s="2" t="s">
        <v>76</v>
      </c>
      <c r="E3133" s="2" t="s">
        <v>93</v>
      </c>
      <c r="F3133" s="2" t="s">
        <v>36</v>
      </c>
      <c r="G3133" s="2" t="s">
        <v>6516</v>
      </c>
      <c r="H3133">
        <v>1029</v>
      </c>
      <c r="I3133" s="2">
        <v>2100</v>
      </c>
      <c r="J3133" s="2" t="s">
        <v>163</v>
      </c>
      <c r="K3133" s="2" t="s">
        <v>115</v>
      </c>
      <c r="L3133" s="2">
        <v>4.4000000000000004</v>
      </c>
      <c r="M3133" s="2">
        <v>592</v>
      </c>
      <c r="P3133" t="str">
        <f t="shared" si="195"/>
        <v>51%</v>
      </c>
      <c r="Q3133" s="12">
        <f t="shared" si="192"/>
        <v>0.51</v>
      </c>
      <c r="R3133" s="9">
        <f t="shared" si="193"/>
        <v>1029</v>
      </c>
      <c r="S3133" s="9">
        <f>IF(R3133="",AVERAGEIF(Table1[Category],Table1[[#This Row],[Category]],Table2[orignal data]),Table2[[#This Row],[orignal data]])</f>
        <v>1029</v>
      </c>
      <c r="T3133" t="str">
        <f t="shared" si="194"/>
        <v>UNIQUE</v>
      </c>
      <c r="U3133" t="str">
        <f>IF(ISBLANK(Table1[[#This Row],[SizeOption]]),"NOT AVAILABLE",Table1[[#This Row],[SizeOption]])</f>
        <v>XS, S, M, L, XL, XXL</v>
      </c>
      <c r="Y3133" t="str">
        <f>IF(Table2[[#This Row],[Column1]]&gt;50%,"HIGH DISCOUNT","LOW DISCOUNT")</f>
        <v>HIGH DISCOUNT</v>
      </c>
    </row>
    <row r="3134" spans="1:25" x14ac:dyDescent="0.25">
      <c r="A3134" s="1" t="s">
        <v>6517</v>
      </c>
      <c r="B3134" s="1">
        <v>6825161</v>
      </c>
      <c r="C3134" s="1" t="s">
        <v>545</v>
      </c>
      <c r="D3134" s="1" t="s">
        <v>76</v>
      </c>
      <c r="E3134" s="1" t="s">
        <v>320</v>
      </c>
      <c r="F3134" s="1" t="s">
        <v>36</v>
      </c>
      <c r="G3134" s="1" t="s">
        <v>6518</v>
      </c>
      <c r="H3134">
        <v>1079</v>
      </c>
      <c r="I3134" s="1">
        <v>3599</v>
      </c>
      <c r="J3134" s="1" t="s">
        <v>79</v>
      </c>
      <c r="K3134" s="1" t="s">
        <v>164</v>
      </c>
      <c r="L3134" s="1">
        <v>4.2</v>
      </c>
      <c r="M3134" s="1">
        <v>592</v>
      </c>
      <c r="P3134" t="str">
        <f t="shared" si="195"/>
        <v>70%</v>
      </c>
      <c r="Q3134" s="12">
        <f t="shared" si="192"/>
        <v>0.7</v>
      </c>
      <c r="R3134" s="9">
        <f t="shared" si="193"/>
        <v>1079.7000000000003</v>
      </c>
      <c r="S3134" s="9">
        <f>IF(R3134="",AVERAGEIF(Table1[Category],Table1[[#This Row],[Category]],Table2[orignal data]),Table2[[#This Row],[orignal data]])</f>
        <v>1079.7000000000003</v>
      </c>
      <c r="T3134" t="str">
        <f t="shared" si="194"/>
        <v>UNIQUE</v>
      </c>
      <c r="U3134" t="str">
        <f>IF(ISBLANK(Table1[[#This Row],[SizeOption]]),"NOT AVAILABLE",Table1[[#This Row],[SizeOption]])</f>
        <v>Onesize</v>
      </c>
      <c r="Y3134" t="str">
        <f>IF(Table2[[#This Row],[Column1]]&gt;50%,"HIGH DISCOUNT","LOW DISCOUNT")</f>
        <v>HIGH DISCOUNT</v>
      </c>
    </row>
    <row r="3135" spans="1:25" x14ac:dyDescent="0.25">
      <c r="A3135" s="2" t="s">
        <v>6519</v>
      </c>
      <c r="B3135" s="2">
        <v>11991300</v>
      </c>
      <c r="C3135" s="2" t="s">
        <v>14</v>
      </c>
      <c r="D3135" s="2" t="s">
        <v>41</v>
      </c>
      <c r="E3135" s="2" t="s">
        <v>306</v>
      </c>
      <c r="F3135" s="2" t="s">
        <v>36</v>
      </c>
      <c r="G3135" s="2" t="s">
        <v>6520</v>
      </c>
      <c r="I3135" s="2">
        <v>1199</v>
      </c>
      <c r="J3135" s="2" t="s">
        <v>273</v>
      </c>
      <c r="K3135" s="2" t="s">
        <v>115</v>
      </c>
      <c r="L3135" s="2">
        <v>4.2</v>
      </c>
      <c r="M3135" s="2">
        <v>592</v>
      </c>
      <c r="P3135" t="str">
        <f t="shared" si="195"/>
        <v>45 %</v>
      </c>
      <c r="Q3135" s="12">
        <f t="shared" si="192"/>
        <v>0.45</v>
      </c>
      <c r="R3135" s="9">
        <f t="shared" si="193"/>
        <v>659.44999999999993</v>
      </c>
      <c r="S3135" s="9">
        <f>IF(R3135="",AVERAGEIF(Table1[Category],Table1[[#This Row],[Category]],Table2[orignal data]),Table2[[#This Row],[orignal data]])</f>
        <v>659.44999999999993</v>
      </c>
      <c r="T3135" t="str">
        <f t="shared" si="194"/>
        <v>UNIQUE</v>
      </c>
      <c r="U3135" t="str">
        <f>IF(ISBLANK(Table1[[#This Row],[SizeOption]]),"NOT AVAILABLE",Table1[[#This Row],[SizeOption]])</f>
        <v>XS, S, M, L, XL, XXL</v>
      </c>
      <c r="Y3135" t="str">
        <f>IF(Table2[[#This Row],[Column1]]&gt;50%,"HIGH DISCOUNT","LOW DISCOUNT")</f>
        <v>LOW DISCOUNT</v>
      </c>
    </row>
    <row r="3136" spans="1:25" x14ac:dyDescent="0.25">
      <c r="A3136" s="1" t="s">
        <v>6521</v>
      </c>
      <c r="B3136" s="1">
        <v>17383184</v>
      </c>
      <c r="C3136" s="1" t="s">
        <v>14</v>
      </c>
      <c r="D3136" s="1" t="s">
        <v>41</v>
      </c>
      <c r="E3136" s="1" t="s">
        <v>42</v>
      </c>
      <c r="F3136" s="1" t="s">
        <v>36</v>
      </c>
      <c r="G3136" s="1" t="s">
        <v>6522</v>
      </c>
      <c r="I3136" s="1">
        <v>1498</v>
      </c>
      <c r="J3136" s="1" t="s">
        <v>84</v>
      </c>
      <c r="K3136" s="1" t="s">
        <v>703</v>
      </c>
      <c r="L3136" s="1">
        <v>4.3</v>
      </c>
      <c r="M3136" s="1">
        <v>592</v>
      </c>
      <c r="P3136" t="str">
        <f t="shared" si="195"/>
        <v>50%</v>
      </c>
      <c r="Q3136" s="12">
        <f t="shared" si="192"/>
        <v>0.5</v>
      </c>
      <c r="R3136" s="9">
        <f t="shared" si="193"/>
        <v>749</v>
      </c>
      <c r="S3136" s="9">
        <f>IF(R3136="",AVERAGEIF(Table1[Category],Table1[[#This Row],[Category]],Table2[orignal data]),Table2[[#This Row],[orignal data]])</f>
        <v>749</v>
      </c>
      <c r="T3136" t="str">
        <f t="shared" si="194"/>
        <v>UNIQUE</v>
      </c>
      <c r="U3136" t="str">
        <f>IF(ISBLANK(Table1[[#This Row],[SizeOption]]),"NOT AVAILABLE",Table1[[#This Row],[SizeOption]])</f>
        <v>S, XS, XL, L, M</v>
      </c>
      <c r="Y3136" t="str">
        <f>IF(Table2[[#This Row],[Column1]]&gt;50%,"HIGH DISCOUNT","LOW DISCOUNT")</f>
        <v>LOW DISCOUNT</v>
      </c>
    </row>
    <row r="3137" spans="1:25" x14ac:dyDescent="0.25">
      <c r="A3137" s="2" t="s">
        <v>6523</v>
      </c>
      <c r="B3137" s="2">
        <v>17524650</v>
      </c>
      <c r="C3137" s="2" t="s">
        <v>47</v>
      </c>
      <c r="D3137" s="2" t="s">
        <v>41</v>
      </c>
      <c r="E3137" s="2" t="s">
        <v>42</v>
      </c>
      <c r="F3137" s="2" t="s">
        <v>36</v>
      </c>
      <c r="G3137" s="2" t="s">
        <v>1316</v>
      </c>
      <c r="I3137" s="2">
        <v>1598</v>
      </c>
      <c r="J3137" s="2" t="s">
        <v>84</v>
      </c>
      <c r="K3137" s="2" t="s">
        <v>45</v>
      </c>
      <c r="L3137" s="2">
        <v>4.0999999999999996</v>
      </c>
      <c r="M3137" s="2">
        <v>592</v>
      </c>
      <c r="P3137" t="str">
        <f t="shared" si="195"/>
        <v>50%</v>
      </c>
      <c r="Q3137" s="12">
        <f t="shared" si="192"/>
        <v>0.5</v>
      </c>
      <c r="R3137" s="9">
        <f t="shared" si="193"/>
        <v>799</v>
      </c>
      <c r="S3137" s="9">
        <f>IF(R3137="",AVERAGEIF(Table1[Category],Table1[[#This Row],[Category]],Table2[orignal data]),Table2[[#This Row],[orignal data]])</f>
        <v>799</v>
      </c>
      <c r="T3137" t="str">
        <f t="shared" si="194"/>
        <v>UNIQUE</v>
      </c>
      <c r="U3137" t="str">
        <f>IF(ISBLANK(Table1[[#This Row],[SizeOption]]),"NOT AVAILABLE",Table1[[#This Row],[SizeOption]])</f>
        <v>XS, S, M, L, XL</v>
      </c>
      <c r="Y3137" t="str">
        <f>IF(Table2[[#This Row],[Column1]]&gt;50%,"HIGH DISCOUNT","LOW DISCOUNT")</f>
        <v>LOW DISCOUNT</v>
      </c>
    </row>
    <row r="3138" spans="1:25" x14ac:dyDescent="0.25">
      <c r="A3138" s="1" t="s">
        <v>6524</v>
      </c>
      <c r="B3138" s="1">
        <v>12221926</v>
      </c>
      <c r="C3138" s="1" t="s">
        <v>181</v>
      </c>
      <c r="D3138" s="1" t="s">
        <v>41</v>
      </c>
      <c r="E3138" s="1" t="s">
        <v>23</v>
      </c>
      <c r="F3138" s="1" t="s">
        <v>36</v>
      </c>
      <c r="G3138" s="1" t="s">
        <v>6525</v>
      </c>
      <c r="I3138" s="1">
        <v>1599</v>
      </c>
      <c r="J3138" s="1" t="s">
        <v>606</v>
      </c>
      <c r="K3138" s="1" t="s">
        <v>115</v>
      </c>
      <c r="L3138" s="1">
        <v>4.3</v>
      </c>
      <c r="M3138" s="1">
        <v>592</v>
      </c>
      <c r="P3138" t="str">
        <f t="shared" si="195"/>
        <v>54%</v>
      </c>
      <c r="Q3138" s="12">
        <f t="shared" ref="Q3138:Q3201" si="196">IF(P3138="","",IF(ISNUMBER(SEARCH("%",P3138)),P3138,P3138/I3138)*100%)</f>
        <v>0.54</v>
      </c>
      <c r="R3138" s="9">
        <f t="shared" ref="R3138:R3201" si="197">IF(P3138="","",I3138-(I3138*Q3138))</f>
        <v>735.54</v>
      </c>
      <c r="S3138" s="9">
        <f>IF(R3138="",AVERAGEIF(Table1[Category],Table1[[#This Row],[Category]],Table2[orignal data]),Table2[[#This Row],[orignal data]])</f>
        <v>735.54</v>
      </c>
      <c r="T3138" t="str">
        <f t="shared" ref="T3138:T3201" si="198">IF(COUNTIF($B$2:$B$5000,B3138)&gt;1,"DUPLICATE","UNIQUE")</f>
        <v>UNIQUE</v>
      </c>
      <c r="U3138" t="str">
        <f>IF(ISBLANK(Table1[[#This Row],[SizeOption]]),"NOT AVAILABLE",Table1[[#This Row],[SizeOption]])</f>
        <v>XS, S, M, L, XL, XXL</v>
      </c>
      <c r="Y3138" t="str">
        <f>IF(Table2[[#This Row],[Column1]]&gt;50%,"HIGH DISCOUNT","LOW DISCOUNT")</f>
        <v>HIGH DISCOUNT</v>
      </c>
    </row>
    <row r="3139" spans="1:25" x14ac:dyDescent="0.25">
      <c r="A3139" s="2" t="s">
        <v>6526</v>
      </c>
      <c r="B3139" s="2">
        <v>12087518</v>
      </c>
      <c r="C3139" s="2" t="s">
        <v>6527</v>
      </c>
      <c r="D3139" s="2" t="s">
        <v>41</v>
      </c>
      <c r="E3139" s="2" t="s">
        <v>48</v>
      </c>
      <c r="F3139" s="2" t="s">
        <v>36</v>
      </c>
      <c r="G3139" s="2" t="s">
        <v>6528</v>
      </c>
      <c r="I3139" s="2">
        <v>1685</v>
      </c>
      <c r="J3139" s="2" t="s">
        <v>55</v>
      </c>
      <c r="K3139" s="2" t="s">
        <v>45</v>
      </c>
      <c r="L3139" s="2">
        <v>4.2</v>
      </c>
      <c r="M3139" s="2">
        <v>592</v>
      </c>
      <c r="P3139" t="str">
        <f t="shared" ref="P3139:P3202" si="199">TRIM(SUBSTITUTE(SUBSTITUTE(SUBSTITUTE(SUBSTITUTE(J3139,"OFF",""),"Rs.",""),"Hurry*",""),",",""))</f>
        <v>60%</v>
      </c>
      <c r="Q3139" s="12">
        <f t="shared" si="196"/>
        <v>0.6</v>
      </c>
      <c r="R3139" s="9">
        <f t="shared" si="197"/>
        <v>674</v>
      </c>
      <c r="S3139" s="9">
        <f>IF(R3139="",AVERAGEIF(Table1[Category],Table1[[#This Row],[Category]],Table2[orignal data]),Table2[[#This Row],[orignal data]])</f>
        <v>674</v>
      </c>
      <c r="T3139" t="str">
        <f t="shared" si="198"/>
        <v>UNIQUE</v>
      </c>
      <c r="U3139" t="str">
        <f>IF(ISBLANK(Table1[[#This Row],[SizeOption]]),"NOT AVAILABLE",Table1[[#This Row],[SizeOption]])</f>
        <v>XS, S, M, L, XL</v>
      </c>
      <c r="Y3139" t="str">
        <f>IF(Table2[[#This Row],[Column1]]&gt;50%,"HIGH DISCOUNT","LOW DISCOUNT")</f>
        <v>HIGH DISCOUNT</v>
      </c>
    </row>
    <row r="3140" spans="1:25" x14ac:dyDescent="0.25">
      <c r="A3140" s="1" t="s">
        <v>6529</v>
      </c>
      <c r="B3140" s="1">
        <v>8317561</v>
      </c>
      <c r="C3140" s="1" t="s">
        <v>1385</v>
      </c>
      <c r="D3140" s="1" t="s">
        <v>41</v>
      </c>
      <c r="E3140" s="1" t="s">
        <v>368</v>
      </c>
      <c r="F3140" s="1" t="s">
        <v>36</v>
      </c>
      <c r="G3140" s="1" t="s">
        <v>6530</v>
      </c>
      <c r="I3140" s="1">
        <v>1699</v>
      </c>
      <c r="J3140" s="1" t="s">
        <v>19</v>
      </c>
      <c r="K3140" s="1" t="s">
        <v>428</v>
      </c>
      <c r="L3140" s="1">
        <v>4.3</v>
      </c>
      <c r="M3140" s="1">
        <v>592</v>
      </c>
      <c r="P3140" t="str">
        <f t="shared" si="199"/>
        <v>45%</v>
      </c>
      <c r="Q3140" s="12">
        <f t="shared" si="196"/>
        <v>0.45</v>
      </c>
      <c r="R3140" s="9">
        <f t="shared" si="197"/>
        <v>934.44999999999993</v>
      </c>
      <c r="S3140" s="9">
        <f>IF(R3140="",AVERAGEIF(Table1[Category],Table1[[#This Row],[Category]],Table2[orignal data]),Table2[[#This Row],[orignal data]])</f>
        <v>934.44999999999993</v>
      </c>
      <c r="T3140" t="str">
        <f t="shared" si="198"/>
        <v>UNIQUE</v>
      </c>
      <c r="U3140" t="str">
        <f>IF(ISBLANK(Table1[[#This Row],[SizeOption]]),"NOT AVAILABLE",Table1[[#This Row],[SizeOption]])</f>
        <v>26, 28, 30, 32, 34</v>
      </c>
      <c r="Y3140" t="str">
        <f>IF(Table2[[#This Row],[Column1]]&gt;50%,"HIGH DISCOUNT","LOW DISCOUNT")</f>
        <v>LOW DISCOUNT</v>
      </c>
    </row>
    <row r="3141" spans="1:25" x14ac:dyDescent="0.25">
      <c r="A3141" s="2" t="s">
        <v>6531</v>
      </c>
      <c r="B3141" s="2">
        <v>10614658</v>
      </c>
      <c r="C3141" s="2" t="s">
        <v>1194</v>
      </c>
      <c r="D3141" s="2" t="s">
        <v>41</v>
      </c>
      <c r="E3141" s="2" t="s">
        <v>53</v>
      </c>
      <c r="F3141" s="2" t="s">
        <v>36</v>
      </c>
      <c r="G3141" s="2" t="s">
        <v>6532</v>
      </c>
      <c r="I3141" s="2">
        <v>1799</v>
      </c>
      <c r="J3141" s="2" t="s">
        <v>126</v>
      </c>
      <c r="K3141" s="2" t="s">
        <v>134</v>
      </c>
      <c r="L3141" s="2">
        <v>4.2</v>
      </c>
      <c r="M3141" s="2">
        <v>592</v>
      </c>
      <c r="P3141" t="str">
        <f t="shared" si="199"/>
        <v>62%</v>
      </c>
      <c r="Q3141" s="12">
        <f t="shared" si="196"/>
        <v>0.62</v>
      </c>
      <c r="R3141" s="9">
        <f t="shared" si="197"/>
        <v>683.62000000000012</v>
      </c>
      <c r="S3141" s="9">
        <f>IF(R3141="",AVERAGEIF(Table1[Category],Table1[[#This Row],[Category]],Table2[orignal data]),Table2[[#This Row],[orignal data]])</f>
        <v>683.62000000000012</v>
      </c>
      <c r="T3141" t="str">
        <f t="shared" si="198"/>
        <v>UNIQUE</v>
      </c>
      <c r="U3141" t="str">
        <f>IF(ISBLANK(Table1[[#This Row],[SizeOption]]),"NOT AVAILABLE",Table1[[#This Row],[SizeOption]])</f>
        <v>26, 28, 30, 32, 34, 36</v>
      </c>
      <c r="Y3141" t="str">
        <f>IF(Table2[[#This Row],[Column1]]&gt;50%,"HIGH DISCOUNT","LOW DISCOUNT")</f>
        <v>HIGH DISCOUNT</v>
      </c>
    </row>
    <row r="3142" spans="1:25" x14ac:dyDescent="0.25">
      <c r="A3142" s="1" t="s">
        <v>6533</v>
      </c>
      <c r="B3142" s="1">
        <v>1964105</v>
      </c>
      <c r="C3142" s="1" t="s">
        <v>225</v>
      </c>
      <c r="D3142" s="1" t="s">
        <v>41</v>
      </c>
      <c r="E3142" s="1" t="s">
        <v>148</v>
      </c>
      <c r="F3142" s="1" t="s">
        <v>36</v>
      </c>
      <c r="G3142" s="1" t="s">
        <v>6534</v>
      </c>
      <c r="I3142" s="1">
        <v>2399</v>
      </c>
      <c r="J3142" s="1" t="s">
        <v>150</v>
      </c>
      <c r="K3142" s="1" t="s">
        <v>26</v>
      </c>
      <c r="L3142" s="1">
        <v>4.0999999999999996</v>
      </c>
      <c r="M3142" s="1">
        <v>592</v>
      </c>
      <c r="P3142" t="str">
        <f t="shared" si="199"/>
        <v>65%</v>
      </c>
      <c r="Q3142" s="12">
        <f t="shared" si="196"/>
        <v>0.65</v>
      </c>
      <c r="R3142" s="9">
        <f t="shared" si="197"/>
        <v>839.64999999999986</v>
      </c>
      <c r="S3142" s="9">
        <f>IF(R3142="",AVERAGEIF(Table1[Category],Table1[[#This Row],[Category]],Table2[orignal data]),Table2[[#This Row],[orignal data]])</f>
        <v>839.64999999999986</v>
      </c>
      <c r="T3142" t="str">
        <f t="shared" si="198"/>
        <v>UNIQUE</v>
      </c>
      <c r="U3142" t="str">
        <f>IF(ISBLANK(Table1[[#This Row],[SizeOption]]),"NOT AVAILABLE",Table1[[#This Row],[SizeOption]])</f>
        <v>S, M, L, XL</v>
      </c>
      <c r="Y3142" t="str">
        <f>IF(Table2[[#This Row],[Column1]]&gt;50%,"HIGH DISCOUNT","LOW DISCOUNT")</f>
        <v>HIGH DISCOUNT</v>
      </c>
    </row>
    <row r="3143" spans="1:25" x14ac:dyDescent="0.25">
      <c r="A3143" s="2" t="s">
        <v>6535</v>
      </c>
      <c r="B3143" s="2">
        <v>11851476</v>
      </c>
      <c r="C3143" s="2" t="s">
        <v>6536</v>
      </c>
      <c r="D3143" s="2" t="s">
        <v>15</v>
      </c>
      <c r="E3143" s="2" t="s">
        <v>137</v>
      </c>
      <c r="F3143" s="2" t="s">
        <v>17</v>
      </c>
      <c r="G3143" s="2" t="s">
        <v>6537</v>
      </c>
      <c r="H3143">
        <v>719</v>
      </c>
      <c r="I3143" s="2">
        <v>799</v>
      </c>
      <c r="J3143" s="2" t="s">
        <v>1005</v>
      </c>
      <c r="K3143" s="2" t="s">
        <v>171</v>
      </c>
      <c r="L3143" s="2">
        <v>4.4000000000000004</v>
      </c>
      <c r="M3143" s="2">
        <v>591</v>
      </c>
      <c r="P3143" t="str">
        <f t="shared" si="199"/>
        <v>10%</v>
      </c>
      <c r="Q3143" s="12">
        <f t="shared" si="196"/>
        <v>0.1</v>
      </c>
      <c r="R3143" s="9">
        <f t="shared" si="197"/>
        <v>719.1</v>
      </c>
      <c r="S3143" s="9">
        <f>IF(R3143="",AVERAGEIF(Table1[Category],Table1[[#This Row],[Category]],Table2[orignal data]),Table2[[#This Row],[orignal data]])</f>
        <v>719.1</v>
      </c>
      <c r="T3143" t="str">
        <f t="shared" si="198"/>
        <v>UNIQUE</v>
      </c>
      <c r="U3143" t="str">
        <f>IF(ISBLANK(Table1[[#This Row],[SizeOption]]),"NOT AVAILABLE",Table1[[#This Row],[SizeOption]])</f>
        <v>28, 30, 32, 34, 36, 38</v>
      </c>
      <c r="Y3143" t="str">
        <f>IF(Table2[[#This Row],[Column1]]&gt;50%,"HIGH DISCOUNT","LOW DISCOUNT")</f>
        <v>LOW DISCOUNT</v>
      </c>
    </row>
    <row r="3144" spans="1:25" x14ac:dyDescent="0.25">
      <c r="A3144" s="1" t="s">
        <v>6538</v>
      </c>
      <c r="B3144" s="1">
        <v>11998908</v>
      </c>
      <c r="C3144" s="1" t="s">
        <v>67</v>
      </c>
      <c r="D3144" s="1" t="s">
        <v>15</v>
      </c>
      <c r="E3144" s="1" t="s">
        <v>23</v>
      </c>
      <c r="F3144" s="1" t="s">
        <v>17</v>
      </c>
      <c r="G3144" s="1" t="s">
        <v>6539</v>
      </c>
      <c r="H3144">
        <v>679</v>
      </c>
      <c r="I3144" s="1">
        <v>1699</v>
      </c>
      <c r="J3144" s="1" t="s">
        <v>55</v>
      </c>
      <c r="K3144" s="1" t="s">
        <v>39</v>
      </c>
      <c r="L3144" s="1">
        <v>4.2</v>
      </c>
      <c r="M3144" s="1">
        <v>591</v>
      </c>
      <c r="P3144" t="str">
        <f t="shared" si="199"/>
        <v>60%</v>
      </c>
      <c r="Q3144" s="12">
        <f t="shared" si="196"/>
        <v>0.6</v>
      </c>
      <c r="R3144" s="9">
        <f t="shared" si="197"/>
        <v>679.6</v>
      </c>
      <c r="S3144" s="9">
        <f>IF(R3144="",AVERAGEIF(Table1[Category],Table1[[#This Row],[Category]],Table2[orignal data]),Table2[[#This Row],[orignal data]])</f>
        <v>679.6</v>
      </c>
      <c r="T3144" t="str">
        <f t="shared" si="198"/>
        <v>UNIQUE</v>
      </c>
      <c r="U3144" t="str">
        <f>IF(ISBLANK(Table1[[#This Row],[SizeOption]]),"NOT AVAILABLE",Table1[[#This Row],[SizeOption]])</f>
        <v>S, M, L, XL, XXL</v>
      </c>
      <c r="Y3144" t="str">
        <f>IF(Table2[[#This Row],[Column1]]&gt;50%,"HIGH DISCOUNT","LOW DISCOUNT")</f>
        <v>HIGH DISCOUNT</v>
      </c>
    </row>
    <row r="3145" spans="1:25" x14ac:dyDescent="0.25">
      <c r="A3145" s="2" t="s">
        <v>6540</v>
      </c>
      <c r="B3145" s="2">
        <v>1778108</v>
      </c>
      <c r="C3145" s="2" t="s">
        <v>1608</v>
      </c>
      <c r="D3145" s="2" t="s">
        <v>15</v>
      </c>
      <c r="E3145" s="2" t="s">
        <v>53</v>
      </c>
      <c r="F3145" s="2" t="s">
        <v>17</v>
      </c>
      <c r="G3145" s="2" t="s">
        <v>6541</v>
      </c>
      <c r="H3145">
        <v>742</v>
      </c>
      <c r="I3145" s="2">
        <v>1649</v>
      </c>
      <c r="J3145" s="2" t="s">
        <v>25</v>
      </c>
      <c r="K3145" s="2" t="s">
        <v>56</v>
      </c>
      <c r="L3145" s="2">
        <v>4</v>
      </c>
      <c r="M3145" s="2">
        <v>591</v>
      </c>
      <c r="P3145" t="str">
        <f t="shared" si="199"/>
        <v>55%</v>
      </c>
      <c r="Q3145" s="12">
        <f t="shared" si="196"/>
        <v>0.55000000000000004</v>
      </c>
      <c r="R3145" s="9">
        <f t="shared" si="197"/>
        <v>742.05</v>
      </c>
      <c r="S3145" s="9">
        <f>IF(R3145="",AVERAGEIF(Table1[Category],Table1[[#This Row],[Category]],Table2[orignal data]),Table2[[#This Row],[orignal data]])</f>
        <v>742.05</v>
      </c>
      <c r="T3145" t="str">
        <f t="shared" si="198"/>
        <v>UNIQUE</v>
      </c>
      <c r="U3145" t="str">
        <f>IF(ISBLANK(Table1[[#This Row],[SizeOption]]),"NOT AVAILABLE",Table1[[#This Row],[SizeOption]])</f>
        <v>30, 32, 34, 36</v>
      </c>
      <c r="Y3145" t="str">
        <f>IF(Table2[[#This Row],[Column1]]&gt;50%,"HIGH DISCOUNT","LOW DISCOUNT")</f>
        <v>HIGH DISCOUNT</v>
      </c>
    </row>
    <row r="3146" spans="1:25" x14ac:dyDescent="0.25">
      <c r="A3146" s="1" t="s">
        <v>6542</v>
      </c>
      <c r="B3146" s="1">
        <v>10617878</v>
      </c>
      <c r="C3146" s="1" t="s">
        <v>14</v>
      </c>
      <c r="D3146" s="1" t="s">
        <v>28</v>
      </c>
      <c r="E3146" s="1" t="s">
        <v>189</v>
      </c>
      <c r="F3146" s="1" t="s">
        <v>17</v>
      </c>
      <c r="G3146" s="1" t="s">
        <v>6543</v>
      </c>
      <c r="H3146">
        <v>1399</v>
      </c>
      <c r="I3146" s="1">
        <v>3499</v>
      </c>
      <c r="J3146" s="1" t="s">
        <v>55</v>
      </c>
      <c r="K3146" s="1" t="s">
        <v>39</v>
      </c>
      <c r="L3146" s="1">
        <v>3.9</v>
      </c>
      <c r="M3146" s="1">
        <v>591</v>
      </c>
      <c r="P3146" t="str">
        <f t="shared" si="199"/>
        <v>60%</v>
      </c>
      <c r="Q3146" s="12">
        <f t="shared" si="196"/>
        <v>0.6</v>
      </c>
      <c r="R3146" s="9">
        <f t="shared" si="197"/>
        <v>1399.6</v>
      </c>
      <c r="S3146" s="9">
        <f>IF(R3146="",AVERAGEIF(Table1[Category],Table1[[#This Row],[Category]],Table2[orignal data]),Table2[[#This Row],[orignal data]])</f>
        <v>1399.6</v>
      </c>
      <c r="T3146" t="str">
        <f t="shared" si="198"/>
        <v>UNIQUE</v>
      </c>
      <c r="U3146" t="str">
        <f>IF(ISBLANK(Table1[[#This Row],[SizeOption]]),"NOT AVAILABLE",Table1[[#This Row],[SizeOption]])</f>
        <v>S, M, L, XL, XXL</v>
      </c>
      <c r="Y3146" t="str">
        <f>IF(Table2[[#This Row],[Column1]]&gt;50%,"HIGH DISCOUNT","LOW DISCOUNT")</f>
        <v>HIGH DISCOUNT</v>
      </c>
    </row>
    <row r="3147" spans="1:25" x14ac:dyDescent="0.25">
      <c r="A3147" s="2" t="s">
        <v>6544</v>
      </c>
      <c r="B3147" s="2">
        <v>8746081</v>
      </c>
      <c r="C3147" s="2" t="s">
        <v>92</v>
      </c>
      <c r="D3147" s="2" t="s">
        <v>76</v>
      </c>
      <c r="E3147" s="2" t="s">
        <v>148</v>
      </c>
      <c r="F3147" s="2" t="s">
        <v>36</v>
      </c>
      <c r="G3147" s="2" t="s">
        <v>6545</v>
      </c>
      <c r="H3147">
        <v>1106</v>
      </c>
      <c r="I3147" s="2">
        <v>2699</v>
      </c>
      <c r="J3147" s="2" t="s">
        <v>95</v>
      </c>
      <c r="K3147" s="2" t="s">
        <v>39</v>
      </c>
      <c r="L3147" s="2">
        <v>4.2</v>
      </c>
      <c r="M3147" s="2">
        <v>591</v>
      </c>
      <c r="P3147" t="str">
        <f t="shared" si="199"/>
        <v>59%</v>
      </c>
      <c r="Q3147" s="12">
        <f t="shared" si="196"/>
        <v>0.59</v>
      </c>
      <c r="R3147" s="9">
        <f t="shared" si="197"/>
        <v>1106.5900000000001</v>
      </c>
      <c r="S3147" s="9">
        <f>IF(R3147="",AVERAGEIF(Table1[Category],Table1[[#This Row],[Category]],Table2[orignal data]),Table2[[#This Row],[orignal data]])</f>
        <v>1106.5900000000001</v>
      </c>
      <c r="T3147" t="str">
        <f t="shared" si="198"/>
        <v>UNIQUE</v>
      </c>
      <c r="U3147" t="str">
        <f>IF(ISBLANK(Table1[[#This Row],[SizeOption]]),"NOT AVAILABLE",Table1[[#This Row],[SizeOption]])</f>
        <v>S, M, L, XL, XXL</v>
      </c>
      <c r="Y3147" t="str">
        <f>IF(Table2[[#This Row],[Column1]]&gt;50%,"HIGH DISCOUNT","LOW DISCOUNT")</f>
        <v>HIGH DISCOUNT</v>
      </c>
    </row>
    <row r="3148" spans="1:25" x14ac:dyDescent="0.25">
      <c r="A3148" s="1" t="s">
        <v>6546</v>
      </c>
      <c r="B3148" s="1">
        <v>11489670</v>
      </c>
      <c r="C3148" s="1" t="s">
        <v>14</v>
      </c>
      <c r="D3148" s="1" t="s">
        <v>41</v>
      </c>
      <c r="E3148" s="1" t="s">
        <v>579</v>
      </c>
      <c r="F3148" s="1" t="s">
        <v>36</v>
      </c>
      <c r="G3148" s="1" t="s">
        <v>6547</v>
      </c>
      <c r="I3148" s="1">
        <v>1499</v>
      </c>
      <c r="J3148" s="1" t="s">
        <v>55</v>
      </c>
      <c r="K3148" s="1" t="s">
        <v>134</v>
      </c>
      <c r="L3148" s="1">
        <v>4.2</v>
      </c>
      <c r="M3148" s="1">
        <v>591</v>
      </c>
      <c r="P3148" t="str">
        <f t="shared" si="199"/>
        <v>60%</v>
      </c>
      <c r="Q3148" s="12">
        <f t="shared" si="196"/>
        <v>0.6</v>
      </c>
      <c r="R3148" s="9">
        <f t="shared" si="197"/>
        <v>599.6</v>
      </c>
      <c r="S3148" s="9">
        <f>IF(R3148="",AVERAGEIF(Table1[Category],Table1[[#This Row],[Category]],Table2[orignal data]),Table2[[#This Row],[orignal data]])</f>
        <v>599.6</v>
      </c>
      <c r="T3148" t="str">
        <f t="shared" si="198"/>
        <v>UNIQUE</v>
      </c>
      <c r="U3148" t="str">
        <f>IF(ISBLANK(Table1[[#This Row],[SizeOption]]),"NOT AVAILABLE",Table1[[#This Row],[SizeOption]])</f>
        <v>26, 28, 30, 32, 34, 36</v>
      </c>
      <c r="Y3148" t="str">
        <f>IF(Table2[[#This Row],[Column1]]&gt;50%,"HIGH DISCOUNT","LOW DISCOUNT")</f>
        <v>HIGH DISCOUNT</v>
      </c>
    </row>
    <row r="3149" spans="1:25" x14ac:dyDescent="0.25">
      <c r="A3149" s="2" t="s">
        <v>6548</v>
      </c>
      <c r="B3149" s="2">
        <v>17524600</v>
      </c>
      <c r="C3149" s="2" t="s">
        <v>47</v>
      </c>
      <c r="D3149" s="2" t="s">
        <v>41</v>
      </c>
      <c r="E3149" s="2" t="s">
        <v>42</v>
      </c>
      <c r="F3149" s="2" t="s">
        <v>36</v>
      </c>
      <c r="G3149" s="2" t="s">
        <v>1316</v>
      </c>
      <c r="I3149" s="2">
        <v>1598</v>
      </c>
      <c r="J3149" s="2" t="s">
        <v>84</v>
      </c>
      <c r="K3149" s="2" t="s">
        <v>3215</v>
      </c>
      <c r="L3149" s="2">
        <v>4.0999999999999996</v>
      </c>
      <c r="M3149" s="2">
        <v>591</v>
      </c>
      <c r="P3149" t="str">
        <f t="shared" si="199"/>
        <v>50%</v>
      </c>
      <c r="Q3149" s="12">
        <f t="shared" si="196"/>
        <v>0.5</v>
      </c>
      <c r="R3149" s="9">
        <f t="shared" si="197"/>
        <v>799</v>
      </c>
      <c r="S3149" s="9">
        <f>IF(R3149="",AVERAGEIF(Table1[Category],Table1[[#This Row],[Category]],Table2[orignal data]),Table2[[#This Row],[orignal data]])</f>
        <v>799</v>
      </c>
      <c r="T3149" t="str">
        <f t="shared" si="198"/>
        <v>UNIQUE</v>
      </c>
      <c r="U3149" t="str">
        <f>IF(ISBLANK(Table1[[#This Row],[SizeOption]]),"NOT AVAILABLE",Table1[[#This Row],[SizeOption]])</f>
        <v>XS, XL, L, M, S</v>
      </c>
      <c r="Y3149" t="str">
        <f>IF(Table2[[#This Row],[Column1]]&gt;50%,"HIGH DISCOUNT","LOW DISCOUNT")</f>
        <v>LOW DISCOUNT</v>
      </c>
    </row>
    <row r="3150" spans="1:25" x14ac:dyDescent="0.25">
      <c r="A3150" s="1" t="s">
        <v>6549</v>
      </c>
      <c r="B3150" s="1">
        <v>10158795</v>
      </c>
      <c r="C3150" s="1" t="s">
        <v>107</v>
      </c>
      <c r="D3150" s="1" t="s">
        <v>41</v>
      </c>
      <c r="E3150" s="1" t="s">
        <v>16</v>
      </c>
      <c r="F3150" s="1" t="s">
        <v>36</v>
      </c>
      <c r="G3150" s="1" t="s">
        <v>6550</v>
      </c>
      <c r="I3150" s="1">
        <v>2299</v>
      </c>
      <c r="J3150" s="1" t="s">
        <v>25</v>
      </c>
      <c r="K3150" s="1" t="s">
        <v>134</v>
      </c>
      <c r="L3150" s="1">
        <v>3.7</v>
      </c>
      <c r="M3150" s="1">
        <v>591</v>
      </c>
      <c r="P3150" t="str">
        <f t="shared" si="199"/>
        <v>55%</v>
      </c>
      <c r="Q3150" s="12">
        <f t="shared" si="196"/>
        <v>0.55000000000000004</v>
      </c>
      <c r="R3150" s="9">
        <f t="shared" si="197"/>
        <v>1034.55</v>
      </c>
      <c r="S3150" s="9">
        <f>IF(R3150="",AVERAGEIF(Table1[Category],Table1[[#This Row],[Category]],Table2[orignal data]),Table2[[#This Row],[orignal data]])</f>
        <v>1034.55</v>
      </c>
      <c r="T3150" t="str">
        <f t="shared" si="198"/>
        <v>UNIQUE</v>
      </c>
      <c r="U3150" t="str">
        <f>IF(ISBLANK(Table1[[#This Row],[SizeOption]]),"NOT AVAILABLE",Table1[[#This Row],[SizeOption]])</f>
        <v>26, 28, 30, 32, 34, 36</v>
      </c>
      <c r="Y3150" t="str">
        <f>IF(Table2[[#This Row],[Column1]]&gt;50%,"HIGH DISCOUNT","LOW DISCOUNT")</f>
        <v>HIGH DISCOUNT</v>
      </c>
    </row>
    <row r="3151" spans="1:25" x14ac:dyDescent="0.25">
      <c r="A3151" s="2" t="s">
        <v>6551</v>
      </c>
      <c r="B3151" s="2">
        <v>2033529</v>
      </c>
      <c r="C3151" s="2" t="s">
        <v>420</v>
      </c>
      <c r="D3151" s="2" t="s">
        <v>41</v>
      </c>
      <c r="E3151" s="2" t="s">
        <v>189</v>
      </c>
      <c r="F3151" s="2" t="s">
        <v>36</v>
      </c>
      <c r="G3151" s="2" t="s">
        <v>6552</v>
      </c>
      <c r="I3151" s="2">
        <v>2499</v>
      </c>
      <c r="J3151" s="2" t="s">
        <v>150</v>
      </c>
      <c r="K3151" s="2" t="s">
        <v>26</v>
      </c>
      <c r="L3151" s="2">
        <v>3.8</v>
      </c>
      <c r="M3151" s="2">
        <v>591</v>
      </c>
      <c r="P3151" t="str">
        <f t="shared" si="199"/>
        <v>65%</v>
      </c>
      <c r="Q3151" s="12">
        <f t="shared" si="196"/>
        <v>0.65</v>
      </c>
      <c r="R3151" s="9">
        <f t="shared" si="197"/>
        <v>874.64999999999986</v>
      </c>
      <c r="S3151" s="9">
        <f>IF(R3151="",AVERAGEIF(Table1[Category],Table1[[#This Row],[Category]],Table2[orignal data]),Table2[[#This Row],[orignal data]])</f>
        <v>874.64999999999986</v>
      </c>
      <c r="T3151" t="str">
        <f t="shared" si="198"/>
        <v>UNIQUE</v>
      </c>
      <c r="U3151" t="str">
        <f>IF(ISBLANK(Table1[[#This Row],[SizeOption]]),"NOT AVAILABLE",Table1[[#This Row],[SizeOption]])</f>
        <v>S, M, L, XL</v>
      </c>
      <c r="Y3151" t="str">
        <f>IF(Table2[[#This Row],[Column1]]&gt;50%,"HIGH DISCOUNT","LOW DISCOUNT")</f>
        <v>HIGH DISCOUNT</v>
      </c>
    </row>
    <row r="3152" spans="1:25" x14ac:dyDescent="0.25">
      <c r="A3152" s="1" t="s">
        <v>6553</v>
      </c>
      <c r="B3152" s="1">
        <v>10641924</v>
      </c>
      <c r="C3152" s="1" t="s">
        <v>102</v>
      </c>
      <c r="D3152" s="1" t="s">
        <v>41</v>
      </c>
      <c r="E3152" s="1" t="s">
        <v>48</v>
      </c>
      <c r="F3152" s="1" t="s">
        <v>36</v>
      </c>
      <c r="G3152" s="1" t="s">
        <v>6554</v>
      </c>
      <c r="I3152" s="1">
        <v>999</v>
      </c>
      <c r="J3152" s="1" t="s">
        <v>55</v>
      </c>
      <c r="K3152" s="1" t="s">
        <v>26</v>
      </c>
      <c r="L3152" s="1">
        <v>4.2</v>
      </c>
      <c r="M3152" s="1">
        <v>591</v>
      </c>
      <c r="P3152" t="str">
        <f t="shared" si="199"/>
        <v>60%</v>
      </c>
      <c r="Q3152" s="12">
        <f t="shared" si="196"/>
        <v>0.6</v>
      </c>
      <c r="R3152" s="9">
        <f t="shared" si="197"/>
        <v>399.6</v>
      </c>
      <c r="S3152" s="9">
        <f>IF(R3152="",AVERAGEIF(Table1[Category],Table1[[#This Row],[Category]],Table2[orignal data]),Table2[[#This Row],[orignal data]])</f>
        <v>399.6</v>
      </c>
      <c r="T3152" t="str">
        <f t="shared" si="198"/>
        <v>UNIQUE</v>
      </c>
      <c r="U3152" t="str">
        <f>IF(ISBLANK(Table1[[#This Row],[SizeOption]]),"NOT AVAILABLE",Table1[[#This Row],[SizeOption]])</f>
        <v>S, M, L, XL</v>
      </c>
      <c r="Y3152" t="str">
        <f>IF(Table2[[#This Row],[Column1]]&gt;50%,"HIGH DISCOUNT","LOW DISCOUNT")</f>
        <v>HIGH DISCOUNT</v>
      </c>
    </row>
    <row r="3153" spans="1:25" x14ac:dyDescent="0.25">
      <c r="A3153" s="2" t="s">
        <v>6555</v>
      </c>
      <c r="B3153" s="2">
        <v>8661719</v>
      </c>
      <c r="C3153" s="2" t="s">
        <v>14</v>
      </c>
      <c r="D3153" s="2" t="s">
        <v>41</v>
      </c>
      <c r="E3153" s="2" t="s">
        <v>42</v>
      </c>
      <c r="F3153" s="2" t="s">
        <v>36</v>
      </c>
      <c r="G3153" s="2" t="s">
        <v>6556</v>
      </c>
      <c r="I3153" s="2">
        <v>599</v>
      </c>
      <c r="J3153" s="2"/>
      <c r="K3153" s="2" t="s">
        <v>45</v>
      </c>
      <c r="L3153" s="2">
        <v>4.3</v>
      </c>
      <c r="M3153" s="2">
        <v>591</v>
      </c>
      <c r="P3153" t="str">
        <f t="shared" si="199"/>
        <v/>
      </c>
      <c r="Q3153" s="12" t="str">
        <f t="shared" si="196"/>
        <v/>
      </c>
      <c r="R3153" s="9" t="str">
        <f t="shared" si="197"/>
        <v/>
      </c>
      <c r="S3153" s="9">
        <f>IF(R3153="",AVERAGEIF(Table1[Category],Table1[[#This Row],[Category]],Table2[orignal data]),Table2[[#This Row],[orignal data]])</f>
        <v>715.78890751086249</v>
      </c>
      <c r="T3153" t="str">
        <f t="shared" si="198"/>
        <v>UNIQUE</v>
      </c>
      <c r="U3153" t="str">
        <f>IF(ISBLANK(Table1[[#This Row],[SizeOption]]),"NOT AVAILABLE",Table1[[#This Row],[SizeOption]])</f>
        <v>XS, S, M, L, XL</v>
      </c>
      <c r="Y3153" t="str">
        <f>IF(Table2[[#This Row],[Column1]]&gt;50%,"HIGH DISCOUNT","LOW DISCOUNT")</f>
        <v>HIGH DISCOUNT</v>
      </c>
    </row>
    <row r="3154" spans="1:25" x14ac:dyDescent="0.25">
      <c r="A3154" s="1" t="s">
        <v>6557</v>
      </c>
      <c r="B3154" s="1">
        <v>2330106</v>
      </c>
      <c r="C3154" s="1" t="s">
        <v>6558</v>
      </c>
      <c r="D3154" s="1" t="s">
        <v>197</v>
      </c>
      <c r="E3154" s="1" t="s">
        <v>1807</v>
      </c>
      <c r="F3154" s="1" t="s">
        <v>17</v>
      </c>
      <c r="G3154" s="1" t="s">
        <v>6559</v>
      </c>
      <c r="H3154">
        <v>572</v>
      </c>
      <c r="I3154" s="1">
        <v>716</v>
      </c>
      <c r="J3154" s="1" t="s">
        <v>412</v>
      </c>
      <c r="K3154" s="1" t="s">
        <v>223</v>
      </c>
      <c r="L3154" s="1">
        <v>4.4000000000000004</v>
      </c>
      <c r="M3154" s="1">
        <v>590</v>
      </c>
      <c r="P3154" t="str">
        <f t="shared" si="199"/>
        <v>20%</v>
      </c>
      <c r="Q3154" s="12">
        <f t="shared" si="196"/>
        <v>0.2</v>
      </c>
      <c r="R3154" s="9">
        <f t="shared" si="197"/>
        <v>572.79999999999995</v>
      </c>
      <c r="S3154" s="9">
        <f>IF(R3154="",AVERAGEIF(Table1[Category],Table1[[#This Row],[Category]],Table2[orignal data]),Table2[[#This Row],[orignal data]])</f>
        <v>572.79999999999995</v>
      </c>
      <c r="T3154" t="str">
        <f t="shared" si="198"/>
        <v>UNIQUE</v>
      </c>
      <c r="U3154" t="str">
        <f>IF(ISBLANK(Table1[[#This Row],[SizeOption]]),"NOT AVAILABLE",Table1[[#This Row],[SizeOption]])</f>
        <v>S, M, L, XL, XXL, 3XL, 4XL</v>
      </c>
      <c r="Y3154" t="str">
        <f>IF(Table2[[#This Row],[Column1]]&gt;50%,"HIGH DISCOUNT","LOW DISCOUNT")</f>
        <v>LOW DISCOUNT</v>
      </c>
    </row>
    <row r="3155" spans="1:25" x14ac:dyDescent="0.25">
      <c r="A3155" s="2" t="s">
        <v>6560</v>
      </c>
      <c r="B3155" s="2">
        <v>9167287</v>
      </c>
      <c r="C3155" s="2" t="s">
        <v>794</v>
      </c>
      <c r="D3155" s="2" t="s">
        <v>197</v>
      </c>
      <c r="E3155" s="2" t="s">
        <v>939</v>
      </c>
      <c r="F3155" s="2" t="s">
        <v>17</v>
      </c>
      <c r="G3155" s="2" t="s">
        <v>6561</v>
      </c>
      <c r="I3155" s="2">
        <v>879</v>
      </c>
      <c r="J3155" s="2"/>
      <c r="K3155" s="2" t="s">
        <v>39</v>
      </c>
      <c r="L3155" s="2">
        <v>4.4000000000000004</v>
      </c>
      <c r="M3155" s="2">
        <v>590</v>
      </c>
      <c r="P3155" t="str">
        <f t="shared" si="199"/>
        <v/>
      </c>
      <c r="Q3155" s="12" t="str">
        <f t="shared" si="196"/>
        <v/>
      </c>
      <c r="R3155" s="9" t="str">
        <f t="shared" si="197"/>
        <v/>
      </c>
      <c r="S3155" s="9">
        <f>IF(R3155="",AVERAGEIF(Table1[Category],Table1[[#This Row],[Category]],Table2[orignal data]),Table2[[#This Row],[orignal data]])</f>
        <v>552.70900000000006</v>
      </c>
      <c r="T3155" t="str">
        <f t="shared" si="198"/>
        <v>UNIQUE</v>
      </c>
      <c r="U3155" t="str">
        <f>IF(ISBLANK(Table1[[#This Row],[SizeOption]]),"NOT AVAILABLE",Table1[[#This Row],[SizeOption]])</f>
        <v>S, M, L, XL, XXL</v>
      </c>
      <c r="Y3155" t="str">
        <f>IF(Table2[[#This Row],[Column1]]&gt;50%,"HIGH DISCOUNT","LOW DISCOUNT")</f>
        <v>HIGH DISCOUNT</v>
      </c>
    </row>
    <row r="3156" spans="1:25" x14ac:dyDescent="0.25">
      <c r="A3156" s="1" t="s">
        <v>6562</v>
      </c>
      <c r="B3156" s="1">
        <v>11786050</v>
      </c>
      <c r="C3156" s="1" t="s">
        <v>794</v>
      </c>
      <c r="D3156" s="1" t="s">
        <v>197</v>
      </c>
      <c r="E3156" s="1" t="s">
        <v>939</v>
      </c>
      <c r="F3156" s="1" t="s">
        <v>17</v>
      </c>
      <c r="G3156" s="1" t="s">
        <v>6563</v>
      </c>
      <c r="I3156" s="1">
        <v>1758</v>
      </c>
      <c r="J3156" s="1"/>
      <c r="K3156" s="1" t="s">
        <v>5108</v>
      </c>
      <c r="L3156" s="1">
        <v>4.4000000000000004</v>
      </c>
      <c r="M3156" s="1">
        <v>590</v>
      </c>
      <c r="P3156" t="str">
        <f t="shared" si="199"/>
        <v/>
      </c>
      <c r="Q3156" s="12" t="str">
        <f t="shared" si="196"/>
        <v/>
      </c>
      <c r="R3156" s="9" t="str">
        <f t="shared" si="197"/>
        <v/>
      </c>
      <c r="S3156" s="9">
        <f>IF(R3156="",AVERAGEIF(Table1[Category],Table1[[#This Row],[Category]],Table2[orignal data]),Table2[[#This Row],[orignal data]])</f>
        <v>552.70900000000006</v>
      </c>
      <c r="T3156" t="str">
        <f t="shared" si="198"/>
        <v>UNIQUE</v>
      </c>
      <c r="U3156" t="str">
        <f>IF(ISBLANK(Table1[[#This Row],[SizeOption]]),"NOT AVAILABLE",Table1[[#This Row],[SizeOption]])</f>
        <v>XL, S, XXL, L, M</v>
      </c>
      <c r="Y3156" t="str">
        <f>IF(Table2[[#This Row],[Column1]]&gt;50%,"HIGH DISCOUNT","LOW DISCOUNT")</f>
        <v>HIGH DISCOUNT</v>
      </c>
    </row>
    <row r="3157" spans="1:25" x14ac:dyDescent="0.25">
      <c r="A3157" s="2" t="s">
        <v>6564</v>
      </c>
      <c r="B3157" s="2">
        <v>10710292</v>
      </c>
      <c r="C3157" s="2" t="s">
        <v>3673</v>
      </c>
      <c r="D3157" s="2" t="s">
        <v>28</v>
      </c>
      <c r="E3157" s="2" t="s">
        <v>29</v>
      </c>
      <c r="F3157" s="2" t="s">
        <v>17</v>
      </c>
      <c r="G3157" s="2" t="s">
        <v>6565</v>
      </c>
      <c r="H3157">
        <v>687</v>
      </c>
      <c r="I3157" s="2">
        <v>2099</v>
      </c>
      <c r="J3157" s="2" t="s">
        <v>6566</v>
      </c>
      <c r="K3157" s="2" t="s">
        <v>1674</v>
      </c>
      <c r="L3157" s="2">
        <v>4.0999999999999996</v>
      </c>
      <c r="M3157" s="2">
        <v>590</v>
      </c>
      <c r="P3157" t="str">
        <f t="shared" si="199"/>
        <v>1412</v>
      </c>
      <c r="Q3157" s="12">
        <f t="shared" si="196"/>
        <v>0.67270128632682225</v>
      </c>
      <c r="R3157" s="9">
        <f t="shared" si="197"/>
        <v>687</v>
      </c>
      <c r="S3157" s="9">
        <f>IF(R3157="",AVERAGEIF(Table1[Category],Table1[[#This Row],[Category]],Table2[orignal data]),Table2[[#This Row],[orignal data]])</f>
        <v>687</v>
      </c>
      <c r="T3157" t="str">
        <f t="shared" si="198"/>
        <v>UNIQUE</v>
      </c>
      <c r="U3157" t="str">
        <f>IF(ISBLANK(Table1[[#This Row],[SizeOption]]),"NOT AVAILABLE",Table1[[#This Row],[SizeOption]])</f>
        <v>38, 39, 40, 42, 44</v>
      </c>
      <c r="Y3157" t="str">
        <f>IF(Table2[[#This Row],[Column1]]&gt;50%,"HIGH DISCOUNT","LOW DISCOUNT")</f>
        <v>HIGH DISCOUNT</v>
      </c>
    </row>
    <row r="3158" spans="1:25" x14ac:dyDescent="0.25">
      <c r="A3158" s="1" t="s">
        <v>6567</v>
      </c>
      <c r="B3158" s="1">
        <v>10944496</v>
      </c>
      <c r="C3158" s="1" t="s">
        <v>14</v>
      </c>
      <c r="D3158" s="1" t="s">
        <v>28</v>
      </c>
      <c r="E3158" s="1" t="s">
        <v>29</v>
      </c>
      <c r="F3158" s="1" t="s">
        <v>17</v>
      </c>
      <c r="G3158" s="1" t="s">
        <v>6568</v>
      </c>
      <c r="H3158">
        <v>1264</v>
      </c>
      <c r="I3158" s="1">
        <v>2299</v>
      </c>
      <c r="J3158" s="1" t="s">
        <v>19</v>
      </c>
      <c r="K3158" s="1" t="s">
        <v>253</v>
      </c>
      <c r="L3158" s="1">
        <v>4.2</v>
      </c>
      <c r="M3158" s="1">
        <v>590</v>
      </c>
      <c r="P3158" t="str">
        <f t="shared" si="199"/>
        <v>45%</v>
      </c>
      <c r="Q3158" s="12">
        <f t="shared" si="196"/>
        <v>0.45</v>
      </c>
      <c r="R3158" s="9">
        <f t="shared" si="197"/>
        <v>1264.45</v>
      </c>
      <c r="S3158" s="9">
        <f>IF(R3158="",AVERAGEIF(Table1[Category],Table1[[#This Row],[Category]],Table2[orignal data]),Table2[[#This Row],[orignal data]])</f>
        <v>1264.45</v>
      </c>
      <c r="T3158" t="str">
        <f t="shared" si="198"/>
        <v>UNIQUE</v>
      </c>
      <c r="U3158" t="str">
        <f>IF(ISBLANK(Table1[[#This Row],[SizeOption]]),"NOT AVAILABLE",Table1[[#This Row],[SizeOption]])</f>
        <v>38, 40, 42, 44</v>
      </c>
      <c r="Y3158" t="str">
        <f>IF(Table2[[#This Row],[Column1]]&gt;50%,"HIGH DISCOUNT","LOW DISCOUNT")</f>
        <v>LOW DISCOUNT</v>
      </c>
    </row>
    <row r="3159" spans="1:25" x14ac:dyDescent="0.25">
      <c r="A3159" s="2" t="s">
        <v>6569</v>
      </c>
      <c r="B3159" s="2">
        <v>12851424</v>
      </c>
      <c r="C3159" s="2" t="s">
        <v>64</v>
      </c>
      <c r="D3159" s="2" t="s">
        <v>76</v>
      </c>
      <c r="E3159" s="2" t="s">
        <v>93</v>
      </c>
      <c r="F3159" s="2" t="s">
        <v>36</v>
      </c>
      <c r="G3159" s="2" t="s">
        <v>6570</v>
      </c>
      <c r="H3159">
        <v>479</v>
      </c>
      <c r="I3159" s="2">
        <v>1199</v>
      </c>
      <c r="J3159" s="2" t="s">
        <v>55</v>
      </c>
      <c r="K3159" s="2" t="s">
        <v>100</v>
      </c>
      <c r="L3159" s="2">
        <v>3.9</v>
      </c>
      <c r="M3159" s="2">
        <v>590</v>
      </c>
      <c r="P3159" t="str">
        <f t="shared" si="199"/>
        <v>60%</v>
      </c>
      <c r="Q3159" s="12">
        <f t="shared" si="196"/>
        <v>0.6</v>
      </c>
      <c r="R3159" s="9">
        <f t="shared" si="197"/>
        <v>479.6</v>
      </c>
      <c r="S3159" s="9">
        <f>IF(R3159="",AVERAGEIF(Table1[Category],Table1[[#This Row],[Category]],Table2[orignal data]),Table2[[#This Row],[orignal data]])</f>
        <v>479.6</v>
      </c>
      <c r="T3159" t="str">
        <f t="shared" si="198"/>
        <v>UNIQUE</v>
      </c>
      <c r="U3159" t="str">
        <f>IF(ISBLANK(Table1[[#This Row],[SizeOption]]),"NOT AVAILABLE",Table1[[#This Row],[SizeOption]])</f>
        <v>XS, S, M, L, XL, XXL, 3XL</v>
      </c>
      <c r="Y3159" t="str">
        <f>IF(Table2[[#This Row],[Column1]]&gt;50%,"HIGH DISCOUNT","LOW DISCOUNT")</f>
        <v>HIGH DISCOUNT</v>
      </c>
    </row>
    <row r="3160" spans="1:25" x14ac:dyDescent="0.25">
      <c r="A3160" s="1" t="s">
        <v>6571</v>
      </c>
      <c r="B3160" s="1">
        <v>13481918</v>
      </c>
      <c r="C3160" s="1" t="s">
        <v>92</v>
      </c>
      <c r="D3160" s="1" t="s">
        <v>76</v>
      </c>
      <c r="E3160" s="1" t="s">
        <v>148</v>
      </c>
      <c r="F3160" s="1" t="s">
        <v>36</v>
      </c>
      <c r="G3160" s="1" t="s">
        <v>6572</v>
      </c>
      <c r="H3160">
        <v>584</v>
      </c>
      <c r="I3160" s="1">
        <v>1499</v>
      </c>
      <c r="J3160" s="1" t="s">
        <v>104</v>
      </c>
      <c r="K3160" s="1" t="s">
        <v>39</v>
      </c>
      <c r="L3160" s="1">
        <v>4.0999999999999996</v>
      </c>
      <c r="M3160" s="1">
        <v>590</v>
      </c>
      <c r="P3160" t="str">
        <f t="shared" si="199"/>
        <v>61%</v>
      </c>
      <c r="Q3160" s="12">
        <f t="shared" si="196"/>
        <v>0.61</v>
      </c>
      <c r="R3160" s="9">
        <f t="shared" si="197"/>
        <v>584.61</v>
      </c>
      <c r="S3160" s="9">
        <f>IF(R3160="",AVERAGEIF(Table1[Category],Table1[[#This Row],[Category]],Table2[orignal data]),Table2[[#This Row],[orignal data]])</f>
        <v>584.61</v>
      </c>
      <c r="T3160" t="str">
        <f t="shared" si="198"/>
        <v>UNIQUE</v>
      </c>
      <c r="U3160" t="str">
        <f>IF(ISBLANK(Table1[[#This Row],[SizeOption]]),"NOT AVAILABLE",Table1[[#This Row],[SizeOption]])</f>
        <v>S, M, L, XL, XXL</v>
      </c>
      <c r="Y3160" t="str">
        <f>IF(Table2[[#This Row],[Column1]]&gt;50%,"HIGH DISCOUNT","LOW DISCOUNT")</f>
        <v>HIGH DISCOUNT</v>
      </c>
    </row>
    <row r="3161" spans="1:25" x14ac:dyDescent="0.25">
      <c r="A3161" s="2" t="s">
        <v>6573</v>
      </c>
      <c r="B3161" s="2">
        <v>9365713</v>
      </c>
      <c r="C3161" s="2" t="s">
        <v>97</v>
      </c>
      <c r="D3161" s="2" t="s">
        <v>76</v>
      </c>
      <c r="E3161" s="2" t="s">
        <v>77</v>
      </c>
      <c r="F3161" s="2" t="s">
        <v>36</v>
      </c>
      <c r="G3161" s="2" t="s">
        <v>6574</v>
      </c>
      <c r="H3161">
        <v>839</v>
      </c>
      <c r="I3161" s="2">
        <v>2799</v>
      </c>
      <c r="J3161" s="2" t="s">
        <v>79</v>
      </c>
      <c r="K3161" s="2" t="s">
        <v>100</v>
      </c>
      <c r="L3161" s="2">
        <v>4.3</v>
      </c>
      <c r="M3161" s="2">
        <v>590</v>
      </c>
      <c r="P3161" t="str">
        <f t="shared" si="199"/>
        <v>70%</v>
      </c>
      <c r="Q3161" s="12">
        <f t="shared" si="196"/>
        <v>0.7</v>
      </c>
      <c r="R3161" s="9">
        <f t="shared" si="197"/>
        <v>839.7</v>
      </c>
      <c r="S3161" s="9">
        <f>IF(R3161="",AVERAGEIF(Table1[Category],Table1[[#This Row],[Category]],Table2[orignal data]),Table2[[#This Row],[orignal data]])</f>
        <v>839.7</v>
      </c>
      <c r="T3161" t="str">
        <f t="shared" si="198"/>
        <v>UNIQUE</v>
      </c>
      <c r="U3161" t="str">
        <f>IF(ISBLANK(Table1[[#This Row],[SizeOption]]),"NOT AVAILABLE",Table1[[#This Row],[SizeOption]])</f>
        <v>XS, S, M, L, XL, XXL, 3XL</v>
      </c>
      <c r="Y3161" t="str">
        <f>IF(Table2[[#This Row],[Column1]]&gt;50%,"HIGH DISCOUNT","LOW DISCOUNT")</f>
        <v>HIGH DISCOUNT</v>
      </c>
    </row>
    <row r="3162" spans="1:25" x14ac:dyDescent="0.25">
      <c r="A3162" s="1" t="s">
        <v>6575</v>
      </c>
      <c r="B3162" s="1">
        <v>11409578</v>
      </c>
      <c r="C3162" s="1" t="s">
        <v>1179</v>
      </c>
      <c r="D3162" s="1" t="s">
        <v>76</v>
      </c>
      <c r="E3162" s="1" t="s">
        <v>77</v>
      </c>
      <c r="F3162" s="1" t="s">
        <v>36</v>
      </c>
      <c r="G3162" s="1" t="s">
        <v>6576</v>
      </c>
      <c r="H3162">
        <v>1795</v>
      </c>
      <c r="I3162" s="1">
        <v>4379</v>
      </c>
      <c r="J3162" s="1" t="s">
        <v>95</v>
      </c>
      <c r="K3162" s="1" t="s">
        <v>39</v>
      </c>
      <c r="L3162" s="1">
        <v>4</v>
      </c>
      <c r="M3162" s="1">
        <v>590</v>
      </c>
      <c r="P3162" t="str">
        <f t="shared" si="199"/>
        <v>59%</v>
      </c>
      <c r="Q3162" s="12">
        <f t="shared" si="196"/>
        <v>0.59</v>
      </c>
      <c r="R3162" s="9">
        <f t="shared" si="197"/>
        <v>1795.3900000000003</v>
      </c>
      <c r="S3162" s="9">
        <f>IF(R3162="",AVERAGEIF(Table1[Category],Table1[[#This Row],[Category]],Table2[orignal data]),Table2[[#This Row],[orignal data]])</f>
        <v>1795.3900000000003</v>
      </c>
      <c r="T3162" t="str">
        <f t="shared" si="198"/>
        <v>UNIQUE</v>
      </c>
      <c r="U3162" t="str">
        <f>IF(ISBLANK(Table1[[#This Row],[SizeOption]]),"NOT AVAILABLE",Table1[[#This Row],[SizeOption]])</f>
        <v>S, M, L, XL, XXL</v>
      </c>
      <c r="Y3162" t="str">
        <f>IF(Table2[[#This Row],[Column1]]&gt;50%,"HIGH DISCOUNT","LOW DISCOUNT")</f>
        <v>HIGH DISCOUNT</v>
      </c>
    </row>
    <row r="3163" spans="1:25" x14ac:dyDescent="0.25">
      <c r="A3163" s="2" t="s">
        <v>6577</v>
      </c>
      <c r="B3163" s="2">
        <v>11794352</v>
      </c>
      <c r="C3163" s="2" t="s">
        <v>67</v>
      </c>
      <c r="D3163" s="2" t="s">
        <v>34</v>
      </c>
      <c r="E3163" s="2" t="s">
        <v>118</v>
      </c>
      <c r="F3163" s="2" t="s">
        <v>36</v>
      </c>
      <c r="G3163" s="2" t="s">
        <v>6578</v>
      </c>
      <c r="H3163">
        <v>919</v>
      </c>
      <c r="I3163" s="2">
        <v>2299</v>
      </c>
      <c r="J3163" s="2" t="s">
        <v>55</v>
      </c>
      <c r="K3163" s="2" t="s">
        <v>45</v>
      </c>
      <c r="L3163" s="2">
        <v>4.5999999999999996</v>
      </c>
      <c r="M3163" s="2">
        <v>590</v>
      </c>
      <c r="P3163" t="str">
        <f t="shared" si="199"/>
        <v>60%</v>
      </c>
      <c r="Q3163" s="12">
        <f t="shared" si="196"/>
        <v>0.6</v>
      </c>
      <c r="R3163" s="9">
        <f t="shared" si="197"/>
        <v>919.60000000000014</v>
      </c>
      <c r="S3163" s="9">
        <f>IF(R3163="",AVERAGEIF(Table1[Category],Table1[[#This Row],[Category]],Table2[orignal data]),Table2[[#This Row],[orignal data]])</f>
        <v>919.60000000000014</v>
      </c>
      <c r="T3163" t="str">
        <f t="shared" si="198"/>
        <v>UNIQUE</v>
      </c>
      <c r="U3163" t="str">
        <f>IF(ISBLANK(Table1[[#This Row],[SizeOption]]),"NOT AVAILABLE",Table1[[#This Row],[SizeOption]])</f>
        <v>XS, S, M, L, XL</v>
      </c>
      <c r="Y3163" t="str">
        <f>IF(Table2[[#This Row],[Column1]]&gt;50%,"HIGH DISCOUNT","LOW DISCOUNT")</f>
        <v>HIGH DISCOUNT</v>
      </c>
    </row>
    <row r="3164" spans="1:25" x14ac:dyDescent="0.25">
      <c r="A3164" s="1" t="s">
        <v>6579</v>
      </c>
      <c r="B3164" s="1">
        <v>650555</v>
      </c>
      <c r="C3164" s="1" t="s">
        <v>117</v>
      </c>
      <c r="D3164" s="1" t="s">
        <v>34</v>
      </c>
      <c r="E3164" s="1" t="s">
        <v>118</v>
      </c>
      <c r="F3164" s="1" t="s">
        <v>36</v>
      </c>
      <c r="G3164" s="1" t="s">
        <v>6580</v>
      </c>
      <c r="I3164" s="1">
        <v>699</v>
      </c>
      <c r="J3164" s="1"/>
      <c r="K3164" s="1" t="s">
        <v>6581</v>
      </c>
      <c r="L3164" s="1">
        <v>4.3</v>
      </c>
      <c r="M3164" s="1">
        <v>590</v>
      </c>
      <c r="P3164" t="str">
        <f t="shared" si="199"/>
        <v/>
      </c>
      <c r="Q3164" s="12" t="str">
        <f t="shared" si="196"/>
        <v/>
      </c>
      <c r="R3164" s="9" t="str">
        <f t="shared" si="197"/>
        <v/>
      </c>
      <c r="S3164" s="9">
        <f>IF(R3164="",AVERAGEIF(Table1[Category],Table1[[#This Row],[Category]],Table2[orignal data]),Table2[[#This Row],[orignal data]])</f>
        <v>608.88518518518481</v>
      </c>
      <c r="T3164" t="str">
        <f t="shared" si="198"/>
        <v>UNIQUE</v>
      </c>
      <c r="U3164" t="str">
        <f>IF(ISBLANK(Table1[[#This Row],[SizeOption]]),"NOT AVAILABLE",Table1[[#This Row],[SizeOption]])</f>
        <v>32B, 32C, 32D, 34B, 34C, 34D, 36B, 36C, 36D, 38B, 38C, 38D, 40B, 40C, 40D, 42B, 42C</v>
      </c>
      <c r="Y3164" t="str">
        <f>IF(Table2[[#This Row],[Column1]]&gt;50%,"HIGH DISCOUNT","LOW DISCOUNT")</f>
        <v>HIGH DISCOUNT</v>
      </c>
    </row>
    <row r="3165" spans="1:25" x14ac:dyDescent="0.25">
      <c r="A3165" s="2" t="s">
        <v>6582</v>
      </c>
      <c r="B3165" s="2">
        <v>11531812</v>
      </c>
      <c r="C3165" s="2" t="s">
        <v>14</v>
      </c>
      <c r="D3165" s="2" t="s">
        <v>41</v>
      </c>
      <c r="E3165" s="2" t="s">
        <v>16</v>
      </c>
      <c r="F3165" s="2" t="s">
        <v>36</v>
      </c>
      <c r="G3165" s="2" t="s">
        <v>6583</v>
      </c>
      <c r="I3165" s="2">
        <v>1299</v>
      </c>
      <c r="J3165" s="2" t="s">
        <v>50</v>
      </c>
      <c r="K3165" s="2" t="s">
        <v>134</v>
      </c>
      <c r="L3165" s="2">
        <v>4</v>
      </c>
      <c r="M3165" s="2">
        <v>590</v>
      </c>
      <c r="P3165" t="str">
        <f t="shared" si="199"/>
        <v>40%</v>
      </c>
      <c r="Q3165" s="12">
        <f t="shared" si="196"/>
        <v>0.4</v>
      </c>
      <c r="R3165" s="9">
        <f t="shared" si="197"/>
        <v>779.4</v>
      </c>
      <c r="S3165" s="9">
        <f>IF(R3165="",AVERAGEIF(Table1[Category],Table1[[#This Row],[Category]],Table2[orignal data]),Table2[[#This Row],[orignal data]])</f>
        <v>779.4</v>
      </c>
      <c r="T3165" t="str">
        <f t="shared" si="198"/>
        <v>UNIQUE</v>
      </c>
      <c r="U3165" t="str">
        <f>IF(ISBLANK(Table1[[#This Row],[SizeOption]]),"NOT AVAILABLE",Table1[[#This Row],[SizeOption]])</f>
        <v>26, 28, 30, 32, 34, 36</v>
      </c>
      <c r="Y3165" t="str">
        <f>IF(Table2[[#This Row],[Column1]]&gt;50%,"HIGH DISCOUNT","LOW DISCOUNT")</f>
        <v>LOW DISCOUNT</v>
      </c>
    </row>
    <row r="3166" spans="1:25" x14ac:dyDescent="0.25">
      <c r="A3166" s="1" t="s">
        <v>6584</v>
      </c>
      <c r="B3166" s="1">
        <v>17524656</v>
      </c>
      <c r="C3166" s="1" t="s">
        <v>47</v>
      </c>
      <c r="D3166" s="1" t="s">
        <v>41</v>
      </c>
      <c r="E3166" s="1" t="s">
        <v>42</v>
      </c>
      <c r="F3166" s="1" t="s">
        <v>36</v>
      </c>
      <c r="G3166" s="1" t="s">
        <v>1316</v>
      </c>
      <c r="I3166" s="1">
        <v>1598</v>
      </c>
      <c r="J3166" s="1" t="s">
        <v>84</v>
      </c>
      <c r="K3166" s="1" t="s">
        <v>45</v>
      </c>
      <c r="L3166" s="1">
        <v>4.0999999999999996</v>
      </c>
      <c r="M3166" s="1">
        <v>590</v>
      </c>
      <c r="P3166" t="str">
        <f t="shared" si="199"/>
        <v>50%</v>
      </c>
      <c r="Q3166" s="12">
        <f t="shared" si="196"/>
        <v>0.5</v>
      </c>
      <c r="R3166" s="9">
        <f t="shared" si="197"/>
        <v>799</v>
      </c>
      <c r="S3166" s="9">
        <f>IF(R3166="",AVERAGEIF(Table1[Category],Table1[[#This Row],[Category]],Table2[orignal data]),Table2[[#This Row],[orignal data]])</f>
        <v>799</v>
      </c>
      <c r="T3166" t="str">
        <f t="shared" si="198"/>
        <v>UNIQUE</v>
      </c>
      <c r="U3166" t="str">
        <f>IF(ISBLANK(Table1[[#This Row],[SizeOption]]),"NOT AVAILABLE",Table1[[#This Row],[SizeOption]])</f>
        <v>XS, S, M, L, XL</v>
      </c>
      <c r="Y3166" t="str">
        <f>IF(Table2[[#This Row],[Column1]]&gt;50%,"HIGH DISCOUNT","LOW DISCOUNT")</f>
        <v>LOW DISCOUNT</v>
      </c>
    </row>
    <row r="3167" spans="1:25" x14ac:dyDescent="0.25">
      <c r="A3167" s="2" t="s">
        <v>6585</v>
      </c>
      <c r="B3167" s="2">
        <v>2332070</v>
      </c>
      <c r="C3167" s="2" t="s">
        <v>107</v>
      </c>
      <c r="D3167" s="2" t="s">
        <v>41</v>
      </c>
      <c r="E3167" s="2" t="s">
        <v>53</v>
      </c>
      <c r="F3167" s="2" t="s">
        <v>36</v>
      </c>
      <c r="G3167" s="2" t="s">
        <v>6586</v>
      </c>
      <c r="I3167" s="2">
        <v>1699</v>
      </c>
      <c r="J3167" s="2" t="s">
        <v>150</v>
      </c>
      <c r="K3167" s="2" t="s">
        <v>428</v>
      </c>
      <c r="L3167" s="2">
        <v>4</v>
      </c>
      <c r="M3167" s="2">
        <v>590</v>
      </c>
      <c r="P3167" t="str">
        <f t="shared" si="199"/>
        <v>65%</v>
      </c>
      <c r="Q3167" s="12">
        <f t="shared" si="196"/>
        <v>0.65</v>
      </c>
      <c r="R3167" s="9">
        <f t="shared" si="197"/>
        <v>594.64999999999986</v>
      </c>
      <c r="S3167" s="9">
        <f>IF(R3167="",AVERAGEIF(Table1[Category],Table1[[#This Row],[Category]],Table2[orignal data]),Table2[[#This Row],[orignal data]])</f>
        <v>594.64999999999986</v>
      </c>
      <c r="T3167" t="str">
        <f t="shared" si="198"/>
        <v>UNIQUE</v>
      </c>
      <c r="U3167" t="str">
        <f>IF(ISBLANK(Table1[[#This Row],[SizeOption]]),"NOT AVAILABLE",Table1[[#This Row],[SizeOption]])</f>
        <v>26, 28, 30, 32, 34</v>
      </c>
      <c r="Y3167" t="str">
        <f>IF(Table2[[#This Row],[Column1]]&gt;50%,"HIGH DISCOUNT","LOW DISCOUNT")</f>
        <v>HIGH DISCOUNT</v>
      </c>
    </row>
    <row r="3168" spans="1:25" x14ac:dyDescent="0.25">
      <c r="A3168" s="1" t="s">
        <v>6587</v>
      </c>
      <c r="B3168" s="1">
        <v>2440170</v>
      </c>
      <c r="C3168" s="1" t="s">
        <v>102</v>
      </c>
      <c r="D3168" s="1" t="s">
        <v>41</v>
      </c>
      <c r="E3168" s="1" t="s">
        <v>148</v>
      </c>
      <c r="F3168" s="1" t="s">
        <v>36</v>
      </c>
      <c r="G3168" s="1" t="s">
        <v>6588</v>
      </c>
      <c r="I3168" s="1">
        <v>1749</v>
      </c>
      <c r="J3168" s="1" t="s">
        <v>150</v>
      </c>
      <c r="K3168" s="1" t="s">
        <v>26</v>
      </c>
      <c r="L3168" s="1">
        <v>4.2</v>
      </c>
      <c r="M3168" s="1">
        <v>590</v>
      </c>
      <c r="P3168" t="str">
        <f t="shared" si="199"/>
        <v>65%</v>
      </c>
      <c r="Q3168" s="12">
        <f t="shared" si="196"/>
        <v>0.65</v>
      </c>
      <c r="R3168" s="9">
        <f t="shared" si="197"/>
        <v>612.14999999999986</v>
      </c>
      <c r="S3168" s="9">
        <f>IF(R3168="",AVERAGEIF(Table1[Category],Table1[[#This Row],[Category]],Table2[orignal data]),Table2[[#This Row],[orignal data]])</f>
        <v>612.14999999999986</v>
      </c>
      <c r="T3168" t="str">
        <f t="shared" si="198"/>
        <v>UNIQUE</v>
      </c>
      <c r="U3168" t="str">
        <f>IF(ISBLANK(Table1[[#This Row],[SizeOption]]),"NOT AVAILABLE",Table1[[#This Row],[SizeOption]])</f>
        <v>S, M, L, XL</v>
      </c>
      <c r="Y3168" t="str">
        <f>IF(Table2[[#This Row],[Column1]]&gt;50%,"HIGH DISCOUNT","LOW DISCOUNT")</f>
        <v>HIGH DISCOUNT</v>
      </c>
    </row>
    <row r="3169" spans="1:25" x14ac:dyDescent="0.25">
      <c r="A3169" s="2" t="s">
        <v>6589</v>
      </c>
      <c r="B3169" s="2">
        <v>9464717</v>
      </c>
      <c r="C3169" s="2" t="s">
        <v>14</v>
      </c>
      <c r="D3169" s="2" t="s">
        <v>41</v>
      </c>
      <c r="E3169" s="2" t="s">
        <v>42</v>
      </c>
      <c r="F3169" s="2" t="s">
        <v>36</v>
      </c>
      <c r="G3169" s="2" t="s">
        <v>6590</v>
      </c>
      <c r="I3169" s="2">
        <v>699</v>
      </c>
      <c r="J3169" s="2" t="s">
        <v>25</v>
      </c>
      <c r="K3169" s="2" t="s">
        <v>45</v>
      </c>
      <c r="L3169" s="2">
        <v>4.2</v>
      </c>
      <c r="M3169" s="2">
        <v>590</v>
      </c>
      <c r="P3169" t="str">
        <f t="shared" si="199"/>
        <v>55%</v>
      </c>
      <c r="Q3169" s="12">
        <f t="shared" si="196"/>
        <v>0.55000000000000004</v>
      </c>
      <c r="R3169" s="9">
        <f t="shared" si="197"/>
        <v>314.54999999999995</v>
      </c>
      <c r="S3169" s="9">
        <f>IF(R3169="",AVERAGEIF(Table1[Category],Table1[[#This Row],[Category]],Table2[orignal data]),Table2[[#This Row],[orignal data]])</f>
        <v>314.54999999999995</v>
      </c>
      <c r="T3169" t="str">
        <f t="shared" si="198"/>
        <v>UNIQUE</v>
      </c>
      <c r="U3169" t="str">
        <f>IF(ISBLANK(Table1[[#This Row],[SizeOption]]),"NOT AVAILABLE",Table1[[#This Row],[SizeOption]])</f>
        <v>XS, S, M, L, XL</v>
      </c>
      <c r="Y3169" t="str">
        <f>IF(Table2[[#This Row],[Column1]]&gt;50%,"HIGH DISCOUNT","LOW DISCOUNT")</f>
        <v>HIGH DISCOUNT</v>
      </c>
    </row>
    <row r="3170" spans="1:25" x14ac:dyDescent="0.25">
      <c r="A3170" s="1" t="s">
        <v>6591</v>
      </c>
      <c r="B3170" s="1">
        <v>10863060</v>
      </c>
      <c r="C3170" s="1" t="s">
        <v>14</v>
      </c>
      <c r="D3170" s="1" t="s">
        <v>28</v>
      </c>
      <c r="E3170" s="1" t="s">
        <v>29</v>
      </c>
      <c r="F3170" s="1" t="s">
        <v>17</v>
      </c>
      <c r="G3170" s="1" t="s">
        <v>6592</v>
      </c>
      <c r="H3170">
        <v>809</v>
      </c>
      <c r="I3170" s="1">
        <v>1799</v>
      </c>
      <c r="J3170" s="1" t="s">
        <v>25</v>
      </c>
      <c r="K3170" s="1" t="s">
        <v>31</v>
      </c>
      <c r="L3170" s="1">
        <v>4.2</v>
      </c>
      <c r="M3170" s="1">
        <v>589</v>
      </c>
      <c r="P3170" t="str">
        <f t="shared" si="199"/>
        <v>55%</v>
      </c>
      <c r="Q3170" s="12">
        <f t="shared" si="196"/>
        <v>0.55000000000000004</v>
      </c>
      <c r="R3170" s="9">
        <f t="shared" si="197"/>
        <v>809.55</v>
      </c>
      <c r="S3170" s="9">
        <f>IF(R3170="",AVERAGEIF(Table1[Category],Table1[[#This Row],[Category]],Table2[orignal data]),Table2[[#This Row],[orignal data]])</f>
        <v>809.55</v>
      </c>
      <c r="T3170" t="str">
        <f t="shared" si="198"/>
        <v>UNIQUE</v>
      </c>
      <c r="U3170" t="str">
        <f>IF(ISBLANK(Table1[[#This Row],[SizeOption]]),"NOT AVAILABLE",Table1[[#This Row],[SizeOption]])</f>
        <v>38, 40, 42, 44, 46, 48</v>
      </c>
      <c r="Y3170" t="str">
        <f>IF(Table2[[#This Row],[Column1]]&gt;50%,"HIGH DISCOUNT","LOW DISCOUNT")</f>
        <v>HIGH DISCOUNT</v>
      </c>
    </row>
    <row r="3171" spans="1:25" x14ac:dyDescent="0.25">
      <c r="A3171" s="2" t="s">
        <v>6593</v>
      </c>
      <c r="B3171" s="2">
        <v>10460330</v>
      </c>
      <c r="C3171" s="2" t="s">
        <v>52</v>
      </c>
      <c r="D3171" s="2" t="s">
        <v>28</v>
      </c>
      <c r="E3171" s="2" t="s">
        <v>189</v>
      </c>
      <c r="F3171" s="2" t="s">
        <v>17</v>
      </c>
      <c r="G3171" s="2" t="s">
        <v>6594</v>
      </c>
      <c r="H3171">
        <v>1198</v>
      </c>
      <c r="I3171" s="2">
        <v>2549</v>
      </c>
      <c r="J3171" s="2" t="s">
        <v>89</v>
      </c>
      <c r="K3171" s="2" t="s">
        <v>26</v>
      </c>
      <c r="L3171" s="2">
        <v>3.9</v>
      </c>
      <c r="M3171" s="2">
        <v>589</v>
      </c>
      <c r="P3171" t="str">
        <f t="shared" si="199"/>
        <v>53%</v>
      </c>
      <c r="Q3171" s="12">
        <f t="shared" si="196"/>
        <v>0.53</v>
      </c>
      <c r="R3171" s="9">
        <f t="shared" si="197"/>
        <v>1198.03</v>
      </c>
      <c r="S3171" s="9">
        <f>IF(R3171="",AVERAGEIF(Table1[Category],Table1[[#This Row],[Category]],Table2[orignal data]),Table2[[#This Row],[orignal data]])</f>
        <v>1198.03</v>
      </c>
      <c r="T3171" t="str">
        <f t="shared" si="198"/>
        <v>UNIQUE</v>
      </c>
      <c r="U3171" t="str">
        <f>IF(ISBLANK(Table1[[#This Row],[SizeOption]]),"NOT AVAILABLE",Table1[[#This Row],[SizeOption]])</f>
        <v>S, M, L, XL</v>
      </c>
      <c r="Y3171" t="str">
        <f>IF(Table2[[#This Row],[Column1]]&gt;50%,"HIGH DISCOUNT","LOW DISCOUNT")</f>
        <v>HIGH DISCOUNT</v>
      </c>
    </row>
    <row r="3172" spans="1:25" x14ac:dyDescent="0.25">
      <c r="A3172" s="1" t="s">
        <v>6595</v>
      </c>
      <c r="B3172" s="1">
        <v>10940678</v>
      </c>
      <c r="C3172" s="1" t="s">
        <v>14</v>
      </c>
      <c r="D3172" s="1" t="s">
        <v>28</v>
      </c>
      <c r="E3172" s="1" t="s">
        <v>42</v>
      </c>
      <c r="F3172" s="1" t="s">
        <v>17</v>
      </c>
      <c r="G3172" s="1" t="s">
        <v>6596</v>
      </c>
      <c r="I3172" s="1">
        <v>359</v>
      </c>
      <c r="J3172" s="1"/>
      <c r="K3172" s="1" t="s">
        <v>45</v>
      </c>
      <c r="L3172" s="1">
        <v>4.0999999999999996</v>
      </c>
      <c r="M3172" s="1">
        <v>589</v>
      </c>
      <c r="P3172" t="str">
        <f t="shared" si="199"/>
        <v/>
      </c>
      <c r="Q3172" s="12" t="str">
        <f t="shared" si="196"/>
        <v/>
      </c>
      <c r="R3172" s="9" t="str">
        <f t="shared" si="197"/>
        <v/>
      </c>
      <c r="S3172" s="9">
        <f>IF(R3172="",AVERAGEIF(Table1[Category],Table1[[#This Row],[Category]],Table2[orignal data]),Table2[[#This Row],[orignal data]])</f>
        <v>671.7823941958867</v>
      </c>
      <c r="T3172" t="str">
        <f t="shared" si="198"/>
        <v>UNIQUE</v>
      </c>
      <c r="U3172" t="str">
        <f>IF(ISBLANK(Table1[[#This Row],[SizeOption]]),"NOT AVAILABLE",Table1[[#This Row],[SizeOption]])</f>
        <v>XS, S, M, L, XL</v>
      </c>
      <c r="Y3172" t="str">
        <f>IF(Table2[[#This Row],[Column1]]&gt;50%,"HIGH DISCOUNT","LOW DISCOUNT")</f>
        <v>HIGH DISCOUNT</v>
      </c>
    </row>
    <row r="3173" spans="1:25" x14ac:dyDescent="0.25">
      <c r="A3173" s="2" t="s">
        <v>6597</v>
      </c>
      <c r="B3173" s="2">
        <v>1816488</v>
      </c>
      <c r="C3173" s="2" t="s">
        <v>52</v>
      </c>
      <c r="D3173" s="2" t="s">
        <v>28</v>
      </c>
      <c r="E3173" s="2" t="s">
        <v>42</v>
      </c>
      <c r="F3173" s="2" t="s">
        <v>17</v>
      </c>
      <c r="G3173" s="2" t="s">
        <v>6598</v>
      </c>
      <c r="H3173">
        <v>219</v>
      </c>
      <c r="I3173" s="2">
        <v>549</v>
      </c>
      <c r="J3173" s="2" t="s">
        <v>55</v>
      </c>
      <c r="K3173" s="2" t="s">
        <v>26</v>
      </c>
      <c r="L3173" s="2">
        <v>4.0999999999999996</v>
      </c>
      <c r="M3173" s="2">
        <v>589</v>
      </c>
      <c r="P3173" t="str">
        <f t="shared" si="199"/>
        <v>60%</v>
      </c>
      <c r="Q3173" s="12">
        <f t="shared" si="196"/>
        <v>0.6</v>
      </c>
      <c r="R3173" s="9">
        <f t="shared" si="197"/>
        <v>219.60000000000002</v>
      </c>
      <c r="S3173" s="9">
        <f>IF(R3173="",AVERAGEIF(Table1[Category],Table1[[#This Row],[Category]],Table2[orignal data]),Table2[[#This Row],[orignal data]])</f>
        <v>219.60000000000002</v>
      </c>
      <c r="T3173" t="str">
        <f t="shared" si="198"/>
        <v>UNIQUE</v>
      </c>
      <c r="U3173" t="str">
        <f>IF(ISBLANK(Table1[[#This Row],[SizeOption]]),"NOT AVAILABLE",Table1[[#This Row],[SizeOption]])</f>
        <v>S, M, L, XL</v>
      </c>
      <c r="Y3173" t="str">
        <f>IF(Table2[[#This Row],[Column1]]&gt;50%,"HIGH DISCOUNT","LOW DISCOUNT")</f>
        <v>HIGH DISCOUNT</v>
      </c>
    </row>
    <row r="3174" spans="1:25" x14ac:dyDescent="0.25">
      <c r="A3174" s="1" t="s">
        <v>6599</v>
      </c>
      <c r="B3174" s="1">
        <v>9825417</v>
      </c>
      <c r="C3174" s="1" t="s">
        <v>1074</v>
      </c>
      <c r="D3174" s="1" t="s">
        <v>76</v>
      </c>
      <c r="E3174" s="1" t="s">
        <v>148</v>
      </c>
      <c r="F3174" s="1" t="s">
        <v>36</v>
      </c>
      <c r="G3174" s="1" t="s">
        <v>6600</v>
      </c>
      <c r="H3174">
        <v>629</v>
      </c>
      <c r="I3174" s="1">
        <v>1499</v>
      </c>
      <c r="J3174" s="1" t="s">
        <v>60</v>
      </c>
      <c r="K3174" s="1" t="s">
        <v>39</v>
      </c>
      <c r="L3174" s="1">
        <v>3.5</v>
      </c>
      <c r="M3174" s="1">
        <v>589</v>
      </c>
      <c r="P3174" t="str">
        <f t="shared" si="199"/>
        <v>58%</v>
      </c>
      <c r="Q3174" s="12">
        <f t="shared" si="196"/>
        <v>0.57999999999999996</v>
      </c>
      <c r="R3174" s="9">
        <f t="shared" si="197"/>
        <v>629.58000000000004</v>
      </c>
      <c r="S3174" s="9">
        <f>IF(R3174="",AVERAGEIF(Table1[Category],Table1[[#This Row],[Category]],Table2[orignal data]),Table2[[#This Row],[orignal data]])</f>
        <v>629.58000000000004</v>
      </c>
      <c r="T3174" t="str">
        <f t="shared" si="198"/>
        <v>UNIQUE</v>
      </c>
      <c r="U3174" t="str">
        <f>IF(ISBLANK(Table1[[#This Row],[SizeOption]]),"NOT AVAILABLE",Table1[[#This Row],[SizeOption]])</f>
        <v>S, M, L, XL, XXL</v>
      </c>
      <c r="Y3174" t="str">
        <f>IF(Table2[[#This Row],[Column1]]&gt;50%,"HIGH DISCOUNT","LOW DISCOUNT")</f>
        <v>HIGH DISCOUNT</v>
      </c>
    </row>
    <row r="3175" spans="1:25" x14ac:dyDescent="0.25">
      <c r="A3175" s="2" t="s">
        <v>6601</v>
      </c>
      <c r="B3175" s="2">
        <v>12820430</v>
      </c>
      <c r="C3175" s="2" t="s">
        <v>620</v>
      </c>
      <c r="D3175" s="2" t="s">
        <v>34</v>
      </c>
      <c r="E3175" s="2" t="s">
        <v>518</v>
      </c>
      <c r="F3175" s="2" t="s">
        <v>36</v>
      </c>
      <c r="G3175" s="2" t="s">
        <v>6602</v>
      </c>
      <c r="H3175">
        <v>439</v>
      </c>
      <c r="I3175" s="2">
        <v>1099</v>
      </c>
      <c r="J3175" s="2" t="s">
        <v>55</v>
      </c>
      <c r="K3175" s="2" t="s">
        <v>26</v>
      </c>
      <c r="L3175" s="2">
        <v>4.2</v>
      </c>
      <c r="M3175" s="2">
        <v>589</v>
      </c>
      <c r="P3175" t="str">
        <f t="shared" si="199"/>
        <v>60%</v>
      </c>
      <c r="Q3175" s="12">
        <f t="shared" si="196"/>
        <v>0.6</v>
      </c>
      <c r="R3175" s="9">
        <f t="shared" si="197"/>
        <v>439.6</v>
      </c>
      <c r="S3175" s="9">
        <f>IF(R3175="",AVERAGEIF(Table1[Category],Table1[[#This Row],[Category]],Table2[orignal data]),Table2[[#This Row],[orignal data]])</f>
        <v>439.6</v>
      </c>
      <c r="T3175" t="str">
        <f t="shared" si="198"/>
        <v>UNIQUE</v>
      </c>
      <c r="U3175" t="str">
        <f>IF(ISBLANK(Table1[[#This Row],[SizeOption]]),"NOT AVAILABLE",Table1[[#This Row],[SizeOption]])</f>
        <v>S, M, L, XL</v>
      </c>
      <c r="Y3175" t="str">
        <f>IF(Table2[[#This Row],[Column1]]&gt;50%,"HIGH DISCOUNT","LOW DISCOUNT")</f>
        <v>HIGH DISCOUNT</v>
      </c>
    </row>
    <row r="3176" spans="1:25" x14ac:dyDescent="0.25">
      <c r="A3176" s="1" t="s">
        <v>6603</v>
      </c>
      <c r="B3176" s="1">
        <v>11290218</v>
      </c>
      <c r="C3176" s="1" t="s">
        <v>6604</v>
      </c>
      <c r="D3176" s="1" t="s">
        <v>34</v>
      </c>
      <c r="E3176" s="1" t="s">
        <v>118</v>
      </c>
      <c r="F3176" s="1" t="s">
        <v>36</v>
      </c>
      <c r="G3176" s="1" t="s">
        <v>6605</v>
      </c>
      <c r="H3176">
        <v>329</v>
      </c>
      <c r="I3176" s="1">
        <v>599</v>
      </c>
      <c r="J3176" s="1" t="s">
        <v>19</v>
      </c>
      <c r="K3176" s="1" t="s">
        <v>6606</v>
      </c>
      <c r="L3176" s="1">
        <v>4.0999999999999996</v>
      </c>
      <c r="M3176" s="1">
        <v>589</v>
      </c>
      <c r="P3176" t="str">
        <f t="shared" si="199"/>
        <v>45%</v>
      </c>
      <c r="Q3176" s="12">
        <f t="shared" si="196"/>
        <v>0.45</v>
      </c>
      <c r="R3176" s="9">
        <f t="shared" si="197"/>
        <v>329.45</v>
      </c>
      <c r="S3176" s="9">
        <f>IF(R3176="",AVERAGEIF(Table1[Category],Table1[[#This Row],[Category]],Table2[orignal data]),Table2[[#This Row],[orignal data]])</f>
        <v>329.45</v>
      </c>
      <c r="T3176" t="str">
        <f t="shared" si="198"/>
        <v>UNIQUE</v>
      </c>
      <c r="U3176" t="str">
        <f>IF(ISBLANK(Table1[[#This Row],[SizeOption]]),"NOT AVAILABLE",Table1[[#This Row],[SizeOption]])</f>
        <v>XS, S, M</v>
      </c>
      <c r="Y3176" t="str">
        <f>IF(Table2[[#This Row],[Column1]]&gt;50%,"HIGH DISCOUNT","LOW DISCOUNT")</f>
        <v>LOW DISCOUNT</v>
      </c>
    </row>
    <row r="3177" spans="1:25" x14ac:dyDescent="0.25">
      <c r="A3177" s="2" t="s">
        <v>6607</v>
      </c>
      <c r="B3177" s="2">
        <v>11256318</v>
      </c>
      <c r="C3177" s="2" t="s">
        <v>47</v>
      </c>
      <c r="D3177" s="2" t="s">
        <v>41</v>
      </c>
      <c r="E3177" s="2" t="s">
        <v>48</v>
      </c>
      <c r="F3177" s="2" t="s">
        <v>36</v>
      </c>
      <c r="G3177" s="2" t="s">
        <v>6608</v>
      </c>
      <c r="I3177" s="2">
        <v>1499</v>
      </c>
      <c r="J3177" s="2" t="s">
        <v>19</v>
      </c>
      <c r="K3177" s="2" t="s">
        <v>45</v>
      </c>
      <c r="L3177" s="2">
        <v>4.3</v>
      </c>
      <c r="M3177" s="2">
        <v>589</v>
      </c>
      <c r="P3177" t="str">
        <f t="shared" si="199"/>
        <v>45%</v>
      </c>
      <c r="Q3177" s="12">
        <f t="shared" si="196"/>
        <v>0.45</v>
      </c>
      <c r="R3177" s="9">
        <f t="shared" si="197"/>
        <v>824.44999999999993</v>
      </c>
      <c r="S3177" s="9">
        <f>IF(R3177="",AVERAGEIF(Table1[Category],Table1[[#This Row],[Category]],Table2[orignal data]),Table2[[#This Row],[orignal data]])</f>
        <v>824.44999999999993</v>
      </c>
      <c r="T3177" t="str">
        <f t="shared" si="198"/>
        <v>UNIQUE</v>
      </c>
      <c r="U3177" t="str">
        <f>IF(ISBLANK(Table1[[#This Row],[SizeOption]]),"NOT AVAILABLE",Table1[[#This Row],[SizeOption]])</f>
        <v>XS, S, M, L, XL</v>
      </c>
      <c r="Y3177" t="str">
        <f>IF(Table2[[#This Row],[Column1]]&gt;50%,"HIGH DISCOUNT","LOW DISCOUNT")</f>
        <v>LOW DISCOUNT</v>
      </c>
    </row>
    <row r="3178" spans="1:25" x14ac:dyDescent="0.25">
      <c r="A3178" s="1" t="s">
        <v>6609</v>
      </c>
      <c r="B3178" s="1">
        <v>17524962</v>
      </c>
      <c r="C3178" s="1" t="s">
        <v>47</v>
      </c>
      <c r="D3178" s="1" t="s">
        <v>41</v>
      </c>
      <c r="E3178" s="1" t="s">
        <v>42</v>
      </c>
      <c r="F3178" s="1" t="s">
        <v>36</v>
      </c>
      <c r="G3178" s="1" t="s">
        <v>6431</v>
      </c>
      <c r="I3178" s="1">
        <v>1598</v>
      </c>
      <c r="J3178" s="1" t="s">
        <v>84</v>
      </c>
      <c r="K3178" s="1" t="s">
        <v>1234</v>
      </c>
      <c r="L3178" s="1">
        <v>4.4000000000000004</v>
      </c>
      <c r="M3178" s="1">
        <v>589</v>
      </c>
      <c r="P3178" t="str">
        <f t="shared" si="199"/>
        <v>50%</v>
      </c>
      <c r="Q3178" s="12">
        <f t="shared" si="196"/>
        <v>0.5</v>
      </c>
      <c r="R3178" s="9">
        <f t="shared" si="197"/>
        <v>799</v>
      </c>
      <c r="S3178" s="9">
        <f>IF(R3178="",AVERAGEIF(Table1[Category],Table1[[#This Row],[Category]],Table2[orignal data]),Table2[[#This Row],[orignal data]])</f>
        <v>799</v>
      </c>
      <c r="T3178" t="str">
        <f t="shared" si="198"/>
        <v>UNIQUE</v>
      </c>
      <c r="U3178" t="str">
        <f>IF(ISBLANK(Table1[[#This Row],[SizeOption]]),"NOT AVAILABLE",Table1[[#This Row],[SizeOption]])</f>
        <v>XL, L, M, S, XS</v>
      </c>
      <c r="Y3178" t="str">
        <f>IF(Table2[[#This Row],[Column1]]&gt;50%,"HIGH DISCOUNT","LOW DISCOUNT")</f>
        <v>LOW DISCOUNT</v>
      </c>
    </row>
    <row r="3179" spans="1:25" x14ac:dyDescent="0.25">
      <c r="A3179" s="2" t="s">
        <v>6610</v>
      </c>
      <c r="B3179" s="2">
        <v>2224785</v>
      </c>
      <c r="C3179" s="2" t="s">
        <v>47</v>
      </c>
      <c r="D3179" s="2" t="s">
        <v>41</v>
      </c>
      <c r="E3179" s="2" t="s">
        <v>42</v>
      </c>
      <c r="F3179" s="2" t="s">
        <v>36</v>
      </c>
      <c r="G3179" s="2" t="s">
        <v>6611</v>
      </c>
      <c r="I3179" s="2">
        <v>699</v>
      </c>
      <c r="J3179" s="2" t="s">
        <v>84</v>
      </c>
      <c r="K3179" s="2" t="s">
        <v>45</v>
      </c>
      <c r="L3179" s="2">
        <v>4.4000000000000004</v>
      </c>
      <c r="M3179" s="2">
        <v>589</v>
      </c>
      <c r="P3179" t="str">
        <f t="shared" si="199"/>
        <v>50%</v>
      </c>
      <c r="Q3179" s="12">
        <f t="shared" si="196"/>
        <v>0.5</v>
      </c>
      <c r="R3179" s="9">
        <f t="shared" si="197"/>
        <v>349.5</v>
      </c>
      <c r="S3179" s="9">
        <f>IF(R3179="",AVERAGEIF(Table1[Category],Table1[[#This Row],[Category]],Table2[orignal data]),Table2[[#This Row],[orignal data]])</f>
        <v>349.5</v>
      </c>
      <c r="T3179" t="str">
        <f t="shared" si="198"/>
        <v>UNIQUE</v>
      </c>
      <c r="U3179" t="str">
        <f>IF(ISBLANK(Table1[[#This Row],[SizeOption]]),"NOT AVAILABLE",Table1[[#This Row],[SizeOption]])</f>
        <v>XS, S, M, L, XL</v>
      </c>
      <c r="Y3179" t="str">
        <f>IF(Table2[[#This Row],[Column1]]&gt;50%,"HIGH DISCOUNT","LOW DISCOUNT")</f>
        <v>LOW DISCOUNT</v>
      </c>
    </row>
    <row r="3180" spans="1:25" x14ac:dyDescent="0.25">
      <c r="A3180" s="1" t="s">
        <v>6612</v>
      </c>
      <c r="B3180" s="1">
        <v>12193888</v>
      </c>
      <c r="C3180" s="1" t="s">
        <v>14</v>
      </c>
      <c r="D3180" s="1" t="s">
        <v>41</v>
      </c>
      <c r="E3180" s="1" t="s">
        <v>42</v>
      </c>
      <c r="F3180" s="1" t="s">
        <v>36</v>
      </c>
      <c r="G3180" s="1" t="s">
        <v>6613</v>
      </c>
      <c r="I3180" s="1">
        <v>699</v>
      </c>
      <c r="J3180" s="1" t="s">
        <v>50</v>
      </c>
      <c r="K3180" s="1" t="s">
        <v>45</v>
      </c>
      <c r="L3180" s="1">
        <v>4.5</v>
      </c>
      <c r="M3180" s="1">
        <v>589</v>
      </c>
      <c r="P3180" t="str">
        <f t="shared" si="199"/>
        <v>40%</v>
      </c>
      <c r="Q3180" s="12">
        <f t="shared" si="196"/>
        <v>0.4</v>
      </c>
      <c r="R3180" s="9">
        <f t="shared" si="197"/>
        <v>419.4</v>
      </c>
      <c r="S3180" s="9">
        <f>IF(R3180="",AVERAGEIF(Table1[Category],Table1[[#This Row],[Category]],Table2[orignal data]),Table2[[#This Row],[orignal data]])</f>
        <v>419.4</v>
      </c>
      <c r="T3180" t="str">
        <f t="shared" si="198"/>
        <v>UNIQUE</v>
      </c>
      <c r="U3180" t="str">
        <f>IF(ISBLANK(Table1[[#This Row],[SizeOption]]),"NOT AVAILABLE",Table1[[#This Row],[SizeOption]])</f>
        <v>XS, S, M, L, XL</v>
      </c>
      <c r="Y3180" t="str">
        <f>IF(Table2[[#This Row],[Column1]]&gt;50%,"HIGH DISCOUNT","LOW DISCOUNT")</f>
        <v>LOW DISCOUNT</v>
      </c>
    </row>
    <row r="3181" spans="1:25" x14ac:dyDescent="0.25">
      <c r="A3181" s="2" t="s">
        <v>6614</v>
      </c>
      <c r="B3181" s="2">
        <v>12220428</v>
      </c>
      <c r="C3181" s="2" t="s">
        <v>184</v>
      </c>
      <c r="D3181" s="2" t="s">
        <v>41</v>
      </c>
      <c r="E3181" s="2" t="s">
        <v>148</v>
      </c>
      <c r="F3181" s="2" t="s">
        <v>36</v>
      </c>
      <c r="G3181" s="2" t="s">
        <v>6615</v>
      </c>
      <c r="I3181" s="2">
        <v>999</v>
      </c>
      <c r="J3181" s="2" t="s">
        <v>528</v>
      </c>
      <c r="K3181" s="2" t="s">
        <v>39</v>
      </c>
      <c r="L3181" s="2">
        <v>4.3</v>
      </c>
      <c r="M3181" s="2">
        <v>589</v>
      </c>
      <c r="P3181" t="str">
        <f t="shared" si="199"/>
        <v>500</v>
      </c>
      <c r="Q3181" s="12">
        <f t="shared" si="196"/>
        <v>0.50050050050050054</v>
      </c>
      <c r="R3181" s="9">
        <f t="shared" si="197"/>
        <v>498.99999999999994</v>
      </c>
      <c r="S3181" s="9">
        <f>IF(R3181="",AVERAGEIF(Table1[Category],Table1[[#This Row],[Category]],Table2[orignal data]),Table2[[#This Row],[orignal data]])</f>
        <v>498.99999999999994</v>
      </c>
      <c r="T3181" t="str">
        <f t="shared" si="198"/>
        <v>UNIQUE</v>
      </c>
      <c r="U3181" t="str">
        <f>IF(ISBLANK(Table1[[#This Row],[SizeOption]]),"NOT AVAILABLE",Table1[[#This Row],[SizeOption]])</f>
        <v>S, M, L, XL, XXL</v>
      </c>
      <c r="Y3181" t="str">
        <f>IF(Table2[[#This Row],[Column1]]&gt;50%,"HIGH DISCOUNT","LOW DISCOUNT")</f>
        <v>HIGH DISCOUNT</v>
      </c>
    </row>
    <row r="3182" spans="1:25" x14ac:dyDescent="0.25">
      <c r="A3182" s="1" t="s">
        <v>6616</v>
      </c>
      <c r="B3182" s="1">
        <v>12965846</v>
      </c>
      <c r="C3182" s="1" t="s">
        <v>784</v>
      </c>
      <c r="D3182" s="1" t="s">
        <v>15</v>
      </c>
      <c r="E3182" s="1" t="s">
        <v>137</v>
      </c>
      <c r="F3182" s="1" t="s">
        <v>17</v>
      </c>
      <c r="G3182" s="1" t="s">
        <v>6617</v>
      </c>
      <c r="H3182">
        <v>879</v>
      </c>
      <c r="I3182" s="1">
        <v>999</v>
      </c>
      <c r="J3182" s="1" t="s">
        <v>6618</v>
      </c>
      <c r="K3182" s="1" t="s">
        <v>6619</v>
      </c>
      <c r="L3182" s="1">
        <v>4</v>
      </c>
      <c r="M3182" s="1">
        <v>588</v>
      </c>
      <c r="P3182" t="str">
        <f t="shared" si="199"/>
        <v>12%</v>
      </c>
      <c r="Q3182" s="12">
        <f t="shared" si="196"/>
        <v>0.12</v>
      </c>
      <c r="R3182" s="9">
        <f t="shared" si="197"/>
        <v>879.12</v>
      </c>
      <c r="S3182" s="9">
        <f>IF(R3182="",AVERAGEIF(Table1[Category],Table1[[#This Row],[Category]],Table2[orignal data]),Table2[[#This Row],[orignal data]])</f>
        <v>879.12</v>
      </c>
      <c r="T3182" t="str">
        <f t="shared" si="198"/>
        <v>UNIQUE</v>
      </c>
      <c r="U3182" t="str">
        <f>IF(ISBLANK(Table1[[#This Row],[SizeOption]]),"NOT AVAILABLE",Table1[[#This Row],[SizeOption]])</f>
        <v>36, 38, 42, 44, 48</v>
      </c>
      <c r="Y3182" t="str">
        <f>IF(Table2[[#This Row],[Column1]]&gt;50%,"HIGH DISCOUNT","LOW DISCOUNT")</f>
        <v>LOW DISCOUNT</v>
      </c>
    </row>
    <row r="3183" spans="1:25" x14ac:dyDescent="0.25">
      <c r="A3183" s="2" t="s">
        <v>6620</v>
      </c>
      <c r="B3183" s="2">
        <v>10832832</v>
      </c>
      <c r="C3183" s="2" t="s">
        <v>14</v>
      </c>
      <c r="D3183" s="2" t="s">
        <v>28</v>
      </c>
      <c r="E3183" s="2" t="s">
        <v>29</v>
      </c>
      <c r="F3183" s="2" t="s">
        <v>17</v>
      </c>
      <c r="G3183" s="2" t="s">
        <v>4137</v>
      </c>
      <c r="H3183">
        <v>625</v>
      </c>
      <c r="I3183" s="2">
        <v>782</v>
      </c>
      <c r="J3183" s="2" t="s">
        <v>412</v>
      </c>
      <c r="K3183" s="2" t="s">
        <v>253</v>
      </c>
      <c r="L3183" s="2">
        <v>4.2</v>
      </c>
      <c r="M3183" s="2">
        <v>588</v>
      </c>
      <c r="P3183" t="str">
        <f t="shared" si="199"/>
        <v>20%</v>
      </c>
      <c r="Q3183" s="12">
        <f t="shared" si="196"/>
        <v>0.2</v>
      </c>
      <c r="R3183" s="9">
        <f t="shared" si="197"/>
        <v>625.6</v>
      </c>
      <c r="S3183" s="9">
        <f>IF(R3183="",AVERAGEIF(Table1[Category],Table1[[#This Row],[Category]],Table2[orignal data]),Table2[[#This Row],[orignal data]])</f>
        <v>625.6</v>
      </c>
      <c r="T3183" t="str">
        <f t="shared" si="198"/>
        <v>UNIQUE</v>
      </c>
      <c r="U3183" t="str">
        <f>IF(ISBLANK(Table1[[#This Row],[SizeOption]]),"NOT AVAILABLE",Table1[[#This Row],[SizeOption]])</f>
        <v>38, 40, 42, 44</v>
      </c>
      <c r="Y3183" t="str">
        <f>IF(Table2[[#This Row],[Column1]]&gt;50%,"HIGH DISCOUNT","LOW DISCOUNT")</f>
        <v>LOW DISCOUNT</v>
      </c>
    </row>
    <row r="3184" spans="1:25" x14ac:dyDescent="0.25">
      <c r="A3184" s="1" t="s">
        <v>6621</v>
      </c>
      <c r="B3184" s="1">
        <v>12746076</v>
      </c>
      <c r="C3184" s="1" t="s">
        <v>6622</v>
      </c>
      <c r="D3184" s="1" t="s">
        <v>76</v>
      </c>
      <c r="E3184" s="1" t="s">
        <v>77</v>
      </c>
      <c r="F3184" s="1" t="s">
        <v>36</v>
      </c>
      <c r="G3184" s="1" t="s">
        <v>6623</v>
      </c>
      <c r="H3184">
        <v>1079</v>
      </c>
      <c r="I3184" s="1">
        <v>2999</v>
      </c>
      <c r="J3184" s="1" t="s">
        <v>416</v>
      </c>
      <c r="K3184" s="1" t="s">
        <v>115</v>
      </c>
      <c r="L3184" s="1">
        <v>4.5</v>
      </c>
      <c r="M3184" s="1">
        <v>588</v>
      </c>
      <c r="P3184" t="str">
        <f t="shared" si="199"/>
        <v>64%</v>
      </c>
      <c r="Q3184" s="12">
        <f t="shared" si="196"/>
        <v>0.64</v>
      </c>
      <c r="R3184" s="9">
        <f t="shared" si="197"/>
        <v>1079.6399999999999</v>
      </c>
      <c r="S3184" s="9">
        <f>IF(R3184="",AVERAGEIF(Table1[Category],Table1[[#This Row],[Category]],Table2[orignal data]),Table2[[#This Row],[orignal data]])</f>
        <v>1079.6399999999999</v>
      </c>
      <c r="T3184" t="str">
        <f t="shared" si="198"/>
        <v>UNIQUE</v>
      </c>
      <c r="U3184" t="str">
        <f>IF(ISBLANK(Table1[[#This Row],[SizeOption]]),"NOT AVAILABLE",Table1[[#This Row],[SizeOption]])</f>
        <v>XS, S, M, L, XL, XXL</v>
      </c>
      <c r="Y3184" t="str">
        <f>IF(Table2[[#This Row],[Column1]]&gt;50%,"HIGH DISCOUNT","LOW DISCOUNT")</f>
        <v>HIGH DISCOUNT</v>
      </c>
    </row>
    <row r="3185" spans="1:25" x14ac:dyDescent="0.25">
      <c r="A3185" s="2" t="s">
        <v>6624</v>
      </c>
      <c r="B3185" s="2">
        <v>6829030</v>
      </c>
      <c r="C3185" s="2" t="s">
        <v>6625</v>
      </c>
      <c r="D3185" s="2" t="s">
        <v>68</v>
      </c>
      <c r="E3185" s="2" t="s">
        <v>137</v>
      </c>
      <c r="F3185" s="2" t="s">
        <v>36</v>
      </c>
      <c r="G3185" s="2" t="s">
        <v>6626</v>
      </c>
      <c r="H3185">
        <v>524</v>
      </c>
      <c r="I3185" s="2">
        <v>699</v>
      </c>
      <c r="J3185" s="2" t="s">
        <v>282</v>
      </c>
      <c r="K3185" s="2" t="s">
        <v>6627</v>
      </c>
      <c r="L3185" s="2">
        <v>4.4000000000000004</v>
      </c>
      <c r="M3185" s="2">
        <v>588</v>
      </c>
      <c r="P3185" t="str">
        <f t="shared" si="199"/>
        <v>25%</v>
      </c>
      <c r="Q3185" s="12">
        <f t="shared" si="196"/>
        <v>0.25</v>
      </c>
      <c r="R3185" s="9">
        <f t="shared" si="197"/>
        <v>524.25</v>
      </c>
      <c r="S3185" s="9">
        <f>IF(R3185="",AVERAGEIF(Table1[Category],Table1[[#This Row],[Category]],Table2[orignal data]),Table2[[#This Row],[orignal data]])</f>
        <v>524.25</v>
      </c>
      <c r="T3185" t="str">
        <f t="shared" si="198"/>
        <v>UNIQUE</v>
      </c>
      <c r="U3185" t="str">
        <f>IF(ISBLANK(Table1[[#This Row],[SizeOption]]),"NOT AVAILABLE",Table1[[#This Row],[SizeOption]])</f>
        <v>24, 26, 28, 30, 32</v>
      </c>
      <c r="Y3185" t="str">
        <f>IF(Table2[[#This Row],[Column1]]&gt;50%,"HIGH DISCOUNT","LOW DISCOUNT")</f>
        <v>LOW DISCOUNT</v>
      </c>
    </row>
    <row r="3186" spans="1:25" x14ac:dyDescent="0.25">
      <c r="A3186" s="1" t="s">
        <v>6628</v>
      </c>
      <c r="B3186" s="1">
        <v>17385136</v>
      </c>
      <c r="C3186" s="1" t="s">
        <v>14</v>
      </c>
      <c r="D3186" s="1" t="s">
        <v>41</v>
      </c>
      <c r="E3186" s="1" t="s">
        <v>42</v>
      </c>
      <c r="F3186" s="1" t="s">
        <v>36</v>
      </c>
      <c r="G3186" s="1" t="s">
        <v>111</v>
      </c>
      <c r="I3186" s="1">
        <v>1398</v>
      </c>
      <c r="J3186" s="1" t="s">
        <v>84</v>
      </c>
      <c r="K3186" s="1" t="s">
        <v>45</v>
      </c>
      <c r="L3186" s="1">
        <v>4.4000000000000004</v>
      </c>
      <c r="M3186" s="1">
        <v>588</v>
      </c>
      <c r="P3186" t="str">
        <f t="shared" si="199"/>
        <v>50%</v>
      </c>
      <c r="Q3186" s="12">
        <f t="shared" si="196"/>
        <v>0.5</v>
      </c>
      <c r="R3186" s="9">
        <f t="shared" si="197"/>
        <v>699</v>
      </c>
      <c r="S3186" s="9">
        <f>IF(R3186="",AVERAGEIF(Table1[Category],Table1[[#This Row],[Category]],Table2[orignal data]),Table2[[#This Row],[orignal data]])</f>
        <v>699</v>
      </c>
      <c r="T3186" t="str">
        <f t="shared" si="198"/>
        <v>UNIQUE</v>
      </c>
      <c r="U3186" t="str">
        <f>IF(ISBLANK(Table1[[#This Row],[SizeOption]]),"NOT AVAILABLE",Table1[[#This Row],[SizeOption]])</f>
        <v>XS, S, M, L, XL</v>
      </c>
      <c r="Y3186" t="str">
        <f>IF(Table2[[#This Row],[Column1]]&gt;50%,"HIGH DISCOUNT","LOW DISCOUNT")</f>
        <v>LOW DISCOUNT</v>
      </c>
    </row>
    <row r="3187" spans="1:25" x14ac:dyDescent="0.25">
      <c r="A3187" s="2" t="s">
        <v>6629</v>
      </c>
      <c r="B3187" s="2">
        <v>596474</v>
      </c>
      <c r="C3187" s="2" t="s">
        <v>325</v>
      </c>
      <c r="D3187" s="2" t="s">
        <v>41</v>
      </c>
      <c r="E3187" s="2" t="s">
        <v>306</v>
      </c>
      <c r="F3187" s="2" t="s">
        <v>36</v>
      </c>
      <c r="G3187" s="2" t="s">
        <v>6630</v>
      </c>
      <c r="I3187" s="2">
        <v>1595</v>
      </c>
      <c r="J3187" s="2" t="s">
        <v>55</v>
      </c>
      <c r="K3187" s="2" t="s">
        <v>39</v>
      </c>
      <c r="L3187" s="2">
        <v>3.7</v>
      </c>
      <c r="M3187" s="2">
        <v>588</v>
      </c>
      <c r="P3187" t="str">
        <f t="shared" si="199"/>
        <v>60%</v>
      </c>
      <c r="Q3187" s="12">
        <f t="shared" si="196"/>
        <v>0.6</v>
      </c>
      <c r="R3187" s="9">
        <f t="shared" si="197"/>
        <v>638</v>
      </c>
      <c r="S3187" s="9">
        <f>IF(R3187="",AVERAGEIF(Table1[Category],Table1[[#This Row],[Category]],Table2[orignal data]),Table2[[#This Row],[orignal data]])</f>
        <v>638</v>
      </c>
      <c r="T3187" t="str">
        <f t="shared" si="198"/>
        <v>UNIQUE</v>
      </c>
      <c r="U3187" t="str">
        <f>IF(ISBLANK(Table1[[#This Row],[SizeOption]]),"NOT AVAILABLE",Table1[[#This Row],[SizeOption]])</f>
        <v>S, M, L, XL, XXL</v>
      </c>
      <c r="Y3187" t="str">
        <f>IF(Table2[[#This Row],[Column1]]&gt;50%,"HIGH DISCOUNT","LOW DISCOUNT")</f>
        <v>HIGH DISCOUNT</v>
      </c>
    </row>
    <row r="3188" spans="1:25" x14ac:dyDescent="0.25">
      <c r="A3188" s="1" t="s">
        <v>6631</v>
      </c>
      <c r="B3188" s="1">
        <v>17524598</v>
      </c>
      <c r="C3188" s="1" t="s">
        <v>47</v>
      </c>
      <c r="D3188" s="1" t="s">
        <v>41</v>
      </c>
      <c r="E3188" s="1" t="s">
        <v>42</v>
      </c>
      <c r="F3188" s="1" t="s">
        <v>36</v>
      </c>
      <c r="G3188" s="1" t="s">
        <v>1316</v>
      </c>
      <c r="I3188" s="1">
        <v>1598</v>
      </c>
      <c r="J3188" s="1" t="s">
        <v>84</v>
      </c>
      <c r="K3188" s="1" t="s">
        <v>703</v>
      </c>
      <c r="L3188" s="1">
        <v>4.0999999999999996</v>
      </c>
      <c r="M3188" s="1">
        <v>588</v>
      </c>
      <c r="P3188" t="str">
        <f t="shared" si="199"/>
        <v>50%</v>
      </c>
      <c r="Q3188" s="12">
        <f t="shared" si="196"/>
        <v>0.5</v>
      </c>
      <c r="R3188" s="9">
        <f t="shared" si="197"/>
        <v>799</v>
      </c>
      <c r="S3188" s="9">
        <f>IF(R3188="",AVERAGEIF(Table1[Category],Table1[[#This Row],[Category]],Table2[orignal data]),Table2[[#This Row],[orignal data]])</f>
        <v>799</v>
      </c>
      <c r="T3188" t="str">
        <f t="shared" si="198"/>
        <v>UNIQUE</v>
      </c>
      <c r="U3188" t="str">
        <f>IF(ISBLANK(Table1[[#This Row],[SizeOption]]),"NOT AVAILABLE",Table1[[#This Row],[SizeOption]])</f>
        <v>S, XS, XL, L, M</v>
      </c>
      <c r="Y3188" t="str">
        <f>IF(Table2[[#This Row],[Column1]]&gt;50%,"HIGH DISCOUNT","LOW DISCOUNT")</f>
        <v>LOW DISCOUNT</v>
      </c>
    </row>
    <row r="3189" spans="1:25" x14ac:dyDescent="0.25">
      <c r="A3189" s="2" t="s">
        <v>6632</v>
      </c>
      <c r="B3189" s="2">
        <v>12221980</v>
      </c>
      <c r="C3189" s="2" t="s">
        <v>181</v>
      </c>
      <c r="D3189" s="2" t="s">
        <v>41</v>
      </c>
      <c r="E3189" s="2" t="s">
        <v>53</v>
      </c>
      <c r="F3189" s="2" t="s">
        <v>36</v>
      </c>
      <c r="G3189" s="2" t="s">
        <v>6633</v>
      </c>
      <c r="I3189" s="2">
        <v>1799</v>
      </c>
      <c r="J3189" s="2" t="s">
        <v>25</v>
      </c>
      <c r="K3189" s="2" t="s">
        <v>134</v>
      </c>
      <c r="L3189" s="2">
        <v>4.2</v>
      </c>
      <c r="M3189" s="2">
        <v>588</v>
      </c>
      <c r="P3189" t="str">
        <f t="shared" si="199"/>
        <v>55%</v>
      </c>
      <c r="Q3189" s="12">
        <f t="shared" si="196"/>
        <v>0.55000000000000004</v>
      </c>
      <c r="R3189" s="9">
        <f t="shared" si="197"/>
        <v>809.55</v>
      </c>
      <c r="S3189" s="9">
        <f>IF(R3189="",AVERAGEIF(Table1[Category],Table1[[#This Row],[Category]],Table2[orignal data]),Table2[[#This Row],[orignal data]])</f>
        <v>809.55</v>
      </c>
      <c r="T3189" t="str">
        <f t="shared" si="198"/>
        <v>UNIQUE</v>
      </c>
      <c r="U3189" t="str">
        <f>IF(ISBLANK(Table1[[#This Row],[SizeOption]]),"NOT AVAILABLE",Table1[[#This Row],[SizeOption]])</f>
        <v>26, 28, 30, 32, 34, 36</v>
      </c>
      <c r="Y3189" t="str">
        <f>IF(Table2[[#This Row],[Column1]]&gt;50%,"HIGH DISCOUNT","LOW DISCOUNT")</f>
        <v>HIGH DISCOUNT</v>
      </c>
    </row>
    <row r="3190" spans="1:25" x14ac:dyDescent="0.25">
      <c r="A3190" s="1" t="s">
        <v>6634</v>
      </c>
      <c r="B3190" s="1">
        <v>12831588</v>
      </c>
      <c r="C3190" s="1" t="s">
        <v>6635</v>
      </c>
      <c r="D3190" s="1" t="s">
        <v>41</v>
      </c>
      <c r="E3190" s="1" t="s">
        <v>16</v>
      </c>
      <c r="F3190" s="1" t="s">
        <v>36</v>
      </c>
      <c r="G3190" s="1" t="s">
        <v>6636</v>
      </c>
      <c r="I3190" s="1">
        <v>1999</v>
      </c>
      <c r="J3190" s="1" t="s">
        <v>4325</v>
      </c>
      <c r="K3190" s="1" t="s">
        <v>6637</v>
      </c>
      <c r="L3190" s="1">
        <v>4.2</v>
      </c>
      <c r="M3190" s="1">
        <v>588</v>
      </c>
      <c r="P3190" t="str">
        <f t="shared" si="199"/>
        <v>1100</v>
      </c>
      <c r="Q3190" s="12">
        <f t="shared" si="196"/>
        <v>0.55027513756878443</v>
      </c>
      <c r="R3190" s="9">
        <f t="shared" si="197"/>
        <v>899</v>
      </c>
      <c r="S3190" s="9">
        <f>IF(R3190="",AVERAGEIF(Table1[Category],Table1[[#This Row],[Category]],Table2[orignal data]),Table2[[#This Row],[orignal data]])</f>
        <v>899</v>
      </c>
      <c r="T3190" t="str">
        <f t="shared" si="198"/>
        <v>UNIQUE</v>
      </c>
      <c r="U3190" t="str">
        <f>IF(ISBLANK(Table1[[#This Row],[SizeOption]]),"NOT AVAILABLE",Table1[[#This Row],[SizeOption]])</f>
        <v>26, 28, 30, 32, 34, 36, 38, 40, 42</v>
      </c>
      <c r="Y3190" t="str">
        <f>IF(Table2[[#This Row],[Column1]]&gt;50%,"HIGH DISCOUNT","LOW DISCOUNT")</f>
        <v>HIGH DISCOUNT</v>
      </c>
    </row>
    <row r="3191" spans="1:25" x14ac:dyDescent="0.25">
      <c r="A3191" s="2" t="s">
        <v>6638</v>
      </c>
      <c r="B3191" s="2">
        <v>11043644</v>
      </c>
      <c r="C3191" s="2" t="s">
        <v>3466</v>
      </c>
      <c r="D3191" s="2" t="s">
        <v>41</v>
      </c>
      <c r="E3191" s="2" t="s">
        <v>189</v>
      </c>
      <c r="F3191" s="2" t="s">
        <v>36</v>
      </c>
      <c r="G3191" s="2" t="s">
        <v>6639</v>
      </c>
      <c r="I3191" s="2">
        <v>2999</v>
      </c>
      <c r="J3191" s="2" t="s">
        <v>89</v>
      </c>
      <c r="K3191" s="2" t="s">
        <v>234</v>
      </c>
      <c r="L3191" s="2">
        <v>4.0999999999999996</v>
      </c>
      <c r="M3191" s="2">
        <v>588</v>
      </c>
      <c r="P3191" t="str">
        <f t="shared" si="199"/>
        <v>53%</v>
      </c>
      <c r="Q3191" s="12">
        <f t="shared" si="196"/>
        <v>0.53</v>
      </c>
      <c r="R3191" s="9">
        <f t="shared" si="197"/>
        <v>1409.53</v>
      </c>
      <c r="S3191" s="9">
        <f>IF(R3191="",AVERAGEIF(Table1[Category],Table1[[#This Row],[Category]],Table2[orignal data]),Table2[[#This Row],[orignal data]])</f>
        <v>1409.53</v>
      </c>
      <c r="T3191" t="str">
        <f t="shared" si="198"/>
        <v>UNIQUE</v>
      </c>
      <c r="U3191" t="str">
        <f>IF(ISBLANK(Table1[[#This Row],[SizeOption]]),"NOT AVAILABLE",Table1[[#This Row],[SizeOption]])</f>
        <v>S, M, L, XL, XXL, 3XL</v>
      </c>
      <c r="Y3191" t="str">
        <f>IF(Table2[[#This Row],[Column1]]&gt;50%,"HIGH DISCOUNT","LOW DISCOUNT")</f>
        <v>HIGH DISCOUNT</v>
      </c>
    </row>
    <row r="3192" spans="1:25" x14ac:dyDescent="0.25">
      <c r="A3192" s="1" t="s">
        <v>6640</v>
      </c>
      <c r="B3192" s="1">
        <v>10964514</v>
      </c>
      <c r="C3192" s="1" t="s">
        <v>14</v>
      </c>
      <c r="D3192" s="1" t="s">
        <v>41</v>
      </c>
      <c r="E3192" s="1" t="s">
        <v>42</v>
      </c>
      <c r="F3192" s="1" t="s">
        <v>36</v>
      </c>
      <c r="G3192" s="1" t="s">
        <v>3651</v>
      </c>
      <c r="I3192" s="1">
        <v>699</v>
      </c>
      <c r="J3192" s="1" t="s">
        <v>150</v>
      </c>
      <c r="K3192" s="1" t="s">
        <v>45</v>
      </c>
      <c r="L3192" s="1">
        <v>4.0999999999999996</v>
      </c>
      <c r="M3192" s="1">
        <v>588</v>
      </c>
      <c r="P3192" t="str">
        <f t="shared" si="199"/>
        <v>65%</v>
      </c>
      <c r="Q3192" s="12">
        <f t="shared" si="196"/>
        <v>0.65</v>
      </c>
      <c r="R3192" s="9">
        <f t="shared" si="197"/>
        <v>244.64999999999998</v>
      </c>
      <c r="S3192" s="9">
        <f>IF(R3192="",AVERAGEIF(Table1[Category],Table1[[#This Row],[Category]],Table2[orignal data]),Table2[[#This Row],[orignal data]])</f>
        <v>244.64999999999998</v>
      </c>
      <c r="T3192" t="str">
        <f t="shared" si="198"/>
        <v>UNIQUE</v>
      </c>
      <c r="U3192" t="str">
        <f>IF(ISBLANK(Table1[[#This Row],[SizeOption]]),"NOT AVAILABLE",Table1[[#This Row],[SizeOption]])</f>
        <v>XS, S, M, L, XL</v>
      </c>
      <c r="Y3192" t="str">
        <f>IF(Table2[[#This Row],[Column1]]&gt;50%,"HIGH DISCOUNT","LOW DISCOUNT")</f>
        <v>HIGH DISCOUNT</v>
      </c>
    </row>
    <row r="3193" spans="1:25" x14ac:dyDescent="0.25">
      <c r="A3193" s="2" t="s">
        <v>6641</v>
      </c>
      <c r="B3193" s="2">
        <v>7942507</v>
      </c>
      <c r="C3193" s="2" t="s">
        <v>22</v>
      </c>
      <c r="D3193" s="2" t="s">
        <v>15</v>
      </c>
      <c r="E3193" s="2" t="s">
        <v>16</v>
      </c>
      <c r="F3193" s="2" t="s">
        <v>17</v>
      </c>
      <c r="G3193" s="2" t="s">
        <v>6642</v>
      </c>
      <c r="H3193">
        <v>881</v>
      </c>
      <c r="I3193" s="2">
        <v>2449</v>
      </c>
      <c r="J3193" s="2" t="s">
        <v>416</v>
      </c>
      <c r="K3193" s="2" t="s">
        <v>56</v>
      </c>
      <c r="L3193" s="2">
        <v>3.8</v>
      </c>
      <c r="M3193" s="2">
        <v>587</v>
      </c>
      <c r="P3193" t="str">
        <f t="shared" si="199"/>
        <v>64%</v>
      </c>
      <c r="Q3193" s="12">
        <f t="shared" si="196"/>
        <v>0.64</v>
      </c>
      <c r="R3193" s="9">
        <f t="shared" si="197"/>
        <v>881.63999999999987</v>
      </c>
      <c r="S3193" s="9">
        <f>IF(R3193="",AVERAGEIF(Table1[Category],Table1[[#This Row],[Category]],Table2[orignal data]),Table2[[#This Row],[orignal data]])</f>
        <v>881.63999999999987</v>
      </c>
      <c r="T3193" t="str">
        <f t="shared" si="198"/>
        <v>UNIQUE</v>
      </c>
      <c r="U3193" t="str">
        <f>IF(ISBLANK(Table1[[#This Row],[SizeOption]]),"NOT AVAILABLE",Table1[[#This Row],[SizeOption]])</f>
        <v>30, 32, 34, 36</v>
      </c>
      <c r="Y3193" t="str">
        <f>IF(Table2[[#This Row],[Column1]]&gt;50%,"HIGH DISCOUNT","LOW DISCOUNT")</f>
        <v>HIGH DISCOUNT</v>
      </c>
    </row>
    <row r="3194" spans="1:25" x14ac:dyDescent="0.25">
      <c r="A3194" s="1" t="s">
        <v>6643</v>
      </c>
      <c r="B3194" s="1">
        <v>1813854</v>
      </c>
      <c r="C3194" s="1" t="s">
        <v>1608</v>
      </c>
      <c r="D3194" s="1" t="s">
        <v>15</v>
      </c>
      <c r="E3194" s="1" t="s">
        <v>53</v>
      </c>
      <c r="F3194" s="1" t="s">
        <v>17</v>
      </c>
      <c r="G3194" s="1" t="s">
        <v>4799</v>
      </c>
      <c r="H3194">
        <v>742</v>
      </c>
      <c r="I3194" s="1">
        <v>1649</v>
      </c>
      <c r="J3194" s="1" t="s">
        <v>25</v>
      </c>
      <c r="K3194" s="1" t="s">
        <v>56</v>
      </c>
      <c r="L3194" s="1">
        <v>4</v>
      </c>
      <c r="M3194" s="1">
        <v>587</v>
      </c>
      <c r="P3194" t="str">
        <f t="shared" si="199"/>
        <v>55%</v>
      </c>
      <c r="Q3194" s="12">
        <f t="shared" si="196"/>
        <v>0.55000000000000004</v>
      </c>
      <c r="R3194" s="9">
        <f t="shared" si="197"/>
        <v>742.05</v>
      </c>
      <c r="S3194" s="9">
        <f>IF(R3194="",AVERAGEIF(Table1[Category],Table1[[#This Row],[Category]],Table2[orignal data]),Table2[[#This Row],[orignal data]])</f>
        <v>742.05</v>
      </c>
      <c r="T3194" t="str">
        <f t="shared" si="198"/>
        <v>UNIQUE</v>
      </c>
      <c r="U3194" t="str">
        <f>IF(ISBLANK(Table1[[#This Row],[SizeOption]]),"NOT AVAILABLE",Table1[[#This Row],[SizeOption]])</f>
        <v>30, 32, 34, 36</v>
      </c>
      <c r="Y3194" t="str">
        <f>IF(Table2[[#This Row],[Column1]]&gt;50%,"HIGH DISCOUNT","LOW DISCOUNT")</f>
        <v>HIGH DISCOUNT</v>
      </c>
    </row>
    <row r="3195" spans="1:25" x14ac:dyDescent="0.25">
      <c r="A3195" s="2" t="s">
        <v>6644</v>
      </c>
      <c r="B3195" s="2">
        <v>6787209</v>
      </c>
      <c r="C3195" s="2" t="s">
        <v>52</v>
      </c>
      <c r="D3195" s="2" t="s">
        <v>28</v>
      </c>
      <c r="E3195" s="2" t="s">
        <v>29</v>
      </c>
      <c r="F3195" s="2" t="s">
        <v>17</v>
      </c>
      <c r="G3195" s="2" t="s">
        <v>6645</v>
      </c>
      <c r="H3195">
        <v>526</v>
      </c>
      <c r="I3195" s="2">
        <v>1349</v>
      </c>
      <c r="J3195" s="2" t="s">
        <v>104</v>
      </c>
      <c r="K3195" s="2" t="s">
        <v>90</v>
      </c>
      <c r="L3195" s="2">
        <v>4</v>
      </c>
      <c r="M3195" s="2">
        <v>587</v>
      </c>
      <c r="P3195" t="str">
        <f t="shared" si="199"/>
        <v>61%</v>
      </c>
      <c r="Q3195" s="12">
        <f t="shared" si="196"/>
        <v>0.61</v>
      </c>
      <c r="R3195" s="9">
        <f t="shared" si="197"/>
        <v>526.11</v>
      </c>
      <c r="S3195" s="9">
        <f>IF(R3195="",AVERAGEIF(Table1[Category],Table1[[#This Row],[Category]],Table2[orignal data]),Table2[[#This Row],[orignal data]])</f>
        <v>526.11</v>
      </c>
      <c r="T3195" t="str">
        <f t="shared" si="198"/>
        <v>UNIQUE</v>
      </c>
      <c r="U3195" t="str">
        <f>IF(ISBLANK(Table1[[#This Row],[SizeOption]]),"NOT AVAILABLE",Table1[[#This Row],[SizeOption]])</f>
        <v>39, 40, 42, 44</v>
      </c>
      <c r="Y3195" t="str">
        <f>IF(Table2[[#This Row],[Column1]]&gt;50%,"HIGH DISCOUNT","LOW DISCOUNT")</f>
        <v>HIGH DISCOUNT</v>
      </c>
    </row>
    <row r="3196" spans="1:25" x14ac:dyDescent="0.25">
      <c r="A3196" s="1" t="s">
        <v>6646</v>
      </c>
      <c r="B3196" s="1">
        <v>11632476</v>
      </c>
      <c r="C3196" s="1" t="s">
        <v>14</v>
      </c>
      <c r="D3196" s="1" t="s">
        <v>28</v>
      </c>
      <c r="E3196" s="1" t="s">
        <v>42</v>
      </c>
      <c r="F3196" s="1" t="s">
        <v>17</v>
      </c>
      <c r="G3196" s="1" t="s">
        <v>6647</v>
      </c>
      <c r="I3196" s="1">
        <v>249</v>
      </c>
      <c r="J3196" s="1"/>
      <c r="K3196" s="1" t="s">
        <v>45</v>
      </c>
      <c r="L3196" s="1">
        <v>4.0999999999999996</v>
      </c>
      <c r="M3196" s="1">
        <v>587</v>
      </c>
      <c r="P3196" t="str">
        <f t="shared" si="199"/>
        <v/>
      </c>
      <c r="Q3196" s="12" t="str">
        <f t="shared" si="196"/>
        <v/>
      </c>
      <c r="R3196" s="9" t="str">
        <f t="shared" si="197"/>
        <v/>
      </c>
      <c r="S3196" s="9">
        <f>IF(R3196="",AVERAGEIF(Table1[Category],Table1[[#This Row],[Category]],Table2[orignal data]),Table2[[#This Row],[orignal data]])</f>
        <v>671.7823941958867</v>
      </c>
      <c r="T3196" t="str">
        <f t="shared" si="198"/>
        <v>UNIQUE</v>
      </c>
      <c r="U3196" t="str">
        <f>IF(ISBLANK(Table1[[#This Row],[SizeOption]]),"NOT AVAILABLE",Table1[[#This Row],[SizeOption]])</f>
        <v>XS, S, M, L, XL</v>
      </c>
      <c r="Y3196" t="str">
        <f>IF(Table2[[#This Row],[Column1]]&gt;50%,"HIGH DISCOUNT","LOW DISCOUNT")</f>
        <v>HIGH DISCOUNT</v>
      </c>
    </row>
    <row r="3197" spans="1:25" x14ac:dyDescent="0.25">
      <c r="A3197" s="2" t="s">
        <v>6648</v>
      </c>
      <c r="B3197" s="2">
        <v>10410688</v>
      </c>
      <c r="C3197" s="2" t="s">
        <v>169</v>
      </c>
      <c r="D3197" s="2" t="s">
        <v>28</v>
      </c>
      <c r="E3197" s="2" t="s">
        <v>42</v>
      </c>
      <c r="F3197" s="2" t="s">
        <v>17</v>
      </c>
      <c r="G3197" s="2" t="s">
        <v>6649</v>
      </c>
      <c r="H3197">
        <v>479</v>
      </c>
      <c r="I3197" s="2">
        <v>799</v>
      </c>
      <c r="J3197" s="2" t="s">
        <v>50</v>
      </c>
      <c r="K3197" s="2" t="s">
        <v>39</v>
      </c>
      <c r="L3197" s="2">
        <v>4.3</v>
      </c>
      <c r="M3197" s="2">
        <v>587</v>
      </c>
      <c r="P3197" t="str">
        <f t="shared" si="199"/>
        <v>40%</v>
      </c>
      <c r="Q3197" s="12">
        <f t="shared" si="196"/>
        <v>0.4</v>
      </c>
      <c r="R3197" s="9">
        <f t="shared" si="197"/>
        <v>479.4</v>
      </c>
      <c r="S3197" s="9">
        <f>IF(R3197="",AVERAGEIF(Table1[Category],Table1[[#This Row],[Category]],Table2[orignal data]),Table2[[#This Row],[orignal data]])</f>
        <v>479.4</v>
      </c>
      <c r="T3197" t="str">
        <f t="shared" si="198"/>
        <v>UNIQUE</v>
      </c>
      <c r="U3197" t="str">
        <f>IF(ISBLANK(Table1[[#This Row],[SizeOption]]),"NOT AVAILABLE",Table1[[#This Row],[SizeOption]])</f>
        <v>S, M, L, XL, XXL</v>
      </c>
      <c r="Y3197" t="str">
        <f>IF(Table2[[#This Row],[Column1]]&gt;50%,"HIGH DISCOUNT","LOW DISCOUNT")</f>
        <v>LOW DISCOUNT</v>
      </c>
    </row>
    <row r="3198" spans="1:25" x14ac:dyDescent="0.25">
      <c r="A3198" s="1" t="s">
        <v>6650</v>
      </c>
      <c r="B3198" s="1">
        <v>6149424</v>
      </c>
      <c r="C3198" s="1" t="s">
        <v>14</v>
      </c>
      <c r="D3198" s="1" t="s">
        <v>28</v>
      </c>
      <c r="E3198" s="1" t="s">
        <v>42</v>
      </c>
      <c r="F3198" s="1" t="s">
        <v>17</v>
      </c>
      <c r="G3198" s="1" t="s">
        <v>6651</v>
      </c>
      <c r="H3198">
        <v>399</v>
      </c>
      <c r="I3198" s="1">
        <v>999</v>
      </c>
      <c r="J3198" s="1" t="s">
        <v>55</v>
      </c>
      <c r="K3198" s="1" t="s">
        <v>73</v>
      </c>
      <c r="L3198" s="1">
        <v>3.8</v>
      </c>
      <c r="M3198" s="1">
        <v>587</v>
      </c>
      <c r="P3198" t="str">
        <f t="shared" si="199"/>
        <v>60%</v>
      </c>
      <c r="Q3198" s="12">
        <f t="shared" si="196"/>
        <v>0.6</v>
      </c>
      <c r="R3198" s="9">
        <f t="shared" si="197"/>
        <v>399.6</v>
      </c>
      <c r="S3198" s="9">
        <f>IF(R3198="",AVERAGEIF(Table1[Category],Table1[[#This Row],[Category]],Table2[orignal data]),Table2[[#This Row],[orignal data]])</f>
        <v>399.6</v>
      </c>
      <c r="T3198" t="str">
        <f t="shared" si="198"/>
        <v>UNIQUE</v>
      </c>
      <c r="U3198" t="str">
        <f>IF(ISBLANK(Table1[[#This Row],[SizeOption]]),"NOT AVAILABLE",Table1[[#This Row],[SizeOption]])</f>
        <v>XS, S, M, L, XL, XXL, 3XL, 4XL</v>
      </c>
      <c r="Y3198" t="str">
        <f>IF(Table2[[#This Row],[Column1]]&gt;50%,"HIGH DISCOUNT","LOW DISCOUNT")</f>
        <v>HIGH DISCOUNT</v>
      </c>
    </row>
    <row r="3199" spans="1:25" x14ac:dyDescent="0.25">
      <c r="A3199" s="2" t="s">
        <v>6652</v>
      </c>
      <c r="B3199" s="2">
        <v>13764658</v>
      </c>
      <c r="C3199" s="2" t="s">
        <v>277</v>
      </c>
      <c r="D3199" s="2" t="s">
        <v>76</v>
      </c>
      <c r="E3199" s="2" t="s">
        <v>148</v>
      </c>
      <c r="F3199" s="2" t="s">
        <v>36</v>
      </c>
      <c r="G3199" s="2" t="s">
        <v>6653</v>
      </c>
      <c r="H3199">
        <v>1475</v>
      </c>
      <c r="I3199" s="2">
        <v>3599</v>
      </c>
      <c r="J3199" s="2" t="s">
        <v>95</v>
      </c>
      <c r="K3199" s="2" t="s">
        <v>39</v>
      </c>
      <c r="L3199" s="2">
        <v>3.7</v>
      </c>
      <c r="M3199" s="2">
        <v>587</v>
      </c>
      <c r="P3199" t="str">
        <f t="shared" si="199"/>
        <v>59%</v>
      </c>
      <c r="Q3199" s="12">
        <f t="shared" si="196"/>
        <v>0.59</v>
      </c>
      <c r="R3199" s="9">
        <f t="shared" si="197"/>
        <v>1475.5900000000001</v>
      </c>
      <c r="S3199" s="9">
        <f>IF(R3199="",AVERAGEIF(Table1[Category],Table1[[#This Row],[Category]],Table2[orignal data]),Table2[[#This Row],[orignal data]])</f>
        <v>1475.5900000000001</v>
      </c>
      <c r="T3199" t="str">
        <f t="shared" si="198"/>
        <v>UNIQUE</v>
      </c>
      <c r="U3199" t="str">
        <f>IF(ISBLANK(Table1[[#This Row],[SizeOption]]),"NOT AVAILABLE",Table1[[#This Row],[SizeOption]])</f>
        <v>S, M, L, XL, XXL</v>
      </c>
      <c r="Y3199" t="str">
        <f>IF(Table2[[#This Row],[Column1]]&gt;50%,"HIGH DISCOUNT","LOW DISCOUNT")</f>
        <v>HIGH DISCOUNT</v>
      </c>
    </row>
    <row r="3200" spans="1:25" x14ac:dyDescent="0.25">
      <c r="A3200" s="1" t="s">
        <v>6654</v>
      </c>
      <c r="B3200" s="1">
        <v>13314856</v>
      </c>
      <c r="C3200" s="1" t="s">
        <v>6655</v>
      </c>
      <c r="D3200" s="1" t="s">
        <v>68</v>
      </c>
      <c r="E3200" s="1" t="s">
        <v>69</v>
      </c>
      <c r="F3200" s="1" t="s">
        <v>36</v>
      </c>
      <c r="G3200" s="1" t="s">
        <v>6656</v>
      </c>
      <c r="H3200">
        <v>1180</v>
      </c>
      <c r="I3200" s="1">
        <v>2299</v>
      </c>
      <c r="J3200" s="1" t="s">
        <v>6657</v>
      </c>
      <c r="K3200" s="1" t="s">
        <v>115</v>
      </c>
      <c r="L3200" s="1">
        <v>4.5999999999999996</v>
      </c>
      <c r="M3200" s="1">
        <v>587</v>
      </c>
      <c r="P3200" t="str">
        <f t="shared" si="199"/>
        <v>1119</v>
      </c>
      <c r="Q3200" s="12">
        <f t="shared" si="196"/>
        <v>0.48673336233144848</v>
      </c>
      <c r="R3200" s="9">
        <f t="shared" si="197"/>
        <v>1180</v>
      </c>
      <c r="S3200" s="9">
        <f>IF(R3200="",AVERAGEIF(Table1[Category],Table1[[#This Row],[Category]],Table2[orignal data]),Table2[[#This Row],[orignal data]])</f>
        <v>1180</v>
      </c>
      <c r="T3200" t="str">
        <f t="shared" si="198"/>
        <v>UNIQUE</v>
      </c>
      <c r="U3200" t="str">
        <f>IF(ISBLANK(Table1[[#This Row],[SizeOption]]),"NOT AVAILABLE",Table1[[#This Row],[SizeOption]])</f>
        <v>XS, S, M, L, XL, XXL</v>
      </c>
      <c r="Y3200" t="str">
        <f>IF(Table2[[#This Row],[Column1]]&gt;50%,"HIGH DISCOUNT","LOW DISCOUNT")</f>
        <v>LOW DISCOUNT</v>
      </c>
    </row>
    <row r="3201" spans="1:25" x14ac:dyDescent="0.25">
      <c r="A3201" s="2" t="s">
        <v>6658</v>
      </c>
      <c r="B3201" s="2">
        <v>17524596</v>
      </c>
      <c r="C3201" s="2" t="s">
        <v>47</v>
      </c>
      <c r="D3201" s="2" t="s">
        <v>41</v>
      </c>
      <c r="E3201" s="2" t="s">
        <v>42</v>
      </c>
      <c r="F3201" s="2" t="s">
        <v>36</v>
      </c>
      <c r="G3201" s="2" t="s">
        <v>1316</v>
      </c>
      <c r="I3201" s="2">
        <v>1598</v>
      </c>
      <c r="J3201" s="2" t="s">
        <v>84</v>
      </c>
      <c r="K3201" s="2" t="s">
        <v>447</v>
      </c>
      <c r="L3201" s="2">
        <v>4.0999999999999996</v>
      </c>
      <c r="M3201" s="2">
        <v>587</v>
      </c>
      <c r="P3201" t="str">
        <f t="shared" si="199"/>
        <v>50%</v>
      </c>
      <c r="Q3201" s="12">
        <f t="shared" si="196"/>
        <v>0.5</v>
      </c>
      <c r="R3201" s="9">
        <f t="shared" si="197"/>
        <v>799</v>
      </c>
      <c r="S3201" s="9">
        <f>IF(R3201="",AVERAGEIF(Table1[Category],Table1[[#This Row],[Category]],Table2[orignal data]),Table2[[#This Row],[orignal data]])</f>
        <v>799</v>
      </c>
      <c r="T3201" t="str">
        <f t="shared" si="198"/>
        <v>UNIQUE</v>
      </c>
      <c r="U3201" t="str">
        <f>IF(ISBLANK(Table1[[#This Row],[SizeOption]]),"NOT AVAILABLE",Table1[[#This Row],[SizeOption]])</f>
        <v>M, S, XS, XL, L</v>
      </c>
      <c r="Y3201" t="str">
        <f>IF(Table2[[#This Row],[Column1]]&gt;50%,"HIGH DISCOUNT","LOW DISCOUNT")</f>
        <v>LOW DISCOUNT</v>
      </c>
    </row>
    <row r="3202" spans="1:25" x14ac:dyDescent="0.25">
      <c r="A3202" s="1" t="s">
        <v>6659</v>
      </c>
      <c r="B3202" s="1">
        <v>17524652</v>
      </c>
      <c r="C3202" s="1" t="s">
        <v>47</v>
      </c>
      <c r="D3202" s="1" t="s">
        <v>41</v>
      </c>
      <c r="E3202" s="1" t="s">
        <v>42</v>
      </c>
      <c r="F3202" s="1" t="s">
        <v>36</v>
      </c>
      <c r="G3202" s="1" t="s">
        <v>1316</v>
      </c>
      <c r="I3202" s="1">
        <v>1598</v>
      </c>
      <c r="J3202" s="1" t="s">
        <v>84</v>
      </c>
      <c r="K3202" s="1" t="s">
        <v>45</v>
      </c>
      <c r="L3202" s="1">
        <v>4.0999999999999996</v>
      </c>
      <c r="M3202" s="1">
        <v>587</v>
      </c>
      <c r="P3202" t="str">
        <f t="shared" si="199"/>
        <v>50%</v>
      </c>
      <c r="Q3202" s="12">
        <f t="shared" ref="Q3202:Q3265" si="200">IF(P3202="","",IF(ISNUMBER(SEARCH("%",P3202)),P3202,P3202/I3202)*100%)</f>
        <v>0.5</v>
      </c>
      <c r="R3202" s="9">
        <f t="shared" ref="R3202:R3265" si="201">IF(P3202="","",I3202-(I3202*Q3202))</f>
        <v>799</v>
      </c>
      <c r="S3202" s="9">
        <f>IF(R3202="",AVERAGEIF(Table1[Category],Table1[[#This Row],[Category]],Table2[orignal data]),Table2[[#This Row],[orignal data]])</f>
        <v>799</v>
      </c>
      <c r="T3202" t="str">
        <f t="shared" ref="T3202:T3265" si="202">IF(COUNTIF($B$2:$B$5000,B3202)&gt;1,"DUPLICATE","UNIQUE")</f>
        <v>UNIQUE</v>
      </c>
      <c r="U3202" t="str">
        <f>IF(ISBLANK(Table1[[#This Row],[SizeOption]]),"NOT AVAILABLE",Table1[[#This Row],[SizeOption]])</f>
        <v>XS, S, M, L, XL</v>
      </c>
      <c r="Y3202" t="str">
        <f>IF(Table2[[#This Row],[Column1]]&gt;50%,"HIGH DISCOUNT","LOW DISCOUNT")</f>
        <v>LOW DISCOUNT</v>
      </c>
    </row>
    <row r="3203" spans="1:25" x14ac:dyDescent="0.25">
      <c r="A3203" s="2" t="s">
        <v>6660</v>
      </c>
      <c r="B3203" s="2">
        <v>12379920</v>
      </c>
      <c r="C3203" s="2" t="s">
        <v>517</v>
      </c>
      <c r="D3203" s="2" t="s">
        <v>41</v>
      </c>
      <c r="E3203" s="2" t="s">
        <v>16</v>
      </c>
      <c r="F3203" s="2" t="s">
        <v>36</v>
      </c>
      <c r="G3203" s="2" t="s">
        <v>6661</v>
      </c>
      <c r="I3203" s="2">
        <v>1699</v>
      </c>
      <c r="J3203" s="2" t="s">
        <v>84</v>
      </c>
      <c r="K3203" s="2" t="s">
        <v>428</v>
      </c>
      <c r="L3203" s="2">
        <v>4.0999999999999996</v>
      </c>
      <c r="M3203" s="2">
        <v>587</v>
      </c>
      <c r="P3203" t="str">
        <f t="shared" ref="P3203:P3266" si="203">TRIM(SUBSTITUTE(SUBSTITUTE(SUBSTITUTE(SUBSTITUTE(J3203,"OFF",""),"Rs.",""),"Hurry*",""),",",""))</f>
        <v>50%</v>
      </c>
      <c r="Q3203" s="12">
        <f t="shared" si="200"/>
        <v>0.5</v>
      </c>
      <c r="R3203" s="9">
        <f t="shared" si="201"/>
        <v>849.5</v>
      </c>
      <c r="S3203" s="9">
        <f>IF(R3203="",AVERAGEIF(Table1[Category],Table1[[#This Row],[Category]],Table2[orignal data]),Table2[[#This Row],[orignal data]])</f>
        <v>849.5</v>
      </c>
      <c r="T3203" t="str">
        <f t="shared" si="202"/>
        <v>UNIQUE</v>
      </c>
      <c r="U3203" t="str">
        <f>IF(ISBLANK(Table1[[#This Row],[SizeOption]]),"NOT AVAILABLE",Table1[[#This Row],[SizeOption]])</f>
        <v>26, 28, 30, 32, 34</v>
      </c>
      <c r="Y3203" t="str">
        <f>IF(Table2[[#This Row],[Column1]]&gt;50%,"HIGH DISCOUNT","LOW DISCOUNT")</f>
        <v>LOW DISCOUNT</v>
      </c>
    </row>
    <row r="3204" spans="1:25" x14ac:dyDescent="0.25">
      <c r="A3204" s="1" t="s">
        <v>6662</v>
      </c>
      <c r="B3204" s="1">
        <v>11541590</v>
      </c>
      <c r="C3204" s="1" t="s">
        <v>14</v>
      </c>
      <c r="D3204" s="1" t="s">
        <v>41</v>
      </c>
      <c r="E3204" s="1" t="s">
        <v>16</v>
      </c>
      <c r="F3204" s="1" t="s">
        <v>36</v>
      </c>
      <c r="G3204" s="1" t="s">
        <v>6663</v>
      </c>
      <c r="I3204" s="1">
        <v>2199</v>
      </c>
      <c r="J3204" s="1" t="s">
        <v>25</v>
      </c>
      <c r="K3204" s="1" t="s">
        <v>134</v>
      </c>
      <c r="L3204" s="1">
        <v>4.3</v>
      </c>
      <c r="M3204" s="1">
        <v>587</v>
      </c>
      <c r="P3204" t="str">
        <f t="shared" si="203"/>
        <v>55%</v>
      </c>
      <c r="Q3204" s="12">
        <f t="shared" si="200"/>
        <v>0.55000000000000004</v>
      </c>
      <c r="R3204" s="9">
        <f t="shared" si="201"/>
        <v>989.55</v>
      </c>
      <c r="S3204" s="9">
        <f>IF(R3204="",AVERAGEIF(Table1[Category],Table1[[#This Row],[Category]],Table2[orignal data]),Table2[[#This Row],[orignal data]])</f>
        <v>989.55</v>
      </c>
      <c r="T3204" t="str">
        <f t="shared" si="202"/>
        <v>UNIQUE</v>
      </c>
      <c r="U3204" t="str">
        <f>IF(ISBLANK(Table1[[#This Row],[SizeOption]]),"NOT AVAILABLE",Table1[[#This Row],[SizeOption]])</f>
        <v>26, 28, 30, 32, 34, 36</v>
      </c>
      <c r="Y3204" t="str">
        <f>IF(Table2[[#This Row],[Column1]]&gt;50%,"HIGH DISCOUNT","LOW DISCOUNT")</f>
        <v>HIGH DISCOUNT</v>
      </c>
    </row>
    <row r="3205" spans="1:25" x14ac:dyDescent="0.25">
      <c r="A3205" s="2" t="s">
        <v>6664</v>
      </c>
      <c r="B3205" s="2">
        <v>2490946</v>
      </c>
      <c r="C3205" s="2" t="s">
        <v>47</v>
      </c>
      <c r="D3205" s="2" t="s">
        <v>41</v>
      </c>
      <c r="E3205" s="2" t="s">
        <v>42</v>
      </c>
      <c r="F3205" s="2" t="s">
        <v>36</v>
      </c>
      <c r="G3205" s="2" t="s">
        <v>6665</v>
      </c>
      <c r="I3205" s="2">
        <v>799</v>
      </c>
      <c r="J3205" s="2" t="s">
        <v>55</v>
      </c>
      <c r="K3205" s="2" t="s">
        <v>45</v>
      </c>
      <c r="L3205" s="2">
        <v>4.2</v>
      </c>
      <c r="M3205" s="2">
        <v>587</v>
      </c>
      <c r="P3205" t="str">
        <f t="shared" si="203"/>
        <v>60%</v>
      </c>
      <c r="Q3205" s="12">
        <f t="shared" si="200"/>
        <v>0.6</v>
      </c>
      <c r="R3205" s="9">
        <f t="shared" si="201"/>
        <v>319.60000000000002</v>
      </c>
      <c r="S3205" s="9">
        <f>IF(R3205="",AVERAGEIF(Table1[Category],Table1[[#This Row],[Category]],Table2[orignal data]),Table2[[#This Row],[orignal data]])</f>
        <v>319.60000000000002</v>
      </c>
      <c r="T3205" t="str">
        <f t="shared" si="202"/>
        <v>UNIQUE</v>
      </c>
      <c r="U3205" t="str">
        <f>IF(ISBLANK(Table1[[#This Row],[SizeOption]]),"NOT AVAILABLE",Table1[[#This Row],[SizeOption]])</f>
        <v>XS, S, M, L, XL</v>
      </c>
      <c r="Y3205" t="str">
        <f>IF(Table2[[#This Row],[Column1]]&gt;50%,"HIGH DISCOUNT","LOW DISCOUNT")</f>
        <v>HIGH DISCOUNT</v>
      </c>
    </row>
    <row r="3206" spans="1:25" x14ac:dyDescent="0.25">
      <c r="A3206" s="1" t="s">
        <v>6666</v>
      </c>
      <c r="B3206" s="1">
        <v>7204194</v>
      </c>
      <c r="C3206" s="1" t="s">
        <v>14</v>
      </c>
      <c r="D3206" s="1" t="s">
        <v>15</v>
      </c>
      <c r="E3206" s="1" t="s">
        <v>53</v>
      </c>
      <c r="F3206" s="1" t="s">
        <v>17</v>
      </c>
      <c r="G3206" s="1" t="s">
        <v>6667</v>
      </c>
      <c r="H3206">
        <v>1079</v>
      </c>
      <c r="I3206" s="1">
        <v>2399</v>
      </c>
      <c r="J3206" s="1" t="s">
        <v>25</v>
      </c>
      <c r="K3206" s="1" t="s">
        <v>195</v>
      </c>
      <c r="L3206" s="1">
        <v>4.2</v>
      </c>
      <c r="M3206" s="1">
        <v>586</v>
      </c>
      <c r="P3206" t="str">
        <f t="shared" si="203"/>
        <v>55%</v>
      </c>
      <c r="Q3206" s="12">
        <f t="shared" si="200"/>
        <v>0.55000000000000004</v>
      </c>
      <c r="R3206" s="9">
        <f t="shared" si="201"/>
        <v>1079.55</v>
      </c>
      <c r="S3206" s="9">
        <f>IF(R3206="",AVERAGEIF(Table1[Category],Table1[[#This Row],[Category]],Table2[orignal data]),Table2[[#This Row],[orignal data]])</f>
        <v>1079.55</v>
      </c>
      <c r="T3206" t="str">
        <f t="shared" si="202"/>
        <v>UNIQUE</v>
      </c>
      <c r="U3206" t="str">
        <f>IF(ISBLANK(Table1[[#This Row],[SizeOption]]),"NOT AVAILABLE",Table1[[#This Row],[SizeOption]])</f>
        <v>28, 30, 32, 34, 36, 38, 40</v>
      </c>
      <c r="Y3206" t="str">
        <f>IF(Table2[[#This Row],[Column1]]&gt;50%,"HIGH DISCOUNT","LOW DISCOUNT")</f>
        <v>HIGH DISCOUNT</v>
      </c>
    </row>
    <row r="3207" spans="1:25" x14ac:dyDescent="0.25">
      <c r="A3207" s="2" t="s">
        <v>6668</v>
      </c>
      <c r="B3207" s="2">
        <v>12983730</v>
      </c>
      <c r="C3207" s="2" t="s">
        <v>47</v>
      </c>
      <c r="D3207" s="2" t="s">
        <v>15</v>
      </c>
      <c r="E3207" s="2" t="s">
        <v>16</v>
      </c>
      <c r="F3207" s="2" t="s">
        <v>17</v>
      </c>
      <c r="G3207" s="2" t="s">
        <v>6669</v>
      </c>
      <c r="H3207">
        <v>799</v>
      </c>
      <c r="I3207" s="2">
        <v>1999</v>
      </c>
      <c r="J3207" s="2" t="s">
        <v>55</v>
      </c>
      <c r="K3207" s="2" t="s">
        <v>20</v>
      </c>
      <c r="L3207" s="2">
        <v>4.0999999999999996</v>
      </c>
      <c r="M3207" s="2">
        <v>586</v>
      </c>
      <c r="P3207" t="str">
        <f t="shared" si="203"/>
        <v>60%</v>
      </c>
      <c r="Q3207" s="12">
        <f t="shared" si="200"/>
        <v>0.6</v>
      </c>
      <c r="R3207" s="9">
        <f t="shared" si="201"/>
        <v>799.60000000000014</v>
      </c>
      <c r="S3207" s="9">
        <f>IF(R3207="",AVERAGEIF(Table1[Category],Table1[[#This Row],[Category]],Table2[orignal data]),Table2[[#This Row],[orignal data]])</f>
        <v>799.60000000000014</v>
      </c>
      <c r="T3207" t="str">
        <f t="shared" si="202"/>
        <v>UNIQUE</v>
      </c>
      <c r="U3207" t="str">
        <f>IF(ISBLANK(Table1[[#This Row],[SizeOption]]),"NOT AVAILABLE",Table1[[#This Row],[SizeOption]])</f>
        <v>28, 30, 32, 34, 36</v>
      </c>
      <c r="Y3207" t="str">
        <f>IF(Table2[[#This Row],[Column1]]&gt;50%,"HIGH DISCOUNT","LOW DISCOUNT")</f>
        <v>HIGH DISCOUNT</v>
      </c>
    </row>
    <row r="3208" spans="1:25" x14ac:dyDescent="0.25">
      <c r="A3208" s="1" t="s">
        <v>6670</v>
      </c>
      <c r="B3208" s="1">
        <v>7782684</v>
      </c>
      <c r="C3208" s="1" t="s">
        <v>604</v>
      </c>
      <c r="D3208" s="1" t="s">
        <v>28</v>
      </c>
      <c r="E3208" s="1" t="s">
        <v>29</v>
      </c>
      <c r="F3208" s="1" t="s">
        <v>17</v>
      </c>
      <c r="G3208" s="1" t="s">
        <v>605</v>
      </c>
      <c r="H3208">
        <v>597</v>
      </c>
      <c r="I3208" s="1">
        <v>1299</v>
      </c>
      <c r="J3208" s="1" t="s">
        <v>606</v>
      </c>
      <c r="K3208" s="1" t="s">
        <v>607</v>
      </c>
      <c r="L3208" s="1">
        <v>3.8</v>
      </c>
      <c r="M3208" s="1">
        <v>586</v>
      </c>
      <c r="P3208" t="str">
        <f t="shared" si="203"/>
        <v>54%</v>
      </c>
      <c r="Q3208" s="12">
        <f t="shared" si="200"/>
        <v>0.54</v>
      </c>
      <c r="R3208" s="9">
        <f t="shared" si="201"/>
        <v>597.54</v>
      </c>
      <c r="S3208" s="9">
        <f>IF(R3208="",AVERAGEIF(Table1[Category],Table1[[#This Row],[Category]],Table2[orignal data]),Table2[[#This Row],[orignal data]])</f>
        <v>597.54</v>
      </c>
      <c r="T3208" t="str">
        <f t="shared" si="202"/>
        <v>UNIQUE</v>
      </c>
      <c r="U3208" t="str">
        <f>IF(ISBLANK(Table1[[#This Row],[SizeOption]]),"NOT AVAILABLE",Table1[[#This Row],[SizeOption]])</f>
        <v>36, 38, 40, 42, 44</v>
      </c>
      <c r="Y3208" t="str">
        <f>IF(Table2[[#This Row],[Column1]]&gt;50%,"HIGH DISCOUNT","LOW DISCOUNT")</f>
        <v>HIGH DISCOUNT</v>
      </c>
    </row>
    <row r="3209" spans="1:25" x14ac:dyDescent="0.25">
      <c r="A3209" s="2" t="s">
        <v>6671</v>
      </c>
      <c r="B3209" s="2">
        <v>12109782</v>
      </c>
      <c r="C3209" s="2" t="s">
        <v>346</v>
      </c>
      <c r="D3209" s="2" t="s">
        <v>28</v>
      </c>
      <c r="E3209" s="2" t="s">
        <v>42</v>
      </c>
      <c r="F3209" s="2" t="s">
        <v>17</v>
      </c>
      <c r="G3209" s="2" t="s">
        <v>6672</v>
      </c>
      <c r="H3209">
        <v>349</v>
      </c>
      <c r="I3209" s="2">
        <v>699</v>
      </c>
      <c r="J3209" s="2" t="s">
        <v>84</v>
      </c>
      <c r="K3209" s="2" t="s">
        <v>39</v>
      </c>
      <c r="L3209" s="2">
        <v>4.2</v>
      </c>
      <c r="M3209" s="2">
        <v>586</v>
      </c>
      <c r="P3209" t="str">
        <f t="shared" si="203"/>
        <v>50%</v>
      </c>
      <c r="Q3209" s="12">
        <f t="shared" si="200"/>
        <v>0.5</v>
      </c>
      <c r="R3209" s="9">
        <f t="shared" si="201"/>
        <v>349.5</v>
      </c>
      <c r="S3209" s="9">
        <f>IF(R3209="",AVERAGEIF(Table1[Category],Table1[[#This Row],[Category]],Table2[orignal data]),Table2[[#This Row],[orignal data]])</f>
        <v>349.5</v>
      </c>
      <c r="T3209" t="str">
        <f t="shared" si="202"/>
        <v>UNIQUE</v>
      </c>
      <c r="U3209" t="str">
        <f>IF(ISBLANK(Table1[[#This Row],[SizeOption]]),"NOT AVAILABLE",Table1[[#This Row],[SizeOption]])</f>
        <v>S, M, L, XL, XXL</v>
      </c>
      <c r="Y3209" t="str">
        <f>IF(Table2[[#This Row],[Column1]]&gt;50%,"HIGH DISCOUNT","LOW DISCOUNT")</f>
        <v>LOW DISCOUNT</v>
      </c>
    </row>
    <row r="3210" spans="1:25" x14ac:dyDescent="0.25">
      <c r="A3210" s="1" t="s">
        <v>6673</v>
      </c>
      <c r="B3210" s="1">
        <v>11748146</v>
      </c>
      <c r="C3210" s="1" t="s">
        <v>64</v>
      </c>
      <c r="D3210" s="1" t="s">
        <v>28</v>
      </c>
      <c r="E3210" s="1" t="s">
        <v>42</v>
      </c>
      <c r="F3210" s="1" t="s">
        <v>17</v>
      </c>
      <c r="G3210" s="1" t="s">
        <v>6674</v>
      </c>
      <c r="H3210">
        <v>332</v>
      </c>
      <c r="I3210" s="1">
        <v>949</v>
      </c>
      <c r="J3210" s="1" t="s">
        <v>150</v>
      </c>
      <c r="K3210" s="1" t="s">
        <v>26</v>
      </c>
      <c r="L3210" s="1">
        <v>4.0999999999999996</v>
      </c>
      <c r="M3210" s="1">
        <v>586</v>
      </c>
      <c r="P3210" t="str">
        <f t="shared" si="203"/>
        <v>65%</v>
      </c>
      <c r="Q3210" s="12">
        <f t="shared" si="200"/>
        <v>0.65</v>
      </c>
      <c r="R3210" s="9">
        <f t="shared" si="201"/>
        <v>332.15</v>
      </c>
      <c r="S3210" s="9">
        <f>IF(R3210="",AVERAGEIF(Table1[Category],Table1[[#This Row],[Category]],Table2[orignal data]),Table2[[#This Row],[orignal data]])</f>
        <v>332.15</v>
      </c>
      <c r="T3210" t="str">
        <f t="shared" si="202"/>
        <v>UNIQUE</v>
      </c>
      <c r="U3210" t="str">
        <f>IF(ISBLANK(Table1[[#This Row],[SizeOption]]),"NOT AVAILABLE",Table1[[#This Row],[SizeOption]])</f>
        <v>S, M, L, XL</v>
      </c>
      <c r="Y3210" t="str">
        <f>IF(Table2[[#This Row],[Column1]]&gt;50%,"HIGH DISCOUNT","LOW DISCOUNT")</f>
        <v>HIGH DISCOUNT</v>
      </c>
    </row>
    <row r="3211" spans="1:25" x14ac:dyDescent="0.25">
      <c r="A3211" s="2" t="s">
        <v>6675</v>
      </c>
      <c r="B3211" s="2">
        <v>13789776</v>
      </c>
      <c r="C3211" s="2" t="s">
        <v>113</v>
      </c>
      <c r="D3211" s="2" t="s">
        <v>76</v>
      </c>
      <c r="E3211" s="2" t="s">
        <v>77</v>
      </c>
      <c r="F3211" s="2" t="s">
        <v>36</v>
      </c>
      <c r="G3211" s="2" t="s">
        <v>6676</v>
      </c>
      <c r="H3211">
        <v>1619</v>
      </c>
      <c r="I3211" s="2">
        <v>3599</v>
      </c>
      <c r="J3211" s="2" t="s">
        <v>25</v>
      </c>
      <c r="K3211" s="2" t="s">
        <v>73</v>
      </c>
      <c r="L3211" s="2">
        <v>4.3</v>
      </c>
      <c r="M3211" s="2">
        <v>586</v>
      </c>
      <c r="P3211" t="str">
        <f t="shared" si="203"/>
        <v>55%</v>
      </c>
      <c r="Q3211" s="12">
        <f t="shared" si="200"/>
        <v>0.55000000000000004</v>
      </c>
      <c r="R3211" s="9">
        <f t="shared" si="201"/>
        <v>1619.5499999999997</v>
      </c>
      <c r="S3211" s="9">
        <f>IF(R3211="",AVERAGEIF(Table1[Category],Table1[[#This Row],[Category]],Table2[orignal data]),Table2[[#This Row],[orignal data]])</f>
        <v>1619.5499999999997</v>
      </c>
      <c r="T3211" t="str">
        <f t="shared" si="202"/>
        <v>UNIQUE</v>
      </c>
      <c r="U3211" t="str">
        <f>IF(ISBLANK(Table1[[#This Row],[SizeOption]]),"NOT AVAILABLE",Table1[[#This Row],[SizeOption]])</f>
        <v>XS, S, M, L, XL, XXL, 3XL, 4XL</v>
      </c>
      <c r="Y3211" t="str">
        <f>IF(Table2[[#This Row],[Column1]]&gt;50%,"HIGH DISCOUNT","LOW DISCOUNT")</f>
        <v>HIGH DISCOUNT</v>
      </c>
    </row>
    <row r="3212" spans="1:25" x14ac:dyDescent="0.25">
      <c r="A3212" s="1" t="s">
        <v>6677</v>
      </c>
      <c r="B3212" s="1">
        <v>1028565</v>
      </c>
      <c r="C3212" s="1" t="s">
        <v>623</v>
      </c>
      <c r="D3212" s="1" t="s">
        <v>34</v>
      </c>
      <c r="E3212" s="1" t="s">
        <v>5491</v>
      </c>
      <c r="F3212" s="1" t="s">
        <v>36</v>
      </c>
      <c r="G3212" s="1" t="s">
        <v>6678</v>
      </c>
      <c r="H3212">
        <v>279</v>
      </c>
      <c r="I3212" s="1">
        <v>799</v>
      </c>
      <c r="J3212" s="1" t="s">
        <v>150</v>
      </c>
      <c r="K3212" s="1" t="s">
        <v>26</v>
      </c>
      <c r="L3212" s="1">
        <v>3.9</v>
      </c>
      <c r="M3212" s="1">
        <v>586</v>
      </c>
      <c r="P3212" t="str">
        <f t="shared" si="203"/>
        <v>65%</v>
      </c>
      <c r="Q3212" s="12">
        <f t="shared" si="200"/>
        <v>0.65</v>
      </c>
      <c r="R3212" s="9">
        <f t="shared" si="201"/>
        <v>279.64999999999998</v>
      </c>
      <c r="S3212" s="9">
        <f>IF(R3212="",AVERAGEIF(Table1[Category],Table1[[#This Row],[Category]],Table2[orignal data]),Table2[[#This Row],[orignal data]])</f>
        <v>279.64999999999998</v>
      </c>
      <c r="T3212" t="str">
        <f t="shared" si="202"/>
        <v>UNIQUE</v>
      </c>
      <c r="U3212" t="str">
        <f>IF(ISBLANK(Table1[[#This Row],[SizeOption]]),"NOT AVAILABLE",Table1[[#This Row],[SizeOption]])</f>
        <v>S, M, L, XL</v>
      </c>
      <c r="Y3212" t="str">
        <f>IF(Table2[[#This Row],[Column1]]&gt;50%,"HIGH DISCOUNT","LOW DISCOUNT")</f>
        <v>HIGH DISCOUNT</v>
      </c>
    </row>
    <row r="3213" spans="1:25" x14ac:dyDescent="0.25">
      <c r="A3213" s="2" t="s">
        <v>6679</v>
      </c>
      <c r="B3213" s="2">
        <v>11928612</v>
      </c>
      <c r="C3213" s="2" t="s">
        <v>517</v>
      </c>
      <c r="D3213" s="2" t="s">
        <v>41</v>
      </c>
      <c r="E3213" s="2" t="s">
        <v>16</v>
      </c>
      <c r="F3213" s="2" t="s">
        <v>36</v>
      </c>
      <c r="G3213" s="2" t="s">
        <v>6680</v>
      </c>
      <c r="I3213" s="2">
        <v>1299</v>
      </c>
      <c r="J3213" s="2" t="s">
        <v>2415</v>
      </c>
      <c r="K3213" s="2" t="s">
        <v>428</v>
      </c>
      <c r="L3213" s="2">
        <v>4</v>
      </c>
      <c r="M3213" s="2">
        <v>586</v>
      </c>
      <c r="P3213" t="str">
        <f t="shared" si="203"/>
        <v>46%</v>
      </c>
      <c r="Q3213" s="12">
        <f t="shared" si="200"/>
        <v>0.46</v>
      </c>
      <c r="R3213" s="9">
        <f t="shared" si="201"/>
        <v>701.45999999999992</v>
      </c>
      <c r="S3213" s="9">
        <f>IF(R3213="",AVERAGEIF(Table1[Category],Table1[[#This Row],[Category]],Table2[orignal data]),Table2[[#This Row],[orignal data]])</f>
        <v>701.45999999999992</v>
      </c>
      <c r="T3213" t="str">
        <f t="shared" si="202"/>
        <v>UNIQUE</v>
      </c>
      <c r="U3213" t="str">
        <f>IF(ISBLANK(Table1[[#This Row],[SizeOption]]),"NOT AVAILABLE",Table1[[#This Row],[SizeOption]])</f>
        <v>26, 28, 30, 32, 34</v>
      </c>
      <c r="Y3213" t="str">
        <f>IF(Table2[[#This Row],[Column1]]&gt;50%,"HIGH DISCOUNT","LOW DISCOUNT")</f>
        <v>LOW DISCOUNT</v>
      </c>
    </row>
    <row r="3214" spans="1:25" x14ac:dyDescent="0.25">
      <c r="A3214" s="1" t="s">
        <v>6681</v>
      </c>
      <c r="B3214" s="1">
        <v>5960814</v>
      </c>
      <c r="C3214" s="1" t="s">
        <v>14</v>
      </c>
      <c r="D3214" s="1" t="s">
        <v>41</v>
      </c>
      <c r="E3214" s="1" t="s">
        <v>306</v>
      </c>
      <c r="F3214" s="1" t="s">
        <v>36</v>
      </c>
      <c r="G3214" s="1" t="s">
        <v>6682</v>
      </c>
      <c r="I3214" s="1">
        <v>1399</v>
      </c>
      <c r="J3214" s="1" t="s">
        <v>79</v>
      </c>
      <c r="K3214" s="1" t="s">
        <v>115</v>
      </c>
      <c r="L3214" s="1">
        <v>4</v>
      </c>
      <c r="M3214" s="1">
        <v>586</v>
      </c>
      <c r="P3214" t="str">
        <f t="shared" si="203"/>
        <v>70%</v>
      </c>
      <c r="Q3214" s="12">
        <f t="shared" si="200"/>
        <v>0.7</v>
      </c>
      <c r="R3214" s="9">
        <f t="shared" si="201"/>
        <v>419.70000000000005</v>
      </c>
      <c r="S3214" s="9">
        <f>IF(R3214="",AVERAGEIF(Table1[Category],Table1[[#This Row],[Category]],Table2[orignal data]),Table2[[#This Row],[orignal data]])</f>
        <v>419.70000000000005</v>
      </c>
      <c r="T3214" t="str">
        <f t="shared" si="202"/>
        <v>UNIQUE</v>
      </c>
      <c r="U3214" t="str">
        <f>IF(ISBLANK(Table1[[#This Row],[SizeOption]]),"NOT AVAILABLE",Table1[[#This Row],[SizeOption]])</f>
        <v>XS, S, M, L, XL, XXL</v>
      </c>
      <c r="Y3214" t="str">
        <f>IF(Table2[[#This Row],[Column1]]&gt;50%,"HIGH DISCOUNT","LOW DISCOUNT")</f>
        <v>HIGH DISCOUNT</v>
      </c>
    </row>
    <row r="3215" spans="1:25" x14ac:dyDescent="0.25">
      <c r="A3215" s="2" t="s">
        <v>6683</v>
      </c>
      <c r="B3215" s="2">
        <v>17524612</v>
      </c>
      <c r="C3215" s="2" t="s">
        <v>47</v>
      </c>
      <c r="D3215" s="2" t="s">
        <v>41</v>
      </c>
      <c r="E3215" s="2" t="s">
        <v>42</v>
      </c>
      <c r="F3215" s="2" t="s">
        <v>36</v>
      </c>
      <c r="G3215" s="2" t="s">
        <v>1316</v>
      </c>
      <c r="I3215" s="2">
        <v>1598</v>
      </c>
      <c r="J3215" s="2" t="s">
        <v>84</v>
      </c>
      <c r="K3215" s="2" t="s">
        <v>45</v>
      </c>
      <c r="L3215" s="2">
        <v>4.0999999999999996</v>
      </c>
      <c r="M3215" s="2">
        <v>586</v>
      </c>
      <c r="P3215" t="str">
        <f t="shared" si="203"/>
        <v>50%</v>
      </c>
      <c r="Q3215" s="12">
        <f t="shared" si="200"/>
        <v>0.5</v>
      </c>
      <c r="R3215" s="9">
        <f t="shared" si="201"/>
        <v>799</v>
      </c>
      <c r="S3215" s="9">
        <f>IF(R3215="",AVERAGEIF(Table1[Category],Table1[[#This Row],[Category]],Table2[orignal data]),Table2[[#This Row],[orignal data]])</f>
        <v>799</v>
      </c>
      <c r="T3215" t="str">
        <f t="shared" si="202"/>
        <v>UNIQUE</v>
      </c>
      <c r="U3215" t="str">
        <f>IF(ISBLANK(Table1[[#This Row],[SizeOption]]),"NOT AVAILABLE",Table1[[#This Row],[SizeOption]])</f>
        <v>XS, S, M, L, XL</v>
      </c>
      <c r="Y3215" t="str">
        <f>IF(Table2[[#This Row],[Column1]]&gt;50%,"HIGH DISCOUNT","LOW DISCOUNT")</f>
        <v>LOW DISCOUNT</v>
      </c>
    </row>
    <row r="3216" spans="1:25" x14ac:dyDescent="0.25">
      <c r="A3216" s="1" t="s">
        <v>6684</v>
      </c>
      <c r="B3216" s="1">
        <v>17382942</v>
      </c>
      <c r="C3216" s="1" t="s">
        <v>14</v>
      </c>
      <c r="D3216" s="1" t="s">
        <v>41</v>
      </c>
      <c r="E3216" s="1" t="s">
        <v>42</v>
      </c>
      <c r="F3216" s="1" t="s">
        <v>36</v>
      </c>
      <c r="G3216" s="1" t="s">
        <v>6685</v>
      </c>
      <c r="I3216" s="1">
        <v>1598</v>
      </c>
      <c r="J3216" s="1" t="s">
        <v>84</v>
      </c>
      <c r="K3216" s="1" t="s">
        <v>146</v>
      </c>
      <c r="L3216" s="1">
        <v>4.3</v>
      </c>
      <c r="M3216" s="1">
        <v>586</v>
      </c>
      <c r="P3216" t="str">
        <f t="shared" si="203"/>
        <v>50%</v>
      </c>
      <c r="Q3216" s="12">
        <f t="shared" si="200"/>
        <v>0.5</v>
      </c>
      <c r="R3216" s="9">
        <f t="shared" si="201"/>
        <v>799</v>
      </c>
      <c r="S3216" s="9">
        <f>IF(R3216="",AVERAGEIF(Table1[Category],Table1[[#This Row],[Category]],Table2[orignal data]),Table2[[#This Row],[orignal data]])</f>
        <v>799</v>
      </c>
      <c r="T3216" t="str">
        <f t="shared" si="202"/>
        <v>UNIQUE</v>
      </c>
      <c r="U3216" t="str">
        <f>IF(ISBLANK(Table1[[#This Row],[SizeOption]]),"NOT AVAILABLE",Table1[[#This Row],[SizeOption]])</f>
        <v>L, M, S, XS, XL</v>
      </c>
      <c r="Y3216" t="str">
        <f>IF(Table2[[#This Row],[Column1]]&gt;50%,"HIGH DISCOUNT","LOW DISCOUNT")</f>
        <v>LOW DISCOUNT</v>
      </c>
    </row>
    <row r="3217" spans="1:25" x14ac:dyDescent="0.25">
      <c r="A3217" s="2" t="s">
        <v>6686</v>
      </c>
      <c r="B3217" s="2">
        <v>8460377</v>
      </c>
      <c r="C3217" s="2" t="s">
        <v>14</v>
      </c>
      <c r="D3217" s="2" t="s">
        <v>41</v>
      </c>
      <c r="E3217" s="2" t="s">
        <v>16</v>
      </c>
      <c r="F3217" s="2" t="s">
        <v>36</v>
      </c>
      <c r="G3217" s="2" t="s">
        <v>6687</v>
      </c>
      <c r="I3217" s="2">
        <v>2699</v>
      </c>
      <c r="J3217" s="2" t="s">
        <v>25</v>
      </c>
      <c r="K3217" s="2" t="s">
        <v>134</v>
      </c>
      <c r="L3217" s="2">
        <v>3.9</v>
      </c>
      <c r="M3217" s="2">
        <v>586</v>
      </c>
      <c r="P3217" t="str">
        <f t="shared" si="203"/>
        <v>55%</v>
      </c>
      <c r="Q3217" s="12">
        <f t="shared" si="200"/>
        <v>0.55000000000000004</v>
      </c>
      <c r="R3217" s="9">
        <f t="shared" si="201"/>
        <v>1214.55</v>
      </c>
      <c r="S3217" s="9">
        <f>IF(R3217="",AVERAGEIF(Table1[Category],Table1[[#This Row],[Category]],Table2[orignal data]),Table2[[#This Row],[orignal data]])</f>
        <v>1214.55</v>
      </c>
      <c r="T3217" t="str">
        <f t="shared" si="202"/>
        <v>UNIQUE</v>
      </c>
      <c r="U3217" t="str">
        <f>IF(ISBLANK(Table1[[#This Row],[SizeOption]]),"NOT AVAILABLE",Table1[[#This Row],[SizeOption]])</f>
        <v>26, 28, 30, 32, 34, 36</v>
      </c>
      <c r="Y3217" t="str">
        <f>IF(Table2[[#This Row],[Column1]]&gt;50%,"HIGH DISCOUNT","LOW DISCOUNT")</f>
        <v>HIGH DISCOUNT</v>
      </c>
    </row>
    <row r="3218" spans="1:25" x14ac:dyDescent="0.25">
      <c r="A3218" s="1" t="s">
        <v>6688</v>
      </c>
      <c r="B3218" s="1">
        <v>12178100</v>
      </c>
      <c r="C3218" s="1" t="s">
        <v>14</v>
      </c>
      <c r="D3218" s="1" t="s">
        <v>41</v>
      </c>
      <c r="E3218" s="1" t="s">
        <v>189</v>
      </c>
      <c r="F3218" s="1" t="s">
        <v>36</v>
      </c>
      <c r="G3218" s="1" t="s">
        <v>745</v>
      </c>
      <c r="I3218" s="1">
        <v>2699</v>
      </c>
      <c r="J3218" s="1" t="s">
        <v>79</v>
      </c>
      <c r="K3218" s="1" t="s">
        <v>115</v>
      </c>
      <c r="L3218" s="1">
        <v>4.3</v>
      </c>
      <c r="M3218" s="1">
        <v>586</v>
      </c>
      <c r="P3218" t="str">
        <f t="shared" si="203"/>
        <v>70%</v>
      </c>
      <c r="Q3218" s="12">
        <f t="shared" si="200"/>
        <v>0.7</v>
      </c>
      <c r="R3218" s="9">
        <f t="shared" si="201"/>
        <v>809.7</v>
      </c>
      <c r="S3218" s="9">
        <f>IF(R3218="",AVERAGEIF(Table1[Category],Table1[[#This Row],[Category]],Table2[orignal data]),Table2[[#This Row],[orignal data]])</f>
        <v>809.7</v>
      </c>
      <c r="T3218" t="str">
        <f t="shared" si="202"/>
        <v>UNIQUE</v>
      </c>
      <c r="U3218" t="str">
        <f>IF(ISBLANK(Table1[[#This Row],[SizeOption]]),"NOT AVAILABLE",Table1[[#This Row],[SizeOption]])</f>
        <v>XS, S, M, L, XL, XXL</v>
      </c>
      <c r="Y3218" t="str">
        <f>IF(Table2[[#This Row],[Column1]]&gt;50%,"HIGH DISCOUNT","LOW DISCOUNT")</f>
        <v>HIGH DISCOUNT</v>
      </c>
    </row>
    <row r="3219" spans="1:25" x14ac:dyDescent="0.25">
      <c r="A3219" s="2" t="s">
        <v>6689</v>
      </c>
      <c r="B3219" s="2">
        <v>6397323</v>
      </c>
      <c r="C3219" s="2" t="s">
        <v>14</v>
      </c>
      <c r="D3219" s="2" t="s">
        <v>41</v>
      </c>
      <c r="E3219" s="2" t="s">
        <v>1881</v>
      </c>
      <c r="F3219" s="2" t="s">
        <v>36</v>
      </c>
      <c r="G3219" s="2" t="s">
        <v>6690</v>
      </c>
      <c r="I3219" s="2">
        <v>999</v>
      </c>
      <c r="J3219" s="2" t="s">
        <v>55</v>
      </c>
      <c r="K3219" s="2" t="s">
        <v>115</v>
      </c>
      <c r="L3219" s="2">
        <v>4.2</v>
      </c>
      <c r="M3219" s="2">
        <v>586</v>
      </c>
      <c r="P3219" t="str">
        <f t="shared" si="203"/>
        <v>60%</v>
      </c>
      <c r="Q3219" s="12">
        <f t="shared" si="200"/>
        <v>0.6</v>
      </c>
      <c r="R3219" s="9">
        <f t="shared" si="201"/>
        <v>399.6</v>
      </c>
      <c r="S3219" s="9">
        <f>IF(R3219="",AVERAGEIF(Table1[Category],Table1[[#This Row],[Category]],Table2[orignal data]),Table2[[#This Row],[orignal data]])</f>
        <v>399.6</v>
      </c>
      <c r="T3219" t="str">
        <f t="shared" si="202"/>
        <v>UNIQUE</v>
      </c>
      <c r="U3219" t="str">
        <f>IF(ISBLANK(Table1[[#This Row],[SizeOption]]),"NOT AVAILABLE",Table1[[#This Row],[SizeOption]])</f>
        <v>XS, S, M, L, XL, XXL</v>
      </c>
      <c r="Y3219" t="str">
        <f>IF(Table2[[#This Row],[Column1]]&gt;50%,"HIGH DISCOUNT","LOW DISCOUNT")</f>
        <v>HIGH DISCOUNT</v>
      </c>
    </row>
    <row r="3220" spans="1:25" x14ac:dyDescent="0.25">
      <c r="A3220" s="1" t="s">
        <v>6691</v>
      </c>
      <c r="B3220" s="1">
        <v>11200630</v>
      </c>
      <c r="C3220" s="1" t="s">
        <v>113</v>
      </c>
      <c r="D3220" s="1" t="s">
        <v>76</v>
      </c>
      <c r="E3220" s="1" t="s">
        <v>93</v>
      </c>
      <c r="F3220" s="1" t="s">
        <v>17</v>
      </c>
      <c r="G3220" s="1" t="s">
        <v>6692</v>
      </c>
      <c r="H3220">
        <v>679</v>
      </c>
      <c r="I3220" s="1">
        <v>1699</v>
      </c>
      <c r="J3220" s="1" t="s">
        <v>55</v>
      </c>
      <c r="K3220" s="1" t="s">
        <v>39</v>
      </c>
      <c r="L3220" s="1">
        <v>4</v>
      </c>
      <c r="M3220" s="1">
        <v>585</v>
      </c>
      <c r="P3220" t="str">
        <f t="shared" si="203"/>
        <v>60%</v>
      </c>
      <c r="Q3220" s="12">
        <f t="shared" si="200"/>
        <v>0.6</v>
      </c>
      <c r="R3220" s="9">
        <f t="shared" si="201"/>
        <v>679.6</v>
      </c>
      <c r="S3220" s="9">
        <f>IF(R3220="",AVERAGEIF(Table1[Category],Table1[[#This Row],[Category]],Table2[orignal data]),Table2[[#This Row],[orignal data]])</f>
        <v>679.6</v>
      </c>
      <c r="T3220" t="str">
        <f t="shared" si="202"/>
        <v>UNIQUE</v>
      </c>
      <c r="U3220" t="str">
        <f>IF(ISBLANK(Table1[[#This Row],[SizeOption]]),"NOT AVAILABLE",Table1[[#This Row],[SizeOption]])</f>
        <v>S, M, L, XL, XXL</v>
      </c>
      <c r="Y3220" t="str">
        <f>IF(Table2[[#This Row],[Column1]]&gt;50%,"HIGH DISCOUNT","LOW DISCOUNT")</f>
        <v>HIGH DISCOUNT</v>
      </c>
    </row>
    <row r="3221" spans="1:25" x14ac:dyDescent="0.25">
      <c r="A3221" s="2" t="s">
        <v>6693</v>
      </c>
      <c r="B3221" s="2">
        <v>2303705</v>
      </c>
      <c r="C3221" s="2" t="s">
        <v>14</v>
      </c>
      <c r="D3221" s="2" t="s">
        <v>28</v>
      </c>
      <c r="E3221" s="2" t="s">
        <v>42</v>
      </c>
      <c r="F3221" s="2" t="s">
        <v>17</v>
      </c>
      <c r="G3221" s="2" t="s">
        <v>6694</v>
      </c>
      <c r="H3221">
        <v>604</v>
      </c>
      <c r="I3221" s="2">
        <v>1099</v>
      </c>
      <c r="J3221" s="2" t="s">
        <v>19</v>
      </c>
      <c r="K3221" s="2" t="s">
        <v>26</v>
      </c>
      <c r="L3221" s="2">
        <v>4.3</v>
      </c>
      <c r="M3221" s="2">
        <v>585</v>
      </c>
      <c r="P3221" t="str">
        <f t="shared" si="203"/>
        <v>45%</v>
      </c>
      <c r="Q3221" s="12">
        <f t="shared" si="200"/>
        <v>0.45</v>
      </c>
      <c r="R3221" s="9">
        <f t="shared" si="201"/>
        <v>604.45000000000005</v>
      </c>
      <c r="S3221" s="9">
        <f>IF(R3221="",AVERAGEIF(Table1[Category],Table1[[#This Row],[Category]],Table2[orignal data]),Table2[[#This Row],[orignal data]])</f>
        <v>604.45000000000005</v>
      </c>
      <c r="T3221" t="str">
        <f t="shared" si="202"/>
        <v>UNIQUE</v>
      </c>
      <c r="U3221" t="str">
        <f>IF(ISBLANK(Table1[[#This Row],[SizeOption]]),"NOT AVAILABLE",Table1[[#This Row],[SizeOption]])</f>
        <v>S, M, L, XL</v>
      </c>
      <c r="Y3221" t="str">
        <f>IF(Table2[[#This Row],[Column1]]&gt;50%,"HIGH DISCOUNT","LOW DISCOUNT")</f>
        <v>LOW DISCOUNT</v>
      </c>
    </row>
    <row r="3222" spans="1:25" x14ac:dyDescent="0.25">
      <c r="A3222" s="1" t="s">
        <v>6695</v>
      </c>
      <c r="B3222" s="1">
        <v>12654932</v>
      </c>
      <c r="C3222" s="1" t="s">
        <v>64</v>
      </c>
      <c r="D3222" s="1" t="s">
        <v>28</v>
      </c>
      <c r="E3222" s="1" t="s">
        <v>29</v>
      </c>
      <c r="F3222" s="1" t="s">
        <v>17</v>
      </c>
      <c r="G3222" s="1" t="s">
        <v>6696</v>
      </c>
      <c r="H3222">
        <v>474</v>
      </c>
      <c r="I3222" s="1">
        <v>1899</v>
      </c>
      <c r="J3222" s="1" t="s">
        <v>109</v>
      </c>
      <c r="K3222" s="1" t="s">
        <v>361</v>
      </c>
      <c r="L3222" s="1">
        <v>4.3</v>
      </c>
      <c r="M3222" s="1">
        <v>585</v>
      </c>
      <c r="P3222" t="str">
        <f t="shared" si="203"/>
        <v>75%</v>
      </c>
      <c r="Q3222" s="12">
        <f t="shared" si="200"/>
        <v>0.75</v>
      </c>
      <c r="R3222" s="9">
        <f t="shared" si="201"/>
        <v>474.75</v>
      </c>
      <c r="S3222" s="9">
        <f>IF(R3222="",AVERAGEIF(Table1[Category],Table1[[#This Row],[Category]],Table2[orignal data]),Table2[[#This Row],[orignal data]])</f>
        <v>474.75</v>
      </c>
      <c r="T3222" t="str">
        <f t="shared" si="202"/>
        <v>UNIQUE</v>
      </c>
      <c r="U3222" t="str">
        <f>IF(ISBLANK(Table1[[#This Row],[SizeOption]]),"NOT AVAILABLE",Table1[[#This Row],[SizeOption]])</f>
        <v>38, 40, 42, 44, 46</v>
      </c>
      <c r="Y3222" t="str">
        <f>IF(Table2[[#This Row],[Column1]]&gt;50%,"HIGH DISCOUNT","LOW DISCOUNT")</f>
        <v>HIGH DISCOUNT</v>
      </c>
    </row>
    <row r="3223" spans="1:25" x14ac:dyDescent="0.25">
      <c r="A3223" s="2" t="s">
        <v>6697</v>
      </c>
      <c r="B3223" s="2">
        <v>13681906</v>
      </c>
      <c r="C3223" s="2" t="s">
        <v>92</v>
      </c>
      <c r="D3223" s="2" t="s">
        <v>76</v>
      </c>
      <c r="E3223" s="2" t="s">
        <v>93</v>
      </c>
      <c r="F3223" s="2" t="s">
        <v>36</v>
      </c>
      <c r="G3223" s="2" t="s">
        <v>6698</v>
      </c>
      <c r="H3223">
        <v>467</v>
      </c>
      <c r="I3223" s="2">
        <v>1199</v>
      </c>
      <c r="J3223" s="2" t="s">
        <v>104</v>
      </c>
      <c r="K3223" s="2" t="s">
        <v>39</v>
      </c>
      <c r="L3223" s="2">
        <v>4.0999999999999996</v>
      </c>
      <c r="M3223" s="2">
        <v>585</v>
      </c>
      <c r="P3223" t="str">
        <f t="shared" si="203"/>
        <v>61%</v>
      </c>
      <c r="Q3223" s="12">
        <f t="shared" si="200"/>
        <v>0.61</v>
      </c>
      <c r="R3223" s="9">
        <f t="shared" si="201"/>
        <v>467.61</v>
      </c>
      <c r="S3223" s="9">
        <f>IF(R3223="",AVERAGEIF(Table1[Category],Table1[[#This Row],[Category]],Table2[orignal data]),Table2[[#This Row],[orignal data]])</f>
        <v>467.61</v>
      </c>
      <c r="T3223" t="str">
        <f t="shared" si="202"/>
        <v>UNIQUE</v>
      </c>
      <c r="U3223" t="str">
        <f>IF(ISBLANK(Table1[[#This Row],[SizeOption]]),"NOT AVAILABLE",Table1[[#This Row],[SizeOption]])</f>
        <v>S, M, L, XL, XXL</v>
      </c>
      <c r="Y3223" t="str">
        <f>IF(Table2[[#This Row],[Column1]]&gt;50%,"HIGH DISCOUNT","LOW DISCOUNT")</f>
        <v>HIGH DISCOUNT</v>
      </c>
    </row>
    <row r="3224" spans="1:25" x14ac:dyDescent="0.25">
      <c r="A3224" s="1" t="s">
        <v>6699</v>
      </c>
      <c r="B3224" s="1">
        <v>2154353</v>
      </c>
      <c r="C3224" s="1" t="s">
        <v>64</v>
      </c>
      <c r="D3224" s="1" t="s">
        <v>76</v>
      </c>
      <c r="E3224" s="1" t="s">
        <v>93</v>
      </c>
      <c r="F3224" s="1" t="s">
        <v>36</v>
      </c>
      <c r="G3224" s="1" t="s">
        <v>1040</v>
      </c>
      <c r="H3224">
        <v>879</v>
      </c>
      <c r="I3224" s="1">
        <v>1599</v>
      </c>
      <c r="J3224" s="1" t="s">
        <v>19</v>
      </c>
      <c r="K3224" s="1" t="s">
        <v>100</v>
      </c>
      <c r="L3224" s="1">
        <v>4.2</v>
      </c>
      <c r="M3224" s="1">
        <v>585</v>
      </c>
      <c r="P3224" t="str">
        <f t="shared" si="203"/>
        <v>45%</v>
      </c>
      <c r="Q3224" s="12">
        <f t="shared" si="200"/>
        <v>0.45</v>
      </c>
      <c r="R3224" s="9">
        <f t="shared" si="201"/>
        <v>879.44999999999993</v>
      </c>
      <c r="S3224" s="9">
        <f>IF(R3224="",AVERAGEIF(Table1[Category],Table1[[#This Row],[Category]],Table2[orignal data]),Table2[[#This Row],[orignal data]])</f>
        <v>879.44999999999993</v>
      </c>
      <c r="T3224" t="str">
        <f t="shared" si="202"/>
        <v>UNIQUE</v>
      </c>
      <c r="U3224" t="str">
        <f>IF(ISBLANK(Table1[[#This Row],[SizeOption]]),"NOT AVAILABLE",Table1[[#This Row],[SizeOption]])</f>
        <v>XS, S, M, L, XL, XXL, 3XL</v>
      </c>
      <c r="Y3224" t="str">
        <f>IF(Table2[[#This Row],[Column1]]&gt;50%,"HIGH DISCOUNT","LOW DISCOUNT")</f>
        <v>LOW DISCOUNT</v>
      </c>
    </row>
    <row r="3225" spans="1:25" x14ac:dyDescent="0.25">
      <c r="A3225" s="2" t="s">
        <v>6700</v>
      </c>
      <c r="B3225" s="2">
        <v>11636378</v>
      </c>
      <c r="C3225" s="2" t="s">
        <v>1656</v>
      </c>
      <c r="D3225" s="2" t="s">
        <v>76</v>
      </c>
      <c r="E3225" s="2" t="s">
        <v>93</v>
      </c>
      <c r="F3225" s="2" t="s">
        <v>36</v>
      </c>
      <c r="G3225" s="2" t="s">
        <v>6701</v>
      </c>
      <c r="H3225">
        <v>849</v>
      </c>
      <c r="I3225" s="2">
        <v>1699</v>
      </c>
      <c r="J3225" s="2" t="s">
        <v>84</v>
      </c>
      <c r="K3225" s="2" t="s">
        <v>115</v>
      </c>
      <c r="L3225" s="2">
        <v>4.3</v>
      </c>
      <c r="M3225" s="2">
        <v>585</v>
      </c>
      <c r="P3225" t="str">
        <f t="shared" si="203"/>
        <v>50%</v>
      </c>
      <c r="Q3225" s="12">
        <f t="shared" si="200"/>
        <v>0.5</v>
      </c>
      <c r="R3225" s="9">
        <f t="shared" si="201"/>
        <v>849.5</v>
      </c>
      <c r="S3225" s="9">
        <f>IF(R3225="",AVERAGEIF(Table1[Category],Table1[[#This Row],[Category]],Table2[orignal data]),Table2[[#This Row],[orignal data]])</f>
        <v>849.5</v>
      </c>
      <c r="T3225" t="str">
        <f t="shared" si="202"/>
        <v>UNIQUE</v>
      </c>
      <c r="U3225" t="str">
        <f>IF(ISBLANK(Table1[[#This Row],[SizeOption]]),"NOT AVAILABLE",Table1[[#This Row],[SizeOption]])</f>
        <v>XS, S, M, L, XL, XXL</v>
      </c>
      <c r="Y3225" t="str">
        <f>IF(Table2[[#This Row],[Column1]]&gt;50%,"HIGH DISCOUNT","LOW DISCOUNT")</f>
        <v>LOW DISCOUNT</v>
      </c>
    </row>
    <row r="3226" spans="1:25" x14ac:dyDescent="0.25">
      <c r="A3226" s="1" t="s">
        <v>6702</v>
      </c>
      <c r="B3226" s="1">
        <v>11404714</v>
      </c>
      <c r="C3226" s="1" t="s">
        <v>2408</v>
      </c>
      <c r="D3226" s="1" t="s">
        <v>76</v>
      </c>
      <c r="E3226" s="1" t="s">
        <v>93</v>
      </c>
      <c r="F3226" s="1" t="s">
        <v>36</v>
      </c>
      <c r="G3226" s="1" t="s">
        <v>6703</v>
      </c>
      <c r="H3226">
        <v>1349</v>
      </c>
      <c r="I3226" s="1">
        <v>2999</v>
      </c>
      <c r="J3226" s="1" t="s">
        <v>25</v>
      </c>
      <c r="K3226" s="1" t="s">
        <v>39</v>
      </c>
      <c r="L3226" s="1">
        <v>4.2</v>
      </c>
      <c r="M3226" s="1">
        <v>585</v>
      </c>
      <c r="P3226" t="str">
        <f t="shared" si="203"/>
        <v>55%</v>
      </c>
      <c r="Q3226" s="12">
        <f t="shared" si="200"/>
        <v>0.55000000000000004</v>
      </c>
      <c r="R3226" s="9">
        <f t="shared" si="201"/>
        <v>1349.55</v>
      </c>
      <c r="S3226" s="9">
        <f>IF(R3226="",AVERAGEIF(Table1[Category],Table1[[#This Row],[Category]],Table2[orignal data]),Table2[[#This Row],[orignal data]])</f>
        <v>1349.55</v>
      </c>
      <c r="T3226" t="str">
        <f t="shared" si="202"/>
        <v>UNIQUE</v>
      </c>
      <c r="U3226" t="str">
        <f>IF(ISBLANK(Table1[[#This Row],[SizeOption]]),"NOT AVAILABLE",Table1[[#This Row],[SizeOption]])</f>
        <v>S, M, L, XL, XXL</v>
      </c>
      <c r="Y3226" t="str">
        <f>IF(Table2[[#This Row],[Column1]]&gt;50%,"HIGH DISCOUNT","LOW DISCOUNT")</f>
        <v>HIGH DISCOUNT</v>
      </c>
    </row>
    <row r="3227" spans="1:25" x14ac:dyDescent="0.25">
      <c r="A3227" s="2" t="s">
        <v>6704</v>
      </c>
      <c r="B3227" s="2">
        <v>11118398</v>
      </c>
      <c r="C3227" s="2" t="s">
        <v>14</v>
      </c>
      <c r="D3227" s="2" t="s">
        <v>41</v>
      </c>
      <c r="E3227" s="2" t="s">
        <v>16</v>
      </c>
      <c r="F3227" s="2" t="s">
        <v>36</v>
      </c>
      <c r="G3227" s="2" t="s">
        <v>6705</v>
      </c>
      <c r="I3227" s="2">
        <v>1699</v>
      </c>
      <c r="J3227" s="2" t="s">
        <v>186</v>
      </c>
      <c r="K3227" s="2" t="s">
        <v>134</v>
      </c>
      <c r="L3227" s="2">
        <v>4.2</v>
      </c>
      <c r="M3227" s="2">
        <v>585</v>
      </c>
      <c r="P3227" t="str">
        <f t="shared" si="203"/>
        <v>30%</v>
      </c>
      <c r="Q3227" s="12">
        <f t="shared" si="200"/>
        <v>0.3</v>
      </c>
      <c r="R3227" s="9">
        <f t="shared" si="201"/>
        <v>1189.3</v>
      </c>
      <c r="S3227" s="9">
        <f>IF(R3227="",AVERAGEIF(Table1[Category],Table1[[#This Row],[Category]],Table2[orignal data]),Table2[[#This Row],[orignal data]])</f>
        <v>1189.3</v>
      </c>
      <c r="T3227" t="str">
        <f t="shared" si="202"/>
        <v>UNIQUE</v>
      </c>
      <c r="U3227" t="str">
        <f>IF(ISBLANK(Table1[[#This Row],[SizeOption]]),"NOT AVAILABLE",Table1[[#This Row],[SizeOption]])</f>
        <v>26, 28, 30, 32, 34, 36</v>
      </c>
      <c r="Y3227" t="str">
        <f>IF(Table2[[#This Row],[Column1]]&gt;50%,"HIGH DISCOUNT","LOW DISCOUNT")</f>
        <v>LOW DISCOUNT</v>
      </c>
    </row>
    <row r="3228" spans="1:25" x14ac:dyDescent="0.25">
      <c r="A3228" s="1" t="s">
        <v>6706</v>
      </c>
      <c r="B3228" s="1">
        <v>2279574</v>
      </c>
      <c r="C3228" s="1" t="s">
        <v>841</v>
      </c>
      <c r="D3228" s="1" t="s">
        <v>41</v>
      </c>
      <c r="E3228" s="1" t="s">
        <v>16</v>
      </c>
      <c r="F3228" s="1" t="s">
        <v>36</v>
      </c>
      <c r="G3228" s="1" t="s">
        <v>6707</v>
      </c>
      <c r="I3228" s="1">
        <v>1699</v>
      </c>
      <c r="J3228" s="1" t="s">
        <v>55</v>
      </c>
      <c r="K3228" s="1" t="s">
        <v>428</v>
      </c>
      <c r="L3228" s="1">
        <v>3.8</v>
      </c>
      <c r="M3228" s="1">
        <v>585</v>
      </c>
      <c r="P3228" t="str">
        <f t="shared" si="203"/>
        <v>60%</v>
      </c>
      <c r="Q3228" s="12">
        <f t="shared" si="200"/>
        <v>0.6</v>
      </c>
      <c r="R3228" s="9">
        <f t="shared" si="201"/>
        <v>679.6</v>
      </c>
      <c r="S3228" s="9">
        <f>IF(R3228="",AVERAGEIF(Table1[Category],Table1[[#This Row],[Category]],Table2[orignal data]),Table2[[#This Row],[orignal data]])</f>
        <v>679.6</v>
      </c>
      <c r="T3228" t="str">
        <f t="shared" si="202"/>
        <v>UNIQUE</v>
      </c>
      <c r="U3228" t="str">
        <f>IF(ISBLANK(Table1[[#This Row],[SizeOption]]),"NOT AVAILABLE",Table1[[#This Row],[SizeOption]])</f>
        <v>26, 28, 30, 32, 34</v>
      </c>
      <c r="Y3228" t="str">
        <f>IF(Table2[[#This Row],[Column1]]&gt;50%,"HIGH DISCOUNT","LOW DISCOUNT")</f>
        <v>HIGH DISCOUNT</v>
      </c>
    </row>
    <row r="3229" spans="1:25" x14ac:dyDescent="0.25">
      <c r="A3229" s="2" t="s">
        <v>6708</v>
      </c>
      <c r="B3229" s="2">
        <v>13381400</v>
      </c>
      <c r="C3229" s="2" t="s">
        <v>1003</v>
      </c>
      <c r="D3229" s="2" t="s">
        <v>41</v>
      </c>
      <c r="E3229" s="2" t="s">
        <v>42</v>
      </c>
      <c r="F3229" s="2" t="s">
        <v>36</v>
      </c>
      <c r="G3229" s="2" t="s">
        <v>6709</v>
      </c>
      <c r="I3229" s="2">
        <v>449</v>
      </c>
      <c r="J3229" s="2" t="s">
        <v>6710</v>
      </c>
      <c r="K3229" s="2" t="s">
        <v>100</v>
      </c>
      <c r="L3229" s="2">
        <v>4.3</v>
      </c>
      <c r="M3229" s="2">
        <v>585</v>
      </c>
      <c r="P3229" t="str">
        <f t="shared" si="203"/>
        <v>15</v>
      </c>
      <c r="Q3229" s="12">
        <f t="shared" si="200"/>
        <v>3.34075723830735E-2</v>
      </c>
      <c r="R3229" s="9">
        <f t="shared" si="201"/>
        <v>434</v>
      </c>
      <c r="S3229" s="9">
        <f>IF(R3229="",AVERAGEIF(Table1[Category],Table1[[#This Row],[Category]],Table2[orignal data]),Table2[[#This Row],[orignal data]])</f>
        <v>434</v>
      </c>
      <c r="T3229" t="str">
        <f t="shared" si="202"/>
        <v>UNIQUE</v>
      </c>
      <c r="U3229" t="str">
        <f>IF(ISBLANK(Table1[[#This Row],[SizeOption]]),"NOT AVAILABLE",Table1[[#This Row],[SizeOption]])</f>
        <v>XS, S, M, L, XL, XXL, 3XL</v>
      </c>
      <c r="Y3229" t="str">
        <f>IF(Table2[[#This Row],[Column1]]&gt;50%,"HIGH DISCOUNT","LOW DISCOUNT")</f>
        <v>LOW DISCOUNT</v>
      </c>
    </row>
    <row r="3230" spans="1:25" x14ac:dyDescent="0.25">
      <c r="A3230" s="1" t="s">
        <v>6711</v>
      </c>
      <c r="B3230" s="1">
        <v>11700120</v>
      </c>
      <c r="C3230" s="1" t="s">
        <v>47</v>
      </c>
      <c r="D3230" s="1" t="s">
        <v>41</v>
      </c>
      <c r="E3230" s="1" t="s">
        <v>42</v>
      </c>
      <c r="F3230" s="1" t="s">
        <v>36</v>
      </c>
      <c r="G3230" s="1" t="s">
        <v>6712</v>
      </c>
      <c r="I3230" s="1">
        <v>699</v>
      </c>
      <c r="J3230" s="1" t="s">
        <v>84</v>
      </c>
      <c r="K3230" s="1" t="s">
        <v>45</v>
      </c>
      <c r="L3230" s="1">
        <v>4.0999999999999996</v>
      </c>
      <c r="M3230" s="1">
        <v>585</v>
      </c>
      <c r="P3230" t="str">
        <f t="shared" si="203"/>
        <v>50%</v>
      </c>
      <c r="Q3230" s="12">
        <f t="shared" si="200"/>
        <v>0.5</v>
      </c>
      <c r="R3230" s="9">
        <f t="shared" si="201"/>
        <v>349.5</v>
      </c>
      <c r="S3230" s="9">
        <f>IF(R3230="",AVERAGEIF(Table1[Category],Table1[[#This Row],[Category]],Table2[orignal data]),Table2[[#This Row],[orignal data]])</f>
        <v>349.5</v>
      </c>
      <c r="T3230" t="str">
        <f t="shared" si="202"/>
        <v>UNIQUE</v>
      </c>
      <c r="U3230" t="str">
        <f>IF(ISBLANK(Table1[[#This Row],[SizeOption]]),"NOT AVAILABLE",Table1[[#This Row],[SizeOption]])</f>
        <v>XS, S, M, L, XL</v>
      </c>
      <c r="Y3230" t="str">
        <f>IF(Table2[[#This Row],[Column1]]&gt;50%,"HIGH DISCOUNT","LOW DISCOUNT")</f>
        <v>LOW DISCOUNT</v>
      </c>
    </row>
    <row r="3231" spans="1:25" x14ac:dyDescent="0.25">
      <c r="A3231" s="2" t="s">
        <v>6713</v>
      </c>
      <c r="B3231" s="2">
        <v>6863014</v>
      </c>
      <c r="C3231" s="2" t="s">
        <v>47</v>
      </c>
      <c r="D3231" s="2" t="s">
        <v>15</v>
      </c>
      <c r="E3231" s="2" t="s">
        <v>23</v>
      </c>
      <c r="F3231" s="2" t="s">
        <v>17</v>
      </c>
      <c r="G3231" s="2" t="s">
        <v>6714</v>
      </c>
      <c r="H3231">
        <v>679</v>
      </c>
      <c r="I3231" s="2">
        <v>1699</v>
      </c>
      <c r="J3231" s="2" t="s">
        <v>55</v>
      </c>
      <c r="K3231" s="2" t="s">
        <v>115</v>
      </c>
      <c r="L3231" s="2">
        <v>4</v>
      </c>
      <c r="M3231" s="2">
        <v>584</v>
      </c>
      <c r="P3231" t="str">
        <f t="shared" si="203"/>
        <v>60%</v>
      </c>
      <c r="Q3231" s="12">
        <f t="shared" si="200"/>
        <v>0.6</v>
      </c>
      <c r="R3231" s="9">
        <f t="shared" si="201"/>
        <v>679.6</v>
      </c>
      <c r="S3231" s="9">
        <f>IF(R3231="",AVERAGEIF(Table1[Category],Table1[[#This Row],[Category]],Table2[orignal data]),Table2[[#This Row],[orignal data]])</f>
        <v>679.6</v>
      </c>
      <c r="T3231" t="str">
        <f t="shared" si="202"/>
        <v>UNIQUE</v>
      </c>
      <c r="U3231" t="str">
        <f>IF(ISBLANK(Table1[[#This Row],[SizeOption]]),"NOT AVAILABLE",Table1[[#This Row],[SizeOption]])</f>
        <v>XS, S, M, L, XL, XXL</v>
      </c>
      <c r="Y3231" t="str">
        <f>IF(Table2[[#This Row],[Column1]]&gt;50%,"HIGH DISCOUNT","LOW DISCOUNT")</f>
        <v>HIGH DISCOUNT</v>
      </c>
    </row>
    <row r="3232" spans="1:25" x14ac:dyDescent="0.25">
      <c r="A3232" s="1" t="s">
        <v>6715</v>
      </c>
      <c r="B3232" s="1">
        <v>13662276</v>
      </c>
      <c r="C3232" s="1" t="s">
        <v>52</v>
      </c>
      <c r="D3232" s="1" t="s">
        <v>15</v>
      </c>
      <c r="E3232" s="1" t="s">
        <v>16</v>
      </c>
      <c r="F3232" s="1" t="s">
        <v>17</v>
      </c>
      <c r="G3232" s="1" t="s">
        <v>6716</v>
      </c>
      <c r="H3232">
        <v>753</v>
      </c>
      <c r="I3232" s="1">
        <v>1449</v>
      </c>
      <c r="J3232" s="1" t="s">
        <v>602</v>
      </c>
      <c r="K3232" s="1" t="s">
        <v>816</v>
      </c>
      <c r="L3232" s="1">
        <v>3.8</v>
      </c>
      <c r="M3232" s="1">
        <v>584</v>
      </c>
      <c r="P3232" t="str">
        <f t="shared" si="203"/>
        <v>48%</v>
      </c>
      <c r="Q3232" s="12">
        <f t="shared" si="200"/>
        <v>0.48</v>
      </c>
      <c r="R3232" s="9">
        <f t="shared" si="201"/>
        <v>753.48</v>
      </c>
      <c r="S3232" s="9">
        <f>IF(R3232="",AVERAGEIF(Table1[Category],Table1[[#This Row],[Category]],Table2[orignal data]),Table2[[#This Row],[orignal data]])</f>
        <v>753.48</v>
      </c>
      <c r="T3232" t="str">
        <f t="shared" si="202"/>
        <v>UNIQUE</v>
      </c>
      <c r="U3232" t="str">
        <f>IF(ISBLANK(Table1[[#This Row],[SizeOption]]),"NOT AVAILABLE",Table1[[#This Row],[SizeOption]])</f>
        <v>30, 32, 34, 36, 38</v>
      </c>
      <c r="Y3232" t="str">
        <f>IF(Table2[[#This Row],[Column1]]&gt;50%,"HIGH DISCOUNT","LOW DISCOUNT")</f>
        <v>LOW DISCOUNT</v>
      </c>
    </row>
    <row r="3233" spans="1:25" x14ac:dyDescent="0.25">
      <c r="A3233" s="2" t="s">
        <v>6717</v>
      </c>
      <c r="B3233" s="2">
        <v>2338763</v>
      </c>
      <c r="C3233" s="2" t="s">
        <v>169</v>
      </c>
      <c r="D3233" s="2" t="s">
        <v>28</v>
      </c>
      <c r="E3233" s="2" t="s">
        <v>29</v>
      </c>
      <c r="F3233" s="2" t="s">
        <v>17</v>
      </c>
      <c r="G3233" s="2" t="s">
        <v>5035</v>
      </c>
      <c r="H3233">
        <v>1249</v>
      </c>
      <c r="I3233" s="2">
        <v>2499</v>
      </c>
      <c r="J3233" s="2" t="s">
        <v>84</v>
      </c>
      <c r="K3233" s="2" t="s">
        <v>484</v>
      </c>
      <c r="L3233" s="2">
        <v>4.4000000000000004</v>
      </c>
      <c r="M3233" s="2">
        <v>584</v>
      </c>
      <c r="P3233" t="str">
        <f t="shared" si="203"/>
        <v>50%</v>
      </c>
      <c r="Q3233" s="12">
        <f t="shared" si="200"/>
        <v>0.5</v>
      </c>
      <c r="R3233" s="9">
        <f t="shared" si="201"/>
        <v>1249.5</v>
      </c>
      <c r="S3233" s="9">
        <f>IF(R3233="",AVERAGEIF(Table1[Category],Table1[[#This Row],[Category]],Table2[orignal data]),Table2[[#This Row],[orignal data]])</f>
        <v>1249.5</v>
      </c>
      <c r="T3233" t="str">
        <f t="shared" si="202"/>
        <v>UNIQUE</v>
      </c>
      <c r="U3233" t="str">
        <f>IF(ISBLANK(Table1[[#This Row],[SizeOption]]),"NOT AVAILABLE",Table1[[#This Row],[SizeOption]])</f>
        <v>39, 40, 42, 44, 46</v>
      </c>
      <c r="Y3233" t="str">
        <f>IF(Table2[[#This Row],[Column1]]&gt;50%,"HIGH DISCOUNT","LOW DISCOUNT")</f>
        <v>LOW DISCOUNT</v>
      </c>
    </row>
    <row r="3234" spans="1:25" x14ac:dyDescent="0.25">
      <c r="A3234" s="1" t="s">
        <v>6718</v>
      </c>
      <c r="B3234" s="1">
        <v>11966618</v>
      </c>
      <c r="C3234" s="1" t="s">
        <v>4422</v>
      </c>
      <c r="D3234" s="1" t="s">
        <v>34</v>
      </c>
      <c r="E3234" s="1" t="s">
        <v>406</v>
      </c>
      <c r="F3234" s="1" t="s">
        <v>36</v>
      </c>
      <c r="G3234" s="1" t="s">
        <v>6719</v>
      </c>
      <c r="H3234">
        <v>854</v>
      </c>
      <c r="I3234" s="1">
        <v>1499</v>
      </c>
      <c r="J3234" s="1" t="s">
        <v>4424</v>
      </c>
      <c r="K3234" s="1" t="s">
        <v>39</v>
      </c>
      <c r="L3234" s="1">
        <v>4.3</v>
      </c>
      <c r="M3234" s="1">
        <v>584</v>
      </c>
      <c r="P3234" t="str">
        <f t="shared" si="203"/>
        <v>43 %</v>
      </c>
      <c r="Q3234" s="12">
        <f t="shared" si="200"/>
        <v>0.43</v>
      </c>
      <c r="R3234" s="9">
        <f t="shared" si="201"/>
        <v>854.43000000000006</v>
      </c>
      <c r="S3234" s="9">
        <f>IF(R3234="",AVERAGEIF(Table1[Category],Table1[[#This Row],[Category]],Table2[orignal data]),Table2[[#This Row],[orignal data]])</f>
        <v>854.43000000000006</v>
      </c>
      <c r="T3234" t="str">
        <f t="shared" si="202"/>
        <v>UNIQUE</v>
      </c>
      <c r="U3234" t="str">
        <f>IF(ISBLANK(Table1[[#This Row],[SizeOption]]),"NOT AVAILABLE",Table1[[#This Row],[SizeOption]])</f>
        <v>S, M, L, XL, XXL</v>
      </c>
      <c r="Y3234" t="str">
        <f>IF(Table2[[#This Row],[Column1]]&gt;50%,"HIGH DISCOUNT","LOW DISCOUNT")</f>
        <v>LOW DISCOUNT</v>
      </c>
    </row>
    <row r="3235" spans="1:25" x14ac:dyDescent="0.25">
      <c r="A3235" s="2" t="s">
        <v>6720</v>
      </c>
      <c r="B3235" s="2">
        <v>13310070</v>
      </c>
      <c r="C3235" s="2" t="s">
        <v>620</v>
      </c>
      <c r="D3235" s="2" t="s">
        <v>34</v>
      </c>
      <c r="E3235" s="2" t="s">
        <v>406</v>
      </c>
      <c r="F3235" s="2" t="s">
        <v>36</v>
      </c>
      <c r="G3235" s="2" t="s">
        <v>6721</v>
      </c>
      <c r="H3235">
        <v>639</v>
      </c>
      <c r="I3235" s="2">
        <v>1599</v>
      </c>
      <c r="J3235" s="2" t="s">
        <v>55</v>
      </c>
      <c r="K3235" s="2" t="s">
        <v>26</v>
      </c>
      <c r="L3235" s="2">
        <v>4.3</v>
      </c>
      <c r="M3235" s="2">
        <v>584</v>
      </c>
      <c r="P3235" t="str">
        <f t="shared" si="203"/>
        <v>60%</v>
      </c>
      <c r="Q3235" s="12">
        <f t="shared" si="200"/>
        <v>0.6</v>
      </c>
      <c r="R3235" s="9">
        <f t="shared" si="201"/>
        <v>639.6</v>
      </c>
      <c r="S3235" s="9">
        <f>IF(R3235="",AVERAGEIF(Table1[Category],Table1[[#This Row],[Category]],Table2[orignal data]),Table2[[#This Row],[orignal data]])</f>
        <v>639.6</v>
      </c>
      <c r="T3235" t="str">
        <f t="shared" si="202"/>
        <v>UNIQUE</v>
      </c>
      <c r="U3235" t="str">
        <f>IF(ISBLANK(Table1[[#This Row],[SizeOption]]),"NOT AVAILABLE",Table1[[#This Row],[SizeOption]])</f>
        <v>S, M, L, XL</v>
      </c>
      <c r="Y3235" t="str">
        <f>IF(Table2[[#This Row],[Column1]]&gt;50%,"HIGH DISCOUNT","LOW DISCOUNT")</f>
        <v>HIGH DISCOUNT</v>
      </c>
    </row>
    <row r="3236" spans="1:25" x14ac:dyDescent="0.25">
      <c r="A3236" s="1" t="s">
        <v>6722</v>
      </c>
      <c r="B3236" s="1">
        <v>13330146</v>
      </c>
      <c r="C3236" s="1" t="s">
        <v>6723</v>
      </c>
      <c r="D3236" s="1" t="s">
        <v>34</v>
      </c>
      <c r="E3236" s="1" t="s">
        <v>296</v>
      </c>
      <c r="F3236" s="1" t="s">
        <v>36</v>
      </c>
      <c r="G3236" s="1" t="s">
        <v>6724</v>
      </c>
      <c r="H3236">
        <v>359</v>
      </c>
      <c r="I3236" s="1">
        <v>399</v>
      </c>
      <c r="J3236" s="1" t="s">
        <v>1005</v>
      </c>
      <c r="K3236" s="1" t="s">
        <v>39</v>
      </c>
      <c r="L3236" s="1">
        <v>4.3</v>
      </c>
      <c r="M3236" s="1">
        <v>584</v>
      </c>
      <c r="P3236" t="str">
        <f t="shared" si="203"/>
        <v>10%</v>
      </c>
      <c r="Q3236" s="12">
        <f t="shared" si="200"/>
        <v>0.1</v>
      </c>
      <c r="R3236" s="9">
        <f t="shared" si="201"/>
        <v>359.1</v>
      </c>
      <c r="S3236" s="9">
        <f>IF(R3236="",AVERAGEIF(Table1[Category],Table1[[#This Row],[Category]],Table2[orignal data]),Table2[[#This Row],[orignal data]])</f>
        <v>359.1</v>
      </c>
      <c r="T3236" t="str">
        <f t="shared" si="202"/>
        <v>UNIQUE</v>
      </c>
      <c r="U3236" t="str">
        <f>IF(ISBLANK(Table1[[#This Row],[SizeOption]]),"NOT AVAILABLE",Table1[[#This Row],[SizeOption]])</f>
        <v>S, M, L, XL, XXL</v>
      </c>
      <c r="Y3236" t="str">
        <f>IF(Table2[[#This Row],[Column1]]&gt;50%,"HIGH DISCOUNT","LOW DISCOUNT")</f>
        <v>LOW DISCOUNT</v>
      </c>
    </row>
    <row r="3237" spans="1:25" x14ac:dyDescent="0.25">
      <c r="A3237" s="2" t="s">
        <v>6725</v>
      </c>
      <c r="B3237" s="2">
        <v>1908861</v>
      </c>
      <c r="C3237" s="2" t="s">
        <v>762</v>
      </c>
      <c r="D3237" s="2" t="s">
        <v>34</v>
      </c>
      <c r="E3237" s="2" t="s">
        <v>118</v>
      </c>
      <c r="F3237" s="2" t="s">
        <v>36</v>
      </c>
      <c r="G3237" s="2" t="s">
        <v>6726</v>
      </c>
      <c r="H3237">
        <v>853</v>
      </c>
      <c r="I3237" s="2">
        <v>898</v>
      </c>
      <c r="J3237" s="2" t="s">
        <v>764</v>
      </c>
      <c r="K3237" s="2" t="s">
        <v>765</v>
      </c>
      <c r="L3237" s="2">
        <v>4.2</v>
      </c>
      <c r="M3237" s="2">
        <v>584</v>
      </c>
      <c r="P3237" t="str">
        <f t="shared" si="203"/>
        <v>5%</v>
      </c>
      <c r="Q3237" s="12">
        <f t="shared" si="200"/>
        <v>0.05</v>
      </c>
      <c r="R3237" s="9">
        <f t="shared" si="201"/>
        <v>853.1</v>
      </c>
      <c r="S3237" s="9">
        <f>IF(R3237="",AVERAGEIF(Table1[Category],Table1[[#This Row],[Category]],Table2[orignal data]),Table2[[#This Row],[orignal data]])</f>
        <v>853.1</v>
      </c>
      <c r="T3237" t="str">
        <f t="shared" si="202"/>
        <v>UNIQUE</v>
      </c>
      <c r="U3237" t="str">
        <f>IF(ISBLANK(Table1[[#This Row],[SizeOption]]),"NOT AVAILABLE",Table1[[#This Row],[SizeOption]])</f>
        <v>30B, 32B, 34B, 36B, 38B, 40B</v>
      </c>
      <c r="Y3237" t="str">
        <f>IF(Table2[[#This Row],[Column1]]&gt;50%,"HIGH DISCOUNT","LOW DISCOUNT")</f>
        <v>LOW DISCOUNT</v>
      </c>
    </row>
    <row r="3238" spans="1:25" x14ac:dyDescent="0.25">
      <c r="A3238" s="1" t="s">
        <v>6727</v>
      </c>
      <c r="B3238" s="1">
        <v>2489398</v>
      </c>
      <c r="C3238" s="1" t="s">
        <v>64</v>
      </c>
      <c r="D3238" s="1" t="s">
        <v>98</v>
      </c>
      <c r="E3238" s="1" t="s">
        <v>533</v>
      </c>
      <c r="F3238" s="1" t="s">
        <v>36</v>
      </c>
      <c r="G3238" s="1" t="s">
        <v>6728</v>
      </c>
      <c r="H3238">
        <v>479</v>
      </c>
      <c r="I3238" s="1">
        <v>1599</v>
      </c>
      <c r="J3238" s="1" t="s">
        <v>1566</v>
      </c>
      <c r="K3238" s="1" t="s">
        <v>2290</v>
      </c>
      <c r="L3238" s="1">
        <v>4.2</v>
      </c>
      <c r="M3238" s="1">
        <v>584</v>
      </c>
      <c r="P3238" t="str">
        <f t="shared" si="203"/>
        <v>70%</v>
      </c>
      <c r="Q3238" s="12">
        <f t="shared" si="200"/>
        <v>0.7</v>
      </c>
      <c r="R3238" s="9">
        <f t="shared" si="201"/>
        <v>479.70000000000005</v>
      </c>
      <c r="S3238" s="9">
        <f>IF(R3238="",AVERAGEIF(Table1[Category],Table1[[#This Row],[Category]],Table2[orignal data]),Table2[[#This Row],[orignal data]])</f>
        <v>479.70000000000005</v>
      </c>
      <c r="T3238" t="str">
        <f t="shared" si="202"/>
        <v>UNIQUE</v>
      </c>
      <c r="U3238" t="str">
        <f>IF(ISBLANK(Table1[[#This Row],[SizeOption]]),"NOT AVAILABLE",Table1[[#This Row],[SizeOption]])</f>
        <v>26, 28, 30, 32, 34, 36, 38</v>
      </c>
      <c r="Y3238" t="str">
        <f>IF(Table2[[#This Row],[Column1]]&gt;50%,"HIGH DISCOUNT","LOW DISCOUNT")</f>
        <v>HIGH DISCOUNT</v>
      </c>
    </row>
    <row r="3239" spans="1:25" x14ac:dyDescent="0.25">
      <c r="A3239" s="2" t="s">
        <v>6729</v>
      </c>
      <c r="B3239" s="2">
        <v>12051498</v>
      </c>
      <c r="C3239" s="2" t="s">
        <v>64</v>
      </c>
      <c r="D3239" s="2" t="s">
        <v>98</v>
      </c>
      <c r="E3239" s="2" t="s">
        <v>48</v>
      </c>
      <c r="F3239" s="2" t="s">
        <v>36</v>
      </c>
      <c r="G3239" s="2" t="s">
        <v>6730</v>
      </c>
      <c r="H3239">
        <v>479</v>
      </c>
      <c r="I3239" s="2">
        <v>1599</v>
      </c>
      <c r="J3239" s="2" t="s">
        <v>79</v>
      </c>
      <c r="K3239" s="2" t="s">
        <v>115</v>
      </c>
      <c r="L3239" s="2">
        <v>3.7</v>
      </c>
      <c r="M3239" s="2">
        <v>584</v>
      </c>
      <c r="P3239" t="str">
        <f t="shared" si="203"/>
        <v>70%</v>
      </c>
      <c r="Q3239" s="12">
        <f t="shared" si="200"/>
        <v>0.7</v>
      </c>
      <c r="R3239" s="9">
        <f t="shared" si="201"/>
        <v>479.70000000000005</v>
      </c>
      <c r="S3239" s="9">
        <f>IF(R3239="",AVERAGEIF(Table1[Category],Table1[[#This Row],[Category]],Table2[orignal data]),Table2[[#This Row],[orignal data]])</f>
        <v>479.70000000000005</v>
      </c>
      <c r="T3239" t="str">
        <f t="shared" si="202"/>
        <v>UNIQUE</v>
      </c>
      <c r="U3239" t="str">
        <f>IF(ISBLANK(Table1[[#This Row],[SizeOption]]),"NOT AVAILABLE",Table1[[#This Row],[SizeOption]])</f>
        <v>XS, S, M, L, XL, XXL</v>
      </c>
      <c r="Y3239" t="str">
        <f>IF(Table2[[#This Row],[Column1]]&gt;50%,"HIGH DISCOUNT","LOW DISCOUNT")</f>
        <v>HIGH DISCOUNT</v>
      </c>
    </row>
    <row r="3240" spans="1:25" x14ac:dyDescent="0.25">
      <c r="A3240" s="1" t="s">
        <v>6731</v>
      </c>
      <c r="B3240" s="1">
        <v>11440404</v>
      </c>
      <c r="C3240" s="1" t="s">
        <v>64</v>
      </c>
      <c r="D3240" s="1" t="s">
        <v>98</v>
      </c>
      <c r="E3240" s="1" t="s">
        <v>16</v>
      </c>
      <c r="F3240" s="1" t="s">
        <v>36</v>
      </c>
      <c r="G3240" s="1" t="s">
        <v>6732</v>
      </c>
      <c r="H3240">
        <v>1169</v>
      </c>
      <c r="I3240" s="1">
        <v>2599</v>
      </c>
      <c r="J3240" s="1" t="s">
        <v>25</v>
      </c>
      <c r="K3240" s="1" t="s">
        <v>643</v>
      </c>
      <c r="L3240" s="1">
        <v>4</v>
      </c>
      <c r="M3240" s="1">
        <v>584</v>
      </c>
      <c r="P3240" t="str">
        <f t="shared" si="203"/>
        <v>55%</v>
      </c>
      <c r="Q3240" s="12">
        <f t="shared" si="200"/>
        <v>0.55000000000000004</v>
      </c>
      <c r="R3240" s="9">
        <f t="shared" si="201"/>
        <v>1169.55</v>
      </c>
      <c r="S3240" s="9">
        <f>IF(R3240="",AVERAGEIF(Table1[Category],Table1[[#This Row],[Category]],Table2[orignal data]),Table2[[#This Row],[orignal data]])</f>
        <v>1169.55</v>
      </c>
      <c r="T3240" t="str">
        <f t="shared" si="202"/>
        <v>UNIQUE</v>
      </c>
      <c r="U3240" t="str">
        <f>IF(ISBLANK(Table1[[#This Row],[SizeOption]]),"NOT AVAILABLE",Table1[[#This Row],[SizeOption]])</f>
        <v>26, 28, 30, 32, 34, 36, 38, 40</v>
      </c>
      <c r="Y3240" t="str">
        <f>IF(Table2[[#This Row],[Column1]]&gt;50%,"HIGH DISCOUNT","LOW DISCOUNT")</f>
        <v>HIGH DISCOUNT</v>
      </c>
    </row>
    <row r="3241" spans="1:25" x14ac:dyDescent="0.25">
      <c r="A3241" s="2" t="s">
        <v>6733</v>
      </c>
      <c r="B3241" s="2">
        <v>10561032</v>
      </c>
      <c r="C3241" s="2" t="s">
        <v>97</v>
      </c>
      <c r="D3241" s="2" t="s">
        <v>98</v>
      </c>
      <c r="E3241" s="2" t="s">
        <v>77</v>
      </c>
      <c r="F3241" s="2" t="s">
        <v>36</v>
      </c>
      <c r="G3241" s="2" t="s">
        <v>6734</v>
      </c>
      <c r="H3241">
        <v>1959</v>
      </c>
      <c r="I3241" s="2">
        <v>4899</v>
      </c>
      <c r="J3241" s="2" t="s">
        <v>141</v>
      </c>
      <c r="K3241" s="2" t="s">
        <v>100</v>
      </c>
      <c r="L3241" s="2">
        <v>4.3</v>
      </c>
      <c r="M3241" s="2">
        <v>584</v>
      </c>
      <c r="P3241" t="str">
        <f t="shared" si="203"/>
        <v>60%</v>
      </c>
      <c r="Q3241" s="12">
        <f t="shared" si="200"/>
        <v>0.6</v>
      </c>
      <c r="R3241" s="9">
        <f t="shared" si="201"/>
        <v>1959.6</v>
      </c>
      <c r="S3241" s="9">
        <f>IF(R3241="",AVERAGEIF(Table1[Category],Table1[[#This Row],[Category]],Table2[orignal data]),Table2[[#This Row],[orignal data]])</f>
        <v>1959.6</v>
      </c>
      <c r="T3241" t="str">
        <f t="shared" si="202"/>
        <v>UNIQUE</v>
      </c>
      <c r="U3241" t="str">
        <f>IF(ISBLANK(Table1[[#This Row],[SizeOption]]),"NOT AVAILABLE",Table1[[#This Row],[SizeOption]])</f>
        <v>XS, S, M, L, XL, XXL, 3XL</v>
      </c>
      <c r="Y3241" t="str">
        <f>IF(Table2[[#This Row],[Column1]]&gt;50%,"HIGH DISCOUNT","LOW DISCOUNT")</f>
        <v>HIGH DISCOUNT</v>
      </c>
    </row>
    <row r="3242" spans="1:25" x14ac:dyDescent="0.25">
      <c r="A3242" s="1" t="s">
        <v>6735</v>
      </c>
      <c r="B3242" s="1">
        <v>17381488</v>
      </c>
      <c r="C3242" s="1" t="s">
        <v>14</v>
      </c>
      <c r="D3242" s="1" t="s">
        <v>41</v>
      </c>
      <c r="E3242" s="1" t="s">
        <v>42</v>
      </c>
      <c r="F3242" s="1" t="s">
        <v>36</v>
      </c>
      <c r="G3242" s="1" t="s">
        <v>696</v>
      </c>
      <c r="I3242" s="1">
        <v>1098</v>
      </c>
      <c r="J3242" s="1"/>
      <c r="K3242" s="1" t="s">
        <v>45</v>
      </c>
      <c r="L3242" s="1">
        <v>4.3</v>
      </c>
      <c r="M3242" s="1">
        <v>584</v>
      </c>
      <c r="P3242" t="str">
        <f t="shared" si="203"/>
        <v/>
      </c>
      <c r="Q3242" s="12" t="str">
        <f t="shared" si="200"/>
        <v/>
      </c>
      <c r="R3242" s="9" t="str">
        <f t="shared" si="201"/>
        <v/>
      </c>
      <c r="S3242" s="9">
        <f>IF(R3242="",AVERAGEIF(Table1[Category],Table1[[#This Row],[Category]],Table2[orignal data]),Table2[[#This Row],[orignal data]])</f>
        <v>715.78890751086249</v>
      </c>
      <c r="T3242" t="str">
        <f t="shared" si="202"/>
        <v>UNIQUE</v>
      </c>
      <c r="U3242" t="str">
        <f>IF(ISBLANK(Table1[[#This Row],[SizeOption]]),"NOT AVAILABLE",Table1[[#This Row],[SizeOption]])</f>
        <v>XS, S, M, L, XL</v>
      </c>
      <c r="Y3242" t="str">
        <f>IF(Table2[[#This Row],[Column1]]&gt;50%,"HIGH DISCOUNT","LOW DISCOUNT")</f>
        <v>HIGH DISCOUNT</v>
      </c>
    </row>
    <row r="3243" spans="1:25" x14ac:dyDescent="0.25">
      <c r="A3243" s="2" t="s">
        <v>6736</v>
      </c>
      <c r="B3243" s="2">
        <v>9445523</v>
      </c>
      <c r="C3243" s="2" t="s">
        <v>67</v>
      </c>
      <c r="D3243" s="2" t="s">
        <v>68</v>
      </c>
      <c r="E3243" s="2" t="s">
        <v>189</v>
      </c>
      <c r="F3243" s="2" t="s">
        <v>17</v>
      </c>
      <c r="G3243" s="2" t="s">
        <v>6737</v>
      </c>
      <c r="H3243">
        <v>1399</v>
      </c>
      <c r="I3243" s="2">
        <v>2799</v>
      </c>
      <c r="J3243" s="2" t="s">
        <v>84</v>
      </c>
      <c r="K3243" s="2" t="s">
        <v>39</v>
      </c>
      <c r="L3243" s="2">
        <v>4.0999999999999996</v>
      </c>
      <c r="M3243" s="2">
        <v>583</v>
      </c>
      <c r="P3243" t="str">
        <f t="shared" si="203"/>
        <v>50%</v>
      </c>
      <c r="Q3243" s="12">
        <f t="shared" si="200"/>
        <v>0.5</v>
      </c>
      <c r="R3243" s="9">
        <f t="shared" si="201"/>
        <v>1399.5</v>
      </c>
      <c r="S3243" s="9">
        <f>IF(R3243="",AVERAGEIF(Table1[Category],Table1[[#This Row],[Category]],Table2[orignal data]),Table2[[#This Row],[orignal data]])</f>
        <v>1399.5</v>
      </c>
      <c r="T3243" t="str">
        <f t="shared" si="202"/>
        <v>UNIQUE</v>
      </c>
      <c r="U3243" t="str">
        <f>IF(ISBLANK(Table1[[#This Row],[SizeOption]]),"NOT AVAILABLE",Table1[[#This Row],[SizeOption]])</f>
        <v>S, M, L, XL, XXL</v>
      </c>
      <c r="Y3243" t="str">
        <f>IF(Table2[[#This Row],[Column1]]&gt;50%,"HIGH DISCOUNT","LOW DISCOUNT")</f>
        <v>LOW DISCOUNT</v>
      </c>
    </row>
    <row r="3244" spans="1:25" x14ac:dyDescent="0.25">
      <c r="A3244" s="1" t="s">
        <v>6738</v>
      </c>
      <c r="B3244" s="1">
        <v>11999582</v>
      </c>
      <c r="C3244" s="1" t="s">
        <v>67</v>
      </c>
      <c r="D3244" s="1" t="s">
        <v>68</v>
      </c>
      <c r="E3244" s="1" t="s">
        <v>42</v>
      </c>
      <c r="F3244" s="1" t="s">
        <v>17</v>
      </c>
      <c r="G3244" s="1" t="s">
        <v>6739</v>
      </c>
      <c r="H3244">
        <v>279</v>
      </c>
      <c r="I3244" s="1">
        <v>699</v>
      </c>
      <c r="J3244" s="1" t="s">
        <v>55</v>
      </c>
      <c r="K3244" s="1" t="s">
        <v>39</v>
      </c>
      <c r="L3244" s="1">
        <v>4</v>
      </c>
      <c r="M3244" s="1">
        <v>583</v>
      </c>
      <c r="P3244" t="str">
        <f t="shared" si="203"/>
        <v>60%</v>
      </c>
      <c r="Q3244" s="12">
        <f t="shared" si="200"/>
        <v>0.6</v>
      </c>
      <c r="R3244" s="9">
        <f t="shared" si="201"/>
        <v>279.60000000000002</v>
      </c>
      <c r="S3244" s="9">
        <f>IF(R3244="",AVERAGEIF(Table1[Category],Table1[[#This Row],[Category]],Table2[orignal data]),Table2[[#This Row],[orignal data]])</f>
        <v>279.60000000000002</v>
      </c>
      <c r="T3244" t="str">
        <f t="shared" si="202"/>
        <v>UNIQUE</v>
      </c>
      <c r="U3244" t="str">
        <f>IF(ISBLANK(Table1[[#This Row],[SizeOption]]),"NOT AVAILABLE",Table1[[#This Row],[SizeOption]])</f>
        <v>S, M, L, XL, XXL</v>
      </c>
      <c r="Y3244" t="str">
        <f>IF(Table2[[#This Row],[Column1]]&gt;50%,"HIGH DISCOUNT","LOW DISCOUNT")</f>
        <v>HIGH DISCOUNT</v>
      </c>
    </row>
    <row r="3245" spans="1:25" x14ac:dyDescent="0.25">
      <c r="A3245" s="2" t="s">
        <v>6740</v>
      </c>
      <c r="B3245" s="2">
        <v>8923741</v>
      </c>
      <c r="C3245" s="2" t="s">
        <v>6741</v>
      </c>
      <c r="D3245" s="2" t="s">
        <v>28</v>
      </c>
      <c r="E3245" s="2" t="s">
        <v>42</v>
      </c>
      <c r="F3245" s="2" t="s">
        <v>17</v>
      </c>
      <c r="G3245" s="2" t="s">
        <v>6742</v>
      </c>
      <c r="H3245">
        <v>439</v>
      </c>
      <c r="I3245" s="2">
        <v>1099</v>
      </c>
      <c r="J3245" s="2" t="s">
        <v>55</v>
      </c>
      <c r="K3245" s="2" t="s">
        <v>39</v>
      </c>
      <c r="L3245" s="2">
        <v>4</v>
      </c>
      <c r="M3245" s="2">
        <v>583</v>
      </c>
      <c r="P3245" t="str">
        <f t="shared" si="203"/>
        <v>60%</v>
      </c>
      <c r="Q3245" s="12">
        <f t="shared" si="200"/>
        <v>0.6</v>
      </c>
      <c r="R3245" s="9">
        <f t="shared" si="201"/>
        <v>439.6</v>
      </c>
      <c r="S3245" s="9">
        <f>IF(R3245="",AVERAGEIF(Table1[Category],Table1[[#This Row],[Category]],Table2[orignal data]),Table2[[#This Row],[orignal data]])</f>
        <v>439.6</v>
      </c>
      <c r="T3245" t="str">
        <f t="shared" si="202"/>
        <v>UNIQUE</v>
      </c>
      <c r="U3245" t="str">
        <f>IF(ISBLANK(Table1[[#This Row],[SizeOption]]),"NOT AVAILABLE",Table1[[#This Row],[SizeOption]])</f>
        <v>S, M, L, XL, XXL</v>
      </c>
      <c r="Y3245" t="str">
        <f>IF(Table2[[#This Row],[Column1]]&gt;50%,"HIGH DISCOUNT","LOW DISCOUNT")</f>
        <v>HIGH DISCOUNT</v>
      </c>
    </row>
    <row r="3246" spans="1:25" x14ac:dyDescent="0.25">
      <c r="A3246" s="1" t="s">
        <v>6743</v>
      </c>
      <c r="B3246" s="1">
        <v>5151884</v>
      </c>
      <c r="C3246" s="1" t="s">
        <v>14</v>
      </c>
      <c r="D3246" s="1" t="s">
        <v>28</v>
      </c>
      <c r="E3246" s="1" t="s">
        <v>1881</v>
      </c>
      <c r="F3246" s="1" t="s">
        <v>17</v>
      </c>
      <c r="G3246" s="1" t="s">
        <v>6744</v>
      </c>
      <c r="H3246">
        <v>679</v>
      </c>
      <c r="I3246" s="1">
        <v>1699</v>
      </c>
      <c r="J3246" s="1" t="s">
        <v>55</v>
      </c>
      <c r="K3246" s="1" t="s">
        <v>26</v>
      </c>
      <c r="L3246" s="1">
        <v>4.3</v>
      </c>
      <c r="M3246" s="1">
        <v>583</v>
      </c>
      <c r="P3246" t="str">
        <f t="shared" si="203"/>
        <v>60%</v>
      </c>
      <c r="Q3246" s="12">
        <f t="shared" si="200"/>
        <v>0.6</v>
      </c>
      <c r="R3246" s="9">
        <f t="shared" si="201"/>
        <v>679.6</v>
      </c>
      <c r="S3246" s="9">
        <f>IF(R3246="",AVERAGEIF(Table1[Category],Table1[[#This Row],[Category]],Table2[orignal data]),Table2[[#This Row],[orignal data]])</f>
        <v>679.6</v>
      </c>
      <c r="T3246" t="str">
        <f t="shared" si="202"/>
        <v>UNIQUE</v>
      </c>
      <c r="U3246" t="str">
        <f>IF(ISBLANK(Table1[[#This Row],[SizeOption]]),"NOT AVAILABLE",Table1[[#This Row],[SizeOption]])</f>
        <v>S, M, L, XL</v>
      </c>
      <c r="Y3246" t="str">
        <f>IF(Table2[[#This Row],[Column1]]&gt;50%,"HIGH DISCOUNT","LOW DISCOUNT")</f>
        <v>HIGH DISCOUNT</v>
      </c>
    </row>
    <row r="3247" spans="1:25" x14ac:dyDescent="0.25">
      <c r="A3247" s="2" t="s">
        <v>6745</v>
      </c>
      <c r="B3247" s="2">
        <v>9733875</v>
      </c>
      <c r="C3247" s="2" t="s">
        <v>5205</v>
      </c>
      <c r="D3247" s="2" t="s">
        <v>28</v>
      </c>
      <c r="E3247" s="2" t="s">
        <v>29</v>
      </c>
      <c r="F3247" s="2" t="s">
        <v>17</v>
      </c>
      <c r="G3247" s="2" t="s">
        <v>6746</v>
      </c>
      <c r="H3247">
        <v>647</v>
      </c>
      <c r="I3247" s="2">
        <v>1799</v>
      </c>
      <c r="J3247" s="2" t="s">
        <v>416</v>
      </c>
      <c r="K3247" s="2" t="s">
        <v>31</v>
      </c>
      <c r="L3247" s="2">
        <v>4.2</v>
      </c>
      <c r="M3247" s="2">
        <v>583</v>
      </c>
      <c r="P3247" t="str">
        <f t="shared" si="203"/>
        <v>64%</v>
      </c>
      <c r="Q3247" s="12">
        <f t="shared" si="200"/>
        <v>0.64</v>
      </c>
      <c r="R3247" s="9">
        <f t="shared" si="201"/>
        <v>647.63999999999987</v>
      </c>
      <c r="S3247" s="9">
        <f>IF(R3247="",AVERAGEIF(Table1[Category],Table1[[#This Row],[Category]],Table2[orignal data]),Table2[[#This Row],[orignal data]])</f>
        <v>647.63999999999987</v>
      </c>
      <c r="T3247" t="str">
        <f t="shared" si="202"/>
        <v>UNIQUE</v>
      </c>
      <c r="U3247" t="str">
        <f>IF(ISBLANK(Table1[[#This Row],[SizeOption]]),"NOT AVAILABLE",Table1[[#This Row],[SizeOption]])</f>
        <v>38, 40, 42, 44, 46, 48</v>
      </c>
      <c r="Y3247" t="str">
        <f>IF(Table2[[#This Row],[Column1]]&gt;50%,"HIGH DISCOUNT","LOW DISCOUNT")</f>
        <v>HIGH DISCOUNT</v>
      </c>
    </row>
    <row r="3248" spans="1:25" x14ac:dyDescent="0.25">
      <c r="A3248" s="1" t="s">
        <v>6747</v>
      </c>
      <c r="B3248" s="1">
        <v>11414660</v>
      </c>
      <c r="C3248" s="1" t="s">
        <v>1127</v>
      </c>
      <c r="D3248" s="1" t="s">
        <v>76</v>
      </c>
      <c r="E3248" s="1" t="s">
        <v>77</v>
      </c>
      <c r="F3248" s="1" t="s">
        <v>36</v>
      </c>
      <c r="G3248" s="1" t="s">
        <v>6748</v>
      </c>
      <c r="H3248">
        <v>971</v>
      </c>
      <c r="I3248" s="1">
        <v>3599</v>
      </c>
      <c r="J3248" s="1" t="s">
        <v>735</v>
      </c>
      <c r="K3248" s="1" t="s">
        <v>26</v>
      </c>
      <c r="L3248" s="1">
        <v>3.7</v>
      </c>
      <c r="M3248" s="1">
        <v>583</v>
      </c>
      <c r="P3248" t="str">
        <f t="shared" si="203"/>
        <v>73%</v>
      </c>
      <c r="Q3248" s="12">
        <f t="shared" si="200"/>
        <v>0.73</v>
      </c>
      <c r="R3248" s="9">
        <f t="shared" si="201"/>
        <v>971.73</v>
      </c>
      <c r="S3248" s="9">
        <f>IF(R3248="",AVERAGEIF(Table1[Category],Table1[[#This Row],[Category]],Table2[orignal data]),Table2[[#This Row],[orignal data]])</f>
        <v>971.73</v>
      </c>
      <c r="T3248" t="str">
        <f t="shared" si="202"/>
        <v>UNIQUE</v>
      </c>
      <c r="U3248" t="str">
        <f>IF(ISBLANK(Table1[[#This Row],[SizeOption]]),"NOT AVAILABLE",Table1[[#This Row],[SizeOption]])</f>
        <v>S, M, L, XL</v>
      </c>
      <c r="Y3248" t="str">
        <f>IF(Table2[[#This Row],[Column1]]&gt;50%,"HIGH DISCOUNT","LOW DISCOUNT")</f>
        <v>HIGH DISCOUNT</v>
      </c>
    </row>
    <row r="3249" spans="1:25" x14ac:dyDescent="0.25">
      <c r="A3249" s="2" t="s">
        <v>6749</v>
      </c>
      <c r="B3249" s="2">
        <v>8349025</v>
      </c>
      <c r="C3249" s="2" t="s">
        <v>97</v>
      </c>
      <c r="D3249" s="2" t="s">
        <v>76</v>
      </c>
      <c r="E3249" s="2" t="s">
        <v>77</v>
      </c>
      <c r="F3249" s="2" t="s">
        <v>36</v>
      </c>
      <c r="G3249" s="2" t="s">
        <v>6750</v>
      </c>
      <c r="H3249">
        <v>1229</v>
      </c>
      <c r="I3249" s="2">
        <v>4099</v>
      </c>
      <c r="J3249" s="2" t="s">
        <v>79</v>
      </c>
      <c r="K3249" s="2" t="s">
        <v>100</v>
      </c>
      <c r="L3249" s="2">
        <v>3.9</v>
      </c>
      <c r="M3249" s="2">
        <v>583</v>
      </c>
      <c r="P3249" t="str">
        <f t="shared" si="203"/>
        <v>70%</v>
      </c>
      <c r="Q3249" s="12">
        <f t="shared" si="200"/>
        <v>0.7</v>
      </c>
      <c r="R3249" s="9">
        <f t="shared" si="201"/>
        <v>1229.7000000000003</v>
      </c>
      <c r="S3249" s="9">
        <f>IF(R3249="",AVERAGEIF(Table1[Category],Table1[[#This Row],[Category]],Table2[orignal data]),Table2[[#This Row],[orignal data]])</f>
        <v>1229.7000000000003</v>
      </c>
      <c r="T3249" t="str">
        <f t="shared" si="202"/>
        <v>UNIQUE</v>
      </c>
      <c r="U3249" t="str">
        <f>IF(ISBLANK(Table1[[#This Row],[SizeOption]]),"NOT AVAILABLE",Table1[[#This Row],[SizeOption]])</f>
        <v>XS, S, M, L, XL, XXL, 3XL</v>
      </c>
      <c r="Y3249" t="str">
        <f>IF(Table2[[#This Row],[Column1]]&gt;50%,"HIGH DISCOUNT","LOW DISCOUNT")</f>
        <v>HIGH DISCOUNT</v>
      </c>
    </row>
    <row r="3250" spans="1:25" x14ac:dyDescent="0.25">
      <c r="A3250" s="1" t="s">
        <v>6751</v>
      </c>
      <c r="B3250" s="1">
        <v>13321352</v>
      </c>
      <c r="C3250" s="1" t="s">
        <v>97</v>
      </c>
      <c r="D3250" s="1" t="s">
        <v>98</v>
      </c>
      <c r="E3250" s="1" t="s">
        <v>48</v>
      </c>
      <c r="F3250" s="1" t="s">
        <v>36</v>
      </c>
      <c r="G3250" s="1" t="s">
        <v>6752</v>
      </c>
      <c r="H3250">
        <v>549</v>
      </c>
      <c r="I3250" s="1">
        <v>1099</v>
      </c>
      <c r="J3250" s="1" t="s">
        <v>84</v>
      </c>
      <c r="K3250" s="1" t="s">
        <v>100</v>
      </c>
      <c r="L3250" s="1">
        <v>4.0999999999999996</v>
      </c>
      <c r="M3250" s="1">
        <v>583</v>
      </c>
      <c r="P3250" t="str">
        <f t="shared" si="203"/>
        <v>50%</v>
      </c>
      <c r="Q3250" s="12">
        <f t="shared" si="200"/>
        <v>0.5</v>
      </c>
      <c r="R3250" s="9">
        <f t="shared" si="201"/>
        <v>549.5</v>
      </c>
      <c r="S3250" s="9">
        <f>IF(R3250="",AVERAGEIF(Table1[Category],Table1[[#This Row],[Category]],Table2[orignal data]),Table2[[#This Row],[orignal data]])</f>
        <v>549.5</v>
      </c>
      <c r="T3250" t="str">
        <f t="shared" si="202"/>
        <v>UNIQUE</v>
      </c>
      <c r="U3250" t="str">
        <f>IF(ISBLANK(Table1[[#This Row],[SizeOption]]),"NOT AVAILABLE",Table1[[#This Row],[SizeOption]])</f>
        <v>XS, S, M, L, XL, XXL, 3XL</v>
      </c>
      <c r="Y3250" t="str">
        <f>IF(Table2[[#This Row],[Column1]]&gt;50%,"HIGH DISCOUNT","LOW DISCOUNT")</f>
        <v>LOW DISCOUNT</v>
      </c>
    </row>
    <row r="3251" spans="1:25" x14ac:dyDescent="0.25">
      <c r="A3251" s="2" t="s">
        <v>6753</v>
      </c>
      <c r="B3251" s="2">
        <v>11754946</v>
      </c>
      <c r="C3251" s="2" t="s">
        <v>97</v>
      </c>
      <c r="D3251" s="2" t="s">
        <v>98</v>
      </c>
      <c r="E3251" s="2" t="s">
        <v>93</v>
      </c>
      <c r="F3251" s="2" t="s">
        <v>36</v>
      </c>
      <c r="G3251" s="2" t="s">
        <v>6754</v>
      </c>
      <c r="H3251">
        <v>519</v>
      </c>
      <c r="I3251" s="2">
        <v>1299</v>
      </c>
      <c r="J3251" s="2" t="s">
        <v>55</v>
      </c>
      <c r="K3251" s="2" t="s">
        <v>100</v>
      </c>
      <c r="L3251" s="2">
        <v>4.2</v>
      </c>
      <c r="M3251" s="2">
        <v>583</v>
      </c>
      <c r="P3251" t="str">
        <f t="shared" si="203"/>
        <v>60%</v>
      </c>
      <c r="Q3251" s="12">
        <f t="shared" si="200"/>
        <v>0.6</v>
      </c>
      <c r="R3251" s="9">
        <f t="shared" si="201"/>
        <v>519.6</v>
      </c>
      <c r="S3251" s="9">
        <f>IF(R3251="",AVERAGEIF(Table1[Category],Table1[[#This Row],[Category]],Table2[orignal data]),Table2[[#This Row],[orignal data]])</f>
        <v>519.6</v>
      </c>
      <c r="T3251" t="str">
        <f t="shared" si="202"/>
        <v>UNIQUE</v>
      </c>
      <c r="U3251" t="str">
        <f>IF(ISBLANK(Table1[[#This Row],[SizeOption]]),"NOT AVAILABLE",Table1[[#This Row],[SizeOption]])</f>
        <v>XS, S, M, L, XL, XXL, 3XL</v>
      </c>
      <c r="Y3251" t="str">
        <f>IF(Table2[[#This Row],[Column1]]&gt;50%,"HIGH DISCOUNT","LOW DISCOUNT")</f>
        <v>HIGH DISCOUNT</v>
      </c>
    </row>
    <row r="3252" spans="1:25" x14ac:dyDescent="0.25">
      <c r="A3252" s="1" t="s">
        <v>6755</v>
      </c>
      <c r="B3252" s="1">
        <v>11037106</v>
      </c>
      <c r="C3252" s="1" t="s">
        <v>67</v>
      </c>
      <c r="D3252" s="1" t="s">
        <v>68</v>
      </c>
      <c r="E3252" s="1" t="s">
        <v>42</v>
      </c>
      <c r="F3252" s="1" t="s">
        <v>36</v>
      </c>
      <c r="G3252" s="1" t="s">
        <v>963</v>
      </c>
      <c r="H3252">
        <v>404</v>
      </c>
      <c r="I3252" s="1">
        <v>899</v>
      </c>
      <c r="J3252" s="1" t="s">
        <v>25</v>
      </c>
      <c r="K3252" s="1" t="s">
        <v>45</v>
      </c>
      <c r="L3252" s="1">
        <v>4.3</v>
      </c>
      <c r="M3252" s="1">
        <v>583</v>
      </c>
      <c r="P3252" t="str">
        <f t="shared" si="203"/>
        <v>55%</v>
      </c>
      <c r="Q3252" s="12">
        <f t="shared" si="200"/>
        <v>0.55000000000000004</v>
      </c>
      <c r="R3252" s="9">
        <f t="shared" si="201"/>
        <v>404.54999999999995</v>
      </c>
      <c r="S3252" s="9">
        <f>IF(R3252="",AVERAGEIF(Table1[Category],Table1[[#This Row],[Category]],Table2[orignal data]),Table2[[#This Row],[orignal data]])</f>
        <v>404.54999999999995</v>
      </c>
      <c r="T3252" t="str">
        <f t="shared" si="202"/>
        <v>UNIQUE</v>
      </c>
      <c r="U3252" t="str">
        <f>IF(ISBLANK(Table1[[#This Row],[SizeOption]]),"NOT AVAILABLE",Table1[[#This Row],[SizeOption]])</f>
        <v>XS, S, M, L, XL</v>
      </c>
      <c r="Y3252" t="str">
        <f>IF(Table2[[#This Row],[Column1]]&gt;50%,"HIGH DISCOUNT","LOW DISCOUNT")</f>
        <v>HIGH DISCOUNT</v>
      </c>
    </row>
    <row r="3253" spans="1:25" x14ac:dyDescent="0.25">
      <c r="A3253" s="2" t="s">
        <v>6756</v>
      </c>
      <c r="B3253" s="2">
        <v>2353138</v>
      </c>
      <c r="C3253" s="2" t="s">
        <v>14</v>
      </c>
      <c r="D3253" s="2" t="s">
        <v>41</v>
      </c>
      <c r="E3253" s="2" t="s">
        <v>42</v>
      </c>
      <c r="F3253" s="2" t="s">
        <v>36</v>
      </c>
      <c r="G3253" s="2" t="s">
        <v>696</v>
      </c>
      <c r="I3253" s="2">
        <v>1299</v>
      </c>
      <c r="J3253" s="2" t="s">
        <v>150</v>
      </c>
      <c r="K3253" s="2" t="s">
        <v>45</v>
      </c>
      <c r="L3253" s="2">
        <v>4</v>
      </c>
      <c r="M3253" s="2">
        <v>583</v>
      </c>
      <c r="P3253" t="str">
        <f t="shared" si="203"/>
        <v>65%</v>
      </c>
      <c r="Q3253" s="12">
        <f t="shared" si="200"/>
        <v>0.65</v>
      </c>
      <c r="R3253" s="9">
        <f t="shared" si="201"/>
        <v>454.65</v>
      </c>
      <c r="S3253" s="9">
        <f>IF(R3253="",AVERAGEIF(Table1[Category],Table1[[#This Row],[Category]],Table2[orignal data]),Table2[[#This Row],[orignal data]])</f>
        <v>454.65</v>
      </c>
      <c r="T3253" t="str">
        <f t="shared" si="202"/>
        <v>UNIQUE</v>
      </c>
      <c r="U3253" t="str">
        <f>IF(ISBLANK(Table1[[#This Row],[SizeOption]]),"NOT AVAILABLE",Table1[[#This Row],[SizeOption]])</f>
        <v>XS, S, M, L, XL</v>
      </c>
      <c r="Y3253" t="str">
        <f>IF(Table2[[#This Row],[Column1]]&gt;50%,"HIGH DISCOUNT","LOW DISCOUNT")</f>
        <v>HIGH DISCOUNT</v>
      </c>
    </row>
    <row r="3254" spans="1:25" x14ac:dyDescent="0.25">
      <c r="A3254" s="1" t="s">
        <v>6757</v>
      </c>
      <c r="B3254" s="1">
        <v>10503336</v>
      </c>
      <c r="C3254" s="1" t="s">
        <v>102</v>
      </c>
      <c r="D3254" s="1" t="s">
        <v>41</v>
      </c>
      <c r="E3254" s="1" t="s">
        <v>148</v>
      </c>
      <c r="F3254" s="1" t="s">
        <v>36</v>
      </c>
      <c r="G3254" s="1" t="s">
        <v>6758</v>
      </c>
      <c r="I3254" s="1">
        <v>1849</v>
      </c>
      <c r="J3254" s="1" t="s">
        <v>208</v>
      </c>
      <c r="K3254" s="1" t="s">
        <v>26</v>
      </c>
      <c r="L3254" s="1">
        <v>4.3</v>
      </c>
      <c r="M3254" s="1">
        <v>583</v>
      </c>
      <c r="P3254" t="str">
        <f t="shared" si="203"/>
        <v>52%</v>
      </c>
      <c r="Q3254" s="12">
        <f t="shared" si="200"/>
        <v>0.52</v>
      </c>
      <c r="R3254" s="9">
        <f t="shared" si="201"/>
        <v>887.52</v>
      </c>
      <c r="S3254" s="9">
        <f>IF(R3254="",AVERAGEIF(Table1[Category],Table1[[#This Row],[Category]],Table2[orignal data]),Table2[[#This Row],[orignal data]])</f>
        <v>887.52</v>
      </c>
      <c r="T3254" t="str">
        <f t="shared" si="202"/>
        <v>UNIQUE</v>
      </c>
      <c r="U3254" t="str">
        <f>IF(ISBLANK(Table1[[#This Row],[SizeOption]]),"NOT AVAILABLE",Table1[[#This Row],[SizeOption]])</f>
        <v>S, M, L, XL</v>
      </c>
      <c r="Y3254" t="str">
        <f>IF(Table2[[#This Row],[Column1]]&gt;50%,"HIGH DISCOUNT","LOW DISCOUNT")</f>
        <v>HIGH DISCOUNT</v>
      </c>
    </row>
    <row r="3255" spans="1:25" x14ac:dyDescent="0.25">
      <c r="A3255" s="2" t="s">
        <v>6759</v>
      </c>
      <c r="B3255" s="2">
        <v>10841106</v>
      </c>
      <c r="C3255" s="2" t="s">
        <v>102</v>
      </c>
      <c r="D3255" s="2" t="s">
        <v>41</v>
      </c>
      <c r="E3255" s="2" t="s">
        <v>189</v>
      </c>
      <c r="F3255" s="2" t="s">
        <v>36</v>
      </c>
      <c r="G3255" s="2" t="s">
        <v>6760</v>
      </c>
      <c r="I3255" s="2">
        <v>2499</v>
      </c>
      <c r="J3255" s="2" t="s">
        <v>758</v>
      </c>
      <c r="K3255" s="2" t="s">
        <v>26</v>
      </c>
      <c r="L3255" s="2">
        <v>4.5</v>
      </c>
      <c r="M3255" s="2">
        <v>583</v>
      </c>
      <c r="P3255" t="str">
        <f t="shared" si="203"/>
        <v>47%</v>
      </c>
      <c r="Q3255" s="12">
        <f t="shared" si="200"/>
        <v>0.47</v>
      </c>
      <c r="R3255" s="9">
        <f t="shared" si="201"/>
        <v>1324.47</v>
      </c>
      <c r="S3255" s="9">
        <f>IF(R3255="",AVERAGEIF(Table1[Category],Table1[[#This Row],[Category]],Table2[orignal data]),Table2[[#This Row],[orignal data]])</f>
        <v>1324.47</v>
      </c>
      <c r="T3255" t="str">
        <f t="shared" si="202"/>
        <v>UNIQUE</v>
      </c>
      <c r="U3255" t="str">
        <f>IF(ISBLANK(Table1[[#This Row],[SizeOption]]),"NOT AVAILABLE",Table1[[#This Row],[SizeOption]])</f>
        <v>S, M, L, XL</v>
      </c>
      <c r="Y3255" t="str">
        <f>IF(Table2[[#This Row],[Column1]]&gt;50%,"HIGH DISCOUNT","LOW DISCOUNT")</f>
        <v>LOW DISCOUNT</v>
      </c>
    </row>
    <row r="3256" spans="1:25" x14ac:dyDescent="0.25">
      <c r="A3256" s="1" t="s">
        <v>6761</v>
      </c>
      <c r="B3256" s="1">
        <v>11697402</v>
      </c>
      <c r="C3256" s="1" t="s">
        <v>14</v>
      </c>
      <c r="D3256" s="1" t="s">
        <v>41</v>
      </c>
      <c r="E3256" s="1" t="s">
        <v>42</v>
      </c>
      <c r="F3256" s="1" t="s">
        <v>36</v>
      </c>
      <c r="G3256" s="1" t="s">
        <v>6762</v>
      </c>
      <c r="I3256" s="1">
        <v>499</v>
      </c>
      <c r="J3256" s="1" t="s">
        <v>50</v>
      </c>
      <c r="K3256" s="1" t="s">
        <v>45</v>
      </c>
      <c r="L3256" s="1">
        <v>4.0999999999999996</v>
      </c>
      <c r="M3256" s="1">
        <v>583</v>
      </c>
      <c r="P3256" t="str">
        <f t="shared" si="203"/>
        <v>40%</v>
      </c>
      <c r="Q3256" s="12">
        <f t="shared" si="200"/>
        <v>0.4</v>
      </c>
      <c r="R3256" s="9">
        <f t="shared" si="201"/>
        <v>299.39999999999998</v>
      </c>
      <c r="S3256" s="9">
        <f>IF(R3256="",AVERAGEIF(Table1[Category],Table1[[#This Row],[Category]],Table2[orignal data]),Table2[[#This Row],[orignal data]])</f>
        <v>299.39999999999998</v>
      </c>
      <c r="T3256" t="str">
        <f t="shared" si="202"/>
        <v>UNIQUE</v>
      </c>
      <c r="U3256" t="str">
        <f>IF(ISBLANK(Table1[[#This Row],[SizeOption]]),"NOT AVAILABLE",Table1[[#This Row],[SizeOption]])</f>
        <v>XS, S, M, L, XL</v>
      </c>
      <c r="Y3256" t="str">
        <f>IF(Table2[[#This Row],[Column1]]&gt;50%,"HIGH DISCOUNT","LOW DISCOUNT")</f>
        <v>LOW DISCOUNT</v>
      </c>
    </row>
    <row r="3257" spans="1:25" x14ac:dyDescent="0.25">
      <c r="A3257" s="2" t="s">
        <v>6763</v>
      </c>
      <c r="B3257" s="2">
        <v>12303676</v>
      </c>
      <c r="C3257" s="2" t="s">
        <v>14</v>
      </c>
      <c r="D3257" s="2" t="s">
        <v>15</v>
      </c>
      <c r="E3257" s="2" t="s">
        <v>16</v>
      </c>
      <c r="F3257" s="2" t="s">
        <v>17</v>
      </c>
      <c r="G3257" s="2" t="s">
        <v>6764</v>
      </c>
      <c r="H3257">
        <v>764</v>
      </c>
      <c r="I3257" s="2">
        <v>1699</v>
      </c>
      <c r="J3257" s="2" t="s">
        <v>25</v>
      </c>
      <c r="K3257" s="2" t="s">
        <v>20</v>
      </c>
      <c r="L3257" s="2">
        <v>4</v>
      </c>
      <c r="M3257" s="2">
        <v>582</v>
      </c>
      <c r="P3257" t="str">
        <f t="shared" si="203"/>
        <v>55%</v>
      </c>
      <c r="Q3257" s="12">
        <f t="shared" si="200"/>
        <v>0.55000000000000004</v>
      </c>
      <c r="R3257" s="9">
        <f t="shared" si="201"/>
        <v>764.55</v>
      </c>
      <c r="S3257" s="9">
        <f>IF(R3257="",AVERAGEIF(Table1[Category],Table1[[#This Row],[Category]],Table2[orignal data]),Table2[[#This Row],[orignal data]])</f>
        <v>764.55</v>
      </c>
      <c r="T3257" t="str">
        <f t="shared" si="202"/>
        <v>UNIQUE</v>
      </c>
      <c r="U3257" t="str">
        <f>IF(ISBLANK(Table1[[#This Row],[SizeOption]]),"NOT AVAILABLE",Table1[[#This Row],[SizeOption]])</f>
        <v>28, 30, 32, 34, 36</v>
      </c>
      <c r="Y3257" t="str">
        <f>IF(Table2[[#This Row],[Column1]]&gt;50%,"HIGH DISCOUNT","LOW DISCOUNT")</f>
        <v>HIGH DISCOUNT</v>
      </c>
    </row>
    <row r="3258" spans="1:25" x14ac:dyDescent="0.25">
      <c r="A3258" s="1" t="s">
        <v>6765</v>
      </c>
      <c r="B3258" s="1">
        <v>13859576</v>
      </c>
      <c r="C3258" s="1" t="s">
        <v>14</v>
      </c>
      <c r="D3258" s="1" t="s">
        <v>15</v>
      </c>
      <c r="E3258" s="1" t="s">
        <v>53</v>
      </c>
      <c r="F3258" s="1" t="s">
        <v>17</v>
      </c>
      <c r="G3258" s="1" t="s">
        <v>6766</v>
      </c>
      <c r="H3258">
        <v>584</v>
      </c>
      <c r="I3258" s="1">
        <v>1299</v>
      </c>
      <c r="J3258" s="1" t="s">
        <v>25</v>
      </c>
      <c r="K3258" s="1" t="s">
        <v>20</v>
      </c>
      <c r="L3258" s="1">
        <v>3.9</v>
      </c>
      <c r="M3258" s="1">
        <v>582</v>
      </c>
      <c r="P3258" t="str">
        <f t="shared" si="203"/>
        <v>55%</v>
      </c>
      <c r="Q3258" s="12">
        <f t="shared" si="200"/>
        <v>0.55000000000000004</v>
      </c>
      <c r="R3258" s="9">
        <f t="shared" si="201"/>
        <v>584.54999999999995</v>
      </c>
      <c r="S3258" s="9">
        <f>IF(R3258="",AVERAGEIF(Table1[Category],Table1[[#This Row],[Category]],Table2[orignal data]),Table2[[#This Row],[orignal data]])</f>
        <v>584.54999999999995</v>
      </c>
      <c r="T3258" t="str">
        <f t="shared" si="202"/>
        <v>UNIQUE</v>
      </c>
      <c r="U3258" t="str">
        <f>IF(ISBLANK(Table1[[#This Row],[SizeOption]]),"NOT AVAILABLE",Table1[[#This Row],[SizeOption]])</f>
        <v>28, 30, 32, 34, 36</v>
      </c>
      <c r="Y3258" t="str">
        <f>IF(Table2[[#This Row],[Column1]]&gt;50%,"HIGH DISCOUNT","LOW DISCOUNT")</f>
        <v>HIGH DISCOUNT</v>
      </c>
    </row>
    <row r="3259" spans="1:25" x14ac:dyDescent="0.25">
      <c r="A3259" s="2" t="s">
        <v>6767</v>
      </c>
      <c r="B3259" s="2">
        <v>1422313</v>
      </c>
      <c r="C3259" s="2" t="s">
        <v>14</v>
      </c>
      <c r="D3259" s="2" t="s">
        <v>197</v>
      </c>
      <c r="E3259" s="2" t="s">
        <v>198</v>
      </c>
      <c r="F3259" s="2" t="s">
        <v>17</v>
      </c>
      <c r="G3259" s="2" t="s">
        <v>6768</v>
      </c>
      <c r="H3259">
        <v>319</v>
      </c>
      <c r="I3259" s="2">
        <v>399</v>
      </c>
      <c r="J3259" s="2" t="s">
        <v>412</v>
      </c>
      <c r="K3259" s="2" t="s">
        <v>164</v>
      </c>
      <c r="L3259" s="2">
        <v>4.3</v>
      </c>
      <c r="M3259" s="2">
        <v>582</v>
      </c>
      <c r="P3259" t="str">
        <f t="shared" si="203"/>
        <v>20%</v>
      </c>
      <c r="Q3259" s="12">
        <f t="shared" si="200"/>
        <v>0.2</v>
      </c>
      <c r="R3259" s="9">
        <f t="shared" si="201"/>
        <v>319.2</v>
      </c>
      <c r="S3259" s="9">
        <f>IF(R3259="",AVERAGEIF(Table1[Category],Table1[[#This Row],[Category]],Table2[orignal data]),Table2[[#This Row],[orignal data]])</f>
        <v>319.2</v>
      </c>
      <c r="T3259" t="str">
        <f t="shared" si="202"/>
        <v>UNIQUE</v>
      </c>
      <c r="U3259" t="str">
        <f>IF(ISBLANK(Table1[[#This Row],[SizeOption]]),"NOT AVAILABLE",Table1[[#This Row],[SizeOption]])</f>
        <v>Onesize</v>
      </c>
      <c r="Y3259" t="str">
        <f>IF(Table2[[#This Row],[Column1]]&gt;50%,"HIGH DISCOUNT","LOW DISCOUNT")</f>
        <v>LOW DISCOUNT</v>
      </c>
    </row>
    <row r="3260" spans="1:25" x14ac:dyDescent="0.25">
      <c r="A3260" s="1" t="s">
        <v>6769</v>
      </c>
      <c r="B3260" s="1">
        <v>10946710</v>
      </c>
      <c r="C3260" s="1" t="s">
        <v>52</v>
      </c>
      <c r="D3260" s="1" t="s">
        <v>28</v>
      </c>
      <c r="E3260" s="1" t="s">
        <v>29</v>
      </c>
      <c r="F3260" s="1" t="s">
        <v>17</v>
      </c>
      <c r="G3260" s="1" t="s">
        <v>6770</v>
      </c>
      <c r="H3260">
        <v>540</v>
      </c>
      <c r="I3260" s="1">
        <v>1149</v>
      </c>
      <c r="J3260" s="1" t="s">
        <v>89</v>
      </c>
      <c r="K3260" s="1" t="s">
        <v>90</v>
      </c>
      <c r="L3260" s="1">
        <v>4.3</v>
      </c>
      <c r="M3260" s="1">
        <v>582</v>
      </c>
      <c r="P3260" t="str">
        <f t="shared" si="203"/>
        <v>53%</v>
      </c>
      <c r="Q3260" s="12">
        <f t="shared" si="200"/>
        <v>0.53</v>
      </c>
      <c r="R3260" s="9">
        <f t="shared" si="201"/>
        <v>540.03</v>
      </c>
      <c r="S3260" s="9">
        <f>IF(R3260="",AVERAGEIF(Table1[Category],Table1[[#This Row],[Category]],Table2[orignal data]),Table2[[#This Row],[orignal data]])</f>
        <v>540.03</v>
      </c>
      <c r="T3260" t="str">
        <f t="shared" si="202"/>
        <v>UNIQUE</v>
      </c>
      <c r="U3260" t="str">
        <f>IF(ISBLANK(Table1[[#This Row],[SizeOption]]),"NOT AVAILABLE",Table1[[#This Row],[SizeOption]])</f>
        <v>39, 40, 42, 44</v>
      </c>
      <c r="Y3260" t="str">
        <f>IF(Table2[[#This Row],[Column1]]&gt;50%,"HIGH DISCOUNT","LOW DISCOUNT")</f>
        <v>HIGH DISCOUNT</v>
      </c>
    </row>
    <row r="3261" spans="1:25" x14ac:dyDescent="0.25">
      <c r="A3261" s="2" t="s">
        <v>6771</v>
      </c>
      <c r="B3261" s="2">
        <v>1996787</v>
      </c>
      <c r="C3261" s="2" t="s">
        <v>14</v>
      </c>
      <c r="D3261" s="2" t="s">
        <v>28</v>
      </c>
      <c r="E3261" s="2" t="s">
        <v>42</v>
      </c>
      <c r="F3261" s="2" t="s">
        <v>17</v>
      </c>
      <c r="G3261" s="2" t="s">
        <v>6772</v>
      </c>
      <c r="H3261">
        <v>274</v>
      </c>
      <c r="I3261" s="2">
        <v>499</v>
      </c>
      <c r="J3261" s="2" t="s">
        <v>19</v>
      </c>
      <c r="K3261" s="2" t="s">
        <v>26</v>
      </c>
      <c r="L3261" s="2">
        <v>4</v>
      </c>
      <c r="M3261" s="2">
        <v>582</v>
      </c>
      <c r="P3261" t="str">
        <f t="shared" si="203"/>
        <v>45%</v>
      </c>
      <c r="Q3261" s="12">
        <f t="shared" si="200"/>
        <v>0.45</v>
      </c>
      <c r="R3261" s="9">
        <f t="shared" si="201"/>
        <v>274.45</v>
      </c>
      <c r="S3261" s="9">
        <f>IF(R3261="",AVERAGEIF(Table1[Category],Table1[[#This Row],[Category]],Table2[orignal data]),Table2[[#This Row],[orignal data]])</f>
        <v>274.45</v>
      </c>
      <c r="T3261" t="str">
        <f t="shared" si="202"/>
        <v>UNIQUE</v>
      </c>
      <c r="U3261" t="str">
        <f>IF(ISBLANK(Table1[[#This Row],[SizeOption]]),"NOT AVAILABLE",Table1[[#This Row],[SizeOption]])</f>
        <v>S, M, L, XL</v>
      </c>
      <c r="Y3261" t="str">
        <f>IF(Table2[[#This Row],[Column1]]&gt;50%,"HIGH DISCOUNT","LOW DISCOUNT")</f>
        <v>LOW DISCOUNT</v>
      </c>
    </row>
    <row r="3262" spans="1:25" x14ac:dyDescent="0.25">
      <c r="A3262" s="1" t="s">
        <v>6773</v>
      </c>
      <c r="B3262" s="1">
        <v>10360527</v>
      </c>
      <c r="C3262" s="1" t="s">
        <v>2408</v>
      </c>
      <c r="D3262" s="1" t="s">
        <v>76</v>
      </c>
      <c r="E3262" s="1" t="s">
        <v>93</v>
      </c>
      <c r="F3262" s="1" t="s">
        <v>36</v>
      </c>
      <c r="G3262" s="1" t="s">
        <v>6774</v>
      </c>
      <c r="H3262">
        <v>899</v>
      </c>
      <c r="I3262" s="1">
        <v>1999</v>
      </c>
      <c r="J3262" s="1" t="s">
        <v>25</v>
      </c>
      <c r="K3262" s="1" t="s">
        <v>39</v>
      </c>
      <c r="L3262" s="1">
        <v>4.2</v>
      </c>
      <c r="M3262" s="1">
        <v>582</v>
      </c>
      <c r="P3262" t="str">
        <f t="shared" si="203"/>
        <v>55%</v>
      </c>
      <c r="Q3262" s="12">
        <f t="shared" si="200"/>
        <v>0.55000000000000004</v>
      </c>
      <c r="R3262" s="9">
        <f t="shared" si="201"/>
        <v>899.55</v>
      </c>
      <c r="S3262" s="9">
        <f>IF(R3262="",AVERAGEIF(Table1[Category],Table1[[#This Row],[Category]],Table2[orignal data]),Table2[[#This Row],[orignal data]])</f>
        <v>899.55</v>
      </c>
      <c r="T3262" t="str">
        <f t="shared" si="202"/>
        <v>UNIQUE</v>
      </c>
      <c r="U3262" t="str">
        <f>IF(ISBLANK(Table1[[#This Row],[SizeOption]]),"NOT AVAILABLE",Table1[[#This Row],[SizeOption]])</f>
        <v>S, M, L, XL, XXL</v>
      </c>
      <c r="Y3262" t="str">
        <f>IF(Table2[[#This Row],[Column1]]&gt;50%,"HIGH DISCOUNT","LOW DISCOUNT")</f>
        <v>HIGH DISCOUNT</v>
      </c>
    </row>
    <row r="3263" spans="1:25" x14ac:dyDescent="0.25">
      <c r="A3263" s="2" t="s">
        <v>6775</v>
      </c>
      <c r="B3263" s="2">
        <v>1829475</v>
      </c>
      <c r="C3263" s="2" t="s">
        <v>201</v>
      </c>
      <c r="D3263" s="2" t="s">
        <v>98</v>
      </c>
      <c r="E3263" s="2" t="s">
        <v>93</v>
      </c>
      <c r="F3263" s="2" t="s">
        <v>36</v>
      </c>
      <c r="G3263" s="2" t="s">
        <v>6776</v>
      </c>
      <c r="H3263">
        <v>769</v>
      </c>
      <c r="I3263" s="2">
        <v>1399</v>
      </c>
      <c r="J3263" s="2" t="s">
        <v>19</v>
      </c>
      <c r="K3263" s="2" t="s">
        <v>234</v>
      </c>
      <c r="L3263" s="2">
        <v>3.8</v>
      </c>
      <c r="M3263" s="2">
        <v>582</v>
      </c>
      <c r="P3263" t="str">
        <f t="shared" si="203"/>
        <v>45%</v>
      </c>
      <c r="Q3263" s="12">
        <f t="shared" si="200"/>
        <v>0.45</v>
      </c>
      <c r="R3263" s="9">
        <f t="shared" si="201"/>
        <v>769.44999999999993</v>
      </c>
      <c r="S3263" s="9">
        <f>IF(R3263="",AVERAGEIF(Table1[Category],Table1[[#This Row],[Category]],Table2[orignal data]),Table2[[#This Row],[orignal data]])</f>
        <v>769.44999999999993</v>
      </c>
      <c r="T3263" t="str">
        <f t="shared" si="202"/>
        <v>UNIQUE</v>
      </c>
      <c r="U3263" t="str">
        <f>IF(ISBLANK(Table1[[#This Row],[SizeOption]]),"NOT AVAILABLE",Table1[[#This Row],[SizeOption]])</f>
        <v>S, M, L, XL, XXL, 3XL</v>
      </c>
      <c r="Y3263" t="str">
        <f>IF(Table2[[#This Row],[Column1]]&gt;50%,"HIGH DISCOUNT","LOW DISCOUNT")</f>
        <v>LOW DISCOUNT</v>
      </c>
    </row>
    <row r="3264" spans="1:25" x14ac:dyDescent="0.25">
      <c r="A3264" s="1" t="s">
        <v>6777</v>
      </c>
      <c r="B3264" s="1">
        <v>8813115</v>
      </c>
      <c r="C3264" s="1" t="s">
        <v>201</v>
      </c>
      <c r="D3264" s="1" t="s">
        <v>98</v>
      </c>
      <c r="E3264" s="1" t="s">
        <v>42</v>
      </c>
      <c r="F3264" s="1" t="s">
        <v>36</v>
      </c>
      <c r="G3264" s="1" t="s">
        <v>6778</v>
      </c>
      <c r="H3264">
        <v>254</v>
      </c>
      <c r="I3264" s="1">
        <v>849</v>
      </c>
      <c r="J3264" s="1" t="s">
        <v>1566</v>
      </c>
      <c r="K3264" s="1" t="s">
        <v>100</v>
      </c>
      <c r="L3264" s="1">
        <v>4.0999999999999996</v>
      </c>
      <c r="M3264" s="1">
        <v>582</v>
      </c>
      <c r="P3264" t="str">
        <f t="shared" si="203"/>
        <v>70%</v>
      </c>
      <c r="Q3264" s="12">
        <f t="shared" si="200"/>
        <v>0.7</v>
      </c>
      <c r="R3264" s="9">
        <f t="shared" si="201"/>
        <v>254.70000000000005</v>
      </c>
      <c r="S3264" s="9">
        <f>IF(R3264="",AVERAGEIF(Table1[Category],Table1[[#This Row],[Category]],Table2[orignal data]),Table2[[#This Row],[orignal data]])</f>
        <v>254.70000000000005</v>
      </c>
      <c r="T3264" t="str">
        <f t="shared" si="202"/>
        <v>UNIQUE</v>
      </c>
      <c r="U3264" t="str">
        <f>IF(ISBLANK(Table1[[#This Row],[SizeOption]]),"NOT AVAILABLE",Table1[[#This Row],[SizeOption]])</f>
        <v>XS, S, M, L, XL, XXL, 3XL</v>
      </c>
      <c r="Y3264" t="str">
        <f>IF(Table2[[#This Row],[Column1]]&gt;50%,"HIGH DISCOUNT","LOW DISCOUNT")</f>
        <v>HIGH DISCOUNT</v>
      </c>
    </row>
    <row r="3265" spans="1:25" x14ac:dyDescent="0.25">
      <c r="A3265" s="2" t="s">
        <v>6779</v>
      </c>
      <c r="B3265" s="2">
        <v>17524918</v>
      </c>
      <c r="C3265" s="2" t="s">
        <v>47</v>
      </c>
      <c r="D3265" s="2" t="s">
        <v>41</v>
      </c>
      <c r="E3265" s="2" t="s">
        <v>42</v>
      </c>
      <c r="F3265" s="2" t="s">
        <v>36</v>
      </c>
      <c r="G3265" s="2" t="s">
        <v>6431</v>
      </c>
      <c r="I3265" s="2">
        <v>1598</v>
      </c>
      <c r="J3265" s="2" t="s">
        <v>84</v>
      </c>
      <c r="K3265" s="2" t="s">
        <v>703</v>
      </c>
      <c r="L3265" s="2">
        <v>4.2</v>
      </c>
      <c r="M3265" s="2">
        <v>582</v>
      </c>
      <c r="P3265" t="str">
        <f t="shared" si="203"/>
        <v>50%</v>
      </c>
      <c r="Q3265" s="12">
        <f t="shared" si="200"/>
        <v>0.5</v>
      </c>
      <c r="R3265" s="9">
        <f t="shared" si="201"/>
        <v>799</v>
      </c>
      <c r="S3265" s="9">
        <f>IF(R3265="",AVERAGEIF(Table1[Category],Table1[[#This Row],[Category]],Table2[orignal data]),Table2[[#This Row],[orignal data]])</f>
        <v>799</v>
      </c>
      <c r="T3265" t="str">
        <f t="shared" si="202"/>
        <v>UNIQUE</v>
      </c>
      <c r="U3265" t="str">
        <f>IF(ISBLANK(Table1[[#This Row],[SizeOption]]),"NOT AVAILABLE",Table1[[#This Row],[SizeOption]])</f>
        <v>S, XS, XL, L, M</v>
      </c>
      <c r="Y3265" t="str">
        <f>IF(Table2[[#This Row],[Column1]]&gt;50%,"HIGH DISCOUNT","LOW DISCOUNT")</f>
        <v>LOW DISCOUNT</v>
      </c>
    </row>
    <row r="3266" spans="1:25" x14ac:dyDescent="0.25">
      <c r="A3266" s="1" t="s">
        <v>6780</v>
      </c>
      <c r="B3266" s="1">
        <v>12806502</v>
      </c>
      <c r="C3266" s="1" t="s">
        <v>887</v>
      </c>
      <c r="D3266" s="1" t="s">
        <v>41</v>
      </c>
      <c r="E3266" s="1" t="s">
        <v>148</v>
      </c>
      <c r="F3266" s="1" t="s">
        <v>36</v>
      </c>
      <c r="G3266" s="1" t="s">
        <v>6781</v>
      </c>
      <c r="I3266" s="1">
        <v>1665</v>
      </c>
      <c r="J3266" s="1" t="s">
        <v>25</v>
      </c>
      <c r="K3266" s="1" t="s">
        <v>26</v>
      </c>
      <c r="L3266" s="1">
        <v>4.0999999999999996</v>
      </c>
      <c r="M3266" s="1">
        <v>582</v>
      </c>
      <c r="P3266" t="str">
        <f t="shared" si="203"/>
        <v>55%</v>
      </c>
      <c r="Q3266" s="12">
        <f t="shared" ref="Q3266:Q3329" si="204">IF(P3266="","",IF(ISNUMBER(SEARCH("%",P3266)),P3266,P3266/I3266)*100%)</f>
        <v>0.55000000000000004</v>
      </c>
      <c r="R3266" s="9">
        <f t="shared" ref="R3266:R3329" si="205">IF(P3266="","",I3266-(I3266*Q3266))</f>
        <v>749.24999999999989</v>
      </c>
      <c r="S3266" s="9">
        <f>IF(R3266="",AVERAGEIF(Table1[Category],Table1[[#This Row],[Category]],Table2[orignal data]),Table2[[#This Row],[orignal data]])</f>
        <v>749.24999999999989</v>
      </c>
      <c r="T3266" t="str">
        <f t="shared" ref="T3266:T3329" si="206">IF(COUNTIF($B$2:$B$5000,B3266)&gt;1,"DUPLICATE","UNIQUE")</f>
        <v>UNIQUE</v>
      </c>
      <c r="U3266" t="str">
        <f>IF(ISBLANK(Table1[[#This Row],[SizeOption]]),"NOT AVAILABLE",Table1[[#This Row],[SizeOption]])</f>
        <v>S, M, L, XL</v>
      </c>
      <c r="Y3266" t="str">
        <f>IF(Table2[[#This Row],[Column1]]&gt;50%,"HIGH DISCOUNT","LOW DISCOUNT")</f>
        <v>HIGH DISCOUNT</v>
      </c>
    </row>
    <row r="3267" spans="1:25" x14ac:dyDescent="0.25">
      <c r="A3267" s="2" t="s">
        <v>6782</v>
      </c>
      <c r="B3267" s="2">
        <v>13167774</v>
      </c>
      <c r="C3267" s="2" t="s">
        <v>6783</v>
      </c>
      <c r="D3267" s="2" t="s">
        <v>15</v>
      </c>
      <c r="E3267" s="2" t="s">
        <v>53</v>
      </c>
      <c r="F3267" s="2" t="s">
        <v>17</v>
      </c>
      <c r="G3267" s="2" t="s">
        <v>6784</v>
      </c>
      <c r="H3267">
        <v>2424</v>
      </c>
      <c r="I3267" s="2">
        <v>2499</v>
      </c>
      <c r="J3267" s="2" t="s">
        <v>4478</v>
      </c>
      <c r="K3267" s="2" t="s">
        <v>6785</v>
      </c>
      <c r="L3267" s="2">
        <v>4.3</v>
      </c>
      <c r="M3267" s="2">
        <v>581</v>
      </c>
      <c r="P3267" t="str">
        <f t="shared" ref="P3267:P3330" si="207">TRIM(SUBSTITUTE(SUBSTITUTE(SUBSTITUTE(SUBSTITUTE(J3267,"OFF",""),"Rs.",""),"Hurry*",""),",",""))</f>
        <v>3%</v>
      </c>
      <c r="Q3267" s="12">
        <f t="shared" si="204"/>
        <v>0.03</v>
      </c>
      <c r="R3267" s="9">
        <f t="shared" si="205"/>
        <v>2424.0300000000002</v>
      </c>
      <c r="S3267" s="9">
        <f>IF(R3267="",AVERAGEIF(Table1[Category],Table1[[#This Row],[Category]],Table2[orignal data]),Table2[[#This Row],[orignal data]])</f>
        <v>2424.0300000000002</v>
      </c>
      <c r="T3267" t="str">
        <f t="shared" si="206"/>
        <v>UNIQUE</v>
      </c>
      <c r="U3267" t="str">
        <f>IF(ISBLANK(Table1[[#This Row],[SizeOption]]),"NOT AVAILABLE",Table1[[#This Row],[SizeOption]])</f>
        <v>29, 31, 32, 34, 36, 39, 41, 43</v>
      </c>
      <c r="Y3267" t="str">
        <f>IF(Table2[[#This Row],[Column1]]&gt;50%,"HIGH DISCOUNT","LOW DISCOUNT")</f>
        <v>LOW DISCOUNT</v>
      </c>
    </row>
    <row r="3268" spans="1:25" x14ac:dyDescent="0.25">
      <c r="A3268" s="1" t="s">
        <v>6786</v>
      </c>
      <c r="B3268" s="1">
        <v>1847799</v>
      </c>
      <c r="C3268" s="1" t="s">
        <v>1608</v>
      </c>
      <c r="D3268" s="1" t="s">
        <v>15</v>
      </c>
      <c r="E3268" s="1" t="s">
        <v>53</v>
      </c>
      <c r="F3268" s="1" t="s">
        <v>17</v>
      </c>
      <c r="G3268" s="1" t="s">
        <v>6787</v>
      </c>
      <c r="H3268">
        <v>824</v>
      </c>
      <c r="I3268" s="1">
        <v>1649</v>
      </c>
      <c r="J3268" s="1" t="s">
        <v>84</v>
      </c>
      <c r="K3268" s="1" t="s">
        <v>56</v>
      </c>
      <c r="L3268" s="1">
        <v>4.2</v>
      </c>
      <c r="M3268" s="1">
        <v>581</v>
      </c>
      <c r="P3268" t="str">
        <f t="shared" si="207"/>
        <v>50%</v>
      </c>
      <c r="Q3268" s="12">
        <f t="shared" si="204"/>
        <v>0.5</v>
      </c>
      <c r="R3268" s="9">
        <f t="shared" si="205"/>
        <v>824.5</v>
      </c>
      <c r="S3268" s="9">
        <f>IF(R3268="",AVERAGEIF(Table1[Category],Table1[[#This Row],[Category]],Table2[orignal data]),Table2[[#This Row],[orignal data]])</f>
        <v>824.5</v>
      </c>
      <c r="T3268" t="str">
        <f t="shared" si="206"/>
        <v>UNIQUE</v>
      </c>
      <c r="U3268" t="str">
        <f>IF(ISBLANK(Table1[[#This Row],[SizeOption]]),"NOT AVAILABLE",Table1[[#This Row],[SizeOption]])</f>
        <v>30, 32, 34, 36</v>
      </c>
      <c r="Y3268" t="str">
        <f>IF(Table2[[#This Row],[Column1]]&gt;50%,"HIGH DISCOUNT","LOW DISCOUNT")</f>
        <v>LOW DISCOUNT</v>
      </c>
    </row>
    <row r="3269" spans="1:25" x14ac:dyDescent="0.25">
      <c r="A3269" s="2" t="s">
        <v>6788</v>
      </c>
      <c r="B3269" s="2">
        <v>10239333</v>
      </c>
      <c r="C3269" s="2" t="s">
        <v>113</v>
      </c>
      <c r="D3269" s="2" t="s">
        <v>76</v>
      </c>
      <c r="E3269" s="2" t="s">
        <v>77</v>
      </c>
      <c r="F3269" s="2" t="s">
        <v>17</v>
      </c>
      <c r="G3269" s="2" t="s">
        <v>6789</v>
      </c>
      <c r="H3269">
        <v>1484</v>
      </c>
      <c r="I3269" s="2">
        <v>3299</v>
      </c>
      <c r="J3269" s="2" t="s">
        <v>25</v>
      </c>
      <c r="K3269" s="2" t="s">
        <v>39</v>
      </c>
      <c r="L3269" s="2">
        <v>4.0999999999999996</v>
      </c>
      <c r="M3269" s="2">
        <v>581</v>
      </c>
      <c r="P3269" t="str">
        <f t="shared" si="207"/>
        <v>55%</v>
      </c>
      <c r="Q3269" s="12">
        <f t="shared" si="204"/>
        <v>0.55000000000000004</v>
      </c>
      <c r="R3269" s="9">
        <f t="shared" si="205"/>
        <v>1484.55</v>
      </c>
      <c r="S3269" s="9">
        <f>IF(R3269="",AVERAGEIF(Table1[Category],Table1[[#This Row],[Category]],Table2[orignal data]),Table2[[#This Row],[orignal data]])</f>
        <v>1484.55</v>
      </c>
      <c r="T3269" t="str">
        <f t="shared" si="206"/>
        <v>UNIQUE</v>
      </c>
      <c r="U3269" t="str">
        <f>IF(ISBLANK(Table1[[#This Row],[SizeOption]]),"NOT AVAILABLE",Table1[[#This Row],[SizeOption]])</f>
        <v>S, M, L, XL, XXL</v>
      </c>
      <c r="Y3269" t="str">
        <f>IF(Table2[[#This Row],[Column1]]&gt;50%,"HIGH DISCOUNT","LOW DISCOUNT")</f>
        <v>HIGH DISCOUNT</v>
      </c>
    </row>
    <row r="3270" spans="1:25" x14ac:dyDescent="0.25">
      <c r="A3270" s="1" t="s">
        <v>6790</v>
      </c>
      <c r="B3270" s="1">
        <v>18028828</v>
      </c>
      <c r="C3270" s="1" t="s">
        <v>295</v>
      </c>
      <c r="D3270" s="1" t="s">
        <v>197</v>
      </c>
      <c r="E3270" s="1" t="s">
        <v>939</v>
      </c>
      <c r="F3270" s="1" t="s">
        <v>17</v>
      </c>
      <c r="G3270" s="1" t="s">
        <v>4736</v>
      </c>
      <c r="I3270" s="1">
        <v>1098</v>
      </c>
      <c r="J3270" s="1"/>
      <c r="K3270" s="1" t="s">
        <v>26</v>
      </c>
      <c r="L3270" s="1">
        <v>4.4000000000000004</v>
      </c>
      <c r="M3270" s="1">
        <v>581</v>
      </c>
      <c r="P3270" t="str">
        <f t="shared" si="207"/>
        <v/>
      </c>
      <c r="Q3270" s="12" t="str">
        <f t="shared" si="204"/>
        <v/>
      </c>
      <c r="R3270" s="9" t="str">
        <f t="shared" si="205"/>
        <v/>
      </c>
      <c r="S3270" s="9">
        <f>IF(R3270="",AVERAGEIF(Table1[Category],Table1[[#This Row],[Category]],Table2[orignal data]),Table2[[#This Row],[orignal data]])</f>
        <v>552.70900000000006</v>
      </c>
      <c r="T3270" t="str">
        <f t="shared" si="206"/>
        <v>UNIQUE</v>
      </c>
      <c r="U3270" t="str">
        <f>IF(ISBLANK(Table1[[#This Row],[SizeOption]]),"NOT AVAILABLE",Table1[[#This Row],[SizeOption]])</f>
        <v>S, M, L, XL</v>
      </c>
      <c r="Y3270" t="str">
        <f>IF(Table2[[#This Row],[Column1]]&gt;50%,"HIGH DISCOUNT","LOW DISCOUNT")</f>
        <v>HIGH DISCOUNT</v>
      </c>
    </row>
    <row r="3271" spans="1:25" x14ac:dyDescent="0.25">
      <c r="A3271" s="2" t="s">
        <v>6791</v>
      </c>
      <c r="B3271" s="2">
        <v>10647172</v>
      </c>
      <c r="C3271" s="2" t="s">
        <v>349</v>
      </c>
      <c r="D3271" s="2" t="s">
        <v>197</v>
      </c>
      <c r="E3271" s="2" t="s">
        <v>1807</v>
      </c>
      <c r="F3271" s="2" t="s">
        <v>17</v>
      </c>
      <c r="G3271" s="2" t="s">
        <v>6792</v>
      </c>
      <c r="I3271" s="2">
        <v>289</v>
      </c>
      <c r="J3271" s="2"/>
      <c r="K3271" s="2" t="s">
        <v>352</v>
      </c>
      <c r="L3271" s="2">
        <v>4.5</v>
      </c>
      <c r="M3271" s="2">
        <v>581</v>
      </c>
      <c r="P3271" t="str">
        <f t="shared" si="207"/>
        <v/>
      </c>
      <c r="Q3271" s="12" t="str">
        <f t="shared" si="204"/>
        <v/>
      </c>
      <c r="R3271" s="9" t="str">
        <f t="shared" si="205"/>
        <v/>
      </c>
      <c r="S3271" s="9">
        <f>IF(R3271="",AVERAGEIF(Table1[Category],Table1[[#This Row],[Category]],Table2[orignal data]),Table2[[#This Row],[orignal data]])</f>
        <v>552.70900000000006</v>
      </c>
      <c r="T3271" t="str">
        <f t="shared" si="206"/>
        <v>UNIQUE</v>
      </c>
      <c r="U3271" t="str">
        <f>IF(ISBLANK(Table1[[#This Row],[SizeOption]]),"NOT AVAILABLE",Table1[[#This Row],[SizeOption]])</f>
        <v>S, M, L</v>
      </c>
      <c r="Y3271" t="str">
        <f>IF(Table2[[#This Row],[Column1]]&gt;50%,"HIGH DISCOUNT","LOW DISCOUNT")</f>
        <v>HIGH DISCOUNT</v>
      </c>
    </row>
    <row r="3272" spans="1:25" x14ac:dyDescent="0.25">
      <c r="A3272" s="1" t="s">
        <v>6793</v>
      </c>
      <c r="B3272" s="1">
        <v>11638770</v>
      </c>
      <c r="C3272" s="1" t="s">
        <v>349</v>
      </c>
      <c r="D3272" s="1" t="s">
        <v>197</v>
      </c>
      <c r="E3272" s="1" t="s">
        <v>1807</v>
      </c>
      <c r="F3272" s="1" t="s">
        <v>17</v>
      </c>
      <c r="G3272" s="1" t="s">
        <v>6794</v>
      </c>
      <c r="I3272" s="1">
        <v>578</v>
      </c>
      <c r="J3272" s="1"/>
      <c r="K3272" s="1" t="s">
        <v>352</v>
      </c>
      <c r="L3272" s="1">
        <v>4.5</v>
      </c>
      <c r="M3272" s="1">
        <v>581</v>
      </c>
      <c r="P3272" t="str">
        <f t="shared" si="207"/>
        <v/>
      </c>
      <c r="Q3272" s="12" t="str">
        <f t="shared" si="204"/>
        <v/>
      </c>
      <c r="R3272" s="9" t="str">
        <f t="shared" si="205"/>
        <v/>
      </c>
      <c r="S3272" s="9">
        <f>IF(R3272="",AVERAGEIF(Table1[Category],Table1[[#This Row],[Category]],Table2[orignal data]),Table2[[#This Row],[orignal data]])</f>
        <v>552.70900000000006</v>
      </c>
      <c r="T3272" t="str">
        <f t="shared" si="206"/>
        <v>UNIQUE</v>
      </c>
      <c r="U3272" t="str">
        <f>IF(ISBLANK(Table1[[#This Row],[SizeOption]]),"NOT AVAILABLE",Table1[[#This Row],[SizeOption]])</f>
        <v>S, M, L</v>
      </c>
      <c r="Y3272" t="str">
        <f>IF(Table2[[#This Row],[Column1]]&gt;50%,"HIGH DISCOUNT","LOW DISCOUNT")</f>
        <v>HIGH DISCOUNT</v>
      </c>
    </row>
    <row r="3273" spans="1:25" x14ac:dyDescent="0.25">
      <c r="A3273" s="2" t="s">
        <v>6795</v>
      </c>
      <c r="B3273" s="2">
        <v>998931</v>
      </c>
      <c r="C3273" s="2" t="s">
        <v>6796</v>
      </c>
      <c r="D3273" s="2" t="s">
        <v>28</v>
      </c>
      <c r="E3273" s="2" t="s">
        <v>29</v>
      </c>
      <c r="F3273" s="2" t="s">
        <v>17</v>
      </c>
      <c r="G3273" s="2" t="s">
        <v>6797</v>
      </c>
      <c r="H3273">
        <v>599</v>
      </c>
      <c r="I3273" s="2">
        <v>1999</v>
      </c>
      <c r="J3273" s="2" t="s">
        <v>79</v>
      </c>
      <c r="K3273" s="2" t="s">
        <v>6798</v>
      </c>
      <c r="L3273" s="2">
        <v>3.9</v>
      </c>
      <c r="M3273" s="2">
        <v>581</v>
      </c>
      <c r="P3273" t="str">
        <f t="shared" si="207"/>
        <v>70%</v>
      </c>
      <c r="Q3273" s="12">
        <f t="shared" si="204"/>
        <v>0.7</v>
      </c>
      <c r="R3273" s="9">
        <f t="shared" si="205"/>
        <v>599.70000000000005</v>
      </c>
      <c r="S3273" s="9">
        <f>IF(R3273="",AVERAGEIF(Table1[Category],Table1[[#This Row],[Category]],Table2[orignal data]),Table2[[#This Row],[orignal data]])</f>
        <v>599.70000000000005</v>
      </c>
      <c r="T3273" t="str">
        <f t="shared" si="206"/>
        <v>UNIQUE</v>
      </c>
      <c r="U3273" t="str">
        <f>IF(ISBLANK(Table1[[#This Row],[SizeOption]]),"NOT AVAILABLE",Table1[[#This Row],[SizeOption]])</f>
        <v>36, 38, 40, 42, 44, 46, 48, 50, 52, 54</v>
      </c>
      <c r="Y3273" t="str">
        <f>IF(Table2[[#This Row],[Column1]]&gt;50%,"HIGH DISCOUNT","LOW DISCOUNT")</f>
        <v>HIGH DISCOUNT</v>
      </c>
    </row>
    <row r="3274" spans="1:25" x14ac:dyDescent="0.25">
      <c r="A3274" s="1" t="s">
        <v>6799</v>
      </c>
      <c r="B3274" s="1">
        <v>9035869</v>
      </c>
      <c r="C3274" s="1" t="s">
        <v>4245</v>
      </c>
      <c r="D3274" s="1" t="s">
        <v>76</v>
      </c>
      <c r="E3274" s="1" t="s">
        <v>1708</v>
      </c>
      <c r="F3274" s="1" t="s">
        <v>36</v>
      </c>
      <c r="G3274" s="1" t="s">
        <v>6800</v>
      </c>
      <c r="H3274">
        <v>1355</v>
      </c>
      <c r="I3274" s="1">
        <v>1595</v>
      </c>
      <c r="J3274" s="1" t="s">
        <v>786</v>
      </c>
      <c r="K3274" s="1" t="s">
        <v>39</v>
      </c>
      <c r="L3274" s="1">
        <v>4</v>
      </c>
      <c r="M3274" s="1">
        <v>581</v>
      </c>
      <c r="P3274" t="str">
        <f t="shared" si="207"/>
        <v>15%</v>
      </c>
      <c r="Q3274" s="12">
        <f t="shared" si="204"/>
        <v>0.15</v>
      </c>
      <c r="R3274" s="9">
        <f t="shared" si="205"/>
        <v>1355.75</v>
      </c>
      <c r="S3274" s="9">
        <f>IF(R3274="",AVERAGEIF(Table1[Category],Table1[[#This Row],[Category]],Table2[orignal data]),Table2[[#This Row],[orignal data]])</f>
        <v>1355.75</v>
      </c>
      <c r="T3274" t="str">
        <f t="shared" si="206"/>
        <v>UNIQUE</v>
      </c>
      <c r="U3274" t="str">
        <f>IF(ISBLANK(Table1[[#This Row],[SizeOption]]),"NOT AVAILABLE",Table1[[#This Row],[SizeOption]])</f>
        <v>S, M, L, XL, XXL</v>
      </c>
      <c r="Y3274" t="str">
        <f>IF(Table2[[#This Row],[Column1]]&gt;50%,"HIGH DISCOUNT","LOW DISCOUNT")</f>
        <v>LOW DISCOUNT</v>
      </c>
    </row>
    <row r="3275" spans="1:25" x14ac:dyDescent="0.25">
      <c r="A3275" s="2" t="s">
        <v>6801</v>
      </c>
      <c r="B3275" s="2">
        <v>10606134</v>
      </c>
      <c r="C3275" s="2" t="s">
        <v>551</v>
      </c>
      <c r="D3275" s="2" t="s">
        <v>34</v>
      </c>
      <c r="E3275" s="2" t="s">
        <v>552</v>
      </c>
      <c r="F3275" s="2" t="s">
        <v>36</v>
      </c>
      <c r="G3275" s="2" t="s">
        <v>6802</v>
      </c>
      <c r="H3275">
        <v>447</v>
      </c>
      <c r="I3275" s="2">
        <v>699</v>
      </c>
      <c r="J3275" s="2" t="s">
        <v>554</v>
      </c>
      <c r="K3275" s="2" t="s">
        <v>164</v>
      </c>
      <c r="L3275" s="2">
        <v>4.3</v>
      </c>
      <c r="M3275" s="2">
        <v>581</v>
      </c>
      <c r="P3275" t="str">
        <f t="shared" si="207"/>
        <v>36%</v>
      </c>
      <c r="Q3275" s="12">
        <f t="shared" si="204"/>
        <v>0.36</v>
      </c>
      <c r="R3275" s="9">
        <f t="shared" si="205"/>
        <v>447.36</v>
      </c>
      <c r="S3275" s="9">
        <f>IF(R3275="",AVERAGEIF(Table1[Category],Table1[[#This Row],[Category]],Table2[orignal data]),Table2[[#This Row],[orignal data]])</f>
        <v>447.36</v>
      </c>
      <c r="T3275" t="str">
        <f t="shared" si="206"/>
        <v>UNIQUE</v>
      </c>
      <c r="U3275" t="str">
        <f>IF(ISBLANK(Table1[[#This Row],[SizeOption]]),"NOT AVAILABLE",Table1[[#This Row],[SizeOption]])</f>
        <v>Onesize</v>
      </c>
      <c r="Y3275" t="str">
        <f>IF(Table2[[#This Row],[Column1]]&gt;50%,"HIGH DISCOUNT","LOW DISCOUNT")</f>
        <v>LOW DISCOUNT</v>
      </c>
    </row>
    <row r="3276" spans="1:25" x14ac:dyDescent="0.25">
      <c r="A3276" s="1" t="s">
        <v>6803</v>
      </c>
      <c r="B3276" s="1">
        <v>11927558</v>
      </c>
      <c r="C3276" s="1" t="s">
        <v>102</v>
      </c>
      <c r="D3276" s="1" t="s">
        <v>41</v>
      </c>
      <c r="E3276" s="1" t="s">
        <v>53</v>
      </c>
      <c r="F3276" s="1" t="s">
        <v>36</v>
      </c>
      <c r="G3276" s="1" t="s">
        <v>6804</v>
      </c>
      <c r="I3276" s="1">
        <v>1399</v>
      </c>
      <c r="J3276" s="1" t="s">
        <v>602</v>
      </c>
      <c r="K3276" s="1" t="s">
        <v>105</v>
      </c>
      <c r="L3276" s="1">
        <v>4.3</v>
      </c>
      <c r="M3276" s="1">
        <v>581</v>
      </c>
      <c r="P3276" t="str">
        <f t="shared" si="207"/>
        <v>48%</v>
      </c>
      <c r="Q3276" s="12">
        <f t="shared" si="204"/>
        <v>0.48</v>
      </c>
      <c r="R3276" s="9">
        <f t="shared" si="205"/>
        <v>727.48</v>
      </c>
      <c r="S3276" s="9">
        <f>IF(R3276="",AVERAGEIF(Table1[Category],Table1[[#This Row],[Category]],Table2[orignal data]),Table2[[#This Row],[orignal data]])</f>
        <v>727.48</v>
      </c>
      <c r="T3276" t="str">
        <f t="shared" si="206"/>
        <v>UNIQUE</v>
      </c>
      <c r="U3276" t="str">
        <f>IF(ISBLANK(Table1[[#This Row],[SizeOption]]),"NOT AVAILABLE",Table1[[#This Row],[SizeOption]])</f>
        <v>28, 30, 32, 34</v>
      </c>
      <c r="Y3276" t="str">
        <f>IF(Table2[[#This Row],[Column1]]&gt;50%,"HIGH DISCOUNT","LOW DISCOUNT")</f>
        <v>LOW DISCOUNT</v>
      </c>
    </row>
    <row r="3277" spans="1:25" x14ac:dyDescent="0.25">
      <c r="A3277" s="2" t="s">
        <v>6805</v>
      </c>
      <c r="B3277" s="2">
        <v>12254468</v>
      </c>
      <c r="C3277" s="2" t="s">
        <v>67</v>
      </c>
      <c r="D3277" s="2" t="s">
        <v>15</v>
      </c>
      <c r="E3277" s="2" t="s">
        <v>23</v>
      </c>
      <c r="F3277" s="2" t="s">
        <v>17</v>
      </c>
      <c r="G3277" s="2" t="s">
        <v>6806</v>
      </c>
      <c r="H3277">
        <v>839</v>
      </c>
      <c r="I3277" s="2">
        <v>2099</v>
      </c>
      <c r="J3277" s="2" t="s">
        <v>55</v>
      </c>
      <c r="K3277" s="2" t="s">
        <v>39</v>
      </c>
      <c r="L3277" s="2">
        <v>4.3</v>
      </c>
      <c r="M3277" s="2">
        <v>580</v>
      </c>
      <c r="P3277" t="str">
        <f t="shared" si="207"/>
        <v>60%</v>
      </c>
      <c r="Q3277" s="12">
        <f t="shared" si="204"/>
        <v>0.6</v>
      </c>
      <c r="R3277" s="9">
        <f t="shared" si="205"/>
        <v>839.60000000000014</v>
      </c>
      <c r="S3277" s="9">
        <f>IF(R3277="",AVERAGEIF(Table1[Category],Table1[[#This Row],[Category]],Table2[orignal data]),Table2[[#This Row],[orignal data]])</f>
        <v>839.60000000000014</v>
      </c>
      <c r="T3277" t="str">
        <f t="shared" si="206"/>
        <v>UNIQUE</v>
      </c>
      <c r="U3277" t="str">
        <f>IF(ISBLANK(Table1[[#This Row],[SizeOption]]),"NOT AVAILABLE",Table1[[#This Row],[SizeOption]])</f>
        <v>S, M, L, XL, XXL</v>
      </c>
      <c r="Y3277" t="str">
        <f>IF(Table2[[#This Row],[Column1]]&gt;50%,"HIGH DISCOUNT","LOW DISCOUNT")</f>
        <v>HIGH DISCOUNT</v>
      </c>
    </row>
    <row r="3278" spans="1:25" x14ac:dyDescent="0.25">
      <c r="A3278" s="1" t="s">
        <v>6807</v>
      </c>
      <c r="B3278" s="1">
        <v>12919344</v>
      </c>
      <c r="C3278" s="1" t="s">
        <v>14</v>
      </c>
      <c r="D3278" s="1" t="s">
        <v>28</v>
      </c>
      <c r="E3278" s="1" t="s">
        <v>29</v>
      </c>
      <c r="F3278" s="1" t="s">
        <v>17</v>
      </c>
      <c r="G3278" s="1" t="s">
        <v>6808</v>
      </c>
      <c r="I3278" s="1">
        <v>449</v>
      </c>
      <c r="J3278" s="1"/>
      <c r="K3278" s="1" t="s">
        <v>31</v>
      </c>
      <c r="L3278" s="1">
        <v>4.2</v>
      </c>
      <c r="M3278" s="1">
        <v>580</v>
      </c>
      <c r="P3278" t="str">
        <f t="shared" si="207"/>
        <v/>
      </c>
      <c r="Q3278" s="12" t="str">
        <f t="shared" si="204"/>
        <v/>
      </c>
      <c r="R3278" s="9" t="str">
        <f t="shared" si="205"/>
        <v/>
      </c>
      <c r="S3278" s="9">
        <f>IF(R3278="",AVERAGEIF(Table1[Category],Table1[[#This Row],[Category]],Table2[orignal data]),Table2[[#This Row],[orignal data]])</f>
        <v>671.7823941958867</v>
      </c>
      <c r="T3278" t="str">
        <f t="shared" si="206"/>
        <v>UNIQUE</v>
      </c>
      <c r="U3278" t="str">
        <f>IF(ISBLANK(Table1[[#This Row],[SizeOption]]),"NOT AVAILABLE",Table1[[#This Row],[SizeOption]])</f>
        <v>38, 40, 42, 44, 46, 48</v>
      </c>
      <c r="Y3278" t="str">
        <f>IF(Table2[[#This Row],[Column1]]&gt;50%,"HIGH DISCOUNT","LOW DISCOUNT")</f>
        <v>HIGH DISCOUNT</v>
      </c>
    </row>
    <row r="3279" spans="1:25" x14ac:dyDescent="0.25">
      <c r="A3279" s="2" t="s">
        <v>6809</v>
      </c>
      <c r="B3279" s="2">
        <v>9371565</v>
      </c>
      <c r="C3279" s="2" t="s">
        <v>97</v>
      </c>
      <c r="D3279" s="2" t="s">
        <v>76</v>
      </c>
      <c r="E3279" s="2" t="s">
        <v>93</v>
      </c>
      <c r="F3279" s="2" t="s">
        <v>36</v>
      </c>
      <c r="G3279" s="2" t="s">
        <v>6810</v>
      </c>
      <c r="H3279">
        <v>524</v>
      </c>
      <c r="I3279" s="2">
        <v>1499</v>
      </c>
      <c r="J3279" s="2" t="s">
        <v>150</v>
      </c>
      <c r="K3279" s="2" t="s">
        <v>100</v>
      </c>
      <c r="L3279" s="2">
        <v>4.4000000000000004</v>
      </c>
      <c r="M3279" s="2">
        <v>580</v>
      </c>
      <c r="P3279" t="str">
        <f t="shared" si="207"/>
        <v>65%</v>
      </c>
      <c r="Q3279" s="12">
        <f t="shared" si="204"/>
        <v>0.65</v>
      </c>
      <c r="R3279" s="9">
        <f t="shared" si="205"/>
        <v>524.65</v>
      </c>
      <c r="S3279" s="9">
        <f>IF(R3279="",AVERAGEIF(Table1[Category],Table1[[#This Row],[Category]],Table2[orignal data]),Table2[[#This Row],[orignal data]])</f>
        <v>524.65</v>
      </c>
      <c r="T3279" t="str">
        <f t="shared" si="206"/>
        <v>UNIQUE</v>
      </c>
      <c r="U3279" t="str">
        <f>IF(ISBLANK(Table1[[#This Row],[SizeOption]]),"NOT AVAILABLE",Table1[[#This Row],[SizeOption]])</f>
        <v>XS, S, M, L, XL, XXL, 3XL</v>
      </c>
      <c r="Y3279" t="str">
        <f>IF(Table2[[#This Row],[Column1]]&gt;50%,"HIGH DISCOUNT","LOW DISCOUNT")</f>
        <v>HIGH DISCOUNT</v>
      </c>
    </row>
    <row r="3280" spans="1:25" x14ac:dyDescent="0.25">
      <c r="A3280" s="1" t="s">
        <v>6811</v>
      </c>
      <c r="B3280" s="1">
        <v>11556818</v>
      </c>
      <c r="C3280" s="1" t="s">
        <v>1375</v>
      </c>
      <c r="D3280" s="1" t="s">
        <v>76</v>
      </c>
      <c r="E3280" s="1" t="s">
        <v>320</v>
      </c>
      <c r="F3280" s="1" t="s">
        <v>36</v>
      </c>
      <c r="G3280" s="1" t="s">
        <v>6812</v>
      </c>
      <c r="H3280">
        <v>1084</v>
      </c>
      <c r="I3280" s="1">
        <v>3099</v>
      </c>
      <c r="J3280" s="1" t="s">
        <v>150</v>
      </c>
      <c r="K3280" s="1" t="s">
        <v>164</v>
      </c>
      <c r="L3280" s="1">
        <v>3.8</v>
      </c>
      <c r="M3280" s="1">
        <v>580</v>
      </c>
      <c r="P3280" t="str">
        <f t="shared" si="207"/>
        <v>65%</v>
      </c>
      <c r="Q3280" s="12">
        <f t="shared" si="204"/>
        <v>0.65</v>
      </c>
      <c r="R3280" s="9">
        <f t="shared" si="205"/>
        <v>1084.6499999999999</v>
      </c>
      <c r="S3280" s="9">
        <f>IF(R3280="",AVERAGEIF(Table1[Category],Table1[[#This Row],[Category]],Table2[orignal data]),Table2[[#This Row],[orignal data]])</f>
        <v>1084.6499999999999</v>
      </c>
      <c r="T3280" t="str">
        <f t="shared" si="206"/>
        <v>UNIQUE</v>
      </c>
      <c r="U3280" t="str">
        <f>IF(ISBLANK(Table1[[#This Row],[SizeOption]]),"NOT AVAILABLE",Table1[[#This Row],[SizeOption]])</f>
        <v>Onesize</v>
      </c>
      <c r="Y3280" t="str">
        <f>IF(Table2[[#This Row],[Column1]]&gt;50%,"HIGH DISCOUNT","LOW DISCOUNT")</f>
        <v>HIGH DISCOUNT</v>
      </c>
    </row>
    <row r="3281" spans="1:25" x14ac:dyDescent="0.25">
      <c r="A3281" s="2" t="s">
        <v>6813</v>
      </c>
      <c r="B3281" s="2">
        <v>14198812</v>
      </c>
      <c r="C3281" s="2" t="s">
        <v>6723</v>
      </c>
      <c r="D3281" s="2" t="s">
        <v>34</v>
      </c>
      <c r="E3281" s="2" t="s">
        <v>518</v>
      </c>
      <c r="F3281" s="2" t="s">
        <v>36</v>
      </c>
      <c r="G3281" s="2" t="s">
        <v>6814</v>
      </c>
      <c r="I3281" s="2">
        <v>449</v>
      </c>
      <c r="J3281" s="2"/>
      <c r="K3281" s="2" t="s">
        <v>115</v>
      </c>
      <c r="L3281" s="2">
        <v>4.4000000000000004</v>
      </c>
      <c r="M3281" s="2">
        <v>580</v>
      </c>
      <c r="P3281" t="str">
        <f t="shared" si="207"/>
        <v/>
      </c>
      <c r="Q3281" s="12" t="str">
        <f t="shared" si="204"/>
        <v/>
      </c>
      <c r="R3281" s="9" t="str">
        <f t="shared" si="205"/>
        <v/>
      </c>
      <c r="S3281" s="9">
        <f>IF(R3281="",AVERAGEIF(Table1[Category],Table1[[#This Row],[Category]],Table2[orignal data]),Table2[[#This Row],[orignal data]])</f>
        <v>608.88518518518481</v>
      </c>
      <c r="T3281" t="str">
        <f t="shared" si="206"/>
        <v>UNIQUE</v>
      </c>
      <c r="U3281" t="str">
        <f>IF(ISBLANK(Table1[[#This Row],[SizeOption]]),"NOT AVAILABLE",Table1[[#This Row],[SizeOption]])</f>
        <v>XS, S, M, L, XL, XXL</v>
      </c>
      <c r="Y3281" t="str">
        <f>IF(Table2[[#This Row],[Column1]]&gt;50%,"HIGH DISCOUNT","LOW DISCOUNT")</f>
        <v>HIGH DISCOUNT</v>
      </c>
    </row>
    <row r="3282" spans="1:25" x14ac:dyDescent="0.25">
      <c r="A3282" s="1" t="s">
        <v>6815</v>
      </c>
      <c r="B3282" s="1">
        <v>10561332</v>
      </c>
      <c r="C3282" s="1" t="s">
        <v>97</v>
      </c>
      <c r="D3282" s="1" t="s">
        <v>98</v>
      </c>
      <c r="E3282" s="1" t="s">
        <v>93</v>
      </c>
      <c r="F3282" s="1" t="s">
        <v>36</v>
      </c>
      <c r="G3282" s="1" t="s">
        <v>6816</v>
      </c>
      <c r="H3282">
        <v>384</v>
      </c>
      <c r="I3282" s="1">
        <v>1099</v>
      </c>
      <c r="J3282" s="1" t="s">
        <v>150</v>
      </c>
      <c r="K3282" s="1" t="s">
        <v>100</v>
      </c>
      <c r="L3282" s="1">
        <v>4</v>
      </c>
      <c r="M3282" s="1">
        <v>580</v>
      </c>
      <c r="P3282" t="str">
        <f t="shared" si="207"/>
        <v>65%</v>
      </c>
      <c r="Q3282" s="12">
        <f t="shared" si="204"/>
        <v>0.65</v>
      </c>
      <c r="R3282" s="9">
        <f t="shared" si="205"/>
        <v>384.65</v>
      </c>
      <c r="S3282" s="9">
        <f>IF(R3282="",AVERAGEIF(Table1[Category],Table1[[#This Row],[Category]],Table2[orignal data]),Table2[[#This Row],[orignal data]])</f>
        <v>384.65</v>
      </c>
      <c r="T3282" t="str">
        <f t="shared" si="206"/>
        <v>UNIQUE</v>
      </c>
      <c r="U3282" t="str">
        <f>IF(ISBLANK(Table1[[#This Row],[SizeOption]]),"NOT AVAILABLE",Table1[[#This Row],[SizeOption]])</f>
        <v>XS, S, M, L, XL, XXL, 3XL</v>
      </c>
      <c r="Y3282" t="str">
        <f>IF(Table2[[#This Row],[Column1]]&gt;50%,"HIGH DISCOUNT","LOW DISCOUNT")</f>
        <v>HIGH DISCOUNT</v>
      </c>
    </row>
    <row r="3283" spans="1:25" x14ac:dyDescent="0.25">
      <c r="A3283" s="2" t="s">
        <v>6817</v>
      </c>
      <c r="B3283" s="2">
        <v>9965759</v>
      </c>
      <c r="C3283" s="2" t="s">
        <v>67</v>
      </c>
      <c r="D3283" s="2" t="s">
        <v>68</v>
      </c>
      <c r="E3283" s="2" t="s">
        <v>306</v>
      </c>
      <c r="F3283" s="2" t="s">
        <v>36</v>
      </c>
      <c r="G3283" s="2" t="s">
        <v>6818</v>
      </c>
      <c r="H3283">
        <v>809</v>
      </c>
      <c r="I3283" s="2">
        <v>1799</v>
      </c>
      <c r="J3283" s="2" t="s">
        <v>25</v>
      </c>
      <c r="K3283" s="2" t="s">
        <v>115</v>
      </c>
      <c r="L3283" s="2">
        <v>4.0999999999999996</v>
      </c>
      <c r="M3283" s="2">
        <v>580</v>
      </c>
      <c r="P3283" t="str">
        <f t="shared" si="207"/>
        <v>55%</v>
      </c>
      <c r="Q3283" s="12">
        <f t="shared" si="204"/>
        <v>0.55000000000000004</v>
      </c>
      <c r="R3283" s="9">
        <f t="shared" si="205"/>
        <v>809.55</v>
      </c>
      <c r="S3283" s="9">
        <f>IF(R3283="",AVERAGEIF(Table1[Category],Table1[[#This Row],[Category]],Table2[orignal data]),Table2[[#This Row],[orignal data]])</f>
        <v>809.55</v>
      </c>
      <c r="T3283" t="str">
        <f t="shared" si="206"/>
        <v>UNIQUE</v>
      </c>
      <c r="U3283" t="str">
        <f>IF(ISBLANK(Table1[[#This Row],[SizeOption]]),"NOT AVAILABLE",Table1[[#This Row],[SizeOption]])</f>
        <v>XS, S, M, L, XL, XXL</v>
      </c>
      <c r="Y3283" t="str">
        <f>IF(Table2[[#This Row],[Column1]]&gt;50%,"HIGH DISCOUNT","LOW DISCOUNT")</f>
        <v>HIGH DISCOUNT</v>
      </c>
    </row>
    <row r="3284" spans="1:25" x14ac:dyDescent="0.25">
      <c r="A3284" s="1" t="s">
        <v>6819</v>
      </c>
      <c r="B3284" s="1">
        <v>17383258</v>
      </c>
      <c r="C3284" s="1" t="s">
        <v>14</v>
      </c>
      <c r="D3284" s="1" t="s">
        <v>41</v>
      </c>
      <c r="E3284" s="1" t="s">
        <v>42</v>
      </c>
      <c r="F3284" s="1" t="s">
        <v>36</v>
      </c>
      <c r="G3284" s="1" t="s">
        <v>6820</v>
      </c>
      <c r="I3284" s="1">
        <v>1598</v>
      </c>
      <c r="J3284" s="1"/>
      <c r="K3284" s="1" t="s">
        <v>146</v>
      </c>
      <c r="L3284" s="1">
        <v>4.4000000000000004</v>
      </c>
      <c r="M3284" s="1">
        <v>580</v>
      </c>
      <c r="P3284" t="str">
        <f t="shared" si="207"/>
        <v/>
      </c>
      <c r="Q3284" s="12" t="str">
        <f t="shared" si="204"/>
        <v/>
      </c>
      <c r="R3284" s="9" t="str">
        <f t="shared" si="205"/>
        <v/>
      </c>
      <c r="S3284" s="9">
        <f>IF(R3284="",AVERAGEIF(Table1[Category],Table1[[#This Row],[Category]],Table2[orignal data]),Table2[[#This Row],[orignal data]])</f>
        <v>715.78890751086249</v>
      </c>
      <c r="T3284" t="str">
        <f t="shared" si="206"/>
        <v>UNIQUE</v>
      </c>
      <c r="U3284" t="str">
        <f>IF(ISBLANK(Table1[[#This Row],[SizeOption]]),"NOT AVAILABLE",Table1[[#This Row],[SizeOption]])</f>
        <v>L, M, S, XS, XL</v>
      </c>
      <c r="Y3284" t="str">
        <f>IF(Table2[[#This Row],[Column1]]&gt;50%,"HIGH DISCOUNT","LOW DISCOUNT")</f>
        <v>HIGH DISCOUNT</v>
      </c>
    </row>
    <row r="3285" spans="1:25" x14ac:dyDescent="0.25">
      <c r="A3285" s="2" t="s">
        <v>6821</v>
      </c>
      <c r="B3285" s="2">
        <v>8962331</v>
      </c>
      <c r="C3285" s="2" t="s">
        <v>14</v>
      </c>
      <c r="D3285" s="2" t="s">
        <v>15</v>
      </c>
      <c r="E3285" s="2" t="s">
        <v>16</v>
      </c>
      <c r="F3285" s="2" t="s">
        <v>17</v>
      </c>
      <c r="G3285" s="2" t="s">
        <v>2670</v>
      </c>
      <c r="H3285">
        <v>674</v>
      </c>
      <c r="I3285" s="2">
        <v>1499</v>
      </c>
      <c r="J3285" s="2" t="s">
        <v>25</v>
      </c>
      <c r="K3285" s="2" t="s">
        <v>134</v>
      </c>
      <c r="L3285" s="2">
        <v>3.6</v>
      </c>
      <c r="M3285" s="2">
        <v>579</v>
      </c>
      <c r="P3285" t="str">
        <f t="shared" si="207"/>
        <v>55%</v>
      </c>
      <c r="Q3285" s="12">
        <f t="shared" si="204"/>
        <v>0.55000000000000004</v>
      </c>
      <c r="R3285" s="9">
        <f t="shared" si="205"/>
        <v>674.55</v>
      </c>
      <c r="S3285" s="9">
        <f>IF(R3285="",AVERAGEIF(Table1[Category],Table1[[#This Row],[Category]],Table2[orignal data]),Table2[[#This Row],[orignal data]])</f>
        <v>674.55</v>
      </c>
      <c r="T3285" t="str">
        <f t="shared" si="206"/>
        <v>UNIQUE</v>
      </c>
      <c r="U3285" t="str">
        <f>IF(ISBLANK(Table1[[#This Row],[SizeOption]]),"NOT AVAILABLE",Table1[[#This Row],[SizeOption]])</f>
        <v>26, 28, 30, 32, 34, 36</v>
      </c>
      <c r="Y3285" t="str">
        <f>IF(Table2[[#This Row],[Column1]]&gt;50%,"HIGH DISCOUNT","LOW DISCOUNT")</f>
        <v>HIGH DISCOUNT</v>
      </c>
    </row>
    <row r="3286" spans="1:25" x14ac:dyDescent="0.25">
      <c r="A3286" s="1" t="s">
        <v>6822</v>
      </c>
      <c r="B3286" s="1">
        <v>13492026</v>
      </c>
      <c r="C3286" s="1" t="s">
        <v>52</v>
      </c>
      <c r="D3286" s="1" t="s">
        <v>15</v>
      </c>
      <c r="E3286" s="1" t="s">
        <v>16</v>
      </c>
      <c r="F3286" s="1" t="s">
        <v>17</v>
      </c>
      <c r="G3286" s="1" t="s">
        <v>4350</v>
      </c>
      <c r="H3286">
        <v>536</v>
      </c>
      <c r="I3286" s="1">
        <v>1449</v>
      </c>
      <c r="J3286" s="1" t="s">
        <v>476</v>
      </c>
      <c r="K3286" s="1" t="s">
        <v>816</v>
      </c>
      <c r="L3286" s="1">
        <v>3.7</v>
      </c>
      <c r="M3286" s="1">
        <v>579</v>
      </c>
      <c r="P3286" t="str">
        <f t="shared" si="207"/>
        <v>63%</v>
      </c>
      <c r="Q3286" s="12">
        <f t="shared" si="204"/>
        <v>0.63</v>
      </c>
      <c r="R3286" s="9">
        <f t="shared" si="205"/>
        <v>536.13</v>
      </c>
      <c r="S3286" s="9">
        <f>IF(R3286="",AVERAGEIF(Table1[Category],Table1[[#This Row],[Category]],Table2[orignal data]),Table2[[#This Row],[orignal data]])</f>
        <v>536.13</v>
      </c>
      <c r="T3286" t="str">
        <f t="shared" si="206"/>
        <v>UNIQUE</v>
      </c>
      <c r="U3286" t="str">
        <f>IF(ISBLANK(Table1[[#This Row],[SizeOption]]),"NOT AVAILABLE",Table1[[#This Row],[SizeOption]])</f>
        <v>30, 32, 34, 36, 38</v>
      </c>
      <c r="Y3286" t="str">
        <f>IF(Table2[[#This Row],[Column1]]&gt;50%,"HIGH DISCOUNT","LOW DISCOUNT")</f>
        <v>HIGH DISCOUNT</v>
      </c>
    </row>
    <row r="3287" spans="1:25" x14ac:dyDescent="0.25">
      <c r="A3287" s="2" t="s">
        <v>6823</v>
      </c>
      <c r="B3287" s="2">
        <v>2205652</v>
      </c>
      <c r="C3287" s="2" t="s">
        <v>1281</v>
      </c>
      <c r="D3287" s="2" t="s">
        <v>76</v>
      </c>
      <c r="E3287" s="2" t="s">
        <v>93</v>
      </c>
      <c r="F3287" s="2" t="s">
        <v>17</v>
      </c>
      <c r="G3287" s="2" t="s">
        <v>6824</v>
      </c>
      <c r="H3287">
        <v>874</v>
      </c>
      <c r="I3287" s="2">
        <v>2499</v>
      </c>
      <c r="J3287" s="2" t="s">
        <v>150</v>
      </c>
      <c r="K3287" s="2" t="s">
        <v>45</v>
      </c>
      <c r="L3287" s="2">
        <v>3.8</v>
      </c>
      <c r="M3287" s="2">
        <v>579</v>
      </c>
      <c r="P3287" t="str">
        <f t="shared" si="207"/>
        <v>65%</v>
      </c>
      <c r="Q3287" s="12">
        <f t="shared" si="204"/>
        <v>0.65</v>
      </c>
      <c r="R3287" s="9">
        <f t="shared" si="205"/>
        <v>874.64999999999986</v>
      </c>
      <c r="S3287" s="9">
        <f>IF(R3287="",AVERAGEIF(Table1[Category],Table1[[#This Row],[Category]],Table2[orignal data]),Table2[[#This Row],[orignal data]])</f>
        <v>874.64999999999986</v>
      </c>
      <c r="T3287" t="str">
        <f t="shared" si="206"/>
        <v>UNIQUE</v>
      </c>
      <c r="U3287" t="str">
        <f>IF(ISBLANK(Table1[[#This Row],[SizeOption]]),"NOT AVAILABLE",Table1[[#This Row],[SizeOption]])</f>
        <v>XS, S, M, L, XL</v>
      </c>
      <c r="Y3287" t="str">
        <f>IF(Table2[[#This Row],[Column1]]&gt;50%,"HIGH DISCOUNT","LOW DISCOUNT")</f>
        <v>HIGH DISCOUNT</v>
      </c>
    </row>
    <row r="3288" spans="1:25" x14ac:dyDescent="0.25">
      <c r="A3288" s="1" t="s">
        <v>6825</v>
      </c>
      <c r="B3288" s="1">
        <v>9242693</v>
      </c>
      <c r="C3288" s="1" t="s">
        <v>14</v>
      </c>
      <c r="D3288" s="1" t="s">
        <v>28</v>
      </c>
      <c r="E3288" s="1" t="s">
        <v>42</v>
      </c>
      <c r="F3288" s="1" t="s">
        <v>17</v>
      </c>
      <c r="G3288" s="1" t="s">
        <v>6826</v>
      </c>
      <c r="H3288">
        <v>604</v>
      </c>
      <c r="I3288" s="1">
        <v>1099</v>
      </c>
      <c r="J3288" s="1" t="s">
        <v>19</v>
      </c>
      <c r="K3288" s="1" t="s">
        <v>26</v>
      </c>
      <c r="L3288" s="1">
        <v>4.2</v>
      </c>
      <c r="M3288" s="1">
        <v>579</v>
      </c>
      <c r="P3288" t="str">
        <f t="shared" si="207"/>
        <v>45%</v>
      </c>
      <c r="Q3288" s="12">
        <f t="shared" si="204"/>
        <v>0.45</v>
      </c>
      <c r="R3288" s="9">
        <f t="shared" si="205"/>
        <v>604.45000000000005</v>
      </c>
      <c r="S3288" s="9">
        <f>IF(R3288="",AVERAGEIF(Table1[Category],Table1[[#This Row],[Category]],Table2[orignal data]),Table2[[#This Row],[orignal data]])</f>
        <v>604.45000000000005</v>
      </c>
      <c r="T3288" t="str">
        <f t="shared" si="206"/>
        <v>UNIQUE</v>
      </c>
      <c r="U3288" t="str">
        <f>IF(ISBLANK(Table1[[#This Row],[SizeOption]]),"NOT AVAILABLE",Table1[[#This Row],[SizeOption]])</f>
        <v>S, M, L, XL</v>
      </c>
      <c r="Y3288" t="str">
        <f>IF(Table2[[#This Row],[Column1]]&gt;50%,"HIGH DISCOUNT","LOW DISCOUNT")</f>
        <v>LOW DISCOUNT</v>
      </c>
    </row>
    <row r="3289" spans="1:25" x14ac:dyDescent="0.25">
      <c r="A3289" s="2" t="s">
        <v>6827</v>
      </c>
      <c r="B3289" s="2">
        <v>9059133</v>
      </c>
      <c r="C3289" s="2" t="s">
        <v>1176</v>
      </c>
      <c r="D3289" s="2" t="s">
        <v>28</v>
      </c>
      <c r="E3289" s="2" t="s">
        <v>42</v>
      </c>
      <c r="F3289" s="2" t="s">
        <v>17</v>
      </c>
      <c r="G3289" s="2" t="s">
        <v>6828</v>
      </c>
      <c r="H3289">
        <v>520</v>
      </c>
      <c r="I3289" s="2">
        <v>1269</v>
      </c>
      <c r="J3289" s="2" t="s">
        <v>95</v>
      </c>
      <c r="K3289" s="2" t="s">
        <v>26</v>
      </c>
      <c r="L3289" s="2">
        <v>4</v>
      </c>
      <c r="M3289" s="2">
        <v>579</v>
      </c>
      <c r="P3289" t="str">
        <f t="shared" si="207"/>
        <v>59%</v>
      </c>
      <c r="Q3289" s="12">
        <f t="shared" si="204"/>
        <v>0.59</v>
      </c>
      <c r="R3289" s="9">
        <f t="shared" si="205"/>
        <v>520.29000000000008</v>
      </c>
      <c r="S3289" s="9">
        <f>IF(R3289="",AVERAGEIF(Table1[Category],Table1[[#This Row],[Category]],Table2[orignal data]),Table2[[#This Row],[orignal data]])</f>
        <v>520.29000000000008</v>
      </c>
      <c r="T3289" t="str">
        <f t="shared" si="206"/>
        <v>UNIQUE</v>
      </c>
      <c r="U3289" t="str">
        <f>IF(ISBLANK(Table1[[#This Row],[SizeOption]]),"NOT AVAILABLE",Table1[[#This Row],[SizeOption]])</f>
        <v>S, M, L, XL</v>
      </c>
      <c r="Y3289" t="str">
        <f>IF(Table2[[#This Row],[Column1]]&gt;50%,"HIGH DISCOUNT","LOW DISCOUNT")</f>
        <v>HIGH DISCOUNT</v>
      </c>
    </row>
    <row r="3290" spans="1:25" x14ac:dyDescent="0.25">
      <c r="A3290" s="1" t="s">
        <v>6829</v>
      </c>
      <c r="B3290" s="1">
        <v>11363640</v>
      </c>
      <c r="C3290" s="1" t="s">
        <v>169</v>
      </c>
      <c r="D3290" s="1" t="s">
        <v>28</v>
      </c>
      <c r="E3290" s="1" t="s">
        <v>42</v>
      </c>
      <c r="F3290" s="1" t="s">
        <v>17</v>
      </c>
      <c r="G3290" s="1" t="s">
        <v>6830</v>
      </c>
      <c r="H3290">
        <v>799</v>
      </c>
      <c r="I3290" s="1">
        <v>1599</v>
      </c>
      <c r="J3290" s="1" t="s">
        <v>84</v>
      </c>
      <c r="K3290" s="1" t="s">
        <v>39</v>
      </c>
      <c r="L3290" s="1">
        <v>4.3</v>
      </c>
      <c r="M3290" s="1">
        <v>579</v>
      </c>
      <c r="P3290" t="str">
        <f t="shared" si="207"/>
        <v>50%</v>
      </c>
      <c r="Q3290" s="12">
        <f t="shared" si="204"/>
        <v>0.5</v>
      </c>
      <c r="R3290" s="9">
        <f t="shared" si="205"/>
        <v>799.5</v>
      </c>
      <c r="S3290" s="9">
        <f>IF(R3290="",AVERAGEIF(Table1[Category],Table1[[#This Row],[Category]],Table2[orignal data]),Table2[[#This Row],[orignal data]])</f>
        <v>799.5</v>
      </c>
      <c r="T3290" t="str">
        <f t="shared" si="206"/>
        <v>UNIQUE</v>
      </c>
      <c r="U3290" t="str">
        <f>IF(ISBLANK(Table1[[#This Row],[SizeOption]]),"NOT AVAILABLE",Table1[[#This Row],[SizeOption]])</f>
        <v>S, M, L, XL, XXL</v>
      </c>
      <c r="Y3290" t="str">
        <f>IF(Table2[[#This Row],[Column1]]&gt;50%,"HIGH DISCOUNT","LOW DISCOUNT")</f>
        <v>LOW DISCOUNT</v>
      </c>
    </row>
    <row r="3291" spans="1:25" x14ac:dyDescent="0.25">
      <c r="A3291" s="2" t="s">
        <v>6831</v>
      </c>
      <c r="B3291" s="2">
        <v>1901429</v>
      </c>
      <c r="C3291" s="2" t="s">
        <v>14</v>
      </c>
      <c r="D3291" s="2" t="s">
        <v>28</v>
      </c>
      <c r="E3291" s="2" t="s">
        <v>189</v>
      </c>
      <c r="F3291" s="2" t="s">
        <v>17</v>
      </c>
      <c r="G3291" s="2" t="s">
        <v>6832</v>
      </c>
      <c r="H3291">
        <v>1119</v>
      </c>
      <c r="I3291" s="2">
        <v>2799</v>
      </c>
      <c r="J3291" s="2" t="s">
        <v>55</v>
      </c>
      <c r="K3291" s="2" t="s">
        <v>39</v>
      </c>
      <c r="L3291" s="2">
        <v>4.0999999999999996</v>
      </c>
      <c r="M3291" s="2">
        <v>579</v>
      </c>
      <c r="P3291" t="str">
        <f t="shared" si="207"/>
        <v>60%</v>
      </c>
      <c r="Q3291" s="12">
        <f t="shared" si="204"/>
        <v>0.6</v>
      </c>
      <c r="R3291" s="9">
        <f t="shared" si="205"/>
        <v>1119.6000000000001</v>
      </c>
      <c r="S3291" s="9">
        <f>IF(R3291="",AVERAGEIF(Table1[Category],Table1[[#This Row],[Category]],Table2[orignal data]),Table2[[#This Row],[orignal data]])</f>
        <v>1119.6000000000001</v>
      </c>
      <c r="T3291" t="str">
        <f t="shared" si="206"/>
        <v>UNIQUE</v>
      </c>
      <c r="U3291" t="str">
        <f>IF(ISBLANK(Table1[[#This Row],[SizeOption]]),"NOT AVAILABLE",Table1[[#This Row],[SizeOption]])</f>
        <v>S, M, L, XL, XXL</v>
      </c>
      <c r="Y3291" t="str">
        <f>IF(Table2[[#This Row],[Column1]]&gt;50%,"HIGH DISCOUNT","LOW DISCOUNT")</f>
        <v>HIGH DISCOUNT</v>
      </c>
    </row>
    <row r="3292" spans="1:25" x14ac:dyDescent="0.25">
      <c r="A3292" s="1" t="s">
        <v>6833</v>
      </c>
      <c r="B3292" s="1">
        <v>15649434</v>
      </c>
      <c r="C3292" s="1" t="s">
        <v>75</v>
      </c>
      <c r="D3292" s="1" t="s">
        <v>76</v>
      </c>
      <c r="E3292" s="1" t="s">
        <v>77</v>
      </c>
      <c r="F3292" s="1" t="s">
        <v>36</v>
      </c>
      <c r="G3292" s="1" t="s">
        <v>6834</v>
      </c>
      <c r="H3292">
        <v>1559</v>
      </c>
      <c r="I3292" s="1">
        <v>3899</v>
      </c>
      <c r="J3292" s="1" t="s">
        <v>55</v>
      </c>
      <c r="K3292" s="1" t="s">
        <v>39</v>
      </c>
      <c r="L3292" s="1">
        <v>3.8</v>
      </c>
      <c r="M3292" s="1">
        <v>579</v>
      </c>
      <c r="P3292" t="str">
        <f t="shared" si="207"/>
        <v>60%</v>
      </c>
      <c r="Q3292" s="12">
        <f t="shared" si="204"/>
        <v>0.6</v>
      </c>
      <c r="R3292" s="9">
        <f t="shared" si="205"/>
        <v>1559.6</v>
      </c>
      <c r="S3292" s="9">
        <f>IF(R3292="",AVERAGEIF(Table1[Category],Table1[[#This Row],[Category]],Table2[orignal data]),Table2[[#This Row],[orignal data]])</f>
        <v>1559.6</v>
      </c>
      <c r="T3292" t="str">
        <f t="shared" si="206"/>
        <v>UNIQUE</v>
      </c>
      <c r="U3292" t="str">
        <f>IF(ISBLANK(Table1[[#This Row],[SizeOption]]),"NOT AVAILABLE",Table1[[#This Row],[SizeOption]])</f>
        <v>S, M, L, XL, XXL</v>
      </c>
      <c r="Y3292" t="str">
        <f>IF(Table2[[#This Row],[Column1]]&gt;50%,"HIGH DISCOUNT","LOW DISCOUNT")</f>
        <v>HIGH DISCOUNT</v>
      </c>
    </row>
    <row r="3293" spans="1:25" x14ac:dyDescent="0.25">
      <c r="A3293" s="2" t="s">
        <v>6835</v>
      </c>
      <c r="B3293" s="2">
        <v>10561324</v>
      </c>
      <c r="C3293" s="2" t="s">
        <v>97</v>
      </c>
      <c r="D3293" s="2" t="s">
        <v>98</v>
      </c>
      <c r="E3293" s="2" t="s">
        <v>93</v>
      </c>
      <c r="F3293" s="2" t="s">
        <v>36</v>
      </c>
      <c r="G3293" s="2" t="s">
        <v>6836</v>
      </c>
      <c r="H3293">
        <v>509</v>
      </c>
      <c r="I3293" s="2">
        <v>1699</v>
      </c>
      <c r="J3293" s="2" t="s">
        <v>79</v>
      </c>
      <c r="K3293" s="2" t="s">
        <v>100</v>
      </c>
      <c r="L3293" s="2">
        <v>4.4000000000000004</v>
      </c>
      <c r="M3293" s="2">
        <v>579</v>
      </c>
      <c r="P3293" t="str">
        <f t="shared" si="207"/>
        <v>70%</v>
      </c>
      <c r="Q3293" s="12">
        <f t="shared" si="204"/>
        <v>0.7</v>
      </c>
      <c r="R3293" s="9">
        <f t="shared" si="205"/>
        <v>509.70000000000005</v>
      </c>
      <c r="S3293" s="9">
        <f>IF(R3293="",AVERAGEIF(Table1[Category],Table1[[#This Row],[Category]],Table2[orignal data]),Table2[[#This Row],[orignal data]])</f>
        <v>509.70000000000005</v>
      </c>
      <c r="T3293" t="str">
        <f t="shared" si="206"/>
        <v>UNIQUE</v>
      </c>
      <c r="U3293" t="str">
        <f>IF(ISBLANK(Table1[[#This Row],[SizeOption]]),"NOT AVAILABLE",Table1[[#This Row],[SizeOption]])</f>
        <v>XS, S, M, L, XL, XXL, 3XL</v>
      </c>
      <c r="Y3293" t="str">
        <f>IF(Table2[[#This Row],[Column1]]&gt;50%,"HIGH DISCOUNT","LOW DISCOUNT")</f>
        <v>HIGH DISCOUNT</v>
      </c>
    </row>
    <row r="3294" spans="1:25" x14ac:dyDescent="0.25">
      <c r="A3294" s="1" t="s">
        <v>6837</v>
      </c>
      <c r="B3294" s="1">
        <v>11364266</v>
      </c>
      <c r="C3294" s="1" t="s">
        <v>181</v>
      </c>
      <c r="D3294" s="1" t="s">
        <v>41</v>
      </c>
      <c r="E3294" s="1" t="s">
        <v>48</v>
      </c>
      <c r="F3294" s="1" t="s">
        <v>36</v>
      </c>
      <c r="G3294" s="1" t="s">
        <v>6838</v>
      </c>
      <c r="I3294" s="1">
        <v>1299</v>
      </c>
      <c r="J3294" s="1" t="s">
        <v>55</v>
      </c>
      <c r="K3294" s="1" t="s">
        <v>45</v>
      </c>
      <c r="L3294" s="1">
        <v>4.2</v>
      </c>
      <c r="M3294" s="1">
        <v>579</v>
      </c>
      <c r="P3294" t="str">
        <f t="shared" si="207"/>
        <v>60%</v>
      </c>
      <c r="Q3294" s="12">
        <f t="shared" si="204"/>
        <v>0.6</v>
      </c>
      <c r="R3294" s="9">
        <f t="shared" si="205"/>
        <v>519.6</v>
      </c>
      <c r="S3294" s="9">
        <f>IF(R3294="",AVERAGEIF(Table1[Category],Table1[[#This Row],[Category]],Table2[orignal data]),Table2[[#This Row],[orignal data]])</f>
        <v>519.6</v>
      </c>
      <c r="T3294" t="str">
        <f t="shared" si="206"/>
        <v>UNIQUE</v>
      </c>
      <c r="U3294" t="str">
        <f>IF(ISBLANK(Table1[[#This Row],[SizeOption]]),"NOT AVAILABLE",Table1[[#This Row],[SizeOption]])</f>
        <v>XS, S, M, L, XL</v>
      </c>
      <c r="Y3294" t="str">
        <f>IF(Table2[[#This Row],[Column1]]&gt;50%,"HIGH DISCOUNT","LOW DISCOUNT")</f>
        <v>HIGH DISCOUNT</v>
      </c>
    </row>
    <row r="3295" spans="1:25" x14ac:dyDescent="0.25">
      <c r="A3295" s="2" t="s">
        <v>6839</v>
      </c>
      <c r="B3295" s="2">
        <v>12887830</v>
      </c>
      <c r="C3295" s="2" t="s">
        <v>102</v>
      </c>
      <c r="D3295" s="2" t="s">
        <v>41</v>
      </c>
      <c r="E3295" s="2" t="s">
        <v>16</v>
      </c>
      <c r="F3295" s="2" t="s">
        <v>36</v>
      </c>
      <c r="G3295" s="2" t="s">
        <v>6840</v>
      </c>
      <c r="I3295" s="2">
        <v>1699</v>
      </c>
      <c r="J3295" s="2" t="s">
        <v>130</v>
      </c>
      <c r="K3295" s="2" t="s">
        <v>428</v>
      </c>
      <c r="L3295" s="2">
        <v>4.0999999999999996</v>
      </c>
      <c r="M3295" s="2">
        <v>579</v>
      </c>
      <c r="P3295" t="str">
        <f t="shared" si="207"/>
        <v>57%</v>
      </c>
      <c r="Q3295" s="12">
        <f t="shared" si="204"/>
        <v>0.56999999999999995</v>
      </c>
      <c r="R3295" s="9">
        <f t="shared" si="205"/>
        <v>730.57</v>
      </c>
      <c r="S3295" s="9">
        <f>IF(R3295="",AVERAGEIF(Table1[Category],Table1[[#This Row],[Category]],Table2[orignal data]),Table2[[#This Row],[orignal data]])</f>
        <v>730.57</v>
      </c>
      <c r="T3295" t="str">
        <f t="shared" si="206"/>
        <v>UNIQUE</v>
      </c>
      <c r="U3295" t="str">
        <f>IF(ISBLANK(Table1[[#This Row],[SizeOption]]),"NOT AVAILABLE",Table1[[#This Row],[SizeOption]])</f>
        <v>26, 28, 30, 32, 34</v>
      </c>
      <c r="Y3295" t="str">
        <f>IF(Table2[[#This Row],[Column1]]&gt;50%,"HIGH DISCOUNT","LOW DISCOUNT")</f>
        <v>HIGH DISCOUNT</v>
      </c>
    </row>
    <row r="3296" spans="1:25" x14ac:dyDescent="0.25">
      <c r="A3296" s="1" t="s">
        <v>6841</v>
      </c>
      <c r="B3296" s="1">
        <v>10336533</v>
      </c>
      <c r="C3296" s="1" t="s">
        <v>102</v>
      </c>
      <c r="D3296" s="1" t="s">
        <v>41</v>
      </c>
      <c r="E3296" s="1" t="s">
        <v>148</v>
      </c>
      <c r="F3296" s="1" t="s">
        <v>36</v>
      </c>
      <c r="G3296" s="1" t="s">
        <v>6842</v>
      </c>
      <c r="I3296" s="1">
        <v>1749</v>
      </c>
      <c r="J3296" s="1" t="s">
        <v>758</v>
      </c>
      <c r="K3296" s="1" t="s">
        <v>26</v>
      </c>
      <c r="L3296" s="1">
        <v>4.3</v>
      </c>
      <c r="M3296" s="1">
        <v>579</v>
      </c>
      <c r="P3296" t="str">
        <f t="shared" si="207"/>
        <v>47%</v>
      </c>
      <c r="Q3296" s="12">
        <f t="shared" si="204"/>
        <v>0.47</v>
      </c>
      <c r="R3296" s="9">
        <f t="shared" si="205"/>
        <v>926.97</v>
      </c>
      <c r="S3296" s="9">
        <f>IF(R3296="",AVERAGEIF(Table1[Category],Table1[[#This Row],[Category]],Table2[orignal data]),Table2[[#This Row],[orignal data]])</f>
        <v>926.97</v>
      </c>
      <c r="T3296" t="str">
        <f t="shared" si="206"/>
        <v>UNIQUE</v>
      </c>
      <c r="U3296" t="str">
        <f>IF(ISBLANK(Table1[[#This Row],[SizeOption]]),"NOT AVAILABLE",Table1[[#This Row],[SizeOption]])</f>
        <v>S, M, L, XL</v>
      </c>
      <c r="Y3296" t="str">
        <f>IF(Table2[[#This Row],[Column1]]&gt;50%,"HIGH DISCOUNT","LOW DISCOUNT")</f>
        <v>LOW DISCOUNT</v>
      </c>
    </row>
    <row r="3297" spans="1:25" x14ac:dyDescent="0.25">
      <c r="A3297" s="2" t="s">
        <v>6843</v>
      </c>
      <c r="B3297" s="2">
        <v>17381618</v>
      </c>
      <c r="C3297" s="2" t="s">
        <v>14</v>
      </c>
      <c r="D3297" s="2" t="s">
        <v>41</v>
      </c>
      <c r="E3297" s="2" t="s">
        <v>42</v>
      </c>
      <c r="F3297" s="2" t="s">
        <v>36</v>
      </c>
      <c r="G3297" s="2" t="s">
        <v>6844</v>
      </c>
      <c r="I3297" s="2">
        <v>1798</v>
      </c>
      <c r="J3297" s="2" t="s">
        <v>84</v>
      </c>
      <c r="K3297" s="2" t="s">
        <v>45</v>
      </c>
      <c r="L3297" s="2">
        <v>4.2</v>
      </c>
      <c r="M3297" s="2">
        <v>579</v>
      </c>
      <c r="P3297" t="str">
        <f t="shared" si="207"/>
        <v>50%</v>
      </c>
      <c r="Q3297" s="12">
        <f t="shared" si="204"/>
        <v>0.5</v>
      </c>
      <c r="R3297" s="9">
        <f t="shared" si="205"/>
        <v>899</v>
      </c>
      <c r="S3297" s="9">
        <f>IF(R3297="",AVERAGEIF(Table1[Category],Table1[[#This Row],[Category]],Table2[orignal data]),Table2[[#This Row],[orignal data]])</f>
        <v>899</v>
      </c>
      <c r="T3297" t="str">
        <f t="shared" si="206"/>
        <v>UNIQUE</v>
      </c>
      <c r="U3297" t="str">
        <f>IF(ISBLANK(Table1[[#This Row],[SizeOption]]),"NOT AVAILABLE",Table1[[#This Row],[SizeOption]])</f>
        <v>XS, S, M, L, XL</v>
      </c>
      <c r="Y3297" t="str">
        <f>IF(Table2[[#This Row],[Column1]]&gt;50%,"HIGH DISCOUNT","LOW DISCOUNT")</f>
        <v>LOW DISCOUNT</v>
      </c>
    </row>
    <row r="3298" spans="1:25" x14ac:dyDescent="0.25">
      <c r="A3298" s="1" t="s">
        <v>6845</v>
      </c>
      <c r="B3298" s="1">
        <v>9341677</v>
      </c>
      <c r="C3298" s="1" t="s">
        <v>676</v>
      </c>
      <c r="D3298" s="1" t="s">
        <v>41</v>
      </c>
      <c r="E3298" s="1" t="s">
        <v>48</v>
      </c>
      <c r="F3298" s="1" t="s">
        <v>36</v>
      </c>
      <c r="G3298" s="1" t="s">
        <v>6846</v>
      </c>
      <c r="I3298" s="1">
        <v>1998</v>
      </c>
      <c r="J3298" s="1" t="s">
        <v>84</v>
      </c>
      <c r="K3298" s="1" t="s">
        <v>26</v>
      </c>
      <c r="L3298" s="1">
        <v>3.6</v>
      </c>
      <c r="M3298" s="1">
        <v>579</v>
      </c>
      <c r="P3298" t="str">
        <f t="shared" si="207"/>
        <v>50%</v>
      </c>
      <c r="Q3298" s="12">
        <f t="shared" si="204"/>
        <v>0.5</v>
      </c>
      <c r="R3298" s="9">
        <f t="shared" si="205"/>
        <v>999</v>
      </c>
      <c r="S3298" s="9">
        <f>IF(R3298="",AVERAGEIF(Table1[Category],Table1[[#This Row],[Category]],Table2[orignal data]),Table2[[#This Row],[orignal data]])</f>
        <v>999</v>
      </c>
      <c r="T3298" t="str">
        <f t="shared" si="206"/>
        <v>UNIQUE</v>
      </c>
      <c r="U3298" t="str">
        <f>IF(ISBLANK(Table1[[#This Row],[SizeOption]]),"NOT AVAILABLE",Table1[[#This Row],[SizeOption]])</f>
        <v>S, M, L, XL</v>
      </c>
      <c r="Y3298" t="str">
        <f>IF(Table2[[#This Row],[Column1]]&gt;50%,"HIGH DISCOUNT","LOW DISCOUNT")</f>
        <v>LOW DISCOUNT</v>
      </c>
    </row>
    <row r="3299" spans="1:25" x14ac:dyDescent="0.25">
      <c r="A3299" s="2" t="s">
        <v>6847</v>
      </c>
      <c r="B3299" s="2">
        <v>2288345</v>
      </c>
      <c r="C3299" s="2" t="s">
        <v>201</v>
      </c>
      <c r="D3299" s="2" t="s">
        <v>15</v>
      </c>
      <c r="E3299" s="2" t="s">
        <v>16</v>
      </c>
      <c r="F3299" s="2" t="s">
        <v>17</v>
      </c>
      <c r="G3299" s="2" t="s">
        <v>6848</v>
      </c>
      <c r="H3299">
        <v>959</v>
      </c>
      <c r="I3299" s="2">
        <v>2399</v>
      </c>
      <c r="J3299" s="2" t="s">
        <v>55</v>
      </c>
      <c r="K3299" s="2" t="s">
        <v>20</v>
      </c>
      <c r="L3299" s="2">
        <v>3.8</v>
      </c>
      <c r="M3299" s="2">
        <v>578</v>
      </c>
      <c r="P3299" t="str">
        <f t="shared" si="207"/>
        <v>60%</v>
      </c>
      <c r="Q3299" s="12">
        <f t="shared" si="204"/>
        <v>0.6</v>
      </c>
      <c r="R3299" s="9">
        <f t="shared" si="205"/>
        <v>959.60000000000014</v>
      </c>
      <c r="S3299" s="9">
        <f>IF(R3299="",AVERAGEIF(Table1[Category],Table1[[#This Row],[Category]],Table2[orignal data]),Table2[[#This Row],[orignal data]])</f>
        <v>959.60000000000014</v>
      </c>
      <c r="T3299" t="str">
        <f t="shared" si="206"/>
        <v>UNIQUE</v>
      </c>
      <c r="U3299" t="str">
        <f>IF(ISBLANK(Table1[[#This Row],[SizeOption]]),"NOT AVAILABLE",Table1[[#This Row],[SizeOption]])</f>
        <v>28, 30, 32, 34, 36</v>
      </c>
      <c r="Y3299" t="str">
        <f>IF(Table2[[#This Row],[Column1]]&gt;50%,"HIGH DISCOUNT","LOW DISCOUNT")</f>
        <v>HIGH DISCOUNT</v>
      </c>
    </row>
    <row r="3300" spans="1:25" x14ac:dyDescent="0.25">
      <c r="A3300" s="1" t="s">
        <v>6849</v>
      </c>
      <c r="B3300" s="1">
        <v>9599039</v>
      </c>
      <c r="C3300" s="1" t="s">
        <v>5231</v>
      </c>
      <c r="D3300" s="1" t="s">
        <v>197</v>
      </c>
      <c r="E3300" s="1" t="s">
        <v>350</v>
      </c>
      <c r="F3300" s="1" t="s">
        <v>17</v>
      </c>
      <c r="G3300" s="1" t="s">
        <v>6850</v>
      </c>
      <c r="I3300" s="1">
        <v>1250</v>
      </c>
      <c r="J3300" s="1"/>
      <c r="K3300" s="1" t="s">
        <v>39</v>
      </c>
      <c r="L3300" s="1">
        <v>4.5</v>
      </c>
      <c r="M3300" s="1">
        <v>578</v>
      </c>
      <c r="P3300" t="str">
        <f t="shared" si="207"/>
        <v/>
      </c>
      <c r="Q3300" s="12" t="str">
        <f t="shared" si="204"/>
        <v/>
      </c>
      <c r="R3300" s="9" t="str">
        <f t="shared" si="205"/>
        <v/>
      </c>
      <c r="S3300" s="9">
        <f>IF(R3300="",AVERAGEIF(Table1[Category],Table1[[#This Row],[Category]],Table2[orignal data]),Table2[[#This Row],[orignal data]])</f>
        <v>552.70900000000006</v>
      </c>
      <c r="T3300" t="str">
        <f t="shared" si="206"/>
        <v>UNIQUE</v>
      </c>
      <c r="U3300" t="str">
        <f>IF(ISBLANK(Table1[[#This Row],[SizeOption]]),"NOT AVAILABLE",Table1[[#This Row],[SizeOption]])</f>
        <v>S, M, L, XL, XXL</v>
      </c>
      <c r="Y3300" t="str">
        <f>IF(Table2[[#This Row],[Column1]]&gt;50%,"HIGH DISCOUNT","LOW DISCOUNT")</f>
        <v>HIGH DISCOUNT</v>
      </c>
    </row>
    <row r="3301" spans="1:25" x14ac:dyDescent="0.25">
      <c r="A3301" s="2" t="s">
        <v>6851</v>
      </c>
      <c r="B3301" s="2">
        <v>13130286</v>
      </c>
      <c r="C3301" s="2" t="s">
        <v>6852</v>
      </c>
      <c r="D3301" s="2" t="s">
        <v>197</v>
      </c>
      <c r="E3301" s="2" t="s">
        <v>198</v>
      </c>
      <c r="F3301" s="2" t="s">
        <v>17</v>
      </c>
      <c r="G3301" s="2" t="s">
        <v>6853</v>
      </c>
      <c r="I3301" s="2">
        <v>479</v>
      </c>
      <c r="J3301" s="2"/>
      <c r="K3301" s="2" t="s">
        <v>164</v>
      </c>
      <c r="L3301" s="2">
        <v>4.3</v>
      </c>
      <c r="M3301" s="2">
        <v>578</v>
      </c>
      <c r="P3301" t="str">
        <f t="shared" si="207"/>
        <v/>
      </c>
      <c r="Q3301" s="12" t="str">
        <f t="shared" si="204"/>
        <v/>
      </c>
      <c r="R3301" s="9" t="str">
        <f t="shared" si="205"/>
        <v/>
      </c>
      <c r="S3301" s="9">
        <f>IF(R3301="",AVERAGEIF(Table1[Category],Table1[[#This Row],[Category]],Table2[orignal data]),Table2[[#This Row],[orignal data]])</f>
        <v>552.70900000000006</v>
      </c>
      <c r="T3301" t="str">
        <f t="shared" si="206"/>
        <v>UNIQUE</v>
      </c>
      <c r="U3301" t="str">
        <f>IF(ISBLANK(Table1[[#This Row],[SizeOption]]),"NOT AVAILABLE",Table1[[#This Row],[SizeOption]])</f>
        <v>Onesize</v>
      </c>
      <c r="Y3301" t="str">
        <f>IF(Table2[[#This Row],[Column1]]&gt;50%,"HIGH DISCOUNT","LOW DISCOUNT")</f>
        <v>HIGH DISCOUNT</v>
      </c>
    </row>
    <row r="3302" spans="1:25" x14ac:dyDescent="0.25">
      <c r="A3302" s="1" t="s">
        <v>6854</v>
      </c>
      <c r="B3302" s="1">
        <v>9867877</v>
      </c>
      <c r="C3302" s="1" t="s">
        <v>349</v>
      </c>
      <c r="D3302" s="1" t="s">
        <v>197</v>
      </c>
      <c r="E3302" s="1" t="s">
        <v>296</v>
      </c>
      <c r="F3302" s="1" t="s">
        <v>17</v>
      </c>
      <c r="G3302" s="1" t="s">
        <v>6855</v>
      </c>
      <c r="I3302" s="1">
        <v>219</v>
      </c>
      <c r="J3302" s="1"/>
      <c r="K3302" s="1" t="s">
        <v>352</v>
      </c>
      <c r="L3302" s="1">
        <v>4.3</v>
      </c>
      <c r="M3302" s="1">
        <v>578</v>
      </c>
      <c r="P3302" t="str">
        <f t="shared" si="207"/>
        <v/>
      </c>
      <c r="Q3302" s="12" t="str">
        <f t="shared" si="204"/>
        <v/>
      </c>
      <c r="R3302" s="9" t="str">
        <f t="shared" si="205"/>
        <v/>
      </c>
      <c r="S3302" s="9">
        <f>IF(R3302="",AVERAGEIF(Table1[Category],Table1[[#This Row],[Category]],Table2[orignal data]),Table2[[#This Row],[orignal data]])</f>
        <v>552.70900000000006</v>
      </c>
      <c r="T3302" t="str">
        <f t="shared" si="206"/>
        <v>UNIQUE</v>
      </c>
      <c r="U3302" t="str">
        <f>IF(ISBLANK(Table1[[#This Row],[SizeOption]]),"NOT AVAILABLE",Table1[[#This Row],[SizeOption]])</f>
        <v>S, M, L</v>
      </c>
      <c r="Y3302" t="str">
        <f>IF(Table2[[#This Row],[Column1]]&gt;50%,"HIGH DISCOUNT","LOW DISCOUNT")</f>
        <v>HIGH DISCOUNT</v>
      </c>
    </row>
    <row r="3303" spans="1:25" x14ac:dyDescent="0.25">
      <c r="A3303" s="2" t="s">
        <v>6856</v>
      </c>
      <c r="B3303" s="2">
        <v>11638840</v>
      </c>
      <c r="C3303" s="2" t="s">
        <v>349</v>
      </c>
      <c r="D3303" s="2" t="s">
        <v>197</v>
      </c>
      <c r="E3303" s="2" t="s">
        <v>296</v>
      </c>
      <c r="F3303" s="2" t="s">
        <v>17</v>
      </c>
      <c r="G3303" s="2" t="s">
        <v>6857</v>
      </c>
      <c r="I3303" s="2">
        <v>438</v>
      </c>
      <c r="J3303" s="2"/>
      <c r="K3303" s="2" t="s">
        <v>352</v>
      </c>
      <c r="L3303" s="2">
        <v>4.3</v>
      </c>
      <c r="M3303" s="2">
        <v>578</v>
      </c>
      <c r="P3303" t="str">
        <f t="shared" si="207"/>
        <v/>
      </c>
      <c r="Q3303" s="12" t="str">
        <f t="shared" si="204"/>
        <v/>
      </c>
      <c r="R3303" s="9" t="str">
        <f t="shared" si="205"/>
        <v/>
      </c>
      <c r="S3303" s="9">
        <f>IF(R3303="",AVERAGEIF(Table1[Category],Table1[[#This Row],[Category]],Table2[orignal data]),Table2[[#This Row],[orignal data]])</f>
        <v>552.70900000000006</v>
      </c>
      <c r="T3303" t="str">
        <f t="shared" si="206"/>
        <v>UNIQUE</v>
      </c>
      <c r="U3303" t="str">
        <f>IF(ISBLANK(Table1[[#This Row],[SizeOption]]),"NOT AVAILABLE",Table1[[#This Row],[SizeOption]])</f>
        <v>S, M, L</v>
      </c>
      <c r="Y3303" t="str">
        <f>IF(Table2[[#This Row],[Column1]]&gt;50%,"HIGH DISCOUNT","LOW DISCOUNT")</f>
        <v>HIGH DISCOUNT</v>
      </c>
    </row>
    <row r="3304" spans="1:25" x14ac:dyDescent="0.25">
      <c r="A3304" s="1" t="s">
        <v>6858</v>
      </c>
      <c r="B3304" s="1">
        <v>11326026</v>
      </c>
      <c r="C3304" s="1" t="s">
        <v>14</v>
      </c>
      <c r="D3304" s="1" t="s">
        <v>28</v>
      </c>
      <c r="E3304" s="1" t="s">
        <v>29</v>
      </c>
      <c r="F3304" s="1" t="s">
        <v>17</v>
      </c>
      <c r="G3304" s="1" t="s">
        <v>6859</v>
      </c>
      <c r="H3304">
        <v>1199</v>
      </c>
      <c r="I3304" s="1">
        <v>1999</v>
      </c>
      <c r="J3304" s="1" t="s">
        <v>50</v>
      </c>
      <c r="K3304" s="1" t="s">
        <v>253</v>
      </c>
      <c r="L3304" s="1">
        <v>4.0999999999999996</v>
      </c>
      <c r="M3304" s="1">
        <v>578</v>
      </c>
      <c r="P3304" t="str">
        <f t="shared" si="207"/>
        <v>40%</v>
      </c>
      <c r="Q3304" s="12">
        <f t="shared" si="204"/>
        <v>0.4</v>
      </c>
      <c r="R3304" s="9">
        <f t="shared" si="205"/>
        <v>1199.4000000000001</v>
      </c>
      <c r="S3304" s="9">
        <f>IF(R3304="",AVERAGEIF(Table1[Category],Table1[[#This Row],[Category]],Table2[orignal data]),Table2[[#This Row],[orignal data]])</f>
        <v>1199.4000000000001</v>
      </c>
      <c r="T3304" t="str">
        <f t="shared" si="206"/>
        <v>UNIQUE</v>
      </c>
      <c r="U3304" t="str">
        <f>IF(ISBLANK(Table1[[#This Row],[SizeOption]]),"NOT AVAILABLE",Table1[[#This Row],[SizeOption]])</f>
        <v>38, 40, 42, 44</v>
      </c>
      <c r="Y3304" t="str">
        <f>IF(Table2[[#This Row],[Column1]]&gt;50%,"HIGH DISCOUNT","LOW DISCOUNT")</f>
        <v>LOW DISCOUNT</v>
      </c>
    </row>
    <row r="3305" spans="1:25" x14ac:dyDescent="0.25">
      <c r="A3305" s="2" t="s">
        <v>6860</v>
      </c>
      <c r="B3305" s="2">
        <v>11361214</v>
      </c>
      <c r="C3305" s="2" t="s">
        <v>169</v>
      </c>
      <c r="D3305" s="2" t="s">
        <v>28</v>
      </c>
      <c r="E3305" s="2" t="s">
        <v>29</v>
      </c>
      <c r="F3305" s="2" t="s">
        <v>17</v>
      </c>
      <c r="G3305" s="2" t="s">
        <v>6861</v>
      </c>
      <c r="H3305">
        <v>1099</v>
      </c>
      <c r="I3305" s="2">
        <v>2199</v>
      </c>
      <c r="J3305" s="2" t="s">
        <v>84</v>
      </c>
      <c r="K3305" s="2" t="s">
        <v>484</v>
      </c>
      <c r="L3305" s="2">
        <v>4.3</v>
      </c>
      <c r="M3305" s="2">
        <v>578</v>
      </c>
      <c r="P3305" t="str">
        <f t="shared" si="207"/>
        <v>50%</v>
      </c>
      <c r="Q3305" s="12">
        <f t="shared" si="204"/>
        <v>0.5</v>
      </c>
      <c r="R3305" s="9">
        <f t="shared" si="205"/>
        <v>1099.5</v>
      </c>
      <c r="S3305" s="9">
        <f>IF(R3305="",AVERAGEIF(Table1[Category],Table1[[#This Row],[Category]],Table2[orignal data]),Table2[[#This Row],[orignal data]])</f>
        <v>1099.5</v>
      </c>
      <c r="T3305" t="str">
        <f t="shared" si="206"/>
        <v>UNIQUE</v>
      </c>
      <c r="U3305" t="str">
        <f>IF(ISBLANK(Table1[[#This Row],[SizeOption]]),"NOT AVAILABLE",Table1[[#This Row],[SizeOption]])</f>
        <v>39, 40, 42, 44, 46</v>
      </c>
      <c r="Y3305" t="str">
        <f>IF(Table2[[#This Row],[Column1]]&gt;50%,"HIGH DISCOUNT","LOW DISCOUNT")</f>
        <v>LOW DISCOUNT</v>
      </c>
    </row>
    <row r="3306" spans="1:25" x14ac:dyDescent="0.25">
      <c r="A3306" s="1" t="s">
        <v>6862</v>
      </c>
      <c r="B3306" s="1">
        <v>13437240</v>
      </c>
      <c r="C3306" s="1" t="s">
        <v>97</v>
      </c>
      <c r="D3306" s="1" t="s">
        <v>76</v>
      </c>
      <c r="E3306" s="1" t="s">
        <v>93</v>
      </c>
      <c r="F3306" s="1" t="s">
        <v>36</v>
      </c>
      <c r="G3306" s="1" t="s">
        <v>6863</v>
      </c>
      <c r="H3306">
        <v>764</v>
      </c>
      <c r="I3306" s="1">
        <v>1699</v>
      </c>
      <c r="J3306" s="1" t="s">
        <v>25</v>
      </c>
      <c r="K3306" s="1" t="s">
        <v>100</v>
      </c>
      <c r="L3306" s="1">
        <v>4.3</v>
      </c>
      <c r="M3306" s="1">
        <v>578</v>
      </c>
      <c r="P3306" t="str">
        <f t="shared" si="207"/>
        <v>55%</v>
      </c>
      <c r="Q3306" s="12">
        <f t="shared" si="204"/>
        <v>0.55000000000000004</v>
      </c>
      <c r="R3306" s="9">
        <f t="shared" si="205"/>
        <v>764.55</v>
      </c>
      <c r="S3306" s="9">
        <f>IF(R3306="",AVERAGEIF(Table1[Category],Table1[[#This Row],[Category]],Table2[orignal data]),Table2[[#This Row],[orignal data]])</f>
        <v>764.55</v>
      </c>
      <c r="T3306" t="str">
        <f t="shared" si="206"/>
        <v>UNIQUE</v>
      </c>
      <c r="U3306" t="str">
        <f>IF(ISBLANK(Table1[[#This Row],[SizeOption]]),"NOT AVAILABLE",Table1[[#This Row],[SizeOption]])</f>
        <v>XS, S, M, L, XL, XXL, 3XL</v>
      </c>
      <c r="Y3306" t="str">
        <f>IF(Table2[[#This Row],[Column1]]&gt;50%,"HIGH DISCOUNT","LOW DISCOUNT")</f>
        <v>HIGH DISCOUNT</v>
      </c>
    </row>
    <row r="3307" spans="1:25" x14ac:dyDescent="0.25">
      <c r="A3307" s="2" t="s">
        <v>6864</v>
      </c>
      <c r="B3307" s="2">
        <v>9971501</v>
      </c>
      <c r="C3307" s="2" t="s">
        <v>92</v>
      </c>
      <c r="D3307" s="2" t="s">
        <v>76</v>
      </c>
      <c r="E3307" s="2" t="s">
        <v>77</v>
      </c>
      <c r="F3307" s="2" t="s">
        <v>36</v>
      </c>
      <c r="G3307" s="2" t="s">
        <v>6865</v>
      </c>
      <c r="H3307">
        <v>1039</v>
      </c>
      <c r="I3307" s="2">
        <v>2599</v>
      </c>
      <c r="J3307" s="2" t="s">
        <v>55</v>
      </c>
      <c r="K3307" s="2" t="s">
        <v>39</v>
      </c>
      <c r="L3307" s="2">
        <v>3.8</v>
      </c>
      <c r="M3307" s="2">
        <v>578</v>
      </c>
      <c r="P3307" t="str">
        <f t="shared" si="207"/>
        <v>60%</v>
      </c>
      <c r="Q3307" s="12">
        <f t="shared" si="204"/>
        <v>0.6</v>
      </c>
      <c r="R3307" s="9">
        <f t="shared" si="205"/>
        <v>1039.6000000000001</v>
      </c>
      <c r="S3307" s="9">
        <f>IF(R3307="",AVERAGEIF(Table1[Category],Table1[[#This Row],[Category]],Table2[orignal data]),Table2[[#This Row],[orignal data]])</f>
        <v>1039.6000000000001</v>
      </c>
      <c r="T3307" t="str">
        <f t="shared" si="206"/>
        <v>UNIQUE</v>
      </c>
      <c r="U3307" t="str">
        <f>IF(ISBLANK(Table1[[#This Row],[SizeOption]]),"NOT AVAILABLE",Table1[[#This Row],[SizeOption]])</f>
        <v>S, M, L, XL, XXL</v>
      </c>
      <c r="Y3307" t="str">
        <f>IF(Table2[[#This Row],[Column1]]&gt;50%,"HIGH DISCOUNT","LOW DISCOUNT")</f>
        <v>HIGH DISCOUNT</v>
      </c>
    </row>
    <row r="3308" spans="1:25" x14ac:dyDescent="0.25">
      <c r="A3308" s="1" t="s">
        <v>6866</v>
      </c>
      <c r="B3308" s="1">
        <v>11021000</v>
      </c>
      <c r="C3308" s="1" t="s">
        <v>14</v>
      </c>
      <c r="D3308" s="1" t="s">
        <v>41</v>
      </c>
      <c r="E3308" s="1" t="s">
        <v>48</v>
      </c>
      <c r="F3308" s="1" t="s">
        <v>36</v>
      </c>
      <c r="G3308" s="1" t="s">
        <v>6867</v>
      </c>
      <c r="I3308" s="1">
        <v>1499</v>
      </c>
      <c r="J3308" s="1" t="s">
        <v>84</v>
      </c>
      <c r="K3308" s="1" t="s">
        <v>115</v>
      </c>
      <c r="L3308" s="1">
        <v>4.2</v>
      </c>
      <c r="M3308" s="1">
        <v>578</v>
      </c>
      <c r="P3308" t="str">
        <f t="shared" si="207"/>
        <v>50%</v>
      </c>
      <c r="Q3308" s="12">
        <f t="shared" si="204"/>
        <v>0.5</v>
      </c>
      <c r="R3308" s="9">
        <f t="shared" si="205"/>
        <v>749.5</v>
      </c>
      <c r="S3308" s="9">
        <f>IF(R3308="",AVERAGEIF(Table1[Category],Table1[[#This Row],[Category]],Table2[orignal data]),Table2[[#This Row],[orignal data]])</f>
        <v>749.5</v>
      </c>
      <c r="T3308" t="str">
        <f t="shared" si="206"/>
        <v>UNIQUE</v>
      </c>
      <c r="U3308" t="str">
        <f>IF(ISBLANK(Table1[[#This Row],[SizeOption]]),"NOT AVAILABLE",Table1[[#This Row],[SizeOption]])</f>
        <v>XS, S, M, L, XL, XXL</v>
      </c>
      <c r="Y3308" t="str">
        <f>IF(Table2[[#This Row],[Column1]]&gt;50%,"HIGH DISCOUNT","LOW DISCOUNT")</f>
        <v>LOW DISCOUNT</v>
      </c>
    </row>
    <row r="3309" spans="1:25" x14ac:dyDescent="0.25">
      <c r="A3309" s="2" t="s">
        <v>6868</v>
      </c>
      <c r="B3309" s="2">
        <v>17524678</v>
      </c>
      <c r="C3309" s="2" t="s">
        <v>47</v>
      </c>
      <c r="D3309" s="2" t="s">
        <v>41</v>
      </c>
      <c r="E3309" s="2" t="s">
        <v>42</v>
      </c>
      <c r="F3309" s="2" t="s">
        <v>36</v>
      </c>
      <c r="G3309" s="2" t="s">
        <v>6431</v>
      </c>
      <c r="I3309" s="2">
        <v>1598</v>
      </c>
      <c r="J3309" s="2" t="s">
        <v>84</v>
      </c>
      <c r="K3309" s="2" t="s">
        <v>146</v>
      </c>
      <c r="L3309" s="2">
        <v>4.0999999999999996</v>
      </c>
      <c r="M3309" s="2">
        <v>578</v>
      </c>
      <c r="P3309" t="str">
        <f t="shared" si="207"/>
        <v>50%</v>
      </c>
      <c r="Q3309" s="12">
        <f t="shared" si="204"/>
        <v>0.5</v>
      </c>
      <c r="R3309" s="9">
        <f t="shared" si="205"/>
        <v>799</v>
      </c>
      <c r="S3309" s="9">
        <f>IF(R3309="",AVERAGEIF(Table1[Category],Table1[[#This Row],[Category]],Table2[orignal data]),Table2[[#This Row],[orignal data]])</f>
        <v>799</v>
      </c>
      <c r="T3309" t="str">
        <f t="shared" si="206"/>
        <v>UNIQUE</v>
      </c>
      <c r="U3309" t="str">
        <f>IF(ISBLANK(Table1[[#This Row],[SizeOption]]),"NOT AVAILABLE",Table1[[#This Row],[SizeOption]])</f>
        <v>L, M, S, XS, XL</v>
      </c>
      <c r="Y3309" t="str">
        <f>IF(Table2[[#This Row],[Column1]]&gt;50%,"HIGH DISCOUNT","LOW DISCOUNT")</f>
        <v>LOW DISCOUNT</v>
      </c>
    </row>
    <row r="3310" spans="1:25" x14ac:dyDescent="0.25">
      <c r="A3310" s="1" t="s">
        <v>6869</v>
      </c>
      <c r="B3310" s="1">
        <v>11541966</v>
      </c>
      <c r="C3310" s="1" t="s">
        <v>14</v>
      </c>
      <c r="D3310" s="1" t="s">
        <v>41</v>
      </c>
      <c r="E3310" s="1" t="s">
        <v>16</v>
      </c>
      <c r="F3310" s="1" t="s">
        <v>36</v>
      </c>
      <c r="G3310" s="1" t="s">
        <v>6160</v>
      </c>
      <c r="I3310" s="1">
        <v>2699</v>
      </c>
      <c r="J3310" s="1" t="s">
        <v>84</v>
      </c>
      <c r="K3310" s="1" t="s">
        <v>134</v>
      </c>
      <c r="L3310" s="1">
        <v>4.4000000000000004</v>
      </c>
      <c r="M3310" s="1">
        <v>578</v>
      </c>
      <c r="P3310" t="str">
        <f t="shared" si="207"/>
        <v>50%</v>
      </c>
      <c r="Q3310" s="12">
        <f t="shared" si="204"/>
        <v>0.5</v>
      </c>
      <c r="R3310" s="9">
        <f t="shared" si="205"/>
        <v>1349.5</v>
      </c>
      <c r="S3310" s="9">
        <f>IF(R3310="",AVERAGEIF(Table1[Category],Table1[[#This Row],[Category]],Table2[orignal data]),Table2[[#This Row],[orignal data]])</f>
        <v>1349.5</v>
      </c>
      <c r="T3310" t="str">
        <f t="shared" si="206"/>
        <v>UNIQUE</v>
      </c>
      <c r="U3310" t="str">
        <f>IF(ISBLANK(Table1[[#This Row],[SizeOption]]),"NOT AVAILABLE",Table1[[#This Row],[SizeOption]])</f>
        <v>26, 28, 30, 32, 34, 36</v>
      </c>
      <c r="Y3310" t="str">
        <f>IF(Table2[[#This Row],[Column1]]&gt;50%,"HIGH DISCOUNT","LOW DISCOUNT")</f>
        <v>LOW DISCOUNT</v>
      </c>
    </row>
    <row r="3311" spans="1:25" x14ac:dyDescent="0.25">
      <c r="A3311" s="2" t="s">
        <v>6870</v>
      </c>
      <c r="B3311" s="2">
        <v>12335038</v>
      </c>
      <c r="C3311" s="2" t="s">
        <v>124</v>
      </c>
      <c r="D3311" s="2" t="s">
        <v>41</v>
      </c>
      <c r="E3311" s="2" t="s">
        <v>16</v>
      </c>
      <c r="F3311" s="2" t="s">
        <v>36</v>
      </c>
      <c r="G3311" s="2" t="s">
        <v>6871</v>
      </c>
      <c r="I3311" s="2">
        <v>3199</v>
      </c>
      <c r="J3311" s="2" t="s">
        <v>55</v>
      </c>
      <c r="K3311" s="2" t="s">
        <v>105</v>
      </c>
      <c r="L3311" s="2">
        <v>4.2</v>
      </c>
      <c r="M3311" s="2">
        <v>578</v>
      </c>
      <c r="P3311" t="str">
        <f t="shared" si="207"/>
        <v>60%</v>
      </c>
      <c r="Q3311" s="12">
        <f t="shared" si="204"/>
        <v>0.6</v>
      </c>
      <c r="R3311" s="9">
        <f t="shared" si="205"/>
        <v>1279.6000000000001</v>
      </c>
      <c r="S3311" s="9">
        <f>IF(R3311="",AVERAGEIF(Table1[Category],Table1[[#This Row],[Category]],Table2[orignal data]),Table2[[#This Row],[orignal data]])</f>
        <v>1279.6000000000001</v>
      </c>
      <c r="T3311" t="str">
        <f t="shared" si="206"/>
        <v>UNIQUE</v>
      </c>
      <c r="U3311" t="str">
        <f>IF(ISBLANK(Table1[[#This Row],[SizeOption]]),"NOT AVAILABLE",Table1[[#This Row],[SizeOption]])</f>
        <v>28, 30, 32, 34</v>
      </c>
      <c r="Y3311" t="str">
        <f>IF(Table2[[#This Row],[Column1]]&gt;50%,"HIGH DISCOUNT","LOW DISCOUNT")</f>
        <v>HIGH DISCOUNT</v>
      </c>
    </row>
    <row r="3312" spans="1:25" x14ac:dyDescent="0.25">
      <c r="A3312" s="1" t="s">
        <v>6872</v>
      </c>
      <c r="B3312" s="1">
        <v>17525478</v>
      </c>
      <c r="C3312" s="1" t="s">
        <v>47</v>
      </c>
      <c r="D3312" s="1" t="s">
        <v>41</v>
      </c>
      <c r="E3312" s="1" t="s">
        <v>42</v>
      </c>
      <c r="F3312" s="1" t="s">
        <v>36</v>
      </c>
      <c r="G3312" s="1" t="s">
        <v>5125</v>
      </c>
      <c r="I3312" s="1">
        <v>1598</v>
      </c>
      <c r="J3312" s="1"/>
      <c r="K3312" s="1" t="s">
        <v>146</v>
      </c>
      <c r="L3312" s="1">
        <v>4.4000000000000004</v>
      </c>
      <c r="M3312" s="1">
        <v>578</v>
      </c>
      <c r="P3312" t="str">
        <f t="shared" si="207"/>
        <v/>
      </c>
      <c r="Q3312" s="12" t="str">
        <f t="shared" si="204"/>
        <v/>
      </c>
      <c r="R3312" s="9" t="str">
        <f t="shared" si="205"/>
        <v/>
      </c>
      <c r="S3312" s="9">
        <f>IF(R3312="",AVERAGEIF(Table1[Category],Table1[[#This Row],[Category]],Table2[orignal data]),Table2[[#This Row],[orignal data]])</f>
        <v>715.78890751086249</v>
      </c>
      <c r="T3312" t="str">
        <f t="shared" si="206"/>
        <v>UNIQUE</v>
      </c>
      <c r="U3312" t="str">
        <f>IF(ISBLANK(Table1[[#This Row],[SizeOption]]),"NOT AVAILABLE",Table1[[#This Row],[SizeOption]])</f>
        <v>L, M, S, XS, XL</v>
      </c>
      <c r="Y3312" t="str">
        <f>IF(Table2[[#This Row],[Column1]]&gt;50%,"HIGH DISCOUNT","LOW DISCOUNT")</f>
        <v>HIGH DISCOUNT</v>
      </c>
    </row>
    <row r="3313" spans="1:25" x14ac:dyDescent="0.25">
      <c r="A3313" s="2" t="s">
        <v>6873</v>
      </c>
      <c r="B3313" s="2">
        <v>4438815</v>
      </c>
      <c r="C3313" s="2" t="s">
        <v>52</v>
      </c>
      <c r="D3313" s="2" t="s">
        <v>15</v>
      </c>
      <c r="E3313" s="2" t="s">
        <v>53</v>
      </c>
      <c r="F3313" s="2" t="s">
        <v>17</v>
      </c>
      <c r="G3313" s="2" t="s">
        <v>6874</v>
      </c>
      <c r="H3313">
        <v>728</v>
      </c>
      <c r="I3313" s="2">
        <v>1549</v>
      </c>
      <c r="J3313" s="2" t="s">
        <v>89</v>
      </c>
      <c r="K3313" s="2" t="s">
        <v>56</v>
      </c>
      <c r="L3313" s="2">
        <v>3.9</v>
      </c>
      <c r="M3313" s="2">
        <v>577</v>
      </c>
      <c r="P3313" t="str">
        <f t="shared" si="207"/>
        <v>53%</v>
      </c>
      <c r="Q3313" s="12">
        <f t="shared" si="204"/>
        <v>0.53</v>
      </c>
      <c r="R3313" s="9">
        <f t="shared" si="205"/>
        <v>728.03</v>
      </c>
      <c r="S3313" s="9">
        <f>IF(R3313="",AVERAGEIF(Table1[Category],Table1[[#This Row],[Category]],Table2[orignal data]),Table2[[#This Row],[orignal data]])</f>
        <v>728.03</v>
      </c>
      <c r="T3313" t="str">
        <f t="shared" si="206"/>
        <v>UNIQUE</v>
      </c>
      <c r="U3313" t="str">
        <f>IF(ISBLANK(Table1[[#This Row],[SizeOption]]),"NOT AVAILABLE",Table1[[#This Row],[SizeOption]])</f>
        <v>30, 32, 34, 36</v>
      </c>
      <c r="Y3313" t="str">
        <f>IF(Table2[[#This Row],[Column1]]&gt;50%,"HIGH DISCOUNT","LOW DISCOUNT")</f>
        <v>HIGH DISCOUNT</v>
      </c>
    </row>
    <row r="3314" spans="1:25" x14ac:dyDescent="0.25">
      <c r="A3314" s="1" t="s">
        <v>6875</v>
      </c>
      <c r="B3314" s="1">
        <v>13859220</v>
      </c>
      <c r="C3314" s="1" t="s">
        <v>14</v>
      </c>
      <c r="D3314" s="1" t="s">
        <v>15</v>
      </c>
      <c r="E3314" s="1" t="s">
        <v>53</v>
      </c>
      <c r="F3314" s="1" t="s">
        <v>17</v>
      </c>
      <c r="G3314" s="1" t="s">
        <v>6876</v>
      </c>
      <c r="H3314">
        <v>584</v>
      </c>
      <c r="I3314" s="1">
        <v>1299</v>
      </c>
      <c r="J3314" s="1" t="s">
        <v>25</v>
      </c>
      <c r="K3314" s="1" t="s">
        <v>20</v>
      </c>
      <c r="L3314" s="1">
        <v>4</v>
      </c>
      <c r="M3314" s="1">
        <v>577</v>
      </c>
      <c r="P3314" t="str">
        <f t="shared" si="207"/>
        <v>55%</v>
      </c>
      <c r="Q3314" s="12">
        <f t="shared" si="204"/>
        <v>0.55000000000000004</v>
      </c>
      <c r="R3314" s="9">
        <f t="shared" si="205"/>
        <v>584.54999999999995</v>
      </c>
      <c r="S3314" s="9">
        <f>IF(R3314="",AVERAGEIF(Table1[Category],Table1[[#This Row],[Category]],Table2[orignal data]),Table2[[#This Row],[orignal data]])</f>
        <v>584.54999999999995</v>
      </c>
      <c r="T3314" t="str">
        <f t="shared" si="206"/>
        <v>UNIQUE</v>
      </c>
      <c r="U3314" t="str">
        <f>IF(ISBLANK(Table1[[#This Row],[SizeOption]]),"NOT AVAILABLE",Table1[[#This Row],[SizeOption]])</f>
        <v>28, 30, 32, 34, 36</v>
      </c>
      <c r="Y3314" t="str">
        <f>IF(Table2[[#This Row],[Column1]]&gt;50%,"HIGH DISCOUNT","LOW DISCOUNT")</f>
        <v>HIGH DISCOUNT</v>
      </c>
    </row>
    <row r="3315" spans="1:25" x14ac:dyDescent="0.25">
      <c r="A3315" s="2" t="s">
        <v>6877</v>
      </c>
      <c r="B3315" s="2">
        <v>10020063</v>
      </c>
      <c r="C3315" s="2" t="s">
        <v>22</v>
      </c>
      <c r="D3315" s="2" t="s">
        <v>28</v>
      </c>
      <c r="E3315" s="2" t="s">
        <v>29</v>
      </c>
      <c r="F3315" s="2" t="s">
        <v>17</v>
      </c>
      <c r="G3315" s="2" t="s">
        <v>4104</v>
      </c>
      <c r="H3315">
        <v>681</v>
      </c>
      <c r="I3315" s="2">
        <v>1549</v>
      </c>
      <c r="J3315" s="2" t="s">
        <v>1204</v>
      </c>
      <c r="K3315" s="2" t="s">
        <v>90</v>
      </c>
      <c r="L3315" s="2">
        <v>4.2</v>
      </c>
      <c r="M3315" s="2">
        <v>577</v>
      </c>
      <c r="P3315" t="str">
        <f t="shared" si="207"/>
        <v>56%</v>
      </c>
      <c r="Q3315" s="12">
        <f t="shared" si="204"/>
        <v>0.56000000000000005</v>
      </c>
      <c r="R3315" s="9">
        <f t="shared" si="205"/>
        <v>681.56</v>
      </c>
      <c r="S3315" s="9">
        <f>IF(R3315="",AVERAGEIF(Table1[Category],Table1[[#This Row],[Category]],Table2[orignal data]),Table2[[#This Row],[orignal data]])</f>
        <v>681.56</v>
      </c>
      <c r="T3315" t="str">
        <f t="shared" si="206"/>
        <v>UNIQUE</v>
      </c>
      <c r="U3315" t="str">
        <f>IF(ISBLANK(Table1[[#This Row],[SizeOption]]),"NOT AVAILABLE",Table1[[#This Row],[SizeOption]])</f>
        <v>39, 40, 42, 44</v>
      </c>
      <c r="Y3315" t="str">
        <f>IF(Table2[[#This Row],[Column1]]&gt;50%,"HIGH DISCOUNT","LOW DISCOUNT")</f>
        <v>HIGH DISCOUNT</v>
      </c>
    </row>
    <row r="3316" spans="1:25" x14ac:dyDescent="0.25">
      <c r="A3316" s="1" t="s">
        <v>6878</v>
      </c>
      <c r="B3316" s="1">
        <v>11355896</v>
      </c>
      <c r="C3316" s="1" t="s">
        <v>397</v>
      </c>
      <c r="D3316" s="1" t="s">
        <v>76</v>
      </c>
      <c r="E3316" s="1" t="s">
        <v>148</v>
      </c>
      <c r="F3316" s="1" t="s">
        <v>36</v>
      </c>
      <c r="G3316" s="1" t="s">
        <v>6879</v>
      </c>
      <c r="H3316">
        <v>900</v>
      </c>
      <c r="I3316" s="1">
        <v>1699</v>
      </c>
      <c r="J3316" s="1" t="s">
        <v>758</v>
      </c>
      <c r="K3316" s="1" t="s">
        <v>234</v>
      </c>
      <c r="L3316" s="1">
        <v>4.0999999999999996</v>
      </c>
      <c r="M3316" s="1">
        <v>577</v>
      </c>
      <c r="P3316" t="str">
        <f t="shared" si="207"/>
        <v>47%</v>
      </c>
      <c r="Q3316" s="12">
        <f t="shared" si="204"/>
        <v>0.47</v>
      </c>
      <c r="R3316" s="9">
        <f t="shared" si="205"/>
        <v>900.47</v>
      </c>
      <c r="S3316" s="9">
        <f>IF(R3316="",AVERAGEIF(Table1[Category],Table1[[#This Row],[Category]],Table2[orignal data]),Table2[[#This Row],[orignal data]])</f>
        <v>900.47</v>
      </c>
      <c r="T3316" t="str">
        <f t="shared" si="206"/>
        <v>UNIQUE</v>
      </c>
      <c r="U3316" t="str">
        <f>IF(ISBLANK(Table1[[#This Row],[SizeOption]]),"NOT AVAILABLE",Table1[[#This Row],[SizeOption]])</f>
        <v>S, M, L, XL, XXL, 3XL</v>
      </c>
      <c r="Y3316" t="str">
        <f>IF(Table2[[#This Row],[Column1]]&gt;50%,"HIGH DISCOUNT","LOW DISCOUNT")</f>
        <v>LOW DISCOUNT</v>
      </c>
    </row>
    <row r="3317" spans="1:25" x14ac:dyDescent="0.25">
      <c r="A3317" s="2" t="s">
        <v>6880</v>
      </c>
      <c r="B3317" s="2">
        <v>2045956</v>
      </c>
      <c r="C3317" s="2" t="s">
        <v>64</v>
      </c>
      <c r="D3317" s="2" t="s">
        <v>76</v>
      </c>
      <c r="E3317" s="2" t="s">
        <v>93</v>
      </c>
      <c r="F3317" s="2" t="s">
        <v>36</v>
      </c>
      <c r="G3317" s="2" t="s">
        <v>6881</v>
      </c>
      <c r="H3317">
        <v>899</v>
      </c>
      <c r="I3317" s="2">
        <v>1799</v>
      </c>
      <c r="J3317" s="2" t="s">
        <v>84</v>
      </c>
      <c r="K3317" s="2" t="s">
        <v>100</v>
      </c>
      <c r="L3317" s="2">
        <v>4</v>
      </c>
      <c r="M3317" s="2">
        <v>577</v>
      </c>
      <c r="P3317" t="str">
        <f t="shared" si="207"/>
        <v>50%</v>
      </c>
      <c r="Q3317" s="12">
        <f t="shared" si="204"/>
        <v>0.5</v>
      </c>
      <c r="R3317" s="9">
        <f t="shared" si="205"/>
        <v>899.5</v>
      </c>
      <c r="S3317" s="9">
        <f>IF(R3317="",AVERAGEIF(Table1[Category],Table1[[#This Row],[Category]],Table2[orignal data]),Table2[[#This Row],[orignal data]])</f>
        <v>899.5</v>
      </c>
      <c r="T3317" t="str">
        <f t="shared" si="206"/>
        <v>UNIQUE</v>
      </c>
      <c r="U3317" t="str">
        <f>IF(ISBLANK(Table1[[#This Row],[SizeOption]]),"NOT AVAILABLE",Table1[[#This Row],[SizeOption]])</f>
        <v>XS, S, M, L, XL, XXL, 3XL</v>
      </c>
      <c r="Y3317" t="str">
        <f>IF(Table2[[#This Row],[Column1]]&gt;50%,"HIGH DISCOUNT","LOW DISCOUNT")</f>
        <v>LOW DISCOUNT</v>
      </c>
    </row>
    <row r="3318" spans="1:25" x14ac:dyDescent="0.25">
      <c r="A3318" s="1" t="s">
        <v>6882</v>
      </c>
      <c r="B3318" s="1">
        <v>6984149</v>
      </c>
      <c r="C3318" s="1" t="s">
        <v>2035</v>
      </c>
      <c r="D3318" s="1" t="s">
        <v>76</v>
      </c>
      <c r="E3318" s="1" t="s">
        <v>320</v>
      </c>
      <c r="F3318" s="1" t="s">
        <v>36</v>
      </c>
      <c r="G3318" s="1" t="s">
        <v>6883</v>
      </c>
      <c r="H3318">
        <v>1049</v>
      </c>
      <c r="I3318" s="1">
        <v>6999</v>
      </c>
      <c r="J3318" s="1" t="s">
        <v>6884</v>
      </c>
      <c r="K3318" s="1" t="s">
        <v>164</v>
      </c>
      <c r="L3318" s="1">
        <v>3.9</v>
      </c>
      <c r="M3318" s="1">
        <v>577</v>
      </c>
      <c r="P3318" t="str">
        <f t="shared" si="207"/>
        <v>85%</v>
      </c>
      <c r="Q3318" s="12">
        <f t="shared" si="204"/>
        <v>0.85</v>
      </c>
      <c r="R3318" s="9">
        <f t="shared" si="205"/>
        <v>1049.8500000000004</v>
      </c>
      <c r="S3318" s="9">
        <f>IF(R3318="",AVERAGEIF(Table1[Category],Table1[[#This Row],[Category]],Table2[orignal data]),Table2[[#This Row],[orignal data]])</f>
        <v>1049.8500000000004</v>
      </c>
      <c r="T3318" t="str">
        <f t="shared" si="206"/>
        <v>UNIQUE</v>
      </c>
      <c r="U3318" t="str">
        <f>IF(ISBLANK(Table1[[#This Row],[SizeOption]]),"NOT AVAILABLE",Table1[[#This Row],[SizeOption]])</f>
        <v>Onesize</v>
      </c>
      <c r="Y3318" t="str">
        <f>IF(Table2[[#This Row],[Column1]]&gt;50%,"HIGH DISCOUNT","LOW DISCOUNT")</f>
        <v>HIGH DISCOUNT</v>
      </c>
    </row>
    <row r="3319" spans="1:25" x14ac:dyDescent="0.25">
      <c r="A3319" s="2" t="s">
        <v>6885</v>
      </c>
      <c r="B3319" s="2">
        <v>7782985</v>
      </c>
      <c r="C3319" s="2" t="s">
        <v>33</v>
      </c>
      <c r="D3319" s="2" t="s">
        <v>34</v>
      </c>
      <c r="E3319" s="2" t="s">
        <v>118</v>
      </c>
      <c r="F3319" s="2" t="s">
        <v>36</v>
      </c>
      <c r="G3319" s="2" t="s">
        <v>6886</v>
      </c>
      <c r="H3319">
        <v>777</v>
      </c>
      <c r="I3319" s="2">
        <v>1295</v>
      </c>
      <c r="J3319" s="2" t="s">
        <v>50</v>
      </c>
      <c r="K3319" s="2" t="s">
        <v>6887</v>
      </c>
      <c r="L3319" s="2">
        <v>4.3</v>
      </c>
      <c r="M3319" s="2">
        <v>577</v>
      </c>
      <c r="P3319" t="str">
        <f t="shared" si="207"/>
        <v>40%</v>
      </c>
      <c r="Q3319" s="12">
        <f t="shared" si="204"/>
        <v>0.4</v>
      </c>
      <c r="R3319" s="9">
        <f t="shared" si="205"/>
        <v>777</v>
      </c>
      <c r="S3319" s="9">
        <f>IF(R3319="",AVERAGEIF(Table1[Category],Table1[[#This Row],[Category]],Table2[orignal data]),Table2[[#This Row],[orignal data]])</f>
        <v>777</v>
      </c>
      <c r="T3319" t="str">
        <f t="shared" si="206"/>
        <v>UNIQUE</v>
      </c>
      <c r="U3319" t="str">
        <f>IF(ISBLANK(Table1[[#This Row],[SizeOption]]),"NOT AVAILABLE",Table1[[#This Row],[SizeOption]])</f>
        <v>30B, 30C, 32B, 32C, 32D, 34B, 34C, 34D, 34DD, 36B, 36C, 36D, 36DD, 38B, 38C, 38D</v>
      </c>
      <c r="Y3319" t="str">
        <f>IF(Table2[[#This Row],[Column1]]&gt;50%,"HIGH DISCOUNT","LOW DISCOUNT")</f>
        <v>LOW DISCOUNT</v>
      </c>
    </row>
    <row r="3320" spans="1:25" x14ac:dyDescent="0.25">
      <c r="A3320" s="1" t="s">
        <v>6888</v>
      </c>
      <c r="B3320" s="1">
        <v>12851448</v>
      </c>
      <c r="C3320" s="1" t="s">
        <v>64</v>
      </c>
      <c r="D3320" s="1" t="s">
        <v>98</v>
      </c>
      <c r="E3320" s="1" t="s">
        <v>93</v>
      </c>
      <c r="F3320" s="1" t="s">
        <v>36</v>
      </c>
      <c r="G3320" s="1" t="s">
        <v>6889</v>
      </c>
      <c r="H3320">
        <v>607</v>
      </c>
      <c r="I3320" s="1">
        <v>1349</v>
      </c>
      <c r="J3320" s="1" t="s">
        <v>25</v>
      </c>
      <c r="K3320" s="1" t="s">
        <v>100</v>
      </c>
      <c r="L3320" s="1">
        <v>3.8</v>
      </c>
      <c r="M3320" s="1">
        <v>577</v>
      </c>
      <c r="P3320" t="str">
        <f t="shared" si="207"/>
        <v>55%</v>
      </c>
      <c r="Q3320" s="12">
        <f t="shared" si="204"/>
        <v>0.55000000000000004</v>
      </c>
      <c r="R3320" s="9">
        <f t="shared" si="205"/>
        <v>607.04999999999995</v>
      </c>
      <c r="S3320" s="9">
        <f>IF(R3320="",AVERAGEIF(Table1[Category],Table1[[#This Row],[Category]],Table2[orignal data]),Table2[[#This Row],[orignal data]])</f>
        <v>607.04999999999995</v>
      </c>
      <c r="T3320" t="str">
        <f t="shared" si="206"/>
        <v>UNIQUE</v>
      </c>
      <c r="U3320" t="str">
        <f>IF(ISBLANK(Table1[[#This Row],[SizeOption]]),"NOT AVAILABLE",Table1[[#This Row],[SizeOption]])</f>
        <v>XS, S, M, L, XL, XXL, 3XL</v>
      </c>
      <c r="Y3320" t="str">
        <f>IF(Table2[[#This Row],[Column1]]&gt;50%,"HIGH DISCOUNT","LOW DISCOUNT")</f>
        <v>HIGH DISCOUNT</v>
      </c>
    </row>
    <row r="3321" spans="1:25" x14ac:dyDescent="0.25">
      <c r="A3321" s="2" t="s">
        <v>6890</v>
      </c>
      <c r="B3321" s="2">
        <v>8126503</v>
      </c>
      <c r="C3321" s="2" t="s">
        <v>221</v>
      </c>
      <c r="D3321" s="2" t="s">
        <v>98</v>
      </c>
      <c r="E3321" s="2" t="s">
        <v>48</v>
      </c>
      <c r="F3321" s="2" t="s">
        <v>36</v>
      </c>
      <c r="G3321" s="2" t="s">
        <v>6891</v>
      </c>
      <c r="H3321">
        <v>399</v>
      </c>
      <c r="I3321" s="2">
        <v>1599</v>
      </c>
      <c r="J3321" s="2" t="s">
        <v>109</v>
      </c>
      <c r="K3321" s="2" t="s">
        <v>223</v>
      </c>
      <c r="L3321" s="2">
        <v>3.9</v>
      </c>
      <c r="M3321" s="2">
        <v>577</v>
      </c>
      <c r="P3321" t="str">
        <f t="shared" si="207"/>
        <v>75%</v>
      </c>
      <c r="Q3321" s="12">
        <f t="shared" si="204"/>
        <v>0.75</v>
      </c>
      <c r="R3321" s="9">
        <f t="shared" si="205"/>
        <v>399.75</v>
      </c>
      <c r="S3321" s="9">
        <f>IF(R3321="",AVERAGEIF(Table1[Category],Table1[[#This Row],[Category]],Table2[orignal data]),Table2[[#This Row],[orignal data]])</f>
        <v>399.75</v>
      </c>
      <c r="T3321" t="str">
        <f t="shared" si="206"/>
        <v>UNIQUE</v>
      </c>
      <c r="U3321" t="str">
        <f>IF(ISBLANK(Table1[[#This Row],[SizeOption]]),"NOT AVAILABLE",Table1[[#This Row],[SizeOption]])</f>
        <v>S, M, L, XL, XXL, 3XL, 4XL</v>
      </c>
      <c r="Y3321" t="str">
        <f>IF(Table2[[#This Row],[Column1]]&gt;50%,"HIGH DISCOUNT","LOW DISCOUNT")</f>
        <v>HIGH DISCOUNT</v>
      </c>
    </row>
    <row r="3322" spans="1:25" x14ac:dyDescent="0.25">
      <c r="A3322" s="1" t="s">
        <v>6892</v>
      </c>
      <c r="B3322" s="1">
        <v>12767052</v>
      </c>
      <c r="C3322" s="1" t="s">
        <v>188</v>
      </c>
      <c r="D3322" s="1" t="s">
        <v>68</v>
      </c>
      <c r="E3322" s="1" t="s">
        <v>23</v>
      </c>
      <c r="F3322" s="1" t="s">
        <v>36</v>
      </c>
      <c r="G3322" s="1" t="s">
        <v>6893</v>
      </c>
      <c r="H3322">
        <v>467</v>
      </c>
      <c r="I3322" s="1">
        <v>899</v>
      </c>
      <c r="J3322" s="1" t="s">
        <v>602</v>
      </c>
      <c r="K3322" s="1" t="s">
        <v>26</v>
      </c>
      <c r="L3322" s="1">
        <v>4.2</v>
      </c>
      <c r="M3322" s="1">
        <v>577</v>
      </c>
      <c r="P3322" t="str">
        <f t="shared" si="207"/>
        <v>48%</v>
      </c>
      <c r="Q3322" s="12">
        <f t="shared" si="204"/>
        <v>0.48</v>
      </c>
      <c r="R3322" s="9">
        <f t="shared" si="205"/>
        <v>467.48</v>
      </c>
      <c r="S3322" s="9">
        <f>IF(R3322="",AVERAGEIF(Table1[Category],Table1[[#This Row],[Category]],Table2[orignal data]),Table2[[#This Row],[orignal data]])</f>
        <v>467.48</v>
      </c>
      <c r="T3322" t="str">
        <f t="shared" si="206"/>
        <v>UNIQUE</v>
      </c>
      <c r="U3322" t="str">
        <f>IF(ISBLANK(Table1[[#This Row],[SizeOption]]),"NOT AVAILABLE",Table1[[#This Row],[SizeOption]])</f>
        <v>S, M, L, XL</v>
      </c>
      <c r="Y3322" t="str">
        <f>IF(Table2[[#This Row],[Column1]]&gt;50%,"HIGH DISCOUNT","LOW DISCOUNT")</f>
        <v>LOW DISCOUNT</v>
      </c>
    </row>
    <row r="3323" spans="1:25" x14ac:dyDescent="0.25">
      <c r="A3323" s="2" t="s">
        <v>6894</v>
      </c>
      <c r="B3323" s="2">
        <v>10739562</v>
      </c>
      <c r="C3323" s="2" t="s">
        <v>124</v>
      </c>
      <c r="D3323" s="2" t="s">
        <v>41</v>
      </c>
      <c r="E3323" s="2" t="s">
        <v>53</v>
      </c>
      <c r="F3323" s="2" t="s">
        <v>36</v>
      </c>
      <c r="G3323" s="2" t="s">
        <v>6895</v>
      </c>
      <c r="I3323" s="2">
        <v>1199</v>
      </c>
      <c r="J3323" s="2" t="s">
        <v>55</v>
      </c>
      <c r="K3323" s="2" t="s">
        <v>6896</v>
      </c>
      <c r="L3323" s="2">
        <v>3.7</v>
      </c>
      <c r="M3323" s="2">
        <v>577</v>
      </c>
      <c r="P3323" t="str">
        <f t="shared" si="207"/>
        <v>60%</v>
      </c>
      <c r="Q3323" s="12">
        <f t="shared" si="204"/>
        <v>0.6</v>
      </c>
      <c r="R3323" s="9">
        <f t="shared" si="205"/>
        <v>479.6</v>
      </c>
      <c r="S3323" s="9">
        <f>IF(R3323="",AVERAGEIF(Table1[Category],Table1[[#This Row],[Category]],Table2[orignal data]),Table2[[#This Row],[orignal data]])</f>
        <v>479.6</v>
      </c>
      <c r="T3323" t="str">
        <f t="shared" si="206"/>
        <v>UNIQUE</v>
      </c>
      <c r="U3323" t="str">
        <f>IF(ISBLANK(Table1[[#This Row],[SizeOption]]),"NOT AVAILABLE",Table1[[#This Row],[SizeOption]])</f>
        <v>24, 26, 28, 30, 32, 34</v>
      </c>
      <c r="Y3323" t="str">
        <f>IF(Table2[[#This Row],[Column1]]&gt;50%,"HIGH DISCOUNT","LOW DISCOUNT")</f>
        <v>HIGH DISCOUNT</v>
      </c>
    </row>
    <row r="3324" spans="1:25" x14ac:dyDescent="0.25">
      <c r="A3324" s="1" t="s">
        <v>6897</v>
      </c>
      <c r="B3324" s="1">
        <v>8999463</v>
      </c>
      <c r="C3324" s="1" t="s">
        <v>3150</v>
      </c>
      <c r="D3324" s="1" t="s">
        <v>41</v>
      </c>
      <c r="E3324" s="1" t="s">
        <v>53</v>
      </c>
      <c r="F3324" s="1" t="s">
        <v>36</v>
      </c>
      <c r="G3324" s="1" t="s">
        <v>6898</v>
      </c>
      <c r="I3324" s="1">
        <v>1199</v>
      </c>
      <c r="J3324" s="1" t="s">
        <v>84</v>
      </c>
      <c r="K3324" s="1" t="s">
        <v>134</v>
      </c>
      <c r="L3324" s="1">
        <v>3.8</v>
      </c>
      <c r="M3324" s="1">
        <v>577</v>
      </c>
      <c r="P3324" t="str">
        <f t="shared" si="207"/>
        <v>50%</v>
      </c>
      <c r="Q3324" s="12">
        <f t="shared" si="204"/>
        <v>0.5</v>
      </c>
      <c r="R3324" s="9">
        <f t="shared" si="205"/>
        <v>599.5</v>
      </c>
      <c r="S3324" s="9">
        <f>IF(R3324="",AVERAGEIF(Table1[Category],Table1[[#This Row],[Category]],Table2[orignal data]),Table2[[#This Row],[orignal data]])</f>
        <v>599.5</v>
      </c>
      <c r="T3324" t="str">
        <f t="shared" si="206"/>
        <v>UNIQUE</v>
      </c>
      <c r="U3324" t="str">
        <f>IF(ISBLANK(Table1[[#This Row],[SizeOption]]),"NOT AVAILABLE",Table1[[#This Row],[SizeOption]])</f>
        <v>26, 28, 30, 32, 34, 36</v>
      </c>
      <c r="Y3324" t="str">
        <f>IF(Table2[[#This Row],[Column1]]&gt;50%,"HIGH DISCOUNT","LOW DISCOUNT")</f>
        <v>LOW DISCOUNT</v>
      </c>
    </row>
    <row r="3325" spans="1:25" x14ac:dyDescent="0.25">
      <c r="A3325" s="2" t="s">
        <v>6899</v>
      </c>
      <c r="B3325" s="2">
        <v>10278993</v>
      </c>
      <c r="C3325" s="2" t="s">
        <v>1773</v>
      </c>
      <c r="D3325" s="2" t="s">
        <v>41</v>
      </c>
      <c r="E3325" s="2" t="s">
        <v>306</v>
      </c>
      <c r="F3325" s="2" t="s">
        <v>36</v>
      </c>
      <c r="G3325" s="2" t="s">
        <v>6900</v>
      </c>
      <c r="I3325" s="2">
        <v>2199</v>
      </c>
      <c r="J3325" s="2" t="s">
        <v>79</v>
      </c>
      <c r="K3325" s="2" t="s">
        <v>26</v>
      </c>
      <c r="L3325" s="2">
        <v>4.4000000000000004</v>
      </c>
      <c r="M3325" s="2">
        <v>577</v>
      </c>
      <c r="P3325" t="str">
        <f t="shared" si="207"/>
        <v>70%</v>
      </c>
      <c r="Q3325" s="12">
        <f t="shared" si="204"/>
        <v>0.7</v>
      </c>
      <c r="R3325" s="9">
        <f t="shared" si="205"/>
        <v>659.7</v>
      </c>
      <c r="S3325" s="9">
        <f>IF(R3325="",AVERAGEIF(Table1[Category],Table1[[#This Row],[Category]],Table2[orignal data]),Table2[[#This Row],[orignal data]])</f>
        <v>659.7</v>
      </c>
      <c r="T3325" t="str">
        <f t="shared" si="206"/>
        <v>UNIQUE</v>
      </c>
      <c r="U3325" t="str">
        <f>IF(ISBLANK(Table1[[#This Row],[SizeOption]]),"NOT AVAILABLE",Table1[[#This Row],[SizeOption]])</f>
        <v>S, M, L, XL</v>
      </c>
      <c r="Y3325" t="str">
        <f>IF(Table2[[#This Row],[Column1]]&gt;50%,"HIGH DISCOUNT","LOW DISCOUNT")</f>
        <v>HIGH DISCOUNT</v>
      </c>
    </row>
    <row r="3326" spans="1:25" x14ac:dyDescent="0.25">
      <c r="A3326" s="1" t="s">
        <v>6901</v>
      </c>
      <c r="B3326" s="1">
        <v>9889593</v>
      </c>
      <c r="C3326" s="1" t="s">
        <v>346</v>
      </c>
      <c r="D3326" s="1" t="s">
        <v>41</v>
      </c>
      <c r="E3326" s="1" t="s">
        <v>42</v>
      </c>
      <c r="F3326" s="1" t="s">
        <v>36</v>
      </c>
      <c r="G3326" s="1" t="s">
        <v>6902</v>
      </c>
      <c r="I3326" s="1">
        <v>799</v>
      </c>
      <c r="J3326" s="1" t="s">
        <v>55</v>
      </c>
      <c r="K3326" s="1" t="s">
        <v>45</v>
      </c>
      <c r="L3326" s="1">
        <v>4.4000000000000004</v>
      </c>
      <c r="M3326" s="1">
        <v>577</v>
      </c>
      <c r="P3326" t="str">
        <f t="shared" si="207"/>
        <v>60%</v>
      </c>
      <c r="Q3326" s="12">
        <f t="shared" si="204"/>
        <v>0.6</v>
      </c>
      <c r="R3326" s="9">
        <f t="shared" si="205"/>
        <v>319.60000000000002</v>
      </c>
      <c r="S3326" s="9">
        <f>IF(R3326="",AVERAGEIF(Table1[Category],Table1[[#This Row],[Category]],Table2[orignal data]),Table2[[#This Row],[orignal data]])</f>
        <v>319.60000000000002</v>
      </c>
      <c r="T3326" t="str">
        <f t="shared" si="206"/>
        <v>UNIQUE</v>
      </c>
      <c r="U3326" t="str">
        <f>IF(ISBLANK(Table1[[#This Row],[SizeOption]]),"NOT AVAILABLE",Table1[[#This Row],[SizeOption]])</f>
        <v>XS, S, M, L, XL</v>
      </c>
      <c r="Y3326" t="str">
        <f>IF(Table2[[#This Row],[Column1]]&gt;50%,"HIGH DISCOUNT","LOW DISCOUNT")</f>
        <v>HIGH DISCOUNT</v>
      </c>
    </row>
    <row r="3327" spans="1:25" x14ac:dyDescent="0.25">
      <c r="A3327" s="2" t="s">
        <v>6903</v>
      </c>
      <c r="B3327" s="2">
        <v>10926234</v>
      </c>
      <c r="C3327" s="2" t="s">
        <v>6904</v>
      </c>
      <c r="D3327" s="2" t="s">
        <v>41</v>
      </c>
      <c r="E3327" s="2" t="s">
        <v>42</v>
      </c>
      <c r="F3327" s="2" t="s">
        <v>36</v>
      </c>
      <c r="G3327" s="2" t="s">
        <v>6905</v>
      </c>
      <c r="I3327" s="2">
        <v>999</v>
      </c>
      <c r="J3327" s="2" t="s">
        <v>50</v>
      </c>
      <c r="K3327" s="2" t="s">
        <v>45</v>
      </c>
      <c r="L3327" s="2">
        <v>4.3</v>
      </c>
      <c r="M3327" s="2">
        <v>577</v>
      </c>
      <c r="P3327" t="str">
        <f t="shared" si="207"/>
        <v>40%</v>
      </c>
      <c r="Q3327" s="12">
        <f t="shared" si="204"/>
        <v>0.4</v>
      </c>
      <c r="R3327" s="9">
        <f t="shared" si="205"/>
        <v>599.4</v>
      </c>
      <c r="S3327" s="9">
        <f>IF(R3327="",AVERAGEIF(Table1[Category],Table1[[#This Row],[Category]],Table2[orignal data]),Table2[[#This Row],[orignal data]])</f>
        <v>599.4</v>
      </c>
      <c r="T3327" t="str">
        <f t="shared" si="206"/>
        <v>UNIQUE</v>
      </c>
      <c r="U3327" t="str">
        <f>IF(ISBLANK(Table1[[#This Row],[SizeOption]]),"NOT AVAILABLE",Table1[[#This Row],[SizeOption]])</f>
        <v>XS, S, M, L, XL</v>
      </c>
      <c r="Y3327" t="str">
        <f>IF(Table2[[#This Row],[Column1]]&gt;50%,"HIGH DISCOUNT","LOW DISCOUNT")</f>
        <v>LOW DISCOUNT</v>
      </c>
    </row>
    <row r="3328" spans="1:25" x14ac:dyDescent="0.25">
      <c r="A3328" s="1" t="s">
        <v>6906</v>
      </c>
      <c r="B3328" s="1">
        <v>14240582</v>
      </c>
      <c r="C3328" s="1" t="s">
        <v>490</v>
      </c>
      <c r="D3328" s="1" t="s">
        <v>15</v>
      </c>
      <c r="E3328" s="1" t="s">
        <v>137</v>
      </c>
      <c r="F3328" s="1" t="s">
        <v>17</v>
      </c>
      <c r="G3328" s="1" t="s">
        <v>6907</v>
      </c>
      <c r="I3328" s="1">
        <v>799</v>
      </c>
      <c r="J3328" s="1"/>
      <c r="K3328" s="1" t="s">
        <v>6908</v>
      </c>
      <c r="L3328" s="1">
        <v>4.4000000000000004</v>
      </c>
      <c r="M3328" s="1">
        <v>576</v>
      </c>
      <c r="P3328" t="str">
        <f t="shared" si="207"/>
        <v/>
      </c>
      <c r="Q3328" s="12" t="str">
        <f t="shared" si="204"/>
        <v/>
      </c>
      <c r="R3328" s="9" t="str">
        <f t="shared" si="205"/>
        <v/>
      </c>
      <c r="S3328" s="9">
        <f>IF(R3328="",AVERAGEIF(Table1[Category],Table1[[#This Row],[Category]],Table2[orignal data]),Table2[[#This Row],[orignal data]])</f>
        <v>892.27590339892538</v>
      </c>
      <c r="T3328" t="str">
        <f t="shared" si="206"/>
        <v>UNIQUE</v>
      </c>
      <c r="U3328" t="str">
        <f>IF(ISBLANK(Table1[[#This Row],[SizeOption]]),"NOT AVAILABLE",Table1[[#This Row],[SizeOption]])</f>
        <v>28, 31, 33, 37, 41, 44</v>
      </c>
      <c r="Y3328" t="str">
        <f>IF(Table2[[#This Row],[Column1]]&gt;50%,"HIGH DISCOUNT","LOW DISCOUNT")</f>
        <v>HIGH DISCOUNT</v>
      </c>
    </row>
    <row r="3329" spans="1:25" x14ac:dyDescent="0.25">
      <c r="A3329" s="2" t="s">
        <v>6909</v>
      </c>
      <c r="B3329" s="2">
        <v>7139506</v>
      </c>
      <c r="C3329" s="2" t="s">
        <v>14</v>
      </c>
      <c r="D3329" s="2" t="s">
        <v>15</v>
      </c>
      <c r="E3329" s="2" t="s">
        <v>16</v>
      </c>
      <c r="F3329" s="2" t="s">
        <v>17</v>
      </c>
      <c r="G3329" s="2" t="s">
        <v>6910</v>
      </c>
      <c r="I3329" s="2">
        <v>3299</v>
      </c>
      <c r="J3329" s="2"/>
      <c r="K3329" s="2" t="s">
        <v>20</v>
      </c>
      <c r="L3329" s="2">
        <v>3.8</v>
      </c>
      <c r="M3329" s="2">
        <v>576</v>
      </c>
      <c r="P3329" t="str">
        <f t="shared" si="207"/>
        <v/>
      </c>
      <c r="Q3329" s="12" t="str">
        <f t="shared" si="204"/>
        <v/>
      </c>
      <c r="R3329" s="9" t="str">
        <f t="shared" si="205"/>
        <v/>
      </c>
      <c r="S3329" s="9">
        <f>IF(R3329="",AVERAGEIF(Table1[Category],Table1[[#This Row],[Category]],Table2[orignal data]),Table2[[#This Row],[orignal data]])</f>
        <v>892.27590339892538</v>
      </c>
      <c r="T3329" t="str">
        <f t="shared" si="206"/>
        <v>UNIQUE</v>
      </c>
      <c r="U3329" t="str">
        <f>IF(ISBLANK(Table1[[#This Row],[SizeOption]]),"NOT AVAILABLE",Table1[[#This Row],[SizeOption]])</f>
        <v>28, 30, 32, 34, 36</v>
      </c>
      <c r="Y3329" t="str">
        <f>IF(Table2[[#This Row],[Column1]]&gt;50%,"HIGH DISCOUNT","LOW DISCOUNT")</f>
        <v>HIGH DISCOUNT</v>
      </c>
    </row>
    <row r="3330" spans="1:25" x14ac:dyDescent="0.25">
      <c r="A3330" s="1" t="s">
        <v>6911</v>
      </c>
      <c r="B3330" s="1">
        <v>11359202</v>
      </c>
      <c r="C3330" s="1" t="s">
        <v>169</v>
      </c>
      <c r="D3330" s="1" t="s">
        <v>15</v>
      </c>
      <c r="E3330" s="1" t="s">
        <v>16</v>
      </c>
      <c r="F3330" s="1" t="s">
        <v>17</v>
      </c>
      <c r="G3330" s="1" t="s">
        <v>2511</v>
      </c>
      <c r="H3330">
        <v>1399</v>
      </c>
      <c r="I3330" s="1">
        <v>2799</v>
      </c>
      <c r="J3330" s="1" t="s">
        <v>84</v>
      </c>
      <c r="K3330" s="1" t="s">
        <v>171</v>
      </c>
      <c r="L3330" s="1">
        <v>3.9</v>
      </c>
      <c r="M3330" s="1">
        <v>576</v>
      </c>
      <c r="P3330" t="str">
        <f t="shared" si="207"/>
        <v>50%</v>
      </c>
      <c r="Q3330" s="12">
        <f t="shared" ref="Q3330:Q3393" si="208">IF(P3330="","",IF(ISNUMBER(SEARCH("%",P3330)),P3330,P3330/I3330)*100%)</f>
        <v>0.5</v>
      </c>
      <c r="R3330" s="9">
        <f t="shared" ref="R3330:R3393" si="209">IF(P3330="","",I3330-(I3330*Q3330))</f>
        <v>1399.5</v>
      </c>
      <c r="S3330" s="9">
        <f>IF(R3330="",AVERAGEIF(Table1[Category],Table1[[#This Row],[Category]],Table2[orignal data]),Table2[[#This Row],[orignal data]])</f>
        <v>1399.5</v>
      </c>
      <c r="T3330" t="str">
        <f t="shared" ref="T3330:T3393" si="210">IF(COUNTIF($B$2:$B$5000,B3330)&gt;1,"DUPLICATE","UNIQUE")</f>
        <v>UNIQUE</v>
      </c>
      <c r="U3330" t="str">
        <f>IF(ISBLANK(Table1[[#This Row],[SizeOption]]),"NOT AVAILABLE",Table1[[#This Row],[SizeOption]])</f>
        <v>28, 30, 32, 34, 36, 38</v>
      </c>
      <c r="Y3330" t="str">
        <f>IF(Table2[[#This Row],[Column1]]&gt;50%,"HIGH DISCOUNT","LOW DISCOUNT")</f>
        <v>LOW DISCOUNT</v>
      </c>
    </row>
    <row r="3331" spans="1:25" x14ac:dyDescent="0.25">
      <c r="A3331" s="2" t="s">
        <v>6912</v>
      </c>
      <c r="B3331" s="2">
        <v>10861806</v>
      </c>
      <c r="C3331" s="2" t="s">
        <v>794</v>
      </c>
      <c r="D3331" s="2" t="s">
        <v>197</v>
      </c>
      <c r="E3331" s="2" t="s">
        <v>518</v>
      </c>
      <c r="F3331" s="2" t="s">
        <v>17</v>
      </c>
      <c r="G3331" s="2" t="s">
        <v>6913</v>
      </c>
      <c r="H3331">
        <v>1139</v>
      </c>
      <c r="I3331" s="2">
        <v>1199</v>
      </c>
      <c r="J3331" s="2" t="s">
        <v>764</v>
      </c>
      <c r="K3331" s="2" t="s">
        <v>39</v>
      </c>
      <c r="L3331" s="2">
        <v>4.5</v>
      </c>
      <c r="M3331" s="2">
        <v>576</v>
      </c>
      <c r="P3331" t="str">
        <f t="shared" ref="P3331:P3394" si="211">TRIM(SUBSTITUTE(SUBSTITUTE(SUBSTITUTE(SUBSTITUTE(J3331,"OFF",""),"Rs.",""),"Hurry*",""),",",""))</f>
        <v>5%</v>
      </c>
      <c r="Q3331" s="12">
        <f t="shared" si="208"/>
        <v>0.05</v>
      </c>
      <c r="R3331" s="9">
        <f t="shared" si="209"/>
        <v>1139.05</v>
      </c>
      <c r="S3331" s="9">
        <f>IF(R3331="",AVERAGEIF(Table1[Category],Table1[[#This Row],[Category]],Table2[orignal data]),Table2[[#This Row],[orignal data]])</f>
        <v>1139.05</v>
      </c>
      <c r="T3331" t="str">
        <f t="shared" si="210"/>
        <v>UNIQUE</v>
      </c>
      <c r="U3331" t="str">
        <f>IF(ISBLANK(Table1[[#This Row],[SizeOption]]),"NOT AVAILABLE",Table1[[#This Row],[SizeOption]])</f>
        <v>S, M, L, XL, XXL</v>
      </c>
      <c r="Y3331" t="str">
        <f>IF(Table2[[#This Row],[Column1]]&gt;50%,"HIGH DISCOUNT","LOW DISCOUNT")</f>
        <v>LOW DISCOUNT</v>
      </c>
    </row>
    <row r="3332" spans="1:25" x14ac:dyDescent="0.25">
      <c r="A3332" s="1" t="s">
        <v>6914</v>
      </c>
      <c r="B3332" s="1">
        <v>11786016</v>
      </c>
      <c r="C3332" s="1" t="s">
        <v>794</v>
      </c>
      <c r="D3332" s="1" t="s">
        <v>197</v>
      </c>
      <c r="E3332" s="1" t="s">
        <v>518</v>
      </c>
      <c r="F3332" s="1" t="s">
        <v>17</v>
      </c>
      <c r="G3332" s="1" t="s">
        <v>6915</v>
      </c>
      <c r="I3332" s="1">
        <v>2398</v>
      </c>
      <c r="J3332" s="1"/>
      <c r="K3332" s="1" t="s">
        <v>5108</v>
      </c>
      <c r="L3332" s="1">
        <v>4.5</v>
      </c>
      <c r="M3332" s="1">
        <v>576</v>
      </c>
      <c r="P3332" t="str">
        <f t="shared" si="211"/>
        <v/>
      </c>
      <c r="Q3332" s="12" t="str">
        <f t="shared" si="208"/>
        <v/>
      </c>
      <c r="R3332" s="9" t="str">
        <f t="shared" si="209"/>
        <v/>
      </c>
      <c r="S3332" s="9">
        <f>IF(R3332="",AVERAGEIF(Table1[Category],Table1[[#This Row],[Category]],Table2[orignal data]),Table2[[#This Row],[orignal data]])</f>
        <v>552.70900000000006</v>
      </c>
      <c r="T3332" t="str">
        <f t="shared" si="210"/>
        <v>UNIQUE</v>
      </c>
      <c r="U3332" t="str">
        <f>IF(ISBLANK(Table1[[#This Row],[SizeOption]]),"NOT AVAILABLE",Table1[[#This Row],[SizeOption]])</f>
        <v>XL, S, XXL, L, M</v>
      </c>
      <c r="Y3332" t="str">
        <f>IF(Table2[[#This Row],[Column1]]&gt;50%,"HIGH DISCOUNT","LOW DISCOUNT")</f>
        <v>HIGH DISCOUNT</v>
      </c>
    </row>
    <row r="3333" spans="1:25" x14ac:dyDescent="0.25">
      <c r="A3333" s="2" t="s">
        <v>6916</v>
      </c>
      <c r="B3333" s="2">
        <v>11863356</v>
      </c>
      <c r="C3333" s="2" t="s">
        <v>349</v>
      </c>
      <c r="D3333" s="2" t="s">
        <v>197</v>
      </c>
      <c r="E3333" s="2" t="s">
        <v>296</v>
      </c>
      <c r="F3333" s="2" t="s">
        <v>17</v>
      </c>
      <c r="G3333" s="2" t="s">
        <v>6917</v>
      </c>
      <c r="I3333" s="2">
        <v>195</v>
      </c>
      <c r="J3333" s="2"/>
      <c r="K3333" s="2" t="s">
        <v>352</v>
      </c>
      <c r="L3333" s="2">
        <v>4.4000000000000004</v>
      </c>
      <c r="M3333" s="2">
        <v>576</v>
      </c>
      <c r="P3333" t="str">
        <f t="shared" si="211"/>
        <v/>
      </c>
      <c r="Q3333" s="12" t="str">
        <f t="shared" si="208"/>
        <v/>
      </c>
      <c r="R3333" s="9" t="str">
        <f t="shared" si="209"/>
        <v/>
      </c>
      <c r="S3333" s="9">
        <f>IF(R3333="",AVERAGEIF(Table1[Category],Table1[[#This Row],[Category]],Table2[orignal data]),Table2[[#This Row],[orignal data]])</f>
        <v>552.70900000000006</v>
      </c>
      <c r="T3333" t="str">
        <f t="shared" si="210"/>
        <v>UNIQUE</v>
      </c>
      <c r="U3333" t="str">
        <f>IF(ISBLANK(Table1[[#This Row],[SizeOption]]),"NOT AVAILABLE",Table1[[#This Row],[SizeOption]])</f>
        <v>S, M, L</v>
      </c>
      <c r="Y3333" t="str">
        <f>IF(Table2[[#This Row],[Column1]]&gt;50%,"HIGH DISCOUNT","LOW DISCOUNT")</f>
        <v>HIGH DISCOUNT</v>
      </c>
    </row>
    <row r="3334" spans="1:25" x14ac:dyDescent="0.25">
      <c r="A3334" s="1" t="s">
        <v>6918</v>
      </c>
      <c r="B3334" s="1">
        <v>12211386</v>
      </c>
      <c r="C3334" s="1" t="s">
        <v>52</v>
      </c>
      <c r="D3334" s="1" t="s">
        <v>28</v>
      </c>
      <c r="E3334" s="1" t="s">
        <v>29</v>
      </c>
      <c r="F3334" s="1" t="s">
        <v>17</v>
      </c>
      <c r="G3334" s="1" t="s">
        <v>6919</v>
      </c>
      <c r="H3334">
        <v>587</v>
      </c>
      <c r="I3334" s="1">
        <v>1249</v>
      </c>
      <c r="J3334" s="1" t="s">
        <v>89</v>
      </c>
      <c r="K3334" s="1" t="s">
        <v>90</v>
      </c>
      <c r="L3334" s="1">
        <v>4.3</v>
      </c>
      <c r="M3334" s="1">
        <v>576</v>
      </c>
      <c r="P3334" t="str">
        <f t="shared" si="211"/>
        <v>53%</v>
      </c>
      <c r="Q3334" s="12">
        <f t="shared" si="208"/>
        <v>0.53</v>
      </c>
      <c r="R3334" s="9">
        <f t="shared" si="209"/>
        <v>587.03</v>
      </c>
      <c r="S3334" s="9">
        <f>IF(R3334="",AVERAGEIF(Table1[Category],Table1[[#This Row],[Category]],Table2[orignal data]),Table2[[#This Row],[orignal data]])</f>
        <v>587.03</v>
      </c>
      <c r="T3334" t="str">
        <f t="shared" si="210"/>
        <v>UNIQUE</v>
      </c>
      <c r="U3334" t="str">
        <f>IF(ISBLANK(Table1[[#This Row],[SizeOption]]),"NOT AVAILABLE",Table1[[#This Row],[SizeOption]])</f>
        <v>39, 40, 42, 44</v>
      </c>
      <c r="Y3334" t="str">
        <f>IF(Table2[[#This Row],[Column1]]&gt;50%,"HIGH DISCOUNT","LOW DISCOUNT")</f>
        <v>HIGH DISCOUNT</v>
      </c>
    </row>
    <row r="3335" spans="1:25" x14ac:dyDescent="0.25">
      <c r="A3335" s="2" t="s">
        <v>6920</v>
      </c>
      <c r="B3335" s="2">
        <v>10687006</v>
      </c>
      <c r="C3335" s="2" t="s">
        <v>4884</v>
      </c>
      <c r="D3335" s="2" t="s">
        <v>76</v>
      </c>
      <c r="E3335" s="2" t="s">
        <v>77</v>
      </c>
      <c r="F3335" s="2" t="s">
        <v>36</v>
      </c>
      <c r="G3335" s="2" t="s">
        <v>6921</v>
      </c>
      <c r="H3335">
        <v>1383</v>
      </c>
      <c r="I3335" s="2">
        <v>3375</v>
      </c>
      <c r="J3335" s="2" t="s">
        <v>95</v>
      </c>
      <c r="K3335" s="2" t="s">
        <v>115</v>
      </c>
      <c r="L3335" s="2">
        <v>4.5</v>
      </c>
      <c r="M3335" s="2">
        <v>576</v>
      </c>
      <c r="P3335" t="str">
        <f t="shared" si="211"/>
        <v>59%</v>
      </c>
      <c r="Q3335" s="12">
        <f t="shared" si="208"/>
        <v>0.59</v>
      </c>
      <c r="R3335" s="9">
        <f t="shared" si="209"/>
        <v>1383.75</v>
      </c>
      <c r="S3335" s="9">
        <f>IF(R3335="",AVERAGEIF(Table1[Category],Table1[[#This Row],[Category]],Table2[orignal data]),Table2[[#This Row],[orignal data]])</f>
        <v>1383.75</v>
      </c>
      <c r="T3335" t="str">
        <f t="shared" si="210"/>
        <v>UNIQUE</v>
      </c>
      <c r="U3335" t="str">
        <f>IF(ISBLANK(Table1[[#This Row],[SizeOption]]),"NOT AVAILABLE",Table1[[#This Row],[SizeOption]])</f>
        <v>XS, S, M, L, XL, XXL</v>
      </c>
      <c r="Y3335" t="str">
        <f>IF(Table2[[#This Row],[Column1]]&gt;50%,"HIGH DISCOUNT","LOW DISCOUNT")</f>
        <v>HIGH DISCOUNT</v>
      </c>
    </row>
    <row r="3336" spans="1:25" x14ac:dyDescent="0.25">
      <c r="A3336" s="1" t="s">
        <v>6922</v>
      </c>
      <c r="B3336" s="1">
        <v>9170431</v>
      </c>
      <c r="C3336" s="1" t="s">
        <v>865</v>
      </c>
      <c r="D3336" s="1" t="s">
        <v>76</v>
      </c>
      <c r="E3336" s="1" t="s">
        <v>77</v>
      </c>
      <c r="F3336" s="1" t="s">
        <v>36</v>
      </c>
      <c r="G3336" s="1" t="s">
        <v>6923</v>
      </c>
      <c r="H3336">
        <v>1687</v>
      </c>
      <c r="I3336" s="1">
        <v>3749</v>
      </c>
      <c r="J3336" s="1" t="s">
        <v>25</v>
      </c>
      <c r="K3336" s="1" t="s">
        <v>39</v>
      </c>
      <c r="L3336" s="1">
        <v>4.4000000000000004</v>
      </c>
      <c r="M3336" s="1">
        <v>576</v>
      </c>
      <c r="P3336" t="str">
        <f t="shared" si="211"/>
        <v>55%</v>
      </c>
      <c r="Q3336" s="12">
        <f t="shared" si="208"/>
        <v>0.55000000000000004</v>
      </c>
      <c r="R3336" s="9">
        <f t="shared" si="209"/>
        <v>1687.0499999999997</v>
      </c>
      <c r="S3336" s="9">
        <f>IF(R3336="",AVERAGEIF(Table1[Category],Table1[[#This Row],[Category]],Table2[orignal data]),Table2[[#This Row],[orignal data]])</f>
        <v>1687.0499999999997</v>
      </c>
      <c r="T3336" t="str">
        <f t="shared" si="210"/>
        <v>UNIQUE</v>
      </c>
      <c r="U3336" t="str">
        <f>IF(ISBLANK(Table1[[#This Row],[SizeOption]]),"NOT AVAILABLE",Table1[[#This Row],[SizeOption]])</f>
        <v>S, M, L, XL, XXL</v>
      </c>
      <c r="Y3336" t="str">
        <f>IF(Table2[[#This Row],[Column1]]&gt;50%,"HIGH DISCOUNT","LOW DISCOUNT")</f>
        <v>HIGH DISCOUNT</v>
      </c>
    </row>
    <row r="3337" spans="1:25" x14ac:dyDescent="0.25">
      <c r="A3337" s="2" t="s">
        <v>6924</v>
      </c>
      <c r="B3337" s="2">
        <v>13451924</v>
      </c>
      <c r="C3337" s="2" t="s">
        <v>541</v>
      </c>
      <c r="D3337" s="2" t="s">
        <v>76</v>
      </c>
      <c r="E3337" s="2" t="s">
        <v>77</v>
      </c>
      <c r="F3337" s="2" t="s">
        <v>36</v>
      </c>
      <c r="G3337" s="2" t="s">
        <v>6925</v>
      </c>
      <c r="H3337">
        <v>1343</v>
      </c>
      <c r="I3337" s="2">
        <v>4199</v>
      </c>
      <c r="J3337" s="2" t="s">
        <v>839</v>
      </c>
      <c r="K3337" s="2" t="s">
        <v>39</v>
      </c>
      <c r="L3337" s="2">
        <v>4.2</v>
      </c>
      <c r="M3337" s="2">
        <v>576</v>
      </c>
      <c r="P3337" t="str">
        <f t="shared" si="211"/>
        <v>68%</v>
      </c>
      <c r="Q3337" s="12">
        <f t="shared" si="208"/>
        <v>0.68</v>
      </c>
      <c r="R3337" s="9">
        <f t="shared" si="209"/>
        <v>1343.6799999999998</v>
      </c>
      <c r="S3337" s="9">
        <f>IF(R3337="",AVERAGEIF(Table1[Category],Table1[[#This Row],[Category]],Table2[orignal data]),Table2[[#This Row],[orignal data]])</f>
        <v>1343.6799999999998</v>
      </c>
      <c r="T3337" t="str">
        <f t="shared" si="210"/>
        <v>UNIQUE</v>
      </c>
      <c r="U3337" t="str">
        <f>IF(ISBLANK(Table1[[#This Row],[SizeOption]]),"NOT AVAILABLE",Table1[[#This Row],[SizeOption]])</f>
        <v>S, M, L, XL, XXL</v>
      </c>
      <c r="Y3337" t="str">
        <f>IF(Table2[[#This Row],[Column1]]&gt;50%,"HIGH DISCOUNT","LOW DISCOUNT")</f>
        <v>HIGH DISCOUNT</v>
      </c>
    </row>
    <row r="3338" spans="1:25" x14ac:dyDescent="0.25">
      <c r="A3338" s="1" t="s">
        <v>6926</v>
      </c>
      <c r="B3338" s="1">
        <v>8097155</v>
      </c>
      <c r="C3338" s="1" t="s">
        <v>623</v>
      </c>
      <c r="D3338" s="1" t="s">
        <v>34</v>
      </c>
      <c r="E3338" s="1" t="s">
        <v>118</v>
      </c>
      <c r="F3338" s="1" t="s">
        <v>36</v>
      </c>
      <c r="G3338" s="1" t="s">
        <v>6927</v>
      </c>
      <c r="H3338">
        <v>422</v>
      </c>
      <c r="I3338" s="1">
        <v>899</v>
      </c>
      <c r="J3338" s="1" t="s">
        <v>89</v>
      </c>
      <c r="K3338" s="1" t="s">
        <v>6928</v>
      </c>
      <c r="L3338" s="1">
        <v>4</v>
      </c>
      <c r="M3338" s="1">
        <v>576</v>
      </c>
      <c r="P3338" t="str">
        <f t="shared" si="211"/>
        <v>53%</v>
      </c>
      <c r="Q3338" s="12">
        <f t="shared" si="208"/>
        <v>0.53</v>
      </c>
      <c r="R3338" s="9">
        <f t="shared" si="209"/>
        <v>422.53</v>
      </c>
      <c r="S3338" s="9">
        <f>IF(R3338="",AVERAGEIF(Table1[Category],Table1[[#This Row],[Category]],Table2[orignal data]),Table2[[#This Row],[orignal data]])</f>
        <v>422.53</v>
      </c>
      <c r="T3338" t="str">
        <f t="shared" si="210"/>
        <v>UNIQUE</v>
      </c>
      <c r="U3338" t="str">
        <f>IF(ISBLANK(Table1[[#This Row],[SizeOption]]),"NOT AVAILABLE",Table1[[#This Row],[SizeOption]])</f>
        <v>32B, 32C, 32D, 34B, 34C, 34D, 36B, 36C, 36D, 38B, 38C, 38D, 40B, 40C</v>
      </c>
      <c r="Y3338" t="str">
        <f>IF(Table2[[#This Row],[Column1]]&gt;50%,"HIGH DISCOUNT","LOW DISCOUNT")</f>
        <v>HIGH DISCOUNT</v>
      </c>
    </row>
    <row r="3339" spans="1:25" x14ac:dyDescent="0.25">
      <c r="A3339" s="2" t="s">
        <v>6929</v>
      </c>
      <c r="B3339" s="2">
        <v>11759424</v>
      </c>
      <c r="C3339" s="2" t="s">
        <v>64</v>
      </c>
      <c r="D3339" s="2" t="s">
        <v>98</v>
      </c>
      <c r="E3339" s="2" t="s">
        <v>42</v>
      </c>
      <c r="F3339" s="2" t="s">
        <v>36</v>
      </c>
      <c r="G3339" s="2" t="s">
        <v>6930</v>
      </c>
      <c r="H3339">
        <v>254</v>
      </c>
      <c r="I3339" s="2">
        <v>849</v>
      </c>
      <c r="J3339" s="2" t="s">
        <v>1566</v>
      </c>
      <c r="K3339" s="2" t="s">
        <v>100</v>
      </c>
      <c r="L3339" s="2">
        <v>4.3</v>
      </c>
      <c r="M3339" s="2">
        <v>576</v>
      </c>
      <c r="P3339" t="str">
        <f t="shared" si="211"/>
        <v>70%</v>
      </c>
      <c r="Q3339" s="12">
        <f t="shared" si="208"/>
        <v>0.7</v>
      </c>
      <c r="R3339" s="9">
        <f t="shared" si="209"/>
        <v>254.70000000000005</v>
      </c>
      <c r="S3339" s="9">
        <f>IF(R3339="",AVERAGEIF(Table1[Category],Table1[[#This Row],[Category]],Table2[orignal data]),Table2[[#This Row],[orignal data]])</f>
        <v>254.70000000000005</v>
      </c>
      <c r="T3339" t="str">
        <f t="shared" si="210"/>
        <v>UNIQUE</v>
      </c>
      <c r="U3339" t="str">
        <f>IF(ISBLANK(Table1[[#This Row],[SizeOption]]),"NOT AVAILABLE",Table1[[#This Row],[SizeOption]])</f>
        <v>XS, S, M, L, XL, XXL, 3XL</v>
      </c>
      <c r="Y3339" t="str">
        <f>IF(Table2[[#This Row],[Column1]]&gt;50%,"HIGH DISCOUNT","LOW DISCOUNT")</f>
        <v>HIGH DISCOUNT</v>
      </c>
    </row>
    <row r="3340" spans="1:25" x14ac:dyDescent="0.25">
      <c r="A3340" s="1" t="s">
        <v>6931</v>
      </c>
      <c r="B3340" s="1">
        <v>14154062</v>
      </c>
      <c r="C3340" s="1" t="s">
        <v>102</v>
      </c>
      <c r="D3340" s="1" t="s">
        <v>41</v>
      </c>
      <c r="E3340" s="1" t="s">
        <v>23</v>
      </c>
      <c r="F3340" s="1" t="s">
        <v>36</v>
      </c>
      <c r="G3340" s="1" t="s">
        <v>6932</v>
      </c>
      <c r="I3340" s="1">
        <v>1149</v>
      </c>
      <c r="J3340" s="1" t="s">
        <v>104</v>
      </c>
      <c r="K3340" s="1" t="s">
        <v>26</v>
      </c>
      <c r="L3340" s="1">
        <v>4.4000000000000004</v>
      </c>
      <c r="M3340" s="1">
        <v>576</v>
      </c>
      <c r="P3340" t="str">
        <f t="shared" si="211"/>
        <v>61%</v>
      </c>
      <c r="Q3340" s="12">
        <f t="shared" si="208"/>
        <v>0.61</v>
      </c>
      <c r="R3340" s="9">
        <f t="shared" si="209"/>
        <v>448.11</v>
      </c>
      <c r="S3340" s="9">
        <f>IF(R3340="",AVERAGEIF(Table1[Category],Table1[[#This Row],[Category]],Table2[orignal data]),Table2[[#This Row],[orignal data]])</f>
        <v>448.11</v>
      </c>
      <c r="T3340" t="str">
        <f t="shared" si="210"/>
        <v>UNIQUE</v>
      </c>
      <c r="U3340" t="str">
        <f>IF(ISBLANK(Table1[[#This Row],[SizeOption]]),"NOT AVAILABLE",Table1[[#This Row],[SizeOption]])</f>
        <v>S, M, L, XL</v>
      </c>
      <c r="Y3340" t="str">
        <f>IF(Table2[[#This Row],[Column1]]&gt;50%,"HIGH DISCOUNT","LOW DISCOUNT")</f>
        <v>HIGH DISCOUNT</v>
      </c>
    </row>
    <row r="3341" spans="1:25" x14ac:dyDescent="0.25">
      <c r="A3341" s="2" t="s">
        <v>6933</v>
      </c>
      <c r="B3341" s="2">
        <v>8178447</v>
      </c>
      <c r="C3341" s="2" t="s">
        <v>3685</v>
      </c>
      <c r="D3341" s="2" t="s">
        <v>41</v>
      </c>
      <c r="E3341" s="2" t="s">
        <v>48</v>
      </c>
      <c r="F3341" s="2" t="s">
        <v>36</v>
      </c>
      <c r="G3341" s="2" t="s">
        <v>6934</v>
      </c>
      <c r="I3341" s="2">
        <v>1199</v>
      </c>
      <c r="J3341" s="2" t="s">
        <v>84</v>
      </c>
      <c r="K3341" s="2" t="s">
        <v>26</v>
      </c>
      <c r="L3341" s="2">
        <v>4.3</v>
      </c>
      <c r="M3341" s="2">
        <v>576</v>
      </c>
      <c r="P3341" t="str">
        <f t="shared" si="211"/>
        <v>50%</v>
      </c>
      <c r="Q3341" s="12">
        <f t="shared" si="208"/>
        <v>0.5</v>
      </c>
      <c r="R3341" s="9">
        <f t="shared" si="209"/>
        <v>599.5</v>
      </c>
      <c r="S3341" s="9">
        <f>IF(R3341="",AVERAGEIF(Table1[Category],Table1[[#This Row],[Category]],Table2[orignal data]),Table2[[#This Row],[orignal data]])</f>
        <v>599.5</v>
      </c>
      <c r="T3341" t="str">
        <f t="shared" si="210"/>
        <v>UNIQUE</v>
      </c>
      <c r="U3341" t="str">
        <f>IF(ISBLANK(Table1[[#This Row],[SizeOption]]),"NOT AVAILABLE",Table1[[#This Row],[SizeOption]])</f>
        <v>S, M, L, XL</v>
      </c>
      <c r="Y3341" t="str">
        <f>IF(Table2[[#This Row],[Column1]]&gt;50%,"HIGH DISCOUNT","LOW DISCOUNT")</f>
        <v>LOW DISCOUNT</v>
      </c>
    </row>
    <row r="3342" spans="1:25" x14ac:dyDescent="0.25">
      <c r="A3342" s="1" t="s">
        <v>6935</v>
      </c>
      <c r="B3342" s="1">
        <v>13842510</v>
      </c>
      <c r="C3342" s="1" t="s">
        <v>102</v>
      </c>
      <c r="D3342" s="1" t="s">
        <v>41</v>
      </c>
      <c r="E3342" s="1" t="s">
        <v>148</v>
      </c>
      <c r="F3342" s="1" t="s">
        <v>36</v>
      </c>
      <c r="G3342" s="1" t="s">
        <v>6936</v>
      </c>
      <c r="I3342" s="1">
        <v>1399</v>
      </c>
      <c r="J3342" s="1" t="s">
        <v>95</v>
      </c>
      <c r="K3342" s="1" t="s">
        <v>26</v>
      </c>
      <c r="L3342" s="1">
        <v>4.2</v>
      </c>
      <c r="M3342" s="1">
        <v>576</v>
      </c>
      <c r="P3342" t="str">
        <f t="shared" si="211"/>
        <v>59%</v>
      </c>
      <c r="Q3342" s="12">
        <f t="shared" si="208"/>
        <v>0.59</v>
      </c>
      <c r="R3342" s="9">
        <f t="shared" si="209"/>
        <v>573.59</v>
      </c>
      <c r="S3342" s="9">
        <f>IF(R3342="",AVERAGEIF(Table1[Category],Table1[[#This Row],[Category]],Table2[orignal data]),Table2[[#This Row],[orignal data]])</f>
        <v>573.59</v>
      </c>
      <c r="T3342" t="str">
        <f t="shared" si="210"/>
        <v>UNIQUE</v>
      </c>
      <c r="U3342" t="str">
        <f>IF(ISBLANK(Table1[[#This Row],[SizeOption]]),"NOT AVAILABLE",Table1[[#This Row],[SizeOption]])</f>
        <v>S, M, L, XL</v>
      </c>
      <c r="Y3342" t="str">
        <f>IF(Table2[[#This Row],[Column1]]&gt;50%,"HIGH DISCOUNT","LOW DISCOUNT")</f>
        <v>HIGH DISCOUNT</v>
      </c>
    </row>
    <row r="3343" spans="1:25" x14ac:dyDescent="0.25">
      <c r="A3343" s="2" t="s">
        <v>6937</v>
      </c>
      <c r="B3343" s="2">
        <v>12335334</v>
      </c>
      <c r="C3343" s="2" t="s">
        <v>14</v>
      </c>
      <c r="D3343" s="2" t="s">
        <v>41</v>
      </c>
      <c r="E3343" s="2" t="s">
        <v>306</v>
      </c>
      <c r="F3343" s="2" t="s">
        <v>36</v>
      </c>
      <c r="G3343" s="2" t="s">
        <v>6938</v>
      </c>
      <c r="I3343" s="2">
        <v>1499</v>
      </c>
      <c r="J3343" s="2" t="s">
        <v>25</v>
      </c>
      <c r="K3343" s="2" t="s">
        <v>115</v>
      </c>
      <c r="L3343" s="2">
        <v>4.3</v>
      </c>
      <c r="M3343" s="2">
        <v>576</v>
      </c>
      <c r="P3343" t="str">
        <f t="shared" si="211"/>
        <v>55%</v>
      </c>
      <c r="Q3343" s="12">
        <f t="shared" si="208"/>
        <v>0.55000000000000004</v>
      </c>
      <c r="R3343" s="9">
        <f t="shared" si="209"/>
        <v>674.55</v>
      </c>
      <c r="S3343" s="9">
        <f>IF(R3343="",AVERAGEIF(Table1[Category],Table1[[#This Row],[Category]],Table2[orignal data]),Table2[[#This Row],[orignal data]])</f>
        <v>674.55</v>
      </c>
      <c r="T3343" t="str">
        <f t="shared" si="210"/>
        <v>UNIQUE</v>
      </c>
      <c r="U3343" t="str">
        <f>IF(ISBLANK(Table1[[#This Row],[SizeOption]]),"NOT AVAILABLE",Table1[[#This Row],[SizeOption]])</f>
        <v>XS, S, M, L, XL, XXL</v>
      </c>
      <c r="Y3343" t="str">
        <f>IF(Table2[[#This Row],[Column1]]&gt;50%,"HIGH DISCOUNT","LOW DISCOUNT")</f>
        <v>HIGH DISCOUNT</v>
      </c>
    </row>
    <row r="3344" spans="1:25" x14ac:dyDescent="0.25">
      <c r="A3344" s="1" t="s">
        <v>6939</v>
      </c>
      <c r="B3344" s="1">
        <v>17524606</v>
      </c>
      <c r="C3344" s="1" t="s">
        <v>47</v>
      </c>
      <c r="D3344" s="1" t="s">
        <v>41</v>
      </c>
      <c r="E3344" s="1" t="s">
        <v>42</v>
      </c>
      <c r="F3344" s="1" t="s">
        <v>36</v>
      </c>
      <c r="G3344" s="1" t="s">
        <v>1220</v>
      </c>
      <c r="I3344" s="1">
        <v>1598</v>
      </c>
      <c r="J3344" s="1" t="s">
        <v>84</v>
      </c>
      <c r="K3344" s="1" t="s">
        <v>45</v>
      </c>
      <c r="L3344" s="1">
        <v>4.0999999999999996</v>
      </c>
      <c r="M3344" s="1">
        <v>576</v>
      </c>
      <c r="P3344" t="str">
        <f t="shared" si="211"/>
        <v>50%</v>
      </c>
      <c r="Q3344" s="12">
        <f t="shared" si="208"/>
        <v>0.5</v>
      </c>
      <c r="R3344" s="9">
        <f t="shared" si="209"/>
        <v>799</v>
      </c>
      <c r="S3344" s="9">
        <f>IF(R3344="",AVERAGEIF(Table1[Category],Table1[[#This Row],[Category]],Table2[orignal data]),Table2[[#This Row],[orignal data]])</f>
        <v>799</v>
      </c>
      <c r="T3344" t="str">
        <f t="shared" si="210"/>
        <v>UNIQUE</v>
      </c>
      <c r="U3344" t="str">
        <f>IF(ISBLANK(Table1[[#This Row],[SizeOption]]),"NOT AVAILABLE",Table1[[#This Row],[SizeOption]])</f>
        <v>XS, S, M, L, XL</v>
      </c>
      <c r="Y3344" t="str">
        <f>IF(Table2[[#This Row],[Column1]]&gt;50%,"HIGH DISCOUNT","LOW DISCOUNT")</f>
        <v>LOW DISCOUNT</v>
      </c>
    </row>
    <row r="3345" spans="1:25" x14ac:dyDescent="0.25">
      <c r="A3345" s="2" t="s">
        <v>6940</v>
      </c>
      <c r="B3345" s="2">
        <v>13815428</v>
      </c>
      <c r="C3345" s="2" t="s">
        <v>52</v>
      </c>
      <c r="D3345" s="2" t="s">
        <v>15</v>
      </c>
      <c r="E3345" s="2" t="s">
        <v>137</v>
      </c>
      <c r="F3345" s="2" t="s">
        <v>17</v>
      </c>
      <c r="G3345" s="2" t="s">
        <v>1437</v>
      </c>
      <c r="H3345">
        <v>389</v>
      </c>
      <c r="I3345" s="2">
        <v>749</v>
      </c>
      <c r="J3345" s="2" t="s">
        <v>602</v>
      </c>
      <c r="K3345" s="2" t="s">
        <v>56</v>
      </c>
      <c r="L3345" s="2">
        <v>4.2</v>
      </c>
      <c r="M3345" s="2">
        <v>575</v>
      </c>
      <c r="P3345" t="str">
        <f t="shared" si="211"/>
        <v>48%</v>
      </c>
      <c r="Q3345" s="12">
        <f t="shared" si="208"/>
        <v>0.48</v>
      </c>
      <c r="R3345" s="9">
        <f t="shared" si="209"/>
        <v>389.48</v>
      </c>
      <c r="S3345" s="9">
        <f>IF(R3345="",AVERAGEIF(Table1[Category],Table1[[#This Row],[Category]],Table2[orignal data]),Table2[[#This Row],[orignal data]])</f>
        <v>389.48</v>
      </c>
      <c r="T3345" t="str">
        <f t="shared" si="210"/>
        <v>UNIQUE</v>
      </c>
      <c r="U3345" t="str">
        <f>IF(ISBLANK(Table1[[#This Row],[SizeOption]]),"NOT AVAILABLE",Table1[[#This Row],[SizeOption]])</f>
        <v>30, 32, 34, 36</v>
      </c>
      <c r="Y3345" t="str">
        <f>IF(Table2[[#This Row],[Column1]]&gt;50%,"HIGH DISCOUNT","LOW DISCOUNT")</f>
        <v>LOW DISCOUNT</v>
      </c>
    </row>
    <row r="3346" spans="1:25" x14ac:dyDescent="0.25">
      <c r="A3346" s="1" t="s">
        <v>6941</v>
      </c>
      <c r="B3346" s="1">
        <v>10187455</v>
      </c>
      <c r="C3346" s="1" t="s">
        <v>169</v>
      </c>
      <c r="D3346" s="1" t="s">
        <v>15</v>
      </c>
      <c r="E3346" s="1" t="s">
        <v>16</v>
      </c>
      <c r="F3346" s="1" t="s">
        <v>17</v>
      </c>
      <c r="G3346" s="1" t="s">
        <v>263</v>
      </c>
      <c r="H3346">
        <v>1399</v>
      </c>
      <c r="I3346" s="1">
        <v>2799</v>
      </c>
      <c r="J3346" s="1" t="s">
        <v>84</v>
      </c>
      <c r="K3346" s="1" t="s">
        <v>171</v>
      </c>
      <c r="L3346" s="1">
        <v>4</v>
      </c>
      <c r="M3346" s="1">
        <v>575</v>
      </c>
      <c r="P3346" t="str">
        <f t="shared" si="211"/>
        <v>50%</v>
      </c>
      <c r="Q3346" s="12">
        <f t="shared" si="208"/>
        <v>0.5</v>
      </c>
      <c r="R3346" s="9">
        <f t="shared" si="209"/>
        <v>1399.5</v>
      </c>
      <c r="S3346" s="9">
        <f>IF(R3346="",AVERAGEIF(Table1[Category],Table1[[#This Row],[Category]],Table2[orignal data]),Table2[[#This Row],[orignal data]])</f>
        <v>1399.5</v>
      </c>
      <c r="T3346" t="str">
        <f t="shared" si="210"/>
        <v>UNIQUE</v>
      </c>
      <c r="U3346" t="str">
        <f>IF(ISBLANK(Table1[[#This Row],[SizeOption]]),"NOT AVAILABLE",Table1[[#This Row],[SizeOption]])</f>
        <v>28, 30, 32, 34, 36, 38</v>
      </c>
      <c r="Y3346" t="str">
        <f>IF(Table2[[#This Row],[Column1]]&gt;50%,"HIGH DISCOUNT","LOW DISCOUNT")</f>
        <v>LOW DISCOUNT</v>
      </c>
    </row>
    <row r="3347" spans="1:25" x14ac:dyDescent="0.25">
      <c r="A3347" s="2" t="s">
        <v>6942</v>
      </c>
      <c r="B3347" s="2">
        <v>11249346</v>
      </c>
      <c r="C3347" s="2" t="s">
        <v>1608</v>
      </c>
      <c r="D3347" s="2" t="s">
        <v>15</v>
      </c>
      <c r="E3347" s="2" t="s">
        <v>53</v>
      </c>
      <c r="F3347" s="2" t="s">
        <v>17</v>
      </c>
      <c r="G3347" s="2" t="s">
        <v>6943</v>
      </c>
      <c r="H3347">
        <v>697</v>
      </c>
      <c r="I3347" s="2">
        <v>1549</v>
      </c>
      <c r="J3347" s="2" t="s">
        <v>25</v>
      </c>
      <c r="K3347" s="2" t="s">
        <v>56</v>
      </c>
      <c r="L3347" s="2">
        <v>4.3</v>
      </c>
      <c r="M3347" s="2">
        <v>575</v>
      </c>
      <c r="P3347" t="str">
        <f t="shared" si="211"/>
        <v>55%</v>
      </c>
      <c r="Q3347" s="12">
        <f t="shared" si="208"/>
        <v>0.55000000000000004</v>
      </c>
      <c r="R3347" s="9">
        <f t="shared" si="209"/>
        <v>697.05</v>
      </c>
      <c r="S3347" s="9">
        <f>IF(R3347="",AVERAGEIF(Table1[Category],Table1[[#This Row],[Category]],Table2[orignal data]),Table2[[#This Row],[orignal data]])</f>
        <v>697.05</v>
      </c>
      <c r="T3347" t="str">
        <f t="shared" si="210"/>
        <v>UNIQUE</v>
      </c>
      <c r="U3347" t="str">
        <f>IF(ISBLANK(Table1[[#This Row],[SizeOption]]),"NOT AVAILABLE",Table1[[#This Row],[SizeOption]])</f>
        <v>30, 32, 34, 36</v>
      </c>
      <c r="Y3347" t="str">
        <f>IF(Table2[[#This Row],[Column1]]&gt;50%,"HIGH DISCOUNT","LOW DISCOUNT")</f>
        <v>HIGH DISCOUNT</v>
      </c>
    </row>
    <row r="3348" spans="1:25" x14ac:dyDescent="0.25">
      <c r="A3348" s="1" t="s">
        <v>6944</v>
      </c>
      <c r="B3348" s="1">
        <v>1956607</v>
      </c>
      <c r="C3348" s="1" t="s">
        <v>14</v>
      </c>
      <c r="D3348" s="1" t="s">
        <v>28</v>
      </c>
      <c r="E3348" s="1" t="s">
        <v>1881</v>
      </c>
      <c r="F3348" s="1" t="s">
        <v>17</v>
      </c>
      <c r="G3348" s="1" t="s">
        <v>6945</v>
      </c>
      <c r="H3348">
        <v>759</v>
      </c>
      <c r="I3348" s="1">
        <v>1899</v>
      </c>
      <c r="J3348" s="1" t="s">
        <v>55</v>
      </c>
      <c r="K3348" s="1" t="s">
        <v>115</v>
      </c>
      <c r="L3348" s="1">
        <v>3.8</v>
      </c>
      <c r="M3348" s="1">
        <v>575</v>
      </c>
      <c r="P3348" t="str">
        <f t="shared" si="211"/>
        <v>60%</v>
      </c>
      <c r="Q3348" s="12">
        <f t="shared" si="208"/>
        <v>0.6</v>
      </c>
      <c r="R3348" s="9">
        <f t="shared" si="209"/>
        <v>759.60000000000014</v>
      </c>
      <c r="S3348" s="9">
        <f>IF(R3348="",AVERAGEIF(Table1[Category],Table1[[#This Row],[Category]],Table2[orignal data]),Table2[[#This Row],[orignal data]])</f>
        <v>759.60000000000014</v>
      </c>
      <c r="T3348" t="str">
        <f t="shared" si="210"/>
        <v>UNIQUE</v>
      </c>
      <c r="U3348" t="str">
        <f>IF(ISBLANK(Table1[[#This Row],[SizeOption]]),"NOT AVAILABLE",Table1[[#This Row],[SizeOption]])</f>
        <v>XS, S, M, L, XL, XXL</v>
      </c>
      <c r="Y3348" t="str">
        <f>IF(Table2[[#This Row],[Column1]]&gt;50%,"HIGH DISCOUNT","LOW DISCOUNT")</f>
        <v>HIGH DISCOUNT</v>
      </c>
    </row>
    <row r="3349" spans="1:25" x14ac:dyDescent="0.25">
      <c r="A3349" s="2" t="s">
        <v>6946</v>
      </c>
      <c r="B3349" s="2">
        <v>11326702</v>
      </c>
      <c r="C3349" s="2" t="s">
        <v>14</v>
      </c>
      <c r="D3349" s="2" t="s">
        <v>28</v>
      </c>
      <c r="E3349" s="2" t="s">
        <v>29</v>
      </c>
      <c r="F3349" s="2" t="s">
        <v>17</v>
      </c>
      <c r="G3349" s="2" t="s">
        <v>6947</v>
      </c>
      <c r="I3349" s="2">
        <v>584</v>
      </c>
      <c r="J3349" s="2"/>
      <c r="K3349" s="2" t="s">
        <v>253</v>
      </c>
      <c r="L3349" s="2">
        <v>4.3</v>
      </c>
      <c r="M3349" s="2">
        <v>575</v>
      </c>
      <c r="P3349" t="str">
        <f t="shared" si="211"/>
        <v/>
      </c>
      <c r="Q3349" s="12" t="str">
        <f t="shared" si="208"/>
        <v/>
      </c>
      <c r="R3349" s="9" t="str">
        <f t="shared" si="209"/>
        <v/>
      </c>
      <c r="S3349" s="9">
        <f>IF(R3349="",AVERAGEIF(Table1[Category],Table1[[#This Row],[Category]],Table2[orignal data]),Table2[[#This Row],[orignal data]])</f>
        <v>671.7823941958867</v>
      </c>
      <c r="T3349" t="str">
        <f t="shared" si="210"/>
        <v>UNIQUE</v>
      </c>
      <c r="U3349" t="str">
        <f>IF(ISBLANK(Table1[[#This Row],[SizeOption]]),"NOT AVAILABLE",Table1[[#This Row],[SizeOption]])</f>
        <v>38, 40, 42, 44</v>
      </c>
      <c r="Y3349" t="str">
        <f>IF(Table2[[#This Row],[Column1]]&gt;50%,"HIGH DISCOUNT","LOW DISCOUNT")</f>
        <v>HIGH DISCOUNT</v>
      </c>
    </row>
    <row r="3350" spans="1:25" x14ac:dyDescent="0.25">
      <c r="A3350" s="1" t="s">
        <v>6948</v>
      </c>
      <c r="B3350" s="1">
        <v>2216776</v>
      </c>
      <c r="C3350" s="1" t="s">
        <v>1773</v>
      </c>
      <c r="D3350" s="1" t="s">
        <v>28</v>
      </c>
      <c r="E3350" s="1" t="s">
        <v>42</v>
      </c>
      <c r="F3350" s="1" t="s">
        <v>17</v>
      </c>
      <c r="G3350" s="1" t="s">
        <v>6949</v>
      </c>
      <c r="H3350">
        <v>359</v>
      </c>
      <c r="I3350" s="1">
        <v>899</v>
      </c>
      <c r="J3350" s="1" t="s">
        <v>55</v>
      </c>
      <c r="K3350" s="1" t="s">
        <v>39</v>
      </c>
      <c r="L3350" s="1">
        <v>4.0999999999999996</v>
      </c>
      <c r="M3350" s="1">
        <v>575</v>
      </c>
      <c r="P3350" t="str">
        <f t="shared" si="211"/>
        <v>60%</v>
      </c>
      <c r="Q3350" s="12">
        <f t="shared" si="208"/>
        <v>0.6</v>
      </c>
      <c r="R3350" s="9">
        <f t="shared" si="209"/>
        <v>359.6</v>
      </c>
      <c r="S3350" s="9">
        <f>IF(R3350="",AVERAGEIF(Table1[Category],Table1[[#This Row],[Category]],Table2[orignal data]),Table2[[#This Row],[orignal data]])</f>
        <v>359.6</v>
      </c>
      <c r="T3350" t="str">
        <f t="shared" si="210"/>
        <v>UNIQUE</v>
      </c>
      <c r="U3350" t="str">
        <f>IF(ISBLANK(Table1[[#This Row],[SizeOption]]),"NOT AVAILABLE",Table1[[#This Row],[SizeOption]])</f>
        <v>S, M, L, XL, XXL</v>
      </c>
      <c r="Y3350" t="str">
        <f>IF(Table2[[#This Row],[Column1]]&gt;50%,"HIGH DISCOUNT","LOW DISCOUNT")</f>
        <v>HIGH DISCOUNT</v>
      </c>
    </row>
    <row r="3351" spans="1:25" x14ac:dyDescent="0.25">
      <c r="A3351" s="2" t="s">
        <v>6950</v>
      </c>
      <c r="B3351" s="2">
        <v>12441534</v>
      </c>
      <c r="C3351" s="2" t="s">
        <v>620</v>
      </c>
      <c r="D3351" s="2" t="s">
        <v>34</v>
      </c>
      <c r="E3351" s="2" t="s">
        <v>2910</v>
      </c>
      <c r="F3351" s="2" t="s">
        <v>36</v>
      </c>
      <c r="G3351" s="2" t="s">
        <v>6951</v>
      </c>
      <c r="H3351">
        <v>299</v>
      </c>
      <c r="I3351" s="2">
        <v>1199</v>
      </c>
      <c r="J3351" s="2" t="s">
        <v>109</v>
      </c>
      <c r="K3351" s="2" t="s">
        <v>39</v>
      </c>
      <c r="L3351" s="2">
        <v>4</v>
      </c>
      <c r="M3351" s="2">
        <v>575</v>
      </c>
      <c r="P3351" t="str">
        <f t="shared" si="211"/>
        <v>75%</v>
      </c>
      <c r="Q3351" s="12">
        <f t="shared" si="208"/>
        <v>0.75</v>
      </c>
      <c r="R3351" s="9">
        <f t="shared" si="209"/>
        <v>299.75</v>
      </c>
      <c r="S3351" s="9">
        <f>IF(R3351="",AVERAGEIF(Table1[Category],Table1[[#This Row],[Category]],Table2[orignal data]),Table2[[#This Row],[orignal data]])</f>
        <v>299.75</v>
      </c>
      <c r="T3351" t="str">
        <f t="shared" si="210"/>
        <v>UNIQUE</v>
      </c>
      <c r="U3351" t="str">
        <f>IF(ISBLANK(Table1[[#This Row],[SizeOption]]),"NOT AVAILABLE",Table1[[#This Row],[SizeOption]])</f>
        <v>S, M, L, XL, XXL</v>
      </c>
      <c r="Y3351" t="str">
        <f>IF(Table2[[#This Row],[Column1]]&gt;50%,"HIGH DISCOUNT","LOW DISCOUNT")</f>
        <v>HIGH DISCOUNT</v>
      </c>
    </row>
    <row r="3352" spans="1:25" x14ac:dyDescent="0.25">
      <c r="A3352" s="1" t="s">
        <v>6952</v>
      </c>
      <c r="B3352" s="1">
        <v>10304947</v>
      </c>
      <c r="C3352" s="1" t="s">
        <v>5934</v>
      </c>
      <c r="D3352" s="1" t="s">
        <v>34</v>
      </c>
      <c r="E3352" s="1" t="s">
        <v>118</v>
      </c>
      <c r="F3352" s="1" t="s">
        <v>36</v>
      </c>
      <c r="G3352" s="1" t="s">
        <v>6953</v>
      </c>
      <c r="H3352">
        <v>319</v>
      </c>
      <c r="I3352" s="1">
        <v>799</v>
      </c>
      <c r="J3352" s="1" t="s">
        <v>55</v>
      </c>
      <c r="K3352" s="1" t="s">
        <v>5937</v>
      </c>
      <c r="L3352" s="1">
        <v>4.3</v>
      </c>
      <c r="M3352" s="1">
        <v>575</v>
      </c>
      <c r="P3352" t="str">
        <f t="shared" si="211"/>
        <v>60%</v>
      </c>
      <c r="Q3352" s="12">
        <f t="shared" si="208"/>
        <v>0.6</v>
      </c>
      <c r="R3352" s="9">
        <f t="shared" si="209"/>
        <v>319.60000000000002</v>
      </c>
      <c r="S3352" s="9">
        <f>IF(R3352="",AVERAGEIF(Table1[Category],Table1[[#This Row],[Category]],Table2[orignal data]),Table2[[#This Row],[orignal data]])</f>
        <v>319.60000000000002</v>
      </c>
      <c r="T3352" t="str">
        <f t="shared" si="210"/>
        <v>UNIQUE</v>
      </c>
      <c r="U3352" t="str">
        <f>IF(ISBLANK(Table1[[#This Row],[SizeOption]]),"NOT AVAILABLE",Table1[[#This Row],[SizeOption]])</f>
        <v>38B, 38C, 38D, 40B, 40C, 40D, 42B, 42C, 42D, 44B, 44C, 44D, 46B, 46C, 46D</v>
      </c>
      <c r="Y3352" t="str">
        <f>IF(Table2[[#This Row],[Column1]]&gt;50%,"HIGH DISCOUNT","LOW DISCOUNT")</f>
        <v>HIGH DISCOUNT</v>
      </c>
    </row>
    <row r="3353" spans="1:25" x14ac:dyDescent="0.25">
      <c r="A3353" s="2" t="s">
        <v>6954</v>
      </c>
      <c r="B3353" s="2">
        <v>13536318</v>
      </c>
      <c r="C3353" s="2" t="s">
        <v>102</v>
      </c>
      <c r="D3353" s="2" t="s">
        <v>41</v>
      </c>
      <c r="E3353" s="2" t="s">
        <v>148</v>
      </c>
      <c r="F3353" s="2" t="s">
        <v>36</v>
      </c>
      <c r="G3353" s="2" t="s">
        <v>6955</v>
      </c>
      <c r="I3353" s="2">
        <v>1349</v>
      </c>
      <c r="J3353" s="2" t="s">
        <v>130</v>
      </c>
      <c r="K3353" s="2" t="s">
        <v>26</v>
      </c>
      <c r="L3353" s="2">
        <v>4.4000000000000004</v>
      </c>
      <c r="M3353" s="2">
        <v>575</v>
      </c>
      <c r="P3353" t="str">
        <f t="shared" si="211"/>
        <v>57%</v>
      </c>
      <c r="Q3353" s="12">
        <f t="shared" si="208"/>
        <v>0.56999999999999995</v>
      </c>
      <c r="R3353" s="9">
        <f t="shared" si="209"/>
        <v>580.07000000000005</v>
      </c>
      <c r="S3353" s="9">
        <f>IF(R3353="",AVERAGEIF(Table1[Category],Table1[[#This Row],[Category]],Table2[orignal data]),Table2[[#This Row],[orignal data]])</f>
        <v>580.07000000000005</v>
      </c>
      <c r="T3353" t="str">
        <f t="shared" si="210"/>
        <v>UNIQUE</v>
      </c>
      <c r="U3353" t="str">
        <f>IF(ISBLANK(Table1[[#This Row],[SizeOption]]),"NOT AVAILABLE",Table1[[#This Row],[SizeOption]])</f>
        <v>S, M, L, XL</v>
      </c>
      <c r="Y3353" t="str">
        <f>IF(Table2[[#This Row],[Column1]]&gt;50%,"HIGH DISCOUNT","LOW DISCOUNT")</f>
        <v>HIGH DISCOUNT</v>
      </c>
    </row>
    <row r="3354" spans="1:25" x14ac:dyDescent="0.25">
      <c r="A3354" s="1" t="s">
        <v>6956</v>
      </c>
      <c r="B3354" s="1">
        <v>17381878</v>
      </c>
      <c r="C3354" s="1" t="s">
        <v>14</v>
      </c>
      <c r="D3354" s="1" t="s">
        <v>41</v>
      </c>
      <c r="E3354" s="1" t="s">
        <v>42</v>
      </c>
      <c r="F3354" s="1" t="s">
        <v>36</v>
      </c>
      <c r="G3354" s="1" t="s">
        <v>62</v>
      </c>
      <c r="I3354" s="1">
        <v>1598</v>
      </c>
      <c r="J3354" s="1" t="s">
        <v>84</v>
      </c>
      <c r="K3354" s="1" t="s">
        <v>45</v>
      </c>
      <c r="L3354" s="1">
        <v>4.3</v>
      </c>
      <c r="M3354" s="1">
        <v>575</v>
      </c>
      <c r="P3354" t="str">
        <f t="shared" si="211"/>
        <v>50%</v>
      </c>
      <c r="Q3354" s="12">
        <f t="shared" si="208"/>
        <v>0.5</v>
      </c>
      <c r="R3354" s="9">
        <f t="shared" si="209"/>
        <v>799</v>
      </c>
      <c r="S3354" s="9">
        <f>IF(R3354="",AVERAGEIF(Table1[Category],Table1[[#This Row],[Category]],Table2[orignal data]),Table2[[#This Row],[orignal data]])</f>
        <v>799</v>
      </c>
      <c r="T3354" t="str">
        <f t="shared" si="210"/>
        <v>UNIQUE</v>
      </c>
      <c r="U3354" t="str">
        <f>IF(ISBLANK(Table1[[#This Row],[SizeOption]]),"NOT AVAILABLE",Table1[[#This Row],[SizeOption]])</f>
        <v>XS, S, M, L, XL</v>
      </c>
      <c r="Y3354" t="str">
        <f>IF(Table2[[#This Row],[Column1]]&gt;50%,"HIGH DISCOUNT","LOW DISCOUNT")</f>
        <v>LOW DISCOUNT</v>
      </c>
    </row>
    <row r="3355" spans="1:25" x14ac:dyDescent="0.25">
      <c r="A3355" s="2" t="s">
        <v>6957</v>
      </c>
      <c r="B3355" s="2">
        <v>9341323</v>
      </c>
      <c r="C3355" s="2" t="s">
        <v>676</v>
      </c>
      <c r="D3355" s="2" t="s">
        <v>41</v>
      </c>
      <c r="E3355" s="2" t="s">
        <v>48</v>
      </c>
      <c r="F3355" s="2" t="s">
        <v>36</v>
      </c>
      <c r="G3355" s="2" t="s">
        <v>6958</v>
      </c>
      <c r="I3355" s="2">
        <v>1998</v>
      </c>
      <c r="J3355" s="2" t="s">
        <v>84</v>
      </c>
      <c r="K3355" s="2" t="s">
        <v>26</v>
      </c>
      <c r="L3355" s="2">
        <v>3.6</v>
      </c>
      <c r="M3355" s="2">
        <v>575</v>
      </c>
      <c r="P3355" t="str">
        <f t="shared" si="211"/>
        <v>50%</v>
      </c>
      <c r="Q3355" s="12">
        <f t="shared" si="208"/>
        <v>0.5</v>
      </c>
      <c r="R3355" s="9">
        <f t="shared" si="209"/>
        <v>999</v>
      </c>
      <c r="S3355" s="9">
        <f>IF(R3355="",AVERAGEIF(Table1[Category],Table1[[#This Row],[Category]],Table2[orignal data]),Table2[[#This Row],[orignal data]])</f>
        <v>999</v>
      </c>
      <c r="T3355" t="str">
        <f t="shared" si="210"/>
        <v>UNIQUE</v>
      </c>
      <c r="U3355" t="str">
        <f>IF(ISBLANK(Table1[[#This Row],[SizeOption]]),"NOT AVAILABLE",Table1[[#This Row],[SizeOption]])</f>
        <v>S, M, L, XL</v>
      </c>
      <c r="Y3355" t="str">
        <f>IF(Table2[[#This Row],[Column1]]&gt;50%,"HIGH DISCOUNT","LOW DISCOUNT")</f>
        <v>LOW DISCOUNT</v>
      </c>
    </row>
    <row r="3356" spans="1:25" x14ac:dyDescent="0.25">
      <c r="A3356" s="1" t="s">
        <v>6959</v>
      </c>
      <c r="B3356" s="1">
        <v>12480194</v>
      </c>
      <c r="C3356" s="1" t="s">
        <v>887</v>
      </c>
      <c r="D3356" s="1" t="s">
        <v>41</v>
      </c>
      <c r="E3356" s="1" t="s">
        <v>148</v>
      </c>
      <c r="F3356" s="1" t="s">
        <v>36</v>
      </c>
      <c r="G3356" s="1" t="s">
        <v>6960</v>
      </c>
      <c r="I3356" s="1">
        <v>2400</v>
      </c>
      <c r="J3356" s="1" t="s">
        <v>2415</v>
      </c>
      <c r="K3356" s="1" t="s">
        <v>26</v>
      </c>
      <c r="L3356" s="1">
        <v>4.5</v>
      </c>
      <c r="M3356" s="1">
        <v>575</v>
      </c>
      <c r="P3356" t="str">
        <f t="shared" si="211"/>
        <v>46%</v>
      </c>
      <c r="Q3356" s="12">
        <f t="shared" si="208"/>
        <v>0.46</v>
      </c>
      <c r="R3356" s="9">
        <f t="shared" si="209"/>
        <v>1296</v>
      </c>
      <c r="S3356" s="9">
        <f>IF(R3356="",AVERAGEIF(Table1[Category],Table1[[#This Row],[Category]],Table2[orignal data]),Table2[[#This Row],[orignal data]])</f>
        <v>1296</v>
      </c>
      <c r="T3356" t="str">
        <f t="shared" si="210"/>
        <v>UNIQUE</v>
      </c>
      <c r="U3356" t="str">
        <f>IF(ISBLANK(Table1[[#This Row],[SizeOption]]),"NOT AVAILABLE",Table1[[#This Row],[SizeOption]])</f>
        <v>S, M, L, XL</v>
      </c>
      <c r="Y3356" t="str">
        <f>IF(Table2[[#This Row],[Column1]]&gt;50%,"HIGH DISCOUNT","LOW DISCOUNT")</f>
        <v>LOW DISCOUNT</v>
      </c>
    </row>
    <row r="3357" spans="1:25" x14ac:dyDescent="0.25">
      <c r="A3357" s="2" t="s">
        <v>6961</v>
      </c>
      <c r="B3357" s="2">
        <v>13601590</v>
      </c>
      <c r="C3357" s="2" t="s">
        <v>14</v>
      </c>
      <c r="D3357" s="2" t="s">
        <v>41</v>
      </c>
      <c r="E3357" s="2" t="s">
        <v>42</v>
      </c>
      <c r="F3357" s="2" t="s">
        <v>36</v>
      </c>
      <c r="G3357" s="2" t="s">
        <v>6962</v>
      </c>
      <c r="I3357" s="2">
        <v>699</v>
      </c>
      <c r="J3357" s="2"/>
      <c r="K3357" s="2" t="s">
        <v>45</v>
      </c>
      <c r="L3357" s="2">
        <v>4.0999999999999996</v>
      </c>
      <c r="M3357" s="2">
        <v>575</v>
      </c>
      <c r="P3357" t="str">
        <f t="shared" si="211"/>
        <v/>
      </c>
      <c r="Q3357" s="12" t="str">
        <f t="shared" si="208"/>
        <v/>
      </c>
      <c r="R3357" s="9" t="str">
        <f t="shared" si="209"/>
        <v/>
      </c>
      <c r="S3357" s="9">
        <f>IF(R3357="",AVERAGEIF(Table1[Category],Table1[[#This Row],[Category]],Table2[orignal data]),Table2[[#This Row],[orignal data]])</f>
        <v>715.78890751086249</v>
      </c>
      <c r="T3357" t="str">
        <f t="shared" si="210"/>
        <v>UNIQUE</v>
      </c>
      <c r="U3357" t="str">
        <f>IF(ISBLANK(Table1[[#This Row],[SizeOption]]),"NOT AVAILABLE",Table1[[#This Row],[SizeOption]])</f>
        <v>XS, S, M, L, XL</v>
      </c>
      <c r="Y3357" t="str">
        <f>IF(Table2[[#This Row],[Column1]]&gt;50%,"HIGH DISCOUNT","LOW DISCOUNT")</f>
        <v>HIGH DISCOUNT</v>
      </c>
    </row>
    <row r="3358" spans="1:25" x14ac:dyDescent="0.25">
      <c r="A3358" s="1" t="s">
        <v>6963</v>
      </c>
      <c r="B3358" s="1">
        <v>8424707</v>
      </c>
      <c r="C3358" s="1" t="s">
        <v>169</v>
      </c>
      <c r="D3358" s="1" t="s">
        <v>15</v>
      </c>
      <c r="E3358" s="1" t="s">
        <v>16</v>
      </c>
      <c r="F3358" s="1" t="s">
        <v>17</v>
      </c>
      <c r="G3358" s="1" t="s">
        <v>263</v>
      </c>
      <c r="H3358">
        <v>1349</v>
      </c>
      <c r="I3358" s="1">
        <v>2699</v>
      </c>
      <c r="J3358" s="1" t="s">
        <v>84</v>
      </c>
      <c r="K3358" s="1" t="s">
        <v>171</v>
      </c>
      <c r="L3358" s="1">
        <v>3.9</v>
      </c>
      <c r="M3358" s="1">
        <v>574</v>
      </c>
      <c r="P3358" t="str">
        <f t="shared" si="211"/>
        <v>50%</v>
      </c>
      <c r="Q3358" s="12">
        <f t="shared" si="208"/>
        <v>0.5</v>
      </c>
      <c r="R3358" s="9">
        <f t="shared" si="209"/>
        <v>1349.5</v>
      </c>
      <c r="S3358" s="9">
        <f>IF(R3358="",AVERAGEIF(Table1[Category],Table1[[#This Row],[Category]],Table2[orignal data]),Table2[[#This Row],[orignal data]])</f>
        <v>1349.5</v>
      </c>
      <c r="T3358" t="str">
        <f t="shared" si="210"/>
        <v>UNIQUE</v>
      </c>
      <c r="U3358" t="str">
        <f>IF(ISBLANK(Table1[[#This Row],[SizeOption]]),"NOT AVAILABLE",Table1[[#This Row],[SizeOption]])</f>
        <v>28, 30, 32, 34, 36, 38</v>
      </c>
      <c r="Y3358" t="str">
        <f>IF(Table2[[#This Row],[Column1]]&gt;50%,"HIGH DISCOUNT","LOW DISCOUNT")</f>
        <v>LOW DISCOUNT</v>
      </c>
    </row>
    <row r="3359" spans="1:25" x14ac:dyDescent="0.25">
      <c r="A3359" s="2" t="s">
        <v>6964</v>
      </c>
      <c r="B3359" s="2">
        <v>8325349</v>
      </c>
      <c r="C3359" s="2" t="s">
        <v>47</v>
      </c>
      <c r="D3359" s="2" t="s">
        <v>28</v>
      </c>
      <c r="E3359" s="2" t="s">
        <v>42</v>
      </c>
      <c r="F3359" s="2" t="s">
        <v>17</v>
      </c>
      <c r="G3359" s="2" t="s">
        <v>6965</v>
      </c>
      <c r="H3359">
        <v>559</v>
      </c>
      <c r="I3359" s="2">
        <v>1399</v>
      </c>
      <c r="J3359" s="2" t="s">
        <v>55</v>
      </c>
      <c r="K3359" s="2" t="s">
        <v>26</v>
      </c>
      <c r="L3359" s="2">
        <v>4.3</v>
      </c>
      <c r="M3359" s="2">
        <v>574</v>
      </c>
      <c r="P3359" t="str">
        <f t="shared" si="211"/>
        <v>60%</v>
      </c>
      <c r="Q3359" s="12">
        <f t="shared" si="208"/>
        <v>0.6</v>
      </c>
      <c r="R3359" s="9">
        <f t="shared" si="209"/>
        <v>559.6</v>
      </c>
      <c r="S3359" s="9">
        <f>IF(R3359="",AVERAGEIF(Table1[Category],Table1[[#This Row],[Category]],Table2[orignal data]),Table2[[#This Row],[orignal data]])</f>
        <v>559.6</v>
      </c>
      <c r="T3359" t="str">
        <f t="shared" si="210"/>
        <v>UNIQUE</v>
      </c>
      <c r="U3359" t="str">
        <f>IF(ISBLANK(Table1[[#This Row],[SizeOption]]),"NOT AVAILABLE",Table1[[#This Row],[SizeOption]])</f>
        <v>S, M, L, XL</v>
      </c>
      <c r="Y3359" t="str">
        <f>IF(Table2[[#This Row],[Column1]]&gt;50%,"HIGH DISCOUNT","LOW DISCOUNT")</f>
        <v>HIGH DISCOUNT</v>
      </c>
    </row>
    <row r="3360" spans="1:25" x14ac:dyDescent="0.25">
      <c r="A3360" s="1" t="s">
        <v>6966</v>
      </c>
      <c r="B3360" s="1">
        <v>12127304</v>
      </c>
      <c r="C3360" s="1" t="s">
        <v>14</v>
      </c>
      <c r="D3360" s="1" t="s">
        <v>28</v>
      </c>
      <c r="E3360" s="1" t="s">
        <v>29</v>
      </c>
      <c r="F3360" s="1" t="s">
        <v>17</v>
      </c>
      <c r="G3360" s="1" t="s">
        <v>6967</v>
      </c>
      <c r="H3360">
        <v>824</v>
      </c>
      <c r="I3360" s="1">
        <v>1499</v>
      </c>
      <c r="J3360" s="1" t="s">
        <v>19</v>
      </c>
      <c r="K3360" s="1" t="s">
        <v>253</v>
      </c>
      <c r="L3360" s="1">
        <v>4.3</v>
      </c>
      <c r="M3360" s="1">
        <v>574</v>
      </c>
      <c r="P3360" t="str">
        <f t="shared" si="211"/>
        <v>45%</v>
      </c>
      <c r="Q3360" s="12">
        <f t="shared" si="208"/>
        <v>0.45</v>
      </c>
      <c r="R3360" s="9">
        <f t="shared" si="209"/>
        <v>824.44999999999993</v>
      </c>
      <c r="S3360" s="9">
        <f>IF(R3360="",AVERAGEIF(Table1[Category],Table1[[#This Row],[Category]],Table2[orignal data]),Table2[[#This Row],[orignal data]])</f>
        <v>824.44999999999993</v>
      </c>
      <c r="T3360" t="str">
        <f t="shared" si="210"/>
        <v>UNIQUE</v>
      </c>
      <c r="U3360" t="str">
        <f>IF(ISBLANK(Table1[[#This Row],[SizeOption]]),"NOT AVAILABLE",Table1[[#This Row],[SizeOption]])</f>
        <v>38, 40, 42, 44</v>
      </c>
      <c r="Y3360" t="str">
        <f>IF(Table2[[#This Row],[Column1]]&gt;50%,"HIGH DISCOUNT","LOW DISCOUNT")</f>
        <v>LOW DISCOUNT</v>
      </c>
    </row>
    <row r="3361" spans="1:25" x14ac:dyDescent="0.25">
      <c r="A3361" s="2" t="s">
        <v>6968</v>
      </c>
      <c r="B3361" s="2">
        <v>10863030</v>
      </c>
      <c r="C3361" s="2" t="s">
        <v>14</v>
      </c>
      <c r="D3361" s="2" t="s">
        <v>28</v>
      </c>
      <c r="E3361" s="2" t="s">
        <v>29</v>
      </c>
      <c r="F3361" s="2" t="s">
        <v>17</v>
      </c>
      <c r="G3361" s="2" t="s">
        <v>6969</v>
      </c>
      <c r="H3361">
        <v>1019</v>
      </c>
      <c r="I3361" s="2">
        <v>1699</v>
      </c>
      <c r="J3361" s="2" t="s">
        <v>50</v>
      </c>
      <c r="K3361" s="2" t="s">
        <v>253</v>
      </c>
      <c r="L3361" s="2">
        <v>4.3</v>
      </c>
      <c r="M3361" s="2">
        <v>574</v>
      </c>
      <c r="P3361" t="str">
        <f t="shared" si="211"/>
        <v>40%</v>
      </c>
      <c r="Q3361" s="12">
        <f t="shared" si="208"/>
        <v>0.4</v>
      </c>
      <c r="R3361" s="9">
        <f t="shared" si="209"/>
        <v>1019.4</v>
      </c>
      <c r="S3361" s="9">
        <f>IF(R3361="",AVERAGEIF(Table1[Category],Table1[[#This Row],[Category]],Table2[orignal data]),Table2[[#This Row],[orignal data]])</f>
        <v>1019.4</v>
      </c>
      <c r="T3361" t="str">
        <f t="shared" si="210"/>
        <v>UNIQUE</v>
      </c>
      <c r="U3361" t="str">
        <f>IF(ISBLANK(Table1[[#This Row],[SizeOption]]),"NOT AVAILABLE",Table1[[#This Row],[SizeOption]])</f>
        <v>38, 40, 42, 44</v>
      </c>
      <c r="Y3361" t="str">
        <f>IF(Table2[[#This Row],[Column1]]&gt;50%,"HIGH DISCOUNT","LOW DISCOUNT")</f>
        <v>LOW DISCOUNT</v>
      </c>
    </row>
    <row r="3362" spans="1:25" x14ac:dyDescent="0.25">
      <c r="A3362" s="1" t="s">
        <v>6970</v>
      </c>
      <c r="B3362" s="1">
        <v>12787316</v>
      </c>
      <c r="C3362" s="1" t="s">
        <v>64</v>
      </c>
      <c r="D3362" s="1" t="s">
        <v>28</v>
      </c>
      <c r="E3362" s="1" t="s">
        <v>42</v>
      </c>
      <c r="F3362" s="1" t="s">
        <v>17</v>
      </c>
      <c r="G3362" s="1" t="s">
        <v>6971</v>
      </c>
      <c r="H3362">
        <v>404</v>
      </c>
      <c r="I3362" s="1">
        <v>899</v>
      </c>
      <c r="J3362" s="1" t="s">
        <v>25</v>
      </c>
      <c r="K3362" s="1" t="s">
        <v>26</v>
      </c>
      <c r="L3362" s="1">
        <v>4.0999999999999996</v>
      </c>
      <c r="M3362" s="1">
        <v>574</v>
      </c>
      <c r="P3362" t="str">
        <f t="shared" si="211"/>
        <v>55%</v>
      </c>
      <c r="Q3362" s="12">
        <f t="shared" si="208"/>
        <v>0.55000000000000004</v>
      </c>
      <c r="R3362" s="9">
        <f t="shared" si="209"/>
        <v>404.54999999999995</v>
      </c>
      <c r="S3362" s="9">
        <f>IF(R3362="",AVERAGEIF(Table1[Category],Table1[[#This Row],[Category]],Table2[orignal data]),Table2[[#This Row],[orignal data]])</f>
        <v>404.54999999999995</v>
      </c>
      <c r="T3362" t="str">
        <f t="shared" si="210"/>
        <v>UNIQUE</v>
      </c>
      <c r="U3362" t="str">
        <f>IF(ISBLANK(Table1[[#This Row],[SizeOption]]),"NOT AVAILABLE",Table1[[#This Row],[SizeOption]])</f>
        <v>S, M, L, XL</v>
      </c>
      <c r="Y3362" t="str">
        <f>IF(Table2[[#This Row],[Column1]]&gt;50%,"HIGH DISCOUNT","LOW DISCOUNT")</f>
        <v>HIGH DISCOUNT</v>
      </c>
    </row>
    <row r="3363" spans="1:25" x14ac:dyDescent="0.25">
      <c r="A3363" s="2" t="s">
        <v>6972</v>
      </c>
      <c r="B3363" s="2">
        <v>11411808</v>
      </c>
      <c r="C3363" s="2" t="s">
        <v>1375</v>
      </c>
      <c r="D3363" s="2" t="s">
        <v>76</v>
      </c>
      <c r="E3363" s="2" t="s">
        <v>320</v>
      </c>
      <c r="F3363" s="2" t="s">
        <v>36</v>
      </c>
      <c r="G3363" s="2" t="s">
        <v>6973</v>
      </c>
      <c r="H3363">
        <v>1127</v>
      </c>
      <c r="I3363" s="2">
        <v>2399</v>
      </c>
      <c r="J3363" s="2" t="s">
        <v>89</v>
      </c>
      <c r="K3363" s="2" t="s">
        <v>164</v>
      </c>
      <c r="L3363" s="2">
        <v>3.7</v>
      </c>
      <c r="M3363" s="2">
        <v>574</v>
      </c>
      <c r="P3363" t="str">
        <f t="shared" si="211"/>
        <v>53%</v>
      </c>
      <c r="Q3363" s="12">
        <f t="shared" si="208"/>
        <v>0.53</v>
      </c>
      <c r="R3363" s="9">
        <f t="shared" si="209"/>
        <v>1127.53</v>
      </c>
      <c r="S3363" s="9">
        <f>IF(R3363="",AVERAGEIF(Table1[Category],Table1[[#This Row],[Category]],Table2[orignal data]),Table2[[#This Row],[orignal data]])</f>
        <v>1127.53</v>
      </c>
      <c r="T3363" t="str">
        <f t="shared" si="210"/>
        <v>UNIQUE</v>
      </c>
      <c r="U3363" t="str">
        <f>IF(ISBLANK(Table1[[#This Row],[SizeOption]]),"NOT AVAILABLE",Table1[[#This Row],[SizeOption]])</f>
        <v>Onesize</v>
      </c>
      <c r="Y3363" t="str">
        <f>IF(Table2[[#This Row],[Column1]]&gt;50%,"HIGH DISCOUNT","LOW DISCOUNT")</f>
        <v>HIGH DISCOUNT</v>
      </c>
    </row>
    <row r="3364" spans="1:25" x14ac:dyDescent="0.25">
      <c r="A3364" s="1" t="s">
        <v>6974</v>
      </c>
      <c r="B3364" s="1">
        <v>8393893</v>
      </c>
      <c r="C3364" s="1" t="s">
        <v>221</v>
      </c>
      <c r="D3364" s="1" t="s">
        <v>98</v>
      </c>
      <c r="E3364" s="1" t="s">
        <v>48</v>
      </c>
      <c r="F3364" s="1" t="s">
        <v>36</v>
      </c>
      <c r="G3364" s="1" t="s">
        <v>6975</v>
      </c>
      <c r="H3364">
        <v>424</v>
      </c>
      <c r="I3364" s="1">
        <v>1699</v>
      </c>
      <c r="J3364" s="1" t="s">
        <v>109</v>
      </c>
      <c r="K3364" s="1" t="s">
        <v>223</v>
      </c>
      <c r="L3364" s="1">
        <v>4</v>
      </c>
      <c r="M3364" s="1">
        <v>574</v>
      </c>
      <c r="P3364" t="str">
        <f t="shared" si="211"/>
        <v>75%</v>
      </c>
      <c r="Q3364" s="12">
        <f t="shared" si="208"/>
        <v>0.75</v>
      </c>
      <c r="R3364" s="9">
        <f t="shared" si="209"/>
        <v>424.75</v>
      </c>
      <c r="S3364" s="9">
        <f>IF(R3364="",AVERAGEIF(Table1[Category],Table1[[#This Row],[Category]],Table2[orignal data]),Table2[[#This Row],[orignal data]])</f>
        <v>424.75</v>
      </c>
      <c r="T3364" t="str">
        <f t="shared" si="210"/>
        <v>UNIQUE</v>
      </c>
      <c r="U3364" t="str">
        <f>IF(ISBLANK(Table1[[#This Row],[SizeOption]]),"NOT AVAILABLE",Table1[[#This Row],[SizeOption]])</f>
        <v>S, M, L, XL, XXL, 3XL, 4XL</v>
      </c>
      <c r="Y3364" t="str">
        <f>IF(Table2[[#This Row],[Column1]]&gt;50%,"HIGH DISCOUNT","LOW DISCOUNT")</f>
        <v>HIGH DISCOUNT</v>
      </c>
    </row>
    <row r="3365" spans="1:25" x14ac:dyDescent="0.25">
      <c r="A3365" s="2" t="s">
        <v>6976</v>
      </c>
      <c r="B3365" s="2">
        <v>8379297</v>
      </c>
      <c r="C3365" s="2" t="s">
        <v>67</v>
      </c>
      <c r="D3365" s="2" t="s">
        <v>68</v>
      </c>
      <c r="E3365" s="2" t="s">
        <v>23</v>
      </c>
      <c r="F3365" s="2" t="s">
        <v>36</v>
      </c>
      <c r="G3365" s="2" t="s">
        <v>6977</v>
      </c>
      <c r="H3365">
        <v>599</v>
      </c>
      <c r="I3365" s="2">
        <v>1499</v>
      </c>
      <c r="J3365" s="2" t="s">
        <v>55</v>
      </c>
      <c r="K3365" s="2" t="s">
        <v>45</v>
      </c>
      <c r="L3365" s="2">
        <v>4</v>
      </c>
      <c r="M3365" s="2">
        <v>574</v>
      </c>
      <c r="P3365" t="str">
        <f t="shared" si="211"/>
        <v>60%</v>
      </c>
      <c r="Q3365" s="12">
        <f t="shared" si="208"/>
        <v>0.6</v>
      </c>
      <c r="R3365" s="9">
        <f t="shared" si="209"/>
        <v>599.6</v>
      </c>
      <c r="S3365" s="9">
        <f>IF(R3365="",AVERAGEIF(Table1[Category],Table1[[#This Row],[Category]],Table2[orignal data]),Table2[[#This Row],[orignal data]])</f>
        <v>599.6</v>
      </c>
      <c r="T3365" t="str">
        <f t="shared" si="210"/>
        <v>UNIQUE</v>
      </c>
      <c r="U3365" t="str">
        <f>IF(ISBLANK(Table1[[#This Row],[SizeOption]]),"NOT AVAILABLE",Table1[[#This Row],[SizeOption]])</f>
        <v>XS, S, M, L, XL</v>
      </c>
      <c r="Y3365" t="str">
        <f>IF(Table2[[#This Row],[Column1]]&gt;50%,"HIGH DISCOUNT","LOW DISCOUNT")</f>
        <v>HIGH DISCOUNT</v>
      </c>
    </row>
    <row r="3366" spans="1:25" x14ac:dyDescent="0.25">
      <c r="A3366" s="1" t="s">
        <v>6978</v>
      </c>
      <c r="B3366" s="1">
        <v>17385152</v>
      </c>
      <c r="C3366" s="1" t="s">
        <v>14</v>
      </c>
      <c r="D3366" s="1" t="s">
        <v>41</v>
      </c>
      <c r="E3366" s="1" t="s">
        <v>42</v>
      </c>
      <c r="F3366" s="1" t="s">
        <v>36</v>
      </c>
      <c r="G3366" s="1" t="s">
        <v>111</v>
      </c>
      <c r="I3366" s="1">
        <v>1398</v>
      </c>
      <c r="J3366" s="1" t="s">
        <v>84</v>
      </c>
      <c r="K3366" s="1" t="s">
        <v>45</v>
      </c>
      <c r="L3366" s="1">
        <v>4.4000000000000004</v>
      </c>
      <c r="M3366" s="1">
        <v>574</v>
      </c>
      <c r="P3366" t="str">
        <f t="shared" si="211"/>
        <v>50%</v>
      </c>
      <c r="Q3366" s="12">
        <f t="shared" si="208"/>
        <v>0.5</v>
      </c>
      <c r="R3366" s="9">
        <f t="shared" si="209"/>
        <v>699</v>
      </c>
      <c r="S3366" s="9">
        <f>IF(R3366="",AVERAGEIF(Table1[Category],Table1[[#This Row],[Category]],Table2[orignal data]),Table2[[#This Row],[orignal data]])</f>
        <v>699</v>
      </c>
      <c r="T3366" t="str">
        <f t="shared" si="210"/>
        <v>UNIQUE</v>
      </c>
      <c r="U3366" t="str">
        <f>IF(ISBLANK(Table1[[#This Row],[SizeOption]]),"NOT AVAILABLE",Table1[[#This Row],[SizeOption]])</f>
        <v>XS, S, M, L, XL</v>
      </c>
      <c r="Y3366" t="str">
        <f>IF(Table2[[#This Row],[Column1]]&gt;50%,"HIGH DISCOUNT","LOW DISCOUNT")</f>
        <v>LOW DISCOUNT</v>
      </c>
    </row>
    <row r="3367" spans="1:25" x14ac:dyDescent="0.25">
      <c r="A3367" s="2" t="s">
        <v>6979</v>
      </c>
      <c r="B3367" s="2">
        <v>10365223</v>
      </c>
      <c r="C3367" s="2" t="s">
        <v>107</v>
      </c>
      <c r="D3367" s="2" t="s">
        <v>41</v>
      </c>
      <c r="E3367" s="2" t="s">
        <v>579</v>
      </c>
      <c r="F3367" s="2" t="s">
        <v>36</v>
      </c>
      <c r="G3367" s="2" t="s">
        <v>6980</v>
      </c>
      <c r="I3367" s="2">
        <v>1499</v>
      </c>
      <c r="J3367" s="2" t="s">
        <v>25</v>
      </c>
      <c r="K3367" s="2" t="s">
        <v>134</v>
      </c>
      <c r="L3367" s="2">
        <v>4.3</v>
      </c>
      <c r="M3367" s="2">
        <v>574</v>
      </c>
      <c r="P3367" t="str">
        <f t="shared" si="211"/>
        <v>55%</v>
      </c>
      <c r="Q3367" s="12">
        <f t="shared" si="208"/>
        <v>0.55000000000000004</v>
      </c>
      <c r="R3367" s="9">
        <f t="shared" si="209"/>
        <v>674.55</v>
      </c>
      <c r="S3367" s="9">
        <f>IF(R3367="",AVERAGEIF(Table1[Category],Table1[[#This Row],[Category]],Table2[orignal data]),Table2[[#This Row],[orignal data]])</f>
        <v>674.55</v>
      </c>
      <c r="T3367" t="str">
        <f t="shared" si="210"/>
        <v>UNIQUE</v>
      </c>
      <c r="U3367" t="str">
        <f>IF(ISBLANK(Table1[[#This Row],[SizeOption]]),"NOT AVAILABLE",Table1[[#This Row],[SizeOption]])</f>
        <v>26, 28, 30, 32, 34, 36</v>
      </c>
      <c r="Y3367" t="str">
        <f>IF(Table2[[#This Row],[Column1]]&gt;50%,"HIGH DISCOUNT","LOW DISCOUNT")</f>
        <v>HIGH DISCOUNT</v>
      </c>
    </row>
    <row r="3368" spans="1:25" x14ac:dyDescent="0.25">
      <c r="A3368" s="1" t="s">
        <v>6981</v>
      </c>
      <c r="B3368" s="1">
        <v>12277610</v>
      </c>
      <c r="C3368" s="1" t="s">
        <v>290</v>
      </c>
      <c r="D3368" s="1" t="s">
        <v>41</v>
      </c>
      <c r="E3368" s="1" t="s">
        <v>53</v>
      </c>
      <c r="F3368" s="1" t="s">
        <v>36</v>
      </c>
      <c r="G3368" s="1" t="s">
        <v>6982</v>
      </c>
      <c r="I3368" s="1">
        <v>1799</v>
      </c>
      <c r="J3368" s="1" t="s">
        <v>84</v>
      </c>
      <c r="K3368" s="1" t="s">
        <v>428</v>
      </c>
      <c r="L3368" s="1">
        <v>4.3</v>
      </c>
      <c r="M3368" s="1">
        <v>574</v>
      </c>
      <c r="P3368" t="str">
        <f t="shared" si="211"/>
        <v>50%</v>
      </c>
      <c r="Q3368" s="12">
        <f t="shared" si="208"/>
        <v>0.5</v>
      </c>
      <c r="R3368" s="9">
        <f t="shared" si="209"/>
        <v>899.5</v>
      </c>
      <c r="S3368" s="9">
        <f>IF(R3368="",AVERAGEIF(Table1[Category],Table1[[#This Row],[Category]],Table2[orignal data]),Table2[[#This Row],[orignal data]])</f>
        <v>899.5</v>
      </c>
      <c r="T3368" t="str">
        <f t="shared" si="210"/>
        <v>UNIQUE</v>
      </c>
      <c r="U3368" t="str">
        <f>IF(ISBLANK(Table1[[#This Row],[SizeOption]]),"NOT AVAILABLE",Table1[[#This Row],[SizeOption]])</f>
        <v>26, 28, 30, 32, 34</v>
      </c>
      <c r="Y3368" t="str">
        <f>IF(Table2[[#This Row],[Column1]]&gt;50%,"HIGH DISCOUNT","LOW DISCOUNT")</f>
        <v>LOW DISCOUNT</v>
      </c>
    </row>
    <row r="3369" spans="1:25" x14ac:dyDescent="0.25">
      <c r="A3369" s="2" t="s">
        <v>6983</v>
      </c>
      <c r="B3369" s="2">
        <v>9479013</v>
      </c>
      <c r="C3369" s="2" t="s">
        <v>14</v>
      </c>
      <c r="D3369" s="2" t="s">
        <v>41</v>
      </c>
      <c r="E3369" s="2" t="s">
        <v>189</v>
      </c>
      <c r="F3369" s="2" t="s">
        <v>36</v>
      </c>
      <c r="G3369" s="2" t="s">
        <v>6984</v>
      </c>
      <c r="I3369" s="2">
        <v>3399</v>
      </c>
      <c r="J3369" s="2" t="s">
        <v>25</v>
      </c>
      <c r="K3369" s="2" t="s">
        <v>115</v>
      </c>
      <c r="L3369" s="2">
        <v>4.4000000000000004</v>
      </c>
      <c r="M3369" s="2">
        <v>574</v>
      </c>
      <c r="P3369" t="str">
        <f t="shared" si="211"/>
        <v>55%</v>
      </c>
      <c r="Q3369" s="12">
        <f t="shared" si="208"/>
        <v>0.55000000000000004</v>
      </c>
      <c r="R3369" s="9">
        <f t="shared" si="209"/>
        <v>1529.55</v>
      </c>
      <c r="S3369" s="9">
        <f>IF(R3369="",AVERAGEIF(Table1[Category],Table1[[#This Row],[Category]],Table2[orignal data]),Table2[[#This Row],[orignal data]])</f>
        <v>1529.55</v>
      </c>
      <c r="T3369" t="str">
        <f t="shared" si="210"/>
        <v>UNIQUE</v>
      </c>
      <c r="U3369" t="str">
        <f>IF(ISBLANK(Table1[[#This Row],[SizeOption]]),"NOT AVAILABLE",Table1[[#This Row],[SizeOption]])</f>
        <v>XS, S, M, L, XL, XXL</v>
      </c>
      <c r="Y3369" t="str">
        <f>IF(Table2[[#This Row],[Column1]]&gt;50%,"HIGH DISCOUNT","LOW DISCOUNT")</f>
        <v>HIGH DISCOUNT</v>
      </c>
    </row>
    <row r="3370" spans="1:25" x14ac:dyDescent="0.25">
      <c r="A3370" s="1" t="s">
        <v>6985</v>
      </c>
      <c r="B3370" s="1">
        <v>11373664</v>
      </c>
      <c r="C3370" s="1" t="s">
        <v>14</v>
      </c>
      <c r="D3370" s="1" t="s">
        <v>41</v>
      </c>
      <c r="E3370" s="1" t="s">
        <v>48</v>
      </c>
      <c r="F3370" s="1" t="s">
        <v>36</v>
      </c>
      <c r="G3370" s="1" t="s">
        <v>6986</v>
      </c>
      <c r="I3370" s="1">
        <v>599</v>
      </c>
      <c r="J3370" s="1" t="s">
        <v>25</v>
      </c>
      <c r="K3370" s="1" t="s">
        <v>45</v>
      </c>
      <c r="L3370" s="1">
        <v>4.2</v>
      </c>
      <c r="M3370" s="1">
        <v>574</v>
      </c>
      <c r="P3370" t="str">
        <f t="shared" si="211"/>
        <v>55%</v>
      </c>
      <c r="Q3370" s="12">
        <f t="shared" si="208"/>
        <v>0.55000000000000004</v>
      </c>
      <c r="R3370" s="9">
        <f t="shared" si="209"/>
        <v>269.54999999999995</v>
      </c>
      <c r="S3370" s="9">
        <f>IF(R3370="",AVERAGEIF(Table1[Category],Table1[[#This Row],[Category]],Table2[orignal data]),Table2[[#This Row],[orignal data]])</f>
        <v>269.54999999999995</v>
      </c>
      <c r="T3370" t="str">
        <f t="shared" si="210"/>
        <v>UNIQUE</v>
      </c>
      <c r="U3370" t="str">
        <f>IF(ISBLANK(Table1[[#This Row],[SizeOption]]),"NOT AVAILABLE",Table1[[#This Row],[SizeOption]])</f>
        <v>XS, S, M, L, XL</v>
      </c>
      <c r="Y3370" t="str">
        <f>IF(Table2[[#This Row],[Column1]]&gt;50%,"HIGH DISCOUNT","LOW DISCOUNT")</f>
        <v>HIGH DISCOUNT</v>
      </c>
    </row>
    <row r="3371" spans="1:25" x14ac:dyDescent="0.25">
      <c r="A3371" s="2" t="s">
        <v>6987</v>
      </c>
      <c r="B3371" s="2">
        <v>2519778</v>
      </c>
      <c r="C3371" s="2" t="s">
        <v>14</v>
      </c>
      <c r="D3371" s="2" t="s">
        <v>41</v>
      </c>
      <c r="E3371" s="2" t="s">
        <v>42</v>
      </c>
      <c r="F3371" s="2" t="s">
        <v>36</v>
      </c>
      <c r="G3371" s="2" t="s">
        <v>6988</v>
      </c>
      <c r="I3371" s="2">
        <v>699</v>
      </c>
      <c r="J3371" s="2"/>
      <c r="K3371" s="2" t="s">
        <v>45</v>
      </c>
      <c r="L3371" s="2">
        <v>4.0999999999999996</v>
      </c>
      <c r="M3371" s="2">
        <v>574</v>
      </c>
      <c r="P3371" t="str">
        <f t="shared" si="211"/>
        <v/>
      </c>
      <c r="Q3371" s="12" t="str">
        <f t="shared" si="208"/>
        <v/>
      </c>
      <c r="R3371" s="9" t="str">
        <f t="shared" si="209"/>
        <v/>
      </c>
      <c r="S3371" s="9">
        <f>IF(R3371="",AVERAGEIF(Table1[Category],Table1[[#This Row],[Category]],Table2[orignal data]),Table2[[#This Row],[orignal data]])</f>
        <v>715.78890751086249</v>
      </c>
      <c r="T3371" t="str">
        <f t="shared" si="210"/>
        <v>UNIQUE</v>
      </c>
      <c r="U3371" t="str">
        <f>IF(ISBLANK(Table1[[#This Row],[SizeOption]]),"NOT AVAILABLE",Table1[[#This Row],[SizeOption]])</f>
        <v>XS, S, M, L, XL</v>
      </c>
      <c r="Y3371" t="str">
        <f>IF(Table2[[#This Row],[Column1]]&gt;50%,"HIGH DISCOUNT","LOW DISCOUNT")</f>
        <v>HIGH DISCOUNT</v>
      </c>
    </row>
    <row r="3372" spans="1:25" x14ac:dyDescent="0.25">
      <c r="A3372" s="1" t="s">
        <v>6989</v>
      </c>
      <c r="B3372" s="1">
        <v>2291340</v>
      </c>
      <c r="C3372" s="1" t="s">
        <v>14</v>
      </c>
      <c r="D3372" s="1" t="s">
        <v>15</v>
      </c>
      <c r="E3372" s="1" t="s">
        <v>53</v>
      </c>
      <c r="F3372" s="1" t="s">
        <v>17</v>
      </c>
      <c r="G3372" s="1" t="s">
        <v>6990</v>
      </c>
      <c r="H3372">
        <v>1034</v>
      </c>
      <c r="I3372" s="1">
        <v>2299</v>
      </c>
      <c r="J3372" s="1" t="s">
        <v>25</v>
      </c>
      <c r="K3372" s="1" t="s">
        <v>20</v>
      </c>
      <c r="L3372" s="1">
        <v>3.9</v>
      </c>
      <c r="M3372" s="1">
        <v>573</v>
      </c>
      <c r="P3372" t="str">
        <f t="shared" si="211"/>
        <v>55%</v>
      </c>
      <c r="Q3372" s="12">
        <f t="shared" si="208"/>
        <v>0.55000000000000004</v>
      </c>
      <c r="R3372" s="9">
        <f t="shared" si="209"/>
        <v>1034.55</v>
      </c>
      <c r="S3372" s="9">
        <f>IF(R3372="",AVERAGEIF(Table1[Category],Table1[[#This Row],[Category]],Table2[orignal data]),Table2[[#This Row],[orignal data]])</f>
        <v>1034.55</v>
      </c>
      <c r="T3372" t="str">
        <f t="shared" si="210"/>
        <v>UNIQUE</v>
      </c>
      <c r="U3372" t="str">
        <f>IF(ISBLANK(Table1[[#This Row],[SizeOption]]),"NOT AVAILABLE",Table1[[#This Row],[SizeOption]])</f>
        <v>28, 30, 32, 34, 36</v>
      </c>
      <c r="Y3372" t="str">
        <f>IF(Table2[[#This Row],[Column1]]&gt;50%,"HIGH DISCOUNT","LOW DISCOUNT")</f>
        <v>HIGH DISCOUNT</v>
      </c>
    </row>
    <row r="3373" spans="1:25" x14ac:dyDescent="0.25">
      <c r="A3373" s="2" t="s">
        <v>6991</v>
      </c>
      <c r="B3373" s="2">
        <v>10415124</v>
      </c>
      <c r="C3373" s="2" t="s">
        <v>841</v>
      </c>
      <c r="D3373" s="2" t="s">
        <v>15</v>
      </c>
      <c r="E3373" s="2" t="s">
        <v>16</v>
      </c>
      <c r="F3373" s="2" t="s">
        <v>17</v>
      </c>
      <c r="G3373" s="2" t="s">
        <v>5163</v>
      </c>
      <c r="H3373">
        <v>949</v>
      </c>
      <c r="I3373" s="2">
        <v>1898</v>
      </c>
      <c r="J3373" s="2" t="s">
        <v>84</v>
      </c>
      <c r="K3373" s="2" t="s">
        <v>20</v>
      </c>
      <c r="L3373" s="2">
        <v>3.8</v>
      </c>
      <c r="M3373" s="2">
        <v>573</v>
      </c>
      <c r="P3373" t="str">
        <f t="shared" si="211"/>
        <v>50%</v>
      </c>
      <c r="Q3373" s="12">
        <f t="shared" si="208"/>
        <v>0.5</v>
      </c>
      <c r="R3373" s="9">
        <f t="shared" si="209"/>
        <v>949</v>
      </c>
      <c r="S3373" s="9">
        <f>IF(R3373="",AVERAGEIF(Table1[Category],Table1[[#This Row],[Category]],Table2[orignal data]),Table2[[#This Row],[orignal data]])</f>
        <v>949</v>
      </c>
      <c r="T3373" t="str">
        <f t="shared" si="210"/>
        <v>UNIQUE</v>
      </c>
      <c r="U3373" t="str">
        <f>IF(ISBLANK(Table1[[#This Row],[SizeOption]]),"NOT AVAILABLE",Table1[[#This Row],[SizeOption]])</f>
        <v>28, 30, 32, 34, 36</v>
      </c>
      <c r="Y3373" t="str">
        <f>IF(Table2[[#This Row],[Column1]]&gt;50%,"HIGH DISCOUNT","LOW DISCOUNT")</f>
        <v>LOW DISCOUNT</v>
      </c>
    </row>
    <row r="3374" spans="1:25" x14ac:dyDescent="0.25">
      <c r="A3374" s="1" t="s">
        <v>6992</v>
      </c>
      <c r="B3374" s="1">
        <v>11640414</v>
      </c>
      <c r="C3374" s="1" t="s">
        <v>67</v>
      </c>
      <c r="D3374" s="1" t="s">
        <v>68</v>
      </c>
      <c r="E3374" s="1" t="s">
        <v>42</v>
      </c>
      <c r="F3374" s="1" t="s">
        <v>17</v>
      </c>
      <c r="G3374" s="1" t="s">
        <v>6993</v>
      </c>
      <c r="H3374">
        <v>604</v>
      </c>
      <c r="I3374" s="1">
        <v>1099</v>
      </c>
      <c r="J3374" s="1" t="s">
        <v>19</v>
      </c>
      <c r="K3374" s="1" t="s">
        <v>39</v>
      </c>
      <c r="L3374" s="1">
        <v>4.2</v>
      </c>
      <c r="M3374" s="1">
        <v>573</v>
      </c>
      <c r="P3374" t="str">
        <f t="shared" si="211"/>
        <v>45%</v>
      </c>
      <c r="Q3374" s="12">
        <f t="shared" si="208"/>
        <v>0.45</v>
      </c>
      <c r="R3374" s="9">
        <f t="shared" si="209"/>
        <v>604.45000000000005</v>
      </c>
      <c r="S3374" s="9">
        <f>IF(R3374="",AVERAGEIF(Table1[Category],Table1[[#This Row],[Category]],Table2[orignal data]),Table2[[#This Row],[orignal data]])</f>
        <v>604.45000000000005</v>
      </c>
      <c r="T3374" t="str">
        <f t="shared" si="210"/>
        <v>UNIQUE</v>
      </c>
      <c r="U3374" t="str">
        <f>IF(ISBLANK(Table1[[#This Row],[SizeOption]]),"NOT AVAILABLE",Table1[[#This Row],[SizeOption]])</f>
        <v>S, M, L, XL, XXL</v>
      </c>
      <c r="Y3374" t="str">
        <f>IF(Table2[[#This Row],[Column1]]&gt;50%,"HIGH DISCOUNT","LOW DISCOUNT")</f>
        <v>LOW DISCOUNT</v>
      </c>
    </row>
    <row r="3375" spans="1:25" x14ac:dyDescent="0.25">
      <c r="A3375" s="2" t="s">
        <v>6994</v>
      </c>
      <c r="B3375" s="2">
        <v>2364207</v>
      </c>
      <c r="C3375" s="2" t="s">
        <v>6995</v>
      </c>
      <c r="D3375" s="2" t="s">
        <v>28</v>
      </c>
      <c r="E3375" s="2" t="s">
        <v>29</v>
      </c>
      <c r="F3375" s="2" t="s">
        <v>17</v>
      </c>
      <c r="G3375" s="2" t="s">
        <v>6996</v>
      </c>
      <c r="H3375">
        <v>1349</v>
      </c>
      <c r="I3375" s="2">
        <v>1499</v>
      </c>
      <c r="J3375" s="2" t="s">
        <v>1005</v>
      </c>
      <c r="K3375" s="2" t="s">
        <v>31</v>
      </c>
      <c r="L3375" s="2">
        <v>4.3</v>
      </c>
      <c r="M3375" s="2">
        <v>573</v>
      </c>
      <c r="P3375" t="str">
        <f t="shared" si="211"/>
        <v>10%</v>
      </c>
      <c r="Q3375" s="12">
        <f t="shared" si="208"/>
        <v>0.1</v>
      </c>
      <c r="R3375" s="9">
        <f t="shared" si="209"/>
        <v>1349.1</v>
      </c>
      <c r="S3375" s="9">
        <f>IF(R3375="",AVERAGEIF(Table1[Category],Table1[[#This Row],[Category]],Table2[orignal data]),Table2[[#This Row],[orignal data]])</f>
        <v>1349.1</v>
      </c>
      <c r="T3375" t="str">
        <f t="shared" si="210"/>
        <v>UNIQUE</v>
      </c>
      <c r="U3375" t="str">
        <f>IF(ISBLANK(Table1[[#This Row],[SizeOption]]),"NOT AVAILABLE",Table1[[#This Row],[SizeOption]])</f>
        <v>38, 40, 42, 44, 46, 48</v>
      </c>
      <c r="Y3375" t="str">
        <f>IF(Table2[[#This Row],[Column1]]&gt;50%,"HIGH DISCOUNT","LOW DISCOUNT")</f>
        <v>LOW DISCOUNT</v>
      </c>
    </row>
    <row r="3376" spans="1:25" x14ac:dyDescent="0.25">
      <c r="A3376" s="1" t="s">
        <v>6997</v>
      </c>
      <c r="B3376" s="1">
        <v>10941014</v>
      </c>
      <c r="C3376" s="1" t="s">
        <v>14</v>
      </c>
      <c r="D3376" s="1" t="s">
        <v>28</v>
      </c>
      <c r="E3376" s="1" t="s">
        <v>42</v>
      </c>
      <c r="F3376" s="1" t="s">
        <v>17</v>
      </c>
      <c r="G3376" s="1" t="s">
        <v>6998</v>
      </c>
      <c r="H3376">
        <v>439</v>
      </c>
      <c r="I3376" s="1">
        <v>799</v>
      </c>
      <c r="J3376" s="1" t="s">
        <v>19</v>
      </c>
      <c r="K3376" s="1" t="s">
        <v>45</v>
      </c>
      <c r="L3376" s="1">
        <v>4</v>
      </c>
      <c r="M3376" s="1">
        <v>573</v>
      </c>
      <c r="P3376" t="str">
        <f t="shared" si="211"/>
        <v>45%</v>
      </c>
      <c r="Q3376" s="12">
        <f t="shared" si="208"/>
        <v>0.45</v>
      </c>
      <c r="R3376" s="9">
        <f t="shared" si="209"/>
        <v>439.45</v>
      </c>
      <c r="S3376" s="9">
        <f>IF(R3376="",AVERAGEIF(Table1[Category],Table1[[#This Row],[Category]],Table2[orignal data]),Table2[[#This Row],[orignal data]])</f>
        <v>439.45</v>
      </c>
      <c r="T3376" t="str">
        <f t="shared" si="210"/>
        <v>UNIQUE</v>
      </c>
      <c r="U3376" t="str">
        <f>IF(ISBLANK(Table1[[#This Row],[SizeOption]]),"NOT AVAILABLE",Table1[[#This Row],[SizeOption]])</f>
        <v>XS, S, M, L, XL</v>
      </c>
      <c r="Y3376" t="str">
        <f>IF(Table2[[#This Row],[Column1]]&gt;50%,"HIGH DISCOUNT","LOW DISCOUNT")</f>
        <v>LOW DISCOUNT</v>
      </c>
    </row>
    <row r="3377" spans="1:25" x14ac:dyDescent="0.25">
      <c r="A3377" s="2" t="s">
        <v>6999</v>
      </c>
      <c r="B3377" s="2">
        <v>12768478</v>
      </c>
      <c r="C3377" s="2" t="s">
        <v>6622</v>
      </c>
      <c r="D3377" s="2" t="s">
        <v>76</v>
      </c>
      <c r="E3377" s="2" t="s">
        <v>77</v>
      </c>
      <c r="F3377" s="2" t="s">
        <v>36</v>
      </c>
      <c r="G3377" s="2" t="s">
        <v>7000</v>
      </c>
      <c r="H3377">
        <v>774</v>
      </c>
      <c r="I3377" s="2">
        <v>2499</v>
      </c>
      <c r="J3377" s="2" t="s">
        <v>731</v>
      </c>
      <c r="K3377" s="2" t="s">
        <v>115</v>
      </c>
      <c r="L3377" s="2">
        <v>4.3</v>
      </c>
      <c r="M3377" s="2">
        <v>573</v>
      </c>
      <c r="P3377" t="str">
        <f t="shared" si="211"/>
        <v>69%</v>
      </c>
      <c r="Q3377" s="12">
        <f t="shared" si="208"/>
        <v>0.69</v>
      </c>
      <c r="R3377" s="9">
        <f t="shared" si="209"/>
        <v>774.69</v>
      </c>
      <c r="S3377" s="9">
        <f>IF(R3377="",AVERAGEIF(Table1[Category],Table1[[#This Row],[Category]],Table2[orignal data]),Table2[[#This Row],[orignal data]])</f>
        <v>774.69</v>
      </c>
      <c r="T3377" t="str">
        <f t="shared" si="210"/>
        <v>UNIQUE</v>
      </c>
      <c r="U3377" t="str">
        <f>IF(ISBLANK(Table1[[#This Row],[SizeOption]]),"NOT AVAILABLE",Table1[[#This Row],[SizeOption]])</f>
        <v>XS, S, M, L, XL, XXL</v>
      </c>
      <c r="Y3377" t="str">
        <f>IF(Table2[[#This Row],[Column1]]&gt;50%,"HIGH DISCOUNT","LOW DISCOUNT")</f>
        <v>HIGH DISCOUNT</v>
      </c>
    </row>
    <row r="3378" spans="1:25" x14ac:dyDescent="0.25">
      <c r="A3378" s="1" t="s">
        <v>7001</v>
      </c>
      <c r="B3378" s="1">
        <v>15026486</v>
      </c>
      <c r="C3378" s="1" t="s">
        <v>3903</v>
      </c>
      <c r="D3378" s="1" t="s">
        <v>76</v>
      </c>
      <c r="E3378" s="1" t="s">
        <v>77</v>
      </c>
      <c r="F3378" s="1" t="s">
        <v>36</v>
      </c>
      <c r="G3378" s="1" t="s">
        <v>7002</v>
      </c>
      <c r="H3378">
        <v>2799</v>
      </c>
      <c r="I3378" s="1">
        <v>3999</v>
      </c>
      <c r="J3378" s="1" t="s">
        <v>186</v>
      </c>
      <c r="K3378" s="1" t="s">
        <v>100</v>
      </c>
      <c r="L3378" s="1">
        <v>4.4000000000000004</v>
      </c>
      <c r="M3378" s="1">
        <v>573</v>
      </c>
      <c r="P3378" t="str">
        <f t="shared" si="211"/>
        <v>30%</v>
      </c>
      <c r="Q3378" s="12">
        <f t="shared" si="208"/>
        <v>0.3</v>
      </c>
      <c r="R3378" s="9">
        <f t="shared" si="209"/>
        <v>2799.3</v>
      </c>
      <c r="S3378" s="9">
        <f>IF(R3378="",AVERAGEIF(Table1[Category],Table1[[#This Row],[Category]],Table2[orignal data]),Table2[[#This Row],[orignal data]])</f>
        <v>2799.3</v>
      </c>
      <c r="T3378" t="str">
        <f t="shared" si="210"/>
        <v>UNIQUE</v>
      </c>
      <c r="U3378" t="str">
        <f>IF(ISBLANK(Table1[[#This Row],[SizeOption]]),"NOT AVAILABLE",Table1[[#This Row],[SizeOption]])</f>
        <v>XS, S, M, L, XL, XXL, 3XL</v>
      </c>
      <c r="Y3378" t="str">
        <f>IF(Table2[[#This Row],[Column1]]&gt;50%,"HIGH DISCOUNT","LOW DISCOUNT")</f>
        <v>LOW DISCOUNT</v>
      </c>
    </row>
    <row r="3379" spans="1:25" x14ac:dyDescent="0.25">
      <c r="A3379" s="2" t="s">
        <v>7003</v>
      </c>
      <c r="B3379" s="2">
        <v>10962206</v>
      </c>
      <c r="C3379" s="2" t="s">
        <v>14</v>
      </c>
      <c r="D3379" s="2" t="s">
        <v>41</v>
      </c>
      <c r="E3379" s="2" t="s">
        <v>48</v>
      </c>
      <c r="F3379" s="2" t="s">
        <v>36</v>
      </c>
      <c r="G3379" s="2" t="s">
        <v>7004</v>
      </c>
      <c r="I3379" s="2">
        <v>1499</v>
      </c>
      <c r="J3379" s="2" t="s">
        <v>50</v>
      </c>
      <c r="K3379" s="2" t="s">
        <v>45</v>
      </c>
      <c r="L3379" s="2">
        <v>4</v>
      </c>
      <c r="M3379" s="2">
        <v>573</v>
      </c>
      <c r="P3379" t="str">
        <f t="shared" si="211"/>
        <v>40%</v>
      </c>
      <c r="Q3379" s="12">
        <f t="shared" si="208"/>
        <v>0.4</v>
      </c>
      <c r="R3379" s="9">
        <f t="shared" si="209"/>
        <v>899.4</v>
      </c>
      <c r="S3379" s="9">
        <f>IF(R3379="",AVERAGEIF(Table1[Category],Table1[[#This Row],[Category]],Table2[orignal data]),Table2[[#This Row],[orignal data]])</f>
        <v>899.4</v>
      </c>
      <c r="T3379" t="str">
        <f t="shared" si="210"/>
        <v>UNIQUE</v>
      </c>
      <c r="U3379" t="str">
        <f>IF(ISBLANK(Table1[[#This Row],[SizeOption]]),"NOT AVAILABLE",Table1[[#This Row],[SizeOption]])</f>
        <v>XS, S, M, L, XL</v>
      </c>
      <c r="Y3379" t="str">
        <f>IF(Table2[[#This Row],[Column1]]&gt;50%,"HIGH DISCOUNT","LOW DISCOUNT")</f>
        <v>LOW DISCOUNT</v>
      </c>
    </row>
    <row r="3380" spans="1:25" x14ac:dyDescent="0.25">
      <c r="A3380" s="1" t="s">
        <v>7005</v>
      </c>
      <c r="B3380" s="1">
        <v>12810322</v>
      </c>
      <c r="C3380" s="1" t="s">
        <v>102</v>
      </c>
      <c r="D3380" s="1" t="s">
        <v>41</v>
      </c>
      <c r="E3380" s="1" t="s">
        <v>148</v>
      </c>
      <c r="F3380" s="1" t="s">
        <v>36</v>
      </c>
      <c r="G3380" s="1" t="s">
        <v>7006</v>
      </c>
      <c r="I3380" s="1">
        <v>1599</v>
      </c>
      <c r="J3380" s="1" t="s">
        <v>130</v>
      </c>
      <c r="K3380" s="1" t="s">
        <v>26</v>
      </c>
      <c r="L3380" s="1">
        <v>4.4000000000000004</v>
      </c>
      <c r="M3380" s="1">
        <v>573</v>
      </c>
      <c r="P3380" t="str">
        <f t="shared" si="211"/>
        <v>57%</v>
      </c>
      <c r="Q3380" s="12">
        <f t="shared" si="208"/>
        <v>0.56999999999999995</v>
      </c>
      <c r="R3380" s="9">
        <f t="shared" si="209"/>
        <v>687.57</v>
      </c>
      <c r="S3380" s="9">
        <f>IF(R3380="",AVERAGEIF(Table1[Category],Table1[[#This Row],[Category]],Table2[orignal data]),Table2[[#This Row],[orignal data]])</f>
        <v>687.57</v>
      </c>
      <c r="T3380" t="str">
        <f t="shared" si="210"/>
        <v>UNIQUE</v>
      </c>
      <c r="U3380" t="str">
        <f>IF(ISBLANK(Table1[[#This Row],[SizeOption]]),"NOT AVAILABLE",Table1[[#This Row],[SizeOption]])</f>
        <v>S, M, L, XL</v>
      </c>
      <c r="Y3380" t="str">
        <f>IF(Table2[[#This Row],[Column1]]&gt;50%,"HIGH DISCOUNT","LOW DISCOUNT")</f>
        <v>HIGH DISCOUNT</v>
      </c>
    </row>
    <row r="3381" spans="1:25" x14ac:dyDescent="0.25">
      <c r="A3381" s="2" t="s">
        <v>7007</v>
      </c>
      <c r="B3381" s="2">
        <v>2261828</v>
      </c>
      <c r="C3381" s="2" t="s">
        <v>47</v>
      </c>
      <c r="D3381" s="2" t="s">
        <v>41</v>
      </c>
      <c r="E3381" s="2" t="s">
        <v>137</v>
      </c>
      <c r="F3381" s="2" t="s">
        <v>36</v>
      </c>
      <c r="G3381" s="2" t="s">
        <v>6077</v>
      </c>
      <c r="I3381" s="2">
        <v>1599</v>
      </c>
      <c r="J3381" s="2" t="s">
        <v>1005</v>
      </c>
      <c r="K3381" s="2" t="s">
        <v>428</v>
      </c>
      <c r="L3381" s="2">
        <v>4.3</v>
      </c>
      <c r="M3381" s="2">
        <v>573</v>
      </c>
      <c r="P3381" t="str">
        <f t="shared" si="211"/>
        <v>10%</v>
      </c>
      <c r="Q3381" s="12">
        <f t="shared" si="208"/>
        <v>0.1</v>
      </c>
      <c r="R3381" s="9">
        <f t="shared" si="209"/>
        <v>1439.1</v>
      </c>
      <c r="S3381" s="9">
        <f>IF(R3381="",AVERAGEIF(Table1[Category],Table1[[#This Row],[Category]],Table2[orignal data]),Table2[[#This Row],[orignal data]])</f>
        <v>1439.1</v>
      </c>
      <c r="T3381" t="str">
        <f t="shared" si="210"/>
        <v>UNIQUE</v>
      </c>
      <c r="U3381" t="str">
        <f>IF(ISBLANK(Table1[[#This Row],[SizeOption]]),"NOT AVAILABLE",Table1[[#This Row],[SizeOption]])</f>
        <v>26, 28, 30, 32, 34</v>
      </c>
      <c r="Y3381" t="str">
        <f>IF(Table2[[#This Row],[Column1]]&gt;50%,"HIGH DISCOUNT","LOW DISCOUNT")</f>
        <v>LOW DISCOUNT</v>
      </c>
    </row>
    <row r="3382" spans="1:25" x14ac:dyDescent="0.25">
      <c r="A3382" s="1" t="s">
        <v>7008</v>
      </c>
      <c r="B3382" s="1">
        <v>10922026</v>
      </c>
      <c r="C3382" s="1" t="s">
        <v>420</v>
      </c>
      <c r="D3382" s="1" t="s">
        <v>41</v>
      </c>
      <c r="E3382" s="1" t="s">
        <v>306</v>
      </c>
      <c r="F3382" s="1" t="s">
        <v>36</v>
      </c>
      <c r="G3382" s="1" t="s">
        <v>7009</v>
      </c>
      <c r="I3382" s="1">
        <v>1699</v>
      </c>
      <c r="J3382" s="1" t="s">
        <v>84</v>
      </c>
      <c r="K3382" s="1" t="s">
        <v>26</v>
      </c>
      <c r="L3382" s="1">
        <v>4.2</v>
      </c>
      <c r="M3382" s="1">
        <v>573</v>
      </c>
      <c r="P3382" t="str">
        <f t="shared" si="211"/>
        <v>50%</v>
      </c>
      <c r="Q3382" s="12">
        <f t="shared" si="208"/>
        <v>0.5</v>
      </c>
      <c r="R3382" s="9">
        <f t="shared" si="209"/>
        <v>849.5</v>
      </c>
      <c r="S3382" s="9">
        <f>IF(R3382="",AVERAGEIF(Table1[Category],Table1[[#This Row],[Category]],Table2[orignal data]),Table2[[#This Row],[orignal data]])</f>
        <v>849.5</v>
      </c>
      <c r="T3382" t="str">
        <f t="shared" si="210"/>
        <v>UNIQUE</v>
      </c>
      <c r="U3382" t="str">
        <f>IF(ISBLANK(Table1[[#This Row],[SizeOption]]),"NOT AVAILABLE",Table1[[#This Row],[SizeOption]])</f>
        <v>S, M, L, XL</v>
      </c>
      <c r="Y3382" t="str">
        <f>IF(Table2[[#This Row],[Column1]]&gt;50%,"HIGH DISCOUNT","LOW DISCOUNT")</f>
        <v>LOW DISCOUNT</v>
      </c>
    </row>
    <row r="3383" spans="1:25" x14ac:dyDescent="0.25">
      <c r="A3383" s="2" t="s">
        <v>7010</v>
      </c>
      <c r="B3383" s="2">
        <v>11683412</v>
      </c>
      <c r="C3383" s="2" t="s">
        <v>420</v>
      </c>
      <c r="D3383" s="2" t="s">
        <v>41</v>
      </c>
      <c r="E3383" s="2" t="s">
        <v>48</v>
      </c>
      <c r="F3383" s="2" t="s">
        <v>36</v>
      </c>
      <c r="G3383" s="2" t="s">
        <v>7011</v>
      </c>
      <c r="I3383" s="2">
        <v>899</v>
      </c>
      <c r="J3383" s="2" t="s">
        <v>150</v>
      </c>
      <c r="K3383" s="2" t="s">
        <v>26</v>
      </c>
      <c r="L3383" s="2">
        <v>3.9</v>
      </c>
      <c r="M3383" s="2">
        <v>573</v>
      </c>
      <c r="P3383" t="str">
        <f t="shared" si="211"/>
        <v>65%</v>
      </c>
      <c r="Q3383" s="12">
        <f t="shared" si="208"/>
        <v>0.65</v>
      </c>
      <c r="R3383" s="9">
        <f t="shared" si="209"/>
        <v>314.64999999999998</v>
      </c>
      <c r="S3383" s="9">
        <f>IF(R3383="",AVERAGEIF(Table1[Category],Table1[[#This Row],[Category]],Table2[orignal data]),Table2[[#This Row],[orignal data]])</f>
        <v>314.64999999999998</v>
      </c>
      <c r="T3383" t="str">
        <f t="shared" si="210"/>
        <v>UNIQUE</v>
      </c>
      <c r="U3383" t="str">
        <f>IF(ISBLANK(Table1[[#This Row],[SizeOption]]),"NOT AVAILABLE",Table1[[#This Row],[SizeOption]])</f>
        <v>S, M, L, XL</v>
      </c>
      <c r="Y3383" t="str">
        <f>IF(Table2[[#This Row],[Column1]]&gt;50%,"HIGH DISCOUNT","LOW DISCOUNT")</f>
        <v>HIGH DISCOUNT</v>
      </c>
    </row>
    <row r="3384" spans="1:25" x14ac:dyDescent="0.25">
      <c r="A3384" s="1" t="s">
        <v>7012</v>
      </c>
      <c r="B3384" s="1">
        <v>1147938</v>
      </c>
      <c r="C3384" s="1" t="s">
        <v>346</v>
      </c>
      <c r="D3384" s="1" t="s">
        <v>41</v>
      </c>
      <c r="E3384" s="1" t="s">
        <v>42</v>
      </c>
      <c r="F3384" s="1" t="s">
        <v>36</v>
      </c>
      <c r="G3384" s="1" t="s">
        <v>7013</v>
      </c>
      <c r="I3384" s="1">
        <v>999</v>
      </c>
      <c r="J3384" s="1" t="s">
        <v>150</v>
      </c>
      <c r="K3384" s="1" t="s">
        <v>115</v>
      </c>
      <c r="L3384" s="1">
        <v>4</v>
      </c>
      <c r="M3384" s="1">
        <v>573</v>
      </c>
      <c r="P3384" t="str">
        <f t="shared" si="211"/>
        <v>65%</v>
      </c>
      <c r="Q3384" s="12">
        <f t="shared" si="208"/>
        <v>0.65</v>
      </c>
      <c r="R3384" s="9">
        <f t="shared" si="209"/>
        <v>349.65</v>
      </c>
      <c r="S3384" s="9">
        <f>IF(R3384="",AVERAGEIF(Table1[Category],Table1[[#This Row],[Category]],Table2[orignal data]),Table2[[#This Row],[orignal data]])</f>
        <v>349.65</v>
      </c>
      <c r="T3384" t="str">
        <f t="shared" si="210"/>
        <v>UNIQUE</v>
      </c>
      <c r="U3384" t="str">
        <f>IF(ISBLANK(Table1[[#This Row],[SizeOption]]),"NOT AVAILABLE",Table1[[#This Row],[SizeOption]])</f>
        <v>XS, S, M, L, XL, XXL</v>
      </c>
      <c r="Y3384" t="str">
        <f>IF(Table2[[#This Row],[Column1]]&gt;50%,"HIGH DISCOUNT","LOW DISCOUNT")</f>
        <v>HIGH DISCOUNT</v>
      </c>
    </row>
    <row r="3385" spans="1:25" x14ac:dyDescent="0.25">
      <c r="A3385" s="2" t="s">
        <v>7014</v>
      </c>
      <c r="B3385" s="2">
        <v>11422516</v>
      </c>
      <c r="C3385" s="2" t="s">
        <v>3308</v>
      </c>
      <c r="D3385" s="2" t="s">
        <v>76</v>
      </c>
      <c r="E3385" s="2" t="s">
        <v>93</v>
      </c>
      <c r="F3385" s="2" t="s">
        <v>17</v>
      </c>
      <c r="G3385" s="2" t="s">
        <v>7015</v>
      </c>
      <c r="H3385">
        <v>764</v>
      </c>
      <c r="I3385" s="2">
        <v>1699</v>
      </c>
      <c r="J3385" s="2" t="s">
        <v>25</v>
      </c>
      <c r="K3385" s="2" t="s">
        <v>39</v>
      </c>
      <c r="L3385" s="2">
        <v>4.3</v>
      </c>
      <c r="M3385" s="2">
        <v>572</v>
      </c>
      <c r="P3385" t="str">
        <f t="shared" si="211"/>
        <v>55%</v>
      </c>
      <c r="Q3385" s="12">
        <f t="shared" si="208"/>
        <v>0.55000000000000004</v>
      </c>
      <c r="R3385" s="9">
        <f t="shared" si="209"/>
        <v>764.55</v>
      </c>
      <c r="S3385" s="9">
        <f>IF(R3385="",AVERAGEIF(Table1[Category],Table1[[#This Row],[Category]],Table2[orignal data]),Table2[[#This Row],[orignal data]])</f>
        <v>764.55</v>
      </c>
      <c r="T3385" t="str">
        <f t="shared" si="210"/>
        <v>UNIQUE</v>
      </c>
      <c r="U3385" t="str">
        <f>IF(ISBLANK(Table1[[#This Row],[SizeOption]]),"NOT AVAILABLE",Table1[[#This Row],[SizeOption]])</f>
        <v>S, M, L, XL, XXL</v>
      </c>
      <c r="Y3385" t="str">
        <f>IF(Table2[[#This Row],[Column1]]&gt;50%,"HIGH DISCOUNT","LOW DISCOUNT")</f>
        <v>HIGH DISCOUNT</v>
      </c>
    </row>
    <row r="3386" spans="1:25" x14ac:dyDescent="0.25">
      <c r="A3386" s="1" t="s">
        <v>7016</v>
      </c>
      <c r="B3386" s="1">
        <v>10906422</v>
      </c>
      <c r="C3386" s="1" t="s">
        <v>349</v>
      </c>
      <c r="D3386" s="1" t="s">
        <v>197</v>
      </c>
      <c r="E3386" s="1" t="s">
        <v>350</v>
      </c>
      <c r="F3386" s="1" t="s">
        <v>17</v>
      </c>
      <c r="G3386" s="1" t="s">
        <v>7017</v>
      </c>
      <c r="I3386" s="1">
        <v>449</v>
      </c>
      <c r="J3386" s="1"/>
      <c r="K3386" s="1" t="s">
        <v>352</v>
      </c>
      <c r="L3386" s="1">
        <v>4.5</v>
      </c>
      <c r="M3386" s="1">
        <v>572</v>
      </c>
      <c r="P3386" t="str">
        <f t="shared" si="211"/>
        <v/>
      </c>
      <c r="Q3386" s="12" t="str">
        <f t="shared" si="208"/>
        <v/>
      </c>
      <c r="R3386" s="9" t="str">
        <f t="shared" si="209"/>
        <v/>
      </c>
      <c r="S3386" s="9">
        <f>IF(R3386="",AVERAGEIF(Table1[Category],Table1[[#This Row],[Category]],Table2[orignal data]),Table2[[#This Row],[orignal data]])</f>
        <v>552.70900000000006</v>
      </c>
      <c r="T3386" t="str">
        <f t="shared" si="210"/>
        <v>UNIQUE</v>
      </c>
      <c r="U3386" t="str">
        <f>IF(ISBLANK(Table1[[#This Row],[SizeOption]]),"NOT AVAILABLE",Table1[[#This Row],[SizeOption]])</f>
        <v>S, M, L</v>
      </c>
      <c r="Y3386" t="str">
        <f>IF(Table2[[#This Row],[Column1]]&gt;50%,"HIGH DISCOUNT","LOW DISCOUNT")</f>
        <v>HIGH DISCOUNT</v>
      </c>
    </row>
    <row r="3387" spans="1:25" x14ac:dyDescent="0.25">
      <c r="A3387" s="2" t="s">
        <v>7018</v>
      </c>
      <c r="B3387" s="2">
        <v>11444902</v>
      </c>
      <c r="C3387" s="2" t="s">
        <v>349</v>
      </c>
      <c r="D3387" s="2" t="s">
        <v>197</v>
      </c>
      <c r="E3387" s="2" t="s">
        <v>1807</v>
      </c>
      <c r="F3387" s="2" t="s">
        <v>17</v>
      </c>
      <c r="G3387" s="2" t="s">
        <v>7019</v>
      </c>
      <c r="I3387" s="2">
        <v>529</v>
      </c>
      <c r="J3387" s="2"/>
      <c r="K3387" s="2" t="s">
        <v>352</v>
      </c>
      <c r="L3387" s="2">
        <v>4.4000000000000004</v>
      </c>
      <c r="M3387" s="2">
        <v>572</v>
      </c>
      <c r="P3387" t="str">
        <f t="shared" si="211"/>
        <v/>
      </c>
      <c r="Q3387" s="12" t="str">
        <f t="shared" si="208"/>
        <v/>
      </c>
      <c r="R3387" s="9" t="str">
        <f t="shared" si="209"/>
        <v/>
      </c>
      <c r="S3387" s="9">
        <f>IF(R3387="",AVERAGEIF(Table1[Category],Table1[[#This Row],[Category]],Table2[orignal data]),Table2[[#This Row],[orignal data]])</f>
        <v>552.70900000000006</v>
      </c>
      <c r="T3387" t="str">
        <f t="shared" si="210"/>
        <v>UNIQUE</v>
      </c>
      <c r="U3387" t="str">
        <f>IF(ISBLANK(Table1[[#This Row],[SizeOption]]),"NOT AVAILABLE",Table1[[#This Row],[SizeOption]])</f>
        <v>S, M, L</v>
      </c>
      <c r="Y3387" t="str">
        <f>IF(Table2[[#This Row],[Column1]]&gt;50%,"HIGH DISCOUNT","LOW DISCOUNT")</f>
        <v>HIGH DISCOUNT</v>
      </c>
    </row>
    <row r="3388" spans="1:25" x14ac:dyDescent="0.25">
      <c r="A3388" s="1" t="s">
        <v>7020</v>
      </c>
      <c r="B3388" s="1">
        <v>2175466</v>
      </c>
      <c r="C3388" s="1" t="s">
        <v>214</v>
      </c>
      <c r="D3388" s="1" t="s">
        <v>28</v>
      </c>
      <c r="E3388" s="1" t="s">
        <v>306</v>
      </c>
      <c r="F3388" s="1" t="s">
        <v>17</v>
      </c>
      <c r="G3388" s="1" t="s">
        <v>7021</v>
      </c>
      <c r="H3388">
        <v>549</v>
      </c>
      <c r="I3388" s="1">
        <v>2199</v>
      </c>
      <c r="J3388" s="1" t="s">
        <v>109</v>
      </c>
      <c r="K3388" s="1" t="s">
        <v>26</v>
      </c>
      <c r="L3388" s="1">
        <v>4.2</v>
      </c>
      <c r="M3388" s="1">
        <v>572</v>
      </c>
      <c r="P3388" t="str">
        <f t="shared" si="211"/>
        <v>75%</v>
      </c>
      <c r="Q3388" s="12">
        <f t="shared" si="208"/>
        <v>0.75</v>
      </c>
      <c r="R3388" s="9">
        <f t="shared" si="209"/>
        <v>549.75</v>
      </c>
      <c r="S3388" s="9">
        <f>IF(R3388="",AVERAGEIF(Table1[Category],Table1[[#This Row],[Category]],Table2[orignal data]),Table2[[#This Row],[orignal data]])</f>
        <v>549.75</v>
      </c>
      <c r="T3388" t="str">
        <f t="shared" si="210"/>
        <v>UNIQUE</v>
      </c>
      <c r="U3388" t="str">
        <f>IF(ISBLANK(Table1[[#This Row],[SizeOption]]),"NOT AVAILABLE",Table1[[#This Row],[SizeOption]])</f>
        <v>S, M, L, XL</v>
      </c>
      <c r="Y3388" t="str">
        <f>IF(Table2[[#This Row],[Column1]]&gt;50%,"HIGH DISCOUNT","LOW DISCOUNT")</f>
        <v>HIGH DISCOUNT</v>
      </c>
    </row>
    <row r="3389" spans="1:25" x14ac:dyDescent="0.25">
      <c r="A3389" s="2" t="s">
        <v>7022</v>
      </c>
      <c r="B3389" s="2">
        <v>11632478</v>
      </c>
      <c r="C3389" s="2" t="s">
        <v>14</v>
      </c>
      <c r="D3389" s="2" t="s">
        <v>28</v>
      </c>
      <c r="E3389" s="2" t="s">
        <v>42</v>
      </c>
      <c r="F3389" s="2" t="s">
        <v>17</v>
      </c>
      <c r="G3389" s="2" t="s">
        <v>7023</v>
      </c>
      <c r="H3389">
        <v>249</v>
      </c>
      <c r="I3389" s="2">
        <v>499</v>
      </c>
      <c r="J3389" s="2" t="s">
        <v>84</v>
      </c>
      <c r="K3389" s="2" t="s">
        <v>45</v>
      </c>
      <c r="L3389" s="2">
        <v>4.0999999999999996</v>
      </c>
      <c r="M3389" s="2">
        <v>572</v>
      </c>
      <c r="P3389" t="str">
        <f t="shared" si="211"/>
        <v>50%</v>
      </c>
      <c r="Q3389" s="12">
        <f t="shared" si="208"/>
        <v>0.5</v>
      </c>
      <c r="R3389" s="9">
        <f t="shared" si="209"/>
        <v>249.5</v>
      </c>
      <c r="S3389" s="9">
        <f>IF(R3389="",AVERAGEIF(Table1[Category],Table1[[#This Row],[Category]],Table2[orignal data]),Table2[[#This Row],[orignal data]])</f>
        <v>249.5</v>
      </c>
      <c r="T3389" t="str">
        <f t="shared" si="210"/>
        <v>UNIQUE</v>
      </c>
      <c r="U3389" t="str">
        <f>IF(ISBLANK(Table1[[#This Row],[SizeOption]]),"NOT AVAILABLE",Table1[[#This Row],[SizeOption]])</f>
        <v>XS, S, M, L, XL</v>
      </c>
      <c r="Y3389" t="str">
        <f>IF(Table2[[#This Row],[Column1]]&gt;50%,"HIGH DISCOUNT","LOW DISCOUNT")</f>
        <v>LOW DISCOUNT</v>
      </c>
    </row>
    <row r="3390" spans="1:25" x14ac:dyDescent="0.25">
      <c r="A3390" s="1" t="s">
        <v>7024</v>
      </c>
      <c r="B3390" s="1">
        <v>12530366</v>
      </c>
      <c r="C3390" s="1" t="s">
        <v>64</v>
      </c>
      <c r="D3390" s="1" t="s">
        <v>98</v>
      </c>
      <c r="E3390" s="1" t="s">
        <v>93</v>
      </c>
      <c r="F3390" s="1" t="s">
        <v>36</v>
      </c>
      <c r="G3390" s="1" t="s">
        <v>7025</v>
      </c>
      <c r="H3390">
        <v>559</v>
      </c>
      <c r="I3390" s="1">
        <v>1399</v>
      </c>
      <c r="J3390" s="1" t="s">
        <v>141</v>
      </c>
      <c r="K3390" s="1" t="s">
        <v>100</v>
      </c>
      <c r="L3390" s="1">
        <v>3.9</v>
      </c>
      <c r="M3390" s="1">
        <v>572</v>
      </c>
      <c r="P3390" t="str">
        <f t="shared" si="211"/>
        <v>60%</v>
      </c>
      <c r="Q3390" s="12">
        <f t="shared" si="208"/>
        <v>0.6</v>
      </c>
      <c r="R3390" s="9">
        <f t="shared" si="209"/>
        <v>559.6</v>
      </c>
      <c r="S3390" s="9">
        <f>IF(R3390="",AVERAGEIF(Table1[Category],Table1[[#This Row],[Category]],Table2[orignal data]),Table2[[#This Row],[orignal data]])</f>
        <v>559.6</v>
      </c>
      <c r="T3390" t="str">
        <f t="shared" si="210"/>
        <v>UNIQUE</v>
      </c>
      <c r="U3390" t="str">
        <f>IF(ISBLANK(Table1[[#This Row],[SizeOption]]),"NOT AVAILABLE",Table1[[#This Row],[SizeOption]])</f>
        <v>XS, S, M, L, XL, XXL, 3XL</v>
      </c>
      <c r="Y3390" t="str">
        <f>IF(Table2[[#This Row],[Column1]]&gt;50%,"HIGH DISCOUNT","LOW DISCOUNT")</f>
        <v>HIGH DISCOUNT</v>
      </c>
    </row>
    <row r="3391" spans="1:25" x14ac:dyDescent="0.25">
      <c r="A3391" s="2" t="s">
        <v>7026</v>
      </c>
      <c r="B3391" s="2">
        <v>11941640</v>
      </c>
      <c r="C3391" s="2" t="s">
        <v>47</v>
      </c>
      <c r="D3391" s="2" t="s">
        <v>68</v>
      </c>
      <c r="E3391" s="2" t="s">
        <v>23</v>
      </c>
      <c r="F3391" s="2" t="s">
        <v>36</v>
      </c>
      <c r="G3391" s="2" t="s">
        <v>2700</v>
      </c>
      <c r="H3391">
        <v>449</v>
      </c>
      <c r="I3391" s="2">
        <v>1499</v>
      </c>
      <c r="J3391" s="2" t="s">
        <v>79</v>
      </c>
      <c r="K3391" s="2" t="s">
        <v>115</v>
      </c>
      <c r="L3391" s="2">
        <v>4</v>
      </c>
      <c r="M3391" s="2">
        <v>572</v>
      </c>
      <c r="P3391" t="str">
        <f t="shared" si="211"/>
        <v>70%</v>
      </c>
      <c r="Q3391" s="12">
        <f t="shared" si="208"/>
        <v>0.7</v>
      </c>
      <c r="R3391" s="9">
        <f t="shared" si="209"/>
        <v>449.70000000000005</v>
      </c>
      <c r="S3391" s="9">
        <f>IF(R3391="",AVERAGEIF(Table1[Category],Table1[[#This Row],[Category]],Table2[orignal data]),Table2[[#This Row],[orignal data]])</f>
        <v>449.70000000000005</v>
      </c>
      <c r="T3391" t="str">
        <f t="shared" si="210"/>
        <v>UNIQUE</v>
      </c>
      <c r="U3391" t="str">
        <f>IF(ISBLANK(Table1[[#This Row],[SizeOption]]),"NOT AVAILABLE",Table1[[#This Row],[SizeOption]])</f>
        <v>XS, S, M, L, XL, XXL</v>
      </c>
      <c r="Y3391" t="str">
        <f>IF(Table2[[#This Row],[Column1]]&gt;50%,"HIGH DISCOUNT","LOW DISCOUNT")</f>
        <v>HIGH DISCOUNT</v>
      </c>
    </row>
    <row r="3392" spans="1:25" x14ac:dyDescent="0.25">
      <c r="A3392" s="1" t="s">
        <v>7027</v>
      </c>
      <c r="B3392" s="1">
        <v>11364340</v>
      </c>
      <c r="C3392" s="1" t="s">
        <v>181</v>
      </c>
      <c r="D3392" s="1" t="s">
        <v>41</v>
      </c>
      <c r="E3392" s="1" t="s">
        <v>48</v>
      </c>
      <c r="F3392" s="1" t="s">
        <v>36</v>
      </c>
      <c r="G3392" s="1" t="s">
        <v>7028</v>
      </c>
      <c r="I3392" s="1">
        <v>1299</v>
      </c>
      <c r="J3392" s="1" t="s">
        <v>25</v>
      </c>
      <c r="K3392" s="1" t="s">
        <v>45</v>
      </c>
      <c r="L3392" s="1">
        <v>4.4000000000000004</v>
      </c>
      <c r="M3392" s="1">
        <v>572</v>
      </c>
      <c r="P3392" t="str">
        <f t="shared" si="211"/>
        <v>55%</v>
      </c>
      <c r="Q3392" s="12">
        <f t="shared" si="208"/>
        <v>0.55000000000000004</v>
      </c>
      <c r="R3392" s="9">
        <f t="shared" si="209"/>
        <v>584.54999999999995</v>
      </c>
      <c r="S3392" s="9">
        <f>IF(R3392="",AVERAGEIF(Table1[Category],Table1[[#This Row],[Category]],Table2[orignal data]),Table2[[#This Row],[orignal data]])</f>
        <v>584.54999999999995</v>
      </c>
      <c r="T3392" t="str">
        <f t="shared" si="210"/>
        <v>UNIQUE</v>
      </c>
      <c r="U3392" t="str">
        <f>IF(ISBLANK(Table1[[#This Row],[SizeOption]]),"NOT AVAILABLE",Table1[[#This Row],[SizeOption]])</f>
        <v>XS, S, M, L, XL</v>
      </c>
      <c r="Y3392" t="str">
        <f>IF(Table2[[#This Row],[Column1]]&gt;50%,"HIGH DISCOUNT","LOW DISCOUNT")</f>
        <v>HIGH DISCOUNT</v>
      </c>
    </row>
    <row r="3393" spans="1:25" x14ac:dyDescent="0.25">
      <c r="A3393" s="2" t="s">
        <v>7029</v>
      </c>
      <c r="B3393" s="2">
        <v>6543979</v>
      </c>
      <c r="C3393" s="2" t="s">
        <v>4731</v>
      </c>
      <c r="D3393" s="2" t="s">
        <v>41</v>
      </c>
      <c r="E3393" s="2" t="s">
        <v>48</v>
      </c>
      <c r="F3393" s="2" t="s">
        <v>36</v>
      </c>
      <c r="G3393" s="2" t="s">
        <v>7030</v>
      </c>
      <c r="I3393" s="2">
        <v>1299</v>
      </c>
      <c r="J3393" s="2" t="s">
        <v>606</v>
      </c>
      <c r="K3393" s="2" t="s">
        <v>39</v>
      </c>
      <c r="L3393" s="2">
        <v>4.0999999999999996</v>
      </c>
      <c r="M3393" s="2">
        <v>572</v>
      </c>
      <c r="P3393" t="str">
        <f t="shared" si="211"/>
        <v>54%</v>
      </c>
      <c r="Q3393" s="12">
        <f t="shared" si="208"/>
        <v>0.54</v>
      </c>
      <c r="R3393" s="9">
        <f t="shared" si="209"/>
        <v>597.54</v>
      </c>
      <c r="S3393" s="9">
        <f>IF(R3393="",AVERAGEIF(Table1[Category],Table1[[#This Row],[Category]],Table2[orignal data]),Table2[[#This Row],[orignal data]])</f>
        <v>597.54</v>
      </c>
      <c r="T3393" t="str">
        <f t="shared" si="210"/>
        <v>UNIQUE</v>
      </c>
      <c r="U3393" t="str">
        <f>IF(ISBLANK(Table1[[#This Row],[SizeOption]]),"NOT AVAILABLE",Table1[[#This Row],[SizeOption]])</f>
        <v>S, M, L, XL, XXL</v>
      </c>
      <c r="Y3393" t="str">
        <f>IF(Table2[[#This Row],[Column1]]&gt;50%,"HIGH DISCOUNT","LOW DISCOUNT")</f>
        <v>HIGH DISCOUNT</v>
      </c>
    </row>
    <row r="3394" spans="1:25" x14ac:dyDescent="0.25">
      <c r="A3394" s="1" t="s">
        <v>7031</v>
      </c>
      <c r="B3394" s="1">
        <v>7578936</v>
      </c>
      <c r="C3394" s="1" t="s">
        <v>206</v>
      </c>
      <c r="D3394" s="1" t="s">
        <v>41</v>
      </c>
      <c r="E3394" s="1" t="s">
        <v>148</v>
      </c>
      <c r="F3394" s="1" t="s">
        <v>36</v>
      </c>
      <c r="G3394" s="1" t="s">
        <v>7032</v>
      </c>
      <c r="I3394" s="1">
        <v>2099</v>
      </c>
      <c r="J3394" s="1" t="s">
        <v>208</v>
      </c>
      <c r="K3394" s="1" t="s">
        <v>26</v>
      </c>
      <c r="L3394" s="1">
        <v>3.5</v>
      </c>
      <c r="M3394" s="1">
        <v>572</v>
      </c>
      <c r="P3394" t="str">
        <f t="shared" si="211"/>
        <v>52%</v>
      </c>
      <c r="Q3394" s="12">
        <f t="shared" ref="Q3394:Q3457" si="212">IF(P3394="","",IF(ISNUMBER(SEARCH("%",P3394)),P3394,P3394/I3394)*100%)</f>
        <v>0.52</v>
      </c>
      <c r="R3394" s="9">
        <f t="shared" ref="R3394:R3457" si="213">IF(P3394="","",I3394-(I3394*Q3394))</f>
        <v>1007.52</v>
      </c>
      <c r="S3394" s="9">
        <f>IF(R3394="",AVERAGEIF(Table1[Category],Table1[[#This Row],[Category]],Table2[orignal data]),Table2[[#This Row],[orignal data]])</f>
        <v>1007.52</v>
      </c>
      <c r="T3394" t="str">
        <f t="shared" ref="T3394:T3457" si="214">IF(COUNTIF($B$2:$B$5000,B3394)&gt;1,"DUPLICATE","UNIQUE")</f>
        <v>UNIQUE</v>
      </c>
      <c r="U3394" t="str">
        <f>IF(ISBLANK(Table1[[#This Row],[SizeOption]]),"NOT AVAILABLE",Table1[[#This Row],[SizeOption]])</f>
        <v>S, M, L, XL</v>
      </c>
      <c r="Y3394" t="str">
        <f>IF(Table2[[#This Row],[Column1]]&gt;50%,"HIGH DISCOUNT","LOW DISCOUNT")</f>
        <v>HIGH DISCOUNT</v>
      </c>
    </row>
    <row r="3395" spans="1:25" x14ac:dyDescent="0.25">
      <c r="A3395" s="2" t="s">
        <v>7033</v>
      </c>
      <c r="B3395" s="2">
        <v>10429890</v>
      </c>
      <c r="C3395" s="2" t="s">
        <v>952</v>
      </c>
      <c r="D3395" s="2" t="s">
        <v>41</v>
      </c>
      <c r="E3395" s="2" t="s">
        <v>82</v>
      </c>
      <c r="F3395" s="2" t="s">
        <v>36</v>
      </c>
      <c r="G3395" s="2" t="s">
        <v>7034</v>
      </c>
      <c r="I3395" s="2">
        <v>2149</v>
      </c>
      <c r="J3395" s="2" t="s">
        <v>606</v>
      </c>
      <c r="K3395" s="2" t="s">
        <v>45</v>
      </c>
      <c r="L3395" s="2">
        <v>4.4000000000000004</v>
      </c>
      <c r="M3395" s="2">
        <v>572</v>
      </c>
      <c r="P3395" t="str">
        <f t="shared" ref="P3395:P3458" si="215">TRIM(SUBSTITUTE(SUBSTITUTE(SUBSTITUTE(SUBSTITUTE(J3395,"OFF",""),"Rs.",""),"Hurry*",""),",",""))</f>
        <v>54%</v>
      </c>
      <c r="Q3395" s="12">
        <f t="shared" si="212"/>
        <v>0.54</v>
      </c>
      <c r="R3395" s="9">
        <f t="shared" si="213"/>
        <v>988.54</v>
      </c>
      <c r="S3395" s="9">
        <f>IF(R3395="",AVERAGEIF(Table1[Category],Table1[[#This Row],[Category]],Table2[orignal data]),Table2[[#This Row],[orignal data]])</f>
        <v>988.54</v>
      </c>
      <c r="T3395" t="str">
        <f t="shared" si="214"/>
        <v>UNIQUE</v>
      </c>
      <c r="U3395" t="str">
        <f>IF(ISBLANK(Table1[[#This Row],[SizeOption]]),"NOT AVAILABLE",Table1[[#This Row],[SizeOption]])</f>
        <v>XS, S, M, L, XL</v>
      </c>
      <c r="Y3395" t="str">
        <f>IF(Table2[[#This Row],[Column1]]&gt;50%,"HIGH DISCOUNT","LOW DISCOUNT")</f>
        <v>HIGH DISCOUNT</v>
      </c>
    </row>
    <row r="3396" spans="1:25" x14ac:dyDescent="0.25">
      <c r="A3396" s="1" t="s">
        <v>7035</v>
      </c>
      <c r="B3396" s="1">
        <v>17381508</v>
      </c>
      <c r="C3396" s="1" t="s">
        <v>14</v>
      </c>
      <c r="D3396" s="1" t="s">
        <v>41</v>
      </c>
      <c r="E3396" s="1" t="s">
        <v>42</v>
      </c>
      <c r="F3396" s="1" t="s">
        <v>36</v>
      </c>
      <c r="G3396" s="1" t="s">
        <v>62</v>
      </c>
      <c r="I3396" s="1">
        <v>1098</v>
      </c>
      <c r="J3396" s="1"/>
      <c r="K3396" s="1" t="s">
        <v>45</v>
      </c>
      <c r="L3396" s="1">
        <v>4.3</v>
      </c>
      <c r="M3396" s="1">
        <v>572</v>
      </c>
      <c r="P3396" t="str">
        <f t="shared" si="215"/>
        <v/>
      </c>
      <c r="Q3396" s="12" t="str">
        <f t="shared" si="212"/>
        <v/>
      </c>
      <c r="R3396" s="9" t="str">
        <f t="shared" si="213"/>
        <v/>
      </c>
      <c r="S3396" s="9">
        <f>IF(R3396="",AVERAGEIF(Table1[Category],Table1[[#This Row],[Category]],Table2[orignal data]),Table2[[#This Row],[orignal data]])</f>
        <v>715.78890751086249</v>
      </c>
      <c r="T3396" t="str">
        <f t="shared" si="214"/>
        <v>UNIQUE</v>
      </c>
      <c r="U3396" t="str">
        <f>IF(ISBLANK(Table1[[#This Row],[SizeOption]]),"NOT AVAILABLE",Table1[[#This Row],[SizeOption]])</f>
        <v>XS, S, M, L, XL</v>
      </c>
      <c r="Y3396" t="str">
        <f>IF(Table2[[#This Row],[Column1]]&gt;50%,"HIGH DISCOUNT","LOW DISCOUNT")</f>
        <v>HIGH DISCOUNT</v>
      </c>
    </row>
    <row r="3397" spans="1:25" x14ac:dyDescent="0.25">
      <c r="A3397" s="2" t="s">
        <v>7036</v>
      </c>
      <c r="B3397" s="2">
        <v>2150847</v>
      </c>
      <c r="C3397" s="2" t="s">
        <v>64</v>
      </c>
      <c r="D3397" s="2" t="s">
        <v>15</v>
      </c>
      <c r="E3397" s="2" t="s">
        <v>16</v>
      </c>
      <c r="F3397" s="2" t="s">
        <v>17</v>
      </c>
      <c r="G3397" s="2" t="s">
        <v>7037</v>
      </c>
      <c r="H3397">
        <v>587</v>
      </c>
      <c r="I3397" s="2">
        <v>2349</v>
      </c>
      <c r="J3397" s="2" t="s">
        <v>109</v>
      </c>
      <c r="K3397" s="2" t="s">
        <v>20</v>
      </c>
      <c r="L3397" s="2">
        <v>3.7</v>
      </c>
      <c r="M3397" s="2">
        <v>571</v>
      </c>
      <c r="P3397" t="str">
        <f t="shared" si="215"/>
        <v>75%</v>
      </c>
      <c r="Q3397" s="12">
        <f t="shared" si="212"/>
        <v>0.75</v>
      </c>
      <c r="R3397" s="9">
        <f t="shared" si="213"/>
        <v>587.25</v>
      </c>
      <c r="S3397" s="9">
        <f>IF(R3397="",AVERAGEIF(Table1[Category],Table1[[#This Row],[Category]],Table2[orignal data]),Table2[[#This Row],[orignal data]])</f>
        <v>587.25</v>
      </c>
      <c r="T3397" t="str">
        <f t="shared" si="214"/>
        <v>UNIQUE</v>
      </c>
      <c r="U3397" t="str">
        <f>IF(ISBLANK(Table1[[#This Row],[SizeOption]]),"NOT AVAILABLE",Table1[[#This Row],[SizeOption]])</f>
        <v>28, 30, 32, 34, 36</v>
      </c>
      <c r="Y3397" t="str">
        <f>IF(Table2[[#This Row],[Column1]]&gt;50%,"HIGH DISCOUNT","LOW DISCOUNT")</f>
        <v>HIGH DISCOUNT</v>
      </c>
    </row>
    <row r="3398" spans="1:25" x14ac:dyDescent="0.25">
      <c r="A3398" s="1" t="s">
        <v>7038</v>
      </c>
      <c r="B3398" s="1">
        <v>6747471</v>
      </c>
      <c r="C3398" s="1" t="s">
        <v>67</v>
      </c>
      <c r="D3398" s="1" t="s">
        <v>197</v>
      </c>
      <c r="E3398" s="1" t="s">
        <v>350</v>
      </c>
      <c r="F3398" s="1" t="s">
        <v>17</v>
      </c>
      <c r="G3398" s="1" t="s">
        <v>7039</v>
      </c>
      <c r="H3398">
        <v>494</v>
      </c>
      <c r="I3398" s="1">
        <v>899</v>
      </c>
      <c r="J3398" s="1" t="s">
        <v>19</v>
      </c>
      <c r="K3398" s="1" t="s">
        <v>26</v>
      </c>
      <c r="L3398" s="1">
        <v>4.2</v>
      </c>
      <c r="M3398" s="1">
        <v>571</v>
      </c>
      <c r="P3398" t="str">
        <f t="shared" si="215"/>
        <v>45%</v>
      </c>
      <c r="Q3398" s="12">
        <f t="shared" si="212"/>
        <v>0.45</v>
      </c>
      <c r="R3398" s="9">
        <f t="shared" si="213"/>
        <v>494.45</v>
      </c>
      <c r="S3398" s="9">
        <f>IF(R3398="",AVERAGEIF(Table1[Category],Table1[[#This Row],[Category]],Table2[orignal data]),Table2[[#This Row],[orignal data]])</f>
        <v>494.45</v>
      </c>
      <c r="T3398" t="str">
        <f t="shared" si="214"/>
        <v>UNIQUE</v>
      </c>
      <c r="U3398" t="str">
        <f>IF(ISBLANK(Table1[[#This Row],[SizeOption]]),"NOT AVAILABLE",Table1[[#This Row],[SizeOption]])</f>
        <v>S, M, L, XL</v>
      </c>
      <c r="Y3398" t="str">
        <f>IF(Table2[[#This Row],[Column1]]&gt;50%,"HIGH DISCOUNT","LOW DISCOUNT")</f>
        <v>LOW DISCOUNT</v>
      </c>
    </row>
    <row r="3399" spans="1:25" x14ac:dyDescent="0.25">
      <c r="A3399" s="2" t="s">
        <v>7040</v>
      </c>
      <c r="B3399" s="2">
        <v>18028814</v>
      </c>
      <c r="C3399" s="2" t="s">
        <v>295</v>
      </c>
      <c r="D3399" s="2" t="s">
        <v>197</v>
      </c>
      <c r="E3399" s="2" t="s">
        <v>939</v>
      </c>
      <c r="F3399" s="2" t="s">
        <v>17</v>
      </c>
      <c r="G3399" s="2" t="s">
        <v>4736</v>
      </c>
      <c r="I3399" s="2">
        <v>1098</v>
      </c>
      <c r="J3399" s="2"/>
      <c r="K3399" s="2" t="s">
        <v>26</v>
      </c>
      <c r="L3399" s="2">
        <v>4.4000000000000004</v>
      </c>
      <c r="M3399" s="2">
        <v>571</v>
      </c>
      <c r="P3399" t="str">
        <f t="shared" si="215"/>
        <v/>
      </c>
      <c r="Q3399" s="12" t="str">
        <f t="shared" si="212"/>
        <v/>
      </c>
      <c r="R3399" s="9" t="str">
        <f t="shared" si="213"/>
        <v/>
      </c>
      <c r="S3399" s="9">
        <f>IF(R3399="",AVERAGEIF(Table1[Category],Table1[[#This Row],[Category]],Table2[orignal data]),Table2[[#This Row],[orignal data]])</f>
        <v>552.70900000000006</v>
      </c>
      <c r="T3399" t="str">
        <f t="shared" si="214"/>
        <v>UNIQUE</v>
      </c>
      <c r="U3399" t="str">
        <f>IF(ISBLANK(Table1[[#This Row],[SizeOption]]),"NOT AVAILABLE",Table1[[#This Row],[SizeOption]])</f>
        <v>S, M, L, XL</v>
      </c>
      <c r="Y3399" t="str">
        <f>IF(Table2[[#This Row],[Column1]]&gt;50%,"HIGH DISCOUNT","LOW DISCOUNT")</f>
        <v>HIGH DISCOUNT</v>
      </c>
    </row>
    <row r="3400" spans="1:25" x14ac:dyDescent="0.25">
      <c r="A3400" s="1" t="s">
        <v>7041</v>
      </c>
      <c r="B3400" s="1">
        <v>1825917</v>
      </c>
      <c r="C3400" s="1" t="s">
        <v>2848</v>
      </c>
      <c r="D3400" s="1" t="s">
        <v>28</v>
      </c>
      <c r="E3400" s="1" t="s">
        <v>29</v>
      </c>
      <c r="F3400" s="1" t="s">
        <v>17</v>
      </c>
      <c r="G3400" s="1" t="s">
        <v>7042</v>
      </c>
      <c r="H3400">
        <v>799</v>
      </c>
      <c r="I3400" s="1">
        <v>1599</v>
      </c>
      <c r="J3400" s="1" t="s">
        <v>84</v>
      </c>
      <c r="K3400" s="1" t="s">
        <v>253</v>
      </c>
      <c r="L3400" s="1">
        <v>4</v>
      </c>
      <c r="M3400" s="1">
        <v>571</v>
      </c>
      <c r="P3400" t="str">
        <f t="shared" si="215"/>
        <v>50%</v>
      </c>
      <c r="Q3400" s="12">
        <f t="shared" si="212"/>
        <v>0.5</v>
      </c>
      <c r="R3400" s="9">
        <f t="shared" si="213"/>
        <v>799.5</v>
      </c>
      <c r="S3400" s="9">
        <f>IF(R3400="",AVERAGEIF(Table1[Category],Table1[[#This Row],[Category]],Table2[orignal data]),Table2[[#This Row],[orignal data]])</f>
        <v>799.5</v>
      </c>
      <c r="T3400" t="str">
        <f t="shared" si="214"/>
        <v>UNIQUE</v>
      </c>
      <c r="U3400" t="str">
        <f>IF(ISBLANK(Table1[[#This Row],[SizeOption]]),"NOT AVAILABLE",Table1[[#This Row],[SizeOption]])</f>
        <v>38, 40, 42, 44</v>
      </c>
      <c r="Y3400" t="str">
        <f>IF(Table2[[#This Row],[Column1]]&gt;50%,"HIGH DISCOUNT","LOW DISCOUNT")</f>
        <v>LOW DISCOUNT</v>
      </c>
    </row>
    <row r="3401" spans="1:25" x14ac:dyDescent="0.25">
      <c r="A3401" s="2" t="s">
        <v>7043</v>
      </c>
      <c r="B3401" s="2">
        <v>11896024</v>
      </c>
      <c r="C3401" s="2" t="s">
        <v>14</v>
      </c>
      <c r="D3401" s="2" t="s">
        <v>28</v>
      </c>
      <c r="E3401" s="2" t="s">
        <v>29</v>
      </c>
      <c r="F3401" s="2" t="s">
        <v>17</v>
      </c>
      <c r="G3401" s="2" t="s">
        <v>7044</v>
      </c>
      <c r="I3401" s="2">
        <v>999</v>
      </c>
      <c r="J3401" s="2"/>
      <c r="K3401" s="2" t="s">
        <v>253</v>
      </c>
      <c r="L3401" s="2">
        <v>4.3</v>
      </c>
      <c r="M3401" s="2">
        <v>571</v>
      </c>
      <c r="P3401" t="str">
        <f t="shared" si="215"/>
        <v/>
      </c>
      <c r="Q3401" s="12" t="str">
        <f t="shared" si="212"/>
        <v/>
      </c>
      <c r="R3401" s="9" t="str">
        <f t="shared" si="213"/>
        <v/>
      </c>
      <c r="S3401" s="9">
        <f>IF(R3401="",AVERAGEIF(Table1[Category],Table1[[#This Row],[Category]],Table2[orignal data]),Table2[[#This Row],[orignal data]])</f>
        <v>671.7823941958867</v>
      </c>
      <c r="T3401" t="str">
        <f t="shared" si="214"/>
        <v>UNIQUE</v>
      </c>
      <c r="U3401" t="str">
        <f>IF(ISBLANK(Table1[[#This Row],[SizeOption]]),"NOT AVAILABLE",Table1[[#This Row],[SizeOption]])</f>
        <v>38, 40, 42, 44</v>
      </c>
      <c r="Y3401" t="str">
        <f>IF(Table2[[#This Row],[Column1]]&gt;50%,"HIGH DISCOUNT","LOW DISCOUNT")</f>
        <v>HIGH DISCOUNT</v>
      </c>
    </row>
    <row r="3402" spans="1:25" x14ac:dyDescent="0.25">
      <c r="A3402" s="1" t="s">
        <v>7045</v>
      </c>
      <c r="B3402" s="1">
        <v>7427271</v>
      </c>
      <c r="C3402" s="1" t="s">
        <v>92</v>
      </c>
      <c r="D3402" s="1" t="s">
        <v>76</v>
      </c>
      <c r="E3402" s="1" t="s">
        <v>148</v>
      </c>
      <c r="F3402" s="1" t="s">
        <v>36</v>
      </c>
      <c r="G3402" s="1" t="s">
        <v>7046</v>
      </c>
      <c r="H3402">
        <v>1742</v>
      </c>
      <c r="I3402" s="1">
        <v>4249</v>
      </c>
      <c r="J3402" s="1" t="s">
        <v>95</v>
      </c>
      <c r="K3402" s="1" t="s">
        <v>39</v>
      </c>
      <c r="L3402" s="1">
        <v>4.4000000000000004</v>
      </c>
      <c r="M3402" s="1">
        <v>571</v>
      </c>
      <c r="P3402" t="str">
        <f t="shared" si="215"/>
        <v>59%</v>
      </c>
      <c r="Q3402" s="12">
        <f t="shared" si="212"/>
        <v>0.59</v>
      </c>
      <c r="R3402" s="9">
        <f t="shared" si="213"/>
        <v>1742.0900000000001</v>
      </c>
      <c r="S3402" s="9">
        <f>IF(R3402="",AVERAGEIF(Table1[Category],Table1[[#This Row],[Category]],Table2[orignal data]),Table2[[#This Row],[orignal data]])</f>
        <v>1742.0900000000001</v>
      </c>
      <c r="T3402" t="str">
        <f t="shared" si="214"/>
        <v>UNIQUE</v>
      </c>
      <c r="U3402" t="str">
        <f>IF(ISBLANK(Table1[[#This Row],[SizeOption]]),"NOT AVAILABLE",Table1[[#This Row],[SizeOption]])</f>
        <v>S, M, L, XL, XXL</v>
      </c>
      <c r="Y3402" t="str">
        <f>IF(Table2[[#This Row],[Column1]]&gt;50%,"HIGH DISCOUNT","LOW DISCOUNT")</f>
        <v>HIGH DISCOUNT</v>
      </c>
    </row>
    <row r="3403" spans="1:25" x14ac:dyDescent="0.25">
      <c r="A3403" s="2" t="s">
        <v>7047</v>
      </c>
      <c r="B3403" s="2">
        <v>9299585</v>
      </c>
      <c r="C3403" s="2" t="s">
        <v>623</v>
      </c>
      <c r="D3403" s="2" t="s">
        <v>34</v>
      </c>
      <c r="E3403" s="2" t="s">
        <v>3223</v>
      </c>
      <c r="F3403" s="2" t="s">
        <v>36</v>
      </c>
      <c r="G3403" s="2" t="s">
        <v>7048</v>
      </c>
      <c r="H3403">
        <v>413</v>
      </c>
      <c r="I3403" s="2">
        <v>899</v>
      </c>
      <c r="J3403" s="2" t="s">
        <v>606</v>
      </c>
      <c r="K3403" s="2" t="s">
        <v>39</v>
      </c>
      <c r="L3403" s="2">
        <v>3.9</v>
      </c>
      <c r="M3403" s="2">
        <v>571</v>
      </c>
      <c r="P3403" t="str">
        <f t="shared" si="215"/>
        <v>54%</v>
      </c>
      <c r="Q3403" s="12">
        <f t="shared" si="212"/>
        <v>0.54</v>
      </c>
      <c r="R3403" s="9">
        <f t="shared" si="213"/>
        <v>413.53999999999996</v>
      </c>
      <c r="S3403" s="9">
        <f>IF(R3403="",AVERAGEIF(Table1[Category],Table1[[#This Row],[Category]],Table2[orignal data]),Table2[[#This Row],[orignal data]])</f>
        <v>413.53999999999996</v>
      </c>
      <c r="T3403" t="str">
        <f t="shared" si="214"/>
        <v>UNIQUE</v>
      </c>
      <c r="U3403" t="str">
        <f>IF(ISBLANK(Table1[[#This Row],[SizeOption]]),"NOT AVAILABLE",Table1[[#This Row],[SizeOption]])</f>
        <v>S, M, L, XL, XXL</v>
      </c>
      <c r="Y3403" t="str">
        <f>IF(Table2[[#This Row],[Column1]]&gt;50%,"HIGH DISCOUNT","LOW DISCOUNT")</f>
        <v>HIGH DISCOUNT</v>
      </c>
    </row>
    <row r="3404" spans="1:25" x14ac:dyDescent="0.25">
      <c r="A3404" s="1" t="s">
        <v>7049</v>
      </c>
      <c r="B3404" s="1">
        <v>12530320</v>
      </c>
      <c r="C3404" s="1" t="s">
        <v>64</v>
      </c>
      <c r="D3404" s="1" t="s">
        <v>98</v>
      </c>
      <c r="E3404" s="1" t="s">
        <v>93</v>
      </c>
      <c r="F3404" s="1" t="s">
        <v>36</v>
      </c>
      <c r="G3404" s="1" t="s">
        <v>7050</v>
      </c>
      <c r="H3404">
        <v>389</v>
      </c>
      <c r="I3404" s="1">
        <v>1299</v>
      </c>
      <c r="J3404" s="1" t="s">
        <v>1566</v>
      </c>
      <c r="K3404" s="1" t="s">
        <v>100</v>
      </c>
      <c r="L3404" s="1">
        <v>4.3</v>
      </c>
      <c r="M3404" s="1">
        <v>571</v>
      </c>
      <c r="P3404" t="str">
        <f t="shared" si="215"/>
        <v>70%</v>
      </c>
      <c r="Q3404" s="12">
        <f t="shared" si="212"/>
        <v>0.7</v>
      </c>
      <c r="R3404" s="9">
        <f t="shared" si="213"/>
        <v>389.70000000000005</v>
      </c>
      <c r="S3404" s="9">
        <f>IF(R3404="",AVERAGEIF(Table1[Category],Table1[[#This Row],[Category]],Table2[orignal data]),Table2[[#This Row],[orignal data]])</f>
        <v>389.70000000000005</v>
      </c>
      <c r="T3404" t="str">
        <f t="shared" si="214"/>
        <v>UNIQUE</v>
      </c>
      <c r="U3404" t="str">
        <f>IF(ISBLANK(Table1[[#This Row],[SizeOption]]),"NOT AVAILABLE",Table1[[#This Row],[SizeOption]])</f>
        <v>XS, S, M, L, XL, XXL, 3XL</v>
      </c>
      <c r="Y3404" t="str">
        <f>IF(Table2[[#This Row],[Column1]]&gt;50%,"HIGH DISCOUNT","LOW DISCOUNT")</f>
        <v>HIGH DISCOUNT</v>
      </c>
    </row>
    <row r="3405" spans="1:25" x14ac:dyDescent="0.25">
      <c r="A3405" s="2" t="s">
        <v>7051</v>
      </c>
      <c r="B3405" s="2">
        <v>11521902</v>
      </c>
      <c r="C3405" s="2" t="s">
        <v>81</v>
      </c>
      <c r="D3405" s="2" t="s">
        <v>41</v>
      </c>
      <c r="E3405" s="2" t="s">
        <v>53</v>
      </c>
      <c r="F3405" s="2" t="s">
        <v>36</v>
      </c>
      <c r="G3405" s="2" t="s">
        <v>7052</v>
      </c>
      <c r="I3405" s="2">
        <v>1799</v>
      </c>
      <c r="J3405" s="2" t="s">
        <v>758</v>
      </c>
      <c r="K3405" s="2" t="s">
        <v>134</v>
      </c>
      <c r="L3405" s="2">
        <v>4</v>
      </c>
      <c r="M3405" s="2">
        <v>571</v>
      </c>
      <c r="P3405" t="str">
        <f t="shared" si="215"/>
        <v>47%</v>
      </c>
      <c r="Q3405" s="12">
        <f t="shared" si="212"/>
        <v>0.47</v>
      </c>
      <c r="R3405" s="9">
        <f t="shared" si="213"/>
        <v>953.47</v>
      </c>
      <c r="S3405" s="9">
        <f>IF(R3405="",AVERAGEIF(Table1[Category],Table1[[#This Row],[Category]],Table2[orignal data]),Table2[[#This Row],[orignal data]])</f>
        <v>953.47</v>
      </c>
      <c r="T3405" t="str">
        <f t="shared" si="214"/>
        <v>UNIQUE</v>
      </c>
      <c r="U3405" t="str">
        <f>IF(ISBLANK(Table1[[#This Row],[SizeOption]]),"NOT AVAILABLE",Table1[[#This Row],[SizeOption]])</f>
        <v>26, 28, 30, 32, 34, 36</v>
      </c>
      <c r="Y3405" t="str">
        <f>IF(Table2[[#This Row],[Column1]]&gt;50%,"HIGH DISCOUNT","LOW DISCOUNT")</f>
        <v>LOW DISCOUNT</v>
      </c>
    </row>
    <row r="3406" spans="1:25" x14ac:dyDescent="0.25">
      <c r="A3406" s="1" t="s">
        <v>7053</v>
      </c>
      <c r="B3406" s="1">
        <v>7999243</v>
      </c>
      <c r="C3406" s="1" t="s">
        <v>7054</v>
      </c>
      <c r="D3406" s="1" t="s">
        <v>41</v>
      </c>
      <c r="E3406" s="1" t="s">
        <v>148</v>
      </c>
      <c r="F3406" s="1" t="s">
        <v>36</v>
      </c>
      <c r="G3406" s="1" t="s">
        <v>7055</v>
      </c>
      <c r="I3406" s="1">
        <v>2690</v>
      </c>
      <c r="J3406" s="1" t="s">
        <v>84</v>
      </c>
      <c r="K3406" s="1" t="s">
        <v>100</v>
      </c>
      <c r="L3406" s="1">
        <v>4.4000000000000004</v>
      </c>
      <c r="M3406" s="1">
        <v>571</v>
      </c>
      <c r="P3406" t="str">
        <f t="shared" si="215"/>
        <v>50%</v>
      </c>
      <c r="Q3406" s="12">
        <f t="shared" si="212"/>
        <v>0.5</v>
      </c>
      <c r="R3406" s="9">
        <f t="shared" si="213"/>
        <v>1345</v>
      </c>
      <c r="S3406" s="9">
        <f>IF(R3406="",AVERAGEIF(Table1[Category],Table1[[#This Row],[Category]],Table2[orignal data]),Table2[[#This Row],[orignal data]])</f>
        <v>1345</v>
      </c>
      <c r="T3406" t="str">
        <f t="shared" si="214"/>
        <v>UNIQUE</v>
      </c>
      <c r="U3406" t="str">
        <f>IF(ISBLANK(Table1[[#This Row],[SizeOption]]),"NOT AVAILABLE",Table1[[#This Row],[SizeOption]])</f>
        <v>XS, S, M, L, XL, XXL, 3XL</v>
      </c>
      <c r="Y3406" t="str">
        <f>IF(Table2[[#This Row],[Column1]]&gt;50%,"HIGH DISCOUNT","LOW DISCOUNT")</f>
        <v>LOW DISCOUNT</v>
      </c>
    </row>
    <row r="3407" spans="1:25" x14ac:dyDescent="0.25">
      <c r="A3407" s="2" t="s">
        <v>7056</v>
      </c>
      <c r="B3407" s="2">
        <v>11398852</v>
      </c>
      <c r="C3407" s="2" t="s">
        <v>14</v>
      </c>
      <c r="D3407" s="2" t="s">
        <v>41</v>
      </c>
      <c r="E3407" s="2" t="s">
        <v>42</v>
      </c>
      <c r="F3407" s="2" t="s">
        <v>36</v>
      </c>
      <c r="G3407" s="2" t="s">
        <v>250</v>
      </c>
      <c r="I3407" s="2">
        <v>799</v>
      </c>
      <c r="J3407" s="2" t="s">
        <v>19</v>
      </c>
      <c r="K3407" s="2" t="s">
        <v>45</v>
      </c>
      <c r="L3407" s="2">
        <v>4.2</v>
      </c>
      <c r="M3407" s="2">
        <v>571</v>
      </c>
      <c r="P3407" t="str">
        <f t="shared" si="215"/>
        <v>45%</v>
      </c>
      <c r="Q3407" s="12">
        <f t="shared" si="212"/>
        <v>0.45</v>
      </c>
      <c r="R3407" s="9">
        <f t="shared" si="213"/>
        <v>439.45</v>
      </c>
      <c r="S3407" s="9">
        <f>IF(R3407="",AVERAGEIF(Table1[Category],Table1[[#This Row],[Category]],Table2[orignal data]),Table2[[#This Row],[orignal data]])</f>
        <v>439.45</v>
      </c>
      <c r="T3407" t="str">
        <f t="shared" si="214"/>
        <v>UNIQUE</v>
      </c>
      <c r="U3407" t="str">
        <f>IF(ISBLANK(Table1[[#This Row],[SizeOption]]),"NOT AVAILABLE",Table1[[#This Row],[SizeOption]])</f>
        <v>XS, S, M, L, XL</v>
      </c>
      <c r="Y3407" t="str">
        <f>IF(Table2[[#This Row],[Column1]]&gt;50%,"HIGH DISCOUNT","LOW DISCOUNT")</f>
        <v>LOW DISCOUNT</v>
      </c>
    </row>
    <row r="3408" spans="1:25" x14ac:dyDescent="0.25">
      <c r="A3408" s="1" t="s">
        <v>7057</v>
      </c>
      <c r="B3408" s="1">
        <v>7584933</v>
      </c>
      <c r="C3408" s="1" t="s">
        <v>22</v>
      </c>
      <c r="D3408" s="1" t="s">
        <v>15</v>
      </c>
      <c r="E3408" s="1" t="s">
        <v>16</v>
      </c>
      <c r="F3408" s="1" t="s">
        <v>17</v>
      </c>
      <c r="G3408" s="1" t="s">
        <v>5587</v>
      </c>
      <c r="H3408">
        <v>849</v>
      </c>
      <c r="I3408" s="1">
        <v>2499</v>
      </c>
      <c r="J3408" s="1" t="s">
        <v>403</v>
      </c>
      <c r="K3408" s="1" t="s">
        <v>56</v>
      </c>
      <c r="L3408" s="1">
        <v>3.7</v>
      </c>
      <c r="M3408" s="1">
        <v>570</v>
      </c>
      <c r="P3408" t="str">
        <f t="shared" si="215"/>
        <v>66%</v>
      </c>
      <c r="Q3408" s="12">
        <f t="shared" si="212"/>
        <v>0.66</v>
      </c>
      <c r="R3408" s="9">
        <f t="shared" si="213"/>
        <v>849.65999999999985</v>
      </c>
      <c r="S3408" s="9">
        <f>IF(R3408="",AVERAGEIF(Table1[Category],Table1[[#This Row],[Category]],Table2[orignal data]),Table2[[#This Row],[orignal data]])</f>
        <v>849.65999999999985</v>
      </c>
      <c r="T3408" t="str">
        <f t="shared" si="214"/>
        <v>UNIQUE</v>
      </c>
      <c r="U3408" t="str">
        <f>IF(ISBLANK(Table1[[#This Row],[SizeOption]]),"NOT AVAILABLE",Table1[[#This Row],[SizeOption]])</f>
        <v>30, 32, 34, 36</v>
      </c>
      <c r="Y3408" t="str">
        <f>IF(Table2[[#This Row],[Column1]]&gt;50%,"HIGH DISCOUNT","LOW DISCOUNT")</f>
        <v>HIGH DISCOUNT</v>
      </c>
    </row>
    <row r="3409" spans="1:25" x14ac:dyDescent="0.25">
      <c r="A3409" s="2" t="s">
        <v>7058</v>
      </c>
      <c r="B3409" s="2">
        <v>8962355</v>
      </c>
      <c r="C3409" s="2" t="s">
        <v>14</v>
      </c>
      <c r="D3409" s="2" t="s">
        <v>15</v>
      </c>
      <c r="E3409" s="2" t="s">
        <v>16</v>
      </c>
      <c r="F3409" s="2" t="s">
        <v>17</v>
      </c>
      <c r="G3409" s="2" t="s">
        <v>3690</v>
      </c>
      <c r="H3409">
        <v>1079</v>
      </c>
      <c r="I3409" s="2">
        <v>1799</v>
      </c>
      <c r="J3409" s="2" t="s">
        <v>50</v>
      </c>
      <c r="K3409" s="2" t="s">
        <v>134</v>
      </c>
      <c r="L3409" s="2">
        <v>4</v>
      </c>
      <c r="M3409" s="2">
        <v>570</v>
      </c>
      <c r="P3409" t="str">
        <f t="shared" si="215"/>
        <v>40%</v>
      </c>
      <c r="Q3409" s="12">
        <f t="shared" si="212"/>
        <v>0.4</v>
      </c>
      <c r="R3409" s="9">
        <f t="shared" si="213"/>
        <v>1079.4000000000001</v>
      </c>
      <c r="S3409" s="9">
        <f>IF(R3409="",AVERAGEIF(Table1[Category],Table1[[#This Row],[Category]],Table2[orignal data]),Table2[[#This Row],[orignal data]])</f>
        <v>1079.4000000000001</v>
      </c>
      <c r="T3409" t="str">
        <f t="shared" si="214"/>
        <v>UNIQUE</v>
      </c>
      <c r="U3409" t="str">
        <f>IF(ISBLANK(Table1[[#This Row],[SizeOption]]),"NOT AVAILABLE",Table1[[#This Row],[SizeOption]])</f>
        <v>26, 28, 30, 32, 34, 36</v>
      </c>
      <c r="Y3409" t="str">
        <f>IF(Table2[[#This Row],[Column1]]&gt;50%,"HIGH DISCOUNT","LOW DISCOUNT")</f>
        <v>LOW DISCOUNT</v>
      </c>
    </row>
    <row r="3410" spans="1:25" x14ac:dyDescent="0.25">
      <c r="A3410" s="1" t="s">
        <v>7059</v>
      </c>
      <c r="B3410" s="1">
        <v>11895980</v>
      </c>
      <c r="C3410" s="1" t="s">
        <v>14</v>
      </c>
      <c r="D3410" s="1" t="s">
        <v>28</v>
      </c>
      <c r="E3410" s="1" t="s">
        <v>29</v>
      </c>
      <c r="F3410" s="1" t="s">
        <v>17</v>
      </c>
      <c r="G3410" s="1" t="s">
        <v>7060</v>
      </c>
      <c r="H3410">
        <v>674</v>
      </c>
      <c r="I3410" s="1">
        <v>1499</v>
      </c>
      <c r="J3410" s="1" t="s">
        <v>25</v>
      </c>
      <c r="K3410" s="1" t="s">
        <v>253</v>
      </c>
      <c r="L3410" s="1">
        <v>4.3</v>
      </c>
      <c r="M3410" s="1">
        <v>570</v>
      </c>
      <c r="P3410" t="str">
        <f t="shared" si="215"/>
        <v>55%</v>
      </c>
      <c r="Q3410" s="12">
        <f t="shared" si="212"/>
        <v>0.55000000000000004</v>
      </c>
      <c r="R3410" s="9">
        <f t="shared" si="213"/>
        <v>674.55</v>
      </c>
      <c r="S3410" s="9">
        <f>IF(R3410="",AVERAGEIF(Table1[Category],Table1[[#This Row],[Category]],Table2[orignal data]),Table2[[#This Row],[orignal data]])</f>
        <v>674.55</v>
      </c>
      <c r="T3410" t="str">
        <f t="shared" si="214"/>
        <v>UNIQUE</v>
      </c>
      <c r="U3410" t="str">
        <f>IF(ISBLANK(Table1[[#This Row],[SizeOption]]),"NOT AVAILABLE",Table1[[#This Row],[SizeOption]])</f>
        <v>38, 40, 42, 44</v>
      </c>
      <c r="Y3410" t="str">
        <f>IF(Table2[[#This Row],[Column1]]&gt;50%,"HIGH DISCOUNT","LOW DISCOUNT")</f>
        <v>HIGH DISCOUNT</v>
      </c>
    </row>
    <row r="3411" spans="1:25" x14ac:dyDescent="0.25">
      <c r="A3411" s="2" t="s">
        <v>7061</v>
      </c>
      <c r="B3411" s="2">
        <v>11934792</v>
      </c>
      <c r="C3411" s="2" t="s">
        <v>7062</v>
      </c>
      <c r="D3411" s="2" t="s">
        <v>28</v>
      </c>
      <c r="E3411" s="2" t="s">
        <v>42</v>
      </c>
      <c r="F3411" s="2" t="s">
        <v>17</v>
      </c>
      <c r="G3411" s="2" t="s">
        <v>7063</v>
      </c>
      <c r="H3411">
        <v>749</v>
      </c>
      <c r="I3411" s="2">
        <v>1499</v>
      </c>
      <c r="J3411" s="2" t="s">
        <v>84</v>
      </c>
      <c r="K3411" s="2" t="s">
        <v>39</v>
      </c>
      <c r="L3411" s="2">
        <v>4</v>
      </c>
      <c r="M3411" s="2">
        <v>570</v>
      </c>
      <c r="P3411" t="str">
        <f t="shared" si="215"/>
        <v>50%</v>
      </c>
      <c r="Q3411" s="12">
        <f t="shared" si="212"/>
        <v>0.5</v>
      </c>
      <c r="R3411" s="9">
        <f t="shared" si="213"/>
        <v>749.5</v>
      </c>
      <c r="S3411" s="9">
        <f>IF(R3411="",AVERAGEIF(Table1[Category],Table1[[#This Row],[Category]],Table2[orignal data]),Table2[[#This Row],[orignal data]])</f>
        <v>749.5</v>
      </c>
      <c r="T3411" t="str">
        <f t="shared" si="214"/>
        <v>UNIQUE</v>
      </c>
      <c r="U3411" t="str">
        <f>IF(ISBLANK(Table1[[#This Row],[SizeOption]]),"NOT AVAILABLE",Table1[[#This Row],[SizeOption]])</f>
        <v>S, M, L, XL, XXL</v>
      </c>
      <c r="Y3411" t="str">
        <f>IF(Table2[[#This Row],[Column1]]&gt;50%,"HIGH DISCOUNT","LOW DISCOUNT")</f>
        <v>LOW DISCOUNT</v>
      </c>
    </row>
    <row r="3412" spans="1:25" x14ac:dyDescent="0.25">
      <c r="A3412" s="1" t="s">
        <v>7064</v>
      </c>
      <c r="B3412" s="1">
        <v>6833178</v>
      </c>
      <c r="C3412" s="1" t="s">
        <v>169</v>
      </c>
      <c r="D3412" s="1" t="s">
        <v>28</v>
      </c>
      <c r="E3412" s="1" t="s">
        <v>42</v>
      </c>
      <c r="F3412" s="1" t="s">
        <v>17</v>
      </c>
      <c r="G3412" s="1" t="s">
        <v>7065</v>
      </c>
      <c r="H3412">
        <v>749</v>
      </c>
      <c r="I3412" s="1">
        <v>1499</v>
      </c>
      <c r="J3412" s="1" t="s">
        <v>84</v>
      </c>
      <c r="K3412" s="1" t="s">
        <v>39</v>
      </c>
      <c r="L3412" s="1">
        <v>3.7</v>
      </c>
      <c r="M3412" s="1">
        <v>570</v>
      </c>
      <c r="P3412" t="str">
        <f t="shared" si="215"/>
        <v>50%</v>
      </c>
      <c r="Q3412" s="12">
        <f t="shared" si="212"/>
        <v>0.5</v>
      </c>
      <c r="R3412" s="9">
        <f t="shared" si="213"/>
        <v>749.5</v>
      </c>
      <c r="S3412" s="9">
        <f>IF(R3412="",AVERAGEIF(Table1[Category],Table1[[#This Row],[Category]],Table2[orignal data]),Table2[[#This Row],[orignal data]])</f>
        <v>749.5</v>
      </c>
      <c r="T3412" t="str">
        <f t="shared" si="214"/>
        <v>UNIQUE</v>
      </c>
      <c r="U3412" t="str">
        <f>IF(ISBLANK(Table1[[#This Row],[SizeOption]]),"NOT AVAILABLE",Table1[[#This Row],[SizeOption]])</f>
        <v>S, M, L, XL, XXL</v>
      </c>
      <c r="Y3412" t="str">
        <f>IF(Table2[[#This Row],[Column1]]&gt;50%,"HIGH DISCOUNT","LOW DISCOUNT")</f>
        <v>LOW DISCOUNT</v>
      </c>
    </row>
    <row r="3413" spans="1:25" x14ac:dyDescent="0.25">
      <c r="A3413" s="2" t="s">
        <v>7066</v>
      </c>
      <c r="B3413" s="2">
        <v>2232110</v>
      </c>
      <c r="C3413" s="2" t="s">
        <v>47</v>
      </c>
      <c r="D3413" s="2" t="s">
        <v>28</v>
      </c>
      <c r="E3413" s="2" t="s">
        <v>42</v>
      </c>
      <c r="F3413" s="2" t="s">
        <v>17</v>
      </c>
      <c r="G3413" s="2" t="s">
        <v>7067</v>
      </c>
      <c r="H3413">
        <v>314</v>
      </c>
      <c r="I3413" s="2">
        <v>699</v>
      </c>
      <c r="J3413" s="2" t="s">
        <v>25</v>
      </c>
      <c r="K3413" s="2" t="s">
        <v>26</v>
      </c>
      <c r="L3413" s="2">
        <v>4</v>
      </c>
      <c r="M3413" s="2">
        <v>570</v>
      </c>
      <c r="P3413" t="str">
        <f t="shared" si="215"/>
        <v>55%</v>
      </c>
      <c r="Q3413" s="12">
        <f t="shared" si="212"/>
        <v>0.55000000000000004</v>
      </c>
      <c r="R3413" s="9">
        <f t="shared" si="213"/>
        <v>314.54999999999995</v>
      </c>
      <c r="S3413" s="9">
        <f>IF(R3413="",AVERAGEIF(Table1[Category],Table1[[#This Row],[Category]],Table2[orignal data]),Table2[[#This Row],[orignal data]])</f>
        <v>314.54999999999995</v>
      </c>
      <c r="T3413" t="str">
        <f t="shared" si="214"/>
        <v>UNIQUE</v>
      </c>
      <c r="U3413" t="str">
        <f>IF(ISBLANK(Table1[[#This Row],[SizeOption]]),"NOT AVAILABLE",Table1[[#This Row],[SizeOption]])</f>
        <v>S, M, L, XL</v>
      </c>
      <c r="Y3413" t="str">
        <f>IF(Table2[[#This Row],[Column1]]&gt;50%,"HIGH DISCOUNT","LOW DISCOUNT")</f>
        <v>HIGH DISCOUNT</v>
      </c>
    </row>
    <row r="3414" spans="1:25" x14ac:dyDescent="0.25">
      <c r="A3414" s="1" t="s">
        <v>7068</v>
      </c>
      <c r="B3414" s="1">
        <v>8998277</v>
      </c>
      <c r="C3414" s="1" t="s">
        <v>33</v>
      </c>
      <c r="D3414" s="1" t="s">
        <v>34</v>
      </c>
      <c r="E3414" s="1" t="s">
        <v>118</v>
      </c>
      <c r="F3414" s="1" t="s">
        <v>36</v>
      </c>
      <c r="G3414" s="1" t="s">
        <v>7069</v>
      </c>
      <c r="H3414">
        <v>476</v>
      </c>
      <c r="I3414" s="1">
        <v>745</v>
      </c>
      <c r="J3414" s="1" t="s">
        <v>554</v>
      </c>
      <c r="K3414" s="1" t="s">
        <v>7070</v>
      </c>
      <c r="L3414" s="1">
        <v>4.2</v>
      </c>
      <c r="M3414" s="1">
        <v>570</v>
      </c>
      <c r="P3414" t="str">
        <f t="shared" si="215"/>
        <v>36%</v>
      </c>
      <c r="Q3414" s="12">
        <f t="shared" si="212"/>
        <v>0.36</v>
      </c>
      <c r="R3414" s="9">
        <f t="shared" si="213"/>
        <v>476.8</v>
      </c>
      <c r="S3414" s="9">
        <f>IF(R3414="",AVERAGEIF(Table1[Category],Table1[[#This Row],[Category]],Table2[orignal data]),Table2[[#This Row],[orignal data]])</f>
        <v>476.8</v>
      </c>
      <c r="T3414" t="str">
        <f t="shared" si="214"/>
        <v>UNIQUE</v>
      </c>
      <c r="U3414" t="str">
        <f>IF(ISBLANK(Table1[[#This Row],[SizeOption]]),"NOT AVAILABLE",Table1[[#This Row],[SizeOption]])</f>
        <v>32B, 32C, 32D, 32DD, 34B, 34C, 34D, 34DD, 36B, 36C, 36D, 36DD, 38B, 38C, 38D, 38DD</v>
      </c>
      <c r="Y3414" t="str">
        <f>IF(Table2[[#This Row],[Column1]]&gt;50%,"HIGH DISCOUNT","LOW DISCOUNT")</f>
        <v>LOW DISCOUNT</v>
      </c>
    </row>
    <row r="3415" spans="1:25" x14ac:dyDescent="0.25">
      <c r="A3415" s="2" t="s">
        <v>7071</v>
      </c>
      <c r="B3415" s="2">
        <v>11394290</v>
      </c>
      <c r="C3415" s="2" t="s">
        <v>377</v>
      </c>
      <c r="D3415" s="2" t="s">
        <v>98</v>
      </c>
      <c r="E3415" s="2" t="s">
        <v>93</v>
      </c>
      <c r="F3415" s="2" t="s">
        <v>36</v>
      </c>
      <c r="G3415" s="2" t="s">
        <v>7072</v>
      </c>
      <c r="H3415">
        <v>619</v>
      </c>
      <c r="I3415" s="2">
        <v>1549</v>
      </c>
      <c r="J3415" s="2" t="s">
        <v>55</v>
      </c>
      <c r="K3415" s="2" t="s">
        <v>39</v>
      </c>
      <c r="L3415" s="2">
        <v>4.3</v>
      </c>
      <c r="M3415" s="2">
        <v>570</v>
      </c>
      <c r="P3415" t="str">
        <f t="shared" si="215"/>
        <v>60%</v>
      </c>
      <c r="Q3415" s="12">
        <f t="shared" si="212"/>
        <v>0.6</v>
      </c>
      <c r="R3415" s="9">
        <f t="shared" si="213"/>
        <v>619.6</v>
      </c>
      <c r="S3415" s="9">
        <f>IF(R3415="",AVERAGEIF(Table1[Category],Table1[[#This Row],[Category]],Table2[orignal data]),Table2[[#This Row],[orignal data]])</f>
        <v>619.6</v>
      </c>
      <c r="T3415" t="str">
        <f t="shared" si="214"/>
        <v>UNIQUE</v>
      </c>
      <c r="U3415" t="str">
        <f>IF(ISBLANK(Table1[[#This Row],[SizeOption]]),"NOT AVAILABLE",Table1[[#This Row],[SizeOption]])</f>
        <v>S, M, L, XL, XXL</v>
      </c>
      <c r="Y3415" t="str">
        <f>IF(Table2[[#This Row],[Column1]]&gt;50%,"HIGH DISCOUNT","LOW DISCOUNT")</f>
        <v>HIGH DISCOUNT</v>
      </c>
    </row>
    <row r="3416" spans="1:25" x14ac:dyDescent="0.25">
      <c r="A3416" s="1" t="s">
        <v>7073</v>
      </c>
      <c r="B3416" s="1">
        <v>9477841</v>
      </c>
      <c r="C3416" s="1" t="s">
        <v>14</v>
      </c>
      <c r="D3416" s="1" t="s">
        <v>41</v>
      </c>
      <c r="E3416" s="1" t="s">
        <v>306</v>
      </c>
      <c r="F3416" s="1" t="s">
        <v>36</v>
      </c>
      <c r="G3416" s="1" t="s">
        <v>7074</v>
      </c>
      <c r="I3416" s="1">
        <v>1599</v>
      </c>
      <c r="J3416" s="1" t="s">
        <v>1986</v>
      </c>
      <c r="K3416" s="1" t="s">
        <v>1453</v>
      </c>
      <c r="L3416" s="1">
        <v>4</v>
      </c>
      <c r="M3416" s="1">
        <v>570</v>
      </c>
      <c r="P3416" t="str">
        <f t="shared" si="215"/>
        <v>60 %</v>
      </c>
      <c r="Q3416" s="12">
        <f t="shared" si="212"/>
        <v>0.6</v>
      </c>
      <c r="R3416" s="9">
        <f t="shared" si="213"/>
        <v>639.6</v>
      </c>
      <c r="S3416" s="9">
        <f>IF(R3416="",AVERAGEIF(Table1[Category],Table1[[#This Row],[Category]],Table2[orignal data]),Table2[[#This Row],[orignal data]])</f>
        <v>639.6</v>
      </c>
      <c r="T3416" t="str">
        <f t="shared" si="214"/>
        <v>UNIQUE</v>
      </c>
      <c r="U3416" t="str">
        <f>IF(ISBLANK(Table1[[#This Row],[SizeOption]]),"NOT AVAILABLE",Table1[[#This Row],[SizeOption]])</f>
        <v>S/M, L/XL</v>
      </c>
      <c r="Y3416" t="str">
        <f>IF(Table2[[#This Row],[Column1]]&gt;50%,"HIGH DISCOUNT","LOW DISCOUNT")</f>
        <v>HIGH DISCOUNT</v>
      </c>
    </row>
    <row r="3417" spans="1:25" x14ac:dyDescent="0.25">
      <c r="A3417" s="2" t="s">
        <v>7075</v>
      </c>
      <c r="B3417" s="2">
        <v>11930898</v>
      </c>
      <c r="C3417" s="2" t="s">
        <v>14</v>
      </c>
      <c r="D3417" s="2" t="s">
        <v>41</v>
      </c>
      <c r="E3417" s="2" t="s">
        <v>16</v>
      </c>
      <c r="F3417" s="2" t="s">
        <v>36</v>
      </c>
      <c r="G3417" s="2" t="s">
        <v>7076</v>
      </c>
      <c r="I3417" s="2">
        <v>1999</v>
      </c>
      <c r="J3417" s="2" t="s">
        <v>84</v>
      </c>
      <c r="K3417" s="2" t="s">
        <v>134</v>
      </c>
      <c r="L3417" s="2">
        <v>3.9</v>
      </c>
      <c r="M3417" s="2">
        <v>570</v>
      </c>
      <c r="P3417" t="str">
        <f t="shared" si="215"/>
        <v>50%</v>
      </c>
      <c r="Q3417" s="12">
        <f t="shared" si="212"/>
        <v>0.5</v>
      </c>
      <c r="R3417" s="9">
        <f t="shared" si="213"/>
        <v>999.5</v>
      </c>
      <c r="S3417" s="9">
        <f>IF(R3417="",AVERAGEIF(Table1[Category],Table1[[#This Row],[Category]],Table2[orignal data]),Table2[[#This Row],[orignal data]])</f>
        <v>999.5</v>
      </c>
      <c r="T3417" t="str">
        <f t="shared" si="214"/>
        <v>UNIQUE</v>
      </c>
      <c r="U3417" t="str">
        <f>IF(ISBLANK(Table1[[#This Row],[SizeOption]]),"NOT AVAILABLE",Table1[[#This Row],[SizeOption]])</f>
        <v>26, 28, 30, 32, 34, 36</v>
      </c>
      <c r="Y3417" t="str">
        <f>IF(Table2[[#This Row],[Column1]]&gt;50%,"HIGH DISCOUNT","LOW DISCOUNT")</f>
        <v>LOW DISCOUNT</v>
      </c>
    </row>
    <row r="3418" spans="1:25" x14ac:dyDescent="0.25">
      <c r="A3418" s="1" t="s">
        <v>7077</v>
      </c>
      <c r="B3418" s="1">
        <v>9655655</v>
      </c>
      <c r="C3418" s="1" t="s">
        <v>22</v>
      </c>
      <c r="D3418" s="1" t="s">
        <v>15</v>
      </c>
      <c r="E3418" s="1" t="s">
        <v>16</v>
      </c>
      <c r="F3418" s="1" t="s">
        <v>17</v>
      </c>
      <c r="G3418" s="1" t="s">
        <v>7078</v>
      </c>
      <c r="H3418">
        <v>849</v>
      </c>
      <c r="I3418" s="1">
        <v>2499</v>
      </c>
      <c r="J3418" s="1" t="s">
        <v>403</v>
      </c>
      <c r="K3418" s="1" t="s">
        <v>56</v>
      </c>
      <c r="L3418" s="1">
        <v>3.7</v>
      </c>
      <c r="M3418" s="1">
        <v>569</v>
      </c>
      <c r="P3418" t="str">
        <f t="shared" si="215"/>
        <v>66%</v>
      </c>
      <c r="Q3418" s="12">
        <f t="shared" si="212"/>
        <v>0.66</v>
      </c>
      <c r="R3418" s="9">
        <f t="shared" si="213"/>
        <v>849.65999999999985</v>
      </c>
      <c r="S3418" s="9">
        <f>IF(R3418="",AVERAGEIF(Table1[Category],Table1[[#This Row],[Category]],Table2[orignal data]),Table2[[#This Row],[orignal data]])</f>
        <v>849.65999999999985</v>
      </c>
      <c r="T3418" t="str">
        <f t="shared" si="214"/>
        <v>UNIQUE</v>
      </c>
      <c r="U3418" t="str">
        <f>IF(ISBLANK(Table1[[#This Row],[SizeOption]]),"NOT AVAILABLE",Table1[[#This Row],[SizeOption]])</f>
        <v>30, 32, 34, 36</v>
      </c>
      <c r="Y3418" t="str">
        <f>IF(Table2[[#This Row],[Column1]]&gt;50%,"HIGH DISCOUNT","LOW DISCOUNT")</f>
        <v>HIGH DISCOUNT</v>
      </c>
    </row>
    <row r="3419" spans="1:25" x14ac:dyDescent="0.25">
      <c r="A3419" s="2" t="s">
        <v>7079</v>
      </c>
      <c r="B3419" s="2">
        <v>1999068</v>
      </c>
      <c r="C3419" s="2" t="s">
        <v>349</v>
      </c>
      <c r="D3419" s="2" t="s">
        <v>197</v>
      </c>
      <c r="E3419" s="2" t="s">
        <v>1807</v>
      </c>
      <c r="F3419" s="2" t="s">
        <v>17</v>
      </c>
      <c r="G3419" s="2" t="s">
        <v>7080</v>
      </c>
      <c r="I3419" s="2">
        <v>329</v>
      </c>
      <c r="J3419" s="2"/>
      <c r="K3419" s="2" t="s">
        <v>352</v>
      </c>
      <c r="L3419" s="2">
        <v>4.5</v>
      </c>
      <c r="M3419" s="2">
        <v>569</v>
      </c>
      <c r="P3419" t="str">
        <f t="shared" si="215"/>
        <v/>
      </c>
      <c r="Q3419" s="12" t="str">
        <f t="shared" si="212"/>
        <v/>
      </c>
      <c r="R3419" s="9" t="str">
        <f t="shared" si="213"/>
        <v/>
      </c>
      <c r="S3419" s="9">
        <f>IF(R3419="",AVERAGEIF(Table1[Category],Table1[[#This Row],[Category]],Table2[orignal data]),Table2[[#This Row],[orignal data]])</f>
        <v>552.70900000000006</v>
      </c>
      <c r="T3419" t="str">
        <f t="shared" si="214"/>
        <v>UNIQUE</v>
      </c>
      <c r="U3419" t="str">
        <f>IF(ISBLANK(Table1[[#This Row],[SizeOption]]),"NOT AVAILABLE",Table1[[#This Row],[SizeOption]])</f>
        <v>S, M, L</v>
      </c>
      <c r="Y3419" t="str">
        <f>IF(Table2[[#This Row],[Column1]]&gt;50%,"HIGH DISCOUNT","LOW DISCOUNT")</f>
        <v>HIGH DISCOUNT</v>
      </c>
    </row>
    <row r="3420" spans="1:25" x14ac:dyDescent="0.25">
      <c r="A3420" s="1" t="s">
        <v>7081</v>
      </c>
      <c r="B3420" s="1">
        <v>11896376</v>
      </c>
      <c r="C3420" s="1" t="s">
        <v>14</v>
      </c>
      <c r="D3420" s="1" t="s">
        <v>28</v>
      </c>
      <c r="E3420" s="1" t="s">
        <v>29</v>
      </c>
      <c r="F3420" s="1" t="s">
        <v>17</v>
      </c>
      <c r="G3420" s="1" t="s">
        <v>4196</v>
      </c>
      <c r="H3420">
        <v>879</v>
      </c>
      <c r="I3420" s="1">
        <v>1599</v>
      </c>
      <c r="J3420" s="1" t="s">
        <v>19</v>
      </c>
      <c r="K3420" s="1" t="s">
        <v>253</v>
      </c>
      <c r="L3420" s="1">
        <v>4.2</v>
      </c>
      <c r="M3420" s="1">
        <v>569</v>
      </c>
      <c r="P3420" t="str">
        <f t="shared" si="215"/>
        <v>45%</v>
      </c>
      <c r="Q3420" s="12">
        <f t="shared" si="212"/>
        <v>0.45</v>
      </c>
      <c r="R3420" s="9">
        <f t="shared" si="213"/>
        <v>879.44999999999993</v>
      </c>
      <c r="S3420" s="9">
        <f>IF(R3420="",AVERAGEIF(Table1[Category],Table1[[#This Row],[Category]],Table2[orignal data]),Table2[[#This Row],[orignal data]])</f>
        <v>879.44999999999993</v>
      </c>
      <c r="T3420" t="str">
        <f t="shared" si="214"/>
        <v>UNIQUE</v>
      </c>
      <c r="U3420" t="str">
        <f>IF(ISBLANK(Table1[[#This Row],[SizeOption]]),"NOT AVAILABLE",Table1[[#This Row],[SizeOption]])</f>
        <v>38, 40, 42, 44</v>
      </c>
      <c r="Y3420" t="str">
        <f>IF(Table2[[#This Row],[Column1]]&gt;50%,"HIGH DISCOUNT","LOW DISCOUNT")</f>
        <v>LOW DISCOUNT</v>
      </c>
    </row>
    <row r="3421" spans="1:25" x14ac:dyDescent="0.25">
      <c r="A3421" s="2" t="s">
        <v>7082</v>
      </c>
      <c r="B3421" s="2">
        <v>13384824</v>
      </c>
      <c r="C3421" s="2" t="s">
        <v>64</v>
      </c>
      <c r="D3421" s="2" t="s">
        <v>76</v>
      </c>
      <c r="E3421" s="2" t="s">
        <v>93</v>
      </c>
      <c r="F3421" s="2" t="s">
        <v>36</v>
      </c>
      <c r="G3421" s="2" t="s">
        <v>7083</v>
      </c>
      <c r="H3421">
        <v>599</v>
      </c>
      <c r="I3421" s="2">
        <v>1199</v>
      </c>
      <c r="J3421" s="2" t="s">
        <v>84</v>
      </c>
      <c r="K3421" s="2" t="s">
        <v>100</v>
      </c>
      <c r="L3421" s="2">
        <v>4.2</v>
      </c>
      <c r="M3421" s="2">
        <v>569</v>
      </c>
      <c r="P3421" t="str">
        <f t="shared" si="215"/>
        <v>50%</v>
      </c>
      <c r="Q3421" s="12">
        <f t="shared" si="212"/>
        <v>0.5</v>
      </c>
      <c r="R3421" s="9">
        <f t="shared" si="213"/>
        <v>599.5</v>
      </c>
      <c r="S3421" s="9">
        <f>IF(R3421="",AVERAGEIF(Table1[Category],Table1[[#This Row],[Category]],Table2[orignal data]),Table2[[#This Row],[orignal data]])</f>
        <v>599.5</v>
      </c>
      <c r="T3421" t="str">
        <f t="shared" si="214"/>
        <v>UNIQUE</v>
      </c>
      <c r="U3421" t="str">
        <f>IF(ISBLANK(Table1[[#This Row],[SizeOption]]),"NOT AVAILABLE",Table1[[#This Row],[SizeOption]])</f>
        <v>XS, S, M, L, XL, XXL, 3XL</v>
      </c>
      <c r="Y3421" t="str">
        <f>IF(Table2[[#This Row],[Column1]]&gt;50%,"HIGH DISCOUNT","LOW DISCOUNT")</f>
        <v>LOW DISCOUNT</v>
      </c>
    </row>
    <row r="3422" spans="1:25" x14ac:dyDescent="0.25">
      <c r="A3422" s="1" t="s">
        <v>7084</v>
      </c>
      <c r="B3422" s="1">
        <v>15055286</v>
      </c>
      <c r="C3422" s="1" t="s">
        <v>1489</v>
      </c>
      <c r="D3422" s="1" t="s">
        <v>76</v>
      </c>
      <c r="E3422" s="1" t="s">
        <v>77</v>
      </c>
      <c r="F3422" s="1" t="s">
        <v>36</v>
      </c>
      <c r="G3422" s="1" t="s">
        <v>7085</v>
      </c>
      <c r="H3422">
        <v>1759</v>
      </c>
      <c r="I3422" s="1">
        <v>3999</v>
      </c>
      <c r="J3422" s="1" t="s">
        <v>1204</v>
      </c>
      <c r="K3422" s="1" t="s">
        <v>115</v>
      </c>
      <c r="L3422" s="1">
        <v>4.5</v>
      </c>
      <c r="M3422" s="1">
        <v>569</v>
      </c>
      <c r="P3422" t="str">
        <f t="shared" si="215"/>
        <v>56%</v>
      </c>
      <c r="Q3422" s="12">
        <f t="shared" si="212"/>
        <v>0.56000000000000005</v>
      </c>
      <c r="R3422" s="9">
        <f t="shared" si="213"/>
        <v>1759.56</v>
      </c>
      <c r="S3422" s="9">
        <f>IF(R3422="",AVERAGEIF(Table1[Category],Table1[[#This Row],[Category]],Table2[orignal data]),Table2[[#This Row],[orignal data]])</f>
        <v>1759.56</v>
      </c>
      <c r="T3422" t="str">
        <f t="shared" si="214"/>
        <v>UNIQUE</v>
      </c>
      <c r="U3422" t="str">
        <f>IF(ISBLANK(Table1[[#This Row],[SizeOption]]),"NOT AVAILABLE",Table1[[#This Row],[SizeOption]])</f>
        <v>XS, S, M, L, XL, XXL</v>
      </c>
      <c r="Y3422" t="str">
        <f>IF(Table2[[#This Row],[Column1]]&gt;50%,"HIGH DISCOUNT","LOW DISCOUNT")</f>
        <v>HIGH DISCOUNT</v>
      </c>
    </row>
    <row r="3423" spans="1:25" x14ac:dyDescent="0.25">
      <c r="A3423" s="2" t="s">
        <v>7086</v>
      </c>
      <c r="B3423" s="2">
        <v>8350177</v>
      </c>
      <c r="C3423" s="2" t="s">
        <v>97</v>
      </c>
      <c r="D3423" s="2" t="s">
        <v>98</v>
      </c>
      <c r="E3423" s="2" t="s">
        <v>48</v>
      </c>
      <c r="F3423" s="2" t="s">
        <v>36</v>
      </c>
      <c r="G3423" s="2" t="s">
        <v>7087</v>
      </c>
      <c r="H3423">
        <v>649</v>
      </c>
      <c r="I3423" s="2">
        <v>1299</v>
      </c>
      <c r="J3423" s="2" t="s">
        <v>84</v>
      </c>
      <c r="K3423" s="2" t="s">
        <v>100</v>
      </c>
      <c r="L3423" s="2">
        <v>4.3</v>
      </c>
      <c r="M3423" s="2">
        <v>569</v>
      </c>
      <c r="P3423" t="str">
        <f t="shared" si="215"/>
        <v>50%</v>
      </c>
      <c r="Q3423" s="12">
        <f t="shared" si="212"/>
        <v>0.5</v>
      </c>
      <c r="R3423" s="9">
        <f t="shared" si="213"/>
        <v>649.5</v>
      </c>
      <c r="S3423" s="9">
        <f>IF(R3423="",AVERAGEIF(Table1[Category],Table1[[#This Row],[Category]],Table2[orignal data]),Table2[[#This Row],[orignal data]])</f>
        <v>649.5</v>
      </c>
      <c r="T3423" t="str">
        <f t="shared" si="214"/>
        <v>UNIQUE</v>
      </c>
      <c r="U3423" t="str">
        <f>IF(ISBLANK(Table1[[#This Row],[SizeOption]]),"NOT AVAILABLE",Table1[[#This Row],[SizeOption]])</f>
        <v>XS, S, M, L, XL, XXL, 3XL</v>
      </c>
      <c r="Y3423" t="str">
        <f>IF(Table2[[#This Row],[Column1]]&gt;50%,"HIGH DISCOUNT","LOW DISCOUNT")</f>
        <v>LOW DISCOUNT</v>
      </c>
    </row>
    <row r="3424" spans="1:25" x14ac:dyDescent="0.25">
      <c r="A3424" s="1" t="s">
        <v>7088</v>
      </c>
      <c r="B3424" s="1">
        <v>17524672</v>
      </c>
      <c r="C3424" s="1" t="s">
        <v>47</v>
      </c>
      <c r="D3424" s="1" t="s">
        <v>41</v>
      </c>
      <c r="E3424" s="1" t="s">
        <v>42</v>
      </c>
      <c r="F3424" s="1" t="s">
        <v>36</v>
      </c>
      <c r="G3424" s="1" t="s">
        <v>1316</v>
      </c>
      <c r="I3424" s="1">
        <v>1598</v>
      </c>
      <c r="J3424" s="1" t="s">
        <v>84</v>
      </c>
      <c r="K3424" s="1" t="s">
        <v>146</v>
      </c>
      <c r="L3424" s="1">
        <v>4.0999999999999996</v>
      </c>
      <c r="M3424" s="1">
        <v>569</v>
      </c>
      <c r="P3424" t="str">
        <f t="shared" si="215"/>
        <v>50%</v>
      </c>
      <c r="Q3424" s="12">
        <f t="shared" si="212"/>
        <v>0.5</v>
      </c>
      <c r="R3424" s="9">
        <f t="shared" si="213"/>
        <v>799</v>
      </c>
      <c r="S3424" s="9">
        <f>IF(R3424="",AVERAGEIF(Table1[Category],Table1[[#This Row],[Category]],Table2[orignal data]),Table2[[#This Row],[orignal data]])</f>
        <v>799</v>
      </c>
      <c r="T3424" t="str">
        <f t="shared" si="214"/>
        <v>UNIQUE</v>
      </c>
      <c r="U3424" t="str">
        <f>IF(ISBLANK(Table1[[#This Row],[SizeOption]]),"NOT AVAILABLE",Table1[[#This Row],[SizeOption]])</f>
        <v>L, M, S, XS, XL</v>
      </c>
      <c r="Y3424" t="str">
        <f>IF(Table2[[#This Row],[Column1]]&gt;50%,"HIGH DISCOUNT","LOW DISCOUNT")</f>
        <v>LOW DISCOUNT</v>
      </c>
    </row>
    <row r="3425" spans="1:25" x14ac:dyDescent="0.25">
      <c r="A3425" s="2" t="s">
        <v>7089</v>
      </c>
      <c r="B3425" s="2">
        <v>17524604</v>
      </c>
      <c r="C3425" s="2" t="s">
        <v>47</v>
      </c>
      <c r="D3425" s="2" t="s">
        <v>41</v>
      </c>
      <c r="E3425" s="2" t="s">
        <v>42</v>
      </c>
      <c r="F3425" s="2" t="s">
        <v>36</v>
      </c>
      <c r="G3425" s="2" t="s">
        <v>1316</v>
      </c>
      <c r="I3425" s="2">
        <v>1598</v>
      </c>
      <c r="J3425" s="2" t="s">
        <v>84</v>
      </c>
      <c r="K3425" s="2" t="s">
        <v>447</v>
      </c>
      <c r="L3425" s="2">
        <v>4.0999999999999996</v>
      </c>
      <c r="M3425" s="2">
        <v>569</v>
      </c>
      <c r="P3425" t="str">
        <f t="shared" si="215"/>
        <v>50%</v>
      </c>
      <c r="Q3425" s="12">
        <f t="shared" si="212"/>
        <v>0.5</v>
      </c>
      <c r="R3425" s="9">
        <f t="shared" si="213"/>
        <v>799</v>
      </c>
      <c r="S3425" s="9">
        <f>IF(R3425="",AVERAGEIF(Table1[Category],Table1[[#This Row],[Category]],Table2[orignal data]),Table2[[#This Row],[orignal data]])</f>
        <v>799</v>
      </c>
      <c r="T3425" t="str">
        <f t="shared" si="214"/>
        <v>UNIQUE</v>
      </c>
      <c r="U3425" t="str">
        <f>IF(ISBLANK(Table1[[#This Row],[SizeOption]]),"NOT AVAILABLE",Table1[[#This Row],[SizeOption]])</f>
        <v>M, S, XS, XL, L</v>
      </c>
      <c r="Y3425" t="str">
        <f>IF(Table2[[#This Row],[Column1]]&gt;50%,"HIGH DISCOUNT","LOW DISCOUNT")</f>
        <v>LOW DISCOUNT</v>
      </c>
    </row>
    <row r="3426" spans="1:25" x14ac:dyDescent="0.25">
      <c r="A3426" s="1" t="s">
        <v>7090</v>
      </c>
      <c r="B3426" s="1">
        <v>12178132</v>
      </c>
      <c r="C3426" s="1" t="s">
        <v>14</v>
      </c>
      <c r="D3426" s="1" t="s">
        <v>41</v>
      </c>
      <c r="E3426" s="1" t="s">
        <v>189</v>
      </c>
      <c r="F3426" s="1" t="s">
        <v>36</v>
      </c>
      <c r="G3426" s="1" t="s">
        <v>745</v>
      </c>
      <c r="I3426" s="1">
        <v>1999</v>
      </c>
      <c r="J3426" s="1" t="s">
        <v>50</v>
      </c>
      <c r="K3426" s="1" t="s">
        <v>115</v>
      </c>
      <c r="L3426" s="1">
        <v>4.4000000000000004</v>
      </c>
      <c r="M3426" s="1">
        <v>569</v>
      </c>
      <c r="P3426" t="str">
        <f t="shared" si="215"/>
        <v>40%</v>
      </c>
      <c r="Q3426" s="12">
        <f t="shared" si="212"/>
        <v>0.4</v>
      </c>
      <c r="R3426" s="9">
        <f t="shared" si="213"/>
        <v>1199.4000000000001</v>
      </c>
      <c r="S3426" s="9">
        <f>IF(R3426="",AVERAGEIF(Table1[Category],Table1[[#This Row],[Category]],Table2[orignal data]),Table2[[#This Row],[orignal data]])</f>
        <v>1199.4000000000001</v>
      </c>
      <c r="T3426" t="str">
        <f t="shared" si="214"/>
        <v>UNIQUE</v>
      </c>
      <c r="U3426" t="str">
        <f>IF(ISBLANK(Table1[[#This Row],[SizeOption]]),"NOT AVAILABLE",Table1[[#This Row],[SizeOption]])</f>
        <v>XS, S, M, L, XL, XXL</v>
      </c>
      <c r="Y3426" t="str">
        <f>IF(Table2[[#This Row],[Column1]]&gt;50%,"HIGH DISCOUNT","LOW DISCOUNT")</f>
        <v>LOW DISCOUNT</v>
      </c>
    </row>
    <row r="3427" spans="1:25" x14ac:dyDescent="0.25">
      <c r="A3427" s="2" t="s">
        <v>7091</v>
      </c>
      <c r="B3427" s="2">
        <v>12033998</v>
      </c>
      <c r="C3427" s="2" t="s">
        <v>102</v>
      </c>
      <c r="D3427" s="2" t="s">
        <v>41</v>
      </c>
      <c r="E3427" s="2" t="s">
        <v>82</v>
      </c>
      <c r="F3427" s="2" t="s">
        <v>36</v>
      </c>
      <c r="G3427" s="2" t="s">
        <v>7092</v>
      </c>
      <c r="I3427" s="2">
        <v>2149</v>
      </c>
      <c r="J3427" s="2" t="s">
        <v>126</v>
      </c>
      <c r="K3427" s="2" t="s">
        <v>26</v>
      </c>
      <c r="L3427" s="2">
        <v>4.3</v>
      </c>
      <c r="M3427" s="2">
        <v>569</v>
      </c>
      <c r="P3427" t="str">
        <f t="shared" si="215"/>
        <v>62%</v>
      </c>
      <c r="Q3427" s="12">
        <f t="shared" si="212"/>
        <v>0.62</v>
      </c>
      <c r="R3427" s="9">
        <f t="shared" si="213"/>
        <v>816.62000000000012</v>
      </c>
      <c r="S3427" s="9">
        <f>IF(R3427="",AVERAGEIF(Table1[Category],Table1[[#This Row],[Category]],Table2[orignal data]),Table2[[#This Row],[orignal data]])</f>
        <v>816.62000000000012</v>
      </c>
      <c r="T3427" t="str">
        <f t="shared" si="214"/>
        <v>UNIQUE</v>
      </c>
      <c r="U3427" t="str">
        <f>IF(ISBLANK(Table1[[#This Row],[SizeOption]]),"NOT AVAILABLE",Table1[[#This Row],[SizeOption]])</f>
        <v>S, M, L, XL</v>
      </c>
      <c r="Y3427" t="str">
        <f>IF(Table2[[#This Row],[Column1]]&gt;50%,"HIGH DISCOUNT","LOW DISCOUNT")</f>
        <v>HIGH DISCOUNT</v>
      </c>
    </row>
    <row r="3428" spans="1:25" x14ac:dyDescent="0.25">
      <c r="A3428" s="1" t="s">
        <v>7093</v>
      </c>
      <c r="B3428" s="1">
        <v>14779212</v>
      </c>
      <c r="C3428" s="1" t="s">
        <v>7094</v>
      </c>
      <c r="D3428" s="1" t="s">
        <v>41</v>
      </c>
      <c r="E3428" s="1" t="s">
        <v>42</v>
      </c>
      <c r="F3428" s="1" t="s">
        <v>36</v>
      </c>
      <c r="G3428" s="1" t="s">
        <v>7095</v>
      </c>
      <c r="I3428" s="1">
        <v>690</v>
      </c>
      <c r="J3428" s="1" t="s">
        <v>186</v>
      </c>
      <c r="K3428" s="1" t="s">
        <v>45</v>
      </c>
      <c r="L3428" s="1">
        <v>4.3</v>
      </c>
      <c r="M3428" s="1">
        <v>569</v>
      </c>
      <c r="P3428" t="str">
        <f t="shared" si="215"/>
        <v>30%</v>
      </c>
      <c r="Q3428" s="12">
        <f t="shared" si="212"/>
        <v>0.3</v>
      </c>
      <c r="R3428" s="9">
        <f t="shared" si="213"/>
        <v>483</v>
      </c>
      <c r="S3428" s="9">
        <f>IF(R3428="",AVERAGEIF(Table1[Category],Table1[[#This Row],[Category]],Table2[orignal data]),Table2[[#This Row],[orignal data]])</f>
        <v>483</v>
      </c>
      <c r="T3428" t="str">
        <f t="shared" si="214"/>
        <v>UNIQUE</v>
      </c>
      <c r="U3428" t="str">
        <f>IF(ISBLANK(Table1[[#This Row],[SizeOption]]),"NOT AVAILABLE",Table1[[#This Row],[SizeOption]])</f>
        <v>XS, S, M, L, XL</v>
      </c>
      <c r="Y3428" t="str">
        <f>IF(Table2[[#This Row],[Column1]]&gt;50%,"HIGH DISCOUNT","LOW DISCOUNT")</f>
        <v>LOW DISCOUNT</v>
      </c>
    </row>
    <row r="3429" spans="1:25" x14ac:dyDescent="0.25">
      <c r="A3429" s="2" t="s">
        <v>7096</v>
      </c>
      <c r="B3429" s="2">
        <v>11359078</v>
      </c>
      <c r="C3429" s="2" t="s">
        <v>169</v>
      </c>
      <c r="D3429" s="2" t="s">
        <v>15</v>
      </c>
      <c r="E3429" s="2" t="s">
        <v>16</v>
      </c>
      <c r="F3429" s="2" t="s">
        <v>17</v>
      </c>
      <c r="G3429" s="2" t="s">
        <v>7097</v>
      </c>
      <c r="H3429">
        <v>1399</v>
      </c>
      <c r="I3429" s="2">
        <v>2799</v>
      </c>
      <c r="J3429" s="2" t="s">
        <v>84</v>
      </c>
      <c r="K3429" s="2" t="s">
        <v>171</v>
      </c>
      <c r="L3429" s="2">
        <v>4.3</v>
      </c>
      <c r="M3429" s="2">
        <v>568</v>
      </c>
      <c r="P3429" t="str">
        <f t="shared" si="215"/>
        <v>50%</v>
      </c>
      <c r="Q3429" s="12">
        <f t="shared" si="212"/>
        <v>0.5</v>
      </c>
      <c r="R3429" s="9">
        <f t="shared" si="213"/>
        <v>1399.5</v>
      </c>
      <c r="S3429" s="9">
        <f>IF(R3429="",AVERAGEIF(Table1[Category],Table1[[#This Row],[Category]],Table2[orignal data]),Table2[[#This Row],[orignal data]])</f>
        <v>1399.5</v>
      </c>
      <c r="T3429" t="str">
        <f t="shared" si="214"/>
        <v>UNIQUE</v>
      </c>
      <c r="U3429" t="str">
        <f>IF(ISBLANK(Table1[[#This Row],[SizeOption]]),"NOT AVAILABLE",Table1[[#This Row],[SizeOption]])</f>
        <v>28, 30, 32, 34, 36, 38</v>
      </c>
      <c r="Y3429" t="str">
        <f>IF(Table2[[#This Row],[Column1]]&gt;50%,"HIGH DISCOUNT","LOW DISCOUNT")</f>
        <v>LOW DISCOUNT</v>
      </c>
    </row>
    <row r="3430" spans="1:25" x14ac:dyDescent="0.25">
      <c r="A3430" s="1" t="s">
        <v>7098</v>
      </c>
      <c r="B3430" s="1">
        <v>10238687</v>
      </c>
      <c r="C3430" s="1" t="s">
        <v>169</v>
      </c>
      <c r="D3430" s="1" t="s">
        <v>15</v>
      </c>
      <c r="E3430" s="1" t="s">
        <v>53</v>
      </c>
      <c r="F3430" s="1" t="s">
        <v>17</v>
      </c>
      <c r="G3430" s="1" t="s">
        <v>7099</v>
      </c>
      <c r="H3430">
        <v>1099</v>
      </c>
      <c r="I3430" s="1">
        <v>2199</v>
      </c>
      <c r="J3430" s="1" t="s">
        <v>84</v>
      </c>
      <c r="K3430" s="1" t="s">
        <v>171</v>
      </c>
      <c r="L3430" s="1">
        <v>4</v>
      </c>
      <c r="M3430" s="1">
        <v>568</v>
      </c>
      <c r="P3430" t="str">
        <f t="shared" si="215"/>
        <v>50%</v>
      </c>
      <c r="Q3430" s="12">
        <f t="shared" si="212"/>
        <v>0.5</v>
      </c>
      <c r="R3430" s="9">
        <f t="shared" si="213"/>
        <v>1099.5</v>
      </c>
      <c r="S3430" s="9">
        <f>IF(R3430="",AVERAGEIF(Table1[Category],Table1[[#This Row],[Category]],Table2[orignal data]),Table2[[#This Row],[orignal data]])</f>
        <v>1099.5</v>
      </c>
      <c r="T3430" t="str">
        <f t="shared" si="214"/>
        <v>UNIQUE</v>
      </c>
      <c r="U3430" t="str">
        <f>IF(ISBLANK(Table1[[#This Row],[SizeOption]]),"NOT AVAILABLE",Table1[[#This Row],[SizeOption]])</f>
        <v>28, 30, 32, 34, 36, 38</v>
      </c>
      <c r="Y3430" t="str">
        <f>IF(Table2[[#This Row],[Column1]]&gt;50%,"HIGH DISCOUNT","LOW DISCOUNT")</f>
        <v>LOW DISCOUNT</v>
      </c>
    </row>
    <row r="3431" spans="1:25" x14ac:dyDescent="0.25">
      <c r="A3431" s="2" t="s">
        <v>7100</v>
      </c>
      <c r="B3431" s="2">
        <v>10307959</v>
      </c>
      <c r="C3431" s="2" t="s">
        <v>113</v>
      </c>
      <c r="D3431" s="2" t="s">
        <v>76</v>
      </c>
      <c r="E3431" s="2" t="s">
        <v>93</v>
      </c>
      <c r="F3431" s="2" t="s">
        <v>17</v>
      </c>
      <c r="G3431" s="2" t="s">
        <v>7101</v>
      </c>
      <c r="H3431">
        <v>649</v>
      </c>
      <c r="I3431" s="2">
        <v>1299</v>
      </c>
      <c r="J3431" s="2" t="s">
        <v>84</v>
      </c>
      <c r="K3431" s="2" t="s">
        <v>39</v>
      </c>
      <c r="L3431" s="2">
        <v>4.2</v>
      </c>
      <c r="M3431" s="2">
        <v>568</v>
      </c>
      <c r="P3431" t="str">
        <f t="shared" si="215"/>
        <v>50%</v>
      </c>
      <c r="Q3431" s="12">
        <f t="shared" si="212"/>
        <v>0.5</v>
      </c>
      <c r="R3431" s="9">
        <f t="shared" si="213"/>
        <v>649.5</v>
      </c>
      <c r="S3431" s="9">
        <f>IF(R3431="",AVERAGEIF(Table1[Category],Table1[[#This Row],[Category]],Table2[orignal data]),Table2[[#This Row],[orignal data]])</f>
        <v>649.5</v>
      </c>
      <c r="T3431" t="str">
        <f t="shared" si="214"/>
        <v>UNIQUE</v>
      </c>
      <c r="U3431" t="str">
        <f>IF(ISBLANK(Table1[[#This Row],[SizeOption]]),"NOT AVAILABLE",Table1[[#This Row],[SizeOption]])</f>
        <v>S, M, L, XL, XXL</v>
      </c>
      <c r="Y3431" t="str">
        <f>IF(Table2[[#This Row],[Column1]]&gt;50%,"HIGH DISCOUNT","LOW DISCOUNT")</f>
        <v>LOW DISCOUNT</v>
      </c>
    </row>
    <row r="3432" spans="1:25" x14ac:dyDescent="0.25">
      <c r="A3432" s="1" t="s">
        <v>7102</v>
      </c>
      <c r="B3432" s="1">
        <v>11350320</v>
      </c>
      <c r="C3432" s="1" t="s">
        <v>201</v>
      </c>
      <c r="D3432" s="1" t="s">
        <v>28</v>
      </c>
      <c r="E3432" s="1" t="s">
        <v>29</v>
      </c>
      <c r="F3432" s="1" t="s">
        <v>17</v>
      </c>
      <c r="G3432" s="1" t="s">
        <v>7103</v>
      </c>
      <c r="H3432">
        <v>924</v>
      </c>
      <c r="I3432" s="1">
        <v>1849</v>
      </c>
      <c r="J3432" s="1" t="s">
        <v>84</v>
      </c>
      <c r="K3432" s="1" t="s">
        <v>361</v>
      </c>
      <c r="L3432" s="1">
        <v>4.2</v>
      </c>
      <c r="M3432" s="1">
        <v>568</v>
      </c>
      <c r="P3432" t="str">
        <f t="shared" si="215"/>
        <v>50%</v>
      </c>
      <c r="Q3432" s="12">
        <f t="shared" si="212"/>
        <v>0.5</v>
      </c>
      <c r="R3432" s="9">
        <f t="shared" si="213"/>
        <v>924.5</v>
      </c>
      <c r="S3432" s="9">
        <f>IF(R3432="",AVERAGEIF(Table1[Category],Table1[[#This Row],[Category]],Table2[orignal data]),Table2[[#This Row],[orignal data]])</f>
        <v>924.5</v>
      </c>
      <c r="T3432" t="str">
        <f t="shared" si="214"/>
        <v>UNIQUE</v>
      </c>
      <c r="U3432" t="str">
        <f>IF(ISBLANK(Table1[[#This Row],[SizeOption]]),"NOT AVAILABLE",Table1[[#This Row],[SizeOption]])</f>
        <v>38, 40, 42, 44, 46</v>
      </c>
      <c r="Y3432" t="str">
        <f>IF(Table2[[#This Row],[Column1]]&gt;50%,"HIGH DISCOUNT","LOW DISCOUNT")</f>
        <v>LOW DISCOUNT</v>
      </c>
    </row>
    <row r="3433" spans="1:25" x14ac:dyDescent="0.25">
      <c r="A3433" s="2" t="s">
        <v>7104</v>
      </c>
      <c r="B3433" s="2">
        <v>9376197</v>
      </c>
      <c r="C3433" s="2" t="s">
        <v>64</v>
      </c>
      <c r="D3433" s="2" t="s">
        <v>28</v>
      </c>
      <c r="E3433" s="2" t="s">
        <v>42</v>
      </c>
      <c r="F3433" s="2" t="s">
        <v>17</v>
      </c>
      <c r="G3433" s="2" t="s">
        <v>7105</v>
      </c>
      <c r="H3433">
        <v>209</v>
      </c>
      <c r="I3433" s="2">
        <v>599</v>
      </c>
      <c r="J3433" s="2" t="s">
        <v>150</v>
      </c>
      <c r="K3433" s="2" t="s">
        <v>39</v>
      </c>
      <c r="L3433" s="2">
        <v>4.3</v>
      </c>
      <c r="M3433" s="2">
        <v>568</v>
      </c>
      <c r="P3433" t="str">
        <f t="shared" si="215"/>
        <v>65%</v>
      </c>
      <c r="Q3433" s="12">
        <f t="shared" si="212"/>
        <v>0.65</v>
      </c>
      <c r="R3433" s="9">
        <f t="shared" si="213"/>
        <v>209.64999999999998</v>
      </c>
      <c r="S3433" s="9">
        <f>IF(R3433="",AVERAGEIF(Table1[Category],Table1[[#This Row],[Category]],Table2[orignal data]),Table2[[#This Row],[orignal data]])</f>
        <v>209.64999999999998</v>
      </c>
      <c r="T3433" t="str">
        <f t="shared" si="214"/>
        <v>UNIQUE</v>
      </c>
      <c r="U3433" t="str">
        <f>IF(ISBLANK(Table1[[#This Row],[SizeOption]]),"NOT AVAILABLE",Table1[[#This Row],[SizeOption]])</f>
        <v>S, M, L, XL, XXL</v>
      </c>
      <c r="Y3433" t="str">
        <f>IF(Table2[[#This Row],[Column1]]&gt;50%,"HIGH DISCOUNT","LOW DISCOUNT")</f>
        <v>HIGH DISCOUNT</v>
      </c>
    </row>
    <row r="3434" spans="1:25" x14ac:dyDescent="0.25">
      <c r="A3434" s="1" t="s">
        <v>7106</v>
      </c>
      <c r="B3434" s="1">
        <v>8426281</v>
      </c>
      <c r="C3434" s="1" t="s">
        <v>169</v>
      </c>
      <c r="D3434" s="1" t="s">
        <v>28</v>
      </c>
      <c r="E3434" s="1" t="s">
        <v>42</v>
      </c>
      <c r="F3434" s="1" t="s">
        <v>17</v>
      </c>
      <c r="G3434" s="1" t="s">
        <v>7107</v>
      </c>
      <c r="H3434">
        <v>449</v>
      </c>
      <c r="I3434" s="1">
        <v>899</v>
      </c>
      <c r="J3434" s="1" t="s">
        <v>84</v>
      </c>
      <c r="K3434" s="1" t="s">
        <v>39</v>
      </c>
      <c r="L3434" s="1">
        <v>4.0999999999999996</v>
      </c>
      <c r="M3434" s="1">
        <v>568</v>
      </c>
      <c r="P3434" t="str">
        <f t="shared" si="215"/>
        <v>50%</v>
      </c>
      <c r="Q3434" s="12">
        <f t="shared" si="212"/>
        <v>0.5</v>
      </c>
      <c r="R3434" s="9">
        <f t="shared" si="213"/>
        <v>449.5</v>
      </c>
      <c r="S3434" s="9">
        <f>IF(R3434="",AVERAGEIF(Table1[Category],Table1[[#This Row],[Category]],Table2[orignal data]),Table2[[#This Row],[orignal data]])</f>
        <v>449.5</v>
      </c>
      <c r="T3434" t="str">
        <f t="shared" si="214"/>
        <v>UNIQUE</v>
      </c>
      <c r="U3434" t="str">
        <f>IF(ISBLANK(Table1[[#This Row],[SizeOption]]),"NOT AVAILABLE",Table1[[#This Row],[SizeOption]])</f>
        <v>S, M, L, XL, XXL</v>
      </c>
      <c r="Y3434" t="str">
        <f>IF(Table2[[#This Row],[Column1]]&gt;50%,"HIGH DISCOUNT","LOW DISCOUNT")</f>
        <v>LOW DISCOUNT</v>
      </c>
    </row>
    <row r="3435" spans="1:25" x14ac:dyDescent="0.25">
      <c r="A3435" s="2" t="s">
        <v>7108</v>
      </c>
      <c r="B3435" s="2">
        <v>14932070</v>
      </c>
      <c r="C3435" s="2" t="s">
        <v>277</v>
      </c>
      <c r="D3435" s="2" t="s">
        <v>76</v>
      </c>
      <c r="E3435" s="2" t="s">
        <v>93</v>
      </c>
      <c r="F3435" s="2" t="s">
        <v>36</v>
      </c>
      <c r="G3435" s="2" t="s">
        <v>7109</v>
      </c>
      <c r="H3435">
        <v>971</v>
      </c>
      <c r="I3435" s="2">
        <v>3599</v>
      </c>
      <c r="J3435" s="2" t="s">
        <v>735</v>
      </c>
      <c r="K3435" s="2" t="s">
        <v>39</v>
      </c>
      <c r="L3435" s="2">
        <v>4.3</v>
      </c>
      <c r="M3435" s="2">
        <v>568</v>
      </c>
      <c r="P3435" t="str">
        <f t="shared" si="215"/>
        <v>73%</v>
      </c>
      <c r="Q3435" s="12">
        <f t="shared" si="212"/>
        <v>0.73</v>
      </c>
      <c r="R3435" s="9">
        <f t="shared" si="213"/>
        <v>971.73</v>
      </c>
      <c r="S3435" s="9">
        <f>IF(R3435="",AVERAGEIF(Table1[Category],Table1[[#This Row],[Category]],Table2[orignal data]),Table2[[#This Row],[orignal data]])</f>
        <v>971.73</v>
      </c>
      <c r="T3435" t="str">
        <f t="shared" si="214"/>
        <v>UNIQUE</v>
      </c>
      <c r="U3435" t="str">
        <f>IF(ISBLANK(Table1[[#This Row],[SizeOption]]),"NOT AVAILABLE",Table1[[#This Row],[SizeOption]])</f>
        <v>S, M, L, XL, XXL</v>
      </c>
      <c r="Y3435" t="str">
        <f>IF(Table2[[#This Row],[Column1]]&gt;50%,"HIGH DISCOUNT","LOW DISCOUNT")</f>
        <v>HIGH DISCOUNT</v>
      </c>
    </row>
    <row r="3436" spans="1:25" x14ac:dyDescent="0.25">
      <c r="A3436" s="1" t="s">
        <v>7110</v>
      </c>
      <c r="B3436" s="1">
        <v>10327159</v>
      </c>
      <c r="C3436" s="1" t="s">
        <v>6604</v>
      </c>
      <c r="D3436" s="1" t="s">
        <v>34</v>
      </c>
      <c r="E3436" s="1" t="s">
        <v>118</v>
      </c>
      <c r="F3436" s="1" t="s">
        <v>36</v>
      </c>
      <c r="G3436" s="1" t="s">
        <v>7111</v>
      </c>
      <c r="H3436">
        <v>329</v>
      </c>
      <c r="I3436" s="1">
        <v>599</v>
      </c>
      <c r="J3436" s="1" t="s">
        <v>19</v>
      </c>
      <c r="K3436" s="1" t="s">
        <v>6606</v>
      </c>
      <c r="L3436" s="1">
        <v>3.9</v>
      </c>
      <c r="M3436" s="1">
        <v>568</v>
      </c>
      <c r="P3436" t="str">
        <f t="shared" si="215"/>
        <v>45%</v>
      </c>
      <c r="Q3436" s="12">
        <f t="shared" si="212"/>
        <v>0.45</v>
      </c>
      <c r="R3436" s="9">
        <f t="shared" si="213"/>
        <v>329.45</v>
      </c>
      <c r="S3436" s="9">
        <f>IF(R3436="",AVERAGEIF(Table1[Category],Table1[[#This Row],[Category]],Table2[orignal data]),Table2[[#This Row],[orignal data]])</f>
        <v>329.45</v>
      </c>
      <c r="T3436" t="str">
        <f t="shared" si="214"/>
        <v>UNIQUE</v>
      </c>
      <c r="U3436" t="str">
        <f>IF(ISBLANK(Table1[[#This Row],[SizeOption]]),"NOT AVAILABLE",Table1[[#This Row],[SizeOption]])</f>
        <v>XS, S, M</v>
      </c>
      <c r="Y3436" t="str">
        <f>IF(Table2[[#This Row],[Column1]]&gt;50%,"HIGH DISCOUNT","LOW DISCOUNT")</f>
        <v>LOW DISCOUNT</v>
      </c>
    </row>
    <row r="3437" spans="1:25" x14ac:dyDescent="0.25">
      <c r="A3437" s="2" t="s">
        <v>7112</v>
      </c>
      <c r="B3437" s="2">
        <v>1986773</v>
      </c>
      <c r="C3437" s="2" t="s">
        <v>64</v>
      </c>
      <c r="D3437" s="2" t="s">
        <v>98</v>
      </c>
      <c r="E3437" s="2" t="s">
        <v>93</v>
      </c>
      <c r="F3437" s="2" t="s">
        <v>36</v>
      </c>
      <c r="G3437" s="2" t="s">
        <v>7113</v>
      </c>
      <c r="H3437">
        <v>799</v>
      </c>
      <c r="I3437" s="2">
        <v>1999</v>
      </c>
      <c r="J3437" s="2" t="s">
        <v>55</v>
      </c>
      <c r="K3437" s="2" t="s">
        <v>234</v>
      </c>
      <c r="L3437" s="2">
        <v>4.0999999999999996</v>
      </c>
      <c r="M3437" s="2">
        <v>568</v>
      </c>
      <c r="P3437" t="str">
        <f t="shared" si="215"/>
        <v>60%</v>
      </c>
      <c r="Q3437" s="12">
        <f t="shared" si="212"/>
        <v>0.6</v>
      </c>
      <c r="R3437" s="9">
        <f t="shared" si="213"/>
        <v>799.60000000000014</v>
      </c>
      <c r="S3437" s="9">
        <f>IF(R3437="",AVERAGEIF(Table1[Category],Table1[[#This Row],[Category]],Table2[orignal data]),Table2[[#This Row],[orignal data]])</f>
        <v>799.60000000000014</v>
      </c>
      <c r="T3437" t="str">
        <f t="shared" si="214"/>
        <v>UNIQUE</v>
      </c>
      <c r="U3437" t="str">
        <f>IF(ISBLANK(Table1[[#This Row],[SizeOption]]),"NOT AVAILABLE",Table1[[#This Row],[SizeOption]])</f>
        <v>S, M, L, XL, XXL, 3XL</v>
      </c>
      <c r="Y3437" t="str">
        <f>IF(Table2[[#This Row],[Column1]]&gt;50%,"HIGH DISCOUNT","LOW DISCOUNT")</f>
        <v>HIGH DISCOUNT</v>
      </c>
    </row>
    <row r="3438" spans="1:25" x14ac:dyDescent="0.25">
      <c r="A3438" s="1" t="s">
        <v>7114</v>
      </c>
      <c r="B3438" s="1">
        <v>17385554</v>
      </c>
      <c r="C3438" s="1" t="s">
        <v>14</v>
      </c>
      <c r="D3438" s="1" t="s">
        <v>41</v>
      </c>
      <c r="E3438" s="1" t="s">
        <v>42</v>
      </c>
      <c r="F3438" s="1" t="s">
        <v>36</v>
      </c>
      <c r="G3438" s="1" t="s">
        <v>1988</v>
      </c>
      <c r="I3438" s="1">
        <v>1398</v>
      </c>
      <c r="J3438" s="1" t="s">
        <v>84</v>
      </c>
      <c r="K3438" s="1" t="s">
        <v>45</v>
      </c>
      <c r="L3438" s="1">
        <v>4.4000000000000004</v>
      </c>
      <c r="M3438" s="1">
        <v>568</v>
      </c>
      <c r="P3438" t="str">
        <f t="shared" si="215"/>
        <v>50%</v>
      </c>
      <c r="Q3438" s="12">
        <f t="shared" si="212"/>
        <v>0.5</v>
      </c>
      <c r="R3438" s="9">
        <f t="shared" si="213"/>
        <v>699</v>
      </c>
      <c r="S3438" s="9">
        <f>IF(R3438="",AVERAGEIF(Table1[Category],Table1[[#This Row],[Category]],Table2[orignal data]),Table2[[#This Row],[orignal data]])</f>
        <v>699</v>
      </c>
      <c r="T3438" t="str">
        <f t="shared" si="214"/>
        <v>UNIQUE</v>
      </c>
      <c r="U3438" t="str">
        <f>IF(ISBLANK(Table1[[#This Row],[SizeOption]]),"NOT AVAILABLE",Table1[[#This Row],[SizeOption]])</f>
        <v>XS, S, M, L, XL</v>
      </c>
      <c r="Y3438" t="str">
        <f>IF(Table2[[#This Row],[Column1]]&gt;50%,"HIGH DISCOUNT","LOW DISCOUNT")</f>
        <v>LOW DISCOUNT</v>
      </c>
    </row>
    <row r="3439" spans="1:25" x14ac:dyDescent="0.25">
      <c r="A3439" s="2" t="s">
        <v>7115</v>
      </c>
      <c r="B3439" s="2">
        <v>4608884</v>
      </c>
      <c r="C3439" s="2" t="s">
        <v>14</v>
      </c>
      <c r="D3439" s="2" t="s">
        <v>41</v>
      </c>
      <c r="E3439" s="2" t="s">
        <v>16</v>
      </c>
      <c r="F3439" s="2" t="s">
        <v>36</v>
      </c>
      <c r="G3439" s="2" t="s">
        <v>751</v>
      </c>
      <c r="I3439" s="2">
        <v>1599</v>
      </c>
      <c r="J3439" s="2" t="s">
        <v>84</v>
      </c>
      <c r="K3439" s="2" t="s">
        <v>134</v>
      </c>
      <c r="L3439" s="2">
        <v>3.8</v>
      </c>
      <c r="M3439" s="2">
        <v>568</v>
      </c>
      <c r="P3439" t="str">
        <f t="shared" si="215"/>
        <v>50%</v>
      </c>
      <c r="Q3439" s="12">
        <f t="shared" si="212"/>
        <v>0.5</v>
      </c>
      <c r="R3439" s="9">
        <f t="shared" si="213"/>
        <v>799.5</v>
      </c>
      <c r="S3439" s="9">
        <f>IF(R3439="",AVERAGEIF(Table1[Category],Table1[[#This Row],[Category]],Table2[orignal data]),Table2[[#This Row],[orignal data]])</f>
        <v>799.5</v>
      </c>
      <c r="T3439" t="str">
        <f t="shared" si="214"/>
        <v>UNIQUE</v>
      </c>
      <c r="U3439" t="str">
        <f>IF(ISBLANK(Table1[[#This Row],[SizeOption]]),"NOT AVAILABLE",Table1[[#This Row],[SizeOption]])</f>
        <v>26, 28, 30, 32, 34, 36</v>
      </c>
      <c r="Y3439" t="str">
        <f>IF(Table2[[#This Row],[Column1]]&gt;50%,"HIGH DISCOUNT","LOW DISCOUNT")</f>
        <v>LOW DISCOUNT</v>
      </c>
    </row>
    <row r="3440" spans="1:25" x14ac:dyDescent="0.25">
      <c r="A3440" s="1" t="s">
        <v>7116</v>
      </c>
      <c r="B3440" s="1">
        <v>10861804</v>
      </c>
      <c r="C3440" s="1" t="s">
        <v>794</v>
      </c>
      <c r="D3440" s="1" t="s">
        <v>197</v>
      </c>
      <c r="E3440" s="1" t="s">
        <v>518</v>
      </c>
      <c r="F3440" s="1" t="s">
        <v>17</v>
      </c>
      <c r="G3440" s="1" t="s">
        <v>7117</v>
      </c>
      <c r="H3440">
        <v>1139</v>
      </c>
      <c r="I3440" s="1">
        <v>1199</v>
      </c>
      <c r="J3440" s="1" t="s">
        <v>764</v>
      </c>
      <c r="K3440" s="1" t="s">
        <v>39</v>
      </c>
      <c r="L3440" s="1">
        <v>4.5</v>
      </c>
      <c r="M3440" s="1">
        <v>567</v>
      </c>
      <c r="P3440" t="str">
        <f t="shared" si="215"/>
        <v>5%</v>
      </c>
      <c r="Q3440" s="12">
        <f t="shared" si="212"/>
        <v>0.05</v>
      </c>
      <c r="R3440" s="9">
        <f t="shared" si="213"/>
        <v>1139.05</v>
      </c>
      <c r="S3440" s="9">
        <f>IF(R3440="",AVERAGEIF(Table1[Category],Table1[[#This Row],[Category]],Table2[orignal data]),Table2[[#This Row],[orignal data]])</f>
        <v>1139.05</v>
      </c>
      <c r="T3440" t="str">
        <f t="shared" si="214"/>
        <v>UNIQUE</v>
      </c>
      <c r="U3440" t="str">
        <f>IF(ISBLANK(Table1[[#This Row],[SizeOption]]),"NOT AVAILABLE",Table1[[#This Row],[SizeOption]])</f>
        <v>S, M, L, XL, XXL</v>
      </c>
      <c r="Y3440" t="str">
        <f>IF(Table2[[#This Row],[Column1]]&gt;50%,"HIGH DISCOUNT","LOW DISCOUNT")</f>
        <v>LOW DISCOUNT</v>
      </c>
    </row>
    <row r="3441" spans="1:25" x14ac:dyDescent="0.25">
      <c r="A3441" s="2" t="s">
        <v>7118</v>
      </c>
      <c r="B3441" s="2">
        <v>2127879</v>
      </c>
      <c r="C3441" s="2" t="s">
        <v>14</v>
      </c>
      <c r="D3441" s="2" t="s">
        <v>28</v>
      </c>
      <c r="E3441" s="2" t="s">
        <v>29</v>
      </c>
      <c r="F3441" s="2" t="s">
        <v>17</v>
      </c>
      <c r="G3441" s="2" t="s">
        <v>7119</v>
      </c>
      <c r="H3441">
        <v>584</v>
      </c>
      <c r="I3441" s="2">
        <v>1299</v>
      </c>
      <c r="J3441" s="2" t="s">
        <v>25</v>
      </c>
      <c r="K3441" s="2" t="s">
        <v>253</v>
      </c>
      <c r="L3441" s="2">
        <v>4.0999999999999996</v>
      </c>
      <c r="M3441" s="2">
        <v>567</v>
      </c>
      <c r="P3441" t="str">
        <f t="shared" si="215"/>
        <v>55%</v>
      </c>
      <c r="Q3441" s="12">
        <f t="shared" si="212"/>
        <v>0.55000000000000004</v>
      </c>
      <c r="R3441" s="9">
        <f t="shared" si="213"/>
        <v>584.54999999999995</v>
      </c>
      <c r="S3441" s="9">
        <f>IF(R3441="",AVERAGEIF(Table1[Category],Table1[[#This Row],[Category]],Table2[orignal data]),Table2[[#This Row],[orignal data]])</f>
        <v>584.54999999999995</v>
      </c>
      <c r="T3441" t="str">
        <f t="shared" si="214"/>
        <v>UNIQUE</v>
      </c>
      <c r="U3441" t="str">
        <f>IF(ISBLANK(Table1[[#This Row],[SizeOption]]),"NOT AVAILABLE",Table1[[#This Row],[SizeOption]])</f>
        <v>38, 40, 42, 44</v>
      </c>
      <c r="Y3441" t="str">
        <f>IF(Table2[[#This Row],[Column1]]&gt;50%,"HIGH DISCOUNT","LOW DISCOUNT")</f>
        <v>HIGH DISCOUNT</v>
      </c>
    </row>
    <row r="3442" spans="1:25" x14ac:dyDescent="0.25">
      <c r="A3442" s="1" t="s">
        <v>7120</v>
      </c>
      <c r="B3442" s="1">
        <v>1155791</v>
      </c>
      <c r="C3442" s="1" t="s">
        <v>346</v>
      </c>
      <c r="D3442" s="1" t="s">
        <v>28</v>
      </c>
      <c r="E3442" s="1" t="s">
        <v>29</v>
      </c>
      <c r="F3442" s="1" t="s">
        <v>17</v>
      </c>
      <c r="G3442" s="1" t="s">
        <v>7121</v>
      </c>
      <c r="H3442">
        <v>674</v>
      </c>
      <c r="I3442" s="1">
        <v>1499</v>
      </c>
      <c r="J3442" s="1" t="s">
        <v>25</v>
      </c>
      <c r="K3442" s="1" t="s">
        <v>253</v>
      </c>
      <c r="L3442" s="1">
        <v>4</v>
      </c>
      <c r="M3442" s="1">
        <v>567</v>
      </c>
      <c r="P3442" t="str">
        <f t="shared" si="215"/>
        <v>55%</v>
      </c>
      <c r="Q3442" s="12">
        <f t="shared" si="212"/>
        <v>0.55000000000000004</v>
      </c>
      <c r="R3442" s="9">
        <f t="shared" si="213"/>
        <v>674.55</v>
      </c>
      <c r="S3442" s="9">
        <f>IF(R3442="",AVERAGEIF(Table1[Category],Table1[[#This Row],[Category]],Table2[orignal data]),Table2[[#This Row],[orignal data]])</f>
        <v>674.55</v>
      </c>
      <c r="T3442" t="str">
        <f t="shared" si="214"/>
        <v>UNIQUE</v>
      </c>
      <c r="U3442" t="str">
        <f>IF(ISBLANK(Table1[[#This Row],[SizeOption]]),"NOT AVAILABLE",Table1[[#This Row],[SizeOption]])</f>
        <v>38, 40, 42, 44</v>
      </c>
      <c r="Y3442" t="str">
        <f>IF(Table2[[#This Row],[Column1]]&gt;50%,"HIGH DISCOUNT","LOW DISCOUNT")</f>
        <v>HIGH DISCOUNT</v>
      </c>
    </row>
    <row r="3443" spans="1:25" x14ac:dyDescent="0.25">
      <c r="A3443" s="2" t="s">
        <v>7122</v>
      </c>
      <c r="B3443" s="2">
        <v>13481976</v>
      </c>
      <c r="C3443" s="2" t="s">
        <v>92</v>
      </c>
      <c r="D3443" s="2" t="s">
        <v>76</v>
      </c>
      <c r="E3443" s="2" t="s">
        <v>93</v>
      </c>
      <c r="F3443" s="2" t="s">
        <v>36</v>
      </c>
      <c r="G3443" s="2" t="s">
        <v>7123</v>
      </c>
      <c r="H3443">
        <v>428</v>
      </c>
      <c r="I3443" s="2">
        <v>1099</v>
      </c>
      <c r="J3443" s="2" t="s">
        <v>104</v>
      </c>
      <c r="K3443" s="2" t="s">
        <v>39</v>
      </c>
      <c r="L3443" s="2">
        <v>4.2</v>
      </c>
      <c r="M3443" s="2">
        <v>567</v>
      </c>
      <c r="P3443" t="str">
        <f t="shared" si="215"/>
        <v>61%</v>
      </c>
      <c r="Q3443" s="12">
        <f t="shared" si="212"/>
        <v>0.61</v>
      </c>
      <c r="R3443" s="9">
        <f t="shared" si="213"/>
        <v>428.61</v>
      </c>
      <c r="S3443" s="9">
        <f>IF(R3443="",AVERAGEIF(Table1[Category],Table1[[#This Row],[Category]],Table2[orignal data]),Table2[[#This Row],[orignal data]])</f>
        <v>428.61</v>
      </c>
      <c r="T3443" t="str">
        <f t="shared" si="214"/>
        <v>UNIQUE</v>
      </c>
      <c r="U3443" t="str">
        <f>IF(ISBLANK(Table1[[#This Row],[SizeOption]]),"NOT AVAILABLE",Table1[[#This Row],[SizeOption]])</f>
        <v>S, M, L, XL, XXL</v>
      </c>
      <c r="Y3443" t="str">
        <f>IF(Table2[[#This Row],[Column1]]&gt;50%,"HIGH DISCOUNT","LOW DISCOUNT")</f>
        <v>HIGH DISCOUNT</v>
      </c>
    </row>
    <row r="3444" spans="1:25" x14ac:dyDescent="0.25">
      <c r="A3444" s="1" t="s">
        <v>7124</v>
      </c>
      <c r="B3444" s="1">
        <v>12092592</v>
      </c>
      <c r="C3444" s="1" t="s">
        <v>7125</v>
      </c>
      <c r="D3444" s="1" t="s">
        <v>76</v>
      </c>
      <c r="E3444" s="1" t="s">
        <v>320</v>
      </c>
      <c r="F3444" s="1" t="s">
        <v>36</v>
      </c>
      <c r="G3444" s="1" t="s">
        <v>7126</v>
      </c>
      <c r="H3444">
        <v>1007</v>
      </c>
      <c r="I3444" s="1">
        <v>3599</v>
      </c>
      <c r="J3444" s="1" t="s">
        <v>1377</v>
      </c>
      <c r="K3444" s="1" t="s">
        <v>164</v>
      </c>
      <c r="L3444" s="1">
        <v>4</v>
      </c>
      <c r="M3444" s="1">
        <v>567</v>
      </c>
      <c r="P3444" t="str">
        <f t="shared" si="215"/>
        <v>72%</v>
      </c>
      <c r="Q3444" s="12">
        <f t="shared" si="212"/>
        <v>0.72</v>
      </c>
      <c r="R3444" s="9">
        <f t="shared" si="213"/>
        <v>1007.7200000000003</v>
      </c>
      <c r="S3444" s="9">
        <f>IF(R3444="",AVERAGEIF(Table1[Category],Table1[[#This Row],[Category]],Table2[orignal data]),Table2[[#This Row],[orignal data]])</f>
        <v>1007.7200000000003</v>
      </c>
      <c r="T3444" t="str">
        <f t="shared" si="214"/>
        <v>UNIQUE</v>
      </c>
      <c r="U3444" t="str">
        <f>IF(ISBLANK(Table1[[#This Row],[SizeOption]]),"NOT AVAILABLE",Table1[[#This Row],[SizeOption]])</f>
        <v>Onesize</v>
      </c>
      <c r="Y3444" t="str">
        <f>IF(Table2[[#This Row],[Column1]]&gt;50%,"HIGH DISCOUNT","LOW DISCOUNT")</f>
        <v>HIGH DISCOUNT</v>
      </c>
    </row>
    <row r="3445" spans="1:25" x14ac:dyDescent="0.25">
      <c r="A3445" s="2" t="s">
        <v>7127</v>
      </c>
      <c r="B3445" s="2">
        <v>14399798</v>
      </c>
      <c r="C3445" s="2" t="s">
        <v>113</v>
      </c>
      <c r="D3445" s="2" t="s">
        <v>76</v>
      </c>
      <c r="E3445" s="2" t="s">
        <v>77</v>
      </c>
      <c r="F3445" s="2" t="s">
        <v>36</v>
      </c>
      <c r="G3445" s="2" t="s">
        <v>7128</v>
      </c>
      <c r="H3445">
        <v>1709</v>
      </c>
      <c r="I3445" s="2">
        <v>3799</v>
      </c>
      <c r="J3445" s="2" t="s">
        <v>25</v>
      </c>
      <c r="K3445" s="2" t="s">
        <v>115</v>
      </c>
      <c r="L3445" s="2">
        <v>4.2</v>
      </c>
      <c r="M3445" s="2">
        <v>567</v>
      </c>
      <c r="P3445" t="str">
        <f t="shared" si="215"/>
        <v>55%</v>
      </c>
      <c r="Q3445" s="12">
        <f t="shared" si="212"/>
        <v>0.55000000000000004</v>
      </c>
      <c r="R3445" s="9">
        <f t="shared" si="213"/>
        <v>1709.5499999999997</v>
      </c>
      <c r="S3445" s="9">
        <f>IF(R3445="",AVERAGEIF(Table1[Category],Table1[[#This Row],[Category]],Table2[orignal data]),Table2[[#This Row],[orignal data]])</f>
        <v>1709.5499999999997</v>
      </c>
      <c r="T3445" t="str">
        <f t="shared" si="214"/>
        <v>UNIQUE</v>
      </c>
      <c r="U3445" t="str">
        <f>IF(ISBLANK(Table1[[#This Row],[SizeOption]]),"NOT AVAILABLE",Table1[[#This Row],[SizeOption]])</f>
        <v>XS, S, M, L, XL, XXL</v>
      </c>
      <c r="Y3445" t="str">
        <f>IF(Table2[[#This Row],[Column1]]&gt;50%,"HIGH DISCOUNT","LOW DISCOUNT")</f>
        <v>HIGH DISCOUNT</v>
      </c>
    </row>
    <row r="3446" spans="1:25" x14ac:dyDescent="0.25">
      <c r="A3446" s="1" t="s">
        <v>7129</v>
      </c>
      <c r="B3446" s="1">
        <v>10193867</v>
      </c>
      <c r="C3446" s="1" t="s">
        <v>779</v>
      </c>
      <c r="D3446" s="1" t="s">
        <v>34</v>
      </c>
      <c r="E3446" s="1" t="s">
        <v>296</v>
      </c>
      <c r="F3446" s="1" t="s">
        <v>36</v>
      </c>
      <c r="G3446" s="1" t="s">
        <v>7130</v>
      </c>
      <c r="I3446" s="1">
        <v>699</v>
      </c>
      <c r="J3446" s="1"/>
      <c r="K3446" s="1" t="s">
        <v>39</v>
      </c>
      <c r="L3446" s="1">
        <v>4.3</v>
      </c>
      <c r="M3446" s="1">
        <v>567</v>
      </c>
      <c r="P3446" t="str">
        <f t="shared" si="215"/>
        <v/>
      </c>
      <c r="Q3446" s="12" t="str">
        <f t="shared" si="212"/>
        <v/>
      </c>
      <c r="R3446" s="9" t="str">
        <f t="shared" si="213"/>
        <v/>
      </c>
      <c r="S3446" s="9">
        <f>IF(R3446="",AVERAGEIF(Table1[Category],Table1[[#This Row],[Category]],Table2[orignal data]),Table2[[#This Row],[orignal data]])</f>
        <v>608.88518518518481</v>
      </c>
      <c r="T3446" t="str">
        <f t="shared" si="214"/>
        <v>UNIQUE</v>
      </c>
      <c r="U3446" t="str">
        <f>IF(ISBLANK(Table1[[#This Row],[SizeOption]]),"NOT AVAILABLE",Table1[[#This Row],[SizeOption]])</f>
        <v>S, M, L, XL, XXL</v>
      </c>
      <c r="Y3446" t="str">
        <f>IF(Table2[[#This Row],[Column1]]&gt;50%,"HIGH DISCOUNT","LOW DISCOUNT")</f>
        <v>HIGH DISCOUNT</v>
      </c>
    </row>
    <row r="3447" spans="1:25" x14ac:dyDescent="0.25">
      <c r="A3447" s="2" t="s">
        <v>7131</v>
      </c>
      <c r="B3447" s="2">
        <v>10856138</v>
      </c>
      <c r="C3447" s="2" t="s">
        <v>181</v>
      </c>
      <c r="D3447" s="2" t="s">
        <v>41</v>
      </c>
      <c r="E3447" s="2" t="s">
        <v>48</v>
      </c>
      <c r="F3447" s="2" t="s">
        <v>36</v>
      </c>
      <c r="G3447" s="2" t="s">
        <v>7132</v>
      </c>
      <c r="I3447" s="2">
        <v>1199</v>
      </c>
      <c r="J3447" s="2" t="s">
        <v>55</v>
      </c>
      <c r="K3447" s="2" t="s">
        <v>115</v>
      </c>
      <c r="L3447" s="2">
        <v>4.4000000000000004</v>
      </c>
      <c r="M3447" s="2">
        <v>567</v>
      </c>
      <c r="P3447" t="str">
        <f t="shared" si="215"/>
        <v>60%</v>
      </c>
      <c r="Q3447" s="12">
        <f t="shared" si="212"/>
        <v>0.6</v>
      </c>
      <c r="R3447" s="9">
        <f t="shared" si="213"/>
        <v>479.6</v>
      </c>
      <c r="S3447" s="9">
        <f>IF(R3447="",AVERAGEIF(Table1[Category],Table1[[#This Row],[Category]],Table2[orignal data]),Table2[[#This Row],[orignal data]])</f>
        <v>479.6</v>
      </c>
      <c r="T3447" t="str">
        <f t="shared" si="214"/>
        <v>UNIQUE</v>
      </c>
      <c r="U3447" t="str">
        <f>IF(ISBLANK(Table1[[#This Row],[SizeOption]]),"NOT AVAILABLE",Table1[[#This Row],[SizeOption]])</f>
        <v>XS, S, M, L, XL, XXL</v>
      </c>
      <c r="Y3447" t="str">
        <f>IF(Table2[[#This Row],[Column1]]&gt;50%,"HIGH DISCOUNT","LOW DISCOUNT")</f>
        <v>HIGH DISCOUNT</v>
      </c>
    </row>
    <row r="3448" spans="1:25" x14ac:dyDescent="0.25">
      <c r="A3448" s="1" t="s">
        <v>7133</v>
      </c>
      <c r="B3448" s="1">
        <v>16008634</v>
      </c>
      <c r="C3448" s="1" t="s">
        <v>461</v>
      </c>
      <c r="D3448" s="1" t="s">
        <v>41</v>
      </c>
      <c r="E3448" s="1" t="s">
        <v>48</v>
      </c>
      <c r="F3448" s="1" t="s">
        <v>36</v>
      </c>
      <c r="G3448" s="1" t="s">
        <v>7134</v>
      </c>
      <c r="I3448" s="1">
        <v>1298</v>
      </c>
      <c r="J3448" s="1" t="s">
        <v>84</v>
      </c>
      <c r="K3448" s="1" t="s">
        <v>26</v>
      </c>
      <c r="L3448" s="1">
        <v>4.4000000000000004</v>
      </c>
      <c r="M3448" s="1">
        <v>567</v>
      </c>
      <c r="P3448" t="str">
        <f t="shared" si="215"/>
        <v>50%</v>
      </c>
      <c r="Q3448" s="12">
        <f t="shared" si="212"/>
        <v>0.5</v>
      </c>
      <c r="R3448" s="9">
        <f t="shared" si="213"/>
        <v>649</v>
      </c>
      <c r="S3448" s="9">
        <f>IF(R3448="",AVERAGEIF(Table1[Category],Table1[[#This Row],[Category]],Table2[orignal data]),Table2[[#This Row],[orignal data]])</f>
        <v>649</v>
      </c>
      <c r="T3448" t="str">
        <f t="shared" si="214"/>
        <v>UNIQUE</v>
      </c>
      <c r="U3448" t="str">
        <f>IF(ISBLANK(Table1[[#This Row],[SizeOption]]),"NOT AVAILABLE",Table1[[#This Row],[SizeOption]])</f>
        <v>S, M, L, XL</v>
      </c>
      <c r="Y3448" t="str">
        <f>IF(Table2[[#This Row],[Column1]]&gt;50%,"HIGH DISCOUNT","LOW DISCOUNT")</f>
        <v>LOW DISCOUNT</v>
      </c>
    </row>
    <row r="3449" spans="1:25" x14ac:dyDescent="0.25">
      <c r="A3449" s="2" t="s">
        <v>7135</v>
      </c>
      <c r="B3449" s="2">
        <v>17524626</v>
      </c>
      <c r="C3449" s="2" t="s">
        <v>47</v>
      </c>
      <c r="D3449" s="2" t="s">
        <v>41</v>
      </c>
      <c r="E3449" s="2" t="s">
        <v>42</v>
      </c>
      <c r="F3449" s="2" t="s">
        <v>36</v>
      </c>
      <c r="G3449" s="2" t="s">
        <v>1316</v>
      </c>
      <c r="I3449" s="2">
        <v>1598</v>
      </c>
      <c r="J3449" s="2" t="s">
        <v>84</v>
      </c>
      <c r="K3449" s="2" t="s">
        <v>45</v>
      </c>
      <c r="L3449" s="2">
        <v>4.0999999999999996</v>
      </c>
      <c r="M3449" s="2">
        <v>567</v>
      </c>
      <c r="P3449" t="str">
        <f t="shared" si="215"/>
        <v>50%</v>
      </c>
      <c r="Q3449" s="12">
        <f t="shared" si="212"/>
        <v>0.5</v>
      </c>
      <c r="R3449" s="9">
        <f t="shared" si="213"/>
        <v>799</v>
      </c>
      <c r="S3449" s="9">
        <f>IF(R3449="",AVERAGEIF(Table1[Category],Table1[[#This Row],[Category]],Table2[orignal data]),Table2[[#This Row],[orignal data]])</f>
        <v>799</v>
      </c>
      <c r="T3449" t="str">
        <f t="shared" si="214"/>
        <v>UNIQUE</v>
      </c>
      <c r="U3449" t="str">
        <f>IF(ISBLANK(Table1[[#This Row],[SizeOption]]),"NOT AVAILABLE",Table1[[#This Row],[SizeOption]])</f>
        <v>XS, S, M, L, XL</v>
      </c>
      <c r="Y3449" t="str">
        <f>IF(Table2[[#This Row],[Column1]]&gt;50%,"HIGH DISCOUNT","LOW DISCOUNT")</f>
        <v>LOW DISCOUNT</v>
      </c>
    </row>
    <row r="3450" spans="1:25" x14ac:dyDescent="0.25">
      <c r="A3450" s="1" t="s">
        <v>7136</v>
      </c>
      <c r="B3450" s="1">
        <v>10359371</v>
      </c>
      <c r="C3450" s="1" t="s">
        <v>102</v>
      </c>
      <c r="D3450" s="1" t="s">
        <v>41</v>
      </c>
      <c r="E3450" s="1" t="s">
        <v>16</v>
      </c>
      <c r="F3450" s="1" t="s">
        <v>36</v>
      </c>
      <c r="G3450" s="1" t="s">
        <v>7137</v>
      </c>
      <c r="I3450" s="1">
        <v>1899</v>
      </c>
      <c r="J3450" s="1" t="s">
        <v>758</v>
      </c>
      <c r="K3450" s="1" t="s">
        <v>428</v>
      </c>
      <c r="L3450" s="1">
        <v>3.8</v>
      </c>
      <c r="M3450" s="1">
        <v>567</v>
      </c>
      <c r="P3450" t="str">
        <f t="shared" si="215"/>
        <v>47%</v>
      </c>
      <c r="Q3450" s="12">
        <f t="shared" si="212"/>
        <v>0.47</v>
      </c>
      <c r="R3450" s="9">
        <f t="shared" si="213"/>
        <v>1006.47</v>
      </c>
      <c r="S3450" s="9">
        <f>IF(R3450="",AVERAGEIF(Table1[Category],Table1[[#This Row],[Category]],Table2[orignal data]),Table2[[#This Row],[orignal data]])</f>
        <v>1006.47</v>
      </c>
      <c r="T3450" t="str">
        <f t="shared" si="214"/>
        <v>UNIQUE</v>
      </c>
      <c r="U3450" t="str">
        <f>IF(ISBLANK(Table1[[#This Row],[SizeOption]]),"NOT AVAILABLE",Table1[[#This Row],[SizeOption]])</f>
        <v>26, 28, 30, 32, 34</v>
      </c>
      <c r="Y3450" t="str">
        <f>IF(Table2[[#This Row],[Column1]]&gt;50%,"HIGH DISCOUNT","LOW DISCOUNT")</f>
        <v>LOW DISCOUNT</v>
      </c>
    </row>
    <row r="3451" spans="1:25" x14ac:dyDescent="0.25">
      <c r="A3451" s="2" t="s">
        <v>7138</v>
      </c>
      <c r="B3451" s="2">
        <v>12466180</v>
      </c>
      <c r="C3451" s="2" t="s">
        <v>107</v>
      </c>
      <c r="D3451" s="2" t="s">
        <v>41</v>
      </c>
      <c r="E3451" s="2" t="s">
        <v>16</v>
      </c>
      <c r="F3451" s="2" t="s">
        <v>36</v>
      </c>
      <c r="G3451" s="2" t="s">
        <v>7139</v>
      </c>
      <c r="I3451" s="2">
        <v>2099</v>
      </c>
      <c r="J3451" s="2" t="s">
        <v>150</v>
      </c>
      <c r="K3451" s="2" t="s">
        <v>134</v>
      </c>
      <c r="L3451" s="2">
        <v>4.3</v>
      </c>
      <c r="M3451" s="2">
        <v>567</v>
      </c>
      <c r="P3451" t="str">
        <f t="shared" si="215"/>
        <v>65%</v>
      </c>
      <c r="Q3451" s="12">
        <f t="shared" si="212"/>
        <v>0.65</v>
      </c>
      <c r="R3451" s="9">
        <f t="shared" si="213"/>
        <v>734.64999999999986</v>
      </c>
      <c r="S3451" s="9">
        <f>IF(R3451="",AVERAGEIF(Table1[Category],Table1[[#This Row],[Category]],Table2[orignal data]),Table2[[#This Row],[orignal data]])</f>
        <v>734.64999999999986</v>
      </c>
      <c r="T3451" t="str">
        <f t="shared" si="214"/>
        <v>UNIQUE</v>
      </c>
      <c r="U3451" t="str">
        <f>IF(ISBLANK(Table1[[#This Row],[SizeOption]]),"NOT AVAILABLE",Table1[[#This Row],[SizeOption]])</f>
        <v>26, 28, 30, 32, 34, 36</v>
      </c>
      <c r="Y3451" t="str">
        <f>IF(Table2[[#This Row],[Column1]]&gt;50%,"HIGH DISCOUNT","LOW DISCOUNT")</f>
        <v>HIGH DISCOUNT</v>
      </c>
    </row>
    <row r="3452" spans="1:25" x14ac:dyDescent="0.25">
      <c r="A3452" s="1" t="s">
        <v>7140</v>
      </c>
      <c r="B3452" s="1">
        <v>11011860</v>
      </c>
      <c r="C3452" s="1" t="s">
        <v>67</v>
      </c>
      <c r="D3452" s="1" t="s">
        <v>15</v>
      </c>
      <c r="E3452" s="1" t="s">
        <v>23</v>
      </c>
      <c r="F3452" s="1" t="s">
        <v>17</v>
      </c>
      <c r="G3452" s="1" t="s">
        <v>7141</v>
      </c>
      <c r="H3452">
        <v>1619</v>
      </c>
      <c r="I3452" s="1">
        <v>2699</v>
      </c>
      <c r="J3452" s="1" t="s">
        <v>50</v>
      </c>
      <c r="K3452" s="1" t="s">
        <v>39</v>
      </c>
      <c r="L3452" s="1">
        <v>3.7</v>
      </c>
      <c r="M3452" s="1">
        <v>566</v>
      </c>
      <c r="P3452" t="str">
        <f t="shared" si="215"/>
        <v>40%</v>
      </c>
      <c r="Q3452" s="12">
        <f t="shared" si="212"/>
        <v>0.4</v>
      </c>
      <c r="R3452" s="9">
        <f t="shared" si="213"/>
        <v>1619.3999999999999</v>
      </c>
      <c r="S3452" s="9">
        <f>IF(R3452="",AVERAGEIF(Table1[Category],Table1[[#This Row],[Category]],Table2[orignal data]),Table2[[#This Row],[orignal data]])</f>
        <v>1619.3999999999999</v>
      </c>
      <c r="T3452" t="str">
        <f t="shared" si="214"/>
        <v>UNIQUE</v>
      </c>
      <c r="U3452" t="str">
        <f>IF(ISBLANK(Table1[[#This Row],[SizeOption]]),"NOT AVAILABLE",Table1[[#This Row],[SizeOption]])</f>
        <v>S, M, L, XL, XXL</v>
      </c>
      <c r="Y3452" t="str">
        <f>IF(Table2[[#This Row],[Column1]]&gt;50%,"HIGH DISCOUNT","LOW DISCOUNT")</f>
        <v>LOW DISCOUNT</v>
      </c>
    </row>
    <row r="3453" spans="1:25" x14ac:dyDescent="0.25">
      <c r="A3453" s="2" t="s">
        <v>7142</v>
      </c>
      <c r="B3453" s="2">
        <v>832430</v>
      </c>
      <c r="C3453" s="2" t="s">
        <v>1299</v>
      </c>
      <c r="D3453" s="2" t="s">
        <v>28</v>
      </c>
      <c r="E3453" s="2" t="s">
        <v>29</v>
      </c>
      <c r="F3453" s="2" t="s">
        <v>17</v>
      </c>
      <c r="G3453" s="2" t="s">
        <v>7143</v>
      </c>
      <c r="H3453">
        <v>899</v>
      </c>
      <c r="I3453" s="2">
        <v>1799</v>
      </c>
      <c r="J3453" s="2" t="s">
        <v>84</v>
      </c>
      <c r="K3453" s="2" t="s">
        <v>1674</v>
      </c>
      <c r="L3453" s="2">
        <v>4.3</v>
      </c>
      <c r="M3453" s="2">
        <v>566</v>
      </c>
      <c r="P3453" t="str">
        <f t="shared" si="215"/>
        <v>50%</v>
      </c>
      <c r="Q3453" s="12">
        <f t="shared" si="212"/>
        <v>0.5</v>
      </c>
      <c r="R3453" s="9">
        <f t="shared" si="213"/>
        <v>899.5</v>
      </c>
      <c r="S3453" s="9">
        <f>IF(R3453="",AVERAGEIF(Table1[Category],Table1[[#This Row],[Category]],Table2[orignal data]),Table2[[#This Row],[orignal data]])</f>
        <v>899.5</v>
      </c>
      <c r="T3453" t="str">
        <f t="shared" si="214"/>
        <v>UNIQUE</v>
      </c>
      <c r="U3453" t="str">
        <f>IF(ISBLANK(Table1[[#This Row],[SizeOption]]),"NOT AVAILABLE",Table1[[#This Row],[SizeOption]])</f>
        <v>38, 39, 40, 42, 44</v>
      </c>
      <c r="Y3453" t="str">
        <f>IF(Table2[[#This Row],[Column1]]&gt;50%,"HIGH DISCOUNT","LOW DISCOUNT")</f>
        <v>LOW DISCOUNT</v>
      </c>
    </row>
    <row r="3454" spans="1:25" x14ac:dyDescent="0.25">
      <c r="A3454" s="1" t="s">
        <v>7144</v>
      </c>
      <c r="B3454" s="1">
        <v>12540770</v>
      </c>
      <c r="C3454" s="1" t="s">
        <v>64</v>
      </c>
      <c r="D3454" s="1" t="s">
        <v>98</v>
      </c>
      <c r="E3454" s="1" t="s">
        <v>93</v>
      </c>
      <c r="F3454" s="1" t="s">
        <v>36</v>
      </c>
      <c r="G3454" s="1" t="s">
        <v>7145</v>
      </c>
      <c r="H3454">
        <v>479</v>
      </c>
      <c r="I3454" s="1">
        <v>1199</v>
      </c>
      <c r="J3454" s="1" t="s">
        <v>55</v>
      </c>
      <c r="K3454" s="1" t="s">
        <v>100</v>
      </c>
      <c r="L3454" s="1">
        <v>4.2</v>
      </c>
      <c r="M3454" s="1">
        <v>566</v>
      </c>
      <c r="P3454" t="str">
        <f t="shared" si="215"/>
        <v>60%</v>
      </c>
      <c r="Q3454" s="12">
        <f t="shared" si="212"/>
        <v>0.6</v>
      </c>
      <c r="R3454" s="9">
        <f t="shared" si="213"/>
        <v>479.6</v>
      </c>
      <c r="S3454" s="9">
        <f>IF(R3454="",AVERAGEIF(Table1[Category],Table1[[#This Row],[Category]],Table2[orignal data]),Table2[[#This Row],[orignal data]])</f>
        <v>479.6</v>
      </c>
      <c r="T3454" t="str">
        <f t="shared" si="214"/>
        <v>UNIQUE</v>
      </c>
      <c r="U3454" t="str">
        <f>IF(ISBLANK(Table1[[#This Row],[SizeOption]]),"NOT AVAILABLE",Table1[[#This Row],[SizeOption]])</f>
        <v>XS, S, M, L, XL, XXL, 3XL</v>
      </c>
      <c r="Y3454" t="str">
        <f>IF(Table2[[#This Row],[Column1]]&gt;50%,"HIGH DISCOUNT","LOW DISCOUNT")</f>
        <v>HIGH DISCOUNT</v>
      </c>
    </row>
    <row r="3455" spans="1:25" x14ac:dyDescent="0.25">
      <c r="A3455" s="2" t="s">
        <v>7146</v>
      </c>
      <c r="B3455" s="2">
        <v>12524788</v>
      </c>
      <c r="C3455" s="2" t="s">
        <v>64</v>
      </c>
      <c r="D3455" s="2" t="s">
        <v>98</v>
      </c>
      <c r="E3455" s="2" t="s">
        <v>93</v>
      </c>
      <c r="F3455" s="2" t="s">
        <v>36</v>
      </c>
      <c r="G3455" s="2" t="s">
        <v>6889</v>
      </c>
      <c r="H3455">
        <v>559</v>
      </c>
      <c r="I3455" s="2">
        <v>1399</v>
      </c>
      <c r="J3455" s="2" t="s">
        <v>141</v>
      </c>
      <c r="K3455" s="2" t="s">
        <v>100</v>
      </c>
      <c r="L3455" s="2">
        <v>4.0999999999999996</v>
      </c>
      <c r="M3455" s="2">
        <v>566</v>
      </c>
      <c r="P3455" t="str">
        <f t="shared" si="215"/>
        <v>60%</v>
      </c>
      <c r="Q3455" s="12">
        <f t="shared" si="212"/>
        <v>0.6</v>
      </c>
      <c r="R3455" s="9">
        <f t="shared" si="213"/>
        <v>559.6</v>
      </c>
      <c r="S3455" s="9">
        <f>IF(R3455="",AVERAGEIF(Table1[Category],Table1[[#This Row],[Category]],Table2[orignal data]),Table2[[#This Row],[orignal data]])</f>
        <v>559.6</v>
      </c>
      <c r="T3455" t="str">
        <f t="shared" si="214"/>
        <v>UNIQUE</v>
      </c>
      <c r="U3455" t="str">
        <f>IF(ISBLANK(Table1[[#This Row],[SizeOption]]),"NOT AVAILABLE",Table1[[#This Row],[SizeOption]])</f>
        <v>XS, S, M, L, XL, XXL, 3XL</v>
      </c>
      <c r="Y3455" t="str">
        <f>IF(Table2[[#This Row],[Column1]]&gt;50%,"HIGH DISCOUNT","LOW DISCOUNT")</f>
        <v>HIGH DISCOUNT</v>
      </c>
    </row>
    <row r="3456" spans="1:25" x14ac:dyDescent="0.25">
      <c r="A3456" s="1" t="s">
        <v>7147</v>
      </c>
      <c r="B3456" s="1">
        <v>14912590</v>
      </c>
      <c r="C3456" s="1" t="s">
        <v>3606</v>
      </c>
      <c r="D3456" s="1" t="s">
        <v>41</v>
      </c>
      <c r="E3456" s="1" t="s">
        <v>42</v>
      </c>
      <c r="F3456" s="1" t="s">
        <v>36</v>
      </c>
      <c r="G3456" s="1" t="s">
        <v>7148</v>
      </c>
      <c r="I3456" s="1">
        <v>1199</v>
      </c>
      <c r="J3456" s="1" t="s">
        <v>7149</v>
      </c>
      <c r="K3456" s="1" t="s">
        <v>234</v>
      </c>
      <c r="L3456" s="1">
        <v>4.3</v>
      </c>
      <c r="M3456" s="1">
        <v>566</v>
      </c>
      <c r="P3456" t="str">
        <f t="shared" si="215"/>
        <v>700</v>
      </c>
      <c r="Q3456" s="12">
        <f t="shared" si="212"/>
        <v>0.58381984987489577</v>
      </c>
      <c r="R3456" s="9">
        <f t="shared" si="213"/>
        <v>499</v>
      </c>
      <c r="S3456" s="9">
        <f>IF(R3456="",AVERAGEIF(Table1[Category],Table1[[#This Row],[Category]],Table2[orignal data]),Table2[[#This Row],[orignal data]])</f>
        <v>499</v>
      </c>
      <c r="T3456" t="str">
        <f t="shared" si="214"/>
        <v>UNIQUE</v>
      </c>
      <c r="U3456" t="str">
        <f>IF(ISBLANK(Table1[[#This Row],[SizeOption]]),"NOT AVAILABLE",Table1[[#This Row],[SizeOption]])</f>
        <v>S, M, L, XL, XXL, 3XL</v>
      </c>
      <c r="Y3456" t="str">
        <f>IF(Table2[[#This Row],[Column1]]&gt;50%,"HIGH DISCOUNT","LOW DISCOUNT")</f>
        <v>HIGH DISCOUNT</v>
      </c>
    </row>
    <row r="3457" spans="1:25" x14ac:dyDescent="0.25">
      <c r="A3457" s="2" t="s">
        <v>7150</v>
      </c>
      <c r="B3457" s="2">
        <v>13913346</v>
      </c>
      <c r="C3457" s="2" t="s">
        <v>113</v>
      </c>
      <c r="D3457" s="2" t="s">
        <v>41</v>
      </c>
      <c r="E3457" s="2" t="s">
        <v>53</v>
      </c>
      <c r="F3457" s="2" t="s">
        <v>36</v>
      </c>
      <c r="G3457" s="2" t="s">
        <v>7151</v>
      </c>
      <c r="I3457" s="2">
        <v>1299</v>
      </c>
      <c r="J3457" s="2"/>
      <c r="K3457" s="2" t="s">
        <v>20</v>
      </c>
      <c r="L3457" s="2">
        <v>4.4000000000000004</v>
      </c>
      <c r="M3457" s="2">
        <v>566</v>
      </c>
      <c r="P3457" t="str">
        <f t="shared" si="215"/>
        <v/>
      </c>
      <c r="Q3457" s="12" t="str">
        <f t="shared" si="212"/>
        <v/>
      </c>
      <c r="R3457" s="9" t="str">
        <f t="shared" si="213"/>
        <v/>
      </c>
      <c r="S3457" s="9">
        <f>IF(R3457="",AVERAGEIF(Table1[Category],Table1[[#This Row],[Category]],Table2[orignal data]),Table2[[#This Row],[orignal data]])</f>
        <v>715.78890751086249</v>
      </c>
      <c r="T3457" t="str">
        <f t="shared" si="214"/>
        <v>UNIQUE</v>
      </c>
      <c r="U3457" t="str">
        <f>IF(ISBLANK(Table1[[#This Row],[SizeOption]]),"NOT AVAILABLE",Table1[[#This Row],[SizeOption]])</f>
        <v>28, 30, 32, 34, 36</v>
      </c>
      <c r="Y3457" t="str">
        <f>IF(Table2[[#This Row],[Column1]]&gt;50%,"HIGH DISCOUNT","LOW DISCOUNT")</f>
        <v>HIGH DISCOUNT</v>
      </c>
    </row>
    <row r="3458" spans="1:25" x14ac:dyDescent="0.25">
      <c r="A3458" s="1" t="s">
        <v>7152</v>
      </c>
      <c r="B3458" s="1">
        <v>17383160</v>
      </c>
      <c r="C3458" s="1" t="s">
        <v>14</v>
      </c>
      <c r="D3458" s="1" t="s">
        <v>41</v>
      </c>
      <c r="E3458" s="1" t="s">
        <v>42</v>
      </c>
      <c r="F3458" s="1" t="s">
        <v>36</v>
      </c>
      <c r="G3458" s="1" t="s">
        <v>7153</v>
      </c>
      <c r="I3458" s="1">
        <v>1498</v>
      </c>
      <c r="J3458" s="1" t="s">
        <v>84</v>
      </c>
      <c r="K3458" s="1" t="s">
        <v>146</v>
      </c>
      <c r="L3458" s="1">
        <v>4.3</v>
      </c>
      <c r="M3458" s="1">
        <v>566</v>
      </c>
      <c r="P3458" t="str">
        <f t="shared" si="215"/>
        <v>50%</v>
      </c>
      <c r="Q3458" s="12">
        <f t="shared" ref="Q3458:Q3521" si="216">IF(P3458="","",IF(ISNUMBER(SEARCH("%",P3458)),P3458,P3458/I3458)*100%)</f>
        <v>0.5</v>
      </c>
      <c r="R3458" s="9">
        <f t="shared" ref="R3458:R3521" si="217">IF(P3458="","",I3458-(I3458*Q3458))</f>
        <v>749</v>
      </c>
      <c r="S3458" s="9">
        <f>IF(R3458="",AVERAGEIF(Table1[Category],Table1[[#This Row],[Category]],Table2[orignal data]),Table2[[#This Row],[orignal data]])</f>
        <v>749</v>
      </c>
      <c r="T3458" t="str">
        <f t="shared" ref="T3458:T3521" si="218">IF(COUNTIF($B$2:$B$5000,B3458)&gt;1,"DUPLICATE","UNIQUE")</f>
        <v>UNIQUE</v>
      </c>
      <c r="U3458" t="str">
        <f>IF(ISBLANK(Table1[[#This Row],[SizeOption]]),"NOT AVAILABLE",Table1[[#This Row],[SizeOption]])</f>
        <v>L, M, S, XS, XL</v>
      </c>
      <c r="Y3458" t="str">
        <f>IF(Table2[[#This Row],[Column1]]&gt;50%,"HIGH DISCOUNT","LOW DISCOUNT")</f>
        <v>LOW DISCOUNT</v>
      </c>
    </row>
    <row r="3459" spans="1:25" x14ac:dyDescent="0.25">
      <c r="A3459" s="2" t="s">
        <v>7154</v>
      </c>
      <c r="B3459" s="2">
        <v>8903669</v>
      </c>
      <c r="C3459" s="2" t="s">
        <v>14</v>
      </c>
      <c r="D3459" s="2" t="s">
        <v>15</v>
      </c>
      <c r="E3459" s="2" t="s">
        <v>16</v>
      </c>
      <c r="F3459" s="2" t="s">
        <v>17</v>
      </c>
      <c r="G3459" s="2" t="s">
        <v>918</v>
      </c>
      <c r="H3459">
        <v>854</v>
      </c>
      <c r="I3459" s="2">
        <v>1899</v>
      </c>
      <c r="J3459" s="2" t="s">
        <v>25</v>
      </c>
      <c r="K3459" s="2" t="s">
        <v>20</v>
      </c>
      <c r="L3459" s="2">
        <v>4</v>
      </c>
      <c r="M3459" s="2">
        <v>565</v>
      </c>
      <c r="P3459" t="str">
        <f t="shared" ref="P3459:P3522" si="219">TRIM(SUBSTITUTE(SUBSTITUTE(SUBSTITUTE(SUBSTITUTE(J3459,"OFF",""),"Rs.",""),"Hurry*",""),",",""))</f>
        <v>55%</v>
      </c>
      <c r="Q3459" s="12">
        <f t="shared" si="216"/>
        <v>0.55000000000000004</v>
      </c>
      <c r="R3459" s="9">
        <f t="shared" si="217"/>
        <v>854.55</v>
      </c>
      <c r="S3459" s="9">
        <f>IF(R3459="",AVERAGEIF(Table1[Category],Table1[[#This Row],[Category]],Table2[orignal data]),Table2[[#This Row],[orignal data]])</f>
        <v>854.55</v>
      </c>
      <c r="T3459" t="str">
        <f t="shared" si="218"/>
        <v>UNIQUE</v>
      </c>
      <c r="U3459" t="str">
        <f>IF(ISBLANK(Table1[[#This Row],[SizeOption]]),"NOT AVAILABLE",Table1[[#This Row],[SizeOption]])</f>
        <v>28, 30, 32, 34, 36</v>
      </c>
      <c r="Y3459" t="str">
        <f>IF(Table2[[#This Row],[Column1]]&gt;50%,"HIGH DISCOUNT","LOW DISCOUNT")</f>
        <v>HIGH DISCOUNT</v>
      </c>
    </row>
    <row r="3460" spans="1:25" x14ac:dyDescent="0.25">
      <c r="A3460" s="1" t="s">
        <v>7155</v>
      </c>
      <c r="B3460" s="1">
        <v>4426141</v>
      </c>
      <c r="C3460" s="1" t="s">
        <v>14</v>
      </c>
      <c r="D3460" s="1" t="s">
        <v>15</v>
      </c>
      <c r="E3460" s="1" t="s">
        <v>16</v>
      </c>
      <c r="F3460" s="1" t="s">
        <v>17</v>
      </c>
      <c r="G3460" s="1" t="s">
        <v>7156</v>
      </c>
      <c r="H3460">
        <v>679</v>
      </c>
      <c r="I3460" s="1">
        <v>1699</v>
      </c>
      <c r="J3460" s="1" t="s">
        <v>55</v>
      </c>
      <c r="K3460" s="1" t="s">
        <v>20</v>
      </c>
      <c r="L3460" s="1">
        <v>4</v>
      </c>
      <c r="M3460" s="1">
        <v>565</v>
      </c>
      <c r="P3460" t="str">
        <f t="shared" si="219"/>
        <v>60%</v>
      </c>
      <c r="Q3460" s="12">
        <f t="shared" si="216"/>
        <v>0.6</v>
      </c>
      <c r="R3460" s="9">
        <f t="shared" si="217"/>
        <v>679.6</v>
      </c>
      <c r="S3460" s="9">
        <f>IF(R3460="",AVERAGEIF(Table1[Category],Table1[[#This Row],[Category]],Table2[orignal data]),Table2[[#This Row],[orignal data]])</f>
        <v>679.6</v>
      </c>
      <c r="T3460" t="str">
        <f t="shared" si="218"/>
        <v>UNIQUE</v>
      </c>
      <c r="U3460" t="str">
        <f>IF(ISBLANK(Table1[[#This Row],[SizeOption]]),"NOT AVAILABLE",Table1[[#This Row],[SizeOption]])</f>
        <v>28, 30, 32, 34, 36</v>
      </c>
      <c r="Y3460" t="str">
        <f>IF(Table2[[#This Row],[Column1]]&gt;50%,"HIGH DISCOUNT","LOW DISCOUNT")</f>
        <v>HIGH DISCOUNT</v>
      </c>
    </row>
    <row r="3461" spans="1:25" x14ac:dyDescent="0.25">
      <c r="A3461" s="2" t="s">
        <v>7157</v>
      </c>
      <c r="B3461" s="2">
        <v>13077148</v>
      </c>
      <c r="C3461" s="2" t="s">
        <v>47</v>
      </c>
      <c r="D3461" s="2" t="s">
        <v>15</v>
      </c>
      <c r="E3461" s="2" t="s">
        <v>16</v>
      </c>
      <c r="F3461" s="2" t="s">
        <v>17</v>
      </c>
      <c r="G3461" s="2" t="s">
        <v>2821</v>
      </c>
      <c r="H3461">
        <v>599</v>
      </c>
      <c r="I3461" s="2">
        <v>1499</v>
      </c>
      <c r="J3461" s="2" t="s">
        <v>55</v>
      </c>
      <c r="K3461" s="2" t="s">
        <v>20</v>
      </c>
      <c r="L3461" s="2">
        <v>3.9</v>
      </c>
      <c r="M3461" s="2">
        <v>565</v>
      </c>
      <c r="P3461" t="str">
        <f t="shared" si="219"/>
        <v>60%</v>
      </c>
      <c r="Q3461" s="12">
        <f t="shared" si="216"/>
        <v>0.6</v>
      </c>
      <c r="R3461" s="9">
        <f t="shared" si="217"/>
        <v>599.6</v>
      </c>
      <c r="S3461" s="9">
        <f>IF(R3461="",AVERAGEIF(Table1[Category],Table1[[#This Row],[Category]],Table2[orignal data]),Table2[[#This Row],[orignal data]])</f>
        <v>599.6</v>
      </c>
      <c r="T3461" t="str">
        <f t="shared" si="218"/>
        <v>UNIQUE</v>
      </c>
      <c r="U3461" t="str">
        <f>IF(ISBLANK(Table1[[#This Row],[SizeOption]]),"NOT AVAILABLE",Table1[[#This Row],[SizeOption]])</f>
        <v>28, 30, 32, 34, 36</v>
      </c>
      <c r="Y3461" t="str">
        <f>IF(Table2[[#This Row],[Column1]]&gt;50%,"HIGH DISCOUNT","LOW DISCOUNT")</f>
        <v>HIGH DISCOUNT</v>
      </c>
    </row>
    <row r="3462" spans="1:25" x14ac:dyDescent="0.25">
      <c r="A3462" s="1" t="s">
        <v>7158</v>
      </c>
      <c r="B3462" s="1">
        <v>13238942</v>
      </c>
      <c r="C3462" s="1" t="s">
        <v>113</v>
      </c>
      <c r="D3462" s="1" t="s">
        <v>76</v>
      </c>
      <c r="E3462" s="1" t="s">
        <v>93</v>
      </c>
      <c r="F3462" s="1" t="s">
        <v>17</v>
      </c>
      <c r="G3462" s="1" t="s">
        <v>7159</v>
      </c>
      <c r="H3462">
        <v>559</v>
      </c>
      <c r="I3462" s="1">
        <v>1599</v>
      </c>
      <c r="J3462" s="1" t="s">
        <v>150</v>
      </c>
      <c r="K3462" s="1" t="s">
        <v>39</v>
      </c>
      <c r="L3462" s="1">
        <v>4.5</v>
      </c>
      <c r="M3462" s="1">
        <v>565</v>
      </c>
      <c r="P3462" t="str">
        <f t="shared" si="219"/>
        <v>65%</v>
      </c>
      <c r="Q3462" s="12">
        <f t="shared" si="216"/>
        <v>0.65</v>
      </c>
      <c r="R3462" s="9">
        <f t="shared" si="217"/>
        <v>559.64999999999986</v>
      </c>
      <c r="S3462" s="9">
        <f>IF(R3462="",AVERAGEIF(Table1[Category],Table1[[#This Row],[Category]],Table2[orignal data]),Table2[[#This Row],[orignal data]])</f>
        <v>559.64999999999986</v>
      </c>
      <c r="T3462" t="str">
        <f t="shared" si="218"/>
        <v>UNIQUE</v>
      </c>
      <c r="U3462" t="str">
        <f>IF(ISBLANK(Table1[[#This Row],[SizeOption]]),"NOT AVAILABLE",Table1[[#This Row],[SizeOption]])</f>
        <v>S, M, L, XL, XXL</v>
      </c>
      <c r="Y3462" t="str">
        <f>IF(Table2[[#This Row],[Column1]]&gt;50%,"HIGH DISCOUNT","LOW DISCOUNT")</f>
        <v>HIGH DISCOUNT</v>
      </c>
    </row>
    <row r="3463" spans="1:25" x14ac:dyDescent="0.25">
      <c r="A3463" s="2" t="s">
        <v>7160</v>
      </c>
      <c r="B3463" s="2">
        <v>12222394</v>
      </c>
      <c r="C3463" s="2" t="s">
        <v>7161</v>
      </c>
      <c r="D3463" s="2" t="s">
        <v>76</v>
      </c>
      <c r="E3463" s="2" t="s">
        <v>77</v>
      </c>
      <c r="F3463" s="2" t="s">
        <v>17</v>
      </c>
      <c r="G3463" s="2" t="s">
        <v>7162</v>
      </c>
      <c r="H3463">
        <v>699</v>
      </c>
      <c r="I3463" s="2">
        <v>1999</v>
      </c>
      <c r="J3463" s="2" t="s">
        <v>150</v>
      </c>
      <c r="K3463" s="2" t="s">
        <v>39</v>
      </c>
      <c r="L3463" s="2">
        <v>4.0999999999999996</v>
      </c>
      <c r="M3463" s="2">
        <v>565</v>
      </c>
      <c r="P3463" t="str">
        <f t="shared" si="219"/>
        <v>65%</v>
      </c>
      <c r="Q3463" s="12">
        <f t="shared" si="216"/>
        <v>0.65</v>
      </c>
      <c r="R3463" s="9">
        <f t="shared" si="217"/>
        <v>699.64999999999986</v>
      </c>
      <c r="S3463" s="9">
        <f>IF(R3463="",AVERAGEIF(Table1[Category],Table1[[#This Row],[Category]],Table2[orignal data]),Table2[[#This Row],[orignal data]])</f>
        <v>699.64999999999986</v>
      </c>
      <c r="T3463" t="str">
        <f t="shared" si="218"/>
        <v>UNIQUE</v>
      </c>
      <c r="U3463" t="str">
        <f>IF(ISBLANK(Table1[[#This Row],[SizeOption]]),"NOT AVAILABLE",Table1[[#This Row],[SizeOption]])</f>
        <v>S, M, L, XL, XXL</v>
      </c>
      <c r="Y3463" t="str">
        <f>IF(Table2[[#This Row],[Column1]]&gt;50%,"HIGH DISCOUNT","LOW DISCOUNT")</f>
        <v>HIGH DISCOUNT</v>
      </c>
    </row>
    <row r="3464" spans="1:25" x14ac:dyDescent="0.25">
      <c r="A3464" s="1" t="s">
        <v>7163</v>
      </c>
      <c r="B3464" s="1">
        <v>9951265</v>
      </c>
      <c r="C3464" s="1" t="s">
        <v>14</v>
      </c>
      <c r="D3464" s="1" t="s">
        <v>28</v>
      </c>
      <c r="E3464" s="1" t="s">
        <v>29</v>
      </c>
      <c r="F3464" s="1" t="s">
        <v>17</v>
      </c>
      <c r="G3464" s="1" t="s">
        <v>7164</v>
      </c>
      <c r="H3464">
        <v>714</v>
      </c>
      <c r="I3464" s="1">
        <v>1299</v>
      </c>
      <c r="J3464" s="1" t="s">
        <v>19</v>
      </c>
      <c r="K3464" s="1" t="s">
        <v>253</v>
      </c>
      <c r="L3464" s="1">
        <v>4.4000000000000004</v>
      </c>
      <c r="M3464" s="1">
        <v>565</v>
      </c>
      <c r="P3464" t="str">
        <f t="shared" si="219"/>
        <v>45%</v>
      </c>
      <c r="Q3464" s="12">
        <f t="shared" si="216"/>
        <v>0.45</v>
      </c>
      <c r="R3464" s="9">
        <f t="shared" si="217"/>
        <v>714.44999999999993</v>
      </c>
      <c r="S3464" s="9">
        <f>IF(R3464="",AVERAGEIF(Table1[Category],Table1[[#This Row],[Category]],Table2[orignal data]),Table2[[#This Row],[orignal data]])</f>
        <v>714.44999999999993</v>
      </c>
      <c r="T3464" t="str">
        <f t="shared" si="218"/>
        <v>UNIQUE</v>
      </c>
      <c r="U3464" t="str">
        <f>IF(ISBLANK(Table1[[#This Row],[SizeOption]]),"NOT AVAILABLE",Table1[[#This Row],[SizeOption]])</f>
        <v>38, 40, 42, 44</v>
      </c>
      <c r="Y3464" t="str">
        <f>IF(Table2[[#This Row],[Column1]]&gt;50%,"HIGH DISCOUNT","LOW DISCOUNT")</f>
        <v>LOW DISCOUNT</v>
      </c>
    </row>
    <row r="3465" spans="1:25" x14ac:dyDescent="0.25">
      <c r="A3465" s="2" t="s">
        <v>7165</v>
      </c>
      <c r="B3465" s="2">
        <v>12442560</v>
      </c>
      <c r="C3465" s="2" t="s">
        <v>14</v>
      </c>
      <c r="D3465" s="2" t="s">
        <v>28</v>
      </c>
      <c r="E3465" s="2" t="s">
        <v>29</v>
      </c>
      <c r="F3465" s="2" t="s">
        <v>17</v>
      </c>
      <c r="G3465" s="2" t="s">
        <v>3506</v>
      </c>
      <c r="H3465">
        <v>879</v>
      </c>
      <c r="I3465" s="2">
        <v>1599</v>
      </c>
      <c r="J3465" s="2" t="s">
        <v>19</v>
      </c>
      <c r="K3465" s="2" t="s">
        <v>253</v>
      </c>
      <c r="L3465" s="2">
        <v>4.3</v>
      </c>
      <c r="M3465" s="2">
        <v>565</v>
      </c>
      <c r="P3465" t="str">
        <f t="shared" si="219"/>
        <v>45%</v>
      </c>
      <c r="Q3465" s="12">
        <f t="shared" si="216"/>
        <v>0.45</v>
      </c>
      <c r="R3465" s="9">
        <f t="shared" si="217"/>
        <v>879.44999999999993</v>
      </c>
      <c r="S3465" s="9">
        <f>IF(R3465="",AVERAGEIF(Table1[Category],Table1[[#This Row],[Category]],Table2[orignal data]),Table2[[#This Row],[orignal data]])</f>
        <v>879.44999999999993</v>
      </c>
      <c r="T3465" t="str">
        <f t="shared" si="218"/>
        <v>UNIQUE</v>
      </c>
      <c r="U3465" t="str">
        <f>IF(ISBLANK(Table1[[#This Row],[SizeOption]]),"NOT AVAILABLE",Table1[[#This Row],[SizeOption]])</f>
        <v>38, 40, 42, 44</v>
      </c>
      <c r="Y3465" t="str">
        <f>IF(Table2[[#This Row],[Column1]]&gt;50%,"HIGH DISCOUNT","LOW DISCOUNT")</f>
        <v>LOW DISCOUNT</v>
      </c>
    </row>
    <row r="3466" spans="1:25" x14ac:dyDescent="0.25">
      <c r="A3466" s="1" t="s">
        <v>7166</v>
      </c>
      <c r="B3466" s="1">
        <v>10553954</v>
      </c>
      <c r="C3466" s="1" t="s">
        <v>214</v>
      </c>
      <c r="D3466" s="1" t="s">
        <v>28</v>
      </c>
      <c r="E3466" s="1" t="s">
        <v>42</v>
      </c>
      <c r="F3466" s="1" t="s">
        <v>17</v>
      </c>
      <c r="G3466" s="1" t="s">
        <v>7167</v>
      </c>
      <c r="H3466">
        <v>359</v>
      </c>
      <c r="I3466" s="1">
        <v>899</v>
      </c>
      <c r="J3466" s="1" t="s">
        <v>55</v>
      </c>
      <c r="K3466" s="1" t="s">
        <v>39</v>
      </c>
      <c r="L3466" s="1">
        <v>4.2</v>
      </c>
      <c r="M3466" s="1">
        <v>565</v>
      </c>
      <c r="P3466" t="str">
        <f t="shared" si="219"/>
        <v>60%</v>
      </c>
      <c r="Q3466" s="12">
        <f t="shared" si="216"/>
        <v>0.6</v>
      </c>
      <c r="R3466" s="9">
        <f t="shared" si="217"/>
        <v>359.6</v>
      </c>
      <c r="S3466" s="9">
        <f>IF(R3466="",AVERAGEIF(Table1[Category],Table1[[#This Row],[Category]],Table2[orignal data]),Table2[[#This Row],[orignal data]])</f>
        <v>359.6</v>
      </c>
      <c r="T3466" t="str">
        <f t="shared" si="218"/>
        <v>UNIQUE</v>
      </c>
      <c r="U3466" t="str">
        <f>IF(ISBLANK(Table1[[#This Row],[SizeOption]]),"NOT AVAILABLE",Table1[[#This Row],[SizeOption]])</f>
        <v>S, M, L, XL, XXL</v>
      </c>
      <c r="Y3466" t="str">
        <f>IF(Table2[[#This Row],[Column1]]&gt;50%,"HIGH DISCOUNT","LOW DISCOUNT")</f>
        <v>HIGH DISCOUNT</v>
      </c>
    </row>
    <row r="3467" spans="1:25" x14ac:dyDescent="0.25">
      <c r="A3467" s="2" t="s">
        <v>7168</v>
      </c>
      <c r="B3467" s="2">
        <v>12992868</v>
      </c>
      <c r="C3467" s="2" t="s">
        <v>92</v>
      </c>
      <c r="D3467" s="2" t="s">
        <v>76</v>
      </c>
      <c r="E3467" s="2" t="s">
        <v>93</v>
      </c>
      <c r="F3467" s="2" t="s">
        <v>36</v>
      </c>
      <c r="G3467" s="2" t="s">
        <v>7169</v>
      </c>
      <c r="H3467">
        <v>428</v>
      </c>
      <c r="I3467" s="2">
        <v>1099</v>
      </c>
      <c r="J3467" s="2" t="s">
        <v>104</v>
      </c>
      <c r="K3467" s="2" t="s">
        <v>39</v>
      </c>
      <c r="L3467" s="2">
        <v>4.0999999999999996</v>
      </c>
      <c r="M3467" s="2">
        <v>565</v>
      </c>
      <c r="P3467" t="str">
        <f t="shared" si="219"/>
        <v>61%</v>
      </c>
      <c r="Q3467" s="12">
        <f t="shared" si="216"/>
        <v>0.61</v>
      </c>
      <c r="R3467" s="9">
        <f t="shared" si="217"/>
        <v>428.61</v>
      </c>
      <c r="S3467" s="9">
        <f>IF(R3467="",AVERAGEIF(Table1[Category],Table1[[#This Row],[Category]],Table2[orignal data]),Table2[[#This Row],[orignal data]])</f>
        <v>428.61</v>
      </c>
      <c r="T3467" t="str">
        <f t="shared" si="218"/>
        <v>UNIQUE</v>
      </c>
      <c r="U3467" t="str">
        <f>IF(ISBLANK(Table1[[#This Row],[SizeOption]]),"NOT AVAILABLE",Table1[[#This Row],[SizeOption]])</f>
        <v>S, M, L, XL, XXL</v>
      </c>
      <c r="Y3467" t="str">
        <f>IF(Table2[[#This Row],[Column1]]&gt;50%,"HIGH DISCOUNT","LOW DISCOUNT")</f>
        <v>HIGH DISCOUNT</v>
      </c>
    </row>
    <row r="3468" spans="1:25" x14ac:dyDescent="0.25">
      <c r="A3468" s="1" t="s">
        <v>7170</v>
      </c>
      <c r="B3468" s="1">
        <v>14398170</v>
      </c>
      <c r="C3468" s="1" t="s">
        <v>92</v>
      </c>
      <c r="D3468" s="1" t="s">
        <v>76</v>
      </c>
      <c r="E3468" s="1" t="s">
        <v>93</v>
      </c>
      <c r="F3468" s="1" t="s">
        <v>36</v>
      </c>
      <c r="G3468" s="1" t="s">
        <v>7171</v>
      </c>
      <c r="H3468">
        <v>448</v>
      </c>
      <c r="I3468" s="1">
        <v>1149</v>
      </c>
      <c r="J3468" s="1" t="s">
        <v>104</v>
      </c>
      <c r="K3468" s="1" t="s">
        <v>39</v>
      </c>
      <c r="L3468" s="1">
        <v>4.0999999999999996</v>
      </c>
      <c r="M3468" s="1">
        <v>565</v>
      </c>
      <c r="P3468" t="str">
        <f t="shared" si="219"/>
        <v>61%</v>
      </c>
      <c r="Q3468" s="12">
        <f t="shared" si="216"/>
        <v>0.61</v>
      </c>
      <c r="R3468" s="9">
        <f t="shared" si="217"/>
        <v>448.11</v>
      </c>
      <c r="S3468" s="9">
        <f>IF(R3468="",AVERAGEIF(Table1[Category],Table1[[#This Row],[Category]],Table2[orignal data]),Table2[[#This Row],[orignal data]])</f>
        <v>448.11</v>
      </c>
      <c r="T3468" t="str">
        <f t="shared" si="218"/>
        <v>UNIQUE</v>
      </c>
      <c r="U3468" t="str">
        <f>IF(ISBLANK(Table1[[#This Row],[SizeOption]]),"NOT AVAILABLE",Table1[[#This Row],[SizeOption]])</f>
        <v>S, M, L, XL, XXL</v>
      </c>
      <c r="Y3468" t="str">
        <f>IF(Table2[[#This Row],[Column1]]&gt;50%,"HIGH DISCOUNT","LOW DISCOUNT")</f>
        <v>HIGH DISCOUNT</v>
      </c>
    </row>
    <row r="3469" spans="1:25" x14ac:dyDescent="0.25">
      <c r="A3469" s="2" t="s">
        <v>7172</v>
      </c>
      <c r="B3469" s="2">
        <v>762440</v>
      </c>
      <c r="C3469" s="2" t="s">
        <v>762</v>
      </c>
      <c r="D3469" s="2" t="s">
        <v>34</v>
      </c>
      <c r="E3469" s="2" t="s">
        <v>118</v>
      </c>
      <c r="F3469" s="2" t="s">
        <v>36</v>
      </c>
      <c r="G3469" s="2" t="s">
        <v>7173</v>
      </c>
      <c r="H3469">
        <v>739</v>
      </c>
      <c r="I3469" s="2">
        <v>778</v>
      </c>
      <c r="J3469" s="2" t="s">
        <v>764</v>
      </c>
      <c r="K3469" s="2" t="s">
        <v>7174</v>
      </c>
      <c r="L3469" s="2">
        <v>4.3</v>
      </c>
      <c r="M3469" s="2">
        <v>565</v>
      </c>
      <c r="P3469" t="str">
        <f t="shared" si="219"/>
        <v>5%</v>
      </c>
      <c r="Q3469" s="12">
        <f t="shared" si="216"/>
        <v>0.05</v>
      </c>
      <c r="R3469" s="9">
        <f t="shared" si="217"/>
        <v>739.1</v>
      </c>
      <c r="S3469" s="9">
        <f>IF(R3469="",AVERAGEIF(Table1[Category],Table1[[#This Row],[Category]],Table2[orignal data]),Table2[[#This Row],[orignal data]])</f>
        <v>739.1</v>
      </c>
      <c r="T3469" t="str">
        <f t="shared" si="218"/>
        <v>UNIQUE</v>
      </c>
      <c r="U3469" t="str">
        <f>IF(ISBLANK(Table1[[#This Row],[SizeOption]]),"NOT AVAILABLE",Table1[[#This Row],[SizeOption]])</f>
        <v>30B, 32B, 34B, 36B, 38B, 40B, 42B, 44B</v>
      </c>
      <c r="Y3469" t="str">
        <f>IF(Table2[[#This Row],[Column1]]&gt;50%,"HIGH DISCOUNT","LOW DISCOUNT")</f>
        <v>LOW DISCOUNT</v>
      </c>
    </row>
    <row r="3470" spans="1:25" x14ac:dyDescent="0.25">
      <c r="A3470" s="1" t="s">
        <v>7175</v>
      </c>
      <c r="B3470" s="1">
        <v>6608557</v>
      </c>
      <c r="C3470" s="1" t="s">
        <v>33</v>
      </c>
      <c r="D3470" s="1" t="s">
        <v>34</v>
      </c>
      <c r="E3470" s="1" t="s">
        <v>118</v>
      </c>
      <c r="F3470" s="1" t="s">
        <v>36</v>
      </c>
      <c r="G3470" s="1" t="s">
        <v>7176</v>
      </c>
      <c r="H3470">
        <v>464</v>
      </c>
      <c r="I3470" s="1">
        <v>845</v>
      </c>
      <c r="J3470" s="1" t="s">
        <v>19</v>
      </c>
      <c r="K3470" s="1" t="s">
        <v>7177</v>
      </c>
      <c r="L3470" s="1">
        <v>4.2</v>
      </c>
      <c r="M3470" s="1">
        <v>565</v>
      </c>
      <c r="P3470" t="str">
        <f t="shared" si="219"/>
        <v>45%</v>
      </c>
      <c r="Q3470" s="12">
        <f t="shared" si="216"/>
        <v>0.45</v>
      </c>
      <c r="R3470" s="9">
        <f t="shared" si="217"/>
        <v>464.75</v>
      </c>
      <c r="S3470" s="9">
        <f>IF(R3470="",AVERAGEIF(Table1[Category],Table1[[#This Row],[Category]],Table2[orignal data]),Table2[[#This Row],[orignal data]])</f>
        <v>464.75</v>
      </c>
      <c r="T3470" t="str">
        <f t="shared" si="218"/>
        <v>UNIQUE</v>
      </c>
      <c r="U3470" t="str">
        <f>IF(ISBLANK(Table1[[#This Row],[SizeOption]]),"NOT AVAILABLE",Table1[[#This Row],[SizeOption]])</f>
        <v>30B, 34B, 36C</v>
      </c>
      <c r="Y3470" t="str">
        <f>IF(Table2[[#This Row],[Column1]]&gt;50%,"HIGH DISCOUNT","LOW DISCOUNT")</f>
        <v>LOW DISCOUNT</v>
      </c>
    </row>
    <row r="3471" spans="1:25" x14ac:dyDescent="0.25">
      <c r="A3471" s="2" t="s">
        <v>7178</v>
      </c>
      <c r="B3471" s="2">
        <v>13437236</v>
      </c>
      <c r="C3471" s="2" t="s">
        <v>97</v>
      </c>
      <c r="D3471" s="2" t="s">
        <v>98</v>
      </c>
      <c r="E3471" s="2" t="s">
        <v>148</v>
      </c>
      <c r="F3471" s="2" t="s">
        <v>36</v>
      </c>
      <c r="G3471" s="2" t="s">
        <v>7179</v>
      </c>
      <c r="H3471">
        <v>679</v>
      </c>
      <c r="I3471" s="2">
        <v>1699</v>
      </c>
      <c r="J3471" s="2" t="s">
        <v>141</v>
      </c>
      <c r="K3471" s="2" t="s">
        <v>100</v>
      </c>
      <c r="L3471" s="2">
        <v>4</v>
      </c>
      <c r="M3471" s="2">
        <v>565</v>
      </c>
      <c r="P3471" t="str">
        <f t="shared" si="219"/>
        <v>60%</v>
      </c>
      <c r="Q3471" s="12">
        <f t="shared" si="216"/>
        <v>0.6</v>
      </c>
      <c r="R3471" s="9">
        <f t="shared" si="217"/>
        <v>679.6</v>
      </c>
      <c r="S3471" s="9">
        <f>IF(R3471="",AVERAGEIF(Table1[Category],Table1[[#This Row],[Category]],Table2[orignal data]),Table2[[#This Row],[orignal data]])</f>
        <v>679.6</v>
      </c>
      <c r="T3471" t="str">
        <f t="shared" si="218"/>
        <v>UNIQUE</v>
      </c>
      <c r="U3471" t="str">
        <f>IF(ISBLANK(Table1[[#This Row],[SizeOption]]),"NOT AVAILABLE",Table1[[#This Row],[SizeOption]])</f>
        <v>XS, S, M, L, XL, XXL, 3XL</v>
      </c>
      <c r="Y3471" t="str">
        <f>IF(Table2[[#This Row],[Column1]]&gt;50%,"HIGH DISCOUNT","LOW DISCOUNT")</f>
        <v>HIGH DISCOUNT</v>
      </c>
    </row>
    <row r="3472" spans="1:25" x14ac:dyDescent="0.25">
      <c r="A3472" s="1" t="s">
        <v>7180</v>
      </c>
      <c r="B3472" s="1">
        <v>2477930</v>
      </c>
      <c r="C3472" s="1" t="s">
        <v>64</v>
      </c>
      <c r="D3472" s="1" t="s">
        <v>98</v>
      </c>
      <c r="E3472" s="1" t="s">
        <v>16</v>
      </c>
      <c r="F3472" s="1" t="s">
        <v>36</v>
      </c>
      <c r="G3472" s="1" t="s">
        <v>7181</v>
      </c>
      <c r="H3472">
        <v>599</v>
      </c>
      <c r="I3472" s="1">
        <v>1999</v>
      </c>
      <c r="J3472" s="1" t="s">
        <v>1566</v>
      </c>
      <c r="K3472" s="1" t="s">
        <v>643</v>
      </c>
      <c r="L3472" s="1">
        <v>4.2</v>
      </c>
      <c r="M3472" s="1">
        <v>565</v>
      </c>
      <c r="P3472" t="str">
        <f t="shared" si="219"/>
        <v>70%</v>
      </c>
      <c r="Q3472" s="12">
        <f t="shared" si="216"/>
        <v>0.7</v>
      </c>
      <c r="R3472" s="9">
        <f t="shared" si="217"/>
        <v>599.70000000000005</v>
      </c>
      <c r="S3472" s="9">
        <f>IF(R3472="",AVERAGEIF(Table1[Category],Table1[[#This Row],[Category]],Table2[orignal data]),Table2[[#This Row],[orignal data]])</f>
        <v>599.70000000000005</v>
      </c>
      <c r="T3472" t="str">
        <f t="shared" si="218"/>
        <v>UNIQUE</v>
      </c>
      <c r="U3472" t="str">
        <f>IF(ISBLANK(Table1[[#This Row],[SizeOption]]),"NOT AVAILABLE",Table1[[#This Row],[SizeOption]])</f>
        <v>26, 28, 30, 32, 34, 36, 38, 40</v>
      </c>
      <c r="Y3472" t="str">
        <f>IF(Table2[[#This Row],[Column1]]&gt;50%,"HIGH DISCOUNT","LOW DISCOUNT")</f>
        <v>HIGH DISCOUNT</v>
      </c>
    </row>
    <row r="3473" spans="1:25" x14ac:dyDescent="0.25">
      <c r="A3473" s="2" t="s">
        <v>7182</v>
      </c>
      <c r="B3473" s="2">
        <v>14087582</v>
      </c>
      <c r="C3473" s="2" t="s">
        <v>181</v>
      </c>
      <c r="D3473" s="2" t="s">
        <v>41</v>
      </c>
      <c r="E3473" s="2" t="s">
        <v>48</v>
      </c>
      <c r="F3473" s="2" t="s">
        <v>36</v>
      </c>
      <c r="G3473" s="2" t="s">
        <v>7183</v>
      </c>
      <c r="I3473" s="2">
        <v>1499</v>
      </c>
      <c r="J3473" s="2" t="s">
        <v>84</v>
      </c>
      <c r="K3473" s="2" t="s">
        <v>115</v>
      </c>
      <c r="L3473" s="2">
        <v>4.3</v>
      </c>
      <c r="M3473" s="2">
        <v>565</v>
      </c>
      <c r="P3473" t="str">
        <f t="shared" si="219"/>
        <v>50%</v>
      </c>
      <c r="Q3473" s="12">
        <f t="shared" si="216"/>
        <v>0.5</v>
      </c>
      <c r="R3473" s="9">
        <f t="shared" si="217"/>
        <v>749.5</v>
      </c>
      <c r="S3473" s="9">
        <f>IF(R3473="",AVERAGEIF(Table1[Category],Table1[[#This Row],[Category]],Table2[orignal data]),Table2[[#This Row],[orignal data]])</f>
        <v>749.5</v>
      </c>
      <c r="T3473" t="str">
        <f t="shared" si="218"/>
        <v>UNIQUE</v>
      </c>
      <c r="U3473" t="str">
        <f>IF(ISBLANK(Table1[[#This Row],[SizeOption]]),"NOT AVAILABLE",Table1[[#This Row],[SizeOption]])</f>
        <v>XS, S, M, L, XL, XXL</v>
      </c>
      <c r="Y3473" t="str">
        <f>IF(Table2[[#This Row],[Column1]]&gt;50%,"HIGH DISCOUNT","LOW DISCOUNT")</f>
        <v>LOW DISCOUNT</v>
      </c>
    </row>
    <row r="3474" spans="1:25" x14ac:dyDescent="0.25">
      <c r="A3474" s="1" t="s">
        <v>7184</v>
      </c>
      <c r="B3474" s="1">
        <v>17524610</v>
      </c>
      <c r="C3474" s="1" t="s">
        <v>47</v>
      </c>
      <c r="D3474" s="1" t="s">
        <v>41</v>
      </c>
      <c r="E3474" s="1" t="s">
        <v>42</v>
      </c>
      <c r="F3474" s="1" t="s">
        <v>36</v>
      </c>
      <c r="G3474" s="1" t="s">
        <v>1316</v>
      </c>
      <c r="I3474" s="1">
        <v>1598</v>
      </c>
      <c r="J3474" s="1" t="s">
        <v>84</v>
      </c>
      <c r="K3474" s="1" t="s">
        <v>45</v>
      </c>
      <c r="L3474" s="1">
        <v>4</v>
      </c>
      <c r="M3474" s="1">
        <v>565</v>
      </c>
      <c r="P3474" t="str">
        <f t="shared" si="219"/>
        <v>50%</v>
      </c>
      <c r="Q3474" s="12">
        <f t="shared" si="216"/>
        <v>0.5</v>
      </c>
      <c r="R3474" s="9">
        <f t="shared" si="217"/>
        <v>799</v>
      </c>
      <c r="S3474" s="9">
        <f>IF(R3474="",AVERAGEIF(Table1[Category],Table1[[#This Row],[Category]],Table2[orignal data]),Table2[[#This Row],[orignal data]])</f>
        <v>799</v>
      </c>
      <c r="T3474" t="str">
        <f t="shared" si="218"/>
        <v>UNIQUE</v>
      </c>
      <c r="U3474" t="str">
        <f>IF(ISBLANK(Table1[[#This Row],[SizeOption]]),"NOT AVAILABLE",Table1[[#This Row],[SizeOption]])</f>
        <v>XS, S, M, L, XL</v>
      </c>
      <c r="Y3474" t="str">
        <f>IF(Table2[[#This Row],[Column1]]&gt;50%,"HIGH DISCOUNT","LOW DISCOUNT")</f>
        <v>LOW DISCOUNT</v>
      </c>
    </row>
    <row r="3475" spans="1:25" x14ac:dyDescent="0.25">
      <c r="A3475" s="2" t="s">
        <v>7185</v>
      </c>
      <c r="B3475" s="2">
        <v>11114184</v>
      </c>
      <c r="C3475" s="2" t="s">
        <v>102</v>
      </c>
      <c r="D3475" s="2" t="s">
        <v>41</v>
      </c>
      <c r="E3475" s="2" t="s">
        <v>16</v>
      </c>
      <c r="F3475" s="2" t="s">
        <v>36</v>
      </c>
      <c r="G3475" s="2" t="s">
        <v>7186</v>
      </c>
      <c r="I3475" s="2">
        <v>1899</v>
      </c>
      <c r="J3475" s="2" t="s">
        <v>758</v>
      </c>
      <c r="K3475" s="2" t="s">
        <v>428</v>
      </c>
      <c r="L3475" s="2">
        <v>4.0999999999999996</v>
      </c>
      <c r="M3475" s="2">
        <v>565</v>
      </c>
      <c r="P3475" t="str">
        <f t="shared" si="219"/>
        <v>47%</v>
      </c>
      <c r="Q3475" s="12">
        <f t="shared" si="216"/>
        <v>0.47</v>
      </c>
      <c r="R3475" s="9">
        <f t="shared" si="217"/>
        <v>1006.47</v>
      </c>
      <c r="S3475" s="9">
        <f>IF(R3475="",AVERAGEIF(Table1[Category],Table1[[#This Row],[Category]],Table2[orignal data]),Table2[[#This Row],[orignal data]])</f>
        <v>1006.47</v>
      </c>
      <c r="T3475" t="str">
        <f t="shared" si="218"/>
        <v>UNIQUE</v>
      </c>
      <c r="U3475" t="str">
        <f>IF(ISBLANK(Table1[[#This Row],[SizeOption]]),"NOT AVAILABLE",Table1[[#This Row],[SizeOption]])</f>
        <v>26, 28, 30, 32, 34</v>
      </c>
      <c r="Y3475" t="str">
        <f>IF(Table2[[#This Row],[Column1]]&gt;50%,"HIGH DISCOUNT","LOW DISCOUNT")</f>
        <v>LOW DISCOUNT</v>
      </c>
    </row>
    <row r="3476" spans="1:25" x14ac:dyDescent="0.25">
      <c r="A3476" s="1" t="s">
        <v>7187</v>
      </c>
      <c r="B3476" s="1">
        <v>13840090</v>
      </c>
      <c r="C3476" s="1" t="s">
        <v>124</v>
      </c>
      <c r="D3476" s="1" t="s">
        <v>41</v>
      </c>
      <c r="E3476" s="1" t="s">
        <v>148</v>
      </c>
      <c r="F3476" s="1" t="s">
        <v>36</v>
      </c>
      <c r="G3476" s="1" t="s">
        <v>7188</v>
      </c>
      <c r="I3476" s="1">
        <v>1999</v>
      </c>
      <c r="J3476" s="1" t="s">
        <v>55</v>
      </c>
      <c r="K3476" s="1" t="s">
        <v>115</v>
      </c>
      <c r="L3476" s="1">
        <v>4.5</v>
      </c>
      <c r="M3476" s="1">
        <v>565</v>
      </c>
      <c r="P3476" t="str">
        <f t="shared" si="219"/>
        <v>60%</v>
      </c>
      <c r="Q3476" s="12">
        <f t="shared" si="216"/>
        <v>0.6</v>
      </c>
      <c r="R3476" s="9">
        <f t="shared" si="217"/>
        <v>799.60000000000014</v>
      </c>
      <c r="S3476" s="9">
        <f>IF(R3476="",AVERAGEIF(Table1[Category],Table1[[#This Row],[Category]],Table2[orignal data]),Table2[[#This Row],[orignal data]])</f>
        <v>799.60000000000014</v>
      </c>
      <c r="T3476" t="str">
        <f t="shared" si="218"/>
        <v>UNIQUE</v>
      </c>
      <c r="U3476" t="str">
        <f>IF(ISBLANK(Table1[[#This Row],[SizeOption]]),"NOT AVAILABLE",Table1[[#This Row],[SizeOption]])</f>
        <v>XS, S, M, L, XL, XXL</v>
      </c>
      <c r="Y3476" t="str">
        <f>IF(Table2[[#This Row],[Column1]]&gt;50%,"HIGH DISCOUNT","LOW DISCOUNT")</f>
        <v>HIGH DISCOUNT</v>
      </c>
    </row>
    <row r="3477" spans="1:25" x14ac:dyDescent="0.25">
      <c r="A3477" s="2" t="s">
        <v>7189</v>
      </c>
      <c r="B3477" s="2">
        <v>11636326</v>
      </c>
      <c r="C3477" s="2" t="s">
        <v>1656</v>
      </c>
      <c r="D3477" s="2" t="s">
        <v>41</v>
      </c>
      <c r="E3477" s="2" t="s">
        <v>53</v>
      </c>
      <c r="F3477" s="2" t="s">
        <v>36</v>
      </c>
      <c r="G3477" s="2" t="s">
        <v>7190</v>
      </c>
      <c r="I3477" s="2">
        <v>999</v>
      </c>
      <c r="J3477" s="2" t="s">
        <v>25</v>
      </c>
      <c r="K3477" s="2" t="s">
        <v>134</v>
      </c>
      <c r="L3477" s="2">
        <v>4.2</v>
      </c>
      <c r="M3477" s="2">
        <v>565</v>
      </c>
      <c r="P3477" t="str">
        <f t="shared" si="219"/>
        <v>55%</v>
      </c>
      <c r="Q3477" s="12">
        <f t="shared" si="216"/>
        <v>0.55000000000000004</v>
      </c>
      <c r="R3477" s="9">
        <f t="shared" si="217"/>
        <v>449.54999999999995</v>
      </c>
      <c r="S3477" s="9">
        <f>IF(R3477="",AVERAGEIF(Table1[Category],Table1[[#This Row],[Category]],Table2[orignal data]),Table2[[#This Row],[orignal data]])</f>
        <v>449.54999999999995</v>
      </c>
      <c r="T3477" t="str">
        <f t="shared" si="218"/>
        <v>UNIQUE</v>
      </c>
      <c r="U3477" t="str">
        <f>IF(ISBLANK(Table1[[#This Row],[SizeOption]]),"NOT AVAILABLE",Table1[[#This Row],[SizeOption]])</f>
        <v>26, 28, 30, 32, 34, 36</v>
      </c>
      <c r="Y3477" t="str">
        <f>IF(Table2[[#This Row],[Column1]]&gt;50%,"HIGH DISCOUNT","LOW DISCOUNT")</f>
        <v>HIGH DISCOUNT</v>
      </c>
    </row>
    <row r="3478" spans="1:25" x14ac:dyDescent="0.25">
      <c r="A3478" s="1" t="s">
        <v>7191</v>
      </c>
      <c r="B3478" s="1">
        <v>11359056</v>
      </c>
      <c r="C3478" s="1" t="s">
        <v>169</v>
      </c>
      <c r="D3478" s="1" t="s">
        <v>15</v>
      </c>
      <c r="E3478" s="1" t="s">
        <v>16</v>
      </c>
      <c r="F3478" s="1" t="s">
        <v>17</v>
      </c>
      <c r="G3478" s="1" t="s">
        <v>7192</v>
      </c>
      <c r="H3478">
        <v>1799</v>
      </c>
      <c r="I3478" s="1">
        <v>2999</v>
      </c>
      <c r="J3478" s="1" t="s">
        <v>50</v>
      </c>
      <c r="K3478" s="1" t="s">
        <v>171</v>
      </c>
      <c r="L3478" s="1">
        <v>3.7</v>
      </c>
      <c r="M3478" s="1">
        <v>564</v>
      </c>
      <c r="P3478" t="str">
        <f t="shared" si="219"/>
        <v>40%</v>
      </c>
      <c r="Q3478" s="12">
        <f t="shared" si="216"/>
        <v>0.4</v>
      </c>
      <c r="R3478" s="9">
        <f t="shared" si="217"/>
        <v>1799.3999999999999</v>
      </c>
      <c r="S3478" s="9">
        <f>IF(R3478="",AVERAGEIF(Table1[Category],Table1[[#This Row],[Category]],Table2[orignal data]),Table2[[#This Row],[orignal data]])</f>
        <v>1799.3999999999999</v>
      </c>
      <c r="T3478" t="str">
        <f t="shared" si="218"/>
        <v>UNIQUE</v>
      </c>
      <c r="U3478" t="str">
        <f>IF(ISBLANK(Table1[[#This Row],[SizeOption]]),"NOT AVAILABLE",Table1[[#This Row],[SizeOption]])</f>
        <v>28, 30, 32, 34, 36, 38</v>
      </c>
      <c r="Y3478" t="str">
        <f>IF(Table2[[#This Row],[Column1]]&gt;50%,"HIGH DISCOUNT","LOW DISCOUNT")</f>
        <v>LOW DISCOUNT</v>
      </c>
    </row>
    <row r="3479" spans="1:25" x14ac:dyDescent="0.25">
      <c r="A3479" s="2" t="s">
        <v>7193</v>
      </c>
      <c r="B3479" s="2">
        <v>1735988</v>
      </c>
      <c r="C3479" s="2" t="s">
        <v>47</v>
      </c>
      <c r="D3479" s="2" t="s">
        <v>15</v>
      </c>
      <c r="E3479" s="2" t="s">
        <v>53</v>
      </c>
      <c r="F3479" s="2" t="s">
        <v>17</v>
      </c>
      <c r="G3479" s="2" t="s">
        <v>7194</v>
      </c>
      <c r="H3479">
        <v>999</v>
      </c>
      <c r="I3479" s="2">
        <v>2499</v>
      </c>
      <c r="J3479" s="2" t="s">
        <v>55</v>
      </c>
      <c r="K3479" s="2" t="s">
        <v>20</v>
      </c>
      <c r="L3479" s="2">
        <v>4.0999999999999996</v>
      </c>
      <c r="M3479" s="2">
        <v>564</v>
      </c>
      <c r="P3479" t="str">
        <f t="shared" si="219"/>
        <v>60%</v>
      </c>
      <c r="Q3479" s="12">
        <f t="shared" si="216"/>
        <v>0.6</v>
      </c>
      <c r="R3479" s="9">
        <f t="shared" si="217"/>
        <v>999.60000000000014</v>
      </c>
      <c r="S3479" s="9">
        <f>IF(R3479="",AVERAGEIF(Table1[Category],Table1[[#This Row],[Category]],Table2[orignal data]),Table2[[#This Row],[orignal data]])</f>
        <v>999.60000000000014</v>
      </c>
      <c r="T3479" t="str">
        <f t="shared" si="218"/>
        <v>UNIQUE</v>
      </c>
      <c r="U3479" t="str">
        <f>IF(ISBLANK(Table1[[#This Row],[SizeOption]]),"NOT AVAILABLE",Table1[[#This Row],[SizeOption]])</f>
        <v>28, 30, 32, 34, 36</v>
      </c>
      <c r="Y3479" t="str">
        <f>IF(Table2[[#This Row],[Column1]]&gt;50%,"HIGH DISCOUNT","LOW DISCOUNT")</f>
        <v>HIGH DISCOUNT</v>
      </c>
    </row>
    <row r="3480" spans="1:25" x14ac:dyDescent="0.25">
      <c r="A3480" s="1" t="s">
        <v>7195</v>
      </c>
      <c r="B3480" s="1">
        <v>10017039</v>
      </c>
      <c r="C3480" s="1" t="s">
        <v>420</v>
      </c>
      <c r="D3480" s="1" t="s">
        <v>28</v>
      </c>
      <c r="E3480" s="1" t="s">
        <v>29</v>
      </c>
      <c r="F3480" s="1" t="s">
        <v>17</v>
      </c>
      <c r="G3480" s="1" t="s">
        <v>7196</v>
      </c>
      <c r="H3480">
        <v>644</v>
      </c>
      <c r="I3480" s="1">
        <v>1499</v>
      </c>
      <c r="J3480" s="1" t="s">
        <v>130</v>
      </c>
      <c r="K3480" s="1" t="s">
        <v>253</v>
      </c>
      <c r="L3480" s="1">
        <v>3.6</v>
      </c>
      <c r="M3480" s="1">
        <v>564</v>
      </c>
      <c r="P3480" t="str">
        <f t="shared" si="219"/>
        <v>57%</v>
      </c>
      <c r="Q3480" s="12">
        <f t="shared" si="216"/>
        <v>0.56999999999999995</v>
      </c>
      <c r="R3480" s="9">
        <f t="shared" si="217"/>
        <v>644.57000000000005</v>
      </c>
      <c r="S3480" s="9">
        <f>IF(R3480="",AVERAGEIF(Table1[Category],Table1[[#This Row],[Category]],Table2[orignal data]),Table2[[#This Row],[orignal data]])</f>
        <v>644.57000000000005</v>
      </c>
      <c r="T3480" t="str">
        <f t="shared" si="218"/>
        <v>UNIQUE</v>
      </c>
      <c r="U3480" t="str">
        <f>IF(ISBLANK(Table1[[#This Row],[SizeOption]]),"NOT AVAILABLE",Table1[[#This Row],[SizeOption]])</f>
        <v>38, 40, 42, 44</v>
      </c>
      <c r="Y3480" t="str">
        <f>IF(Table2[[#This Row],[Column1]]&gt;50%,"HIGH DISCOUNT","LOW DISCOUNT")</f>
        <v>HIGH DISCOUNT</v>
      </c>
    </row>
    <row r="3481" spans="1:25" x14ac:dyDescent="0.25">
      <c r="A3481" s="2" t="s">
        <v>7197</v>
      </c>
      <c r="B3481" s="2">
        <v>2232085</v>
      </c>
      <c r="C3481" s="2" t="s">
        <v>47</v>
      </c>
      <c r="D3481" s="2" t="s">
        <v>28</v>
      </c>
      <c r="E3481" s="2" t="s">
        <v>42</v>
      </c>
      <c r="F3481" s="2" t="s">
        <v>17</v>
      </c>
      <c r="G3481" s="2" t="s">
        <v>7198</v>
      </c>
      <c r="H3481">
        <v>279</v>
      </c>
      <c r="I3481" s="2">
        <v>699</v>
      </c>
      <c r="J3481" s="2" t="s">
        <v>55</v>
      </c>
      <c r="K3481" s="2" t="s">
        <v>26</v>
      </c>
      <c r="L3481" s="2">
        <v>3.9</v>
      </c>
      <c r="M3481" s="2">
        <v>564</v>
      </c>
      <c r="P3481" t="str">
        <f t="shared" si="219"/>
        <v>60%</v>
      </c>
      <c r="Q3481" s="12">
        <f t="shared" si="216"/>
        <v>0.6</v>
      </c>
      <c r="R3481" s="9">
        <f t="shared" si="217"/>
        <v>279.60000000000002</v>
      </c>
      <c r="S3481" s="9">
        <f>IF(R3481="",AVERAGEIF(Table1[Category],Table1[[#This Row],[Category]],Table2[orignal data]),Table2[[#This Row],[orignal data]])</f>
        <v>279.60000000000002</v>
      </c>
      <c r="T3481" t="str">
        <f t="shared" si="218"/>
        <v>UNIQUE</v>
      </c>
      <c r="U3481" t="str">
        <f>IF(ISBLANK(Table1[[#This Row],[SizeOption]]),"NOT AVAILABLE",Table1[[#This Row],[SizeOption]])</f>
        <v>S, M, L, XL</v>
      </c>
      <c r="Y3481" t="str">
        <f>IF(Table2[[#This Row],[Column1]]&gt;50%,"HIGH DISCOUNT","LOW DISCOUNT")</f>
        <v>HIGH DISCOUNT</v>
      </c>
    </row>
    <row r="3482" spans="1:25" x14ac:dyDescent="0.25">
      <c r="A3482" s="1" t="s">
        <v>7199</v>
      </c>
      <c r="B3482" s="1">
        <v>12040840</v>
      </c>
      <c r="C3482" s="1" t="s">
        <v>1013</v>
      </c>
      <c r="D3482" s="1" t="s">
        <v>76</v>
      </c>
      <c r="E3482" s="1" t="s">
        <v>77</v>
      </c>
      <c r="F3482" s="1" t="s">
        <v>36</v>
      </c>
      <c r="G3482" s="1" t="s">
        <v>7200</v>
      </c>
      <c r="H3482">
        <v>1247</v>
      </c>
      <c r="I3482" s="1">
        <v>3199</v>
      </c>
      <c r="J3482" s="1" t="s">
        <v>104</v>
      </c>
      <c r="K3482" s="1" t="s">
        <v>115</v>
      </c>
      <c r="L3482" s="1">
        <v>4.2</v>
      </c>
      <c r="M3482" s="1">
        <v>564</v>
      </c>
      <c r="P3482" t="str">
        <f t="shared" si="219"/>
        <v>61%</v>
      </c>
      <c r="Q3482" s="12">
        <f t="shared" si="216"/>
        <v>0.61</v>
      </c>
      <c r="R3482" s="9">
        <f t="shared" si="217"/>
        <v>1247.6100000000001</v>
      </c>
      <c r="S3482" s="9">
        <f>IF(R3482="",AVERAGEIF(Table1[Category],Table1[[#This Row],[Category]],Table2[orignal data]),Table2[[#This Row],[orignal data]])</f>
        <v>1247.6100000000001</v>
      </c>
      <c r="T3482" t="str">
        <f t="shared" si="218"/>
        <v>UNIQUE</v>
      </c>
      <c r="U3482" t="str">
        <f>IF(ISBLANK(Table1[[#This Row],[SizeOption]]),"NOT AVAILABLE",Table1[[#This Row],[SizeOption]])</f>
        <v>XS, S, M, L, XL, XXL</v>
      </c>
      <c r="Y3482" t="str">
        <f>IF(Table2[[#This Row],[Column1]]&gt;50%,"HIGH DISCOUNT","LOW DISCOUNT")</f>
        <v>HIGH DISCOUNT</v>
      </c>
    </row>
    <row r="3483" spans="1:25" x14ac:dyDescent="0.25">
      <c r="A3483" s="2" t="s">
        <v>7201</v>
      </c>
      <c r="B3483" s="2">
        <v>13956290</v>
      </c>
      <c r="C3483" s="2" t="s">
        <v>6131</v>
      </c>
      <c r="D3483" s="2" t="s">
        <v>76</v>
      </c>
      <c r="E3483" s="2" t="s">
        <v>77</v>
      </c>
      <c r="F3483" s="2" t="s">
        <v>36</v>
      </c>
      <c r="G3483" s="2" t="s">
        <v>7202</v>
      </c>
      <c r="H3483">
        <v>1109</v>
      </c>
      <c r="I3483" s="2">
        <v>3699</v>
      </c>
      <c r="J3483" s="2" t="s">
        <v>79</v>
      </c>
      <c r="K3483" s="2" t="s">
        <v>39</v>
      </c>
      <c r="L3483" s="2">
        <v>4.2</v>
      </c>
      <c r="M3483" s="2">
        <v>564</v>
      </c>
      <c r="P3483" t="str">
        <f t="shared" si="219"/>
        <v>70%</v>
      </c>
      <c r="Q3483" s="12">
        <f t="shared" si="216"/>
        <v>0.7</v>
      </c>
      <c r="R3483" s="9">
        <f t="shared" si="217"/>
        <v>1109.7000000000003</v>
      </c>
      <c r="S3483" s="9">
        <f>IF(R3483="",AVERAGEIF(Table1[Category],Table1[[#This Row],[Category]],Table2[orignal data]),Table2[[#This Row],[orignal data]])</f>
        <v>1109.7000000000003</v>
      </c>
      <c r="T3483" t="str">
        <f t="shared" si="218"/>
        <v>UNIQUE</v>
      </c>
      <c r="U3483" t="str">
        <f>IF(ISBLANK(Table1[[#This Row],[SizeOption]]),"NOT AVAILABLE",Table1[[#This Row],[SizeOption]])</f>
        <v>S, M, L, XL, XXL</v>
      </c>
      <c r="Y3483" t="str">
        <f>IF(Table2[[#This Row],[Column1]]&gt;50%,"HIGH DISCOUNT","LOW DISCOUNT")</f>
        <v>HIGH DISCOUNT</v>
      </c>
    </row>
    <row r="3484" spans="1:25" x14ac:dyDescent="0.25">
      <c r="A3484" s="1" t="s">
        <v>7203</v>
      </c>
      <c r="B3484" s="1">
        <v>14789518</v>
      </c>
      <c r="C3484" s="1" t="s">
        <v>779</v>
      </c>
      <c r="D3484" s="1" t="s">
        <v>34</v>
      </c>
      <c r="E3484" s="1" t="s">
        <v>296</v>
      </c>
      <c r="F3484" s="1" t="s">
        <v>36</v>
      </c>
      <c r="G3484" s="1" t="s">
        <v>7204</v>
      </c>
      <c r="I3484" s="1">
        <v>729</v>
      </c>
      <c r="J3484" s="1"/>
      <c r="K3484" s="1" t="s">
        <v>39</v>
      </c>
      <c r="L3484" s="1">
        <v>4.5</v>
      </c>
      <c r="M3484" s="1">
        <v>564</v>
      </c>
      <c r="P3484" t="str">
        <f t="shared" si="219"/>
        <v/>
      </c>
      <c r="Q3484" s="12" t="str">
        <f t="shared" si="216"/>
        <v/>
      </c>
      <c r="R3484" s="9" t="str">
        <f t="shared" si="217"/>
        <v/>
      </c>
      <c r="S3484" s="9">
        <f>IF(R3484="",AVERAGEIF(Table1[Category],Table1[[#This Row],[Category]],Table2[orignal data]),Table2[[#This Row],[orignal data]])</f>
        <v>608.88518518518481</v>
      </c>
      <c r="T3484" t="str">
        <f t="shared" si="218"/>
        <v>UNIQUE</v>
      </c>
      <c r="U3484" t="str">
        <f>IF(ISBLANK(Table1[[#This Row],[SizeOption]]),"NOT AVAILABLE",Table1[[#This Row],[SizeOption]])</f>
        <v>S, M, L, XL, XXL</v>
      </c>
      <c r="Y3484" t="str">
        <f>IF(Table2[[#This Row],[Column1]]&gt;50%,"HIGH DISCOUNT","LOW DISCOUNT")</f>
        <v>HIGH DISCOUNT</v>
      </c>
    </row>
    <row r="3485" spans="1:25" x14ac:dyDescent="0.25">
      <c r="A3485" s="2" t="s">
        <v>7205</v>
      </c>
      <c r="B3485" s="2">
        <v>10560942</v>
      </c>
      <c r="C3485" s="2" t="s">
        <v>97</v>
      </c>
      <c r="D3485" s="2" t="s">
        <v>98</v>
      </c>
      <c r="E3485" s="2" t="s">
        <v>77</v>
      </c>
      <c r="F3485" s="2" t="s">
        <v>36</v>
      </c>
      <c r="G3485" s="2" t="s">
        <v>4143</v>
      </c>
      <c r="H3485">
        <v>999</v>
      </c>
      <c r="I3485" s="2">
        <v>1999</v>
      </c>
      <c r="J3485" s="2" t="s">
        <v>84</v>
      </c>
      <c r="K3485" s="2" t="s">
        <v>100</v>
      </c>
      <c r="L3485" s="2">
        <v>4.0999999999999996</v>
      </c>
      <c r="M3485" s="2">
        <v>564</v>
      </c>
      <c r="P3485" t="str">
        <f t="shared" si="219"/>
        <v>50%</v>
      </c>
      <c r="Q3485" s="12">
        <f t="shared" si="216"/>
        <v>0.5</v>
      </c>
      <c r="R3485" s="9">
        <f t="shared" si="217"/>
        <v>999.5</v>
      </c>
      <c r="S3485" s="9">
        <f>IF(R3485="",AVERAGEIF(Table1[Category],Table1[[#This Row],[Category]],Table2[orignal data]),Table2[[#This Row],[orignal data]])</f>
        <v>999.5</v>
      </c>
      <c r="T3485" t="str">
        <f t="shared" si="218"/>
        <v>UNIQUE</v>
      </c>
      <c r="U3485" t="str">
        <f>IF(ISBLANK(Table1[[#This Row],[SizeOption]]),"NOT AVAILABLE",Table1[[#This Row],[SizeOption]])</f>
        <v>XS, S, M, L, XL, XXL, 3XL</v>
      </c>
      <c r="Y3485" t="str">
        <f>IF(Table2[[#This Row],[Column1]]&gt;50%,"HIGH DISCOUNT","LOW DISCOUNT")</f>
        <v>LOW DISCOUNT</v>
      </c>
    </row>
    <row r="3486" spans="1:25" x14ac:dyDescent="0.25">
      <c r="A3486" s="1" t="s">
        <v>7206</v>
      </c>
      <c r="B3486" s="1">
        <v>7695774</v>
      </c>
      <c r="C3486" s="1" t="s">
        <v>67</v>
      </c>
      <c r="D3486" s="1" t="s">
        <v>68</v>
      </c>
      <c r="E3486" s="1" t="s">
        <v>42</v>
      </c>
      <c r="F3486" s="1" t="s">
        <v>36</v>
      </c>
      <c r="G3486" s="1" t="s">
        <v>7207</v>
      </c>
      <c r="I3486" s="1">
        <v>1199</v>
      </c>
      <c r="J3486" s="1"/>
      <c r="K3486" s="1" t="s">
        <v>45</v>
      </c>
      <c r="L3486" s="1">
        <v>4.2</v>
      </c>
      <c r="M3486" s="1">
        <v>564</v>
      </c>
      <c r="P3486" t="str">
        <f t="shared" si="219"/>
        <v/>
      </c>
      <c r="Q3486" s="12" t="str">
        <f t="shared" si="216"/>
        <v/>
      </c>
      <c r="R3486" s="9" t="str">
        <f t="shared" si="217"/>
        <v/>
      </c>
      <c r="S3486" s="9">
        <f>IF(R3486="",AVERAGEIF(Table1[Category],Table1[[#This Row],[Category]],Table2[orignal data]),Table2[[#This Row],[orignal data]])</f>
        <v>734.32085365853686</v>
      </c>
      <c r="T3486" t="str">
        <f t="shared" si="218"/>
        <v>UNIQUE</v>
      </c>
      <c r="U3486" t="str">
        <f>IF(ISBLANK(Table1[[#This Row],[SizeOption]]),"NOT AVAILABLE",Table1[[#This Row],[SizeOption]])</f>
        <v>XS, S, M, L, XL</v>
      </c>
      <c r="Y3486" t="str">
        <f>IF(Table2[[#This Row],[Column1]]&gt;50%,"HIGH DISCOUNT","LOW DISCOUNT")</f>
        <v>HIGH DISCOUNT</v>
      </c>
    </row>
    <row r="3487" spans="1:25" x14ac:dyDescent="0.25">
      <c r="A3487" s="2" t="s">
        <v>7208</v>
      </c>
      <c r="B3487" s="2">
        <v>7269103</v>
      </c>
      <c r="C3487" s="2" t="s">
        <v>225</v>
      </c>
      <c r="D3487" s="2" t="s">
        <v>41</v>
      </c>
      <c r="E3487" s="2" t="s">
        <v>48</v>
      </c>
      <c r="F3487" s="2" t="s">
        <v>36</v>
      </c>
      <c r="G3487" s="2" t="s">
        <v>7209</v>
      </c>
      <c r="I3487" s="2">
        <v>1299</v>
      </c>
      <c r="J3487" s="2" t="s">
        <v>60</v>
      </c>
      <c r="K3487" s="2" t="s">
        <v>26</v>
      </c>
      <c r="L3487" s="2">
        <v>4</v>
      </c>
      <c r="M3487" s="2">
        <v>564</v>
      </c>
      <c r="P3487" t="str">
        <f t="shared" si="219"/>
        <v>58%</v>
      </c>
      <c r="Q3487" s="12">
        <f t="shared" si="216"/>
        <v>0.57999999999999996</v>
      </c>
      <c r="R3487" s="9">
        <f t="shared" si="217"/>
        <v>545.58000000000004</v>
      </c>
      <c r="S3487" s="9">
        <f>IF(R3487="",AVERAGEIF(Table1[Category],Table1[[#This Row],[Category]],Table2[orignal data]),Table2[[#This Row],[orignal data]])</f>
        <v>545.58000000000004</v>
      </c>
      <c r="T3487" t="str">
        <f t="shared" si="218"/>
        <v>UNIQUE</v>
      </c>
      <c r="U3487" t="str">
        <f>IF(ISBLANK(Table1[[#This Row],[SizeOption]]),"NOT AVAILABLE",Table1[[#This Row],[SizeOption]])</f>
        <v>S, M, L, XL</v>
      </c>
      <c r="Y3487" t="str">
        <f>IF(Table2[[#This Row],[Column1]]&gt;50%,"HIGH DISCOUNT","LOW DISCOUNT")</f>
        <v>HIGH DISCOUNT</v>
      </c>
    </row>
    <row r="3488" spans="1:25" x14ac:dyDescent="0.25">
      <c r="A3488" s="1" t="s">
        <v>7210</v>
      </c>
      <c r="B3488" s="1">
        <v>7485870</v>
      </c>
      <c r="C3488" s="1" t="s">
        <v>107</v>
      </c>
      <c r="D3488" s="1" t="s">
        <v>41</v>
      </c>
      <c r="E3488" s="1" t="s">
        <v>148</v>
      </c>
      <c r="F3488" s="1" t="s">
        <v>36</v>
      </c>
      <c r="G3488" s="1" t="s">
        <v>7211</v>
      </c>
      <c r="I3488" s="1">
        <v>1399</v>
      </c>
      <c r="J3488" s="1" t="s">
        <v>79</v>
      </c>
      <c r="K3488" s="1" t="s">
        <v>45</v>
      </c>
      <c r="L3488" s="1">
        <v>4.0999999999999996</v>
      </c>
      <c r="M3488" s="1">
        <v>564</v>
      </c>
      <c r="P3488" t="str">
        <f t="shared" si="219"/>
        <v>70%</v>
      </c>
      <c r="Q3488" s="12">
        <f t="shared" si="216"/>
        <v>0.7</v>
      </c>
      <c r="R3488" s="9">
        <f t="shared" si="217"/>
        <v>419.70000000000005</v>
      </c>
      <c r="S3488" s="9">
        <f>IF(R3488="",AVERAGEIF(Table1[Category],Table1[[#This Row],[Category]],Table2[orignal data]),Table2[[#This Row],[orignal data]])</f>
        <v>419.70000000000005</v>
      </c>
      <c r="T3488" t="str">
        <f t="shared" si="218"/>
        <v>UNIQUE</v>
      </c>
      <c r="U3488" t="str">
        <f>IF(ISBLANK(Table1[[#This Row],[SizeOption]]),"NOT AVAILABLE",Table1[[#This Row],[SizeOption]])</f>
        <v>XS, S, M, L, XL</v>
      </c>
      <c r="Y3488" t="str">
        <f>IF(Table2[[#This Row],[Column1]]&gt;50%,"HIGH DISCOUNT","LOW DISCOUNT")</f>
        <v>HIGH DISCOUNT</v>
      </c>
    </row>
    <row r="3489" spans="1:25" x14ac:dyDescent="0.25">
      <c r="A3489" s="2" t="s">
        <v>7212</v>
      </c>
      <c r="B3489" s="2">
        <v>17524906</v>
      </c>
      <c r="C3489" s="2" t="s">
        <v>47</v>
      </c>
      <c r="D3489" s="2" t="s">
        <v>41</v>
      </c>
      <c r="E3489" s="2" t="s">
        <v>42</v>
      </c>
      <c r="F3489" s="2" t="s">
        <v>36</v>
      </c>
      <c r="G3489" s="2" t="s">
        <v>7213</v>
      </c>
      <c r="I3489" s="2">
        <v>1598</v>
      </c>
      <c r="J3489" s="2" t="s">
        <v>84</v>
      </c>
      <c r="K3489" s="2" t="s">
        <v>1234</v>
      </c>
      <c r="L3489" s="2">
        <v>4.3</v>
      </c>
      <c r="M3489" s="2">
        <v>564</v>
      </c>
      <c r="P3489" t="str">
        <f t="shared" si="219"/>
        <v>50%</v>
      </c>
      <c r="Q3489" s="12">
        <f t="shared" si="216"/>
        <v>0.5</v>
      </c>
      <c r="R3489" s="9">
        <f t="shared" si="217"/>
        <v>799</v>
      </c>
      <c r="S3489" s="9">
        <f>IF(R3489="",AVERAGEIF(Table1[Category],Table1[[#This Row],[Category]],Table2[orignal data]),Table2[[#This Row],[orignal data]])</f>
        <v>799</v>
      </c>
      <c r="T3489" t="str">
        <f t="shared" si="218"/>
        <v>UNIQUE</v>
      </c>
      <c r="U3489" t="str">
        <f>IF(ISBLANK(Table1[[#This Row],[SizeOption]]),"NOT AVAILABLE",Table1[[#This Row],[SizeOption]])</f>
        <v>XL, L, M, S, XS</v>
      </c>
      <c r="Y3489" t="str">
        <f>IF(Table2[[#This Row],[Column1]]&gt;50%,"HIGH DISCOUNT","LOW DISCOUNT")</f>
        <v>LOW DISCOUNT</v>
      </c>
    </row>
    <row r="3490" spans="1:25" x14ac:dyDescent="0.25">
      <c r="A3490" s="1" t="s">
        <v>7214</v>
      </c>
      <c r="B3490" s="1">
        <v>13399332</v>
      </c>
      <c r="C3490" s="1" t="s">
        <v>14</v>
      </c>
      <c r="D3490" s="1" t="s">
        <v>41</v>
      </c>
      <c r="E3490" s="1" t="s">
        <v>48</v>
      </c>
      <c r="F3490" s="1" t="s">
        <v>36</v>
      </c>
      <c r="G3490" s="1" t="s">
        <v>7215</v>
      </c>
      <c r="I3490" s="1">
        <v>1699</v>
      </c>
      <c r="J3490" s="1" t="s">
        <v>84</v>
      </c>
      <c r="K3490" s="1" t="s">
        <v>115</v>
      </c>
      <c r="L3490" s="1">
        <v>3.9</v>
      </c>
      <c r="M3490" s="1">
        <v>564</v>
      </c>
      <c r="P3490" t="str">
        <f t="shared" si="219"/>
        <v>50%</v>
      </c>
      <c r="Q3490" s="12">
        <f t="shared" si="216"/>
        <v>0.5</v>
      </c>
      <c r="R3490" s="9">
        <f t="shared" si="217"/>
        <v>849.5</v>
      </c>
      <c r="S3490" s="9">
        <f>IF(R3490="",AVERAGEIF(Table1[Category],Table1[[#This Row],[Category]],Table2[orignal data]),Table2[[#This Row],[orignal data]])</f>
        <v>849.5</v>
      </c>
      <c r="T3490" t="str">
        <f t="shared" si="218"/>
        <v>UNIQUE</v>
      </c>
      <c r="U3490" t="str">
        <f>IF(ISBLANK(Table1[[#This Row],[SizeOption]]),"NOT AVAILABLE",Table1[[#This Row],[SizeOption]])</f>
        <v>XS, S, M, L, XL, XXL</v>
      </c>
      <c r="Y3490" t="str">
        <f>IF(Table2[[#This Row],[Column1]]&gt;50%,"HIGH DISCOUNT","LOW DISCOUNT")</f>
        <v>LOW DISCOUNT</v>
      </c>
    </row>
    <row r="3491" spans="1:25" x14ac:dyDescent="0.25">
      <c r="A3491" s="2" t="s">
        <v>7216</v>
      </c>
      <c r="B3491" s="2">
        <v>11697400</v>
      </c>
      <c r="C3491" s="2" t="s">
        <v>14</v>
      </c>
      <c r="D3491" s="2" t="s">
        <v>41</v>
      </c>
      <c r="E3491" s="2" t="s">
        <v>42</v>
      </c>
      <c r="F3491" s="2" t="s">
        <v>36</v>
      </c>
      <c r="G3491" s="2" t="s">
        <v>7217</v>
      </c>
      <c r="I3491" s="2">
        <v>599</v>
      </c>
      <c r="J3491" s="2" t="s">
        <v>150</v>
      </c>
      <c r="K3491" s="2" t="s">
        <v>45</v>
      </c>
      <c r="L3491" s="2">
        <v>4.4000000000000004</v>
      </c>
      <c r="M3491" s="2">
        <v>564</v>
      </c>
      <c r="P3491" t="str">
        <f t="shared" si="219"/>
        <v>65%</v>
      </c>
      <c r="Q3491" s="12">
        <f t="shared" si="216"/>
        <v>0.65</v>
      </c>
      <c r="R3491" s="9">
        <f t="shared" si="217"/>
        <v>209.64999999999998</v>
      </c>
      <c r="S3491" s="9">
        <f>IF(R3491="",AVERAGEIF(Table1[Category],Table1[[#This Row],[Category]],Table2[orignal data]),Table2[[#This Row],[orignal data]])</f>
        <v>209.64999999999998</v>
      </c>
      <c r="T3491" t="str">
        <f t="shared" si="218"/>
        <v>UNIQUE</v>
      </c>
      <c r="U3491" t="str">
        <f>IF(ISBLANK(Table1[[#This Row],[SizeOption]]),"NOT AVAILABLE",Table1[[#This Row],[SizeOption]])</f>
        <v>XS, S, M, L, XL</v>
      </c>
      <c r="Y3491" t="str">
        <f>IF(Table2[[#This Row],[Column1]]&gt;50%,"HIGH DISCOUNT","LOW DISCOUNT")</f>
        <v>HIGH DISCOUNT</v>
      </c>
    </row>
    <row r="3492" spans="1:25" x14ac:dyDescent="0.25">
      <c r="A3492" s="1" t="s">
        <v>7218</v>
      </c>
      <c r="B3492" s="1">
        <v>8972487</v>
      </c>
      <c r="C3492" s="1" t="s">
        <v>214</v>
      </c>
      <c r="D3492" s="1" t="s">
        <v>41</v>
      </c>
      <c r="E3492" s="1" t="s">
        <v>42</v>
      </c>
      <c r="F3492" s="1" t="s">
        <v>36</v>
      </c>
      <c r="G3492" s="1" t="s">
        <v>7219</v>
      </c>
      <c r="I3492" s="1">
        <v>799</v>
      </c>
      <c r="J3492" s="1" t="s">
        <v>55</v>
      </c>
      <c r="K3492" s="1" t="s">
        <v>45</v>
      </c>
      <c r="L3492" s="1">
        <v>4.5</v>
      </c>
      <c r="M3492" s="1">
        <v>564</v>
      </c>
      <c r="P3492" t="str">
        <f t="shared" si="219"/>
        <v>60%</v>
      </c>
      <c r="Q3492" s="12">
        <f t="shared" si="216"/>
        <v>0.6</v>
      </c>
      <c r="R3492" s="9">
        <f t="shared" si="217"/>
        <v>319.60000000000002</v>
      </c>
      <c r="S3492" s="9">
        <f>IF(R3492="",AVERAGEIF(Table1[Category],Table1[[#This Row],[Category]],Table2[orignal data]),Table2[[#This Row],[orignal data]])</f>
        <v>319.60000000000002</v>
      </c>
      <c r="T3492" t="str">
        <f t="shared" si="218"/>
        <v>UNIQUE</v>
      </c>
      <c r="U3492" t="str">
        <f>IF(ISBLANK(Table1[[#This Row],[SizeOption]]),"NOT AVAILABLE",Table1[[#This Row],[SizeOption]])</f>
        <v>XS, S, M, L, XL</v>
      </c>
      <c r="Y3492" t="str">
        <f>IF(Table2[[#This Row],[Column1]]&gt;50%,"HIGH DISCOUNT","LOW DISCOUNT")</f>
        <v>HIGH DISCOUNT</v>
      </c>
    </row>
    <row r="3493" spans="1:25" x14ac:dyDescent="0.25">
      <c r="A3493" s="2" t="s">
        <v>7220</v>
      </c>
      <c r="B3493" s="2">
        <v>6832299</v>
      </c>
      <c r="C3493" s="2" t="s">
        <v>169</v>
      </c>
      <c r="D3493" s="2" t="s">
        <v>15</v>
      </c>
      <c r="E3493" s="2" t="s">
        <v>16</v>
      </c>
      <c r="F3493" s="2" t="s">
        <v>17</v>
      </c>
      <c r="G3493" s="2" t="s">
        <v>263</v>
      </c>
      <c r="H3493">
        <v>1349</v>
      </c>
      <c r="I3493" s="2">
        <v>2699</v>
      </c>
      <c r="J3493" s="2" t="s">
        <v>84</v>
      </c>
      <c r="K3493" s="2" t="s">
        <v>171</v>
      </c>
      <c r="L3493" s="2">
        <v>3.9</v>
      </c>
      <c r="M3493" s="2">
        <v>563</v>
      </c>
      <c r="P3493" t="str">
        <f t="shared" si="219"/>
        <v>50%</v>
      </c>
      <c r="Q3493" s="12">
        <f t="shared" si="216"/>
        <v>0.5</v>
      </c>
      <c r="R3493" s="9">
        <f t="shared" si="217"/>
        <v>1349.5</v>
      </c>
      <c r="S3493" s="9">
        <f>IF(R3493="",AVERAGEIF(Table1[Category],Table1[[#This Row],[Category]],Table2[orignal data]),Table2[[#This Row],[orignal data]])</f>
        <v>1349.5</v>
      </c>
      <c r="T3493" t="str">
        <f t="shared" si="218"/>
        <v>UNIQUE</v>
      </c>
      <c r="U3493" t="str">
        <f>IF(ISBLANK(Table1[[#This Row],[SizeOption]]),"NOT AVAILABLE",Table1[[#This Row],[SizeOption]])</f>
        <v>28, 30, 32, 34, 36, 38</v>
      </c>
      <c r="Y3493" t="str">
        <f>IF(Table2[[#This Row],[Column1]]&gt;50%,"HIGH DISCOUNT","LOW DISCOUNT")</f>
        <v>LOW DISCOUNT</v>
      </c>
    </row>
    <row r="3494" spans="1:25" x14ac:dyDescent="0.25">
      <c r="A3494" s="1" t="s">
        <v>7221</v>
      </c>
      <c r="B3494" s="1">
        <v>12836256</v>
      </c>
      <c r="C3494" s="1" t="s">
        <v>52</v>
      </c>
      <c r="D3494" s="1" t="s">
        <v>15</v>
      </c>
      <c r="E3494" s="1" t="s">
        <v>16</v>
      </c>
      <c r="F3494" s="1" t="s">
        <v>17</v>
      </c>
      <c r="G3494" s="1" t="s">
        <v>7222</v>
      </c>
      <c r="H3494">
        <v>704</v>
      </c>
      <c r="I3494" s="1">
        <v>1499</v>
      </c>
      <c r="J3494" s="1" t="s">
        <v>89</v>
      </c>
      <c r="K3494" s="1" t="s">
        <v>816</v>
      </c>
      <c r="L3494" s="1">
        <v>3.8</v>
      </c>
      <c r="M3494" s="1">
        <v>563</v>
      </c>
      <c r="P3494" t="str">
        <f t="shared" si="219"/>
        <v>53%</v>
      </c>
      <c r="Q3494" s="12">
        <f t="shared" si="216"/>
        <v>0.53</v>
      </c>
      <c r="R3494" s="9">
        <f t="shared" si="217"/>
        <v>704.53</v>
      </c>
      <c r="S3494" s="9">
        <f>IF(R3494="",AVERAGEIF(Table1[Category],Table1[[#This Row],[Category]],Table2[orignal data]),Table2[[#This Row],[orignal data]])</f>
        <v>704.53</v>
      </c>
      <c r="T3494" t="str">
        <f t="shared" si="218"/>
        <v>UNIQUE</v>
      </c>
      <c r="U3494" t="str">
        <f>IF(ISBLANK(Table1[[#This Row],[SizeOption]]),"NOT AVAILABLE",Table1[[#This Row],[SizeOption]])</f>
        <v>30, 32, 34, 36, 38</v>
      </c>
      <c r="Y3494" t="str">
        <f>IF(Table2[[#This Row],[Column1]]&gt;50%,"HIGH DISCOUNT","LOW DISCOUNT")</f>
        <v>HIGH DISCOUNT</v>
      </c>
    </row>
    <row r="3495" spans="1:25" x14ac:dyDescent="0.25">
      <c r="A3495" s="2" t="s">
        <v>7223</v>
      </c>
      <c r="B3495" s="2">
        <v>10928636</v>
      </c>
      <c r="C3495" s="2" t="s">
        <v>7224</v>
      </c>
      <c r="D3495" s="2" t="s">
        <v>197</v>
      </c>
      <c r="E3495" s="2" t="s">
        <v>198</v>
      </c>
      <c r="F3495" s="2" t="s">
        <v>17</v>
      </c>
      <c r="G3495" s="2" t="s">
        <v>7225</v>
      </c>
      <c r="H3495">
        <v>263</v>
      </c>
      <c r="I3495" s="2">
        <v>599</v>
      </c>
      <c r="J3495" s="2" t="s">
        <v>1204</v>
      </c>
      <c r="K3495" s="2" t="s">
        <v>164</v>
      </c>
      <c r="L3495" s="2">
        <v>4.5</v>
      </c>
      <c r="M3495" s="2">
        <v>563</v>
      </c>
      <c r="P3495" t="str">
        <f t="shared" si="219"/>
        <v>56%</v>
      </c>
      <c r="Q3495" s="12">
        <f t="shared" si="216"/>
        <v>0.56000000000000005</v>
      </c>
      <c r="R3495" s="9">
        <f t="shared" si="217"/>
        <v>263.55999999999995</v>
      </c>
      <c r="S3495" s="9">
        <f>IF(R3495="",AVERAGEIF(Table1[Category],Table1[[#This Row],[Category]],Table2[orignal data]),Table2[[#This Row],[orignal data]])</f>
        <v>263.55999999999995</v>
      </c>
      <c r="T3495" t="str">
        <f t="shared" si="218"/>
        <v>UNIQUE</v>
      </c>
      <c r="U3495" t="str">
        <f>IF(ISBLANK(Table1[[#This Row],[SizeOption]]),"NOT AVAILABLE",Table1[[#This Row],[SizeOption]])</f>
        <v>Onesize</v>
      </c>
      <c r="Y3495" t="str">
        <f>IF(Table2[[#This Row],[Column1]]&gt;50%,"HIGH DISCOUNT","LOW DISCOUNT")</f>
        <v>HIGH DISCOUNT</v>
      </c>
    </row>
    <row r="3496" spans="1:25" x14ac:dyDescent="0.25">
      <c r="A3496" s="1" t="s">
        <v>7226</v>
      </c>
      <c r="B3496" s="1">
        <v>10885120</v>
      </c>
      <c r="C3496" s="1" t="s">
        <v>420</v>
      </c>
      <c r="D3496" s="1" t="s">
        <v>28</v>
      </c>
      <c r="E3496" s="1" t="s">
        <v>306</v>
      </c>
      <c r="F3496" s="1" t="s">
        <v>17</v>
      </c>
      <c r="G3496" s="1" t="s">
        <v>7227</v>
      </c>
      <c r="H3496">
        <v>730</v>
      </c>
      <c r="I3496" s="1">
        <v>1699</v>
      </c>
      <c r="J3496" s="1" t="s">
        <v>130</v>
      </c>
      <c r="K3496" s="1" t="s">
        <v>26</v>
      </c>
      <c r="L3496" s="1">
        <v>4.2</v>
      </c>
      <c r="M3496" s="1">
        <v>563</v>
      </c>
      <c r="P3496" t="str">
        <f t="shared" si="219"/>
        <v>57%</v>
      </c>
      <c r="Q3496" s="12">
        <f t="shared" si="216"/>
        <v>0.56999999999999995</v>
      </c>
      <c r="R3496" s="9">
        <f t="shared" si="217"/>
        <v>730.57</v>
      </c>
      <c r="S3496" s="9">
        <f>IF(R3496="",AVERAGEIF(Table1[Category],Table1[[#This Row],[Category]],Table2[orignal data]),Table2[[#This Row],[orignal data]])</f>
        <v>730.57</v>
      </c>
      <c r="T3496" t="str">
        <f t="shared" si="218"/>
        <v>UNIQUE</v>
      </c>
      <c r="U3496" t="str">
        <f>IF(ISBLANK(Table1[[#This Row],[SizeOption]]),"NOT AVAILABLE",Table1[[#This Row],[SizeOption]])</f>
        <v>S, M, L, XL</v>
      </c>
      <c r="Y3496" t="str">
        <f>IF(Table2[[#This Row],[Column1]]&gt;50%,"HIGH DISCOUNT","LOW DISCOUNT")</f>
        <v>HIGH DISCOUNT</v>
      </c>
    </row>
    <row r="3497" spans="1:25" x14ac:dyDescent="0.25">
      <c r="A3497" s="2" t="s">
        <v>7228</v>
      </c>
      <c r="B3497" s="2">
        <v>1725285</v>
      </c>
      <c r="C3497" s="2" t="s">
        <v>14</v>
      </c>
      <c r="D3497" s="2" t="s">
        <v>28</v>
      </c>
      <c r="E3497" s="2" t="s">
        <v>29</v>
      </c>
      <c r="F3497" s="2" t="s">
        <v>17</v>
      </c>
      <c r="G3497" s="2" t="s">
        <v>7229</v>
      </c>
      <c r="H3497">
        <v>679</v>
      </c>
      <c r="I3497" s="2">
        <v>1699</v>
      </c>
      <c r="J3497" s="2" t="s">
        <v>55</v>
      </c>
      <c r="K3497" s="2" t="s">
        <v>253</v>
      </c>
      <c r="L3497" s="2">
        <v>4.2</v>
      </c>
      <c r="M3497" s="2">
        <v>563</v>
      </c>
      <c r="P3497" t="str">
        <f t="shared" si="219"/>
        <v>60%</v>
      </c>
      <c r="Q3497" s="12">
        <f t="shared" si="216"/>
        <v>0.6</v>
      </c>
      <c r="R3497" s="9">
        <f t="shared" si="217"/>
        <v>679.6</v>
      </c>
      <c r="S3497" s="9">
        <f>IF(R3497="",AVERAGEIF(Table1[Category],Table1[[#This Row],[Category]],Table2[orignal data]),Table2[[#This Row],[orignal data]])</f>
        <v>679.6</v>
      </c>
      <c r="T3497" t="str">
        <f t="shared" si="218"/>
        <v>UNIQUE</v>
      </c>
      <c r="U3497" t="str">
        <f>IF(ISBLANK(Table1[[#This Row],[SizeOption]]),"NOT AVAILABLE",Table1[[#This Row],[SizeOption]])</f>
        <v>38, 40, 42, 44</v>
      </c>
      <c r="Y3497" t="str">
        <f>IF(Table2[[#This Row],[Column1]]&gt;50%,"HIGH DISCOUNT","LOW DISCOUNT")</f>
        <v>HIGH DISCOUNT</v>
      </c>
    </row>
    <row r="3498" spans="1:25" x14ac:dyDescent="0.25">
      <c r="A3498" s="1" t="s">
        <v>7230</v>
      </c>
      <c r="B3498" s="1">
        <v>11896046</v>
      </c>
      <c r="C3498" s="1" t="s">
        <v>14</v>
      </c>
      <c r="D3498" s="1" t="s">
        <v>28</v>
      </c>
      <c r="E3498" s="1" t="s">
        <v>29</v>
      </c>
      <c r="F3498" s="1" t="s">
        <v>17</v>
      </c>
      <c r="G3498" s="1" t="s">
        <v>7231</v>
      </c>
      <c r="H3498">
        <v>499</v>
      </c>
      <c r="I3498" s="1">
        <v>999</v>
      </c>
      <c r="J3498" s="1" t="s">
        <v>84</v>
      </c>
      <c r="K3498" s="1" t="s">
        <v>253</v>
      </c>
      <c r="L3498" s="1">
        <v>4.3</v>
      </c>
      <c r="M3498" s="1">
        <v>563</v>
      </c>
      <c r="P3498" t="str">
        <f t="shared" si="219"/>
        <v>50%</v>
      </c>
      <c r="Q3498" s="12">
        <f t="shared" si="216"/>
        <v>0.5</v>
      </c>
      <c r="R3498" s="9">
        <f t="shared" si="217"/>
        <v>499.5</v>
      </c>
      <c r="S3498" s="9">
        <f>IF(R3498="",AVERAGEIF(Table1[Category],Table1[[#This Row],[Category]],Table2[orignal data]),Table2[[#This Row],[orignal data]])</f>
        <v>499.5</v>
      </c>
      <c r="T3498" t="str">
        <f t="shared" si="218"/>
        <v>UNIQUE</v>
      </c>
      <c r="U3498" t="str">
        <f>IF(ISBLANK(Table1[[#This Row],[SizeOption]]),"NOT AVAILABLE",Table1[[#This Row],[SizeOption]])</f>
        <v>38, 40, 42, 44</v>
      </c>
      <c r="Y3498" t="str">
        <f>IF(Table2[[#This Row],[Column1]]&gt;50%,"HIGH DISCOUNT","LOW DISCOUNT")</f>
        <v>LOW DISCOUNT</v>
      </c>
    </row>
    <row r="3499" spans="1:25" x14ac:dyDescent="0.25">
      <c r="A3499" s="2" t="s">
        <v>7232</v>
      </c>
      <c r="B3499" s="2">
        <v>7782990</v>
      </c>
      <c r="C3499" s="2" t="s">
        <v>33</v>
      </c>
      <c r="D3499" s="2" t="s">
        <v>34</v>
      </c>
      <c r="E3499" s="2" t="s">
        <v>118</v>
      </c>
      <c r="F3499" s="2" t="s">
        <v>36</v>
      </c>
      <c r="G3499" s="2" t="s">
        <v>7233</v>
      </c>
      <c r="H3499">
        <v>906</v>
      </c>
      <c r="I3499" s="2">
        <v>1295</v>
      </c>
      <c r="J3499" s="2" t="s">
        <v>186</v>
      </c>
      <c r="K3499" s="2" t="s">
        <v>7234</v>
      </c>
      <c r="L3499" s="2">
        <v>4.5</v>
      </c>
      <c r="M3499" s="2">
        <v>563</v>
      </c>
      <c r="P3499" t="str">
        <f t="shared" si="219"/>
        <v>30%</v>
      </c>
      <c r="Q3499" s="12">
        <f t="shared" si="216"/>
        <v>0.3</v>
      </c>
      <c r="R3499" s="9">
        <f t="shared" si="217"/>
        <v>906.5</v>
      </c>
      <c r="S3499" s="9">
        <f>IF(R3499="",AVERAGEIF(Table1[Category],Table1[[#This Row],[Category]],Table2[orignal data]),Table2[[#This Row],[orignal data]])</f>
        <v>906.5</v>
      </c>
      <c r="T3499" t="str">
        <f t="shared" si="218"/>
        <v>UNIQUE</v>
      </c>
      <c r="U3499" t="str">
        <f>IF(ISBLANK(Table1[[#This Row],[SizeOption]]),"NOT AVAILABLE",Table1[[#This Row],[SizeOption]])</f>
        <v>32B, 32C, 32D, 32DD, 34B, 34C, 34D, 34DD, 36B, 36C, 36D, 36DD, 38B, 38C, 38D</v>
      </c>
      <c r="Y3499" t="str">
        <f>IF(Table2[[#This Row],[Column1]]&gt;50%,"HIGH DISCOUNT","LOW DISCOUNT")</f>
        <v>LOW DISCOUNT</v>
      </c>
    </row>
    <row r="3500" spans="1:25" x14ac:dyDescent="0.25">
      <c r="A3500" s="1" t="s">
        <v>7235</v>
      </c>
      <c r="B3500" s="1">
        <v>13984240</v>
      </c>
      <c r="C3500" s="1" t="s">
        <v>6723</v>
      </c>
      <c r="D3500" s="1" t="s">
        <v>34</v>
      </c>
      <c r="E3500" s="1" t="s">
        <v>518</v>
      </c>
      <c r="F3500" s="1" t="s">
        <v>36</v>
      </c>
      <c r="G3500" s="1" t="s">
        <v>7236</v>
      </c>
      <c r="I3500" s="1">
        <v>499</v>
      </c>
      <c r="J3500" s="1"/>
      <c r="K3500" s="1" t="s">
        <v>115</v>
      </c>
      <c r="L3500" s="1">
        <v>4.4000000000000004</v>
      </c>
      <c r="M3500" s="1">
        <v>563</v>
      </c>
      <c r="P3500" t="str">
        <f t="shared" si="219"/>
        <v/>
      </c>
      <c r="Q3500" s="12" t="str">
        <f t="shared" si="216"/>
        <v/>
      </c>
      <c r="R3500" s="9" t="str">
        <f t="shared" si="217"/>
        <v/>
      </c>
      <c r="S3500" s="9">
        <f>IF(R3500="",AVERAGEIF(Table1[Category],Table1[[#This Row],[Category]],Table2[orignal data]),Table2[[#This Row],[orignal data]])</f>
        <v>608.88518518518481</v>
      </c>
      <c r="T3500" t="str">
        <f t="shared" si="218"/>
        <v>UNIQUE</v>
      </c>
      <c r="U3500" t="str">
        <f>IF(ISBLANK(Table1[[#This Row],[SizeOption]]),"NOT AVAILABLE",Table1[[#This Row],[SizeOption]])</f>
        <v>XS, S, M, L, XL, XXL</v>
      </c>
      <c r="Y3500" t="str">
        <f>IF(Table2[[#This Row],[Column1]]&gt;50%,"HIGH DISCOUNT","LOW DISCOUNT")</f>
        <v>HIGH DISCOUNT</v>
      </c>
    </row>
    <row r="3501" spans="1:25" x14ac:dyDescent="0.25">
      <c r="A3501" s="2" t="s">
        <v>7237</v>
      </c>
      <c r="B3501" s="2">
        <v>8349007</v>
      </c>
      <c r="C3501" s="2" t="s">
        <v>97</v>
      </c>
      <c r="D3501" s="2" t="s">
        <v>98</v>
      </c>
      <c r="E3501" s="2" t="s">
        <v>77</v>
      </c>
      <c r="F3501" s="2" t="s">
        <v>36</v>
      </c>
      <c r="G3501" s="2" t="s">
        <v>7238</v>
      </c>
      <c r="H3501">
        <v>959</v>
      </c>
      <c r="I3501" s="2">
        <v>2399</v>
      </c>
      <c r="J3501" s="2" t="s">
        <v>55</v>
      </c>
      <c r="K3501" s="2" t="s">
        <v>100</v>
      </c>
      <c r="L3501" s="2">
        <v>4.0999999999999996</v>
      </c>
      <c r="M3501" s="2">
        <v>563</v>
      </c>
      <c r="P3501" t="str">
        <f t="shared" si="219"/>
        <v>60%</v>
      </c>
      <c r="Q3501" s="12">
        <f t="shared" si="216"/>
        <v>0.6</v>
      </c>
      <c r="R3501" s="9">
        <f t="shared" si="217"/>
        <v>959.60000000000014</v>
      </c>
      <c r="S3501" s="9">
        <f>IF(R3501="",AVERAGEIF(Table1[Category],Table1[[#This Row],[Category]],Table2[orignal data]),Table2[[#This Row],[orignal data]])</f>
        <v>959.60000000000014</v>
      </c>
      <c r="T3501" t="str">
        <f t="shared" si="218"/>
        <v>UNIQUE</v>
      </c>
      <c r="U3501" t="str">
        <f>IF(ISBLANK(Table1[[#This Row],[SizeOption]]),"NOT AVAILABLE",Table1[[#This Row],[SizeOption]])</f>
        <v>XS, S, M, L, XL, XXL, 3XL</v>
      </c>
      <c r="Y3501" t="str">
        <f>IF(Table2[[#This Row],[Column1]]&gt;50%,"HIGH DISCOUNT","LOW DISCOUNT")</f>
        <v>HIGH DISCOUNT</v>
      </c>
    </row>
    <row r="3502" spans="1:25" x14ac:dyDescent="0.25">
      <c r="A3502" s="1" t="s">
        <v>7239</v>
      </c>
      <c r="B3502" s="1">
        <v>13904130</v>
      </c>
      <c r="C3502" s="1" t="s">
        <v>81</v>
      </c>
      <c r="D3502" s="1" t="s">
        <v>41</v>
      </c>
      <c r="E3502" s="1" t="s">
        <v>148</v>
      </c>
      <c r="F3502" s="1" t="s">
        <v>36</v>
      </c>
      <c r="G3502" s="1" t="s">
        <v>7240</v>
      </c>
      <c r="I3502" s="1">
        <v>2499</v>
      </c>
      <c r="J3502" s="1" t="s">
        <v>130</v>
      </c>
      <c r="K3502" s="1" t="s">
        <v>115</v>
      </c>
      <c r="L3502" s="1">
        <v>4.4000000000000004</v>
      </c>
      <c r="M3502" s="1">
        <v>563</v>
      </c>
      <c r="P3502" t="str">
        <f t="shared" si="219"/>
        <v>57%</v>
      </c>
      <c r="Q3502" s="12">
        <f t="shared" si="216"/>
        <v>0.56999999999999995</v>
      </c>
      <c r="R3502" s="9">
        <f t="shared" si="217"/>
        <v>1074.5700000000002</v>
      </c>
      <c r="S3502" s="9">
        <f>IF(R3502="",AVERAGEIF(Table1[Category],Table1[[#This Row],[Category]],Table2[orignal data]),Table2[[#This Row],[orignal data]])</f>
        <v>1074.5700000000002</v>
      </c>
      <c r="T3502" t="str">
        <f t="shared" si="218"/>
        <v>UNIQUE</v>
      </c>
      <c r="U3502" t="str">
        <f>IF(ISBLANK(Table1[[#This Row],[SizeOption]]),"NOT AVAILABLE",Table1[[#This Row],[SizeOption]])</f>
        <v>XS, S, M, L, XL, XXL</v>
      </c>
      <c r="Y3502" t="str">
        <f>IF(Table2[[#This Row],[Column1]]&gt;50%,"HIGH DISCOUNT","LOW DISCOUNT")</f>
        <v>HIGH DISCOUNT</v>
      </c>
    </row>
    <row r="3503" spans="1:25" x14ac:dyDescent="0.25">
      <c r="A3503" s="2" t="s">
        <v>7241</v>
      </c>
      <c r="B3503" s="2">
        <v>13512712</v>
      </c>
      <c r="C3503" s="2" t="s">
        <v>541</v>
      </c>
      <c r="D3503" s="2" t="s">
        <v>41</v>
      </c>
      <c r="E3503" s="2" t="s">
        <v>148</v>
      </c>
      <c r="F3503" s="2" t="s">
        <v>36</v>
      </c>
      <c r="G3503" s="2" t="s">
        <v>7242</v>
      </c>
      <c r="I3503" s="2">
        <v>2499</v>
      </c>
      <c r="J3503" s="2" t="s">
        <v>1377</v>
      </c>
      <c r="K3503" s="2" t="s">
        <v>39</v>
      </c>
      <c r="L3503" s="2">
        <v>4.0999999999999996</v>
      </c>
      <c r="M3503" s="2">
        <v>563</v>
      </c>
      <c r="P3503" t="str">
        <f t="shared" si="219"/>
        <v>72%</v>
      </c>
      <c r="Q3503" s="12">
        <f t="shared" si="216"/>
        <v>0.72</v>
      </c>
      <c r="R3503" s="9">
        <f t="shared" si="217"/>
        <v>699.72</v>
      </c>
      <c r="S3503" s="9">
        <f>IF(R3503="",AVERAGEIF(Table1[Category],Table1[[#This Row],[Category]],Table2[orignal data]),Table2[[#This Row],[orignal data]])</f>
        <v>699.72</v>
      </c>
      <c r="T3503" t="str">
        <f t="shared" si="218"/>
        <v>UNIQUE</v>
      </c>
      <c r="U3503" t="str">
        <f>IF(ISBLANK(Table1[[#This Row],[SizeOption]]),"NOT AVAILABLE",Table1[[#This Row],[SizeOption]])</f>
        <v>S, M, L, XL, XXL</v>
      </c>
      <c r="Y3503" t="str">
        <f>IF(Table2[[#This Row],[Column1]]&gt;50%,"HIGH DISCOUNT","LOW DISCOUNT")</f>
        <v>HIGH DISCOUNT</v>
      </c>
    </row>
    <row r="3504" spans="1:25" x14ac:dyDescent="0.25">
      <c r="A3504" s="1" t="s">
        <v>7243</v>
      </c>
      <c r="B3504" s="1">
        <v>11489640</v>
      </c>
      <c r="C3504" s="1" t="s">
        <v>14</v>
      </c>
      <c r="D3504" s="1" t="s">
        <v>41</v>
      </c>
      <c r="E3504" s="1" t="s">
        <v>137</v>
      </c>
      <c r="F3504" s="1" t="s">
        <v>36</v>
      </c>
      <c r="G3504" s="1" t="s">
        <v>7244</v>
      </c>
      <c r="I3504" s="1">
        <v>999</v>
      </c>
      <c r="J3504" s="1" t="s">
        <v>186</v>
      </c>
      <c r="K3504" s="1" t="s">
        <v>134</v>
      </c>
      <c r="L3504" s="1">
        <v>4.4000000000000004</v>
      </c>
      <c r="M3504" s="1">
        <v>563</v>
      </c>
      <c r="P3504" t="str">
        <f t="shared" si="219"/>
        <v>30%</v>
      </c>
      <c r="Q3504" s="12">
        <f t="shared" si="216"/>
        <v>0.3</v>
      </c>
      <c r="R3504" s="9">
        <f t="shared" si="217"/>
        <v>699.3</v>
      </c>
      <c r="S3504" s="9">
        <f>IF(R3504="",AVERAGEIF(Table1[Category],Table1[[#This Row],[Category]],Table2[orignal data]),Table2[[#This Row],[orignal data]])</f>
        <v>699.3</v>
      </c>
      <c r="T3504" t="str">
        <f t="shared" si="218"/>
        <v>UNIQUE</v>
      </c>
      <c r="U3504" t="str">
        <f>IF(ISBLANK(Table1[[#This Row],[SizeOption]]),"NOT AVAILABLE",Table1[[#This Row],[SizeOption]])</f>
        <v>26, 28, 30, 32, 34, 36</v>
      </c>
      <c r="Y3504" t="str">
        <f>IF(Table2[[#This Row],[Column1]]&gt;50%,"HIGH DISCOUNT","LOW DISCOUNT")</f>
        <v>LOW DISCOUNT</v>
      </c>
    </row>
    <row r="3505" spans="1:25" x14ac:dyDescent="0.25">
      <c r="A3505" s="2" t="s">
        <v>7245</v>
      </c>
      <c r="B3505" s="2">
        <v>9270801</v>
      </c>
      <c r="C3505" s="2" t="s">
        <v>14</v>
      </c>
      <c r="D3505" s="2" t="s">
        <v>15</v>
      </c>
      <c r="E3505" s="2" t="s">
        <v>16</v>
      </c>
      <c r="F3505" s="2" t="s">
        <v>17</v>
      </c>
      <c r="G3505" s="2" t="s">
        <v>7246</v>
      </c>
      <c r="I3505" s="2">
        <v>1999</v>
      </c>
      <c r="J3505" s="2"/>
      <c r="K3505" s="2" t="s">
        <v>20</v>
      </c>
      <c r="L3505" s="2">
        <v>3.9</v>
      </c>
      <c r="M3505" s="2">
        <v>562</v>
      </c>
      <c r="P3505" t="str">
        <f t="shared" si="219"/>
        <v/>
      </c>
      <c r="Q3505" s="12" t="str">
        <f t="shared" si="216"/>
        <v/>
      </c>
      <c r="R3505" s="9" t="str">
        <f t="shared" si="217"/>
        <v/>
      </c>
      <c r="S3505" s="9">
        <f>IF(R3505="",AVERAGEIF(Table1[Category],Table1[[#This Row],[Category]],Table2[orignal data]),Table2[[#This Row],[orignal data]])</f>
        <v>892.27590339892538</v>
      </c>
      <c r="T3505" t="str">
        <f t="shared" si="218"/>
        <v>UNIQUE</v>
      </c>
      <c r="U3505" t="str">
        <f>IF(ISBLANK(Table1[[#This Row],[SizeOption]]),"NOT AVAILABLE",Table1[[#This Row],[SizeOption]])</f>
        <v>28, 30, 32, 34, 36</v>
      </c>
      <c r="Y3505" t="str">
        <f>IF(Table2[[#This Row],[Column1]]&gt;50%,"HIGH DISCOUNT","LOW DISCOUNT")</f>
        <v>HIGH DISCOUNT</v>
      </c>
    </row>
    <row r="3506" spans="1:25" x14ac:dyDescent="0.25">
      <c r="A3506" s="1" t="s">
        <v>7247</v>
      </c>
      <c r="B3506" s="1">
        <v>10139275</v>
      </c>
      <c r="C3506" s="1" t="s">
        <v>3741</v>
      </c>
      <c r="D3506" s="1" t="s">
        <v>68</v>
      </c>
      <c r="E3506" s="1" t="s">
        <v>42</v>
      </c>
      <c r="F3506" s="1" t="s">
        <v>17</v>
      </c>
      <c r="G3506" s="1" t="s">
        <v>7248</v>
      </c>
      <c r="H3506">
        <v>1036</v>
      </c>
      <c r="I3506" s="1">
        <v>1295</v>
      </c>
      <c r="J3506" s="1" t="s">
        <v>412</v>
      </c>
      <c r="K3506" s="1" t="s">
        <v>39</v>
      </c>
      <c r="L3506" s="1">
        <v>4.3</v>
      </c>
      <c r="M3506" s="1">
        <v>562</v>
      </c>
      <c r="P3506" t="str">
        <f t="shared" si="219"/>
        <v>20%</v>
      </c>
      <c r="Q3506" s="12">
        <f t="shared" si="216"/>
        <v>0.2</v>
      </c>
      <c r="R3506" s="9">
        <f t="shared" si="217"/>
        <v>1036</v>
      </c>
      <c r="S3506" s="9">
        <f>IF(R3506="",AVERAGEIF(Table1[Category],Table1[[#This Row],[Category]],Table2[orignal data]),Table2[[#This Row],[orignal data]])</f>
        <v>1036</v>
      </c>
      <c r="T3506" t="str">
        <f t="shared" si="218"/>
        <v>UNIQUE</v>
      </c>
      <c r="U3506" t="str">
        <f>IF(ISBLANK(Table1[[#This Row],[SizeOption]]),"NOT AVAILABLE",Table1[[#This Row],[SizeOption]])</f>
        <v>S, M, L, XL, XXL</v>
      </c>
      <c r="Y3506" t="str">
        <f>IF(Table2[[#This Row],[Column1]]&gt;50%,"HIGH DISCOUNT","LOW DISCOUNT")</f>
        <v>LOW DISCOUNT</v>
      </c>
    </row>
    <row r="3507" spans="1:25" x14ac:dyDescent="0.25">
      <c r="A3507" s="2" t="s">
        <v>7249</v>
      </c>
      <c r="B3507" s="2">
        <v>9713947</v>
      </c>
      <c r="C3507" s="2" t="s">
        <v>14</v>
      </c>
      <c r="D3507" s="2" t="s">
        <v>28</v>
      </c>
      <c r="E3507" s="2" t="s">
        <v>29</v>
      </c>
      <c r="F3507" s="2" t="s">
        <v>17</v>
      </c>
      <c r="G3507" s="2" t="s">
        <v>7250</v>
      </c>
      <c r="H3507">
        <v>599</v>
      </c>
      <c r="I3507" s="2">
        <v>1199</v>
      </c>
      <c r="J3507" s="2" t="s">
        <v>84</v>
      </c>
      <c r="K3507" s="2" t="s">
        <v>253</v>
      </c>
      <c r="L3507" s="2">
        <v>4.2</v>
      </c>
      <c r="M3507" s="2">
        <v>562</v>
      </c>
      <c r="P3507" t="str">
        <f t="shared" si="219"/>
        <v>50%</v>
      </c>
      <c r="Q3507" s="12">
        <f t="shared" si="216"/>
        <v>0.5</v>
      </c>
      <c r="R3507" s="9">
        <f t="shared" si="217"/>
        <v>599.5</v>
      </c>
      <c r="S3507" s="9">
        <f>IF(R3507="",AVERAGEIF(Table1[Category],Table1[[#This Row],[Category]],Table2[orignal data]),Table2[[#This Row],[orignal data]])</f>
        <v>599.5</v>
      </c>
      <c r="T3507" t="str">
        <f t="shared" si="218"/>
        <v>UNIQUE</v>
      </c>
      <c r="U3507" t="str">
        <f>IF(ISBLANK(Table1[[#This Row],[SizeOption]]),"NOT AVAILABLE",Table1[[#This Row],[SizeOption]])</f>
        <v>38, 40, 42, 44</v>
      </c>
      <c r="Y3507" t="str">
        <f>IF(Table2[[#This Row],[Column1]]&gt;50%,"HIGH DISCOUNT","LOW DISCOUNT")</f>
        <v>LOW DISCOUNT</v>
      </c>
    </row>
    <row r="3508" spans="1:25" x14ac:dyDescent="0.25">
      <c r="A3508" s="1" t="s">
        <v>7251</v>
      </c>
      <c r="B3508" s="1">
        <v>11218092</v>
      </c>
      <c r="C3508" s="1" t="s">
        <v>1176</v>
      </c>
      <c r="D3508" s="1" t="s">
        <v>28</v>
      </c>
      <c r="E3508" s="1" t="s">
        <v>42</v>
      </c>
      <c r="F3508" s="1" t="s">
        <v>17</v>
      </c>
      <c r="G3508" s="1" t="s">
        <v>7252</v>
      </c>
      <c r="H3508">
        <v>553</v>
      </c>
      <c r="I3508" s="1">
        <v>1349</v>
      </c>
      <c r="J3508" s="1" t="s">
        <v>95</v>
      </c>
      <c r="K3508" s="1" t="s">
        <v>26</v>
      </c>
      <c r="L3508" s="1">
        <v>4</v>
      </c>
      <c r="M3508" s="1">
        <v>562</v>
      </c>
      <c r="P3508" t="str">
        <f t="shared" si="219"/>
        <v>59%</v>
      </c>
      <c r="Q3508" s="12">
        <f t="shared" si="216"/>
        <v>0.59</v>
      </c>
      <c r="R3508" s="9">
        <f t="shared" si="217"/>
        <v>553.09</v>
      </c>
      <c r="S3508" s="9">
        <f>IF(R3508="",AVERAGEIF(Table1[Category],Table1[[#This Row],[Category]],Table2[orignal data]),Table2[[#This Row],[orignal data]])</f>
        <v>553.09</v>
      </c>
      <c r="T3508" t="str">
        <f t="shared" si="218"/>
        <v>UNIQUE</v>
      </c>
      <c r="U3508" t="str">
        <f>IF(ISBLANK(Table1[[#This Row],[SizeOption]]),"NOT AVAILABLE",Table1[[#This Row],[SizeOption]])</f>
        <v>S, M, L, XL</v>
      </c>
      <c r="Y3508" t="str">
        <f>IF(Table2[[#This Row],[Column1]]&gt;50%,"HIGH DISCOUNT","LOW DISCOUNT")</f>
        <v>HIGH DISCOUNT</v>
      </c>
    </row>
    <row r="3509" spans="1:25" x14ac:dyDescent="0.25">
      <c r="A3509" s="2" t="s">
        <v>7253</v>
      </c>
      <c r="B3509" s="2">
        <v>9680391</v>
      </c>
      <c r="C3509" s="2" t="s">
        <v>14</v>
      </c>
      <c r="D3509" s="2" t="s">
        <v>28</v>
      </c>
      <c r="E3509" s="2" t="s">
        <v>29</v>
      </c>
      <c r="F3509" s="2" t="s">
        <v>17</v>
      </c>
      <c r="G3509" s="2" t="s">
        <v>7254</v>
      </c>
      <c r="H3509">
        <v>854</v>
      </c>
      <c r="I3509" s="2">
        <v>1899</v>
      </c>
      <c r="J3509" s="2" t="s">
        <v>25</v>
      </c>
      <c r="K3509" s="2" t="s">
        <v>31</v>
      </c>
      <c r="L3509" s="2">
        <v>4.0999999999999996</v>
      </c>
      <c r="M3509" s="2">
        <v>562</v>
      </c>
      <c r="P3509" t="str">
        <f t="shared" si="219"/>
        <v>55%</v>
      </c>
      <c r="Q3509" s="12">
        <f t="shared" si="216"/>
        <v>0.55000000000000004</v>
      </c>
      <c r="R3509" s="9">
        <f t="shared" si="217"/>
        <v>854.55</v>
      </c>
      <c r="S3509" s="9">
        <f>IF(R3509="",AVERAGEIF(Table1[Category],Table1[[#This Row],[Category]],Table2[orignal data]),Table2[[#This Row],[orignal data]])</f>
        <v>854.55</v>
      </c>
      <c r="T3509" t="str">
        <f t="shared" si="218"/>
        <v>UNIQUE</v>
      </c>
      <c r="U3509" t="str">
        <f>IF(ISBLANK(Table1[[#This Row],[SizeOption]]),"NOT AVAILABLE",Table1[[#This Row],[SizeOption]])</f>
        <v>38, 40, 42, 44, 46, 48</v>
      </c>
      <c r="Y3509" t="str">
        <f>IF(Table2[[#This Row],[Column1]]&gt;50%,"HIGH DISCOUNT","LOW DISCOUNT")</f>
        <v>HIGH DISCOUNT</v>
      </c>
    </row>
    <row r="3510" spans="1:25" x14ac:dyDescent="0.25">
      <c r="A3510" s="1" t="s">
        <v>7255</v>
      </c>
      <c r="B3510" s="1">
        <v>8363133</v>
      </c>
      <c r="C3510" s="1" t="s">
        <v>346</v>
      </c>
      <c r="D3510" s="1" t="s">
        <v>28</v>
      </c>
      <c r="E3510" s="1" t="s">
        <v>42</v>
      </c>
      <c r="F3510" s="1" t="s">
        <v>17</v>
      </c>
      <c r="G3510" s="1" t="s">
        <v>7256</v>
      </c>
      <c r="H3510">
        <v>314</v>
      </c>
      <c r="I3510" s="1">
        <v>699</v>
      </c>
      <c r="J3510" s="1" t="s">
        <v>25</v>
      </c>
      <c r="K3510" s="1" t="s">
        <v>39</v>
      </c>
      <c r="L3510" s="1">
        <v>4</v>
      </c>
      <c r="M3510" s="1">
        <v>562</v>
      </c>
      <c r="P3510" t="str">
        <f t="shared" si="219"/>
        <v>55%</v>
      </c>
      <c r="Q3510" s="12">
        <f t="shared" si="216"/>
        <v>0.55000000000000004</v>
      </c>
      <c r="R3510" s="9">
        <f t="shared" si="217"/>
        <v>314.54999999999995</v>
      </c>
      <c r="S3510" s="9">
        <f>IF(R3510="",AVERAGEIF(Table1[Category],Table1[[#This Row],[Category]],Table2[orignal data]),Table2[[#This Row],[orignal data]])</f>
        <v>314.54999999999995</v>
      </c>
      <c r="T3510" t="str">
        <f t="shared" si="218"/>
        <v>UNIQUE</v>
      </c>
      <c r="U3510" t="str">
        <f>IF(ISBLANK(Table1[[#This Row],[SizeOption]]),"NOT AVAILABLE",Table1[[#This Row],[SizeOption]])</f>
        <v>S, M, L, XL, XXL</v>
      </c>
      <c r="Y3510" t="str">
        <f>IF(Table2[[#This Row],[Column1]]&gt;50%,"HIGH DISCOUNT","LOW DISCOUNT")</f>
        <v>HIGH DISCOUNT</v>
      </c>
    </row>
    <row r="3511" spans="1:25" x14ac:dyDescent="0.25">
      <c r="A3511" s="2" t="s">
        <v>7257</v>
      </c>
      <c r="B3511" s="2">
        <v>13238394</v>
      </c>
      <c r="C3511" s="2" t="s">
        <v>113</v>
      </c>
      <c r="D3511" s="2" t="s">
        <v>76</v>
      </c>
      <c r="E3511" s="2" t="s">
        <v>93</v>
      </c>
      <c r="F3511" s="2" t="s">
        <v>36</v>
      </c>
      <c r="G3511" s="2" t="s">
        <v>7258</v>
      </c>
      <c r="H3511">
        <v>809</v>
      </c>
      <c r="I3511" s="2">
        <v>1799</v>
      </c>
      <c r="J3511" s="2" t="s">
        <v>25</v>
      </c>
      <c r="K3511" s="2" t="s">
        <v>115</v>
      </c>
      <c r="L3511" s="2">
        <v>4</v>
      </c>
      <c r="M3511" s="2">
        <v>562</v>
      </c>
      <c r="P3511" t="str">
        <f t="shared" si="219"/>
        <v>55%</v>
      </c>
      <c r="Q3511" s="12">
        <f t="shared" si="216"/>
        <v>0.55000000000000004</v>
      </c>
      <c r="R3511" s="9">
        <f t="shared" si="217"/>
        <v>809.55</v>
      </c>
      <c r="S3511" s="9">
        <f>IF(R3511="",AVERAGEIF(Table1[Category],Table1[[#This Row],[Category]],Table2[orignal data]),Table2[[#This Row],[orignal data]])</f>
        <v>809.55</v>
      </c>
      <c r="T3511" t="str">
        <f t="shared" si="218"/>
        <v>UNIQUE</v>
      </c>
      <c r="U3511" t="str">
        <f>IF(ISBLANK(Table1[[#This Row],[SizeOption]]),"NOT AVAILABLE",Table1[[#This Row],[SizeOption]])</f>
        <v>XS, S, M, L, XL, XXL</v>
      </c>
      <c r="Y3511" t="str">
        <f>IF(Table2[[#This Row],[Column1]]&gt;50%,"HIGH DISCOUNT","LOW DISCOUNT")</f>
        <v>HIGH DISCOUNT</v>
      </c>
    </row>
    <row r="3512" spans="1:25" x14ac:dyDescent="0.25">
      <c r="A3512" s="1" t="s">
        <v>7259</v>
      </c>
      <c r="B3512" s="1">
        <v>7556600</v>
      </c>
      <c r="C3512" s="1" t="s">
        <v>92</v>
      </c>
      <c r="D3512" s="1" t="s">
        <v>76</v>
      </c>
      <c r="E3512" s="1" t="s">
        <v>148</v>
      </c>
      <c r="F3512" s="1" t="s">
        <v>36</v>
      </c>
      <c r="G3512" s="1" t="s">
        <v>7260</v>
      </c>
      <c r="H3512">
        <v>1270</v>
      </c>
      <c r="I3512" s="1">
        <v>4099</v>
      </c>
      <c r="J3512" s="1" t="s">
        <v>731</v>
      </c>
      <c r="K3512" s="1" t="s">
        <v>39</v>
      </c>
      <c r="L3512" s="1">
        <v>4.0999999999999996</v>
      </c>
      <c r="M3512" s="1">
        <v>562</v>
      </c>
      <c r="P3512" t="str">
        <f t="shared" si="219"/>
        <v>69%</v>
      </c>
      <c r="Q3512" s="12">
        <f t="shared" si="216"/>
        <v>0.69</v>
      </c>
      <c r="R3512" s="9">
        <f t="shared" si="217"/>
        <v>1270.69</v>
      </c>
      <c r="S3512" s="9">
        <f>IF(R3512="",AVERAGEIF(Table1[Category],Table1[[#This Row],[Category]],Table2[orignal data]),Table2[[#This Row],[orignal data]])</f>
        <v>1270.69</v>
      </c>
      <c r="T3512" t="str">
        <f t="shared" si="218"/>
        <v>UNIQUE</v>
      </c>
      <c r="U3512" t="str">
        <f>IF(ISBLANK(Table1[[#This Row],[SizeOption]]),"NOT AVAILABLE",Table1[[#This Row],[SizeOption]])</f>
        <v>S, M, L, XL, XXL</v>
      </c>
      <c r="Y3512" t="str">
        <f>IF(Table2[[#This Row],[Column1]]&gt;50%,"HIGH DISCOUNT","LOW DISCOUNT")</f>
        <v>HIGH DISCOUNT</v>
      </c>
    </row>
    <row r="3513" spans="1:25" x14ac:dyDescent="0.25">
      <c r="A3513" s="2" t="s">
        <v>7261</v>
      </c>
      <c r="B3513" s="2">
        <v>11671564</v>
      </c>
      <c r="C3513" s="2" t="s">
        <v>5273</v>
      </c>
      <c r="D3513" s="2" t="s">
        <v>76</v>
      </c>
      <c r="E3513" s="2" t="s">
        <v>5274</v>
      </c>
      <c r="F3513" s="2" t="s">
        <v>36</v>
      </c>
      <c r="G3513" s="2" t="s">
        <v>7262</v>
      </c>
      <c r="H3513">
        <v>1687</v>
      </c>
      <c r="I3513" s="2">
        <v>5818</v>
      </c>
      <c r="J3513" s="2" t="s">
        <v>279</v>
      </c>
      <c r="K3513" s="2" t="s">
        <v>164</v>
      </c>
      <c r="L3513" s="2">
        <v>4.3</v>
      </c>
      <c r="M3513" s="2">
        <v>562</v>
      </c>
      <c r="P3513" t="str">
        <f t="shared" si="219"/>
        <v>71%</v>
      </c>
      <c r="Q3513" s="12">
        <f t="shared" si="216"/>
        <v>0.71</v>
      </c>
      <c r="R3513" s="9">
        <f t="shared" si="217"/>
        <v>1687.2200000000003</v>
      </c>
      <c r="S3513" s="9">
        <f>IF(R3513="",AVERAGEIF(Table1[Category],Table1[[#This Row],[Category]],Table2[orignal data]),Table2[[#This Row],[orignal data]])</f>
        <v>1687.2200000000003</v>
      </c>
      <c r="T3513" t="str">
        <f t="shared" si="218"/>
        <v>UNIQUE</v>
      </c>
      <c r="U3513" t="str">
        <f>IF(ISBLANK(Table1[[#This Row],[SizeOption]]),"NOT AVAILABLE",Table1[[#This Row],[SizeOption]])</f>
        <v>Onesize</v>
      </c>
      <c r="Y3513" t="str">
        <f>IF(Table2[[#This Row],[Column1]]&gt;50%,"HIGH DISCOUNT","LOW DISCOUNT")</f>
        <v>HIGH DISCOUNT</v>
      </c>
    </row>
    <row r="3514" spans="1:25" x14ac:dyDescent="0.25">
      <c r="A3514" s="1" t="s">
        <v>7263</v>
      </c>
      <c r="B3514" s="1">
        <v>13498724</v>
      </c>
      <c r="C3514" s="1" t="s">
        <v>1592</v>
      </c>
      <c r="D3514" s="1" t="s">
        <v>34</v>
      </c>
      <c r="E3514" s="1" t="s">
        <v>118</v>
      </c>
      <c r="F3514" s="1" t="s">
        <v>36</v>
      </c>
      <c r="G3514" s="1" t="s">
        <v>7264</v>
      </c>
      <c r="H3514">
        <v>539</v>
      </c>
      <c r="I3514" s="1">
        <v>1999</v>
      </c>
      <c r="J3514" s="1" t="s">
        <v>735</v>
      </c>
      <c r="K3514" s="1" t="s">
        <v>1595</v>
      </c>
      <c r="L3514" s="1">
        <v>4.3</v>
      </c>
      <c r="M3514" s="1">
        <v>562</v>
      </c>
      <c r="P3514" t="str">
        <f t="shared" si="219"/>
        <v>73%</v>
      </c>
      <c r="Q3514" s="12">
        <f t="shared" si="216"/>
        <v>0.73</v>
      </c>
      <c r="R3514" s="9">
        <f t="shared" si="217"/>
        <v>539.73</v>
      </c>
      <c r="S3514" s="9">
        <f>IF(R3514="",AVERAGEIF(Table1[Category],Table1[[#This Row],[Category]],Table2[orignal data]),Table2[[#This Row],[orignal data]])</f>
        <v>539.73</v>
      </c>
      <c r="T3514" t="str">
        <f t="shared" si="218"/>
        <v>UNIQUE</v>
      </c>
      <c r="U3514" t="str">
        <f>IF(ISBLANK(Table1[[#This Row],[SizeOption]]),"NOT AVAILABLE",Table1[[#This Row],[SizeOption]])</f>
        <v>28B, 30B, 32B, 34B, 36B, 38B, 40B</v>
      </c>
      <c r="Y3514" t="str">
        <f>IF(Table2[[#This Row],[Column1]]&gt;50%,"HIGH DISCOUNT","LOW DISCOUNT")</f>
        <v>HIGH DISCOUNT</v>
      </c>
    </row>
    <row r="3515" spans="1:25" x14ac:dyDescent="0.25">
      <c r="A3515" s="2" t="s">
        <v>7265</v>
      </c>
      <c r="B3515" s="2">
        <v>6030521</v>
      </c>
      <c r="C3515" s="2" t="s">
        <v>64</v>
      </c>
      <c r="D3515" s="2" t="s">
        <v>98</v>
      </c>
      <c r="E3515" s="2" t="s">
        <v>16</v>
      </c>
      <c r="F3515" s="2" t="s">
        <v>36</v>
      </c>
      <c r="G3515" s="2" t="s">
        <v>7266</v>
      </c>
      <c r="H3515">
        <v>764</v>
      </c>
      <c r="I3515" s="2">
        <v>1699</v>
      </c>
      <c r="J3515" s="2" t="s">
        <v>25</v>
      </c>
      <c r="K3515" s="2" t="s">
        <v>643</v>
      </c>
      <c r="L3515" s="2">
        <v>3.9</v>
      </c>
      <c r="M3515" s="2">
        <v>562</v>
      </c>
      <c r="P3515" t="str">
        <f t="shared" si="219"/>
        <v>55%</v>
      </c>
      <c r="Q3515" s="12">
        <f t="shared" si="216"/>
        <v>0.55000000000000004</v>
      </c>
      <c r="R3515" s="9">
        <f t="shared" si="217"/>
        <v>764.55</v>
      </c>
      <c r="S3515" s="9">
        <f>IF(R3515="",AVERAGEIF(Table1[Category],Table1[[#This Row],[Category]],Table2[orignal data]),Table2[[#This Row],[orignal data]])</f>
        <v>764.55</v>
      </c>
      <c r="T3515" t="str">
        <f t="shared" si="218"/>
        <v>UNIQUE</v>
      </c>
      <c r="U3515" t="str">
        <f>IF(ISBLANK(Table1[[#This Row],[SizeOption]]),"NOT AVAILABLE",Table1[[#This Row],[SizeOption]])</f>
        <v>26, 28, 30, 32, 34, 36, 38, 40</v>
      </c>
      <c r="Y3515" t="str">
        <f>IF(Table2[[#This Row],[Column1]]&gt;50%,"HIGH DISCOUNT","LOW DISCOUNT")</f>
        <v>HIGH DISCOUNT</v>
      </c>
    </row>
    <row r="3516" spans="1:25" x14ac:dyDescent="0.25">
      <c r="A3516" s="1" t="s">
        <v>7267</v>
      </c>
      <c r="B3516" s="1">
        <v>11174320</v>
      </c>
      <c r="C3516" s="1" t="s">
        <v>97</v>
      </c>
      <c r="D3516" s="1" t="s">
        <v>98</v>
      </c>
      <c r="E3516" s="1" t="s">
        <v>93</v>
      </c>
      <c r="F3516" s="1" t="s">
        <v>36</v>
      </c>
      <c r="G3516" s="1" t="s">
        <v>7268</v>
      </c>
      <c r="H3516">
        <v>399</v>
      </c>
      <c r="I3516" s="1">
        <v>999</v>
      </c>
      <c r="J3516" s="1" t="s">
        <v>55</v>
      </c>
      <c r="K3516" s="1" t="s">
        <v>100</v>
      </c>
      <c r="L3516" s="1">
        <v>4.2</v>
      </c>
      <c r="M3516" s="1">
        <v>562</v>
      </c>
      <c r="P3516" t="str">
        <f t="shared" si="219"/>
        <v>60%</v>
      </c>
      <c r="Q3516" s="12">
        <f t="shared" si="216"/>
        <v>0.6</v>
      </c>
      <c r="R3516" s="9">
        <f t="shared" si="217"/>
        <v>399.6</v>
      </c>
      <c r="S3516" s="9">
        <f>IF(R3516="",AVERAGEIF(Table1[Category],Table1[[#This Row],[Category]],Table2[orignal data]),Table2[[#This Row],[orignal data]])</f>
        <v>399.6</v>
      </c>
      <c r="T3516" t="str">
        <f t="shared" si="218"/>
        <v>UNIQUE</v>
      </c>
      <c r="U3516" t="str">
        <f>IF(ISBLANK(Table1[[#This Row],[SizeOption]]),"NOT AVAILABLE",Table1[[#This Row],[SizeOption]])</f>
        <v>XS, S, M, L, XL, XXL, 3XL</v>
      </c>
      <c r="Y3516" t="str">
        <f>IF(Table2[[#This Row],[Column1]]&gt;50%,"HIGH DISCOUNT","LOW DISCOUNT")</f>
        <v>HIGH DISCOUNT</v>
      </c>
    </row>
    <row r="3517" spans="1:25" x14ac:dyDescent="0.25">
      <c r="A3517" s="2" t="s">
        <v>7269</v>
      </c>
      <c r="B3517" s="2">
        <v>10619264</v>
      </c>
      <c r="C3517" s="2" t="s">
        <v>124</v>
      </c>
      <c r="D3517" s="2" t="s">
        <v>41</v>
      </c>
      <c r="E3517" s="2" t="s">
        <v>579</v>
      </c>
      <c r="F3517" s="2" t="s">
        <v>36</v>
      </c>
      <c r="G3517" s="2" t="s">
        <v>7270</v>
      </c>
      <c r="I3517" s="2">
        <v>1299</v>
      </c>
      <c r="J3517" s="2" t="s">
        <v>55</v>
      </c>
      <c r="K3517" s="2" t="s">
        <v>6896</v>
      </c>
      <c r="L3517" s="2">
        <v>3.4</v>
      </c>
      <c r="M3517" s="2">
        <v>562</v>
      </c>
      <c r="P3517" t="str">
        <f t="shared" si="219"/>
        <v>60%</v>
      </c>
      <c r="Q3517" s="12">
        <f t="shared" si="216"/>
        <v>0.6</v>
      </c>
      <c r="R3517" s="9">
        <f t="shared" si="217"/>
        <v>519.6</v>
      </c>
      <c r="S3517" s="9">
        <f>IF(R3517="",AVERAGEIF(Table1[Category],Table1[[#This Row],[Category]],Table2[orignal data]),Table2[[#This Row],[orignal data]])</f>
        <v>519.6</v>
      </c>
      <c r="T3517" t="str">
        <f t="shared" si="218"/>
        <v>UNIQUE</v>
      </c>
      <c r="U3517" t="str">
        <f>IF(ISBLANK(Table1[[#This Row],[SizeOption]]),"NOT AVAILABLE",Table1[[#This Row],[SizeOption]])</f>
        <v>24, 26, 28, 30, 32, 34</v>
      </c>
      <c r="Y3517" t="str">
        <f>IF(Table2[[#This Row],[Column1]]&gt;50%,"HIGH DISCOUNT","LOW DISCOUNT")</f>
        <v>HIGH DISCOUNT</v>
      </c>
    </row>
    <row r="3518" spans="1:25" x14ac:dyDescent="0.25">
      <c r="A3518" s="1" t="s">
        <v>7271</v>
      </c>
      <c r="B3518" s="1">
        <v>17524900</v>
      </c>
      <c r="C3518" s="1" t="s">
        <v>47</v>
      </c>
      <c r="D3518" s="1" t="s">
        <v>41</v>
      </c>
      <c r="E3518" s="1" t="s">
        <v>42</v>
      </c>
      <c r="F3518" s="1" t="s">
        <v>36</v>
      </c>
      <c r="G3518" s="1" t="s">
        <v>7272</v>
      </c>
      <c r="I3518" s="1">
        <v>1598</v>
      </c>
      <c r="J3518" s="1" t="s">
        <v>84</v>
      </c>
      <c r="K3518" s="1" t="s">
        <v>447</v>
      </c>
      <c r="L3518" s="1">
        <v>4.4000000000000004</v>
      </c>
      <c r="M3518" s="1">
        <v>562</v>
      </c>
      <c r="P3518" t="str">
        <f t="shared" si="219"/>
        <v>50%</v>
      </c>
      <c r="Q3518" s="12">
        <f t="shared" si="216"/>
        <v>0.5</v>
      </c>
      <c r="R3518" s="9">
        <f t="shared" si="217"/>
        <v>799</v>
      </c>
      <c r="S3518" s="9">
        <f>IF(R3518="",AVERAGEIF(Table1[Category],Table1[[#This Row],[Category]],Table2[orignal data]),Table2[[#This Row],[orignal data]])</f>
        <v>799</v>
      </c>
      <c r="T3518" t="str">
        <f t="shared" si="218"/>
        <v>UNIQUE</v>
      </c>
      <c r="U3518" t="str">
        <f>IF(ISBLANK(Table1[[#This Row],[SizeOption]]),"NOT AVAILABLE",Table1[[#This Row],[SizeOption]])</f>
        <v>M, S, XS, XL, L</v>
      </c>
      <c r="Y3518" t="str">
        <f>IF(Table2[[#This Row],[Column1]]&gt;50%,"HIGH DISCOUNT","LOW DISCOUNT")</f>
        <v>LOW DISCOUNT</v>
      </c>
    </row>
    <row r="3519" spans="1:25" x14ac:dyDescent="0.25">
      <c r="A3519" s="2" t="s">
        <v>7273</v>
      </c>
      <c r="B3519" s="2">
        <v>10671384</v>
      </c>
      <c r="C3519" s="2" t="s">
        <v>107</v>
      </c>
      <c r="D3519" s="2" t="s">
        <v>41</v>
      </c>
      <c r="E3519" s="2" t="s">
        <v>16</v>
      </c>
      <c r="F3519" s="2" t="s">
        <v>36</v>
      </c>
      <c r="G3519" s="2" t="s">
        <v>395</v>
      </c>
      <c r="I3519" s="2">
        <v>1699</v>
      </c>
      <c r="J3519" s="2" t="s">
        <v>150</v>
      </c>
      <c r="K3519" s="2" t="s">
        <v>134</v>
      </c>
      <c r="L3519" s="2">
        <v>4.0999999999999996</v>
      </c>
      <c r="M3519" s="2">
        <v>562</v>
      </c>
      <c r="P3519" t="str">
        <f t="shared" si="219"/>
        <v>65%</v>
      </c>
      <c r="Q3519" s="12">
        <f t="shared" si="216"/>
        <v>0.65</v>
      </c>
      <c r="R3519" s="9">
        <f t="shared" si="217"/>
        <v>594.64999999999986</v>
      </c>
      <c r="S3519" s="9">
        <f>IF(R3519="",AVERAGEIF(Table1[Category],Table1[[#This Row],[Category]],Table2[orignal data]),Table2[[#This Row],[orignal data]])</f>
        <v>594.64999999999986</v>
      </c>
      <c r="T3519" t="str">
        <f t="shared" si="218"/>
        <v>UNIQUE</v>
      </c>
      <c r="U3519" t="str">
        <f>IF(ISBLANK(Table1[[#This Row],[SizeOption]]),"NOT AVAILABLE",Table1[[#This Row],[SizeOption]])</f>
        <v>26, 28, 30, 32, 34, 36</v>
      </c>
      <c r="Y3519" t="str">
        <f>IF(Table2[[#This Row],[Column1]]&gt;50%,"HIGH DISCOUNT","LOW DISCOUNT")</f>
        <v>HIGH DISCOUNT</v>
      </c>
    </row>
    <row r="3520" spans="1:25" x14ac:dyDescent="0.25">
      <c r="A3520" s="1" t="s">
        <v>7274</v>
      </c>
      <c r="B3520" s="1">
        <v>10778642</v>
      </c>
      <c r="C3520" s="1" t="s">
        <v>14</v>
      </c>
      <c r="D3520" s="1" t="s">
        <v>41</v>
      </c>
      <c r="E3520" s="1" t="s">
        <v>42</v>
      </c>
      <c r="F3520" s="1" t="s">
        <v>36</v>
      </c>
      <c r="G3520" s="1" t="s">
        <v>775</v>
      </c>
      <c r="I3520" s="1">
        <v>599</v>
      </c>
      <c r="J3520" s="1" t="s">
        <v>50</v>
      </c>
      <c r="K3520" s="1" t="s">
        <v>45</v>
      </c>
      <c r="L3520" s="1">
        <v>4.3</v>
      </c>
      <c r="M3520" s="1">
        <v>562</v>
      </c>
      <c r="P3520" t="str">
        <f t="shared" si="219"/>
        <v>40%</v>
      </c>
      <c r="Q3520" s="12">
        <f t="shared" si="216"/>
        <v>0.4</v>
      </c>
      <c r="R3520" s="9">
        <f t="shared" si="217"/>
        <v>359.4</v>
      </c>
      <c r="S3520" s="9">
        <f>IF(R3520="",AVERAGEIF(Table1[Category],Table1[[#This Row],[Category]],Table2[orignal data]),Table2[[#This Row],[orignal data]])</f>
        <v>359.4</v>
      </c>
      <c r="T3520" t="str">
        <f t="shared" si="218"/>
        <v>UNIQUE</v>
      </c>
      <c r="U3520" t="str">
        <f>IF(ISBLANK(Table1[[#This Row],[SizeOption]]),"NOT AVAILABLE",Table1[[#This Row],[SizeOption]])</f>
        <v>XS, S, M, L, XL</v>
      </c>
      <c r="Y3520" t="str">
        <f>IF(Table2[[#This Row],[Column1]]&gt;50%,"HIGH DISCOUNT","LOW DISCOUNT")</f>
        <v>LOW DISCOUNT</v>
      </c>
    </row>
    <row r="3521" spans="1:25" x14ac:dyDescent="0.25">
      <c r="A3521" s="2" t="s">
        <v>7275</v>
      </c>
      <c r="B3521" s="2">
        <v>1164597</v>
      </c>
      <c r="C3521" s="2" t="s">
        <v>410</v>
      </c>
      <c r="D3521" s="2" t="s">
        <v>41</v>
      </c>
      <c r="E3521" s="2" t="s">
        <v>69</v>
      </c>
      <c r="F3521" s="2" t="s">
        <v>36</v>
      </c>
      <c r="G3521" s="2" t="s">
        <v>7276</v>
      </c>
      <c r="I3521" s="2">
        <v>699</v>
      </c>
      <c r="J3521" s="2" t="s">
        <v>412</v>
      </c>
      <c r="K3521" s="2" t="s">
        <v>39</v>
      </c>
      <c r="L3521" s="2">
        <v>4.3</v>
      </c>
      <c r="M3521" s="2">
        <v>562</v>
      </c>
      <c r="P3521" t="str">
        <f t="shared" si="219"/>
        <v>20%</v>
      </c>
      <c r="Q3521" s="12">
        <f t="shared" si="216"/>
        <v>0.2</v>
      </c>
      <c r="R3521" s="9">
        <f t="shared" si="217"/>
        <v>559.20000000000005</v>
      </c>
      <c r="S3521" s="9">
        <f>IF(R3521="",AVERAGEIF(Table1[Category],Table1[[#This Row],[Category]],Table2[orignal data]),Table2[[#This Row],[orignal data]])</f>
        <v>559.20000000000005</v>
      </c>
      <c r="T3521" t="str">
        <f t="shared" si="218"/>
        <v>UNIQUE</v>
      </c>
      <c r="U3521" t="str">
        <f>IF(ISBLANK(Table1[[#This Row],[SizeOption]]),"NOT AVAILABLE",Table1[[#This Row],[SizeOption]])</f>
        <v>S, M, L, XL, XXL</v>
      </c>
      <c r="Y3521" t="str">
        <f>IF(Table2[[#This Row],[Column1]]&gt;50%,"HIGH DISCOUNT","LOW DISCOUNT")</f>
        <v>LOW DISCOUNT</v>
      </c>
    </row>
    <row r="3522" spans="1:25" x14ac:dyDescent="0.25">
      <c r="A3522" s="1" t="s">
        <v>7277</v>
      </c>
      <c r="B3522" s="1">
        <v>1217448</v>
      </c>
      <c r="C3522" s="1" t="s">
        <v>346</v>
      </c>
      <c r="D3522" s="1" t="s">
        <v>41</v>
      </c>
      <c r="E3522" s="1" t="s">
        <v>42</v>
      </c>
      <c r="F3522" s="1" t="s">
        <v>36</v>
      </c>
      <c r="G3522" s="1" t="s">
        <v>7278</v>
      </c>
      <c r="I3522" s="1">
        <v>799</v>
      </c>
      <c r="J3522" s="1" t="s">
        <v>79</v>
      </c>
      <c r="K3522" s="1" t="s">
        <v>45</v>
      </c>
      <c r="L3522" s="1">
        <v>4.3</v>
      </c>
      <c r="M3522" s="1">
        <v>562</v>
      </c>
      <c r="P3522" t="str">
        <f t="shared" si="219"/>
        <v>70%</v>
      </c>
      <c r="Q3522" s="12">
        <f t="shared" ref="Q3522:Q3585" si="220">IF(P3522="","",IF(ISNUMBER(SEARCH("%",P3522)),P3522,P3522/I3522)*100%)</f>
        <v>0.7</v>
      </c>
      <c r="R3522" s="9">
        <f t="shared" ref="R3522:R3585" si="221">IF(P3522="","",I3522-(I3522*Q3522))</f>
        <v>239.70000000000005</v>
      </c>
      <c r="S3522" s="9">
        <f>IF(R3522="",AVERAGEIF(Table1[Category],Table1[[#This Row],[Category]],Table2[orignal data]),Table2[[#This Row],[orignal data]])</f>
        <v>239.70000000000005</v>
      </c>
      <c r="T3522" t="str">
        <f t="shared" ref="T3522:T3585" si="222">IF(COUNTIF($B$2:$B$5000,B3522)&gt;1,"DUPLICATE","UNIQUE")</f>
        <v>UNIQUE</v>
      </c>
      <c r="U3522" t="str">
        <f>IF(ISBLANK(Table1[[#This Row],[SizeOption]]),"NOT AVAILABLE",Table1[[#This Row],[SizeOption]])</f>
        <v>XS, S, M, L, XL</v>
      </c>
      <c r="Y3522" t="str">
        <f>IF(Table2[[#This Row],[Column1]]&gt;50%,"HIGH DISCOUNT","LOW DISCOUNT")</f>
        <v>HIGH DISCOUNT</v>
      </c>
    </row>
    <row r="3523" spans="1:25" x14ac:dyDescent="0.25">
      <c r="A3523" s="2" t="s">
        <v>7279</v>
      </c>
      <c r="B3523" s="2">
        <v>8227387</v>
      </c>
      <c r="C3523" s="2" t="s">
        <v>1385</v>
      </c>
      <c r="D3523" s="2" t="s">
        <v>41</v>
      </c>
      <c r="E3523" s="2" t="s">
        <v>42</v>
      </c>
      <c r="F3523" s="2" t="s">
        <v>36</v>
      </c>
      <c r="G3523" s="2" t="s">
        <v>7280</v>
      </c>
      <c r="I3523" s="2">
        <v>899</v>
      </c>
      <c r="J3523" s="2" t="s">
        <v>25</v>
      </c>
      <c r="K3523" s="2" t="s">
        <v>45</v>
      </c>
      <c r="L3523" s="2">
        <v>3.9</v>
      </c>
      <c r="M3523" s="2">
        <v>562</v>
      </c>
      <c r="P3523" t="str">
        <f t="shared" ref="P3523:P3586" si="223">TRIM(SUBSTITUTE(SUBSTITUTE(SUBSTITUTE(SUBSTITUTE(J3523,"OFF",""),"Rs.",""),"Hurry*",""),",",""))</f>
        <v>55%</v>
      </c>
      <c r="Q3523" s="12">
        <f t="shared" si="220"/>
        <v>0.55000000000000004</v>
      </c>
      <c r="R3523" s="9">
        <f t="shared" si="221"/>
        <v>404.54999999999995</v>
      </c>
      <c r="S3523" s="9">
        <f>IF(R3523="",AVERAGEIF(Table1[Category],Table1[[#This Row],[Category]],Table2[orignal data]),Table2[[#This Row],[orignal data]])</f>
        <v>404.54999999999995</v>
      </c>
      <c r="T3523" t="str">
        <f t="shared" si="222"/>
        <v>UNIQUE</v>
      </c>
      <c r="U3523" t="str">
        <f>IF(ISBLANK(Table1[[#This Row],[SizeOption]]),"NOT AVAILABLE",Table1[[#This Row],[SizeOption]])</f>
        <v>XS, S, M, L, XL</v>
      </c>
      <c r="Y3523" t="str">
        <f>IF(Table2[[#This Row],[Column1]]&gt;50%,"HIGH DISCOUNT","LOW DISCOUNT")</f>
        <v>HIGH DISCOUNT</v>
      </c>
    </row>
    <row r="3524" spans="1:25" x14ac:dyDescent="0.25">
      <c r="A3524" s="1" t="s">
        <v>7281</v>
      </c>
      <c r="B3524" s="1">
        <v>14370128</v>
      </c>
      <c r="C3524" s="1" t="s">
        <v>92</v>
      </c>
      <c r="D3524" s="1" t="s">
        <v>41</v>
      </c>
      <c r="E3524" s="1" t="s">
        <v>48</v>
      </c>
      <c r="F3524" s="1" t="s">
        <v>36</v>
      </c>
      <c r="G3524" s="1" t="s">
        <v>7282</v>
      </c>
      <c r="I3524" s="1">
        <v>949</v>
      </c>
      <c r="J3524" s="1" t="s">
        <v>416</v>
      </c>
      <c r="K3524" s="1" t="s">
        <v>26</v>
      </c>
      <c r="L3524" s="1">
        <v>4.2</v>
      </c>
      <c r="M3524" s="1">
        <v>562</v>
      </c>
      <c r="P3524" t="str">
        <f t="shared" si="223"/>
        <v>64%</v>
      </c>
      <c r="Q3524" s="12">
        <f t="shared" si="220"/>
        <v>0.64</v>
      </c>
      <c r="R3524" s="9">
        <f t="shared" si="221"/>
        <v>341.64</v>
      </c>
      <c r="S3524" s="9">
        <f>IF(R3524="",AVERAGEIF(Table1[Category],Table1[[#This Row],[Category]],Table2[orignal data]),Table2[[#This Row],[orignal data]])</f>
        <v>341.64</v>
      </c>
      <c r="T3524" t="str">
        <f t="shared" si="222"/>
        <v>UNIQUE</v>
      </c>
      <c r="U3524" t="str">
        <f>IF(ISBLANK(Table1[[#This Row],[SizeOption]]),"NOT AVAILABLE",Table1[[#This Row],[SizeOption]])</f>
        <v>S, M, L, XL</v>
      </c>
      <c r="Y3524" t="str">
        <f>IF(Table2[[#This Row],[Column1]]&gt;50%,"HIGH DISCOUNT","LOW DISCOUNT")</f>
        <v>HIGH DISCOUNT</v>
      </c>
    </row>
    <row r="3525" spans="1:25" x14ac:dyDescent="0.25">
      <c r="A3525" s="2" t="s">
        <v>7283</v>
      </c>
      <c r="B3525" s="2">
        <v>12358294</v>
      </c>
      <c r="C3525" s="2" t="s">
        <v>14</v>
      </c>
      <c r="D3525" s="2" t="s">
        <v>15</v>
      </c>
      <c r="E3525" s="2" t="s">
        <v>16</v>
      </c>
      <c r="F3525" s="2" t="s">
        <v>17</v>
      </c>
      <c r="G3525" s="2" t="s">
        <v>2765</v>
      </c>
      <c r="H3525">
        <v>899</v>
      </c>
      <c r="I3525" s="2">
        <v>1999</v>
      </c>
      <c r="J3525" s="2" t="s">
        <v>25</v>
      </c>
      <c r="K3525" s="2" t="s">
        <v>20</v>
      </c>
      <c r="L3525" s="2">
        <v>3.5</v>
      </c>
      <c r="M3525" s="2">
        <v>561</v>
      </c>
      <c r="P3525" t="str">
        <f t="shared" si="223"/>
        <v>55%</v>
      </c>
      <c r="Q3525" s="12">
        <f t="shared" si="220"/>
        <v>0.55000000000000004</v>
      </c>
      <c r="R3525" s="9">
        <f t="shared" si="221"/>
        <v>899.55</v>
      </c>
      <c r="S3525" s="9">
        <f>IF(R3525="",AVERAGEIF(Table1[Category],Table1[[#This Row],[Category]],Table2[orignal data]),Table2[[#This Row],[orignal data]])</f>
        <v>899.55</v>
      </c>
      <c r="T3525" t="str">
        <f t="shared" si="222"/>
        <v>UNIQUE</v>
      </c>
      <c r="U3525" t="str">
        <f>IF(ISBLANK(Table1[[#This Row],[SizeOption]]),"NOT AVAILABLE",Table1[[#This Row],[SizeOption]])</f>
        <v>28, 30, 32, 34, 36</v>
      </c>
      <c r="Y3525" t="str">
        <f>IF(Table2[[#This Row],[Column1]]&gt;50%,"HIGH DISCOUNT","LOW DISCOUNT")</f>
        <v>HIGH DISCOUNT</v>
      </c>
    </row>
    <row r="3526" spans="1:25" x14ac:dyDescent="0.25">
      <c r="A3526" s="1" t="s">
        <v>7284</v>
      </c>
      <c r="B3526" s="1">
        <v>11968942</v>
      </c>
      <c r="C3526" s="1" t="s">
        <v>6395</v>
      </c>
      <c r="D3526" s="1" t="s">
        <v>15</v>
      </c>
      <c r="E3526" s="1" t="s">
        <v>16</v>
      </c>
      <c r="F3526" s="1" t="s">
        <v>17</v>
      </c>
      <c r="G3526" s="1" t="s">
        <v>7285</v>
      </c>
      <c r="H3526">
        <v>935</v>
      </c>
      <c r="I3526" s="1">
        <v>1799</v>
      </c>
      <c r="J3526" s="1" t="s">
        <v>602</v>
      </c>
      <c r="K3526" s="1" t="s">
        <v>195</v>
      </c>
      <c r="L3526" s="1">
        <v>4.0999999999999996</v>
      </c>
      <c r="M3526" s="1">
        <v>561</v>
      </c>
      <c r="P3526" t="str">
        <f t="shared" si="223"/>
        <v>48%</v>
      </c>
      <c r="Q3526" s="12">
        <f t="shared" si="220"/>
        <v>0.48</v>
      </c>
      <c r="R3526" s="9">
        <f t="shared" si="221"/>
        <v>935.48</v>
      </c>
      <c r="S3526" s="9">
        <f>IF(R3526="",AVERAGEIF(Table1[Category],Table1[[#This Row],[Category]],Table2[orignal data]),Table2[[#This Row],[orignal data]])</f>
        <v>935.48</v>
      </c>
      <c r="T3526" t="str">
        <f t="shared" si="222"/>
        <v>UNIQUE</v>
      </c>
      <c r="U3526" t="str">
        <f>IF(ISBLANK(Table1[[#This Row],[SizeOption]]),"NOT AVAILABLE",Table1[[#This Row],[SizeOption]])</f>
        <v>28, 30, 32, 34, 36, 38, 40</v>
      </c>
      <c r="Y3526" t="str">
        <f>IF(Table2[[#This Row],[Column1]]&gt;50%,"HIGH DISCOUNT","LOW DISCOUNT")</f>
        <v>LOW DISCOUNT</v>
      </c>
    </row>
    <row r="3527" spans="1:25" x14ac:dyDescent="0.25">
      <c r="A3527" s="2" t="s">
        <v>7286</v>
      </c>
      <c r="B3527" s="2">
        <v>10359317</v>
      </c>
      <c r="C3527" s="2" t="s">
        <v>52</v>
      </c>
      <c r="D3527" s="2" t="s">
        <v>15</v>
      </c>
      <c r="E3527" s="2" t="s">
        <v>53</v>
      </c>
      <c r="F3527" s="2" t="s">
        <v>17</v>
      </c>
      <c r="G3527" s="2" t="s">
        <v>7287</v>
      </c>
      <c r="H3527">
        <v>619</v>
      </c>
      <c r="I3527" s="2">
        <v>1549</v>
      </c>
      <c r="J3527" s="2" t="s">
        <v>55</v>
      </c>
      <c r="K3527" s="2" t="s">
        <v>56</v>
      </c>
      <c r="L3527" s="2">
        <v>3.9</v>
      </c>
      <c r="M3527" s="2">
        <v>561</v>
      </c>
      <c r="P3527" t="str">
        <f t="shared" si="223"/>
        <v>60%</v>
      </c>
      <c r="Q3527" s="12">
        <f t="shared" si="220"/>
        <v>0.6</v>
      </c>
      <c r="R3527" s="9">
        <f t="shared" si="221"/>
        <v>619.6</v>
      </c>
      <c r="S3527" s="9">
        <f>IF(R3527="",AVERAGEIF(Table1[Category],Table1[[#This Row],[Category]],Table2[orignal data]),Table2[[#This Row],[orignal data]])</f>
        <v>619.6</v>
      </c>
      <c r="T3527" t="str">
        <f t="shared" si="222"/>
        <v>UNIQUE</v>
      </c>
      <c r="U3527" t="str">
        <f>IF(ISBLANK(Table1[[#This Row],[SizeOption]]),"NOT AVAILABLE",Table1[[#This Row],[SizeOption]])</f>
        <v>30, 32, 34, 36</v>
      </c>
      <c r="Y3527" t="str">
        <f>IF(Table2[[#This Row],[Column1]]&gt;50%,"HIGH DISCOUNT","LOW DISCOUNT")</f>
        <v>HIGH DISCOUNT</v>
      </c>
    </row>
    <row r="3528" spans="1:25" x14ac:dyDescent="0.25">
      <c r="A3528" s="1" t="s">
        <v>7288</v>
      </c>
      <c r="B3528" s="1">
        <v>11302044</v>
      </c>
      <c r="C3528" s="1" t="s">
        <v>64</v>
      </c>
      <c r="D3528" s="1" t="s">
        <v>76</v>
      </c>
      <c r="E3528" s="1" t="s">
        <v>29</v>
      </c>
      <c r="F3528" s="1" t="s">
        <v>17</v>
      </c>
      <c r="G3528" s="1" t="s">
        <v>7289</v>
      </c>
      <c r="H3528">
        <v>612</v>
      </c>
      <c r="I3528" s="1">
        <v>1749</v>
      </c>
      <c r="J3528" s="1" t="s">
        <v>150</v>
      </c>
      <c r="K3528" s="1" t="s">
        <v>361</v>
      </c>
      <c r="L3528" s="1">
        <v>4.2</v>
      </c>
      <c r="M3528" s="1">
        <v>561</v>
      </c>
      <c r="P3528" t="str">
        <f t="shared" si="223"/>
        <v>65%</v>
      </c>
      <c r="Q3528" s="12">
        <f t="shared" si="220"/>
        <v>0.65</v>
      </c>
      <c r="R3528" s="9">
        <f t="shared" si="221"/>
        <v>612.14999999999986</v>
      </c>
      <c r="S3528" s="9">
        <f>IF(R3528="",AVERAGEIF(Table1[Category],Table1[[#This Row],[Category]],Table2[orignal data]),Table2[[#This Row],[orignal data]])</f>
        <v>612.14999999999986</v>
      </c>
      <c r="T3528" t="str">
        <f t="shared" si="222"/>
        <v>UNIQUE</v>
      </c>
      <c r="U3528" t="str">
        <f>IF(ISBLANK(Table1[[#This Row],[SizeOption]]),"NOT AVAILABLE",Table1[[#This Row],[SizeOption]])</f>
        <v>38, 40, 42, 44, 46</v>
      </c>
      <c r="Y3528" t="str">
        <f>IF(Table2[[#This Row],[Column1]]&gt;50%,"HIGH DISCOUNT","LOW DISCOUNT")</f>
        <v>HIGH DISCOUNT</v>
      </c>
    </row>
    <row r="3529" spans="1:25" x14ac:dyDescent="0.25">
      <c r="A3529" s="2" t="s">
        <v>7290</v>
      </c>
      <c r="B3529" s="2">
        <v>10354097</v>
      </c>
      <c r="C3529" s="2" t="s">
        <v>113</v>
      </c>
      <c r="D3529" s="2" t="s">
        <v>76</v>
      </c>
      <c r="E3529" s="2" t="s">
        <v>77</v>
      </c>
      <c r="F3529" s="2" t="s">
        <v>17</v>
      </c>
      <c r="G3529" s="2" t="s">
        <v>7291</v>
      </c>
      <c r="H3529">
        <v>1359</v>
      </c>
      <c r="I3529" s="2">
        <v>3399</v>
      </c>
      <c r="J3529" s="2" t="s">
        <v>55</v>
      </c>
      <c r="K3529" s="2" t="s">
        <v>39</v>
      </c>
      <c r="L3529" s="2">
        <v>4.2</v>
      </c>
      <c r="M3529" s="2">
        <v>561</v>
      </c>
      <c r="P3529" t="str">
        <f t="shared" si="223"/>
        <v>60%</v>
      </c>
      <c r="Q3529" s="12">
        <f t="shared" si="220"/>
        <v>0.6</v>
      </c>
      <c r="R3529" s="9">
        <f t="shared" si="221"/>
        <v>1359.6000000000001</v>
      </c>
      <c r="S3529" s="9">
        <f>IF(R3529="",AVERAGEIF(Table1[Category],Table1[[#This Row],[Category]],Table2[orignal data]),Table2[[#This Row],[orignal data]])</f>
        <v>1359.6000000000001</v>
      </c>
      <c r="T3529" t="str">
        <f t="shared" si="222"/>
        <v>UNIQUE</v>
      </c>
      <c r="U3529" t="str">
        <f>IF(ISBLANK(Table1[[#This Row],[SizeOption]]),"NOT AVAILABLE",Table1[[#This Row],[SizeOption]])</f>
        <v>S, M, L, XL, XXL</v>
      </c>
      <c r="Y3529" t="str">
        <f>IF(Table2[[#This Row],[Column1]]&gt;50%,"HIGH DISCOUNT","LOW DISCOUNT")</f>
        <v>HIGH DISCOUNT</v>
      </c>
    </row>
    <row r="3530" spans="1:25" x14ac:dyDescent="0.25">
      <c r="A3530" s="1" t="s">
        <v>7292</v>
      </c>
      <c r="B3530" s="1">
        <v>15847858</v>
      </c>
      <c r="C3530" s="1" t="s">
        <v>349</v>
      </c>
      <c r="D3530" s="1" t="s">
        <v>197</v>
      </c>
      <c r="E3530" s="1" t="s">
        <v>296</v>
      </c>
      <c r="F3530" s="1" t="s">
        <v>17</v>
      </c>
      <c r="G3530" s="1" t="s">
        <v>7293</v>
      </c>
      <c r="I3530" s="1">
        <v>195</v>
      </c>
      <c r="J3530" s="1"/>
      <c r="K3530" s="1" t="s">
        <v>352</v>
      </c>
      <c r="L3530" s="1">
        <v>4.5</v>
      </c>
      <c r="M3530" s="1">
        <v>561</v>
      </c>
      <c r="P3530" t="str">
        <f t="shared" si="223"/>
        <v/>
      </c>
      <c r="Q3530" s="12" t="str">
        <f t="shared" si="220"/>
        <v/>
      </c>
      <c r="R3530" s="9" t="str">
        <f t="shared" si="221"/>
        <v/>
      </c>
      <c r="S3530" s="9">
        <f>IF(R3530="",AVERAGEIF(Table1[Category],Table1[[#This Row],[Category]],Table2[orignal data]),Table2[[#This Row],[orignal data]])</f>
        <v>552.70900000000006</v>
      </c>
      <c r="T3530" t="str">
        <f t="shared" si="222"/>
        <v>UNIQUE</v>
      </c>
      <c r="U3530" t="str">
        <f>IF(ISBLANK(Table1[[#This Row],[SizeOption]]),"NOT AVAILABLE",Table1[[#This Row],[SizeOption]])</f>
        <v>S, M, L</v>
      </c>
      <c r="Y3530" t="str">
        <f>IF(Table2[[#This Row],[Column1]]&gt;50%,"HIGH DISCOUNT","LOW DISCOUNT")</f>
        <v>HIGH DISCOUNT</v>
      </c>
    </row>
    <row r="3531" spans="1:25" x14ac:dyDescent="0.25">
      <c r="A3531" s="2" t="s">
        <v>7294</v>
      </c>
      <c r="B3531" s="2">
        <v>11896592</v>
      </c>
      <c r="C3531" s="2" t="s">
        <v>47</v>
      </c>
      <c r="D3531" s="2" t="s">
        <v>28</v>
      </c>
      <c r="E3531" s="2" t="s">
        <v>42</v>
      </c>
      <c r="F3531" s="2" t="s">
        <v>17</v>
      </c>
      <c r="G3531" s="2" t="s">
        <v>7295</v>
      </c>
      <c r="H3531">
        <v>659</v>
      </c>
      <c r="I3531" s="2">
        <v>1199</v>
      </c>
      <c r="J3531" s="2" t="s">
        <v>19</v>
      </c>
      <c r="K3531" s="2" t="s">
        <v>26</v>
      </c>
      <c r="L3531" s="2">
        <v>4.0999999999999996</v>
      </c>
      <c r="M3531" s="2">
        <v>561</v>
      </c>
      <c r="P3531" t="str">
        <f t="shared" si="223"/>
        <v>45%</v>
      </c>
      <c r="Q3531" s="12">
        <f t="shared" si="220"/>
        <v>0.45</v>
      </c>
      <c r="R3531" s="9">
        <f t="shared" si="221"/>
        <v>659.44999999999993</v>
      </c>
      <c r="S3531" s="9">
        <f>IF(R3531="",AVERAGEIF(Table1[Category],Table1[[#This Row],[Category]],Table2[orignal data]),Table2[[#This Row],[orignal data]])</f>
        <v>659.44999999999993</v>
      </c>
      <c r="T3531" t="str">
        <f t="shared" si="222"/>
        <v>UNIQUE</v>
      </c>
      <c r="U3531" t="str">
        <f>IF(ISBLANK(Table1[[#This Row],[SizeOption]]),"NOT AVAILABLE",Table1[[#This Row],[SizeOption]])</f>
        <v>S, M, L, XL</v>
      </c>
      <c r="Y3531" t="str">
        <f>IF(Table2[[#This Row],[Column1]]&gt;50%,"HIGH DISCOUNT","LOW DISCOUNT")</f>
        <v>LOW DISCOUNT</v>
      </c>
    </row>
    <row r="3532" spans="1:25" x14ac:dyDescent="0.25">
      <c r="A3532" s="1" t="s">
        <v>7296</v>
      </c>
      <c r="B3532" s="1">
        <v>9951943</v>
      </c>
      <c r="C3532" s="1" t="s">
        <v>14</v>
      </c>
      <c r="D3532" s="1" t="s">
        <v>28</v>
      </c>
      <c r="E3532" s="1" t="s">
        <v>29</v>
      </c>
      <c r="F3532" s="1" t="s">
        <v>17</v>
      </c>
      <c r="G3532" s="1" t="s">
        <v>7297</v>
      </c>
      <c r="H3532">
        <v>639</v>
      </c>
      <c r="I3532" s="1">
        <v>1599</v>
      </c>
      <c r="J3532" s="1" t="s">
        <v>55</v>
      </c>
      <c r="K3532" s="1" t="s">
        <v>253</v>
      </c>
      <c r="L3532" s="1">
        <v>4.3</v>
      </c>
      <c r="M3532" s="1">
        <v>561</v>
      </c>
      <c r="P3532" t="str">
        <f t="shared" si="223"/>
        <v>60%</v>
      </c>
      <c r="Q3532" s="12">
        <f t="shared" si="220"/>
        <v>0.6</v>
      </c>
      <c r="R3532" s="9">
        <f t="shared" si="221"/>
        <v>639.6</v>
      </c>
      <c r="S3532" s="9">
        <f>IF(R3532="",AVERAGEIF(Table1[Category],Table1[[#This Row],[Category]],Table2[orignal data]),Table2[[#This Row],[orignal data]])</f>
        <v>639.6</v>
      </c>
      <c r="T3532" t="str">
        <f t="shared" si="222"/>
        <v>UNIQUE</v>
      </c>
      <c r="U3532" t="str">
        <f>IF(ISBLANK(Table1[[#This Row],[SizeOption]]),"NOT AVAILABLE",Table1[[#This Row],[SizeOption]])</f>
        <v>38, 40, 42, 44</v>
      </c>
      <c r="Y3532" t="str">
        <f>IF(Table2[[#This Row],[Column1]]&gt;50%,"HIGH DISCOUNT","LOW DISCOUNT")</f>
        <v>HIGH DISCOUNT</v>
      </c>
    </row>
    <row r="3533" spans="1:25" x14ac:dyDescent="0.25">
      <c r="A3533" s="2" t="s">
        <v>7298</v>
      </c>
      <c r="B3533" s="2">
        <v>12530368</v>
      </c>
      <c r="C3533" s="2" t="s">
        <v>64</v>
      </c>
      <c r="D3533" s="2" t="s">
        <v>76</v>
      </c>
      <c r="E3533" s="2" t="s">
        <v>93</v>
      </c>
      <c r="F3533" s="2" t="s">
        <v>36</v>
      </c>
      <c r="G3533" s="2" t="s">
        <v>7299</v>
      </c>
      <c r="H3533">
        <v>419</v>
      </c>
      <c r="I3533" s="2">
        <v>1199</v>
      </c>
      <c r="J3533" s="2" t="s">
        <v>150</v>
      </c>
      <c r="K3533" s="2" t="s">
        <v>100</v>
      </c>
      <c r="L3533" s="2">
        <v>4.0999999999999996</v>
      </c>
      <c r="M3533" s="2">
        <v>561</v>
      </c>
      <c r="P3533" t="str">
        <f t="shared" si="223"/>
        <v>65%</v>
      </c>
      <c r="Q3533" s="12">
        <f t="shared" si="220"/>
        <v>0.65</v>
      </c>
      <c r="R3533" s="9">
        <f t="shared" si="221"/>
        <v>419.65</v>
      </c>
      <c r="S3533" s="9">
        <f>IF(R3533="",AVERAGEIF(Table1[Category],Table1[[#This Row],[Category]],Table2[orignal data]),Table2[[#This Row],[orignal data]])</f>
        <v>419.65</v>
      </c>
      <c r="T3533" t="str">
        <f t="shared" si="222"/>
        <v>UNIQUE</v>
      </c>
      <c r="U3533" t="str">
        <f>IF(ISBLANK(Table1[[#This Row],[SizeOption]]),"NOT AVAILABLE",Table1[[#This Row],[SizeOption]])</f>
        <v>XS, S, M, L, XL, XXL, 3XL</v>
      </c>
      <c r="Y3533" t="str">
        <f>IF(Table2[[#This Row],[Column1]]&gt;50%,"HIGH DISCOUNT","LOW DISCOUNT")</f>
        <v>HIGH DISCOUNT</v>
      </c>
    </row>
    <row r="3534" spans="1:25" x14ac:dyDescent="0.25">
      <c r="A3534" s="1" t="s">
        <v>7300</v>
      </c>
      <c r="B3534" s="1">
        <v>16505378</v>
      </c>
      <c r="C3534" s="1" t="s">
        <v>837</v>
      </c>
      <c r="D3534" s="1" t="s">
        <v>76</v>
      </c>
      <c r="E3534" s="1" t="s">
        <v>77</v>
      </c>
      <c r="F3534" s="1" t="s">
        <v>36</v>
      </c>
      <c r="G3534" s="1" t="s">
        <v>7301</v>
      </c>
      <c r="H3534">
        <v>1499</v>
      </c>
      <c r="I3534" s="1">
        <v>3999</v>
      </c>
      <c r="J3534" s="1" t="s">
        <v>7302</v>
      </c>
      <c r="K3534" s="1" t="s">
        <v>7303</v>
      </c>
      <c r="L3534" s="1">
        <v>4.0999999999999996</v>
      </c>
      <c r="M3534" s="1">
        <v>561</v>
      </c>
      <c r="P3534" t="str">
        <f t="shared" si="223"/>
        <v>2500</v>
      </c>
      <c r="Q3534" s="12">
        <f t="shared" si="220"/>
        <v>0.62515628907226806</v>
      </c>
      <c r="R3534" s="9">
        <f t="shared" si="221"/>
        <v>1499</v>
      </c>
      <c r="S3534" s="9">
        <f>IF(R3534="",AVERAGEIF(Table1[Category],Table1[[#This Row],[Category]],Table2[orignal data]),Table2[[#This Row],[orignal data]])</f>
        <v>1499</v>
      </c>
      <c r="T3534" t="str">
        <f t="shared" si="222"/>
        <v>UNIQUE</v>
      </c>
      <c r="U3534" t="str">
        <f>IF(ISBLANK(Table1[[#This Row],[SizeOption]]),"NOT AVAILABLE",Table1[[#This Row],[SizeOption]])</f>
        <v>M, L, XL, XXL, 4XL, 5XL, 6XL, 7XL</v>
      </c>
      <c r="Y3534" t="str">
        <f>IF(Table2[[#This Row],[Column1]]&gt;50%,"HIGH DISCOUNT","LOW DISCOUNT")</f>
        <v>HIGH DISCOUNT</v>
      </c>
    </row>
    <row r="3535" spans="1:25" x14ac:dyDescent="0.25">
      <c r="A3535" s="2" t="s">
        <v>7304</v>
      </c>
      <c r="B3535" s="2">
        <v>12921156</v>
      </c>
      <c r="C3535" s="2" t="s">
        <v>570</v>
      </c>
      <c r="D3535" s="2" t="s">
        <v>34</v>
      </c>
      <c r="E3535" s="2" t="s">
        <v>406</v>
      </c>
      <c r="F3535" s="2" t="s">
        <v>36</v>
      </c>
      <c r="G3535" s="2" t="s">
        <v>7305</v>
      </c>
      <c r="H3535">
        <v>959</v>
      </c>
      <c r="I3535" s="2">
        <v>1599</v>
      </c>
      <c r="J3535" s="2" t="s">
        <v>50</v>
      </c>
      <c r="K3535" s="2" t="s">
        <v>39</v>
      </c>
      <c r="L3535" s="2">
        <v>4.5</v>
      </c>
      <c r="M3535" s="2">
        <v>561</v>
      </c>
      <c r="P3535" t="str">
        <f t="shared" si="223"/>
        <v>40%</v>
      </c>
      <c r="Q3535" s="12">
        <f t="shared" si="220"/>
        <v>0.4</v>
      </c>
      <c r="R3535" s="9">
        <f t="shared" si="221"/>
        <v>959.4</v>
      </c>
      <c r="S3535" s="9">
        <f>IF(R3535="",AVERAGEIF(Table1[Category],Table1[[#This Row],[Category]],Table2[orignal data]),Table2[[#This Row],[orignal data]])</f>
        <v>959.4</v>
      </c>
      <c r="T3535" t="str">
        <f t="shared" si="222"/>
        <v>UNIQUE</v>
      </c>
      <c r="U3535" t="str">
        <f>IF(ISBLANK(Table1[[#This Row],[SizeOption]]),"NOT AVAILABLE",Table1[[#This Row],[SizeOption]])</f>
        <v>S, M, L, XL, XXL</v>
      </c>
      <c r="Y3535" t="str">
        <f>IF(Table2[[#This Row],[Column1]]&gt;50%,"HIGH DISCOUNT","LOW DISCOUNT")</f>
        <v>LOW DISCOUNT</v>
      </c>
    </row>
    <row r="3536" spans="1:25" x14ac:dyDescent="0.25">
      <c r="A3536" s="1" t="s">
        <v>7306</v>
      </c>
      <c r="B3536" s="1">
        <v>12176802</v>
      </c>
      <c r="C3536" s="1" t="s">
        <v>117</v>
      </c>
      <c r="D3536" s="1" t="s">
        <v>34</v>
      </c>
      <c r="E3536" s="1" t="s">
        <v>296</v>
      </c>
      <c r="F3536" s="1" t="s">
        <v>36</v>
      </c>
      <c r="G3536" s="1" t="s">
        <v>7307</v>
      </c>
      <c r="I3536" s="1">
        <v>699</v>
      </c>
      <c r="J3536" s="1"/>
      <c r="K3536" s="1" t="s">
        <v>26</v>
      </c>
      <c r="L3536" s="1">
        <v>3.8</v>
      </c>
      <c r="M3536" s="1">
        <v>561</v>
      </c>
      <c r="P3536" t="str">
        <f t="shared" si="223"/>
        <v/>
      </c>
      <c r="Q3536" s="12" t="str">
        <f t="shared" si="220"/>
        <v/>
      </c>
      <c r="R3536" s="9" t="str">
        <f t="shared" si="221"/>
        <v/>
      </c>
      <c r="S3536" s="9">
        <f>IF(R3536="",AVERAGEIF(Table1[Category],Table1[[#This Row],[Category]],Table2[orignal data]),Table2[[#This Row],[orignal data]])</f>
        <v>608.88518518518481</v>
      </c>
      <c r="T3536" t="str">
        <f t="shared" si="222"/>
        <v>UNIQUE</v>
      </c>
      <c r="U3536" t="str">
        <f>IF(ISBLANK(Table1[[#This Row],[SizeOption]]),"NOT AVAILABLE",Table1[[#This Row],[SizeOption]])</f>
        <v>S, M, L, XL</v>
      </c>
      <c r="Y3536" t="str">
        <f>IF(Table2[[#This Row],[Column1]]&gt;50%,"HIGH DISCOUNT","LOW DISCOUNT")</f>
        <v>HIGH DISCOUNT</v>
      </c>
    </row>
    <row r="3537" spans="1:25" x14ac:dyDescent="0.25">
      <c r="A3537" s="2" t="s">
        <v>7308</v>
      </c>
      <c r="B3537" s="2">
        <v>10304955</v>
      </c>
      <c r="C3537" s="2" t="s">
        <v>5934</v>
      </c>
      <c r="D3537" s="2" t="s">
        <v>34</v>
      </c>
      <c r="E3537" s="2" t="s">
        <v>118</v>
      </c>
      <c r="F3537" s="2" t="s">
        <v>36</v>
      </c>
      <c r="G3537" s="2" t="s">
        <v>7309</v>
      </c>
      <c r="H3537">
        <v>339</v>
      </c>
      <c r="I3537" s="2">
        <v>849</v>
      </c>
      <c r="J3537" s="2" t="s">
        <v>7310</v>
      </c>
      <c r="K3537" s="2" t="s">
        <v>5937</v>
      </c>
      <c r="L3537" s="2">
        <v>4.3</v>
      </c>
      <c r="M3537" s="2">
        <v>561</v>
      </c>
      <c r="P3537" t="str">
        <f t="shared" si="223"/>
        <v>510</v>
      </c>
      <c r="Q3537" s="12">
        <f t="shared" si="220"/>
        <v>0.60070671378091878</v>
      </c>
      <c r="R3537" s="9">
        <f t="shared" si="221"/>
        <v>338.99999999999994</v>
      </c>
      <c r="S3537" s="9">
        <f>IF(R3537="",AVERAGEIF(Table1[Category],Table1[[#This Row],[Category]],Table2[orignal data]),Table2[[#This Row],[orignal data]])</f>
        <v>338.99999999999994</v>
      </c>
      <c r="T3537" t="str">
        <f t="shared" si="222"/>
        <v>UNIQUE</v>
      </c>
      <c r="U3537" t="str">
        <f>IF(ISBLANK(Table1[[#This Row],[SizeOption]]),"NOT AVAILABLE",Table1[[#This Row],[SizeOption]])</f>
        <v>38B, 38C, 38D, 40B, 40C, 40D, 42B, 42C, 42D, 44B, 44C, 44D, 46B, 46C, 46D</v>
      </c>
      <c r="Y3537" t="str">
        <f>IF(Table2[[#This Row],[Column1]]&gt;50%,"HIGH DISCOUNT","LOW DISCOUNT")</f>
        <v>HIGH DISCOUNT</v>
      </c>
    </row>
    <row r="3538" spans="1:25" x14ac:dyDescent="0.25">
      <c r="A3538" s="1" t="s">
        <v>7311</v>
      </c>
      <c r="B3538" s="1">
        <v>10931648</v>
      </c>
      <c r="C3538" s="1" t="s">
        <v>107</v>
      </c>
      <c r="D3538" s="1" t="s">
        <v>34</v>
      </c>
      <c r="E3538" s="1" t="s">
        <v>118</v>
      </c>
      <c r="F3538" s="1" t="s">
        <v>36</v>
      </c>
      <c r="G3538" s="1" t="s">
        <v>7312</v>
      </c>
      <c r="H3538">
        <v>379</v>
      </c>
      <c r="I3538" s="1">
        <v>949</v>
      </c>
      <c r="J3538" s="1" t="s">
        <v>55</v>
      </c>
      <c r="K3538" s="1" t="s">
        <v>26</v>
      </c>
      <c r="L3538" s="1">
        <v>4.4000000000000004</v>
      </c>
      <c r="M3538" s="1">
        <v>561</v>
      </c>
      <c r="P3538" t="str">
        <f t="shared" si="223"/>
        <v>60%</v>
      </c>
      <c r="Q3538" s="12">
        <f t="shared" si="220"/>
        <v>0.6</v>
      </c>
      <c r="R3538" s="9">
        <f t="shared" si="221"/>
        <v>379.6</v>
      </c>
      <c r="S3538" s="9">
        <f>IF(R3538="",AVERAGEIF(Table1[Category],Table1[[#This Row],[Category]],Table2[orignal data]),Table2[[#This Row],[orignal data]])</f>
        <v>379.6</v>
      </c>
      <c r="T3538" t="str">
        <f t="shared" si="222"/>
        <v>UNIQUE</v>
      </c>
      <c r="U3538" t="str">
        <f>IF(ISBLANK(Table1[[#This Row],[SizeOption]]),"NOT AVAILABLE",Table1[[#This Row],[SizeOption]])</f>
        <v>S, M, L, XL</v>
      </c>
      <c r="Y3538" t="str">
        <f>IF(Table2[[#This Row],[Column1]]&gt;50%,"HIGH DISCOUNT","LOW DISCOUNT")</f>
        <v>HIGH DISCOUNT</v>
      </c>
    </row>
    <row r="3539" spans="1:25" x14ac:dyDescent="0.25">
      <c r="A3539" s="2" t="s">
        <v>7313</v>
      </c>
      <c r="B3539" s="2">
        <v>14464238</v>
      </c>
      <c r="C3539" s="2" t="s">
        <v>97</v>
      </c>
      <c r="D3539" s="2" t="s">
        <v>98</v>
      </c>
      <c r="E3539" s="2" t="s">
        <v>320</v>
      </c>
      <c r="F3539" s="2" t="s">
        <v>36</v>
      </c>
      <c r="G3539" s="2" t="s">
        <v>7314</v>
      </c>
      <c r="H3539">
        <v>1427</v>
      </c>
      <c r="I3539" s="2">
        <v>3399</v>
      </c>
      <c r="J3539" s="2" t="s">
        <v>60</v>
      </c>
      <c r="K3539" s="2" t="s">
        <v>164</v>
      </c>
      <c r="L3539" s="2">
        <v>4.3</v>
      </c>
      <c r="M3539" s="2">
        <v>561</v>
      </c>
      <c r="P3539" t="str">
        <f t="shared" si="223"/>
        <v>58%</v>
      </c>
      <c r="Q3539" s="12">
        <f t="shared" si="220"/>
        <v>0.57999999999999996</v>
      </c>
      <c r="R3539" s="9">
        <f t="shared" si="221"/>
        <v>1427.5800000000002</v>
      </c>
      <c r="S3539" s="9">
        <f>IF(R3539="",AVERAGEIF(Table1[Category],Table1[[#This Row],[Category]],Table2[orignal data]),Table2[[#This Row],[orignal data]])</f>
        <v>1427.5800000000002</v>
      </c>
      <c r="T3539" t="str">
        <f t="shared" si="222"/>
        <v>UNIQUE</v>
      </c>
      <c r="U3539" t="str">
        <f>IF(ISBLANK(Table1[[#This Row],[SizeOption]]),"NOT AVAILABLE",Table1[[#This Row],[SizeOption]])</f>
        <v>Onesize</v>
      </c>
      <c r="Y3539" t="str">
        <f>IF(Table2[[#This Row],[Column1]]&gt;50%,"HIGH DISCOUNT","LOW DISCOUNT")</f>
        <v>HIGH DISCOUNT</v>
      </c>
    </row>
    <row r="3540" spans="1:25" x14ac:dyDescent="0.25">
      <c r="A3540" s="1" t="s">
        <v>7315</v>
      </c>
      <c r="B3540" s="1">
        <v>12037956</v>
      </c>
      <c r="C3540" s="1" t="s">
        <v>64</v>
      </c>
      <c r="D3540" s="1" t="s">
        <v>98</v>
      </c>
      <c r="E3540" s="1" t="s">
        <v>93</v>
      </c>
      <c r="F3540" s="1" t="s">
        <v>36</v>
      </c>
      <c r="G3540" s="1" t="s">
        <v>7316</v>
      </c>
      <c r="I3540" s="1">
        <v>1599</v>
      </c>
      <c r="J3540" s="1"/>
      <c r="K3540" s="1" t="s">
        <v>100</v>
      </c>
      <c r="L3540" s="1">
        <v>4</v>
      </c>
      <c r="M3540" s="1">
        <v>561</v>
      </c>
      <c r="P3540" t="str">
        <f t="shared" si="223"/>
        <v/>
      </c>
      <c r="Q3540" s="12" t="str">
        <f t="shared" si="220"/>
        <v/>
      </c>
      <c r="R3540" s="9" t="str">
        <f t="shared" si="221"/>
        <v/>
      </c>
      <c r="S3540" s="9">
        <f>IF(R3540="",AVERAGEIF(Table1[Category],Table1[[#This Row],[Category]],Table2[orignal data]),Table2[[#This Row],[orignal data]])</f>
        <v>680.92918566775427</v>
      </c>
      <c r="T3540" t="str">
        <f t="shared" si="222"/>
        <v>UNIQUE</v>
      </c>
      <c r="U3540" t="str">
        <f>IF(ISBLANK(Table1[[#This Row],[SizeOption]]),"NOT AVAILABLE",Table1[[#This Row],[SizeOption]])</f>
        <v>XS, S, M, L, XL, XXL, 3XL</v>
      </c>
      <c r="Y3540" t="str">
        <f>IF(Table2[[#This Row],[Column1]]&gt;50%,"HIGH DISCOUNT","LOW DISCOUNT")</f>
        <v>HIGH DISCOUNT</v>
      </c>
    </row>
    <row r="3541" spans="1:25" x14ac:dyDescent="0.25">
      <c r="A3541" s="2" t="s">
        <v>7317</v>
      </c>
      <c r="B3541" s="2">
        <v>13594078</v>
      </c>
      <c r="C3541" s="2" t="s">
        <v>206</v>
      </c>
      <c r="D3541" s="2" t="s">
        <v>41</v>
      </c>
      <c r="E3541" s="2" t="s">
        <v>48</v>
      </c>
      <c r="F3541" s="2" t="s">
        <v>36</v>
      </c>
      <c r="G3541" s="2" t="s">
        <v>7318</v>
      </c>
      <c r="I3541" s="2">
        <v>1299</v>
      </c>
      <c r="J3541" s="2" t="s">
        <v>84</v>
      </c>
      <c r="K3541" s="2" t="s">
        <v>26</v>
      </c>
      <c r="L3541" s="2">
        <v>4.0999999999999996</v>
      </c>
      <c r="M3541" s="2">
        <v>561</v>
      </c>
      <c r="P3541" t="str">
        <f t="shared" si="223"/>
        <v>50%</v>
      </c>
      <c r="Q3541" s="12">
        <f t="shared" si="220"/>
        <v>0.5</v>
      </c>
      <c r="R3541" s="9">
        <f t="shared" si="221"/>
        <v>649.5</v>
      </c>
      <c r="S3541" s="9">
        <f>IF(R3541="",AVERAGEIF(Table1[Category],Table1[[#This Row],[Category]],Table2[orignal data]),Table2[[#This Row],[orignal data]])</f>
        <v>649.5</v>
      </c>
      <c r="T3541" t="str">
        <f t="shared" si="222"/>
        <v>UNIQUE</v>
      </c>
      <c r="U3541" t="str">
        <f>IF(ISBLANK(Table1[[#This Row],[SizeOption]]),"NOT AVAILABLE",Table1[[#This Row],[SizeOption]])</f>
        <v>S, M, L, XL</v>
      </c>
      <c r="Y3541" t="str">
        <f>IF(Table2[[#This Row],[Column1]]&gt;50%,"HIGH DISCOUNT","LOW DISCOUNT")</f>
        <v>LOW DISCOUNT</v>
      </c>
    </row>
    <row r="3542" spans="1:25" x14ac:dyDescent="0.25">
      <c r="A3542" s="1" t="s">
        <v>7319</v>
      </c>
      <c r="B3542" s="1">
        <v>17385186</v>
      </c>
      <c r="C3542" s="1" t="s">
        <v>14</v>
      </c>
      <c r="D3542" s="1" t="s">
        <v>41</v>
      </c>
      <c r="E3542" s="1" t="s">
        <v>42</v>
      </c>
      <c r="F3542" s="1" t="s">
        <v>36</v>
      </c>
      <c r="G3542" s="1" t="s">
        <v>111</v>
      </c>
      <c r="I3542" s="1">
        <v>1398</v>
      </c>
      <c r="J3542" s="1" t="s">
        <v>84</v>
      </c>
      <c r="K3542" s="1" t="s">
        <v>45</v>
      </c>
      <c r="L3542" s="1">
        <v>4.4000000000000004</v>
      </c>
      <c r="M3542" s="1">
        <v>561</v>
      </c>
      <c r="P3542" t="str">
        <f t="shared" si="223"/>
        <v>50%</v>
      </c>
      <c r="Q3542" s="12">
        <f t="shared" si="220"/>
        <v>0.5</v>
      </c>
      <c r="R3542" s="9">
        <f t="shared" si="221"/>
        <v>699</v>
      </c>
      <c r="S3542" s="9">
        <f>IF(R3542="",AVERAGEIF(Table1[Category],Table1[[#This Row],[Category]],Table2[orignal data]),Table2[[#This Row],[orignal data]])</f>
        <v>699</v>
      </c>
      <c r="T3542" t="str">
        <f t="shared" si="222"/>
        <v>UNIQUE</v>
      </c>
      <c r="U3542" t="str">
        <f>IF(ISBLANK(Table1[[#This Row],[SizeOption]]),"NOT AVAILABLE",Table1[[#This Row],[SizeOption]])</f>
        <v>XS, S, M, L, XL</v>
      </c>
      <c r="Y3542" t="str">
        <f>IF(Table2[[#This Row],[Column1]]&gt;50%,"HIGH DISCOUNT","LOW DISCOUNT")</f>
        <v>LOW DISCOUNT</v>
      </c>
    </row>
    <row r="3543" spans="1:25" x14ac:dyDescent="0.25">
      <c r="A3543" s="2" t="s">
        <v>7320</v>
      </c>
      <c r="B3543" s="2">
        <v>17383110</v>
      </c>
      <c r="C3543" s="2" t="s">
        <v>14</v>
      </c>
      <c r="D3543" s="2" t="s">
        <v>41</v>
      </c>
      <c r="E3543" s="2" t="s">
        <v>42</v>
      </c>
      <c r="F3543" s="2" t="s">
        <v>36</v>
      </c>
      <c r="G3543" s="2" t="s">
        <v>7321</v>
      </c>
      <c r="I3543" s="2">
        <v>1498</v>
      </c>
      <c r="J3543" s="2" t="s">
        <v>84</v>
      </c>
      <c r="K3543" s="2" t="s">
        <v>447</v>
      </c>
      <c r="L3543" s="2">
        <v>4.4000000000000004</v>
      </c>
      <c r="M3543" s="2">
        <v>561</v>
      </c>
      <c r="P3543" t="str">
        <f t="shared" si="223"/>
        <v>50%</v>
      </c>
      <c r="Q3543" s="12">
        <f t="shared" si="220"/>
        <v>0.5</v>
      </c>
      <c r="R3543" s="9">
        <f t="shared" si="221"/>
        <v>749</v>
      </c>
      <c r="S3543" s="9">
        <f>IF(R3543="",AVERAGEIF(Table1[Category],Table1[[#This Row],[Category]],Table2[orignal data]),Table2[[#This Row],[orignal data]])</f>
        <v>749</v>
      </c>
      <c r="T3543" t="str">
        <f t="shared" si="222"/>
        <v>UNIQUE</v>
      </c>
      <c r="U3543" t="str">
        <f>IF(ISBLANK(Table1[[#This Row],[SizeOption]]),"NOT AVAILABLE",Table1[[#This Row],[SizeOption]])</f>
        <v>M, S, XS, XL, L</v>
      </c>
      <c r="Y3543" t="str">
        <f>IF(Table2[[#This Row],[Column1]]&gt;50%,"HIGH DISCOUNT","LOW DISCOUNT")</f>
        <v>LOW DISCOUNT</v>
      </c>
    </row>
    <row r="3544" spans="1:25" x14ac:dyDescent="0.25">
      <c r="A3544" s="1" t="s">
        <v>7322</v>
      </c>
      <c r="B3544" s="1">
        <v>12490556</v>
      </c>
      <c r="C3544" s="1" t="s">
        <v>5015</v>
      </c>
      <c r="D3544" s="1" t="s">
        <v>41</v>
      </c>
      <c r="E3544" s="1" t="s">
        <v>48</v>
      </c>
      <c r="F3544" s="1" t="s">
        <v>36</v>
      </c>
      <c r="G3544" s="1" t="s">
        <v>7323</v>
      </c>
      <c r="I3544" s="1">
        <v>1499</v>
      </c>
      <c r="J3544" s="1" t="s">
        <v>130</v>
      </c>
      <c r="K3544" s="1" t="s">
        <v>26</v>
      </c>
      <c r="L3544" s="1">
        <v>4.0999999999999996</v>
      </c>
      <c r="M3544" s="1">
        <v>561</v>
      </c>
      <c r="P3544" t="str">
        <f t="shared" si="223"/>
        <v>57%</v>
      </c>
      <c r="Q3544" s="12">
        <f t="shared" si="220"/>
        <v>0.56999999999999995</v>
      </c>
      <c r="R3544" s="9">
        <f t="shared" si="221"/>
        <v>644.57000000000005</v>
      </c>
      <c r="S3544" s="9">
        <f>IF(R3544="",AVERAGEIF(Table1[Category],Table1[[#This Row],[Category]],Table2[orignal data]),Table2[[#This Row],[orignal data]])</f>
        <v>644.57000000000005</v>
      </c>
      <c r="T3544" t="str">
        <f t="shared" si="222"/>
        <v>UNIQUE</v>
      </c>
      <c r="U3544" t="str">
        <f>IF(ISBLANK(Table1[[#This Row],[SizeOption]]),"NOT AVAILABLE",Table1[[#This Row],[SizeOption]])</f>
        <v>S, M, L, XL</v>
      </c>
      <c r="Y3544" t="str">
        <f>IF(Table2[[#This Row],[Column1]]&gt;50%,"HIGH DISCOUNT","LOW DISCOUNT")</f>
        <v>HIGH DISCOUNT</v>
      </c>
    </row>
    <row r="3545" spans="1:25" x14ac:dyDescent="0.25">
      <c r="A3545" s="2" t="s">
        <v>7324</v>
      </c>
      <c r="B3545" s="2">
        <v>17383678</v>
      </c>
      <c r="C3545" s="2" t="s">
        <v>14</v>
      </c>
      <c r="D3545" s="2" t="s">
        <v>41</v>
      </c>
      <c r="E3545" s="2" t="s">
        <v>42</v>
      </c>
      <c r="F3545" s="2" t="s">
        <v>36</v>
      </c>
      <c r="G3545" s="2" t="s">
        <v>7325</v>
      </c>
      <c r="I3545" s="2">
        <v>1598</v>
      </c>
      <c r="J3545" s="2" t="s">
        <v>84</v>
      </c>
      <c r="K3545" s="2" t="s">
        <v>146</v>
      </c>
      <c r="L3545" s="2">
        <v>4.3</v>
      </c>
      <c r="M3545" s="2">
        <v>561</v>
      </c>
      <c r="P3545" t="str">
        <f t="shared" si="223"/>
        <v>50%</v>
      </c>
      <c r="Q3545" s="12">
        <f t="shared" si="220"/>
        <v>0.5</v>
      </c>
      <c r="R3545" s="9">
        <f t="shared" si="221"/>
        <v>799</v>
      </c>
      <c r="S3545" s="9">
        <f>IF(R3545="",AVERAGEIF(Table1[Category],Table1[[#This Row],[Category]],Table2[orignal data]),Table2[[#This Row],[orignal data]])</f>
        <v>799</v>
      </c>
      <c r="T3545" t="str">
        <f t="shared" si="222"/>
        <v>UNIQUE</v>
      </c>
      <c r="U3545" t="str">
        <f>IF(ISBLANK(Table1[[#This Row],[SizeOption]]),"NOT AVAILABLE",Table1[[#This Row],[SizeOption]])</f>
        <v>L, M, S, XS, XL</v>
      </c>
      <c r="Y3545" t="str">
        <f>IF(Table2[[#This Row],[Column1]]&gt;50%,"HIGH DISCOUNT","LOW DISCOUNT")</f>
        <v>LOW DISCOUNT</v>
      </c>
    </row>
    <row r="3546" spans="1:25" x14ac:dyDescent="0.25">
      <c r="A3546" s="1" t="s">
        <v>7326</v>
      </c>
      <c r="B3546" s="1">
        <v>12310144</v>
      </c>
      <c r="C3546" s="1" t="s">
        <v>47</v>
      </c>
      <c r="D3546" s="1" t="s">
        <v>41</v>
      </c>
      <c r="E3546" s="1" t="s">
        <v>16</v>
      </c>
      <c r="F3546" s="1" t="s">
        <v>36</v>
      </c>
      <c r="G3546" s="1" t="s">
        <v>7327</v>
      </c>
      <c r="I3546" s="1">
        <v>1899</v>
      </c>
      <c r="J3546" s="1" t="s">
        <v>44</v>
      </c>
      <c r="K3546" s="1" t="s">
        <v>134</v>
      </c>
      <c r="L3546" s="1">
        <v>4.0999999999999996</v>
      </c>
      <c r="M3546" s="1">
        <v>561</v>
      </c>
      <c r="P3546" t="str">
        <f t="shared" si="223"/>
        <v>35%</v>
      </c>
      <c r="Q3546" s="12">
        <f t="shared" si="220"/>
        <v>0.35</v>
      </c>
      <c r="R3546" s="9">
        <f t="shared" si="221"/>
        <v>1234.3499999999999</v>
      </c>
      <c r="S3546" s="9">
        <f>IF(R3546="",AVERAGEIF(Table1[Category],Table1[[#This Row],[Category]],Table2[orignal data]),Table2[[#This Row],[orignal data]])</f>
        <v>1234.3499999999999</v>
      </c>
      <c r="T3546" t="str">
        <f t="shared" si="222"/>
        <v>UNIQUE</v>
      </c>
      <c r="U3546" t="str">
        <f>IF(ISBLANK(Table1[[#This Row],[SizeOption]]),"NOT AVAILABLE",Table1[[#This Row],[SizeOption]])</f>
        <v>26, 28, 30, 32, 34, 36</v>
      </c>
      <c r="Y3546" t="str">
        <f>IF(Table2[[#This Row],[Column1]]&gt;50%,"HIGH DISCOUNT","LOW DISCOUNT")</f>
        <v>LOW DISCOUNT</v>
      </c>
    </row>
    <row r="3547" spans="1:25" x14ac:dyDescent="0.25">
      <c r="A3547" s="2" t="s">
        <v>7328</v>
      </c>
      <c r="B3547" s="2">
        <v>2490936</v>
      </c>
      <c r="C3547" s="2" t="s">
        <v>47</v>
      </c>
      <c r="D3547" s="2" t="s">
        <v>41</v>
      </c>
      <c r="E3547" s="2" t="s">
        <v>42</v>
      </c>
      <c r="F3547" s="2" t="s">
        <v>36</v>
      </c>
      <c r="G3547" s="2" t="s">
        <v>7329</v>
      </c>
      <c r="I3547" s="2">
        <v>799</v>
      </c>
      <c r="J3547" s="2" t="s">
        <v>84</v>
      </c>
      <c r="K3547" s="2" t="s">
        <v>45</v>
      </c>
      <c r="L3547" s="2">
        <v>4.3</v>
      </c>
      <c r="M3547" s="2">
        <v>561</v>
      </c>
      <c r="P3547" t="str">
        <f t="shared" si="223"/>
        <v>50%</v>
      </c>
      <c r="Q3547" s="12">
        <f t="shared" si="220"/>
        <v>0.5</v>
      </c>
      <c r="R3547" s="9">
        <f t="shared" si="221"/>
        <v>399.5</v>
      </c>
      <c r="S3547" s="9">
        <f>IF(R3547="",AVERAGEIF(Table1[Category],Table1[[#This Row],[Category]],Table2[orignal data]),Table2[[#This Row],[orignal data]])</f>
        <v>399.5</v>
      </c>
      <c r="T3547" t="str">
        <f t="shared" si="222"/>
        <v>UNIQUE</v>
      </c>
      <c r="U3547" t="str">
        <f>IF(ISBLANK(Table1[[#This Row],[SizeOption]]),"NOT AVAILABLE",Table1[[#This Row],[SizeOption]])</f>
        <v>XS, S, M, L, XL</v>
      </c>
      <c r="Y3547" t="str">
        <f>IF(Table2[[#This Row],[Column1]]&gt;50%,"HIGH DISCOUNT","LOW DISCOUNT")</f>
        <v>LOW DISCOUNT</v>
      </c>
    </row>
    <row r="3548" spans="1:25" x14ac:dyDescent="0.25">
      <c r="A3548" s="1" t="s">
        <v>7330</v>
      </c>
      <c r="B3548" s="1">
        <v>13978304</v>
      </c>
      <c r="C3548" s="1" t="s">
        <v>973</v>
      </c>
      <c r="D3548" s="1" t="s">
        <v>197</v>
      </c>
      <c r="E3548" s="1" t="s">
        <v>296</v>
      </c>
      <c r="F3548" s="1" t="s">
        <v>17</v>
      </c>
      <c r="G3548" s="1" t="s">
        <v>7331</v>
      </c>
      <c r="H3548">
        <v>675</v>
      </c>
      <c r="I3548" s="1">
        <v>747</v>
      </c>
      <c r="J3548" s="1" t="s">
        <v>7332</v>
      </c>
      <c r="K3548" s="1" t="s">
        <v>39</v>
      </c>
      <c r="L3548" s="1">
        <v>4.3</v>
      </c>
      <c r="M3548" s="1">
        <v>560</v>
      </c>
      <c r="P3548" t="str">
        <f t="shared" si="223"/>
        <v>72</v>
      </c>
      <c r="Q3548" s="12">
        <f t="shared" si="220"/>
        <v>9.6385542168674704E-2</v>
      </c>
      <c r="R3548" s="9">
        <f t="shared" si="221"/>
        <v>675</v>
      </c>
      <c r="S3548" s="9">
        <f>IF(R3548="",AVERAGEIF(Table1[Category],Table1[[#This Row],[Category]],Table2[orignal data]),Table2[[#This Row],[orignal data]])</f>
        <v>675</v>
      </c>
      <c r="T3548" t="str">
        <f t="shared" si="222"/>
        <v>UNIQUE</v>
      </c>
      <c r="U3548" t="str">
        <f>IF(ISBLANK(Table1[[#This Row],[SizeOption]]),"NOT AVAILABLE",Table1[[#This Row],[SizeOption]])</f>
        <v>S, M, L, XL, XXL</v>
      </c>
      <c r="Y3548" t="str">
        <f>IF(Table2[[#This Row],[Column1]]&gt;50%,"HIGH DISCOUNT","LOW DISCOUNT")</f>
        <v>LOW DISCOUNT</v>
      </c>
    </row>
    <row r="3549" spans="1:25" x14ac:dyDescent="0.25">
      <c r="A3549" s="2" t="s">
        <v>7333</v>
      </c>
      <c r="B3549" s="2">
        <v>13919956</v>
      </c>
      <c r="C3549" s="2" t="s">
        <v>22</v>
      </c>
      <c r="D3549" s="2" t="s">
        <v>28</v>
      </c>
      <c r="E3549" s="2" t="s">
        <v>29</v>
      </c>
      <c r="F3549" s="2" t="s">
        <v>17</v>
      </c>
      <c r="G3549" s="2" t="s">
        <v>7334</v>
      </c>
      <c r="H3549">
        <v>549</v>
      </c>
      <c r="I3549" s="2">
        <v>1249</v>
      </c>
      <c r="J3549" s="2" t="s">
        <v>1204</v>
      </c>
      <c r="K3549" s="2" t="s">
        <v>90</v>
      </c>
      <c r="L3549" s="2">
        <v>4.3</v>
      </c>
      <c r="M3549" s="2">
        <v>560</v>
      </c>
      <c r="P3549" t="str">
        <f t="shared" si="223"/>
        <v>56%</v>
      </c>
      <c r="Q3549" s="12">
        <f t="shared" si="220"/>
        <v>0.56000000000000005</v>
      </c>
      <c r="R3549" s="9">
        <f t="shared" si="221"/>
        <v>549.55999999999995</v>
      </c>
      <c r="S3549" s="9">
        <f>IF(R3549="",AVERAGEIF(Table1[Category],Table1[[#This Row],[Category]],Table2[orignal data]),Table2[[#This Row],[orignal data]])</f>
        <v>549.55999999999995</v>
      </c>
      <c r="T3549" t="str">
        <f t="shared" si="222"/>
        <v>UNIQUE</v>
      </c>
      <c r="U3549" t="str">
        <f>IF(ISBLANK(Table1[[#This Row],[SizeOption]]),"NOT AVAILABLE",Table1[[#This Row],[SizeOption]])</f>
        <v>39, 40, 42, 44</v>
      </c>
      <c r="Y3549" t="str">
        <f>IF(Table2[[#This Row],[Column1]]&gt;50%,"HIGH DISCOUNT","LOW DISCOUNT")</f>
        <v>HIGH DISCOUNT</v>
      </c>
    </row>
    <row r="3550" spans="1:25" x14ac:dyDescent="0.25">
      <c r="A3550" s="1" t="s">
        <v>7335</v>
      </c>
      <c r="B3550" s="1">
        <v>10405887</v>
      </c>
      <c r="C3550" s="1" t="s">
        <v>420</v>
      </c>
      <c r="D3550" s="1" t="s">
        <v>28</v>
      </c>
      <c r="E3550" s="1" t="s">
        <v>306</v>
      </c>
      <c r="F3550" s="1" t="s">
        <v>17</v>
      </c>
      <c r="G3550" s="1" t="s">
        <v>7336</v>
      </c>
      <c r="H3550">
        <v>816</v>
      </c>
      <c r="I3550" s="1">
        <v>1899</v>
      </c>
      <c r="J3550" s="1" t="s">
        <v>130</v>
      </c>
      <c r="K3550" s="1" t="s">
        <v>26</v>
      </c>
      <c r="L3550" s="1">
        <v>4</v>
      </c>
      <c r="M3550" s="1">
        <v>560</v>
      </c>
      <c r="P3550" t="str">
        <f t="shared" si="223"/>
        <v>57%</v>
      </c>
      <c r="Q3550" s="12">
        <f t="shared" si="220"/>
        <v>0.56999999999999995</v>
      </c>
      <c r="R3550" s="9">
        <f t="shared" si="221"/>
        <v>816.57000000000016</v>
      </c>
      <c r="S3550" s="9">
        <f>IF(R3550="",AVERAGEIF(Table1[Category],Table1[[#This Row],[Category]],Table2[orignal data]),Table2[[#This Row],[orignal data]])</f>
        <v>816.57000000000016</v>
      </c>
      <c r="T3550" t="str">
        <f t="shared" si="222"/>
        <v>UNIQUE</v>
      </c>
      <c r="U3550" t="str">
        <f>IF(ISBLANK(Table1[[#This Row],[SizeOption]]),"NOT AVAILABLE",Table1[[#This Row],[SizeOption]])</f>
        <v>S, M, L, XL</v>
      </c>
      <c r="Y3550" t="str">
        <f>IF(Table2[[#This Row],[Column1]]&gt;50%,"HIGH DISCOUNT","LOW DISCOUNT")</f>
        <v>HIGH DISCOUNT</v>
      </c>
    </row>
    <row r="3551" spans="1:25" x14ac:dyDescent="0.25">
      <c r="A3551" s="2" t="s">
        <v>7337</v>
      </c>
      <c r="B3551" s="2">
        <v>11547700</v>
      </c>
      <c r="C3551" s="2" t="s">
        <v>1024</v>
      </c>
      <c r="D3551" s="2" t="s">
        <v>76</v>
      </c>
      <c r="E3551" s="2" t="s">
        <v>93</v>
      </c>
      <c r="F3551" s="2" t="s">
        <v>36</v>
      </c>
      <c r="G3551" s="2" t="s">
        <v>5129</v>
      </c>
      <c r="H3551">
        <v>441</v>
      </c>
      <c r="I3551" s="2">
        <v>960</v>
      </c>
      <c r="J3551" s="2" t="s">
        <v>606</v>
      </c>
      <c r="K3551" s="2" t="s">
        <v>73</v>
      </c>
      <c r="L3551" s="2">
        <v>4</v>
      </c>
      <c r="M3551" s="2">
        <v>560</v>
      </c>
      <c r="P3551" t="str">
        <f t="shared" si="223"/>
        <v>54%</v>
      </c>
      <c r="Q3551" s="12">
        <f t="shared" si="220"/>
        <v>0.54</v>
      </c>
      <c r="R3551" s="9">
        <f t="shared" si="221"/>
        <v>441.59999999999991</v>
      </c>
      <c r="S3551" s="9">
        <f>IF(R3551="",AVERAGEIF(Table1[Category],Table1[[#This Row],[Category]],Table2[orignal data]),Table2[[#This Row],[orignal data]])</f>
        <v>441.59999999999991</v>
      </c>
      <c r="T3551" t="str">
        <f t="shared" si="222"/>
        <v>UNIQUE</v>
      </c>
      <c r="U3551" t="str">
        <f>IF(ISBLANK(Table1[[#This Row],[SizeOption]]),"NOT AVAILABLE",Table1[[#This Row],[SizeOption]])</f>
        <v>XS, S, M, L, XL, XXL, 3XL, 4XL</v>
      </c>
      <c r="Y3551" t="str">
        <f>IF(Table2[[#This Row],[Column1]]&gt;50%,"HIGH DISCOUNT","LOW DISCOUNT")</f>
        <v>HIGH DISCOUNT</v>
      </c>
    </row>
    <row r="3552" spans="1:25" x14ac:dyDescent="0.25">
      <c r="A3552" s="1" t="s">
        <v>7338</v>
      </c>
      <c r="B3552" s="1">
        <v>2190889</v>
      </c>
      <c r="C3552" s="1" t="s">
        <v>303</v>
      </c>
      <c r="D3552" s="1" t="s">
        <v>34</v>
      </c>
      <c r="E3552" s="1" t="s">
        <v>296</v>
      </c>
      <c r="F3552" s="1" t="s">
        <v>36</v>
      </c>
      <c r="G3552" s="1" t="s">
        <v>7339</v>
      </c>
      <c r="H3552">
        <v>929</v>
      </c>
      <c r="I3552" s="1">
        <v>1430</v>
      </c>
      <c r="J3552" s="1" t="s">
        <v>44</v>
      </c>
      <c r="K3552" s="1" t="s">
        <v>115</v>
      </c>
      <c r="L3552" s="1">
        <v>4.0999999999999996</v>
      </c>
      <c r="M3552" s="1">
        <v>560</v>
      </c>
      <c r="P3552" t="str">
        <f t="shared" si="223"/>
        <v>35%</v>
      </c>
      <c r="Q3552" s="12">
        <f t="shared" si="220"/>
        <v>0.35</v>
      </c>
      <c r="R3552" s="9">
        <f t="shared" si="221"/>
        <v>929.5</v>
      </c>
      <c r="S3552" s="9">
        <f>IF(R3552="",AVERAGEIF(Table1[Category],Table1[[#This Row],[Category]],Table2[orignal data]),Table2[[#This Row],[orignal data]])</f>
        <v>929.5</v>
      </c>
      <c r="T3552" t="str">
        <f t="shared" si="222"/>
        <v>UNIQUE</v>
      </c>
      <c r="U3552" t="str">
        <f>IF(ISBLANK(Table1[[#This Row],[SizeOption]]),"NOT AVAILABLE",Table1[[#This Row],[SizeOption]])</f>
        <v>XS, S, M, L, XL, XXL</v>
      </c>
      <c r="Y3552" t="str">
        <f>IF(Table2[[#This Row],[Column1]]&gt;50%,"HIGH DISCOUNT","LOW DISCOUNT")</f>
        <v>LOW DISCOUNT</v>
      </c>
    </row>
    <row r="3553" spans="1:25" x14ac:dyDescent="0.25">
      <c r="A3553" s="2" t="s">
        <v>7340</v>
      </c>
      <c r="B3553" s="2">
        <v>1794930</v>
      </c>
      <c r="C3553" s="2" t="s">
        <v>623</v>
      </c>
      <c r="D3553" s="2" t="s">
        <v>34</v>
      </c>
      <c r="E3553" s="2" t="s">
        <v>118</v>
      </c>
      <c r="F3553" s="2" t="s">
        <v>36</v>
      </c>
      <c r="G3553" s="2" t="s">
        <v>7341</v>
      </c>
      <c r="I3553" s="2">
        <v>599</v>
      </c>
      <c r="J3553" s="2"/>
      <c r="K3553" s="2" t="s">
        <v>2429</v>
      </c>
      <c r="L3553" s="2">
        <v>3.8</v>
      </c>
      <c r="M3553" s="2">
        <v>560</v>
      </c>
      <c r="P3553" t="str">
        <f t="shared" si="223"/>
        <v/>
      </c>
      <c r="Q3553" s="12" t="str">
        <f t="shared" si="220"/>
        <v/>
      </c>
      <c r="R3553" s="9" t="str">
        <f t="shared" si="221"/>
        <v/>
      </c>
      <c r="S3553" s="9">
        <f>IF(R3553="",AVERAGEIF(Table1[Category],Table1[[#This Row],[Category]],Table2[orignal data]),Table2[[#This Row],[orignal data]])</f>
        <v>608.88518518518481</v>
      </c>
      <c r="T3553" t="str">
        <f t="shared" si="222"/>
        <v>UNIQUE</v>
      </c>
      <c r="U3553" t="str">
        <f>IF(ISBLANK(Table1[[#This Row],[SizeOption]]),"NOT AVAILABLE",Table1[[#This Row],[SizeOption]])</f>
        <v>32B, 32C, 32D, 34B, 34C, 34D, 36B, 36C, 36D, 38B, 38C, 40B, 40C</v>
      </c>
      <c r="Y3553" t="str">
        <f>IF(Table2[[#This Row],[Column1]]&gt;50%,"HIGH DISCOUNT","LOW DISCOUNT")</f>
        <v>HIGH DISCOUNT</v>
      </c>
    </row>
    <row r="3554" spans="1:25" x14ac:dyDescent="0.25">
      <c r="A3554" s="1" t="s">
        <v>7342</v>
      </c>
      <c r="B3554" s="1">
        <v>12729004</v>
      </c>
      <c r="C3554" s="1" t="s">
        <v>7343</v>
      </c>
      <c r="D3554" s="1" t="s">
        <v>98</v>
      </c>
      <c r="E3554" s="1" t="s">
        <v>93</v>
      </c>
      <c r="F3554" s="1" t="s">
        <v>36</v>
      </c>
      <c r="G3554" s="1" t="s">
        <v>7344</v>
      </c>
      <c r="H3554">
        <v>584</v>
      </c>
      <c r="I3554" s="1">
        <v>1499</v>
      </c>
      <c r="J3554" s="1" t="s">
        <v>104</v>
      </c>
      <c r="K3554" s="1" t="s">
        <v>7345</v>
      </c>
      <c r="L3554" s="1">
        <v>4.5</v>
      </c>
      <c r="M3554" s="1">
        <v>560</v>
      </c>
      <c r="P3554" t="str">
        <f t="shared" si="223"/>
        <v>61%</v>
      </c>
      <c r="Q3554" s="12">
        <f t="shared" si="220"/>
        <v>0.61</v>
      </c>
      <c r="R3554" s="9">
        <f t="shared" si="221"/>
        <v>584.61</v>
      </c>
      <c r="S3554" s="9">
        <f>IF(R3554="",AVERAGEIF(Table1[Category],Table1[[#This Row],[Category]],Table2[orignal data]),Table2[[#This Row],[orignal data]])</f>
        <v>584.61</v>
      </c>
      <c r="T3554" t="str">
        <f t="shared" si="222"/>
        <v>UNIQUE</v>
      </c>
      <c r="U3554" t="str">
        <f>IF(ISBLANK(Table1[[#This Row],[SizeOption]]),"NOT AVAILABLE",Table1[[#This Row],[SizeOption]])</f>
        <v>3XL, 4XL, 5XL, 6XL</v>
      </c>
      <c r="Y3554" t="str">
        <f>IF(Table2[[#This Row],[Column1]]&gt;50%,"HIGH DISCOUNT","LOW DISCOUNT")</f>
        <v>HIGH DISCOUNT</v>
      </c>
    </row>
    <row r="3555" spans="1:25" x14ac:dyDescent="0.25">
      <c r="A3555" s="2" t="s">
        <v>7346</v>
      </c>
      <c r="B3555" s="2">
        <v>11524104</v>
      </c>
      <c r="C3555" s="2" t="s">
        <v>2353</v>
      </c>
      <c r="D3555" s="2" t="s">
        <v>41</v>
      </c>
      <c r="E3555" s="2" t="s">
        <v>48</v>
      </c>
      <c r="F3555" s="2" t="s">
        <v>36</v>
      </c>
      <c r="G3555" s="2" t="s">
        <v>7347</v>
      </c>
      <c r="I3555" s="2">
        <v>1299</v>
      </c>
      <c r="J3555" s="2" t="s">
        <v>208</v>
      </c>
      <c r="K3555" s="2" t="s">
        <v>26</v>
      </c>
      <c r="L3555" s="2">
        <v>4.3</v>
      </c>
      <c r="M3555" s="2">
        <v>560</v>
      </c>
      <c r="P3555" t="str">
        <f t="shared" si="223"/>
        <v>52%</v>
      </c>
      <c r="Q3555" s="12">
        <f t="shared" si="220"/>
        <v>0.52</v>
      </c>
      <c r="R3555" s="9">
        <f t="shared" si="221"/>
        <v>623.52</v>
      </c>
      <c r="S3555" s="9">
        <f>IF(R3555="",AVERAGEIF(Table1[Category],Table1[[#This Row],[Category]],Table2[orignal data]),Table2[[#This Row],[orignal data]])</f>
        <v>623.52</v>
      </c>
      <c r="T3555" t="str">
        <f t="shared" si="222"/>
        <v>UNIQUE</v>
      </c>
      <c r="U3555" t="str">
        <f>IF(ISBLANK(Table1[[#This Row],[SizeOption]]),"NOT AVAILABLE",Table1[[#This Row],[SizeOption]])</f>
        <v>S, M, L, XL</v>
      </c>
      <c r="Y3555" t="str">
        <f>IF(Table2[[#This Row],[Column1]]&gt;50%,"HIGH DISCOUNT","LOW DISCOUNT")</f>
        <v>HIGH DISCOUNT</v>
      </c>
    </row>
    <row r="3556" spans="1:25" x14ac:dyDescent="0.25">
      <c r="A3556" s="1" t="s">
        <v>7348</v>
      </c>
      <c r="B3556" s="1">
        <v>14615028</v>
      </c>
      <c r="C3556" s="1" t="s">
        <v>14</v>
      </c>
      <c r="D3556" s="1" t="s">
        <v>41</v>
      </c>
      <c r="E3556" s="1" t="s">
        <v>29</v>
      </c>
      <c r="F3556" s="1" t="s">
        <v>36</v>
      </c>
      <c r="G3556" s="1" t="s">
        <v>7349</v>
      </c>
      <c r="I3556" s="1">
        <v>1299</v>
      </c>
      <c r="J3556" s="1" t="s">
        <v>25</v>
      </c>
      <c r="K3556" s="1" t="s">
        <v>45</v>
      </c>
      <c r="L3556" s="1">
        <v>4.3</v>
      </c>
      <c r="M3556" s="1">
        <v>560</v>
      </c>
      <c r="P3556" t="str">
        <f t="shared" si="223"/>
        <v>55%</v>
      </c>
      <c r="Q3556" s="12">
        <f t="shared" si="220"/>
        <v>0.55000000000000004</v>
      </c>
      <c r="R3556" s="9">
        <f t="shared" si="221"/>
        <v>584.54999999999995</v>
      </c>
      <c r="S3556" s="9">
        <f>IF(R3556="",AVERAGEIF(Table1[Category],Table1[[#This Row],[Category]],Table2[orignal data]),Table2[[#This Row],[orignal data]])</f>
        <v>584.54999999999995</v>
      </c>
      <c r="T3556" t="str">
        <f t="shared" si="222"/>
        <v>UNIQUE</v>
      </c>
      <c r="U3556" t="str">
        <f>IF(ISBLANK(Table1[[#This Row],[SizeOption]]),"NOT AVAILABLE",Table1[[#This Row],[SizeOption]])</f>
        <v>XS, S, M, L, XL</v>
      </c>
      <c r="Y3556" t="str">
        <f>IF(Table2[[#This Row],[Column1]]&gt;50%,"HIGH DISCOUNT","LOW DISCOUNT")</f>
        <v>HIGH DISCOUNT</v>
      </c>
    </row>
    <row r="3557" spans="1:25" x14ac:dyDescent="0.25">
      <c r="A3557" s="2" t="s">
        <v>7350</v>
      </c>
      <c r="B3557" s="2">
        <v>17382916</v>
      </c>
      <c r="C3557" s="2" t="s">
        <v>14</v>
      </c>
      <c r="D3557" s="2" t="s">
        <v>41</v>
      </c>
      <c r="E3557" s="2" t="s">
        <v>42</v>
      </c>
      <c r="F3557" s="2" t="s">
        <v>36</v>
      </c>
      <c r="G3557" s="2" t="s">
        <v>7351</v>
      </c>
      <c r="I3557" s="2">
        <v>1598</v>
      </c>
      <c r="J3557" s="2" t="s">
        <v>84</v>
      </c>
      <c r="K3557" s="2" t="s">
        <v>146</v>
      </c>
      <c r="L3557" s="2">
        <v>4.2</v>
      </c>
      <c r="M3557" s="2">
        <v>560</v>
      </c>
      <c r="P3557" t="str">
        <f t="shared" si="223"/>
        <v>50%</v>
      </c>
      <c r="Q3557" s="12">
        <f t="shared" si="220"/>
        <v>0.5</v>
      </c>
      <c r="R3557" s="9">
        <f t="shared" si="221"/>
        <v>799</v>
      </c>
      <c r="S3557" s="9">
        <f>IF(R3557="",AVERAGEIF(Table1[Category],Table1[[#This Row],[Category]],Table2[orignal data]),Table2[[#This Row],[orignal data]])</f>
        <v>799</v>
      </c>
      <c r="T3557" t="str">
        <f t="shared" si="222"/>
        <v>UNIQUE</v>
      </c>
      <c r="U3557" t="str">
        <f>IF(ISBLANK(Table1[[#This Row],[SizeOption]]),"NOT AVAILABLE",Table1[[#This Row],[SizeOption]])</f>
        <v>L, M, S, XS, XL</v>
      </c>
      <c r="Y3557" t="str">
        <f>IF(Table2[[#This Row],[Column1]]&gt;50%,"HIGH DISCOUNT","LOW DISCOUNT")</f>
        <v>LOW DISCOUNT</v>
      </c>
    </row>
    <row r="3558" spans="1:25" x14ac:dyDescent="0.25">
      <c r="A3558" s="1" t="s">
        <v>7352</v>
      </c>
      <c r="B3558" s="1">
        <v>12204476</v>
      </c>
      <c r="C3558" s="1" t="s">
        <v>47</v>
      </c>
      <c r="D3558" s="1" t="s">
        <v>41</v>
      </c>
      <c r="E3558" s="1" t="s">
        <v>148</v>
      </c>
      <c r="F3558" s="1" t="s">
        <v>36</v>
      </c>
      <c r="G3558" s="1" t="s">
        <v>7353</v>
      </c>
      <c r="I3558" s="1">
        <v>1799</v>
      </c>
      <c r="J3558" s="1" t="s">
        <v>19</v>
      </c>
      <c r="K3558" s="1" t="s">
        <v>45</v>
      </c>
      <c r="L3558" s="1">
        <v>4.3</v>
      </c>
      <c r="M3558" s="1">
        <v>560</v>
      </c>
      <c r="P3558" t="str">
        <f t="shared" si="223"/>
        <v>45%</v>
      </c>
      <c r="Q3558" s="12">
        <f t="shared" si="220"/>
        <v>0.45</v>
      </c>
      <c r="R3558" s="9">
        <f t="shared" si="221"/>
        <v>989.44999999999993</v>
      </c>
      <c r="S3558" s="9">
        <f>IF(R3558="",AVERAGEIF(Table1[Category],Table1[[#This Row],[Category]],Table2[orignal data]),Table2[[#This Row],[orignal data]])</f>
        <v>989.44999999999993</v>
      </c>
      <c r="T3558" t="str">
        <f t="shared" si="222"/>
        <v>UNIQUE</v>
      </c>
      <c r="U3558" t="str">
        <f>IF(ISBLANK(Table1[[#This Row],[SizeOption]]),"NOT AVAILABLE",Table1[[#This Row],[SizeOption]])</f>
        <v>XS, S, M, L, XL</v>
      </c>
      <c r="Y3558" t="str">
        <f>IF(Table2[[#This Row],[Column1]]&gt;50%,"HIGH DISCOUNT","LOW DISCOUNT")</f>
        <v>LOW DISCOUNT</v>
      </c>
    </row>
    <row r="3559" spans="1:25" x14ac:dyDescent="0.25">
      <c r="A3559" s="2" t="s">
        <v>7354</v>
      </c>
      <c r="B3559" s="2">
        <v>4323238</v>
      </c>
      <c r="C3559" s="2" t="s">
        <v>420</v>
      </c>
      <c r="D3559" s="2" t="s">
        <v>41</v>
      </c>
      <c r="E3559" s="2" t="s">
        <v>48</v>
      </c>
      <c r="F3559" s="2" t="s">
        <v>36</v>
      </c>
      <c r="G3559" s="2" t="s">
        <v>7355</v>
      </c>
      <c r="I3559" s="2">
        <v>799</v>
      </c>
      <c r="J3559" s="2" t="s">
        <v>25</v>
      </c>
      <c r="K3559" s="2" t="s">
        <v>26</v>
      </c>
      <c r="L3559" s="2">
        <v>4</v>
      </c>
      <c r="M3559" s="2">
        <v>560</v>
      </c>
      <c r="P3559" t="str">
        <f t="shared" si="223"/>
        <v>55%</v>
      </c>
      <c r="Q3559" s="12">
        <f t="shared" si="220"/>
        <v>0.55000000000000004</v>
      </c>
      <c r="R3559" s="9">
        <f t="shared" si="221"/>
        <v>359.54999999999995</v>
      </c>
      <c r="S3559" s="9">
        <f>IF(R3559="",AVERAGEIF(Table1[Category],Table1[[#This Row],[Category]],Table2[orignal data]),Table2[[#This Row],[orignal data]])</f>
        <v>359.54999999999995</v>
      </c>
      <c r="T3559" t="str">
        <f t="shared" si="222"/>
        <v>UNIQUE</v>
      </c>
      <c r="U3559" t="str">
        <f>IF(ISBLANK(Table1[[#This Row],[SizeOption]]),"NOT AVAILABLE",Table1[[#This Row],[SizeOption]])</f>
        <v>S, M, L, XL</v>
      </c>
      <c r="Y3559" t="str">
        <f>IF(Table2[[#This Row],[Column1]]&gt;50%,"HIGH DISCOUNT","LOW DISCOUNT")</f>
        <v>HIGH DISCOUNT</v>
      </c>
    </row>
    <row r="3560" spans="1:25" x14ac:dyDescent="0.25">
      <c r="A3560" s="1" t="s">
        <v>7356</v>
      </c>
      <c r="B3560" s="1">
        <v>9044831</v>
      </c>
      <c r="C3560" s="1" t="s">
        <v>107</v>
      </c>
      <c r="D3560" s="1" t="s">
        <v>41</v>
      </c>
      <c r="E3560" s="1" t="s">
        <v>48</v>
      </c>
      <c r="F3560" s="1" t="s">
        <v>36</v>
      </c>
      <c r="G3560" s="1" t="s">
        <v>7357</v>
      </c>
      <c r="I3560" s="1">
        <v>799</v>
      </c>
      <c r="J3560" s="1" t="s">
        <v>55</v>
      </c>
      <c r="K3560" s="1" t="s">
        <v>45</v>
      </c>
      <c r="L3560" s="1">
        <v>3.9</v>
      </c>
      <c r="M3560" s="1">
        <v>560</v>
      </c>
      <c r="P3560" t="str">
        <f t="shared" si="223"/>
        <v>60%</v>
      </c>
      <c r="Q3560" s="12">
        <f t="shared" si="220"/>
        <v>0.6</v>
      </c>
      <c r="R3560" s="9">
        <f t="shared" si="221"/>
        <v>319.60000000000002</v>
      </c>
      <c r="S3560" s="9">
        <f>IF(R3560="",AVERAGEIF(Table1[Category],Table1[[#This Row],[Category]],Table2[orignal data]),Table2[[#This Row],[orignal data]])</f>
        <v>319.60000000000002</v>
      </c>
      <c r="T3560" t="str">
        <f t="shared" si="222"/>
        <v>UNIQUE</v>
      </c>
      <c r="U3560" t="str">
        <f>IF(ISBLANK(Table1[[#This Row],[SizeOption]]),"NOT AVAILABLE",Table1[[#This Row],[SizeOption]])</f>
        <v>XS, S, M, L, XL</v>
      </c>
      <c r="Y3560" t="str">
        <f>IF(Table2[[#This Row],[Column1]]&gt;50%,"HIGH DISCOUNT","LOW DISCOUNT")</f>
        <v>HIGH DISCOUNT</v>
      </c>
    </row>
    <row r="3561" spans="1:25" x14ac:dyDescent="0.25">
      <c r="A3561" s="2" t="s">
        <v>7358</v>
      </c>
      <c r="B3561" s="2">
        <v>17384026</v>
      </c>
      <c r="C3561" s="2" t="s">
        <v>14</v>
      </c>
      <c r="D3561" s="2" t="s">
        <v>41</v>
      </c>
      <c r="E3561" s="2" t="s">
        <v>42</v>
      </c>
      <c r="F3561" s="2" t="s">
        <v>36</v>
      </c>
      <c r="G3561" s="2" t="s">
        <v>696</v>
      </c>
      <c r="I3561" s="2">
        <v>1298</v>
      </c>
      <c r="J3561" s="2"/>
      <c r="K3561" s="2" t="s">
        <v>146</v>
      </c>
      <c r="L3561" s="2">
        <v>4.3</v>
      </c>
      <c r="M3561" s="2">
        <v>560</v>
      </c>
      <c r="P3561" t="str">
        <f t="shared" si="223"/>
        <v/>
      </c>
      <c r="Q3561" s="12" t="str">
        <f t="shared" si="220"/>
        <v/>
      </c>
      <c r="R3561" s="9" t="str">
        <f t="shared" si="221"/>
        <v/>
      </c>
      <c r="S3561" s="9">
        <f>IF(R3561="",AVERAGEIF(Table1[Category],Table1[[#This Row],[Category]],Table2[orignal data]),Table2[[#This Row],[orignal data]])</f>
        <v>715.78890751086249</v>
      </c>
      <c r="T3561" t="str">
        <f t="shared" si="222"/>
        <v>UNIQUE</v>
      </c>
      <c r="U3561" t="str">
        <f>IF(ISBLANK(Table1[[#This Row],[SizeOption]]),"NOT AVAILABLE",Table1[[#This Row],[SizeOption]])</f>
        <v>L, M, S, XS, XL</v>
      </c>
      <c r="Y3561" t="str">
        <f>IF(Table2[[#This Row],[Column1]]&gt;50%,"HIGH DISCOUNT","LOW DISCOUNT")</f>
        <v>HIGH DISCOUNT</v>
      </c>
    </row>
    <row r="3562" spans="1:25" x14ac:dyDescent="0.25">
      <c r="A3562" s="1" t="s">
        <v>7359</v>
      </c>
      <c r="B3562" s="1">
        <v>9194197</v>
      </c>
      <c r="C3562" s="1" t="s">
        <v>3911</v>
      </c>
      <c r="D3562" s="1" t="s">
        <v>15</v>
      </c>
      <c r="E3562" s="1" t="s">
        <v>137</v>
      </c>
      <c r="F3562" s="1" t="s">
        <v>17</v>
      </c>
      <c r="G3562" s="1" t="s">
        <v>7360</v>
      </c>
      <c r="H3562">
        <v>599</v>
      </c>
      <c r="I3562" s="1">
        <v>999</v>
      </c>
      <c r="J3562" s="1" t="s">
        <v>50</v>
      </c>
      <c r="K3562" s="1" t="s">
        <v>816</v>
      </c>
      <c r="L3562" s="1">
        <v>4.0999999999999996</v>
      </c>
      <c r="M3562" s="1">
        <v>559</v>
      </c>
      <c r="P3562" t="str">
        <f t="shared" si="223"/>
        <v>40%</v>
      </c>
      <c r="Q3562" s="12">
        <f t="shared" si="220"/>
        <v>0.4</v>
      </c>
      <c r="R3562" s="9">
        <f t="shared" si="221"/>
        <v>599.4</v>
      </c>
      <c r="S3562" s="9">
        <f>IF(R3562="",AVERAGEIF(Table1[Category],Table1[[#This Row],[Category]],Table2[orignal data]),Table2[[#This Row],[orignal data]])</f>
        <v>599.4</v>
      </c>
      <c r="T3562" t="str">
        <f t="shared" si="222"/>
        <v>UNIQUE</v>
      </c>
      <c r="U3562" t="str">
        <f>IF(ISBLANK(Table1[[#This Row],[SizeOption]]),"NOT AVAILABLE",Table1[[#This Row],[SizeOption]])</f>
        <v>30, 32, 34, 36, 38</v>
      </c>
      <c r="Y3562" t="str">
        <f>IF(Table2[[#This Row],[Column1]]&gt;50%,"HIGH DISCOUNT","LOW DISCOUNT")</f>
        <v>LOW DISCOUNT</v>
      </c>
    </row>
    <row r="3563" spans="1:25" x14ac:dyDescent="0.25">
      <c r="A3563" s="2" t="s">
        <v>7361</v>
      </c>
      <c r="B3563" s="2">
        <v>13859370</v>
      </c>
      <c r="C3563" s="2" t="s">
        <v>14</v>
      </c>
      <c r="D3563" s="2" t="s">
        <v>15</v>
      </c>
      <c r="E3563" s="2" t="s">
        <v>53</v>
      </c>
      <c r="F3563" s="2" t="s">
        <v>17</v>
      </c>
      <c r="G3563" s="2" t="s">
        <v>7362</v>
      </c>
      <c r="H3563">
        <v>519</v>
      </c>
      <c r="I3563" s="2">
        <v>1299</v>
      </c>
      <c r="J3563" s="2" t="s">
        <v>55</v>
      </c>
      <c r="K3563" s="2" t="s">
        <v>20</v>
      </c>
      <c r="L3563" s="2">
        <v>4</v>
      </c>
      <c r="M3563" s="2">
        <v>559</v>
      </c>
      <c r="P3563" t="str">
        <f t="shared" si="223"/>
        <v>60%</v>
      </c>
      <c r="Q3563" s="12">
        <f t="shared" si="220"/>
        <v>0.6</v>
      </c>
      <c r="R3563" s="9">
        <f t="shared" si="221"/>
        <v>519.6</v>
      </c>
      <c r="S3563" s="9">
        <f>IF(R3563="",AVERAGEIF(Table1[Category],Table1[[#This Row],[Category]],Table2[orignal data]),Table2[[#This Row],[orignal data]])</f>
        <v>519.6</v>
      </c>
      <c r="T3563" t="str">
        <f t="shared" si="222"/>
        <v>UNIQUE</v>
      </c>
      <c r="U3563" t="str">
        <f>IF(ISBLANK(Table1[[#This Row],[SizeOption]]),"NOT AVAILABLE",Table1[[#This Row],[SizeOption]])</f>
        <v>28, 30, 32, 34, 36</v>
      </c>
      <c r="Y3563" t="str">
        <f>IF(Table2[[#This Row],[Column1]]&gt;50%,"HIGH DISCOUNT","LOW DISCOUNT")</f>
        <v>HIGH DISCOUNT</v>
      </c>
    </row>
    <row r="3564" spans="1:25" x14ac:dyDescent="0.25">
      <c r="A3564" s="1" t="s">
        <v>7363</v>
      </c>
      <c r="B3564" s="1">
        <v>9445461</v>
      </c>
      <c r="C3564" s="1" t="s">
        <v>67</v>
      </c>
      <c r="D3564" s="1" t="s">
        <v>68</v>
      </c>
      <c r="E3564" s="1" t="s">
        <v>189</v>
      </c>
      <c r="F3564" s="1" t="s">
        <v>17</v>
      </c>
      <c r="G3564" s="1" t="s">
        <v>7364</v>
      </c>
      <c r="H3564">
        <v>1259</v>
      </c>
      <c r="I3564" s="1">
        <v>3599</v>
      </c>
      <c r="J3564" s="1" t="s">
        <v>150</v>
      </c>
      <c r="K3564" s="1" t="s">
        <v>39</v>
      </c>
      <c r="L3564" s="1">
        <v>4.2</v>
      </c>
      <c r="M3564" s="1">
        <v>559</v>
      </c>
      <c r="P3564" t="str">
        <f t="shared" si="223"/>
        <v>65%</v>
      </c>
      <c r="Q3564" s="12">
        <f t="shared" si="220"/>
        <v>0.65</v>
      </c>
      <c r="R3564" s="9">
        <f t="shared" si="221"/>
        <v>1259.6500000000001</v>
      </c>
      <c r="S3564" s="9">
        <f>IF(R3564="",AVERAGEIF(Table1[Category],Table1[[#This Row],[Category]],Table2[orignal data]),Table2[[#This Row],[orignal data]])</f>
        <v>1259.6500000000001</v>
      </c>
      <c r="T3564" t="str">
        <f t="shared" si="222"/>
        <v>UNIQUE</v>
      </c>
      <c r="U3564" t="str">
        <f>IF(ISBLANK(Table1[[#This Row],[SizeOption]]),"NOT AVAILABLE",Table1[[#This Row],[SizeOption]])</f>
        <v>S, M, L, XL, XXL</v>
      </c>
      <c r="Y3564" t="str">
        <f>IF(Table2[[#This Row],[Column1]]&gt;50%,"HIGH DISCOUNT","LOW DISCOUNT")</f>
        <v>HIGH DISCOUNT</v>
      </c>
    </row>
    <row r="3565" spans="1:25" x14ac:dyDescent="0.25">
      <c r="A3565" s="2" t="s">
        <v>7365</v>
      </c>
      <c r="B3565" s="2">
        <v>11363336</v>
      </c>
      <c r="C3565" s="2" t="s">
        <v>169</v>
      </c>
      <c r="D3565" s="2" t="s">
        <v>28</v>
      </c>
      <c r="E3565" s="2" t="s">
        <v>42</v>
      </c>
      <c r="F3565" s="2" t="s">
        <v>17</v>
      </c>
      <c r="G3565" s="2" t="s">
        <v>7366</v>
      </c>
      <c r="H3565">
        <v>494</v>
      </c>
      <c r="I3565" s="2">
        <v>899</v>
      </c>
      <c r="J3565" s="2" t="s">
        <v>19</v>
      </c>
      <c r="K3565" s="2" t="s">
        <v>39</v>
      </c>
      <c r="L3565" s="2">
        <v>4.4000000000000004</v>
      </c>
      <c r="M3565" s="2">
        <v>559</v>
      </c>
      <c r="P3565" t="str">
        <f t="shared" si="223"/>
        <v>45%</v>
      </c>
      <c r="Q3565" s="12">
        <f t="shared" si="220"/>
        <v>0.45</v>
      </c>
      <c r="R3565" s="9">
        <f t="shared" si="221"/>
        <v>494.45</v>
      </c>
      <c r="S3565" s="9">
        <f>IF(R3565="",AVERAGEIF(Table1[Category],Table1[[#This Row],[Category]],Table2[orignal data]),Table2[[#This Row],[orignal data]])</f>
        <v>494.45</v>
      </c>
      <c r="T3565" t="str">
        <f t="shared" si="222"/>
        <v>UNIQUE</v>
      </c>
      <c r="U3565" t="str">
        <f>IF(ISBLANK(Table1[[#This Row],[SizeOption]]),"NOT AVAILABLE",Table1[[#This Row],[SizeOption]])</f>
        <v>S, M, L, XL, XXL</v>
      </c>
      <c r="Y3565" t="str">
        <f>IF(Table2[[#This Row],[Column1]]&gt;50%,"HIGH DISCOUNT","LOW DISCOUNT")</f>
        <v>LOW DISCOUNT</v>
      </c>
    </row>
    <row r="3566" spans="1:25" x14ac:dyDescent="0.25">
      <c r="A3566" s="1" t="s">
        <v>7367</v>
      </c>
      <c r="B3566" s="1">
        <v>12652070</v>
      </c>
      <c r="C3566" s="1" t="s">
        <v>64</v>
      </c>
      <c r="D3566" s="1" t="s">
        <v>76</v>
      </c>
      <c r="E3566" s="1" t="s">
        <v>93</v>
      </c>
      <c r="F3566" s="1" t="s">
        <v>36</v>
      </c>
      <c r="G3566" s="1" t="s">
        <v>7368</v>
      </c>
      <c r="H3566">
        <v>419</v>
      </c>
      <c r="I3566" s="1">
        <v>1199</v>
      </c>
      <c r="J3566" s="1" t="s">
        <v>150</v>
      </c>
      <c r="K3566" s="1" t="s">
        <v>100</v>
      </c>
      <c r="L3566" s="1">
        <v>4.0999999999999996</v>
      </c>
      <c r="M3566" s="1">
        <v>559</v>
      </c>
      <c r="P3566" t="str">
        <f t="shared" si="223"/>
        <v>65%</v>
      </c>
      <c r="Q3566" s="12">
        <f t="shared" si="220"/>
        <v>0.65</v>
      </c>
      <c r="R3566" s="9">
        <f t="shared" si="221"/>
        <v>419.65</v>
      </c>
      <c r="S3566" s="9">
        <f>IF(R3566="",AVERAGEIF(Table1[Category],Table1[[#This Row],[Category]],Table2[orignal data]),Table2[[#This Row],[orignal data]])</f>
        <v>419.65</v>
      </c>
      <c r="T3566" t="str">
        <f t="shared" si="222"/>
        <v>UNIQUE</v>
      </c>
      <c r="U3566" t="str">
        <f>IF(ISBLANK(Table1[[#This Row],[SizeOption]]),"NOT AVAILABLE",Table1[[#This Row],[SizeOption]])</f>
        <v>XS, S, M, L, XL, XXL, 3XL</v>
      </c>
      <c r="Y3566" t="str">
        <f>IF(Table2[[#This Row],[Column1]]&gt;50%,"HIGH DISCOUNT","LOW DISCOUNT")</f>
        <v>HIGH DISCOUNT</v>
      </c>
    </row>
    <row r="3567" spans="1:25" x14ac:dyDescent="0.25">
      <c r="A3567" s="2" t="s">
        <v>7369</v>
      </c>
      <c r="B3567" s="2">
        <v>12134596</v>
      </c>
      <c r="C3567" s="2" t="s">
        <v>113</v>
      </c>
      <c r="D3567" s="2" t="s">
        <v>76</v>
      </c>
      <c r="E3567" s="2" t="s">
        <v>148</v>
      </c>
      <c r="F3567" s="2" t="s">
        <v>36</v>
      </c>
      <c r="G3567" s="2" t="s">
        <v>7370</v>
      </c>
      <c r="H3567">
        <v>1049</v>
      </c>
      <c r="I3567" s="2">
        <v>2099</v>
      </c>
      <c r="J3567" s="2" t="s">
        <v>84</v>
      </c>
      <c r="K3567" s="2" t="s">
        <v>115</v>
      </c>
      <c r="L3567" s="2">
        <v>4</v>
      </c>
      <c r="M3567" s="2">
        <v>559</v>
      </c>
      <c r="P3567" t="str">
        <f t="shared" si="223"/>
        <v>50%</v>
      </c>
      <c r="Q3567" s="12">
        <f t="shared" si="220"/>
        <v>0.5</v>
      </c>
      <c r="R3567" s="9">
        <f t="shared" si="221"/>
        <v>1049.5</v>
      </c>
      <c r="S3567" s="9">
        <f>IF(R3567="",AVERAGEIF(Table1[Category],Table1[[#This Row],[Category]],Table2[orignal data]),Table2[[#This Row],[orignal data]])</f>
        <v>1049.5</v>
      </c>
      <c r="T3567" t="str">
        <f t="shared" si="222"/>
        <v>UNIQUE</v>
      </c>
      <c r="U3567" t="str">
        <f>IF(ISBLANK(Table1[[#This Row],[SizeOption]]),"NOT AVAILABLE",Table1[[#This Row],[SizeOption]])</f>
        <v>XS, S, M, L, XL, XXL</v>
      </c>
      <c r="Y3567" t="str">
        <f>IF(Table2[[#This Row],[Column1]]&gt;50%,"HIGH DISCOUNT","LOW DISCOUNT")</f>
        <v>LOW DISCOUNT</v>
      </c>
    </row>
    <row r="3568" spans="1:25" x14ac:dyDescent="0.25">
      <c r="A3568" s="1" t="s">
        <v>7371</v>
      </c>
      <c r="B3568" s="1">
        <v>11272632</v>
      </c>
      <c r="C3568" s="1" t="s">
        <v>107</v>
      </c>
      <c r="D3568" s="1" t="s">
        <v>41</v>
      </c>
      <c r="E3568" s="1" t="s">
        <v>48</v>
      </c>
      <c r="F3568" s="1" t="s">
        <v>36</v>
      </c>
      <c r="G3568" s="1" t="s">
        <v>7372</v>
      </c>
      <c r="I3568" s="1">
        <v>1099</v>
      </c>
      <c r="J3568" s="1" t="s">
        <v>50</v>
      </c>
      <c r="K3568" s="1" t="s">
        <v>45</v>
      </c>
      <c r="L3568" s="1">
        <v>4.5</v>
      </c>
      <c r="M3568" s="1">
        <v>559</v>
      </c>
      <c r="P3568" t="str">
        <f t="shared" si="223"/>
        <v>40%</v>
      </c>
      <c r="Q3568" s="12">
        <f t="shared" si="220"/>
        <v>0.4</v>
      </c>
      <c r="R3568" s="9">
        <f t="shared" si="221"/>
        <v>659.4</v>
      </c>
      <c r="S3568" s="9">
        <f>IF(R3568="",AVERAGEIF(Table1[Category],Table1[[#This Row],[Category]],Table2[orignal data]),Table2[[#This Row],[orignal data]])</f>
        <v>659.4</v>
      </c>
      <c r="T3568" t="str">
        <f t="shared" si="222"/>
        <v>UNIQUE</v>
      </c>
      <c r="U3568" t="str">
        <f>IF(ISBLANK(Table1[[#This Row],[SizeOption]]),"NOT AVAILABLE",Table1[[#This Row],[SizeOption]])</f>
        <v>XS, S, M, L, XL</v>
      </c>
      <c r="Y3568" t="str">
        <f>IF(Table2[[#This Row],[Column1]]&gt;50%,"HIGH DISCOUNT","LOW DISCOUNT")</f>
        <v>LOW DISCOUNT</v>
      </c>
    </row>
    <row r="3569" spans="1:25" x14ac:dyDescent="0.25">
      <c r="A3569" s="2" t="s">
        <v>7373</v>
      </c>
      <c r="B3569" s="2">
        <v>13298958</v>
      </c>
      <c r="C3569" s="2" t="s">
        <v>14</v>
      </c>
      <c r="D3569" s="2" t="s">
        <v>41</v>
      </c>
      <c r="E3569" s="2" t="s">
        <v>29</v>
      </c>
      <c r="F3569" s="2" t="s">
        <v>36</v>
      </c>
      <c r="G3569" s="2" t="s">
        <v>7374</v>
      </c>
      <c r="I3569" s="2">
        <v>999</v>
      </c>
      <c r="J3569" s="2" t="s">
        <v>528</v>
      </c>
      <c r="K3569" s="2" t="s">
        <v>115</v>
      </c>
      <c r="L3569" s="2">
        <v>4.3</v>
      </c>
      <c r="M3569" s="2">
        <v>559</v>
      </c>
      <c r="P3569" t="str">
        <f t="shared" si="223"/>
        <v>500</v>
      </c>
      <c r="Q3569" s="12">
        <f t="shared" si="220"/>
        <v>0.50050050050050054</v>
      </c>
      <c r="R3569" s="9">
        <f t="shared" si="221"/>
        <v>498.99999999999994</v>
      </c>
      <c r="S3569" s="9">
        <f>IF(R3569="",AVERAGEIF(Table1[Category],Table1[[#This Row],[Category]],Table2[orignal data]),Table2[[#This Row],[orignal data]])</f>
        <v>498.99999999999994</v>
      </c>
      <c r="T3569" t="str">
        <f t="shared" si="222"/>
        <v>UNIQUE</v>
      </c>
      <c r="U3569" t="str">
        <f>IF(ISBLANK(Table1[[#This Row],[SizeOption]]),"NOT AVAILABLE",Table1[[#This Row],[SizeOption]])</f>
        <v>XS, S, M, L, XL, XXL</v>
      </c>
      <c r="Y3569" t="str">
        <f>IF(Table2[[#This Row],[Column1]]&gt;50%,"HIGH DISCOUNT","LOW DISCOUNT")</f>
        <v>HIGH DISCOUNT</v>
      </c>
    </row>
    <row r="3570" spans="1:25" x14ac:dyDescent="0.25">
      <c r="A3570" s="1" t="s">
        <v>7375</v>
      </c>
      <c r="B3570" s="1">
        <v>9365921</v>
      </c>
      <c r="C3570" s="1" t="s">
        <v>113</v>
      </c>
      <c r="D3570" s="1" t="s">
        <v>76</v>
      </c>
      <c r="E3570" s="1" t="s">
        <v>77</v>
      </c>
      <c r="F3570" s="1" t="s">
        <v>17</v>
      </c>
      <c r="G3570" s="1" t="s">
        <v>7376</v>
      </c>
      <c r="H3570">
        <v>1479</v>
      </c>
      <c r="I3570" s="1">
        <v>3699</v>
      </c>
      <c r="J3570" s="1" t="s">
        <v>55</v>
      </c>
      <c r="K3570" s="1" t="s">
        <v>39</v>
      </c>
      <c r="L3570" s="1">
        <v>4.0999999999999996</v>
      </c>
      <c r="M3570" s="1">
        <v>558</v>
      </c>
      <c r="P3570" t="str">
        <f t="shared" si="223"/>
        <v>60%</v>
      </c>
      <c r="Q3570" s="12">
        <f t="shared" si="220"/>
        <v>0.6</v>
      </c>
      <c r="R3570" s="9">
        <f t="shared" si="221"/>
        <v>1479.6</v>
      </c>
      <c r="S3570" s="9">
        <f>IF(R3570="",AVERAGEIF(Table1[Category],Table1[[#This Row],[Category]],Table2[orignal data]),Table2[[#This Row],[orignal data]])</f>
        <v>1479.6</v>
      </c>
      <c r="T3570" t="str">
        <f t="shared" si="222"/>
        <v>UNIQUE</v>
      </c>
      <c r="U3570" t="str">
        <f>IF(ISBLANK(Table1[[#This Row],[SizeOption]]),"NOT AVAILABLE",Table1[[#This Row],[SizeOption]])</f>
        <v>S, M, L, XL, XXL</v>
      </c>
      <c r="Y3570" t="str">
        <f>IF(Table2[[#This Row],[Column1]]&gt;50%,"HIGH DISCOUNT","LOW DISCOUNT")</f>
        <v>HIGH DISCOUNT</v>
      </c>
    </row>
    <row r="3571" spans="1:25" x14ac:dyDescent="0.25">
      <c r="A3571" s="2" t="s">
        <v>7377</v>
      </c>
      <c r="B3571" s="2">
        <v>12402754</v>
      </c>
      <c r="C3571" s="2" t="s">
        <v>169</v>
      </c>
      <c r="D3571" s="2" t="s">
        <v>197</v>
      </c>
      <c r="E3571" s="2" t="s">
        <v>198</v>
      </c>
      <c r="F3571" s="2" t="s">
        <v>17</v>
      </c>
      <c r="G3571" s="2" t="s">
        <v>3362</v>
      </c>
      <c r="H3571">
        <v>384</v>
      </c>
      <c r="I3571" s="2">
        <v>549</v>
      </c>
      <c r="J3571" s="2" t="s">
        <v>186</v>
      </c>
      <c r="K3571" s="2" t="s">
        <v>164</v>
      </c>
      <c r="L3571" s="2">
        <v>4.4000000000000004</v>
      </c>
      <c r="M3571" s="2">
        <v>558</v>
      </c>
      <c r="P3571" t="str">
        <f t="shared" si="223"/>
        <v>30%</v>
      </c>
      <c r="Q3571" s="12">
        <f t="shared" si="220"/>
        <v>0.3</v>
      </c>
      <c r="R3571" s="9">
        <f t="shared" si="221"/>
        <v>384.3</v>
      </c>
      <c r="S3571" s="9">
        <f>IF(R3571="",AVERAGEIF(Table1[Category],Table1[[#This Row],[Category]],Table2[orignal data]),Table2[[#This Row],[orignal data]])</f>
        <v>384.3</v>
      </c>
      <c r="T3571" t="str">
        <f t="shared" si="222"/>
        <v>UNIQUE</v>
      </c>
      <c r="U3571" t="str">
        <f>IF(ISBLANK(Table1[[#This Row],[SizeOption]]),"NOT AVAILABLE",Table1[[#This Row],[SizeOption]])</f>
        <v>Onesize</v>
      </c>
      <c r="Y3571" t="str">
        <f>IF(Table2[[#This Row],[Column1]]&gt;50%,"HIGH DISCOUNT","LOW DISCOUNT")</f>
        <v>LOW DISCOUNT</v>
      </c>
    </row>
    <row r="3572" spans="1:25" x14ac:dyDescent="0.25">
      <c r="A3572" s="1" t="s">
        <v>7378</v>
      </c>
      <c r="B3572" s="1">
        <v>11036954</v>
      </c>
      <c r="C3572" s="1" t="s">
        <v>349</v>
      </c>
      <c r="D3572" s="1" t="s">
        <v>197</v>
      </c>
      <c r="E3572" s="1" t="s">
        <v>939</v>
      </c>
      <c r="F3572" s="1" t="s">
        <v>17</v>
      </c>
      <c r="G3572" s="1" t="s">
        <v>7379</v>
      </c>
      <c r="I3572" s="1">
        <v>749</v>
      </c>
      <c r="J3572" s="1"/>
      <c r="K3572" s="1" t="s">
        <v>352</v>
      </c>
      <c r="L3572" s="1">
        <v>4.0999999999999996</v>
      </c>
      <c r="M3572" s="1">
        <v>558</v>
      </c>
      <c r="P3572" t="str">
        <f t="shared" si="223"/>
        <v/>
      </c>
      <c r="Q3572" s="12" t="str">
        <f t="shared" si="220"/>
        <v/>
      </c>
      <c r="R3572" s="9" t="str">
        <f t="shared" si="221"/>
        <v/>
      </c>
      <c r="S3572" s="9">
        <f>IF(R3572="",AVERAGEIF(Table1[Category],Table1[[#This Row],[Category]],Table2[orignal data]),Table2[[#This Row],[orignal data]])</f>
        <v>552.70900000000006</v>
      </c>
      <c r="T3572" t="str">
        <f t="shared" si="222"/>
        <v>UNIQUE</v>
      </c>
      <c r="U3572" t="str">
        <f>IF(ISBLANK(Table1[[#This Row],[SizeOption]]),"NOT AVAILABLE",Table1[[#This Row],[SizeOption]])</f>
        <v>S, M, L</v>
      </c>
      <c r="Y3572" t="str">
        <f>IF(Table2[[#This Row],[Column1]]&gt;50%,"HIGH DISCOUNT","LOW DISCOUNT")</f>
        <v>HIGH DISCOUNT</v>
      </c>
    </row>
    <row r="3573" spans="1:25" x14ac:dyDescent="0.25">
      <c r="A3573" s="2" t="s">
        <v>7380</v>
      </c>
      <c r="B3573" s="2">
        <v>18028832</v>
      </c>
      <c r="C3573" s="2" t="s">
        <v>295</v>
      </c>
      <c r="D3573" s="2" t="s">
        <v>197</v>
      </c>
      <c r="E3573" s="2" t="s">
        <v>939</v>
      </c>
      <c r="F3573" s="2" t="s">
        <v>17</v>
      </c>
      <c r="G3573" s="2" t="s">
        <v>4736</v>
      </c>
      <c r="I3573" s="2">
        <v>1098</v>
      </c>
      <c r="J3573" s="2"/>
      <c r="K3573" s="2" t="s">
        <v>26</v>
      </c>
      <c r="L3573" s="2">
        <v>4.3</v>
      </c>
      <c r="M3573" s="2">
        <v>558</v>
      </c>
      <c r="P3573" t="str">
        <f t="shared" si="223"/>
        <v/>
      </c>
      <c r="Q3573" s="12" t="str">
        <f t="shared" si="220"/>
        <v/>
      </c>
      <c r="R3573" s="9" t="str">
        <f t="shared" si="221"/>
        <v/>
      </c>
      <c r="S3573" s="9">
        <f>IF(R3573="",AVERAGEIF(Table1[Category],Table1[[#This Row],[Category]],Table2[orignal data]),Table2[[#This Row],[orignal data]])</f>
        <v>552.70900000000006</v>
      </c>
      <c r="T3573" t="str">
        <f t="shared" si="222"/>
        <v>UNIQUE</v>
      </c>
      <c r="U3573" t="str">
        <f>IF(ISBLANK(Table1[[#This Row],[SizeOption]]),"NOT AVAILABLE",Table1[[#This Row],[SizeOption]])</f>
        <v>S, M, L, XL</v>
      </c>
      <c r="Y3573" t="str">
        <f>IF(Table2[[#This Row],[Column1]]&gt;50%,"HIGH DISCOUNT","LOW DISCOUNT")</f>
        <v>HIGH DISCOUNT</v>
      </c>
    </row>
    <row r="3574" spans="1:25" x14ac:dyDescent="0.25">
      <c r="A3574" s="1" t="s">
        <v>7381</v>
      </c>
      <c r="B3574" s="1">
        <v>10106299</v>
      </c>
      <c r="C3574" s="1" t="s">
        <v>67</v>
      </c>
      <c r="D3574" s="1" t="s">
        <v>68</v>
      </c>
      <c r="E3574" s="1" t="s">
        <v>42</v>
      </c>
      <c r="F3574" s="1" t="s">
        <v>17</v>
      </c>
      <c r="G3574" s="1" t="s">
        <v>7382</v>
      </c>
      <c r="H3574">
        <v>494</v>
      </c>
      <c r="I3574" s="1">
        <v>1099</v>
      </c>
      <c r="J3574" s="1" t="s">
        <v>25</v>
      </c>
      <c r="K3574" s="1" t="s">
        <v>39</v>
      </c>
      <c r="L3574" s="1">
        <v>4.0999999999999996</v>
      </c>
      <c r="M3574" s="1">
        <v>558</v>
      </c>
      <c r="P3574" t="str">
        <f t="shared" si="223"/>
        <v>55%</v>
      </c>
      <c r="Q3574" s="12">
        <f t="shared" si="220"/>
        <v>0.55000000000000004</v>
      </c>
      <c r="R3574" s="9">
        <f t="shared" si="221"/>
        <v>494.54999999999995</v>
      </c>
      <c r="S3574" s="9">
        <f>IF(R3574="",AVERAGEIF(Table1[Category],Table1[[#This Row],[Category]],Table2[orignal data]),Table2[[#This Row],[orignal data]])</f>
        <v>494.54999999999995</v>
      </c>
      <c r="T3574" t="str">
        <f t="shared" si="222"/>
        <v>UNIQUE</v>
      </c>
      <c r="U3574" t="str">
        <f>IF(ISBLANK(Table1[[#This Row],[SizeOption]]),"NOT AVAILABLE",Table1[[#This Row],[SizeOption]])</f>
        <v>S, M, L, XL, XXL</v>
      </c>
      <c r="Y3574" t="str">
        <f>IF(Table2[[#This Row],[Column1]]&gt;50%,"HIGH DISCOUNT","LOW DISCOUNT")</f>
        <v>HIGH DISCOUNT</v>
      </c>
    </row>
    <row r="3575" spans="1:25" x14ac:dyDescent="0.25">
      <c r="A3575" s="2" t="s">
        <v>7383</v>
      </c>
      <c r="B3575" s="2">
        <v>11582844</v>
      </c>
      <c r="C3575" s="2" t="s">
        <v>420</v>
      </c>
      <c r="D3575" s="2" t="s">
        <v>68</v>
      </c>
      <c r="E3575" s="2" t="s">
        <v>42</v>
      </c>
      <c r="F3575" s="2" t="s">
        <v>17</v>
      </c>
      <c r="G3575" s="2" t="s">
        <v>7384</v>
      </c>
      <c r="H3575">
        <v>472</v>
      </c>
      <c r="I3575" s="2">
        <v>1099</v>
      </c>
      <c r="J3575" s="2" t="s">
        <v>130</v>
      </c>
      <c r="K3575" s="2" t="s">
        <v>26</v>
      </c>
      <c r="L3575" s="2">
        <v>3.9</v>
      </c>
      <c r="M3575" s="2">
        <v>558</v>
      </c>
      <c r="P3575" t="str">
        <f t="shared" si="223"/>
        <v>57%</v>
      </c>
      <c r="Q3575" s="12">
        <f t="shared" si="220"/>
        <v>0.56999999999999995</v>
      </c>
      <c r="R3575" s="9">
        <f t="shared" si="221"/>
        <v>472.57000000000005</v>
      </c>
      <c r="S3575" s="9">
        <f>IF(R3575="",AVERAGEIF(Table1[Category],Table1[[#This Row],[Category]],Table2[orignal data]),Table2[[#This Row],[orignal data]])</f>
        <v>472.57000000000005</v>
      </c>
      <c r="T3575" t="str">
        <f t="shared" si="222"/>
        <v>UNIQUE</v>
      </c>
      <c r="U3575" t="str">
        <f>IF(ISBLANK(Table1[[#This Row],[SizeOption]]),"NOT AVAILABLE",Table1[[#This Row],[SizeOption]])</f>
        <v>S, M, L, XL</v>
      </c>
      <c r="Y3575" t="str">
        <f>IF(Table2[[#This Row],[Column1]]&gt;50%,"HIGH DISCOUNT","LOW DISCOUNT")</f>
        <v>HIGH DISCOUNT</v>
      </c>
    </row>
    <row r="3576" spans="1:25" x14ac:dyDescent="0.25">
      <c r="A3576" s="1" t="s">
        <v>7385</v>
      </c>
      <c r="B3576" s="1">
        <v>4881811</v>
      </c>
      <c r="C3576" s="1" t="s">
        <v>67</v>
      </c>
      <c r="D3576" s="1" t="s">
        <v>68</v>
      </c>
      <c r="E3576" s="1" t="s">
        <v>306</v>
      </c>
      <c r="F3576" s="1" t="s">
        <v>17</v>
      </c>
      <c r="G3576" s="1" t="s">
        <v>7386</v>
      </c>
      <c r="H3576">
        <v>874</v>
      </c>
      <c r="I3576" s="1">
        <v>2499</v>
      </c>
      <c r="J3576" s="1" t="s">
        <v>150</v>
      </c>
      <c r="K3576" s="1" t="s">
        <v>39</v>
      </c>
      <c r="L3576" s="1">
        <v>3.8</v>
      </c>
      <c r="M3576" s="1">
        <v>558</v>
      </c>
      <c r="P3576" t="str">
        <f t="shared" si="223"/>
        <v>65%</v>
      </c>
      <c r="Q3576" s="12">
        <f t="shared" si="220"/>
        <v>0.65</v>
      </c>
      <c r="R3576" s="9">
        <f t="shared" si="221"/>
        <v>874.64999999999986</v>
      </c>
      <c r="S3576" s="9">
        <f>IF(R3576="",AVERAGEIF(Table1[Category],Table1[[#This Row],[Category]],Table2[orignal data]),Table2[[#This Row],[orignal data]])</f>
        <v>874.64999999999986</v>
      </c>
      <c r="T3576" t="str">
        <f t="shared" si="222"/>
        <v>UNIQUE</v>
      </c>
      <c r="U3576" t="str">
        <f>IF(ISBLANK(Table1[[#This Row],[SizeOption]]),"NOT AVAILABLE",Table1[[#This Row],[SizeOption]])</f>
        <v>S, M, L, XL, XXL</v>
      </c>
      <c r="Y3576" t="str">
        <f>IF(Table2[[#This Row],[Column1]]&gt;50%,"HIGH DISCOUNT","LOW DISCOUNT")</f>
        <v>HIGH DISCOUNT</v>
      </c>
    </row>
    <row r="3577" spans="1:25" x14ac:dyDescent="0.25">
      <c r="A3577" s="2" t="s">
        <v>7387</v>
      </c>
      <c r="B3577" s="2">
        <v>11222202</v>
      </c>
      <c r="C3577" s="2" t="s">
        <v>47</v>
      </c>
      <c r="D3577" s="2" t="s">
        <v>28</v>
      </c>
      <c r="E3577" s="2" t="s">
        <v>29</v>
      </c>
      <c r="F3577" s="2" t="s">
        <v>17</v>
      </c>
      <c r="G3577" s="2" t="s">
        <v>7388</v>
      </c>
      <c r="H3577">
        <v>759</v>
      </c>
      <c r="I3577" s="2">
        <v>1899</v>
      </c>
      <c r="J3577" s="2" t="s">
        <v>55</v>
      </c>
      <c r="K3577" s="2" t="s">
        <v>253</v>
      </c>
      <c r="L3577" s="2">
        <v>4.2</v>
      </c>
      <c r="M3577" s="2">
        <v>558</v>
      </c>
      <c r="P3577" t="str">
        <f t="shared" si="223"/>
        <v>60%</v>
      </c>
      <c r="Q3577" s="12">
        <f t="shared" si="220"/>
        <v>0.6</v>
      </c>
      <c r="R3577" s="9">
        <f t="shared" si="221"/>
        <v>759.60000000000014</v>
      </c>
      <c r="S3577" s="9">
        <f>IF(R3577="",AVERAGEIF(Table1[Category],Table1[[#This Row],[Category]],Table2[orignal data]),Table2[[#This Row],[orignal data]])</f>
        <v>759.60000000000014</v>
      </c>
      <c r="T3577" t="str">
        <f t="shared" si="222"/>
        <v>UNIQUE</v>
      </c>
      <c r="U3577" t="str">
        <f>IF(ISBLANK(Table1[[#This Row],[SizeOption]]),"NOT AVAILABLE",Table1[[#This Row],[SizeOption]])</f>
        <v>38, 40, 42, 44</v>
      </c>
      <c r="Y3577" t="str">
        <f>IF(Table2[[#This Row],[Column1]]&gt;50%,"HIGH DISCOUNT","LOW DISCOUNT")</f>
        <v>HIGH DISCOUNT</v>
      </c>
    </row>
    <row r="3578" spans="1:25" x14ac:dyDescent="0.25">
      <c r="A3578" s="1" t="s">
        <v>7389</v>
      </c>
      <c r="B3578" s="1">
        <v>11361498</v>
      </c>
      <c r="C3578" s="1" t="s">
        <v>169</v>
      </c>
      <c r="D3578" s="1" t="s">
        <v>28</v>
      </c>
      <c r="E3578" s="1" t="s">
        <v>29</v>
      </c>
      <c r="F3578" s="1" t="s">
        <v>17</v>
      </c>
      <c r="G3578" s="1" t="s">
        <v>7390</v>
      </c>
      <c r="H3578">
        <v>1199</v>
      </c>
      <c r="I3578" s="1">
        <v>2399</v>
      </c>
      <c r="J3578" s="1" t="s">
        <v>84</v>
      </c>
      <c r="K3578" s="1" t="s">
        <v>484</v>
      </c>
      <c r="L3578" s="1">
        <v>4.3</v>
      </c>
      <c r="M3578" s="1">
        <v>558</v>
      </c>
      <c r="P3578" t="str">
        <f t="shared" si="223"/>
        <v>50%</v>
      </c>
      <c r="Q3578" s="12">
        <f t="shared" si="220"/>
        <v>0.5</v>
      </c>
      <c r="R3578" s="9">
        <f t="shared" si="221"/>
        <v>1199.5</v>
      </c>
      <c r="S3578" s="9">
        <f>IF(R3578="",AVERAGEIF(Table1[Category],Table1[[#This Row],[Category]],Table2[orignal data]),Table2[[#This Row],[orignal data]])</f>
        <v>1199.5</v>
      </c>
      <c r="T3578" t="str">
        <f t="shared" si="222"/>
        <v>UNIQUE</v>
      </c>
      <c r="U3578" t="str">
        <f>IF(ISBLANK(Table1[[#This Row],[SizeOption]]),"NOT AVAILABLE",Table1[[#This Row],[SizeOption]])</f>
        <v>39, 40, 42, 44, 46</v>
      </c>
      <c r="Y3578" t="str">
        <f>IF(Table2[[#This Row],[Column1]]&gt;50%,"HIGH DISCOUNT","LOW DISCOUNT")</f>
        <v>LOW DISCOUNT</v>
      </c>
    </row>
    <row r="3579" spans="1:25" x14ac:dyDescent="0.25">
      <c r="A3579" s="2" t="s">
        <v>7391</v>
      </c>
      <c r="B3579" s="2">
        <v>11659408</v>
      </c>
      <c r="C3579" s="2" t="s">
        <v>201</v>
      </c>
      <c r="D3579" s="2" t="s">
        <v>28</v>
      </c>
      <c r="E3579" s="2" t="s">
        <v>42</v>
      </c>
      <c r="F3579" s="2" t="s">
        <v>17</v>
      </c>
      <c r="G3579" s="2" t="s">
        <v>7392</v>
      </c>
      <c r="H3579">
        <v>319</v>
      </c>
      <c r="I3579" s="2">
        <v>799</v>
      </c>
      <c r="J3579" s="2" t="s">
        <v>55</v>
      </c>
      <c r="K3579" s="2" t="s">
        <v>39</v>
      </c>
      <c r="L3579" s="2">
        <v>4.3</v>
      </c>
      <c r="M3579" s="2">
        <v>558</v>
      </c>
      <c r="P3579" t="str">
        <f t="shared" si="223"/>
        <v>60%</v>
      </c>
      <c r="Q3579" s="12">
        <f t="shared" si="220"/>
        <v>0.6</v>
      </c>
      <c r="R3579" s="9">
        <f t="shared" si="221"/>
        <v>319.60000000000002</v>
      </c>
      <c r="S3579" s="9">
        <f>IF(R3579="",AVERAGEIF(Table1[Category],Table1[[#This Row],[Category]],Table2[orignal data]),Table2[[#This Row],[orignal data]])</f>
        <v>319.60000000000002</v>
      </c>
      <c r="T3579" t="str">
        <f t="shared" si="222"/>
        <v>UNIQUE</v>
      </c>
      <c r="U3579" t="str">
        <f>IF(ISBLANK(Table1[[#This Row],[SizeOption]]),"NOT AVAILABLE",Table1[[#This Row],[SizeOption]])</f>
        <v>S, M, L, XL, XXL</v>
      </c>
      <c r="Y3579" t="str">
        <f>IF(Table2[[#This Row],[Column1]]&gt;50%,"HIGH DISCOUNT","LOW DISCOUNT")</f>
        <v>HIGH DISCOUNT</v>
      </c>
    </row>
    <row r="3580" spans="1:25" x14ac:dyDescent="0.25">
      <c r="A3580" s="1" t="s">
        <v>7393</v>
      </c>
      <c r="B3580" s="1">
        <v>11536856</v>
      </c>
      <c r="C3580" s="1" t="s">
        <v>97</v>
      </c>
      <c r="D3580" s="1" t="s">
        <v>76</v>
      </c>
      <c r="E3580" s="1" t="s">
        <v>93</v>
      </c>
      <c r="F3580" s="1" t="s">
        <v>36</v>
      </c>
      <c r="G3580" s="1" t="s">
        <v>7394</v>
      </c>
      <c r="H3580">
        <v>454</v>
      </c>
      <c r="I3580" s="1">
        <v>1299</v>
      </c>
      <c r="J3580" s="1" t="s">
        <v>150</v>
      </c>
      <c r="K3580" s="1" t="s">
        <v>100</v>
      </c>
      <c r="L3580" s="1">
        <v>4.0999999999999996</v>
      </c>
      <c r="M3580" s="1">
        <v>558</v>
      </c>
      <c r="P3580" t="str">
        <f t="shared" si="223"/>
        <v>65%</v>
      </c>
      <c r="Q3580" s="12">
        <f t="shared" si="220"/>
        <v>0.65</v>
      </c>
      <c r="R3580" s="9">
        <f t="shared" si="221"/>
        <v>454.65</v>
      </c>
      <c r="S3580" s="9">
        <f>IF(R3580="",AVERAGEIF(Table1[Category],Table1[[#This Row],[Category]],Table2[orignal data]),Table2[[#This Row],[orignal data]])</f>
        <v>454.65</v>
      </c>
      <c r="T3580" t="str">
        <f t="shared" si="222"/>
        <v>UNIQUE</v>
      </c>
      <c r="U3580" t="str">
        <f>IF(ISBLANK(Table1[[#This Row],[SizeOption]]),"NOT AVAILABLE",Table1[[#This Row],[SizeOption]])</f>
        <v>XS, S, M, L, XL, XXL, 3XL</v>
      </c>
      <c r="Y3580" t="str">
        <f>IF(Table2[[#This Row],[Column1]]&gt;50%,"HIGH DISCOUNT","LOW DISCOUNT")</f>
        <v>HIGH DISCOUNT</v>
      </c>
    </row>
    <row r="3581" spans="1:25" x14ac:dyDescent="0.25">
      <c r="A3581" s="2" t="s">
        <v>7395</v>
      </c>
      <c r="B3581" s="2">
        <v>14914832</v>
      </c>
      <c r="C3581" s="2" t="s">
        <v>92</v>
      </c>
      <c r="D3581" s="2" t="s">
        <v>76</v>
      </c>
      <c r="E3581" s="2" t="s">
        <v>148</v>
      </c>
      <c r="F3581" s="2" t="s">
        <v>36</v>
      </c>
      <c r="G3581" s="2" t="s">
        <v>7396</v>
      </c>
      <c r="H3581">
        <v>594</v>
      </c>
      <c r="I3581" s="2">
        <v>1449</v>
      </c>
      <c r="J3581" s="2" t="s">
        <v>95</v>
      </c>
      <c r="K3581" s="2" t="s">
        <v>39</v>
      </c>
      <c r="L3581" s="2">
        <v>4.0999999999999996</v>
      </c>
      <c r="M3581" s="2">
        <v>558</v>
      </c>
      <c r="P3581" t="str">
        <f t="shared" si="223"/>
        <v>59%</v>
      </c>
      <c r="Q3581" s="12">
        <f t="shared" si="220"/>
        <v>0.59</v>
      </c>
      <c r="R3581" s="9">
        <f t="shared" si="221"/>
        <v>594.09</v>
      </c>
      <c r="S3581" s="9">
        <f>IF(R3581="",AVERAGEIF(Table1[Category],Table1[[#This Row],[Category]],Table2[orignal data]),Table2[[#This Row],[orignal data]])</f>
        <v>594.09</v>
      </c>
      <c r="T3581" t="str">
        <f t="shared" si="222"/>
        <v>UNIQUE</v>
      </c>
      <c r="U3581" t="str">
        <f>IF(ISBLANK(Table1[[#This Row],[SizeOption]]),"NOT AVAILABLE",Table1[[#This Row],[SizeOption]])</f>
        <v>S, M, L, XL, XXL</v>
      </c>
      <c r="Y3581" t="str">
        <f>IF(Table2[[#This Row],[Column1]]&gt;50%,"HIGH DISCOUNT","LOW DISCOUNT")</f>
        <v>HIGH DISCOUNT</v>
      </c>
    </row>
    <row r="3582" spans="1:25" x14ac:dyDescent="0.25">
      <c r="A3582" s="1" t="s">
        <v>7397</v>
      </c>
      <c r="B3582" s="1">
        <v>8662567</v>
      </c>
      <c r="C3582" s="1" t="s">
        <v>92</v>
      </c>
      <c r="D3582" s="1" t="s">
        <v>76</v>
      </c>
      <c r="E3582" s="1" t="s">
        <v>77</v>
      </c>
      <c r="F3582" s="1" t="s">
        <v>36</v>
      </c>
      <c r="G3582" s="1" t="s">
        <v>7398</v>
      </c>
      <c r="H3582">
        <v>1182</v>
      </c>
      <c r="I3582" s="1">
        <v>2749</v>
      </c>
      <c r="J3582" s="1" t="s">
        <v>130</v>
      </c>
      <c r="K3582" s="1" t="s">
        <v>39</v>
      </c>
      <c r="L3582" s="1">
        <v>4.2</v>
      </c>
      <c r="M3582" s="1">
        <v>558</v>
      </c>
      <c r="P3582" t="str">
        <f t="shared" si="223"/>
        <v>57%</v>
      </c>
      <c r="Q3582" s="12">
        <f t="shared" si="220"/>
        <v>0.56999999999999995</v>
      </c>
      <c r="R3582" s="9">
        <f t="shared" si="221"/>
        <v>1182.0700000000002</v>
      </c>
      <c r="S3582" s="9">
        <f>IF(R3582="",AVERAGEIF(Table1[Category],Table1[[#This Row],[Category]],Table2[orignal data]),Table2[[#This Row],[orignal data]])</f>
        <v>1182.0700000000002</v>
      </c>
      <c r="T3582" t="str">
        <f t="shared" si="222"/>
        <v>UNIQUE</v>
      </c>
      <c r="U3582" t="str">
        <f>IF(ISBLANK(Table1[[#This Row],[SizeOption]]),"NOT AVAILABLE",Table1[[#This Row],[SizeOption]])</f>
        <v>S, M, L, XL, XXL</v>
      </c>
      <c r="Y3582" t="str">
        <f>IF(Table2[[#This Row],[Column1]]&gt;50%,"HIGH DISCOUNT","LOW DISCOUNT")</f>
        <v>HIGH DISCOUNT</v>
      </c>
    </row>
    <row r="3583" spans="1:25" x14ac:dyDescent="0.25">
      <c r="A3583" s="2" t="s">
        <v>7399</v>
      </c>
      <c r="B3583" s="2">
        <v>11156780</v>
      </c>
      <c r="C3583" s="2" t="s">
        <v>92</v>
      </c>
      <c r="D3583" s="2" t="s">
        <v>41</v>
      </c>
      <c r="E3583" s="2" t="s">
        <v>148</v>
      </c>
      <c r="F3583" s="2" t="s">
        <v>36</v>
      </c>
      <c r="G3583" s="2" t="s">
        <v>7400</v>
      </c>
      <c r="I3583" s="2">
        <v>2549</v>
      </c>
      <c r="J3583" s="2" t="s">
        <v>279</v>
      </c>
      <c r="K3583" s="2" t="s">
        <v>39</v>
      </c>
      <c r="L3583" s="2">
        <v>4.3</v>
      </c>
      <c r="M3583" s="2">
        <v>558</v>
      </c>
      <c r="P3583" t="str">
        <f t="shared" si="223"/>
        <v>71%</v>
      </c>
      <c r="Q3583" s="12">
        <f t="shared" si="220"/>
        <v>0.71</v>
      </c>
      <c r="R3583" s="9">
        <f t="shared" si="221"/>
        <v>739.21</v>
      </c>
      <c r="S3583" s="9">
        <f>IF(R3583="",AVERAGEIF(Table1[Category],Table1[[#This Row],[Category]],Table2[orignal data]),Table2[[#This Row],[orignal data]])</f>
        <v>739.21</v>
      </c>
      <c r="T3583" t="str">
        <f t="shared" si="222"/>
        <v>UNIQUE</v>
      </c>
      <c r="U3583" t="str">
        <f>IF(ISBLANK(Table1[[#This Row],[SizeOption]]),"NOT AVAILABLE",Table1[[#This Row],[SizeOption]])</f>
        <v>S, M, L, XL, XXL</v>
      </c>
      <c r="Y3583" t="str">
        <f>IF(Table2[[#This Row],[Column1]]&gt;50%,"HIGH DISCOUNT","LOW DISCOUNT")</f>
        <v>HIGH DISCOUNT</v>
      </c>
    </row>
    <row r="3584" spans="1:25" x14ac:dyDescent="0.25">
      <c r="A3584" s="1" t="s">
        <v>7401</v>
      </c>
      <c r="B3584" s="1">
        <v>8424613</v>
      </c>
      <c r="C3584" s="1" t="s">
        <v>169</v>
      </c>
      <c r="D3584" s="1" t="s">
        <v>15</v>
      </c>
      <c r="E3584" s="1" t="s">
        <v>16</v>
      </c>
      <c r="F3584" s="1" t="s">
        <v>17</v>
      </c>
      <c r="G3584" s="1" t="s">
        <v>263</v>
      </c>
      <c r="H3584">
        <v>1484</v>
      </c>
      <c r="I3584" s="1">
        <v>2699</v>
      </c>
      <c r="J3584" s="1" t="s">
        <v>19</v>
      </c>
      <c r="K3584" s="1" t="s">
        <v>171</v>
      </c>
      <c r="L3584" s="1">
        <v>3.8</v>
      </c>
      <c r="M3584" s="1">
        <v>557</v>
      </c>
      <c r="P3584" t="str">
        <f t="shared" si="223"/>
        <v>45%</v>
      </c>
      <c r="Q3584" s="12">
        <f t="shared" si="220"/>
        <v>0.45</v>
      </c>
      <c r="R3584" s="9">
        <f t="shared" si="221"/>
        <v>1484.45</v>
      </c>
      <c r="S3584" s="9">
        <f>IF(R3584="",AVERAGEIF(Table1[Category],Table1[[#This Row],[Category]],Table2[orignal data]),Table2[[#This Row],[orignal data]])</f>
        <v>1484.45</v>
      </c>
      <c r="T3584" t="str">
        <f t="shared" si="222"/>
        <v>UNIQUE</v>
      </c>
      <c r="U3584" t="str">
        <f>IF(ISBLANK(Table1[[#This Row],[SizeOption]]),"NOT AVAILABLE",Table1[[#This Row],[SizeOption]])</f>
        <v>28, 30, 32, 34, 36, 38</v>
      </c>
      <c r="Y3584" t="str">
        <f>IF(Table2[[#This Row],[Column1]]&gt;50%,"HIGH DISCOUNT","LOW DISCOUNT")</f>
        <v>LOW DISCOUNT</v>
      </c>
    </row>
    <row r="3585" spans="1:25" x14ac:dyDescent="0.25">
      <c r="A3585" s="2" t="s">
        <v>7402</v>
      </c>
      <c r="B3585" s="2">
        <v>7287290</v>
      </c>
      <c r="C3585" s="2" t="s">
        <v>64</v>
      </c>
      <c r="D3585" s="2" t="s">
        <v>15</v>
      </c>
      <c r="E3585" s="2" t="s">
        <v>16</v>
      </c>
      <c r="F3585" s="2" t="s">
        <v>17</v>
      </c>
      <c r="G3585" s="2" t="s">
        <v>7403</v>
      </c>
      <c r="H3585">
        <v>1079</v>
      </c>
      <c r="I3585" s="2">
        <v>2699</v>
      </c>
      <c r="J3585" s="2" t="s">
        <v>55</v>
      </c>
      <c r="K3585" s="2" t="s">
        <v>20</v>
      </c>
      <c r="L3585" s="2">
        <v>3.7</v>
      </c>
      <c r="M3585" s="2">
        <v>557</v>
      </c>
      <c r="P3585" t="str">
        <f t="shared" si="223"/>
        <v>60%</v>
      </c>
      <c r="Q3585" s="12">
        <f t="shared" si="220"/>
        <v>0.6</v>
      </c>
      <c r="R3585" s="9">
        <f t="shared" si="221"/>
        <v>1079.6000000000001</v>
      </c>
      <c r="S3585" s="9">
        <f>IF(R3585="",AVERAGEIF(Table1[Category],Table1[[#This Row],[Category]],Table2[orignal data]),Table2[[#This Row],[orignal data]])</f>
        <v>1079.6000000000001</v>
      </c>
      <c r="T3585" t="str">
        <f t="shared" si="222"/>
        <v>UNIQUE</v>
      </c>
      <c r="U3585" t="str">
        <f>IF(ISBLANK(Table1[[#This Row],[SizeOption]]),"NOT AVAILABLE",Table1[[#This Row],[SizeOption]])</f>
        <v>28, 30, 32, 34, 36</v>
      </c>
      <c r="Y3585" t="str">
        <f>IF(Table2[[#This Row],[Column1]]&gt;50%,"HIGH DISCOUNT","LOW DISCOUNT")</f>
        <v>HIGH DISCOUNT</v>
      </c>
    </row>
    <row r="3586" spans="1:25" x14ac:dyDescent="0.25">
      <c r="A3586" s="1" t="s">
        <v>7404</v>
      </c>
      <c r="B3586" s="1">
        <v>2286532</v>
      </c>
      <c r="C3586" s="1" t="s">
        <v>47</v>
      </c>
      <c r="D3586" s="1" t="s">
        <v>15</v>
      </c>
      <c r="E3586" s="1" t="s">
        <v>53</v>
      </c>
      <c r="F3586" s="1" t="s">
        <v>17</v>
      </c>
      <c r="G3586" s="1" t="s">
        <v>7405</v>
      </c>
      <c r="H3586">
        <v>999</v>
      </c>
      <c r="I3586" s="1">
        <v>2499</v>
      </c>
      <c r="J3586" s="1" t="s">
        <v>55</v>
      </c>
      <c r="K3586" s="1" t="s">
        <v>7406</v>
      </c>
      <c r="L3586" s="1">
        <v>4.2</v>
      </c>
      <c r="M3586" s="1">
        <v>557</v>
      </c>
      <c r="P3586" t="str">
        <f t="shared" si="223"/>
        <v>60%</v>
      </c>
      <c r="Q3586" s="12">
        <f t="shared" ref="Q3586:Q3649" si="224">IF(P3586="","",IF(ISNUMBER(SEARCH("%",P3586)),P3586,P3586/I3586)*100%)</f>
        <v>0.6</v>
      </c>
      <c r="R3586" s="9">
        <f t="shared" ref="R3586:R3649" si="225">IF(P3586="","",I3586-(I3586*Q3586))</f>
        <v>999.60000000000014</v>
      </c>
      <c r="S3586" s="9">
        <f>IF(R3586="",AVERAGEIF(Table1[Category],Table1[[#This Row],[Category]],Table2[orignal data]),Table2[[#This Row],[orignal data]])</f>
        <v>999.60000000000014</v>
      </c>
      <c r="T3586" t="str">
        <f t="shared" ref="T3586:T3649" si="226">IF(COUNTIF($B$2:$B$5000,B3586)&gt;1,"DUPLICATE","UNIQUE")</f>
        <v>UNIQUE</v>
      </c>
      <c r="U3586" t="str">
        <f>IF(ISBLANK(Table1[[#This Row],[SizeOption]]),"NOT AVAILABLE",Table1[[#This Row],[SizeOption]])</f>
        <v>28/29, 28/31, 28/33, 30/31, 30/33, 30/29, 32/33, 32/29, 32/31, 34/29, 34/31, 34/33, 36/29, 36/31, 36/33</v>
      </c>
      <c r="Y3586" t="str">
        <f>IF(Table2[[#This Row],[Column1]]&gt;50%,"HIGH DISCOUNT","LOW DISCOUNT")</f>
        <v>HIGH DISCOUNT</v>
      </c>
    </row>
    <row r="3587" spans="1:25" x14ac:dyDescent="0.25">
      <c r="A3587" s="2" t="s">
        <v>7407</v>
      </c>
      <c r="B3587" s="2">
        <v>2129895</v>
      </c>
      <c r="C3587" s="2" t="s">
        <v>14</v>
      </c>
      <c r="D3587" s="2" t="s">
        <v>15</v>
      </c>
      <c r="E3587" s="2" t="s">
        <v>16</v>
      </c>
      <c r="F3587" s="2" t="s">
        <v>17</v>
      </c>
      <c r="G3587" s="2" t="s">
        <v>7408</v>
      </c>
      <c r="H3587">
        <v>919</v>
      </c>
      <c r="I3587" s="2">
        <v>2299</v>
      </c>
      <c r="J3587" s="2" t="s">
        <v>55</v>
      </c>
      <c r="K3587" s="2" t="s">
        <v>20</v>
      </c>
      <c r="L3587" s="2">
        <v>3.6</v>
      </c>
      <c r="M3587" s="2">
        <v>557</v>
      </c>
      <c r="P3587" t="str">
        <f t="shared" ref="P3587:P3650" si="227">TRIM(SUBSTITUTE(SUBSTITUTE(SUBSTITUTE(SUBSTITUTE(J3587,"OFF",""),"Rs.",""),"Hurry*",""),",",""))</f>
        <v>60%</v>
      </c>
      <c r="Q3587" s="12">
        <f t="shared" si="224"/>
        <v>0.6</v>
      </c>
      <c r="R3587" s="9">
        <f t="shared" si="225"/>
        <v>919.60000000000014</v>
      </c>
      <c r="S3587" s="9">
        <f>IF(R3587="",AVERAGEIF(Table1[Category],Table1[[#This Row],[Category]],Table2[orignal data]),Table2[[#This Row],[orignal data]])</f>
        <v>919.60000000000014</v>
      </c>
      <c r="T3587" t="str">
        <f t="shared" si="226"/>
        <v>UNIQUE</v>
      </c>
      <c r="U3587" t="str">
        <f>IF(ISBLANK(Table1[[#This Row],[SizeOption]]),"NOT AVAILABLE",Table1[[#This Row],[SizeOption]])</f>
        <v>28, 30, 32, 34, 36</v>
      </c>
      <c r="Y3587" t="str">
        <f>IF(Table2[[#This Row],[Column1]]&gt;50%,"HIGH DISCOUNT","LOW DISCOUNT")</f>
        <v>HIGH DISCOUNT</v>
      </c>
    </row>
    <row r="3588" spans="1:25" x14ac:dyDescent="0.25">
      <c r="A3588" s="1" t="s">
        <v>7409</v>
      </c>
      <c r="B3588" s="1">
        <v>10092083</v>
      </c>
      <c r="C3588" s="1" t="s">
        <v>14</v>
      </c>
      <c r="D3588" s="1" t="s">
        <v>15</v>
      </c>
      <c r="E3588" s="1" t="s">
        <v>16</v>
      </c>
      <c r="F3588" s="1" t="s">
        <v>17</v>
      </c>
      <c r="G3588" s="1" t="s">
        <v>7410</v>
      </c>
      <c r="H3588">
        <v>799</v>
      </c>
      <c r="I3588" s="1">
        <v>1999</v>
      </c>
      <c r="J3588" s="1" t="s">
        <v>55</v>
      </c>
      <c r="K3588" s="1" t="s">
        <v>20</v>
      </c>
      <c r="L3588" s="1">
        <v>3.9</v>
      </c>
      <c r="M3588" s="1">
        <v>557</v>
      </c>
      <c r="P3588" t="str">
        <f t="shared" si="227"/>
        <v>60%</v>
      </c>
      <c r="Q3588" s="12">
        <f t="shared" si="224"/>
        <v>0.6</v>
      </c>
      <c r="R3588" s="9">
        <f t="shared" si="225"/>
        <v>799.60000000000014</v>
      </c>
      <c r="S3588" s="9">
        <f>IF(R3588="",AVERAGEIF(Table1[Category],Table1[[#This Row],[Category]],Table2[orignal data]),Table2[[#This Row],[orignal data]])</f>
        <v>799.60000000000014</v>
      </c>
      <c r="T3588" t="str">
        <f t="shared" si="226"/>
        <v>UNIQUE</v>
      </c>
      <c r="U3588" t="str">
        <f>IF(ISBLANK(Table1[[#This Row],[SizeOption]]),"NOT AVAILABLE",Table1[[#This Row],[SizeOption]])</f>
        <v>28, 30, 32, 34, 36</v>
      </c>
      <c r="Y3588" t="str">
        <f>IF(Table2[[#This Row],[Column1]]&gt;50%,"HIGH DISCOUNT","LOW DISCOUNT")</f>
        <v>HIGH DISCOUNT</v>
      </c>
    </row>
    <row r="3589" spans="1:25" x14ac:dyDescent="0.25">
      <c r="A3589" s="2" t="s">
        <v>7411</v>
      </c>
      <c r="B3589" s="2">
        <v>11260004</v>
      </c>
      <c r="C3589" s="2" t="s">
        <v>14</v>
      </c>
      <c r="D3589" s="2" t="s">
        <v>15</v>
      </c>
      <c r="E3589" s="2" t="s">
        <v>16</v>
      </c>
      <c r="F3589" s="2" t="s">
        <v>17</v>
      </c>
      <c r="G3589" s="2" t="s">
        <v>918</v>
      </c>
      <c r="H3589">
        <v>719</v>
      </c>
      <c r="I3589" s="2">
        <v>1799</v>
      </c>
      <c r="J3589" s="2" t="s">
        <v>55</v>
      </c>
      <c r="K3589" s="2" t="s">
        <v>20</v>
      </c>
      <c r="L3589" s="2">
        <v>4</v>
      </c>
      <c r="M3589" s="2">
        <v>557</v>
      </c>
      <c r="P3589" t="str">
        <f t="shared" si="227"/>
        <v>60%</v>
      </c>
      <c r="Q3589" s="12">
        <f t="shared" si="224"/>
        <v>0.6</v>
      </c>
      <c r="R3589" s="9">
        <f t="shared" si="225"/>
        <v>719.60000000000014</v>
      </c>
      <c r="S3589" s="9">
        <f>IF(R3589="",AVERAGEIF(Table1[Category],Table1[[#This Row],[Category]],Table2[orignal data]),Table2[[#This Row],[orignal data]])</f>
        <v>719.60000000000014</v>
      </c>
      <c r="T3589" t="str">
        <f t="shared" si="226"/>
        <v>UNIQUE</v>
      </c>
      <c r="U3589" t="str">
        <f>IF(ISBLANK(Table1[[#This Row],[SizeOption]]),"NOT AVAILABLE",Table1[[#This Row],[SizeOption]])</f>
        <v>28, 30, 32, 34, 36</v>
      </c>
      <c r="Y3589" t="str">
        <f>IF(Table2[[#This Row],[Column1]]&gt;50%,"HIGH DISCOUNT","LOW DISCOUNT")</f>
        <v>HIGH DISCOUNT</v>
      </c>
    </row>
    <row r="3590" spans="1:25" x14ac:dyDescent="0.25">
      <c r="A3590" s="1" t="s">
        <v>7412</v>
      </c>
      <c r="B3590" s="1">
        <v>10136765</v>
      </c>
      <c r="C3590" s="1" t="s">
        <v>47</v>
      </c>
      <c r="D3590" s="1" t="s">
        <v>28</v>
      </c>
      <c r="E3590" s="1" t="s">
        <v>306</v>
      </c>
      <c r="F3590" s="1" t="s">
        <v>17</v>
      </c>
      <c r="G3590" s="1" t="s">
        <v>7413</v>
      </c>
      <c r="H3590">
        <v>899</v>
      </c>
      <c r="I3590" s="1">
        <v>1999</v>
      </c>
      <c r="J3590" s="1" t="s">
        <v>25</v>
      </c>
      <c r="K3590" s="1" t="s">
        <v>26</v>
      </c>
      <c r="L3590" s="1">
        <v>4.0999999999999996</v>
      </c>
      <c r="M3590" s="1">
        <v>557</v>
      </c>
      <c r="P3590" t="str">
        <f t="shared" si="227"/>
        <v>55%</v>
      </c>
      <c r="Q3590" s="12">
        <f t="shared" si="224"/>
        <v>0.55000000000000004</v>
      </c>
      <c r="R3590" s="9">
        <f t="shared" si="225"/>
        <v>899.55</v>
      </c>
      <c r="S3590" s="9">
        <f>IF(R3590="",AVERAGEIF(Table1[Category],Table1[[#This Row],[Category]],Table2[orignal data]),Table2[[#This Row],[orignal data]])</f>
        <v>899.55</v>
      </c>
      <c r="T3590" t="str">
        <f t="shared" si="226"/>
        <v>UNIQUE</v>
      </c>
      <c r="U3590" t="str">
        <f>IF(ISBLANK(Table1[[#This Row],[SizeOption]]),"NOT AVAILABLE",Table1[[#This Row],[SizeOption]])</f>
        <v>S, M, L, XL</v>
      </c>
      <c r="Y3590" t="str">
        <f>IF(Table2[[#This Row],[Column1]]&gt;50%,"HIGH DISCOUNT","LOW DISCOUNT")</f>
        <v>HIGH DISCOUNT</v>
      </c>
    </row>
    <row r="3591" spans="1:25" x14ac:dyDescent="0.25">
      <c r="A3591" s="2" t="s">
        <v>7414</v>
      </c>
      <c r="B3591" s="2">
        <v>12003928</v>
      </c>
      <c r="C3591" s="2" t="s">
        <v>14</v>
      </c>
      <c r="D3591" s="2" t="s">
        <v>28</v>
      </c>
      <c r="E3591" s="2" t="s">
        <v>42</v>
      </c>
      <c r="F3591" s="2" t="s">
        <v>17</v>
      </c>
      <c r="G3591" s="2" t="s">
        <v>7415</v>
      </c>
      <c r="H3591">
        <v>404</v>
      </c>
      <c r="I3591" s="2">
        <v>899</v>
      </c>
      <c r="J3591" s="2" t="s">
        <v>25</v>
      </c>
      <c r="K3591" s="2" t="s">
        <v>73</v>
      </c>
      <c r="L3591" s="2">
        <v>4.3</v>
      </c>
      <c r="M3591" s="2">
        <v>557</v>
      </c>
      <c r="P3591" t="str">
        <f t="shared" si="227"/>
        <v>55%</v>
      </c>
      <c r="Q3591" s="12">
        <f t="shared" si="224"/>
        <v>0.55000000000000004</v>
      </c>
      <c r="R3591" s="9">
        <f t="shared" si="225"/>
        <v>404.54999999999995</v>
      </c>
      <c r="S3591" s="9">
        <f>IF(R3591="",AVERAGEIF(Table1[Category],Table1[[#This Row],[Category]],Table2[orignal data]),Table2[[#This Row],[orignal data]])</f>
        <v>404.54999999999995</v>
      </c>
      <c r="T3591" t="str">
        <f t="shared" si="226"/>
        <v>UNIQUE</v>
      </c>
      <c r="U3591" t="str">
        <f>IF(ISBLANK(Table1[[#This Row],[SizeOption]]),"NOT AVAILABLE",Table1[[#This Row],[SizeOption]])</f>
        <v>XS, S, M, L, XL, XXL, 3XL, 4XL</v>
      </c>
      <c r="Y3591" t="str">
        <f>IF(Table2[[#This Row],[Column1]]&gt;50%,"HIGH DISCOUNT","LOW DISCOUNT")</f>
        <v>HIGH DISCOUNT</v>
      </c>
    </row>
    <row r="3592" spans="1:25" x14ac:dyDescent="0.25">
      <c r="A3592" s="1" t="s">
        <v>7416</v>
      </c>
      <c r="B3592" s="1">
        <v>14430938</v>
      </c>
      <c r="C3592" s="1" t="s">
        <v>64</v>
      </c>
      <c r="D3592" s="1" t="s">
        <v>76</v>
      </c>
      <c r="E3592" s="1" t="s">
        <v>93</v>
      </c>
      <c r="F3592" s="1" t="s">
        <v>36</v>
      </c>
      <c r="G3592" s="1" t="s">
        <v>7417</v>
      </c>
      <c r="H3592">
        <v>419</v>
      </c>
      <c r="I3592" s="1">
        <v>1199</v>
      </c>
      <c r="J3592" s="1" t="s">
        <v>150</v>
      </c>
      <c r="K3592" s="1" t="s">
        <v>100</v>
      </c>
      <c r="L3592" s="1">
        <v>4.0999999999999996</v>
      </c>
      <c r="M3592" s="1">
        <v>557</v>
      </c>
      <c r="P3592" t="str">
        <f t="shared" si="227"/>
        <v>65%</v>
      </c>
      <c r="Q3592" s="12">
        <f t="shared" si="224"/>
        <v>0.65</v>
      </c>
      <c r="R3592" s="9">
        <f t="shared" si="225"/>
        <v>419.65</v>
      </c>
      <c r="S3592" s="9">
        <f>IF(R3592="",AVERAGEIF(Table1[Category],Table1[[#This Row],[Category]],Table2[orignal data]),Table2[[#This Row],[orignal data]])</f>
        <v>419.65</v>
      </c>
      <c r="T3592" t="str">
        <f t="shared" si="226"/>
        <v>UNIQUE</v>
      </c>
      <c r="U3592" t="str">
        <f>IF(ISBLANK(Table1[[#This Row],[SizeOption]]),"NOT AVAILABLE",Table1[[#This Row],[SizeOption]])</f>
        <v>XS, S, M, L, XL, XXL, 3XL</v>
      </c>
      <c r="Y3592" t="str">
        <f>IF(Table2[[#This Row],[Column1]]&gt;50%,"HIGH DISCOUNT","LOW DISCOUNT")</f>
        <v>HIGH DISCOUNT</v>
      </c>
    </row>
    <row r="3593" spans="1:25" x14ac:dyDescent="0.25">
      <c r="A3593" s="2" t="s">
        <v>7418</v>
      </c>
      <c r="B3593" s="2">
        <v>363048</v>
      </c>
      <c r="C3593" s="2" t="s">
        <v>7419</v>
      </c>
      <c r="D3593" s="2" t="s">
        <v>34</v>
      </c>
      <c r="E3593" s="2" t="s">
        <v>118</v>
      </c>
      <c r="F3593" s="2" t="s">
        <v>36</v>
      </c>
      <c r="G3593" s="2" t="s">
        <v>7420</v>
      </c>
      <c r="I3593" s="2">
        <v>1499</v>
      </c>
      <c r="J3593" s="2"/>
      <c r="K3593" s="2" t="s">
        <v>7421</v>
      </c>
      <c r="L3593" s="2">
        <v>4.2</v>
      </c>
      <c r="M3593" s="2">
        <v>557</v>
      </c>
      <c r="P3593" t="str">
        <f t="shared" si="227"/>
        <v/>
      </c>
      <c r="Q3593" s="12" t="str">
        <f t="shared" si="224"/>
        <v/>
      </c>
      <c r="R3593" s="9" t="str">
        <f t="shared" si="225"/>
        <v/>
      </c>
      <c r="S3593" s="9">
        <f>IF(R3593="",AVERAGEIF(Table1[Category],Table1[[#This Row],[Category]],Table2[orignal data]),Table2[[#This Row],[orignal data]])</f>
        <v>608.88518518518481</v>
      </c>
      <c r="T3593" t="str">
        <f t="shared" si="226"/>
        <v>UNIQUE</v>
      </c>
      <c r="U3593" t="str">
        <f>IF(ISBLANK(Table1[[#This Row],[SizeOption]]),"NOT AVAILABLE",Table1[[#This Row],[SizeOption]])</f>
        <v>34C, 34D, 34E, 36C, 36D, 36E, 38C, 38D, 38E, 40C, 40D, 40E, 42D, 42E, 44D, 44E</v>
      </c>
      <c r="Y3593" t="str">
        <f>IF(Table2[[#This Row],[Column1]]&gt;50%,"HIGH DISCOUNT","LOW DISCOUNT")</f>
        <v>HIGH DISCOUNT</v>
      </c>
    </row>
    <row r="3594" spans="1:25" x14ac:dyDescent="0.25">
      <c r="A3594" s="1" t="s">
        <v>7422</v>
      </c>
      <c r="B3594" s="1">
        <v>432861</v>
      </c>
      <c r="C3594" s="1" t="s">
        <v>551</v>
      </c>
      <c r="D3594" s="1" t="s">
        <v>34</v>
      </c>
      <c r="E3594" s="1" t="s">
        <v>552</v>
      </c>
      <c r="F3594" s="1" t="s">
        <v>36</v>
      </c>
      <c r="G3594" s="1" t="s">
        <v>7423</v>
      </c>
      <c r="H3594">
        <v>449</v>
      </c>
      <c r="I3594" s="1">
        <v>599</v>
      </c>
      <c r="J3594" s="1" t="s">
        <v>282</v>
      </c>
      <c r="K3594" s="1" t="s">
        <v>164</v>
      </c>
      <c r="L3594" s="1">
        <v>4.3</v>
      </c>
      <c r="M3594" s="1">
        <v>557</v>
      </c>
      <c r="P3594" t="str">
        <f t="shared" si="227"/>
        <v>25%</v>
      </c>
      <c r="Q3594" s="12">
        <f t="shared" si="224"/>
        <v>0.25</v>
      </c>
      <c r="R3594" s="9">
        <f t="shared" si="225"/>
        <v>449.25</v>
      </c>
      <c r="S3594" s="9">
        <f>IF(R3594="",AVERAGEIF(Table1[Category],Table1[[#This Row],[Category]],Table2[orignal data]),Table2[[#This Row],[orignal data]])</f>
        <v>449.25</v>
      </c>
      <c r="T3594" t="str">
        <f t="shared" si="226"/>
        <v>UNIQUE</v>
      </c>
      <c r="U3594" t="str">
        <f>IF(ISBLANK(Table1[[#This Row],[SizeOption]]),"NOT AVAILABLE",Table1[[#This Row],[SizeOption]])</f>
        <v>Onesize</v>
      </c>
      <c r="Y3594" t="str">
        <f>IF(Table2[[#This Row],[Column1]]&gt;50%,"HIGH DISCOUNT","LOW DISCOUNT")</f>
        <v>LOW DISCOUNT</v>
      </c>
    </row>
    <row r="3595" spans="1:25" x14ac:dyDescent="0.25">
      <c r="A3595" s="2" t="s">
        <v>7424</v>
      </c>
      <c r="B3595" s="2">
        <v>13165352</v>
      </c>
      <c r="C3595" s="2" t="s">
        <v>201</v>
      </c>
      <c r="D3595" s="2" t="s">
        <v>98</v>
      </c>
      <c r="E3595" s="2" t="s">
        <v>93</v>
      </c>
      <c r="F3595" s="2" t="s">
        <v>36</v>
      </c>
      <c r="G3595" s="2" t="s">
        <v>7425</v>
      </c>
      <c r="H3595">
        <v>799</v>
      </c>
      <c r="I3595" s="2">
        <v>1999</v>
      </c>
      <c r="J3595" s="2" t="s">
        <v>55</v>
      </c>
      <c r="K3595" s="2" t="s">
        <v>100</v>
      </c>
      <c r="L3595" s="2">
        <v>4.3</v>
      </c>
      <c r="M3595" s="2">
        <v>557</v>
      </c>
      <c r="P3595" t="str">
        <f t="shared" si="227"/>
        <v>60%</v>
      </c>
      <c r="Q3595" s="12">
        <f t="shared" si="224"/>
        <v>0.6</v>
      </c>
      <c r="R3595" s="9">
        <f t="shared" si="225"/>
        <v>799.60000000000014</v>
      </c>
      <c r="S3595" s="9">
        <f>IF(R3595="",AVERAGEIF(Table1[Category],Table1[[#This Row],[Category]],Table2[orignal data]),Table2[[#This Row],[orignal data]])</f>
        <v>799.60000000000014</v>
      </c>
      <c r="T3595" t="str">
        <f t="shared" si="226"/>
        <v>UNIQUE</v>
      </c>
      <c r="U3595" t="str">
        <f>IF(ISBLANK(Table1[[#This Row],[SizeOption]]),"NOT AVAILABLE",Table1[[#This Row],[SizeOption]])</f>
        <v>XS, S, M, L, XL, XXL, 3XL</v>
      </c>
      <c r="Y3595" t="str">
        <f>IF(Table2[[#This Row],[Column1]]&gt;50%,"HIGH DISCOUNT","LOW DISCOUNT")</f>
        <v>HIGH DISCOUNT</v>
      </c>
    </row>
    <row r="3596" spans="1:25" x14ac:dyDescent="0.25">
      <c r="A3596" s="1" t="s">
        <v>7426</v>
      </c>
      <c r="B3596" s="1">
        <v>12652066</v>
      </c>
      <c r="C3596" s="1" t="s">
        <v>64</v>
      </c>
      <c r="D3596" s="1" t="s">
        <v>98</v>
      </c>
      <c r="E3596" s="1" t="s">
        <v>77</v>
      </c>
      <c r="F3596" s="1" t="s">
        <v>36</v>
      </c>
      <c r="G3596" s="1" t="s">
        <v>7427</v>
      </c>
      <c r="H3596">
        <v>1279</v>
      </c>
      <c r="I3596" s="1">
        <v>3199</v>
      </c>
      <c r="J3596" s="1" t="s">
        <v>141</v>
      </c>
      <c r="K3596" s="1" t="s">
        <v>39</v>
      </c>
      <c r="L3596" s="1">
        <v>4.2</v>
      </c>
      <c r="M3596" s="1">
        <v>557</v>
      </c>
      <c r="P3596" t="str">
        <f t="shared" si="227"/>
        <v>60%</v>
      </c>
      <c r="Q3596" s="12">
        <f t="shared" si="224"/>
        <v>0.6</v>
      </c>
      <c r="R3596" s="9">
        <f t="shared" si="225"/>
        <v>1279.6000000000001</v>
      </c>
      <c r="S3596" s="9">
        <f>IF(R3596="",AVERAGEIF(Table1[Category],Table1[[#This Row],[Category]],Table2[orignal data]),Table2[[#This Row],[orignal data]])</f>
        <v>1279.6000000000001</v>
      </c>
      <c r="T3596" t="str">
        <f t="shared" si="226"/>
        <v>UNIQUE</v>
      </c>
      <c r="U3596" t="str">
        <f>IF(ISBLANK(Table1[[#This Row],[SizeOption]]),"NOT AVAILABLE",Table1[[#This Row],[SizeOption]])</f>
        <v>S, M, L, XL, XXL</v>
      </c>
      <c r="Y3596" t="str">
        <f>IF(Table2[[#This Row],[Column1]]&gt;50%,"HIGH DISCOUNT","LOW DISCOUNT")</f>
        <v>HIGH DISCOUNT</v>
      </c>
    </row>
    <row r="3597" spans="1:25" x14ac:dyDescent="0.25">
      <c r="A3597" s="2" t="s">
        <v>7428</v>
      </c>
      <c r="B3597" s="2">
        <v>9479027</v>
      </c>
      <c r="C3597" s="2" t="s">
        <v>14</v>
      </c>
      <c r="D3597" s="2" t="s">
        <v>41</v>
      </c>
      <c r="E3597" s="2" t="s">
        <v>1881</v>
      </c>
      <c r="F3597" s="2" t="s">
        <v>36</v>
      </c>
      <c r="G3597" s="2" t="s">
        <v>7429</v>
      </c>
      <c r="I3597" s="2">
        <v>1099</v>
      </c>
      <c r="J3597" s="2" t="s">
        <v>1986</v>
      </c>
      <c r="K3597" s="2" t="s">
        <v>115</v>
      </c>
      <c r="L3597" s="2">
        <v>4.0999999999999996</v>
      </c>
      <c r="M3597" s="2">
        <v>557</v>
      </c>
      <c r="P3597" t="str">
        <f t="shared" si="227"/>
        <v>60 %</v>
      </c>
      <c r="Q3597" s="12">
        <f t="shared" si="224"/>
        <v>0.6</v>
      </c>
      <c r="R3597" s="9">
        <f t="shared" si="225"/>
        <v>439.6</v>
      </c>
      <c r="S3597" s="9">
        <f>IF(R3597="",AVERAGEIF(Table1[Category],Table1[[#This Row],[Category]],Table2[orignal data]),Table2[[#This Row],[orignal data]])</f>
        <v>439.6</v>
      </c>
      <c r="T3597" t="str">
        <f t="shared" si="226"/>
        <v>UNIQUE</v>
      </c>
      <c r="U3597" t="str">
        <f>IF(ISBLANK(Table1[[#This Row],[SizeOption]]),"NOT AVAILABLE",Table1[[#This Row],[SizeOption]])</f>
        <v>XS, S, M, L, XL, XXL</v>
      </c>
      <c r="Y3597" t="str">
        <f>IF(Table2[[#This Row],[Column1]]&gt;50%,"HIGH DISCOUNT","LOW DISCOUNT")</f>
        <v>HIGH DISCOUNT</v>
      </c>
    </row>
    <row r="3598" spans="1:25" x14ac:dyDescent="0.25">
      <c r="A3598" s="1" t="s">
        <v>7430</v>
      </c>
      <c r="B3598" s="1">
        <v>17383658</v>
      </c>
      <c r="C3598" s="1" t="s">
        <v>14</v>
      </c>
      <c r="D3598" s="1" t="s">
        <v>41</v>
      </c>
      <c r="E3598" s="1" t="s">
        <v>42</v>
      </c>
      <c r="F3598" s="1" t="s">
        <v>36</v>
      </c>
      <c r="G3598" s="1" t="s">
        <v>7325</v>
      </c>
      <c r="I3598" s="1">
        <v>1598</v>
      </c>
      <c r="J3598" s="1" t="s">
        <v>84</v>
      </c>
      <c r="K3598" s="1" t="s">
        <v>146</v>
      </c>
      <c r="L3598" s="1">
        <v>4.3</v>
      </c>
      <c r="M3598" s="1">
        <v>557</v>
      </c>
      <c r="P3598" t="str">
        <f t="shared" si="227"/>
        <v>50%</v>
      </c>
      <c r="Q3598" s="12">
        <f t="shared" si="224"/>
        <v>0.5</v>
      </c>
      <c r="R3598" s="9">
        <f t="shared" si="225"/>
        <v>799</v>
      </c>
      <c r="S3598" s="9">
        <f>IF(R3598="",AVERAGEIF(Table1[Category],Table1[[#This Row],[Category]],Table2[orignal data]),Table2[[#This Row],[orignal data]])</f>
        <v>799</v>
      </c>
      <c r="T3598" t="str">
        <f t="shared" si="226"/>
        <v>UNIQUE</v>
      </c>
      <c r="U3598" t="str">
        <f>IF(ISBLANK(Table1[[#This Row],[SizeOption]]),"NOT AVAILABLE",Table1[[#This Row],[SizeOption]])</f>
        <v>L, M, S, XS, XL</v>
      </c>
      <c r="Y3598" t="str">
        <f>IF(Table2[[#This Row],[Column1]]&gt;50%,"HIGH DISCOUNT","LOW DISCOUNT")</f>
        <v>LOW DISCOUNT</v>
      </c>
    </row>
    <row r="3599" spans="1:25" x14ac:dyDescent="0.25">
      <c r="A3599" s="2" t="s">
        <v>7431</v>
      </c>
      <c r="B3599" s="2">
        <v>11064276</v>
      </c>
      <c r="C3599" s="2" t="s">
        <v>181</v>
      </c>
      <c r="D3599" s="2" t="s">
        <v>41</v>
      </c>
      <c r="E3599" s="2" t="s">
        <v>189</v>
      </c>
      <c r="F3599" s="2" t="s">
        <v>36</v>
      </c>
      <c r="G3599" s="2" t="s">
        <v>7432</v>
      </c>
      <c r="I3599" s="2">
        <v>1999</v>
      </c>
      <c r="J3599" s="2" t="s">
        <v>150</v>
      </c>
      <c r="K3599" s="2" t="s">
        <v>39</v>
      </c>
      <c r="L3599" s="2">
        <v>4</v>
      </c>
      <c r="M3599" s="2">
        <v>557</v>
      </c>
      <c r="P3599" t="str">
        <f t="shared" si="227"/>
        <v>65%</v>
      </c>
      <c r="Q3599" s="12">
        <f t="shared" si="224"/>
        <v>0.65</v>
      </c>
      <c r="R3599" s="9">
        <f t="shared" si="225"/>
        <v>699.64999999999986</v>
      </c>
      <c r="S3599" s="9">
        <f>IF(R3599="",AVERAGEIF(Table1[Category],Table1[[#This Row],[Category]],Table2[orignal data]),Table2[[#This Row],[orignal data]])</f>
        <v>699.64999999999986</v>
      </c>
      <c r="T3599" t="str">
        <f t="shared" si="226"/>
        <v>UNIQUE</v>
      </c>
      <c r="U3599" t="str">
        <f>IF(ISBLANK(Table1[[#This Row],[SizeOption]]),"NOT AVAILABLE",Table1[[#This Row],[SizeOption]])</f>
        <v>S, M, L, XL, XXL</v>
      </c>
      <c r="Y3599" t="str">
        <f>IF(Table2[[#This Row],[Column1]]&gt;50%,"HIGH DISCOUNT","LOW DISCOUNT")</f>
        <v>HIGH DISCOUNT</v>
      </c>
    </row>
    <row r="3600" spans="1:25" x14ac:dyDescent="0.25">
      <c r="A3600" s="1" t="s">
        <v>7433</v>
      </c>
      <c r="B3600" s="1">
        <v>1778107</v>
      </c>
      <c r="C3600" s="1" t="s">
        <v>1608</v>
      </c>
      <c r="D3600" s="1" t="s">
        <v>15</v>
      </c>
      <c r="E3600" s="1" t="s">
        <v>53</v>
      </c>
      <c r="F3600" s="1" t="s">
        <v>17</v>
      </c>
      <c r="G3600" s="1" t="s">
        <v>3192</v>
      </c>
      <c r="H3600">
        <v>742</v>
      </c>
      <c r="I3600" s="1">
        <v>1649</v>
      </c>
      <c r="J3600" s="1" t="s">
        <v>25</v>
      </c>
      <c r="K3600" s="1" t="s">
        <v>56</v>
      </c>
      <c r="L3600" s="1">
        <v>4.0999999999999996</v>
      </c>
      <c r="M3600" s="1">
        <v>556</v>
      </c>
      <c r="P3600" t="str">
        <f t="shared" si="227"/>
        <v>55%</v>
      </c>
      <c r="Q3600" s="12">
        <f t="shared" si="224"/>
        <v>0.55000000000000004</v>
      </c>
      <c r="R3600" s="9">
        <f t="shared" si="225"/>
        <v>742.05</v>
      </c>
      <c r="S3600" s="9">
        <f>IF(R3600="",AVERAGEIF(Table1[Category],Table1[[#This Row],[Category]],Table2[orignal data]),Table2[[#This Row],[orignal data]])</f>
        <v>742.05</v>
      </c>
      <c r="T3600" t="str">
        <f t="shared" si="226"/>
        <v>UNIQUE</v>
      </c>
      <c r="U3600" t="str">
        <f>IF(ISBLANK(Table1[[#This Row],[SizeOption]]),"NOT AVAILABLE",Table1[[#This Row],[SizeOption]])</f>
        <v>30, 32, 34, 36</v>
      </c>
      <c r="Y3600" t="str">
        <f>IF(Table2[[#This Row],[Column1]]&gt;50%,"HIGH DISCOUNT","LOW DISCOUNT")</f>
        <v>HIGH DISCOUNT</v>
      </c>
    </row>
    <row r="3601" spans="1:25" x14ac:dyDescent="0.25">
      <c r="A3601" s="2" t="s">
        <v>7434</v>
      </c>
      <c r="B3601" s="2">
        <v>6518652</v>
      </c>
      <c r="C3601" s="2" t="s">
        <v>1516</v>
      </c>
      <c r="D3601" s="2" t="s">
        <v>76</v>
      </c>
      <c r="E3601" s="2" t="s">
        <v>77</v>
      </c>
      <c r="F3601" s="2" t="s">
        <v>17</v>
      </c>
      <c r="G3601" s="2" t="s">
        <v>7435</v>
      </c>
      <c r="H3601">
        <v>1436</v>
      </c>
      <c r="I3601" s="2">
        <v>3590</v>
      </c>
      <c r="J3601" s="2" t="s">
        <v>55</v>
      </c>
      <c r="K3601" s="2" t="s">
        <v>234</v>
      </c>
      <c r="L3601" s="2">
        <v>4</v>
      </c>
      <c r="M3601" s="2">
        <v>556</v>
      </c>
      <c r="P3601" t="str">
        <f t="shared" si="227"/>
        <v>60%</v>
      </c>
      <c r="Q3601" s="12">
        <f t="shared" si="224"/>
        <v>0.6</v>
      </c>
      <c r="R3601" s="9">
        <f t="shared" si="225"/>
        <v>1436</v>
      </c>
      <c r="S3601" s="9">
        <f>IF(R3601="",AVERAGEIF(Table1[Category],Table1[[#This Row],[Category]],Table2[orignal data]),Table2[[#This Row],[orignal data]])</f>
        <v>1436</v>
      </c>
      <c r="T3601" t="str">
        <f t="shared" si="226"/>
        <v>UNIQUE</v>
      </c>
      <c r="U3601" t="str">
        <f>IF(ISBLANK(Table1[[#This Row],[SizeOption]]),"NOT AVAILABLE",Table1[[#This Row],[SizeOption]])</f>
        <v>S, M, L, XL, XXL, 3XL</v>
      </c>
      <c r="Y3601" t="str">
        <f>IF(Table2[[#This Row],[Column1]]&gt;50%,"HIGH DISCOUNT","LOW DISCOUNT")</f>
        <v>HIGH DISCOUNT</v>
      </c>
    </row>
    <row r="3602" spans="1:25" x14ac:dyDescent="0.25">
      <c r="A3602" s="1" t="s">
        <v>7436</v>
      </c>
      <c r="B3602" s="1">
        <v>6518469</v>
      </c>
      <c r="C3602" s="1" t="s">
        <v>3308</v>
      </c>
      <c r="D3602" s="1" t="s">
        <v>76</v>
      </c>
      <c r="E3602" s="1" t="s">
        <v>77</v>
      </c>
      <c r="F3602" s="1" t="s">
        <v>17</v>
      </c>
      <c r="G3602" s="1" t="s">
        <v>7437</v>
      </c>
      <c r="H3602">
        <v>2199</v>
      </c>
      <c r="I3602" s="1">
        <v>5499</v>
      </c>
      <c r="J3602" s="1" t="s">
        <v>55</v>
      </c>
      <c r="K3602" s="1" t="s">
        <v>881</v>
      </c>
      <c r="L3602" s="1">
        <v>4</v>
      </c>
      <c r="M3602" s="1">
        <v>556</v>
      </c>
      <c r="P3602" t="str">
        <f t="shared" si="227"/>
        <v>60%</v>
      </c>
      <c r="Q3602" s="12">
        <f t="shared" si="224"/>
        <v>0.6</v>
      </c>
      <c r="R3602" s="9">
        <f t="shared" si="225"/>
        <v>2199.6</v>
      </c>
      <c r="S3602" s="9">
        <f>IF(R3602="",AVERAGEIF(Table1[Category],Table1[[#This Row],[Category]],Table2[orignal data]),Table2[[#This Row],[orignal data]])</f>
        <v>2199.6</v>
      </c>
      <c r="T3602" t="str">
        <f t="shared" si="226"/>
        <v>UNIQUE</v>
      </c>
      <c r="U3602" t="str">
        <f>IF(ISBLANK(Table1[[#This Row],[SizeOption]]),"NOT AVAILABLE",Table1[[#This Row],[SizeOption]])</f>
        <v>M, L, XL, XXL</v>
      </c>
      <c r="Y3602" t="str">
        <f>IF(Table2[[#This Row],[Column1]]&gt;50%,"HIGH DISCOUNT","LOW DISCOUNT")</f>
        <v>HIGH DISCOUNT</v>
      </c>
    </row>
    <row r="3603" spans="1:25" x14ac:dyDescent="0.25">
      <c r="A3603" s="2" t="s">
        <v>7438</v>
      </c>
      <c r="B3603" s="2">
        <v>12003946</v>
      </c>
      <c r="C3603" s="2" t="s">
        <v>14</v>
      </c>
      <c r="D3603" s="2" t="s">
        <v>28</v>
      </c>
      <c r="E3603" s="2" t="s">
        <v>42</v>
      </c>
      <c r="F3603" s="2" t="s">
        <v>17</v>
      </c>
      <c r="G3603" s="2" t="s">
        <v>7439</v>
      </c>
      <c r="H3603">
        <v>314</v>
      </c>
      <c r="I3603" s="2">
        <v>699</v>
      </c>
      <c r="J3603" s="2" t="s">
        <v>25</v>
      </c>
      <c r="K3603" s="2" t="s">
        <v>45</v>
      </c>
      <c r="L3603" s="2">
        <v>4.0999999999999996</v>
      </c>
      <c r="M3603" s="2">
        <v>556</v>
      </c>
      <c r="P3603" t="str">
        <f t="shared" si="227"/>
        <v>55%</v>
      </c>
      <c r="Q3603" s="12">
        <f t="shared" si="224"/>
        <v>0.55000000000000004</v>
      </c>
      <c r="R3603" s="9">
        <f t="shared" si="225"/>
        <v>314.54999999999995</v>
      </c>
      <c r="S3603" s="9">
        <f>IF(R3603="",AVERAGEIF(Table1[Category],Table1[[#This Row],[Category]],Table2[orignal data]),Table2[[#This Row],[orignal data]])</f>
        <v>314.54999999999995</v>
      </c>
      <c r="T3603" t="str">
        <f t="shared" si="226"/>
        <v>UNIQUE</v>
      </c>
      <c r="U3603" t="str">
        <f>IF(ISBLANK(Table1[[#This Row],[SizeOption]]),"NOT AVAILABLE",Table1[[#This Row],[SizeOption]])</f>
        <v>XS, S, M, L, XL</v>
      </c>
      <c r="Y3603" t="str">
        <f>IF(Table2[[#This Row],[Column1]]&gt;50%,"HIGH DISCOUNT","LOW DISCOUNT")</f>
        <v>HIGH DISCOUNT</v>
      </c>
    </row>
    <row r="3604" spans="1:25" x14ac:dyDescent="0.25">
      <c r="A3604" s="1" t="s">
        <v>7440</v>
      </c>
      <c r="B3604" s="1">
        <v>12296850</v>
      </c>
      <c r="C3604" s="1" t="s">
        <v>52</v>
      </c>
      <c r="D3604" s="1" t="s">
        <v>28</v>
      </c>
      <c r="E3604" s="1" t="s">
        <v>29</v>
      </c>
      <c r="F3604" s="1" t="s">
        <v>17</v>
      </c>
      <c r="G3604" s="1" t="s">
        <v>7441</v>
      </c>
      <c r="H3604">
        <v>569</v>
      </c>
      <c r="I3604" s="1">
        <v>999</v>
      </c>
      <c r="J3604" s="1" t="s">
        <v>509</v>
      </c>
      <c r="K3604" s="1" t="s">
        <v>90</v>
      </c>
      <c r="L3604" s="1">
        <v>4.4000000000000004</v>
      </c>
      <c r="M3604" s="1">
        <v>556</v>
      </c>
      <c r="P3604" t="str">
        <f t="shared" si="227"/>
        <v>43%</v>
      </c>
      <c r="Q3604" s="12">
        <f t="shared" si="224"/>
        <v>0.43</v>
      </c>
      <c r="R3604" s="9">
        <f t="shared" si="225"/>
        <v>569.43000000000006</v>
      </c>
      <c r="S3604" s="9">
        <f>IF(R3604="",AVERAGEIF(Table1[Category],Table1[[#This Row],[Category]],Table2[orignal data]),Table2[[#This Row],[orignal data]])</f>
        <v>569.43000000000006</v>
      </c>
      <c r="T3604" t="str">
        <f t="shared" si="226"/>
        <v>UNIQUE</v>
      </c>
      <c r="U3604" t="str">
        <f>IF(ISBLANK(Table1[[#This Row],[SizeOption]]),"NOT AVAILABLE",Table1[[#This Row],[SizeOption]])</f>
        <v>39, 40, 42, 44</v>
      </c>
      <c r="Y3604" t="str">
        <f>IF(Table2[[#This Row],[Column1]]&gt;50%,"HIGH DISCOUNT","LOW DISCOUNT")</f>
        <v>LOW DISCOUNT</v>
      </c>
    </row>
    <row r="3605" spans="1:25" x14ac:dyDescent="0.25">
      <c r="A3605" s="2" t="s">
        <v>7442</v>
      </c>
      <c r="B3605" s="2">
        <v>11567762</v>
      </c>
      <c r="C3605" s="2" t="s">
        <v>67</v>
      </c>
      <c r="D3605" s="2" t="s">
        <v>68</v>
      </c>
      <c r="E3605" s="2" t="s">
        <v>69</v>
      </c>
      <c r="F3605" s="2" t="s">
        <v>36</v>
      </c>
      <c r="G3605" s="2" t="s">
        <v>7443</v>
      </c>
      <c r="H3605">
        <v>899</v>
      </c>
      <c r="I3605" s="2">
        <v>1499</v>
      </c>
      <c r="J3605" s="2" t="s">
        <v>50</v>
      </c>
      <c r="K3605" s="2" t="s">
        <v>115</v>
      </c>
      <c r="L3605" s="2">
        <v>4.5</v>
      </c>
      <c r="M3605" s="2">
        <v>556</v>
      </c>
      <c r="P3605" t="str">
        <f t="shared" si="227"/>
        <v>40%</v>
      </c>
      <c r="Q3605" s="12">
        <f t="shared" si="224"/>
        <v>0.4</v>
      </c>
      <c r="R3605" s="9">
        <f t="shared" si="225"/>
        <v>899.4</v>
      </c>
      <c r="S3605" s="9">
        <f>IF(R3605="",AVERAGEIF(Table1[Category],Table1[[#This Row],[Category]],Table2[orignal data]),Table2[[#This Row],[orignal data]])</f>
        <v>899.4</v>
      </c>
      <c r="T3605" t="str">
        <f t="shared" si="226"/>
        <v>UNIQUE</v>
      </c>
      <c r="U3605" t="str">
        <f>IF(ISBLANK(Table1[[#This Row],[SizeOption]]),"NOT AVAILABLE",Table1[[#This Row],[SizeOption]])</f>
        <v>XS, S, M, L, XL, XXL</v>
      </c>
      <c r="Y3605" t="str">
        <f>IF(Table2[[#This Row],[Column1]]&gt;50%,"HIGH DISCOUNT","LOW DISCOUNT")</f>
        <v>LOW DISCOUNT</v>
      </c>
    </row>
    <row r="3606" spans="1:25" x14ac:dyDescent="0.25">
      <c r="A3606" s="1" t="s">
        <v>7444</v>
      </c>
      <c r="B3606" s="1">
        <v>12009562</v>
      </c>
      <c r="C3606" s="1" t="s">
        <v>102</v>
      </c>
      <c r="D3606" s="1" t="s">
        <v>41</v>
      </c>
      <c r="E3606" s="1" t="s">
        <v>53</v>
      </c>
      <c r="F3606" s="1" t="s">
        <v>36</v>
      </c>
      <c r="G3606" s="1" t="s">
        <v>7445</v>
      </c>
      <c r="I3606" s="1">
        <v>1149</v>
      </c>
      <c r="J3606" s="1" t="s">
        <v>130</v>
      </c>
      <c r="K3606" s="1" t="s">
        <v>105</v>
      </c>
      <c r="L3606" s="1">
        <v>4.0999999999999996</v>
      </c>
      <c r="M3606" s="1">
        <v>556</v>
      </c>
      <c r="P3606" t="str">
        <f t="shared" si="227"/>
        <v>57%</v>
      </c>
      <c r="Q3606" s="12">
        <f t="shared" si="224"/>
        <v>0.56999999999999995</v>
      </c>
      <c r="R3606" s="9">
        <f t="shared" si="225"/>
        <v>494.07000000000005</v>
      </c>
      <c r="S3606" s="9">
        <f>IF(R3606="",AVERAGEIF(Table1[Category],Table1[[#This Row],[Category]],Table2[orignal data]),Table2[[#This Row],[orignal data]])</f>
        <v>494.07000000000005</v>
      </c>
      <c r="T3606" t="str">
        <f t="shared" si="226"/>
        <v>UNIQUE</v>
      </c>
      <c r="U3606" t="str">
        <f>IF(ISBLANK(Table1[[#This Row],[SizeOption]]),"NOT AVAILABLE",Table1[[#This Row],[SizeOption]])</f>
        <v>28, 30, 32, 34</v>
      </c>
      <c r="Y3606" t="str">
        <f>IF(Table2[[#This Row],[Column1]]&gt;50%,"HIGH DISCOUNT","LOW DISCOUNT")</f>
        <v>HIGH DISCOUNT</v>
      </c>
    </row>
    <row r="3607" spans="1:25" x14ac:dyDescent="0.25">
      <c r="A3607" s="2" t="s">
        <v>7446</v>
      </c>
      <c r="B3607" s="2">
        <v>15158324</v>
      </c>
      <c r="C3607" s="2" t="s">
        <v>124</v>
      </c>
      <c r="D3607" s="2" t="s">
        <v>41</v>
      </c>
      <c r="E3607" s="2" t="s">
        <v>48</v>
      </c>
      <c r="F3607" s="2" t="s">
        <v>36</v>
      </c>
      <c r="G3607" s="2" t="s">
        <v>7447</v>
      </c>
      <c r="I3607" s="2">
        <v>1199</v>
      </c>
      <c r="J3607" s="2" t="s">
        <v>606</v>
      </c>
      <c r="K3607" s="2" t="s">
        <v>115</v>
      </c>
      <c r="L3607" s="2">
        <v>4.4000000000000004</v>
      </c>
      <c r="M3607" s="2">
        <v>556</v>
      </c>
      <c r="P3607" t="str">
        <f t="shared" si="227"/>
        <v>54%</v>
      </c>
      <c r="Q3607" s="12">
        <f t="shared" si="224"/>
        <v>0.54</v>
      </c>
      <c r="R3607" s="9">
        <f t="shared" si="225"/>
        <v>551.54</v>
      </c>
      <c r="S3607" s="9">
        <f>IF(R3607="",AVERAGEIF(Table1[Category],Table1[[#This Row],[Category]],Table2[orignal data]),Table2[[#This Row],[orignal data]])</f>
        <v>551.54</v>
      </c>
      <c r="T3607" t="str">
        <f t="shared" si="226"/>
        <v>UNIQUE</v>
      </c>
      <c r="U3607" t="str">
        <f>IF(ISBLANK(Table1[[#This Row],[SizeOption]]),"NOT AVAILABLE",Table1[[#This Row],[SizeOption]])</f>
        <v>XS, S, M, L, XL, XXL</v>
      </c>
      <c r="Y3607" t="str">
        <f>IF(Table2[[#This Row],[Column1]]&gt;50%,"HIGH DISCOUNT","LOW DISCOUNT")</f>
        <v>HIGH DISCOUNT</v>
      </c>
    </row>
    <row r="3608" spans="1:25" x14ac:dyDescent="0.25">
      <c r="A3608" s="1" t="s">
        <v>7448</v>
      </c>
      <c r="B3608" s="1">
        <v>2322618</v>
      </c>
      <c r="C3608" s="1" t="s">
        <v>14</v>
      </c>
      <c r="D3608" s="1" t="s">
        <v>41</v>
      </c>
      <c r="E3608" s="1" t="s">
        <v>16</v>
      </c>
      <c r="F3608" s="1" t="s">
        <v>36</v>
      </c>
      <c r="G3608" s="1" t="s">
        <v>725</v>
      </c>
      <c r="I3608" s="1">
        <v>1299</v>
      </c>
      <c r="J3608" s="1" t="s">
        <v>19</v>
      </c>
      <c r="K3608" s="1" t="s">
        <v>134</v>
      </c>
      <c r="L3608" s="1">
        <v>3.8</v>
      </c>
      <c r="M3608" s="1">
        <v>556</v>
      </c>
      <c r="P3608" t="str">
        <f t="shared" si="227"/>
        <v>45%</v>
      </c>
      <c r="Q3608" s="12">
        <f t="shared" si="224"/>
        <v>0.45</v>
      </c>
      <c r="R3608" s="9">
        <f t="shared" si="225"/>
        <v>714.44999999999993</v>
      </c>
      <c r="S3608" s="9">
        <f>IF(R3608="",AVERAGEIF(Table1[Category],Table1[[#This Row],[Category]],Table2[orignal data]),Table2[[#This Row],[orignal data]])</f>
        <v>714.44999999999993</v>
      </c>
      <c r="T3608" t="str">
        <f t="shared" si="226"/>
        <v>UNIQUE</v>
      </c>
      <c r="U3608" t="str">
        <f>IF(ISBLANK(Table1[[#This Row],[SizeOption]]),"NOT AVAILABLE",Table1[[#This Row],[SizeOption]])</f>
        <v>26, 28, 30, 32, 34, 36</v>
      </c>
      <c r="Y3608" t="str">
        <f>IF(Table2[[#This Row],[Column1]]&gt;50%,"HIGH DISCOUNT","LOW DISCOUNT")</f>
        <v>LOW DISCOUNT</v>
      </c>
    </row>
    <row r="3609" spans="1:25" x14ac:dyDescent="0.25">
      <c r="A3609" s="2" t="s">
        <v>7449</v>
      </c>
      <c r="B3609" s="2">
        <v>11011138</v>
      </c>
      <c r="C3609" s="2" t="s">
        <v>102</v>
      </c>
      <c r="D3609" s="2" t="s">
        <v>41</v>
      </c>
      <c r="E3609" s="2" t="s">
        <v>148</v>
      </c>
      <c r="F3609" s="2" t="s">
        <v>36</v>
      </c>
      <c r="G3609" s="2" t="s">
        <v>7450</v>
      </c>
      <c r="I3609" s="2">
        <v>1399</v>
      </c>
      <c r="J3609" s="2" t="s">
        <v>95</v>
      </c>
      <c r="K3609" s="2" t="s">
        <v>26</v>
      </c>
      <c r="L3609" s="2">
        <v>4.3</v>
      </c>
      <c r="M3609" s="2">
        <v>556</v>
      </c>
      <c r="P3609" t="str">
        <f t="shared" si="227"/>
        <v>59%</v>
      </c>
      <c r="Q3609" s="12">
        <f t="shared" si="224"/>
        <v>0.59</v>
      </c>
      <c r="R3609" s="9">
        <f t="shared" si="225"/>
        <v>573.59</v>
      </c>
      <c r="S3609" s="9">
        <f>IF(R3609="",AVERAGEIF(Table1[Category],Table1[[#This Row],[Category]],Table2[orignal data]),Table2[[#This Row],[orignal data]])</f>
        <v>573.59</v>
      </c>
      <c r="T3609" t="str">
        <f t="shared" si="226"/>
        <v>UNIQUE</v>
      </c>
      <c r="U3609" t="str">
        <f>IF(ISBLANK(Table1[[#This Row],[SizeOption]]),"NOT AVAILABLE",Table1[[#This Row],[SizeOption]])</f>
        <v>S, M, L, XL</v>
      </c>
      <c r="Y3609" t="str">
        <f>IF(Table2[[#This Row],[Column1]]&gt;50%,"HIGH DISCOUNT","LOW DISCOUNT")</f>
        <v>HIGH DISCOUNT</v>
      </c>
    </row>
    <row r="3610" spans="1:25" x14ac:dyDescent="0.25">
      <c r="A3610" s="1" t="s">
        <v>7451</v>
      </c>
      <c r="B3610" s="1">
        <v>11005646</v>
      </c>
      <c r="C3610" s="1" t="s">
        <v>107</v>
      </c>
      <c r="D3610" s="1" t="s">
        <v>41</v>
      </c>
      <c r="E3610" s="1" t="s">
        <v>48</v>
      </c>
      <c r="F3610" s="1" t="s">
        <v>36</v>
      </c>
      <c r="G3610" s="1" t="s">
        <v>7452</v>
      </c>
      <c r="I3610" s="1">
        <v>1499</v>
      </c>
      <c r="J3610" s="1" t="s">
        <v>19</v>
      </c>
      <c r="K3610" s="1" t="s">
        <v>45</v>
      </c>
      <c r="L3610" s="1">
        <v>4.0999999999999996</v>
      </c>
      <c r="M3610" s="1">
        <v>556</v>
      </c>
      <c r="P3610" t="str">
        <f t="shared" si="227"/>
        <v>45%</v>
      </c>
      <c r="Q3610" s="12">
        <f t="shared" si="224"/>
        <v>0.45</v>
      </c>
      <c r="R3610" s="9">
        <f t="shared" si="225"/>
        <v>824.44999999999993</v>
      </c>
      <c r="S3610" s="9">
        <f>IF(R3610="",AVERAGEIF(Table1[Category],Table1[[#This Row],[Category]],Table2[orignal data]),Table2[[#This Row],[orignal data]])</f>
        <v>824.44999999999993</v>
      </c>
      <c r="T3610" t="str">
        <f t="shared" si="226"/>
        <v>UNIQUE</v>
      </c>
      <c r="U3610" t="str">
        <f>IF(ISBLANK(Table1[[#This Row],[SizeOption]]),"NOT AVAILABLE",Table1[[#This Row],[SizeOption]])</f>
        <v>XS, S, M, L, XL</v>
      </c>
      <c r="Y3610" t="str">
        <f>IF(Table2[[#This Row],[Column1]]&gt;50%,"HIGH DISCOUNT","LOW DISCOUNT")</f>
        <v>LOW DISCOUNT</v>
      </c>
    </row>
    <row r="3611" spans="1:25" x14ac:dyDescent="0.25">
      <c r="A3611" s="2" t="s">
        <v>7453</v>
      </c>
      <c r="B3611" s="2">
        <v>8410371</v>
      </c>
      <c r="C3611" s="2" t="s">
        <v>7454</v>
      </c>
      <c r="D3611" s="2" t="s">
        <v>41</v>
      </c>
      <c r="E3611" s="2" t="s">
        <v>16</v>
      </c>
      <c r="F3611" s="2" t="s">
        <v>36</v>
      </c>
      <c r="G3611" s="2" t="s">
        <v>7455</v>
      </c>
      <c r="I3611" s="2">
        <v>1799</v>
      </c>
      <c r="J3611" s="2" t="s">
        <v>55</v>
      </c>
      <c r="K3611" s="2" t="s">
        <v>7456</v>
      </c>
      <c r="L3611" s="2">
        <v>4.3</v>
      </c>
      <c r="M3611" s="2">
        <v>556</v>
      </c>
      <c r="P3611" t="str">
        <f t="shared" si="227"/>
        <v>60%</v>
      </c>
      <c r="Q3611" s="12">
        <f t="shared" si="224"/>
        <v>0.6</v>
      </c>
      <c r="R3611" s="9">
        <f t="shared" si="225"/>
        <v>719.60000000000014</v>
      </c>
      <c r="S3611" s="9">
        <f>IF(R3611="",AVERAGEIF(Table1[Category],Table1[[#This Row],[Category]],Table2[orignal data]),Table2[[#This Row],[orignal data]])</f>
        <v>719.60000000000014</v>
      </c>
      <c r="T3611" t="str">
        <f t="shared" si="226"/>
        <v>UNIQUE</v>
      </c>
      <c r="U3611" t="str">
        <f>IF(ISBLANK(Table1[[#This Row],[SizeOption]]),"NOT AVAILABLE",Table1[[#This Row],[SizeOption]])</f>
        <v>26, 27, 28, 29, 30, 31, 32, 33, 34</v>
      </c>
      <c r="Y3611" t="str">
        <f>IF(Table2[[#This Row],[Column1]]&gt;50%,"HIGH DISCOUNT","LOW DISCOUNT")</f>
        <v>HIGH DISCOUNT</v>
      </c>
    </row>
    <row r="3612" spans="1:25" x14ac:dyDescent="0.25">
      <c r="A3612" s="1" t="s">
        <v>7457</v>
      </c>
      <c r="B3612" s="1">
        <v>9965743</v>
      </c>
      <c r="C3612" s="1" t="s">
        <v>67</v>
      </c>
      <c r="D3612" s="1" t="s">
        <v>41</v>
      </c>
      <c r="E3612" s="1" t="s">
        <v>189</v>
      </c>
      <c r="F3612" s="1" t="s">
        <v>36</v>
      </c>
      <c r="G3612" s="1" t="s">
        <v>7458</v>
      </c>
      <c r="I3612" s="1">
        <v>1899</v>
      </c>
      <c r="J3612" s="1" t="s">
        <v>150</v>
      </c>
      <c r="K3612" s="1" t="s">
        <v>115</v>
      </c>
      <c r="L3612" s="1">
        <v>4.3</v>
      </c>
      <c r="M3612" s="1">
        <v>556</v>
      </c>
      <c r="P3612" t="str">
        <f t="shared" si="227"/>
        <v>65%</v>
      </c>
      <c r="Q3612" s="12">
        <f t="shared" si="224"/>
        <v>0.65</v>
      </c>
      <c r="R3612" s="9">
        <f t="shared" si="225"/>
        <v>664.64999999999986</v>
      </c>
      <c r="S3612" s="9">
        <f>IF(R3612="",AVERAGEIF(Table1[Category],Table1[[#This Row],[Category]],Table2[orignal data]),Table2[[#This Row],[orignal data]])</f>
        <v>664.64999999999986</v>
      </c>
      <c r="T3612" t="str">
        <f t="shared" si="226"/>
        <v>UNIQUE</v>
      </c>
      <c r="U3612" t="str">
        <f>IF(ISBLANK(Table1[[#This Row],[SizeOption]]),"NOT AVAILABLE",Table1[[#This Row],[SizeOption]])</f>
        <v>XS, S, M, L, XL, XXL</v>
      </c>
      <c r="Y3612" t="str">
        <f>IF(Table2[[#This Row],[Column1]]&gt;50%,"HIGH DISCOUNT","LOW DISCOUNT")</f>
        <v>HIGH DISCOUNT</v>
      </c>
    </row>
    <row r="3613" spans="1:25" x14ac:dyDescent="0.25">
      <c r="A3613" s="2" t="s">
        <v>7459</v>
      </c>
      <c r="B3613" s="2">
        <v>8064683</v>
      </c>
      <c r="C3613" s="2" t="s">
        <v>22</v>
      </c>
      <c r="D3613" s="2" t="s">
        <v>15</v>
      </c>
      <c r="E3613" s="2" t="s">
        <v>16</v>
      </c>
      <c r="F3613" s="2" t="s">
        <v>17</v>
      </c>
      <c r="G3613" s="2" t="s">
        <v>7460</v>
      </c>
      <c r="H3613">
        <v>832</v>
      </c>
      <c r="I3613" s="2">
        <v>2449</v>
      </c>
      <c r="J3613" s="2" t="s">
        <v>403</v>
      </c>
      <c r="K3613" s="2" t="s">
        <v>56</v>
      </c>
      <c r="L3613" s="2">
        <v>3.8</v>
      </c>
      <c r="M3613" s="2">
        <v>555</v>
      </c>
      <c r="P3613" t="str">
        <f t="shared" si="227"/>
        <v>66%</v>
      </c>
      <c r="Q3613" s="12">
        <f t="shared" si="224"/>
        <v>0.66</v>
      </c>
      <c r="R3613" s="9">
        <f t="shared" si="225"/>
        <v>832.65999999999985</v>
      </c>
      <c r="S3613" s="9">
        <f>IF(R3613="",AVERAGEIF(Table1[Category],Table1[[#This Row],[Category]],Table2[orignal data]),Table2[[#This Row],[orignal data]])</f>
        <v>832.65999999999985</v>
      </c>
      <c r="T3613" t="str">
        <f t="shared" si="226"/>
        <v>UNIQUE</v>
      </c>
      <c r="U3613" t="str">
        <f>IF(ISBLANK(Table1[[#This Row],[SizeOption]]),"NOT AVAILABLE",Table1[[#This Row],[SizeOption]])</f>
        <v>30, 32, 34, 36</v>
      </c>
      <c r="Y3613" t="str">
        <f>IF(Table2[[#This Row],[Column1]]&gt;50%,"HIGH DISCOUNT","LOW DISCOUNT")</f>
        <v>HIGH DISCOUNT</v>
      </c>
    </row>
    <row r="3614" spans="1:25" x14ac:dyDescent="0.25">
      <c r="A3614" s="1" t="s">
        <v>7461</v>
      </c>
      <c r="B3614" s="1">
        <v>2948544</v>
      </c>
      <c r="C3614" s="1" t="s">
        <v>52</v>
      </c>
      <c r="D3614" s="1" t="s">
        <v>15</v>
      </c>
      <c r="E3614" s="1" t="s">
        <v>16</v>
      </c>
      <c r="F3614" s="1" t="s">
        <v>17</v>
      </c>
      <c r="G3614" s="1" t="s">
        <v>7462</v>
      </c>
      <c r="H3614">
        <v>721</v>
      </c>
      <c r="I3614" s="1">
        <v>1849</v>
      </c>
      <c r="J3614" s="1" t="s">
        <v>104</v>
      </c>
      <c r="K3614" s="1" t="s">
        <v>816</v>
      </c>
      <c r="L3614" s="1">
        <v>4</v>
      </c>
      <c r="M3614" s="1">
        <v>555</v>
      </c>
      <c r="P3614" t="str">
        <f t="shared" si="227"/>
        <v>61%</v>
      </c>
      <c r="Q3614" s="12">
        <f t="shared" si="224"/>
        <v>0.61</v>
      </c>
      <c r="R3614" s="9">
        <f t="shared" si="225"/>
        <v>721.11000000000013</v>
      </c>
      <c r="S3614" s="9">
        <f>IF(R3614="",AVERAGEIF(Table1[Category],Table1[[#This Row],[Category]],Table2[orignal data]),Table2[[#This Row],[orignal data]])</f>
        <v>721.11000000000013</v>
      </c>
      <c r="T3614" t="str">
        <f t="shared" si="226"/>
        <v>UNIQUE</v>
      </c>
      <c r="U3614" t="str">
        <f>IF(ISBLANK(Table1[[#This Row],[SizeOption]]),"NOT AVAILABLE",Table1[[#This Row],[SizeOption]])</f>
        <v>30, 32, 34, 36, 38</v>
      </c>
      <c r="Y3614" t="str">
        <f>IF(Table2[[#This Row],[Column1]]&gt;50%,"HIGH DISCOUNT","LOW DISCOUNT")</f>
        <v>HIGH DISCOUNT</v>
      </c>
    </row>
    <row r="3615" spans="1:25" x14ac:dyDescent="0.25">
      <c r="A3615" s="2" t="s">
        <v>7463</v>
      </c>
      <c r="B3615" s="2">
        <v>11475050</v>
      </c>
      <c r="C3615" s="2" t="s">
        <v>349</v>
      </c>
      <c r="D3615" s="2" t="s">
        <v>197</v>
      </c>
      <c r="E3615" s="2" t="s">
        <v>350</v>
      </c>
      <c r="F3615" s="2" t="s">
        <v>17</v>
      </c>
      <c r="G3615" s="2" t="s">
        <v>7464</v>
      </c>
      <c r="I3615" s="2">
        <v>1016</v>
      </c>
      <c r="J3615" s="2"/>
      <c r="K3615" s="2" t="s">
        <v>352</v>
      </c>
      <c r="L3615" s="2">
        <v>4.4000000000000004</v>
      </c>
      <c r="M3615" s="2">
        <v>555</v>
      </c>
      <c r="P3615" t="str">
        <f t="shared" si="227"/>
        <v/>
      </c>
      <c r="Q3615" s="12" t="str">
        <f t="shared" si="224"/>
        <v/>
      </c>
      <c r="R3615" s="9" t="str">
        <f t="shared" si="225"/>
        <v/>
      </c>
      <c r="S3615" s="9">
        <f>IF(R3615="",AVERAGEIF(Table1[Category],Table1[[#This Row],[Category]],Table2[orignal data]),Table2[[#This Row],[orignal data]])</f>
        <v>552.70900000000006</v>
      </c>
      <c r="T3615" t="str">
        <f t="shared" si="226"/>
        <v>UNIQUE</v>
      </c>
      <c r="U3615" t="str">
        <f>IF(ISBLANK(Table1[[#This Row],[SizeOption]]),"NOT AVAILABLE",Table1[[#This Row],[SizeOption]])</f>
        <v>S, M, L</v>
      </c>
      <c r="Y3615" t="str">
        <f>IF(Table2[[#This Row],[Column1]]&gt;50%,"HIGH DISCOUNT","LOW DISCOUNT")</f>
        <v>HIGH DISCOUNT</v>
      </c>
    </row>
    <row r="3616" spans="1:25" x14ac:dyDescent="0.25">
      <c r="A3616" s="1" t="s">
        <v>7465</v>
      </c>
      <c r="B3616" s="1">
        <v>11036410</v>
      </c>
      <c r="C3616" s="1" t="s">
        <v>349</v>
      </c>
      <c r="D3616" s="1" t="s">
        <v>197</v>
      </c>
      <c r="E3616" s="1" t="s">
        <v>350</v>
      </c>
      <c r="F3616" s="1" t="s">
        <v>17</v>
      </c>
      <c r="G3616" s="1" t="s">
        <v>7466</v>
      </c>
      <c r="I3616" s="1">
        <v>508</v>
      </c>
      <c r="J3616" s="1"/>
      <c r="K3616" s="1" t="s">
        <v>352</v>
      </c>
      <c r="L3616" s="1">
        <v>4.4000000000000004</v>
      </c>
      <c r="M3616" s="1">
        <v>555</v>
      </c>
      <c r="P3616" t="str">
        <f t="shared" si="227"/>
        <v/>
      </c>
      <c r="Q3616" s="12" t="str">
        <f t="shared" si="224"/>
        <v/>
      </c>
      <c r="R3616" s="9" t="str">
        <f t="shared" si="225"/>
        <v/>
      </c>
      <c r="S3616" s="9">
        <f>IF(R3616="",AVERAGEIF(Table1[Category],Table1[[#This Row],[Category]],Table2[orignal data]),Table2[[#This Row],[orignal data]])</f>
        <v>552.70900000000006</v>
      </c>
      <c r="T3616" t="str">
        <f t="shared" si="226"/>
        <v>UNIQUE</v>
      </c>
      <c r="U3616" t="str">
        <f>IF(ISBLANK(Table1[[#This Row],[SizeOption]]),"NOT AVAILABLE",Table1[[#This Row],[SizeOption]])</f>
        <v>S, M, L</v>
      </c>
      <c r="Y3616" t="str">
        <f>IF(Table2[[#This Row],[Column1]]&gt;50%,"HIGH DISCOUNT","LOW DISCOUNT")</f>
        <v>HIGH DISCOUNT</v>
      </c>
    </row>
    <row r="3617" spans="1:25" x14ac:dyDescent="0.25">
      <c r="A3617" s="2" t="s">
        <v>7467</v>
      </c>
      <c r="B3617" s="2">
        <v>13920600</v>
      </c>
      <c r="C3617" s="2" t="s">
        <v>64</v>
      </c>
      <c r="D3617" s="2" t="s">
        <v>28</v>
      </c>
      <c r="E3617" s="2" t="s">
        <v>42</v>
      </c>
      <c r="F3617" s="2" t="s">
        <v>17</v>
      </c>
      <c r="G3617" s="2" t="s">
        <v>7468</v>
      </c>
      <c r="H3617">
        <v>384</v>
      </c>
      <c r="I3617" s="2">
        <v>1099</v>
      </c>
      <c r="J3617" s="2" t="s">
        <v>150</v>
      </c>
      <c r="K3617" s="2" t="s">
        <v>26</v>
      </c>
      <c r="L3617" s="2">
        <v>4.2</v>
      </c>
      <c r="M3617" s="2">
        <v>555</v>
      </c>
      <c r="P3617" t="str">
        <f t="shared" si="227"/>
        <v>65%</v>
      </c>
      <c r="Q3617" s="12">
        <f t="shared" si="224"/>
        <v>0.65</v>
      </c>
      <c r="R3617" s="9">
        <f t="shared" si="225"/>
        <v>384.65</v>
      </c>
      <c r="S3617" s="9">
        <f>IF(R3617="",AVERAGEIF(Table1[Category],Table1[[#This Row],[Category]],Table2[orignal data]),Table2[[#This Row],[orignal data]])</f>
        <v>384.65</v>
      </c>
      <c r="T3617" t="str">
        <f t="shared" si="226"/>
        <v>UNIQUE</v>
      </c>
      <c r="U3617" t="str">
        <f>IF(ISBLANK(Table1[[#This Row],[SizeOption]]),"NOT AVAILABLE",Table1[[#This Row],[SizeOption]])</f>
        <v>S, M, L, XL</v>
      </c>
      <c r="Y3617" t="str">
        <f>IF(Table2[[#This Row],[Column1]]&gt;50%,"HIGH DISCOUNT","LOW DISCOUNT")</f>
        <v>HIGH DISCOUNT</v>
      </c>
    </row>
    <row r="3618" spans="1:25" x14ac:dyDescent="0.25">
      <c r="A3618" s="1" t="s">
        <v>7469</v>
      </c>
      <c r="B3618" s="1">
        <v>14343210</v>
      </c>
      <c r="C3618" s="1" t="s">
        <v>97</v>
      </c>
      <c r="D3618" s="1" t="s">
        <v>76</v>
      </c>
      <c r="E3618" s="1" t="s">
        <v>320</v>
      </c>
      <c r="F3618" s="1" t="s">
        <v>36</v>
      </c>
      <c r="G3618" s="1" t="s">
        <v>7470</v>
      </c>
      <c r="H3618">
        <v>1349</v>
      </c>
      <c r="I3618" s="1">
        <v>2999</v>
      </c>
      <c r="J3618" s="1" t="s">
        <v>25</v>
      </c>
      <c r="K3618" s="1" t="s">
        <v>164</v>
      </c>
      <c r="L3618" s="1">
        <v>4.0999999999999996</v>
      </c>
      <c r="M3618" s="1">
        <v>555</v>
      </c>
      <c r="P3618" t="str">
        <f t="shared" si="227"/>
        <v>55%</v>
      </c>
      <c r="Q3618" s="12">
        <f t="shared" si="224"/>
        <v>0.55000000000000004</v>
      </c>
      <c r="R3618" s="9">
        <f t="shared" si="225"/>
        <v>1349.55</v>
      </c>
      <c r="S3618" s="9">
        <f>IF(R3618="",AVERAGEIF(Table1[Category],Table1[[#This Row],[Category]],Table2[orignal data]),Table2[[#This Row],[orignal data]])</f>
        <v>1349.55</v>
      </c>
      <c r="T3618" t="str">
        <f t="shared" si="226"/>
        <v>UNIQUE</v>
      </c>
      <c r="U3618" t="str">
        <f>IF(ISBLANK(Table1[[#This Row],[SizeOption]]),"NOT AVAILABLE",Table1[[#This Row],[SizeOption]])</f>
        <v>Onesize</v>
      </c>
      <c r="Y3618" t="str">
        <f>IF(Table2[[#This Row],[Column1]]&gt;50%,"HIGH DISCOUNT","LOW DISCOUNT")</f>
        <v>HIGH DISCOUNT</v>
      </c>
    </row>
    <row r="3619" spans="1:25" x14ac:dyDescent="0.25">
      <c r="A3619" s="2" t="s">
        <v>7471</v>
      </c>
      <c r="B3619" s="2">
        <v>12779830</v>
      </c>
      <c r="C3619" s="2" t="s">
        <v>7472</v>
      </c>
      <c r="D3619" s="2" t="s">
        <v>76</v>
      </c>
      <c r="E3619" s="2" t="s">
        <v>77</v>
      </c>
      <c r="F3619" s="2" t="s">
        <v>36</v>
      </c>
      <c r="G3619" s="2" t="s">
        <v>7473</v>
      </c>
      <c r="H3619">
        <v>1719</v>
      </c>
      <c r="I3619" s="2">
        <v>4299</v>
      </c>
      <c r="J3619" s="2" t="s">
        <v>55</v>
      </c>
      <c r="K3619" s="2" t="s">
        <v>39</v>
      </c>
      <c r="L3619" s="2">
        <v>4</v>
      </c>
      <c r="M3619" s="2">
        <v>555</v>
      </c>
      <c r="P3619" t="str">
        <f t="shared" si="227"/>
        <v>60%</v>
      </c>
      <c r="Q3619" s="12">
        <f t="shared" si="224"/>
        <v>0.6</v>
      </c>
      <c r="R3619" s="9">
        <f t="shared" si="225"/>
        <v>1719.6</v>
      </c>
      <c r="S3619" s="9">
        <f>IF(R3619="",AVERAGEIF(Table1[Category],Table1[[#This Row],[Category]],Table2[orignal data]),Table2[[#This Row],[orignal data]])</f>
        <v>1719.6</v>
      </c>
      <c r="T3619" t="str">
        <f t="shared" si="226"/>
        <v>UNIQUE</v>
      </c>
      <c r="U3619" t="str">
        <f>IF(ISBLANK(Table1[[#This Row],[SizeOption]]),"NOT AVAILABLE",Table1[[#This Row],[SizeOption]])</f>
        <v>S, M, L, XL, XXL</v>
      </c>
      <c r="Y3619" t="str">
        <f>IF(Table2[[#This Row],[Column1]]&gt;50%,"HIGH DISCOUNT","LOW DISCOUNT")</f>
        <v>HIGH DISCOUNT</v>
      </c>
    </row>
    <row r="3620" spans="1:25" x14ac:dyDescent="0.25">
      <c r="A3620" s="1" t="s">
        <v>7474</v>
      </c>
      <c r="B3620" s="1">
        <v>12822762</v>
      </c>
      <c r="C3620" s="1" t="s">
        <v>92</v>
      </c>
      <c r="D3620" s="1" t="s">
        <v>76</v>
      </c>
      <c r="E3620" s="1" t="s">
        <v>533</v>
      </c>
      <c r="F3620" s="1" t="s">
        <v>36</v>
      </c>
      <c r="G3620" s="1" t="s">
        <v>7475</v>
      </c>
      <c r="H3620">
        <v>323</v>
      </c>
      <c r="I3620" s="1">
        <v>899</v>
      </c>
      <c r="J3620" s="1" t="s">
        <v>416</v>
      </c>
      <c r="K3620" s="1" t="s">
        <v>20</v>
      </c>
      <c r="L3620" s="1">
        <v>4.0999999999999996</v>
      </c>
      <c r="M3620" s="1">
        <v>555</v>
      </c>
      <c r="P3620" t="str">
        <f t="shared" si="227"/>
        <v>64%</v>
      </c>
      <c r="Q3620" s="12">
        <f t="shared" si="224"/>
        <v>0.64</v>
      </c>
      <c r="R3620" s="9">
        <f t="shared" si="225"/>
        <v>323.64</v>
      </c>
      <c r="S3620" s="9">
        <f>IF(R3620="",AVERAGEIF(Table1[Category],Table1[[#This Row],[Category]],Table2[orignal data]),Table2[[#This Row],[orignal data]])</f>
        <v>323.64</v>
      </c>
      <c r="T3620" t="str">
        <f t="shared" si="226"/>
        <v>UNIQUE</v>
      </c>
      <c r="U3620" t="str">
        <f>IF(ISBLANK(Table1[[#This Row],[SizeOption]]),"NOT AVAILABLE",Table1[[#This Row],[SizeOption]])</f>
        <v>28, 30, 32, 34, 36</v>
      </c>
      <c r="Y3620" t="str">
        <f>IF(Table2[[#This Row],[Column1]]&gt;50%,"HIGH DISCOUNT","LOW DISCOUNT")</f>
        <v>HIGH DISCOUNT</v>
      </c>
    </row>
    <row r="3621" spans="1:25" x14ac:dyDescent="0.25">
      <c r="A3621" s="2" t="s">
        <v>7476</v>
      </c>
      <c r="B3621" s="2">
        <v>9371675</v>
      </c>
      <c r="C3621" s="2" t="s">
        <v>97</v>
      </c>
      <c r="D3621" s="2" t="s">
        <v>98</v>
      </c>
      <c r="E3621" s="2" t="s">
        <v>93</v>
      </c>
      <c r="F3621" s="2" t="s">
        <v>36</v>
      </c>
      <c r="G3621" s="2" t="s">
        <v>7477</v>
      </c>
      <c r="H3621">
        <v>449</v>
      </c>
      <c r="I3621" s="2">
        <v>1499</v>
      </c>
      <c r="J3621" s="2" t="s">
        <v>79</v>
      </c>
      <c r="K3621" s="2" t="s">
        <v>100</v>
      </c>
      <c r="L3621" s="2">
        <v>4.2</v>
      </c>
      <c r="M3621" s="2">
        <v>555</v>
      </c>
      <c r="P3621" t="str">
        <f t="shared" si="227"/>
        <v>70%</v>
      </c>
      <c r="Q3621" s="12">
        <f t="shared" si="224"/>
        <v>0.7</v>
      </c>
      <c r="R3621" s="9">
        <f t="shared" si="225"/>
        <v>449.70000000000005</v>
      </c>
      <c r="S3621" s="9">
        <f>IF(R3621="",AVERAGEIF(Table1[Category],Table1[[#This Row],[Category]],Table2[orignal data]),Table2[[#This Row],[orignal data]])</f>
        <v>449.70000000000005</v>
      </c>
      <c r="T3621" t="str">
        <f t="shared" si="226"/>
        <v>UNIQUE</v>
      </c>
      <c r="U3621" t="str">
        <f>IF(ISBLANK(Table1[[#This Row],[SizeOption]]),"NOT AVAILABLE",Table1[[#This Row],[SizeOption]])</f>
        <v>XS, S, M, L, XL, XXL, 3XL</v>
      </c>
      <c r="Y3621" t="str">
        <f>IF(Table2[[#This Row],[Column1]]&gt;50%,"HIGH DISCOUNT","LOW DISCOUNT")</f>
        <v>HIGH DISCOUNT</v>
      </c>
    </row>
    <row r="3622" spans="1:25" x14ac:dyDescent="0.25">
      <c r="A3622" s="1" t="s">
        <v>7478</v>
      </c>
      <c r="B3622" s="1">
        <v>13103850</v>
      </c>
      <c r="C3622" s="1" t="s">
        <v>201</v>
      </c>
      <c r="D3622" s="1" t="s">
        <v>98</v>
      </c>
      <c r="E3622" s="1" t="s">
        <v>16</v>
      </c>
      <c r="F3622" s="1" t="s">
        <v>36</v>
      </c>
      <c r="G3622" s="1" t="s">
        <v>7479</v>
      </c>
      <c r="H3622">
        <v>839</v>
      </c>
      <c r="I3622" s="1">
        <v>2099</v>
      </c>
      <c r="J3622" s="1" t="s">
        <v>141</v>
      </c>
      <c r="K3622" s="1" t="s">
        <v>643</v>
      </c>
      <c r="L3622" s="1">
        <v>4.0999999999999996</v>
      </c>
      <c r="M3622" s="1">
        <v>555</v>
      </c>
      <c r="P3622" t="str">
        <f t="shared" si="227"/>
        <v>60%</v>
      </c>
      <c r="Q3622" s="12">
        <f t="shared" si="224"/>
        <v>0.6</v>
      </c>
      <c r="R3622" s="9">
        <f t="shared" si="225"/>
        <v>839.60000000000014</v>
      </c>
      <c r="S3622" s="9">
        <f>IF(R3622="",AVERAGEIF(Table1[Category],Table1[[#This Row],[Category]],Table2[orignal data]),Table2[[#This Row],[orignal data]])</f>
        <v>839.60000000000014</v>
      </c>
      <c r="T3622" t="str">
        <f t="shared" si="226"/>
        <v>UNIQUE</v>
      </c>
      <c r="U3622" t="str">
        <f>IF(ISBLANK(Table1[[#This Row],[SizeOption]]),"NOT AVAILABLE",Table1[[#This Row],[SizeOption]])</f>
        <v>26, 28, 30, 32, 34, 36, 38, 40</v>
      </c>
      <c r="Y3622" t="str">
        <f>IF(Table2[[#This Row],[Column1]]&gt;50%,"HIGH DISCOUNT","LOW DISCOUNT")</f>
        <v>HIGH DISCOUNT</v>
      </c>
    </row>
    <row r="3623" spans="1:25" x14ac:dyDescent="0.25">
      <c r="A3623" s="2" t="s">
        <v>7480</v>
      </c>
      <c r="B3623" s="2">
        <v>6521608</v>
      </c>
      <c r="C3623" s="2" t="s">
        <v>221</v>
      </c>
      <c r="D3623" s="2" t="s">
        <v>98</v>
      </c>
      <c r="E3623" s="2" t="s">
        <v>48</v>
      </c>
      <c r="F3623" s="2" t="s">
        <v>36</v>
      </c>
      <c r="G3623" s="2" t="s">
        <v>7481</v>
      </c>
      <c r="H3623">
        <v>629</v>
      </c>
      <c r="I3623" s="2">
        <v>2099</v>
      </c>
      <c r="J3623" s="2" t="s">
        <v>79</v>
      </c>
      <c r="K3623" s="2" t="s">
        <v>223</v>
      </c>
      <c r="L3623" s="2">
        <v>4</v>
      </c>
      <c r="M3623" s="2">
        <v>555</v>
      </c>
      <c r="P3623" t="str">
        <f t="shared" si="227"/>
        <v>70%</v>
      </c>
      <c r="Q3623" s="12">
        <f t="shared" si="224"/>
        <v>0.7</v>
      </c>
      <c r="R3623" s="9">
        <f t="shared" si="225"/>
        <v>629.70000000000005</v>
      </c>
      <c r="S3623" s="9">
        <f>IF(R3623="",AVERAGEIF(Table1[Category],Table1[[#This Row],[Category]],Table2[orignal data]),Table2[[#This Row],[orignal data]])</f>
        <v>629.70000000000005</v>
      </c>
      <c r="T3623" t="str">
        <f t="shared" si="226"/>
        <v>UNIQUE</v>
      </c>
      <c r="U3623" t="str">
        <f>IF(ISBLANK(Table1[[#This Row],[SizeOption]]),"NOT AVAILABLE",Table1[[#This Row],[SizeOption]])</f>
        <v>S, M, L, XL, XXL, 3XL, 4XL</v>
      </c>
      <c r="Y3623" t="str">
        <f>IF(Table2[[#This Row],[Column1]]&gt;50%,"HIGH DISCOUNT","LOW DISCOUNT")</f>
        <v>HIGH DISCOUNT</v>
      </c>
    </row>
    <row r="3624" spans="1:25" x14ac:dyDescent="0.25">
      <c r="A3624" s="1" t="s">
        <v>7482</v>
      </c>
      <c r="B3624" s="1">
        <v>17382872</v>
      </c>
      <c r="C3624" s="1" t="s">
        <v>14</v>
      </c>
      <c r="D3624" s="1" t="s">
        <v>41</v>
      </c>
      <c r="E3624" s="1" t="s">
        <v>42</v>
      </c>
      <c r="F3624" s="1" t="s">
        <v>36</v>
      </c>
      <c r="G3624" s="1" t="s">
        <v>7483</v>
      </c>
      <c r="I3624" s="1">
        <v>1598</v>
      </c>
      <c r="J3624" s="1" t="s">
        <v>84</v>
      </c>
      <c r="K3624" s="1" t="s">
        <v>703</v>
      </c>
      <c r="L3624" s="1">
        <v>4.3</v>
      </c>
      <c r="M3624" s="1">
        <v>555</v>
      </c>
      <c r="P3624" t="str">
        <f t="shared" si="227"/>
        <v>50%</v>
      </c>
      <c r="Q3624" s="12">
        <f t="shared" si="224"/>
        <v>0.5</v>
      </c>
      <c r="R3624" s="9">
        <f t="shared" si="225"/>
        <v>799</v>
      </c>
      <c r="S3624" s="9">
        <f>IF(R3624="",AVERAGEIF(Table1[Category],Table1[[#This Row],[Category]],Table2[orignal data]),Table2[[#This Row],[orignal data]])</f>
        <v>799</v>
      </c>
      <c r="T3624" t="str">
        <f t="shared" si="226"/>
        <v>UNIQUE</v>
      </c>
      <c r="U3624" t="str">
        <f>IF(ISBLANK(Table1[[#This Row],[SizeOption]]),"NOT AVAILABLE",Table1[[#This Row],[SizeOption]])</f>
        <v>S, XS, XL, L, M</v>
      </c>
      <c r="Y3624" t="str">
        <f>IF(Table2[[#This Row],[Column1]]&gt;50%,"HIGH DISCOUNT","LOW DISCOUNT")</f>
        <v>LOW DISCOUNT</v>
      </c>
    </row>
    <row r="3625" spans="1:25" x14ac:dyDescent="0.25">
      <c r="A3625" s="2" t="s">
        <v>7484</v>
      </c>
      <c r="B3625" s="2">
        <v>13930098</v>
      </c>
      <c r="C3625" s="2" t="s">
        <v>290</v>
      </c>
      <c r="D3625" s="2" t="s">
        <v>41</v>
      </c>
      <c r="E3625" s="2" t="s">
        <v>148</v>
      </c>
      <c r="F3625" s="2" t="s">
        <v>36</v>
      </c>
      <c r="G3625" s="2" t="s">
        <v>7485</v>
      </c>
      <c r="I3625" s="2">
        <v>1699</v>
      </c>
      <c r="J3625" s="2" t="s">
        <v>84</v>
      </c>
      <c r="K3625" s="2" t="s">
        <v>26</v>
      </c>
      <c r="L3625" s="2">
        <v>4.2</v>
      </c>
      <c r="M3625" s="2">
        <v>555</v>
      </c>
      <c r="P3625" t="str">
        <f t="shared" si="227"/>
        <v>50%</v>
      </c>
      <c r="Q3625" s="12">
        <f t="shared" si="224"/>
        <v>0.5</v>
      </c>
      <c r="R3625" s="9">
        <f t="shared" si="225"/>
        <v>849.5</v>
      </c>
      <c r="S3625" s="9">
        <f>IF(R3625="",AVERAGEIF(Table1[Category],Table1[[#This Row],[Category]],Table2[orignal data]),Table2[[#This Row],[orignal data]])</f>
        <v>849.5</v>
      </c>
      <c r="T3625" t="str">
        <f t="shared" si="226"/>
        <v>UNIQUE</v>
      </c>
      <c r="U3625" t="str">
        <f>IF(ISBLANK(Table1[[#This Row],[SizeOption]]),"NOT AVAILABLE",Table1[[#This Row],[SizeOption]])</f>
        <v>S, M, L, XL</v>
      </c>
      <c r="Y3625" t="str">
        <f>IF(Table2[[#This Row],[Column1]]&gt;50%,"HIGH DISCOUNT","LOW DISCOUNT")</f>
        <v>LOW DISCOUNT</v>
      </c>
    </row>
    <row r="3626" spans="1:25" x14ac:dyDescent="0.25">
      <c r="A3626" s="1" t="s">
        <v>7486</v>
      </c>
      <c r="B3626" s="1">
        <v>8662565</v>
      </c>
      <c r="C3626" s="1" t="s">
        <v>92</v>
      </c>
      <c r="D3626" s="1" t="s">
        <v>41</v>
      </c>
      <c r="E3626" s="1" t="s">
        <v>148</v>
      </c>
      <c r="F3626" s="1" t="s">
        <v>36</v>
      </c>
      <c r="G3626" s="1" t="s">
        <v>7487</v>
      </c>
      <c r="I3626" s="1">
        <v>2049</v>
      </c>
      <c r="J3626" s="1" t="s">
        <v>416</v>
      </c>
      <c r="K3626" s="1" t="s">
        <v>39</v>
      </c>
      <c r="L3626" s="1">
        <v>3.8</v>
      </c>
      <c r="M3626" s="1">
        <v>555</v>
      </c>
      <c r="P3626" t="str">
        <f t="shared" si="227"/>
        <v>64%</v>
      </c>
      <c r="Q3626" s="12">
        <f t="shared" si="224"/>
        <v>0.64</v>
      </c>
      <c r="R3626" s="9">
        <f t="shared" si="225"/>
        <v>737.63999999999987</v>
      </c>
      <c r="S3626" s="9">
        <f>IF(R3626="",AVERAGEIF(Table1[Category],Table1[[#This Row],[Category]],Table2[orignal data]),Table2[[#This Row],[orignal data]])</f>
        <v>737.63999999999987</v>
      </c>
      <c r="T3626" t="str">
        <f t="shared" si="226"/>
        <v>UNIQUE</v>
      </c>
      <c r="U3626" t="str">
        <f>IF(ISBLANK(Table1[[#This Row],[SizeOption]]),"NOT AVAILABLE",Table1[[#This Row],[SizeOption]])</f>
        <v>S, M, L, XL, XXL</v>
      </c>
      <c r="Y3626" t="str">
        <f>IF(Table2[[#This Row],[Column1]]&gt;50%,"HIGH DISCOUNT","LOW DISCOUNT")</f>
        <v>HIGH DISCOUNT</v>
      </c>
    </row>
    <row r="3627" spans="1:25" x14ac:dyDescent="0.25">
      <c r="A3627" s="2" t="s">
        <v>7488</v>
      </c>
      <c r="B3627" s="2">
        <v>11296110</v>
      </c>
      <c r="C3627" s="2" t="s">
        <v>14</v>
      </c>
      <c r="D3627" s="2" t="s">
        <v>41</v>
      </c>
      <c r="E3627" s="2" t="s">
        <v>42</v>
      </c>
      <c r="F3627" s="2" t="s">
        <v>36</v>
      </c>
      <c r="G3627" s="2" t="s">
        <v>7489</v>
      </c>
      <c r="I3627" s="2">
        <v>799</v>
      </c>
      <c r="J3627" s="2" t="s">
        <v>680</v>
      </c>
      <c r="K3627" s="2" t="s">
        <v>45</v>
      </c>
      <c r="L3627" s="2">
        <v>4.3</v>
      </c>
      <c r="M3627" s="2">
        <v>555</v>
      </c>
      <c r="P3627" t="str">
        <f t="shared" si="227"/>
        <v>300</v>
      </c>
      <c r="Q3627" s="12">
        <f t="shared" si="224"/>
        <v>0.37546933667083854</v>
      </c>
      <c r="R3627" s="9">
        <f t="shared" si="225"/>
        <v>499</v>
      </c>
      <c r="S3627" s="9">
        <f>IF(R3627="",AVERAGEIF(Table1[Category],Table1[[#This Row],[Category]],Table2[orignal data]),Table2[[#This Row],[orignal data]])</f>
        <v>499</v>
      </c>
      <c r="T3627" t="str">
        <f t="shared" si="226"/>
        <v>UNIQUE</v>
      </c>
      <c r="U3627" t="str">
        <f>IF(ISBLANK(Table1[[#This Row],[SizeOption]]),"NOT AVAILABLE",Table1[[#This Row],[SizeOption]])</f>
        <v>XS, S, M, L, XL</v>
      </c>
      <c r="Y3627" t="str">
        <f>IF(Table2[[#This Row],[Column1]]&gt;50%,"HIGH DISCOUNT","LOW DISCOUNT")</f>
        <v>LOW DISCOUNT</v>
      </c>
    </row>
    <row r="3628" spans="1:25" x14ac:dyDescent="0.25">
      <c r="A3628" s="1" t="s">
        <v>7490</v>
      </c>
      <c r="B3628" s="1">
        <v>6967858</v>
      </c>
      <c r="C3628" s="1" t="s">
        <v>47</v>
      </c>
      <c r="D3628" s="1" t="s">
        <v>15</v>
      </c>
      <c r="E3628" s="1" t="s">
        <v>53</v>
      </c>
      <c r="F3628" s="1" t="s">
        <v>17</v>
      </c>
      <c r="G3628" s="1" t="s">
        <v>7491</v>
      </c>
      <c r="H3628">
        <v>919</v>
      </c>
      <c r="I3628" s="1">
        <v>2299</v>
      </c>
      <c r="J3628" s="1" t="s">
        <v>55</v>
      </c>
      <c r="K3628" s="1" t="s">
        <v>7492</v>
      </c>
      <c r="L3628" s="1">
        <v>4.0999999999999996</v>
      </c>
      <c r="M3628" s="1">
        <v>554</v>
      </c>
      <c r="P3628" t="str">
        <f t="shared" si="227"/>
        <v>60%</v>
      </c>
      <c r="Q3628" s="12">
        <f t="shared" si="224"/>
        <v>0.6</v>
      </c>
      <c r="R3628" s="9">
        <f t="shared" si="225"/>
        <v>919.60000000000014</v>
      </c>
      <c r="S3628" s="9">
        <f>IF(R3628="",AVERAGEIF(Table1[Category],Table1[[#This Row],[Category]],Table2[orignal data]),Table2[[#This Row],[orignal data]])</f>
        <v>919.60000000000014</v>
      </c>
      <c r="T3628" t="str">
        <f t="shared" si="226"/>
        <v>UNIQUE</v>
      </c>
      <c r="U3628" t="str">
        <f>IF(ISBLANK(Table1[[#This Row],[SizeOption]]),"NOT AVAILABLE",Table1[[#This Row],[SizeOption]])</f>
        <v>28/33, 28/31, 28/29, 30/29, 30/33, 30/31, 32/33, 32/31, 32/29, 34/31, 34/29, 34/33, 36/33, 36/31, 36/29</v>
      </c>
      <c r="Y3628" t="str">
        <f>IF(Table2[[#This Row],[Column1]]&gt;50%,"HIGH DISCOUNT","LOW DISCOUNT")</f>
        <v>HIGH DISCOUNT</v>
      </c>
    </row>
    <row r="3629" spans="1:25" x14ac:dyDescent="0.25">
      <c r="A3629" s="2" t="s">
        <v>7493</v>
      </c>
      <c r="B3629" s="2">
        <v>9949745</v>
      </c>
      <c r="C3629" s="2" t="s">
        <v>14</v>
      </c>
      <c r="D3629" s="2" t="s">
        <v>15</v>
      </c>
      <c r="E3629" s="2" t="s">
        <v>16</v>
      </c>
      <c r="F3629" s="2" t="s">
        <v>17</v>
      </c>
      <c r="G3629" s="2" t="s">
        <v>2846</v>
      </c>
      <c r="H3629">
        <v>799</v>
      </c>
      <c r="I3629" s="2">
        <v>1999</v>
      </c>
      <c r="J3629" s="2" t="s">
        <v>55</v>
      </c>
      <c r="K3629" s="2" t="s">
        <v>20</v>
      </c>
      <c r="L3629" s="2">
        <v>3.8</v>
      </c>
      <c r="M3629" s="2">
        <v>554</v>
      </c>
      <c r="P3629" t="str">
        <f t="shared" si="227"/>
        <v>60%</v>
      </c>
      <c r="Q3629" s="12">
        <f t="shared" si="224"/>
        <v>0.6</v>
      </c>
      <c r="R3629" s="9">
        <f t="shared" si="225"/>
        <v>799.60000000000014</v>
      </c>
      <c r="S3629" s="9">
        <f>IF(R3629="",AVERAGEIF(Table1[Category],Table1[[#This Row],[Category]],Table2[orignal data]),Table2[[#This Row],[orignal data]])</f>
        <v>799.60000000000014</v>
      </c>
      <c r="T3629" t="str">
        <f t="shared" si="226"/>
        <v>UNIQUE</v>
      </c>
      <c r="U3629" t="str">
        <f>IF(ISBLANK(Table1[[#This Row],[SizeOption]]),"NOT AVAILABLE",Table1[[#This Row],[SizeOption]])</f>
        <v>28, 30, 32, 34, 36</v>
      </c>
      <c r="Y3629" t="str">
        <f>IF(Table2[[#This Row],[Column1]]&gt;50%,"HIGH DISCOUNT","LOW DISCOUNT")</f>
        <v>HIGH DISCOUNT</v>
      </c>
    </row>
    <row r="3630" spans="1:25" x14ac:dyDescent="0.25">
      <c r="A3630" s="1" t="s">
        <v>7494</v>
      </c>
      <c r="B3630" s="1">
        <v>2486076</v>
      </c>
      <c r="C3630" s="1" t="s">
        <v>67</v>
      </c>
      <c r="D3630" s="1" t="s">
        <v>15</v>
      </c>
      <c r="E3630" s="1" t="s">
        <v>23</v>
      </c>
      <c r="F3630" s="1" t="s">
        <v>17</v>
      </c>
      <c r="G3630" s="1" t="s">
        <v>7495</v>
      </c>
      <c r="H3630">
        <v>679</v>
      </c>
      <c r="I3630" s="1">
        <v>1699</v>
      </c>
      <c r="J3630" s="1" t="s">
        <v>55</v>
      </c>
      <c r="K3630" s="1" t="s">
        <v>39</v>
      </c>
      <c r="L3630" s="1">
        <v>3.6</v>
      </c>
      <c r="M3630" s="1">
        <v>554</v>
      </c>
      <c r="P3630" t="str">
        <f t="shared" si="227"/>
        <v>60%</v>
      </c>
      <c r="Q3630" s="12">
        <f t="shared" si="224"/>
        <v>0.6</v>
      </c>
      <c r="R3630" s="9">
        <f t="shared" si="225"/>
        <v>679.6</v>
      </c>
      <c r="S3630" s="9">
        <f>IF(R3630="",AVERAGEIF(Table1[Category],Table1[[#This Row],[Category]],Table2[orignal data]),Table2[[#This Row],[orignal data]])</f>
        <v>679.6</v>
      </c>
      <c r="T3630" t="str">
        <f t="shared" si="226"/>
        <v>UNIQUE</v>
      </c>
      <c r="U3630" t="str">
        <f>IF(ISBLANK(Table1[[#This Row],[SizeOption]]),"NOT AVAILABLE",Table1[[#This Row],[SizeOption]])</f>
        <v>S, M, L, XL, XXL</v>
      </c>
      <c r="Y3630" t="str">
        <f>IF(Table2[[#This Row],[Column1]]&gt;50%,"HIGH DISCOUNT","LOW DISCOUNT")</f>
        <v>HIGH DISCOUNT</v>
      </c>
    </row>
    <row r="3631" spans="1:25" x14ac:dyDescent="0.25">
      <c r="A3631" s="2" t="s">
        <v>7496</v>
      </c>
      <c r="B3631" s="2">
        <v>8851933</v>
      </c>
      <c r="C3631" s="2" t="s">
        <v>67</v>
      </c>
      <c r="D3631" s="2" t="s">
        <v>68</v>
      </c>
      <c r="E3631" s="2" t="s">
        <v>137</v>
      </c>
      <c r="F3631" s="2" t="s">
        <v>17</v>
      </c>
      <c r="G3631" s="2" t="s">
        <v>7497</v>
      </c>
      <c r="H3631">
        <v>489</v>
      </c>
      <c r="I3631" s="2">
        <v>1399</v>
      </c>
      <c r="J3631" s="2" t="s">
        <v>150</v>
      </c>
      <c r="K3631" s="2" t="s">
        <v>171</v>
      </c>
      <c r="L3631" s="2">
        <v>4.0999999999999996</v>
      </c>
      <c r="M3631" s="2">
        <v>554</v>
      </c>
      <c r="P3631" t="str">
        <f t="shared" si="227"/>
        <v>65%</v>
      </c>
      <c r="Q3631" s="12">
        <f t="shared" si="224"/>
        <v>0.65</v>
      </c>
      <c r="R3631" s="9">
        <f t="shared" si="225"/>
        <v>489.65</v>
      </c>
      <c r="S3631" s="9">
        <f>IF(R3631="",AVERAGEIF(Table1[Category],Table1[[#This Row],[Category]],Table2[orignal data]),Table2[[#This Row],[orignal data]])</f>
        <v>489.65</v>
      </c>
      <c r="T3631" t="str">
        <f t="shared" si="226"/>
        <v>UNIQUE</v>
      </c>
      <c r="U3631" t="str">
        <f>IF(ISBLANK(Table1[[#This Row],[SizeOption]]),"NOT AVAILABLE",Table1[[#This Row],[SizeOption]])</f>
        <v>28, 30, 32, 34, 36, 38</v>
      </c>
      <c r="Y3631" t="str">
        <f>IF(Table2[[#This Row],[Column1]]&gt;50%,"HIGH DISCOUNT","LOW DISCOUNT")</f>
        <v>HIGH DISCOUNT</v>
      </c>
    </row>
    <row r="3632" spans="1:25" x14ac:dyDescent="0.25">
      <c r="A3632" s="1" t="s">
        <v>7498</v>
      </c>
      <c r="B3632" s="1">
        <v>16324246</v>
      </c>
      <c r="C3632" s="1" t="s">
        <v>67</v>
      </c>
      <c r="D3632" s="1" t="s">
        <v>68</v>
      </c>
      <c r="E3632" s="1" t="s">
        <v>23</v>
      </c>
      <c r="F3632" s="1" t="s">
        <v>17</v>
      </c>
      <c r="G3632" s="1" t="s">
        <v>7499</v>
      </c>
      <c r="I3632" s="1">
        <v>3498</v>
      </c>
      <c r="J3632" s="1"/>
      <c r="K3632" s="1" t="s">
        <v>2184</v>
      </c>
      <c r="L3632" s="1">
        <v>4</v>
      </c>
      <c r="M3632" s="1">
        <v>554</v>
      </c>
      <c r="P3632" t="str">
        <f t="shared" si="227"/>
        <v/>
      </c>
      <c r="Q3632" s="12" t="str">
        <f t="shared" si="224"/>
        <v/>
      </c>
      <c r="R3632" s="9" t="str">
        <f t="shared" si="225"/>
        <v/>
      </c>
      <c r="S3632" s="9">
        <f>IF(R3632="",AVERAGEIF(Table1[Category],Table1[[#This Row],[Category]],Table2[orignal data]),Table2[[#This Row],[orignal data]])</f>
        <v>734.32085365853686</v>
      </c>
      <c r="T3632" t="str">
        <f t="shared" si="226"/>
        <v>UNIQUE</v>
      </c>
      <c r="U3632" t="str">
        <f>IF(ISBLANK(Table1[[#This Row],[SizeOption]]),"NOT AVAILABLE",Table1[[#This Row],[SizeOption]])</f>
        <v>XL, XXL, L, S, M</v>
      </c>
      <c r="Y3632" t="str">
        <f>IF(Table2[[#This Row],[Column1]]&gt;50%,"HIGH DISCOUNT","LOW DISCOUNT")</f>
        <v>HIGH DISCOUNT</v>
      </c>
    </row>
    <row r="3633" spans="1:25" x14ac:dyDescent="0.25">
      <c r="A3633" s="2" t="s">
        <v>7500</v>
      </c>
      <c r="B3633" s="2">
        <v>13340222</v>
      </c>
      <c r="C3633" s="2" t="s">
        <v>1299</v>
      </c>
      <c r="D3633" s="2" t="s">
        <v>28</v>
      </c>
      <c r="E3633" s="2" t="s">
        <v>29</v>
      </c>
      <c r="F3633" s="2" t="s">
        <v>17</v>
      </c>
      <c r="G3633" s="2" t="s">
        <v>7501</v>
      </c>
      <c r="H3633">
        <v>399</v>
      </c>
      <c r="I3633" s="2">
        <v>799</v>
      </c>
      <c r="J3633" s="2" t="s">
        <v>84</v>
      </c>
      <c r="K3633" s="2" t="s">
        <v>1674</v>
      </c>
      <c r="L3633" s="2">
        <v>4</v>
      </c>
      <c r="M3633" s="2">
        <v>554</v>
      </c>
      <c r="P3633" t="str">
        <f t="shared" si="227"/>
        <v>50%</v>
      </c>
      <c r="Q3633" s="12">
        <f t="shared" si="224"/>
        <v>0.5</v>
      </c>
      <c r="R3633" s="9">
        <f t="shared" si="225"/>
        <v>399.5</v>
      </c>
      <c r="S3633" s="9">
        <f>IF(R3633="",AVERAGEIF(Table1[Category],Table1[[#This Row],[Category]],Table2[orignal data]),Table2[[#This Row],[orignal data]])</f>
        <v>399.5</v>
      </c>
      <c r="T3633" t="str">
        <f t="shared" si="226"/>
        <v>UNIQUE</v>
      </c>
      <c r="U3633" t="str">
        <f>IF(ISBLANK(Table1[[#This Row],[SizeOption]]),"NOT AVAILABLE",Table1[[#This Row],[SizeOption]])</f>
        <v>38, 39, 40, 42, 44</v>
      </c>
      <c r="Y3633" t="str">
        <f>IF(Table2[[#This Row],[Column1]]&gt;50%,"HIGH DISCOUNT","LOW DISCOUNT")</f>
        <v>LOW DISCOUNT</v>
      </c>
    </row>
    <row r="3634" spans="1:25" x14ac:dyDescent="0.25">
      <c r="A3634" s="1" t="s">
        <v>7502</v>
      </c>
      <c r="B3634" s="1">
        <v>10665240</v>
      </c>
      <c r="C3634" s="1" t="s">
        <v>7503</v>
      </c>
      <c r="D3634" s="1" t="s">
        <v>76</v>
      </c>
      <c r="E3634" s="1" t="s">
        <v>93</v>
      </c>
      <c r="F3634" s="1" t="s">
        <v>36</v>
      </c>
      <c r="G3634" s="1" t="s">
        <v>7504</v>
      </c>
      <c r="H3634">
        <v>591</v>
      </c>
      <c r="I3634" s="1">
        <v>1599</v>
      </c>
      <c r="J3634" s="1" t="s">
        <v>476</v>
      </c>
      <c r="K3634" s="1" t="s">
        <v>26</v>
      </c>
      <c r="L3634" s="1">
        <v>4.2</v>
      </c>
      <c r="M3634" s="1">
        <v>554</v>
      </c>
      <c r="P3634" t="str">
        <f t="shared" si="227"/>
        <v>63%</v>
      </c>
      <c r="Q3634" s="12">
        <f t="shared" si="224"/>
        <v>0.63</v>
      </c>
      <c r="R3634" s="9">
        <f t="shared" si="225"/>
        <v>591.63</v>
      </c>
      <c r="S3634" s="9">
        <f>IF(R3634="",AVERAGEIF(Table1[Category],Table1[[#This Row],[Category]],Table2[orignal data]),Table2[[#This Row],[orignal data]])</f>
        <v>591.63</v>
      </c>
      <c r="T3634" t="str">
        <f t="shared" si="226"/>
        <v>UNIQUE</v>
      </c>
      <c r="U3634" t="str">
        <f>IF(ISBLANK(Table1[[#This Row],[SizeOption]]),"NOT AVAILABLE",Table1[[#This Row],[SizeOption]])</f>
        <v>S, M, L, XL</v>
      </c>
      <c r="Y3634" t="str">
        <f>IF(Table2[[#This Row],[Column1]]&gt;50%,"HIGH DISCOUNT","LOW DISCOUNT")</f>
        <v>HIGH DISCOUNT</v>
      </c>
    </row>
    <row r="3635" spans="1:25" x14ac:dyDescent="0.25">
      <c r="A3635" s="2" t="s">
        <v>7505</v>
      </c>
      <c r="B3635" s="2">
        <v>11199456</v>
      </c>
      <c r="C3635" s="2" t="s">
        <v>113</v>
      </c>
      <c r="D3635" s="2" t="s">
        <v>76</v>
      </c>
      <c r="E3635" s="2" t="s">
        <v>148</v>
      </c>
      <c r="F3635" s="2" t="s">
        <v>36</v>
      </c>
      <c r="G3635" s="2" t="s">
        <v>7506</v>
      </c>
      <c r="H3635">
        <v>809</v>
      </c>
      <c r="I3635" s="2">
        <v>1799</v>
      </c>
      <c r="J3635" s="2" t="s">
        <v>25</v>
      </c>
      <c r="K3635" s="2" t="s">
        <v>115</v>
      </c>
      <c r="L3635" s="2">
        <v>4.2</v>
      </c>
      <c r="M3635" s="2">
        <v>554</v>
      </c>
      <c r="P3635" t="str">
        <f t="shared" si="227"/>
        <v>55%</v>
      </c>
      <c r="Q3635" s="12">
        <f t="shared" si="224"/>
        <v>0.55000000000000004</v>
      </c>
      <c r="R3635" s="9">
        <f t="shared" si="225"/>
        <v>809.55</v>
      </c>
      <c r="S3635" s="9">
        <f>IF(R3635="",AVERAGEIF(Table1[Category],Table1[[#This Row],[Category]],Table2[orignal data]),Table2[[#This Row],[orignal data]])</f>
        <v>809.55</v>
      </c>
      <c r="T3635" t="str">
        <f t="shared" si="226"/>
        <v>UNIQUE</v>
      </c>
      <c r="U3635" t="str">
        <f>IF(ISBLANK(Table1[[#This Row],[SizeOption]]),"NOT AVAILABLE",Table1[[#This Row],[SizeOption]])</f>
        <v>XS, S, M, L, XL, XXL</v>
      </c>
      <c r="Y3635" t="str">
        <f>IF(Table2[[#This Row],[Column1]]&gt;50%,"HIGH DISCOUNT","LOW DISCOUNT")</f>
        <v>HIGH DISCOUNT</v>
      </c>
    </row>
    <row r="3636" spans="1:25" x14ac:dyDescent="0.25">
      <c r="A3636" s="1" t="s">
        <v>7507</v>
      </c>
      <c r="B3636" s="1">
        <v>12509542</v>
      </c>
      <c r="C3636" s="1" t="s">
        <v>865</v>
      </c>
      <c r="D3636" s="1" t="s">
        <v>76</v>
      </c>
      <c r="E3636" s="1" t="s">
        <v>77</v>
      </c>
      <c r="F3636" s="1" t="s">
        <v>36</v>
      </c>
      <c r="G3636" s="1" t="s">
        <v>7508</v>
      </c>
      <c r="H3636">
        <v>1899</v>
      </c>
      <c r="I3636" s="1">
        <v>4999</v>
      </c>
      <c r="J3636" s="1" t="s">
        <v>126</v>
      </c>
      <c r="K3636" s="1" t="s">
        <v>39</v>
      </c>
      <c r="L3636" s="1">
        <v>4.0999999999999996</v>
      </c>
      <c r="M3636" s="1">
        <v>554</v>
      </c>
      <c r="P3636" t="str">
        <f t="shared" si="227"/>
        <v>62%</v>
      </c>
      <c r="Q3636" s="12">
        <f t="shared" si="224"/>
        <v>0.62</v>
      </c>
      <c r="R3636" s="9">
        <f t="shared" si="225"/>
        <v>1899.62</v>
      </c>
      <c r="S3636" s="9">
        <f>IF(R3636="",AVERAGEIF(Table1[Category],Table1[[#This Row],[Category]],Table2[orignal data]),Table2[[#This Row],[orignal data]])</f>
        <v>1899.62</v>
      </c>
      <c r="T3636" t="str">
        <f t="shared" si="226"/>
        <v>UNIQUE</v>
      </c>
      <c r="U3636" t="str">
        <f>IF(ISBLANK(Table1[[#This Row],[SizeOption]]),"NOT AVAILABLE",Table1[[#This Row],[SizeOption]])</f>
        <v>S, M, L, XL, XXL</v>
      </c>
      <c r="Y3636" t="str">
        <f>IF(Table2[[#This Row],[Column1]]&gt;50%,"HIGH DISCOUNT","LOW DISCOUNT")</f>
        <v>HIGH DISCOUNT</v>
      </c>
    </row>
    <row r="3637" spans="1:25" x14ac:dyDescent="0.25">
      <c r="A3637" s="2" t="s">
        <v>7509</v>
      </c>
      <c r="B3637" s="2">
        <v>12167198</v>
      </c>
      <c r="C3637" s="2" t="s">
        <v>67</v>
      </c>
      <c r="D3637" s="2" t="s">
        <v>68</v>
      </c>
      <c r="E3637" s="2" t="s">
        <v>23</v>
      </c>
      <c r="F3637" s="2" t="s">
        <v>36</v>
      </c>
      <c r="G3637" s="2" t="s">
        <v>7510</v>
      </c>
      <c r="H3637">
        <v>849</v>
      </c>
      <c r="I3637" s="2">
        <v>1699</v>
      </c>
      <c r="J3637" s="2" t="s">
        <v>84</v>
      </c>
      <c r="K3637" s="2" t="s">
        <v>45</v>
      </c>
      <c r="L3637" s="2">
        <v>4.3</v>
      </c>
      <c r="M3637" s="2">
        <v>554</v>
      </c>
      <c r="P3637" t="str">
        <f t="shared" si="227"/>
        <v>50%</v>
      </c>
      <c r="Q3637" s="12">
        <f t="shared" si="224"/>
        <v>0.5</v>
      </c>
      <c r="R3637" s="9">
        <f t="shared" si="225"/>
        <v>849.5</v>
      </c>
      <c r="S3637" s="9">
        <f>IF(R3637="",AVERAGEIF(Table1[Category],Table1[[#This Row],[Category]],Table2[orignal data]),Table2[[#This Row],[orignal data]])</f>
        <v>849.5</v>
      </c>
      <c r="T3637" t="str">
        <f t="shared" si="226"/>
        <v>UNIQUE</v>
      </c>
      <c r="U3637" t="str">
        <f>IF(ISBLANK(Table1[[#This Row],[SizeOption]]),"NOT AVAILABLE",Table1[[#This Row],[SizeOption]])</f>
        <v>XS, S, M, L, XL</v>
      </c>
      <c r="Y3637" t="str">
        <f>IF(Table2[[#This Row],[Column1]]&gt;50%,"HIGH DISCOUNT","LOW DISCOUNT")</f>
        <v>LOW DISCOUNT</v>
      </c>
    </row>
    <row r="3638" spans="1:25" x14ac:dyDescent="0.25">
      <c r="A3638" s="1" t="s">
        <v>7511</v>
      </c>
      <c r="B3638" s="1">
        <v>2353140</v>
      </c>
      <c r="C3638" s="1" t="s">
        <v>14</v>
      </c>
      <c r="D3638" s="1" t="s">
        <v>41</v>
      </c>
      <c r="E3638" s="1" t="s">
        <v>42</v>
      </c>
      <c r="F3638" s="1" t="s">
        <v>36</v>
      </c>
      <c r="G3638" s="1" t="s">
        <v>7512</v>
      </c>
      <c r="I3638" s="1">
        <v>1499</v>
      </c>
      <c r="J3638" s="1" t="s">
        <v>150</v>
      </c>
      <c r="K3638" s="1" t="s">
        <v>45</v>
      </c>
      <c r="L3638" s="1">
        <v>4.2</v>
      </c>
      <c r="M3638" s="1">
        <v>554</v>
      </c>
      <c r="P3638" t="str">
        <f t="shared" si="227"/>
        <v>65%</v>
      </c>
      <c r="Q3638" s="12">
        <f t="shared" si="224"/>
        <v>0.65</v>
      </c>
      <c r="R3638" s="9">
        <f t="shared" si="225"/>
        <v>524.65</v>
      </c>
      <c r="S3638" s="9">
        <f>IF(R3638="",AVERAGEIF(Table1[Category],Table1[[#This Row],[Category]],Table2[orignal data]),Table2[[#This Row],[orignal data]])</f>
        <v>524.65</v>
      </c>
      <c r="T3638" t="str">
        <f t="shared" si="226"/>
        <v>UNIQUE</v>
      </c>
      <c r="U3638" t="str">
        <f>IF(ISBLANK(Table1[[#This Row],[SizeOption]]),"NOT AVAILABLE",Table1[[#This Row],[SizeOption]])</f>
        <v>XS, S, M, L, XL</v>
      </c>
      <c r="Y3638" t="str">
        <f>IF(Table2[[#This Row],[Column1]]&gt;50%,"HIGH DISCOUNT","LOW DISCOUNT")</f>
        <v>HIGH DISCOUNT</v>
      </c>
    </row>
    <row r="3639" spans="1:25" x14ac:dyDescent="0.25">
      <c r="A3639" s="2" t="s">
        <v>7513</v>
      </c>
      <c r="B3639" s="2">
        <v>11752168</v>
      </c>
      <c r="C3639" s="2" t="s">
        <v>346</v>
      </c>
      <c r="D3639" s="2" t="s">
        <v>41</v>
      </c>
      <c r="E3639" s="2" t="s">
        <v>42</v>
      </c>
      <c r="F3639" s="2" t="s">
        <v>36</v>
      </c>
      <c r="G3639" s="2" t="s">
        <v>7514</v>
      </c>
      <c r="I3639" s="2">
        <v>899</v>
      </c>
      <c r="J3639" s="2" t="s">
        <v>25</v>
      </c>
      <c r="K3639" s="2" t="s">
        <v>45</v>
      </c>
      <c r="L3639" s="2">
        <v>4.3</v>
      </c>
      <c r="M3639" s="2">
        <v>554</v>
      </c>
      <c r="P3639" t="str">
        <f t="shared" si="227"/>
        <v>55%</v>
      </c>
      <c r="Q3639" s="12">
        <f t="shared" si="224"/>
        <v>0.55000000000000004</v>
      </c>
      <c r="R3639" s="9">
        <f t="shared" si="225"/>
        <v>404.54999999999995</v>
      </c>
      <c r="S3639" s="9">
        <f>IF(R3639="",AVERAGEIF(Table1[Category],Table1[[#This Row],[Category]],Table2[orignal data]),Table2[[#This Row],[orignal data]])</f>
        <v>404.54999999999995</v>
      </c>
      <c r="T3639" t="str">
        <f t="shared" si="226"/>
        <v>UNIQUE</v>
      </c>
      <c r="U3639" t="str">
        <f>IF(ISBLANK(Table1[[#This Row],[SizeOption]]),"NOT AVAILABLE",Table1[[#This Row],[SizeOption]])</f>
        <v>XS, S, M, L, XL</v>
      </c>
      <c r="Y3639" t="str">
        <f>IF(Table2[[#This Row],[Column1]]&gt;50%,"HIGH DISCOUNT","LOW DISCOUNT")</f>
        <v>HIGH DISCOUNT</v>
      </c>
    </row>
    <row r="3640" spans="1:25" x14ac:dyDescent="0.25">
      <c r="A3640" s="1" t="s">
        <v>7515</v>
      </c>
      <c r="B3640" s="1">
        <v>13920490</v>
      </c>
      <c r="C3640" s="1" t="s">
        <v>64</v>
      </c>
      <c r="D3640" s="1" t="s">
        <v>28</v>
      </c>
      <c r="E3640" s="1" t="s">
        <v>42</v>
      </c>
      <c r="F3640" s="1" t="s">
        <v>17</v>
      </c>
      <c r="G3640" s="1" t="s">
        <v>7516</v>
      </c>
      <c r="H3640">
        <v>399</v>
      </c>
      <c r="I3640" s="1">
        <v>999</v>
      </c>
      <c r="J3640" s="1" t="s">
        <v>55</v>
      </c>
      <c r="K3640" s="1" t="s">
        <v>26</v>
      </c>
      <c r="L3640" s="1">
        <v>4</v>
      </c>
      <c r="M3640" s="1">
        <v>553</v>
      </c>
      <c r="P3640" t="str">
        <f t="shared" si="227"/>
        <v>60%</v>
      </c>
      <c r="Q3640" s="12">
        <f t="shared" si="224"/>
        <v>0.6</v>
      </c>
      <c r="R3640" s="9">
        <f t="shared" si="225"/>
        <v>399.6</v>
      </c>
      <c r="S3640" s="9">
        <f>IF(R3640="",AVERAGEIF(Table1[Category],Table1[[#This Row],[Category]],Table2[orignal data]),Table2[[#This Row],[orignal data]])</f>
        <v>399.6</v>
      </c>
      <c r="T3640" t="str">
        <f t="shared" si="226"/>
        <v>UNIQUE</v>
      </c>
      <c r="U3640" t="str">
        <f>IF(ISBLANK(Table1[[#This Row],[SizeOption]]),"NOT AVAILABLE",Table1[[#This Row],[SizeOption]])</f>
        <v>S, M, L, XL</v>
      </c>
      <c r="Y3640" t="str">
        <f>IF(Table2[[#This Row],[Column1]]&gt;50%,"HIGH DISCOUNT","LOW DISCOUNT")</f>
        <v>HIGH DISCOUNT</v>
      </c>
    </row>
    <row r="3641" spans="1:25" x14ac:dyDescent="0.25">
      <c r="A3641" s="2" t="s">
        <v>7517</v>
      </c>
      <c r="B3641" s="2">
        <v>2708032</v>
      </c>
      <c r="C3641" s="2" t="s">
        <v>865</v>
      </c>
      <c r="D3641" s="2" t="s">
        <v>76</v>
      </c>
      <c r="E3641" s="2" t="s">
        <v>320</v>
      </c>
      <c r="F3641" s="2" t="s">
        <v>36</v>
      </c>
      <c r="G3641" s="2" t="s">
        <v>7518</v>
      </c>
      <c r="H3641">
        <v>1016</v>
      </c>
      <c r="I3641" s="2">
        <v>1849</v>
      </c>
      <c r="J3641" s="2" t="s">
        <v>19</v>
      </c>
      <c r="K3641" s="2" t="s">
        <v>164</v>
      </c>
      <c r="L3641" s="2">
        <v>3.5</v>
      </c>
      <c r="M3641" s="2">
        <v>553</v>
      </c>
      <c r="P3641" t="str">
        <f t="shared" si="227"/>
        <v>45%</v>
      </c>
      <c r="Q3641" s="12">
        <f t="shared" si="224"/>
        <v>0.45</v>
      </c>
      <c r="R3641" s="9">
        <f t="shared" si="225"/>
        <v>1016.9499999999999</v>
      </c>
      <c r="S3641" s="9">
        <f>IF(R3641="",AVERAGEIF(Table1[Category],Table1[[#This Row],[Category]],Table2[orignal data]),Table2[[#This Row],[orignal data]])</f>
        <v>1016.9499999999999</v>
      </c>
      <c r="T3641" t="str">
        <f t="shared" si="226"/>
        <v>UNIQUE</v>
      </c>
      <c r="U3641" t="str">
        <f>IF(ISBLANK(Table1[[#This Row],[SizeOption]]),"NOT AVAILABLE",Table1[[#This Row],[SizeOption]])</f>
        <v>Onesize</v>
      </c>
      <c r="Y3641" t="str">
        <f>IF(Table2[[#This Row],[Column1]]&gt;50%,"HIGH DISCOUNT","LOW DISCOUNT")</f>
        <v>LOW DISCOUNT</v>
      </c>
    </row>
    <row r="3642" spans="1:25" x14ac:dyDescent="0.25">
      <c r="A3642" s="1" t="s">
        <v>7519</v>
      </c>
      <c r="B3642" s="1">
        <v>10942368</v>
      </c>
      <c r="C3642" s="1" t="s">
        <v>75</v>
      </c>
      <c r="D3642" s="1" t="s">
        <v>76</v>
      </c>
      <c r="E3642" s="1" t="s">
        <v>77</v>
      </c>
      <c r="F3642" s="1" t="s">
        <v>36</v>
      </c>
      <c r="G3642" s="1" t="s">
        <v>7520</v>
      </c>
      <c r="H3642">
        <v>887</v>
      </c>
      <c r="I3642" s="1">
        <v>2399</v>
      </c>
      <c r="J3642" s="1" t="s">
        <v>476</v>
      </c>
      <c r="K3642" s="1" t="s">
        <v>39</v>
      </c>
      <c r="L3642" s="1">
        <v>4.3</v>
      </c>
      <c r="M3642" s="1">
        <v>553</v>
      </c>
      <c r="P3642" t="str">
        <f t="shared" si="227"/>
        <v>63%</v>
      </c>
      <c r="Q3642" s="12">
        <f t="shared" si="224"/>
        <v>0.63</v>
      </c>
      <c r="R3642" s="9">
        <f t="shared" si="225"/>
        <v>887.62999999999988</v>
      </c>
      <c r="S3642" s="9">
        <f>IF(R3642="",AVERAGEIF(Table1[Category],Table1[[#This Row],[Category]],Table2[orignal data]),Table2[[#This Row],[orignal data]])</f>
        <v>887.62999999999988</v>
      </c>
      <c r="T3642" t="str">
        <f t="shared" si="226"/>
        <v>UNIQUE</v>
      </c>
      <c r="U3642" t="str">
        <f>IF(ISBLANK(Table1[[#This Row],[SizeOption]]),"NOT AVAILABLE",Table1[[#This Row],[SizeOption]])</f>
        <v>S, M, L, XL, XXL</v>
      </c>
      <c r="Y3642" t="str">
        <f>IF(Table2[[#This Row],[Column1]]&gt;50%,"HIGH DISCOUNT","LOW DISCOUNT")</f>
        <v>HIGH DISCOUNT</v>
      </c>
    </row>
    <row r="3643" spans="1:25" x14ac:dyDescent="0.25">
      <c r="A3643" s="2" t="s">
        <v>7521</v>
      </c>
      <c r="B3643" s="2">
        <v>10525896</v>
      </c>
      <c r="C3643" s="2" t="s">
        <v>7522</v>
      </c>
      <c r="D3643" s="2" t="s">
        <v>34</v>
      </c>
      <c r="E3643" s="2" t="s">
        <v>2910</v>
      </c>
      <c r="F3643" s="2" t="s">
        <v>36</v>
      </c>
      <c r="G3643" s="2" t="s">
        <v>7523</v>
      </c>
      <c r="H3643">
        <v>434</v>
      </c>
      <c r="I3643" s="2">
        <v>1499</v>
      </c>
      <c r="J3643" s="2" t="s">
        <v>279</v>
      </c>
      <c r="K3643" s="2" t="s">
        <v>1341</v>
      </c>
      <c r="L3643" s="2">
        <v>4.3</v>
      </c>
      <c r="M3643" s="2">
        <v>553</v>
      </c>
      <c r="P3643" t="str">
        <f t="shared" si="227"/>
        <v>71%</v>
      </c>
      <c r="Q3643" s="12">
        <f t="shared" si="224"/>
        <v>0.71</v>
      </c>
      <c r="R3643" s="9">
        <f t="shared" si="225"/>
        <v>434.71000000000004</v>
      </c>
      <c r="S3643" s="9">
        <f>IF(R3643="",AVERAGEIF(Table1[Category],Table1[[#This Row],[Category]],Table2[orignal data]),Table2[[#This Row],[orignal data]])</f>
        <v>434.71000000000004</v>
      </c>
      <c r="T3643" t="str">
        <f t="shared" si="226"/>
        <v>UNIQUE</v>
      </c>
      <c r="U3643" t="str">
        <f>IF(ISBLANK(Table1[[#This Row],[SizeOption]]),"NOT AVAILABLE",Table1[[#This Row],[SizeOption]])</f>
        <v>M, L, XL</v>
      </c>
      <c r="Y3643" t="str">
        <f>IF(Table2[[#This Row],[Column1]]&gt;50%,"HIGH DISCOUNT","LOW DISCOUNT")</f>
        <v>HIGH DISCOUNT</v>
      </c>
    </row>
    <row r="3644" spans="1:25" x14ac:dyDescent="0.25">
      <c r="A3644" s="1" t="s">
        <v>7524</v>
      </c>
      <c r="B3644" s="1">
        <v>8915445</v>
      </c>
      <c r="C3644" s="1" t="s">
        <v>221</v>
      </c>
      <c r="D3644" s="1" t="s">
        <v>98</v>
      </c>
      <c r="E3644" s="1" t="s">
        <v>148</v>
      </c>
      <c r="F3644" s="1" t="s">
        <v>36</v>
      </c>
      <c r="G3644" s="1" t="s">
        <v>7525</v>
      </c>
      <c r="H3644">
        <v>749</v>
      </c>
      <c r="I3644" s="1">
        <v>2499</v>
      </c>
      <c r="J3644" s="1" t="s">
        <v>79</v>
      </c>
      <c r="K3644" s="1" t="s">
        <v>223</v>
      </c>
      <c r="L3644" s="1">
        <v>4.2</v>
      </c>
      <c r="M3644" s="1">
        <v>553</v>
      </c>
      <c r="P3644" t="str">
        <f t="shared" si="227"/>
        <v>70%</v>
      </c>
      <c r="Q3644" s="12">
        <f t="shared" si="224"/>
        <v>0.7</v>
      </c>
      <c r="R3644" s="9">
        <f t="shared" si="225"/>
        <v>749.7</v>
      </c>
      <c r="S3644" s="9">
        <f>IF(R3644="",AVERAGEIF(Table1[Category],Table1[[#This Row],[Category]],Table2[orignal data]),Table2[[#This Row],[orignal data]])</f>
        <v>749.7</v>
      </c>
      <c r="T3644" t="str">
        <f t="shared" si="226"/>
        <v>UNIQUE</v>
      </c>
      <c r="U3644" t="str">
        <f>IF(ISBLANK(Table1[[#This Row],[SizeOption]]),"NOT AVAILABLE",Table1[[#This Row],[SizeOption]])</f>
        <v>S, M, L, XL, XXL, 3XL, 4XL</v>
      </c>
      <c r="Y3644" t="str">
        <f>IF(Table2[[#This Row],[Column1]]&gt;50%,"HIGH DISCOUNT","LOW DISCOUNT")</f>
        <v>HIGH DISCOUNT</v>
      </c>
    </row>
    <row r="3645" spans="1:25" x14ac:dyDescent="0.25">
      <c r="A3645" s="2" t="s">
        <v>7526</v>
      </c>
      <c r="B3645" s="2">
        <v>12259162</v>
      </c>
      <c r="C3645" s="2" t="s">
        <v>121</v>
      </c>
      <c r="D3645" s="2" t="s">
        <v>41</v>
      </c>
      <c r="E3645" s="2" t="s">
        <v>48</v>
      </c>
      <c r="F3645" s="2" t="s">
        <v>36</v>
      </c>
      <c r="G3645" s="2" t="s">
        <v>7527</v>
      </c>
      <c r="I3645" s="2">
        <v>1699</v>
      </c>
      <c r="J3645" s="2" t="s">
        <v>19</v>
      </c>
      <c r="K3645" s="2" t="s">
        <v>115</v>
      </c>
      <c r="L3645" s="2">
        <v>4.5</v>
      </c>
      <c r="M3645" s="2">
        <v>553</v>
      </c>
      <c r="P3645" t="str">
        <f t="shared" si="227"/>
        <v>45%</v>
      </c>
      <c r="Q3645" s="12">
        <f t="shared" si="224"/>
        <v>0.45</v>
      </c>
      <c r="R3645" s="9">
        <f t="shared" si="225"/>
        <v>934.44999999999993</v>
      </c>
      <c r="S3645" s="9">
        <f>IF(R3645="",AVERAGEIF(Table1[Category],Table1[[#This Row],[Category]],Table2[orignal data]),Table2[[#This Row],[orignal data]])</f>
        <v>934.44999999999993</v>
      </c>
      <c r="T3645" t="str">
        <f t="shared" si="226"/>
        <v>UNIQUE</v>
      </c>
      <c r="U3645" t="str">
        <f>IF(ISBLANK(Table1[[#This Row],[SizeOption]]),"NOT AVAILABLE",Table1[[#This Row],[SizeOption]])</f>
        <v>XS, S, M, L, XL, XXL</v>
      </c>
      <c r="Y3645" t="str">
        <f>IF(Table2[[#This Row],[Column1]]&gt;50%,"HIGH DISCOUNT","LOW DISCOUNT")</f>
        <v>LOW DISCOUNT</v>
      </c>
    </row>
    <row r="3646" spans="1:25" x14ac:dyDescent="0.25">
      <c r="A3646" s="1" t="s">
        <v>7528</v>
      </c>
      <c r="B3646" s="1">
        <v>10932038</v>
      </c>
      <c r="C3646" s="1" t="s">
        <v>102</v>
      </c>
      <c r="D3646" s="1" t="s">
        <v>41</v>
      </c>
      <c r="E3646" s="1" t="s">
        <v>148</v>
      </c>
      <c r="F3646" s="1" t="s">
        <v>36</v>
      </c>
      <c r="G3646" s="1" t="s">
        <v>7529</v>
      </c>
      <c r="I3646" s="1">
        <v>1899</v>
      </c>
      <c r="J3646" s="1" t="s">
        <v>758</v>
      </c>
      <c r="K3646" s="1" t="s">
        <v>26</v>
      </c>
      <c r="L3646" s="1">
        <v>4.4000000000000004</v>
      </c>
      <c r="M3646" s="1">
        <v>553</v>
      </c>
      <c r="P3646" t="str">
        <f t="shared" si="227"/>
        <v>47%</v>
      </c>
      <c r="Q3646" s="12">
        <f t="shared" si="224"/>
        <v>0.47</v>
      </c>
      <c r="R3646" s="9">
        <f t="shared" si="225"/>
        <v>1006.47</v>
      </c>
      <c r="S3646" s="9">
        <f>IF(R3646="",AVERAGEIF(Table1[Category],Table1[[#This Row],[Category]],Table2[orignal data]),Table2[[#This Row],[orignal data]])</f>
        <v>1006.47</v>
      </c>
      <c r="T3646" t="str">
        <f t="shared" si="226"/>
        <v>UNIQUE</v>
      </c>
      <c r="U3646" t="str">
        <f>IF(ISBLANK(Table1[[#This Row],[SizeOption]]),"NOT AVAILABLE",Table1[[#This Row],[SizeOption]])</f>
        <v>S, M, L, XL</v>
      </c>
      <c r="Y3646" t="str">
        <f>IF(Table2[[#This Row],[Column1]]&gt;50%,"HIGH DISCOUNT","LOW DISCOUNT")</f>
        <v>LOW DISCOUNT</v>
      </c>
    </row>
    <row r="3647" spans="1:25" x14ac:dyDescent="0.25">
      <c r="A3647" s="2" t="s">
        <v>7530</v>
      </c>
      <c r="B3647" s="2">
        <v>10778634</v>
      </c>
      <c r="C3647" s="2" t="s">
        <v>14</v>
      </c>
      <c r="D3647" s="2" t="s">
        <v>41</v>
      </c>
      <c r="E3647" s="2" t="s">
        <v>42</v>
      </c>
      <c r="F3647" s="2" t="s">
        <v>36</v>
      </c>
      <c r="G3647" s="2" t="s">
        <v>7531</v>
      </c>
      <c r="I3647" s="2">
        <v>599</v>
      </c>
      <c r="J3647" s="2" t="s">
        <v>84</v>
      </c>
      <c r="K3647" s="2" t="s">
        <v>45</v>
      </c>
      <c r="L3647" s="2">
        <v>4.3</v>
      </c>
      <c r="M3647" s="2">
        <v>553</v>
      </c>
      <c r="P3647" t="str">
        <f t="shared" si="227"/>
        <v>50%</v>
      </c>
      <c r="Q3647" s="12">
        <f t="shared" si="224"/>
        <v>0.5</v>
      </c>
      <c r="R3647" s="9">
        <f t="shared" si="225"/>
        <v>299.5</v>
      </c>
      <c r="S3647" s="9">
        <f>IF(R3647="",AVERAGEIF(Table1[Category],Table1[[#This Row],[Category]],Table2[orignal data]),Table2[[#This Row],[orignal data]])</f>
        <v>299.5</v>
      </c>
      <c r="T3647" t="str">
        <f t="shared" si="226"/>
        <v>UNIQUE</v>
      </c>
      <c r="U3647" t="str">
        <f>IF(ISBLANK(Table1[[#This Row],[SizeOption]]),"NOT AVAILABLE",Table1[[#This Row],[SizeOption]])</f>
        <v>XS, S, M, L, XL</v>
      </c>
      <c r="Y3647" t="str">
        <f>IF(Table2[[#This Row],[Column1]]&gt;50%,"HIGH DISCOUNT","LOW DISCOUNT")</f>
        <v>LOW DISCOUNT</v>
      </c>
    </row>
    <row r="3648" spans="1:25" x14ac:dyDescent="0.25">
      <c r="A3648" s="1" t="s">
        <v>7532</v>
      </c>
      <c r="B3648" s="1">
        <v>13186780</v>
      </c>
      <c r="C3648" s="1" t="s">
        <v>676</v>
      </c>
      <c r="D3648" s="1" t="s">
        <v>41</v>
      </c>
      <c r="E3648" s="1" t="s">
        <v>48</v>
      </c>
      <c r="F3648" s="1" t="s">
        <v>36</v>
      </c>
      <c r="G3648" s="1" t="s">
        <v>7533</v>
      </c>
      <c r="I3648" s="1">
        <v>999</v>
      </c>
      <c r="J3648" s="1" t="s">
        <v>84</v>
      </c>
      <c r="K3648" s="1" t="s">
        <v>26</v>
      </c>
      <c r="L3648" s="1">
        <v>4.3</v>
      </c>
      <c r="M3648" s="1">
        <v>553</v>
      </c>
      <c r="P3648" t="str">
        <f t="shared" si="227"/>
        <v>50%</v>
      </c>
      <c r="Q3648" s="12">
        <f t="shared" si="224"/>
        <v>0.5</v>
      </c>
      <c r="R3648" s="9">
        <f t="shared" si="225"/>
        <v>499.5</v>
      </c>
      <c r="S3648" s="9">
        <f>IF(R3648="",AVERAGEIF(Table1[Category],Table1[[#This Row],[Category]],Table2[orignal data]),Table2[[#This Row],[orignal data]])</f>
        <v>499.5</v>
      </c>
      <c r="T3648" t="str">
        <f t="shared" si="226"/>
        <v>UNIQUE</v>
      </c>
      <c r="U3648" t="str">
        <f>IF(ISBLANK(Table1[[#This Row],[SizeOption]]),"NOT AVAILABLE",Table1[[#This Row],[SizeOption]])</f>
        <v>S, M, L, XL</v>
      </c>
      <c r="Y3648" t="str">
        <f>IF(Table2[[#This Row],[Column1]]&gt;50%,"HIGH DISCOUNT","LOW DISCOUNT")</f>
        <v>LOW DISCOUNT</v>
      </c>
    </row>
    <row r="3649" spans="1:25" x14ac:dyDescent="0.25">
      <c r="A3649" s="2" t="s">
        <v>7534</v>
      </c>
      <c r="B3649" s="2">
        <v>744398</v>
      </c>
      <c r="C3649" s="2" t="s">
        <v>325</v>
      </c>
      <c r="D3649" s="2" t="s">
        <v>41</v>
      </c>
      <c r="E3649" s="2" t="s">
        <v>137</v>
      </c>
      <c r="F3649" s="2" t="s">
        <v>36</v>
      </c>
      <c r="G3649" s="2" t="s">
        <v>7535</v>
      </c>
      <c r="I3649" s="2">
        <v>999</v>
      </c>
      <c r="J3649" s="2" t="s">
        <v>84</v>
      </c>
      <c r="K3649" s="2" t="s">
        <v>7536</v>
      </c>
      <c r="L3649" s="2">
        <v>3.2</v>
      </c>
      <c r="M3649" s="2">
        <v>553</v>
      </c>
      <c r="P3649" t="str">
        <f t="shared" si="227"/>
        <v>50%</v>
      </c>
      <c r="Q3649" s="12">
        <f t="shared" si="224"/>
        <v>0.5</v>
      </c>
      <c r="R3649" s="9">
        <f t="shared" si="225"/>
        <v>499.5</v>
      </c>
      <c r="S3649" s="9">
        <f>IF(R3649="",AVERAGEIF(Table1[Category],Table1[[#This Row],[Category]],Table2[orignal data]),Table2[[#This Row],[orignal data]])</f>
        <v>499.5</v>
      </c>
      <c r="T3649" t="str">
        <f t="shared" si="226"/>
        <v>UNIQUE</v>
      </c>
      <c r="U3649" t="str">
        <f>IF(ISBLANK(Table1[[#This Row],[SizeOption]]),"NOT AVAILABLE",Table1[[#This Row],[SizeOption]])</f>
        <v>26, 28, 30, 32, 36</v>
      </c>
      <c r="Y3649" t="str">
        <f>IF(Table2[[#This Row],[Column1]]&gt;50%,"HIGH DISCOUNT","LOW DISCOUNT")</f>
        <v>LOW DISCOUNT</v>
      </c>
    </row>
    <row r="3650" spans="1:25" x14ac:dyDescent="0.25">
      <c r="A3650" s="1" t="s">
        <v>7537</v>
      </c>
      <c r="B3650" s="1">
        <v>11691166</v>
      </c>
      <c r="C3650" s="1" t="s">
        <v>14</v>
      </c>
      <c r="D3650" s="1" t="s">
        <v>15</v>
      </c>
      <c r="E3650" s="1" t="s">
        <v>16</v>
      </c>
      <c r="F3650" s="1" t="s">
        <v>17</v>
      </c>
      <c r="G3650" s="1" t="s">
        <v>918</v>
      </c>
      <c r="H3650">
        <v>999</v>
      </c>
      <c r="I3650" s="1">
        <v>1999</v>
      </c>
      <c r="J3650" s="1" t="s">
        <v>84</v>
      </c>
      <c r="K3650" s="1" t="s">
        <v>20</v>
      </c>
      <c r="L3650" s="1">
        <v>3.7</v>
      </c>
      <c r="M3650" s="1">
        <v>552</v>
      </c>
      <c r="P3650" t="str">
        <f t="shared" si="227"/>
        <v>50%</v>
      </c>
      <c r="Q3650" s="12">
        <f t="shared" ref="Q3650:Q3713" si="228">IF(P3650="","",IF(ISNUMBER(SEARCH("%",P3650)),P3650,P3650/I3650)*100%)</f>
        <v>0.5</v>
      </c>
      <c r="R3650" s="9">
        <f t="shared" ref="R3650:R3713" si="229">IF(P3650="","",I3650-(I3650*Q3650))</f>
        <v>999.5</v>
      </c>
      <c r="S3650" s="9">
        <f>IF(R3650="",AVERAGEIF(Table1[Category],Table1[[#This Row],[Category]],Table2[orignal data]),Table2[[#This Row],[orignal data]])</f>
        <v>999.5</v>
      </c>
      <c r="T3650" t="str">
        <f t="shared" ref="T3650:T3713" si="230">IF(COUNTIF($B$2:$B$5000,B3650)&gt;1,"DUPLICATE","UNIQUE")</f>
        <v>UNIQUE</v>
      </c>
      <c r="U3650" t="str">
        <f>IF(ISBLANK(Table1[[#This Row],[SizeOption]]),"NOT AVAILABLE",Table1[[#This Row],[SizeOption]])</f>
        <v>28, 30, 32, 34, 36</v>
      </c>
      <c r="Y3650" t="str">
        <f>IF(Table2[[#This Row],[Column1]]&gt;50%,"HIGH DISCOUNT","LOW DISCOUNT")</f>
        <v>LOW DISCOUNT</v>
      </c>
    </row>
    <row r="3651" spans="1:25" x14ac:dyDescent="0.25">
      <c r="A3651" s="2" t="s">
        <v>7538</v>
      </c>
      <c r="B3651" s="2">
        <v>12708350</v>
      </c>
      <c r="C3651" s="2" t="s">
        <v>563</v>
      </c>
      <c r="D3651" s="2" t="s">
        <v>197</v>
      </c>
      <c r="E3651" s="2" t="s">
        <v>518</v>
      </c>
      <c r="F3651" s="2" t="s">
        <v>17</v>
      </c>
      <c r="G3651" s="2" t="s">
        <v>7539</v>
      </c>
      <c r="H3651">
        <v>881</v>
      </c>
      <c r="I3651" s="2">
        <v>1798</v>
      </c>
      <c r="J3651" s="2" t="s">
        <v>163</v>
      </c>
      <c r="K3651" s="2" t="s">
        <v>39</v>
      </c>
      <c r="L3651" s="2">
        <v>4.0999999999999996</v>
      </c>
      <c r="M3651" s="2">
        <v>552</v>
      </c>
      <c r="P3651" t="str">
        <f t="shared" ref="P3651:P3714" si="231">TRIM(SUBSTITUTE(SUBSTITUTE(SUBSTITUTE(SUBSTITUTE(J3651,"OFF",""),"Rs.",""),"Hurry*",""),",",""))</f>
        <v>51%</v>
      </c>
      <c r="Q3651" s="12">
        <f t="shared" si="228"/>
        <v>0.51</v>
      </c>
      <c r="R3651" s="9">
        <f t="shared" si="229"/>
        <v>881.02</v>
      </c>
      <c r="S3651" s="9">
        <f>IF(R3651="",AVERAGEIF(Table1[Category],Table1[[#This Row],[Category]],Table2[orignal data]),Table2[[#This Row],[orignal data]])</f>
        <v>881.02</v>
      </c>
      <c r="T3651" t="str">
        <f t="shared" si="230"/>
        <v>UNIQUE</v>
      </c>
      <c r="U3651" t="str">
        <f>IF(ISBLANK(Table1[[#This Row],[SizeOption]]),"NOT AVAILABLE",Table1[[#This Row],[SizeOption]])</f>
        <v>S, M, L, XL, XXL</v>
      </c>
      <c r="Y3651" t="str">
        <f>IF(Table2[[#This Row],[Column1]]&gt;50%,"HIGH DISCOUNT","LOW DISCOUNT")</f>
        <v>HIGH DISCOUNT</v>
      </c>
    </row>
    <row r="3652" spans="1:25" x14ac:dyDescent="0.25">
      <c r="A3652" s="1" t="s">
        <v>7540</v>
      </c>
      <c r="B3652" s="1">
        <v>11805450</v>
      </c>
      <c r="C3652" s="1" t="s">
        <v>563</v>
      </c>
      <c r="D3652" s="1" t="s">
        <v>197</v>
      </c>
      <c r="E3652" s="1" t="s">
        <v>518</v>
      </c>
      <c r="F3652" s="1" t="s">
        <v>17</v>
      </c>
      <c r="G3652" s="1" t="s">
        <v>7541</v>
      </c>
      <c r="H3652">
        <v>881</v>
      </c>
      <c r="I3652" s="1">
        <v>1798</v>
      </c>
      <c r="J3652" s="1" t="s">
        <v>163</v>
      </c>
      <c r="K3652" s="1" t="s">
        <v>39</v>
      </c>
      <c r="L3652" s="1">
        <v>4.0999999999999996</v>
      </c>
      <c r="M3652" s="1">
        <v>552</v>
      </c>
      <c r="P3652" t="str">
        <f t="shared" si="231"/>
        <v>51%</v>
      </c>
      <c r="Q3652" s="12">
        <f t="shared" si="228"/>
        <v>0.51</v>
      </c>
      <c r="R3652" s="9">
        <f t="shared" si="229"/>
        <v>881.02</v>
      </c>
      <c r="S3652" s="9">
        <f>IF(R3652="",AVERAGEIF(Table1[Category],Table1[[#This Row],[Category]],Table2[orignal data]),Table2[[#This Row],[orignal data]])</f>
        <v>881.02</v>
      </c>
      <c r="T3652" t="str">
        <f t="shared" si="230"/>
        <v>UNIQUE</v>
      </c>
      <c r="U3652" t="str">
        <f>IF(ISBLANK(Table1[[#This Row],[SizeOption]]),"NOT AVAILABLE",Table1[[#This Row],[SizeOption]])</f>
        <v>S, M, L, XL, XXL</v>
      </c>
      <c r="Y3652" t="str">
        <f>IF(Table2[[#This Row],[Column1]]&gt;50%,"HIGH DISCOUNT","LOW DISCOUNT")</f>
        <v>HIGH DISCOUNT</v>
      </c>
    </row>
    <row r="3653" spans="1:25" x14ac:dyDescent="0.25">
      <c r="A3653" s="2" t="s">
        <v>7542</v>
      </c>
      <c r="B3653" s="2">
        <v>11805390</v>
      </c>
      <c r="C3653" s="2" t="s">
        <v>794</v>
      </c>
      <c r="D3653" s="2" t="s">
        <v>197</v>
      </c>
      <c r="E3653" s="2" t="s">
        <v>4987</v>
      </c>
      <c r="F3653" s="2" t="s">
        <v>17</v>
      </c>
      <c r="G3653" s="2" t="s">
        <v>7543</v>
      </c>
      <c r="I3653" s="2">
        <v>1448</v>
      </c>
      <c r="J3653" s="2"/>
      <c r="K3653" s="2" t="s">
        <v>3941</v>
      </c>
      <c r="L3653" s="2">
        <v>4.4000000000000004</v>
      </c>
      <c r="M3653" s="2">
        <v>552</v>
      </c>
      <c r="P3653" t="str">
        <f t="shared" si="231"/>
        <v/>
      </c>
      <c r="Q3653" s="12" t="str">
        <f t="shared" si="228"/>
        <v/>
      </c>
      <c r="R3653" s="9" t="str">
        <f t="shared" si="229"/>
        <v/>
      </c>
      <c r="S3653" s="9">
        <f>IF(R3653="",AVERAGEIF(Table1[Category],Table1[[#This Row],[Category]],Table2[orignal data]),Table2[[#This Row],[orignal data]])</f>
        <v>552.70900000000006</v>
      </c>
      <c r="T3653" t="str">
        <f t="shared" si="230"/>
        <v>UNIQUE</v>
      </c>
      <c r="U3653" t="str">
        <f>IF(ISBLANK(Table1[[#This Row],[SizeOption]]),"NOT AVAILABLE",Table1[[#This Row],[SizeOption]])</f>
        <v>S, L, M</v>
      </c>
      <c r="Y3653" t="str">
        <f>IF(Table2[[#This Row],[Column1]]&gt;50%,"HIGH DISCOUNT","LOW DISCOUNT")</f>
        <v>HIGH DISCOUNT</v>
      </c>
    </row>
    <row r="3654" spans="1:25" x14ac:dyDescent="0.25">
      <c r="A3654" s="1" t="s">
        <v>7544</v>
      </c>
      <c r="B3654" s="1">
        <v>11443782</v>
      </c>
      <c r="C3654" s="1" t="s">
        <v>349</v>
      </c>
      <c r="D3654" s="1" t="s">
        <v>197</v>
      </c>
      <c r="E3654" s="1" t="s">
        <v>350</v>
      </c>
      <c r="F3654" s="1" t="s">
        <v>17</v>
      </c>
      <c r="G3654" s="1" t="s">
        <v>7545</v>
      </c>
      <c r="I3654" s="1">
        <v>299</v>
      </c>
      <c r="J3654" s="1"/>
      <c r="K3654" s="1" t="s">
        <v>352</v>
      </c>
      <c r="L3654" s="1">
        <v>4.2</v>
      </c>
      <c r="M3654" s="1">
        <v>552</v>
      </c>
      <c r="P3654" t="str">
        <f t="shared" si="231"/>
        <v/>
      </c>
      <c r="Q3654" s="12" t="str">
        <f t="shared" si="228"/>
        <v/>
      </c>
      <c r="R3654" s="9" t="str">
        <f t="shared" si="229"/>
        <v/>
      </c>
      <c r="S3654" s="9">
        <f>IF(R3654="",AVERAGEIF(Table1[Category],Table1[[#This Row],[Category]],Table2[orignal data]),Table2[[#This Row],[orignal data]])</f>
        <v>552.70900000000006</v>
      </c>
      <c r="T3654" t="str">
        <f t="shared" si="230"/>
        <v>UNIQUE</v>
      </c>
      <c r="U3654" t="str">
        <f>IF(ISBLANK(Table1[[#This Row],[SizeOption]]),"NOT AVAILABLE",Table1[[#This Row],[SizeOption]])</f>
        <v>S, M, L</v>
      </c>
      <c r="Y3654" t="str">
        <f>IF(Table2[[#This Row],[Column1]]&gt;50%,"HIGH DISCOUNT","LOW DISCOUNT")</f>
        <v>HIGH DISCOUNT</v>
      </c>
    </row>
    <row r="3655" spans="1:25" x14ac:dyDescent="0.25">
      <c r="A3655" s="2" t="s">
        <v>7546</v>
      </c>
      <c r="B3655" s="2">
        <v>13919954</v>
      </c>
      <c r="C3655" s="2" t="s">
        <v>22</v>
      </c>
      <c r="D3655" s="2" t="s">
        <v>28</v>
      </c>
      <c r="E3655" s="2" t="s">
        <v>29</v>
      </c>
      <c r="F3655" s="2" t="s">
        <v>17</v>
      </c>
      <c r="G3655" s="2" t="s">
        <v>7547</v>
      </c>
      <c r="H3655">
        <v>424</v>
      </c>
      <c r="I3655" s="2">
        <v>1249</v>
      </c>
      <c r="J3655" s="2" t="s">
        <v>403</v>
      </c>
      <c r="K3655" s="2" t="s">
        <v>90</v>
      </c>
      <c r="L3655" s="2">
        <v>4.2</v>
      </c>
      <c r="M3655" s="2">
        <v>552</v>
      </c>
      <c r="P3655" t="str">
        <f t="shared" si="231"/>
        <v>66%</v>
      </c>
      <c r="Q3655" s="12">
        <f t="shared" si="228"/>
        <v>0.66</v>
      </c>
      <c r="R3655" s="9">
        <f t="shared" si="229"/>
        <v>424.65999999999997</v>
      </c>
      <c r="S3655" s="9">
        <f>IF(R3655="",AVERAGEIF(Table1[Category],Table1[[#This Row],[Category]],Table2[orignal data]),Table2[[#This Row],[orignal data]])</f>
        <v>424.65999999999997</v>
      </c>
      <c r="T3655" t="str">
        <f t="shared" si="230"/>
        <v>UNIQUE</v>
      </c>
      <c r="U3655" t="str">
        <f>IF(ISBLANK(Table1[[#This Row],[SizeOption]]),"NOT AVAILABLE",Table1[[#This Row],[SizeOption]])</f>
        <v>39, 40, 42, 44</v>
      </c>
      <c r="Y3655" t="str">
        <f>IF(Table2[[#This Row],[Column1]]&gt;50%,"HIGH DISCOUNT","LOW DISCOUNT")</f>
        <v>HIGH DISCOUNT</v>
      </c>
    </row>
    <row r="3656" spans="1:25" x14ac:dyDescent="0.25">
      <c r="A3656" s="1" t="s">
        <v>7548</v>
      </c>
      <c r="B3656" s="1">
        <v>9259213</v>
      </c>
      <c r="C3656" s="1" t="s">
        <v>201</v>
      </c>
      <c r="D3656" s="1" t="s">
        <v>28</v>
      </c>
      <c r="E3656" s="1" t="s">
        <v>29</v>
      </c>
      <c r="F3656" s="1" t="s">
        <v>17</v>
      </c>
      <c r="G3656" s="1" t="s">
        <v>7549</v>
      </c>
      <c r="H3656">
        <v>699</v>
      </c>
      <c r="I3656" s="1">
        <v>1999</v>
      </c>
      <c r="J3656" s="1" t="s">
        <v>150</v>
      </c>
      <c r="K3656" s="1" t="s">
        <v>361</v>
      </c>
      <c r="L3656" s="1">
        <v>4.0999999999999996</v>
      </c>
      <c r="M3656" s="1">
        <v>552</v>
      </c>
      <c r="P3656" t="str">
        <f t="shared" si="231"/>
        <v>65%</v>
      </c>
      <c r="Q3656" s="12">
        <f t="shared" si="228"/>
        <v>0.65</v>
      </c>
      <c r="R3656" s="9">
        <f t="shared" si="229"/>
        <v>699.64999999999986</v>
      </c>
      <c r="S3656" s="9">
        <f>IF(R3656="",AVERAGEIF(Table1[Category],Table1[[#This Row],[Category]],Table2[orignal data]),Table2[[#This Row],[orignal data]])</f>
        <v>699.64999999999986</v>
      </c>
      <c r="T3656" t="str">
        <f t="shared" si="230"/>
        <v>UNIQUE</v>
      </c>
      <c r="U3656" t="str">
        <f>IF(ISBLANK(Table1[[#This Row],[SizeOption]]),"NOT AVAILABLE",Table1[[#This Row],[SizeOption]])</f>
        <v>38, 40, 42, 44, 46</v>
      </c>
      <c r="Y3656" t="str">
        <f>IF(Table2[[#This Row],[Column1]]&gt;50%,"HIGH DISCOUNT","LOW DISCOUNT")</f>
        <v>HIGH DISCOUNT</v>
      </c>
    </row>
    <row r="3657" spans="1:25" x14ac:dyDescent="0.25">
      <c r="A3657" s="2" t="s">
        <v>7550</v>
      </c>
      <c r="B3657" s="2">
        <v>10617864</v>
      </c>
      <c r="C3657" s="2" t="s">
        <v>14</v>
      </c>
      <c r="D3657" s="2" t="s">
        <v>28</v>
      </c>
      <c r="E3657" s="2" t="s">
        <v>189</v>
      </c>
      <c r="F3657" s="2" t="s">
        <v>17</v>
      </c>
      <c r="G3657" s="2" t="s">
        <v>7551</v>
      </c>
      <c r="H3657">
        <v>1079</v>
      </c>
      <c r="I3657" s="2">
        <v>2699</v>
      </c>
      <c r="J3657" s="2" t="s">
        <v>55</v>
      </c>
      <c r="K3657" s="2" t="s">
        <v>234</v>
      </c>
      <c r="L3657" s="2">
        <v>3.6</v>
      </c>
      <c r="M3657" s="2">
        <v>552</v>
      </c>
      <c r="P3657" t="str">
        <f t="shared" si="231"/>
        <v>60%</v>
      </c>
      <c r="Q3657" s="12">
        <f t="shared" si="228"/>
        <v>0.6</v>
      </c>
      <c r="R3657" s="9">
        <f t="shared" si="229"/>
        <v>1079.6000000000001</v>
      </c>
      <c r="S3657" s="9">
        <f>IF(R3657="",AVERAGEIF(Table1[Category],Table1[[#This Row],[Category]],Table2[orignal data]),Table2[[#This Row],[orignal data]])</f>
        <v>1079.6000000000001</v>
      </c>
      <c r="T3657" t="str">
        <f t="shared" si="230"/>
        <v>UNIQUE</v>
      </c>
      <c r="U3657" t="str">
        <f>IF(ISBLANK(Table1[[#This Row],[SizeOption]]),"NOT AVAILABLE",Table1[[#This Row],[SizeOption]])</f>
        <v>S, M, L, XL, XXL, 3XL</v>
      </c>
      <c r="Y3657" t="str">
        <f>IF(Table2[[#This Row],[Column1]]&gt;50%,"HIGH DISCOUNT","LOW DISCOUNT")</f>
        <v>HIGH DISCOUNT</v>
      </c>
    </row>
    <row r="3658" spans="1:25" x14ac:dyDescent="0.25">
      <c r="A3658" s="1" t="s">
        <v>7552</v>
      </c>
      <c r="B3658" s="1">
        <v>1777737</v>
      </c>
      <c r="C3658" s="1" t="s">
        <v>52</v>
      </c>
      <c r="D3658" s="1" t="s">
        <v>28</v>
      </c>
      <c r="E3658" s="1" t="s">
        <v>42</v>
      </c>
      <c r="F3658" s="1" t="s">
        <v>17</v>
      </c>
      <c r="G3658" s="1" t="s">
        <v>7553</v>
      </c>
      <c r="H3658">
        <v>312</v>
      </c>
      <c r="I3658" s="1">
        <v>549</v>
      </c>
      <c r="J3658" s="1" t="s">
        <v>509</v>
      </c>
      <c r="K3658" s="1" t="s">
        <v>26</v>
      </c>
      <c r="L3658" s="1">
        <v>4.0999999999999996</v>
      </c>
      <c r="M3658" s="1">
        <v>552</v>
      </c>
      <c r="P3658" t="str">
        <f t="shared" si="231"/>
        <v>43%</v>
      </c>
      <c r="Q3658" s="12">
        <f t="shared" si="228"/>
        <v>0.43</v>
      </c>
      <c r="R3658" s="9">
        <f t="shared" si="229"/>
        <v>312.93</v>
      </c>
      <c r="S3658" s="9">
        <f>IF(R3658="",AVERAGEIF(Table1[Category],Table1[[#This Row],[Category]],Table2[orignal data]),Table2[[#This Row],[orignal data]])</f>
        <v>312.93</v>
      </c>
      <c r="T3658" t="str">
        <f t="shared" si="230"/>
        <v>UNIQUE</v>
      </c>
      <c r="U3658" t="str">
        <f>IF(ISBLANK(Table1[[#This Row],[SizeOption]]),"NOT AVAILABLE",Table1[[#This Row],[SizeOption]])</f>
        <v>S, M, L, XL</v>
      </c>
      <c r="Y3658" t="str">
        <f>IF(Table2[[#This Row],[Column1]]&gt;50%,"HIGH DISCOUNT","LOW DISCOUNT")</f>
        <v>LOW DISCOUNT</v>
      </c>
    </row>
    <row r="3659" spans="1:25" x14ac:dyDescent="0.25">
      <c r="A3659" s="2" t="s">
        <v>7554</v>
      </c>
      <c r="B3659" s="2">
        <v>13404402</v>
      </c>
      <c r="C3659" s="2" t="s">
        <v>64</v>
      </c>
      <c r="D3659" s="2" t="s">
        <v>76</v>
      </c>
      <c r="E3659" s="2" t="s">
        <v>93</v>
      </c>
      <c r="F3659" s="2" t="s">
        <v>36</v>
      </c>
      <c r="G3659" s="2" t="s">
        <v>7555</v>
      </c>
      <c r="H3659">
        <v>402</v>
      </c>
      <c r="I3659" s="2">
        <v>1149</v>
      </c>
      <c r="J3659" s="2" t="s">
        <v>150</v>
      </c>
      <c r="K3659" s="2" t="s">
        <v>100</v>
      </c>
      <c r="L3659" s="2">
        <v>4.2</v>
      </c>
      <c r="M3659" s="2">
        <v>552</v>
      </c>
      <c r="P3659" t="str">
        <f t="shared" si="231"/>
        <v>65%</v>
      </c>
      <c r="Q3659" s="12">
        <f t="shared" si="228"/>
        <v>0.65</v>
      </c>
      <c r="R3659" s="9">
        <f t="shared" si="229"/>
        <v>402.15</v>
      </c>
      <c r="S3659" s="9">
        <f>IF(R3659="",AVERAGEIF(Table1[Category],Table1[[#This Row],[Category]],Table2[orignal data]),Table2[[#This Row],[orignal data]])</f>
        <v>402.15</v>
      </c>
      <c r="T3659" t="str">
        <f t="shared" si="230"/>
        <v>UNIQUE</v>
      </c>
      <c r="U3659" t="str">
        <f>IF(ISBLANK(Table1[[#This Row],[SizeOption]]),"NOT AVAILABLE",Table1[[#This Row],[SizeOption]])</f>
        <v>XS, S, M, L, XL, XXL, 3XL</v>
      </c>
      <c r="Y3659" t="str">
        <f>IF(Table2[[#This Row],[Column1]]&gt;50%,"HIGH DISCOUNT","LOW DISCOUNT")</f>
        <v>HIGH DISCOUNT</v>
      </c>
    </row>
    <row r="3660" spans="1:25" x14ac:dyDescent="0.25">
      <c r="A3660" s="1" t="s">
        <v>7556</v>
      </c>
      <c r="B3660" s="1">
        <v>4891833</v>
      </c>
      <c r="C3660" s="1" t="s">
        <v>591</v>
      </c>
      <c r="D3660" s="1" t="s">
        <v>76</v>
      </c>
      <c r="E3660" s="1" t="s">
        <v>592</v>
      </c>
      <c r="F3660" s="1" t="s">
        <v>36</v>
      </c>
      <c r="G3660" s="1" t="s">
        <v>7557</v>
      </c>
      <c r="I3660" s="1">
        <v>699</v>
      </c>
      <c r="J3660" s="1"/>
      <c r="K3660" s="1" t="s">
        <v>26</v>
      </c>
      <c r="L3660" s="1">
        <v>4.2</v>
      </c>
      <c r="M3660" s="1">
        <v>552</v>
      </c>
      <c r="P3660" t="str">
        <f t="shared" si="231"/>
        <v/>
      </c>
      <c r="Q3660" s="12" t="str">
        <f t="shared" si="228"/>
        <v/>
      </c>
      <c r="R3660" s="9" t="str">
        <f t="shared" si="229"/>
        <v/>
      </c>
      <c r="S3660" s="9">
        <f>IF(R3660="",AVERAGEIF(Table1[Category],Table1[[#This Row],[Category]],Table2[orignal data]),Table2[[#This Row],[orignal data]])</f>
        <v>1045.2418648648661</v>
      </c>
      <c r="T3660" t="str">
        <f t="shared" si="230"/>
        <v>UNIQUE</v>
      </c>
      <c r="U3660" t="str">
        <f>IF(ISBLANK(Table1[[#This Row],[SizeOption]]),"NOT AVAILABLE",Table1[[#This Row],[SizeOption]])</f>
        <v>S, M, L, XL</v>
      </c>
      <c r="Y3660" t="str">
        <f>IF(Table2[[#This Row],[Column1]]&gt;50%,"HIGH DISCOUNT","LOW DISCOUNT")</f>
        <v>HIGH DISCOUNT</v>
      </c>
    </row>
    <row r="3661" spans="1:25" x14ac:dyDescent="0.25">
      <c r="A3661" s="2" t="s">
        <v>7558</v>
      </c>
      <c r="B3661" s="2">
        <v>14062384</v>
      </c>
      <c r="C3661" s="2" t="s">
        <v>107</v>
      </c>
      <c r="D3661" s="2" t="s">
        <v>34</v>
      </c>
      <c r="E3661" s="2" t="s">
        <v>118</v>
      </c>
      <c r="F3661" s="2" t="s">
        <v>36</v>
      </c>
      <c r="G3661" s="2" t="s">
        <v>7559</v>
      </c>
      <c r="H3661">
        <v>312</v>
      </c>
      <c r="I3661" s="2">
        <v>1249</v>
      </c>
      <c r="J3661" s="2" t="s">
        <v>109</v>
      </c>
      <c r="K3661" s="2" t="s">
        <v>549</v>
      </c>
      <c r="L3661" s="2">
        <v>4.4000000000000004</v>
      </c>
      <c r="M3661" s="2">
        <v>552</v>
      </c>
      <c r="P3661" t="str">
        <f t="shared" si="231"/>
        <v>75%</v>
      </c>
      <c r="Q3661" s="12">
        <f t="shared" si="228"/>
        <v>0.75</v>
      </c>
      <c r="R3661" s="9">
        <f t="shared" si="229"/>
        <v>312.25</v>
      </c>
      <c r="S3661" s="9">
        <f>IF(R3661="",AVERAGEIF(Table1[Category],Table1[[#This Row],[Category]],Table2[orignal data]),Table2[[#This Row],[orignal data]])</f>
        <v>312.25</v>
      </c>
      <c r="T3661" t="str">
        <f t="shared" si="230"/>
        <v>UNIQUE</v>
      </c>
      <c r="U3661" t="str">
        <f>IF(ISBLANK(Table1[[#This Row],[SizeOption]]),"NOT AVAILABLE",Table1[[#This Row],[SizeOption]])</f>
        <v>32B, 32C, 34B, 34C, 34D, 36B, 36C, 36D, 38B, 38C, 38D</v>
      </c>
      <c r="Y3661" t="str">
        <f>IF(Table2[[#This Row],[Column1]]&gt;50%,"HIGH DISCOUNT","LOW DISCOUNT")</f>
        <v>HIGH DISCOUNT</v>
      </c>
    </row>
    <row r="3662" spans="1:25" x14ac:dyDescent="0.25">
      <c r="A3662" s="1" t="s">
        <v>7560</v>
      </c>
      <c r="B3662" s="1">
        <v>1889305</v>
      </c>
      <c r="C3662" s="1" t="s">
        <v>201</v>
      </c>
      <c r="D3662" s="1" t="s">
        <v>98</v>
      </c>
      <c r="E3662" s="1" t="s">
        <v>93</v>
      </c>
      <c r="F3662" s="1" t="s">
        <v>36</v>
      </c>
      <c r="G3662" s="1" t="s">
        <v>7561</v>
      </c>
      <c r="H3662">
        <v>639</v>
      </c>
      <c r="I3662" s="1">
        <v>1599</v>
      </c>
      <c r="J3662" s="1" t="s">
        <v>141</v>
      </c>
      <c r="K3662" s="1" t="s">
        <v>100</v>
      </c>
      <c r="L3662" s="1">
        <v>4.2</v>
      </c>
      <c r="M3662" s="1">
        <v>552</v>
      </c>
      <c r="P3662" t="str">
        <f t="shared" si="231"/>
        <v>60%</v>
      </c>
      <c r="Q3662" s="12">
        <f t="shared" si="228"/>
        <v>0.6</v>
      </c>
      <c r="R3662" s="9">
        <f t="shared" si="229"/>
        <v>639.6</v>
      </c>
      <c r="S3662" s="9">
        <f>IF(R3662="",AVERAGEIF(Table1[Category],Table1[[#This Row],[Category]],Table2[orignal data]),Table2[[#This Row],[orignal data]])</f>
        <v>639.6</v>
      </c>
      <c r="T3662" t="str">
        <f t="shared" si="230"/>
        <v>UNIQUE</v>
      </c>
      <c r="U3662" t="str">
        <f>IF(ISBLANK(Table1[[#This Row],[SizeOption]]),"NOT AVAILABLE",Table1[[#This Row],[SizeOption]])</f>
        <v>XS, S, M, L, XL, XXL, 3XL</v>
      </c>
      <c r="Y3662" t="str">
        <f>IF(Table2[[#This Row],[Column1]]&gt;50%,"HIGH DISCOUNT","LOW DISCOUNT")</f>
        <v>HIGH DISCOUNT</v>
      </c>
    </row>
    <row r="3663" spans="1:25" x14ac:dyDescent="0.25">
      <c r="A3663" s="2" t="s">
        <v>7562</v>
      </c>
      <c r="B3663" s="2">
        <v>12222128</v>
      </c>
      <c r="C3663" s="2" t="s">
        <v>181</v>
      </c>
      <c r="D3663" s="2" t="s">
        <v>41</v>
      </c>
      <c r="E3663" s="2" t="s">
        <v>23</v>
      </c>
      <c r="F3663" s="2" t="s">
        <v>36</v>
      </c>
      <c r="G3663" s="2" t="s">
        <v>7563</v>
      </c>
      <c r="I3663" s="2">
        <v>1599</v>
      </c>
      <c r="J3663" s="2" t="s">
        <v>25</v>
      </c>
      <c r="K3663" s="2" t="s">
        <v>115</v>
      </c>
      <c r="L3663" s="2">
        <v>4.4000000000000004</v>
      </c>
      <c r="M3663" s="2">
        <v>552</v>
      </c>
      <c r="P3663" t="str">
        <f t="shared" si="231"/>
        <v>55%</v>
      </c>
      <c r="Q3663" s="12">
        <f t="shared" si="228"/>
        <v>0.55000000000000004</v>
      </c>
      <c r="R3663" s="9">
        <f t="shared" si="229"/>
        <v>719.55</v>
      </c>
      <c r="S3663" s="9">
        <f>IF(R3663="",AVERAGEIF(Table1[Category],Table1[[#This Row],[Category]],Table2[orignal data]),Table2[[#This Row],[orignal data]])</f>
        <v>719.55</v>
      </c>
      <c r="T3663" t="str">
        <f t="shared" si="230"/>
        <v>UNIQUE</v>
      </c>
      <c r="U3663" t="str">
        <f>IF(ISBLANK(Table1[[#This Row],[SizeOption]]),"NOT AVAILABLE",Table1[[#This Row],[SizeOption]])</f>
        <v>XS, S, M, L, XL, XXL</v>
      </c>
      <c r="Y3663" t="str">
        <f>IF(Table2[[#This Row],[Column1]]&gt;50%,"HIGH DISCOUNT","LOW DISCOUNT")</f>
        <v>HIGH DISCOUNT</v>
      </c>
    </row>
    <row r="3664" spans="1:25" x14ac:dyDescent="0.25">
      <c r="A3664" s="1" t="s">
        <v>7564</v>
      </c>
      <c r="B3664" s="1">
        <v>10098543</v>
      </c>
      <c r="C3664" s="1" t="s">
        <v>107</v>
      </c>
      <c r="D3664" s="1" t="s">
        <v>41</v>
      </c>
      <c r="E3664" s="1" t="s">
        <v>16</v>
      </c>
      <c r="F3664" s="1" t="s">
        <v>36</v>
      </c>
      <c r="G3664" s="1" t="s">
        <v>7565</v>
      </c>
      <c r="I3664" s="1">
        <v>1899</v>
      </c>
      <c r="J3664" s="1" t="s">
        <v>55</v>
      </c>
      <c r="K3664" s="1" t="s">
        <v>134</v>
      </c>
      <c r="L3664" s="1">
        <v>4.0999999999999996</v>
      </c>
      <c r="M3664" s="1">
        <v>552</v>
      </c>
      <c r="P3664" t="str">
        <f t="shared" si="231"/>
        <v>60%</v>
      </c>
      <c r="Q3664" s="12">
        <f t="shared" si="228"/>
        <v>0.6</v>
      </c>
      <c r="R3664" s="9">
        <f t="shared" si="229"/>
        <v>759.60000000000014</v>
      </c>
      <c r="S3664" s="9">
        <f>IF(R3664="",AVERAGEIF(Table1[Category],Table1[[#This Row],[Category]],Table2[orignal data]),Table2[[#This Row],[orignal data]])</f>
        <v>759.60000000000014</v>
      </c>
      <c r="T3664" t="str">
        <f t="shared" si="230"/>
        <v>UNIQUE</v>
      </c>
      <c r="U3664" t="str">
        <f>IF(ISBLANK(Table1[[#This Row],[SizeOption]]),"NOT AVAILABLE",Table1[[#This Row],[SizeOption]])</f>
        <v>26, 28, 30, 32, 34, 36</v>
      </c>
      <c r="Y3664" t="str">
        <f>IF(Table2[[#This Row],[Column1]]&gt;50%,"HIGH DISCOUNT","LOW DISCOUNT")</f>
        <v>HIGH DISCOUNT</v>
      </c>
    </row>
    <row r="3665" spans="1:25" x14ac:dyDescent="0.25">
      <c r="A3665" s="2" t="s">
        <v>7566</v>
      </c>
      <c r="B3665" s="2">
        <v>8862011</v>
      </c>
      <c r="C3665" s="2" t="s">
        <v>271</v>
      </c>
      <c r="D3665" s="2" t="s">
        <v>41</v>
      </c>
      <c r="E3665" s="2" t="s">
        <v>148</v>
      </c>
      <c r="F3665" s="2" t="s">
        <v>36</v>
      </c>
      <c r="G3665" s="2" t="s">
        <v>7567</v>
      </c>
      <c r="I3665" s="2">
        <v>1899</v>
      </c>
      <c r="J3665" s="2" t="s">
        <v>79</v>
      </c>
      <c r="K3665" s="2" t="s">
        <v>45</v>
      </c>
      <c r="L3665" s="2">
        <v>4.0999999999999996</v>
      </c>
      <c r="M3665" s="2">
        <v>552</v>
      </c>
      <c r="P3665" t="str">
        <f t="shared" si="231"/>
        <v>70%</v>
      </c>
      <c r="Q3665" s="12">
        <f t="shared" si="228"/>
        <v>0.7</v>
      </c>
      <c r="R3665" s="9">
        <f t="shared" si="229"/>
        <v>569.70000000000005</v>
      </c>
      <c r="S3665" s="9">
        <f>IF(R3665="",AVERAGEIF(Table1[Category],Table1[[#This Row],[Category]],Table2[orignal data]),Table2[[#This Row],[orignal data]])</f>
        <v>569.70000000000005</v>
      </c>
      <c r="T3665" t="str">
        <f t="shared" si="230"/>
        <v>UNIQUE</v>
      </c>
      <c r="U3665" t="str">
        <f>IF(ISBLANK(Table1[[#This Row],[SizeOption]]),"NOT AVAILABLE",Table1[[#This Row],[SizeOption]])</f>
        <v>XS, S, M, L, XL</v>
      </c>
      <c r="Y3665" t="str">
        <f>IF(Table2[[#This Row],[Column1]]&gt;50%,"HIGH DISCOUNT","LOW DISCOUNT")</f>
        <v>HIGH DISCOUNT</v>
      </c>
    </row>
    <row r="3666" spans="1:25" x14ac:dyDescent="0.25">
      <c r="A3666" s="1" t="s">
        <v>7568</v>
      </c>
      <c r="B3666" s="1">
        <v>9340035</v>
      </c>
      <c r="C3666" s="1" t="s">
        <v>676</v>
      </c>
      <c r="D3666" s="1" t="s">
        <v>41</v>
      </c>
      <c r="E3666" s="1" t="s">
        <v>48</v>
      </c>
      <c r="F3666" s="1" t="s">
        <v>36</v>
      </c>
      <c r="G3666" s="1" t="s">
        <v>2570</v>
      </c>
      <c r="I3666" s="1">
        <v>1998</v>
      </c>
      <c r="J3666" s="1" t="s">
        <v>84</v>
      </c>
      <c r="K3666" s="1" t="s">
        <v>26</v>
      </c>
      <c r="L3666" s="1">
        <v>3.7</v>
      </c>
      <c r="M3666" s="1">
        <v>552</v>
      </c>
      <c r="P3666" t="str">
        <f t="shared" si="231"/>
        <v>50%</v>
      </c>
      <c r="Q3666" s="12">
        <f t="shared" si="228"/>
        <v>0.5</v>
      </c>
      <c r="R3666" s="9">
        <f t="shared" si="229"/>
        <v>999</v>
      </c>
      <c r="S3666" s="9">
        <f>IF(R3666="",AVERAGEIF(Table1[Category],Table1[[#This Row],[Category]],Table2[orignal data]),Table2[[#This Row],[orignal data]])</f>
        <v>999</v>
      </c>
      <c r="T3666" t="str">
        <f t="shared" si="230"/>
        <v>UNIQUE</v>
      </c>
      <c r="U3666" t="str">
        <f>IF(ISBLANK(Table1[[#This Row],[SizeOption]]),"NOT AVAILABLE",Table1[[#This Row],[SizeOption]])</f>
        <v>S, M, L, XL</v>
      </c>
      <c r="Y3666" t="str">
        <f>IF(Table2[[#This Row],[Column1]]&gt;50%,"HIGH DISCOUNT","LOW DISCOUNT")</f>
        <v>LOW DISCOUNT</v>
      </c>
    </row>
    <row r="3667" spans="1:25" x14ac:dyDescent="0.25">
      <c r="A3667" s="2" t="s">
        <v>7569</v>
      </c>
      <c r="B3667" s="2">
        <v>12737844</v>
      </c>
      <c r="C3667" s="2" t="s">
        <v>181</v>
      </c>
      <c r="D3667" s="2" t="s">
        <v>41</v>
      </c>
      <c r="E3667" s="2" t="s">
        <v>189</v>
      </c>
      <c r="F3667" s="2" t="s">
        <v>36</v>
      </c>
      <c r="G3667" s="2" t="s">
        <v>7570</v>
      </c>
      <c r="I3667" s="2">
        <v>1999</v>
      </c>
      <c r="J3667" s="2" t="s">
        <v>150</v>
      </c>
      <c r="K3667" s="2" t="s">
        <v>115</v>
      </c>
      <c r="L3667" s="2">
        <v>3.9</v>
      </c>
      <c r="M3667" s="2">
        <v>552</v>
      </c>
      <c r="P3667" t="str">
        <f t="shared" si="231"/>
        <v>65%</v>
      </c>
      <c r="Q3667" s="12">
        <f t="shared" si="228"/>
        <v>0.65</v>
      </c>
      <c r="R3667" s="9">
        <f t="shared" si="229"/>
        <v>699.64999999999986</v>
      </c>
      <c r="S3667" s="9">
        <f>IF(R3667="",AVERAGEIF(Table1[Category],Table1[[#This Row],[Category]],Table2[orignal data]),Table2[[#This Row],[orignal data]])</f>
        <v>699.64999999999986</v>
      </c>
      <c r="T3667" t="str">
        <f t="shared" si="230"/>
        <v>UNIQUE</v>
      </c>
      <c r="U3667" t="str">
        <f>IF(ISBLANK(Table1[[#This Row],[SizeOption]]),"NOT AVAILABLE",Table1[[#This Row],[SizeOption]])</f>
        <v>XS, S, M, L, XL, XXL</v>
      </c>
      <c r="Y3667" t="str">
        <f>IF(Table2[[#This Row],[Column1]]&gt;50%,"HIGH DISCOUNT","LOW DISCOUNT")</f>
        <v>HIGH DISCOUNT</v>
      </c>
    </row>
    <row r="3668" spans="1:25" x14ac:dyDescent="0.25">
      <c r="A3668" s="1" t="s">
        <v>7571</v>
      </c>
      <c r="B3668" s="1">
        <v>10698740</v>
      </c>
      <c r="C3668" s="1" t="s">
        <v>102</v>
      </c>
      <c r="D3668" s="1" t="s">
        <v>41</v>
      </c>
      <c r="E3668" s="1" t="s">
        <v>189</v>
      </c>
      <c r="F3668" s="1" t="s">
        <v>36</v>
      </c>
      <c r="G3668" s="1" t="s">
        <v>3411</v>
      </c>
      <c r="I3668" s="1">
        <v>2499</v>
      </c>
      <c r="J3668" s="1" t="s">
        <v>84</v>
      </c>
      <c r="K3668" s="1" t="s">
        <v>26</v>
      </c>
      <c r="L3668" s="1">
        <v>4.3</v>
      </c>
      <c r="M3668" s="1">
        <v>552</v>
      </c>
      <c r="P3668" t="str">
        <f t="shared" si="231"/>
        <v>50%</v>
      </c>
      <c r="Q3668" s="12">
        <f t="shared" si="228"/>
        <v>0.5</v>
      </c>
      <c r="R3668" s="9">
        <f t="shared" si="229"/>
        <v>1249.5</v>
      </c>
      <c r="S3668" s="9">
        <f>IF(R3668="",AVERAGEIF(Table1[Category],Table1[[#This Row],[Category]],Table2[orignal data]),Table2[[#This Row],[orignal data]])</f>
        <v>1249.5</v>
      </c>
      <c r="T3668" t="str">
        <f t="shared" si="230"/>
        <v>UNIQUE</v>
      </c>
      <c r="U3668" t="str">
        <f>IF(ISBLANK(Table1[[#This Row],[SizeOption]]),"NOT AVAILABLE",Table1[[#This Row],[SizeOption]])</f>
        <v>S, M, L, XL</v>
      </c>
      <c r="Y3668" t="str">
        <f>IF(Table2[[#This Row],[Column1]]&gt;50%,"HIGH DISCOUNT","LOW DISCOUNT")</f>
        <v>LOW DISCOUNT</v>
      </c>
    </row>
    <row r="3669" spans="1:25" x14ac:dyDescent="0.25">
      <c r="A3669" s="2" t="s">
        <v>7572</v>
      </c>
      <c r="B3669" s="2">
        <v>11735670</v>
      </c>
      <c r="C3669" s="2" t="s">
        <v>184</v>
      </c>
      <c r="D3669" s="2" t="s">
        <v>41</v>
      </c>
      <c r="E3669" s="2" t="s">
        <v>48</v>
      </c>
      <c r="F3669" s="2" t="s">
        <v>36</v>
      </c>
      <c r="G3669" s="2" t="s">
        <v>7573</v>
      </c>
      <c r="I3669" s="2">
        <v>699</v>
      </c>
      <c r="J3669" s="2" t="s">
        <v>25</v>
      </c>
      <c r="K3669" s="2" t="s">
        <v>39</v>
      </c>
      <c r="L3669" s="2">
        <v>4.0999999999999996</v>
      </c>
      <c r="M3669" s="2">
        <v>552</v>
      </c>
      <c r="P3669" t="str">
        <f t="shared" si="231"/>
        <v>55%</v>
      </c>
      <c r="Q3669" s="12">
        <f t="shared" si="228"/>
        <v>0.55000000000000004</v>
      </c>
      <c r="R3669" s="9">
        <f t="shared" si="229"/>
        <v>314.54999999999995</v>
      </c>
      <c r="S3669" s="9">
        <f>IF(R3669="",AVERAGEIF(Table1[Category],Table1[[#This Row],[Category]],Table2[orignal data]),Table2[[#This Row],[orignal data]])</f>
        <v>314.54999999999995</v>
      </c>
      <c r="T3669" t="str">
        <f t="shared" si="230"/>
        <v>UNIQUE</v>
      </c>
      <c r="U3669" t="str">
        <f>IF(ISBLANK(Table1[[#This Row],[SizeOption]]),"NOT AVAILABLE",Table1[[#This Row],[SizeOption]])</f>
        <v>S, M, L, XL, XXL</v>
      </c>
      <c r="Y3669" t="str">
        <f>IF(Table2[[#This Row],[Column1]]&gt;50%,"HIGH DISCOUNT","LOW DISCOUNT")</f>
        <v>HIGH DISCOUNT</v>
      </c>
    </row>
    <row r="3670" spans="1:25" x14ac:dyDescent="0.25">
      <c r="A3670" s="1" t="s">
        <v>7574</v>
      </c>
      <c r="B3670" s="1">
        <v>12193160</v>
      </c>
      <c r="C3670" s="1" t="s">
        <v>14</v>
      </c>
      <c r="D3670" s="1" t="s">
        <v>41</v>
      </c>
      <c r="E3670" s="1" t="s">
        <v>42</v>
      </c>
      <c r="F3670" s="1" t="s">
        <v>36</v>
      </c>
      <c r="G3670" s="1" t="s">
        <v>7575</v>
      </c>
      <c r="I3670" s="1">
        <v>999</v>
      </c>
      <c r="J3670" s="1" t="s">
        <v>55</v>
      </c>
      <c r="K3670" s="1" t="s">
        <v>45</v>
      </c>
      <c r="L3670" s="1">
        <v>4.0999999999999996</v>
      </c>
      <c r="M3670" s="1">
        <v>552</v>
      </c>
      <c r="P3670" t="str">
        <f t="shared" si="231"/>
        <v>60%</v>
      </c>
      <c r="Q3670" s="12">
        <f t="shared" si="228"/>
        <v>0.6</v>
      </c>
      <c r="R3670" s="9">
        <f t="shared" si="229"/>
        <v>399.6</v>
      </c>
      <c r="S3670" s="9">
        <f>IF(R3670="",AVERAGEIF(Table1[Category],Table1[[#This Row],[Category]],Table2[orignal data]),Table2[[#This Row],[orignal data]])</f>
        <v>399.6</v>
      </c>
      <c r="T3670" t="str">
        <f t="shared" si="230"/>
        <v>UNIQUE</v>
      </c>
      <c r="U3670" t="str">
        <f>IF(ISBLANK(Table1[[#This Row],[SizeOption]]),"NOT AVAILABLE",Table1[[#This Row],[SizeOption]])</f>
        <v>XS, S, M, L, XL</v>
      </c>
      <c r="Y3670" t="str">
        <f>IF(Table2[[#This Row],[Column1]]&gt;50%,"HIGH DISCOUNT","LOW DISCOUNT")</f>
        <v>HIGH DISCOUNT</v>
      </c>
    </row>
    <row r="3671" spans="1:25" x14ac:dyDescent="0.25">
      <c r="A3671" s="2" t="s">
        <v>7576</v>
      </c>
      <c r="B3671" s="2">
        <v>12180610</v>
      </c>
      <c r="C3671" s="2" t="s">
        <v>14</v>
      </c>
      <c r="D3671" s="2" t="s">
        <v>15</v>
      </c>
      <c r="E3671" s="2" t="s">
        <v>53</v>
      </c>
      <c r="F3671" s="2" t="s">
        <v>17</v>
      </c>
      <c r="G3671" s="2" t="s">
        <v>7577</v>
      </c>
      <c r="H3671">
        <v>1099</v>
      </c>
      <c r="I3671" s="2">
        <v>1999</v>
      </c>
      <c r="J3671" s="2" t="s">
        <v>19</v>
      </c>
      <c r="K3671" s="2" t="s">
        <v>20</v>
      </c>
      <c r="L3671" s="2">
        <v>4.0999999999999996</v>
      </c>
      <c r="M3671" s="2">
        <v>551</v>
      </c>
      <c r="P3671" t="str">
        <f t="shared" si="231"/>
        <v>45%</v>
      </c>
      <c r="Q3671" s="12">
        <f t="shared" si="228"/>
        <v>0.45</v>
      </c>
      <c r="R3671" s="9">
        <f t="shared" si="229"/>
        <v>1099.4499999999998</v>
      </c>
      <c r="S3671" s="9">
        <f>IF(R3671="",AVERAGEIF(Table1[Category],Table1[[#This Row],[Category]],Table2[orignal data]),Table2[[#This Row],[orignal data]])</f>
        <v>1099.4499999999998</v>
      </c>
      <c r="T3671" t="str">
        <f t="shared" si="230"/>
        <v>UNIQUE</v>
      </c>
      <c r="U3671" t="str">
        <f>IF(ISBLANK(Table1[[#This Row],[SizeOption]]),"NOT AVAILABLE",Table1[[#This Row],[SizeOption]])</f>
        <v>28, 30, 32, 34, 36</v>
      </c>
      <c r="Y3671" t="str">
        <f>IF(Table2[[#This Row],[Column1]]&gt;50%,"HIGH DISCOUNT","LOW DISCOUNT")</f>
        <v>LOW DISCOUNT</v>
      </c>
    </row>
    <row r="3672" spans="1:25" x14ac:dyDescent="0.25">
      <c r="A3672" s="1" t="s">
        <v>7578</v>
      </c>
      <c r="B3672" s="1">
        <v>9304675</v>
      </c>
      <c r="C3672" s="1" t="s">
        <v>271</v>
      </c>
      <c r="D3672" s="1" t="s">
        <v>76</v>
      </c>
      <c r="E3672" s="1" t="s">
        <v>93</v>
      </c>
      <c r="F3672" s="1" t="s">
        <v>17</v>
      </c>
      <c r="G3672" s="1" t="s">
        <v>1139</v>
      </c>
      <c r="H3672">
        <v>759</v>
      </c>
      <c r="I3672" s="1">
        <v>1899</v>
      </c>
      <c r="J3672" s="1" t="s">
        <v>55</v>
      </c>
      <c r="K3672" s="1" t="s">
        <v>39</v>
      </c>
      <c r="L3672" s="1">
        <v>4.3</v>
      </c>
      <c r="M3672" s="1">
        <v>551</v>
      </c>
      <c r="P3672" t="str">
        <f t="shared" si="231"/>
        <v>60%</v>
      </c>
      <c r="Q3672" s="12">
        <f t="shared" si="228"/>
        <v>0.6</v>
      </c>
      <c r="R3672" s="9">
        <f t="shared" si="229"/>
        <v>759.60000000000014</v>
      </c>
      <c r="S3672" s="9">
        <f>IF(R3672="",AVERAGEIF(Table1[Category],Table1[[#This Row],[Category]],Table2[orignal data]),Table2[[#This Row],[orignal data]])</f>
        <v>759.60000000000014</v>
      </c>
      <c r="T3672" t="str">
        <f t="shared" si="230"/>
        <v>UNIQUE</v>
      </c>
      <c r="U3672" t="str">
        <f>IF(ISBLANK(Table1[[#This Row],[SizeOption]]),"NOT AVAILABLE",Table1[[#This Row],[SizeOption]])</f>
        <v>S, M, L, XL, XXL</v>
      </c>
      <c r="Y3672" t="str">
        <f>IF(Table2[[#This Row],[Column1]]&gt;50%,"HIGH DISCOUNT","LOW DISCOUNT")</f>
        <v>HIGH DISCOUNT</v>
      </c>
    </row>
    <row r="3673" spans="1:25" x14ac:dyDescent="0.25">
      <c r="A3673" s="2" t="s">
        <v>7579</v>
      </c>
      <c r="B3673" s="2">
        <v>14015758</v>
      </c>
      <c r="C3673" s="2" t="s">
        <v>7580</v>
      </c>
      <c r="D3673" s="2" t="s">
        <v>197</v>
      </c>
      <c r="E3673" s="2" t="s">
        <v>198</v>
      </c>
      <c r="F3673" s="2" t="s">
        <v>17</v>
      </c>
      <c r="G3673" s="2" t="s">
        <v>7581</v>
      </c>
      <c r="H3673">
        <v>279</v>
      </c>
      <c r="I3673" s="2">
        <v>499</v>
      </c>
      <c r="J3673" s="2" t="s">
        <v>1340</v>
      </c>
      <c r="K3673" s="2" t="s">
        <v>164</v>
      </c>
      <c r="L3673" s="2">
        <v>4.4000000000000004</v>
      </c>
      <c r="M3673" s="2">
        <v>551</v>
      </c>
      <c r="P3673" t="str">
        <f t="shared" si="231"/>
        <v>44%</v>
      </c>
      <c r="Q3673" s="12">
        <f t="shared" si="228"/>
        <v>0.44</v>
      </c>
      <c r="R3673" s="9">
        <f t="shared" si="229"/>
        <v>279.44</v>
      </c>
      <c r="S3673" s="9">
        <f>IF(R3673="",AVERAGEIF(Table1[Category],Table1[[#This Row],[Category]],Table2[orignal data]),Table2[[#This Row],[orignal data]])</f>
        <v>279.44</v>
      </c>
      <c r="T3673" t="str">
        <f t="shared" si="230"/>
        <v>UNIQUE</v>
      </c>
      <c r="U3673" t="str">
        <f>IF(ISBLANK(Table1[[#This Row],[SizeOption]]),"NOT AVAILABLE",Table1[[#This Row],[SizeOption]])</f>
        <v>Onesize</v>
      </c>
      <c r="Y3673" t="str">
        <f>IF(Table2[[#This Row],[Column1]]&gt;50%,"HIGH DISCOUNT","LOW DISCOUNT")</f>
        <v>LOW DISCOUNT</v>
      </c>
    </row>
    <row r="3674" spans="1:25" x14ac:dyDescent="0.25">
      <c r="A3674" s="1" t="s">
        <v>7582</v>
      </c>
      <c r="B3674" s="1">
        <v>2475075</v>
      </c>
      <c r="C3674" s="1" t="s">
        <v>14</v>
      </c>
      <c r="D3674" s="1" t="s">
        <v>28</v>
      </c>
      <c r="E3674" s="1" t="s">
        <v>42</v>
      </c>
      <c r="F3674" s="1" t="s">
        <v>17</v>
      </c>
      <c r="G3674" s="1" t="s">
        <v>7583</v>
      </c>
      <c r="H3674">
        <v>769</v>
      </c>
      <c r="I3674" s="1">
        <v>1399</v>
      </c>
      <c r="J3674" s="1" t="s">
        <v>19</v>
      </c>
      <c r="K3674" s="1" t="s">
        <v>73</v>
      </c>
      <c r="L3674" s="1">
        <v>3.9</v>
      </c>
      <c r="M3674" s="1">
        <v>551</v>
      </c>
      <c r="P3674" t="str">
        <f t="shared" si="231"/>
        <v>45%</v>
      </c>
      <c r="Q3674" s="12">
        <f t="shared" si="228"/>
        <v>0.45</v>
      </c>
      <c r="R3674" s="9">
        <f t="shared" si="229"/>
        <v>769.44999999999993</v>
      </c>
      <c r="S3674" s="9">
        <f>IF(R3674="",AVERAGEIF(Table1[Category],Table1[[#This Row],[Category]],Table2[orignal data]),Table2[[#This Row],[orignal data]])</f>
        <v>769.44999999999993</v>
      </c>
      <c r="T3674" t="str">
        <f t="shared" si="230"/>
        <v>UNIQUE</v>
      </c>
      <c r="U3674" t="str">
        <f>IF(ISBLANK(Table1[[#This Row],[SizeOption]]),"NOT AVAILABLE",Table1[[#This Row],[SizeOption]])</f>
        <v>XS, S, M, L, XL, XXL, 3XL, 4XL</v>
      </c>
      <c r="Y3674" t="str">
        <f>IF(Table2[[#This Row],[Column1]]&gt;50%,"HIGH DISCOUNT","LOW DISCOUNT")</f>
        <v>LOW DISCOUNT</v>
      </c>
    </row>
    <row r="3675" spans="1:25" x14ac:dyDescent="0.25">
      <c r="A3675" s="2" t="s">
        <v>7584</v>
      </c>
      <c r="B3675" s="2">
        <v>12816836</v>
      </c>
      <c r="C3675" s="2" t="s">
        <v>64</v>
      </c>
      <c r="D3675" s="2" t="s">
        <v>28</v>
      </c>
      <c r="E3675" s="2" t="s">
        <v>42</v>
      </c>
      <c r="F3675" s="2" t="s">
        <v>17</v>
      </c>
      <c r="G3675" s="2" t="s">
        <v>7585</v>
      </c>
      <c r="H3675">
        <v>466</v>
      </c>
      <c r="I3675" s="2">
        <v>849</v>
      </c>
      <c r="J3675" s="2" t="s">
        <v>19</v>
      </c>
      <c r="K3675" s="2" t="s">
        <v>26</v>
      </c>
      <c r="L3675" s="2">
        <v>3.9</v>
      </c>
      <c r="M3675" s="2">
        <v>551</v>
      </c>
      <c r="P3675" t="str">
        <f t="shared" si="231"/>
        <v>45%</v>
      </c>
      <c r="Q3675" s="12">
        <f t="shared" si="228"/>
        <v>0.45</v>
      </c>
      <c r="R3675" s="9">
        <f t="shared" si="229"/>
        <v>466.95</v>
      </c>
      <c r="S3675" s="9">
        <f>IF(R3675="",AVERAGEIF(Table1[Category],Table1[[#This Row],[Category]],Table2[orignal data]),Table2[[#This Row],[orignal data]])</f>
        <v>466.95</v>
      </c>
      <c r="T3675" t="str">
        <f t="shared" si="230"/>
        <v>UNIQUE</v>
      </c>
      <c r="U3675" t="str">
        <f>IF(ISBLANK(Table1[[#This Row],[SizeOption]]),"NOT AVAILABLE",Table1[[#This Row],[SizeOption]])</f>
        <v>S, M, L, XL</v>
      </c>
      <c r="Y3675" t="str">
        <f>IF(Table2[[#This Row],[Column1]]&gt;50%,"HIGH DISCOUNT","LOW DISCOUNT")</f>
        <v>LOW DISCOUNT</v>
      </c>
    </row>
    <row r="3676" spans="1:25" x14ac:dyDescent="0.25">
      <c r="A3676" s="1" t="s">
        <v>7586</v>
      </c>
      <c r="B3676" s="1">
        <v>11903972</v>
      </c>
      <c r="C3676" s="1" t="s">
        <v>14</v>
      </c>
      <c r="D3676" s="1" t="s">
        <v>28</v>
      </c>
      <c r="E3676" s="1" t="s">
        <v>29</v>
      </c>
      <c r="F3676" s="1" t="s">
        <v>17</v>
      </c>
      <c r="G3676" s="1" t="s">
        <v>7587</v>
      </c>
      <c r="H3676">
        <v>499</v>
      </c>
      <c r="I3676" s="1">
        <v>999</v>
      </c>
      <c r="J3676" s="1" t="s">
        <v>84</v>
      </c>
      <c r="K3676" s="1" t="s">
        <v>253</v>
      </c>
      <c r="L3676" s="1">
        <v>4.2</v>
      </c>
      <c r="M3676" s="1">
        <v>551</v>
      </c>
      <c r="P3676" t="str">
        <f t="shared" si="231"/>
        <v>50%</v>
      </c>
      <c r="Q3676" s="12">
        <f t="shared" si="228"/>
        <v>0.5</v>
      </c>
      <c r="R3676" s="9">
        <f t="shared" si="229"/>
        <v>499.5</v>
      </c>
      <c r="S3676" s="9">
        <f>IF(R3676="",AVERAGEIF(Table1[Category],Table1[[#This Row],[Category]],Table2[orignal data]),Table2[[#This Row],[orignal data]])</f>
        <v>499.5</v>
      </c>
      <c r="T3676" t="str">
        <f t="shared" si="230"/>
        <v>UNIQUE</v>
      </c>
      <c r="U3676" t="str">
        <f>IF(ISBLANK(Table1[[#This Row],[SizeOption]]),"NOT AVAILABLE",Table1[[#This Row],[SizeOption]])</f>
        <v>38, 40, 42, 44</v>
      </c>
      <c r="Y3676" t="str">
        <f>IF(Table2[[#This Row],[Column1]]&gt;50%,"HIGH DISCOUNT","LOW DISCOUNT")</f>
        <v>LOW DISCOUNT</v>
      </c>
    </row>
    <row r="3677" spans="1:25" x14ac:dyDescent="0.25">
      <c r="A3677" s="2" t="s">
        <v>7588</v>
      </c>
      <c r="B3677" s="2">
        <v>13258046</v>
      </c>
      <c r="C3677" s="2" t="s">
        <v>97</v>
      </c>
      <c r="D3677" s="2" t="s">
        <v>98</v>
      </c>
      <c r="E3677" s="2" t="s">
        <v>48</v>
      </c>
      <c r="F3677" s="2" t="s">
        <v>36</v>
      </c>
      <c r="G3677" s="2" t="s">
        <v>7589</v>
      </c>
      <c r="H3677">
        <v>949</v>
      </c>
      <c r="I3677" s="2">
        <v>1899</v>
      </c>
      <c r="J3677" s="2" t="s">
        <v>84</v>
      </c>
      <c r="K3677" s="2" t="s">
        <v>100</v>
      </c>
      <c r="L3677" s="2">
        <v>4.0999999999999996</v>
      </c>
      <c r="M3677" s="2">
        <v>551</v>
      </c>
      <c r="P3677" t="str">
        <f t="shared" si="231"/>
        <v>50%</v>
      </c>
      <c r="Q3677" s="12">
        <f t="shared" si="228"/>
        <v>0.5</v>
      </c>
      <c r="R3677" s="9">
        <f t="shared" si="229"/>
        <v>949.5</v>
      </c>
      <c r="S3677" s="9">
        <f>IF(R3677="",AVERAGEIF(Table1[Category],Table1[[#This Row],[Category]],Table2[orignal data]),Table2[[#This Row],[orignal data]])</f>
        <v>949.5</v>
      </c>
      <c r="T3677" t="str">
        <f t="shared" si="230"/>
        <v>UNIQUE</v>
      </c>
      <c r="U3677" t="str">
        <f>IF(ISBLANK(Table1[[#This Row],[SizeOption]]),"NOT AVAILABLE",Table1[[#This Row],[SizeOption]])</f>
        <v>XS, S, M, L, XL, XXL, 3XL</v>
      </c>
      <c r="Y3677" t="str">
        <f>IF(Table2[[#This Row],[Column1]]&gt;50%,"HIGH DISCOUNT","LOW DISCOUNT")</f>
        <v>LOW DISCOUNT</v>
      </c>
    </row>
    <row r="3678" spans="1:25" x14ac:dyDescent="0.25">
      <c r="A3678" s="1" t="s">
        <v>7590</v>
      </c>
      <c r="B3678" s="1">
        <v>14063000</v>
      </c>
      <c r="C3678" s="1" t="s">
        <v>102</v>
      </c>
      <c r="D3678" s="1" t="s">
        <v>41</v>
      </c>
      <c r="E3678" s="1" t="s">
        <v>23</v>
      </c>
      <c r="F3678" s="1" t="s">
        <v>36</v>
      </c>
      <c r="G3678" s="1" t="s">
        <v>7591</v>
      </c>
      <c r="I3678" s="1">
        <v>1149</v>
      </c>
      <c r="J3678" s="1" t="s">
        <v>602</v>
      </c>
      <c r="K3678" s="1" t="s">
        <v>26</v>
      </c>
      <c r="L3678" s="1">
        <v>4.3</v>
      </c>
      <c r="M3678" s="1">
        <v>551</v>
      </c>
      <c r="P3678" t="str">
        <f t="shared" si="231"/>
        <v>48%</v>
      </c>
      <c r="Q3678" s="12">
        <f t="shared" si="228"/>
        <v>0.48</v>
      </c>
      <c r="R3678" s="9">
        <f t="shared" si="229"/>
        <v>597.48</v>
      </c>
      <c r="S3678" s="9">
        <f>IF(R3678="",AVERAGEIF(Table1[Category],Table1[[#This Row],[Category]],Table2[orignal data]),Table2[[#This Row],[orignal data]])</f>
        <v>597.48</v>
      </c>
      <c r="T3678" t="str">
        <f t="shared" si="230"/>
        <v>UNIQUE</v>
      </c>
      <c r="U3678" t="str">
        <f>IF(ISBLANK(Table1[[#This Row],[SizeOption]]),"NOT AVAILABLE",Table1[[#This Row],[SizeOption]])</f>
        <v>S, M, L, XL</v>
      </c>
      <c r="Y3678" t="str">
        <f>IF(Table2[[#This Row],[Column1]]&gt;50%,"HIGH DISCOUNT","LOW DISCOUNT")</f>
        <v>LOW DISCOUNT</v>
      </c>
    </row>
    <row r="3679" spans="1:25" x14ac:dyDescent="0.25">
      <c r="A3679" s="2" t="s">
        <v>7592</v>
      </c>
      <c r="B3679" s="2">
        <v>7208072</v>
      </c>
      <c r="C3679" s="2" t="s">
        <v>58</v>
      </c>
      <c r="D3679" s="2" t="s">
        <v>41</v>
      </c>
      <c r="E3679" s="2" t="s">
        <v>29</v>
      </c>
      <c r="F3679" s="2" t="s">
        <v>36</v>
      </c>
      <c r="G3679" s="2" t="s">
        <v>7593</v>
      </c>
      <c r="I3679" s="2">
        <v>1195</v>
      </c>
      <c r="J3679" s="2" t="s">
        <v>60</v>
      </c>
      <c r="K3679" s="2" t="s">
        <v>26</v>
      </c>
      <c r="L3679" s="2">
        <v>3.9</v>
      </c>
      <c r="M3679" s="2">
        <v>551</v>
      </c>
      <c r="P3679" t="str">
        <f t="shared" si="231"/>
        <v>58%</v>
      </c>
      <c r="Q3679" s="12">
        <f t="shared" si="228"/>
        <v>0.57999999999999996</v>
      </c>
      <c r="R3679" s="9">
        <f t="shared" si="229"/>
        <v>501.90000000000009</v>
      </c>
      <c r="S3679" s="9">
        <f>IF(R3679="",AVERAGEIF(Table1[Category],Table1[[#This Row],[Category]],Table2[orignal data]),Table2[[#This Row],[orignal data]])</f>
        <v>501.90000000000009</v>
      </c>
      <c r="T3679" t="str">
        <f t="shared" si="230"/>
        <v>UNIQUE</v>
      </c>
      <c r="U3679" t="str">
        <f>IF(ISBLANK(Table1[[#This Row],[SizeOption]]),"NOT AVAILABLE",Table1[[#This Row],[SizeOption]])</f>
        <v>S, M, L, XL</v>
      </c>
      <c r="Y3679" t="str">
        <f>IF(Table2[[#This Row],[Column1]]&gt;50%,"HIGH DISCOUNT","LOW DISCOUNT")</f>
        <v>HIGH DISCOUNT</v>
      </c>
    </row>
    <row r="3680" spans="1:25" x14ac:dyDescent="0.25">
      <c r="A3680" s="1" t="s">
        <v>7594</v>
      </c>
      <c r="B3680" s="1">
        <v>13646316</v>
      </c>
      <c r="C3680" s="1" t="s">
        <v>1345</v>
      </c>
      <c r="D3680" s="1" t="s">
        <v>41</v>
      </c>
      <c r="E3680" s="1" t="s">
        <v>16</v>
      </c>
      <c r="F3680" s="1" t="s">
        <v>36</v>
      </c>
      <c r="G3680" s="1" t="s">
        <v>7595</v>
      </c>
      <c r="I3680" s="1">
        <v>1199</v>
      </c>
      <c r="J3680" s="1" t="s">
        <v>3472</v>
      </c>
      <c r="K3680" s="1" t="s">
        <v>105</v>
      </c>
      <c r="L3680" s="1">
        <v>4.5999999999999996</v>
      </c>
      <c r="M3680" s="1">
        <v>551</v>
      </c>
      <c r="P3680" t="str">
        <f t="shared" si="231"/>
        <v>33%</v>
      </c>
      <c r="Q3680" s="12">
        <f t="shared" si="228"/>
        <v>0.33</v>
      </c>
      <c r="R3680" s="9">
        <f t="shared" si="229"/>
        <v>803.32999999999993</v>
      </c>
      <c r="S3680" s="9">
        <f>IF(R3680="",AVERAGEIF(Table1[Category],Table1[[#This Row],[Category]],Table2[orignal data]),Table2[[#This Row],[orignal data]])</f>
        <v>803.32999999999993</v>
      </c>
      <c r="T3680" t="str">
        <f t="shared" si="230"/>
        <v>UNIQUE</v>
      </c>
      <c r="U3680" t="str">
        <f>IF(ISBLANK(Table1[[#This Row],[SizeOption]]),"NOT AVAILABLE",Table1[[#This Row],[SizeOption]])</f>
        <v>28, 30, 32, 34</v>
      </c>
      <c r="Y3680" t="str">
        <f>IF(Table2[[#This Row],[Column1]]&gt;50%,"HIGH DISCOUNT","LOW DISCOUNT")</f>
        <v>LOW DISCOUNT</v>
      </c>
    </row>
    <row r="3681" spans="1:25" x14ac:dyDescent="0.25">
      <c r="A3681" s="2" t="s">
        <v>7596</v>
      </c>
      <c r="B3681" s="2">
        <v>13670892</v>
      </c>
      <c r="C3681" s="2" t="s">
        <v>124</v>
      </c>
      <c r="D3681" s="2" t="s">
        <v>41</v>
      </c>
      <c r="E3681" s="2" t="s">
        <v>48</v>
      </c>
      <c r="F3681" s="2" t="s">
        <v>36</v>
      </c>
      <c r="G3681" s="2" t="s">
        <v>7597</v>
      </c>
      <c r="I3681" s="2">
        <v>1299</v>
      </c>
      <c r="J3681" s="2" t="s">
        <v>55</v>
      </c>
      <c r="K3681" s="2" t="s">
        <v>352</v>
      </c>
      <c r="L3681" s="2">
        <v>3.8</v>
      </c>
      <c r="M3681" s="2">
        <v>551</v>
      </c>
      <c r="P3681" t="str">
        <f t="shared" si="231"/>
        <v>60%</v>
      </c>
      <c r="Q3681" s="12">
        <f t="shared" si="228"/>
        <v>0.6</v>
      </c>
      <c r="R3681" s="9">
        <f t="shared" si="229"/>
        <v>519.6</v>
      </c>
      <c r="S3681" s="9">
        <f>IF(R3681="",AVERAGEIF(Table1[Category],Table1[[#This Row],[Category]],Table2[orignal data]),Table2[[#This Row],[orignal data]])</f>
        <v>519.6</v>
      </c>
      <c r="T3681" t="str">
        <f t="shared" si="230"/>
        <v>UNIQUE</v>
      </c>
      <c r="U3681" t="str">
        <f>IF(ISBLANK(Table1[[#This Row],[SizeOption]]),"NOT AVAILABLE",Table1[[#This Row],[SizeOption]])</f>
        <v>S, M, L</v>
      </c>
      <c r="Y3681" t="str">
        <f>IF(Table2[[#This Row],[Column1]]&gt;50%,"HIGH DISCOUNT","LOW DISCOUNT")</f>
        <v>HIGH DISCOUNT</v>
      </c>
    </row>
    <row r="3682" spans="1:25" x14ac:dyDescent="0.25">
      <c r="A3682" s="1" t="s">
        <v>7598</v>
      </c>
      <c r="B3682" s="1">
        <v>10778618</v>
      </c>
      <c r="C3682" s="1" t="s">
        <v>14</v>
      </c>
      <c r="D3682" s="1" t="s">
        <v>41</v>
      </c>
      <c r="E3682" s="1" t="s">
        <v>42</v>
      </c>
      <c r="F3682" s="1" t="s">
        <v>36</v>
      </c>
      <c r="G3682" s="1" t="s">
        <v>1834</v>
      </c>
      <c r="I3682" s="1">
        <v>499</v>
      </c>
      <c r="J3682" s="1" t="s">
        <v>84</v>
      </c>
      <c r="K3682" s="1" t="s">
        <v>45</v>
      </c>
      <c r="L3682" s="1">
        <v>4.2</v>
      </c>
      <c r="M3682" s="1">
        <v>551</v>
      </c>
      <c r="P3682" t="str">
        <f t="shared" si="231"/>
        <v>50%</v>
      </c>
      <c r="Q3682" s="12">
        <f t="shared" si="228"/>
        <v>0.5</v>
      </c>
      <c r="R3682" s="9">
        <f t="shared" si="229"/>
        <v>249.5</v>
      </c>
      <c r="S3682" s="9">
        <f>IF(R3682="",AVERAGEIF(Table1[Category],Table1[[#This Row],[Category]],Table2[orignal data]),Table2[[#This Row],[orignal data]])</f>
        <v>249.5</v>
      </c>
      <c r="T3682" t="str">
        <f t="shared" si="230"/>
        <v>UNIQUE</v>
      </c>
      <c r="U3682" t="str">
        <f>IF(ISBLANK(Table1[[#This Row],[SizeOption]]),"NOT AVAILABLE",Table1[[#This Row],[SizeOption]])</f>
        <v>XS, S, M, L, XL</v>
      </c>
      <c r="Y3682" t="str">
        <f>IF(Table2[[#This Row],[Column1]]&gt;50%,"HIGH DISCOUNT","LOW DISCOUNT")</f>
        <v>LOW DISCOUNT</v>
      </c>
    </row>
    <row r="3683" spans="1:25" x14ac:dyDescent="0.25">
      <c r="A3683" s="2" t="s">
        <v>7599</v>
      </c>
      <c r="B3683" s="2">
        <v>13859140</v>
      </c>
      <c r="C3683" s="2" t="s">
        <v>14</v>
      </c>
      <c r="D3683" s="2" t="s">
        <v>15</v>
      </c>
      <c r="E3683" s="2" t="s">
        <v>53</v>
      </c>
      <c r="F3683" s="2" t="s">
        <v>17</v>
      </c>
      <c r="G3683" s="2" t="s">
        <v>7600</v>
      </c>
      <c r="I3683" s="2">
        <v>1299</v>
      </c>
      <c r="J3683" s="2"/>
      <c r="K3683" s="2" t="s">
        <v>20</v>
      </c>
      <c r="L3683" s="2">
        <v>4</v>
      </c>
      <c r="M3683" s="2">
        <v>550</v>
      </c>
      <c r="P3683" t="str">
        <f t="shared" si="231"/>
        <v/>
      </c>
      <c r="Q3683" s="12" t="str">
        <f t="shared" si="228"/>
        <v/>
      </c>
      <c r="R3683" s="9" t="str">
        <f t="shared" si="229"/>
        <v/>
      </c>
      <c r="S3683" s="9">
        <f>IF(R3683="",AVERAGEIF(Table1[Category],Table1[[#This Row],[Category]],Table2[orignal data]),Table2[[#This Row],[orignal data]])</f>
        <v>892.27590339892538</v>
      </c>
      <c r="T3683" t="str">
        <f t="shared" si="230"/>
        <v>UNIQUE</v>
      </c>
      <c r="U3683" t="str">
        <f>IF(ISBLANK(Table1[[#This Row],[SizeOption]]),"NOT AVAILABLE",Table1[[#This Row],[SizeOption]])</f>
        <v>28, 30, 32, 34, 36</v>
      </c>
      <c r="Y3683" t="str">
        <f>IF(Table2[[#This Row],[Column1]]&gt;50%,"HIGH DISCOUNT","LOW DISCOUNT")</f>
        <v>HIGH DISCOUNT</v>
      </c>
    </row>
    <row r="3684" spans="1:25" x14ac:dyDescent="0.25">
      <c r="A3684" s="1" t="s">
        <v>7601</v>
      </c>
      <c r="B3684" s="1">
        <v>10624000</v>
      </c>
      <c r="C3684" s="1" t="s">
        <v>47</v>
      </c>
      <c r="D3684" s="1" t="s">
        <v>15</v>
      </c>
      <c r="E3684" s="1" t="s">
        <v>23</v>
      </c>
      <c r="F3684" s="1" t="s">
        <v>17</v>
      </c>
      <c r="G3684" s="1" t="s">
        <v>7602</v>
      </c>
      <c r="H3684">
        <v>679</v>
      </c>
      <c r="I3684" s="1">
        <v>1699</v>
      </c>
      <c r="J3684" s="1" t="s">
        <v>55</v>
      </c>
      <c r="K3684" s="1" t="s">
        <v>115</v>
      </c>
      <c r="L3684" s="1">
        <v>4</v>
      </c>
      <c r="M3684" s="1">
        <v>550</v>
      </c>
      <c r="P3684" t="str">
        <f t="shared" si="231"/>
        <v>60%</v>
      </c>
      <c r="Q3684" s="12">
        <f t="shared" si="228"/>
        <v>0.6</v>
      </c>
      <c r="R3684" s="9">
        <f t="shared" si="229"/>
        <v>679.6</v>
      </c>
      <c r="S3684" s="9">
        <f>IF(R3684="",AVERAGEIF(Table1[Category],Table1[[#This Row],[Category]],Table2[orignal data]),Table2[[#This Row],[orignal data]])</f>
        <v>679.6</v>
      </c>
      <c r="T3684" t="str">
        <f t="shared" si="230"/>
        <v>UNIQUE</v>
      </c>
      <c r="U3684" t="str">
        <f>IF(ISBLANK(Table1[[#This Row],[SizeOption]]),"NOT AVAILABLE",Table1[[#This Row],[SizeOption]])</f>
        <v>XS, S, M, L, XL, XXL</v>
      </c>
      <c r="Y3684" t="str">
        <f>IF(Table2[[#This Row],[Column1]]&gt;50%,"HIGH DISCOUNT","LOW DISCOUNT")</f>
        <v>HIGH DISCOUNT</v>
      </c>
    </row>
    <row r="3685" spans="1:25" x14ac:dyDescent="0.25">
      <c r="A3685" s="2" t="s">
        <v>7603</v>
      </c>
      <c r="B3685" s="2">
        <v>8684727</v>
      </c>
      <c r="C3685" s="2" t="s">
        <v>169</v>
      </c>
      <c r="D3685" s="2" t="s">
        <v>15</v>
      </c>
      <c r="E3685" s="2" t="s">
        <v>137</v>
      </c>
      <c r="F3685" s="2" t="s">
        <v>17</v>
      </c>
      <c r="G3685" s="2" t="s">
        <v>7604</v>
      </c>
      <c r="H3685">
        <v>799</v>
      </c>
      <c r="I3685" s="2">
        <v>1599</v>
      </c>
      <c r="J3685" s="2" t="s">
        <v>84</v>
      </c>
      <c r="K3685" s="2" t="s">
        <v>20</v>
      </c>
      <c r="L3685" s="2">
        <v>4.3</v>
      </c>
      <c r="M3685" s="2">
        <v>550</v>
      </c>
      <c r="P3685" t="str">
        <f t="shared" si="231"/>
        <v>50%</v>
      </c>
      <c r="Q3685" s="12">
        <f t="shared" si="228"/>
        <v>0.5</v>
      </c>
      <c r="R3685" s="9">
        <f t="shared" si="229"/>
        <v>799.5</v>
      </c>
      <c r="S3685" s="9">
        <f>IF(R3685="",AVERAGEIF(Table1[Category],Table1[[#This Row],[Category]],Table2[orignal data]),Table2[[#This Row],[orignal data]])</f>
        <v>799.5</v>
      </c>
      <c r="T3685" t="str">
        <f t="shared" si="230"/>
        <v>UNIQUE</v>
      </c>
      <c r="U3685" t="str">
        <f>IF(ISBLANK(Table1[[#This Row],[SizeOption]]),"NOT AVAILABLE",Table1[[#This Row],[SizeOption]])</f>
        <v>28, 30, 32, 34, 36</v>
      </c>
      <c r="Y3685" t="str">
        <f>IF(Table2[[#This Row],[Column1]]&gt;50%,"HIGH DISCOUNT","LOW DISCOUNT")</f>
        <v>LOW DISCOUNT</v>
      </c>
    </row>
    <row r="3686" spans="1:25" x14ac:dyDescent="0.25">
      <c r="A3686" s="1" t="s">
        <v>7605</v>
      </c>
      <c r="B3686" s="1">
        <v>5387864</v>
      </c>
      <c r="C3686" s="1" t="s">
        <v>52</v>
      </c>
      <c r="D3686" s="1" t="s">
        <v>15</v>
      </c>
      <c r="E3686" s="1" t="s">
        <v>53</v>
      </c>
      <c r="F3686" s="1" t="s">
        <v>17</v>
      </c>
      <c r="G3686" s="1" t="s">
        <v>7606</v>
      </c>
      <c r="H3686">
        <v>599</v>
      </c>
      <c r="I3686" s="1">
        <v>1499</v>
      </c>
      <c r="J3686" s="1" t="s">
        <v>55</v>
      </c>
      <c r="K3686" s="1" t="s">
        <v>56</v>
      </c>
      <c r="L3686" s="1">
        <v>4</v>
      </c>
      <c r="M3686" s="1">
        <v>550</v>
      </c>
      <c r="P3686" t="str">
        <f t="shared" si="231"/>
        <v>60%</v>
      </c>
      <c r="Q3686" s="12">
        <f t="shared" si="228"/>
        <v>0.6</v>
      </c>
      <c r="R3686" s="9">
        <f t="shared" si="229"/>
        <v>599.6</v>
      </c>
      <c r="S3686" s="9">
        <f>IF(R3686="",AVERAGEIF(Table1[Category],Table1[[#This Row],[Category]],Table2[orignal data]),Table2[[#This Row],[orignal data]])</f>
        <v>599.6</v>
      </c>
      <c r="T3686" t="str">
        <f t="shared" si="230"/>
        <v>UNIQUE</v>
      </c>
      <c r="U3686" t="str">
        <f>IF(ISBLANK(Table1[[#This Row],[SizeOption]]),"NOT AVAILABLE",Table1[[#This Row],[SizeOption]])</f>
        <v>30, 32, 34, 36</v>
      </c>
      <c r="Y3686" t="str">
        <f>IF(Table2[[#This Row],[Column1]]&gt;50%,"HIGH DISCOUNT","LOW DISCOUNT")</f>
        <v>HIGH DISCOUNT</v>
      </c>
    </row>
    <row r="3687" spans="1:25" x14ac:dyDescent="0.25">
      <c r="A3687" s="2" t="s">
        <v>7607</v>
      </c>
      <c r="B3687" s="2">
        <v>8458523</v>
      </c>
      <c r="C3687" s="2" t="s">
        <v>346</v>
      </c>
      <c r="D3687" s="2" t="s">
        <v>28</v>
      </c>
      <c r="E3687" s="2" t="s">
        <v>42</v>
      </c>
      <c r="F3687" s="2" t="s">
        <v>17</v>
      </c>
      <c r="G3687" s="2" t="s">
        <v>7608</v>
      </c>
      <c r="H3687">
        <v>584</v>
      </c>
      <c r="I3687" s="2">
        <v>1299</v>
      </c>
      <c r="J3687" s="2" t="s">
        <v>25</v>
      </c>
      <c r="K3687" s="2" t="s">
        <v>39</v>
      </c>
      <c r="L3687" s="2">
        <v>4.3</v>
      </c>
      <c r="M3687" s="2">
        <v>550</v>
      </c>
      <c r="P3687" t="str">
        <f t="shared" si="231"/>
        <v>55%</v>
      </c>
      <c r="Q3687" s="12">
        <f t="shared" si="228"/>
        <v>0.55000000000000004</v>
      </c>
      <c r="R3687" s="9">
        <f t="shared" si="229"/>
        <v>584.54999999999995</v>
      </c>
      <c r="S3687" s="9">
        <f>IF(R3687="",AVERAGEIF(Table1[Category],Table1[[#This Row],[Category]],Table2[orignal data]),Table2[[#This Row],[orignal data]])</f>
        <v>584.54999999999995</v>
      </c>
      <c r="T3687" t="str">
        <f t="shared" si="230"/>
        <v>UNIQUE</v>
      </c>
      <c r="U3687" t="str">
        <f>IF(ISBLANK(Table1[[#This Row],[SizeOption]]),"NOT AVAILABLE",Table1[[#This Row],[SizeOption]])</f>
        <v>S, M, L, XL, XXL</v>
      </c>
      <c r="Y3687" t="str">
        <f>IF(Table2[[#This Row],[Column1]]&gt;50%,"HIGH DISCOUNT","LOW DISCOUNT")</f>
        <v>HIGH DISCOUNT</v>
      </c>
    </row>
    <row r="3688" spans="1:25" x14ac:dyDescent="0.25">
      <c r="A3688" s="1" t="s">
        <v>7609</v>
      </c>
      <c r="B3688" s="1">
        <v>10463370</v>
      </c>
      <c r="C3688" s="1" t="s">
        <v>346</v>
      </c>
      <c r="D3688" s="1" t="s">
        <v>28</v>
      </c>
      <c r="E3688" s="1" t="s">
        <v>29</v>
      </c>
      <c r="F3688" s="1" t="s">
        <v>17</v>
      </c>
      <c r="G3688" s="1" t="s">
        <v>7610</v>
      </c>
      <c r="H3688">
        <v>764</v>
      </c>
      <c r="I3688" s="1">
        <v>1699</v>
      </c>
      <c r="J3688" s="1" t="s">
        <v>25</v>
      </c>
      <c r="K3688" s="1" t="s">
        <v>253</v>
      </c>
      <c r="L3688" s="1">
        <v>4</v>
      </c>
      <c r="M3688" s="1">
        <v>550</v>
      </c>
      <c r="P3688" t="str">
        <f t="shared" si="231"/>
        <v>55%</v>
      </c>
      <c r="Q3688" s="12">
        <f t="shared" si="228"/>
        <v>0.55000000000000004</v>
      </c>
      <c r="R3688" s="9">
        <f t="shared" si="229"/>
        <v>764.55</v>
      </c>
      <c r="S3688" s="9">
        <f>IF(R3688="",AVERAGEIF(Table1[Category],Table1[[#This Row],[Category]],Table2[orignal data]),Table2[[#This Row],[orignal data]])</f>
        <v>764.55</v>
      </c>
      <c r="T3688" t="str">
        <f t="shared" si="230"/>
        <v>UNIQUE</v>
      </c>
      <c r="U3688" t="str">
        <f>IF(ISBLANK(Table1[[#This Row],[SizeOption]]),"NOT AVAILABLE",Table1[[#This Row],[SizeOption]])</f>
        <v>38, 40, 42, 44</v>
      </c>
      <c r="Y3688" t="str">
        <f>IF(Table2[[#This Row],[Column1]]&gt;50%,"HIGH DISCOUNT","LOW DISCOUNT")</f>
        <v>HIGH DISCOUNT</v>
      </c>
    </row>
    <row r="3689" spans="1:25" x14ac:dyDescent="0.25">
      <c r="A3689" s="2" t="s">
        <v>7611</v>
      </c>
      <c r="B3689" s="2">
        <v>10356525</v>
      </c>
      <c r="C3689" s="2" t="s">
        <v>1489</v>
      </c>
      <c r="D3689" s="2" t="s">
        <v>76</v>
      </c>
      <c r="E3689" s="2" t="s">
        <v>93</v>
      </c>
      <c r="F3689" s="2" t="s">
        <v>36</v>
      </c>
      <c r="G3689" s="2" t="s">
        <v>7612</v>
      </c>
      <c r="H3689">
        <v>734</v>
      </c>
      <c r="I3689" s="2">
        <v>1499</v>
      </c>
      <c r="J3689" s="2" t="s">
        <v>163</v>
      </c>
      <c r="K3689" s="2" t="s">
        <v>115</v>
      </c>
      <c r="L3689" s="2">
        <v>4.2</v>
      </c>
      <c r="M3689" s="2">
        <v>550</v>
      </c>
      <c r="P3689" t="str">
        <f t="shared" si="231"/>
        <v>51%</v>
      </c>
      <c r="Q3689" s="12">
        <f t="shared" si="228"/>
        <v>0.51</v>
      </c>
      <c r="R3689" s="9">
        <f t="shared" si="229"/>
        <v>734.51</v>
      </c>
      <c r="S3689" s="9">
        <f>IF(R3689="",AVERAGEIF(Table1[Category],Table1[[#This Row],[Category]],Table2[orignal data]),Table2[[#This Row],[orignal data]])</f>
        <v>734.51</v>
      </c>
      <c r="T3689" t="str">
        <f t="shared" si="230"/>
        <v>UNIQUE</v>
      </c>
      <c r="U3689" t="str">
        <f>IF(ISBLANK(Table1[[#This Row],[SizeOption]]),"NOT AVAILABLE",Table1[[#This Row],[SizeOption]])</f>
        <v>XS, S, M, L, XL, XXL</v>
      </c>
      <c r="Y3689" t="str">
        <f>IF(Table2[[#This Row],[Column1]]&gt;50%,"HIGH DISCOUNT","LOW DISCOUNT")</f>
        <v>HIGH DISCOUNT</v>
      </c>
    </row>
    <row r="3690" spans="1:25" x14ac:dyDescent="0.25">
      <c r="A3690" s="1" t="s">
        <v>7613</v>
      </c>
      <c r="B3690" s="1">
        <v>4440644</v>
      </c>
      <c r="C3690" s="1" t="s">
        <v>377</v>
      </c>
      <c r="D3690" s="1" t="s">
        <v>76</v>
      </c>
      <c r="E3690" s="1" t="s">
        <v>148</v>
      </c>
      <c r="F3690" s="1" t="s">
        <v>36</v>
      </c>
      <c r="G3690" s="1" t="s">
        <v>7614</v>
      </c>
      <c r="H3690">
        <v>628</v>
      </c>
      <c r="I3690" s="1">
        <v>1699</v>
      </c>
      <c r="J3690" s="1" t="s">
        <v>476</v>
      </c>
      <c r="K3690" s="1" t="s">
        <v>39</v>
      </c>
      <c r="L3690" s="1">
        <v>4</v>
      </c>
      <c r="M3690" s="1">
        <v>550</v>
      </c>
      <c r="P3690" t="str">
        <f t="shared" si="231"/>
        <v>63%</v>
      </c>
      <c r="Q3690" s="12">
        <f t="shared" si="228"/>
        <v>0.63</v>
      </c>
      <c r="R3690" s="9">
        <f t="shared" si="229"/>
        <v>628.62999999999988</v>
      </c>
      <c r="S3690" s="9">
        <f>IF(R3690="",AVERAGEIF(Table1[Category],Table1[[#This Row],[Category]],Table2[orignal data]),Table2[[#This Row],[orignal data]])</f>
        <v>628.62999999999988</v>
      </c>
      <c r="T3690" t="str">
        <f t="shared" si="230"/>
        <v>UNIQUE</v>
      </c>
      <c r="U3690" t="str">
        <f>IF(ISBLANK(Table1[[#This Row],[SizeOption]]),"NOT AVAILABLE",Table1[[#This Row],[SizeOption]])</f>
        <v>S, M, L, XL, XXL</v>
      </c>
      <c r="Y3690" t="str">
        <f>IF(Table2[[#This Row],[Column1]]&gt;50%,"HIGH DISCOUNT","LOW DISCOUNT")</f>
        <v>HIGH DISCOUNT</v>
      </c>
    </row>
    <row r="3691" spans="1:25" x14ac:dyDescent="0.25">
      <c r="A3691" s="2" t="s">
        <v>7615</v>
      </c>
      <c r="B3691" s="2">
        <v>7655498</v>
      </c>
      <c r="C3691" s="2" t="s">
        <v>949</v>
      </c>
      <c r="D3691" s="2" t="s">
        <v>76</v>
      </c>
      <c r="E3691" s="2" t="s">
        <v>93</v>
      </c>
      <c r="F3691" s="2" t="s">
        <v>36</v>
      </c>
      <c r="G3691" s="2" t="s">
        <v>7616</v>
      </c>
      <c r="H3691">
        <v>835</v>
      </c>
      <c r="I3691" s="2">
        <v>1899</v>
      </c>
      <c r="J3691" s="2" t="s">
        <v>1204</v>
      </c>
      <c r="K3691" s="2" t="s">
        <v>115</v>
      </c>
      <c r="L3691" s="2">
        <v>4.0999999999999996</v>
      </c>
      <c r="M3691" s="2">
        <v>550</v>
      </c>
      <c r="P3691" t="str">
        <f t="shared" si="231"/>
        <v>56%</v>
      </c>
      <c r="Q3691" s="12">
        <f t="shared" si="228"/>
        <v>0.56000000000000005</v>
      </c>
      <c r="R3691" s="9">
        <f t="shared" si="229"/>
        <v>835.56</v>
      </c>
      <c r="S3691" s="9">
        <f>IF(R3691="",AVERAGEIF(Table1[Category],Table1[[#This Row],[Category]],Table2[orignal data]),Table2[[#This Row],[orignal data]])</f>
        <v>835.56</v>
      </c>
      <c r="T3691" t="str">
        <f t="shared" si="230"/>
        <v>UNIQUE</v>
      </c>
      <c r="U3691" t="str">
        <f>IF(ISBLANK(Table1[[#This Row],[SizeOption]]),"NOT AVAILABLE",Table1[[#This Row],[SizeOption]])</f>
        <v>XS, S, M, L, XL, XXL</v>
      </c>
      <c r="Y3691" t="str">
        <f>IF(Table2[[#This Row],[Column1]]&gt;50%,"HIGH DISCOUNT","LOW DISCOUNT")</f>
        <v>HIGH DISCOUNT</v>
      </c>
    </row>
    <row r="3692" spans="1:25" x14ac:dyDescent="0.25">
      <c r="A3692" s="1" t="s">
        <v>7617</v>
      </c>
      <c r="B3692" s="1">
        <v>13321280</v>
      </c>
      <c r="C3692" s="1" t="s">
        <v>97</v>
      </c>
      <c r="D3692" s="1" t="s">
        <v>76</v>
      </c>
      <c r="E3692" s="1" t="s">
        <v>77</v>
      </c>
      <c r="F3692" s="1" t="s">
        <v>36</v>
      </c>
      <c r="G3692" s="1" t="s">
        <v>7618</v>
      </c>
      <c r="H3692">
        <v>1199</v>
      </c>
      <c r="I3692" s="1">
        <v>2999</v>
      </c>
      <c r="J3692" s="1" t="s">
        <v>55</v>
      </c>
      <c r="K3692" s="1" t="s">
        <v>100</v>
      </c>
      <c r="L3692" s="1">
        <v>4.2</v>
      </c>
      <c r="M3692" s="1">
        <v>550</v>
      </c>
      <c r="P3692" t="str">
        <f t="shared" si="231"/>
        <v>60%</v>
      </c>
      <c r="Q3692" s="12">
        <f t="shared" si="228"/>
        <v>0.6</v>
      </c>
      <c r="R3692" s="9">
        <f t="shared" si="229"/>
        <v>1199.6000000000001</v>
      </c>
      <c r="S3692" s="9">
        <f>IF(R3692="",AVERAGEIF(Table1[Category],Table1[[#This Row],[Category]],Table2[orignal data]),Table2[[#This Row],[orignal data]])</f>
        <v>1199.6000000000001</v>
      </c>
      <c r="T3692" t="str">
        <f t="shared" si="230"/>
        <v>UNIQUE</v>
      </c>
      <c r="U3692" t="str">
        <f>IF(ISBLANK(Table1[[#This Row],[SizeOption]]),"NOT AVAILABLE",Table1[[#This Row],[SizeOption]])</f>
        <v>XS, S, M, L, XL, XXL, 3XL</v>
      </c>
      <c r="Y3692" t="str">
        <f>IF(Table2[[#This Row],[Column1]]&gt;50%,"HIGH DISCOUNT","LOW DISCOUNT")</f>
        <v>HIGH DISCOUNT</v>
      </c>
    </row>
    <row r="3693" spans="1:25" x14ac:dyDescent="0.25">
      <c r="A3693" s="2" t="s">
        <v>7619</v>
      </c>
      <c r="B3693" s="2">
        <v>6930175</v>
      </c>
      <c r="C3693" s="2" t="s">
        <v>2408</v>
      </c>
      <c r="D3693" s="2" t="s">
        <v>76</v>
      </c>
      <c r="E3693" s="2" t="s">
        <v>77</v>
      </c>
      <c r="F3693" s="2" t="s">
        <v>36</v>
      </c>
      <c r="G3693" s="2" t="s">
        <v>7620</v>
      </c>
      <c r="H3693">
        <v>1349</v>
      </c>
      <c r="I3693" s="2">
        <v>2999</v>
      </c>
      <c r="J3693" s="2" t="s">
        <v>25</v>
      </c>
      <c r="K3693" s="2" t="s">
        <v>39</v>
      </c>
      <c r="L3693" s="2">
        <v>4.2</v>
      </c>
      <c r="M3693" s="2">
        <v>550</v>
      </c>
      <c r="P3693" t="str">
        <f t="shared" si="231"/>
        <v>55%</v>
      </c>
      <c r="Q3693" s="12">
        <f t="shared" si="228"/>
        <v>0.55000000000000004</v>
      </c>
      <c r="R3693" s="9">
        <f t="shared" si="229"/>
        <v>1349.55</v>
      </c>
      <c r="S3693" s="9">
        <f>IF(R3693="",AVERAGEIF(Table1[Category],Table1[[#This Row],[Category]],Table2[orignal data]),Table2[[#This Row],[orignal data]])</f>
        <v>1349.55</v>
      </c>
      <c r="T3693" t="str">
        <f t="shared" si="230"/>
        <v>UNIQUE</v>
      </c>
      <c r="U3693" t="str">
        <f>IF(ISBLANK(Table1[[#This Row],[SizeOption]]),"NOT AVAILABLE",Table1[[#This Row],[SizeOption]])</f>
        <v>S, M, L, XL, XXL</v>
      </c>
      <c r="Y3693" t="str">
        <f>IF(Table2[[#This Row],[Column1]]&gt;50%,"HIGH DISCOUNT","LOW DISCOUNT")</f>
        <v>HIGH DISCOUNT</v>
      </c>
    </row>
    <row r="3694" spans="1:25" x14ac:dyDescent="0.25">
      <c r="A3694" s="1" t="s">
        <v>7621</v>
      </c>
      <c r="B3694" s="1">
        <v>12104560</v>
      </c>
      <c r="C3694" s="1" t="s">
        <v>97</v>
      </c>
      <c r="D3694" s="1" t="s">
        <v>76</v>
      </c>
      <c r="E3694" s="1" t="s">
        <v>77</v>
      </c>
      <c r="F3694" s="1" t="s">
        <v>36</v>
      </c>
      <c r="G3694" s="1" t="s">
        <v>7622</v>
      </c>
      <c r="H3694">
        <v>1024</v>
      </c>
      <c r="I3694" s="1">
        <v>4099</v>
      </c>
      <c r="J3694" s="1" t="s">
        <v>109</v>
      </c>
      <c r="K3694" s="1" t="s">
        <v>100</v>
      </c>
      <c r="L3694" s="1">
        <v>4.3</v>
      </c>
      <c r="M3694" s="1">
        <v>550</v>
      </c>
      <c r="P3694" t="str">
        <f t="shared" si="231"/>
        <v>75%</v>
      </c>
      <c r="Q3694" s="12">
        <f t="shared" si="228"/>
        <v>0.75</v>
      </c>
      <c r="R3694" s="9">
        <f t="shared" si="229"/>
        <v>1024.75</v>
      </c>
      <c r="S3694" s="9">
        <f>IF(R3694="",AVERAGEIF(Table1[Category],Table1[[#This Row],[Category]],Table2[orignal data]),Table2[[#This Row],[orignal data]])</f>
        <v>1024.75</v>
      </c>
      <c r="T3694" t="str">
        <f t="shared" si="230"/>
        <v>UNIQUE</v>
      </c>
      <c r="U3694" t="str">
        <f>IF(ISBLANK(Table1[[#This Row],[SizeOption]]),"NOT AVAILABLE",Table1[[#This Row],[SizeOption]])</f>
        <v>XS, S, M, L, XL, XXL, 3XL</v>
      </c>
      <c r="Y3694" t="str">
        <f>IF(Table2[[#This Row],[Column1]]&gt;50%,"HIGH DISCOUNT","LOW DISCOUNT")</f>
        <v>HIGH DISCOUNT</v>
      </c>
    </row>
    <row r="3695" spans="1:25" x14ac:dyDescent="0.25">
      <c r="A3695" s="2" t="s">
        <v>7623</v>
      </c>
      <c r="B3695" s="2">
        <v>15029072</v>
      </c>
      <c r="C3695" s="2" t="s">
        <v>1375</v>
      </c>
      <c r="D3695" s="2" t="s">
        <v>76</v>
      </c>
      <c r="E3695" s="2" t="s">
        <v>320</v>
      </c>
      <c r="F3695" s="2" t="s">
        <v>36</v>
      </c>
      <c r="G3695" s="2" t="s">
        <v>7624</v>
      </c>
      <c r="H3695">
        <v>1221</v>
      </c>
      <c r="I3695" s="2">
        <v>4699</v>
      </c>
      <c r="J3695" s="2" t="s">
        <v>2469</v>
      </c>
      <c r="K3695" s="2" t="s">
        <v>164</v>
      </c>
      <c r="L3695" s="2">
        <v>3.9</v>
      </c>
      <c r="M3695" s="2">
        <v>550</v>
      </c>
      <c r="P3695" t="str">
        <f t="shared" si="231"/>
        <v>74%</v>
      </c>
      <c r="Q3695" s="12">
        <f t="shared" si="228"/>
        <v>0.74</v>
      </c>
      <c r="R3695" s="9">
        <f t="shared" si="229"/>
        <v>1221.7400000000002</v>
      </c>
      <c r="S3695" s="9">
        <f>IF(R3695="",AVERAGEIF(Table1[Category],Table1[[#This Row],[Category]],Table2[orignal data]),Table2[[#This Row],[orignal data]])</f>
        <v>1221.7400000000002</v>
      </c>
      <c r="T3695" t="str">
        <f t="shared" si="230"/>
        <v>UNIQUE</v>
      </c>
      <c r="U3695" t="str">
        <f>IF(ISBLANK(Table1[[#This Row],[SizeOption]]),"NOT AVAILABLE",Table1[[#This Row],[SizeOption]])</f>
        <v>Onesize</v>
      </c>
      <c r="Y3695" t="str">
        <f>IF(Table2[[#This Row],[Column1]]&gt;50%,"HIGH DISCOUNT","LOW DISCOUNT")</f>
        <v>HIGH DISCOUNT</v>
      </c>
    </row>
    <row r="3696" spans="1:25" x14ac:dyDescent="0.25">
      <c r="A3696" s="1" t="s">
        <v>7625</v>
      </c>
      <c r="B3696" s="1">
        <v>12652084</v>
      </c>
      <c r="C3696" s="1" t="s">
        <v>64</v>
      </c>
      <c r="D3696" s="1" t="s">
        <v>98</v>
      </c>
      <c r="E3696" s="1" t="s">
        <v>77</v>
      </c>
      <c r="F3696" s="1" t="s">
        <v>36</v>
      </c>
      <c r="G3696" s="1" t="s">
        <v>7626</v>
      </c>
      <c r="I3696" s="1">
        <v>2599</v>
      </c>
      <c r="J3696" s="1"/>
      <c r="K3696" s="1" t="s">
        <v>39</v>
      </c>
      <c r="L3696" s="1">
        <v>4.0999999999999996</v>
      </c>
      <c r="M3696" s="1">
        <v>550</v>
      </c>
      <c r="P3696" t="str">
        <f t="shared" si="231"/>
        <v/>
      </c>
      <c r="Q3696" s="12" t="str">
        <f t="shared" si="228"/>
        <v/>
      </c>
      <c r="R3696" s="9" t="str">
        <f t="shared" si="229"/>
        <v/>
      </c>
      <c r="S3696" s="9">
        <f>IF(R3696="",AVERAGEIF(Table1[Category],Table1[[#This Row],[Category]],Table2[orignal data]),Table2[[#This Row],[orignal data]])</f>
        <v>680.92918566775427</v>
      </c>
      <c r="T3696" t="str">
        <f t="shared" si="230"/>
        <v>UNIQUE</v>
      </c>
      <c r="U3696" t="str">
        <f>IF(ISBLANK(Table1[[#This Row],[SizeOption]]),"NOT AVAILABLE",Table1[[#This Row],[SizeOption]])</f>
        <v>S, M, L, XL, XXL</v>
      </c>
      <c r="Y3696" t="str">
        <f>IF(Table2[[#This Row],[Column1]]&gt;50%,"HIGH DISCOUNT","LOW DISCOUNT")</f>
        <v>HIGH DISCOUNT</v>
      </c>
    </row>
    <row r="3697" spans="1:25" x14ac:dyDescent="0.25">
      <c r="A3697" s="2" t="s">
        <v>7627</v>
      </c>
      <c r="B3697" s="2">
        <v>10440562</v>
      </c>
      <c r="C3697" s="2" t="s">
        <v>107</v>
      </c>
      <c r="D3697" s="2" t="s">
        <v>41</v>
      </c>
      <c r="E3697" s="2" t="s">
        <v>53</v>
      </c>
      <c r="F3697" s="2" t="s">
        <v>36</v>
      </c>
      <c r="G3697" s="2" t="s">
        <v>7628</v>
      </c>
      <c r="I3697" s="2">
        <v>1699</v>
      </c>
      <c r="J3697" s="2" t="s">
        <v>25</v>
      </c>
      <c r="K3697" s="2" t="s">
        <v>428</v>
      </c>
      <c r="L3697" s="2">
        <v>4.3</v>
      </c>
      <c r="M3697" s="2">
        <v>550</v>
      </c>
      <c r="P3697" t="str">
        <f t="shared" si="231"/>
        <v>55%</v>
      </c>
      <c r="Q3697" s="12">
        <f t="shared" si="228"/>
        <v>0.55000000000000004</v>
      </c>
      <c r="R3697" s="9">
        <f t="shared" si="229"/>
        <v>764.55</v>
      </c>
      <c r="S3697" s="9">
        <f>IF(R3697="",AVERAGEIF(Table1[Category],Table1[[#This Row],[Category]],Table2[orignal data]),Table2[[#This Row],[orignal data]])</f>
        <v>764.55</v>
      </c>
      <c r="T3697" t="str">
        <f t="shared" si="230"/>
        <v>UNIQUE</v>
      </c>
      <c r="U3697" t="str">
        <f>IF(ISBLANK(Table1[[#This Row],[SizeOption]]),"NOT AVAILABLE",Table1[[#This Row],[SizeOption]])</f>
        <v>26, 28, 30, 32, 34</v>
      </c>
      <c r="Y3697" t="str">
        <f>IF(Table2[[#This Row],[Column1]]&gt;50%,"HIGH DISCOUNT","LOW DISCOUNT")</f>
        <v>HIGH DISCOUNT</v>
      </c>
    </row>
    <row r="3698" spans="1:25" x14ac:dyDescent="0.25">
      <c r="A3698" s="1" t="s">
        <v>7629</v>
      </c>
      <c r="B3698" s="1">
        <v>12204514</v>
      </c>
      <c r="C3698" s="1" t="s">
        <v>47</v>
      </c>
      <c r="D3698" s="1" t="s">
        <v>41</v>
      </c>
      <c r="E3698" s="1" t="s">
        <v>148</v>
      </c>
      <c r="F3698" s="1" t="s">
        <v>36</v>
      </c>
      <c r="G3698" s="1" t="s">
        <v>7630</v>
      </c>
      <c r="I3698" s="1">
        <v>1799</v>
      </c>
      <c r="J3698" s="1" t="s">
        <v>50</v>
      </c>
      <c r="K3698" s="1" t="s">
        <v>45</v>
      </c>
      <c r="L3698" s="1">
        <v>4.2</v>
      </c>
      <c r="M3698" s="1">
        <v>550</v>
      </c>
      <c r="P3698" t="str">
        <f t="shared" si="231"/>
        <v>40%</v>
      </c>
      <c r="Q3698" s="12">
        <f t="shared" si="228"/>
        <v>0.4</v>
      </c>
      <c r="R3698" s="9">
        <f t="shared" si="229"/>
        <v>1079.4000000000001</v>
      </c>
      <c r="S3698" s="9">
        <f>IF(R3698="",AVERAGEIF(Table1[Category],Table1[[#This Row],[Category]],Table2[orignal data]),Table2[[#This Row],[orignal data]])</f>
        <v>1079.4000000000001</v>
      </c>
      <c r="T3698" t="str">
        <f t="shared" si="230"/>
        <v>UNIQUE</v>
      </c>
      <c r="U3698" t="str">
        <f>IF(ISBLANK(Table1[[#This Row],[SizeOption]]),"NOT AVAILABLE",Table1[[#This Row],[SizeOption]])</f>
        <v>XS, S, M, L, XL</v>
      </c>
      <c r="Y3698" t="str">
        <f>IF(Table2[[#This Row],[Column1]]&gt;50%,"HIGH DISCOUNT","LOW DISCOUNT")</f>
        <v>LOW DISCOUNT</v>
      </c>
    </row>
    <row r="3699" spans="1:25" x14ac:dyDescent="0.25">
      <c r="A3699" s="2" t="s">
        <v>7631</v>
      </c>
      <c r="B3699" s="2">
        <v>8370873</v>
      </c>
      <c r="C3699" s="2" t="s">
        <v>7632</v>
      </c>
      <c r="D3699" s="2" t="s">
        <v>41</v>
      </c>
      <c r="E3699" s="2" t="s">
        <v>148</v>
      </c>
      <c r="F3699" s="2" t="s">
        <v>36</v>
      </c>
      <c r="G3699" s="2" t="s">
        <v>7633</v>
      </c>
      <c r="I3699" s="2">
        <v>1799</v>
      </c>
      <c r="J3699" s="2" t="s">
        <v>602</v>
      </c>
      <c r="K3699" s="2" t="s">
        <v>39</v>
      </c>
      <c r="L3699" s="2">
        <v>4.2</v>
      </c>
      <c r="M3699" s="2">
        <v>550</v>
      </c>
      <c r="P3699" t="str">
        <f t="shared" si="231"/>
        <v>48%</v>
      </c>
      <c r="Q3699" s="12">
        <f t="shared" si="228"/>
        <v>0.48</v>
      </c>
      <c r="R3699" s="9">
        <f t="shared" si="229"/>
        <v>935.48</v>
      </c>
      <c r="S3699" s="9">
        <f>IF(R3699="",AVERAGEIF(Table1[Category],Table1[[#This Row],[Category]],Table2[orignal data]),Table2[[#This Row],[orignal data]])</f>
        <v>935.48</v>
      </c>
      <c r="T3699" t="str">
        <f t="shared" si="230"/>
        <v>UNIQUE</v>
      </c>
      <c r="U3699" t="str">
        <f>IF(ISBLANK(Table1[[#This Row],[SizeOption]]),"NOT AVAILABLE",Table1[[#This Row],[SizeOption]])</f>
        <v>S, M, L, XL, XXL</v>
      </c>
      <c r="Y3699" t="str">
        <f>IF(Table2[[#This Row],[Column1]]&gt;50%,"HIGH DISCOUNT","LOW DISCOUNT")</f>
        <v>LOW DISCOUNT</v>
      </c>
    </row>
    <row r="3700" spans="1:25" x14ac:dyDescent="0.25">
      <c r="A3700" s="1" t="s">
        <v>7634</v>
      </c>
      <c r="B3700" s="1">
        <v>11541854</v>
      </c>
      <c r="C3700" s="1" t="s">
        <v>14</v>
      </c>
      <c r="D3700" s="1" t="s">
        <v>41</v>
      </c>
      <c r="E3700" s="1" t="s">
        <v>16</v>
      </c>
      <c r="F3700" s="1" t="s">
        <v>36</v>
      </c>
      <c r="G3700" s="1" t="s">
        <v>7635</v>
      </c>
      <c r="I3700" s="1">
        <v>2199</v>
      </c>
      <c r="J3700" s="1" t="s">
        <v>84</v>
      </c>
      <c r="K3700" s="1" t="s">
        <v>134</v>
      </c>
      <c r="L3700" s="1">
        <v>4.3</v>
      </c>
      <c r="M3700" s="1">
        <v>550</v>
      </c>
      <c r="P3700" t="str">
        <f t="shared" si="231"/>
        <v>50%</v>
      </c>
      <c r="Q3700" s="12">
        <f t="shared" si="228"/>
        <v>0.5</v>
      </c>
      <c r="R3700" s="9">
        <f t="shared" si="229"/>
        <v>1099.5</v>
      </c>
      <c r="S3700" s="9">
        <f>IF(R3700="",AVERAGEIF(Table1[Category],Table1[[#This Row],[Category]],Table2[orignal data]),Table2[[#This Row],[orignal data]])</f>
        <v>1099.5</v>
      </c>
      <c r="T3700" t="str">
        <f t="shared" si="230"/>
        <v>UNIQUE</v>
      </c>
      <c r="U3700" t="str">
        <f>IF(ISBLANK(Table1[[#This Row],[SizeOption]]),"NOT AVAILABLE",Table1[[#This Row],[SizeOption]])</f>
        <v>26, 28, 30, 32, 34, 36</v>
      </c>
      <c r="Y3700" t="str">
        <f>IF(Table2[[#This Row],[Column1]]&gt;50%,"HIGH DISCOUNT","LOW DISCOUNT")</f>
        <v>LOW DISCOUNT</v>
      </c>
    </row>
    <row r="3701" spans="1:25" x14ac:dyDescent="0.25">
      <c r="A3701" s="2" t="s">
        <v>7636</v>
      </c>
      <c r="B3701" s="2">
        <v>11364328</v>
      </c>
      <c r="C3701" s="2" t="s">
        <v>181</v>
      </c>
      <c r="D3701" s="2" t="s">
        <v>41</v>
      </c>
      <c r="E3701" s="2" t="s">
        <v>148</v>
      </c>
      <c r="F3701" s="2" t="s">
        <v>36</v>
      </c>
      <c r="G3701" s="2" t="s">
        <v>7637</v>
      </c>
      <c r="I3701" s="2">
        <v>2299</v>
      </c>
      <c r="J3701" s="2" t="s">
        <v>84</v>
      </c>
      <c r="K3701" s="2" t="s">
        <v>115</v>
      </c>
      <c r="L3701" s="2">
        <v>4.2</v>
      </c>
      <c r="M3701" s="2">
        <v>550</v>
      </c>
      <c r="P3701" t="str">
        <f t="shared" si="231"/>
        <v>50%</v>
      </c>
      <c r="Q3701" s="12">
        <f t="shared" si="228"/>
        <v>0.5</v>
      </c>
      <c r="R3701" s="9">
        <f t="shared" si="229"/>
        <v>1149.5</v>
      </c>
      <c r="S3701" s="9">
        <f>IF(R3701="",AVERAGEIF(Table1[Category],Table1[[#This Row],[Category]],Table2[orignal data]),Table2[[#This Row],[orignal data]])</f>
        <v>1149.5</v>
      </c>
      <c r="T3701" t="str">
        <f t="shared" si="230"/>
        <v>UNIQUE</v>
      </c>
      <c r="U3701" t="str">
        <f>IF(ISBLANK(Table1[[#This Row],[SizeOption]]),"NOT AVAILABLE",Table1[[#This Row],[SizeOption]])</f>
        <v>XS, S, M, L, XL, XXL</v>
      </c>
      <c r="Y3701" t="str">
        <f>IF(Table2[[#This Row],[Column1]]&gt;50%,"HIGH DISCOUNT","LOW DISCOUNT")</f>
        <v>LOW DISCOUNT</v>
      </c>
    </row>
    <row r="3702" spans="1:25" x14ac:dyDescent="0.25">
      <c r="A3702" s="1" t="s">
        <v>7638</v>
      </c>
      <c r="B3702" s="1">
        <v>11092674</v>
      </c>
      <c r="C3702" s="1" t="s">
        <v>14</v>
      </c>
      <c r="D3702" s="1" t="s">
        <v>41</v>
      </c>
      <c r="E3702" s="1" t="s">
        <v>48</v>
      </c>
      <c r="F3702" s="1" t="s">
        <v>36</v>
      </c>
      <c r="G3702" s="1" t="s">
        <v>7639</v>
      </c>
      <c r="I3702" s="1">
        <v>899</v>
      </c>
      <c r="J3702" s="1" t="s">
        <v>55</v>
      </c>
      <c r="K3702" s="1" t="s">
        <v>45</v>
      </c>
      <c r="L3702" s="1">
        <v>4.2</v>
      </c>
      <c r="M3702" s="1">
        <v>550</v>
      </c>
      <c r="P3702" t="str">
        <f t="shared" si="231"/>
        <v>60%</v>
      </c>
      <c r="Q3702" s="12">
        <f t="shared" si="228"/>
        <v>0.6</v>
      </c>
      <c r="R3702" s="9">
        <f t="shared" si="229"/>
        <v>359.6</v>
      </c>
      <c r="S3702" s="9">
        <f>IF(R3702="",AVERAGEIF(Table1[Category],Table1[[#This Row],[Category]],Table2[orignal data]),Table2[[#This Row],[orignal data]])</f>
        <v>359.6</v>
      </c>
      <c r="T3702" t="str">
        <f t="shared" si="230"/>
        <v>UNIQUE</v>
      </c>
      <c r="U3702" t="str">
        <f>IF(ISBLANK(Table1[[#This Row],[SizeOption]]),"NOT AVAILABLE",Table1[[#This Row],[SizeOption]])</f>
        <v>XS, S, M, L, XL</v>
      </c>
      <c r="Y3702" t="str">
        <f>IF(Table2[[#This Row],[Column1]]&gt;50%,"HIGH DISCOUNT","LOW DISCOUNT")</f>
        <v>HIGH DISCOUNT</v>
      </c>
    </row>
    <row r="3703" spans="1:25" x14ac:dyDescent="0.25">
      <c r="A3703" s="2" t="s">
        <v>7640</v>
      </c>
      <c r="B3703" s="2">
        <v>11101160</v>
      </c>
      <c r="C3703" s="2" t="s">
        <v>7641</v>
      </c>
      <c r="D3703" s="2" t="s">
        <v>76</v>
      </c>
      <c r="E3703" s="2" t="s">
        <v>148</v>
      </c>
      <c r="F3703" s="2" t="s">
        <v>36</v>
      </c>
      <c r="G3703" s="2" t="s">
        <v>7642</v>
      </c>
      <c r="H3703">
        <v>1499</v>
      </c>
      <c r="I3703" s="2">
        <v>2499</v>
      </c>
      <c r="J3703" s="2" t="s">
        <v>50</v>
      </c>
      <c r="K3703" s="2" t="s">
        <v>39</v>
      </c>
      <c r="L3703" s="2">
        <v>4.3</v>
      </c>
      <c r="M3703" s="2">
        <v>549</v>
      </c>
      <c r="P3703" t="str">
        <f t="shared" si="231"/>
        <v>40%</v>
      </c>
      <c r="Q3703" s="12">
        <f t="shared" si="228"/>
        <v>0.4</v>
      </c>
      <c r="R3703" s="9">
        <f t="shared" si="229"/>
        <v>1499.4</v>
      </c>
      <c r="S3703" s="9">
        <f>IF(R3703="",AVERAGEIF(Table1[Category],Table1[[#This Row],[Category]],Table2[orignal data]),Table2[[#This Row],[orignal data]])</f>
        <v>1499.4</v>
      </c>
      <c r="T3703" t="str">
        <f t="shared" si="230"/>
        <v>UNIQUE</v>
      </c>
      <c r="U3703" t="str">
        <f>IF(ISBLANK(Table1[[#This Row],[SizeOption]]),"NOT AVAILABLE",Table1[[#This Row],[SizeOption]])</f>
        <v>S, M, L, XL, XXL</v>
      </c>
      <c r="Y3703" t="str">
        <f>IF(Table2[[#This Row],[Column1]]&gt;50%,"HIGH DISCOUNT","LOW DISCOUNT")</f>
        <v>LOW DISCOUNT</v>
      </c>
    </row>
    <row r="3704" spans="1:25" x14ac:dyDescent="0.25">
      <c r="A3704" s="1" t="s">
        <v>7643</v>
      </c>
      <c r="B3704" s="1">
        <v>9742777</v>
      </c>
      <c r="C3704" s="1" t="s">
        <v>7644</v>
      </c>
      <c r="D3704" s="1" t="s">
        <v>76</v>
      </c>
      <c r="E3704" s="1" t="s">
        <v>320</v>
      </c>
      <c r="F3704" s="1" t="s">
        <v>36</v>
      </c>
      <c r="G3704" s="1" t="s">
        <v>7645</v>
      </c>
      <c r="H3704">
        <v>1181</v>
      </c>
      <c r="I3704" s="1">
        <v>2626</v>
      </c>
      <c r="J3704" s="1" t="s">
        <v>25</v>
      </c>
      <c r="K3704" s="1" t="s">
        <v>164</v>
      </c>
      <c r="L3704" s="1">
        <v>4.3</v>
      </c>
      <c r="M3704" s="1">
        <v>549</v>
      </c>
      <c r="P3704" t="str">
        <f t="shared" si="231"/>
        <v>55%</v>
      </c>
      <c r="Q3704" s="12">
        <f t="shared" si="228"/>
        <v>0.55000000000000004</v>
      </c>
      <c r="R3704" s="9">
        <f t="shared" si="229"/>
        <v>1181.6999999999998</v>
      </c>
      <c r="S3704" s="9">
        <f>IF(R3704="",AVERAGEIF(Table1[Category],Table1[[#This Row],[Category]],Table2[orignal data]),Table2[[#This Row],[orignal data]])</f>
        <v>1181.6999999999998</v>
      </c>
      <c r="T3704" t="str">
        <f t="shared" si="230"/>
        <v>UNIQUE</v>
      </c>
      <c r="U3704" t="str">
        <f>IF(ISBLANK(Table1[[#This Row],[SizeOption]]),"NOT AVAILABLE",Table1[[#This Row],[SizeOption]])</f>
        <v>Onesize</v>
      </c>
      <c r="Y3704" t="str">
        <f>IF(Table2[[#This Row],[Column1]]&gt;50%,"HIGH DISCOUNT","LOW DISCOUNT")</f>
        <v>HIGH DISCOUNT</v>
      </c>
    </row>
    <row r="3705" spans="1:25" x14ac:dyDescent="0.25">
      <c r="A3705" s="2" t="s">
        <v>7646</v>
      </c>
      <c r="B3705" s="2">
        <v>711768</v>
      </c>
      <c r="C3705" s="2" t="s">
        <v>7647</v>
      </c>
      <c r="D3705" s="2" t="s">
        <v>34</v>
      </c>
      <c r="E3705" s="2" t="s">
        <v>2910</v>
      </c>
      <c r="F3705" s="2" t="s">
        <v>36</v>
      </c>
      <c r="G3705" s="2" t="s">
        <v>7648</v>
      </c>
      <c r="H3705">
        <v>519</v>
      </c>
      <c r="I3705" s="2">
        <v>799</v>
      </c>
      <c r="J3705" s="2" t="s">
        <v>44</v>
      </c>
      <c r="K3705" s="2" t="s">
        <v>164</v>
      </c>
      <c r="L3705" s="2">
        <v>3.9</v>
      </c>
      <c r="M3705" s="2">
        <v>549</v>
      </c>
      <c r="P3705" t="str">
        <f t="shared" si="231"/>
        <v>35%</v>
      </c>
      <c r="Q3705" s="12">
        <f t="shared" si="228"/>
        <v>0.35</v>
      </c>
      <c r="R3705" s="9">
        <f t="shared" si="229"/>
        <v>519.35</v>
      </c>
      <c r="S3705" s="9">
        <f>IF(R3705="",AVERAGEIF(Table1[Category],Table1[[#This Row],[Category]],Table2[orignal data]),Table2[[#This Row],[orignal data]])</f>
        <v>519.35</v>
      </c>
      <c r="T3705" t="str">
        <f t="shared" si="230"/>
        <v>UNIQUE</v>
      </c>
      <c r="U3705" t="str">
        <f>IF(ISBLANK(Table1[[#This Row],[SizeOption]]),"NOT AVAILABLE",Table1[[#This Row],[SizeOption]])</f>
        <v>Onesize</v>
      </c>
      <c r="Y3705" t="str">
        <f>IF(Table2[[#This Row],[Column1]]&gt;50%,"HIGH DISCOUNT","LOW DISCOUNT")</f>
        <v>LOW DISCOUNT</v>
      </c>
    </row>
    <row r="3706" spans="1:25" x14ac:dyDescent="0.25">
      <c r="A3706" s="1" t="s">
        <v>7649</v>
      </c>
      <c r="B3706" s="1">
        <v>11053846</v>
      </c>
      <c r="C3706" s="1" t="s">
        <v>377</v>
      </c>
      <c r="D3706" s="1" t="s">
        <v>98</v>
      </c>
      <c r="E3706" s="1" t="s">
        <v>93</v>
      </c>
      <c r="F3706" s="1" t="s">
        <v>36</v>
      </c>
      <c r="G3706" s="1" t="s">
        <v>7650</v>
      </c>
      <c r="H3706">
        <v>702</v>
      </c>
      <c r="I3706" s="1">
        <v>1899</v>
      </c>
      <c r="J3706" s="1" t="s">
        <v>476</v>
      </c>
      <c r="K3706" s="1" t="s">
        <v>39</v>
      </c>
      <c r="L3706" s="1">
        <v>4.0999999999999996</v>
      </c>
      <c r="M3706" s="1">
        <v>549</v>
      </c>
      <c r="P3706" t="str">
        <f t="shared" si="231"/>
        <v>63%</v>
      </c>
      <c r="Q3706" s="12">
        <f t="shared" si="228"/>
        <v>0.63</v>
      </c>
      <c r="R3706" s="9">
        <f t="shared" si="229"/>
        <v>702.62999999999988</v>
      </c>
      <c r="S3706" s="9">
        <f>IF(R3706="",AVERAGEIF(Table1[Category],Table1[[#This Row],[Category]],Table2[orignal data]),Table2[[#This Row],[orignal data]])</f>
        <v>702.62999999999988</v>
      </c>
      <c r="T3706" t="str">
        <f t="shared" si="230"/>
        <v>UNIQUE</v>
      </c>
      <c r="U3706" t="str">
        <f>IF(ISBLANK(Table1[[#This Row],[SizeOption]]),"NOT AVAILABLE",Table1[[#This Row],[SizeOption]])</f>
        <v>S, M, L, XL, XXL</v>
      </c>
      <c r="Y3706" t="str">
        <f>IF(Table2[[#This Row],[Column1]]&gt;50%,"HIGH DISCOUNT","LOW DISCOUNT")</f>
        <v>HIGH DISCOUNT</v>
      </c>
    </row>
    <row r="3707" spans="1:25" x14ac:dyDescent="0.25">
      <c r="A3707" s="2" t="s">
        <v>7651</v>
      </c>
      <c r="B3707" s="2">
        <v>9706891</v>
      </c>
      <c r="C3707" s="2" t="s">
        <v>64</v>
      </c>
      <c r="D3707" s="2" t="s">
        <v>98</v>
      </c>
      <c r="E3707" s="2" t="s">
        <v>42</v>
      </c>
      <c r="F3707" s="2" t="s">
        <v>36</v>
      </c>
      <c r="G3707" s="2" t="s">
        <v>7652</v>
      </c>
      <c r="I3707" s="2">
        <v>899</v>
      </c>
      <c r="J3707" s="2"/>
      <c r="K3707" s="2" t="s">
        <v>100</v>
      </c>
      <c r="L3707" s="2">
        <v>4.2</v>
      </c>
      <c r="M3707" s="2">
        <v>549</v>
      </c>
      <c r="P3707" t="str">
        <f t="shared" si="231"/>
        <v/>
      </c>
      <c r="Q3707" s="12" t="str">
        <f t="shared" si="228"/>
        <v/>
      </c>
      <c r="R3707" s="9" t="str">
        <f t="shared" si="229"/>
        <v/>
      </c>
      <c r="S3707" s="9">
        <f>IF(R3707="",AVERAGEIF(Table1[Category],Table1[[#This Row],[Category]],Table2[orignal data]),Table2[[#This Row],[orignal data]])</f>
        <v>680.92918566775427</v>
      </c>
      <c r="T3707" t="str">
        <f t="shared" si="230"/>
        <v>UNIQUE</v>
      </c>
      <c r="U3707" t="str">
        <f>IF(ISBLANK(Table1[[#This Row],[SizeOption]]),"NOT AVAILABLE",Table1[[#This Row],[SizeOption]])</f>
        <v>XS, S, M, L, XL, XXL, 3XL</v>
      </c>
      <c r="Y3707" t="str">
        <f>IF(Table2[[#This Row],[Column1]]&gt;50%,"HIGH DISCOUNT","LOW DISCOUNT")</f>
        <v>HIGH DISCOUNT</v>
      </c>
    </row>
    <row r="3708" spans="1:25" x14ac:dyDescent="0.25">
      <c r="A3708" s="1" t="s">
        <v>7653</v>
      </c>
      <c r="B3708" s="1">
        <v>17383654</v>
      </c>
      <c r="C3708" s="1" t="s">
        <v>14</v>
      </c>
      <c r="D3708" s="1" t="s">
        <v>41</v>
      </c>
      <c r="E3708" s="1" t="s">
        <v>42</v>
      </c>
      <c r="F3708" s="1" t="s">
        <v>36</v>
      </c>
      <c r="G3708" s="1" t="s">
        <v>7654</v>
      </c>
      <c r="I3708" s="1">
        <v>1598</v>
      </c>
      <c r="J3708" s="1" t="s">
        <v>84</v>
      </c>
      <c r="K3708" s="1" t="s">
        <v>146</v>
      </c>
      <c r="L3708" s="1">
        <v>4.3</v>
      </c>
      <c r="M3708" s="1">
        <v>549</v>
      </c>
      <c r="P3708" t="str">
        <f t="shared" si="231"/>
        <v>50%</v>
      </c>
      <c r="Q3708" s="12">
        <f t="shared" si="228"/>
        <v>0.5</v>
      </c>
      <c r="R3708" s="9">
        <f t="shared" si="229"/>
        <v>799</v>
      </c>
      <c r="S3708" s="9">
        <f>IF(R3708="",AVERAGEIF(Table1[Category],Table1[[#This Row],[Category]],Table2[orignal data]),Table2[[#This Row],[orignal data]])</f>
        <v>799</v>
      </c>
      <c r="T3708" t="str">
        <f t="shared" si="230"/>
        <v>UNIQUE</v>
      </c>
      <c r="U3708" t="str">
        <f>IF(ISBLANK(Table1[[#This Row],[SizeOption]]),"NOT AVAILABLE",Table1[[#This Row],[SizeOption]])</f>
        <v>L, M, S, XS, XL</v>
      </c>
      <c r="Y3708" t="str">
        <f>IF(Table2[[#This Row],[Column1]]&gt;50%,"HIGH DISCOUNT","LOW DISCOUNT")</f>
        <v>LOW DISCOUNT</v>
      </c>
    </row>
    <row r="3709" spans="1:25" x14ac:dyDescent="0.25">
      <c r="A3709" s="2" t="s">
        <v>7655</v>
      </c>
      <c r="B3709" s="2">
        <v>8282197</v>
      </c>
      <c r="C3709" s="2" t="s">
        <v>107</v>
      </c>
      <c r="D3709" s="2" t="s">
        <v>41</v>
      </c>
      <c r="E3709" s="2" t="s">
        <v>148</v>
      </c>
      <c r="F3709" s="2" t="s">
        <v>36</v>
      </c>
      <c r="G3709" s="2" t="s">
        <v>7656</v>
      </c>
      <c r="I3709" s="2">
        <v>2099</v>
      </c>
      <c r="J3709" s="2" t="s">
        <v>79</v>
      </c>
      <c r="K3709" s="2" t="s">
        <v>45</v>
      </c>
      <c r="L3709" s="2">
        <v>4.3</v>
      </c>
      <c r="M3709" s="2">
        <v>549</v>
      </c>
      <c r="P3709" t="str">
        <f t="shared" si="231"/>
        <v>70%</v>
      </c>
      <c r="Q3709" s="12">
        <f t="shared" si="228"/>
        <v>0.7</v>
      </c>
      <c r="R3709" s="9">
        <f t="shared" si="229"/>
        <v>629.70000000000005</v>
      </c>
      <c r="S3709" s="9">
        <f>IF(R3709="",AVERAGEIF(Table1[Category],Table1[[#This Row],[Category]],Table2[orignal data]),Table2[[#This Row],[orignal data]])</f>
        <v>629.70000000000005</v>
      </c>
      <c r="T3709" t="str">
        <f t="shared" si="230"/>
        <v>UNIQUE</v>
      </c>
      <c r="U3709" t="str">
        <f>IF(ISBLANK(Table1[[#This Row],[SizeOption]]),"NOT AVAILABLE",Table1[[#This Row],[SizeOption]])</f>
        <v>XS, S, M, L, XL</v>
      </c>
      <c r="Y3709" t="str">
        <f>IF(Table2[[#This Row],[Column1]]&gt;50%,"HIGH DISCOUNT","LOW DISCOUNT")</f>
        <v>HIGH DISCOUNT</v>
      </c>
    </row>
    <row r="3710" spans="1:25" x14ac:dyDescent="0.25">
      <c r="A3710" s="1" t="s">
        <v>7657</v>
      </c>
      <c r="B3710" s="1">
        <v>10923656</v>
      </c>
      <c r="C3710" s="1" t="s">
        <v>102</v>
      </c>
      <c r="D3710" s="1" t="s">
        <v>41</v>
      </c>
      <c r="E3710" s="1" t="s">
        <v>82</v>
      </c>
      <c r="F3710" s="1" t="s">
        <v>36</v>
      </c>
      <c r="G3710" s="1" t="s">
        <v>7658</v>
      </c>
      <c r="I3710" s="1">
        <v>2299</v>
      </c>
      <c r="J3710" s="1" t="s">
        <v>126</v>
      </c>
      <c r="K3710" s="1" t="s">
        <v>26</v>
      </c>
      <c r="L3710" s="1">
        <v>4.3</v>
      </c>
      <c r="M3710" s="1">
        <v>549</v>
      </c>
      <c r="P3710" t="str">
        <f t="shared" si="231"/>
        <v>62%</v>
      </c>
      <c r="Q3710" s="12">
        <f t="shared" si="228"/>
        <v>0.62</v>
      </c>
      <c r="R3710" s="9">
        <f t="shared" si="229"/>
        <v>873.62000000000012</v>
      </c>
      <c r="S3710" s="9">
        <f>IF(R3710="",AVERAGEIF(Table1[Category],Table1[[#This Row],[Category]],Table2[orignal data]),Table2[[#This Row],[orignal data]])</f>
        <v>873.62000000000012</v>
      </c>
      <c r="T3710" t="str">
        <f t="shared" si="230"/>
        <v>UNIQUE</v>
      </c>
      <c r="U3710" t="str">
        <f>IF(ISBLANK(Table1[[#This Row],[SizeOption]]),"NOT AVAILABLE",Table1[[#This Row],[SizeOption]])</f>
        <v>S, M, L, XL</v>
      </c>
      <c r="Y3710" t="str">
        <f>IF(Table2[[#This Row],[Column1]]&gt;50%,"HIGH DISCOUNT","LOW DISCOUNT")</f>
        <v>HIGH DISCOUNT</v>
      </c>
    </row>
    <row r="3711" spans="1:25" x14ac:dyDescent="0.25">
      <c r="A3711" s="2" t="s">
        <v>7659</v>
      </c>
      <c r="B3711" s="2">
        <v>13115184</v>
      </c>
      <c r="C3711" s="2" t="s">
        <v>290</v>
      </c>
      <c r="D3711" s="2" t="s">
        <v>41</v>
      </c>
      <c r="E3711" s="2" t="s">
        <v>148</v>
      </c>
      <c r="F3711" s="2" t="s">
        <v>36</v>
      </c>
      <c r="G3711" s="2" t="s">
        <v>7660</v>
      </c>
      <c r="I3711" s="2">
        <v>2599</v>
      </c>
      <c r="J3711" s="2" t="s">
        <v>84</v>
      </c>
      <c r="K3711" s="2" t="s">
        <v>45</v>
      </c>
      <c r="L3711" s="2">
        <v>4.4000000000000004</v>
      </c>
      <c r="M3711" s="2">
        <v>549</v>
      </c>
      <c r="P3711" t="str">
        <f t="shared" si="231"/>
        <v>50%</v>
      </c>
      <c r="Q3711" s="12">
        <f t="shared" si="228"/>
        <v>0.5</v>
      </c>
      <c r="R3711" s="9">
        <f t="shared" si="229"/>
        <v>1299.5</v>
      </c>
      <c r="S3711" s="9">
        <f>IF(R3711="",AVERAGEIF(Table1[Category],Table1[[#This Row],[Category]],Table2[orignal data]),Table2[[#This Row],[orignal data]])</f>
        <v>1299.5</v>
      </c>
      <c r="T3711" t="str">
        <f t="shared" si="230"/>
        <v>UNIQUE</v>
      </c>
      <c r="U3711" t="str">
        <f>IF(ISBLANK(Table1[[#This Row],[SizeOption]]),"NOT AVAILABLE",Table1[[#This Row],[SizeOption]])</f>
        <v>XS, S, M, L, XL</v>
      </c>
      <c r="Y3711" t="str">
        <f>IF(Table2[[#This Row],[Column1]]&gt;50%,"HIGH DISCOUNT","LOW DISCOUNT")</f>
        <v>LOW DISCOUNT</v>
      </c>
    </row>
    <row r="3712" spans="1:25" x14ac:dyDescent="0.25">
      <c r="A3712" s="1" t="s">
        <v>7661</v>
      </c>
      <c r="B3712" s="1">
        <v>7720823</v>
      </c>
      <c r="C3712" s="1" t="s">
        <v>92</v>
      </c>
      <c r="D3712" s="1" t="s">
        <v>41</v>
      </c>
      <c r="E3712" s="1" t="s">
        <v>148</v>
      </c>
      <c r="F3712" s="1" t="s">
        <v>36</v>
      </c>
      <c r="G3712" s="1" t="s">
        <v>7662</v>
      </c>
      <c r="I3712" s="1">
        <v>2649</v>
      </c>
      <c r="J3712" s="1" t="s">
        <v>606</v>
      </c>
      <c r="K3712" s="1" t="s">
        <v>39</v>
      </c>
      <c r="L3712" s="1">
        <v>4.2</v>
      </c>
      <c r="M3712" s="1">
        <v>549</v>
      </c>
      <c r="P3712" t="str">
        <f t="shared" si="231"/>
        <v>54%</v>
      </c>
      <c r="Q3712" s="12">
        <f t="shared" si="228"/>
        <v>0.54</v>
      </c>
      <c r="R3712" s="9">
        <f t="shared" si="229"/>
        <v>1218.54</v>
      </c>
      <c r="S3712" s="9">
        <f>IF(R3712="",AVERAGEIF(Table1[Category],Table1[[#This Row],[Category]],Table2[orignal data]),Table2[[#This Row],[orignal data]])</f>
        <v>1218.54</v>
      </c>
      <c r="T3712" t="str">
        <f t="shared" si="230"/>
        <v>UNIQUE</v>
      </c>
      <c r="U3712" t="str">
        <f>IF(ISBLANK(Table1[[#This Row],[SizeOption]]),"NOT AVAILABLE",Table1[[#This Row],[SizeOption]])</f>
        <v>S, M, L, XL, XXL</v>
      </c>
      <c r="Y3712" t="str">
        <f>IF(Table2[[#This Row],[Column1]]&gt;50%,"HIGH DISCOUNT","LOW DISCOUNT")</f>
        <v>HIGH DISCOUNT</v>
      </c>
    </row>
    <row r="3713" spans="1:25" x14ac:dyDescent="0.25">
      <c r="A3713" s="2" t="s">
        <v>7663</v>
      </c>
      <c r="B3713" s="2">
        <v>5556621</v>
      </c>
      <c r="C3713" s="2" t="s">
        <v>169</v>
      </c>
      <c r="D3713" s="2" t="s">
        <v>15</v>
      </c>
      <c r="E3713" s="2" t="s">
        <v>16</v>
      </c>
      <c r="F3713" s="2" t="s">
        <v>17</v>
      </c>
      <c r="G3713" s="2" t="s">
        <v>7664</v>
      </c>
      <c r="H3713">
        <v>1349</v>
      </c>
      <c r="I3713" s="2">
        <v>2999</v>
      </c>
      <c r="J3713" s="2" t="s">
        <v>25</v>
      </c>
      <c r="K3713" s="2" t="s">
        <v>171</v>
      </c>
      <c r="L3713" s="2">
        <v>3.9</v>
      </c>
      <c r="M3713" s="2">
        <v>548</v>
      </c>
      <c r="P3713" t="str">
        <f t="shared" si="231"/>
        <v>55%</v>
      </c>
      <c r="Q3713" s="12">
        <f t="shared" si="228"/>
        <v>0.55000000000000004</v>
      </c>
      <c r="R3713" s="9">
        <f t="shared" si="229"/>
        <v>1349.55</v>
      </c>
      <c r="S3713" s="9">
        <f>IF(R3713="",AVERAGEIF(Table1[Category],Table1[[#This Row],[Category]],Table2[orignal data]),Table2[[#This Row],[orignal data]])</f>
        <v>1349.55</v>
      </c>
      <c r="T3713" t="str">
        <f t="shared" si="230"/>
        <v>UNIQUE</v>
      </c>
      <c r="U3713" t="str">
        <f>IF(ISBLANK(Table1[[#This Row],[SizeOption]]),"NOT AVAILABLE",Table1[[#This Row],[SizeOption]])</f>
        <v>28, 30, 32, 34, 36, 38</v>
      </c>
      <c r="Y3713" t="str">
        <f>IF(Table2[[#This Row],[Column1]]&gt;50%,"HIGH DISCOUNT","LOW DISCOUNT")</f>
        <v>HIGH DISCOUNT</v>
      </c>
    </row>
    <row r="3714" spans="1:25" x14ac:dyDescent="0.25">
      <c r="A3714" s="1" t="s">
        <v>7665</v>
      </c>
      <c r="B3714" s="1">
        <v>11739122</v>
      </c>
      <c r="C3714" s="1" t="s">
        <v>64</v>
      </c>
      <c r="D3714" s="1" t="s">
        <v>15</v>
      </c>
      <c r="E3714" s="1" t="s">
        <v>16</v>
      </c>
      <c r="F3714" s="1" t="s">
        <v>17</v>
      </c>
      <c r="G3714" s="1" t="s">
        <v>7666</v>
      </c>
      <c r="H3714">
        <v>989</v>
      </c>
      <c r="I3714" s="1">
        <v>2199</v>
      </c>
      <c r="J3714" s="1" t="s">
        <v>25</v>
      </c>
      <c r="K3714" s="1" t="s">
        <v>20</v>
      </c>
      <c r="L3714" s="1">
        <v>3.9</v>
      </c>
      <c r="M3714" s="1">
        <v>548</v>
      </c>
      <c r="P3714" t="str">
        <f t="shared" si="231"/>
        <v>55%</v>
      </c>
      <c r="Q3714" s="12">
        <f t="shared" ref="Q3714:Q3777" si="232">IF(P3714="","",IF(ISNUMBER(SEARCH("%",P3714)),P3714,P3714/I3714)*100%)</f>
        <v>0.55000000000000004</v>
      </c>
      <c r="R3714" s="9">
        <f t="shared" ref="R3714:R3777" si="233">IF(P3714="","",I3714-(I3714*Q3714))</f>
        <v>989.55</v>
      </c>
      <c r="S3714" s="9">
        <f>IF(R3714="",AVERAGEIF(Table1[Category],Table1[[#This Row],[Category]],Table2[orignal data]),Table2[[#This Row],[orignal data]])</f>
        <v>989.55</v>
      </c>
      <c r="T3714" t="str">
        <f t="shared" ref="T3714:T3777" si="234">IF(COUNTIF($B$2:$B$5000,B3714)&gt;1,"DUPLICATE","UNIQUE")</f>
        <v>UNIQUE</v>
      </c>
      <c r="U3714" t="str">
        <f>IF(ISBLANK(Table1[[#This Row],[SizeOption]]),"NOT AVAILABLE",Table1[[#This Row],[SizeOption]])</f>
        <v>28, 30, 32, 34, 36</v>
      </c>
      <c r="Y3714" t="str">
        <f>IF(Table2[[#This Row],[Column1]]&gt;50%,"HIGH DISCOUNT","LOW DISCOUNT")</f>
        <v>HIGH DISCOUNT</v>
      </c>
    </row>
    <row r="3715" spans="1:25" x14ac:dyDescent="0.25">
      <c r="A3715" s="2" t="s">
        <v>7667</v>
      </c>
      <c r="B3715" s="2">
        <v>8704511</v>
      </c>
      <c r="C3715" s="2" t="s">
        <v>1693</v>
      </c>
      <c r="D3715" s="2" t="s">
        <v>76</v>
      </c>
      <c r="E3715" s="2" t="s">
        <v>93</v>
      </c>
      <c r="F3715" s="2" t="s">
        <v>17</v>
      </c>
      <c r="G3715" s="2" t="s">
        <v>7668</v>
      </c>
      <c r="H3715">
        <v>1649</v>
      </c>
      <c r="I3715" s="2">
        <v>2999</v>
      </c>
      <c r="J3715" s="2" t="s">
        <v>19</v>
      </c>
      <c r="K3715" s="2" t="s">
        <v>39</v>
      </c>
      <c r="L3715" s="2">
        <v>4.5</v>
      </c>
      <c r="M3715" s="2">
        <v>548</v>
      </c>
      <c r="P3715" t="str">
        <f t="shared" ref="P3715:P3778" si="235">TRIM(SUBSTITUTE(SUBSTITUTE(SUBSTITUTE(SUBSTITUTE(J3715,"OFF",""),"Rs.",""),"Hurry*",""),",",""))</f>
        <v>45%</v>
      </c>
      <c r="Q3715" s="12">
        <f t="shared" si="232"/>
        <v>0.45</v>
      </c>
      <c r="R3715" s="9">
        <f t="shared" si="233"/>
        <v>1649.45</v>
      </c>
      <c r="S3715" s="9">
        <f>IF(R3715="",AVERAGEIF(Table1[Category],Table1[[#This Row],[Category]],Table2[orignal data]),Table2[[#This Row],[orignal data]])</f>
        <v>1649.45</v>
      </c>
      <c r="T3715" t="str">
        <f t="shared" si="234"/>
        <v>UNIQUE</v>
      </c>
      <c r="U3715" t="str">
        <f>IF(ISBLANK(Table1[[#This Row],[SizeOption]]),"NOT AVAILABLE",Table1[[#This Row],[SizeOption]])</f>
        <v>S, M, L, XL, XXL</v>
      </c>
      <c r="Y3715" t="str">
        <f>IF(Table2[[#This Row],[Column1]]&gt;50%,"HIGH DISCOUNT","LOW DISCOUNT")</f>
        <v>LOW DISCOUNT</v>
      </c>
    </row>
    <row r="3716" spans="1:25" x14ac:dyDescent="0.25">
      <c r="A3716" s="1" t="s">
        <v>7669</v>
      </c>
      <c r="B3716" s="1">
        <v>6611884</v>
      </c>
      <c r="C3716" s="1" t="s">
        <v>7670</v>
      </c>
      <c r="D3716" s="1" t="s">
        <v>76</v>
      </c>
      <c r="E3716" s="1" t="s">
        <v>77</v>
      </c>
      <c r="F3716" s="1" t="s">
        <v>17</v>
      </c>
      <c r="G3716" s="1" t="s">
        <v>7671</v>
      </c>
      <c r="H3716">
        <v>3869</v>
      </c>
      <c r="I3716" s="1">
        <v>8599</v>
      </c>
      <c r="J3716" s="1" t="s">
        <v>25</v>
      </c>
      <c r="K3716" s="1" t="s">
        <v>732</v>
      </c>
      <c r="L3716" s="1">
        <v>4.2</v>
      </c>
      <c r="M3716" s="1">
        <v>548</v>
      </c>
      <c r="P3716" t="str">
        <f t="shared" si="235"/>
        <v>55%</v>
      </c>
      <c r="Q3716" s="12">
        <f t="shared" si="232"/>
        <v>0.55000000000000004</v>
      </c>
      <c r="R3716" s="9">
        <f t="shared" si="233"/>
        <v>3869.5499999999993</v>
      </c>
      <c r="S3716" s="9">
        <f>IF(R3716="",AVERAGEIF(Table1[Category],Table1[[#This Row],[Category]],Table2[orignal data]),Table2[[#This Row],[orignal data]])</f>
        <v>3869.5499999999993</v>
      </c>
      <c r="T3716" t="str">
        <f t="shared" si="234"/>
        <v>UNIQUE</v>
      </c>
      <c r="U3716" t="str">
        <f>IF(ISBLANK(Table1[[#This Row],[SizeOption]]),"NOT AVAILABLE",Table1[[#This Row],[SizeOption]])</f>
        <v>S, M, L, XL, XXL, 3XL, 4XL, 5XL</v>
      </c>
      <c r="Y3716" t="str">
        <f>IF(Table2[[#This Row],[Column1]]&gt;50%,"HIGH DISCOUNT","LOW DISCOUNT")</f>
        <v>HIGH DISCOUNT</v>
      </c>
    </row>
    <row r="3717" spans="1:25" x14ac:dyDescent="0.25">
      <c r="A3717" s="2" t="s">
        <v>7672</v>
      </c>
      <c r="B3717" s="2">
        <v>11533940</v>
      </c>
      <c r="C3717" s="2" t="s">
        <v>14</v>
      </c>
      <c r="D3717" s="2" t="s">
        <v>28</v>
      </c>
      <c r="E3717" s="2" t="s">
        <v>42</v>
      </c>
      <c r="F3717" s="2" t="s">
        <v>17</v>
      </c>
      <c r="G3717" s="2" t="s">
        <v>7673</v>
      </c>
      <c r="H3717">
        <v>714</v>
      </c>
      <c r="I3717" s="2">
        <v>1299</v>
      </c>
      <c r="J3717" s="2" t="s">
        <v>19</v>
      </c>
      <c r="K3717" s="2" t="s">
        <v>73</v>
      </c>
      <c r="L3717" s="2">
        <v>4</v>
      </c>
      <c r="M3717" s="2">
        <v>548</v>
      </c>
      <c r="P3717" t="str">
        <f t="shared" si="235"/>
        <v>45%</v>
      </c>
      <c r="Q3717" s="12">
        <f t="shared" si="232"/>
        <v>0.45</v>
      </c>
      <c r="R3717" s="9">
        <f t="shared" si="233"/>
        <v>714.44999999999993</v>
      </c>
      <c r="S3717" s="9">
        <f>IF(R3717="",AVERAGEIF(Table1[Category],Table1[[#This Row],[Category]],Table2[orignal data]),Table2[[#This Row],[orignal data]])</f>
        <v>714.44999999999993</v>
      </c>
      <c r="T3717" t="str">
        <f t="shared" si="234"/>
        <v>UNIQUE</v>
      </c>
      <c r="U3717" t="str">
        <f>IF(ISBLANK(Table1[[#This Row],[SizeOption]]),"NOT AVAILABLE",Table1[[#This Row],[SizeOption]])</f>
        <v>XS, S, M, L, XL, XXL, 3XL, 4XL</v>
      </c>
      <c r="Y3717" t="str">
        <f>IF(Table2[[#This Row],[Column1]]&gt;50%,"HIGH DISCOUNT","LOW DISCOUNT")</f>
        <v>LOW DISCOUNT</v>
      </c>
    </row>
    <row r="3718" spans="1:25" x14ac:dyDescent="0.25">
      <c r="A3718" s="1" t="s">
        <v>7674</v>
      </c>
      <c r="B3718" s="1">
        <v>11201650</v>
      </c>
      <c r="C3718" s="1" t="s">
        <v>113</v>
      </c>
      <c r="D3718" s="1" t="s">
        <v>28</v>
      </c>
      <c r="E3718" s="1" t="s">
        <v>93</v>
      </c>
      <c r="F3718" s="1" t="s">
        <v>17</v>
      </c>
      <c r="G3718" s="1" t="s">
        <v>7675</v>
      </c>
      <c r="H3718">
        <v>719</v>
      </c>
      <c r="I3718" s="1">
        <v>1599</v>
      </c>
      <c r="J3718" s="1" t="s">
        <v>25</v>
      </c>
      <c r="K3718" s="1" t="s">
        <v>39</v>
      </c>
      <c r="L3718" s="1">
        <v>4.3</v>
      </c>
      <c r="M3718" s="1">
        <v>548</v>
      </c>
      <c r="P3718" t="str">
        <f t="shared" si="235"/>
        <v>55%</v>
      </c>
      <c r="Q3718" s="12">
        <f t="shared" si="232"/>
        <v>0.55000000000000004</v>
      </c>
      <c r="R3718" s="9">
        <f t="shared" si="233"/>
        <v>719.55</v>
      </c>
      <c r="S3718" s="9">
        <f>IF(R3718="",AVERAGEIF(Table1[Category],Table1[[#This Row],[Category]],Table2[orignal data]),Table2[[#This Row],[orignal data]])</f>
        <v>719.55</v>
      </c>
      <c r="T3718" t="str">
        <f t="shared" si="234"/>
        <v>UNIQUE</v>
      </c>
      <c r="U3718" t="str">
        <f>IF(ISBLANK(Table1[[#This Row],[SizeOption]]),"NOT AVAILABLE",Table1[[#This Row],[SizeOption]])</f>
        <v>S, M, L, XL, XXL</v>
      </c>
      <c r="Y3718" t="str">
        <f>IF(Table2[[#This Row],[Column1]]&gt;50%,"HIGH DISCOUNT","LOW DISCOUNT")</f>
        <v>HIGH DISCOUNT</v>
      </c>
    </row>
    <row r="3719" spans="1:25" x14ac:dyDescent="0.25">
      <c r="A3719" s="2" t="s">
        <v>7676</v>
      </c>
      <c r="B3719" s="2">
        <v>11364034</v>
      </c>
      <c r="C3719" s="2" t="s">
        <v>169</v>
      </c>
      <c r="D3719" s="2" t="s">
        <v>28</v>
      </c>
      <c r="E3719" s="2" t="s">
        <v>42</v>
      </c>
      <c r="F3719" s="2" t="s">
        <v>17</v>
      </c>
      <c r="G3719" s="2" t="s">
        <v>7677</v>
      </c>
      <c r="H3719">
        <v>449</v>
      </c>
      <c r="I3719" s="2">
        <v>899</v>
      </c>
      <c r="J3719" s="2" t="s">
        <v>84</v>
      </c>
      <c r="K3719" s="2" t="s">
        <v>39</v>
      </c>
      <c r="L3719" s="2">
        <v>4.4000000000000004</v>
      </c>
      <c r="M3719" s="2">
        <v>548</v>
      </c>
      <c r="P3719" t="str">
        <f t="shared" si="235"/>
        <v>50%</v>
      </c>
      <c r="Q3719" s="12">
        <f t="shared" si="232"/>
        <v>0.5</v>
      </c>
      <c r="R3719" s="9">
        <f t="shared" si="233"/>
        <v>449.5</v>
      </c>
      <c r="S3719" s="9">
        <f>IF(R3719="",AVERAGEIF(Table1[Category],Table1[[#This Row],[Category]],Table2[orignal data]),Table2[[#This Row],[orignal data]])</f>
        <v>449.5</v>
      </c>
      <c r="T3719" t="str">
        <f t="shared" si="234"/>
        <v>UNIQUE</v>
      </c>
      <c r="U3719" t="str">
        <f>IF(ISBLANK(Table1[[#This Row],[SizeOption]]),"NOT AVAILABLE",Table1[[#This Row],[SizeOption]])</f>
        <v>S, M, L, XL, XXL</v>
      </c>
      <c r="Y3719" t="str">
        <f>IF(Table2[[#This Row],[Column1]]&gt;50%,"HIGH DISCOUNT","LOW DISCOUNT")</f>
        <v>LOW DISCOUNT</v>
      </c>
    </row>
    <row r="3720" spans="1:25" x14ac:dyDescent="0.25">
      <c r="A3720" s="1" t="s">
        <v>7678</v>
      </c>
      <c r="B3720" s="1">
        <v>10779740</v>
      </c>
      <c r="C3720" s="1" t="s">
        <v>3510</v>
      </c>
      <c r="D3720" s="1" t="s">
        <v>34</v>
      </c>
      <c r="E3720" s="1" t="s">
        <v>296</v>
      </c>
      <c r="F3720" s="1" t="s">
        <v>36</v>
      </c>
      <c r="G3720" s="1" t="s">
        <v>7679</v>
      </c>
      <c r="I3720" s="1">
        <v>429</v>
      </c>
      <c r="J3720" s="1"/>
      <c r="K3720" s="1" t="s">
        <v>352</v>
      </c>
      <c r="L3720" s="1">
        <v>4.4000000000000004</v>
      </c>
      <c r="M3720" s="1">
        <v>548</v>
      </c>
      <c r="P3720" t="str">
        <f t="shared" si="235"/>
        <v/>
      </c>
      <c r="Q3720" s="12" t="str">
        <f t="shared" si="232"/>
        <v/>
      </c>
      <c r="R3720" s="9" t="str">
        <f t="shared" si="233"/>
        <v/>
      </c>
      <c r="S3720" s="9">
        <f>IF(R3720="",AVERAGEIF(Table1[Category],Table1[[#This Row],[Category]],Table2[orignal data]),Table2[[#This Row],[orignal data]])</f>
        <v>608.88518518518481</v>
      </c>
      <c r="T3720" t="str">
        <f t="shared" si="234"/>
        <v>UNIQUE</v>
      </c>
      <c r="U3720" t="str">
        <f>IF(ISBLANK(Table1[[#This Row],[SizeOption]]),"NOT AVAILABLE",Table1[[#This Row],[SizeOption]])</f>
        <v>S, M, L</v>
      </c>
      <c r="Y3720" t="str">
        <f>IF(Table2[[#This Row],[Column1]]&gt;50%,"HIGH DISCOUNT","LOW DISCOUNT")</f>
        <v>HIGH DISCOUNT</v>
      </c>
    </row>
    <row r="3721" spans="1:25" x14ac:dyDescent="0.25">
      <c r="A3721" s="2" t="s">
        <v>7680</v>
      </c>
      <c r="B3721" s="2">
        <v>1605551</v>
      </c>
      <c r="C3721" s="2" t="s">
        <v>2522</v>
      </c>
      <c r="D3721" s="2" t="s">
        <v>34</v>
      </c>
      <c r="E3721" s="2" t="s">
        <v>2523</v>
      </c>
      <c r="F3721" s="2" t="s">
        <v>36</v>
      </c>
      <c r="G3721" s="2" t="s">
        <v>7681</v>
      </c>
      <c r="H3721">
        <v>639</v>
      </c>
      <c r="I3721" s="2">
        <v>799</v>
      </c>
      <c r="J3721" s="2" t="s">
        <v>412</v>
      </c>
      <c r="K3721" s="2" t="s">
        <v>39</v>
      </c>
      <c r="L3721" s="2">
        <v>4.4000000000000004</v>
      </c>
      <c r="M3721" s="2">
        <v>548</v>
      </c>
      <c r="P3721" t="str">
        <f t="shared" si="235"/>
        <v>20%</v>
      </c>
      <c r="Q3721" s="12">
        <f t="shared" si="232"/>
        <v>0.2</v>
      </c>
      <c r="R3721" s="9">
        <f t="shared" si="233"/>
        <v>639.20000000000005</v>
      </c>
      <c r="S3721" s="9">
        <f>IF(R3721="",AVERAGEIF(Table1[Category],Table1[[#This Row],[Category]],Table2[orignal data]),Table2[[#This Row],[orignal data]])</f>
        <v>639.20000000000005</v>
      </c>
      <c r="T3721" t="str">
        <f t="shared" si="234"/>
        <v>UNIQUE</v>
      </c>
      <c r="U3721" t="str">
        <f>IF(ISBLANK(Table1[[#This Row],[SizeOption]]),"NOT AVAILABLE",Table1[[#This Row],[SizeOption]])</f>
        <v>S, M, L, XL, XXL</v>
      </c>
      <c r="Y3721" t="str">
        <f>IF(Table2[[#This Row],[Column1]]&gt;50%,"HIGH DISCOUNT","LOW DISCOUNT")</f>
        <v>LOW DISCOUNT</v>
      </c>
    </row>
    <row r="3722" spans="1:25" x14ac:dyDescent="0.25">
      <c r="A3722" s="1" t="s">
        <v>7682</v>
      </c>
      <c r="B3722" s="1">
        <v>2372706</v>
      </c>
      <c r="C3722" s="1" t="s">
        <v>64</v>
      </c>
      <c r="D3722" s="1" t="s">
        <v>98</v>
      </c>
      <c r="E3722" s="1" t="s">
        <v>148</v>
      </c>
      <c r="F3722" s="1" t="s">
        <v>36</v>
      </c>
      <c r="G3722" s="1" t="s">
        <v>7683</v>
      </c>
      <c r="H3722">
        <v>539</v>
      </c>
      <c r="I3722" s="1">
        <v>1799</v>
      </c>
      <c r="J3722" s="1" t="s">
        <v>1566</v>
      </c>
      <c r="K3722" s="1" t="s">
        <v>115</v>
      </c>
      <c r="L3722" s="1">
        <v>4.0999999999999996</v>
      </c>
      <c r="M3722" s="1">
        <v>548</v>
      </c>
      <c r="P3722" t="str">
        <f t="shared" si="235"/>
        <v>70%</v>
      </c>
      <c r="Q3722" s="12">
        <f t="shared" si="232"/>
        <v>0.7</v>
      </c>
      <c r="R3722" s="9">
        <f t="shared" si="233"/>
        <v>539.70000000000005</v>
      </c>
      <c r="S3722" s="9">
        <f>IF(R3722="",AVERAGEIF(Table1[Category],Table1[[#This Row],[Category]],Table2[orignal data]),Table2[[#This Row],[orignal data]])</f>
        <v>539.70000000000005</v>
      </c>
      <c r="T3722" t="str">
        <f t="shared" si="234"/>
        <v>UNIQUE</v>
      </c>
      <c r="U3722" t="str">
        <f>IF(ISBLANK(Table1[[#This Row],[SizeOption]]),"NOT AVAILABLE",Table1[[#This Row],[SizeOption]])</f>
        <v>XS, S, M, L, XL, XXL</v>
      </c>
      <c r="Y3722" t="str">
        <f>IF(Table2[[#This Row],[Column1]]&gt;50%,"HIGH DISCOUNT","LOW DISCOUNT")</f>
        <v>HIGH DISCOUNT</v>
      </c>
    </row>
    <row r="3723" spans="1:25" x14ac:dyDescent="0.25">
      <c r="A3723" s="2" t="s">
        <v>7684</v>
      </c>
      <c r="B3723" s="2">
        <v>12545672</v>
      </c>
      <c r="C3723" s="2" t="s">
        <v>201</v>
      </c>
      <c r="D3723" s="2" t="s">
        <v>98</v>
      </c>
      <c r="E3723" s="2" t="s">
        <v>16</v>
      </c>
      <c r="F3723" s="2" t="s">
        <v>36</v>
      </c>
      <c r="G3723" s="2" t="s">
        <v>7685</v>
      </c>
      <c r="H3723">
        <v>959</v>
      </c>
      <c r="I3723" s="2">
        <v>2399</v>
      </c>
      <c r="J3723" s="2" t="s">
        <v>141</v>
      </c>
      <c r="K3723" s="2" t="s">
        <v>643</v>
      </c>
      <c r="L3723" s="2">
        <v>4.0999999999999996</v>
      </c>
      <c r="M3723" s="2">
        <v>548</v>
      </c>
      <c r="P3723" t="str">
        <f t="shared" si="235"/>
        <v>60%</v>
      </c>
      <c r="Q3723" s="12">
        <f t="shared" si="232"/>
        <v>0.6</v>
      </c>
      <c r="R3723" s="9">
        <f t="shared" si="233"/>
        <v>959.60000000000014</v>
      </c>
      <c r="S3723" s="9">
        <f>IF(R3723="",AVERAGEIF(Table1[Category],Table1[[#This Row],[Category]],Table2[orignal data]),Table2[[#This Row],[orignal data]])</f>
        <v>959.60000000000014</v>
      </c>
      <c r="T3723" t="str">
        <f t="shared" si="234"/>
        <v>UNIQUE</v>
      </c>
      <c r="U3723" t="str">
        <f>IF(ISBLANK(Table1[[#This Row],[SizeOption]]),"NOT AVAILABLE",Table1[[#This Row],[SizeOption]])</f>
        <v>26, 28, 30, 32, 34, 36, 38, 40</v>
      </c>
      <c r="Y3723" t="str">
        <f>IF(Table2[[#This Row],[Column1]]&gt;50%,"HIGH DISCOUNT","LOW DISCOUNT")</f>
        <v>HIGH DISCOUNT</v>
      </c>
    </row>
    <row r="3724" spans="1:25" x14ac:dyDescent="0.25">
      <c r="A3724" s="1" t="s">
        <v>7686</v>
      </c>
      <c r="B3724" s="1">
        <v>11526630</v>
      </c>
      <c r="C3724" s="1" t="s">
        <v>14</v>
      </c>
      <c r="D3724" s="1" t="s">
        <v>41</v>
      </c>
      <c r="E3724" s="1" t="s">
        <v>29</v>
      </c>
      <c r="F3724" s="1" t="s">
        <v>36</v>
      </c>
      <c r="G3724" s="1" t="s">
        <v>7687</v>
      </c>
      <c r="I3724" s="1">
        <v>1099</v>
      </c>
      <c r="J3724" s="1" t="s">
        <v>50</v>
      </c>
      <c r="K3724" s="1" t="s">
        <v>45</v>
      </c>
      <c r="L3724" s="1">
        <v>4.3</v>
      </c>
      <c r="M3724" s="1">
        <v>548</v>
      </c>
      <c r="P3724" t="str">
        <f t="shared" si="235"/>
        <v>40%</v>
      </c>
      <c r="Q3724" s="12">
        <f t="shared" si="232"/>
        <v>0.4</v>
      </c>
      <c r="R3724" s="9">
        <f t="shared" si="233"/>
        <v>659.4</v>
      </c>
      <c r="S3724" s="9">
        <f>IF(R3724="",AVERAGEIF(Table1[Category],Table1[[#This Row],[Category]],Table2[orignal data]),Table2[[#This Row],[orignal data]])</f>
        <v>659.4</v>
      </c>
      <c r="T3724" t="str">
        <f t="shared" si="234"/>
        <v>UNIQUE</v>
      </c>
      <c r="U3724" t="str">
        <f>IF(ISBLANK(Table1[[#This Row],[SizeOption]]),"NOT AVAILABLE",Table1[[#This Row],[SizeOption]])</f>
        <v>XS, S, M, L, XL</v>
      </c>
      <c r="Y3724" t="str">
        <f>IF(Table2[[#This Row],[Column1]]&gt;50%,"HIGH DISCOUNT","LOW DISCOUNT")</f>
        <v>LOW DISCOUNT</v>
      </c>
    </row>
    <row r="3725" spans="1:25" x14ac:dyDescent="0.25">
      <c r="A3725" s="2" t="s">
        <v>7688</v>
      </c>
      <c r="B3725" s="2">
        <v>11003408</v>
      </c>
      <c r="C3725" s="2" t="s">
        <v>107</v>
      </c>
      <c r="D3725" s="2" t="s">
        <v>41</v>
      </c>
      <c r="E3725" s="2" t="s">
        <v>48</v>
      </c>
      <c r="F3725" s="2" t="s">
        <v>36</v>
      </c>
      <c r="G3725" s="2" t="s">
        <v>7689</v>
      </c>
      <c r="I3725" s="2">
        <v>1199</v>
      </c>
      <c r="J3725" s="2" t="s">
        <v>19</v>
      </c>
      <c r="K3725" s="2" t="s">
        <v>45</v>
      </c>
      <c r="L3725" s="2">
        <v>4.2</v>
      </c>
      <c r="M3725" s="2">
        <v>548</v>
      </c>
      <c r="P3725" t="str">
        <f t="shared" si="235"/>
        <v>45%</v>
      </c>
      <c r="Q3725" s="12">
        <f t="shared" si="232"/>
        <v>0.45</v>
      </c>
      <c r="R3725" s="9">
        <f t="shared" si="233"/>
        <v>659.44999999999993</v>
      </c>
      <c r="S3725" s="9">
        <f>IF(R3725="",AVERAGEIF(Table1[Category],Table1[[#This Row],[Category]],Table2[orignal data]),Table2[[#This Row],[orignal data]])</f>
        <v>659.44999999999993</v>
      </c>
      <c r="T3725" t="str">
        <f t="shared" si="234"/>
        <v>UNIQUE</v>
      </c>
      <c r="U3725" t="str">
        <f>IF(ISBLANK(Table1[[#This Row],[SizeOption]]),"NOT AVAILABLE",Table1[[#This Row],[SizeOption]])</f>
        <v>XS, S, M, L, XL</v>
      </c>
      <c r="Y3725" t="str">
        <f>IF(Table2[[#This Row],[Column1]]&gt;50%,"HIGH DISCOUNT","LOW DISCOUNT")</f>
        <v>LOW DISCOUNT</v>
      </c>
    </row>
    <row r="3726" spans="1:25" x14ac:dyDescent="0.25">
      <c r="A3726" s="1" t="s">
        <v>7690</v>
      </c>
      <c r="B3726" s="1">
        <v>10856154</v>
      </c>
      <c r="C3726" s="1" t="s">
        <v>181</v>
      </c>
      <c r="D3726" s="1" t="s">
        <v>41</v>
      </c>
      <c r="E3726" s="1" t="s">
        <v>53</v>
      </c>
      <c r="F3726" s="1" t="s">
        <v>36</v>
      </c>
      <c r="G3726" s="1" t="s">
        <v>3894</v>
      </c>
      <c r="I3726" s="1">
        <v>1499</v>
      </c>
      <c r="J3726" s="1" t="s">
        <v>84</v>
      </c>
      <c r="K3726" s="1" t="s">
        <v>134</v>
      </c>
      <c r="L3726" s="1">
        <v>4</v>
      </c>
      <c r="M3726" s="1">
        <v>548</v>
      </c>
      <c r="P3726" t="str">
        <f t="shared" si="235"/>
        <v>50%</v>
      </c>
      <c r="Q3726" s="12">
        <f t="shared" si="232"/>
        <v>0.5</v>
      </c>
      <c r="R3726" s="9">
        <f t="shared" si="233"/>
        <v>749.5</v>
      </c>
      <c r="S3726" s="9">
        <f>IF(R3726="",AVERAGEIF(Table1[Category],Table1[[#This Row],[Category]],Table2[orignal data]),Table2[[#This Row],[orignal data]])</f>
        <v>749.5</v>
      </c>
      <c r="T3726" t="str">
        <f t="shared" si="234"/>
        <v>UNIQUE</v>
      </c>
      <c r="U3726" t="str">
        <f>IF(ISBLANK(Table1[[#This Row],[SizeOption]]),"NOT AVAILABLE",Table1[[#This Row],[SizeOption]])</f>
        <v>26, 28, 30, 32, 34, 36</v>
      </c>
      <c r="Y3726" t="str">
        <f>IF(Table2[[#This Row],[Column1]]&gt;50%,"HIGH DISCOUNT","LOW DISCOUNT")</f>
        <v>LOW DISCOUNT</v>
      </c>
    </row>
    <row r="3727" spans="1:25" x14ac:dyDescent="0.25">
      <c r="A3727" s="2" t="s">
        <v>7691</v>
      </c>
      <c r="B3727" s="2">
        <v>13243454</v>
      </c>
      <c r="C3727" s="2" t="s">
        <v>92</v>
      </c>
      <c r="D3727" s="2" t="s">
        <v>41</v>
      </c>
      <c r="E3727" s="2" t="s">
        <v>148</v>
      </c>
      <c r="F3727" s="2" t="s">
        <v>36</v>
      </c>
      <c r="G3727" s="2" t="s">
        <v>7692</v>
      </c>
      <c r="I3727" s="2">
        <v>1549</v>
      </c>
      <c r="J3727" s="2" t="s">
        <v>55</v>
      </c>
      <c r="K3727" s="2" t="s">
        <v>39</v>
      </c>
      <c r="L3727" s="2">
        <v>3.9</v>
      </c>
      <c r="M3727" s="2">
        <v>548</v>
      </c>
      <c r="P3727" t="str">
        <f t="shared" si="235"/>
        <v>60%</v>
      </c>
      <c r="Q3727" s="12">
        <f t="shared" si="232"/>
        <v>0.6</v>
      </c>
      <c r="R3727" s="9">
        <f t="shared" si="233"/>
        <v>619.6</v>
      </c>
      <c r="S3727" s="9">
        <f>IF(R3727="",AVERAGEIF(Table1[Category],Table1[[#This Row],[Category]],Table2[orignal data]),Table2[[#This Row],[orignal data]])</f>
        <v>619.6</v>
      </c>
      <c r="T3727" t="str">
        <f t="shared" si="234"/>
        <v>UNIQUE</v>
      </c>
      <c r="U3727" t="str">
        <f>IF(ISBLANK(Table1[[#This Row],[SizeOption]]),"NOT AVAILABLE",Table1[[#This Row],[SizeOption]])</f>
        <v>S, M, L, XL, XXL</v>
      </c>
      <c r="Y3727" t="str">
        <f>IF(Table2[[#This Row],[Column1]]&gt;50%,"HIGH DISCOUNT","LOW DISCOUNT")</f>
        <v>HIGH DISCOUNT</v>
      </c>
    </row>
    <row r="3728" spans="1:25" x14ac:dyDescent="0.25">
      <c r="A3728" s="1" t="s">
        <v>7693</v>
      </c>
      <c r="B3728" s="1">
        <v>10976572</v>
      </c>
      <c r="C3728" s="1" t="s">
        <v>81</v>
      </c>
      <c r="D3728" s="1" t="s">
        <v>41</v>
      </c>
      <c r="E3728" s="1" t="s">
        <v>148</v>
      </c>
      <c r="F3728" s="1" t="s">
        <v>36</v>
      </c>
      <c r="G3728" s="1" t="s">
        <v>7694</v>
      </c>
      <c r="I3728" s="1">
        <v>1999</v>
      </c>
      <c r="J3728" s="1" t="s">
        <v>25</v>
      </c>
      <c r="K3728" s="1" t="s">
        <v>115</v>
      </c>
      <c r="L3728" s="1">
        <v>4.4000000000000004</v>
      </c>
      <c r="M3728" s="1">
        <v>548</v>
      </c>
      <c r="P3728" t="str">
        <f t="shared" si="235"/>
        <v>55%</v>
      </c>
      <c r="Q3728" s="12">
        <f t="shared" si="232"/>
        <v>0.55000000000000004</v>
      </c>
      <c r="R3728" s="9">
        <f t="shared" si="233"/>
        <v>899.55</v>
      </c>
      <c r="S3728" s="9">
        <f>IF(R3728="",AVERAGEIF(Table1[Category],Table1[[#This Row],[Category]],Table2[orignal data]),Table2[[#This Row],[orignal data]])</f>
        <v>899.55</v>
      </c>
      <c r="T3728" t="str">
        <f t="shared" si="234"/>
        <v>UNIQUE</v>
      </c>
      <c r="U3728" t="str">
        <f>IF(ISBLANK(Table1[[#This Row],[SizeOption]]),"NOT AVAILABLE",Table1[[#This Row],[SizeOption]])</f>
        <v>XS, S, M, L, XL, XXL</v>
      </c>
      <c r="Y3728" t="str">
        <f>IF(Table2[[#This Row],[Column1]]&gt;50%,"HIGH DISCOUNT","LOW DISCOUNT")</f>
        <v>HIGH DISCOUNT</v>
      </c>
    </row>
    <row r="3729" spans="1:25" x14ac:dyDescent="0.25">
      <c r="A3729" s="2" t="s">
        <v>7695</v>
      </c>
      <c r="B3729" s="2">
        <v>11234652</v>
      </c>
      <c r="C3729" s="2" t="s">
        <v>4367</v>
      </c>
      <c r="D3729" s="2" t="s">
        <v>41</v>
      </c>
      <c r="E3729" s="2" t="s">
        <v>82</v>
      </c>
      <c r="F3729" s="2" t="s">
        <v>36</v>
      </c>
      <c r="G3729" s="2" t="s">
        <v>7696</v>
      </c>
      <c r="I3729" s="2">
        <v>2499</v>
      </c>
      <c r="J3729" s="2" t="s">
        <v>839</v>
      </c>
      <c r="K3729" s="2" t="s">
        <v>115</v>
      </c>
      <c r="L3729" s="2">
        <v>4.2</v>
      </c>
      <c r="M3729" s="2">
        <v>548</v>
      </c>
      <c r="P3729" t="str">
        <f t="shared" si="235"/>
        <v>68%</v>
      </c>
      <c r="Q3729" s="12">
        <f t="shared" si="232"/>
        <v>0.68</v>
      </c>
      <c r="R3729" s="9">
        <f t="shared" si="233"/>
        <v>799.67999999999984</v>
      </c>
      <c r="S3729" s="9">
        <f>IF(R3729="",AVERAGEIF(Table1[Category],Table1[[#This Row],[Category]],Table2[orignal data]),Table2[[#This Row],[orignal data]])</f>
        <v>799.67999999999984</v>
      </c>
      <c r="T3729" t="str">
        <f t="shared" si="234"/>
        <v>UNIQUE</v>
      </c>
      <c r="U3729" t="str">
        <f>IF(ISBLANK(Table1[[#This Row],[SizeOption]]),"NOT AVAILABLE",Table1[[#This Row],[SizeOption]])</f>
        <v>XS, S, M, L, XL, XXL</v>
      </c>
      <c r="Y3729" t="str">
        <f>IF(Table2[[#This Row],[Column1]]&gt;50%,"HIGH DISCOUNT","LOW DISCOUNT")</f>
        <v>HIGH DISCOUNT</v>
      </c>
    </row>
    <row r="3730" spans="1:25" x14ac:dyDescent="0.25">
      <c r="A3730" s="1" t="s">
        <v>7697</v>
      </c>
      <c r="B3730" s="1">
        <v>11489648</v>
      </c>
      <c r="C3730" s="1" t="s">
        <v>14</v>
      </c>
      <c r="D3730" s="1" t="s">
        <v>41</v>
      </c>
      <c r="E3730" s="1" t="s">
        <v>579</v>
      </c>
      <c r="F3730" s="1" t="s">
        <v>36</v>
      </c>
      <c r="G3730" s="1" t="s">
        <v>7698</v>
      </c>
      <c r="I3730" s="1">
        <v>1199</v>
      </c>
      <c r="J3730" s="1"/>
      <c r="K3730" s="1" t="s">
        <v>134</v>
      </c>
      <c r="L3730" s="1">
        <v>4.3</v>
      </c>
      <c r="M3730" s="1">
        <v>548</v>
      </c>
      <c r="P3730" t="str">
        <f t="shared" si="235"/>
        <v/>
      </c>
      <c r="Q3730" s="12" t="str">
        <f t="shared" si="232"/>
        <v/>
      </c>
      <c r="R3730" s="9" t="str">
        <f t="shared" si="233"/>
        <v/>
      </c>
      <c r="S3730" s="9">
        <f>IF(R3730="",AVERAGEIF(Table1[Category],Table1[[#This Row],[Category]],Table2[orignal data]),Table2[[#This Row],[orignal data]])</f>
        <v>715.78890751086249</v>
      </c>
      <c r="T3730" t="str">
        <f t="shared" si="234"/>
        <v>UNIQUE</v>
      </c>
      <c r="U3730" t="str">
        <f>IF(ISBLANK(Table1[[#This Row],[SizeOption]]),"NOT AVAILABLE",Table1[[#This Row],[SizeOption]])</f>
        <v>26, 28, 30, 32, 34, 36</v>
      </c>
      <c r="Y3730" t="str">
        <f>IF(Table2[[#This Row],[Column1]]&gt;50%,"HIGH DISCOUNT","LOW DISCOUNT")</f>
        <v>HIGH DISCOUNT</v>
      </c>
    </row>
    <row r="3731" spans="1:25" x14ac:dyDescent="0.25">
      <c r="A3731" s="2" t="s">
        <v>7699</v>
      </c>
      <c r="B3731" s="2">
        <v>1729296</v>
      </c>
      <c r="C3731" s="2" t="s">
        <v>169</v>
      </c>
      <c r="D3731" s="2" t="s">
        <v>15</v>
      </c>
      <c r="E3731" s="2" t="s">
        <v>16</v>
      </c>
      <c r="F3731" s="2" t="s">
        <v>17</v>
      </c>
      <c r="G3731" s="2" t="s">
        <v>7700</v>
      </c>
      <c r="H3731">
        <v>1539</v>
      </c>
      <c r="I3731" s="2">
        <v>2799</v>
      </c>
      <c r="J3731" s="2" t="s">
        <v>19</v>
      </c>
      <c r="K3731" s="2" t="s">
        <v>171</v>
      </c>
      <c r="L3731" s="2">
        <v>3.8</v>
      </c>
      <c r="M3731" s="2">
        <v>547</v>
      </c>
      <c r="P3731" t="str">
        <f t="shared" si="235"/>
        <v>45%</v>
      </c>
      <c r="Q3731" s="12">
        <f t="shared" si="232"/>
        <v>0.45</v>
      </c>
      <c r="R3731" s="9">
        <f t="shared" si="233"/>
        <v>1539.45</v>
      </c>
      <c r="S3731" s="9">
        <f>IF(R3731="",AVERAGEIF(Table1[Category],Table1[[#This Row],[Category]],Table2[orignal data]),Table2[[#This Row],[orignal data]])</f>
        <v>1539.45</v>
      </c>
      <c r="T3731" t="str">
        <f t="shared" si="234"/>
        <v>UNIQUE</v>
      </c>
      <c r="U3731" t="str">
        <f>IF(ISBLANK(Table1[[#This Row],[SizeOption]]),"NOT AVAILABLE",Table1[[#This Row],[SizeOption]])</f>
        <v>28, 30, 32, 34, 36, 38</v>
      </c>
      <c r="Y3731" t="str">
        <f>IF(Table2[[#This Row],[Column1]]&gt;50%,"HIGH DISCOUNT","LOW DISCOUNT")</f>
        <v>LOW DISCOUNT</v>
      </c>
    </row>
    <row r="3732" spans="1:25" x14ac:dyDescent="0.25">
      <c r="A3732" s="1" t="s">
        <v>7701</v>
      </c>
      <c r="B3732" s="1">
        <v>10046827</v>
      </c>
      <c r="C3732" s="1" t="s">
        <v>14</v>
      </c>
      <c r="D3732" s="1" t="s">
        <v>15</v>
      </c>
      <c r="E3732" s="1" t="s">
        <v>16</v>
      </c>
      <c r="F3732" s="1" t="s">
        <v>17</v>
      </c>
      <c r="G3732" s="1" t="s">
        <v>7702</v>
      </c>
      <c r="H3732">
        <v>999</v>
      </c>
      <c r="I3732" s="1">
        <v>1999</v>
      </c>
      <c r="J3732" s="1" t="s">
        <v>84</v>
      </c>
      <c r="K3732" s="1" t="s">
        <v>20</v>
      </c>
      <c r="L3732" s="1">
        <v>3.8</v>
      </c>
      <c r="M3732" s="1">
        <v>547</v>
      </c>
      <c r="P3732" t="str">
        <f t="shared" si="235"/>
        <v>50%</v>
      </c>
      <c r="Q3732" s="12">
        <f t="shared" si="232"/>
        <v>0.5</v>
      </c>
      <c r="R3732" s="9">
        <f t="shared" si="233"/>
        <v>999.5</v>
      </c>
      <c r="S3732" s="9">
        <f>IF(R3732="",AVERAGEIF(Table1[Category],Table1[[#This Row],[Category]],Table2[orignal data]),Table2[[#This Row],[orignal data]])</f>
        <v>999.5</v>
      </c>
      <c r="T3732" t="str">
        <f t="shared" si="234"/>
        <v>UNIQUE</v>
      </c>
      <c r="U3732" t="str">
        <f>IF(ISBLANK(Table1[[#This Row],[SizeOption]]),"NOT AVAILABLE",Table1[[#This Row],[SizeOption]])</f>
        <v>28, 30, 32, 34, 36</v>
      </c>
      <c r="Y3732" t="str">
        <f>IF(Table2[[#This Row],[Column1]]&gt;50%,"HIGH DISCOUNT","LOW DISCOUNT")</f>
        <v>LOW DISCOUNT</v>
      </c>
    </row>
    <row r="3733" spans="1:25" x14ac:dyDescent="0.25">
      <c r="A3733" s="2" t="s">
        <v>7703</v>
      </c>
      <c r="B3733" s="2">
        <v>10285701</v>
      </c>
      <c r="C3733" s="2" t="s">
        <v>52</v>
      </c>
      <c r="D3733" s="2" t="s">
        <v>15</v>
      </c>
      <c r="E3733" s="2" t="s">
        <v>137</v>
      </c>
      <c r="F3733" s="2" t="s">
        <v>17</v>
      </c>
      <c r="G3733" s="2" t="s">
        <v>4223</v>
      </c>
      <c r="H3733">
        <v>587</v>
      </c>
      <c r="I3733" s="2">
        <v>1249</v>
      </c>
      <c r="J3733" s="2" t="s">
        <v>89</v>
      </c>
      <c r="K3733" s="2" t="s">
        <v>56</v>
      </c>
      <c r="L3733" s="2">
        <v>4.4000000000000004</v>
      </c>
      <c r="M3733" s="2">
        <v>547</v>
      </c>
      <c r="P3733" t="str">
        <f t="shared" si="235"/>
        <v>53%</v>
      </c>
      <c r="Q3733" s="12">
        <f t="shared" si="232"/>
        <v>0.53</v>
      </c>
      <c r="R3733" s="9">
        <f t="shared" si="233"/>
        <v>587.03</v>
      </c>
      <c r="S3733" s="9">
        <f>IF(R3733="",AVERAGEIF(Table1[Category],Table1[[#This Row],[Category]],Table2[orignal data]),Table2[[#This Row],[orignal data]])</f>
        <v>587.03</v>
      </c>
      <c r="T3733" t="str">
        <f t="shared" si="234"/>
        <v>UNIQUE</v>
      </c>
      <c r="U3733" t="str">
        <f>IF(ISBLANK(Table1[[#This Row],[SizeOption]]),"NOT AVAILABLE",Table1[[#This Row],[SizeOption]])</f>
        <v>30, 32, 34, 36</v>
      </c>
      <c r="Y3733" t="str">
        <f>IF(Table2[[#This Row],[Column1]]&gt;50%,"HIGH DISCOUNT","LOW DISCOUNT")</f>
        <v>HIGH DISCOUNT</v>
      </c>
    </row>
    <row r="3734" spans="1:25" x14ac:dyDescent="0.25">
      <c r="A3734" s="1" t="s">
        <v>7704</v>
      </c>
      <c r="B3734" s="1">
        <v>10556632</v>
      </c>
      <c r="C3734" s="1" t="s">
        <v>7705</v>
      </c>
      <c r="D3734" s="1" t="s">
        <v>28</v>
      </c>
      <c r="E3734" s="1" t="s">
        <v>306</v>
      </c>
      <c r="F3734" s="1" t="s">
        <v>17</v>
      </c>
      <c r="G3734" s="1" t="s">
        <v>7706</v>
      </c>
      <c r="I3734" s="1">
        <v>1999</v>
      </c>
      <c r="J3734" s="1"/>
      <c r="K3734" s="1" t="s">
        <v>39</v>
      </c>
      <c r="L3734" s="1">
        <v>4.4000000000000004</v>
      </c>
      <c r="M3734" s="1">
        <v>547</v>
      </c>
      <c r="P3734" t="str">
        <f t="shared" si="235"/>
        <v/>
      </c>
      <c r="Q3734" s="12" t="str">
        <f t="shared" si="232"/>
        <v/>
      </c>
      <c r="R3734" s="9" t="str">
        <f t="shared" si="233"/>
        <v/>
      </c>
      <c r="S3734" s="9">
        <f>IF(R3734="",AVERAGEIF(Table1[Category],Table1[[#This Row],[Category]],Table2[orignal data]),Table2[[#This Row],[orignal data]])</f>
        <v>671.7823941958867</v>
      </c>
      <c r="T3734" t="str">
        <f t="shared" si="234"/>
        <v>UNIQUE</v>
      </c>
      <c r="U3734" t="str">
        <f>IF(ISBLANK(Table1[[#This Row],[SizeOption]]),"NOT AVAILABLE",Table1[[#This Row],[SizeOption]])</f>
        <v>S, M, L, XL, XXL</v>
      </c>
      <c r="Y3734" t="str">
        <f>IF(Table2[[#This Row],[Column1]]&gt;50%,"HIGH DISCOUNT","LOW DISCOUNT")</f>
        <v>HIGH DISCOUNT</v>
      </c>
    </row>
    <row r="3735" spans="1:25" x14ac:dyDescent="0.25">
      <c r="A3735" s="2" t="s">
        <v>7707</v>
      </c>
      <c r="B3735" s="2">
        <v>12115852</v>
      </c>
      <c r="C3735" s="2" t="s">
        <v>47</v>
      </c>
      <c r="D3735" s="2" t="s">
        <v>28</v>
      </c>
      <c r="E3735" s="2" t="s">
        <v>42</v>
      </c>
      <c r="F3735" s="2" t="s">
        <v>17</v>
      </c>
      <c r="G3735" s="2" t="s">
        <v>7708</v>
      </c>
      <c r="H3735">
        <v>384</v>
      </c>
      <c r="I3735" s="2">
        <v>699</v>
      </c>
      <c r="J3735" s="2" t="s">
        <v>19</v>
      </c>
      <c r="K3735" s="2" t="s">
        <v>26</v>
      </c>
      <c r="L3735" s="2">
        <v>4.3</v>
      </c>
      <c r="M3735" s="2">
        <v>547</v>
      </c>
      <c r="P3735" t="str">
        <f t="shared" si="235"/>
        <v>45%</v>
      </c>
      <c r="Q3735" s="12">
        <f t="shared" si="232"/>
        <v>0.45</v>
      </c>
      <c r="R3735" s="9">
        <f t="shared" si="233"/>
        <v>384.45</v>
      </c>
      <c r="S3735" s="9">
        <f>IF(R3735="",AVERAGEIF(Table1[Category],Table1[[#This Row],[Category]],Table2[orignal data]),Table2[[#This Row],[orignal data]])</f>
        <v>384.45</v>
      </c>
      <c r="T3735" t="str">
        <f t="shared" si="234"/>
        <v>UNIQUE</v>
      </c>
      <c r="U3735" t="str">
        <f>IF(ISBLANK(Table1[[#This Row],[SizeOption]]),"NOT AVAILABLE",Table1[[#This Row],[SizeOption]])</f>
        <v>S, M, L, XL</v>
      </c>
      <c r="Y3735" t="str">
        <f>IF(Table2[[#This Row],[Column1]]&gt;50%,"HIGH DISCOUNT","LOW DISCOUNT")</f>
        <v>LOW DISCOUNT</v>
      </c>
    </row>
    <row r="3736" spans="1:25" x14ac:dyDescent="0.25">
      <c r="A3736" s="1" t="s">
        <v>7709</v>
      </c>
      <c r="B3736" s="1">
        <v>13321330</v>
      </c>
      <c r="C3736" s="1" t="s">
        <v>97</v>
      </c>
      <c r="D3736" s="1" t="s">
        <v>76</v>
      </c>
      <c r="E3736" s="1" t="s">
        <v>77</v>
      </c>
      <c r="F3736" s="1" t="s">
        <v>36</v>
      </c>
      <c r="G3736" s="1" t="s">
        <v>7710</v>
      </c>
      <c r="I3736" s="1">
        <v>2799</v>
      </c>
      <c r="J3736" s="1"/>
      <c r="K3736" s="1" t="s">
        <v>100</v>
      </c>
      <c r="L3736" s="1">
        <v>4.3</v>
      </c>
      <c r="M3736" s="1">
        <v>547</v>
      </c>
      <c r="P3736" t="str">
        <f t="shared" si="235"/>
        <v/>
      </c>
      <c r="Q3736" s="12" t="str">
        <f t="shared" si="232"/>
        <v/>
      </c>
      <c r="R3736" s="9" t="str">
        <f t="shared" si="233"/>
        <v/>
      </c>
      <c r="S3736" s="9">
        <f>IF(R3736="",AVERAGEIF(Table1[Category],Table1[[#This Row],[Category]],Table2[orignal data]),Table2[[#This Row],[orignal data]])</f>
        <v>1045.2418648648661</v>
      </c>
      <c r="T3736" t="str">
        <f t="shared" si="234"/>
        <v>UNIQUE</v>
      </c>
      <c r="U3736" t="str">
        <f>IF(ISBLANK(Table1[[#This Row],[SizeOption]]),"NOT AVAILABLE",Table1[[#This Row],[SizeOption]])</f>
        <v>XS, S, M, L, XL, XXL, 3XL</v>
      </c>
      <c r="Y3736" t="str">
        <f>IF(Table2[[#This Row],[Column1]]&gt;50%,"HIGH DISCOUNT","LOW DISCOUNT")</f>
        <v>HIGH DISCOUNT</v>
      </c>
    </row>
    <row r="3737" spans="1:25" x14ac:dyDescent="0.25">
      <c r="A3737" s="2" t="s">
        <v>7711</v>
      </c>
      <c r="B3737" s="2">
        <v>13567622</v>
      </c>
      <c r="C3737" s="2" t="s">
        <v>2154</v>
      </c>
      <c r="D3737" s="2" t="s">
        <v>34</v>
      </c>
      <c r="E3737" s="2" t="s">
        <v>406</v>
      </c>
      <c r="F3737" s="2" t="s">
        <v>36</v>
      </c>
      <c r="G3737" s="2" t="s">
        <v>7712</v>
      </c>
      <c r="H3737">
        <v>985</v>
      </c>
      <c r="I3737" s="2">
        <v>1699</v>
      </c>
      <c r="J3737" s="2" t="s">
        <v>2327</v>
      </c>
      <c r="K3737" s="2" t="s">
        <v>26</v>
      </c>
      <c r="L3737" s="2">
        <v>4.4000000000000004</v>
      </c>
      <c r="M3737" s="2">
        <v>547</v>
      </c>
      <c r="P3737" t="str">
        <f t="shared" si="235"/>
        <v>42%</v>
      </c>
      <c r="Q3737" s="12">
        <f t="shared" si="232"/>
        <v>0.42</v>
      </c>
      <c r="R3737" s="9">
        <f t="shared" si="233"/>
        <v>985.42000000000007</v>
      </c>
      <c r="S3737" s="9">
        <f>IF(R3737="",AVERAGEIF(Table1[Category],Table1[[#This Row],[Category]],Table2[orignal data]),Table2[[#This Row],[orignal data]])</f>
        <v>985.42000000000007</v>
      </c>
      <c r="T3737" t="str">
        <f t="shared" si="234"/>
        <v>UNIQUE</v>
      </c>
      <c r="U3737" t="str">
        <f>IF(ISBLANK(Table1[[#This Row],[SizeOption]]),"NOT AVAILABLE",Table1[[#This Row],[SizeOption]])</f>
        <v>S, M, L, XL</v>
      </c>
      <c r="Y3737" t="str">
        <f>IF(Table2[[#This Row],[Column1]]&gt;50%,"HIGH DISCOUNT","LOW DISCOUNT")</f>
        <v>LOW DISCOUNT</v>
      </c>
    </row>
    <row r="3738" spans="1:25" x14ac:dyDescent="0.25">
      <c r="A3738" s="1" t="s">
        <v>7713</v>
      </c>
      <c r="B3738" s="1">
        <v>10730200</v>
      </c>
      <c r="C3738" s="1" t="s">
        <v>887</v>
      </c>
      <c r="D3738" s="1" t="s">
        <v>41</v>
      </c>
      <c r="E3738" s="1" t="s">
        <v>148</v>
      </c>
      <c r="F3738" s="1" t="s">
        <v>36</v>
      </c>
      <c r="G3738" s="1" t="s">
        <v>7714</v>
      </c>
      <c r="I3738" s="1">
        <v>1399</v>
      </c>
      <c r="J3738" s="1" t="s">
        <v>908</v>
      </c>
      <c r="K3738" s="1" t="s">
        <v>26</v>
      </c>
      <c r="L3738" s="1">
        <v>4.2</v>
      </c>
      <c r="M3738" s="1">
        <v>547</v>
      </c>
      <c r="P3738" t="str">
        <f t="shared" si="235"/>
        <v>23%</v>
      </c>
      <c r="Q3738" s="12">
        <f t="shared" si="232"/>
        <v>0.23</v>
      </c>
      <c r="R3738" s="9">
        <f t="shared" si="233"/>
        <v>1077.23</v>
      </c>
      <c r="S3738" s="9">
        <f>IF(R3738="",AVERAGEIF(Table1[Category],Table1[[#This Row],[Category]],Table2[orignal data]),Table2[[#This Row],[orignal data]])</f>
        <v>1077.23</v>
      </c>
      <c r="T3738" t="str">
        <f t="shared" si="234"/>
        <v>UNIQUE</v>
      </c>
      <c r="U3738" t="str">
        <f>IF(ISBLANK(Table1[[#This Row],[SizeOption]]),"NOT AVAILABLE",Table1[[#This Row],[SizeOption]])</f>
        <v>S, M, L, XL</v>
      </c>
      <c r="Y3738" t="str">
        <f>IF(Table2[[#This Row],[Column1]]&gt;50%,"HIGH DISCOUNT","LOW DISCOUNT")</f>
        <v>LOW DISCOUNT</v>
      </c>
    </row>
    <row r="3739" spans="1:25" x14ac:dyDescent="0.25">
      <c r="A3739" s="2" t="s">
        <v>7715</v>
      </c>
      <c r="B3739" s="2">
        <v>11188656</v>
      </c>
      <c r="C3739" s="2" t="s">
        <v>47</v>
      </c>
      <c r="D3739" s="2" t="s">
        <v>41</v>
      </c>
      <c r="E3739" s="2" t="s">
        <v>48</v>
      </c>
      <c r="F3739" s="2" t="s">
        <v>36</v>
      </c>
      <c r="G3739" s="2" t="s">
        <v>7716</v>
      </c>
      <c r="I3739" s="2">
        <v>1499</v>
      </c>
      <c r="J3739" s="2" t="s">
        <v>273</v>
      </c>
      <c r="K3739" s="2" t="s">
        <v>45</v>
      </c>
      <c r="L3739" s="2">
        <v>4.3</v>
      </c>
      <c r="M3739" s="2">
        <v>547</v>
      </c>
      <c r="P3739" t="str">
        <f t="shared" si="235"/>
        <v>45 %</v>
      </c>
      <c r="Q3739" s="12">
        <f t="shared" si="232"/>
        <v>0.45</v>
      </c>
      <c r="R3739" s="9">
        <f t="shared" si="233"/>
        <v>824.44999999999993</v>
      </c>
      <c r="S3739" s="9">
        <f>IF(R3739="",AVERAGEIF(Table1[Category],Table1[[#This Row],[Category]],Table2[orignal data]),Table2[[#This Row],[orignal data]])</f>
        <v>824.44999999999993</v>
      </c>
      <c r="T3739" t="str">
        <f t="shared" si="234"/>
        <v>UNIQUE</v>
      </c>
      <c r="U3739" t="str">
        <f>IF(ISBLANK(Table1[[#This Row],[SizeOption]]),"NOT AVAILABLE",Table1[[#This Row],[SizeOption]])</f>
        <v>XS, S, M, L, XL</v>
      </c>
      <c r="Y3739" t="str">
        <f>IF(Table2[[#This Row],[Column1]]&gt;50%,"HIGH DISCOUNT","LOW DISCOUNT")</f>
        <v>LOW DISCOUNT</v>
      </c>
    </row>
    <row r="3740" spans="1:25" x14ac:dyDescent="0.25">
      <c r="A3740" s="1" t="s">
        <v>7717</v>
      </c>
      <c r="B3740" s="1">
        <v>17524878</v>
      </c>
      <c r="C3740" s="1" t="s">
        <v>47</v>
      </c>
      <c r="D3740" s="1" t="s">
        <v>41</v>
      </c>
      <c r="E3740" s="1" t="s">
        <v>42</v>
      </c>
      <c r="F3740" s="1" t="s">
        <v>36</v>
      </c>
      <c r="G3740" s="1" t="s">
        <v>6431</v>
      </c>
      <c r="I3740" s="1">
        <v>1598</v>
      </c>
      <c r="J3740" s="1" t="s">
        <v>84</v>
      </c>
      <c r="K3740" s="1" t="s">
        <v>703</v>
      </c>
      <c r="L3740" s="1">
        <v>4.0999999999999996</v>
      </c>
      <c r="M3740" s="1">
        <v>547</v>
      </c>
      <c r="P3740" t="str">
        <f t="shared" si="235"/>
        <v>50%</v>
      </c>
      <c r="Q3740" s="12">
        <f t="shared" si="232"/>
        <v>0.5</v>
      </c>
      <c r="R3740" s="9">
        <f t="shared" si="233"/>
        <v>799</v>
      </c>
      <c r="S3740" s="9">
        <f>IF(R3740="",AVERAGEIF(Table1[Category],Table1[[#This Row],[Category]],Table2[orignal data]),Table2[[#This Row],[orignal data]])</f>
        <v>799</v>
      </c>
      <c r="T3740" t="str">
        <f t="shared" si="234"/>
        <v>UNIQUE</v>
      </c>
      <c r="U3740" t="str">
        <f>IF(ISBLANK(Table1[[#This Row],[SizeOption]]),"NOT AVAILABLE",Table1[[#This Row],[SizeOption]])</f>
        <v>S, XS, XL, L, M</v>
      </c>
      <c r="Y3740" t="str">
        <f>IF(Table2[[#This Row],[Column1]]&gt;50%,"HIGH DISCOUNT","LOW DISCOUNT")</f>
        <v>LOW DISCOUNT</v>
      </c>
    </row>
    <row r="3741" spans="1:25" x14ac:dyDescent="0.25">
      <c r="A3741" s="2" t="s">
        <v>7718</v>
      </c>
      <c r="B3741" s="2">
        <v>17381602</v>
      </c>
      <c r="C3741" s="2" t="s">
        <v>14</v>
      </c>
      <c r="D3741" s="2" t="s">
        <v>41</v>
      </c>
      <c r="E3741" s="2" t="s">
        <v>42</v>
      </c>
      <c r="F3741" s="2" t="s">
        <v>36</v>
      </c>
      <c r="G3741" s="2" t="s">
        <v>7719</v>
      </c>
      <c r="I3741" s="2">
        <v>1798</v>
      </c>
      <c r="J3741" s="2" t="s">
        <v>84</v>
      </c>
      <c r="K3741" s="2" t="s">
        <v>146</v>
      </c>
      <c r="L3741" s="2">
        <v>4.4000000000000004</v>
      </c>
      <c r="M3741" s="2">
        <v>547</v>
      </c>
      <c r="P3741" t="str">
        <f t="shared" si="235"/>
        <v>50%</v>
      </c>
      <c r="Q3741" s="12">
        <f t="shared" si="232"/>
        <v>0.5</v>
      </c>
      <c r="R3741" s="9">
        <f t="shared" si="233"/>
        <v>899</v>
      </c>
      <c r="S3741" s="9">
        <f>IF(R3741="",AVERAGEIF(Table1[Category],Table1[[#This Row],[Category]],Table2[orignal data]),Table2[[#This Row],[orignal data]])</f>
        <v>899</v>
      </c>
      <c r="T3741" t="str">
        <f t="shared" si="234"/>
        <v>UNIQUE</v>
      </c>
      <c r="U3741" t="str">
        <f>IF(ISBLANK(Table1[[#This Row],[SizeOption]]),"NOT AVAILABLE",Table1[[#This Row],[SizeOption]])</f>
        <v>L, M, S, XS, XL</v>
      </c>
      <c r="Y3741" t="str">
        <f>IF(Table2[[#This Row],[Column1]]&gt;50%,"HIGH DISCOUNT","LOW DISCOUNT")</f>
        <v>LOW DISCOUNT</v>
      </c>
    </row>
    <row r="3742" spans="1:25" x14ac:dyDescent="0.25">
      <c r="A3742" s="1" t="s">
        <v>7720</v>
      </c>
      <c r="B3742" s="1">
        <v>9440729</v>
      </c>
      <c r="C3742" s="1" t="s">
        <v>102</v>
      </c>
      <c r="D3742" s="1" t="s">
        <v>41</v>
      </c>
      <c r="E3742" s="1" t="s">
        <v>16</v>
      </c>
      <c r="F3742" s="1" t="s">
        <v>36</v>
      </c>
      <c r="G3742" s="1" t="s">
        <v>3287</v>
      </c>
      <c r="I3742" s="1">
        <v>1899</v>
      </c>
      <c r="J3742" s="1" t="s">
        <v>126</v>
      </c>
      <c r="K3742" s="1" t="s">
        <v>428</v>
      </c>
      <c r="L3742" s="1">
        <v>4</v>
      </c>
      <c r="M3742" s="1">
        <v>547</v>
      </c>
      <c r="P3742" t="str">
        <f t="shared" si="235"/>
        <v>62%</v>
      </c>
      <c r="Q3742" s="12">
        <f t="shared" si="232"/>
        <v>0.62</v>
      </c>
      <c r="R3742" s="9">
        <f t="shared" si="233"/>
        <v>721.62000000000012</v>
      </c>
      <c r="S3742" s="9">
        <f>IF(R3742="",AVERAGEIF(Table1[Category],Table1[[#This Row],[Category]],Table2[orignal data]),Table2[[#This Row],[orignal data]])</f>
        <v>721.62000000000012</v>
      </c>
      <c r="T3742" t="str">
        <f t="shared" si="234"/>
        <v>UNIQUE</v>
      </c>
      <c r="U3742" t="str">
        <f>IF(ISBLANK(Table1[[#This Row],[SizeOption]]),"NOT AVAILABLE",Table1[[#This Row],[SizeOption]])</f>
        <v>26, 28, 30, 32, 34</v>
      </c>
      <c r="Y3742" t="str">
        <f>IF(Table2[[#This Row],[Column1]]&gt;50%,"HIGH DISCOUNT","LOW DISCOUNT")</f>
        <v>HIGH DISCOUNT</v>
      </c>
    </row>
    <row r="3743" spans="1:25" x14ac:dyDescent="0.25">
      <c r="A3743" s="2" t="s">
        <v>7721</v>
      </c>
      <c r="B3743" s="2">
        <v>5345800</v>
      </c>
      <c r="C3743" s="2" t="s">
        <v>3911</v>
      </c>
      <c r="D3743" s="2" t="s">
        <v>15</v>
      </c>
      <c r="E3743" s="2" t="s">
        <v>137</v>
      </c>
      <c r="F3743" s="2" t="s">
        <v>17</v>
      </c>
      <c r="G3743" s="2" t="s">
        <v>6227</v>
      </c>
      <c r="H3743">
        <v>539</v>
      </c>
      <c r="I3743" s="2">
        <v>899</v>
      </c>
      <c r="J3743" s="2" t="s">
        <v>50</v>
      </c>
      <c r="K3743" s="2" t="s">
        <v>171</v>
      </c>
      <c r="L3743" s="2">
        <v>4.0999999999999996</v>
      </c>
      <c r="M3743" s="2">
        <v>546</v>
      </c>
      <c r="P3743" t="str">
        <f t="shared" si="235"/>
        <v>40%</v>
      </c>
      <c r="Q3743" s="12">
        <f t="shared" si="232"/>
        <v>0.4</v>
      </c>
      <c r="R3743" s="9">
        <f t="shared" si="233"/>
        <v>539.4</v>
      </c>
      <c r="S3743" s="9">
        <f>IF(R3743="",AVERAGEIF(Table1[Category],Table1[[#This Row],[Category]],Table2[orignal data]),Table2[[#This Row],[orignal data]])</f>
        <v>539.4</v>
      </c>
      <c r="T3743" t="str">
        <f t="shared" si="234"/>
        <v>UNIQUE</v>
      </c>
      <c r="U3743" t="str">
        <f>IF(ISBLANK(Table1[[#This Row],[SizeOption]]),"NOT AVAILABLE",Table1[[#This Row],[SizeOption]])</f>
        <v>28, 30, 32, 34, 36, 38</v>
      </c>
      <c r="Y3743" t="str">
        <f>IF(Table2[[#This Row],[Column1]]&gt;50%,"HIGH DISCOUNT","LOW DISCOUNT")</f>
        <v>LOW DISCOUNT</v>
      </c>
    </row>
    <row r="3744" spans="1:25" x14ac:dyDescent="0.25">
      <c r="A3744" s="1" t="s">
        <v>7722</v>
      </c>
      <c r="B3744" s="1">
        <v>11616676</v>
      </c>
      <c r="C3744" s="1" t="s">
        <v>2823</v>
      </c>
      <c r="D3744" s="1" t="s">
        <v>68</v>
      </c>
      <c r="E3744" s="1" t="s">
        <v>42</v>
      </c>
      <c r="F3744" s="1" t="s">
        <v>17</v>
      </c>
      <c r="G3744" s="1" t="s">
        <v>7723</v>
      </c>
      <c r="H3744">
        <v>329</v>
      </c>
      <c r="I3744" s="1">
        <v>999</v>
      </c>
      <c r="J3744" s="1" t="s">
        <v>543</v>
      </c>
      <c r="K3744" s="1" t="s">
        <v>39</v>
      </c>
      <c r="L3744" s="1">
        <v>4.3</v>
      </c>
      <c r="M3744" s="1">
        <v>546</v>
      </c>
      <c r="P3744" t="str">
        <f t="shared" si="235"/>
        <v>67%</v>
      </c>
      <c r="Q3744" s="12">
        <f t="shared" si="232"/>
        <v>0.67</v>
      </c>
      <c r="R3744" s="9">
        <f t="shared" si="233"/>
        <v>329.66999999999996</v>
      </c>
      <c r="S3744" s="9">
        <f>IF(R3744="",AVERAGEIF(Table1[Category],Table1[[#This Row],[Category]],Table2[orignal data]),Table2[[#This Row],[orignal data]])</f>
        <v>329.66999999999996</v>
      </c>
      <c r="T3744" t="str">
        <f t="shared" si="234"/>
        <v>UNIQUE</v>
      </c>
      <c r="U3744" t="str">
        <f>IF(ISBLANK(Table1[[#This Row],[SizeOption]]),"NOT AVAILABLE",Table1[[#This Row],[SizeOption]])</f>
        <v>S, M, L, XL, XXL</v>
      </c>
      <c r="Y3744" t="str">
        <f>IF(Table2[[#This Row],[Column1]]&gt;50%,"HIGH DISCOUNT","LOW DISCOUNT")</f>
        <v>HIGH DISCOUNT</v>
      </c>
    </row>
    <row r="3745" spans="1:25" x14ac:dyDescent="0.25">
      <c r="A3745" s="2" t="s">
        <v>7724</v>
      </c>
      <c r="B3745" s="2">
        <v>11533262</v>
      </c>
      <c r="C3745" s="2" t="s">
        <v>14</v>
      </c>
      <c r="D3745" s="2" t="s">
        <v>28</v>
      </c>
      <c r="E3745" s="2" t="s">
        <v>42</v>
      </c>
      <c r="F3745" s="2" t="s">
        <v>17</v>
      </c>
      <c r="G3745" s="2" t="s">
        <v>7725</v>
      </c>
      <c r="H3745">
        <v>399</v>
      </c>
      <c r="I3745" s="2">
        <v>999</v>
      </c>
      <c r="J3745" s="2" t="s">
        <v>55</v>
      </c>
      <c r="K3745" s="2" t="s">
        <v>45</v>
      </c>
      <c r="L3745" s="2">
        <v>4.3</v>
      </c>
      <c r="M3745" s="2">
        <v>546</v>
      </c>
      <c r="P3745" t="str">
        <f t="shared" si="235"/>
        <v>60%</v>
      </c>
      <c r="Q3745" s="12">
        <f t="shared" si="232"/>
        <v>0.6</v>
      </c>
      <c r="R3745" s="9">
        <f t="shared" si="233"/>
        <v>399.6</v>
      </c>
      <c r="S3745" s="9">
        <f>IF(R3745="",AVERAGEIF(Table1[Category],Table1[[#This Row],[Category]],Table2[orignal data]),Table2[[#This Row],[orignal data]])</f>
        <v>399.6</v>
      </c>
      <c r="T3745" t="str">
        <f t="shared" si="234"/>
        <v>UNIQUE</v>
      </c>
      <c r="U3745" t="str">
        <f>IF(ISBLANK(Table1[[#This Row],[SizeOption]]),"NOT AVAILABLE",Table1[[#This Row],[SizeOption]])</f>
        <v>XS, S, M, L, XL</v>
      </c>
      <c r="Y3745" t="str">
        <f>IF(Table2[[#This Row],[Column1]]&gt;50%,"HIGH DISCOUNT","LOW DISCOUNT")</f>
        <v>HIGH DISCOUNT</v>
      </c>
    </row>
    <row r="3746" spans="1:25" x14ac:dyDescent="0.25">
      <c r="A3746" s="1" t="s">
        <v>7726</v>
      </c>
      <c r="B3746" s="1">
        <v>12907346</v>
      </c>
      <c r="C3746" s="1" t="s">
        <v>14</v>
      </c>
      <c r="D3746" s="1" t="s">
        <v>28</v>
      </c>
      <c r="E3746" s="1" t="s">
        <v>42</v>
      </c>
      <c r="F3746" s="1" t="s">
        <v>17</v>
      </c>
      <c r="G3746" s="1" t="s">
        <v>7727</v>
      </c>
      <c r="H3746">
        <v>399</v>
      </c>
      <c r="I3746" s="1">
        <v>999</v>
      </c>
      <c r="J3746" s="1" t="s">
        <v>55</v>
      </c>
      <c r="K3746" s="1" t="s">
        <v>73</v>
      </c>
      <c r="L3746" s="1">
        <v>4.4000000000000004</v>
      </c>
      <c r="M3746" s="1">
        <v>546</v>
      </c>
      <c r="P3746" t="str">
        <f t="shared" si="235"/>
        <v>60%</v>
      </c>
      <c r="Q3746" s="12">
        <f t="shared" si="232"/>
        <v>0.6</v>
      </c>
      <c r="R3746" s="9">
        <f t="shared" si="233"/>
        <v>399.6</v>
      </c>
      <c r="S3746" s="9">
        <f>IF(R3746="",AVERAGEIF(Table1[Category],Table1[[#This Row],[Category]],Table2[orignal data]),Table2[[#This Row],[orignal data]])</f>
        <v>399.6</v>
      </c>
      <c r="T3746" t="str">
        <f t="shared" si="234"/>
        <v>UNIQUE</v>
      </c>
      <c r="U3746" t="str">
        <f>IF(ISBLANK(Table1[[#This Row],[SizeOption]]),"NOT AVAILABLE",Table1[[#This Row],[SizeOption]])</f>
        <v>XS, S, M, L, XL, XXL, 3XL, 4XL</v>
      </c>
      <c r="Y3746" t="str">
        <f>IF(Table2[[#This Row],[Column1]]&gt;50%,"HIGH DISCOUNT","LOW DISCOUNT")</f>
        <v>HIGH DISCOUNT</v>
      </c>
    </row>
    <row r="3747" spans="1:25" x14ac:dyDescent="0.25">
      <c r="A3747" s="2" t="s">
        <v>7728</v>
      </c>
      <c r="B3747" s="2">
        <v>10483962</v>
      </c>
      <c r="C3747" s="2" t="s">
        <v>319</v>
      </c>
      <c r="D3747" s="2" t="s">
        <v>76</v>
      </c>
      <c r="E3747" s="2" t="s">
        <v>320</v>
      </c>
      <c r="F3747" s="2" t="s">
        <v>36</v>
      </c>
      <c r="G3747" s="2" t="s">
        <v>7729</v>
      </c>
      <c r="H3747">
        <v>999</v>
      </c>
      <c r="I3747" s="2">
        <v>2498</v>
      </c>
      <c r="J3747" s="2" t="s">
        <v>55</v>
      </c>
      <c r="K3747" s="2" t="s">
        <v>164</v>
      </c>
      <c r="L3747" s="2">
        <v>4.0999999999999996</v>
      </c>
      <c r="M3747" s="2">
        <v>546</v>
      </c>
      <c r="P3747" t="str">
        <f t="shared" si="235"/>
        <v>60%</v>
      </c>
      <c r="Q3747" s="12">
        <f t="shared" si="232"/>
        <v>0.6</v>
      </c>
      <c r="R3747" s="9">
        <f t="shared" si="233"/>
        <v>999.2</v>
      </c>
      <c r="S3747" s="9">
        <f>IF(R3747="",AVERAGEIF(Table1[Category],Table1[[#This Row],[Category]],Table2[orignal data]),Table2[[#This Row],[orignal data]])</f>
        <v>999.2</v>
      </c>
      <c r="T3747" t="str">
        <f t="shared" si="234"/>
        <v>UNIQUE</v>
      </c>
      <c r="U3747" t="str">
        <f>IF(ISBLANK(Table1[[#This Row],[SizeOption]]),"NOT AVAILABLE",Table1[[#This Row],[SizeOption]])</f>
        <v>Onesize</v>
      </c>
      <c r="Y3747" t="str">
        <f>IF(Table2[[#This Row],[Column1]]&gt;50%,"HIGH DISCOUNT","LOW DISCOUNT")</f>
        <v>HIGH DISCOUNT</v>
      </c>
    </row>
    <row r="3748" spans="1:25" x14ac:dyDescent="0.25">
      <c r="A3748" s="1" t="s">
        <v>7730</v>
      </c>
      <c r="B3748" s="1">
        <v>11863078</v>
      </c>
      <c r="C3748" s="1" t="s">
        <v>349</v>
      </c>
      <c r="D3748" s="1" t="s">
        <v>34</v>
      </c>
      <c r="E3748" s="1" t="s">
        <v>118</v>
      </c>
      <c r="F3748" s="1" t="s">
        <v>36</v>
      </c>
      <c r="G3748" s="1" t="s">
        <v>7731</v>
      </c>
      <c r="I3748" s="1">
        <v>429</v>
      </c>
      <c r="J3748" s="1"/>
      <c r="K3748" s="1" t="s">
        <v>1131</v>
      </c>
      <c r="L3748" s="1">
        <v>4.5999999999999996</v>
      </c>
      <c r="M3748" s="1">
        <v>546</v>
      </c>
      <c r="P3748" t="str">
        <f t="shared" si="235"/>
        <v/>
      </c>
      <c r="Q3748" s="12" t="str">
        <f t="shared" si="232"/>
        <v/>
      </c>
      <c r="R3748" s="9" t="str">
        <f t="shared" si="233"/>
        <v/>
      </c>
      <c r="S3748" s="9">
        <f>IF(R3748="",AVERAGEIF(Table1[Category],Table1[[#This Row],[Category]],Table2[orignal data]),Table2[[#This Row],[orignal data]])</f>
        <v>608.88518518518481</v>
      </c>
      <c r="T3748" t="str">
        <f t="shared" si="234"/>
        <v>UNIQUE</v>
      </c>
      <c r="U3748" t="str">
        <f>IF(ISBLANK(Table1[[#This Row],[SizeOption]]),"NOT AVAILABLE",Table1[[#This Row],[SizeOption]])</f>
        <v>30B, 32B, 32C, 34B, 34C, 36B, 36C, 38B</v>
      </c>
      <c r="Y3748" t="str">
        <f>IF(Table2[[#This Row],[Column1]]&gt;50%,"HIGH DISCOUNT","LOW DISCOUNT")</f>
        <v>HIGH DISCOUNT</v>
      </c>
    </row>
    <row r="3749" spans="1:25" x14ac:dyDescent="0.25">
      <c r="A3749" s="2" t="s">
        <v>7732</v>
      </c>
      <c r="B3749" s="2">
        <v>11506002</v>
      </c>
      <c r="C3749" s="2" t="s">
        <v>33</v>
      </c>
      <c r="D3749" s="2" t="s">
        <v>34</v>
      </c>
      <c r="E3749" s="2" t="s">
        <v>3807</v>
      </c>
      <c r="F3749" s="2" t="s">
        <v>36</v>
      </c>
      <c r="G3749" s="2" t="s">
        <v>7733</v>
      </c>
      <c r="H3749">
        <v>451</v>
      </c>
      <c r="I3749" s="2">
        <v>695</v>
      </c>
      <c r="J3749" s="2" t="s">
        <v>44</v>
      </c>
      <c r="K3749" s="2" t="s">
        <v>26</v>
      </c>
      <c r="L3749" s="2">
        <v>4.5</v>
      </c>
      <c r="M3749" s="2">
        <v>546</v>
      </c>
      <c r="P3749" t="str">
        <f t="shared" si="235"/>
        <v>35%</v>
      </c>
      <c r="Q3749" s="12">
        <f t="shared" si="232"/>
        <v>0.35</v>
      </c>
      <c r="R3749" s="9">
        <f t="shared" si="233"/>
        <v>451.75</v>
      </c>
      <c r="S3749" s="9">
        <f>IF(R3749="",AVERAGEIF(Table1[Category],Table1[[#This Row],[Category]],Table2[orignal data]),Table2[[#This Row],[orignal data]])</f>
        <v>451.75</v>
      </c>
      <c r="T3749" t="str">
        <f t="shared" si="234"/>
        <v>UNIQUE</v>
      </c>
      <c r="U3749" t="str">
        <f>IF(ISBLANK(Table1[[#This Row],[SizeOption]]),"NOT AVAILABLE",Table1[[#This Row],[SizeOption]])</f>
        <v>S, M, L, XL</v>
      </c>
      <c r="Y3749" t="str">
        <f>IF(Table2[[#This Row],[Column1]]&gt;50%,"HIGH DISCOUNT","LOW DISCOUNT")</f>
        <v>LOW DISCOUNT</v>
      </c>
    </row>
    <row r="3750" spans="1:25" x14ac:dyDescent="0.25">
      <c r="A3750" s="1" t="s">
        <v>7734</v>
      </c>
      <c r="B3750" s="1">
        <v>10555132</v>
      </c>
      <c r="C3750" s="1" t="s">
        <v>377</v>
      </c>
      <c r="D3750" s="1" t="s">
        <v>98</v>
      </c>
      <c r="E3750" s="1" t="s">
        <v>77</v>
      </c>
      <c r="F3750" s="1" t="s">
        <v>36</v>
      </c>
      <c r="G3750" s="1" t="s">
        <v>7735</v>
      </c>
      <c r="H3750">
        <v>841</v>
      </c>
      <c r="I3750" s="1">
        <v>2549</v>
      </c>
      <c r="J3750" s="1" t="s">
        <v>543</v>
      </c>
      <c r="K3750" s="1" t="s">
        <v>234</v>
      </c>
      <c r="L3750" s="1">
        <v>4.3</v>
      </c>
      <c r="M3750" s="1">
        <v>546</v>
      </c>
      <c r="P3750" t="str">
        <f t="shared" si="235"/>
        <v>67%</v>
      </c>
      <c r="Q3750" s="12">
        <f t="shared" si="232"/>
        <v>0.67</v>
      </c>
      <c r="R3750" s="9">
        <f t="shared" si="233"/>
        <v>841.16999999999985</v>
      </c>
      <c r="S3750" s="9">
        <f>IF(R3750="",AVERAGEIF(Table1[Category],Table1[[#This Row],[Category]],Table2[orignal data]),Table2[[#This Row],[orignal data]])</f>
        <v>841.16999999999985</v>
      </c>
      <c r="T3750" t="str">
        <f t="shared" si="234"/>
        <v>UNIQUE</v>
      </c>
      <c r="U3750" t="str">
        <f>IF(ISBLANK(Table1[[#This Row],[SizeOption]]),"NOT AVAILABLE",Table1[[#This Row],[SizeOption]])</f>
        <v>S, M, L, XL, XXL, 3XL</v>
      </c>
      <c r="Y3750" t="str">
        <f>IF(Table2[[#This Row],[Column1]]&gt;50%,"HIGH DISCOUNT","LOW DISCOUNT")</f>
        <v>HIGH DISCOUNT</v>
      </c>
    </row>
    <row r="3751" spans="1:25" x14ac:dyDescent="0.25">
      <c r="A3751" s="2" t="s">
        <v>7736</v>
      </c>
      <c r="B3751" s="2">
        <v>11995128</v>
      </c>
      <c r="C3751" s="2" t="s">
        <v>107</v>
      </c>
      <c r="D3751" s="2" t="s">
        <v>41</v>
      </c>
      <c r="E3751" s="2" t="s">
        <v>137</v>
      </c>
      <c r="F3751" s="2" t="s">
        <v>36</v>
      </c>
      <c r="G3751" s="2" t="s">
        <v>7737</v>
      </c>
      <c r="I3751" s="2">
        <v>1299</v>
      </c>
      <c r="J3751" s="2" t="s">
        <v>55</v>
      </c>
      <c r="K3751" s="2" t="s">
        <v>134</v>
      </c>
      <c r="L3751" s="2">
        <v>4.4000000000000004</v>
      </c>
      <c r="M3751" s="2">
        <v>546</v>
      </c>
      <c r="P3751" t="str">
        <f t="shared" si="235"/>
        <v>60%</v>
      </c>
      <c r="Q3751" s="12">
        <f t="shared" si="232"/>
        <v>0.6</v>
      </c>
      <c r="R3751" s="9">
        <f t="shared" si="233"/>
        <v>519.6</v>
      </c>
      <c r="S3751" s="9">
        <f>IF(R3751="",AVERAGEIF(Table1[Category],Table1[[#This Row],[Category]],Table2[orignal data]),Table2[[#This Row],[orignal data]])</f>
        <v>519.6</v>
      </c>
      <c r="T3751" t="str">
        <f t="shared" si="234"/>
        <v>UNIQUE</v>
      </c>
      <c r="U3751" t="str">
        <f>IF(ISBLANK(Table1[[#This Row],[SizeOption]]),"NOT AVAILABLE",Table1[[#This Row],[SizeOption]])</f>
        <v>26, 28, 30, 32, 34, 36</v>
      </c>
      <c r="Y3751" t="str">
        <f>IF(Table2[[#This Row],[Column1]]&gt;50%,"HIGH DISCOUNT","LOW DISCOUNT")</f>
        <v>HIGH DISCOUNT</v>
      </c>
    </row>
    <row r="3752" spans="1:25" x14ac:dyDescent="0.25">
      <c r="A3752" s="1" t="s">
        <v>7738</v>
      </c>
      <c r="B3752" s="1">
        <v>9552651</v>
      </c>
      <c r="C3752" s="1" t="s">
        <v>181</v>
      </c>
      <c r="D3752" s="1" t="s">
        <v>41</v>
      </c>
      <c r="E3752" s="1" t="s">
        <v>53</v>
      </c>
      <c r="F3752" s="1" t="s">
        <v>36</v>
      </c>
      <c r="G3752" s="1" t="s">
        <v>7739</v>
      </c>
      <c r="I3752" s="1">
        <v>1799</v>
      </c>
      <c r="J3752" s="1" t="s">
        <v>208</v>
      </c>
      <c r="K3752" s="1" t="s">
        <v>134</v>
      </c>
      <c r="L3752" s="1">
        <v>4</v>
      </c>
      <c r="M3752" s="1">
        <v>546</v>
      </c>
      <c r="P3752" t="str">
        <f t="shared" si="235"/>
        <v>52%</v>
      </c>
      <c r="Q3752" s="12">
        <f t="shared" si="232"/>
        <v>0.52</v>
      </c>
      <c r="R3752" s="9">
        <f t="shared" si="233"/>
        <v>863.52</v>
      </c>
      <c r="S3752" s="9">
        <f>IF(R3752="",AVERAGEIF(Table1[Category],Table1[[#This Row],[Category]],Table2[orignal data]),Table2[[#This Row],[orignal data]])</f>
        <v>863.52</v>
      </c>
      <c r="T3752" t="str">
        <f t="shared" si="234"/>
        <v>UNIQUE</v>
      </c>
      <c r="U3752" t="str">
        <f>IF(ISBLANK(Table1[[#This Row],[SizeOption]]),"NOT AVAILABLE",Table1[[#This Row],[SizeOption]])</f>
        <v>26, 28, 30, 32, 34, 36</v>
      </c>
      <c r="Y3752" t="str">
        <f>IF(Table2[[#This Row],[Column1]]&gt;50%,"HIGH DISCOUNT","LOW DISCOUNT")</f>
        <v>HIGH DISCOUNT</v>
      </c>
    </row>
    <row r="3753" spans="1:25" x14ac:dyDescent="0.25">
      <c r="A3753" s="2" t="s">
        <v>7740</v>
      </c>
      <c r="B3753" s="2">
        <v>15736874</v>
      </c>
      <c r="C3753" s="2" t="s">
        <v>800</v>
      </c>
      <c r="D3753" s="2" t="s">
        <v>41</v>
      </c>
      <c r="E3753" s="2" t="s">
        <v>148</v>
      </c>
      <c r="F3753" s="2" t="s">
        <v>36</v>
      </c>
      <c r="G3753" s="2" t="s">
        <v>7741</v>
      </c>
      <c r="I3753" s="2">
        <v>1999</v>
      </c>
      <c r="J3753" s="2" t="s">
        <v>104</v>
      </c>
      <c r="K3753" s="2" t="s">
        <v>39</v>
      </c>
      <c r="L3753" s="2">
        <v>3.9</v>
      </c>
      <c r="M3753" s="2">
        <v>546</v>
      </c>
      <c r="P3753" t="str">
        <f t="shared" si="235"/>
        <v>61%</v>
      </c>
      <c r="Q3753" s="12">
        <f t="shared" si="232"/>
        <v>0.61</v>
      </c>
      <c r="R3753" s="9">
        <f t="shared" si="233"/>
        <v>779.61000000000013</v>
      </c>
      <c r="S3753" s="9">
        <f>IF(R3753="",AVERAGEIF(Table1[Category],Table1[[#This Row],[Category]],Table2[orignal data]),Table2[[#This Row],[orignal data]])</f>
        <v>779.61000000000013</v>
      </c>
      <c r="T3753" t="str">
        <f t="shared" si="234"/>
        <v>UNIQUE</v>
      </c>
      <c r="U3753" t="str">
        <f>IF(ISBLANK(Table1[[#This Row],[SizeOption]]),"NOT AVAILABLE",Table1[[#This Row],[SizeOption]])</f>
        <v>S, M, L, XL, XXL</v>
      </c>
      <c r="Y3753" t="str">
        <f>IF(Table2[[#This Row],[Column1]]&gt;50%,"HIGH DISCOUNT","LOW DISCOUNT")</f>
        <v>HIGH DISCOUNT</v>
      </c>
    </row>
    <row r="3754" spans="1:25" x14ac:dyDescent="0.25">
      <c r="A3754" s="1" t="s">
        <v>7742</v>
      </c>
      <c r="B3754" s="1">
        <v>11359076</v>
      </c>
      <c r="C3754" s="1" t="s">
        <v>169</v>
      </c>
      <c r="D3754" s="1" t="s">
        <v>15</v>
      </c>
      <c r="E3754" s="1" t="s">
        <v>16</v>
      </c>
      <c r="F3754" s="1" t="s">
        <v>17</v>
      </c>
      <c r="G3754" s="1" t="s">
        <v>173</v>
      </c>
      <c r="H3754">
        <v>1399</v>
      </c>
      <c r="I3754" s="1">
        <v>2799</v>
      </c>
      <c r="J3754" s="1" t="s">
        <v>84</v>
      </c>
      <c r="K3754" s="1" t="s">
        <v>171</v>
      </c>
      <c r="L3754" s="1">
        <v>4</v>
      </c>
      <c r="M3754" s="1">
        <v>545</v>
      </c>
      <c r="P3754" t="str">
        <f t="shared" si="235"/>
        <v>50%</v>
      </c>
      <c r="Q3754" s="12">
        <f t="shared" si="232"/>
        <v>0.5</v>
      </c>
      <c r="R3754" s="9">
        <f t="shared" si="233"/>
        <v>1399.5</v>
      </c>
      <c r="S3754" s="9">
        <f>IF(R3754="",AVERAGEIF(Table1[Category],Table1[[#This Row],[Category]],Table2[orignal data]),Table2[[#This Row],[orignal data]])</f>
        <v>1399.5</v>
      </c>
      <c r="T3754" t="str">
        <f t="shared" si="234"/>
        <v>UNIQUE</v>
      </c>
      <c r="U3754" t="str">
        <f>IF(ISBLANK(Table1[[#This Row],[SizeOption]]),"NOT AVAILABLE",Table1[[#This Row],[SizeOption]])</f>
        <v>28, 30, 32, 34, 36, 38</v>
      </c>
      <c r="Y3754" t="str">
        <f>IF(Table2[[#This Row],[Column1]]&gt;50%,"HIGH DISCOUNT","LOW DISCOUNT")</f>
        <v>LOW DISCOUNT</v>
      </c>
    </row>
    <row r="3755" spans="1:25" x14ac:dyDescent="0.25">
      <c r="A3755" s="2" t="s">
        <v>7743</v>
      </c>
      <c r="B3755" s="2">
        <v>11964012</v>
      </c>
      <c r="C3755" s="2" t="s">
        <v>22</v>
      </c>
      <c r="D3755" s="2" t="s">
        <v>15</v>
      </c>
      <c r="E3755" s="2" t="s">
        <v>16</v>
      </c>
      <c r="F3755" s="2" t="s">
        <v>17</v>
      </c>
      <c r="G3755" s="2" t="s">
        <v>7744</v>
      </c>
      <c r="H3755">
        <v>874</v>
      </c>
      <c r="I3755" s="2">
        <v>2499</v>
      </c>
      <c r="J3755" s="2" t="s">
        <v>150</v>
      </c>
      <c r="K3755" s="2" t="s">
        <v>56</v>
      </c>
      <c r="L3755" s="2">
        <v>3.8</v>
      </c>
      <c r="M3755" s="2">
        <v>545</v>
      </c>
      <c r="P3755" t="str">
        <f t="shared" si="235"/>
        <v>65%</v>
      </c>
      <c r="Q3755" s="12">
        <f t="shared" si="232"/>
        <v>0.65</v>
      </c>
      <c r="R3755" s="9">
        <f t="shared" si="233"/>
        <v>874.64999999999986</v>
      </c>
      <c r="S3755" s="9">
        <f>IF(R3755="",AVERAGEIF(Table1[Category],Table1[[#This Row],[Category]],Table2[orignal data]),Table2[[#This Row],[orignal data]])</f>
        <v>874.64999999999986</v>
      </c>
      <c r="T3755" t="str">
        <f t="shared" si="234"/>
        <v>UNIQUE</v>
      </c>
      <c r="U3755" t="str">
        <f>IF(ISBLANK(Table1[[#This Row],[SizeOption]]),"NOT AVAILABLE",Table1[[#This Row],[SizeOption]])</f>
        <v>30, 32, 34, 36</v>
      </c>
      <c r="Y3755" t="str">
        <f>IF(Table2[[#This Row],[Column1]]&gt;50%,"HIGH DISCOUNT","LOW DISCOUNT")</f>
        <v>HIGH DISCOUNT</v>
      </c>
    </row>
    <row r="3756" spans="1:25" x14ac:dyDescent="0.25">
      <c r="A3756" s="1" t="s">
        <v>7745</v>
      </c>
      <c r="B3756" s="1">
        <v>10238673</v>
      </c>
      <c r="C3756" s="1" t="s">
        <v>169</v>
      </c>
      <c r="D3756" s="1" t="s">
        <v>15</v>
      </c>
      <c r="E3756" s="1" t="s">
        <v>53</v>
      </c>
      <c r="F3756" s="1" t="s">
        <v>17</v>
      </c>
      <c r="G3756" s="1" t="s">
        <v>7746</v>
      </c>
      <c r="H3756">
        <v>1319</v>
      </c>
      <c r="I3756" s="1">
        <v>2199</v>
      </c>
      <c r="J3756" s="1" t="s">
        <v>50</v>
      </c>
      <c r="K3756" s="1" t="s">
        <v>171</v>
      </c>
      <c r="L3756" s="1">
        <v>4.0999999999999996</v>
      </c>
      <c r="M3756" s="1">
        <v>545</v>
      </c>
      <c r="P3756" t="str">
        <f t="shared" si="235"/>
        <v>40%</v>
      </c>
      <c r="Q3756" s="12">
        <f t="shared" si="232"/>
        <v>0.4</v>
      </c>
      <c r="R3756" s="9">
        <f t="shared" si="233"/>
        <v>1319.4</v>
      </c>
      <c r="S3756" s="9">
        <f>IF(R3756="",AVERAGEIF(Table1[Category],Table1[[#This Row],[Category]],Table2[orignal data]),Table2[[#This Row],[orignal data]])</f>
        <v>1319.4</v>
      </c>
      <c r="T3756" t="str">
        <f t="shared" si="234"/>
        <v>UNIQUE</v>
      </c>
      <c r="U3756" t="str">
        <f>IF(ISBLANK(Table1[[#This Row],[SizeOption]]),"NOT AVAILABLE",Table1[[#This Row],[SizeOption]])</f>
        <v>28, 30, 32, 34, 36, 38</v>
      </c>
      <c r="Y3756" t="str">
        <f>IF(Table2[[#This Row],[Column1]]&gt;50%,"HIGH DISCOUNT","LOW DISCOUNT")</f>
        <v>LOW DISCOUNT</v>
      </c>
    </row>
    <row r="3757" spans="1:25" x14ac:dyDescent="0.25">
      <c r="A3757" s="2" t="s">
        <v>7747</v>
      </c>
      <c r="B3757" s="2">
        <v>10503274</v>
      </c>
      <c r="C3757" s="2" t="s">
        <v>52</v>
      </c>
      <c r="D3757" s="2" t="s">
        <v>15</v>
      </c>
      <c r="E3757" s="2" t="s">
        <v>16</v>
      </c>
      <c r="F3757" s="2" t="s">
        <v>17</v>
      </c>
      <c r="G3757" s="2" t="s">
        <v>7748</v>
      </c>
      <c r="H3757">
        <v>892</v>
      </c>
      <c r="I3757" s="2">
        <v>1899</v>
      </c>
      <c r="J3757" s="2" t="s">
        <v>89</v>
      </c>
      <c r="K3757" s="2" t="s">
        <v>816</v>
      </c>
      <c r="L3757" s="2">
        <v>4</v>
      </c>
      <c r="M3757" s="2">
        <v>545</v>
      </c>
      <c r="P3757" t="str">
        <f t="shared" si="235"/>
        <v>53%</v>
      </c>
      <c r="Q3757" s="12">
        <f t="shared" si="232"/>
        <v>0.53</v>
      </c>
      <c r="R3757" s="9">
        <f t="shared" si="233"/>
        <v>892.53</v>
      </c>
      <c r="S3757" s="9">
        <f>IF(R3757="",AVERAGEIF(Table1[Category],Table1[[#This Row],[Category]],Table2[orignal data]),Table2[[#This Row],[orignal data]])</f>
        <v>892.53</v>
      </c>
      <c r="T3757" t="str">
        <f t="shared" si="234"/>
        <v>UNIQUE</v>
      </c>
      <c r="U3757" t="str">
        <f>IF(ISBLANK(Table1[[#This Row],[SizeOption]]),"NOT AVAILABLE",Table1[[#This Row],[SizeOption]])</f>
        <v>30, 32, 34, 36, 38</v>
      </c>
      <c r="Y3757" t="str">
        <f>IF(Table2[[#This Row],[Column1]]&gt;50%,"HIGH DISCOUNT","LOW DISCOUNT")</f>
        <v>HIGH DISCOUNT</v>
      </c>
    </row>
    <row r="3758" spans="1:25" x14ac:dyDescent="0.25">
      <c r="A3758" s="1" t="s">
        <v>7749</v>
      </c>
      <c r="B3758" s="1">
        <v>10038815</v>
      </c>
      <c r="C3758" s="1" t="s">
        <v>3016</v>
      </c>
      <c r="D3758" s="1" t="s">
        <v>15</v>
      </c>
      <c r="E3758" s="1" t="s">
        <v>16</v>
      </c>
      <c r="F3758" s="1" t="s">
        <v>17</v>
      </c>
      <c r="G3758" s="1" t="s">
        <v>7750</v>
      </c>
      <c r="H3758">
        <v>786</v>
      </c>
      <c r="I3758" s="1">
        <v>1799</v>
      </c>
      <c r="J3758" s="1" t="s">
        <v>7751</v>
      </c>
      <c r="K3758" s="1" t="s">
        <v>20</v>
      </c>
      <c r="L3758" s="1">
        <v>3.7</v>
      </c>
      <c r="M3758" s="1">
        <v>545</v>
      </c>
      <c r="P3758" t="str">
        <f t="shared" si="235"/>
        <v>1013</v>
      </c>
      <c r="Q3758" s="12">
        <f t="shared" si="232"/>
        <v>0.56309060589216231</v>
      </c>
      <c r="R3758" s="9">
        <f t="shared" si="233"/>
        <v>786</v>
      </c>
      <c r="S3758" s="9">
        <f>IF(R3758="",AVERAGEIF(Table1[Category],Table1[[#This Row],[Category]],Table2[orignal data]),Table2[[#This Row],[orignal data]])</f>
        <v>786</v>
      </c>
      <c r="T3758" t="str">
        <f t="shared" si="234"/>
        <v>UNIQUE</v>
      </c>
      <c r="U3758" t="str">
        <f>IF(ISBLANK(Table1[[#This Row],[SizeOption]]),"NOT AVAILABLE",Table1[[#This Row],[SizeOption]])</f>
        <v>28, 30, 32, 34, 36</v>
      </c>
      <c r="Y3758" t="str">
        <f>IF(Table2[[#This Row],[Column1]]&gt;50%,"HIGH DISCOUNT","LOW DISCOUNT")</f>
        <v>HIGH DISCOUNT</v>
      </c>
    </row>
    <row r="3759" spans="1:25" x14ac:dyDescent="0.25">
      <c r="A3759" s="2" t="s">
        <v>7752</v>
      </c>
      <c r="B3759" s="2">
        <v>12135124</v>
      </c>
      <c r="C3759" s="2" t="s">
        <v>113</v>
      </c>
      <c r="D3759" s="2" t="s">
        <v>76</v>
      </c>
      <c r="E3759" s="2" t="s">
        <v>93</v>
      </c>
      <c r="F3759" s="2" t="s">
        <v>17</v>
      </c>
      <c r="G3759" s="2" t="s">
        <v>7753</v>
      </c>
      <c r="H3759">
        <v>919</v>
      </c>
      <c r="I3759" s="2">
        <v>2299</v>
      </c>
      <c r="J3759" s="2" t="s">
        <v>55</v>
      </c>
      <c r="K3759" s="2" t="s">
        <v>39</v>
      </c>
      <c r="L3759" s="2">
        <v>4.2</v>
      </c>
      <c r="M3759" s="2">
        <v>545</v>
      </c>
      <c r="P3759" t="str">
        <f t="shared" si="235"/>
        <v>60%</v>
      </c>
      <c r="Q3759" s="12">
        <f t="shared" si="232"/>
        <v>0.6</v>
      </c>
      <c r="R3759" s="9">
        <f t="shared" si="233"/>
        <v>919.60000000000014</v>
      </c>
      <c r="S3759" s="9">
        <f>IF(R3759="",AVERAGEIF(Table1[Category],Table1[[#This Row],[Category]],Table2[orignal data]),Table2[[#This Row],[orignal data]])</f>
        <v>919.60000000000014</v>
      </c>
      <c r="T3759" t="str">
        <f t="shared" si="234"/>
        <v>UNIQUE</v>
      </c>
      <c r="U3759" t="str">
        <f>IF(ISBLANK(Table1[[#This Row],[SizeOption]]),"NOT AVAILABLE",Table1[[#This Row],[SizeOption]])</f>
        <v>S, M, L, XL, XXL</v>
      </c>
      <c r="Y3759" t="str">
        <f>IF(Table2[[#This Row],[Column1]]&gt;50%,"HIGH DISCOUNT","LOW DISCOUNT")</f>
        <v>HIGH DISCOUNT</v>
      </c>
    </row>
    <row r="3760" spans="1:25" x14ac:dyDescent="0.25">
      <c r="A3760" s="1" t="s">
        <v>7754</v>
      </c>
      <c r="B3760" s="1">
        <v>11029188</v>
      </c>
      <c r="C3760" s="1" t="s">
        <v>430</v>
      </c>
      <c r="D3760" s="1" t="s">
        <v>28</v>
      </c>
      <c r="E3760" s="1" t="s">
        <v>42</v>
      </c>
      <c r="F3760" s="1" t="s">
        <v>17</v>
      </c>
      <c r="G3760" s="1" t="s">
        <v>7755</v>
      </c>
      <c r="H3760">
        <v>439</v>
      </c>
      <c r="I3760" s="1">
        <v>1099</v>
      </c>
      <c r="J3760" s="1" t="s">
        <v>55</v>
      </c>
      <c r="K3760" s="1" t="s">
        <v>39</v>
      </c>
      <c r="L3760" s="1">
        <v>4.3</v>
      </c>
      <c r="M3760" s="1">
        <v>545</v>
      </c>
      <c r="P3760" t="str">
        <f t="shared" si="235"/>
        <v>60%</v>
      </c>
      <c r="Q3760" s="12">
        <f t="shared" si="232"/>
        <v>0.6</v>
      </c>
      <c r="R3760" s="9">
        <f t="shared" si="233"/>
        <v>439.6</v>
      </c>
      <c r="S3760" s="9">
        <f>IF(R3760="",AVERAGEIF(Table1[Category],Table1[[#This Row],[Category]],Table2[orignal data]),Table2[[#This Row],[orignal data]])</f>
        <v>439.6</v>
      </c>
      <c r="T3760" t="str">
        <f t="shared" si="234"/>
        <v>UNIQUE</v>
      </c>
      <c r="U3760" t="str">
        <f>IF(ISBLANK(Table1[[#This Row],[SizeOption]]),"NOT AVAILABLE",Table1[[#This Row],[SizeOption]])</f>
        <v>S, M, L, XL, XXL</v>
      </c>
      <c r="Y3760" t="str">
        <f>IF(Table2[[#This Row],[Column1]]&gt;50%,"HIGH DISCOUNT","LOW DISCOUNT")</f>
        <v>HIGH DISCOUNT</v>
      </c>
    </row>
    <row r="3761" spans="1:25" x14ac:dyDescent="0.25">
      <c r="A3761" s="2" t="s">
        <v>7756</v>
      </c>
      <c r="B3761" s="2">
        <v>13845206</v>
      </c>
      <c r="C3761" s="2" t="s">
        <v>22</v>
      </c>
      <c r="D3761" s="2" t="s">
        <v>28</v>
      </c>
      <c r="E3761" s="2" t="s">
        <v>29</v>
      </c>
      <c r="F3761" s="2" t="s">
        <v>17</v>
      </c>
      <c r="G3761" s="2" t="s">
        <v>7757</v>
      </c>
      <c r="H3761">
        <v>571</v>
      </c>
      <c r="I3761" s="2">
        <v>1299</v>
      </c>
      <c r="J3761" s="2" t="s">
        <v>1204</v>
      </c>
      <c r="K3761" s="2" t="s">
        <v>90</v>
      </c>
      <c r="L3761" s="2">
        <v>4.0999999999999996</v>
      </c>
      <c r="M3761" s="2">
        <v>545</v>
      </c>
      <c r="P3761" t="str">
        <f t="shared" si="235"/>
        <v>56%</v>
      </c>
      <c r="Q3761" s="12">
        <f t="shared" si="232"/>
        <v>0.56000000000000005</v>
      </c>
      <c r="R3761" s="9">
        <f t="shared" si="233"/>
        <v>571.55999999999995</v>
      </c>
      <c r="S3761" s="9">
        <f>IF(R3761="",AVERAGEIF(Table1[Category],Table1[[#This Row],[Category]],Table2[orignal data]),Table2[[#This Row],[orignal data]])</f>
        <v>571.55999999999995</v>
      </c>
      <c r="T3761" t="str">
        <f t="shared" si="234"/>
        <v>UNIQUE</v>
      </c>
      <c r="U3761" t="str">
        <f>IF(ISBLANK(Table1[[#This Row],[SizeOption]]),"NOT AVAILABLE",Table1[[#This Row],[SizeOption]])</f>
        <v>39, 40, 42, 44</v>
      </c>
      <c r="Y3761" t="str">
        <f>IF(Table2[[#This Row],[Column1]]&gt;50%,"HIGH DISCOUNT","LOW DISCOUNT")</f>
        <v>HIGH DISCOUNT</v>
      </c>
    </row>
    <row r="3762" spans="1:25" x14ac:dyDescent="0.25">
      <c r="A3762" s="1" t="s">
        <v>7758</v>
      </c>
      <c r="B3762" s="1">
        <v>7288230</v>
      </c>
      <c r="C3762" s="1" t="s">
        <v>14</v>
      </c>
      <c r="D3762" s="1" t="s">
        <v>28</v>
      </c>
      <c r="E3762" s="1" t="s">
        <v>29</v>
      </c>
      <c r="F3762" s="1" t="s">
        <v>17</v>
      </c>
      <c r="G3762" s="1" t="s">
        <v>7759</v>
      </c>
      <c r="H3762">
        <v>879</v>
      </c>
      <c r="I3762" s="1">
        <v>2199</v>
      </c>
      <c r="J3762" s="1" t="s">
        <v>55</v>
      </c>
      <c r="K3762" s="1" t="s">
        <v>7760</v>
      </c>
      <c r="L3762" s="1">
        <v>4.0999999999999996</v>
      </c>
      <c r="M3762" s="1">
        <v>545</v>
      </c>
      <c r="P3762" t="str">
        <f t="shared" si="235"/>
        <v>60%</v>
      </c>
      <c r="Q3762" s="12">
        <f t="shared" si="232"/>
        <v>0.6</v>
      </c>
      <c r="R3762" s="9">
        <f t="shared" si="233"/>
        <v>879.60000000000014</v>
      </c>
      <c r="S3762" s="9">
        <f>IF(R3762="",AVERAGEIF(Table1[Category],Table1[[#This Row],[Category]],Table2[orignal data]),Table2[[#This Row],[orignal data]])</f>
        <v>879.60000000000014</v>
      </c>
      <c r="T3762" t="str">
        <f t="shared" si="234"/>
        <v>UNIQUE</v>
      </c>
      <c r="U3762" t="str">
        <f>IF(ISBLANK(Table1[[#This Row],[SizeOption]]),"NOT AVAILABLE",Table1[[#This Row],[SizeOption]])</f>
        <v>39, 40, 42, 44, 46, 48</v>
      </c>
      <c r="Y3762" t="str">
        <f>IF(Table2[[#This Row],[Column1]]&gt;50%,"HIGH DISCOUNT","LOW DISCOUNT")</f>
        <v>HIGH DISCOUNT</v>
      </c>
    </row>
    <row r="3763" spans="1:25" x14ac:dyDescent="0.25">
      <c r="A3763" s="2" t="s">
        <v>7761</v>
      </c>
      <c r="B3763" s="2">
        <v>13238336</v>
      </c>
      <c r="C3763" s="2" t="s">
        <v>113</v>
      </c>
      <c r="D3763" s="2" t="s">
        <v>76</v>
      </c>
      <c r="E3763" s="2" t="s">
        <v>93</v>
      </c>
      <c r="F3763" s="2" t="s">
        <v>36</v>
      </c>
      <c r="G3763" s="2" t="s">
        <v>7762</v>
      </c>
      <c r="H3763">
        <v>719</v>
      </c>
      <c r="I3763" s="2">
        <v>1599</v>
      </c>
      <c r="J3763" s="2" t="s">
        <v>25</v>
      </c>
      <c r="K3763" s="2" t="s">
        <v>115</v>
      </c>
      <c r="L3763" s="2">
        <v>3.8</v>
      </c>
      <c r="M3763" s="2">
        <v>545</v>
      </c>
      <c r="P3763" t="str">
        <f t="shared" si="235"/>
        <v>55%</v>
      </c>
      <c r="Q3763" s="12">
        <f t="shared" si="232"/>
        <v>0.55000000000000004</v>
      </c>
      <c r="R3763" s="9">
        <f t="shared" si="233"/>
        <v>719.55</v>
      </c>
      <c r="S3763" s="9">
        <f>IF(R3763="",AVERAGEIF(Table1[Category],Table1[[#This Row],[Category]],Table2[orignal data]),Table2[[#This Row],[orignal data]])</f>
        <v>719.55</v>
      </c>
      <c r="T3763" t="str">
        <f t="shared" si="234"/>
        <v>UNIQUE</v>
      </c>
      <c r="U3763" t="str">
        <f>IF(ISBLANK(Table1[[#This Row],[SizeOption]]),"NOT AVAILABLE",Table1[[#This Row],[SizeOption]])</f>
        <v>XS, S, M, L, XL, XXL</v>
      </c>
      <c r="Y3763" t="str">
        <f>IF(Table2[[#This Row],[Column1]]&gt;50%,"HIGH DISCOUNT","LOW DISCOUNT")</f>
        <v>HIGH DISCOUNT</v>
      </c>
    </row>
    <row r="3764" spans="1:25" x14ac:dyDescent="0.25">
      <c r="A3764" s="1" t="s">
        <v>7763</v>
      </c>
      <c r="B3764" s="1">
        <v>16649052</v>
      </c>
      <c r="C3764" s="1" t="s">
        <v>397</v>
      </c>
      <c r="D3764" s="1" t="s">
        <v>76</v>
      </c>
      <c r="E3764" s="1" t="s">
        <v>77</v>
      </c>
      <c r="F3764" s="1" t="s">
        <v>36</v>
      </c>
      <c r="G3764" s="1" t="s">
        <v>7764</v>
      </c>
      <c r="H3764">
        <v>1461</v>
      </c>
      <c r="I3764" s="1">
        <v>4299</v>
      </c>
      <c r="J3764" s="1" t="s">
        <v>403</v>
      </c>
      <c r="K3764" s="1" t="s">
        <v>234</v>
      </c>
      <c r="L3764" s="1">
        <v>4.4000000000000004</v>
      </c>
      <c r="M3764" s="1">
        <v>545</v>
      </c>
      <c r="P3764" t="str">
        <f t="shared" si="235"/>
        <v>66%</v>
      </c>
      <c r="Q3764" s="12">
        <f t="shared" si="232"/>
        <v>0.66</v>
      </c>
      <c r="R3764" s="9">
        <f t="shared" si="233"/>
        <v>1461.6599999999999</v>
      </c>
      <c r="S3764" s="9">
        <f>IF(R3764="",AVERAGEIF(Table1[Category],Table1[[#This Row],[Category]],Table2[orignal data]),Table2[[#This Row],[orignal data]])</f>
        <v>1461.6599999999999</v>
      </c>
      <c r="T3764" t="str">
        <f t="shared" si="234"/>
        <v>UNIQUE</v>
      </c>
      <c r="U3764" t="str">
        <f>IF(ISBLANK(Table1[[#This Row],[SizeOption]]),"NOT AVAILABLE",Table1[[#This Row],[SizeOption]])</f>
        <v>S, M, L, XL, XXL, 3XL</v>
      </c>
      <c r="Y3764" t="str">
        <f>IF(Table2[[#This Row],[Column1]]&gt;50%,"HIGH DISCOUNT","LOW DISCOUNT")</f>
        <v>HIGH DISCOUNT</v>
      </c>
    </row>
    <row r="3765" spans="1:25" x14ac:dyDescent="0.25">
      <c r="A3765" s="2" t="s">
        <v>7765</v>
      </c>
      <c r="B3765" s="2">
        <v>11701614</v>
      </c>
      <c r="C3765" s="2" t="s">
        <v>81</v>
      </c>
      <c r="D3765" s="2" t="s">
        <v>41</v>
      </c>
      <c r="E3765" s="2" t="s">
        <v>48</v>
      </c>
      <c r="F3765" s="2" t="s">
        <v>36</v>
      </c>
      <c r="G3765" s="2" t="s">
        <v>7766</v>
      </c>
      <c r="I3765" s="2">
        <v>1299</v>
      </c>
      <c r="J3765" s="2" t="s">
        <v>55</v>
      </c>
      <c r="K3765" s="2" t="s">
        <v>115</v>
      </c>
      <c r="L3765" s="2">
        <v>4.3</v>
      </c>
      <c r="M3765" s="2">
        <v>545</v>
      </c>
      <c r="P3765" t="str">
        <f t="shared" si="235"/>
        <v>60%</v>
      </c>
      <c r="Q3765" s="12">
        <f t="shared" si="232"/>
        <v>0.6</v>
      </c>
      <c r="R3765" s="9">
        <f t="shared" si="233"/>
        <v>519.6</v>
      </c>
      <c r="S3765" s="9">
        <f>IF(R3765="",AVERAGEIF(Table1[Category],Table1[[#This Row],[Category]],Table2[orignal data]),Table2[[#This Row],[orignal data]])</f>
        <v>519.6</v>
      </c>
      <c r="T3765" t="str">
        <f t="shared" si="234"/>
        <v>UNIQUE</v>
      </c>
      <c r="U3765" t="str">
        <f>IF(ISBLANK(Table1[[#This Row],[SizeOption]]),"NOT AVAILABLE",Table1[[#This Row],[SizeOption]])</f>
        <v>XS, S, M, L, XL, XXL</v>
      </c>
      <c r="Y3765" t="str">
        <f>IF(Table2[[#This Row],[Column1]]&gt;50%,"HIGH DISCOUNT","LOW DISCOUNT")</f>
        <v>HIGH DISCOUNT</v>
      </c>
    </row>
    <row r="3766" spans="1:25" x14ac:dyDescent="0.25">
      <c r="A3766" s="1" t="s">
        <v>7767</v>
      </c>
      <c r="B3766" s="1">
        <v>9656695</v>
      </c>
      <c r="C3766" s="1" t="s">
        <v>102</v>
      </c>
      <c r="D3766" s="1" t="s">
        <v>41</v>
      </c>
      <c r="E3766" s="1" t="s">
        <v>16</v>
      </c>
      <c r="F3766" s="1" t="s">
        <v>36</v>
      </c>
      <c r="G3766" s="1" t="s">
        <v>7768</v>
      </c>
      <c r="I3766" s="1">
        <v>1899</v>
      </c>
      <c r="J3766" s="1" t="s">
        <v>126</v>
      </c>
      <c r="K3766" s="1" t="s">
        <v>428</v>
      </c>
      <c r="L3766" s="1">
        <v>3.9</v>
      </c>
      <c r="M3766" s="1">
        <v>545</v>
      </c>
      <c r="P3766" t="str">
        <f t="shared" si="235"/>
        <v>62%</v>
      </c>
      <c r="Q3766" s="12">
        <f t="shared" si="232"/>
        <v>0.62</v>
      </c>
      <c r="R3766" s="9">
        <f t="shared" si="233"/>
        <v>721.62000000000012</v>
      </c>
      <c r="S3766" s="9">
        <f>IF(R3766="",AVERAGEIF(Table1[Category],Table1[[#This Row],[Category]],Table2[orignal data]),Table2[[#This Row],[orignal data]])</f>
        <v>721.62000000000012</v>
      </c>
      <c r="T3766" t="str">
        <f t="shared" si="234"/>
        <v>UNIQUE</v>
      </c>
      <c r="U3766" t="str">
        <f>IF(ISBLANK(Table1[[#This Row],[SizeOption]]),"NOT AVAILABLE",Table1[[#This Row],[SizeOption]])</f>
        <v>26, 28, 30, 32, 34</v>
      </c>
      <c r="Y3766" t="str">
        <f>IF(Table2[[#This Row],[Column1]]&gt;50%,"HIGH DISCOUNT","LOW DISCOUNT")</f>
        <v>HIGH DISCOUNT</v>
      </c>
    </row>
    <row r="3767" spans="1:25" x14ac:dyDescent="0.25">
      <c r="A3767" s="2" t="s">
        <v>7769</v>
      </c>
      <c r="B3767" s="2">
        <v>10312547</v>
      </c>
      <c r="C3767" s="2" t="s">
        <v>887</v>
      </c>
      <c r="D3767" s="2" t="s">
        <v>41</v>
      </c>
      <c r="E3767" s="2" t="s">
        <v>148</v>
      </c>
      <c r="F3767" s="2" t="s">
        <v>36</v>
      </c>
      <c r="G3767" s="2" t="s">
        <v>7770</v>
      </c>
      <c r="I3767" s="2">
        <v>2398</v>
      </c>
      <c r="J3767" s="2" t="s">
        <v>589</v>
      </c>
      <c r="K3767" s="2" t="s">
        <v>26</v>
      </c>
      <c r="L3767" s="2">
        <v>4.3</v>
      </c>
      <c r="M3767" s="2">
        <v>545</v>
      </c>
      <c r="P3767" t="str">
        <f t="shared" si="235"/>
        <v>80%</v>
      </c>
      <c r="Q3767" s="12">
        <f t="shared" si="232"/>
        <v>0.8</v>
      </c>
      <c r="R3767" s="9">
        <f t="shared" si="233"/>
        <v>479.59999999999991</v>
      </c>
      <c r="S3767" s="9">
        <f>IF(R3767="",AVERAGEIF(Table1[Category],Table1[[#This Row],[Category]],Table2[orignal data]),Table2[[#This Row],[orignal data]])</f>
        <v>479.59999999999991</v>
      </c>
      <c r="T3767" t="str">
        <f t="shared" si="234"/>
        <v>UNIQUE</v>
      </c>
      <c r="U3767" t="str">
        <f>IF(ISBLANK(Table1[[#This Row],[SizeOption]]),"NOT AVAILABLE",Table1[[#This Row],[SizeOption]])</f>
        <v>S, M, L, XL</v>
      </c>
      <c r="Y3767" t="str">
        <f>IF(Table2[[#This Row],[Column1]]&gt;50%,"HIGH DISCOUNT","LOW DISCOUNT")</f>
        <v>HIGH DISCOUNT</v>
      </c>
    </row>
    <row r="3768" spans="1:25" x14ac:dyDescent="0.25">
      <c r="A3768" s="1" t="s">
        <v>7771</v>
      </c>
      <c r="B3768" s="1">
        <v>11700106</v>
      </c>
      <c r="C3768" s="1" t="s">
        <v>47</v>
      </c>
      <c r="D3768" s="1" t="s">
        <v>41</v>
      </c>
      <c r="E3768" s="1" t="s">
        <v>42</v>
      </c>
      <c r="F3768" s="1" t="s">
        <v>36</v>
      </c>
      <c r="G3768" s="1" t="s">
        <v>7772</v>
      </c>
      <c r="I3768" s="1">
        <v>699</v>
      </c>
      <c r="J3768" s="1" t="s">
        <v>150</v>
      </c>
      <c r="K3768" s="1" t="s">
        <v>45</v>
      </c>
      <c r="L3768" s="1">
        <v>4.0999999999999996</v>
      </c>
      <c r="M3768" s="1">
        <v>545</v>
      </c>
      <c r="P3768" t="str">
        <f t="shared" si="235"/>
        <v>65%</v>
      </c>
      <c r="Q3768" s="12">
        <f t="shared" si="232"/>
        <v>0.65</v>
      </c>
      <c r="R3768" s="9">
        <f t="shared" si="233"/>
        <v>244.64999999999998</v>
      </c>
      <c r="S3768" s="9">
        <f>IF(R3768="",AVERAGEIF(Table1[Category],Table1[[#This Row],[Category]],Table2[orignal data]),Table2[[#This Row],[orignal data]])</f>
        <v>244.64999999999998</v>
      </c>
      <c r="T3768" t="str">
        <f t="shared" si="234"/>
        <v>UNIQUE</v>
      </c>
      <c r="U3768" t="str">
        <f>IF(ISBLANK(Table1[[#This Row],[SizeOption]]),"NOT AVAILABLE",Table1[[#This Row],[SizeOption]])</f>
        <v>XS, S, M, L, XL</v>
      </c>
      <c r="Y3768" t="str">
        <f>IF(Table2[[#This Row],[Column1]]&gt;50%,"HIGH DISCOUNT","LOW DISCOUNT")</f>
        <v>HIGH DISCOUNT</v>
      </c>
    </row>
    <row r="3769" spans="1:25" x14ac:dyDescent="0.25">
      <c r="A3769" s="2" t="s">
        <v>7773</v>
      </c>
      <c r="B3769" s="2">
        <v>12253620</v>
      </c>
      <c r="C3769" s="2" t="s">
        <v>47</v>
      </c>
      <c r="D3769" s="2" t="s">
        <v>41</v>
      </c>
      <c r="E3769" s="2" t="s">
        <v>42</v>
      </c>
      <c r="F3769" s="2" t="s">
        <v>36</v>
      </c>
      <c r="G3769" s="2" t="s">
        <v>7774</v>
      </c>
      <c r="I3769" s="2">
        <v>799</v>
      </c>
      <c r="J3769" s="2" t="s">
        <v>19</v>
      </c>
      <c r="K3769" s="2" t="s">
        <v>45</v>
      </c>
      <c r="L3769" s="2">
        <v>4.4000000000000004</v>
      </c>
      <c r="M3769" s="2">
        <v>545</v>
      </c>
      <c r="P3769" t="str">
        <f t="shared" si="235"/>
        <v>45%</v>
      </c>
      <c r="Q3769" s="12">
        <f t="shared" si="232"/>
        <v>0.45</v>
      </c>
      <c r="R3769" s="9">
        <f t="shared" si="233"/>
        <v>439.45</v>
      </c>
      <c r="S3769" s="9">
        <f>IF(R3769="",AVERAGEIF(Table1[Category],Table1[[#This Row],[Category]],Table2[orignal data]),Table2[[#This Row],[orignal data]])</f>
        <v>439.45</v>
      </c>
      <c r="T3769" t="str">
        <f t="shared" si="234"/>
        <v>UNIQUE</v>
      </c>
      <c r="U3769" t="str">
        <f>IF(ISBLANK(Table1[[#This Row],[SizeOption]]),"NOT AVAILABLE",Table1[[#This Row],[SizeOption]])</f>
        <v>XS, S, M, L, XL</v>
      </c>
      <c r="Y3769" t="str">
        <f>IF(Table2[[#This Row],[Column1]]&gt;50%,"HIGH DISCOUNT","LOW DISCOUNT")</f>
        <v>LOW DISCOUNT</v>
      </c>
    </row>
    <row r="3770" spans="1:25" x14ac:dyDescent="0.25">
      <c r="A3770" s="1" t="s">
        <v>7775</v>
      </c>
      <c r="B3770" s="1">
        <v>9717015</v>
      </c>
      <c r="C3770" s="1" t="s">
        <v>64</v>
      </c>
      <c r="D3770" s="1" t="s">
        <v>15</v>
      </c>
      <c r="E3770" s="1" t="s">
        <v>53</v>
      </c>
      <c r="F3770" s="1" t="s">
        <v>17</v>
      </c>
      <c r="G3770" s="1" t="s">
        <v>7776</v>
      </c>
      <c r="H3770">
        <v>1084</v>
      </c>
      <c r="I3770" s="1">
        <v>3099</v>
      </c>
      <c r="J3770" s="1" t="s">
        <v>150</v>
      </c>
      <c r="K3770" s="1" t="s">
        <v>171</v>
      </c>
      <c r="L3770" s="1">
        <v>3.8</v>
      </c>
      <c r="M3770" s="1">
        <v>544</v>
      </c>
      <c r="P3770" t="str">
        <f t="shared" si="235"/>
        <v>65%</v>
      </c>
      <c r="Q3770" s="12">
        <f t="shared" si="232"/>
        <v>0.65</v>
      </c>
      <c r="R3770" s="9">
        <f t="shared" si="233"/>
        <v>1084.6499999999999</v>
      </c>
      <c r="S3770" s="9">
        <f>IF(R3770="",AVERAGEIF(Table1[Category],Table1[[#This Row],[Category]],Table2[orignal data]),Table2[[#This Row],[orignal data]])</f>
        <v>1084.6499999999999</v>
      </c>
      <c r="T3770" t="str">
        <f t="shared" si="234"/>
        <v>UNIQUE</v>
      </c>
      <c r="U3770" t="str">
        <f>IF(ISBLANK(Table1[[#This Row],[SizeOption]]),"NOT AVAILABLE",Table1[[#This Row],[SizeOption]])</f>
        <v>28, 30, 32, 34, 36, 38</v>
      </c>
      <c r="Y3770" t="str">
        <f>IF(Table2[[#This Row],[Column1]]&gt;50%,"HIGH DISCOUNT","LOW DISCOUNT")</f>
        <v>HIGH DISCOUNT</v>
      </c>
    </row>
    <row r="3771" spans="1:25" x14ac:dyDescent="0.25">
      <c r="A3771" s="2" t="s">
        <v>7777</v>
      </c>
      <c r="B3771" s="2">
        <v>1826123</v>
      </c>
      <c r="C3771" s="2" t="s">
        <v>430</v>
      </c>
      <c r="D3771" s="2" t="s">
        <v>15</v>
      </c>
      <c r="E3771" s="2" t="s">
        <v>23</v>
      </c>
      <c r="F3771" s="2" t="s">
        <v>17</v>
      </c>
      <c r="G3771" s="2" t="s">
        <v>7778</v>
      </c>
      <c r="H3771">
        <v>1154</v>
      </c>
      <c r="I3771" s="2">
        <v>2099</v>
      </c>
      <c r="J3771" s="2" t="s">
        <v>19</v>
      </c>
      <c r="K3771" s="2" t="s">
        <v>39</v>
      </c>
      <c r="L3771" s="2">
        <v>4.0999999999999996</v>
      </c>
      <c r="M3771" s="2">
        <v>544</v>
      </c>
      <c r="P3771" t="str">
        <f t="shared" si="235"/>
        <v>45%</v>
      </c>
      <c r="Q3771" s="12">
        <f t="shared" si="232"/>
        <v>0.45</v>
      </c>
      <c r="R3771" s="9">
        <f t="shared" si="233"/>
        <v>1154.4499999999998</v>
      </c>
      <c r="S3771" s="9">
        <f>IF(R3771="",AVERAGEIF(Table1[Category],Table1[[#This Row],[Category]],Table2[orignal data]),Table2[[#This Row],[orignal data]])</f>
        <v>1154.4499999999998</v>
      </c>
      <c r="T3771" t="str">
        <f t="shared" si="234"/>
        <v>UNIQUE</v>
      </c>
      <c r="U3771" t="str">
        <f>IF(ISBLANK(Table1[[#This Row],[SizeOption]]),"NOT AVAILABLE",Table1[[#This Row],[SizeOption]])</f>
        <v>S, M, L, XL, XXL</v>
      </c>
      <c r="Y3771" t="str">
        <f>IF(Table2[[#This Row],[Column1]]&gt;50%,"HIGH DISCOUNT","LOW DISCOUNT")</f>
        <v>LOW DISCOUNT</v>
      </c>
    </row>
    <row r="3772" spans="1:25" x14ac:dyDescent="0.25">
      <c r="A3772" s="1" t="s">
        <v>7779</v>
      </c>
      <c r="B3772" s="1">
        <v>2147572</v>
      </c>
      <c r="C3772" s="1" t="s">
        <v>47</v>
      </c>
      <c r="D3772" s="1" t="s">
        <v>197</v>
      </c>
      <c r="E3772" s="1" t="s">
        <v>198</v>
      </c>
      <c r="F3772" s="1" t="s">
        <v>17</v>
      </c>
      <c r="G3772" s="1" t="s">
        <v>7780</v>
      </c>
      <c r="H3772">
        <v>249</v>
      </c>
      <c r="I3772" s="1">
        <v>499</v>
      </c>
      <c r="J3772" s="1" t="s">
        <v>84</v>
      </c>
      <c r="K3772" s="1" t="s">
        <v>164</v>
      </c>
      <c r="L3772" s="1">
        <v>3.9</v>
      </c>
      <c r="M3772" s="1">
        <v>544</v>
      </c>
      <c r="P3772" t="str">
        <f t="shared" si="235"/>
        <v>50%</v>
      </c>
      <c r="Q3772" s="12">
        <f t="shared" si="232"/>
        <v>0.5</v>
      </c>
      <c r="R3772" s="9">
        <f t="shared" si="233"/>
        <v>249.5</v>
      </c>
      <c r="S3772" s="9">
        <f>IF(R3772="",AVERAGEIF(Table1[Category],Table1[[#This Row],[Category]],Table2[orignal data]),Table2[[#This Row],[orignal data]])</f>
        <v>249.5</v>
      </c>
      <c r="T3772" t="str">
        <f t="shared" si="234"/>
        <v>UNIQUE</v>
      </c>
      <c r="U3772" t="str">
        <f>IF(ISBLANK(Table1[[#This Row],[SizeOption]]),"NOT AVAILABLE",Table1[[#This Row],[SizeOption]])</f>
        <v>Onesize</v>
      </c>
      <c r="Y3772" t="str">
        <f>IF(Table2[[#This Row],[Column1]]&gt;50%,"HIGH DISCOUNT","LOW DISCOUNT")</f>
        <v>LOW DISCOUNT</v>
      </c>
    </row>
    <row r="3773" spans="1:25" x14ac:dyDescent="0.25">
      <c r="A3773" s="2" t="s">
        <v>7781</v>
      </c>
      <c r="B3773" s="2">
        <v>11233438</v>
      </c>
      <c r="C3773" s="2" t="s">
        <v>7782</v>
      </c>
      <c r="D3773" s="2" t="s">
        <v>197</v>
      </c>
      <c r="E3773" s="2" t="s">
        <v>7783</v>
      </c>
      <c r="F3773" s="2" t="s">
        <v>17</v>
      </c>
      <c r="G3773" s="2" t="s">
        <v>7784</v>
      </c>
      <c r="H3773">
        <v>825</v>
      </c>
      <c r="I3773" s="2">
        <v>1399</v>
      </c>
      <c r="J3773" s="2" t="s">
        <v>1109</v>
      </c>
      <c r="K3773" s="2" t="s">
        <v>234</v>
      </c>
      <c r="L3773" s="2">
        <v>4</v>
      </c>
      <c r="M3773" s="2">
        <v>544</v>
      </c>
      <c r="P3773" t="str">
        <f t="shared" si="235"/>
        <v>41%</v>
      </c>
      <c r="Q3773" s="12">
        <f t="shared" si="232"/>
        <v>0.41</v>
      </c>
      <c r="R3773" s="9">
        <f t="shared" si="233"/>
        <v>825.41000000000008</v>
      </c>
      <c r="S3773" s="9">
        <f>IF(R3773="",AVERAGEIF(Table1[Category],Table1[[#This Row],[Category]],Table2[orignal data]),Table2[[#This Row],[orignal data]])</f>
        <v>825.41000000000008</v>
      </c>
      <c r="T3773" t="str">
        <f t="shared" si="234"/>
        <v>UNIQUE</v>
      </c>
      <c r="U3773" t="str">
        <f>IF(ISBLANK(Table1[[#This Row],[SizeOption]]),"NOT AVAILABLE",Table1[[#This Row],[SizeOption]])</f>
        <v>S, M, L, XL, XXL, 3XL</v>
      </c>
      <c r="Y3773" t="str">
        <f>IF(Table2[[#This Row],[Column1]]&gt;50%,"HIGH DISCOUNT","LOW DISCOUNT")</f>
        <v>LOW DISCOUNT</v>
      </c>
    </row>
    <row r="3774" spans="1:25" x14ac:dyDescent="0.25">
      <c r="A3774" s="1" t="s">
        <v>7785</v>
      </c>
      <c r="B3774" s="1">
        <v>18028886</v>
      </c>
      <c r="C3774" s="1" t="s">
        <v>295</v>
      </c>
      <c r="D3774" s="1" t="s">
        <v>197</v>
      </c>
      <c r="E3774" s="1" t="s">
        <v>939</v>
      </c>
      <c r="F3774" s="1" t="s">
        <v>17</v>
      </c>
      <c r="G3774" s="1" t="s">
        <v>4736</v>
      </c>
      <c r="I3774" s="1">
        <v>1098</v>
      </c>
      <c r="J3774" s="1"/>
      <c r="K3774" s="1" t="s">
        <v>26</v>
      </c>
      <c r="L3774" s="1">
        <v>4.4000000000000004</v>
      </c>
      <c r="M3774" s="1">
        <v>544</v>
      </c>
      <c r="P3774" t="str">
        <f t="shared" si="235"/>
        <v/>
      </c>
      <c r="Q3774" s="12" t="str">
        <f t="shared" si="232"/>
        <v/>
      </c>
      <c r="R3774" s="9" t="str">
        <f t="shared" si="233"/>
        <v/>
      </c>
      <c r="S3774" s="9">
        <f>IF(R3774="",AVERAGEIF(Table1[Category],Table1[[#This Row],[Category]],Table2[orignal data]),Table2[[#This Row],[orignal data]])</f>
        <v>552.70900000000006</v>
      </c>
      <c r="T3774" t="str">
        <f t="shared" si="234"/>
        <v>UNIQUE</v>
      </c>
      <c r="U3774" t="str">
        <f>IF(ISBLANK(Table1[[#This Row],[SizeOption]]),"NOT AVAILABLE",Table1[[#This Row],[SizeOption]])</f>
        <v>S, M, L, XL</v>
      </c>
      <c r="Y3774" t="str">
        <f>IF(Table2[[#This Row],[Column1]]&gt;50%,"HIGH DISCOUNT","LOW DISCOUNT")</f>
        <v>HIGH DISCOUNT</v>
      </c>
    </row>
    <row r="3775" spans="1:25" x14ac:dyDescent="0.25">
      <c r="A3775" s="2" t="s">
        <v>7786</v>
      </c>
      <c r="B3775" s="2">
        <v>11363306</v>
      </c>
      <c r="C3775" s="2" t="s">
        <v>169</v>
      </c>
      <c r="D3775" s="2" t="s">
        <v>28</v>
      </c>
      <c r="E3775" s="2" t="s">
        <v>42</v>
      </c>
      <c r="F3775" s="2" t="s">
        <v>17</v>
      </c>
      <c r="G3775" s="2" t="s">
        <v>7787</v>
      </c>
      <c r="H3775">
        <v>599</v>
      </c>
      <c r="I3775" s="2">
        <v>1199</v>
      </c>
      <c r="J3775" s="2" t="s">
        <v>84</v>
      </c>
      <c r="K3775" s="2" t="s">
        <v>39</v>
      </c>
      <c r="L3775" s="2">
        <v>4.3</v>
      </c>
      <c r="M3775" s="2">
        <v>544</v>
      </c>
      <c r="P3775" t="str">
        <f t="shared" si="235"/>
        <v>50%</v>
      </c>
      <c r="Q3775" s="12">
        <f t="shared" si="232"/>
        <v>0.5</v>
      </c>
      <c r="R3775" s="9">
        <f t="shared" si="233"/>
        <v>599.5</v>
      </c>
      <c r="S3775" s="9">
        <f>IF(R3775="",AVERAGEIF(Table1[Category],Table1[[#This Row],[Category]],Table2[orignal data]),Table2[[#This Row],[orignal data]])</f>
        <v>599.5</v>
      </c>
      <c r="T3775" t="str">
        <f t="shared" si="234"/>
        <v>UNIQUE</v>
      </c>
      <c r="U3775" t="str">
        <f>IF(ISBLANK(Table1[[#This Row],[SizeOption]]),"NOT AVAILABLE",Table1[[#This Row],[SizeOption]])</f>
        <v>S, M, L, XL, XXL</v>
      </c>
      <c r="Y3775" t="str">
        <f>IF(Table2[[#This Row],[Column1]]&gt;50%,"HIGH DISCOUNT","LOW DISCOUNT")</f>
        <v>LOW DISCOUNT</v>
      </c>
    </row>
    <row r="3776" spans="1:25" x14ac:dyDescent="0.25">
      <c r="A3776" s="1" t="s">
        <v>7788</v>
      </c>
      <c r="B3776" s="1">
        <v>6743831</v>
      </c>
      <c r="C3776" s="1" t="s">
        <v>52</v>
      </c>
      <c r="D3776" s="1" t="s">
        <v>28</v>
      </c>
      <c r="E3776" s="1" t="s">
        <v>29</v>
      </c>
      <c r="F3776" s="1" t="s">
        <v>17</v>
      </c>
      <c r="G3776" s="1" t="s">
        <v>7789</v>
      </c>
      <c r="H3776">
        <v>519</v>
      </c>
      <c r="I3776" s="1">
        <v>1299</v>
      </c>
      <c r="J3776" s="1" t="s">
        <v>55</v>
      </c>
      <c r="K3776" s="1" t="s">
        <v>90</v>
      </c>
      <c r="L3776" s="1">
        <v>4.0999999999999996</v>
      </c>
      <c r="M3776" s="1">
        <v>544</v>
      </c>
      <c r="P3776" t="str">
        <f t="shared" si="235"/>
        <v>60%</v>
      </c>
      <c r="Q3776" s="12">
        <f t="shared" si="232"/>
        <v>0.6</v>
      </c>
      <c r="R3776" s="9">
        <f t="shared" si="233"/>
        <v>519.6</v>
      </c>
      <c r="S3776" s="9">
        <f>IF(R3776="",AVERAGEIF(Table1[Category],Table1[[#This Row],[Category]],Table2[orignal data]),Table2[[#This Row],[orignal data]])</f>
        <v>519.6</v>
      </c>
      <c r="T3776" t="str">
        <f t="shared" si="234"/>
        <v>UNIQUE</v>
      </c>
      <c r="U3776" t="str">
        <f>IF(ISBLANK(Table1[[#This Row],[SizeOption]]),"NOT AVAILABLE",Table1[[#This Row],[SizeOption]])</f>
        <v>39, 40, 42, 44</v>
      </c>
      <c r="Y3776" t="str">
        <f>IF(Table2[[#This Row],[Column1]]&gt;50%,"HIGH DISCOUNT","LOW DISCOUNT")</f>
        <v>HIGH DISCOUNT</v>
      </c>
    </row>
    <row r="3777" spans="1:25" x14ac:dyDescent="0.25">
      <c r="A3777" s="2" t="s">
        <v>7790</v>
      </c>
      <c r="B3777" s="2">
        <v>2314024</v>
      </c>
      <c r="C3777" s="2" t="s">
        <v>1299</v>
      </c>
      <c r="D3777" s="2" t="s">
        <v>28</v>
      </c>
      <c r="E3777" s="2" t="s">
        <v>29</v>
      </c>
      <c r="F3777" s="2" t="s">
        <v>17</v>
      </c>
      <c r="G3777" s="2" t="s">
        <v>7791</v>
      </c>
      <c r="H3777">
        <v>719</v>
      </c>
      <c r="I3777" s="2">
        <v>1799</v>
      </c>
      <c r="J3777" s="2" t="s">
        <v>55</v>
      </c>
      <c r="K3777" s="2" t="s">
        <v>1674</v>
      </c>
      <c r="L3777" s="2">
        <v>4.0999999999999996</v>
      </c>
      <c r="M3777" s="2">
        <v>544</v>
      </c>
      <c r="P3777" t="str">
        <f t="shared" si="235"/>
        <v>60%</v>
      </c>
      <c r="Q3777" s="12">
        <f t="shared" si="232"/>
        <v>0.6</v>
      </c>
      <c r="R3777" s="9">
        <f t="shared" si="233"/>
        <v>719.60000000000014</v>
      </c>
      <c r="S3777" s="9">
        <f>IF(R3777="",AVERAGEIF(Table1[Category],Table1[[#This Row],[Category]],Table2[orignal data]),Table2[[#This Row],[orignal data]])</f>
        <v>719.60000000000014</v>
      </c>
      <c r="T3777" t="str">
        <f t="shared" si="234"/>
        <v>UNIQUE</v>
      </c>
      <c r="U3777" t="str">
        <f>IF(ISBLANK(Table1[[#This Row],[SizeOption]]),"NOT AVAILABLE",Table1[[#This Row],[SizeOption]])</f>
        <v>38, 39, 40, 42, 44</v>
      </c>
      <c r="Y3777" t="str">
        <f>IF(Table2[[#This Row],[Column1]]&gt;50%,"HIGH DISCOUNT","LOW DISCOUNT")</f>
        <v>HIGH DISCOUNT</v>
      </c>
    </row>
    <row r="3778" spans="1:25" x14ac:dyDescent="0.25">
      <c r="A3778" s="1" t="s">
        <v>7792</v>
      </c>
      <c r="B3778" s="1">
        <v>11506018</v>
      </c>
      <c r="C3778" s="1" t="s">
        <v>33</v>
      </c>
      <c r="D3778" s="1" t="s">
        <v>34</v>
      </c>
      <c r="E3778" s="1" t="s">
        <v>118</v>
      </c>
      <c r="F3778" s="1" t="s">
        <v>36</v>
      </c>
      <c r="G3778" s="1" t="s">
        <v>7793</v>
      </c>
      <c r="H3778">
        <v>597</v>
      </c>
      <c r="I3778" s="1">
        <v>995</v>
      </c>
      <c r="J3778" s="1" t="s">
        <v>50</v>
      </c>
      <c r="K3778" s="1" t="s">
        <v>7794</v>
      </c>
      <c r="L3778" s="1">
        <v>4.3</v>
      </c>
      <c r="M3778" s="1">
        <v>544</v>
      </c>
      <c r="P3778" t="str">
        <f t="shared" si="235"/>
        <v>40%</v>
      </c>
      <c r="Q3778" s="12">
        <f t="shared" ref="Q3778:Q3841" si="236">IF(P3778="","",IF(ISNUMBER(SEARCH("%",P3778)),P3778,P3778/I3778)*100%)</f>
        <v>0.4</v>
      </c>
      <c r="R3778" s="9">
        <f t="shared" ref="R3778:R3841" si="237">IF(P3778="","",I3778-(I3778*Q3778))</f>
        <v>597</v>
      </c>
      <c r="S3778" s="9">
        <f>IF(R3778="",AVERAGEIF(Table1[Category],Table1[[#This Row],[Category]],Table2[orignal data]),Table2[[#This Row],[orignal data]])</f>
        <v>597</v>
      </c>
      <c r="T3778" t="str">
        <f t="shared" ref="T3778:T3841" si="238">IF(COUNTIF($B$2:$B$5000,B3778)&gt;1,"DUPLICATE","UNIQUE")</f>
        <v>UNIQUE</v>
      </c>
      <c r="U3778" t="str">
        <f>IF(ISBLANK(Table1[[#This Row],[SizeOption]]),"NOT AVAILABLE",Table1[[#This Row],[SizeOption]])</f>
        <v>32DD, 32E, 32F, 34D, 34DD, 34E, 34F, 36C, 36D, 36DD, 36E, 36F, 38B, 38C, 38D, 38DD, 38E, 38F, 40C, 40D, 40DD, 40E, 42C, 42D, 42DD, 42E</v>
      </c>
      <c r="Y3778" t="str">
        <f>IF(Table2[[#This Row],[Column1]]&gt;50%,"HIGH DISCOUNT","LOW DISCOUNT")</f>
        <v>LOW DISCOUNT</v>
      </c>
    </row>
    <row r="3779" spans="1:25" x14ac:dyDescent="0.25">
      <c r="A3779" s="2" t="s">
        <v>7795</v>
      </c>
      <c r="B3779" s="2">
        <v>13187266</v>
      </c>
      <c r="C3779" s="2" t="s">
        <v>1385</v>
      </c>
      <c r="D3779" s="2" t="s">
        <v>41</v>
      </c>
      <c r="E3779" s="2" t="s">
        <v>48</v>
      </c>
      <c r="F3779" s="2" t="s">
        <v>36</v>
      </c>
      <c r="G3779" s="2" t="s">
        <v>7796</v>
      </c>
      <c r="I3779" s="2">
        <v>1199</v>
      </c>
      <c r="J3779" s="2" t="s">
        <v>84</v>
      </c>
      <c r="K3779" s="2" t="s">
        <v>45</v>
      </c>
      <c r="L3779" s="2">
        <v>3.6</v>
      </c>
      <c r="M3779" s="2">
        <v>544</v>
      </c>
      <c r="P3779" t="str">
        <f t="shared" ref="P3779:P3842" si="239">TRIM(SUBSTITUTE(SUBSTITUTE(SUBSTITUTE(SUBSTITUTE(J3779,"OFF",""),"Rs.",""),"Hurry*",""),",",""))</f>
        <v>50%</v>
      </c>
      <c r="Q3779" s="12">
        <f t="shared" si="236"/>
        <v>0.5</v>
      </c>
      <c r="R3779" s="9">
        <f t="shared" si="237"/>
        <v>599.5</v>
      </c>
      <c r="S3779" s="9">
        <f>IF(R3779="",AVERAGEIF(Table1[Category],Table1[[#This Row],[Category]],Table2[orignal data]),Table2[[#This Row],[orignal data]])</f>
        <v>599.5</v>
      </c>
      <c r="T3779" t="str">
        <f t="shared" si="238"/>
        <v>UNIQUE</v>
      </c>
      <c r="U3779" t="str">
        <f>IF(ISBLANK(Table1[[#This Row],[SizeOption]]),"NOT AVAILABLE",Table1[[#This Row],[SizeOption]])</f>
        <v>XS, S, M, L, XL</v>
      </c>
      <c r="Y3779" t="str">
        <f>IF(Table2[[#This Row],[Column1]]&gt;50%,"HIGH DISCOUNT","LOW DISCOUNT")</f>
        <v>LOW DISCOUNT</v>
      </c>
    </row>
    <row r="3780" spans="1:25" x14ac:dyDescent="0.25">
      <c r="A3780" s="1" t="s">
        <v>7797</v>
      </c>
      <c r="B3780" s="1">
        <v>11918488</v>
      </c>
      <c r="C3780" s="1" t="s">
        <v>1194</v>
      </c>
      <c r="D3780" s="1" t="s">
        <v>41</v>
      </c>
      <c r="E3780" s="1" t="s">
        <v>53</v>
      </c>
      <c r="F3780" s="1" t="s">
        <v>36</v>
      </c>
      <c r="G3780" s="1" t="s">
        <v>7798</v>
      </c>
      <c r="I3780" s="1">
        <v>1599</v>
      </c>
      <c r="J3780" s="1" t="s">
        <v>55</v>
      </c>
      <c r="K3780" s="1" t="s">
        <v>171</v>
      </c>
      <c r="L3780" s="1">
        <v>3.7</v>
      </c>
      <c r="M3780" s="1">
        <v>544</v>
      </c>
      <c r="P3780" t="str">
        <f t="shared" si="239"/>
        <v>60%</v>
      </c>
      <c r="Q3780" s="12">
        <f t="shared" si="236"/>
        <v>0.6</v>
      </c>
      <c r="R3780" s="9">
        <f t="shared" si="237"/>
        <v>639.6</v>
      </c>
      <c r="S3780" s="9">
        <f>IF(R3780="",AVERAGEIF(Table1[Category],Table1[[#This Row],[Category]],Table2[orignal data]),Table2[[#This Row],[orignal data]])</f>
        <v>639.6</v>
      </c>
      <c r="T3780" t="str">
        <f t="shared" si="238"/>
        <v>UNIQUE</v>
      </c>
      <c r="U3780" t="str">
        <f>IF(ISBLANK(Table1[[#This Row],[SizeOption]]),"NOT AVAILABLE",Table1[[#This Row],[SizeOption]])</f>
        <v>28, 30, 32, 34, 36, 38</v>
      </c>
      <c r="Y3780" t="str">
        <f>IF(Table2[[#This Row],[Column1]]&gt;50%,"HIGH DISCOUNT","LOW DISCOUNT")</f>
        <v>HIGH DISCOUNT</v>
      </c>
    </row>
    <row r="3781" spans="1:25" x14ac:dyDescent="0.25">
      <c r="A3781" s="2" t="s">
        <v>7799</v>
      </c>
      <c r="B3781" s="2">
        <v>13186644</v>
      </c>
      <c r="C3781" s="2" t="s">
        <v>1385</v>
      </c>
      <c r="D3781" s="2" t="s">
        <v>41</v>
      </c>
      <c r="E3781" s="2" t="s">
        <v>148</v>
      </c>
      <c r="F3781" s="2" t="s">
        <v>36</v>
      </c>
      <c r="G3781" s="2" t="s">
        <v>7800</v>
      </c>
      <c r="I3781" s="2">
        <v>1699</v>
      </c>
      <c r="J3781" s="2" t="s">
        <v>55</v>
      </c>
      <c r="K3781" s="2" t="s">
        <v>45</v>
      </c>
      <c r="L3781" s="2">
        <v>4</v>
      </c>
      <c r="M3781" s="2">
        <v>544</v>
      </c>
      <c r="P3781" t="str">
        <f t="shared" si="239"/>
        <v>60%</v>
      </c>
      <c r="Q3781" s="12">
        <f t="shared" si="236"/>
        <v>0.6</v>
      </c>
      <c r="R3781" s="9">
        <f t="shared" si="237"/>
        <v>679.6</v>
      </c>
      <c r="S3781" s="9">
        <f>IF(R3781="",AVERAGEIF(Table1[Category],Table1[[#This Row],[Category]],Table2[orignal data]),Table2[[#This Row],[orignal data]])</f>
        <v>679.6</v>
      </c>
      <c r="T3781" t="str">
        <f t="shared" si="238"/>
        <v>UNIQUE</v>
      </c>
      <c r="U3781" t="str">
        <f>IF(ISBLANK(Table1[[#This Row],[SizeOption]]),"NOT AVAILABLE",Table1[[#This Row],[SizeOption]])</f>
        <v>XS, S, M, L, XL</v>
      </c>
      <c r="Y3781" t="str">
        <f>IF(Table2[[#This Row],[Column1]]&gt;50%,"HIGH DISCOUNT","LOW DISCOUNT")</f>
        <v>HIGH DISCOUNT</v>
      </c>
    </row>
    <row r="3782" spans="1:25" x14ac:dyDescent="0.25">
      <c r="A3782" s="1" t="s">
        <v>7801</v>
      </c>
      <c r="B3782" s="1">
        <v>7009991</v>
      </c>
      <c r="C3782" s="1" t="s">
        <v>92</v>
      </c>
      <c r="D3782" s="1" t="s">
        <v>41</v>
      </c>
      <c r="E3782" s="1" t="s">
        <v>148</v>
      </c>
      <c r="F3782" s="1" t="s">
        <v>36</v>
      </c>
      <c r="G3782" s="1" t="s">
        <v>7802</v>
      </c>
      <c r="I3782" s="1">
        <v>2149</v>
      </c>
      <c r="J3782" s="1" t="s">
        <v>416</v>
      </c>
      <c r="K3782" s="1" t="s">
        <v>39</v>
      </c>
      <c r="L3782" s="1">
        <v>4.2</v>
      </c>
      <c r="M3782" s="1">
        <v>544</v>
      </c>
      <c r="P3782" t="str">
        <f t="shared" si="239"/>
        <v>64%</v>
      </c>
      <c r="Q3782" s="12">
        <f t="shared" si="236"/>
        <v>0.64</v>
      </c>
      <c r="R3782" s="9">
        <f t="shared" si="237"/>
        <v>773.63999999999987</v>
      </c>
      <c r="S3782" s="9">
        <f>IF(R3782="",AVERAGEIF(Table1[Category],Table1[[#This Row],[Category]],Table2[orignal data]),Table2[[#This Row],[orignal data]])</f>
        <v>773.63999999999987</v>
      </c>
      <c r="T3782" t="str">
        <f t="shared" si="238"/>
        <v>UNIQUE</v>
      </c>
      <c r="U3782" t="str">
        <f>IF(ISBLANK(Table1[[#This Row],[SizeOption]]),"NOT AVAILABLE",Table1[[#This Row],[SizeOption]])</f>
        <v>S, M, L, XL, XXL</v>
      </c>
      <c r="Y3782" t="str">
        <f>IF(Table2[[#This Row],[Column1]]&gt;50%,"HIGH DISCOUNT","LOW DISCOUNT")</f>
        <v>HIGH DISCOUNT</v>
      </c>
    </row>
    <row r="3783" spans="1:25" x14ac:dyDescent="0.25">
      <c r="A3783" s="2" t="s">
        <v>7803</v>
      </c>
      <c r="B3783" s="2">
        <v>11786120</v>
      </c>
      <c r="C3783" s="2" t="s">
        <v>794</v>
      </c>
      <c r="D3783" s="2" t="s">
        <v>197</v>
      </c>
      <c r="E3783" s="2" t="s">
        <v>939</v>
      </c>
      <c r="F3783" s="2" t="s">
        <v>17</v>
      </c>
      <c r="G3783" s="2" t="s">
        <v>7804</v>
      </c>
      <c r="I3783" s="2">
        <v>1758</v>
      </c>
      <c r="J3783" s="2"/>
      <c r="K3783" s="2" t="s">
        <v>7805</v>
      </c>
      <c r="L3783" s="2">
        <v>4.4000000000000004</v>
      </c>
      <c r="M3783" s="2">
        <v>543</v>
      </c>
      <c r="P3783" t="str">
        <f t="shared" si="239"/>
        <v/>
      </c>
      <c r="Q3783" s="12" t="str">
        <f t="shared" si="236"/>
        <v/>
      </c>
      <c r="R3783" s="9" t="str">
        <f t="shared" si="237"/>
        <v/>
      </c>
      <c r="S3783" s="9">
        <f>IF(R3783="",AVERAGEIF(Table1[Category],Table1[[#This Row],[Category]],Table2[orignal data]),Table2[[#This Row],[orignal data]])</f>
        <v>552.70900000000006</v>
      </c>
      <c r="T3783" t="str">
        <f t="shared" si="238"/>
        <v>UNIQUE</v>
      </c>
      <c r="U3783" t="str">
        <f>IF(ISBLANK(Table1[[#This Row],[SizeOption]]),"NOT AVAILABLE",Table1[[#This Row],[SizeOption]])</f>
        <v>M, S, L, XXL, XL</v>
      </c>
      <c r="Y3783" t="str">
        <f>IF(Table2[[#This Row],[Column1]]&gt;50%,"HIGH DISCOUNT","LOW DISCOUNT")</f>
        <v>HIGH DISCOUNT</v>
      </c>
    </row>
    <row r="3784" spans="1:25" x14ac:dyDescent="0.25">
      <c r="A3784" s="1" t="s">
        <v>7806</v>
      </c>
      <c r="B3784" s="1">
        <v>9167251</v>
      </c>
      <c r="C3784" s="1" t="s">
        <v>794</v>
      </c>
      <c r="D3784" s="1" t="s">
        <v>197</v>
      </c>
      <c r="E3784" s="1" t="s">
        <v>939</v>
      </c>
      <c r="F3784" s="1" t="s">
        <v>17</v>
      </c>
      <c r="G3784" s="1" t="s">
        <v>7807</v>
      </c>
      <c r="I3784" s="1">
        <v>879</v>
      </c>
      <c r="J3784" s="1"/>
      <c r="K3784" s="1" t="s">
        <v>39</v>
      </c>
      <c r="L3784" s="1">
        <v>4.4000000000000004</v>
      </c>
      <c r="M3784" s="1">
        <v>543</v>
      </c>
      <c r="P3784" t="str">
        <f t="shared" si="239"/>
        <v/>
      </c>
      <c r="Q3784" s="12" t="str">
        <f t="shared" si="236"/>
        <v/>
      </c>
      <c r="R3784" s="9" t="str">
        <f t="shared" si="237"/>
        <v/>
      </c>
      <c r="S3784" s="9">
        <f>IF(R3784="",AVERAGEIF(Table1[Category],Table1[[#This Row],[Category]],Table2[orignal data]),Table2[[#This Row],[orignal data]])</f>
        <v>552.70900000000006</v>
      </c>
      <c r="T3784" t="str">
        <f t="shared" si="238"/>
        <v>UNIQUE</v>
      </c>
      <c r="U3784" t="str">
        <f>IF(ISBLANK(Table1[[#This Row],[SizeOption]]),"NOT AVAILABLE",Table1[[#This Row],[SizeOption]])</f>
        <v>S, M, L, XL, XXL</v>
      </c>
      <c r="Y3784" t="str">
        <f>IF(Table2[[#This Row],[Column1]]&gt;50%,"HIGH DISCOUNT","LOW DISCOUNT")</f>
        <v>HIGH DISCOUNT</v>
      </c>
    </row>
    <row r="3785" spans="1:25" x14ac:dyDescent="0.25">
      <c r="A3785" s="2" t="s">
        <v>7808</v>
      </c>
      <c r="B3785" s="2">
        <v>9768155</v>
      </c>
      <c r="C3785" s="2" t="s">
        <v>169</v>
      </c>
      <c r="D3785" s="2" t="s">
        <v>28</v>
      </c>
      <c r="E3785" s="2" t="s">
        <v>42</v>
      </c>
      <c r="F3785" s="2" t="s">
        <v>17</v>
      </c>
      <c r="G3785" s="2" t="s">
        <v>7809</v>
      </c>
      <c r="H3785">
        <v>659</v>
      </c>
      <c r="I3785" s="2">
        <v>1199</v>
      </c>
      <c r="J3785" s="2" t="s">
        <v>19</v>
      </c>
      <c r="K3785" s="2" t="s">
        <v>39</v>
      </c>
      <c r="L3785" s="2">
        <v>4</v>
      </c>
      <c r="M3785" s="2">
        <v>543</v>
      </c>
      <c r="P3785" t="str">
        <f t="shared" si="239"/>
        <v>45%</v>
      </c>
      <c r="Q3785" s="12">
        <f t="shared" si="236"/>
        <v>0.45</v>
      </c>
      <c r="R3785" s="9">
        <f t="shared" si="237"/>
        <v>659.44999999999993</v>
      </c>
      <c r="S3785" s="9">
        <f>IF(R3785="",AVERAGEIF(Table1[Category],Table1[[#This Row],[Category]],Table2[orignal data]),Table2[[#This Row],[orignal data]])</f>
        <v>659.44999999999993</v>
      </c>
      <c r="T3785" t="str">
        <f t="shared" si="238"/>
        <v>UNIQUE</v>
      </c>
      <c r="U3785" t="str">
        <f>IF(ISBLANK(Table1[[#This Row],[SizeOption]]),"NOT AVAILABLE",Table1[[#This Row],[SizeOption]])</f>
        <v>S, M, L, XL, XXL</v>
      </c>
      <c r="Y3785" t="str">
        <f>IF(Table2[[#This Row],[Column1]]&gt;50%,"HIGH DISCOUNT","LOW DISCOUNT")</f>
        <v>LOW DISCOUNT</v>
      </c>
    </row>
    <row r="3786" spans="1:25" x14ac:dyDescent="0.25">
      <c r="A3786" s="1" t="s">
        <v>7810</v>
      </c>
      <c r="B3786" s="1">
        <v>2232092</v>
      </c>
      <c r="C3786" s="1" t="s">
        <v>47</v>
      </c>
      <c r="D3786" s="1" t="s">
        <v>28</v>
      </c>
      <c r="E3786" s="1" t="s">
        <v>42</v>
      </c>
      <c r="F3786" s="1" t="s">
        <v>17</v>
      </c>
      <c r="G3786" s="1" t="s">
        <v>7811</v>
      </c>
      <c r="H3786">
        <v>239</v>
      </c>
      <c r="I3786" s="1">
        <v>599</v>
      </c>
      <c r="J3786" s="1" t="s">
        <v>55</v>
      </c>
      <c r="K3786" s="1" t="s">
        <v>26</v>
      </c>
      <c r="L3786" s="1">
        <v>4.0999999999999996</v>
      </c>
      <c r="M3786" s="1">
        <v>543</v>
      </c>
      <c r="P3786" t="str">
        <f t="shared" si="239"/>
        <v>60%</v>
      </c>
      <c r="Q3786" s="12">
        <f t="shared" si="236"/>
        <v>0.6</v>
      </c>
      <c r="R3786" s="9">
        <f t="shared" si="237"/>
        <v>239.60000000000002</v>
      </c>
      <c r="S3786" s="9">
        <f>IF(R3786="",AVERAGEIF(Table1[Category],Table1[[#This Row],[Category]],Table2[orignal data]),Table2[[#This Row],[orignal data]])</f>
        <v>239.60000000000002</v>
      </c>
      <c r="T3786" t="str">
        <f t="shared" si="238"/>
        <v>UNIQUE</v>
      </c>
      <c r="U3786" t="str">
        <f>IF(ISBLANK(Table1[[#This Row],[SizeOption]]),"NOT AVAILABLE",Table1[[#This Row],[SizeOption]])</f>
        <v>S, M, L, XL</v>
      </c>
      <c r="Y3786" t="str">
        <f>IF(Table2[[#This Row],[Column1]]&gt;50%,"HIGH DISCOUNT","LOW DISCOUNT")</f>
        <v>HIGH DISCOUNT</v>
      </c>
    </row>
    <row r="3787" spans="1:25" x14ac:dyDescent="0.25">
      <c r="A3787" s="2" t="s">
        <v>7812</v>
      </c>
      <c r="B3787" s="2">
        <v>9825443</v>
      </c>
      <c r="C3787" s="2" t="s">
        <v>1074</v>
      </c>
      <c r="D3787" s="2" t="s">
        <v>76</v>
      </c>
      <c r="E3787" s="2" t="s">
        <v>148</v>
      </c>
      <c r="F3787" s="2" t="s">
        <v>36</v>
      </c>
      <c r="G3787" s="2" t="s">
        <v>7813</v>
      </c>
      <c r="H3787">
        <v>629</v>
      </c>
      <c r="I3787" s="2">
        <v>1499</v>
      </c>
      <c r="J3787" s="2" t="s">
        <v>60</v>
      </c>
      <c r="K3787" s="2" t="s">
        <v>39</v>
      </c>
      <c r="L3787" s="2">
        <v>3.6</v>
      </c>
      <c r="M3787" s="2">
        <v>543</v>
      </c>
      <c r="P3787" t="str">
        <f t="shared" si="239"/>
        <v>58%</v>
      </c>
      <c r="Q3787" s="12">
        <f t="shared" si="236"/>
        <v>0.57999999999999996</v>
      </c>
      <c r="R3787" s="9">
        <f t="shared" si="237"/>
        <v>629.58000000000004</v>
      </c>
      <c r="S3787" s="9">
        <f>IF(R3787="",AVERAGEIF(Table1[Category],Table1[[#This Row],[Category]],Table2[orignal data]),Table2[[#This Row],[orignal data]])</f>
        <v>629.58000000000004</v>
      </c>
      <c r="T3787" t="str">
        <f t="shared" si="238"/>
        <v>UNIQUE</v>
      </c>
      <c r="U3787" t="str">
        <f>IF(ISBLANK(Table1[[#This Row],[SizeOption]]),"NOT AVAILABLE",Table1[[#This Row],[SizeOption]])</f>
        <v>S, M, L, XL, XXL</v>
      </c>
      <c r="Y3787" t="str">
        <f>IF(Table2[[#This Row],[Column1]]&gt;50%,"HIGH DISCOUNT","LOW DISCOUNT")</f>
        <v>HIGH DISCOUNT</v>
      </c>
    </row>
    <row r="3788" spans="1:25" x14ac:dyDescent="0.25">
      <c r="A3788" s="1" t="s">
        <v>7814</v>
      </c>
      <c r="B3788" s="1">
        <v>13027850</v>
      </c>
      <c r="C3788" s="1" t="s">
        <v>397</v>
      </c>
      <c r="D3788" s="1" t="s">
        <v>76</v>
      </c>
      <c r="E3788" s="1" t="s">
        <v>77</v>
      </c>
      <c r="F3788" s="1" t="s">
        <v>36</v>
      </c>
      <c r="G3788" s="1" t="s">
        <v>7815</v>
      </c>
      <c r="H3788">
        <v>1539</v>
      </c>
      <c r="I3788" s="1">
        <v>3499</v>
      </c>
      <c r="J3788" s="1" t="s">
        <v>1204</v>
      </c>
      <c r="K3788" s="1" t="s">
        <v>234</v>
      </c>
      <c r="L3788" s="1">
        <v>4.3</v>
      </c>
      <c r="M3788" s="1">
        <v>543</v>
      </c>
      <c r="P3788" t="str">
        <f t="shared" si="239"/>
        <v>56%</v>
      </c>
      <c r="Q3788" s="12">
        <f t="shared" si="236"/>
        <v>0.56000000000000005</v>
      </c>
      <c r="R3788" s="9">
        <f t="shared" si="237"/>
        <v>1539.5599999999997</v>
      </c>
      <c r="S3788" s="9">
        <f>IF(R3788="",AVERAGEIF(Table1[Category],Table1[[#This Row],[Category]],Table2[orignal data]),Table2[[#This Row],[orignal data]])</f>
        <v>1539.5599999999997</v>
      </c>
      <c r="T3788" t="str">
        <f t="shared" si="238"/>
        <v>UNIQUE</v>
      </c>
      <c r="U3788" t="str">
        <f>IF(ISBLANK(Table1[[#This Row],[SizeOption]]),"NOT AVAILABLE",Table1[[#This Row],[SizeOption]])</f>
        <v>S, M, L, XL, XXL, 3XL</v>
      </c>
      <c r="Y3788" t="str">
        <f>IF(Table2[[#This Row],[Column1]]&gt;50%,"HIGH DISCOUNT","LOW DISCOUNT")</f>
        <v>HIGH DISCOUNT</v>
      </c>
    </row>
    <row r="3789" spans="1:25" x14ac:dyDescent="0.25">
      <c r="A3789" s="2" t="s">
        <v>7816</v>
      </c>
      <c r="B3789" s="2">
        <v>12441842</v>
      </c>
      <c r="C3789" s="2" t="s">
        <v>620</v>
      </c>
      <c r="D3789" s="2" t="s">
        <v>34</v>
      </c>
      <c r="E3789" s="2" t="s">
        <v>2910</v>
      </c>
      <c r="F3789" s="2" t="s">
        <v>36</v>
      </c>
      <c r="G3789" s="2" t="s">
        <v>7817</v>
      </c>
      <c r="H3789">
        <v>359</v>
      </c>
      <c r="I3789" s="2">
        <v>1199</v>
      </c>
      <c r="J3789" s="2" t="s">
        <v>79</v>
      </c>
      <c r="K3789" s="2" t="s">
        <v>39</v>
      </c>
      <c r="L3789" s="2">
        <v>4</v>
      </c>
      <c r="M3789" s="2">
        <v>543</v>
      </c>
      <c r="P3789" t="str">
        <f t="shared" si="239"/>
        <v>70%</v>
      </c>
      <c r="Q3789" s="12">
        <f t="shared" si="236"/>
        <v>0.7</v>
      </c>
      <c r="R3789" s="9">
        <f t="shared" si="237"/>
        <v>359.70000000000005</v>
      </c>
      <c r="S3789" s="9">
        <f>IF(R3789="",AVERAGEIF(Table1[Category],Table1[[#This Row],[Category]],Table2[orignal data]),Table2[[#This Row],[orignal data]])</f>
        <v>359.70000000000005</v>
      </c>
      <c r="T3789" t="str">
        <f t="shared" si="238"/>
        <v>UNIQUE</v>
      </c>
      <c r="U3789" t="str">
        <f>IF(ISBLANK(Table1[[#This Row],[SizeOption]]),"NOT AVAILABLE",Table1[[#This Row],[SizeOption]])</f>
        <v>S, M, L, XL, XXL</v>
      </c>
      <c r="Y3789" t="str">
        <f>IF(Table2[[#This Row],[Column1]]&gt;50%,"HIGH DISCOUNT","LOW DISCOUNT")</f>
        <v>HIGH DISCOUNT</v>
      </c>
    </row>
    <row r="3790" spans="1:25" x14ac:dyDescent="0.25">
      <c r="A3790" s="1" t="s">
        <v>7818</v>
      </c>
      <c r="B3790" s="1">
        <v>17381500</v>
      </c>
      <c r="C3790" s="1" t="s">
        <v>14</v>
      </c>
      <c r="D3790" s="1" t="s">
        <v>41</v>
      </c>
      <c r="E3790" s="1" t="s">
        <v>42</v>
      </c>
      <c r="F3790" s="1" t="s">
        <v>36</v>
      </c>
      <c r="G3790" s="1" t="s">
        <v>62</v>
      </c>
      <c r="I3790" s="1">
        <v>1198</v>
      </c>
      <c r="J3790" s="1" t="s">
        <v>84</v>
      </c>
      <c r="K3790" s="1" t="s">
        <v>45</v>
      </c>
      <c r="L3790" s="1">
        <v>4.4000000000000004</v>
      </c>
      <c r="M3790" s="1">
        <v>543</v>
      </c>
      <c r="P3790" t="str">
        <f t="shared" si="239"/>
        <v>50%</v>
      </c>
      <c r="Q3790" s="12">
        <f t="shared" si="236"/>
        <v>0.5</v>
      </c>
      <c r="R3790" s="9">
        <f t="shared" si="237"/>
        <v>599</v>
      </c>
      <c r="S3790" s="9">
        <f>IF(R3790="",AVERAGEIF(Table1[Category],Table1[[#This Row],[Category]],Table2[orignal data]),Table2[[#This Row],[orignal data]])</f>
        <v>599</v>
      </c>
      <c r="T3790" t="str">
        <f t="shared" si="238"/>
        <v>UNIQUE</v>
      </c>
      <c r="U3790" t="str">
        <f>IF(ISBLANK(Table1[[#This Row],[SizeOption]]),"NOT AVAILABLE",Table1[[#This Row],[SizeOption]])</f>
        <v>XS, S, M, L, XL</v>
      </c>
      <c r="Y3790" t="str">
        <f>IF(Table2[[#This Row],[Column1]]&gt;50%,"HIGH DISCOUNT","LOW DISCOUNT")</f>
        <v>LOW DISCOUNT</v>
      </c>
    </row>
    <row r="3791" spans="1:25" x14ac:dyDescent="0.25">
      <c r="A3791" s="2" t="s">
        <v>7819</v>
      </c>
      <c r="B3791" s="2">
        <v>10730190</v>
      </c>
      <c r="C3791" s="2" t="s">
        <v>887</v>
      </c>
      <c r="D3791" s="2" t="s">
        <v>41</v>
      </c>
      <c r="E3791" s="2" t="s">
        <v>148</v>
      </c>
      <c r="F3791" s="2" t="s">
        <v>36</v>
      </c>
      <c r="G3791" s="2" t="s">
        <v>7820</v>
      </c>
      <c r="I3791" s="2">
        <v>1665</v>
      </c>
      <c r="J3791" s="2" t="s">
        <v>543</v>
      </c>
      <c r="K3791" s="2" t="s">
        <v>26</v>
      </c>
      <c r="L3791" s="2">
        <v>4.4000000000000004</v>
      </c>
      <c r="M3791" s="2">
        <v>543</v>
      </c>
      <c r="P3791" t="str">
        <f t="shared" si="239"/>
        <v>67%</v>
      </c>
      <c r="Q3791" s="12">
        <f t="shared" si="236"/>
        <v>0.67</v>
      </c>
      <c r="R3791" s="9">
        <f t="shared" si="237"/>
        <v>549.45000000000005</v>
      </c>
      <c r="S3791" s="9">
        <f>IF(R3791="",AVERAGEIF(Table1[Category],Table1[[#This Row],[Category]],Table2[orignal data]),Table2[[#This Row],[orignal data]])</f>
        <v>549.45000000000005</v>
      </c>
      <c r="T3791" t="str">
        <f t="shared" si="238"/>
        <v>UNIQUE</v>
      </c>
      <c r="U3791" t="str">
        <f>IF(ISBLANK(Table1[[#This Row],[SizeOption]]),"NOT AVAILABLE",Table1[[#This Row],[SizeOption]])</f>
        <v>S, M, L, XL</v>
      </c>
      <c r="Y3791" t="str">
        <f>IF(Table2[[#This Row],[Column1]]&gt;50%,"HIGH DISCOUNT","LOW DISCOUNT")</f>
        <v>HIGH DISCOUNT</v>
      </c>
    </row>
    <row r="3792" spans="1:25" x14ac:dyDescent="0.25">
      <c r="A3792" s="1" t="s">
        <v>7821</v>
      </c>
      <c r="B3792" s="1">
        <v>17381774</v>
      </c>
      <c r="C3792" s="1" t="s">
        <v>14</v>
      </c>
      <c r="D3792" s="1" t="s">
        <v>41</v>
      </c>
      <c r="E3792" s="1" t="s">
        <v>42</v>
      </c>
      <c r="F3792" s="1" t="s">
        <v>36</v>
      </c>
      <c r="G3792" s="1" t="s">
        <v>3632</v>
      </c>
      <c r="I3792" s="1">
        <v>1998</v>
      </c>
      <c r="J3792" s="1" t="s">
        <v>84</v>
      </c>
      <c r="K3792" s="1" t="s">
        <v>45</v>
      </c>
      <c r="L3792" s="1">
        <v>4.2</v>
      </c>
      <c r="M3792" s="1">
        <v>543</v>
      </c>
      <c r="P3792" t="str">
        <f t="shared" si="239"/>
        <v>50%</v>
      </c>
      <c r="Q3792" s="12">
        <f t="shared" si="236"/>
        <v>0.5</v>
      </c>
      <c r="R3792" s="9">
        <f t="shared" si="237"/>
        <v>999</v>
      </c>
      <c r="S3792" s="9">
        <f>IF(R3792="",AVERAGEIF(Table1[Category],Table1[[#This Row],[Category]],Table2[orignal data]),Table2[[#This Row],[orignal data]])</f>
        <v>999</v>
      </c>
      <c r="T3792" t="str">
        <f t="shared" si="238"/>
        <v>UNIQUE</v>
      </c>
      <c r="U3792" t="str">
        <f>IF(ISBLANK(Table1[[#This Row],[SizeOption]]),"NOT AVAILABLE",Table1[[#This Row],[SizeOption]])</f>
        <v>XS, S, M, L, XL</v>
      </c>
      <c r="Y3792" t="str">
        <f>IF(Table2[[#This Row],[Column1]]&gt;50%,"HIGH DISCOUNT","LOW DISCOUNT")</f>
        <v>LOW DISCOUNT</v>
      </c>
    </row>
    <row r="3793" spans="1:25" x14ac:dyDescent="0.25">
      <c r="A3793" s="2" t="s">
        <v>7822</v>
      </c>
      <c r="B3793" s="2">
        <v>6631985</v>
      </c>
      <c r="C3793" s="2" t="s">
        <v>132</v>
      </c>
      <c r="D3793" s="2" t="s">
        <v>41</v>
      </c>
      <c r="E3793" s="2" t="s">
        <v>137</v>
      </c>
      <c r="F3793" s="2" t="s">
        <v>36</v>
      </c>
      <c r="G3793" s="2" t="s">
        <v>7823</v>
      </c>
      <c r="I3793" s="2">
        <v>1999</v>
      </c>
      <c r="J3793" s="2" t="s">
        <v>109</v>
      </c>
      <c r="K3793" s="2" t="s">
        <v>428</v>
      </c>
      <c r="L3793" s="2">
        <v>3.9</v>
      </c>
      <c r="M3793" s="2">
        <v>543</v>
      </c>
      <c r="P3793" t="str">
        <f t="shared" si="239"/>
        <v>75%</v>
      </c>
      <c r="Q3793" s="12">
        <f t="shared" si="236"/>
        <v>0.75</v>
      </c>
      <c r="R3793" s="9">
        <f t="shared" si="237"/>
        <v>499.75</v>
      </c>
      <c r="S3793" s="9">
        <f>IF(R3793="",AVERAGEIF(Table1[Category],Table1[[#This Row],[Category]],Table2[orignal data]),Table2[[#This Row],[orignal data]])</f>
        <v>499.75</v>
      </c>
      <c r="T3793" t="str">
        <f t="shared" si="238"/>
        <v>UNIQUE</v>
      </c>
      <c r="U3793" t="str">
        <f>IF(ISBLANK(Table1[[#This Row],[SizeOption]]),"NOT AVAILABLE",Table1[[#This Row],[SizeOption]])</f>
        <v>26, 28, 30, 32, 34</v>
      </c>
      <c r="Y3793" t="str">
        <f>IF(Table2[[#This Row],[Column1]]&gt;50%,"HIGH DISCOUNT","LOW DISCOUNT")</f>
        <v>HIGH DISCOUNT</v>
      </c>
    </row>
    <row r="3794" spans="1:25" x14ac:dyDescent="0.25">
      <c r="A3794" s="1" t="s">
        <v>7824</v>
      </c>
      <c r="B3794" s="1">
        <v>2334882</v>
      </c>
      <c r="C3794" s="1" t="s">
        <v>47</v>
      </c>
      <c r="D3794" s="1" t="s">
        <v>41</v>
      </c>
      <c r="E3794" s="1" t="s">
        <v>53</v>
      </c>
      <c r="F3794" s="1" t="s">
        <v>36</v>
      </c>
      <c r="G3794" s="1" t="s">
        <v>7825</v>
      </c>
      <c r="I3794" s="1">
        <v>2199</v>
      </c>
      <c r="J3794" s="1" t="s">
        <v>25</v>
      </c>
      <c r="K3794" s="1" t="s">
        <v>134</v>
      </c>
      <c r="L3794" s="1">
        <v>4</v>
      </c>
      <c r="M3794" s="1">
        <v>543</v>
      </c>
      <c r="P3794" t="str">
        <f t="shared" si="239"/>
        <v>55%</v>
      </c>
      <c r="Q3794" s="12">
        <f t="shared" si="236"/>
        <v>0.55000000000000004</v>
      </c>
      <c r="R3794" s="9">
        <f t="shared" si="237"/>
        <v>989.55</v>
      </c>
      <c r="S3794" s="9">
        <f>IF(R3794="",AVERAGEIF(Table1[Category],Table1[[#This Row],[Category]],Table2[orignal data]),Table2[[#This Row],[orignal data]])</f>
        <v>989.55</v>
      </c>
      <c r="T3794" t="str">
        <f t="shared" si="238"/>
        <v>UNIQUE</v>
      </c>
      <c r="U3794" t="str">
        <f>IF(ISBLANK(Table1[[#This Row],[SizeOption]]),"NOT AVAILABLE",Table1[[#This Row],[SizeOption]])</f>
        <v>26, 28, 30, 32, 34, 36</v>
      </c>
      <c r="Y3794" t="str">
        <f>IF(Table2[[#This Row],[Column1]]&gt;50%,"HIGH DISCOUNT","LOW DISCOUNT")</f>
        <v>HIGH DISCOUNT</v>
      </c>
    </row>
    <row r="3795" spans="1:25" x14ac:dyDescent="0.25">
      <c r="A3795" s="2" t="s">
        <v>7826</v>
      </c>
      <c r="B3795" s="2">
        <v>2516733</v>
      </c>
      <c r="C3795" s="2" t="s">
        <v>136</v>
      </c>
      <c r="D3795" s="2" t="s">
        <v>41</v>
      </c>
      <c r="E3795" s="2" t="s">
        <v>137</v>
      </c>
      <c r="F3795" s="2" t="s">
        <v>36</v>
      </c>
      <c r="G3795" s="2" t="s">
        <v>7827</v>
      </c>
      <c r="I3795" s="2">
        <v>899</v>
      </c>
      <c r="J3795" s="2" t="s">
        <v>104</v>
      </c>
      <c r="K3795" s="2" t="s">
        <v>134</v>
      </c>
      <c r="L3795" s="2">
        <v>4.3</v>
      </c>
      <c r="M3795" s="2">
        <v>543</v>
      </c>
      <c r="P3795" t="str">
        <f t="shared" si="239"/>
        <v>61%</v>
      </c>
      <c r="Q3795" s="12">
        <f t="shared" si="236"/>
        <v>0.61</v>
      </c>
      <c r="R3795" s="9">
        <f t="shared" si="237"/>
        <v>350.61</v>
      </c>
      <c r="S3795" s="9">
        <f>IF(R3795="",AVERAGEIF(Table1[Category],Table1[[#This Row],[Category]],Table2[orignal data]),Table2[[#This Row],[orignal data]])</f>
        <v>350.61</v>
      </c>
      <c r="T3795" t="str">
        <f t="shared" si="238"/>
        <v>UNIQUE</v>
      </c>
      <c r="U3795" t="str">
        <f>IF(ISBLANK(Table1[[#This Row],[SizeOption]]),"NOT AVAILABLE",Table1[[#This Row],[SizeOption]])</f>
        <v>26, 28, 30, 32, 34, 36</v>
      </c>
      <c r="Y3795" t="str">
        <f>IF(Table2[[#This Row],[Column1]]&gt;50%,"HIGH DISCOUNT","LOW DISCOUNT")</f>
        <v>HIGH DISCOUNT</v>
      </c>
    </row>
    <row r="3796" spans="1:25" x14ac:dyDescent="0.25">
      <c r="A3796" s="1" t="s">
        <v>7828</v>
      </c>
      <c r="B3796" s="1">
        <v>10004125</v>
      </c>
      <c r="C3796" s="1" t="s">
        <v>52</v>
      </c>
      <c r="D3796" s="1" t="s">
        <v>28</v>
      </c>
      <c r="E3796" s="1" t="s">
        <v>29</v>
      </c>
      <c r="F3796" s="1" t="s">
        <v>17</v>
      </c>
      <c r="G3796" s="1" t="s">
        <v>7829</v>
      </c>
      <c r="H3796">
        <v>409</v>
      </c>
      <c r="I3796" s="1">
        <v>1049</v>
      </c>
      <c r="J3796" s="1" t="s">
        <v>104</v>
      </c>
      <c r="K3796" s="1" t="s">
        <v>90</v>
      </c>
      <c r="L3796" s="1">
        <v>4</v>
      </c>
      <c r="M3796" s="1">
        <v>542</v>
      </c>
      <c r="P3796" t="str">
        <f t="shared" si="239"/>
        <v>61%</v>
      </c>
      <c r="Q3796" s="12">
        <f t="shared" si="236"/>
        <v>0.61</v>
      </c>
      <c r="R3796" s="9">
        <f t="shared" si="237"/>
        <v>409.11</v>
      </c>
      <c r="S3796" s="9">
        <f>IF(R3796="",AVERAGEIF(Table1[Category],Table1[[#This Row],[Category]],Table2[orignal data]),Table2[[#This Row],[orignal data]])</f>
        <v>409.11</v>
      </c>
      <c r="T3796" t="str">
        <f t="shared" si="238"/>
        <v>UNIQUE</v>
      </c>
      <c r="U3796" t="str">
        <f>IF(ISBLANK(Table1[[#This Row],[SizeOption]]),"NOT AVAILABLE",Table1[[#This Row],[SizeOption]])</f>
        <v>39, 40, 42, 44</v>
      </c>
      <c r="Y3796" t="str">
        <f>IF(Table2[[#This Row],[Column1]]&gt;50%,"HIGH DISCOUNT","LOW DISCOUNT")</f>
        <v>HIGH DISCOUNT</v>
      </c>
    </row>
    <row r="3797" spans="1:25" x14ac:dyDescent="0.25">
      <c r="A3797" s="2" t="s">
        <v>7830</v>
      </c>
      <c r="B3797" s="2">
        <v>12082896</v>
      </c>
      <c r="C3797" s="2" t="s">
        <v>64</v>
      </c>
      <c r="D3797" s="2" t="s">
        <v>28</v>
      </c>
      <c r="E3797" s="2" t="s">
        <v>29</v>
      </c>
      <c r="F3797" s="2" t="s">
        <v>17</v>
      </c>
      <c r="G3797" s="2" t="s">
        <v>7831</v>
      </c>
      <c r="H3797">
        <v>799</v>
      </c>
      <c r="I3797" s="2">
        <v>1999</v>
      </c>
      <c r="J3797" s="2" t="s">
        <v>55</v>
      </c>
      <c r="K3797" s="2" t="s">
        <v>361</v>
      </c>
      <c r="L3797" s="2">
        <v>4</v>
      </c>
      <c r="M3797" s="2">
        <v>542</v>
      </c>
      <c r="P3797" t="str">
        <f t="shared" si="239"/>
        <v>60%</v>
      </c>
      <c r="Q3797" s="12">
        <f t="shared" si="236"/>
        <v>0.6</v>
      </c>
      <c r="R3797" s="9">
        <f t="shared" si="237"/>
        <v>799.60000000000014</v>
      </c>
      <c r="S3797" s="9">
        <f>IF(R3797="",AVERAGEIF(Table1[Category],Table1[[#This Row],[Category]],Table2[orignal data]),Table2[[#This Row],[orignal data]])</f>
        <v>799.60000000000014</v>
      </c>
      <c r="T3797" t="str">
        <f t="shared" si="238"/>
        <v>UNIQUE</v>
      </c>
      <c r="U3797" t="str">
        <f>IF(ISBLANK(Table1[[#This Row],[SizeOption]]),"NOT AVAILABLE",Table1[[#This Row],[SizeOption]])</f>
        <v>38, 40, 42, 44, 46</v>
      </c>
      <c r="Y3797" t="str">
        <f>IF(Table2[[#This Row],[Column1]]&gt;50%,"HIGH DISCOUNT","LOW DISCOUNT")</f>
        <v>HIGH DISCOUNT</v>
      </c>
    </row>
    <row r="3798" spans="1:25" x14ac:dyDescent="0.25">
      <c r="A3798" s="1" t="s">
        <v>7832</v>
      </c>
      <c r="B3798" s="1">
        <v>12643910</v>
      </c>
      <c r="C3798" s="1" t="s">
        <v>67</v>
      </c>
      <c r="D3798" s="1" t="s">
        <v>68</v>
      </c>
      <c r="E3798" s="1" t="s">
        <v>42</v>
      </c>
      <c r="F3798" s="1" t="s">
        <v>36</v>
      </c>
      <c r="G3798" s="1" t="s">
        <v>7833</v>
      </c>
      <c r="H3798">
        <v>359</v>
      </c>
      <c r="I3798" s="1">
        <v>899</v>
      </c>
      <c r="J3798" s="1" t="s">
        <v>55</v>
      </c>
      <c r="K3798" s="1" t="s">
        <v>45</v>
      </c>
      <c r="L3798" s="1">
        <v>4.4000000000000004</v>
      </c>
      <c r="M3798" s="1">
        <v>542</v>
      </c>
      <c r="P3798" t="str">
        <f t="shared" si="239"/>
        <v>60%</v>
      </c>
      <c r="Q3798" s="12">
        <f t="shared" si="236"/>
        <v>0.6</v>
      </c>
      <c r="R3798" s="9">
        <f t="shared" si="237"/>
        <v>359.6</v>
      </c>
      <c r="S3798" s="9">
        <f>IF(R3798="",AVERAGEIF(Table1[Category],Table1[[#This Row],[Category]],Table2[orignal data]),Table2[[#This Row],[orignal data]])</f>
        <v>359.6</v>
      </c>
      <c r="T3798" t="str">
        <f t="shared" si="238"/>
        <v>UNIQUE</v>
      </c>
      <c r="U3798" t="str">
        <f>IF(ISBLANK(Table1[[#This Row],[SizeOption]]),"NOT AVAILABLE",Table1[[#This Row],[SizeOption]])</f>
        <v>XS, S, M, L, XL</v>
      </c>
      <c r="Y3798" t="str">
        <f>IF(Table2[[#This Row],[Column1]]&gt;50%,"HIGH DISCOUNT","LOW DISCOUNT")</f>
        <v>HIGH DISCOUNT</v>
      </c>
    </row>
    <row r="3799" spans="1:25" x14ac:dyDescent="0.25">
      <c r="A3799" s="2" t="s">
        <v>7834</v>
      </c>
      <c r="B3799" s="2">
        <v>7687331</v>
      </c>
      <c r="C3799" s="2" t="s">
        <v>181</v>
      </c>
      <c r="D3799" s="2" t="s">
        <v>41</v>
      </c>
      <c r="E3799" s="2" t="s">
        <v>368</v>
      </c>
      <c r="F3799" s="2" t="s">
        <v>36</v>
      </c>
      <c r="G3799" s="2" t="s">
        <v>7835</v>
      </c>
      <c r="I3799" s="2">
        <v>1399</v>
      </c>
      <c r="J3799" s="2" t="s">
        <v>84</v>
      </c>
      <c r="K3799" s="2" t="s">
        <v>134</v>
      </c>
      <c r="L3799" s="2">
        <v>4.2</v>
      </c>
      <c r="M3799" s="2">
        <v>542</v>
      </c>
      <c r="P3799" t="str">
        <f t="shared" si="239"/>
        <v>50%</v>
      </c>
      <c r="Q3799" s="12">
        <f t="shared" si="236"/>
        <v>0.5</v>
      </c>
      <c r="R3799" s="9">
        <f t="shared" si="237"/>
        <v>699.5</v>
      </c>
      <c r="S3799" s="9">
        <f>IF(R3799="",AVERAGEIF(Table1[Category],Table1[[#This Row],[Category]],Table2[orignal data]),Table2[[#This Row],[orignal data]])</f>
        <v>699.5</v>
      </c>
      <c r="T3799" t="str">
        <f t="shared" si="238"/>
        <v>UNIQUE</v>
      </c>
      <c r="U3799" t="str">
        <f>IF(ISBLANK(Table1[[#This Row],[SizeOption]]),"NOT AVAILABLE",Table1[[#This Row],[SizeOption]])</f>
        <v>26, 28, 30, 32, 34, 36</v>
      </c>
      <c r="Y3799" t="str">
        <f>IF(Table2[[#This Row],[Column1]]&gt;50%,"HIGH DISCOUNT","LOW DISCOUNT")</f>
        <v>LOW DISCOUNT</v>
      </c>
    </row>
    <row r="3800" spans="1:25" x14ac:dyDescent="0.25">
      <c r="A3800" s="1" t="s">
        <v>7836</v>
      </c>
      <c r="B3800" s="1">
        <v>13000546</v>
      </c>
      <c r="C3800" s="1" t="s">
        <v>181</v>
      </c>
      <c r="D3800" s="1" t="s">
        <v>41</v>
      </c>
      <c r="E3800" s="1" t="s">
        <v>16</v>
      </c>
      <c r="F3800" s="1" t="s">
        <v>36</v>
      </c>
      <c r="G3800" s="1" t="s">
        <v>7837</v>
      </c>
      <c r="I3800" s="1">
        <v>1999</v>
      </c>
      <c r="J3800" s="1" t="s">
        <v>130</v>
      </c>
      <c r="K3800" s="1" t="s">
        <v>134</v>
      </c>
      <c r="L3800" s="1">
        <v>4.3</v>
      </c>
      <c r="M3800" s="1">
        <v>542</v>
      </c>
      <c r="P3800" t="str">
        <f t="shared" si="239"/>
        <v>57%</v>
      </c>
      <c r="Q3800" s="12">
        <f t="shared" si="236"/>
        <v>0.56999999999999995</v>
      </c>
      <c r="R3800" s="9">
        <f t="shared" si="237"/>
        <v>859.57000000000016</v>
      </c>
      <c r="S3800" s="9">
        <f>IF(R3800="",AVERAGEIF(Table1[Category],Table1[[#This Row],[Category]],Table2[orignal data]),Table2[[#This Row],[orignal data]])</f>
        <v>859.57000000000016</v>
      </c>
      <c r="T3800" t="str">
        <f t="shared" si="238"/>
        <v>UNIQUE</v>
      </c>
      <c r="U3800" t="str">
        <f>IF(ISBLANK(Table1[[#This Row],[SizeOption]]),"NOT AVAILABLE",Table1[[#This Row],[SizeOption]])</f>
        <v>26, 28, 30, 32, 34, 36</v>
      </c>
      <c r="Y3800" t="str">
        <f>IF(Table2[[#This Row],[Column1]]&gt;50%,"HIGH DISCOUNT","LOW DISCOUNT")</f>
        <v>HIGH DISCOUNT</v>
      </c>
    </row>
    <row r="3801" spans="1:25" x14ac:dyDescent="0.25">
      <c r="A3801" s="2" t="s">
        <v>7838</v>
      </c>
      <c r="B3801" s="2">
        <v>8159649</v>
      </c>
      <c r="C3801" s="2" t="s">
        <v>4094</v>
      </c>
      <c r="D3801" s="2" t="s">
        <v>41</v>
      </c>
      <c r="E3801" s="2" t="s">
        <v>48</v>
      </c>
      <c r="F3801" s="2" t="s">
        <v>36</v>
      </c>
      <c r="G3801" s="2" t="s">
        <v>7839</v>
      </c>
      <c r="I3801" s="2">
        <v>489</v>
      </c>
      <c r="J3801" s="2" t="s">
        <v>7840</v>
      </c>
      <c r="K3801" s="2" t="s">
        <v>26</v>
      </c>
      <c r="L3801" s="2">
        <v>4.2</v>
      </c>
      <c r="M3801" s="2">
        <v>542</v>
      </c>
      <c r="P3801" t="str">
        <f t="shared" si="239"/>
        <v>24%</v>
      </c>
      <c r="Q3801" s="12">
        <f t="shared" si="236"/>
        <v>0.24</v>
      </c>
      <c r="R3801" s="9">
        <f t="shared" si="237"/>
        <v>371.64</v>
      </c>
      <c r="S3801" s="9">
        <f>IF(R3801="",AVERAGEIF(Table1[Category],Table1[[#This Row],[Category]],Table2[orignal data]),Table2[[#This Row],[orignal data]])</f>
        <v>371.64</v>
      </c>
      <c r="T3801" t="str">
        <f t="shared" si="238"/>
        <v>UNIQUE</v>
      </c>
      <c r="U3801" t="str">
        <f>IF(ISBLANK(Table1[[#This Row],[SizeOption]]),"NOT AVAILABLE",Table1[[#This Row],[SizeOption]])</f>
        <v>S, M, L, XL</v>
      </c>
      <c r="Y3801" t="str">
        <f>IF(Table2[[#This Row],[Column1]]&gt;50%,"HIGH DISCOUNT","LOW DISCOUNT")</f>
        <v>LOW DISCOUNT</v>
      </c>
    </row>
    <row r="3802" spans="1:25" x14ac:dyDescent="0.25">
      <c r="A3802" s="1" t="s">
        <v>7841</v>
      </c>
      <c r="B3802" s="1">
        <v>12193844</v>
      </c>
      <c r="C3802" s="1" t="s">
        <v>14</v>
      </c>
      <c r="D3802" s="1" t="s">
        <v>41</v>
      </c>
      <c r="E3802" s="1" t="s">
        <v>42</v>
      </c>
      <c r="F3802" s="1" t="s">
        <v>36</v>
      </c>
      <c r="G3802" s="1" t="s">
        <v>7842</v>
      </c>
      <c r="I3802" s="1">
        <v>599</v>
      </c>
      <c r="J3802" s="1" t="s">
        <v>44</v>
      </c>
      <c r="K3802" s="1" t="s">
        <v>45</v>
      </c>
      <c r="L3802" s="1">
        <v>4.4000000000000004</v>
      </c>
      <c r="M3802" s="1">
        <v>542</v>
      </c>
      <c r="P3802" t="str">
        <f t="shared" si="239"/>
        <v>35%</v>
      </c>
      <c r="Q3802" s="12">
        <f t="shared" si="236"/>
        <v>0.35</v>
      </c>
      <c r="R3802" s="9">
        <f t="shared" si="237"/>
        <v>389.35</v>
      </c>
      <c r="S3802" s="9">
        <f>IF(R3802="",AVERAGEIF(Table1[Category],Table1[[#This Row],[Category]],Table2[orignal data]),Table2[[#This Row],[orignal data]])</f>
        <v>389.35</v>
      </c>
      <c r="T3802" t="str">
        <f t="shared" si="238"/>
        <v>UNIQUE</v>
      </c>
      <c r="U3802" t="str">
        <f>IF(ISBLANK(Table1[[#This Row],[SizeOption]]),"NOT AVAILABLE",Table1[[#This Row],[SizeOption]])</f>
        <v>XS, S, M, L, XL</v>
      </c>
      <c r="Y3802" t="str">
        <f>IF(Table2[[#This Row],[Column1]]&gt;50%,"HIGH DISCOUNT","LOW DISCOUNT")</f>
        <v>LOW DISCOUNT</v>
      </c>
    </row>
    <row r="3803" spans="1:25" x14ac:dyDescent="0.25">
      <c r="A3803" s="2" t="s">
        <v>7843</v>
      </c>
      <c r="B3803" s="2">
        <v>2490911</v>
      </c>
      <c r="C3803" s="2" t="s">
        <v>47</v>
      </c>
      <c r="D3803" s="2" t="s">
        <v>41</v>
      </c>
      <c r="E3803" s="2" t="s">
        <v>42</v>
      </c>
      <c r="F3803" s="2" t="s">
        <v>36</v>
      </c>
      <c r="G3803" s="2" t="s">
        <v>7844</v>
      </c>
      <c r="I3803" s="2">
        <v>799</v>
      </c>
      <c r="J3803" s="2" t="s">
        <v>55</v>
      </c>
      <c r="K3803" s="2" t="s">
        <v>45</v>
      </c>
      <c r="L3803" s="2">
        <v>4.3</v>
      </c>
      <c r="M3803" s="2">
        <v>542</v>
      </c>
      <c r="P3803" t="str">
        <f t="shared" si="239"/>
        <v>60%</v>
      </c>
      <c r="Q3803" s="12">
        <f t="shared" si="236"/>
        <v>0.6</v>
      </c>
      <c r="R3803" s="9">
        <f t="shared" si="237"/>
        <v>319.60000000000002</v>
      </c>
      <c r="S3803" s="9">
        <f>IF(R3803="",AVERAGEIF(Table1[Category],Table1[[#This Row],[Category]],Table2[orignal data]),Table2[[#This Row],[orignal data]])</f>
        <v>319.60000000000002</v>
      </c>
      <c r="T3803" t="str">
        <f t="shared" si="238"/>
        <v>UNIQUE</v>
      </c>
      <c r="U3803" t="str">
        <f>IF(ISBLANK(Table1[[#This Row],[SizeOption]]),"NOT AVAILABLE",Table1[[#This Row],[SizeOption]])</f>
        <v>XS, S, M, L, XL</v>
      </c>
      <c r="Y3803" t="str">
        <f>IF(Table2[[#This Row],[Column1]]&gt;50%,"HIGH DISCOUNT","LOW DISCOUNT")</f>
        <v>HIGH DISCOUNT</v>
      </c>
    </row>
    <row r="3804" spans="1:25" x14ac:dyDescent="0.25">
      <c r="A3804" s="1" t="s">
        <v>7845</v>
      </c>
      <c r="B3804" s="1">
        <v>9211679</v>
      </c>
      <c r="C3804" s="1" t="s">
        <v>64</v>
      </c>
      <c r="D3804" s="1" t="s">
        <v>15</v>
      </c>
      <c r="E3804" s="1" t="s">
        <v>16</v>
      </c>
      <c r="F3804" s="1" t="s">
        <v>17</v>
      </c>
      <c r="G3804" s="1" t="s">
        <v>7846</v>
      </c>
      <c r="H3804">
        <v>979</v>
      </c>
      <c r="I3804" s="1">
        <v>2799</v>
      </c>
      <c r="J3804" s="1" t="s">
        <v>150</v>
      </c>
      <c r="K3804" s="1" t="s">
        <v>20</v>
      </c>
      <c r="L3804" s="1">
        <v>3.7</v>
      </c>
      <c r="M3804" s="1">
        <v>541</v>
      </c>
      <c r="P3804" t="str">
        <f t="shared" si="239"/>
        <v>65%</v>
      </c>
      <c r="Q3804" s="12">
        <f t="shared" si="236"/>
        <v>0.65</v>
      </c>
      <c r="R3804" s="9">
        <f t="shared" si="237"/>
        <v>979.64999999999986</v>
      </c>
      <c r="S3804" s="9">
        <f>IF(R3804="",AVERAGEIF(Table1[Category],Table1[[#This Row],[Category]],Table2[orignal data]),Table2[[#This Row],[orignal data]])</f>
        <v>979.64999999999986</v>
      </c>
      <c r="T3804" t="str">
        <f t="shared" si="238"/>
        <v>UNIQUE</v>
      </c>
      <c r="U3804" t="str">
        <f>IF(ISBLANK(Table1[[#This Row],[SizeOption]]),"NOT AVAILABLE",Table1[[#This Row],[SizeOption]])</f>
        <v>28, 30, 32, 34, 36</v>
      </c>
      <c r="Y3804" t="str">
        <f>IF(Table2[[#This Row],[Column1]]&gt;50%,"HIGH DISCOUNT","LOW DISCOUNT")</f>
        <v>HIGH DISCOUNT</v>
      </c>
    </row>
    <row r="3805" spans="1:25" x14ac:dyDescent="0.25">
      <c r="A3805" s="2" t="s">
        <v>7847</v>
      </c>
      <c r="B3805" s="2">
        <v>11638838</v>
      </c>
      <c r="C3805" s="2" t="s">
        <v>349</v>
      </c>
      <c r="D3805" s="2" t="s">
        <v>197</v>
      </c>
      <c r="E3805" s="2" t="s">
        <v>296</v>
      </c>
      <c r="F3805" s="2" t="s">
        <v>17</v>
      </c>
      <c r="G3805" s="2" t="s">
        <v>7848</v>
      </c>
      <c r="I3805" s="2">
        <v>698</v>
      </c>
      <c r="J3805" s="2"/>
      <c r="K3805" s="2" t="s">
        <v>352</v>
      </c>
      <c r="L3805" s="2">
        <v>4.5999999999999996</v>
      </c>
      <c r="M3805" s="2">
        <v>541</v>
      </c>
      <c r="P3805" t="str">
        <f t="shared" si="239"/>
        <v/>
      </c>
      <c r="Q3805" s="12" t="str">
        <f t="shared" si="236"/>
        <v/>
      </c>
      <c r="R3805" s="9" t="str">
        <f t="shared" si="237"/>
        <v/>
      </c>
      <c r="S3805" s="9">
        <f>IF(R3805="",AVERAGEIF(Table1[Category],Table1[[#This Row],[Category]],Table2[orignal data]),Table2[[#This Row],[orignal data]])</f>
        <v>552.70900000000006</v>
      </c>
      <c r="T3805" t="str">
        <f t="shared" si="238"/>
        <v>UNIQUE</v>
      </c>
      <c r="U3805" t="str">
        <f>IF(ISBLANK(Table1[[#This Row],[SizeOption]]),"NOT AVAILABLE",Table1[[#This Row],[SizeOption]])</f>
        <v>S, M, L</v>
      </c>
      <c r="Y3805" t="str">
        <f>IF(Table2[[#This Row],[Column1]]&gt;50%,"HIGH DISCOUNT","LOW DISCOUNT")</f>
        <v>HIGH DISCOUNT</v>
      </c>
    </row>
    <row r="3806" spans="1:25" x14ac:dyDescent="0.25">
      <c r="A3806" s="1" t="s">
        <v>7849</v>
      </c>
      <c r="B3806" s="1">
        <v>10906450</v>
      </c>
      <c r="C3806" s="1" t="s">
        <v>349</v>
      </c>
      <c r="D3806" s="1" t="s">
        <v>197</v>
      </c>
      <c r="E3806" s="1" t="s">
        <v>296</v>
      </c>
      <c r="F3806" s="1" t="s">
        <v>17</v>
      </c>
      <c r="G3806" s="1" t="s">
        <v>7850</v>
      </c>
      <c r="I3806" s="1">
        <v>349</v>
      </c>
      <c r="J3806" s="1"/>
      <c r="K3806" s="1" t="s">
        <v>352</v>
      </c>
      <c r="L3806" s="1">
        <v>4.5999999999999996</v>
      </c>
      <c r="M3806" s="1">
        <v>541</v>
      </c>
      <c r="P3806" t="str">
        <f t="shared" si="239"/>
        <v/>
      </c>
      <c r="Q3806" s="12" t="str">
        <f t="shared" si="236"/>
        <v/>
      </c>
      <c r="R3806" s="9" t="str">
        <f t="shared" si="237"/>
        <v/>
      </c>
      <c r="S3806" s="9">
        <f>IF(R3806="",AVERAGEIF(Table1[Category],Table1[[#This Row],[Category]],Table2[orignal data]),Table2[[#This Row],[orignal data]])</f>
        <v>552.70900000000006</v>
      </c>
      <c r="T3806" t="str">
        <f t="shared" si="238"/>
        <v>UNIQUE</v>
      </c>
      <c r="U3806" t="str">
        <f>IF(ISBLANK(Table1[[#This Row],[SizeOption]]),"NOT AVAILABLE",Table1[[#This Row],[SizeOption]])</f>
        <v>S, M, L</v>
      </c>
      <c r="Y3806" t="str">
        <f>IF(Table2[[#This Row],[Column1]]&gt;50%,"HIGH DISCOUNT","LOW DISCOUNT")</f>
        <v>HIGH DISCOUNT</v>
      </c>
    </row>
    <row r="3807" spans="1:25" x14ac:dyDescent="0.25">
      <c r="A3807" s="2" t="s">
        <v>7851</v>
      </c>
      <c r="B3807" s="2">
        <v>11999460</v>
      </c>
      <c r="C3807" s="2" t="s">
        <v>67</v>
      </c>
      <c r="D3807" s="2" t="s">
        <v>68</v>
      </c>
      <c r="E3807" s="2" t="s">
        <v>42</v>
      </c>
      <c r="F3807" s="2" t="s">
        <v>17</v>
      </c>
      <c r="G3807" s="2" t="s">
        <v>7852</v>
      </c>
      <c r="H3807">
        <v>279</v>
      </c>
      <c r="I3807" s="2">
        <v>699</v>
      </c>
      <c r="J3807" s="2" t="s">
        <v>55</v>
      </c>
      <c r="K3807" s="2" t="s">
        <v>39</v>
      </c>
      <c r="L3807" s="2">
        <v>4.2</v>
      </c>
      <c r="M3807" s="2">
        <v>541</v>
      </c>
      <c r="P3807" t="str">
        <f t="shared" si="239"/>
        <v>60%</v>
      </c>
      <c r="Q3807" s="12">
        <f t="shared" si="236"/>
        <v>0.6</v>
      </c>
      <c r="R3807" s="9">
        <f t="shared" si="237"/>
        <v>279.60000000000002</v>
      </c>
      <c r="S3807" s="9">
        <f>IF(R3807="",AVERAGEIF(Table1[Category],Table1[[#This Row],[Category]],Table2[orignal data]),Table2[[#This Row],[orignal data]])</f>
        <v>279.60000000000002</v>
      </c>
      <c r="T3807" t="str">
        <f t="shared" si="238"/>
        <v>UNIQUE</v>
      </c>
      <c r="U3807" t="str">
        <f>IF(ISBLANK(Table1[[#This Row],[SizeOption]]),"NOT AVAILABLE",Table1[[#This Row],[SizeOption]])</f>
        <v>S, M, L, XL, XXL</v>
      </c>
      <c r="Y3807" t="str">
        <f>IF(Table2[[#This Row],[Column1]]&gt;50%,"HIGH DISCOUNT","LOW DISCOUNT")</f>
        <v>HIGH DISCOUNT</v>
      </c>
    </row>
    <row r="3808" spans="1:25" x14ac:dyDescent="0.25">
      <c r="A3808" s="1" t="s">
        <v>7853</v>
      </c>
      <c r="B3808" s="1">
        <v>10683656</v>
      </c>
      <c r="C3808" s="1" t="s">
        <v>604</v>
      </c>
      <c r="D3808" s="1" t="s">
        <v>28</v>
      </c>
      <c r="E3808" s="1" t="s">
        <v>29</v>
      </c>
      <c r="F3808" s="1" t="s">
        <v>17</v>
      </c>
      <c r="G3808" s="1" t="s">
        <v>7854</v>
      </c>
      <c r="H3808">
        <v>545</v>
      </c>
      <c r="I3808" s="1">
        <v>1299</v>
      </c>
      <c r="J3808" s="1" t="s">
        <v>60</v>
      </c>
      <c r="K3808" s="1" t="s">
        <v>607</v>
      </c>
      <c r="L3808" s="1">
        <v>3.9</v>
      </c>
      <c r="M3808" s="1">
        <v>541</v>
      </c>
      <c r="P3808" t="str">
        <f t="shared" si="239"/>
        <v>58%</v>
      </c>
      <c r="Q3808" s="12">
        <f t="shared" si="236"/>
        <v>0.57999999999999996</v>
      </c>
      <c r="R3808" s="9">
        <f t="shared" si="237"/>
        <v>545.58000000000004</v>
      </c>
      <c r="S3808" s="9">
        <f>IF(R3808="",AVERAGEIF(Table1[Category],Table1[[#This Row],[Category]],Table2[orignal data]),Table2[[#This Row],[orignal data]])</f>
        <v>545.58000000000004</v>
      </c>
      <c r="T3808" t="str">
        <f t="shared" si="238"/>
        <v>UNIQUE</v>
      </c>
      <c r="U3808" t="str">
        <f>IF(ISBLANK(Table1[[#This Row],[SizeOption]]),"NOT AVAILABLE",Table1[[#This Row],[SizeOption]])</f>
        <v>36, 38, 40, 42, 44</v>
      </c>
      <c r="Y3808" t="str">
        <f>IF(Table2[[#This Row],[Column1]]&gt;50%,"HIGH DISCOUNT","LOW DISCOUNT")</f>
        <v>HIGH DISCOUNT</v>
      </c>
    </row>
    <row r="3809" spans="1:25" x14ac:dyDescent="0.25">
      <c r="A3809" s="2" t="s">
        <v>7855</v>
      </c>
      <c r="B3809" s="2">
        <v>11896098</v>
      </c>
      <c r="C3809" s="2" t="s">
        <v>14</v>
      </c>
      <c r="D3809" s="2" t="s">
        <v>28</v>
      </c>
      <c r="E3809" s="2" t="s">
        <v>29</v>
      </c>
      <c r="F3809" s="2" t="s">
        <v>17</v>
      </c>
      <c r="G3809" s="2" t="s">
        <v>7856</v>
      </c>
      <c r="H3809">
        <v>749</v>
      </c>
      <c r="I3809" s="2">
        <v>1499</v>
      </c>
      <c r="J3809" s="2" t="s">
        <v>84</v>
      </c>
      <c r="K3809" s="2" t="s">
        <v>253</v>
      </c>
      <c r="L3809" s="2">
        <v>4.4000000000000004</v>
      </c>
      <c r="M3809" s="2">
        <v>541</v>
      </c>
      <c r="P3809" t="str">
        <f t="shared" si="239"/>
        <v>50%</v>
      </c>
      <c r="Q3809" s="12">
        <f t="shared" si="236"/>
        <v>0.5</v>
      </c>
      <c r="R3809" s="9">
        <f t="shared" si="237"/>
        <v>749.5</v>
      </c>
      <c r="S3809" s="9">
        <f>IF(R3809="",AVERAGEIF(Table1[Category],Table1[[#This Row],[Category]],Table2[orignal data]),Table2[[#This Row],[orignal data]])</f>
        <v>749.5</v>
      </c>
      <c r="T3809" t="str">
        <f t="shared" si="238"/>
        <v>UNIQUE</v>
      </c>
      <c r="U3809" t="str">
        <f>IF(ISBLANK(Table1[[#This Row],[SizeOption]]),"NOT AVAILABLE",Table1[[#This Row],[SizeOption]])</f>
        <v>38, 40, 42, 44</v>
      </c>
      <c r="Y3809" t="str">
        <f>IF(Table2[[#This Row],[Column1]]&gt;50%,"HIGH DISCOUNT","LOW DISCOUNT")</f>
        <v>LOW DISCOUNT</v>
      </c>
    </row>
    <row r="3810" spans="1:25" x14ac:dyDescent="0.25">
      <c r="A3810" s="1" t="s">
        <v>7857</v>
      </c>
      <c r="B3810" s="1">
        <v>10938504</v>
      </c>
      <c r="C3810" s="1" t="s">
        <v>14</v>
      </c>
      <c r="D3810" s="1" t="s">
        <v>28</v>
      </c>
      <c r="E3810" s="1" t="s">
        <v>42</v>
      </c>
      <c r="F3810" s="1" t="s">
        <v>17</v>
      </c>
      <c r="G3810" s="1" t="s">
        <v>7858</v>
      </c>
      <c r="H3810">
        <v>549</v>
      </c>
      <c r="I3810" s="1">
        <v>999</v>
      </c>
      <c r="J3810" s="1" t="s">
        <v>19</v>
      </c>
      <c r="K3810" s="1" t="s">
        <v>45</v>
      </c>
      <c r="L3810" s="1">
        <v>4</v>
      </c>
      <c r="M3810" s="1">
        <v>541</v>
      </c>
      <c r="P3810" t="str">
        <f t="shared" si="239"/>
        <v>45%</v>
      </c>
      <c r="Q3810" s="12">
        <f t="shared" si="236"/>
        <v>0.45</v>
      </c>
      <c r="R3810" s="9">
        <f t="shared" si="237"/>
        <v>549.45000000000005</v>
      </c>
      <c r="S3810" s="9">
        <f>IF(R3810="",AVERAGEIF(Table1[Category],Table1[[#This Row],[Category]],Table2[orignal data]),Table2[[#This Row],[orignal data]])</f>
        <v>549.45000000000005</v>
      </c>
      <c r="T3810" t="str">
        <f t="shared" si="238"/>
        <v>UNIQUE</v>
      </c>
      <c r="U3810" t="str">
        <f>IF(ISBLANK(Table1[[#This Row],[SizeOption]]),"NOT AVAILABLE",Table1[[#This Row],[SizeOption]])</f>
        <v>XS, S, M, L, XL</v>
      </c>
      <c r="Y3810" t="str">
        <f>IF(Table2[[#This Row],[Column1]]&gt;50%,"HIGH DISCOUNT","LOW DISCOUNT")</f>
        <v>LOW DISCOUNT</v>
      </c>
    </row>
    <row r="3811" spans="1:25" x14ac:dyDescent="0.25">
      <c r="A3811" s="2" t="s">
        <v>7859</v>
      </c>
      <c r="B3811" s="2">
        <v>13995712</v>
      </c>
      <c r="C3811" s="2" t="s">
        <v>113</v>
      </c>
      <c r="D3811" s="2" t="s">
        <v>76</v>
      </c>
      <c r="E3811" s="2" t="s">
        <v>77</v>
      </c>
      <c r="F3811" s="2" t="s">
        <v>36</v>
      </c>
      <c r="G3811" s="2" t="s">
        <v>7860</v>
      </c>
      <c r="H3811">
        <v>629</v>
      </c>
      <c r="I3811" s="2">
        <v>1799</v>
      </c>
      <c r="J3811" s="2" t="s">
        <v>150</v>
      </c>
      <c r="K3811" s="2" t="s">
        <v>115</v>
      </c>
      <c r="L3811" s="2">
        <v>3.5</v>
      </c>
      <c r="M3811" s="2">
        <v>541</v>
      </c>
      <c r="P3811" t="str">
        <f t="shared" si="239"/>
        <v>65%</v>
      </c>
      <c r="Q3811" s="12">
        <f t="shared" si="236"/>
        <v>0.65</v>
      </c>
      <c r="R3811" s="9">
        <f t="shared" si="237"/>
        <v>629.64999999999986</v>
      </c>
      <c r="S3811" s="9">
        <f>IF(R3811="",AVERAGEIF(Table1[Category],Table1[[#This Row],[Category]],Table2[orignal data]),Table2[[#This Row],[orignal data]])</f>
        <v>629.64999999999986</v>
      </c>
      <c r="T3811" t="str">
        <f t="shared" si="238"/>
        <v>UNIQUE</v>
      </c>
      <c r="U3811" t="str">
        <f>IF(ISBLANK(Table1[[#This Row],[SizeOption]]),"NOT AVAILABLE",Table1[[#This Row],[SizeOption]])</f>
        <v>XS, S, M, L, XL, XXL</v>
      </c>
      <c r="Y3811" t="str">
        <f>IF(Table2[[#This Row],[Column1]]&gt;50%,"HIGH DISCOUNT","LOW DISCOUNT")</f>
        <v>HIGH DISCOUNT</v>
      </c>
    </row>
    <row r="3812" spans="1:25" x14ac:dyDescent="0.25">
      <c r="A3812" s="1" t="s">
        <v>7861</v>
      </c>
      <c r="B3812" s="1">
        <v>10776004</v>
      </c>
      <c r="C3812" s="1" t="s">
        <v>113</v>
      </c>
      <c r="D3812" s="1" t="s">
        <v>76</v>
      </c>
      <c r="E3812" s="1" t="s">
        <v>148</v>
      </c>
      <c r="F3812" s="1" t="s">
        <v>36</v>
      </c>
      <c r="G3812" s="1" t="s">
        <v>7862</v>
      </c>
      <c r="H3812">
        <v>809</v>
      </c>
      <c r="I3812" s="1">
        <v>1799</v>
      </c>
      <c r="J3812" s="1" t="s">
        <v>25</v>
      </c>
      <c r="K3812" s="1" t="s">
        <v>39</v>
      </c>
      <c r="L3812" s="1">
        <v>3.6</v>
      </c>
      <c r="M3812" s="1">
        <v>541</v>
      </c>
      <c r="P3812" t="str">
        <f t="shared" si="239"/>
        <v>55%</v>
      </c>
      <c r="Q3812" s="12">
        <f t="shared" si="236"/>
        <v>0.55000000000000004</v>
      </c>
      <c r="R3812" s="9">
        <f t="shared" si="237"/>
        <v>809.55</v>
      </c>
      <c r="S3812" s="9">
        <f>IF(R3812="",AVERAGEIF(Table1[Category],Table1[[#This Row],[Category]],Table2[orignal data]),Table2[[#This Row],[orignal data]])</f>
        <v>809.55</v>
      </c>
      <c r="T3812" t="str">
        <f t="shared" si="238"/>
        <v>UNIQUE</v>
      </c>
      <c r="U3812" t="str">
        <f>IF(ISBLANK(Table1[[#This Row],[SizeOption]]),"NOT AVAILABLE",Table1[[#This Row],[SizeOption]])</f>
        <v>S, M, L, XL, XXL</v>
      </c>
      <c r="Y3812" t="str">
        <f>IF(Table2[[#This Row],[Column1]]&gt;50%,"HIGH DISCOUNT","LOW DISCOUNT")</f>
        <v>HIGH DISCOUNT</v>
      </c>
    </row>
    <row r="3813" spans="1:25" x14ac:dyDescent="0.25">
      <c r="A3813" s="2" t="s">
        <v>7863</v>
      </c>
      <c r="B3813" s="2">
        <v>13446204</v>
      </c>
      <c r="C3813" s="2" t="s">
        <v>7864</v>
      </c>
      <c r="D3813" s="2" t="s">
        <v>76</v>
      </c>
      <c r="E3813" s="2" t="s">
        <v>77</v>
      </c>
      <c r="F3813" s="2" t="s">
        <v>36</v>
      </c>
      <c r="G3813" s="2" t="s">
        <v>7865</v>
      </c>
      <c r="H3813">
        <v>2299</v>
      </c>
      <c r="I3813" s="2">
        <v>4599</v>
      </c>
      <c r="J3813" s="2" t="s">
        <v>84</v>
      </c>
      <c r="K3813" s="2" t="s">
        <v>39</v>
      </c>
      <c r="L3813" s="2">
        <v>4.3</v>
      </c>
      <c r="M3813" s="2">
        <v>541</v>
      </c>
      <c r="P3813" t="str">
        <f t="shared" si="239"/>
        <v>50%</v>
      </c>
      <c r="Q3813" s="12">
        <f t="shared" si="236"/>
        <v>0.5</v>
      </c>
      <c r="R3813" s="9">
        <f t="shared" si="237"/>
        <v>2299.5</v>
      </c>
      <c r="S3813" s="9">
        <f>IF(R3813="",AVERAGEIF(Table1[Category],Table1[[#This Row],[Category]],Table2[orignal data]),Table2[[#This Row],[orignal data]])</f>
        <v>2299.5</v>
      </c>
      <c r="T3813" t="str">
        <f t="shared" si="238"/>
        <v>UNIQUE</v>
      </c>
      <c r="U3813" t="str">
        <f>IF(ISBLANK(Table1[[#This Row],[SizeOption]]),"NOT AVAILABLE",Table1[[#This Row],[SizeOption]])</f>
        <v>S, M, L, XL, XXL</v>
      </c>
      <c r="Y3813" t="str">
        <f>IF(Table2[[#This Row],[Column1]]&gt;50%,"HIGH DISCOUNT","LOW DISCOUNT")</f>
        <v>LOW DISCOUNT</v>
      </c>
    </row>
    <row r="3814" spans="1:25" x14ac:dyDescent="0.25">
      <c r="A3814" s="1" t="s">
        <v>7866</v>
      </c>
      <c r="B3814" s="1">
        <v>13007404</v>
      </c>
      <c r="C3814" s="1" t="s">
        <v>64</v>
      </c>
      <c r="D3814" s="1" t="s">
        <v>98</v>
      </c>
      <c r="E3814" s="1" t="s">
        <v>93</v>
      </c>
      <c r="F3814" s="1" t="s">
        <v>36</v>
      </c>
      <c r="G3814" s="1" t="s">
        <v>7867</v>
      </c>
      <c r="H3814">
        <v>559</v>
      </c>
      <c r="I3814" s="1">
        <v>1399</v>
      </c>
      <c r="J3814" s="1" t="s">
        <v>141</v>
      </c>
      <c r="K3814" s="1" t="s">
        <v>234</v>
      </c>
      <c r="L3814" s="1">
        <v>4.0999999999999996</v>
      </c>
      <c r="M3814" s="1">
        <v>541</v>
      </c>
      <c r="P3814" t="str">
        <f t="shared" si="239"/>
        <v>60%</v>
      </c>
      <c r="Q3814" s="12">
        <f t="shared" si="236"/>
        <v>0.6</v>
      </c>
      <c r="R3814" s="9">
        <f t="shared" si="237"/>
        <v>559.6</v>
      </c>
      <c r="S3814" s="9">
        <f>IF(R3814="",AVERAGEIF(Table1[Category],Table1[[#This Row],[Category]],Table2[orignal data]),Table2[[#This Row],[orignal data]])</f>
        <v>559.6</v>
      </c>
      <c r="T3814" t="str">
        <f t="shared" si="238"/>
        <v>UNIQUE</v>
      </c>
      <c r="U3814" t="str">
        <f>IF(ISBLANK(Table1[[#This Row],[SizeOption]]),"NOT AVAILABLE",Table1[[#This Row],[SizeOption]])</f>
        <v>S, M, L, XL, XXL, 3XL</v>
      </c>
      <c r="Y3814" t="str">
        <f>IF(Table2[[#This Row],[Column1]]&gt;50%,"HIGH DISCOUNT","LOW DISCOUNT")</f>
        <v>HIGH DISCOUNT</v>
      </c>
    </row>
    <row r="3815" spans="1:25" x14ac:dyDescent="0.25">
      <c r="A3815" s="2" t="s">
        <v>7868</v>
      </c>
      <c r="B3815" s="2">
        <v>10616534</v>
      </c>
      <c r="C3815" s="2" t="s">
        <v>64</v>
      </c>
      <c r="D3815" s="2" t="s">
        <v>98</v>
      </c>
      <c r="E3815" s="2" t="s">
        <v>189</v>
      </c>
      <c r="F3815" s="2" t="s">
        <v>36</v>
      </c>
      <c r="G3815" s="2" t="s">
        <v>7869</v>
      </c>
      <c r="H3815">
        <v>1079</v>
      </c>
      <c r="I3815" s="2">
        <v>3599</v>
      </c>
      <c r="J3815" s="2" t="s">
        <v>79</v>
      </c>
      <c r="K3815" s="2" t="s">
        <v>115</v>
      </c>
      <c r="L3815" s="2">
        <v>4.3</v>
      </c>
      <c r="M3815" s="2">
        <v>541</v>
      </c>
      <c r="P3815" t="str">
        <f t="shared" si="239"/>
        <v>70%</v>
      </c>
      <c r="Q3815" s="12">
        <f t="shared" si="236"/>
        <v>0.7</v>
      </c>
      <c r="R3815" s="9">
        <f t="shared" si="237"/>
        <v>1079.7000000000003</v>
      </c>
      <c r="S3815" s="9">
        <f>IF(R3815="",AVERAGEIF(Table1[Category],Table1[[#This Row],[Category]],Table2[orignal data]),Table2[[#This Row],[orignal data]])</f>
        <v>1079.7000000000003</v>
      </c>
      <c r="T3815" t="str">
        <f t="shared" si="238"/>
        <v>UNIQUE</v>
      </c>
      <c r="U3815" t="str">
        <f>IF(ISBLANK(Table1[[#This Row],[SizeOption]]),"NOT AVAILABLE",Table1[[#This Row],[SizeOption]])</f>
        <v>XS, S, M, L, XL, XXL</v>
      </c>
      <c r="Y3815" t="str">
        <f>IF(Table2[[#This Row],[Column1]]&gt;50%,"HIGH DISCOUNT","LOW DISCOUNT")</f>
        <v>HIGH DISCOUNT</v>
      </c>
    </row>
    <row r="3816" spans="1:25" x14ac:dyDescent="0.25">
      <c r="A3816" s="1" t="s">
        <v>7870</v>
      </c>
      <c r="B3816" s="1">
        <v>12278640</v>
      </c>
      <c r="C3816" s="1" t="s">
        <v>14</v>
      </c>
      <c r="D3816" s="1" t="s">
        <v>41</v>
      </c>
      <c r="E3816" s="1" t="s">
        <v>16</v>
      </c>
      <c r="F3816" s="1" t="s">
        <v>36</v>
      </c>
      <c r="G3816" s="1" t="s">
        <v>7871</v>
      </c>
      <c r="I3816" s="1">
        <v>2499</v>
      </c>
      <c r="J3816" s="1" t="s">
        <v>150</v>
      </c>
      <c r="K3816" s="1" t="s">
        <v>134</v>
      </c>
      <c r="L3816" s="1">
        <v>4.3</v>
      </c>
      <c r="M3816" s="1">
        <v>541</v>
      </c>
      <c r="P3816" t="str">
        <f t="shared" si="239"/>
        <v>65%</v>
      </c>
      <c r="Q3816" s="12">
        <f t="shared" si="236"/>
        <v>0.65</v>
      </c>
      <c r="R3816" s="9">
        <f t="shared" si="237"/>
        <v>874.64999999999986</v>
      </c>
      <c r="S3816" s="9">
        <f>IF(R3816="",AVERAGEIF(Table1[Category],Table1[[#This Row],[Category]],Table2[orignal data]),Table2[[#This Row],[orignal data]])</f>
        <v>874.64999999999986</v>
      </c>
      <c r="T3816" t="str">
        <f t="shared" si="238"/>
        <v>UNIQUE</v>
      </c>
      <c r="U3816" t="str">
        <f>IF(ISBLANK(Table1[[#This Row],[SizeOption]]),"NOT AVAILABLE",Table1[[#This Row],[SizeOption]])</f>
        <v>26, 28, 30, 32, 34, 36</v>
      </c>
      <c r="Y3816" t="str">
        <f>IF(Table2[[#This Row],[Column1]]&gt;50%,"HIGH DISCOUNT","LOW DISCOUNT")</f>
        <v>HIGH DISCOUNT</v>
      </c>
    </row>
    <row r="3817" spans="1:25" x14ac:dyDescent="0.25">
      <c r="A3817" s="2" t="s">
        <v>7872</v>
      </c>
      <c r="B3817" s="2">
        <v>9435433</v>
      </c>
      <c r="C3817" s="2" t="s">
        <v>221</v>
      </c>
      <c r="D3817" s="2" t="s">
        <v>41</v>
      </c>
      <c r="E3817" s="2" t="s">
        <v>148</v>
      </c>
      <c r="F3817" s="2" t="s">
        <v>36</v>
      </c>
      <c r="G3817" s="2" t="s">
        <v>7873</v>
      </c>
      <c r="I3817" s="2">
        <v>2499</v>
      </c>
      <c r="J3817" s="2" t="s">
        <v>79</v>
      </c>
      <c r="K3817" s="2" t="s">
        <v>223</v>
      </c>
      <c r="L3817" s="2">
        <v>4.5999999999999996</v>
      </c>
      <c r="M3817" s="2">
        <v>541</v>
      </c>
      <c r="P3817" t="str">
        <f t="shared" si="239"/>
        <v>70%</v>
      </c>
      <c r="Q3817" s="12">
        <f t="shared" si="236"/>
        <v>0.7</v>
      </c>
      <c r="R3817" s="9">
        <f t="shared" si="237"/>
        <v>749.7</v>
      </c>
      <c r="S3817" s="9">
        <f>IF(R3817="",AVERAGEIF(Table1[Category],Table1[[#This Row],[Category]],Table2[orignal data]),Table2[[#This Row],[orignal data]])</f>
        <v>749.7</v>
      </c>
      <c r="T3817" t="str">
        <f t="shared" si="238"/>
        <v>UNIQUE</v>
      </c>
      <c r="U3817" t="str">
        <f>IF(ISBLANK(Table1[[#This Row],[SizeOption]]),"NOT AVAILABLE",Table1[[#This Row],[SizeOption]])</f>
        <v>S, M, L, XL, XXL, 3XL, 4XL</v>
      </c>
      <c r="Y3817" t="str">
        <f>IF(Table2[[#This Row],[Column1]]&gt;50%,"HIGH DISCOUNT","LOW DISCOUNT")</f>
        <v>HIGH DISCOUNT</v>
      </c>
    </row>
    <row r="3818" spans="1:25" x14ac:dyDescent="0.25">
      <c r="A3818" s="1" t="s">
        <v>7874</v>
      </c>
      <c r="B3818" s="1">
        <v>10064569</v>
      </c>
      <c r="C3818" s="1" t="s">
        <v>14</v>
      </c>
      <c r="D3818" s="1" t="s">
        <v>15</v>
      </c>
      <c r="E3818" s="1" t="s">
        <v>16</v>
      </c>
      <c r="F3818" s="1" t="s">
        <v>17</v>
      </c>
      <c r="G3818" s="1" t="s">
        <v>4074</v>
      </c>
      <c r="H3818">
        <v>899</v>
      </c>
      <c r="I3818" s="1">
        <v>1999</v>
      </c>
      <c r="J3818" s="1" t="s">
        <v>25</v>
      </c>
      <c r="K3818" s="1" t="s">
        <v>20</v>
      </c>
      <c r="L3818" s="1">
        <v>3.8</v>
      </c>
      <c r="M3818" s="1">
        <v>540</v>
      </c>
      <c r="P3818" t="str">
        <f t="shared" si="239"/>
        <v>55%</v>
      </c>
      <c r="Q3818" s="12">
        <f t="shared" si="236"/>
        <v>0.55000000000000004</v>
      </c>
      <c r="R3818" s="9">
        <f t="shared" si="237"/>
        <v>899.55</v>
      </c>
      <c r="S3818" s="9">
        <f>IF(R3818="",AVERAGEIF(Table1[Category],Table1[[#This Row],[Category]],Table2[orignal data]),Table2[[#This Row],[orignal data]])</f>
        <v>899.55</v>
      </c>
      <c r="T3818" t="str">
        <f t="shared" si="238"/>
        <v>UNIQUE</v>
      </c>
      <c r="U3818" t="str">
        <f>IF(ISBLANK(Table1[[#This Row],[SizeOption]]),"NOT AVAILABLE",Table1[[#This Row],[SizeOption]])</f>
        <v>28, 30, 32, 34, 36</v>
      </c>
      <c r="Y3818" t="str">
        <f>IF(Table2[[#This Row],[Column1]]&gt;50%,"HIGH DISCOUNT","LOW DISCOUNT")</f>
        <v>HIGH DISCOUNT</v>
      </c>
    </row>
    <row r="3819" spans="1:25" x14ac:dyDescent="0.25">
      <c r="A3819" s="2" t="s">
        <v>7875</v>
      </c>
      <c r="B3819" s="2">
        <v>9194177</v>
      </c>
      <c r="C3819" s="2" t="s">
        <v>3911</v>
      </c>
      <c r="D3819" s="2" t="s">
        <v>15</v>
      </c>
      <c r="E3819" s="2" t="s">
        <v>137</v>
      </c>
      <c r="F3819" s="2" t="s">
        <v>17</v>
      </c>
      <c r="G3819" s="2" t="s">
        <v>7876</v>
      </c>
      <c r="H3819">
        <v>629</v>
      </c>
      <c r="I3819" s="2">
        <v>1049</v>
      </c>
      <c r="J3819" s="2" t="s">
        <v>50</v>
      </c>
      <c r="K3819" s="2" t="s">
        <v>816</v>
      </c>
      <c r="L3819" s="2">
        <v>4.0999999999999996</v>
      </c>
      <c r="M3819" s="2">
        <v>540</v>
      </c>
      <c r="P3819" t="str">
        <f t="shared" si="239"/>
        <v>40%</v>
      </c>
      <c r="Q3819" s="12">
        <f t="shared" si="236"/>
        <v>0.4</v>
      </c>
      <c r="R3819" s="9">
        <f t="shared" si="237"/>
        <v>629.4</v>
      </c>
      <c r="S3819" s="9">
        <f>IF(R3819="",AVERAGEIF(Table1[Category],Table1[[#This Row],[Category]],Table2[orignal data]),Table2[[#This Row],[orignal data]])</f>
        <v>629.4</v>
      </c>
      <c r="T3819" t="str">
        <f t="shared" si="238"/>
        <v>UNIQUE</v>
      </c>
      <c r="U3819" t="str">
        <f>IF(ISBLANK(Table1[[#This Row],[SizeOption]]),"NOT AVAILABLE",Table1[[#This Row],[SizeOption]])</f>
        <v>30, 32, 34, 36, 38</v>
      </c>
      <c r="Y3819" t="str">
        <f>IF(Table2[[#This Row],[Column1]]&gt;50%,"HIGH DISCOUNT","LOW DISCOUNT")</f>
        <v>LOW DISCOUNT</v>
      </c>
    </row>
    <row r="3820" spans="1:25" x14ac:dyDescent="0.25">
      <c r="A3820" s="1" t="s">
        <v>7877</v>
      </c>
      <c r="B3820" s="1">
        <v>1616320</v>
      </c>
      <c r="C3820" s="1" t="s">
        <v>47</v>
      </c>
      <c r="D3820" s="1" t="s">
        <v>197</v>
      </c>
      <c r="E3820" s="1" t="s">
        <v>198</v>
      </c>
      <c r="F3820" s="1" t="s">
        <v>17</v>
      </c>
      <c r="G3820" s="1" t="s">
        <v>3849</v>
      </c>
      <c r="H3820">
        <v>319</v>
      </c>
      <c r="I3820" s="1">
        <v>399</v>
      </c>
      <c r="J3820" s="1" t="s">
        <v>412</v>
      </c>
      <c r="K3820" s="1" t="s">
        <v>164</v>
      </c>
      <c r="L3820" s="1">
        <v>4.2</v>
      </c>
      <c r="M3820" s="1">
        <v>540</v>
      </c>
      <c r="P3820" t="str">
        <f t="shared" si="239"/>
        <v>20%</v>
      </c>
      <c r="Q3820" s="12">
        <f t="shared" si="236"/>
        <v>0.2</v>
      </c>
      <c r="R3820" s="9">
        <f t="shared" si="237"/>
        <v>319.2</v>
      </c>
      <c r="S3820" s="9">
        <f>IF(R3820="",AVERAGEIF(Table1[Category],Table1[[#This Row],[Category]],Table2[orignal data]),Table2[[#This Row],[orignal data]])</f>
        <v>319.2</v>
      </c>
      <c r="T3820" t="str">
        <f t="shared" si="238"/>
        <v>UNIQUE</v>
      </c>
      <c r="U3820" t="str">
        <f>IF(ISBLANK(Table1[[#This Row],[SizeOption]]),"NOT AVAILABLE",Table1[[#This Row],[SizeOption]])</f>
        <v>Onesize</v>
      </c>
      <c r="Y3820" t="str">
        <f>IF(Table2[[#This Row],[Column1]]&gt;50%,"HIGH DISCOUNT","LOW DISCOUNT")</f>
        <v>LOW DISCOUNT</v>
      </c>
    </row>
    <row r="3821" spans="1:25" x14ac:dyDescent="0.25">
      <c r="A3821" s="2" t="s">
        <v>7878</v>
      </c>
      <c r="B3821" s="2">
        <v>12121326</v>
      </c>
      <c r="C3821" s="2" t="s">
        <v>14</v>
      </c>
      <c r="D3821" s="2" t="s">
        <v>28</v>
      </c>
      <c r="E3821" s="2" t="s">
        <v>42</v>
      </c>
      <c r="F3821" s="2" t="s">
        <v>17</v>
      </c>
      <c r="G3821" s="2" t="s">
        <v>7879</v>
      </c>
      <c r="H3821">
        <v>584</v>
      </c>
      <c r="I3821" s="2">
        <v>1299</v>
      </c>
      <c r="J3821" s="2" t="s">
        <v>25</v>
      </c>
      <c r="K3821" s="2" t="s">
        <v>45</v>
      </c>
      <c r="L3821" s="2">
        <v>4.2</v>
      </c>
      <c r="M3821" s="2">
        <v>540</v>
      </c>
      <c r="P3821" t="str">
        <f t="shared" si="239"/>
        <v>55%</v>
      </c>
      <c r="Q3821" s="12">
        <f t="shared" si="236"/>
        <v>0.55000000000000004</v>
      </c>
      <c r="R3821" s="9">
        <f t="shared" si="237"/>
        <v>584.54999999999995</v>
      </c>
      <c r="S3821" s="9">
        <f>IF(R3821="",AVERAGEIF(Table1[Category],Table1[[#This Row],[Category]],Table2[orignal data]),Table2[[#This Row],[orignal data]])</f>
        <v>584.54999999999995</v>
      </c>
      <c r="T3821" t="str">
        <f t="shared" si="238"/>
        <v>UNIQUE</v>
      </c>
      <c r="U3821" t="str">
        <f>IF(ISBLANK(Table1[[#This Row],[SizeOption]]),"NOT AVAILABLE",Table1[[#This Row],[SizeOption]])</f>
        <v>XS, S, M, L, XL</v>
      </c>
      <c r="Y3821" t="str">
        <f>IF(Table2[[#This Row],[Column1]]&gt;50%,"HIGH DISCOUNT","LOW DISCOUNT")</f>
        <v>HIGH DISCOUNT</v>
      </c>
    </row>
    <row r="3822" spans="1:25" x14ac:dyDescent="0.25">
      <c r="A3822" s="1" t="s">
        <v>7880</v>
      </c>
      <c r="B3822" s="1">
        <v>12147860</v>
      </c>
      <c r="C3822" s="1" t="s">
        <v>47</v>
      </c>
      <c r="D3822" s="1" t="s">
        <v>28</v>
      </c>
      <c r="E3822" s="1" t="s">
        <v>306</v>
      </c>
      <c r="F3822" s="1" t="s">
        <v>17</v>
      </c>
      <c r="G3822" s="1" t="s">
        <v>7881</v>
      </c>
      <c r="H3822">
        <v>764</v>
      </c>
      <c r="I3822" s="1">
        <v>1699</v>
      </c>
      <c r="J3822" s="1" t="s">
        <v>25</v>
      </c>
      <c r="K3822" s="1" t="s">
        <v>26</v>
      </c>
      <c r="L3822" s="1">
        <v>4.3</v>
      </c>
      <c r="M3822" s="1">
        <v>540</v>
      </c>
      <c r="P3822" t="str">
        <f t="shared" si="239"/>
        <v>55%</v>
      </c>
      <c r="Q3822" s="12">
        <f t="shared" si="236"/>
        <v>0.55000000000000004</v>
      </c>
      <c r="R3822" s="9">
        <f t="shared" si="237"/>
        <v>764.55</v>
      </c>
      <c r="S3822" s="9">
        <f>IF(R3822="",AVERAGEIF(Table1[Category],Table1[[#This Row],[Category]],Table2[orignal data]),Table2[[#This Row],[orignal data]])</f>
        <v>764.55</v>
      </c>
      <c r="T3822" t="str">
        <f t="shared" si="238"/>
        <v>UNIQUE</v>
      </c>
      <c r="U3822" t="str">
        <f>IF(ISBLANK(Table1[[#This Row],[SizeOption]]),"NOT AVAILABLE",Table1[[#This Row],[SizeOption]])</f>
        <v>S, M, L, XL</v>
      </c>
      <c r="Y3822" t="str">
        <f>IF(Table2[[#This Row],[Column1]]&gt;50%,"HIGH DISCOUNT","LOW DISCOUNT")</f>
        <v>HIGH DISCOUNT</v>
      </c>
    </row>
    <row r="3823" spans="1:25" x14ac:dyDescent="0.25">
      <c r="A3823" s="2" t="s">
        <v>7882</v>
      </c>
      <c r="B3823" s="2">
        <v>6546304</v>
      </c>
      <c r="C3823" s="2" t="s">
        <v>14</v>
      </c>
      <c r="D3823" s="2" t="s">
        <v>28</v>
      </c>
      <c r="E3823" s="2" t="s">
        <v>42</v>
      </c>
      <c r="F3823" s="2" t="s">
        <v>17</v>
      </c>
      <c r="G3823" s="2" t="s">
        <v>7883</v>
      </c>
      <c r="H3823">
        <v>314</v>
      </c>
      <c r="I3823" s="2">
        <v>699</v>
      </c>
      <c r="J3823" s="2" t="s">
        <v>25</v>
      </c>
      <c r="K3823" s="2" t="s">
        <v>73</v>
      </c>
      <c r="L3823" s="2">
        <v>3.9</v>
      </c>
      <c r="M3823" s="2">
        <v>540</v>
      </c>
      <c r="P3823" t="str">
        <f t="shared" si="239"/>
        <v>55%</v>
      </c>
      <c r="Q3823" s="12">
        <f t="shared" si="236"/>
        <v>0.55000000000000004</v>
      </c>
      <c r="R3823" s="9">
        <f t="shared" si="237"/>
        <v>314.54999999999995</v>
      </c>
      <c r="S3823" s="9">
        <f>IF(R3823="",AVERAGEIF(Table1[Category],Table1[[#This Row],[Category]],Table2[orignal data]),Table2[[#This Row],[orignal data]])</f>
        <v>314.54999999999995</v>
      </c>
      <c r="T3823" t="str">
        <f t="shared" si="238"/>
        <v>UNIQUE</v>
      </c>
      <c r="U3823" t="str">
        <f>IF(ISBLANK(Table1[[#This Row],[SizeOption]]),"NOT AVAILABLE",Table1[[#This Row],[SizeOption]])</f>
        <v>XS, S, M, L, XL, XXL, 3XL, 4XL</v>
      </c>
      <c r="Y3823" t="str">
        <f>IF(Table2[[#This Row],[Column1]]&gt;50%,"HIGH DISCOUNT","LOW DISCOUNT")</f>
        <v>HIGH DISCOUNT</v>
      </c>
    </row>
    <row r="3824" spans="1:25" x14ac:dyDescent="0.25">
      <c r="A3824" s="1" t="s">
        <v>7884</v>
      </c>
      <c r="B3824" s="1">
        <v>13918438</v>
      </c>
      <c r="C3824" s="1" t="s">
        <v>75</v>
      </c>
      <c r="D3824" s="1" t="s">
        <v>34</v>
      </c>
      <c r="E3824" s="1" t="s">
        <v>406</v>
      </c>
      <c r="F3824" s="1" t="s">
        <v>36</v>
      </c>
      <c r="G3824" s="1" t="s">
        <v>7885</v>
      </c>
      <c r="H3824">
        <v>961</v>
      </c>
      <c r="I3824" s="1">
        <v>2599</v>
      </c>
      <c r="J3824" s="1" t="s">
        <v>476</v>
      </c>
      <c r="K3824" s="1" t="s">
        <v>39</v>
      </c>
      <c r="L3824" s="1">
        <v>3.8</v>
      </c>
      <c r="M3824" s="1">
        <v>540</v>
      </c>
      <c r="P3824" t="str">
        <f t="shared" si="239"/>
        <v>63%</v>
      </c>
      <c r="Q3824" s="12">
        <f t="shared" si="236"/>
        <v>0.63</v>
      </c>
      <c r="R3824" s="9">
        <f t="shared" si="237"/>
        <v>961.62999999999988</v>
      </c>
      <c r="S3824" s="9">
        <f>IF(R3824="",AVERAGEIF(Table1[Category],Table1[[#This Row],[Category]],Table2[orignal data]),Table2[[#This Row],[orignal data]])</f>
        <v>961.62999999999988</v>
      </c>
      <c r="T3824" t="str">
        <f t="shared" si="238"/>
        <v>UNIQUE</v>
      </c>
      <c r="U3824" t="str">
        <f>IF(ISBLANK(Table1[[#This Row],[SizeOption]]),"NOT AVAILABLE",Table1[[#This Row],[SizeOption]])</f>
        <v>S, M, L, XL, XXL</v>
      </c>
      <c r="Y3824" t="str">
        <f>IF(Table2[[#This Row],[Column1]]&gt;50%,"HIGH DISCOUNT","LOW DISCOUNT")</f>
        <v>HIGH DISCOUNT</v>
      </c>
    </row>
    <row r="3825" spans="1:25" x14ac:dyDescent="0.25">
      <c r="A3825" s="2" t="s">
        <v>7886</v>
      </c>
      <c r="B3825" s="2">
        <v>8935247</v>
      </c>
      <c r="C3825" s="2" t="s">
        <v>5934</v>
      </c>
      <c r="D3825" s="2" t="s">
        <v>98</v>
      </c>
      <c r="E3825" s="2" t="s">
        <v>579</v>
      </c>
      <c r="F3825" s="2" t="s">
        <v>36</v>
      </c>
      <c r="G3825" s="2" t="s">
        <v>7887</v>
      </c>
      <c r="H3825">
        <v>1319</v>
      </c>
      <c r="I3825" s="2">
        <v>2399</v>
      </c>
      <c r="J3825" s="2" t="s">
        <v>19</v>
      </c>
      <c r="K3825" s="2" t="s">
        <v>7888</v>
      </c>
      <c r="L3825" s="2">
        <v>4.3</v>
      </c>
      <c r="M3825" s="2">
        <v>540</v>
      </c>
      <c r="P3825" t="str">
        <f t="shared" si="239"/>
        <v>45%</v>
      </c>
      <c r="Q3825" s="12">
        <f t="shared" si="236"/>
        <v>0.45</v>
      </c>
      <c r="R3825" s="9">
        <f t="shared" si="237"/>
        <v>1319.45</v>
      </c>
      <c r="S3825" s="9">
        <f>IF(R3825="",AVERAGEIF(Table1[Category],Table1[[#This Row],[Category]],Table2[orignal data]),Table2[[#This Row],[orignal data]])</f>
        <v>1319.45</v>
      </c>
      <c r="T3825" t="str">
        <f t="shared" si="238"/>
        <v>UNIQUE</v>
      </c>
      <c r="U3825" t="str">
        <f>IF(ISBLANK(Table1[[#This Row],[SizeOption]]),"NOT AVAILABLE",Table1[[#This Row],[SizeOption]])</f>
        <v>32, 34, 36, 38, 40, 42, 44</v>
      </c>
      <c r="Y3825" t="str">
        <f>IF(Table2[[#This Row],[Column1]]&gt;50%,"HIGH DISCOUNT","LOW DISCOUNT")</f>
        <v>LOW DISCOUNT</v>
      </c>
    </row>
    <row r="3826" spans="1:25" x14ac:dyDescent="0.25">
      <c r="A3826" s="1" t="s">
        <v>7889</v>
      </c>
      <c r="B3826" s="1">
        <v>11938408</v>
      </c>
      <c r="C3826" s="1" t="s">
        <v>7890</v>
      </c>
      <c r="D3826" s="1" t="s">
        <v>68</v>
      </c>
      <c r="E3826" s="1" t="s">
        <v>42</v>
      </c>
      <c r="F3826" s="1" t="s">
        <v>36</v>
      </c>
      <c r="G3826" s="1" t="s">
        <v>7891</v>
      </c>
      <c r="H3826">
        <v>489</v>
      </c>
      <c r="I3826" s="1">
        <v>999</v>
      </c>
      <c r="J3826" s="1" t="s">
        <v>163</v>
      </c>
      <c r="K3826" s="1" t="s">
        <v>39</v>
      </c>
      <c r="L3826" s="1">
        <v>4.4000000000000004</v>
      </c>
      <c r="M3826" s="1">
        <v>540</v>
      </c>
      <c r="P3826" t="str">
        <f t="shared" si="239"/>
        <v>51%</v>
      </c>
      <c r="Q3826" s="12">
        <f t="shared" si="236"/>
        <v>0.51</v>
      </c>
      <c r="R3826" s="9">
        <f t="shared" si="237"/>
        <v>489.51</v>
      </c>
      <c r="S3826" s="9">
        <f>IF(R3826="",AVERAGEIF(Table1[Category],Table1[[#This Row],[Category]],Table2[orignal data]),Table2[[#This Row],[orignal data]])</f>
        <v>489.51</v>
      </c>
      <c r="T3826" t="str">
        <f t="shared" si="238"/>
        <v>UNIQUE</v>
      </c>
      <c r="U3826" t="str">
        <f>IF(ISBLANK(Table1[[#This Row],[SizeOption]]),"NOT AVAILABLE",Table1[[#This Row],[SizeOption]])</f>
        <v>S, M, L, XL, XXL</v>
      </c>
      <c r="Y3826" t="str">
        <f>IF(Table2[[#This Row],[Column1]]&gt;50%,"HIGH DISCOUNT","LOW DISCOUNT")</f>
        <v>HIGH DISCOUNT</v>
      </c>
    </row>
    <row r="3827" spans="1:25" x14ac:dyDescent="0.25">
      <c r="A3827" s="2" t="s">
        <v>7892</v>
      </c>
      <c r="B3827" s="2">
        <v>13481980</v>
      </c>
      <c r="C3827" s="2" t="s">
        <v>92</v>
      </c>
      <c r="D3827" s="2" t="s">
        <v>41</v>
      </c>
      <c r="E3827" s="2" t="s">
        <v>148</v>
      </c>
      <c r="F3827" s="2" t="s">
        <v>36</v>
      </c>
      <c r="G3827" s="2" t="s">
        <v>7802</v>
      </c>
      <c r="I3827" s="2">
        <v>1599</v>
      </c>
      <c r="J3827" s="2" t="s">
        <v>95</v>
      </c>
      <c r="K3827" s="2" t="s">
        <v>39</v>
      </c>
      <c r="L3827" s="2">
        <v>4</v>
      </c>
      <c r="M3827" s="2">
        <v>540</v>
      </c>
      <c r="P3827" t="str">
        <f t="shared" si="239"/>
        <v>59%</v>
      </c>
      <c r="Q3827" s="12">
        <f t="shared" si="236"/>
        <v>0.59</v>
      </c>
      <c r="R3827" s="9">
        <f t="shared" si="237"/>
        <v>655.59</v>
      </c>
      <c r="S3827" s="9">
        <f>IF(R3827="",AVERAGEIF(Table1[Category],Table1[[#This Row],[Category]],Table2[orignal data]),Table2[[#This Row],[orignal data]])</f>
        <v>655.59</v>
      </c>
      <c r="T3827" t="str">
        <f t="shared" si="238"/>
        <v>UNIQUE</v>
      </c>
      <c r="U3827" t="str">
        <f>IF(ISBLANK(Table1[[#This Row],[SizeOption]]),"NOT AVAILABLE",Table1[[#This Row],[SizeOption]])</f>
        <v>S, M, L, XL, XXL</v>
      </c>
      <c r="Y3827" t="str">
        <f>IF(Table2[[#This Row],[Column1]]&gt;50%,"HIGH DISCOUNT","LOW DISCOUNT")</f>
        <v>HIGH DISCOUNT</v>
      </c>
    </row>
    <row r="3828" spans="1:25" x14ac:dyDescent="0.25">
      <c r="A3828" s="1" t="s">
        <v>7893</v>
      </c>
      <c r="B3828" s="1">
        <v>8810373</v>
      </c>
      <c r="C3828" s="1" t="s">
        <v>14</v>
      </c>
      <c r="D3828" s="1" t="s">
        <v>41</v>
      </c>
      <c r="E3828" s="1" t="s">
        <v>16</v>
      </c>
      <c r="F3828" s="1" t="s">
        <v>36</v>
      </c>
      <c r="G3828" s="1" t="s">
        <v>7894</v>
      </c>
      <c r="I3828" s="1">
        <v>2299</v>
      </c>
      <c r="J3828" s="1" t="s">
        <v>150</v>
      </c>
      <c r="K3828" s="1" t="s">
        <v>134</v>
      </c>
      <c r="L3828" s="1">
        <v>3.9</v>
      </c>
      <c r="M3828" s="1">
        <v>540</v>
      </c>
      <c r="P3828" t="str">
        <f t="shared" si="239"/>
        <v>65%</v>
      </c>
      <c r="Q3828" s="12">
        <f t="shared" si="236"/>
        <v>0.65</v>
      </c>
      <c r="R3828" s="9">
        <f t="shared" si="237"/>
        <v>804.64999999999986</v>
      </c>
      <c r="S3828" s="9">
        <f>IF(R3828="",AVERAGEIF(Table1[Category],Table1[[#This Row],[Category]],Table2[orignal data]),Table2[[#This Row],[orignal data]])</f>
        <v>804.64999999999986</v>
      </c>
      <c r="T3828" t="str">
        <f t="shared" si="238"/>
        <v>UNIQUE</v>
      </c>
      <c r="U3828" t="str">
        <f>IF(ISBLANK(Table1[[#This Row],[SizeOption]]),"NOT AVAILABLE",Table1[[#This Row],[SizeOption]])</f>
        <v>26, 28, 30, 32, 34, 36</v>
      </c>
      <c r="Y3828" t="str">
        <f>IF(Table2[[#This Row],[Column1]]&gt;50%,"HIGH DISCOUNT","LOW DISCOUNT")</f>
        <v>HIGH DISCOUNT</v>
      </c>
    </row>
    <row r="3829" spans="1:25" x14ac:dyDescent="0.25">
      <c r="A3829" s="2" t="s">
        <v>7895</v>
      </c>
      <c r="B3829" s="2">
        <v>6832243</v>
      </c>
      <c r="C3829" s="2" t="s">
        <v>169</v>
      </c>
      <c r="D3829" s="2" t="s">
        <v>15</v>
      </c>
      <c r="E3829" s="2" t="s">
        <v>16</v>
      </c>
      <c r="F3829" s="2" t="s">
        <v>17</v>
      </c>
      <c r="G3829" s="2" t="s">
        <v>263</v>
      </c>
      <c r="H3829">
        <v>1299</v>
      </c>
      <c r="I3829" s="2">
        <v>2599</v>
      </c>
      <c r="J3829" s="2" t="s">
        <v>84</v>
      </c>
      <c r="K3829" s="2" t="s">
        <v>171</v>
      </c>
      <c r="L3829" s="2">
        <v>3.9</v>
      </c>
      <c r="M3829" s="2">
        <v>539</v>
      </c>
      <c r="P3829" t="str">
        <f t="shared" si="239"/>
        <v>50%</v>
      </c>
      <c r="Q3829" s="12">
        <f t="shared" si="236"/>
        <v>0.5</v>
      </c>
      <c r="R3829" s="9">
        <f t="shared" si="237"/>
        <v>1299.5</v>
      </c>
      <c r="S3829" s="9">
        <f>IF(R3829="",AVERAGEIF(Table1[Category],Table1[[#This Row],[Category]],Table2[orignal data]),Table2[[#This Row],[orignal data]])</f>
        <v>1299.5</v>
      </c>
      <c r="T3829" t="str">
        <f t="shared" si="238"/>
        <v>UNIQUE</v>
      </c>
      <c r="U3829" t="str">
        <f>IF(ISBLANK(Table1[[#This Row],[SizeOption]]),"NOT AVAILABLE",Table1[[#This Row],[SizeOption]])</f>
        <v>28, 30, 32, 34, 36, 38</v>
      </c>
      <c r="Y3829" t="str">
        <f>IF(Table2[[#This Row],[Column1]]&gt;50%,"HIGH DISCOUNT","LOW DISCOUNT")</f>
        <v>LOW DISCOUNT</v>
      </c>
    </row>
    <row r="3830" spans="1:25" x14ac:dyDescent="0.25">
      <c r="A3830" s="1" t="s">
        <v>7896</v>
      </c>
      <c r="B3830" s="1">
        <v>11159934</v>
      </c>
      <c r="C3830" s="1" t="s">
        <v>7670</v>
      </c>
      <c r="D3830" s="1" t="s">
        <v>76</v>
      </c>
      <c r="E3830" s="1" t="s">
        <v>77</v>
      </c>
      <c r="F3830" s="1" t="s">
        <v>17</v>
      </c>
      <c r="G3830" s="1" t="s">
        <v>7897</v>
      </c>
      <c r="H3830">
        <v>4139</v>
      </c>
      <c r="I3830" s="1">
        <v>9199</v>
      </c>
      <c r="J3830" s="1" t="s">
        <v>25</v>
      </c>
      <c r="K3830" s="1" t="s">
        <v>7898</v>
      </c>
      <c r="L3830" s="1">
        <v>4</v>
      </c>
      <c r="M3830" s="1">
        <v>539</v>
      </c>
      <c r="P3830" t="str">
        <f t="shared" si="239"/>
        <v>55%</v>
      </c>
      <c r="Q3830" s="12">
        <f t="shared" si="236"/>
        <v>0.55000000000000004</v>
      </c>
      <c r="R3830" s="9">
        <f t="shared" si="237"/>
        <v>4139.5499999999993</v>
      </c>
      <c r="S3830" s="9">
        <f>IF(R3830="",AVERAGEIF(Table1[Category],Table1[[#This Row],[Category]],Table2[orignal data]),Table2[[#This Row],[orignal data]])</f>
        <v>4139.5499999999993</v>
      </c>
      <c r="T3830" t="str">
        <f t="shared" si="238"/>
        <v>UNIQUE</v>
      </c>
      <c r="U3830" t="str">
        <f>IF(ISBLANK(Table1[[#This Row],[SizeOption]]),"NOT AVAILABLE",Table1[[#This Row],[SizeOption]])</f>
        <v>38, 40, 42, 44, 46, 50, 48, 52</v>
      </c>
      <c r="Y3830" t="str">
        <f>IF(Table2[[#This Row],[Column1]]&gt;50%,"HIGH DISCOUNT","LOW DISCOUNT")</f>
        <v>HIGH DISCOUNT</v>
      </c>
    </row>
    <row r="3831" spans="1:25" x14ac:dyDescent="0.25">
      <c r="A3831" s="2" t="s">
        <v>7899</v>
      </c>
      <c r="B3831" s="2">
        <v>18028822</v>
      </c>
      <c r="C3831" s="2" t="s">
        <v>295</v>
      </c>
      <c r="D3831" s="2" t="s">
        <v>197</v>
      </c>
      <c r="E3831" s="2" t="s">
        <v>939</v>
      </c>
      <c r="F3831" s="2" t="s">
        <v>17</v>
      </c>
      <c r="G3831" s="2" t="s">
        <v>4736</v>
      </c>
      <c r="I3831" s="2">
        <v>1098</v>
      </c>
      <c r="J3831" s="2"/>
      <c r="K3831" s="2" t="s">
        <v>26</v>
      </c>
      <c r="L3831" s="2">
        <v>4.4000000000000004</v>
      </c>
      <c r="M3831" s="2">
        <v>539</v>
      </c>
      <c r="P3831" t="str">
        <f t="shared" si="239"/>
        <v/>
      </c>
      <c r="Q3831" s="12" t="str">
        <f t="shared" si="236"/>
        <v/>
      </c>
      <c r="R3831" s="9" t="str">
        <f t="shared" si="237"/>
        <v/>
      </c>
      <c r="S3831" s="9">
        <f>IF(R3831="",AVERAGEIF(Table1[Category],Table1[[#This Row],[Category]],Table2[orignal data]),Table2[[#This Row],[orignal data]])</f>
        <v>552.70900000000006</v>
      </c>
      <c r="T3831" t="str">
        <f t="shared" si="238"/>
        <v>UNIQUE</v>
      </c>
      <c r="U3831" t="str">
        <f>IF(ISBLANK(Table1[[#This Row],[SizeOption]]),"NOT AVAILABLE",Table1[[#This Row],[SizeOption]])</f>
        <v>S, M, L, XL</v>
      </c>
      <c r="Y3831" t="str">
        <f>IF(Table2[[#This Row],[Column1]]&gt;50%,"HIGH DISCOUNT","LOW DISCOUNT")</f>
        <v>HIGH DISCOUNT</v>
      </c>
    </row>
    <row r="3832" spans="1:25" x14ac:dyDescent="0.25">
      <c r="A3832" s="1" t="s">
        <v>7900</v>
      </c>
      <c r="B3832" s="1">
        <v>9398763</v>
      </c>
      <c r="C3832" s="1" t="s">
        <v>346</v>
      </c>
      <c r="D3832" s="1" t="s">
        <v>28</v>
      </c>
      <c r="E3832" s="1" t="s">
        <v>29</v>
      </c>
      <c r="F3832" s="1" t="s">
        <v>17</v>
      </c>
      <c r="G3832" s="1" t="s">
        <v>7901</v>
      </c>
      <c r="H3832">
        <v>629</v>
      </c>
      <c r="I3832" s="1">
        <v>1399</v>
      </c>
      <c r="J3832" s="1" t="s">
        <v>25</v>
      </c>
      <c r="K3832" s="1" t="s">
        <v>253</v>
      </c>
      <c r="L3832" s="1">
        <v>4.2</v>
      </c>
      <c r="M3832" s="1">
        <v>539</v>
      </c>
      <c r="P3832" t="str">
        <f t="shared" si="239"/>
        <v>55%</v>
      </c>
      <c r="Q3832" s="12">
        <f t="shared" si="236"/>
        <v>0.55000000000000004</v>
      </c>
      <c r="R3832" s="9">
        <f t="shared" si="237"/>
        <v>629.54999999999995</v>
      </c>
      <c r="S3832" s="9">
        <f>IF(R3832="",AVERAGEIF(Table1[Category],Table1[[#This Row],[Category]],Table2[orignal data]),Table2[[#This Row],[orignal data]])</f>
        <v>629.54999999999995</v>
      </c>
      <c r="T3832" t="str">
        <f t="shared" si="238"/>
        <v>UNIQUE</v>
      </c>
      <c r="U3832" t="str">
        <f>IF(ISBLANK(Table1[[#This Row],[SizeOption]]),"NOT AVAILABLE",Table1[[#This Row],[SizeOption]])</f>
        <v>38, 40, 42, 44</v>
      </c>
      <c r="Y3832" t="str">
        <f>IF(Table2[[#This Row],[Column1]]&gt;50%,"HIGH DISCOUNT","LOW DISCOUNT")</f>
        <v>HIGH DISCOUNT</v>
      </c>
    </row>
    <row r="3833" spans="1:25" x14ac:dyDescent="0.25">
      <c r="A3833" s="2" t="s">
        <v>7902</v>
      </c>
      <c r="B3833" s="2">
        <v>11885532</v>
      </c>
      <c r="C3833" s="2" t="s">
        <v>7903</v>
      </c>
      <c r="D3833" s="2" t="s">
        <v>28</v>
      </c>
      <c r="E3833" s="2" t="s">
        <v>42</v>
      </c>
      <c r="F3833" s="2" t="s">
        <v>17</v>
      </c>
      <c r="G3833" s="2" t="s">
        <v>7904</v>
      </c>
      <c r="H3833">
        <v>509</v>
      </c>
      <c r="I3833" s="2">
        <v>1499</v>
      </c>
      <c r="J3833" s="2" t="s">
        <v>403</v>
      </c>
      <c r="K3833" s="2" t="s">
        <v>234</v>
      </c>
      <c r="L3833" s="2">
        <v>4</v>
      </c>
      <c r="M3833" s="2">
        <v>539</v>
      </c>
      <c r="P3833" t="str">
        <f t="shared" si="239"/>
        <v>66%</v>
      </c>
      <c r="Q3833" s="12">
        <f t="shared" si="236"/>
        <v>0.66</v>
      </c>
      <c r="R3833" s="9">
        <f t="shared" si="237"/>
        <v>509.65999999999997</v>
      </c>
      <c r="S3833" s="9">
        <f>IF(R3833="",AVERAGEIF(Table1[Category],Table1[[#This Row],[Category]],Table2[orignal data]),Table2[[#This Row],[orignal data]])</f>
        <v>509.65999999999997</v>
      </c>
      <c r="T3833" t="str">
        <f t="shared" si="238"/>
        <v>UNIQUE</v>
      </c>
      <c r="U3833" t="str">
        <f>IF(ISBLANK(Table1[[#This Row],[SizeOption]]),"NOT AVAILABLE",Table1[[#This Row],[SizeOption]])</f>
        <v>S, M, L, XL, XXL, 3XL</v>
      </c>
      <c r="Y3833" t="str">
        <f>IF(Table2[[#This Row],[Column1]]&gt;50%,"HIGH DISCOUNT","LOW DISCOUNT")</f>
        <v>HIGH DISCOUNT</v>
      </c>
    </row>
    <row r="3834" spans="1:25" x14ac:dyDescent="0.25">
      <c r="A3834" s="1" t="s">
        <v>7905</v>
      </c>
      <c r="B3834" s="1">
        <v>16423342</v>
      </c>
      <c r="C3834" s="1" t="s">
        <v>837</v>
      </c>
      <c r="D3834" s="1" t="s">
        <v>76</v>
      </c>
      <c r="E3834" s="1" t="s">
        <v>320</v>
      </c>
      <c r="F3834" s="1" t="s">
        <v>36</v>
      </c>
      <c r="G3834" s="1" t="s">
        <v>7906</v>
      </c>
      <c r="H3834">
        <v>599</v>
      </c>
      <c r="I3834" s="1">
        <v>2396</v>
      </c>
      <c r="J3834" s="1" t="s">
        <v>109</v>
      </c>
      <c r="K3834" s="1" t="s">
        <v>164</v>
      </c>
      <c r="L3834" s="1">
        <v>4</v>
      </c>
      <c r="M3834" s="1">
        <v>539</v>
      </c>
      <c r="P3834" t="str">
        <f t="shared" si="239"/>
        <v>75%</v>
      </c>
      <c r="Q3834" s="12">
        <f t="shared" si="236"/>
        <v>0.75</v>
      </c>
      <c r="R3834" s="9">
        <f t="shared" si="237"/>
        <v>599</v>
      </c>
      <c r="S3834" s="9">
        <f>IF(R3834="",AVERAGEIF(Table1[Category],Table1[[#This Row],[Category]],Table2[orignal data]),Table2[[#This Row],[orignal data]])</f>
        <v>599</v>
      </c>
      <c r="T3834" t="str">
        <f t="shared" si="238"/>
        <v>UNIQUE</v>
      </c>
      <c r="U3834" t="str">
        <f>IF(ISBLANK(Table1[[#This Row],[SizeOption]]),"NOT AVAILABLE",Table1[[#This Row],[SizeOption]])</f>
        <v>Onesize</v>
      </c>
      <c r="Y3834" t="str">
        <f>IF(Table2[[#This Row],[Column1]]&gt;50%,"HIGH DISCOUNT","LOW DISCOUNT")</f>
        <v>HIGH DISCOUNT</v>
      </c>
    </row>
    <row r="3835" spans="1:25" x14ac:dyDescent="0.25">
      <c r="A3835" s="2" t="s">
        <v>7907</v>
      </c>
      <c r="B3835" s="2">
        <v>9051143</v>
      </c>
      <c r="C3835" s="2" t="s">
        <v>277</v>
      </c>
      <c r="D3835" s="2" t="s">
        <v>76</v>
      </c>
      <c r="E3835" s="2" t="s">
        <v>93</v>
      </c>
      <c r="F3835" s="2" t="s">
        <v>36</v>
      </c>
      <c r="G3835" s="2" t="s">
        <v>7908</v>
      </c>
      <c r="H3835">
        <v>569</v>
      </c>
      <c r="I3835" s="2">
        <v>2999</v>
      </c>
      <c r="J3835" s="2" t="s">
        <v>2698</v>
      </c>
      <c r="K3835" s="2" t="s">
        <v>39</v>
      </c>
      <c r="L3835" s="2">
        <v>3.8</v>
      </c>
      <c r="M3835" s="2">
        <v>539</v>
      </c>
      <c r="P3835" t="str">
        <f t="shared" si="239"/>
        <v>81%</v>
      </c>
      <c r="Q3835" s="12">
        <f t="shared" si="236"/>
        <v>0.81</v>
      </c>
      <c r="R3835" s="9">
        <f t="shared" si="237"/>
        <v>569.80999999999995</v>
      </c>
      <c r="S3835" s="9">
        <f>IF(R3835="",AVERAGEIF(Table1[Category],Table1[[#This Row],[Category]],Table2[orignal data]),Table2[[#This Row],[orignal data]])</f>
        <v>569.80999999999995</v>
      </c>
      <c r="T3835" t="str">
        <f t="shared" si="238"/>
        <v>UNIQUE</v>
      </c>
      <c r="U3835" t="str">
        <f>IF(ISBLANK(Table1[[#This Row],[SizeOption]]),"NOT AVAILABLE",Table1[[#This Row],[SizeOption]])</f>
        <v>S, M, L, XL, XXL</v>
      </c>
      <c r="Y3835" t="str">
        <f>IF(Table2[[#This Row],[Column1]]&gt;50%,"HIGH DISCOUNT","LOW DISCOUNT")</f>
        <v>HIGH DISCOUNT</v>
      </c>
    </row>
    <row r="3836" spans="1:25" x14ac:dyDescent="0.25">
      <c r="A3836" s="1" t="s">
        <v>7909</v>
      </c>
      <c r="B3836" s="1">
        <v>10483994</v>
      </c>
      <c r="C3836" s="1" t="s">
        <v>319</v>
      </c>
      <c r="D3836" s="1" t="s">
        <v>76</v>
      </c>
      <c r="E3836" s="1" t="s">
        <v>320</v>
      </c>
      <c r="F3836" s="1" t="s">
        <v>36</v>
      </c>
      <c r="G3836" s="1" t="s">
        <v>7910</v>
      </c>
      <c r="H3836">
        <v>2204</v>
      </c>
      <c r="I3836" s="1">
        <v>5248</v>
      </c>
      <c r="J3836" s="1" t="s">
        <v>60</v>
      </c>
      <c r="K3836" s="1" t="s">
        <v>164</v>
      </c>
      <c r="L3836" s="1">
        <v>4.3</v>
      </c>
      <c r="M3836" s="1">
        <v>539</v>
      </c>
      <c r="P3836" t="str">
        <f t="shared" si="239"/>
        <v>58%</v>
      </c>
      <c r="Q3836" s="12">
        <f t="shared" si="236"/>
        <v>0.57999999999999996</v>
      </c>
      <c r="R3836" s="9">
        <f t="shared" si="237"/>
        <v>2204.1600000000003</v>
      </c>
      <c r="S3836" s="9">
        <f>IF(R3836="",AVERAGEIF(Table1[Category],Table1[[#This Row],[Category]],Table2[orignal data]),Table2[[#This Row],[orignal data]])</f>
        <v>2204.1600000000003</v>
      </c>
      <c r="T3836" t="str">
        <f t="shared" si="238"/>
        <v>UNIQUE</v>
      </c>
      <c r="U3836" t="str">
        <f>IF(ISBLANK(Table1[[#This Row],[SizeOption]]),"NOT AVAILABLE",Table1[[#This Row],[SizeOption]])</f>
        <v>Onesize</v>
      </c>
      <c r="Y3836" t="str">
        <f>IF(Table2[[#This Row],[Column1]]&gt;50%,"HIGH DISCOUNT","LOW DISCOUNT")</f>
        <v>HIGH DISCOUNT</v>
      </c>
    </row>
    <row r="3837" spans="1:25" x14ac:dyDescent="0.25">
      <c r="A3837" s="2" t="s">
        <v>7911</v>
      </c>
      <c r="B3837" s="2">
        <v>10180153</v>
      </c>
      <c r="C3837" s="2" t="s">
        <v>4309</v>
      </c>
      <c r="D3837" s="2" t="s">
        <v>34</v>
      </c>
      <c r="E3837" s="2" t="s">
        <v>118</v>
      </c>
      <c r="F3837" s="2" t="s">
        <v>36</v>
      </c>
      <c r="G3837" s="2" t="s">
        <v>7912</v>
      </c>
      <c r="H3837">
        <v>422</v>
      </c>
      <c r="I3837" s="2">
        <v>899</v>
      </c>
      <c r="J3837" s="2" t="s">
        <v>89</v>
      </c>
      <c r="K3837" s="2" t="s">
        <v>7913</v>
      </c>
      <c r="L3837" s="2">
        <v>3.7</v>
      </c>
      <c r="M3837" s="2">
        <v>539</v>
      </c>
      <c r="P3837" t="str">
        <f t="shared" si="239"/>
        <v>53%</v>
      </c>
      <c r="Q3837" s="12">
        <f t="shared" si="236"/>
        <v>0.53</v>
      </c>
      <c r="R3837" s="9">
        <f t="shared" si="237"/>
        <v>422.53</v>
      </c>
      <c r="S3837" s="9">
        <f>IF(R3837="",AVERAGEIF(Table1[Category],Table1[[#This Row],[Category]],Table2[orignal data]),Table2[[#This Row],[orignal data]])</f>
        <v>422.53</v>
      </c>
      <c r="T3837" t="str">
        <f t="shared" si="238"/>
        <v>UNIQUE</v>
      </c>
      <c r="U3837" t="str">
        <f>IF(ISBLANK(Table1[[#This Row],[SizeOption]]),"NOT AVAILABLE",Table1[[#This Row],[SizeOption]])</f>
        <v>30B, 30C, 32B, 32C, 34B, 34C, 36B, 36C</v>
      </c>
      <c r="Y3837" t="str">
        <f>IF(Table2[[#This Row],[Column1]]&gt;50%,"HIGH DISCOUNT","LOW DISCOUNT")</f>
        <v>HIGH DISCOUNT</v>
      </c>
    </row>
    <row r="3838" spans="1:25" x14ac:dyDescent="0.25">
      <c r="A3838" s="1" t="s">
        <v>7914</v>
      </c>
      <c r="B3838" s="1">
        <v>12013388</v>
      </c>
      <c r="C3838" s="1" t="s">
        <v>201</v>
      </c>
      <c r="D3838" s="1" t="s">
        <v>98</v>
      </c>
      <c r="E3838" s="1" t="s">
        <v>93</v>
      </c>
      <c r="F3838" s="1" t="s">
        <v>36</v>
      </c>
      <c r="G3838" s="1" t="s">
        <v>7915</v>
      </c>
      <c r="H3838">
        <v>1079</v>
      </c>
      <c r="I3838" s="1">
        <v>2699</v>
      </c>
      <c r="J3838" s="1" t="s">
        <v>141</v>
      </c>
      <c r="K3838" s="1" t="s">
        <v>100</v>
      </c>
      <c r="L3838" s="1">
        <v>4.4000000000000004</v>
      </c>
      <c r="M3838" s="1">
        <v>539</v>
      </c>
      <c r="P3838" t="str">
        <f t="shared" si="239"/>
        <v>60%</v>
      </c>
      <c r="Q3838" s="12">
        <f t="shared" si="236"/>
        <v>0.6</v>
      </c>
      <c r="R3838" s="9">
        <f t="shared" si="237"/>
        <v>1079.6000000000001</v>
      </c>
      <c r="S3838" s="9">
        <f>IF(R3838="",AVERAGEIF(Table1[Category],Table1[[#This Row],[Category]],Table2[orignal data]),Table2[[#This Row],[orignal data]])</f>
        <v>1079.6000000000001</v>
      </c>
      <c r="T3838" t="str">
        <f t="shared" si="238"/>
        <v>UNIQUE</v>
      </c>
      <c r="U3838" t="str">
        <f>IF(ISBLANK(Table1[[#This Row],[SizeOption]]),"NOT AVAILABLE",Table1[[#This Row],[SizeOption]])</f>
        <v>XS, S, M, L, XL, XXL, 3XL</v>
      </c>
      <c r="Y3838" t="str">
        <f>IF(Table2[[#This Row],[Column1]]&gt;50%,"HIGH DISCOUNT","LOW DISCOUNT")</f>
        <v>HIGH DISCOUNT</v>
      </c>
    </row>
    <row r="3839" spans="1:25" x14ac:dyDescent="0.25">
      <c r="A3839" s="2" t="s">
        <v>7916</v>
      </c>
      <c r="B3839" s="2">
        <v>13689952</v>
      </c>
      <c r="C3839" s="2" t="s">
        <v>102</v>
      </c>
      <c r="D3839" s="2" t="s">
        <v>41</v>
      </c>
      <c r="E3839" s="2" t="s">
        <v>148</v>
      </c>
      <c r="F3839" s="2" t="s">
        <v>36</v>
      </c>
      <c r="G3839" s="2" t="s">
        <v>7917</v>
      </c>
      <c r="I3839" s="2">
        <v>1749</v>
      </c>
      <c r="J3839" s="2" t="s">
        <v>208</v>
      </c>
      <c r="K3839" s="2" t="s">
        <v>26</v>
      </c>
      <c r="L3839" s="2">
        <v>4.4000000000000004</v>
      </c>
      <c r="M3839" s="2">
        <v>539</v>
      </c>
      <c r="P3839" t="str">
        <f t="shared" si="239"/>
        <v>52%</v>
      </c>
      <c r="Q3839" s="12">
        <f t="shared" si="236"/>
        <v>0.52</v>
      </c>
      <c r="R3839" s="9">
        <f t="shared" si="237"/>
        <v>839.52</v>
      </c>
      <c r="S3839" s="9">
        <f>IF(R3839="",AVERAGEIF(Table1[Category],Table1[[#This Row],[Category]],Table2[orignal data]),Table2[[#This Row],[orignal data]])</f>
        <v>839.52</v>
      </c>
      <c r="T3839" t="str">
        <f t="shared" si="238"/>
        <v>UNIQUE</v>
      </c>
      <c r="U3839" t="str">
        <f>IF(ISBLANK(Table1[[#This Row],[SizeOption]]),"NOT AVAILABLE",Table1[[#This Row],[SizeOption]])</f>
        <v>S, M, L, XL</v>
      </c>
      <c r="Y3839" t="str">
        <f>IF(Table2[[#This Row],[Column1]]&gt;50%,"HIGH DISCOUNT","LOW DISCOUNT")</f>
        <v>HIGH DISCOUNT</v>
      </c>
    </row>
    <row r="3840" spans="1:25" x14ac:dyDescent="0.25">
      <c r="A3840" s="1" t="s">
        <v>7918</v>
      </c>
      <c r="B3840" s="1">
        <v>11954526</v>
      </c>
      <c r="C3840" s="1" t="s">
        <v>1773</v>
      </c>
      <c r="D3840" s="1" t="s">
        <v>41</v>
      </c>
      <c r="E3840" s="1" t="s">
        <v>306</v>
      </c>
      <c r="F3840" s="1" t="s">
        <v>36</v>
      </c>
      <c r="G3840" s="1" t="s">
        <v>7919</v>
      </c>
      <c r="I3840" s="1">
        <v>2199</v>
      </c>
      <c r="J3840" s="1" t="s">
        <v>79</v>
      </c>
      <c r="K3840" s="1" t="s">
        <v>26</v>
      </c>
      <c r="L3840" s="1">
        <v>4.3</v>
      </c>
      <c r="M3840" s="1">
        <v>539</v>
      </c>
      <c r="P3840" t="str">
        <f t="shared" si="239"/>
        <v>70%</v>
      </c>
      <c r="Q3840" s="12">
        <f t="shared" si="236"/>
        <v>0.7</v>
      </c>
      <c r="R3840" s="9">
        <f t="shared" si="237"/>
        <v>659.7</v>
      </c>
      <c r="S3840" s="9">
        <f>IF(R3840="",AVERAGEIF(Table1[Category],Table1[[#This Row],[Category]],Table2[orignal data]),Table2[[#This Row],[orignal data]])</f>
        <v>659.7</v>
      </c>
      <c r="T3840" t="str">
        <f t="shared" si="238"/>
        <v>UNIQUE</v>
      </c>
      <c r="U3840" t="str">
        <f>IF(ISBLANK(Table1[[#This Row],[SizeOption]]),"NOT AVAILABLE",Table1[[#This Row],[SizeOption]])</f>
        <v>S, M, L, XL</v>
      </c>
      <c r="Y3840" t="str">
        <f>IF(Table2[[#This Row],[Column1]]&gt;50%,"HIGH DISCOUNT","LOW DISCOUNT")</f>
        <v>HIGH DISCOUNT</v>
      </c>
    </row>
    <row r="3841" spans="1:25" x14ac:dyDescent="0.25">
      <c r="A3841" s="2" t="s">
        <v>7920</v>
      </c>
      <c r="B3841" s="2">
        <v>5453182</v>
      </c>
      <c r="C3841" s="2" t="s">
        <v>14</v>
      </c>
      <c r="D3841" s="2" t="s">
        <v>41</v>
      </c>
      <c r="E3841" s="2" t="s">
        <v>189</v>
      </c>
      <c r="F3841" s="2" t="s">
        <v>36</v>
      </c>
      <c r="G3841" s="2" t="s">
        <v>7921</v>
      </c>
      <c r="I3841" s="2">
        <v>3999</v>
      </c>
      <c r="J3841" s="2" t="s">
        <v>150</v>
      </c>
      <c r="K3841" s="2" t="s">
        <v>115</v>
      </c>
      <c r="L3841" s="2">
        <v>4.3</v>
      </c>
      <c r="M3841" s="2">
        <v>539</v>
      </c>
      <c r="P3841" t="str">
        <f t="shared" si="239"/>
        <v>65%</v>
      </c>
      <c r="Q3841" s="12">
        <f t="shared" si="236"/>
        <v>0.65</v>
      </c>
      <c r="R3841" s="9">
        <f t="shared" si="237"/>
        <v>1399.65</v>
      </c>
      <c r="S3841" s="9">
        <f>IF(R3841="",AVERAGEIF(Table1[Category],Table1[[#This Row],[Category]],Table2[orignal data]),Table2[[#This Row],[orignal data]])</f>
        <v>1399.65</v>
      </c>
      <c r="T3841" t="str">
        <f t="shared" si="238"/>
        <v>UNIQUE</v>
      </c>
      <c r="U3841" t="str">
        <f>IF(ISBLANK(Table1[[#This Row],[SizeOption]]),"NOT AVAILABLE",Table1[[#This Row],[SizeOption]])</f>
        <v>XS, S, M, L, XL, XXL</v>
      </c>
      <c r="Y3841" t="str">
        <f>IF(Table2[[#This Row],[Column1]]&gt;50%,"HIGH DISCOUNT","LOW DISCOUNT")</f>
        <v>HIGH DISCOUNT</v>
      </c>
    </row>
    <row r="3842" spans="1:25" x14ac:dyDescent="0.25">
      <c r="A3842" s="1" t="s">
        <v>7922</v>
      </c>
      <c r="B3842" s="1">
        <v>11296168</v>
      </c>
      <c r="C3842" s="1" t="s">
        <v>14</v>
      </c>
      <c r="D3842" s="1" t="s">
        <v>41</v>
      </c>
      <c r="E3842" s="1" t="s">
        <v>42</v>
      </c>
      <c r="F3842" s="1" t="s">
        <v>36</v>
      </c>
      <c r="G3842" s="1" t="s">
        <v>2782</v>
      </c>
      <c r="I3842" s="1">
        <v>699</v>
      </c>
      <c r="J3842" s="1" t="s">
        <v>19</v>
      </c>
      <c r="K3842" s="1" t="s">
        <v>45</v>
      </c>
      <c r="L3842" s="1">
        <v>4.2</v>
      </c>
      <c r="M3842" s="1">
        <v>539</v>
      </c>
      <c r="P3842" t="str">
        <f t="shared" si="239"/>
        <v>45%</v>
      </c>
      <c r="Q3842" s="12">
        <f t="shared" ref="Q3842:Q3905" si="240">IF(P3842="","",IF(ISNUMBER(SEARCH("%",P3842)),P3842,P3842/I3842)*100%)</f>
        <v>0.45</v>
      </c>
      <c r="R3842" s="9">
        <f t="shared" ref="R3842:R3905" si="241">IF(P3842="","",I3842-(I3842*Q3842))</f>
        <v>384.45</v>
      </c>
      <c r="S3842" s="9">
        <f>IF(R3842="",AVERAGEIF(Table1[Category],Table1[[#This Row],[Category]],Table2[orignal data]),Table2[[#This Row],[orignal data]])</f>
        <v>384.45</v>
      </c>
      <c r="T3842" t="str">
        <f t="shared" ref="T3842:T3905" si="242">IF(COUNTIF($B$2:$B$5000,B3842)&gt;1,"DUPLICATE","UNIQUE")</f>
        <v>UNIQUE</v>
      </c>
      <c r="U3842" t="str">
        <f>IF(ISBLANK(Table1[[#This Row],[SizeOption]]),"NOT AVAILABLE",Table1[[#This Row],[SizeOption]])</f>
        <v>XS, S, M, L, XL</v>
      </c>
      <c r="Y3842" t="str">
        <f>IF(Table2[[#This Row],[Column1]]&gt;50%,"HIGH DISCOUNT","LOW DISCOUNT")</f>
        <v>LOW DISCOUNT</v>
      </c>
    </row>
    <row r="3843" spans="1:25" x14ac:dyDescent="0.25">
      <c r="A3843" s="2" t="s">
        <v>7923</v>
      </c>
      <c r="B3843" s="2">
        <v>12822698</v>
      </c>
      <c r="C3843" s="2" t="s">
        <v>92</v>
      </c>
      <c r="D3843" s="2" t="s">
        <v>41</v>
      </c>
      <c r="E3843" s="2" t="s">
        <v>53</v>
      </c>
      <c r="F3843" s="2" t="s">
        <v>36</v>
      </c>
      <c r="G3843" s="2" t="s">
        <v>7924</v>
      </c>
      <c r="I3843" s="2">
        <v>899</v>
      </c>
      <c r="J3843" s="2" t="s">
        <v>476</v>
      </c>
      <c r="K3843" s="2" t="s">
        <v>20</v>
      </c>
      <c r="L3843" s="2">
        <v>3.7</v>
      </c>
      <c r="M3843" s="2">
        <v>539</v>
      </c>
      <c r="P3843" t="str">
        <f t="shared" ref="P3843:P3906" si="243">TRIM(SUBSTITUTE(SUBSTITUTE(SUBSTITUTE(SUBSTITUTE(J3843,"OFF",""),"Rs.",""),"Hurry*",""),",",""))</f>
        <v>63%</v>
      </c>
      <c r="Q3843" s="12">
        <f t="shared" si="240"/>
        <v>0.63</v>
      </c>
      <c r="R3843" s="9">
        <f t="shared" si="241"/>
        <v>332.63</v>
      </c>
      <c r="S3843" s="9">
        <f>IF(R3843="",AVERAGEIF(Table1[Category],Table1[[#This Row],[Category]],Table2[orignal data]),Table2[[#This Row],[orignal data]])</f>
        <v>332.63</v>
      </c>
      <c r="T3843" t="str">
        <f t="shared" si="242"/>
        <v>UNIQUE</v>
      </c>
      <c r="U3843" t="str">
        <f>IF(ISBLANK(Table1[[#This Row],[SizeOption]]),"NOT AVAILABLE",Table1[[#This Row],[SizeOption]])</f>
        <v>28, 30, 32, 34, 36</v>
      </c>
      <c r="Y3843" t="str">
        <f>IF(Table2[[#This Row],[Column1]]&gt;50%,"HIGH DISCOUNT","LOW DISCOUNT")</f>
        <v>HIGH DISCOUNT</v>
      </c>
    </row>
    <row r="3844" spans="1:25" x14ac:dyDescent="0.25">
      <c r="A3844" s="1" t="s">
        <v>7925</v>
      </c>
      <c r="B3844" s="1">
        <v>11999550</v>
      </c>
      <c r="C3844" s="1" t="s">
        <v>67</v>
      </c>
      <c r="D3844" s="1" t="s">
        <v>68</v>
      </c>
      <c r="E3844" s="1" t="s">
        <v>42</v>
      </c>
      <c r="F3844" s="1" t="s">
        <v>17</v>
      </c>
      <c r="G3844" s="1" t="s">
        <v>5968</v>
      </c>
      <c r="H3844">
        <v>279</v>
      </c>
      <c r="I3844" s="1">
        <v>699</v>
      </c>
      <c r="J3844" s="1" t="s">
        <v>55</v>
      </c>
      <c r="K3844" s="1" t="s">
        <v>39</v>
      </c>
      <c r="L3844" s="1">
        <v>4.0999999999999996</v>
      </c>
      <c r="M3844" s="1">
        <v>538</v>
      </c>
      <c r="P3844" t="str">
        <f t="shared" si="243"/>
        <v>60%</v>
      </c>
      <c r="Q3844" s="12">
        <f t="shared" si="240"/>
        <v>0.6</v>
      </c>
      <c r="R3844" s="9">
        <f t="shared" si="241"/>
        <v>279.60000000000002</v>
      </c>
      <c r="S3844" s="9">
        <f>IF(R3844="",AVERAGEIF(Table1[Category],Table1[[#This Row],[Category]],Table2[orignal data]),Table2[[#This Row],[orignal data]])</f>
        <v>279.60000000000002</v>
      </c>
      <c r="T3844" t="str">
        <f t="shared" si="242"/>
        <v>UNIQUE</v>
      </c>
      <c r="U3844" t="str">
        <f>IF(ISBLANK(Table1[[#This Row],[SizeOption]]),"NOT AVAILABLE",Table1[[#This Row],[SizeOption]])</f>
        <v>S, M, L, XL, XXL</v>
      </c>
      <c r="Y3844" t="str">
        <f>IF(Table2[[#This Row],[Column1]]&gt;50%,"HIGH DISCOUNT","LOW DISCOUNT")</f>
        <v>HIGH DISCOUNT</v>
      </c>
    </row>
    <row r="3845" spans="1:25" x14ac:dyDescent="0.25">
      <c r="A3845" s="2" t="s">
        <v>7926</v>
      </c>
      <c r="B3845" s="2">
        <v>10136683</v>
      </c>
      <c r="C3845" s="2" t="s">
        <v>47</v>
      </c>
      <c r="D3845" s="2" t="s">
        <v>28</v>
      </c>
      <c r="E3845" s="2" t="s">
        <v>306</v>
      </c>
      <c r="F3845" s="2" t="s">
        <v>17</v>
      </c>
      <c r="G3845" s="2" t="s">
        <v>7927</v>
      </c>
      <c r="H3845">
        <v>809</v>
      </c>
      <c r="I3845" s="2">
        <v>1799</v>
      </c>
      <c r="J3845" s="2" t="s">
        <v>25</v>
      </c>
      <c r="K3845" s="2" t="s">
        <v>26</v>
      </c>
      <c r="L3845" s="2">
        <v>4.2</v>
      </c>
      <c r="M3845" s="2">
        <v>538</v>
      </c>
      <c r="P3845" t="str">
        <f t="shared" si="243"/>
        <v>55%</v>
      </c>
      <c r="Q3845" s="12">
        <f t="shared" si="240"/>
        <v>0.55000000000000004</v>
      </c>
      <c r="R3845" s="9">
        <f t="shared" si="241"/>
        <v>809.55</v>
      </c>
      <c r="S3845" s="9">
        <f>IF(R3845="",AVERAGEIF(Table1[Category],Table1[[#This Row],[Category]],Table2[orignal data]),Table2[[#This Row],[orignal data]])</f>
        <v>809.55</v>
      </c>
      <c r="T3845" t="str">
        <f t="shared" si="242"/>
        <v>UNIQUE</v>
      </c>
      <c r="U3845" t="str">
        <f>IF(ISBLANK(Table1[[#This Row],[SizeOption]]),"NOT AVAILABLE",Table1[[#This Row],[SizeOption]])</f>
        <v>S, M, L, XL</v>
      </c>
      <c r="Y3845" t="str">
        <f>IF(Table2[[#This Row],[Column1]]&gt;50%,"HIGH DISCOUNT","LOW DISCOUNT")</f>
        <v>HIGH DISCOUNT</v>
      </c>
    </row>
    <row r="3846" spans="1:25" x14ac:dyDescent="0.25">
      <c r="A3846" s="1" t="s">
        <v>7928</v>
      </c>
      <c r="B3846" s="1">
        <v>12635720</v>
      </c>
      <c r="C3846" s="1" t="s">
        <v>7929</v>
      </c>
      <c r="D3846" s="1" t="s">
        <v>28</v>
      </c>
      <c r="E3846" s="1" t="s">
        <v>189</v>
      </c>
      <c r="F3846" s="1" t="s">
        <v>17</v>
      </c>
      <c r="G3846" s="1" t="s">
        <v>7930</v>
      </c>
      <c r="H3846">
        <v>2599</v>
      </c>
      <c r="I3846" s="1">
        <v>3999</v>
      </c>
      <c r="J3846" s="1" t="s">
        <v>7931</v>
      </c>
      <c r="K3846" s="1" t="s">
        <v>100</v>
      </c>
      <c r="L3846" s="1">
        <v>3.9</v>
      </c>
      <c r="M3846" s="1">
        <v>538</v>
      </c>
      <c r="P3846" t="str">
        <f t="shared" si="243"/>
        <v>1400</v>
      </c>
      <c r="Q3846" s="12">
        <f t="shared" si="240"/>
        <v>0.3500875218804701</v>
      </c>
      <c r="R3846" s="9">
        <f t="shared" si="241"/>
        <v>2599</v>
      </c>
      <c r="S3846" s="9">
        <f>IF(R3846="",AVERAGEIF(Table1[Category],Table1[[#This Row],[Category]],Table2[orignal data]),Table2[[#This Row],[orignal data]])</f>
        <v>2599</v>
      </c>
      <c r="T3846" t="str">
        <f t="shared" si="242"/>
        <v>UNIQUE</v>
      </c>
      <c r="U3846" t="str">
        <f>IF(ISBLANK(Table1[[#This Row],[SizeOption]]),"NOT AVAILABLE",Table1[[#This Row],[SizeOption]])</f>
        <v>XS, S, M, L, XL, XXL, 3XL</v>
      </c>
      <c r="Y3846" t="str">
        <f>IF(Table2[[#This Row],[Column1]]&gt;50%,"HIGH DISCOUNT","LOW DISCOUNT")</f>
        <v>LOW DISCOUNT</v>
      </c>
    </row>
    <row r="3847" spans="1:25" x14ac:dyDescent="0.25">
      <c r="A3847" s="2" t="s">
        <v>7932</v>
      </c>
      <c r="B3847" s="2">
        <v>11545658</v>
      </c>
      <c r="C3847" s="2" t="s">
        <v>14</v>
      </c>
      <c r="D3847" s="2" t="s">
        <v>28</v>
      </c>
      <c r="E3847" s="2" t="s">
        <v>42</v>
      </c>
      <c r="F3847" s="2" t="s">
        <v>17</v>
      </c>
      <c r="G3847" s="2" t="s">
        <v>7933</v>
      </c>
      <c r="H3847">
        <v>269</v>
      </c>
      <c r="I3847" s="2">
        <v>599</v>
      </c>
      <c r="J3847" s="2" t="s">
        <v>25</v>
      </c>
      <c r="K3847" s="2" t="s">
        <v>26</v>
      </c>
      <c r="L3847" s="2">
        <v>4.3</v>
      </c>
      <c r="M3847" s="2">
        <v>538</v>
      </c>
      <c r="P3847" t="str">
        <f t="shared" si="243"/>
        <v>55%</v>
      </c>
      <c r="Q3847" s="12">
        <f t="shared" si="240"/>
        <v>0.55000000000000004</v>
      </c>
      <c r="R3847" s="9">
        <f t="shared" si="241"/>
        <v>269.54999999999995</v>
      </c>
      <c r="S3847" s="9">
        <f>IF(R3847="",AVERAGEIF(Table1[Category],Table1[[#This Row],[Category]],Table2[orignal data]),Table2[[#This Row],[orignal data]])</f>
        <v>269.54999999999995</v>
      </c>
      <c r="T3847" t="str">
        <f t="shared" si="242"/>
        <v>UNIQUE</v>
      </c>
      <c r="U3847" t="str">
        <f>IF(ISBLANK(Table1[[#This Row],[SizeOption]]),"NOT AVAILABLE",Table1[[#This Row],[SizeOption]])</f>
        <v>S, M, L, XL</v>
      </c>
      <c r="Y3847" t="str">
        <f>IF(Table2[[#This Row],[Column1]]&gt;50%,"HIGH DISCOUNT","LOW DISCOUNT")</f>
        <v>HIGH DISCOUNT</v>
      </c>
    </row>
    <row r="3848" spans="1:25" x14ac:dyDescent="0.25">
      <c r="A3848" s="1" t="s">
        <v>7934</v>
      </c>
      <c r="B3848" s="1">
        <v>1839565</v>
      </c>
      <c r="C3848" s="1" t="s">
        <v>346</v>
      </c>
      <c r="D3848" s="1" t="s">
        <v>28</v>
      </c>
      <c r="E3848" s="1" t="s">
        <v>42</v>
      </c>
      <c r="F3848" s="1" t="s">
        <v>17</v>
      </c>
      <c r="G3848" s="1" t="s">
        <v>7935</v>
      </c>
      <c r="H3848">
        <v>314</v>
      </c>
      <c r="I3848" s="1">
        <v>699</v>
      </c>
      <c r="J3848" s="1" t="s">
        <v>25</v>
      </c>
      <c r="K3848" s="1" t="s">
        <v>39</v>
      </c>
      <c r="L3848" s="1">
        <v>4.2</v>
      </c>
      <c r="M3848" s="1">
        <v>538</v>
      </c>
      <c r="P3848" t="str">
        <f t="shared" si="243"/>
        <v>55%</v>
      </c>
      <c r="Q3848" s="12">
        <f t="shared" si="240"/>
        <v>0.55000000000000004</v>
      </c>
      <c r="R3848" s="9">
        <f t="shared" si="241"/>
        <v>314.54999999999995</v>
      </c>
      <c r="S3848" s="9">
        <f>IF(R3848="",AVERAGEIF(Table1[Category],Table1[[#This Row],[Category]],Table2[orignal data]),Table2[[#This Row],[orignal data]])</f>
        <v>314.54999999999995</v>
      </c>
      <c r="T3848" t="str">
        <f t="shared" si="242"/>
        <v>UNIQUE</v>
      </c>
      <c r="U3848" t="str">
        <f>IF(ISBLANK(Table1[[#This Row],[SizeOption]]),"NOT AVAILABLE",Table1[[#This Row],[SizeOption]])</f>
        <v>S, M, L, XL, XXL</v>
      </c>
      <c r="Y3848" t="str">
        <f>IF(Table2[[#This Row],[Column1]]&gt;50%,"HIGH DISCOUNT","LOW DISCOUNT")</f>
        <v>HIGH DISCOUNT</v>
      </c>
    </row>
    <row r="3849" spans="1:25" x14ac:dyDescent="0.25">
      <c r="A3849" s="2" t="s">
        <v>7936</v>
      </c>
      <c r="B3849" s="2">
        <v>12822774</v>
      </c>
      <c r="C3849" s="2" t="s">
        <v>92</v>
      </c>
      <c r="D3849" s="2" t="s">
        <v>76</v>
      </c>
      <c r="E3849" s="2" t="s">
        <v>93</v>
      </c>
      <c r="F3849" s="2" t="s">
        <v>36</v>
      </c>
      <c r="G3849" s="2" t="s">
        <v>7937</v>
      </c>
      <c r="H3849">
        <v>467</v>
      </c>
      <c r="I3849" s="2">
        <v>1199</v>
      </c>
      <c r="J3849" s="2" t="s">
        <v>104</v>
      </c>
      <c r="K3849" s="2" t="s">
        <v>39</v>
      </c>
      <c r="L3849" s="2">
        <v>4.2</v>
      </c>
      <c r="M3849" s="2">
        <v>538</v>
      </c>
      <c r="P3849" t="str">
        <f t="shared" si="243"/>
        <v>61%</v>
      </c>
      <c r="Q3849" s="12">
        <f t="shared" si="240"/>
        <v>0.61</v>
      </c>
      <c r="R3849" s="9">
        <f t="shared" si="241"/>
        <v>467.61</v>
      </c>
      <c r="S3849" s="9">
        <f>IF(R3849="",AVERAGEIF(Table1[Category],Table1[[#This Row],[Category]],Table2[orignal data]),Table2[[#This Row],[orignal data]])</f>
        <v>467.61</v>
      </c>
      <c r="T3849" t="str">
        <f t="shared" si="242"/>
        <v>UNIQUE</v>
      </c>
      <c r="U3849" t="str">
        <f>IF(ISBLANK(Table1[[#This Row],[SizeOption]]),"NOT AVAILABLE",Table1[[#This Row],[SizeOption]])</f>
        <v>S, M, L, XL, XXL</v>
      </c>
      <c r="Y3849" t="str">
        <f>IF(Table2[[#This Row],[Column1]]&gt;50%,"HIGH DISCOUNT","LOW DISCOUNT")</f>
        <v>HIGH DISCOUNT</v>
      </c>
    </row>
    <row r="3850" spans="1:25" x14ac:dyDescent="0.25">
      <c r="A3850" s="1" t="s">
        <v>7938</v>
      </c>
      <c r="B3850" s="1">
        <v>2340111</v>
      </c>
      <c r="C3850" s="1" t="s">
        <v>102</v>
      </c>
      <c r="D3850" s="1" t="s">
        <v>41</v>
      </c>
      <c r="E3850" s="1" t="s">
        <v>148</v>
      </c>
      <c r="F3850" s="1" t="s">
        <v>36</v>
      </c>
      <c r="G3850" s="1" t="s">
        <v>7939</v>
      </c>
      <c r="I3850" s="1">
        <v>1249</v>
      </c>
      <c r="J3850" s="1" t="s">
        <v>150</v>
      </c>
      <c r="K3850" s="1" t="s">
        <v>26</v>
      </c>
      <c r="L3850" s="1">
        <v>4.2</v>
      </c>
      <c r="M3850" s="1">
        <v>538</v>
      </c>
      <c r="P3850" t="str">
        <f t="shared" si="243"/>
        <v>65%</v>
      </c>
      <c r="Q3850" s="12">
        <f t="shared" si="240"/>
        <v>0.65</v>
      </c>
      <c r="R3850" s="9">
        <f t="shared" si="241"/>
        <v>437.15</v>
      </c>
      <c r="S3850" s="9">
        <f>IF(R3850="",AVERAGEIF(Table1[Category],Table1[[#This Row],[Category]],Table2[orignal data]),Table2[[#This Row],[orignal data]])</f>
        <v>437.15</v>
      </c>
      <c r="T3850" t="str">
        <f t="shared" si="242"/>
        <v>UNIQUE</v>
      </c>
      <c r="U3850" t="str">
        <f>IF(ISBLANK(Table1[[#This Row],[SizeOption]]),"NOT AVAILABLE",Table1[[#This Row],[SizeOption]])</f>
        <v>S, M, L, XL</v>
      </c>
      <c r="Y3850" t="str">
        <f>IF(Table2[[#This Row],[Column1]]&gt;50%,"HIGH DISCOUNT","LOW DISCOUNT")</f>
        <v>HIGH DISCOUNT</v>
      </c>
    </row>
    <row r="3851" spans="1:25" x14ac:dyDescent="0.25">
      <c r="A3851" s="2" t="s">
        <v>7940</v>
      </c>
      <c r="B3851" s="2">
        <v>12386008</v>
      </c>
      <c r="C3851" s="2" t="s">
        <v>887</v>
      </c>
      <c r="D3851" s="2" t="s">
        <v>41</v>
      </c>
      <c r="E3851" s="2" t="s">
        <v>148</v>
      </c>
      <c r="F3851" s="2" t="s">
        <v>36</v>
      </c>
      <c r="G3851" s="2" t="s">
        <v>7941</v>
      </c>
      <c r="I3851" s="2">
        <v>1800</v>
      </c>
      <c r="J3851" s="2" t="s">
        <v>79</v>
      </c>
      <c r="K3851" s="2" t="s">
        <v>26</v>
      </c>
      <c r="L3851" s="2">
        <v>4.3</v>
      </c>
      <c r="M3851" s="2">
        <v>538</v>
      </c>
      <c r="P3851" t="str">
        <f t="shared" si="243"/>
        <v>70%</v>
      </c>
      <c r="Q3851" s="12">
        <f t="shared" si="240"/>
        <v>0.7</v>
      </c>
      <c r="R3851" s="9">
        <f t="shared" si="241"/>
        <v>540</v>
      </c>
      <c r="S3851" s="9">
        <f>IF(R3851="",AVERAGEIF(Table1[Category],Table1[[#This Row],[Category]],Table2[orignal data]),Table2[[#This Row],[orignal data]])</f>
        <v>540</v>
      </c>
      <c r="T3851" t="str">
        <f t="shared" si="242"/>
        <v>UNIQUE</v>
      </c>
      <c r="U3851" t="str">
        <f>IF(ISBLANK(Table1[[#This Row],[SizeOption]]),"NOT AVAILABLE",Table1[[#This Row],[SizeOption]])</f>
        <v>S, M, L, XL</v>
      </c>
      <c r="Y3851" t="str">
        <f>IF(Table2[[#This Row],[Column1]]&gt;50%,"HIGH DISCOUNT","LOW DISCOUNT")</f>
        <v>HIGH DISCOUNT</v>
      </c>
    </row>
    <row r="3852" spans="1:25" x14ac:dyDescent="0.25">
      <c r="A3852" s="1" t="s">
        <v>7942</v>
      </c>
      <c r="B3852" s="1">
        <v>11255866</v>
      </c>
      <c r="C3852" s="1" t="s">
        <v>47</v>
      </c>
      <c r="D3852" s="1" t="s">
        <v>41</v>
      </c>
      <c r="E3852" s="1" t="s">
        <v>148</v>
      </c>
      <c r="F3852" s="1" t="s">
        <v>36</v>
      </c>
      <c r="G3852" s="1" t="s">
        <v>7943</v>
      </c>
      <c r="I3852" s="1">
        <v>1899</v>
      </c>
      <c r="J3852" s="1" t="s">
        <v>84</v>
      </c>
      <c r="K3852" s="1" t="s">
        <v>45</v>
      </c>
      <c r="L3852" s="1">
        <v>4.5</v>
      </c>
      <c r="M3852" s="1">
        <v>538</v>
      </c>
      <c r="P3852" t="str">
        <f t="shared" si="243"/>
        <v>50%</v>
      </c>
      <c r="Q3852" s="12">
        <f t="shared" si="240"/>
        <v>0.5</v>
      </c>
      <c r="R3852" s="9">
        <f t="shared" si="241"/>
        <v>949.5</v>
      </c>
      <c r="S3852" s="9">
        <f>IF(R3852="",AVERAGEIF(Table1[Category],Table1[[#This Row],[Category]],Table2[orignal data]),Table2[[#This Row],[orignal data]])</f>
        <v>949.5</v>
      </c>
      <c r="T3852" t="str">
        <f t="shared" si="242"/>
        <v>UNIQUE</v>
      </c>
      <c r="U3852" t="str">
        <f>IF(ISBLANK(Table1[[#This Row],[SizeOption]]),"NOT AVAILABLE",Table1[[#This Row],[SizeOption]])</f>
        <v>XS, S, M, L, XL</v>
      </c>
      <c r="Y3852" t="str">
        <f>IF(Table2[[#This Row],[Column1]]&gt;50%,"HIGH DISCOUNT","LOW DISCOUNT")</f>
        <v>LOW DISCOUNT</v>
      </c>
    </row>
    <row r="3853" spans="1:25" x14ac:dyDescent="0.25">
      <c r="A3853" s="2" t="s">
        <v>7944</v>
      </c>
      <c r="B3853" s="2">
        <v>10964510</v>
      </c>
      <c r="C3853" s="2" t="s">
        <v>14</v>
      </c>
      <c r="D3853" s="2" t="s">
        <v>41</v>
      </c>
      <c r="E3853" s="2" t="s">
        <v>42</v>
      </c>
      <c r="F3853" s="2" t="s">
        <v>36</v>
      </c>
      <c r="G3853" s="2" t="s">
        <v>7945</v>
      </c>
      <c r="I3853" s="2">
        <v>899</v>
      </c>
      <c r="J3853" s="2" t="s">
        <v>150</v>
      </c>
      <c r="K3853" s="2" t="s">
        <v>45</v>
      </c>
      <c r="L3853" s="2">
        <v>4.2</v>
      </c>
      <c r="M3853" s="2">
        <v>538</v>
      </c>
      <c r="P3853" t="str">
        <f t="shared" si="243"/>
        <v>65%</v>
      </c>
      <c r="Q3853" s="12">
        <f t="shared" si="240"/>
        <v>0.65</v>
      </c>
      <c r="R3853" s="9">
        <f t="shared" si="241"/>
        <v>314.64999999999998</v>
      </c>
      <c r="S3853" s="9">
        <f>IF(R3853="",AVERAGEIF(Table1[Category],Table1[[#This Row],[Category]],Table2[orignal data]),Table2[[#This Row],[orignal data]])</f>
        <v>314.64999999999998</v>
      </c>
      <c r="T3853" t="str">
        <f t="shared" si="242"/>
        <v>UNIQUE</v>
      </c>
      <c r="U3853" t="str">
        <f>IF(ISBLANK(Table1[[#This Row],[SizeOption]]),"NOT AVAILABLE",Table1[[#This Row],[SizeOption]])</f>
        <v>XS, S, M, L, XL</v>
      </c>
      <c r="Y3853" t="str">
        <f>IF(Table2[[#This Row],[Column1]]&gt;50%,"HIGH DISCOUNT","LOW DISCOUNT")</f>
        <v>HIGH DISCOUNT</v>
      </c>
    </row>
    <row r="3854" spans="1:25" x14ac:dyDescent="0.25">
      <c r="A3854" s="1" t="s">
        <v>7946</v>
      </c>
      <c r="B3854" s="1">
        <v>12837724</v>
      </c>
      <c r="C3854" s="1" t="s">
        <v>52</v>
      </c>
      <c r="D3854" s="1" t="s">
        <v>15</v>
      </c>
      <c r="E3854" s="1" t="s">
        <v>16</v>
      </c>
      <c r="F3854" s="1" t="s">
        <v>17</v>
      </c>
      <c r="G3854" s="1" t="s">
        <v>4350</v>
      </c>
      <c r="H3854">
        <v>704</v>
      </c>
      <c r="I3854" s="1">
        <v>1499</v>
      </c>
      <c r="J3854" s="1" t="s">
        <v>89</v>
      </c>
      <c r="K3854" s="1" t="s">
        <v>816</v>
      </c>
      <c r="L3854" s="1">
        <v>3.9</v>
      </c>
      <c r="M3854" s="1">
        <v>537</v>
      </c>
      <c r="P3854" t="str">
        <f t="shared" si="243"/>
        <v>53%</v>
      </c>
      <c r="Q3854" s="12">
        <f t="shared" si="240"/>
        <v>0.53</v>
      </c>
      <c r="R3854" s="9">
        <f t="shared" si="241"/>
        <v>704.53</v>
      </c>
      <c r="S3854" s="9">
        <f>IF(R3854="",AVERAGEIF(Table1[Category],Table1[[#This Row],[Category]],Table2[orignal data]),Table2[[#This Row],[orignal data]])</f>
        <v>704.53</v>
      </c>
      <c r="T3854" t="str">
        <f t="shared" si="242"/>
        <v>UNIQUE</v>
      </c>
      <c r="U3854" t="str">
        <f>IF(ISBLANK(Table1[[#This Row],[SizeOption]]),"NOT AVAILABLE",Table1[[#This Row],[SizeOption]])</f>
        <v>30, 32, 34, 36, 38</v>
      </c>
      <c r="Y3854" t="str">
        <f>IF(Table2[[#This Row],[Column1]]&gt;50%,"HIGH DISCOUNT","LOW DISCOUNT")</f>
        <v>HIGH DISCOUNT</v>
      </c>
    </row>
    <row r="3855" spans="1:25" x14ac:dyDescent="0.25">
      <c r="A3855" s="2" t="s">
        <v>7947</v>
      </c>
      <c r="B3855" s="2">
        <v>2510285</v>
      </c>
      <c r="C3855" s="2" t="s">
        <v>47</v>
      </c>
      <c r="D3855" s="2" t="s">
        <v>197</v>
      </c>
      <c r="E3855" s="2" t="s">
        <v>198</v>
      </c>
      <c r="F3855" s="2" t="s">
        <v>17</v>
      </c>
      <c r="G3855" s="2" t="s">
        <v>7948</v>
      </c>
      <c r="H3855">
        <v>319</v>
      </c>
      <c r="I3855" s="2">
        <v>399</v>
      </c>
      <c r="J3855" s="2" t="s">
        <v>412</v>
      </c>
      <c r="K3855" s="2" t="s">
        <v>164</v>
      </c>
      <c r="L3855" s="2">
        <v>4.0999999999999996</v>
      </c>
      <c r="M3855" s="2">
        <v>537</v>
      </c>
      <c r="P3855" t="str">
        <f t="shared" si="243"/>
        <v>20%</v>
      </c>
      <c r="Q3855" s="12">
        <f t="shared" si="240"/>
        <v>0.2</v>
      </c>
      <c r="R3855" s="9">
        <f t="shared" si="241"/>
        <v>319.2</v>
      </c>
      <c r="S3855" s="9">
        <f>IF(R3855="",AVERAGEIF(Table1[Category],Table1[[#This Row],[Category]],Table2[orignal data]),Table2[[#This Row],[orignal data]])</f>
        <v>319.2</v>
      </c>
      <c r="T3855" t="str">
        <f t="shared" si="242"/>
        <v>UNIQUE</v>
      </c>
      <c r="U3855" t="str">
        <f>IF(ISBLANK(Table1[[#This Row],[SizeOption]]),"NOT AVAILABLE",Table1[[#This Row],[SizeOption]])</f>
        <v>Onesize</v>
      </c>
      <c r="Y3855" t="str">
        <f>IF(Table2[[#This Row],[Column1]]&gt;50%,"HIGH DISCOUNT","LOW DISCOUNT")</f>
        <v>LOW DISCOUNT</v>
      </c>
    </row>
    <row r="3856" spans="1:25" x14ac:dyDescent="0.25">
      <c r="A3856" s="1" t="s">
        <v>7949</v>
      </c>
      <c r="B3856" s="1">
        <v>11999454</v>
      </c>
      <c r="C3856" s="1" t="s">
        <v>67</v>
      </c>
      <c r="D3856" s="1" t="s">
        <v>68</v>
      </c>
      <c r="E3856" s="1" t="s">
        <v>42</v>
      </c>
      <c r="F3856" s="1" t="s">
        <v>17</v>
      </c>
      <c r="G3856" s="1" t="s">
        <v>5597</v>
      </c>
      <c r="H3856">
        <v>279</v>
      </c>
      <c r="I3856" s="1">
        <v>699</v>
      </c>
      <c r="J3856" s="1" t="s">
        <v>55</v>
      </c>
      <c r="K3856" s="1" t="s">
        <v>39</v>
      </c>
      <c r="L3856" s="1">
        <v>4.2</v>
      </c>
      <c r="M3856" s="1">
        <v>537</v>
      </c>
      <c r="P3856" t="str">
        <f t="shared" si="243"/>
        <v>60%</v>
      </c>
      <c r="Q3856" s="12">
        <f t="shared" si="240"/>
        <v>0.6</v>
      </c>
      <c r="R3856" s="9">
        <f t="shared" si="241"/>
        <v>279.60000000000002</v>
      </c>
      <c r="S3856" s="9">
        <f>IF(R3856="",AVERAGEIF(Table1[Category],Table1[[#This Row],[Category]],Table2[orignal data]),Table2[[#This Row],[orignal data]])</f>
        <v>279.60000000000002</v>
      </c>
      <c r="T3856" t="str">
        <f t="shared" si="242"/>
        <v>UNIQUE</v>
      </c>
      <c r="U3856" t="str">
        <f>IF(ISBLANK(Table1[[#This Row],[SizeOption]]),"NOT AVAILABLE",Table1[[#This Row],[SizeOption]])</f>
        <v>S, M, L, XL, XXL</v>
      </c>
      <c r="Y3856" t="str">
        <f>IF(Table2[[#This Row],[Column1]]&gt;50%,"HIGH DISCOUNT","LOW DISCOUNT")</f>
        <v>HIGH DISCOUNT</v>
      </c>
    </row>
    <row r="3857" spans="1:25" x14ac:dyDescent="0.25">
      <c r="A3857" s="2" t="s">
        <v>7950</v>
      </c>
      <c r="B3857" s="2">
        <v>11007592</v>
      </c>
      <c r="C3857" s="2" t="s">
        <v>47</v>
      </c>
      <c r="D3857" s="2" t="s">
        <v>28</v>
      </c>
      <c r="E3857" s="2" t="s">
        <v>29</v>
      </c>
      <c r="F3857" s="2" t="s">
        <v>17</v>
      </c>
      <c r="G3857" s="2" t="s">
        <v>7951</v>
      </c>
      <c r="H3857">
        <v>1099</v>
      </c>
      <c r="I3857" s="2">
        <v>2199</v>
      </c>
      <c r="J3857" s="2" t="s">
        <v>84</v>
      </c>
      <c r="K3857" s="2" t="s">
        <v>253</v>
      </c>
      <c r="L3857" s="2">
        <v>4.2</v>
      </c>
      <c r="M3857" s="2">
        <v>537</v>
      </c>
      <c r="P3857" t="str">
        <f t="shared" si="243"/>
        <v>50%</v>
      </c>
      <c r="Q3857" s="12">
        <f t="shared" si="240"/>
        <v>0.5</v>
      </c>
      <c r="R3857" s="9">
        <f t="shared" si="241"/>
        <v>1099.5</v>
      </c>
      <c r="S3857" s="9">
        <f>IF(R3857="",AVERAGEIF(Table1[Category],Table1[[#This Row],[Category]],Table2[orignal data]),Table2[[#This Row],[orignal data]])</f>
        <v>1099.5</v>
      </c>
      <c r="T3857" t="str">
        <f t="shared" si="242"/>
        <v>UNIQUE</v>
      </c>
      <c r="U3857" t="str">
        <f>IF(ISBLANK(Table1[[#This Row],[SizeOption]]),"NOT AVAILABLE",Table1[[#This Row],[SizeOption]])</f>
        <v>38, 40, 42, 44</v>
      </c>
      <c r="Y3857" t="str">
        <f>IF(Table2[[#This Row],[Column1]]&gt;50%,"HIGH DISCOUNT","LOW DISCOUNT")</f>
        <v>LOW DISCOUNT</v>
      </c>
    </row>
    <row r="3858" spans="1:25" x14ac:dyDescent="0.25">
      <c r="A3858" s="1" t="s">
        <v>7952</v>
      </c>
      <c r="B3858" s="1">
        <v>2475824</v>
      </c>
      <c r="C3858" s="1" t="s">
        <v>14</v>
      </c>
      <c r="D3858" s="1" t="s">
        <v>28</v>
      </c>
      <c r="E3858" s="1" t="s">
        <v>42</v>
      </c>
      <c r="F3858" s="1" t="s">
        <v>17</v>
      </c>
      <c r="G3858" s="1" t="s">
        <v>7953</v>
      </c>
      <c r="H3858">
        <v>419</v>
      </c>
      <c r="I3858" s="1">
        <v>699</v>
      </c>
      <c r="J3858" s="1" t="s">
        <v>50</v>
      </c>
      <c r="K3858" s="1" t="s">
        <v>73</v>
      </c>
      <c r="L3858" s="1">
        <v>4.0999999999999996</v>
      </c>
      <c r="M3858" s="1">
        <v>537</v>
      </c>
      <c r="P3858" t="str">
        <f t="shared" si="243"/>
        <v>40%</v>
      </c>
      <c r="Q3858" s="12">
        <f t="shared" si="240"/>
        <v>0.4</v>
      </c>
      <c r="R3858" s="9">
        <f t="shared" si="241"/>
        <v>419.4</v>
      </c>
      <c r="S3858" s="9">
        <f>IF(R3858="",AVERAGEIF(Table1[Category],Table1[[#This Row],[Category]],Table2[orignal data]),Table2[[#This Row],[orignal data]])</f>
        <v>419.4</v>
      </c>
      <c r="T3858" t="str">
        <f t="shared" si="242"/>
        <v>UNIQUE</v>
      </c>
      <c r="U3858" t="str">
        <f>IF(ISBLANK(Table1[[#This Row],[SizeOption]]),"NOT AVAILABLE",Table1[[#This Row],[SizeOption]])</f>
        <v>XS, S, M, L, XL, XXL, 3XL, 4XL</v>
      </c>
      <c r="Y3858" t="str">
        <f>IF(Table2[[#This Row],[Column1]]&gt;50%,"HIGH DISCOUNT","LOW DISCOUNT")</f>
        <v>LOW DISCOUNT</v>
      </c>
    </row>
    <row r="3859" spans="1:25" x14ac:dyDescent="0.25">
      <c r="A3859" s="2" t="s">
        <v>7954</v>
      </c>
      <c r="B3859" s="2">
        <v>10556824</v>
      </c>
      <c r="C3859" s="2" t="s">
        <v>92</v>
      </c>
      <c r="D3859" s="2" t="s">
        <v>76</v>
      </c>
      <c r="E3859" s="2" t="s">
        <v>93</v>
      </c>
      <c r="F3859" s="2" t="s">
        <v>36</v>
      </c>
      <c r="G3859" s="2" t="s">
        <v>7955</v>
      </c>
      <c r="H3859">
        <v>507</v>
      </c>
      <c r="I3859" s="2">
        <v>1449</v>
      </c>
      <c r="J3859" s="2" t="s">
        <v>150</v>
      </c>
      <c r="K3859" s="2" t="s">
        <v>39</v>
      </c>
      <c r="L3859" s="2">
        <v>4</v>
      </c>
      <c r="M3859" s="2">
        <v>537</v>
      </c>
      <c r="P3859" t="str">
        <f t="shared" si="243"/>
        <v>65%</v>
      </c>
      <c r="Q3859" s="12">
        <f t="shared" si="240"/>
        <v>0.65</v>
      </c>
      <c r="R3859" s="9">
        <f t="shared" si="241"/>
        <v>507.15</v>
      </c>
      <c r="S3859" s="9">
        <f>IF(R3859="",AVERAGEIF(Table1[Category],Table1[[#This Row],[Category]],Table2[orignal data]),Table2[[#This Row],[orignal data]])</f>
        <v>507.15</v>
      </c>
      <c r="T3859" t="str">
        <f t="shared" si="242"/>
        <v>UNIQUE</v>
      </c>
      <c r="U3859" t="str">
        <f>IF(ISBLANK(Table1[[#This Row],[SizeOption]]),"NOT AVAILABLE",Table1[[#This Row],[SizeOption]])</f>
        <v>S, M, L, XL, XXL</v>
      </c>
      <c r="Y3859" t="str">
        <f>IF(Table2[[#This Row],[Column1]]&gt;50%,"HIGH DISCOUNT","LOW DISCOUNT")</f>
        <v>HIGH DISCOUNT</v>
      </c>
    </row>
    <row r="3860" spans="1:25" x14ac:dyDescent="0.25">
      <c r="A3860" s="1" t="s">
        <v>7956</v>
      </c>
      <c r="B3860" s="1">
        <v>11455132</v>
      </c>
      <c r="C3860" s="1" t="s">
        <v>1375</v>
      </c>
      <c r="D3860" s="1" t="s">
        <v>76</v>
      </c>
      <c r="E3860" s="1" t="s">
        <v>320</v>
      </c>
      <c r="F3860" s="1" t="s">
        <v>36</v>
      </c>
      <c r="G3860" s="1" t="s">
        <v>7957</v>
      </c>
      <c r="H3860">
        <v>887</v>
      </c>
      <c r="I3860" s="1">
        <v>2399</v>
      </c>
      <c r="J3860" s="1" t="s">
        <v>476</v>
      </c>
      <c r="K3860" s="1" t="s">
        <v>164</v>
      </c>
      <c r="L3860" s="1">
        <v>4</v>
      </c>
      <c r="M3860" s="1">
        <v>537</v>
      </c>
      <c r="P3860" t="str">
        <f t="shared" si="243"/>
        <v>63%</v>
      </c>
      <c r="Q3860" s="12">
        <f t="shared" si="240"/>
        <v>0.63</v>
      </c>
      <c r="R3860" s="9">
        <f t="shared" si="241"/>
        <v>887.62999999999988</v>
      </c>
      <c r="S3860" s="9">
        <f>IF(R3860="",AVERAGEIF(Table1[Category],Table1[[#This Row],[Category]],Table2[orignal data]),Table2[[#This Row],[orignal data]])</f>
        <v>887.62999999999988</v>
      </c>
      <c r="T3860" t="str">
        <f t="shared" si="242"/>
        <v>UNIQUE</v>
      </c>
      <c r="U3860" t="str">
        <f>IF(ISBLANK(Table1[[#This Row],[SizeOption]]),"NOT AVAILABLE",Table1[[#This Row],[SizeOption]])</f>
        <v>Onesize</v>
      </c>
      <c r="Y3860" t="str">
        <f>IF(Table2[[#This Row],[Column1]]&gt;50%,"HIGH DISCOUNT","LOW DISCOUNT")</f>
        <v>HIGH DISCOUNT</v>
      </c>
    </row>
    <row r="3861" spans="1:25" x14ac:dyDescent="0.25">
      <c r="A3861" s="2" t="s">
        <v>7958</v>
      </c>
      <c r="B3861" s="2">
        <v>12185296</v>
      </c>
      <c r="C3861" s="2" t="s">
        <v>7959</v>
      </c>
      <c r="D3861" s="2" t="s">
        <v>34</v>
      </c>
      <c r="E3861" s="2" t="s">
        <v>406</v>
      </c>
      <c r="F3861" s="2" t="s">
        <v>36</v>
      </c>
      <c r="G3861" s="2" t="s">
        <v>7960</v>
      </c>
      <c r="H3861">
        <v>874</v>
      </c>
      <c r="I3861" s="2">
        <v>2499</v>
      </c>
      <c r="J3861" s="2" t="s">
        <v>150</v>
      </c>
      <c r="K3861" s="2" t="s">
        <v>115</v>
      </c>
      <c r="L3861" s="2">
        <v>4.4000000000000004</v>
      </c>
      <c r="M3861" s="2">
        <v>537</v>
      </c>
      <c r="P3861" t="str">
        <f t="shared" si="243"/>
        <v>65%</v>
      </c>
      <c r="Q3861" s="12">
        <f t="shared" si="240"/>
        <v>0.65</v>
      </c>
      <c r="R3861" s="9">
        <f t="shared" si="241"/>
        <v>874.64999999999986</v>
      </c>
      <c r="S3861" s="9">
        <f>IF(R3861="",AVERAGEIF(Table1[Category],Table1[[#This Row],[Category]],Table2[orignal data]),Table2[[#This Row],[orignal data]])</f>
        <v>874.64999999999986</v>
      </c>
      <c r="T3861" t="str">
        <f t="shared" si="242"/>
        <v>UNIQUE</v>
      </c>
      <c r="U3861" t="str">
        <f>IF(ISBLANK(Table1[[#This Row],[SizeOption]]),"NOT AVAILABLE",Table1[[#This Row],[SizeOption]])</f>
        <v>XS, S, M, L, XL, XXL</v>
      </c>
      <c r="Y3861" t="str">
        <f>IF(Table2[[#This Row],[Column1]]&gt;50%,"HIGH DISCOUNT","LOW DISCOUNT")</f>
        <v>HIGH DISCOUNT</v>
      </c>
    </row>
    <row r="3862" spans="1:25" x14ac:dyDescent="0.25">
      <c r="A3862" s="1" t="s">
        <v>7961</v>
      </c>
      <c r="B3862" s="1">
        <v>11636396</v>
      </c>
      <c r="C3862" s="1" t="s">
        <v>1656</v>
      </c>
      <c r="D3862" s="1" t="s">
        <v>41</v>
      </c>
      <c r="E3862" s="1" t="s">
        <v>53</v>
      </c>
      <c r="F3862" s="1" t="s">
        <v>36</v>
      </c>
      <c r="G3862" s="1" t="s">
        <v>7962</v>
      </c>
      <c r="I3862" s="1">
        <v>1299</v>
      </c>
      <c r="J3862" s="1" t="s">
        <v>25</v>
      </c>
      <c r="K3862" s="1" t="s">
        <v>134</v>
      </c>
      <c r="L3862" s="1">
        <v>4.2</v>
      </c>
      <c r="M3862" s="1">
        <v>537</v>
      </c>
      <c r="P3862" t="str">
        <f t="shared" si="243"/>
        <v>55%</v>
      </c>
      <c r="Q3862" s="12">
        <f t="shared" si="240"/>
        <v>0.55000000000000004</v>
      </c>
      <c r="R3862" s="9">
        <f t="shared" si="241"/>
        <v>584.54999999999995</v>
      </c>
      <c r="S3862" s="9">
        <f>IF(R3862="",AVERAGEIF(Table1[Category],Table1[[#This Row],[Category]],Table2[orignal data]),Table2[[#This Row],[orignal data]])</f>
        <v>584.54999999999995</v>
      </c>
      <c r="T3862" t="str">
        <f t="shared" si="242"/>
        <v>UNIQUE</v>
      </c>
      <c r="U3862" t="str">
        <f>IF(ISBLANK(Table1[[#This Row],[SizeOption]]),"NOT AVAILABLE",Table1[[#This Row],[SizeOption]])</f>
        <v>26, 28, 30, 32, 34, 36</v>
      </c>
      <c r="Y3862" t="str">
        <f>IF(Table2[[#This Row],[Column1]]&gt;50%,"HIGH DISCOUNT","LOW DISCOUNT")</f>
        <v>HIGH DISCOUNT</v>
      </c>
    </row>
    <row r="3863" spans="1:25" x14ac:dyDescent="0.25">
      <c r="A3863" s="2" t="s">
        <v>7963</v>
      </c>
      <c r="B3863" s="2">
        <v>14067770</v>
      </c>
      <c r="C3863" s="2" t="s">
        <v>52</v>
      </c>
      <c r="D3863" s="2" t="s">
        <v>15</v>
      </c>
      <c r="E3863" s="2" t="s">
        <v>23</v>
      </c>
      <c r="F3863" s="2" t="s">
        <v>17</v>
      </c>
      <c r="G3863" s="2" t="s">
        <v>2337</v>
      </c>
      <c r="H3863">
        <v>493</v>
      </c>
      <c r="I3863" s="2">
        <v>949</v>
      </c>
      <c r="J3863" s="2" t="s">
        <v>602</v>
      </c>
      <c r="K3863" s="2" t="s">
        <v>26</v>
      </c>
      <c r="L3863" s="2">
        <v>4</v>
      </c>
      <c r="M3863" s="2">
        <v>536</v>
      </c>
      <c r="P3863" t="str">
        <f t="shared" si="243"/>
        <v>48%</v>
      </c>
      <c r="Q3863" s="12">
        <f t="shared" si="240"/>
        <v>0.48</v>
      </c>
      <c r="R3863" s="9">
        <f t="shared" si="241"/>
        <v>493.48</v>
      </c>
      <c r="S3863" s="9">
        <f>IF(R3863="",AVERAGEIF(Table1[Category],Table1[[#This Row],[Category]],Table2[orignal data]),Table2[[#This Row],[orignal data]])</f>
        <v>493.48</v>
      </c>
      <c r="T3863" t="str">
        <f t="shared" si="242"/>
        <v>UNIQUE</v>
      </c>
      <c r="U3863" t="str">
        <f>IF(ISBLANK(Table1[[#This Row],[SizeOption]]),"NOT AVAILABLE",Table1[[#This Row],[SizeOption]])</f>
        <v>S, M, L, XL</v>
      </c>
      <c r="Y3863" t="str">
        <f>IF(Table2[[#This Row],[Column1]]&gt;50%,"HIGH DISCOUNT","LOW DISCOUNT")</f>
        <v>LOW DISCOUNT</v>
      </c>
    </row>
    <row r="3864" spans="1:25" x14ac:dyDescent="0.25">
      <c r="A3864" s="1" t="s">
        <v>7964</v>
      </c>
      <c r="B3864" s="1">
        <v>10238675</v>
      </c>
      <c r="C3864" s="1" t="s">
        <v>169</v>
      </c>
      <c r="D3864" s="1" t="s">
        <v>15</v>
      </c>
      <c r="E3864" s="1" t="s">
        <v>53</v>
      </c>
      <c r="F3864" s="1" t="s">
        <v>17</v>
      </c>
      <c r="G3864" s="1" t="s">
        <v>5216</v>
      </c>
      <c r="H3864">
        <v>1209</v>
      </c>
      <c r="I3864" s="1">
        <v>2199</v>
      </c>
      <c r="J3864" s="1" t="s">
        <v>19</v>
      </c>
      <c r="K3864" s="1" t="s">
        <v>171</v>
      </c>
      <c r="L3864" s="1">
        <v>4.3</v>
      </c>
      <c r="M3864" s="1">
        <v>536</v>
      </c>
      <c r="P3864" t="str">
        <f t="shared" si="243"/>
        <v>45%</v>
      </c>
      <c r="Q3864" s="12">
        <f t="shared" si="240"/>
        <v>0.45</v>
      </c>
      <c r="R3864" s="9">
        <f t="shared" si="241"/>
        <v>1209.4499999999998</v>
      </c>
      <c r="S3864" s="9">
        <f>IF(R3864="",AVERAGEIF(Table1[Category],Table1[[#This Row],[Category]],Table2[orignal data]),Table2[[#This Row],[orignal data]])</f>
        <v>1209.4499999999998</v>
      </c>
      <c r="T3864" t="str">
        <f t="shared" si="242"/>
        <v>UNIQUE</v>
      </c>
      <c r="U3864" t="str">
        <f>IF(ISBLANK(Table1[[#This Row],[SizeOption]]),"NOT AVAILABLE",Table1[[#This Row],[SizeOption]])</f>
        <v>28, 30, 32, 34, 36, 38</v>
      </c>
      <c r="Y3864" t="str">
        <f>IF(Table2[[#This Row],[Column1]]&gt;50%,"HIGH DISCOUNT","LOW DISCOUNT")</f>
        <v>LOW DISCOUNT</v>
      </c>
    </row>
    <row r="3865" spans="1:25" x14ac:dyDescent="0.25">
      <c r="A3865" s="2" t="s">
        <v>7965</v>
      </c>
      <c r="B3865" s="2">
        <v>10046837</v>
      </c>
      <c r="C3865" s="2" t="s">
        <v>14</v>
      </c>
      <c r="D3865" s="2" t="s">
        <v>15</v>
      </c>
      <c r="E3865" s="2" t="s">
        <v>16</v>
      </c>
      <c r="F3865" s="2" t="s">
        <v>17</v>
      </c>
      <c r="G3865" s="2" t="s">
        <v>7966</v>
      </c>
      <c r="H3865">
        <v>674</v>
      </c>
      <c r="I3865" s="2">
        <v>1499</v>
      </c>
      <c r="J3865" s="2" t="s">
        <v>25</v>
      </c>
      <c r="K3865" s="2" t="s">
        <v>20</v>
      </c>
      <c r="L3865" s="2">
        <v>3.7</v>
      </c>
      <c r="M3865" s="2">
        <v>536</v>
      </c>
      <c r="P3865" t="str">
        <f t="shared" si="243"/>
        <v>55%</v>
      </c>
      <c r="Q3865" s="12">
        <f t="shared" si="240"/>
        <v>0.55000000000000004</v>
      </c>
      <c r="R3865" s="9">
        <f t="shared" si="241"/>
        <v>674.55</v>
      </c>
      <c r="S3865" s="9">
        <f>IF(R3865="",AVERAGEIF(Table1[Category],Table1[[#This Row],[Category]],Table2[orignal data]),Table2[[#This Row],[orignal data]])</f>
        <v>674.55</v>
      </c>
      <c r="T3865" t="str">
        <f t="shared" si="242"/>
        <v>UNIQUE</v>
      </c>
      <c r="U3865" t="str">
        <f>IF(ISBLANK(Table1[[#This Row],[SizeOption]]),"NOT AVAILABLE",Table1[[#This Row],[SizeOption]])</f>
        <v>28, 30, 32, 34, 36</v>
      </c>
      <c r="Y3865" t="str">
        <f>IF(Table2[[#This Row],[Column1]]&gt;50%,"HIGH DISCOUNT","LOW DISCOUNT")</f>
        <v>HIGH DISCOUNT</v>
      </c>
    </row>
    <row r="3866" spans="1:25" x14ac:dyDescent="0.25">
      <c r="A3866" s="1" t="s">
        <v>7967</v>
      </c>
      <c r="B3866" s="1">
        <v>14393658</v>
      </c>
      <c r="C3866" s="1" t="s">
        <v>14</v>
      </c>
      <c r="D3866" s="1" t="s">
        <v>197</v>
      </c>
      <c r="E3866" s="1" t="s">
        <v>350</v>
      </c>
      <c r="F3866" s="1" t="s">
        <v>17</v>
      </c>
      <c r="G3866" s="1" t="s">
        <v>7968</v>
      </c>
      <c r="H3866">
        <v>319</v>
      </c>
      <c r="I3866" s="1">
        <v>799</v>
      </c>
      <c r="J3866" s="1" t="s">
        <v>141</v>
      </c>
      <c r="K3866" s="1" t="s">
        <v>26</v>
      </c>
      <c r="L3866" s="1">
        <v>4.2</v>
      </c>
      <c r="M3866" s="1">
        <v>536</v>
      </c>
      <c r="P3866" t="str">
        <f t="shared" si="243"/>
        <v>60%</v>
      </c>
      <c r="Q3866" s="12">
        <f t="shared" si="240"/>
        <v>0.6</v>
      </c>
      <c r="R3866" s="9">
        <f t="shared" si="241"/>
        <v>319.60000000000002</v>
      </c>
      <c r="S3866" s="9">
        <f>IF(R3866="",AVERAGEIF(Table1[Category],Table1[[#This Row],[Category]],Table2[orignal data]),Table2[[#This Row],[orignal data]])</f>
        <v>319.60000000000002</v>
      </c>
      <c r="T3866" t="str">
        <f t="shared" si="242"/>
        <v>UNIQUE</v>
      </c>
      <c r="U3866" t="str">
        <f>IF(ISBLANK(Table1[[#This Row],[SizeOption]]),"NOT AVAILABLE",Table1[[#This Row],[SizeOption]])</f>
        <v>S, M, L, XL</v>
      </c>
      <c r="Y3866" t="str">
        <f>IF(Table2[[#This Row],[Column1]]&gt;50%,"HIGH DISCOUNT","LOW DISCOUNT")</f>
        <v>HIGH DISCOUNT</v>
      </c>
    </row>
    <row r="3867" spans="1:25" x14ac:dyDescent="0.25">
      <c r="A3867" s="2" t="s">
        <v>7969</v>
      </c>
      <c r="B3867" s="2">
        <v>10548230</v>
      </c>
      <c r="C3867" s="2" t="s">
        <v>3510</v>
      </c>
      <c r="D3867" s="2" t="s">
        <v>197</v>
      </c>
      <c r="E3867" s="2" t="s">
        <v>1807</v>
      </c>
      <c r="F3867" s="2" t="s">
        <v>17</v>
      </c>
      <c r="G3867" s="2" t="s">
        <v>7970</v>
      </c>
      <c r="I3867" s="2">
        <v>438</v>
      </c>
      <c r="J3867" s="2"/>
      <c r="K3867" s="2" t="s">
        <v>352</v>
      </c>
      <c r="L3867" s="2">
        <v>4.5</v>
      </c>
      <c r="M3867" s="2">
        <v>536</v>
      </c>
      <c r="P3867" t="str">
        <f t="shared" si="243"/>
        <v/>
      </c>
      <c r="Q3867" s="12" t="str">
        <f t="shared" si="240"/>
        <v/>
      </c>
      <c r="R3867" s="9" t="str">
        <f t="shared" si="241"/>
        <v/>
      </c>
      <c r="S3867" s="9">
        <f>IF(R3867="",AVERAGEIF(Table1[Category],Table1[[#This Row],[Category]],Table2[orignal data]),Table2[[#This Row],[orignal data]])</f>
        <v>552.70900000000006</v>
      </c>
      <c r="T3867" t="str">
        <f t="shared" si="242"/>
        <v>UNIQUE</v>
      </c>
      <c r="U3867" t="str">
        <f>IF(ISBLANK(Table1[[#This Row],[SizeOption]]),"NOT AVAILABLE",Table1[[#This Row],[SizeOption]])</f>
        <v>S, M, L</v>
      </c>
      <c r="Y3867" t="str">
        <f>IF(Table2[[#This Row],[Column1]]&gt;50%,"HIGH DISCOUNT","LOW DISCOUNT")</f>
        <v>HIGH DISCOUNT</v>
      </c>
    </row>
    <row r="3868" spans="1:25" x14ac:dyDescent="0.25">
      <c r="A3868" s="1" t="s">
        <v>7971</v>
      </c>
      <c r="B3868" s="1">
        <v>12816784</v>
      </c>
      <c r="C3868" s="1" t="s">
        <v>64</v>
      </c>
      <c r="D3868" s="1" t="s">
        <v>28</v>
      </c>
      <c r="E3868" s="1" t="s">
        <v>42</v>
      </c>
      <c r="F3868" s="1" t="s">
        <v>17</v>
      </c>
      <c r="G3868" s="1" t="s">
        <v>7972</v>
      </c>
      <c r="H3868">
        <v>329</v>
      </c>
      <c r="I3868" s="1">
        <v>599</v>
      </c>
      <c r="J3868" s="1" t="s">
        <v>19</v>
      </c>
      <c r="K3868" s="1" t="s">
        <v>26</v>
      </c>
      <c r="L3868" s="1">
        <v>4.0999999999999996</v>
      </c>
      <c r="M3868" s="1">
        <v>536</v>
      </c>
      <c r="P3868" t="str">
        <f t="shared" si="243"/>
        <v>45%</v>
      </c>
      <c r="Q3868" s="12">
        <f t="shared" si="240"/>
        <v>0.45</v>
      </c>
      <c r="R3868" s="9">
        <f t="shared" si="241"/>
        <v>329.45</v>
      </c>
      <c r="S3868" s="9">
        <f>IF(R3868="",AVERAGEIF(Table1[Category],Table1[[#This Row],[Category]],Table2[orignal data]),Table2[[#This Row],[orignal data]])</f>
        <v>329.45</v>
      </c>
      <c r="T3868" t="str">
        <f t="shared" si="242"/>
        <v>UNIQUE</v>
      </c>
      <c r="U3868" t="str">
        <f>IF(ISBLANK(Table1[[#This Row],[SizeOption]]),"NOT AVAILABLE",Table1[[#This Row],[SizeOption]])</f>
        <v>S, M, L, XL</v>
      </c>
      <c r="Y3868" t="str">
        <f>IF(Table2[[#This Row],[Column1]]&gt;50%,"HIGH DISCOUNT","LOW DISCOUNT")</f>
        <v>LOW DISCOUNT</v>
      </c>
    </row>
    <row r="3869" spans="1:25" x14ac:dyDescent="0.25">
      <c r="A3869" s="2" t="s">
        <v>7973</v>
      </c>
      <c r="B3869" s="2">
        <v>7541684</v>
      </c>
      <c r="C3869" s="2" t="s">
        <v>7974</v>
      </c>
      <c r="D3869" s="2" t="s">
        <v>34</v>
      </c>
      <c r="E3869" s="2" t="s">
        <v>296</v>
      </c>
      <c r="F3869" s="2" t="s">
        <v>36</v>
      </c>
      <c r="G3869" s="2" t="s">
        <v>7975</v>
      </c>
      <c r="I3869" s="2">
        <v>600</v>
      </c>
      <c r="J3869" s="2"/>
      <c r="K3869" s="2" t="s">
        <v>26</v>
      </c>
      <c r="L3869" s="2">
        <v>4.3</v>
      </c>
      <c r="M3869" s="2">
        <v>536</v>
      </c>
      <c r="P3869" t="str">
        <f t="shared" si="243"/>
        <v/>
      </c>
      <c r="Q3869" s="12" t="str">
        <f t="shared" si="240"/>
        <v/>
      </c>
      <c r="R3869" s="9" t="str">
        <f t="shared" si="241"/>
        <v/>
      </c>
      <c r="S3869" s="9">
        <f>IF(R3869="",AVERAGEIF(Table1[Category],Table1[[#This Row],[Category]],Table2[orignal data]),Table2[[#This Row],[orignal data]])</f>
        <v>608.88518518518481</v>
      </c>
      <c r="T3869" t="str">
        <f t="shared" si="242"/>
        <v>UNIQUE</v>
      </c>
      <c r="U3869" t="str">
        <f>IF(ISBLANK(Table1[[#This Row],[SizeOption]]),"NOT AVAILABLE",Table1[[#This Row],[SizeOption]])</f>
        <v>S, M, L, XL</v>
      </c>
      <c r="Y3869" t="str">
        <f>IF(Table2[[#This Row],[Column1]]&gt;50%,"HIGH DISCOUNT","LOW DISCOUNT")</f>
        <v>HIGH DISCOUNT</v>
      </c>
    </row>
    <row r="3870" spans="1:25" x14ac:dyDescent="0.25">
      <c r="A3870" s="1" t="s">
        <v>7976</v>
      </c>
      <c r="B3870" s="1">
        <v>2039874</v>
      </c>
      <c r="C3870" s="1" t="s">
        <v>377</v>
      </c>
      <c r="D3870" s="1" t="s">
        <v>98</v>
      </c>
      <c r="E3870" s="1" t="s">
        <v>53</v>
      </c>
      <c r="F3870" s="1" t="s">
        <v>36</v>
      </c>
      <c r="G3870" s="1" t="s">
        <v>7977</v>
      </c>
      <c r="H3870">
        <v>623</v>
      </c>
      <c r="I3870" s="1">
        <v>1299</v>
      </c>
      <c r="J3870" s="1" t="s">
        <v>208</v>
      </c>
      <c r="K3870" s="1" t="s">
        <v>20</v>
      </c>
      <c r="L3870" s="1">
        <v>4.2</v>
      </c>
      <c r="M3870" s="1">
        <v>536</v>
      </c>
      <c r="P3870" t="str">
        <f t="shared" si="243"/>
        <v>52%</v>
      </c>
      <c r="Q3870" s="12">
        <f t="shared" si="240"/>
        <v>0.52</v>
      </c>
      <c r="R3870" s="9">
        <f t="shared" si="241"/>
        <v>623.52</v>
      </c>
      <c r="S3870" s="9">
        <f>IF(R3870="",AVERAGEIF(Table1[Category],Table1[[#This Row],[Category]],Table2[orignal data]),Table2[[#This Row],[orignal data]])</f>
        <v>623.52</v>
      </c>
      <c r="T3870" t="str">
        <f t="shared" si="242"/>
        <v>UNIQUE</v>
      </c>
      <c r="U3870" t="str">
        <f>IF(ISBLANK(Table1[[#This Row],[SizeOption]]),"NOT AVAILABLE",Table1[[#This Row],[SizeOption]])</f>
        <v>28, 30, 32, 34, 36</v>
      </c>
      <c r="Y3870" t="str">
        <f>IF(Table2[[#This Row],[Column1]]&gt;50%,"HIGH DISCOUNT","LOW DISCOUNT")</f>
        <v>HIGH DISCOUNT</v>
      </c>
    </row>
    <row r="3871" spans="1:25" x14ac:dyDescent="0.25">
      <c r="A3871" s="2" t="s">
        <v>7978</v>
      </c>
      <c r="B3871" s="2">
        <v>10620342</v>
      </c>
      <c r="C3871" s="2" t="s">
        <v>64</v>
      </c>
      <c r="D3871" s="2" t="s">
        <v>98</v>
      </c>
      <c r="E3871" s="2" t="s">
        <v>1881</v>
      </c>
      <c r="F3871" s="2" t="s">
        <v>36</v>
      </c>
      <c r="G3871" s="2" t="s">
        <v>7979</v>
      </c>
      <c r="H3871">
        <v>839</v>
      </c>
      <c r="I3871" s="2">
        <v>2799</v>
      </c>
      <c r="J3871" s="2" t="s">
        <v>1566</v>
      </c>
      <c r="K3871" s="2" t="s">
        <v>115</v>
      </c>
      <c r="L3871" s="2">
        <v>4.4000000000000004</v>
      </c>
      <c r="M3871" s="2">
        <v>536</v>
      </c>
      <c r="P3871" t="str">
        <f t="shared" si="243"/>
        <v>70%</v>
      </c>
      <c r="Q3871" s="12">
        <f t="shared" si="240"/>
        <v>0.7</v>
      </c>
      <c r="R3871" s="9">
        <f t="shared" si="241"/>
        <v>839.7</v>
      </c>
      <c r="S3871" s="9">
        <f>IF(R3871="",AVERAGEIF(Table1[Category],Table1[[#This Row],[Category]],Table2[orignal data]),Table2[[#This Row],[orignal data]])</f>
        <v>839.7</v>
      </c>
      <c r="T3871" t="str">
        <f t="shared" si="242"/>
        <v>UNIQUE</v>
      </c>
      <c r="U3871" t="str">
        <f>IF(ISBLANK(Table1[[#This Row],[SizeOption]]),"NOT AVAILABLE",Table1[[#This Row],[SizeOption]])</f>
        <v>XS, S, M, L, XL, XXL</v>
      </c>
      <c r="Y3871" t="str">
        <f>IF(Table2[[#This Row],[Column1]]&gt;50%,"HIGH DISCOUNT","LOW DISCOUNT")</f>
        <v>HIGH DISCOUNT</v>
      </c>
    </row>
    <row r="3872" spans="1:25" x14ac:dyDescent="0.25">
      <c r="A3872" s="1" t="s">
        <v>7980</v>
      </c>
      <c r="B3872" s="1">
        <v>10867778</v>
      </c>
      <c r="C3872" s="1" t="s">
        <v>7890</v>
      </c>
      <c r="D3872" s="1" t="s">
        <v>68</v>
      </c>
      <c r="E3872" s="1" t="s">
        <v>42</v>
      </c>
      <c r="F3872" s="1" t="s">
        <v>36</v>
      </c>
      <c r="G3872" s="1" t="s">
        <v>7981</v>
      </c>
      <c r="H3872">
        <v>487</v>
      </c>
      <c r="I3872" s="1">
        <v>799</v>
      </c>
      <c r="J3872" s="1" t="s">
        <v>1863</v>
      </c>
      <c r="K3872" s="1" t="s">
        <v>39</v>
      </c>
      <c r="L3872" s="1">
        <v>3.9</v>
      </c>
      <c r="M3872" s="1">
        <v>536</v>
      </c>
      <c r="P3872" t="str">
        <f t="shared" si="243"/>
        <v>39%</v>
      </c>
      <c r="Q3872" s="12">
        <f t="shared" si="240"/>
        <v>0.39</v>
      </c>
      <c r="R3872" s="9">
        <f t="shared" si="241"/>
        <v>487.39</v>
      </c>
      <c r="S3872" s="9">
        <f>IF(R3872="",AVERAGEIF(Table1[Category],Table1[[#This Row],[Category]],Table2[orignal data]),Table2[[#This Row],[orignal data]])</f>
        <v>487.39</v>
      </c>
      <c r="T3872" t="str">
        <f t="shared" si="242"/>
        <v>UNIQUE</v>
      </c>
      <c r="U3872" t="str">
        <f>IF(ISBLANK(Table1[[#This Row],[SizeOption]]),"NOT AVAILABLE",Table1[[#This Row],[SizeOption]])</f>
        <v>S, M, L, XL, XXL</v>
      </c>
      <c r="Y3872" t="str">
        <f>IF(Table2[[#This Row],[Column1]]&gt;50%,"HIGH DISCOUNT","LOW DISCOUNT")</f>
        <v>LOW DISCOUNT</v>
      </c>
    </row>
    <row r="3873" spans="1:25" x14ac:dyDescent="0.25">
      <c r="A3873" s="2" t="s">
        <v>7982</v>
      </c>
      <c r="B3873" s="2">
        <v>2495152</v>
      </c>
      <c r="C3873" s="2" t="s">
        <v>47</v>
      </c>
      <c r="D3873" s="2" t="s">
        <v>41</v>
      </c>
      <c r="E3873" s="2" t="s">
        <v>48</v>
      </c>
      <c r="F3873" s="2" t="s">
        <v>36</v>
      </c>
      <c r="G3873" s="2" t="s">
        <v>1761</v>
      </c>
      <c r="I3873" s="2">
        <v>1099</v>
      </c>
      <c r="J3873" s="2" t="s">
        <v>1986</v>
      </c>
      <c r="K3873" s="2" t="s">
        <v>45</v>
      </c>
      <c r="L3873" s="2">
        <v>4.3</v>
      </c>
      <c r="M3873" s="2">
        <v>536</v>
      </c>
      <c r="P3873" t="str">
        <f t="shared" si="243"/>
        <v>60 %</v>
      </c>
      <c r="Q3873" s="12">
        <f t="shared" si="240"/>
        <v>0.6</v>
      </c>
      <c r="R3873" s="9">
        <f t="shared" si="241"/>
        <v>439.6</v>
      </c>
      <c r="S3873" s="9">
        <f>IF(R3873="",AVERAGEIF(Table1[Category],Table1[[#This Row],[Category]],Table2[orignal data]),Table2[[#This Row],[orignal data]])</f>
        <v>439.6</v>
      </c>
      <c r="T3873" t="str">
        <f t="shared" si="242"/>
        <v>UNIQUE</v>
      </c>
      <c r="U3873" t="str">
        <f>IF(ISBLANK(Table1[[#This Row],[SizeOption]]),"NOT AVAILABLE",Table1[[#This Row],[SizeOption]])</f>
        <v>XS, S, M, L, XL</v>
      </c>
      <c r="Y3873" t="str">
        <f>IF(Table2[[#This Row],[Column1]]&gt;50%,"HIGH DISCOUNT","LOW DISCOUNT")</f>
        <v>HIGH DISCOUNT</v>
      </c>
    </row>
    <row r="3874" spans="1:25" x14ac:dyDescent="0.25">
      <c r="A3874" s="1" t="s">
        <v>7983</v>
      </c>
      <c r="B3874" s="1">
        <v>4441307</v>
      </c>
      <c r="C3874" s="1" t="s">
        <v>58</v>
      </c>
      <c r="D3874" s="1" t="s">
        <v>41</v>
      </c>
      <c r="E3874" s="1" t="s">
        <v>48</v>
      </c>
      <c r="F3874" s="1" t="s">
        <v>36</v>
      </c>
      <c r="G3874" s="1" t="s">
        <v>7984</v>
      </c>
      <c r="I3874" s="1">
        <v>1195</v>
      </c>
      <c r="J3874" s="1" t="s">
        <v>60</v>
      </c>
      <c r="K3874" s="1" t="s">
        <v>26</v>
      </c>
      <c r="L3874" s="1">
        <v>3.8</v>
      </c>
      <c r="M3874" s="1">
        <v>536</v>
      </c>
      <c r="P3874" t="str">
        <f t="shared" si="243"/>
        <v>58%</v>
      </c>
      <c r="Q3874" s="12">
        <f t="shared" si="240"/>
        <v>0.57999999999999996</v>
      </c>
      <c r="R3874" s="9">
        <f t="shared" si="241"/>
        <v>501.90000000000009</v>
      </c>
      <c r="S3874" s="9">
        <f>IF(R3874="",AVERAGEIF(Table1[Category],Table1[[#This Row],[Category]],Table2[orignal data]),Table2[[#This Row],[orignal data]])</f>
        <v>501.90000000000009</v>
      </c>
      <c r="T3874" t="str">
        <f t="shared" si="242"/>
        <v>UNIQUE</v>
      </c>
      <c r="U3874" t="str">
        <f>IF(ISBLANK(Table1[[#This Row],[SizeOption]]),"NOT AVAILABLE",Table1[[#This Row],[SizeOption]])</f>
        <v>S, M, L, XL</v>
      </c>
      <c r="Y3874" t="str">
        <f>IF(Table2[[#This Row],[Column1]]&gt;50%,"HIGH DISCOUNT","LOW DISCOUNT")</f>
        <v>HIGH DISCOUNT</v>
      </c>
    </row>
    <row r="3875" spans="1:25" x14ac:dyDescent="0.25">
      <c r="A3875" s="2" t="s">
        <v>7985</v>
      </c>
      <c r="B3875" s="2">
        <v>17381840</v>
      </c>
      <c r="C3875" s="2" t="s">
        <v>14</v>
      </c>
      <c r="D3875" s="2" t="s">
        <v>41</v>
      </c>
      <c r="E3875" s="2" t="s">
        <v>42</v>
      </c>
      <c r="F3875" s="2" t="s">
        <v>36</v>
      </c>
      <c r="G3875" s="2" t="s">
        <v>7986</v>
      </c>
      <c r="I3875" s="2">
        <v>1598</v>
      </c>
      <c r="J3875" s="2" t="s">
        <v>84</v>
      </c>
      <c r="K3875" s="2" t="s">
        <v>45</v>
      </c>
      <c r="L3875" s="2">
        <v>4.3</v>
      </c>
      <c r="M3875" s="2">
        <v>536</v>
      </c>
      <c r="P3875" t="str">
        <f t="shared" si="243"/>
        <v>50%</v>
      </c>
      <c r="Q3875" s="12">
        <f t="shared" si="240"/>
        <v>0.5</v>
      </c>
      <c r="R3875" s="9">
        <f t="shared" si="241"/>
        <v>799</v>
      </c>
      <c r="S3875" s="9">
        <f>IF(R3875="",AVERAGEIF(Table1[Category],Table1[[#This Row],[Category]],Table2[orignal data]),Table2[[#This Row],[orignal data]])</f>
        <v>799</v>
      </c>
      <c r="T3875" t="str">
        <f t="shared" si="242"/>
        <v>UNIQUE</v>
      </c>
      <c r="U3875" t="str">
        <f>IF(ISBLANK(Table1[[#This Row],[SizeOption]]),"NOT AVAILABLE",Table1[[#This Row],[SizeOption]])</f>
        <v>XS, S, M, L, XL</v>
      </c>
      <c r="Y3875" t="str">
        <f>IF(Table2[[#This Row],[Column1]]&gt;50%,"HIGH DISCOUNT","LOW DISCOUNT")</f>
        <v>LOW DISCOUNT</v>
      </c>
    </row>
    <row r="3876" spans="1:25" x14ac:dyDescent="0.25">
      <c r="A3876" s="1" t="s">
        <v>7987</v>
      </c>
      <c r="B3876" s="1">
        <v>10440518</v>
      </c>
      <c r="C3876" s="1" t="s">
        <v>107</v>
      </c>
      <c r="D3876" s="1" t="s">
        <v>41</v>
      </c>
      <c r="E3876" s="1" t="s">
        <v>148</v>
      </c>
      <c r="F3876" s="1" t="s">
        <v>36</v>
      </c>
      <c r="G3876" s="1" t="s">
        <v>7988</v>
      </c>
      <c r="I3876" s="1">
        <v>1699</v>
      </c>
      <c r="J3876" s="1" t="s">
        <v>84</v>
      </c>
      <c r="K3876" s="1" t="s">
        <v>45</v>
      </c>
      <c r="L3876" s="1">
        <v>4.3</v>
      </c>
      <c r="M3876" s="1">
        <v>536</v>
      </c>
      <c r="P3876" t="str">
        <f t="shared" si="243"/>
        <v>50%</v>
      </c>
      <c r="Q3876" s="12">
        <f t="shared" si="240"/>
        <v>0.5</v>
      </c>
      <c r="R3876" s="9">
        <f t="shared" si="241"/>
        <v>849.5</v>
      </c>
      <c r="S3876" s="9">
        <f>IF(R3876="",AVERAGEIF(Table1[Category],Table1[[#This Row],[Category]],Table2[orignal data]),Table2[[#This Row],[orignal data]])</f>
        <v>849.5</v>
      </c>
      <c r="T3876" t="str">
        <f t="shared" si="242"/>
        <v>UNIQUE</v>
      </c>
      <c r="U3876" t="str">
        <f>IF(ISBLANK(Table1[[#This Row],[SizeOption]]),"NOT AVAILABLE",Table1[[#This Row],[SizeOption]])</f>
        <v>XS, S, M, L, XL</v>
      </c>
      <c r="Y3876" t="str">
        <f>IF(Table2[[#This Row],[Column1]]&gt;50%,"HIGH DISCOUNT","LOW DISCOUNT")</f>
        <v>LOW DISCOUNT</v>
      </c>
    </row>
    <row r="3877" spans="1:25" x14ac:dyDescent="0.25">
      <c r="A3877" s="2" t="s">
        <v>7989</v>
      </c>
      <c r="B3877" s="2">
        <v>12013340</v>
      </c>
      <c r="C3877" s="2" t="s">
        <v>309</v>
      </c>
      <c r="D3877" s="2" t="s">
        <v>41</v>
      </c>
      <c r="E3877" s="2" t="s">
        <v>148</v>
      </c>
      <c r="F3877" s="2" t="s">
        <v>36</v>
      </c>
      <c r="G3877" s="2" t="s">
        <v>7990</v>
      </c>
      <c r="I3877" s="2">
        <v>1999</v>
      </c>
      <c r="J3877" s="2" t="s">
        <v>50</v>
      </c>
      <c r="K3877" s="2" t="s">
        <v>311</v>
      </c>
      <c r="L3877" s="2">
        <v>4.5</v>
      </c>
      <c r="M3877" s="2">
        <v>536</v>
      </c>
      <c r="P3877" t="str">
        <f t="shared" si="243"/>
        <v>40%</v>
      </c>
      <c r="Q3877" s="12">
        <f t="shared" si="240"/>
        <v>0.4</v>
      </c>
      <c r="R3877" s="9">
        <f t="shared" si="241"/>
        <v>1199.4000000000001</v>
      </c>
      <c r="S3877" s="9">
        <f>IF(R3877="",AVERAGEIF(Table1[Category],Table1[[#This Row],[Category]],Table2[orignal data]),Table2[[#This Row],[orignal data]])</f>
        <v>1199.4000000000001</v>
      </c>
      <c r="T3877" t="str">
        <f t="shared" si="242"/>
        <v>UNIQUE</v>
      </c>
      <c r="U3877" t="str">
        <f>IF(ISBLANK(Table1[[#This Row],[SizeOption]]),"NOT AVAILABLE",Table1[[#This Row],[SizeOption]])</f>
        <v>XS, S, M, L</v>
      </c>
      <c r="Y3877" t="str">
        <f>IF(Table2[[#This Row],[Column1]]&gt;50%,"HIGH DISCOUNT","LOW DISCOUNT")</f>
        <v>LOW DISCOUNT</v>
      </c>
    </row>
    <row r="3878" spans="1:25" x14ac:dyDescent="0.25">
      <c r="A3878" s="1" t="s">
        <v>7991</v>
      </c>
      <c r="B3878" s="1">
        <v>11296060</v>
      </c>
      <c r="C3878" s="1" t="s">
        <v>14</v>
      </c>
      <c r="D3878" s="1" t="s">
        <v>41</v>
      </c>
      <c r="E3878" s="1" t="s">
        <v>42</v>
      </c>
      <c r="F3878" s="1" t="s">
        <v>36</v>
      </c>
      <c r="G3878" s="1" t="s">
        <v>7992</v>
      </c>
      <c r="I3878" s="1">
        <v>899</v>
      </c>
      <c r="J3878" s="1" t="s">
        <v>577</v>
      </c>
      <c r="K3878" s="1" t="s">
        <v>45</v>
      </c>
      <c r="L3878" s="1">
        <v>4</v>
      </c>
      <c r="M3878" s="1">
        <v>536</v>
      </c>
      <c r="P3878" t="str">
        <f t="shared" si="243"/>
        <v>400</v>
      </c>
      <c r="Q3878" s="12">
        <f t="shared" si="240"/>
        <v>0.44493882091212456</v>
      </c>
      <c r="R3878" s="9">
        <f t="shared" si="241"/>
        <v>499</v>
      </c>
      <c r="S3878" s="9">
        <f>IF(R3878="",AVERAGEIF(Table1[Category],Table1[[#This Row],[Category]],Table2[orignal data]),Table2[[#This Row],[orignal data]])</f>
        <v>499</v>
      </c>
      <c r="T3878" t="str">
        <f t="shared" si="242"/>
        <v>UNIQUE</v>
      </c>
      <c r="U3878" t="str">
        <f>IF(ISBLANK(Table1[[#This Row],[SizeOption]]),"NOT AVAILABLE",Table1[[#This Row],[SizeOption]])</f>
        <v>XS, S, M, L, XL</v>
      </c>
      <c r="Y3878" t="str">
        <f>IF(Table2[[#This Row],[Column1]]&gt;50%,"HIGH DISCOUNT","LOW DISCOUNT")</f>
        <v>LOW DISCOUNT</v>
      </c>
    </row>
    <row r="3879" spans="1:25" x14ac:dyDescent="0.25">
      <c r="A3879" s="2" t="s">
        <v>7993</v>
      </c>
      <c r="B3879" s="2">
        <v>11404306</v>
      </c>
      <c r="C3879" s="2" t="s">
        <v>14</v>
      </c>
      <c r="D3879" s="2" t="s">
        <v>41</v>
      </c>
      <c r="E3879" s="2" t="s">
        <v>42</v>
      </c>
      <c r="F3879" s="2" t="s">
        <v>36</v>
      </c>
      <c r="G3879" s="2" t="s">
        <v>1747</v>
      </c>
      <c r="I3879" s="2">
        <v>899</v>
      </c>
      <c r="J3879" s="2" t="s">
        <v>25</v>
      </c>
      <c r="K3879" s="2" t="s">
        <v>45</v>
      </c>
      <c r="L3879" s="2">
        <v>4.0999999999999996</v>
      </c>
      <c r="M3879" s="2">
        <v>536</v>
      </c>
      <c r="P3879" t="str">
        <f t="shared" si="243"/>
        <v>55%</v>
      </c>
      <c r="Q3879" s="12">
        <f t="shared" si="240"/>
        <v>0.55000000000000004</v>
      </c>
      <c r="R3879" s="9">
        <f t="shared" si="241"/>
        <v>404.54999999999995</v>
      </c>
      <c r="S3879" s="9">
        <f>IF(R3879="",AVERAGEIF(Table1[Category],Table1[[#This Row],[Category]],Table2[orignal data]),Table2[[#This Row],[orignal data]])</f>
        <v>404.54999999999995</v>
      </c>
      <c r="T3879" t="str">
        <f t="shared" si="242"/>
        <v>UNIQUE</v>
      </c>
      <c r="U3879" t="str">
        <f>IF(ISBLANK(Table1[[#This Row],[SizeOption]]),"NOT AVAILABLE",Table1[[#This Row],[SizeOption]])</f>
        <v>XS, S, M, L, XL</v>
      </c>
      <c r="Y3879" t="str">
        <f>IF(Table2[[#This Row],[Column1]]&gt;50%,"HIGH DISCOUNT","LOW DISCOUNT")</f>
        <v>HIGH DISCOUNT</v>
      </c>
    </row>
    <row r="3880" spans="1:25" x14ac:dyDescent="0.25">
      <c r="A3880" s="1" t="s">
        <v>7994</v>
      </c>
      <c r="B3880" s="1">
        <v>10410370</v>
      </c>
      <c r="C3880" s="1" t="s">
        <v>169</v>
      </c>
      <c r="D3880" s="1" t="s">
        <v>15</v>
      </c>
      <c r="E3880" s="1" t="s">
        <v>53</v>
      </c>
      <c r="F3880" s="1" t="s">
        <v>17</v>
      </c>
      <c r="G3880" s="1" t="s">
        <v>637</v>
      </c>
      <c r="H3880">
        <v>1819</v>
      </c>
      <c r="I3880" s="1">
        <v>2799</v>
      </c>
      <c r="J3880" s="1" t="s">
        <v>44</v>
      </c>
      <c r="K3880" s="1" t="s">
        <v>171</v>
      </c>
      <c r="L3880" s="1">
        <v>4.2</v>
      </c>
      <c r="M3880" s="1">
        <v>535</v>
      </c>
      <c r="P3880" t="str">
        <f t="shared" si="243"/>
        <v>35%</v>
      </c>
      <c r="Q3880" s="12">
        <f t="shared" si="240"/>
        <v>0.35</v>
      </c>
      <c r="R3880" s="9">
        <f t="shared" si="241"/>
        <v>1819.35</v>
      </c>
      <c r="S3880" s="9">
        <f>IF(R3880="",AVERAGEIF(Table1[Category],Table1[[#This Row],[Category]],Table2[orignal data]),Table2[[#This Row],[orignal data]])</f>
        <v>1819.35</v>
      </c>
      <c r="T3880" t="str">
        <f t="shared" si="242"/>
        <v>UNIQUE</v>
      </c>
      <c r="U3880" t="str">
        <f>IF(ISBLANK(Table1[[#This Row],[SizeOption]]),"NOT AVAILABLE",Table1[[#This Row],[SizeOption]])</f>
        <v>28, 30, 32, 34, 36, 38</v>
      </c>
      <c r="Y3880" t="str">
        <f>IF(Table2[[#This Row],[Column1]]&gt;50%,"HIGH DISCOUNT","LOW DISCOUNT")</f>
        <v>LOW DISCOUNT</v>
      </c>
    </row>
    <row r="3881" spans="1:25" x14ac:dyDescent="0.25">
      <c r="A3881" s="2" t="s">
        <v>7995</v>
      </c>
      <c r="B3881" s="2">
        <v>11359000</v>
      </c>
      <c r="C3881" s="2" t="s">
        <v>169</v>
      </c>
      <c r="D3881" s="2" t="s">
        <v>15</v>
      </c>
      <c r="E3881" s="2" t="s">
        <v>16</v>
      </c>
      <c r="F3881" s="2" t="s">
        <v>17</v>
      </c>
      <c r="G3881" s="2" t="s">
        <v>170</v>
      </c>
      <c r="H3881">
        <v>1484</v>
      </c>
      <c r="I3881" s="2">
        <v>2699</v>
      </c>
      <c r="J3881" s="2" t="s">
        <v>19</v>
      </c>
      <c r="K3881" s="2" t="s">
        <v>171</v>
      </c>
      <c r="L3881" s="2">
        <v>4</v>
      </c>
      <c r="M3881" s="2">
        <v>535</v>
      </c>
      <c r="P3881" t="str">
        <f t="shared" si="243"/>
        <v>45%</v>
      </c>
      <c r="Q3881" s="12">
        <f t="shared" si="240"/>
        <v>0.45</v>
      </c>
      <c r="R3881" s="9">
        <f t="shared" si="241"/>
        <v>1484.45</v>
      </c>
      <c r="S3881" s="9">
        <f>IF(R3881="",AVERAGEIF(Table1[Category],Table1[[#This Row],[Category]],Table2[orignal data]),Table2[[#This Row],[orignal data]])</f>
        <v>1484.45</v>
      </c>
      <c r="T3881" t="str">
        <f t="shared" si="242"/>
        <v>UNIQUE</v>
      </c>
      <c r="U3881" t="str">
        <f>IF(ISBLANK(Table1[[#This Row],[SizeOption]]),"NOT AVAILABLE",Table1[[#This Row],[SizeOption]])</f>
        <v>28, 30, 32, 34, 36, 38</v>
      </c>
      <c r="Y3881" t="str">
        <f>IF(Table2[[#This Row],[Column1]]&gt;50%,"HIGH DISCOUNT","LOW DISCOUNT")</f>
        <v>LOW DISCOUNT</v>
      </c>
    </row>
    <row r="3882" spans="1:25" x14ac:dyDescent="0.25">
      <c r="A3882" s="1" t="s">
        <v>7996</v>
      </c>
      <c r="B3882" s="1">
        <v>2510284</v>
      </c>
      <c r="C3882" s="1" t="s">
        <v>47</v>
      </c>
      <c r="D3882" s="1" t="s">
        <v>197</v>
      </c>
      <c r="E3882" s="1" t="s">
        <v>198</v>
      </c>
      <c r="F3882" s="1" t="s">
        <v>17</v>
      </c>
      <c r="G3882" s="1" t="s">
        <v>7997</v>
      </c>
      <c r="H3882">
        <v>259</v>
      </c>
      <c r="I3882" s="1">
        <v>399</v>
      </c>
      <c r="J3882" s="1" t="s">
        <v>44</v>
      </c>
      <c r="K3882" s="1" t="s">
        <v>164</v>
      </c>
      <c r="L3882" s="1">
        <v>4.0999999999999996</v>
      </c>
      <c r="M3882" s="1">
        <v>535</v>
      </c>
      <c r="P3882" t="str">
        <f t="shared" si="243"/>
        <v>35%</v>
      </c>
      <c r="Q3882" s="12">
        <f t="shared" si="240"/>
        <v>0.35</v>
      </c>
      <c r="R3882" s="9">
        <f t="shared" si="241"/>
        <v>259.35000000000002</v>
      </c>
      <c r="S3882" s="9">
        <f>IF(R3882="",AVERAGEIF(Table1[Category],Table1[[#This Row],[Category]],Table2[orignal data]),Table2[[#This Row],[orignal data]])</f>
        <v>259.35000000000002</v>
      </c>
      <c r="T3882" t="str">
        <f t="shared" si="242"/>
        <v>UNIQUE</v>
      </c>
      <c r="U3882" t="str">
        <f>IF(ISBLANK(Table1[[#This Row],[SizeOption]]),"NOT AVAILABLE",Table1[[#This Row],[SizeOption]])</f>
        <v>Onesize</v>
      </c>
      <c r="Y3882" t="str">
        <f>IF(Table2[[#This Row],[Column1]]&gt;50%,"HIGH DISCOUNT","LOW DISCOUNT")</f>
        <v>LOW DISCOUNT</v>
      </c>
    </row>
    <row r="3883" spans="1:25" x14ac:dyDescent="0.25">
      <c r="A3883" s="2" t="s">
        <v>7998</v>
      </c>
      <c r="B3883" s="2">
        <v>9261321</v>
      </c>
      <c r="C3883" s="2" t="s">
        <v>295</v>
      </c>
      <c r="D3883" s="2" t="s">
        <v>197</v>
      </c>
      <c r="E3883" s="2" t="s">
        <v>350</v>
      </c>
      <c r="F3883" s="2" t="s">
        <v>17</v>
      </c>
      <c r="G3883" s="2" t="s">
        <v>7999</v>
      </c>
      <c r="I3883" s="2">
        <v>399</v>
      </c>
      <c r="J3883" s="2"/>
      <c r="K3883" s="2" t="s">
        <v>26</v>
      </c>
      <c r="L3883" s="2">
        <v>4.4000000000000004</v>
      </c>
      <c r="M3883" s="2">
        <v>535</v>
      </c>
      <c r="P3883" t="str">
        <f t="shared" si="243"/>
        <v/>
      </c>
      <c r="Q3883" s="12" t="str">
        <f t="shared" si="240"/>
        <v/>
      </c>
      <c r="R3883" s="9" t="str">
        <f t="shared" si="241"/>
        <v/>
      </c>
      <c r="S3883" s="9">
        <f>IF(R3883="",AVERAGEIF(Table1[Category],Table1[[#This Row],[Category]],Table2[orignal data]),Table2[[#This Row],[orignal data]])</f>
        <v>552.70900000000006</v>
      </c>
      <c r="T3883" t="str">
        <f t="shared" si="242"/>
        <v>UNIQUE</v>
      </c>
      <c r="U3883" t="str">
        <f>IF(ISBLANK(Table1[[#This Row],[SizeOption]]),"NOT AVAILABLE",Table1[[#This Row],[SizeOption]])</f>
        <v>S, M, L, XL</v>
      </c>
      <c r="Y3883" t="str">
        <f>IF(Table2[[#This Row],[Column1]]&gt;50%,"HIGH DISCOUNT","LOW DISCOUNT")</f>
        <v>HIGH DISCOUNT</v>
      </c>
    </row>
    <row r="3884" spans="1:25" x14ac:dyDescent="0.25">
      <c r="A3884" s="1" t="s">
        <v>8000</v>
      </c>
      <c r="B3884" s="1">
        <v>6833052</v>
      </c>
      <c r="C3884" s="1" t="s">
        <v>169</v>
      </c>
      <c r="D3884" s="1" t="s">
        <v>28</v>
      </c>
      <c r="E3884" s="1" t="s">
        <v>42</v>
      </c>
      <c r="F3884" s="1" t="s">
        <v>17</v>
      </c>
      <c r="G3884" s="1" t="s">
        <v>8001</v>
      </c>
      <c r="H3884">
        <v>649</v>
      </c>
      <c r="I3884" s="1">
        <v>1299</v>
      </c>
      <c r="J3884" s="1" t="s">
        <v>84</v>
      </c>
      <c r="K3884" s="1" t="s">
        <v>39</v>
      </c>
      <c r="L3884" s="1">
        <v>4.2</v>
      </c>
      <c r="M3884" s="1">
        <v>535</v>
      </c>
      <c r="P3884" t="str">
        <f t="shared" si="243"/>
        <v>50%</v>
      </c>
      <c r="Q3884" s="12">
        <f t="shared" si="240"/>
        <v>0.5</v>
      </c>
      <c r="R3884" s="9">
        <f t="shared" si="241"/>
        <v>649.5</v>
      </c>
      <c r="S3884" s="9">
        <f>IF(R3884="",AVERAGEIF(Table1[Category],Table1[[#This Row],[Category]],Table2[orignal data]),Table2[[#This Row],[orignal data]])</f>
        <v>649.5</v>
      </c>
      <c r="T3884" t="str">
        <f t="shared" si="242"/>
        <v>UNIQUE</v>
      </c>
      <c r="U3884" t="str">
        <f>IF(ISBLANK(Table1[[#This Row],[SizeOption]]),"NOT AVAILABLE",Table1[[#This Row],[SizeOption]])</f>
        <v>S, M, L, XL, XXL</v>
      </c>
      <c r="Y3884" t="str">
        <f>IF(Table2[[#This Row],[Column1]]&gt;50%,"HIGH DISCOUNT","LOW DISCOUNT")</f>
        <v>LOW DISCOUNT</v>
      </c>
    </row>
    <row r="3885" spans="1:25" x14ac:dyDescent="0.25">
      <c r="A3885" s="2" t="s">
        <v>8002</v>
      </c>
      <c r="B3885" s="2">
        <v>12425538</v>
      </c>
      <c r="C3885" s="2" t="s">
        <v>52</v>
      </c>
      <c r="D3885" s="2" t="s">
        <v>28</v>
      </c>
      <c r="E3885" s="2" t="s">
        <v>29</v>
      </c>
      <c r="F3885" s="2" t="s">
        <v>17</v>
      </c>
      <c r="G3885" s="2" t="s">
        <v>8003</v>
      </c>
      <c r="H3885">
        <v>634</v>
      </c>
      <c r="I3885" s="2">
        <v>1349</v>
      </c>
      <c r="J3885" s="2" t="s">
        <v>89</v>
      </c>
      <c r="K3885" s="2" t="s">
        <v>90</v>
      </c>
      <c r="L3885" s="2">
        <v>4.2</v>
      </c>
      <c r="M3885" s="2">
        <v>535</v>
      </c>
      <c r="P3885" t="str">
        <f t="shared" si="243"/>
        <v>53%</v>
      </c>
      <c r="Q3885" s="12">
        <f t="shared" si="240"/>
        <v>0.53</v>
      </c>
      <c r="R3885" s="9">
        <f t="shared" si="241"/>
        <v>634.03</v>
      </c>
      <c r="S3885" s="9">
        <f>IF(R3885="",AVERAGEIF(Table1[Category],Table1[[#This Row],[Category]],Table2[orignal data]),Table2[[#This Row],[orignal data]])</f>
        <v>634.03</v>
      </c>
      <c r="T3885" t="str">
        <f t="shared" si="242"/>
        <v>UNIQUE</v>
      </c>
      <c r="U3885" t="str">
        <f>IF(ISBLANK(Table1[[#This Row],[SizeOption]]),"NOT AVAILABLE",Table1[[#This Row],[SizeOption]])</f>
        <v>39, 40, 42, 44</v>
      </c>
      <c r="Y3885" t="str">
        <f>IF(Table2[[#This Row],[Column1]]&gt;50%,"HIGH DISCOUNT","LOW DISCOUNT")</f>
        <v>HIGH DISCOUNT</v>
      </c>
    </row>
    <row r="3886" spans="1:25" x14ac:dyDescent="0.25">
      <c r="A3886" s="1" t="s">
        <v>8004</v>
      </c>
      <c r="B3886" s="1">
        <v>10550766</v>
      </c>
      <c r="C3886" s="1" t="s">
        <v>47</v>
      </c>
      <c r="D3886" s="1" t="s">
        <v>28</v>
      </c>
      <c r="E3886" s="1" t="s">
        <v>29</v>
      </c>
      <c r="F3886" s="1" t="s">
        <v>17</v>
      </c>
      <c r="G3886" s="1" t="s">
        <v>8005</v>
      </c>
      <c r="H3886">
        <v>989</v>
      </c>
      <c r="I3886" s="1">
        <v>2199</v>
      </c>
      <c r="J3886" s="1" t="s">
        <v>25</v>
      </c>
      <c r="K3886" s="1" t="s">
        <v>253</v>
      </c>
      <c r="L3886" s="1">
        <v>4.2</v>
      </c>
      <c r="M3886" s="1">
        <v>535</v>
      </c>
      <c r="P3886" t="str">
        <f t="shared" si="243"/>
        <v>55%</v>
      </c>
      <c r="Q3886" s="12">
        <f t="shared" si="240"/>
        <v>0.55000000000000004</v>
      </c>
      <c r="R3886" s="9">
        <f t="shared" si="241"/>
        <v>989.55</v>
      </c>
      <c r="S3886" s="9">
        <f>IF(R3886="",AVERAGEIF(Table1[Category],Table1[[#This Row],[Category]],Table2[orignal data]),Table2[[#This Row],[orignal data]])</f>
        <v>989.55</v>
      </c>
      <c r="T3886" t="str">
        <f t="shared" si="242"/>
        <v>UNIQUE</v>
      </c>
      <c r="U3886" t="str">
        <f>IF(ISBLANK(Table1[[#This Row],[SizeOption]]),"NOT AVAILABLE",Table1[[#This Row],[SizeOption]])</f>
        <v>38, 40, 42, 44</v>
      </c>
      <c r="Y3886" t="str">
        <f>IF(Table2[[#This Row],[Column1]]&gt;50%,"HIGH DISCOUNT","LOW DISCOUNT")</f>
        <v>HIGH DISCOUNT</v>
      </c>
    </row>
    <row r="3887" spans="1:25" x14ac:dyDescent="0.25">
      <c r="A3887" s="2" t="s">
        <v>8006</v>
      </c>
      <c r="B3887" s="2">
        <v>8907331</v>
      </c>
      <c r="C3887" s="2" t="s">
        <v>4094</v>
      </c>
      <c r="D3887" s="2" t="s">
        <v>28</v>
      </c>
      <c r="E3887" s="2" t="s">
        <v>42</v>
      </c>
      <c r="F3887" s="2" t="s">
        <v>17</v>
      </c>
      <c r="G3887" s="2" t="s">
        <v>8007</v>
      </c>
      <c r="H3887">
        <v>620</v>
      </c>
      <c r="I3887" s="2">
        <v>969</v>
      </c>
      <c r="J3887" s="2" t="s">
        <v>554</v>
      </c>
      <c r="K3887" s="2" t="s">
        <v>39</v>
      </c>
      <c r="L3887" s="2">
        <v>3.9</v>
      </c>
      <c r="M3887" s="2">
        <v>535</v>
      </c>
      <c r="P3887" t="str">
        <f t="shared" si="243"/>
        <v>36%</v>
      </c>
      <c r="Q3887" s="12">
        <f t="shared" si="240"/>
        <v>0.36</v>
      </c>
      <c r="R3887" s="9">
        <f t="shared" si="241"/>
        <v>620.16000000000008</v>
      </c>
      <c r="S3887" s="9">
        <f>IF(R3887="",AVERAGEIF(Table1[Category],Table1[[#This Row],[Category]],Table2[orignal data]),Table2[[#This Row],[orignal data]])</f>
        <v>620.16000000000008</v>
      </c>
      <c r="T3887" t="str">
        <f t="shared" si="242"/>
        <v>UNIQUE</v>
      </c>
      <c r="U3887" t="str">
        <f>IF(ISBLANK(Table1[[#This Row],[SizeOption]]),"NOT AVAILABLE",Table1[[#This Row],[SizeOption]])</f>
        <v>S, M, L, XL, XXL</v>
      </c>
      <c r="Y3887" t="str">
        <f>IF(Table2[[#This Row],[Column1]]&gt;50%,"HIGH DISCOUNT","LOW DISCOUNT")</f>
        <v>LOW DISCOUNT</v>
      </c>
    </row>
    <row r="3888" spans="1:25" x14ac:dyDescent="0.25">
      <c r="A3888" s="1" t="s">
        <v>8008</v>
      </c>
      <c r="B3888" s="1">
        <v>1486200</v>
      </c>
      <c r="C3888" s="1" t="s">
        <v>865</v>
      </c>
      <c r="D3888" s="1" t="s">
        <v>76</v>
      </c>
      <c r="E3888" s="1" t="s">
        <v>320</v>
      </c>
      <c r="F3888" s="1" t="s">
        <v>36</v>
      </c>
      <c r="G3888" s="1" t="s">
        <v>8009</v>
      </c>
      <c r="H3888">
        <v>604</v>
      </c>
      <c r="I3888" s="1">
        <v>1099</v>
      </c>
      <c r="J3888" s="1" t="s">
        <v>19</v>
      </c>
      <c r="K3888" s="1" t="s">
        <v>164</v>
      </c>
      <c r="L3888" s="1">
        <v>3.6</v>
      </c>
      <c r="M3888" s="1">
        <v>535</v>
      </c>
      <c r="P3888" t="str">
        <f t="shared" si="243"/>
        <v>45%</v>
      </c>
      <c r="Q3888" s="12">
        <f t="shared" si="240"/>
        <v>0.45</v>
      </c>
      <c r="R3888" s="9">
        <f t="shared" si="241"/>
        <v>604.45000000000005</v>
      </c>
      <c r="S3888" s="9">
        <f>IF(R3888="",AVERAGEIF(Table1[Category],Table1[[#This Row],[Category]],Table2[orignal data]),Table2[[#This Row],[orignal data]])</f>
        <v>604.45000000000005</v>
      </c>
      <c r="T3888" t="str">
        <f t="shared" si="242"/>
        <v>UNIQUE</v>
      </c>
      <c r="U3888" t="str">
        <f>IF(ISBLANK(Table1[[#This Row],[SizeOption]]),"NOT AVAILABLE",Table1[[#This Row],[SizeOption]])</f>
        <v>Onesize</v>
      </c>
      <c r="Y3888" t="str">
        <f>IF(Table2[[#This Row],[Column1]]&gt;50%,"HIGH DISCOUNT","LOW DISCOUNT")</f>
        <v>LOW DISCOUNT</v>
      </c>
    </row>
    <row r="3889" spans="1:25" x14ac:dyDescent="0.25">
      <c r="A3889" s="2" t="s">
        <v>8010</v>
      </c>
      <c r="B3889" s="2">
        <v>16505396</v>
      </c>
      <c r="C3889" s="2" t="s">
        <v>837</v>
      </c>
      <c r="D3889" s="2" t="s">
        <v>76</v>
      </c>
      <c r="E3889" s="2" t="s">
        <v>93</v>
      </c>
      <c r="F3889" s="2" t="s">
        <v>36</v>
      </c>
      <c r="G3889" s="2" t="s">
        <v>8011</v>
      </c>
      <c r="H3889">
        <v>979</v>
      </c>
      <c r="I3889" s="2">
        <v>1999</v>
      </c>
      <c r="J3889" s="2" t="s">
        <v>163</v>
      </c>
      <c r="K3889" s="2" t="s">
        <v>881</v>
      </c>
      <c r="L3889" s="2">
        <v>4.3</v>
      </c>
      <c r="M3889" s="2">
        <v>535</v>
      </c>
      <c r="P3889" t="str">
        <f t="shared" si="243"/>
        <v>51%</v>
      </c>
      <c r="Q3889" s="12">
        <f t="shared" si="240"/>
        <v>0.51</v>
      </c>
      <c r="R3889" s="9">
        <f t="shared" si="241"/>
        <v>979.51</v>
      </c>
      <c r="S3889" s="9">
        <f>IF(R3889="",AVERAGEIF(Table1[Category],Table1[[#This Row],[Category]],Table2[orignal data]),Table2[[#This Row],[orignal data]])</f>
        <v>979.51</v>
      </c>
      <c r="T3889" t="str">
        <f t="shared" si="242"/>
        <v>UNIQUE</v>
      </c>
      <c r="U3889" t="str">
        <f>IF(ISBLANK(Table1[[#This Row],[SizeOption]]),"NOT AVAILABLE",Table1[[#This Row],[SizeOption]])</f>
        <v>M, L, XL, XXL</v>
      </c>
      <c r="Y3889" t="str">
        <f>IF(Table2[[#This Row],[Column1]]&gt;50%,"HIGH DISCOUNT","LOW DISCOUNT")</f>
        <v>HIGH DISCOUNT</v>
      </c>
    </row>
    <row r="3890" spans="1:25" x14ac:dyDescent="0.25">
      <c r="A3890" s="1" t="s">
        <v>8012</v>
      </c>
      <c r="B3890" s="1">
        <v>12399682</v>
      </c>
      <c r="C3890" s="1" t="s">
        <v>4309</v>
      </c>
      <c r="D3890" s="1" t="s">
        <v>34</v>
      </c>
      <c r="E3890" s="1" t="s">
        <v>118</v>
      </c>
      <c r="F3890" s="1" t="s">
        <v>36</v>
      </c>
      <c r="G3890" s="1" t="s">
        <v>8013</v>
      </c>
      <c r="H3890">
        <v>440</v>
      </c>
      <c r="I3890" s="1">
        <v>899</v>
      </c>
      <c r="J3890" s="1" t="s">
        <v>163</v>
      </c>
      <c r="K3890" s="1" t="s">
        <v>8014</v>
      </c>
      <c r="L3890" s="1">
        <v>3.9</v>
      </c>
      <c r="M3890" s="1">
        <v>535</v>
      </c>
      <c r="P3890" t="str">
        <f t="shared" si="243"/>
        <v>51%</v>
      </c>
      <c r="Q3890" s="12">
        <f t="shared" si="240"/>
        <v>0.51</v>
      </c>
      <c r="R3890" s="9">
        <f t="shared" si="241"/>
        <v>440.51</v>
      </c>
      <c r="S3890" s="9">
        <f>IF(R3890="",AVERAGEIF(Table1[Category],Table1[[#This Row],[Category]],Table2[orignal data]),Table2[[#This Row],[orignal data]])</f>
        <v>440.51</v>
      </c>
      <c r="T3890" t="str">
        <f t="shared" si="242"/>
        <v>UNIQUE</v>
      </c>
      <c r="U3890" t="str">
        <f>IF(ISBLANK(Table1[[#This Row],[SizeOption]]),"NOT AVAILABLE",Table1[[#This Row],[SizeOption]])</f>
        <v>30B, 32B, 34B, 36B</v>
      </c>
      <c r="Y3890" t="str">
        <f>IF(Table2[[#This Row],[Column1]]&gt;50%,"HIGH DISCOUNT","LOW DISCOUNT")</f>
        <v>HIGH DISCOUNT</v>
      </c>
    </row>
    <row r="3891" spans="1:25" x14ac:dyDescent="0.25">
      <c r="A3891" s="2" t="s">
        <v>8015</v>
      </c>
      <c r="B3891" s="2">
        <v>11633876</v>
      </c>
      <c r="C3891" s="2" t="s">
        <v>81</v>
      </c>
      <c r="D3891" s="2" t="s">
        <v>41</v>
      </c>
      <c r="E3891" s="2" t="s">
        <v>148</v>
      </c>
      <c r="F3891" s="2" t="s">
        <v>36</v>
      </c>
      <c r="G3891" s="2" t="s">
        <v>8016</v>
      </c>
      <c r="I3891" s="2">
        <v>3495</v>
      </c>
      <c r="J3891" s="2" t="s">
        <v>758</v>
      </c>
      <c r="K3891" s="2" t="s">
        <v>115</v>
      </c>
      <c r="L3891" s="2">
        <v>4.4000000000000004</v>
      </c>
      <c r="M3891" s="2">
        <v>535</v>
      </c>
      <c r="P3891" t="str">
        <f t="shared" si="243"/>
        <v>47%</v>
      </c>
      <c r="Q3891" s="12">
        <f t="shared" si="240"/>
        <v>0.47</v>
      </c>
      <c r="R3891" s="9">
        <f t="shared" si="241"/>
        <v>1852.3500000000001</v>
      </c>
      <c r="S3891" s="9">
        <f>IF(R3891="",AVERAGEIF(Table1[Category],Table1[[#This Row],[Category]],Table2[orignal data]),Table2[[#This Row],[orignal data]])</f>
        <v>1852.3500000000001</v>
      </c>
      <c r="T3891" t="str">
        <f t="shared" si="242"/>
        <v>UNIQUE</v>
      </c>
      <c r="U3891" t="str">
        <f>IF(ISBLANK(Table1[[#This Row],[SizeOption]]),"NOT AVAILABLE",Table1[[#This Row],[SizeOption]])</f>
        <v>XS, S, M, L, XL, XXL</v>
      </c>
      <c r="Y3891" t="str">
        <f>IF(Table2[[#This Row],[Column1]]&gt;50%,"HIGH DISCOUNT","LOW DISCOUNT")</f>
        <v>LOW DISCOUNT</v>
      </c>
    </row>
    <row r="3892" spans="1:25" x14ac:dyDescent="0.25">
      <c r="A3892" s="1" t="s">
        <v>8017</v>
      </c>
      <c r="B3892" s="1">
        <v>14063006</v>
      </c>
      <c r="C3892" s="1" t="s">
        <v>102</v>
      </c>
      <c r="D3892" s="1" t="s">
        <v>41</v>
      </c>
      <c r="E3892" s="1" t="s">
        <v>137</v>
      </c>
      <c r="F3892" s="1" t="s">
        <v>36</v>
      </c>
      <c r="G3892" s="1" t="s">
        <v>8018</v>
      </c>
      <c r="I3892" s="1">
        <v>699</v>
      </c>
      <c r="J3892" s="1" t="s">
        <v>104</v>
      </c>
      <c r="K3892" s="1" t="s">
        <v>1252</v>
      </c>
      <c r="L3892" s="1">
        <v>4.5</v>
      </c>
      <c r="M3892" s="1">
        <v>535</v>
      </c>
      <c r="P3892" t="str">
        <f t="shared" si="243"/>
        <v>61%</v>
      </c>
      <c r="Q3892" s="12">
        <f t="shared" si="240"/>
        <v>0.61</v>
      </c>
      <c r="R3892" s="9">
        <f t="shared" si="241"/>
        <v>272.61</v>
      </c>
      <c r="S3892" s="9">
        <f>IF(R3892="",AVERAGEIF(Table1[Category],Table1[[#This Row],[Category]],Table2[orignal data]),Table2[[#This Row],[orignal data]])</f>
        <v>272.61</v>
      </c>
      <c r="T3892" t="str">
        <f t="shared" si="242"/>
        <v>UNIQUE</v>
      </c>
      <c r="U3892" t="str">
        <f>IF(ISBLANK(Table1[[#This Row],[SizeOption]]),"NOT AVAILABLE",Table1[[#This Row],[SizeOption]])</f>
        <v>26, 28, 30, 32</v>
      </c>
      <c r="Y3892" t="str">
        <f>IF(Table2[[#This Row],[Column1]]&gt;50%,"HIGH DISCOUNT","LOW DISCOUNT")</f>
        <v>HIGH DISCOUNT</v>
      </c>
    </row>
    <row r="3893" spans="1:25" x14ac:dyDescent="0.25">
      <c r="A3893" s="2" t="s">
        <v>8019</v>
      </c>
      <c r="B3893" s="2">
        <v>11711918</v>
      </c>
      <c r="C3893" s="2" t="s">
        <v>47</v>
      </c>
      <c r="D3893" s="2" t="s">
        <v>41</v>
      </c>
      <c r="E3893" s="2" t="s">
        <v>42</v>
      </c>
      <c r="F3893" s="2" t="s">
        <v>36</v>
      </c>
      <c r="G3893" s="2" t="s">
        <v>8020</v>
      </c>
      <c r="I3893" s="2">
        <v>799</v>
      </c>
      <c r="J3893" s="2" t="s">
        <v>680</v>
      </c>
      <c r="K3893" s="2" t="s">
        <v>45</v>
      </c>
      <c r="L3893" s="2">
        <v>4</v>
      </c>
      <c r="M3893" s="2">
        <v>535</v>
      </c>
      <c r="P3893" t="str">
        <f t="shared" si="243"/>
        <v>300</v>
      </c>
      <c r="Q3893" s="12">
        <f t="shared" si="240"/>
        <v>0.37546933667083854</v>
      </c>
      <c r="R3893" s="9">
        <f t="shared" si="241"/>
        <v>499</v>
      </c>
      <c r="S3893" s="9">
        <f>IF(R3893="",AVERAGEIF(Table1[Category],Table1[[#This Row],[Category]],Table2[orignal data]),Table2[[#This Row],[orignal data]])</f>
        <v>499</v>
      </c>
      <c r="T3893" t="str">
        <f t="shared" si="242"/>
        <v>UNIQUE</v>
      </c>
      <c r="U3893" t="str">
        <f>IF(ISBLANK(Table1[[#This Row],[SizeOption]]),"NOT AVAILABLE",Table1[[#This Row],[SizeOption]])</f>
        <v>XS, S, M, L, XL</v>
      </c>
      <c r="Y3893" t="str">
        <f>IF(Table2[[#This Row],[Column1]]&gt;50%,"HIGH DISCOUNT","LOW DISCOUNT")</f>
        <v>LOW DISCOUNT</v>
      </c>
    </row>
    <row r="3894" spans="1:25" x14ac:dyDescent="0.25">
      <c r="A3894" s="1" t="s">
        <v>8021</v>
      </c>
      <c r="B3894" s="1">
        <v>16457834</v>
      </c>
      <c r="C3894" s="1" t="s">
        <v>490</v>
      </c>
      <c r="D3894" s="1" t="s">
        <v>41</v>
      </c>
      <c r="E3894" s="1" t="s">
        <v>1881</v>
      </c>
      <c r="F3894" s="1" t="s">
        <v>36</v>
      </c>
      <c r="G3894" s="1" t="s">
        <v>8022</v>
      </c>
      <c r="I3894" s="1">
        <v>799</v>
      </c>
      <c r="J3894" s="1"/>
      <c r="K3894" s="1" t="s">
        <v>45</v>
      </c>
      <c r="L3894" s="1">
        <v>4.4000000000000004</v>
      </c>
      <c r="M3894" s="1">
        <v>535</v>
      </c>
      <c r="P3894" t="str">
        <f t="shared" si="243"/>
        <v/>
      </c>
      <c r="Q3894" s="12" t="str">
        <f t="shared" si="240"/>
        <v/>
      </c>
      <c r="R3894" s="9" t="str">
        <f t="shared" si="241"/>
        <v/>
      </c>
      <c r="S3894" s="9">
        <f>IF(R3894="",AVERAGEIF(Table1[Category],Table1[[#This Row],[Category]],Table2[orignal data]),Table2[[#This Row],[orignal data]])</f>
        <v>715.78890751086249</v>
      </c>
      <c r="T3894" t="str">
        <f t="shared" si="242"/>
        <v>UNIQUE</v>
      </c>
      <c r="U3894" t="str">
        <f>IF(ISBLANK(Table1[[#This Row],[SizeOption]]),"NOT AVAILABLE",Table1[[#This Row],[SizeOption]])</f>
        <v>XS, S, M, L, XL</v>
      </c>
      <c r="Y3894" t="str">
        <f>IF(Table2[[#This Row],[Column1]]&gt;50%,"HIGH DISCOUNT","LOW DISCOUNT")</f>
        <v>HIGH DISCOUNT</v>
      </c>
    </row>
    <row r="3895" spans="1:25" x14ac:dyDescent="0.25">
      <c r="A3895" s="2" t="s">
        <v>8023</v>
      </c>
      <c r="B3895" s="2">
        <v>8843127</v>
      </c>
      <c r="C3895" s="2" t="s">
        <v>6852</v>
      </c>
      <c r="D3895" s="2" t="s">
        <v>68</v>
      </c>
      <c r="E3895" s="2" t="s">
        <v>42</v>
      </c>
      <c r="F3895" s="2" t="s">
        <v>17</v>
      </c>
      <c r="G3895" s="2" t="s">
        <v>8024</v>
      </c>
      <c r="I3895" s="2">
        <v>999</v>
      </c>
      <c r="J3895" s="2"/>
      <c r="K3895" s="2" t="s">
        <v>115</v>
      </c>
      <c r="L3895" s="2">
        <v>4.5</v>
      </c>
      <c r="M3895" s="2">
        <v>534</v>
      </c>
      <c r="P3895" t="str">
        <f t="shared" si="243"/>
        <v/>
      </c>
      <c r="Q3895" s="12" t="str">
        <f t="shared" si="240"/>
        <v/>
      </c>
      <c r="R3895" s="9" t="str">
        <f t="shared" si="241"/>
        <v/>
      </c>
      <c r="S3895" s="9">
        <f>IF(R3895="",AVERAGEIF(Table1[Category],Table1[[#This Row],[Category]],Table2[orignal data]),Table2[[#This Row],[orignal data]])</f>
        <v>734.32085365853686</v>
      </c>
      <c r="T3895" t="str">
        <f t="shared" si="242"/>
        <v>UNIQUE</v>
      </c>
      <c r="U3895" t="str">
        <f>IF(ISBLANK(Table1[[#This Row],[SizeOption]]),"NOT AVAILABLE",Table1[[#This Row],[SizeOption]])</f>
        <v>XS, S, M, L, XL, XXL</v>
      </c>
      <c r="Y3895" t="str">
        <f>IF(Table2[[#This Row],[Column1]]&gt;50%,"HIGH DISCOUNT","LOW DISCOUNT")</f>
        <v>HIGH DISCOUNT</v>
      </c>
    </row>
    <row r="3896" spans="1:25" x14ac:dyDescent="0.25">
      <c r="A3896" s="1" t="s">
        <v>8025</v>
      </c>
      <c r="B3896" s="1">
        <v>11676500</v>
      </c>
      <c r="C3896" s="1" t="s">
        <v>277</v>
      </c>
      <c r="D3896" s="1" t="s">
        <v>76</v>
      </c>
      <c r="E3896" s="1" t="s">
        <v>93</v>
      </c>
      <c r="F3896" s="1" t="s">
        <v>36</v>
      </c>
      <c r="G3896" s="1" t="s">
        <v>8026</v>
      </c>
      <c r="H3896">
        <v>701</v>
      </c>
      <c r="I3896" s="1">
        <v>1799</v>
      </c>
      <c r="J3896" s="1" t="s">
        <v>104</v>
      </c>
      <c r="K3896" s="1" t="s">
        <v>39</v>
      </c>
      <c r="L3896" s="1">
        <v>4.2</v>
      </c>
      <c r="M3896" s="1">
        <v>534</v>
      </c>
      <c r="P3896" t="str">
        <f t="shared" si="243"/>
        <v>61%</v>
      </c>
      <c r="Q3896" s="12">
        <f t="shared" si="240"/>
        <v>0.61</v>
      </c>
      <c r="R3896" s="9">
        <f t="shared" si="241"/>
        <v>701.61000000000013</v>
      </c>
      <c r="S3896" s="9">
        <f>IF(R3896="",AVERAGEIF(Table1[Category],Table1[[#This Row],[Category]],Table2[orignal data]),Table2[[#This Row],[orignal data]])</f>
        <v>701.61000000000013</v>
      </c>
      <c r="T3896" t="str">
        <f t="shared" si="242"/>
        <v>UNIQUE</v>
      </c>
      <c r="U3896" t="str">
        <f>IF(ISBLANK(Table1[[#This Row],[SizeOption]]),"NOT AVAILABLE",Table1[[#This Row],[SizeOption]])</f>
        <v>S, M, L, XL, XXL</v>
      </c>
      <c r="Y3896" t="str">
        <f>IF(Table2[[#This Row],[Column1]]&gt;50%,"HIGH DISCOUNT","LOW DISCOUNT")</f>
        <v>HIGH DISCOUNT</v>
      </c>
    </row>
    <row r="3897" spans="1:25" x14ac:dyDescent="0.25">
      <c r="A3897" s="2" t="s">
        <v>8027</v>
      </c>
      <c r="B3897" s="2">
        <v>11245026</v>
      </c>
      <c r="C3897" s="2" t="s">
        <v>1375</v>
      </c>
      <c r="D3897" s="2" t="s">
        <v>76</v>
      </c>
      <c r="E3897" s="2" t="s">
        <v>320</v>
      </c>
      <c r="F3897" s="2" t="s">
        <v>36</v>
      </c>
      <c r="G3897" s="2" t="s">
        <v>8028</v>
      </c>
      <c r="H3897">
        <v>999</v>
      </c>
      <c r="I3897" s="2">
        <v>3999</v>
      </c>
      <c r="J3897" s="2" t="s">
        <v>109</v>
      </c>
      <c r="K3897" s="2" t="s">
        <v>164</v>
      </c>
      <c r="L3897" s="2">
        <v>4</v>
      </c>
      <c r="M3897" s="2">
        <v>534</v>
      </c>
      <c r="P3897" t="str">
        <f t="shared" si="243"/>
        <v>75%</v>
      </c>
      <c r="Q3897" s="12">
        <f t="shared" si="240"/>
        <v>0.75</v>
      </c>
      <c r="R3897" s="9">
        <f t="shared" si="241"/>
        <v>999.75</v>
      </c>
      <c r="S3897" s="9">
        <f>IF(R3897="",AVERAGEIF(Table1[Category],Table1[[#This Row],[Category]],Table2[orignal data]),Table2[[#This Row],[orignal data]])</f>
        <v>999.75</v>
      </c>
      <c r="T3897" t="str">
        <f t="shared" si="242"/>
        <v>UNIQUE</v>
      </c>
      <c r="U3897" t="str">
        <f>IF(ISBLANK(Table1[[#This Row],[SizeOption]]),"NOT AVAILABLE",Table1[[#This Row],[SizeOption]])</f>
        <v>Onesize</v>
      </c>
      <c r="Y3897" t="str">
        <f>IF(Table2[[#This Row],[Column1]]&gt;50%,"HIGH DISCOUNT","LOW DISCOUNT")</f>
        <v>HIGH DISCOUNT</v>
      </c>
    </row>
    <row r="3898" spans="1:25" x14ac:dyDescent="0.25">
      <c r="A3898" s="1" t="s">
        <v>8029</v>
      </c>
      <c r="B3898" s="1">
        <v>10715888</v>
      </c>
      <c r="C3898" s="1" t="s">
        <v>924</v>
      </c>
      <c r="D3898" s="1" t="s">
        <v>76</v>
      </c>
      <c r="E3898" s="1" t="s">
        <v>148</v>
      </c>
      <c r="F3898" s="1" t="s">
        <v>36</v>
      </c>
      <c r="G3898" s="1" t="s">
        <v>8030</v>
      </c>
      <c r="H3898">
        <v>2957</v>
      </c>
      <c r="I3898" s="1">
        <v>5799</v>
      </c>
      <c r="J3898" s="1" t="s">
        <v>167</v>
      </c>
      <c r="K3898" s="1" t="s">
        <v>115</v>
      </c>
      <c r="L3898" s="1">
        <v>4.0999999999999996</v>
      </c>
      <c r="M3898" s="1">
        <v>534</v>
      </c>
      <c r="P3898" t="str">
        <f t="shared" si="243"/>
        <v>49%</v>
      </c>
      <c r="Q3898" s="12">
        <f t="shared" si="240"/>
        <v>0.49</v>
      </c>
      <c r="R3898" s="9">
        <f t="shared" si="241"/>
        <v>2957.4900000000002</v>
      </c>
      <c r="S3898" s="9">
        <f>IF(R3898="",AVERAGEIF(Table1[Category],Table1[[#This Row],[Category]],Table2[orignal data]),Table2[[#This Row],[orignal data]])</f>
        <v>2957.4900000000002</v>
      </c>
      <c r="T3898" t="str">
        <f t="shared" si="242"/>
        <v>UNIQUE</v>
      </c>
      <c r="U3898" t="str">
        <f>IF(ISBLANK(Table1[[#This Row],[SizeOption]]),"NOT AVAILABLE",Table1[[#This Row],[SizeOption]])</f>
        <v>XS, S, M, L, XL, XXL</v>
      </c>
      <c r="Y3898" t="str">
        <f>IF(Table2[[#This Row],[Column1]]&gt;50%,"HIGH DISCOUNT","LOW DISCOUNT")</f>
        <v>LOW DISCOUNT</v>
      </c>
    </row>
    <row r="3899" spans="1:25" x14ac:dyDescent="0.25">
      <c r="A3899" s="2" t="s">
        <v>8031</v>
      </c>
      <c r="B3899" s="2">
        <v>17383672</v>
      </c>
      <c r="C3899" s="2" t="s">
        <v>14</v>
      </c>
      <c r="D3899" s="2" t="s">
        <v>41</v>
      </c>
      <c r="E3899" s="2" t="s">
        <v>42</v>
      </c>
      <c r="F3899" s="2" t="s">
        <v>36</v>
      </c>
      <c r="G3899" s="2" t="s">
        <v>7325</v>
      </c>
      <c r="I3899" s="2">
        <v>1598</v>
      </c>
      <c r="J3899" s="2" t="s">
        <v>84</v>
      </c>
      <c r="K3899" s="2" t="s">
        <v>146</v>
      </c>
      <c r="L3899" s="2">
        <v>4.3</v>
      </c>
      <c r="M3899" s="2">
        <v>534</v>
      </c>
      <c r="P3899" t="str">
        <f t="shared" si="243"/>
        <v>50%</v>
      </c>
      <c r="Q3899" s="12">
        <f t="shared" si="240"/>
        <v>0.5</v>
      </c>
      <c r="R3899" s="9">
        <f t="shared" si="241"/>
        <v>799</v>
      </c>
      <c r="S3899" s="9">
        <f>IF(R3899="",AVERAGEIF(Table1[Category],Table1[[#This Row],[Category]],Table2[orignal data]),Table2[[#This Row],[orignal data]])</f>
        <v>799</v>
      </c>
      <c r="T3899" t="str">
        <f t="shared" si="242"/>
        <v>UNIQUE</v>
      </c>
      <c r="U3899" t="str">
        <f>IF(ISBLANK(Table1[[#This Row],[SizeOption]]),"NOT AVAILABLE",Table1[[#This Row],[SizeOption]])</f>
        <v>L, M, S, XS, XL</v>
      </c>
      <c r="Y3899" t="str">
        <f>IF(Table2[[#This Row],[Column1]]&gt;50%,"HIGH DISCOUNT","LOW DISCOUNT")</f>
        <v>LOW DISCOUNT</v>
      </c>
    </row>
    <row r="3900" spans="1:25" x14ac:dyDescent="0.25">
      <c r="A3900" s="1" t="s">
        <v>8032</v>
      </c>
      <c r="B3900" s="1">
        <v>11099572</v>
      </c>
      <c r="C3900" s="1" t="s">
        <v>800</v>
      </c>
      <c r="D3900" s="1" t="s">
        <v>41</v>
      </c>
      <c r="E3900" s="1" t="s">
        <v>148</v>
      </c>
      <c r="F3900" s="1" t="s">
        <v>36</v>
      </c>
      <c r="G3900" s="1" t="s">
        <v>8033</v>
      </c>
      <c r="I3900" s="1">
        <v>1699</v>
      </c>
      <c r="J3900" s="1" t="s">
        <v>476</v>
      </c>
      <c r="K3900" s="1" t="s">
        <v>39</v>
      </c>
      <c r="L3900" s="1">
        <v>4</v>
      </c>
      <c r="M3900" s="1">
        <v>534</v>
      </c>
      <c r="P3900" t="str">
        <f t="shared" si="243"/>
        <v>63%</v>
      </c>
      <c r="Q3900" s="12">
        <f t="shared" si="240"/>
        <v>0.63</v>
      </c>
      <c r="R3900" s="9">
        <f t="shared" si="241"/>
        <v>628.62999999999988</v>
      </c>
      <c r="S3900" s="9">
        <f>IF(R3900="",AVERAGEIF(Table1[Category],Table1[[#This Row],[Category]],Table2[orignal data]),Table2[[#This Row],[orignal data]])</f>
        <v>628.62999999999988</v>
      </c>
      <c r="T3900" t="str">
        <f t="shared" si="242"/>
        <v>UNIQUE</v>
      </c>
      <c r="U3900" t="str">
        <f>IF(ISBLANK(Table1[[#This Row],[SizeOption]]),"NOT AVAILABLE",Table1[[#This Row],[SizeOption]])</f>
        <v>S, M, L, XL, XXL</v>
      </c>
      <c r="Y3900" t="str">
        <f>IF(Table2[[#This Row],[Column1]]&gt;50%,"HIGH DISCOUNT","LOW DISCOUNT")</f>
        <v>HIGH DISCOUNT</v>
      </c>
    </row>
    <row r="3901" spans="1:25" x14ac:dyDescent="0.25">
      <c r="A3901" s="2" t="s">
        <v>8034</v>
      </c>
      <c r="B3901" s="2">
        <v>10841102</v>
      </c>
      <c r="C3901" s="2" t="s">
        <v>102</v>
      </c>
      <c r="D3901" s="2" t="s">
        <v>41</v>
      </c>
      <c r="E3901" s="2" t="s">
        <v>189</v>
      </c>
      <c r="F3901" s="2" t="s">
        <v>36</v>
      </c>
      <c r="G3901" s="2" t="s">
        <v>8035</v>
      </c>
      <c r="I3901" s="2">
        <v>3099</v>
      </c>
      <c r="J3901" s="2" t="s">
        <v>606</v>
      </c>
      <c r="K3901" s="2" t="s">
        <v>26</v>
      </c>
      <c r="L3901" s="2">
        <v>4.4000000000000004</v>
      </c>
      <c r="M3901" s="2">
        <v>534</v>
      </c>
      <c r="P3901" t="str">
        <f t="shared" si="243"/>
        <v>54%</v>
      </c>
      <c r="Q3901" s="12">
        <f t="shared" si="240"/>
        <v>0.54</v>
      </c>
      <c r="R3901" s="9">
        <f t="shared" si="241"/>
        <v>1425.54</v>
      </c>
      <c r="S3901" s="9">
        <f>IF(R3901="",AVERAGEIF(Table1[Category],Table1[[#This Row],[Category]],Table2[orignal data]),Table2[[#This Row],[orignal data]])</f>
        <v>1425.54</v>
      </c>
      <c r="T3901" t="str">
        <f t="shared" si="242"/>
        <v>UNIQUE</v>
      </c>
      <c r="U3901" t="str">
        <f>IF(ISBLANK(Table1[[#This Row],[SizeOption]]),"NOT AVAILABLE",Table1[[#This Row],[SizeOption]])</f>
        <v>S, M, L, XL</v>
      </c>
      <c r="Y3901" t="str">
        <f>IF(Table2[[#This Row],[Column1]]&gt;50%,"HIGH DISCOUNT","LOW DISCOUNT")</f>
        <v>HIGH DISCOUNT</v>
      </c>
    </row>
    <row r="3902" spans="1:25" x14ac:dyDescent="0.25">
      <c r="A3902" s="1" t="s">
        <v>8036</v>
      </c>
      <c r="B3902" s="1">
        <v>14646862</v>
      </c>
      <c r="C3902" s="1" t="s">
        <v>1818</v>
      </c>
      <c r="D3902" s="1" t="s">
        <v>41</v>
      </c>
      <c r="E3902" s="1" t="s">
        <v>148</v>
      </c>
      <c r="F3902" s="1" t="s">
        <v>36</v>
      </c>
      <c r="G3902" s="1" t="s">
        <v>8037</v>
      </c>
      <c r="I3902" s="1">
        <v>3299</v>
      </c>
      <c r="J3902" s="1" t="s">
        <v>95</v>
      </c>
      <c r="K3902" s="1" t="s">
        <v>115</v>
      </c>
      <c r="L3902" s="1">
        <v>4.4000000000000004</v>
      </c>
      <c r="M3902" s="1">
        <v>534</v>
      </c>
      <c r="P3902" t="str">
        <f t="shared" si="243"/>
        <v>59%</v>
      </c>
      <c r="Q3902" s="12">
        <f t="shared" si="240"/>
        <v>0.59</v>
      </c>
      <c r="R3902" s="9">
        <f t="shared" si="241"/>
        <v>1352.5900000000001</v>
      </c>
      <c r="S3902" s="9">
        <f>IF(R3902="",AVERAGEIF(Table1[Category],Table1[[#This Row],[Category]],Table2[orignal data]),Table2[[#This Row],[orignal data]])</f>
        <v>1352.5900000000001</v>
      </c>
      <c r="T3902" t="str">
        <f t="shared" si="242"/>
        <v>UNIQUE</v>
      </c>
      <c r="U3902" t="str">
        <f>IF(ISBLANK(Table1[[#This Row],[SizeOption]]),"NOT AVAILABLE",Table1[[#This Row],[SizeOption]])</f>
        <v>XS, S, M, L, XL, XXL</v>
      </c>
      <c r="Y3902" t="str">
        <f>IF(Table2[[#This Row],[Column1]]&gt;50%,"HIGH DISCOUNT","LOW DISCOUNT")</f>
        <v>HIGH DISCOUNT</v>
      </c>
    </row>
    <row r="3903" spans="1:25" x14ac:dyDescent="0.25">
      <c r="A3903" s="2" t="s">
        <v>8038</v>
      </c>
      <c r="B3903" s="2">
        <v>13818948</v>
      </c>
      <c r="C3903" s="2" t="s">
        <v>1003</v>
      </c>
      <c r="D3903" s="2" t="s">
        <v>41</v>
      </c>
      <c r="E3903" s="2" t="s">
        <v>42</v>
      </c>
      <c r="F3903" s="2" t="s">
        <v>36</v>
      </c>
      <c r="G3903" s="2" t="s">
        <v>8039</v>
      </c>
      <c r="I3903" s="2">
        <v>599</v>
      </c>
      <c r="J3903" s="2" t="s">
        <v>8040</v>
      </c>
      <c r="K3903" s="2" t="s">
        <v>100</v>
      </c>
      <c r="L3903" s="2">
        <v>4.3</v>
      </c>
      <c r="M3903" s="2">
        <v>534</v>
      </c>
      <c r="P3903" t="str">
        <f t="shared" si="243"/>
        <v>80</v>
      </c>
      <c r="Q3903" s="12">
        <f t="shared" si="240"/>
        <v>0.13355592654424039</v>
      </c>
      <c r="R3903" s="9">
        <f t="shared" si="241"/>
        <v>519</v>
      </c>
      <c r="S3903" s="9">
        <f>IF(R3903="",AVERAGEIF(Table1[Category],Table1[[#This Row],[Category]],Table2[orignal data]),Table2[[#This Row],[orignal data]])</f>
        <v>519</v>
      </c>
      <c r="T3903" t="str">
        <f t="shared" si="242"/>
        <v>UNIQUE</v>
      </c>
      <c r="U3903" t="str">
        <f>IF(ISBLANK(Table1[[#This Row],[SizeOption]]),"NOT AVAILABLE",Table1[[#This Row],[SizeOption]])</f>
        <v>XS, S, M, L, XL, XXL, 3XL</v>
      </c>
      <c r="Y3903" t="str">
        <f>IF(Table2[[#This Row],[Column1]]&gt;50%,"HIGH DISCOUNT","LOW DISCOUNT")</f>
        <v>LOW DISCOUNT</v>
      </c>
    </row>
    <row r="3904" spans="1:25" x14ac:dyDescent="0.25">
      <c r="A3904" s="1" t="s">
        <v>8041</v>
      </c>
      <c r="B3904" s="1">
        <v>11737802</v>
      </c>
      <c r="C3904" s="1" t="s">
        <v>420</v>
      </c>
      <c r="D3904" s="1" t="s">
        <v>41</v>
      </c>
      <c r="E3904" s="1" t="s">
        <v>48</v>
      </c>
      <c r="F3904" s="1" t="s">
        <v>36</v>
      </c>
      <c r="G3904" s="1" t="s">
        <v>8042</v>
      </c>
      <c r="I3904" s="1">
        <v>799</v>
      </c>
      <c r="J3904" s="1" t="s">
        <v>25</v>
      </c>
      <c r="K3904" s="1" t="s">
        <v>26</v>
      </c>
      <c r="L3904" s="1">
        <v>4.0999999999999996</v>
      </c>
      <c r="M3904" s="1">
        <v>534</v>
      </c>
      <c r="P3904" t="str">
        <f t="shared" si="243"/>
        <v>55%</v>
      </c>
      <c r="Q3904" s="12">
        <f t="shared" si="240"/>
        <v>0.55000000000000004</v>
      </c>
      <c r="R3904" s="9">
        <f t="shared" si="241"/>
        <v>359.54999999999995</v>
      </c>
      <c r="S3904" s="9">
        <f>IF(R3904="",AVERAGEIF(Table1[Category],Table1[[#This Row],[Category]],Table2[orignal data]),Table2[[#This Row],[orignal data]])</f>
        <v>359.54999999999995</v>
      </c>
      <c r="T3904" t="str">
        <f t="shared" si="242"/>
        <v>UNIQUE</v>
      </c>
      <c r="U3904" t="str">
        <f>IF(ISBLANK(Table1[[#This Row],[SizeOption]]),"NOT AVAILABLE",Table1[[#This Row],[SizeOption]])</f>
        <v>S, M, L, XL</v>
      </c>
      <c r="Y3904" t="str">
        <f>IF(Table2[[#This Row],[Column1]]&gt;50%,"HIGH DISCOUNT","LOW DISCOUNT")</f>
        <v>HIGH DISCOUNT</v>
      </c>
    </row>
    <row r="3905" spans="1:25" x14ac:dyDescent="0.25">
      <c r="A3905" s="2" t="s">
        <v>8043</v>
      </c>
      <c r="B3905" s="2">
        <v>4441327</v>
      </c>
      <c r="C3905" s="2" t="s">
        <v>58</v>
      </c>
      <c r="D3905" s="2" t="s">
        <v>41</v>
      </c>
      <c r="E3905" s="2" t="s">
        <v>48</v>
      </c>
      <c r="F3905" s="2" t="s">
        <v>36</v>
      </c>
      <c r="G3905" s="2" t="s">
        <v>8044</v>
      </c>
      <c r="I3905" s="2">
        <v>995</v>
      </c>
      <c r="J3905" s="2" t="s">
        <v>60</v>
      </c>
      <c r="K3905" s="2" t="s">
        <v>26</v>
      </c>
      <c r="L3905" s="2">
        <v>3.3</v>
      </c>
      <c r="M3905" s="2">
        <v>534</v>
      </c>
      <c r="P3905" t="str">
        <f t="shared" si="243"/>
        <v>58%</v>
      </c>
      <c r="Q3905" s="12">
        <f t="shared" si="240"/>
        <v>0.57999999999999996</v>
      </c>
      <c r="R3905" s="9">
        <f t="shared" si="241"/>
        <v>417.90000000000009</v>
      </c>
      <c r="S3905" s="9">
        <f>IF(R3905="",AVERAGEIF(Table1[Category],Table1[[#This Row],[Category]],Table2[orignal data]),Table2[[#This Row],[orignal data]])</f>
        <v>417.90000000000009</v>
      </c>
      <c r="T3905" t="str">
        <f t="shared" si="242"/>
        <v>UNIQUE</v>
      </c>
      <c r="U3905" t="str">
        <f>IF(ISBLANK(Table1[[#This Row],[SizeOption]]),"NOT AVAILABLE",Table1[[#This Row],[SizeOption]])</f>
        <v>S, M, L, XL</v>
      </c>
      <c r="Y3905" t="str">
        <f>IF(Table2[[#This Row],[Column1]]&gt;50%,"HIGH DISCOUNT","LOW DISCOUNT")</f>
        <v>HIGH DISCOUNT</v>
      </c>
    </row>
    <row r="3906" spans="1:25" x14ac:dyDescent="0.25">
      <c r="A3906" s="1" t="s">
        <v>8045</v>
      </c>
      <c r="B3906" s="1">
        <v>17383360</v>
      </c>
      <c r="C3906" s="1" t="s">
        <v>14</v>
      </c>
      <c r="D3906" s="1" t="s">
        <v>41</v>
      </c>
      <c r="E3906" s="1" t="s">
        <v>42</v>
      </c>
      <c r="F3906" s="1" t="s">
        <v>36</v>
      </c>
      <c r="G3906" s="1" t="s">
        <v>8046</v>
      </c>
      <c r="I3906" s="1">
        <v>1598</v>
      </c>
      <c r="J3906" s="1"/>
      <c r="K3906" s="1" t="s">
        <v>1234</v>
      </c>
      <c r="L3906" s="1">
        <v>4.0999999999999996</v>
      </c>
      <c r="M3906" s="1">
        <v>534</v>
      </c>
      <c r="P3906" t="str">
        <f t="shared" si="243"/>
        <v/>
      </c>
      <c r="Q3906" s="12" t="str">
        <f t="shared" ref="Q3906:Q3969" si="244">IF(P3906="","",IF(ISNUMBER(SEARCH("%",P3906)),P3906,P3906/I3906)*100%)</f>
        <v/>
      </c>
      <c r="R3906" s="9" t="str">
        <f t="shared" ref="R3906:R3969" si="245">IF(P3906="","",I3906-(I3906*Q3906))</f>
        <v/>
      </c>
      <c r="S3906" s="9">
        <f>IF(R3906="",AVERAGEIF(Table1[Category],Table1[[#This Row],[Category]],Table2[orignal data]),Table2[[#This Row],[orignal data]])</f>
        <v>715.78890751086249</v>
      </c>
      <c r="T3906" t="str">
        <f t="shared" ref="T3906:T3969" si="246">IF(COUNTIF($B$2:$B$5000,B3906)&gt;1,"DUPLICATE","UNIQUE")</f>
        <v>UNIQUE</v>
      </c>
      <c r="U3906" t="str">
        <f>IF(ISBLANK(Table1[[#This Row],[SizeOption]]),"NOT AVAILABLE",Table1[[#This Row],[SizeOption]])</f>
        <v>XL, L, M, S, XS</v>
      </c>
      <c r="Y3906" t="str">
        <f>IF(Table2[[#This Row],[Column1]]&gt;50%,"HIGH DISCOUNT","LOW DISCOUNT")</f>
        <v>HIGH DISCOUNT</v>
      </c>
    </row>
    <row r="3907" spans="1:25" x14ac:dyDescent="0.25">
      <c r="A3907" s="2" t="s">
        <v>8047</v>
      </c>
      <c r="B3907" s="2">
        <v>9270733</v>
      </c>
      <c r="C3907" s="2" t="s">
        <v>14</v>
      </c>
      <c r="D3907" s="2" t="s">
        <v>15</v>
      </c>
      <c r="E3907" s="2" t="s">
        <v>16</v>
      </c>
      <c r="F3907" s="2" t="s">
        <v>17</v>
      </c>
      <c r="G3907" s="2" t="s">
        <v>1896</v>
      </c>
      <c r="I3907" s="2">
        <v>1999</v>
      </c>
      <c r="J3907" s="2"/>
      <c r="K3907" s="2" t="s">
        <v>20</v>
      </c>
      <c r="L3907" s="2">
        <v>3.8</v>
      </c>
      <c r="M3907" s="2">
        <v>533</v>
      </c>
      <c r="P3907" t="str">
        <f t="shared" ref="P3907:P3970" si="247">TRIM(SUBSTITUTE(SUBSTITUTE(SUBSTITUTE(SUBSTITUTE(J3907,"OFF",""),"Rs.",""),"Hurry*",""),",",""))</f>
        <v/>
      </c>
      <c r="Q3907" s="12" t="str">
        <f t="shared" si="244"/>
        <v/>
      </c>
      <c r="R3907" s="9" t="str">
        <f t="shared" si="245"/>
        <v/>
      </c>
      <c r="S3907" s="9">
        <f>IF(R3907="",AVERAGEIF(Table1[Category],Table1[[#This Row],[Category]],Table2[orignal data]),Table2[[#This Row],[orignal data]])</f>
        <v>892.27590339892538</v>
      </c>
      <c r="T3907" t="str">
        <f t="shared" si="246"/>
        <v>UNIQUE</v>
      </c>
      <c r="U3907" t="str">
        <f>IF(ISBLANK(Table1[[#This Row],[SizeOption]]),"NOT AVAILABLE",Table1[[#This Row],[SizeOption]])</f>
        <v>28, 30, 32, 34, 36</v>
      </c>
      <c r="Y3907" t="str">
        <f>IF(Table2[[#This Row],[Column1]]&gt;50%,"HIGH DISCOUNT","LOW DISCOUNT")</f>
        <v>HIGH DISCOUNT</v>
      </c>
    </row>
    <row r="3908" spans="1:25" x14ac:dyDescent="0.25">
      <c r="A3908" s="1" t="s">
        <v>8048</v>
      </c>
      <c r="B3908" s="1">
        <v>10046889</v>
      </c>
      <c r="C3908" s="1" t="s">
        <v>14</v>
      </c>
      <c r="D3908" s="1" t="s">
        <v>15</v>
      </c>
      <c r="E3908" s="1" t="s">
        <v>16</v>
      </c>
      <c r="F3908" s="1" t="s">
        <v>17</v>
      </c>
      <c r="G3908" s="1" t="s">
        <v>3690</v>
      </c>
      <c r="H3908">
        <v>849</v>
      </c>
      <c r="I3908" s="1">
        <v>1699</v>
      </c>
      <c r="J3908" s="1" t="s">
        <v>84</v>
      </c>
      <c r="K3908" s="1" t="s">
        <v>20</v>
      </c>
      <c r="L3908" s="1">
        <v>4.0999999999999996</v>
      </c>
      <c r="M3908" s="1">
        <v>533</v>
      </c>
      <c r="P3908" t="str">
        <f t="shared" si="247"/>
        <v>50%</v>
      </c>
      <c r="Q3908" s="12">
        <f t="shared" si="244"/>
        <v>0.5</v>
      </c>
      <c r="R3908" s="9">
        <f t="shared" si="245"/>
        <v>849.5</v>
      </c>
      <c r="S3908" s="9">
        <f>IF(R3908="",AVERAGEIF(Table1[Category],Table1[[#This Row],[Category]],Table2[orignal data]),Table2[[#This Row],[orignal data]])</f>
        <v>849.5</v>
      </c>
      <c r="T3908" t="str">
        <f t="shared" si="246"/>
        <v>UNIQUE</v>
      </c>
      <c r="U3908" t="str">
        <f>IF(ISBLANK(Table1[[#This Row],[SizeOption]]),"NOT AVAILABLE",Table1[[#This Row],[SizeOption]])</f>
        <v>28, 30, 32, 34, 36</v>
      </c>
      <c r="Y3908" t="str">
        <f>IF(Table2[[#This Row],[Column1]]&gt;50%,"HIGH DISCOUNT","LOW DISCOUNT")</f>
        <v>LOW DISCOUNT</v>
      </c>
    </row>
    <row r="3909" spans="1:25" x14ac:dyDescent="0.25">
      <c r="A3909" s="2" t="s">
        <v>8049</v>
      </c>
      <c r="B3909" s="2">
        <v>1724803</v>
      </c>
      <c r="C3909" s="2" t="s">
        <v>6558</v>
      </c>
      <c r="D3909" s="2" t="s">
        <v>197</v>
      </c>
      <c r="E3909" s="2" t="s">
        <v>350</v>
      </c>
      <c r="F3909" s="2" t="s">
        <v>17</v>
      </c>
      <c r="G3909" s="2" t="s">
        <v>8050</v>
      </c>
      <c r="H3909">
        <v>708</v>
      </c>
      <c r="I3909" s="2">
        <v>945</v>
      </c>
      <c r="J3909" s="2" t="s">
        <v>282</v>
      </c>
      <c r="K3909" s="2" t="s">
        <v>73</v>
      </c>
      <c r="L3909" s="2">
        <v>4.0999999999999996</v>
      </c>
      <c r="M3909" s="2">
        <v>533</v>
      </c>
      <c r="P3909" t="str">
        <f t="shared" si="247"/>
        <v>25%</v>
      </c>
      <c r="Q3909" s="12">
        <f t="shared" si="244"/>
        <v>0.25</v>
      </c>
      <c r="R3909" s="9">
        <f t="shared" si="245"/>
        <v>708.75</v>
      </c>
      <c r="S3909" s="9">
        <f>IF(R3909="",AVERAGEIF(Table1[Category],Table1[[#This Row],[Category]],Table2[orignal data]),Table2[[#This Row],[orignal data]])</f>
        <v>708.75</v>
      </c>
      <c r="T3909" t="str">
        <f t="shared" si="246"/>
        <v>UNIQUE</v>
      </c>
      <c r="U3909" t="str">
        <f>IF(ISBLANK(Table1[[#This Row],[SizeOption]]),"NOT AVAILABLE",Table1[[#This Row],[SizeOption]])</f>
        <v>XS, S, M, L, XL, XXL, 3XL, 4XL</v>
      </c>
      <c r="Y3909" t="str">
        <f>IF(Table2[[#This Row],[Column1]]&gt;50%,"HIGH DISCOUNT","LOW DISCOUNT")</f>
        <v>LOW DISCOUNT</v>
      </c>
    </row>
    <row r="3910" spans="1:25" x14ac:dyDescent="0.25">
      <c r="A3910" s="1" t="s">
        <v>8051</v>
      </c>
      <c r="B3910" s="1">
        <v>13825536</v>
      </c>
      <c r="C3910" s="1" t="s">
        <v>169</v>
      </c>
      <c r="D3910" s="1" t="s">
        <v>197</v>
      </c>
      <c r="E3910" s="1" t="s">
        <v>198</v>
      </c>
      <c r="F3910" s="1" t="s">
        <v>17</v>
      </c>
      <c r="G3910" s="1" t="s">
        <v>8052</v>
      </c>
      <c r="H3910">
        <v>324</v>
      </c>
      <c r="I3910" s="1">
        <v>499</v>
      </c>
      <c r="J3910" s="1" t="s">
        <v>44</v>
      </c>
      <c r="K3910" s="1" t="s">
        <v>164</v>
      </c>
      <c r="L3910" s="1">
        <v>3.9</v>
      </c>
      <c r="M3910" s="1">
        <v>533</v>
      </c>
      <c r="P3910" t="str">
        <f t="shared" si="247"/>
        <v>35%</v>
      </c>
      <c r="Q3910" s="12">
        <f t="shared" si="244"/>
        <v>0.35</v>
      </c>
      <c r="R3910" s="9">
        <f t="shared" si="245"/>
        <v>324.35000000000002</v>
      </c>
      <c r="S3910" s="9">
        <f>IF(R3910="",AVERAGEIF(Table1[Category],Table1[[#This Row],[Category]],Table2[orignal data]),Table2[[#This Row],[orignal data]])</f>
        <v>324.35000000000002</v>
      </c>
      <c r="T3910" t="str">
        <f t="shared" si="246"/>
        <v>UNIQUE</v>
      </c>
      <c r="U3910" t="str">
        <f>IF(ISBLANK(Table1[[#This Row],[SizeOption]]),"NOT AVAILABLE",Table1[[#This Row],[SizeOption]])</f>
        <v>Onesize</v>
      </c>
      <c r="Y3910" t="str">
        <f>IF(Table2[[#This Row],[Column1]]&gt;50%,"HIGH DISCOUNT","LOW DISCOUNT")</f>
        <v>LOW DISCOUNT</v>
      </c>
    </row>
    <row r="3911" spans="1:25" x14ac:dyDescent="0.25">
      <c r="A3911" s="2" t="s">
        <v>8053</v>
      </c>
      <c r="B3911" s="2">
        <v>13007340</v>
      </c>
      <c r="C3911" s="2" t="s">
        <v>7782</v>
      </c>
      <c r="D3911" s="2" t="s">
        <v>197</v>
      </c>
      <c r="E3911" s="2" t="s">
        <v>7783</v>
      </c>
      <c r="F3911" s="2" t="s">
        <v>17</v>
      </c>
      <c r="G3911" s="2" t="s">
        <v>8054</v>
      </c>
      <c r="H3911">
        <v>825</v>
      </c>
      <c r="I3911" s="2">
        <v>1399</v>
      </c>
      <c r="J3911" s="2" t="s">
        <v>1109</v>
      </c>
      <c r="K3911" s="2" t="s">
        <v>39</v>
      </c>
      <c r="L3911" s="2">
        <v>4.2</v>
      </c>
      <c r="M3911" s="2">
        <v>533</v>
      </c>
      <c r="P3911" t="str">
        <f t="shared" si="247"/>
        <v>41%</v>
      </c>
      <c r="Q3911" s="12">
        <f t="shared" si="244"/>
        <v>0.41</v>
      </c>
      <c r="R3911" s="9">
        <f t="shared" si="245"/>
        <v>825.41000000000008</v>
      </c>
      <c r="S3911" s="9">
        <f>IF(R3911="",AVERAGEIF(Table1[Category],Table1[[#This Row],[Category]],Table2[orignal data]),Table2[[#This Row],[orignal data]])</f>
        <v>825.41000000000008</v>
      </c>
      <c r="T3911" t="str">
        <f t="shared" si="246"/>
        <v>UNIQUE</v>
      </c>
      <c r="U3911" t="str">
        <f>IF(ISBLANK(Table1[[#This Row],[SizeOption]]),"NOT AVAILABLE",Table1[[#This Row],[SizeOption]])</f>
        <v>S, M, L, XL, XXL</v>
      </c>
      <c r="Y3911" t="str">
        <f>IF(Table2[[#This Row],[Column1]]&gt;50%,"HIGH DISCOUNT","LOW DISCOUNT")</f>
        <v>LOW DISCOUNT</v>
      </c>
    </row>
    <row r="3912" spans="1:25" x14ac:dyDescent="0.25">
      <c r="A3912" s="1" t="s">
        <v>8055</v>
      </c>
      <c r="B3912" s="1">
        <v>10861812</v>
      </c>
      <c r="C3912" s="1" t="s">
        <v>794</v>
      </c>
      <c r="D3912" s="1" t="s">
        <v>197</v>
      </c>
      <c r="E3912" s="1" t="s">
        <v>518</v>
      </c>
      <c r="F3912" s="1" t="s">
        <v>17</v>
      </c>
      <c r="G3912" s="1" t="s">
        <v>8056</v>
      </c>
      <c r="H3912">
        <v>1186</v>
      </c>
      <c r="I3912" s="1">
        <v>1249</v>
      </c>
      <c r="J3912" s="1" t="s">
        <v>764</v>
      </c>
      <c r="K3912" s="1" t="s">
        <v>39</v>
      </c>
      <c r="L3912" s="1">
        <v>4.4000000000000004</v>
      </c>
      <c r="M3912" s="1">
        <v>533</v>
      </c>
      <c r="P3912" t="str">
        <f t="shared" si="247"/>
        <v>5%</v>
      </c>
      <c r="Q3912" s="12">
        <f t="shared" si="244"/>
        <v>0.05</v>
      </c>
      <c r="R3912" s="9">
        <f t="shared" si="245"/>
        <v>1186.55</v>
      </c>
      <c r="S3912" s="9">
        <f>IF(R3912="",AVERAGEIF(Table1[Category],Table1[[#This Row],[Category]],Table2[orignal data]),Table2[[#This Row],[orignal data]])</f>
        <v>1186.55</v>
      </c>
      <c r="T3912" t="str">
        <f t="shared" si="246"/>
        <v>UNIQUE</v>
      </c>
      <c r="U3912" t="str">
        <f>IF(ISBLANK(Table1[[#This Row],[SizeOption]]),"NOT AVAILABLE",Table1[[#This Row],[SizeOption]])</f>
        <v>S, M, L, XL, XXL</v>
      </c>
      <c r="Y3912" t="str">
        <f>IF(Table2[[#This Row],[Column1]]&gt;50%,"HIGH DISCOUNT","LOW DISCOUNT")</f>
        <v>LOW DISCOUNT</v>
      </c>
    </row>
    <row r="3913" spans="1:25" x14ac:dyDescent="0.25">
      <c r="A3913" s="2" t="s">
        <v>8057</v>
      </c>
      <c r="B3913" s="2">
        <v>11443948</v>
      </c>
      <c r="C3913" s="2" t="s">
        <v>349</v>
      </c>
      <c r="D3913" s="2" t="s">
        <v>197</v>
      </c>
      <c r="E3913" s="2" t="s">
        <v>198</v>
      </c>
      <c r="F3913" s="2" t="s">
        <v>17</v>
      </c>
      <c r="G3913" s="2" t="s">
        <v>8058</v>
      </c>
      <c r="I3913" s="2">
        <v>397</v>
      </c>
      <c r="J3913" s="2"/>
      <c r="K3913" s="2" t="s">
        <v>164</v>
      </c>
      <c r="L3913" s="2">
        <v>4.5</v>
      </c>
      <c r="M3913" s="2">
        <v>533</v>
      </c>
      <c r="P3913" t="str">
        <f t="shared" si="247"/>
        <v/>
      </c>
      <c r="Q3913" s="12" t="str">
        <f t="shared" si="244"/>
        <v/>
      </c>
      <c r="R3913" s="9" t="str">
        <f t="shared" si="245"/>
        <v/>
      </c>
      <c r="S3913" s="9">
        <f>IF(R3913="",AVERAGEIF(Table1[Category],Table1[[#This Row],[Category]],Table2[orignal data]),Table2[[#This Row],[orignal data]])</f>
        <v>552.70900000000006</v>
      </c>
      <c r="T3913" t="str">
        <f t="shared" si="246"/>
        <v>UNIQUE</v>
      </c>
      <c r="U3913" t="str">
        <f>IF(ISBLANK(Table1[[#This Row],[SizeOption]]),"NOT AVAILABLE",Table1[[#This Row],[SizeOption]])</f>
        <v>Onesize</v>
      </c>
      <c r="Y3913" t="str">
        <f>IF(Table2[[#This Row],[Column1]]&gt;50%,"HIGH DISCOUNT","LOW DISCOUNT")</f>
        <v>HIGH DISCOUNT</v>
      </c>
    </row>
    <row r="3914" spans="1:25" x14ac:dyDescent="0.25">
      <c r="A3914" s="1" t="s">
        <v>8059</v>
      </c>
      <c r="B3914" s="1">
        <v>15341342</v>
      </c>
      <c r="C3914" s="1" t="s">
        <v>4951</v>
      </c>
      <c r="D3914" s="1" t="s">
        <v>197</v>
      </c>
      <c r="E3914" s="1" t="s">
        <v>4952</v>
      </c>
      <c r="F3914" s="1" t="s">
        <v>17</v>
      </c>
      <c r="G3914" s="1" t="s">
        <v>8060</v>
      </c>
      <c r="I3914" s="1">
        <v>599</v>
      </c>
      <c r="J3914" s="1"/>
      <c r="K3914" s="1" t="s">
        <v>39</v>
      </c>
      <c r="L3914" s="1">
        <v>4.3</v>
      </c>
      <c r="M3914" s="1">
        <v>533</v>
      </c>
      <c r="P3914" t="str">
        <f t="shared" si="247"/>
        <v/>
      </c>
      <c r="Q3914" s="12" t="str">
        <f t="shared" si="244"/>
        <v/>
      </c>
      <c r="R3914" s="9" t="str">
        <f t="shared" si="245"/>
        <v/>
      </c>
      <c r="S3914" s="9">
        <f>IF(R3914="",AVERAGEIF(Table1[Category],Table1[[#This Row],[Category]],Table2[orignal data]),Table2[[#This Row],[orignal data]])</f>
        <v>552.70900000000006</v>
      </c>
      <c r="T3914" t="str">
        <f t="shared" si="246"/>
        <v>UNIQUE</v>
      </c>
      <c r="U3914" t="str">
        <f>IF(ISBLANK(Table1[[#This Row],[SizeOption]]),"NOT AVAILABLE",Table1[[#This Row],[SizeOption]])</f>
        <v>S, M, L, XL, XXL</v>
      </c>
      <c r="Y3914" t="str">
        <f>IF(Table2[[#This Row],[Column1]]&gt;50%,"HIGH DISCOUNT","LOW DISCOUNT")</f>
        <v>HIGH DISCOUNT</v>
      </c>
    </row>
    <row r="3915" spans="1:25" x14ac:dyDescent="0.25">
      <c r="A3915" s="2" t="s">
        <v>8061</v>
      </c>
      <c r="B3915" s="2">
        <v>11785974</v>
      </c>
      <c r="C3915" s="2" t="s">
        <v>794</v>
      </c>
      <c r="D3915" s="2" t="s">
        <v>197</v>
      </c>
      <c r="E3915" s="2" t="s">
        <v>518</v>
      </c>
      <c r="F3915" s="2" t="s">
        <v>17</v>
      </c>
      <c r="G3915" s="2" t="s">
        <v>8062</v>
      </c>
      <c r="I3915" s="2">
        <v>2498</v>
      </c>
      <c r="J3915" s="2"/>
      <c r="K3915" s="2" t="s">
        <v>5108</v>
      </c>
      <c r="L3915" s="2">
        <v>4.4000000000000004</v>
      </c>
      <c r="M3915" s="2">
        <v>533</v>
      </c>
      <c r="P3915" t="str">
        <f t="shared" si="247"/>
        <v/>
      </c>
      <c r="Q3915" s="12" t="str">
        <f t="shared" si="244"/>
        <v/>
      </c>
      <c r="R3915" s="9" t="str">
        <f t="shared" si="245"/>
        <v/>
      </c>
      <c r="S3915" s="9">
        <f>IF(R3915="",AVERAGEIF(Table1[Category],Table1[[#This Row],[Category]],Table2[orignal data]),Table2[[#This Row],[orignal data]])</f>
        <v>552.70900000000006</v>
      </c>
      <c r="T3915" t="str">
        <f t="shared" si="246"/>
        <v>UNIQUE</v>
      </c>
      <c r="U3915" t="str">
        <f>IF(ISBLANK(Table1[[#This Row],[SizeOption]]),"NOT AVAILABLE",Table1[[#This Row],[SizeOption]])</f>
        <v>XL, S, XXL, L, M</v>
      </c>
      <c r="Y3915" t="str">
        <f>IF(Table2[[#This Row],[Column1]]&gt;50%,"HIGH DISCOUNT","LOW DISCOUNT")</f>
        <v>HIGH DISCOUNT</v>
      </c>
    </row>
    <row r="3916" spans="1:25" x14ac:dyDescent="0.25">
      <c r="A3916" s="1" t="s">
        <v>8063</v>
      </c>
      <c r="B3916" s="1">
        <v>11900244</v>
      </c>
      <c r="C3916" s="1" t="s">
        <v>346</v>
      </c>
      <c r="D3916" s="1" t="s">
        <v>28</v>
      </c>
      <c r="E3916" s="1" t="s">
        <v>42</v>
      </c>
      <c r="F3916" s="1" t="s">
        <v>17</v>
      </c>
      <c r="G3916" s="1" t="s">
        <v>8064</v>
      </c>
      <c r="H3916">
        <v>439</v>
      </c>
      <c r="I3916" s="1">
        <v>1099</v>
      </c>
      <c r="J3916" s="1" t="s">
        <v>55</v>
      </c>
      <c r="K3916" s="1" t="s">
        <v>39</v>
      </c>
      <c r="L3916" s="1">
        <v>3.9</v>
      </c>
      <c r="M3916" s="1">
        <v>533</v>
      </c>
      <c r="P3916" t="str">
        <f t="shared" si="247"/>
        <v>60%</v>
      </c>
      <c r="Q3916" s="12">
        <f t="shared" si="244"/>
        <v>0.6</v>
      </c>
      <c r="R3916" s="9">
        <f t="shared" si="245"/>
        <v>439.6</v>
      </c>
      <c r="S3916" s="9">
        <f>IF(R3916="",AVERAGEIF(Table1[Category],Table1[[#This Row],[Category]],Table2[orignal data]),Table2[[#This Row],[orignal data]])</f>
        <v>439.6</v>
      </c>
      <c r="T3916" t="str">
        <f t="shared" si="246"/>
        <v>UNIQUE</v>
      </c>
      <c r="U3916" t="str">
        <f>IF(ISBLANK(Table1[[#This Row],[SizeOption]]),"NOT AVAILABLE",Table1[[#This Row],[SizeOption]])</f>
        <v>S, M, L, XL, XXL</v>
      </c>
      <c r="Y3916" t="str">
        <f>IF(Table2[[#This Row],[Column1]]&gt;50%,"HIGH DISCOUNT","LOW DISCOUNT")</f>
        <v>HIGH DISCOUNT</v>
      </c>
    </row>
    <row r="3917" spans="1:25" x14ac:dyDescent="0.25">
      <c r="A3917" s="2" t="s">
        <v>8065</v>
      </c>
      <c r="B3917" s="2">
        <v>11895966</v>
      </c>
      <c r="C3917" s="2" t="s">
        <v>14</v>
      </c>
      <c r="D3917" s="2" t="s">
        <v>28</v>
      </c>
      <c r="E3917" s="2" t="s">
        <v>29</v>
      </c>
      <c r="F3917" s="2" t="s">
        <v>17</v>
      </c>
      <c r="G3917" s="2" t="s">
        <v>8066</v>
      </c>
      <c r="H3917">
        <v>674</v>
      </c>
      <c r="I3917" s="2">
        <v>1499</v>
      </c>
      <c r="J3917" s="2" t="s">
        <v>25</v>
      </c>
      <c r="K3917" s="2" t="s">
        <v>253</v>
      </c>
      <c r="L3917" s="2">
        <v>4.3</v>
      </c>
      <c r="M3917" s="2">
        <v>533</v>
      </c>
      <c r="P3917" t="str">
        <f t="shared" si="247"/>
        <v>55%</v>
      </c>
      <c r="Q3917" s="12">
        <f t="shared" si="244"/>
        <v>0.55000000000000004</v>
      </c>
      <c r="R3917" s="9">
        <f t="shared" si="245"/>
        <v>674.55</v>
      </c>
      <c r="S3917" s="9">
        <f>IF(R3917="",AVERAGEIF(Table1[Category],Table1[[#This Row],[Category]],Table2[orignal data]),Table2[[#This Row],[orignal data]])</f>
        <v>674.55</v>
      </c>
      <c r="T3917" t="str">
        <f t="shared" si="246"/>
        <v>UNIQUE</v>
      </c>
      <c r="U3917" t="str">
        <f>IF(ISBLANK(Table1[[#This Row],[SizeOption]]),"NOT AVAILABLE",Table1[[#This Row],[SizeOption]])</f>
        <v>38, 40, 42, 44</v>
      </c>
      <c r="Y3917" t="str">
        <f>IF(Table2[[#This Row],[Column1]]&gt;50%,"HIGH DISCOUNT","LOW DISCOUNT")</f>
        <v>HIGH DISCOUNT</v>
      </c>
    </row>
    <row r="3918" spans="1:25" x14ac:dyDescent="0.25">
      <c r="A3918" s="1" t="s">
        <v>8067</v>
      </c>
      <c r="B3918" s="1">
        <v>11545010</v>
      </c>
      <c r="C3918" s="1" t="s">
        <v>14</v>
      </c>
      <c r="D3918" s="1" t="s">
        <v>28</v>
      </c>
      <c r="E3918" s="1" t="s">
        <v>42</v>
      </c>
      <c r="F3918" s="1" t="s">
        <v>17</v>
      </c>
      <c r="G3918" s="1" t="s">
        <v>8068</v>
      </c>
      <c r="H3918">
        <v>359</v>
      </c>
      <c r="I3918" s="1">
        <v>799</v>
      </c>
      <c r="J3918" s="1" t="s">
        <v>25</v>
      </c>
      <c r="K3918" s="1" t="s">
        <v>45</v>
      </c>
      <c r="L3918" s="1">
        <v>4.3</v>
      </c>
      <c r="M3918" s="1">
        <v>533</v>
      </c>
      <c r="P3918" t="str">
        <f t="shared" si="247"/>
        <v>55%</v>
      </c>
      <c r="Q3918" s="12">
        <f t="shared" si="244"/>
        <v>0.55000000000000004</v>
      </c>
      <c r="R3918" s="9">
        <f t="shared" si="245"/>
        <v>359.54999999999995</v>
      </c>
      <c r="S3918" s="9">
        <f>IF(R3918="",AVERAGEIF(Table1[Category],Table1[[#This Row],[Category]],Table2[orignal data]),Table2[[#This Row],[orignal data]])</f>
        <v>359.54999999999995</v>
      </c>
      <c r="T3918" t="str">
        <f t="shared" si="246"/>
        <v>UNIQUE</v>
      </c>
      <c r="U3918" t="str">
        <f>IF(ISBLANK(Table1[[#This Row],[SizeOption]]),"NOT AVAILABLE",Table1[[#This Row],[SizeOption]])</f>
        <v>XS, S, M, L, XL</v>
      </c>
      <c r="Y3918" t="str">
        <f>IF(Table2[[#This Row],[Column1]]&gt;50%,"HIGH DISCOUNT","LOW DISCOUNT")</f>
        <v>HIGH DISCOUNT</v>
      </c>
    </row>
    <row r="3919" spans="1:25" x14ac:dyDescent="0.25">
      <c r="A3919" s="2" t="s">
        <v>8069</v>
      </c>
      <c r="B3919" s="2">
        <v>13238444</v>
      </c>
      <c r="C3919" s="2" t="s">
        <v>113</v>
      </c>
      <c r="D3919" s="2" t="s">
        <v>76</v>
      </c>
      <c r="E3919" s="2" t="s">
        <v>93</v>
      </c>
      <c r="F3919" s="2" t="s">
        <v>36</v>
      </c>
      <c r="G3919" s="2" t="s">
        <v>8070</v>
      </c>
      <c r="H3919">
        <v>719</v>
      </c>
      <c r="I3919" s="2">
        <v>1799</v>
      </c>
      <c r="J3919" s="2" t="s">
        <v>55</v>
      </c>
      <c r="K3919" s="2" t="s">
        <v>115</v>
      </c>
      <c r="L3919" s="2">
        <v>3.9</v>
      </c>
      <c r="M3919" s="2">
        <v>533</v>
      </c>
      <c r="P3919" t="str">
        <f t="shared" si="247"/>
        <v>60%</v>
      </c>
      <c r="Q3919" s="12">
        <f t="shared" si="244"/>
        <v>0.6</v>
      </c>
      <c r="R3919" s="9">
        <f t="shared" si="245"/>
        <v>719.60000000000014</v>
      </c>
      <c r="S3919" s="9">
        <f>IF(R3919="",AVERAGEIF(Table1[Category],Table1[[#This Row],[Category]],Table2[orignal data]),Table2[[#This Row],[orignal data]])</f>
        <v>719.60000000000014</v>
      </c>
      <c r="T3919" t="str">
        <f t="shared" si="246"/>
        <v>UNIQUE</v>
      </c>
      <c r="U3919" t="str">
        <f>IF(ISBLANK(Table1[[#This Row],[SizeOption]]),"NOT AVAILABLE",Table1[[#This Row],[SizeOption]])</f>
        <v>XS, S, M, L, XL, XXL</v>
      </c>
      <c r="Y3919" t="str">
        <f>IF(Table2[[#This Row],[Column1]]&gt;50%,"HIGH DISCOUNT","LOW DISCOUNT")</f>
        <v>HIGH DISCOUNT</v>
      </c>
    </row>
    <row r="3920" spans="1:25" x14ac:dyDescent="0.25">
      <c r="A3920" s="1" t="s">
        <v>8071</v>
      </c>
      <c r="B3920" s="1">
        <v>2177649</v>
      </c>
      <c r="C3920" s="1" t="s">
        <v>4422</v>
      </c>
      <c r="D3920" s="1" t="s">
        <v>34</v>
      </c>
      <c r="E3920" s="1" t="s">
        <v>2910</v>
      </c>
      <c r="F3920" s="1" t="s">
        <v>36</v>
      </c>
      <c r="G3920" s="1" t="s">
        <v>8072</v>
      </c>
      <c r="H3920">
        <v>499</v>
      </c>
      <c r="I3920" s="1">
        <v>749</v>
      </c>
      <c r="J3920" s="1" t="s">
        <v>6201</v>
      </c>
      <c r="K3920" s="1" t="s">
        <v>8073</v>
      </c>
      <c r="L3920" s="1">
        <v>4.0999999999999996</v>
      </c>
      <c r="M3920" s="1">
        <v>533</v>
      </c>
      <c r="P3920" t="str">
        <f t="shared" si="247"/>
        <v>250</v>
      </c>
      <c r="Q3920" s="12">
        <f t="shared" si="244"/>
        <v>0.33377837116154874</v>
      </c>
      <c r="R3920" s="9">
        <f t="shared" si="245"/>
        <v>499</v>
      </c>
      <c r="S3920" s="9">
        <f>IF(R3920="",AVERAGEIF(Table1[Category],Table1[[#This Row],[Category]],Table2[orignal data]),Table2[[#This Row],[orignal data]])</f>
        <v>499</v>
      </c>
      <c r="T3920" t="str">
        <f t="shared" si="246"/>
        <v>UNIQUE</v>
      </c>
      <c r="U3920" t="str">
        <f>IF(ISBLANK(Table1[[#This Row],[SizeOption]]),"NOT AVAILABLE",Table1[[#This Row],[SizeOption]])</f>
        <v>L</v>
      </c>
      <c r="Y3920" t="str">
        <f>IF(Table2[[#This Row],[Column1]]&gt;50%,"HIGH DISCOUNT","LOW DISCOUNT")</f>
        <v>LOW DISCOUNT</v>
      </c>
    </row>
    <row r="3921" spans="1:25" x14ac:dyDescent="0.25">
      <c r="A3921" s="2" t="s">
        <v>8074</v>
      </c>
      <c r="B3921" s="2">
        <v>12529812</v>
      </c>
      <c r="C3921" s="2" t="s">
        <v>201</v>
      </c>
      <c r="D3921" s="2" t="s">
        <v>98</v>
      </c>
      <c r="E3921" s="2" t="s">
        <v>93</v>
      </c>
      <c r="F3921" s="2" t="s">
        <v>36</v>
      </c>
      <c r="G3921" s="2" t="s">
        <v>8075</v>
      </c>
      <c r="H3921">
        <v>479</v>
      </c>
      <c r="I3921" s="2">
        <v>1599</v>
      </c>
      <c r="J3921" s="2" t="s">
        <v>1566</v>
      </c>
      <c r="K3921" s="2" t="s">
        <v>100</v>
      </c>
      <c r="L3921" s="2">
        <v>4</v>
      </c>
      <c r="M3921" s="2">
        <v>533</v>
      </c>
      <c r="P3921" t="str">
        <f t="shared" si="247"/>
        <v>70%</v>
      </c>
      <c r="Q3921" s="12">
        <f t="shared" si="244"/>
        <v>0.7</v>
      </c>
      <c r="R3921" s="9">
        <f t="shared" si="245"/>
        <v>479.70000000000005</v>
      </c>
      <c r="S3921" s="9">
        <f>IF(R3921="",AVERAGEIF(Table1[Category],Table1[[#This Row],[Category]],Table2[orignal data]),Table2[[#This Row],[orignal data]])</f>
        <v>479.70000000000005</v>
      </c>
      <c r="T3921" t="str">
        <f t="shared" si="246"/>
        <v>UNIQUE</v>
      </c>
      <c r="U3921" t="str">
        <f>IF(ISBLANK(Table1[[#This Row],[SizeOption]]),"NOT AVAILABLE",Table1[[#This Row],[SizeOption]])</f>
        <v>XS, S, M, L, XL, XXL, 3XL</v>
      </c>
      <c r="Y3921" t="str">
        <f>IF(Table2[[#This Row],[Column1]]&gt;50%,"HIGH DISCOUNT","LOW DISCOUNT")</f>
        <v>HIGH DISCOUNT</v>
      </c>
    </row>
    <row r="3922" spans="1:25" x14ac:dyDescent="0.25">
      <c r="A3922" s="1" t="s">
        <v>8076</v>
      </c>
      <c r="B3922" s="1">
        <v>11002798</v>
      </c>
      <c r="C3922" s="1" t="s">
        <v>107</v>
      </c>
      <c r="D3922" s="1" t="s">
        <v>41</v>
      </c>
      <c r="E3922" s="1" t="s">
        <v>48</v>
      </c>
      <c r="F3922" s="1" t="s">
        <v>36</v>
      </c>
      <c r="G3922" s="1" t="s">
        <v>8077</v>
      </c>
      <c r="I3922" s="1">
        <v>1699</v>
      </c>
      <c r="J3922" s="1" t="s">
        <v>25</v>
      </c>
      <c r="K3922" s="1" t="s">
        <v>45</v>
      </c>
      <c r="L3922" s="1">
        <v>4.0999999999999996</v>
      </c>
      <c r="M3922" s="1">
        <v>533</v>
      </c>
      <c r="P3922" t="str">
        <f t="shared" si="247"/>
        <v>55%</v>
      </c>
      <c r="Q3922" s="12">
        <f t="shared" si="244"/>
        <v>0.55000000000000004</v>
      </c>
      <c r="R3922" s="9">
        <f t="shared" si="245"/>
        <v>764.55</v>
      </c>
      <c r="S3922" s="9">
        <f>IF(R3922="",AVERAGEIF(Table1[Category],Table1[[#This Row],[Category]],Table2[orignal data]),Table2[[#This Row],[orignal data]])</f>
        <v>764.55</v>
      </c>
      <c r="T3922" t="str">
        <f t="shared" si="246"/>
        <v>UNIQUE</v>
      </c>
      <c r="U3922" t="str">
        <f>IF(ISBLANK(Table1[[#This Row],[SizeOption]]),"NOT AVAILABLE",Table1[[#This Row],[SizeOption]])</f>
        <v>XS, S, M, L, XL</v>
      </c>
      <c r="Y3922" t="str">
        <f>IF(Table2[[#This Row],[Column1]]&gt;50%,"HIGH DISCOUNT","LOW DISCOUNT")</f>
        <v>HIGH DISCOUNT</v>
      </c>
    </row>
    <row r="3923" spans="1:25" x14ac:dyDescent="0.25">
      <c r="A3923" s="2" t="s">
        <v>8078</v>
      </c>
      <c r="B3923" s="2">
        <v>12758196</v>
      </c>
      <c r="C3923" s="2" t="s">
        <v>102</v>
      </c>
      <c r="D3923" s="2" t="s">
        <v>41</v>
      </c>
      <c r="E3923" s="2" t="s">
        <v>16</v>
      </c>
      <c r="F3923" s="2" t="s">
        <v>36</v>
      </c>
      <c r="G3923" s="2" t="s">
        <v>8079</v>
      </c>
      <c r="I3923" s="2">
        <v>1899</v>
      </c>
      <c r="J3923" s="2" t="s">
        <v>60</v>
      </c>
      <c r="K3923" s="2" t="s">
        <v>105</v>
      </c>
      <c r="L3923" s="2">
        <v>3.9</v>
      </c>
      <c r="M3923" s="2">
        <v>533</v>
      </c>
      <c r="P3923" t="str">
        <f t="shared" si="247"/>
        <v>58%</v>
      </c>
      <c r="Q3923" s="12">
        <f t="shared" si="244"/>
        <v>0.57999999999999996</v>
      </c>
      <c r="R3923" s="9">
        <f t="shared" si="245"/>
        <v>797.58000000000015</v>
      </c>
      <c r="S3923" s="9">
        <f>IF(R3923="",AVERAGEIF(Table1[Category],Table1[[#This Row],[Category]],Table2[orignal data]),Table2[[#This Row],[orignal data]])</f>
        <v>797.58000000000015</v>
      </c>
      <c r="T3923" t="str">
        <f t="shared" si="246"/>
        <v>UNIQUE</v>
      </c>
      <c r="U3923" t="str">
        <f>IF(ISBLANK(Table1[[#This Row],[SizeOption]]),"NOT AVAILABLE",Table1[[#This Row],[SizeOption]])</f>
        <v>28, 30, 32, 34</v>
      </c>
      <c r="Y3923" t="str">
        <f>IF(Table2[[#This Row],[Column1]]&gt;50%,"HIGH DISCOUNT","LOW DISCOUNT")</f>
        <v>HIGH DISCOUNT</v>
      </c>
    </row>
    <row r="3924" spans="1:25" x14ac:dyDescent="0.25">
      <c r="A3924" s="1" t="s">
        <v>8080</v>
      </c>
      <c r="B3924" s="1">
        <v>11284552</v>
      </c>
      <c r="C3924" s="1" t="s">
        <v>47</v>
      </c>
      <c r="D3924" s="1" t="s">
        <v>41</v>
      </c>
      <c r="E3924" s="1" t="s">
        <v>16</v>
      </c>
      <c r="F3924" s="1" t="s">
        <v>36</v>
      </c>
      <c r="G3924" s="1" t="s">
        <v>8081</v>
      </c>
      <c r="I3924" s="1">
        <v>2199</v>
      </c>
      <c r="J3924" s="1" t="s">
        <v>84</v>
      </c>
      <c r="K3924" s="1" t="s">
        <v>134</v>
      </c>
      <c r="L3924" s="1">
        <v>3.8</v>
      </c>
      <c r="M3924" s="1">
        <v>533</v>
      </c>
      <c r="P3924" t="str">
        <f t="shared" si="247"/>
        <v>50%</v>
      </c>
      <c r="Q3924" s="12">
        <f t="shared" si="244"/>
        <v>0.5</v>
      </c>
      <c r="R3924" s="9">
        <f t="shared" si="245"/>
        <v>1099.5</v>
      </c>
      <c r="S3924" s="9">
        <f>IF(R3924="",AVERAGEIF(Table1[Category],Table1[[#This Row],[Category]],Table2[orignal data]),Table2[[#This Row],[orignal data]])</f>
        <v>1099.5</v>
      </c>
      <c r="T3924" t="str">
        <f t="shared" si="246"/>
        <v>UNIQUE</v>
      </c>
      <c r="U3924" t="str">
        <f>IF(ISBLANK(Table1[[#This Row],[SizeOption]]),"NOT AVAILABLE",Table1[[#This Row],[SizeOption]])</f>
        <v>26, 28, 30, 32, 34, 36</v>
      </c>
      <c r="Y3924" t="str">
        <f>IF(Table2[[#This Row],[Column1]]&gt;50%,"HIGH DISCOUNT","LOW DISCOUNT")</f>
        <v>LOW DISCOUNT</v>
      </c>
    </row>
    <row r="3925" spans="1:25" x14ac:dyDescent="0.25">
      <c r="A3925" s="2" t="s">
        <v>8082</v>
      </c>
      <c r="B3925" s="2">
        <v>10064463</v>
      </c>
      <c r="C3925" s="2" t="s">
        <v>14</v>
      </c>
      <c r="D3925" s="2" t="s">
        <v>15</v>
      </c>
      <c r="E3925" s="2" t="s">
        <v>16</v>
      </c>
      <c r="F3925" s="2" t="s">
        <v>17</v>
      </c>
      <c r="G3925" s="2" t="s">
        <v>3690</v>
      </c>
      <c r="I3925" s="2">
        <v>1699</v>
      </c>
      <c r="J3925" s="2"/>
      <c r="K3925" s="2" t="s">
        <v>20</v>
      </c>
      <c r="L3925" s="2">
        <v>4</v>
      </c>
      <c r="M3925" s="2">
        <v>532</v>
      </c>
      <c r="P3925" t="str">
        <f t="shared" si="247"/>
        <v/>
      </c>
      <c r="Q3925" s="12" t="str">
        <f t="shared" si="244"/>
        <v/>
      </c>
      <c r="R3925" s="9" t="str">
        <f t="shared" si="245"/>
        <v/>
      </c>
      <c r="S3925" s="9">
        <f>IF(R3925="",AVERAGEIF(Table1[Category],Table1[[#This Row],[Category]],Table2[orignal data]),Table2[[#This Row],[orignal data]])</f>
        <v>892.27590339892538</v>
      </c>
      <c r="T3925" t="str">
        <f t="shared" si="246"/>
        <v>UNIQUE</v>
      </c>
      <c r="U3925" t="str">
        <f>IF(ISBLANK(Table1[[#This Row],[SizeOption]]),"NOT AVAILABLE",Table1[[#This Row],[SizeOption]])</f>
        <v>28, 30, 32, 34, 36</v>
      </c>
      <c r="Y3925" t="str">
        <f>IF(Table2[[#This Row],[Column1]]&gt;50%,"HIGH DISCOUNT","LOW DISCOUNT")</f>
        <v>HIGH DISCOUNT</v>
      </c>
    </row>
    <row r="3926" spans="1:25" x14ac:dyDescent="0.25">
      <c r="A3926" s="1" t="s">
        <v>8083</v>
      </c>
      <c r="B3926" s="1">
        <v>11196174</v>
      </c>
      <c r="C3926" s="1" t="s">
        <v>22</v>
      </c>
      <c r="D3926" s="1" t="s">
        <v>15</v>
      </c>
      <c r="E3926" s="1" t="s">
        <v>16</v>
      </c>
      <c r="F3926" s="1" t="s">
        <v>17</v>
      </c>
      <c r="G3926" s="1" t="s">
        <v>2708</v>
      </c>
      <c r="H3926">
        <v>1099</v>
      </c>
      <c r="I3926" s="1">
        <v>2499</v>
      </c>
      <c r="J3926" s="1" t="s">
        <v>1204</v>
      </c>
      <c r="K3926" s="1" t="s">
        <v>56</v>
      </c>
      <c r="L3926" s="1">
        <v>3.9</v>
      </c>
      <c r="M3926" s="1">
        <v>532</v>
      </c>
      <c r="P3926" t="str">
        <f t="shared" si="247"/>
        <v>56%</v>
      </c>
      <c r="Q3926" s="12">
        <f t="shared" si="244"/>
        <v>0.56000000000000005</v>
      </c>
      <c r="R3926" s="9">
        <f t="shared" si="245"/>
        <v>1099.56</v>
      </c>
      <c r="S3926" s="9">
        <f>IF(R3926="",AVERAGEIF(Table1[Category],Table1[[#This Row],[Category]],Table2[orignal data]),Table2[[#This Row],[orignal data]])</f>
        <v>1099.56</v>
      </c>
      <c r="T3926" t="str">
        <f t="shared" si="246"/>
        <v>UNIQUE</v>
      </c>
      <c r="U3926" t="str">
        <f>IF(ISBLANK(Table1[[#This Row],[SizeOption]]),"NOT AVAILABLE",Table1[[#This Row],[SizeOption]])</f>
        <v>30, 32, 34, 36</v>
      </c>
      <c r="Y3926" t="str">
        <f>IF(Table2[[#This Row],[Column1]]&gt;50%,"HIGH DISCOUNT","LOW DISCOUNT")</f>
        <v>HIGH DISCOUNT</v>
      </c>
    </row>
    <row r="3927" spans="1:25" x14ac:dyDescent="0.25">
      <c r="A3927" s="2" t="s">
        <v>8084</v>
      </c>
      <c r="B3927" s="2">
        <v>8275741</v>
      </c>
      <c r="C3927" s="2" t="s">
        <v>14</v>
      </c>
      <c r="D3927" s="2" t="s">
        <v>15</v>
      </c>
      <c r="E3927" s="2" t="s">
        <v>16</v>
      </c>
      <c r="F3927" s="2" t="s">
        <v>17</v>
      </c>
      <c r="G3927" s="2" t="s">
        <v>8085</v>
      </c>
      <c r="H3927">
        <v>1199</v>
      </c>
      <c r="I3927" s="2">
        <v>1999</v>
      </c>
      <c r="J3927" s="2" t="s">
        <v>50</v>
      </c>
      <c r="K3927" s="2" t="s">
        <v>20</v>
      </c>
      <c r="L3927" s="2">
        <v>3.9</v>
      </c>
      <c r="M3927" s="2">
        <v>532</v>
      </c>
      <c r="P3927" t="str">
        <f t="shared" si="247"/>
        <v>40%</v>
      </c>
      <c r="Q3927" s="12">
        <f t="shared" si="244"/>
        <v>0.4</v>
      </c>
      <c r="R3927" s="9">
        <f t="shared" si="245"/>
        <v>1199.4000000000001</v>
      </c>
      <c r="S3927" s="9">
        <f>IF(R3927="",AVERAGEIF(Table1[Category],Table1[[#This Row],[Category]],Table2[orignal data]),Table2[[#This Row],[orignal data]])</f>
        <v>1199.4000000000001</v>
      </c>
      <c r="T3927" t="str">
        <f t="shared" si="246"/>
        <v>UNIQUE</v>
      </c>
      <c r="U3927" t="str">
        <f>IF(ISBLANK(Table1[[#This Row],[SizeOption]]),"NOT AVAILABLE",Table1[[#This Row],[SizeOption]])</f>
        <v>28, 30, 32, 34, 36</v>
      </c>
      <c r="Y3927" t="str">
        <f>IF(Table2[[#This Row],[Column1]]&gt;50%,"HIGH DISCOUNT","LOW DISCOUNT")</f>
        <v>LOW DISCOUNT</v>
      </c>
    </row>
    <row r="3928" spans="1:25" x14ac:dyDescent="0.25">
      <c r="A3928" s="1" t="s">
        <v>8086</v>
      </c>
      <c r="B3928" s="1">
        <v>12425530</v>
      </c>
      <c r="C3928" s="1" t="s">
        <v>52</v>
      </c>
      <c r="D3928" s="1" t="s">
        <v>15</v>
      </c>
      <c r="E3928" s="1" t="s">
        <v>16</v>
      </c>
      <c r="F3928" s="1" t="s">
        <v>17</v>
      </c>
      <c r="G3928" s="1" t="s">
        <v>3306</v>
      </c>
      <c r="H3928">
        <v>584</v>
      </c>
      <c r="I3928" s="1">
        <v>1499</v>
      </c>
      <c r="J3928" s="1" t="s">
        <v>104</v>
      </c>
      <c r="K3928" s="1" t="s">
        <v>816</v>
      </c>
      <c r="L3928" s="1">
        <v>3.9</v>
      </c>
      <c r="M3928" s="1">
        <v>532</v>
      </c>
      <c r="P3928" t="str">
        <f t="shared" si="247"/>
        <v>61%</v>
      </c>
      <c r="Q3928" s="12">
        <f t="shared" si="244"/>
        <v>0.61</v>
      </c>
      <c r="R3928" s="9">
        <f t="shared" si="245"/>
        <v>584.61</v>
      </c>
      <c r="S3928" s="9">
        <f>IF(R3928="",AVERAGEIF(Table1[Category],Table1[[#This Row],[Category]],Table2[orignal data]),Table2[[#This Row],[orignal data]])</f>
        <v>584.61</v>
      </c>
      <c r="T3928" t="str">
        <f t="shared" si="246"/>
        <v>UNIQUE</v>
      </c>
      <c r="U3928" t="str">
        <f>IF(ISBLANK(Table1[[#This Row],[SizeOption]]),"NOT AVAILABLE",Table1[[#This Row],[SizeOption]])</f>
        <v>30, 32, 34, 36, 38</v>
      </c>
      <c r="Y3928" t="str">
        <f>IF(Table2[[#This Row],[Column1]]&gt;50%,"HIGH DISCOUNT","LOW DISCOUNT")</f>
        <v>HIGH DISCOUNT</v>
      </c>
    </row>
    <row r="3929" spans="1:25" x14ac:dyDescent="0.25">
      <c r="A3929" s="2" t="s">
        <v>8087</v>
      </c>
      <c r="B3929" s="2">
        <v>10794290</v>
      </c>
      <c r="C3929" s="2" t="s">
        <v>1091</v>
      </c>
      <c r="D3929" s="2" t="s">
        <v>197</v>
      </c>
      <c r="E3929" s="2" t="s">
        <v>296</v>
      </c>
      <c r="F3929" s="2" t="s">
        <v>17</v>
      </c>
      <c r="G3929" s="2" t="s">
        <v>8088</v>
      </c>
      <c r="H3929">
        <v>330</v>
      </c>
      <c r="I3929" s="2">
        <v>412</v>
      </c>
      <c r="J3929" s="2" t="s">
        <v>8089</v>
      </c>
      <c r="K3929" s="2" t="s">
        <v>39</v>
      </c>
      <c r="L3929" s="2">
        <v>4.2</v>
      </c>
      <c r="M3929" s="2">
        <v>532</v>
      </c>
      <c r="P3929" t="str">
        <f t="shared" si="247"/>
        <v>82</v>
      </c>
      <c r="Q3929" s="12">
        <f t="shared" si="244"/>
        <v>0.19902912621359223</v>
      </c>
      <c r="R3929" s="9">
        <f t="shared" si="245"/>
        <v>330</v>
      </c>
      <c r="S3929" s="9">
        <f>IF(R3929="",AVERAGEIF(Table1[Category],Table1[[#This Row],[Category]],Table2[orignal data]),Table2[[#This Row],[orignal data]])</f>
        <v>330</v>
      </c>
      <c r="T3929" t="str">
        <f t="shared" si="246"/>
        <v>UNIQUE</v>
      </c>
      <c r="U3929" t="str">
        <f>IF(ISBLANK(Table1[[#This Row],[SizeOption]]),"NOT AVAILABLE",Table1[[#This Row],[SizeOption]])</f>
        <v>S, M, L, XL, XXL</v>
      </c>
      <c r="Y3929" t="str">
        <f>IF(Table2[[#This Row],[Column1]]&gt;50%,"HIGH DISCOUNT","LOW DISCOUNT")</f>
        <v>LOW DISCOUNT</v>
      </c>
    </row>
    <row r="3930" spans="1:25" x14ac:dyDescent="0.25">
      <c r="A3930" s="1" t="s">
        <v>8090</v>
      </c>
      <c r="B3930" s="1">
        <v>1422318</v>
      </c>
      <c r="C3930" s="1" t="s">
        <v>14</v>
      </c>
      <c r="D3930" s="1" t="s">
        <v>197</v>
      </c>
      <c r="E3930" s="1" t="s">
        <v>198</v>
      </c>
      <c r="F3930" s="1" t="s">
        <v>17</v>
      </c>
      <c r="G3930" s="1" t="s">
        <v>8091</v>
      </c>
      <c r="H3930">
        <v>179</v>
      </c>
      <c r="I3930" s="1">
        <v>299</v>
      </c>
      <c r="J3930" s="1" t="s">
        <v>50</v>
      </c>
      <c r="K3930" s="1" t="s">
        <v>164</v>
      </c>
      <c r="L3930" s="1">
        <v>4.3</v>
      </c>
      <c r="M3930" s="1">
        <v>532</v>
      </c>
      <c r="P3930" t="str">
        <f t="shared" si="247"/>
        <v>40%</v>
      </c>
      <c r="Q3930" s="12">
        <f t="shared" si="244"/>
        <v>0.4</v>
      </c>
      <c r="R3930" s="9">
        <f t="shared" si="245"/>
        <v>179.39999999999998</v>
      </c>
      <c r="S3930" s="9">
        <f>IF(R3930="",AVERAGEIF(Table1[Category],Table1[[#This Row],[Category]],Table2[orignal data]),Table2[[#This Row],[orignal data]])</f>
        <v>179.39999999999998</v>
      </c>
      <c r="T3930" t="str">
        <f t="shared" si="246"/>
        <v>UNIQUE</v>
      </c>
      <c r="U3930" t="str">
        <f>IF(ISBLANK(Table1[[#This Row],[SizeOption]]),"NOT AVAILABLE",Table1[[#This Row],[SizeOption]])</f>
        <v>Onesize</v>
      </c>
      <c r="Y3930" t="str">
        <f>IF(Table2[[#This Row],[Column1]]&gt;50%,"HIGH DISCOUNT","LOW DISCOUNT")</f>
        <v>LOW DISCOUNT</v>
      </c>
    </row>
    <row r="3931" spans="1:25" x14ac:dyDescent="0.25">
      <c r="A3931" s="2" t="s">
        <v>8092</v>
      </c>
      <c r="B3931" s="2">
        <v>8692237</v>
      </c>
      <c r="C3931" s="2" t="s">
        <v>67</v>
      </c>
      <c r="D3931" s="2" t="s">
        <v>68</v>
      </c>
      <c r="E3931" s="2" t="s">
        <v>42</v>
      </c>
      <c r="F3931" s="2" t="s">
        <v>17</v>
      </c>
      <c r="G3931" s="2" t="s">
        <v>8093</v>
      </c>
      <c r="H3931">
        <v>399</v>
      </c>
      <c r="I3931" s="2">
        <v>799</v>
      </c>
      <c r="J3931" s="2" t="s">
        <v>84</v>
      </c>
      <c r="K3931" s="2" t="s">
        <v>39</v>
      </c>
      <c r="L3931" s="2">
        <v>4.3</v>
      </c>
      <c r="M3931" s="2">
        <v>532</v>
      </c>
      <c r="P3931" t="str">
        <f t="shared" si="247"/>
        <v>50%</v>
      </c>
      <c r="Q3931" s="12">
        <f t="shared" si="244"/>
        <v>0.5</v>
      </c>
      <c r="R3931" s="9">
        <f t="shared" si="245"/>
        <v>399.5</v>
      </c>
      <c r="S3931" s="9">
        <f>IF(R3931="",AVERAGEIF(Table1[Category],Table1[[#This Row],[Category]],Table2[orignal data]),Table2[[#This Row],[orignal data]])</f>
        <v>399.5</v>
      </c>
      <c r="T3931" t="str">
        <f t="shared" si="246"/>
        <v>UNIQUE</v>
      </c>
      <c r="U3931" t="str">
        <f>IF(ISBLANK(Table1[[#This Row],[SizeOption]]),"NOT AVAILABLE",Table1[[#This Row],[SizeOption]])</f>
        <v>S, M, L, XL, XXL</v>
      </c>
      <c r="Y3931" t="str">
        <f>IF(Table2[[#This Row],[Column1]]&gt;50%,"HIGH DISCOUNT","LOW DISCOUNT")</f>
        <v>LOW DISCOUNT</v>
      </c>
    </row>
    <row r="3932" spans="1:25" x14ac:dyDescent="0.25">
      <c r="A3932" s="1" t="s">
        <v>8094</v>
      </c>
      <c r="B3932" s="1">
        <v>8692235</v>
      </c>
      <c r="C3932" s="1" t="s">
        <v>67</v>
      </c>
      <c r="D3932" s="1" t="s">
        <v>68</v>
      </c>
      <c r="E3932" s="1" t="s">
        <v>42</v>
      </c>
      <c r="F3932" s="1" t="s">
        <v>17</v>
      </c>
      <c r="G3932" s="1" t="s">
        <v>8095</v>
      </c>
      <c r="H3932">
        <v>479</v>
      </c>
      <c r="I3932" s="1">
        <v>799</v>
      </c>
      <c r="J3932" s="1" t="s">
        <v>50</v>
      </c>
      <c r="K3932" s="1" t="s">
        <v>39</v>
      </c>
      <c r="L3932" s="1">
        <v>4.3</v>
      </c>
      <c r="M3932" s="1">
        <v>532</v>
      </c>
      <c r="P3932" t="str">
        <f t="shared" si="247"/>
        <v>40%</v>
      </c>
      <c r="Q3932" s="12">
        <f t="shared" si="244"/>
        <v>0.4</v>
      </c>
      <c r="R3932" s="9">
        <f t="shared" si="245"/>
        <v>479.4</v>
      </c>
      <c r="S3932" s="9">
        <f>IF(R3932="",AVERAGEIF(Table1[Category],Table1[[#This Row],[Category]],Table2[orignal data]),Table2[[#This Row],[orignal data]])</f>
        <v>479.4</v>
      </c>
      <c r="T3932" t="str">
        <f t="shared" si="246"/>
        <v>UNIQUE</v>
      </c>
      <c r="U3932" t="str">
        <f>IF(ISBLANK(Table1[[#This Row],[SizeOption]]),"NOT AVAILABLE",Table1[[#This Row],[SizeOption]])</f>
        <v>S, M, L, XL, XXL</v>
      </c>
      <c r="Y3932" t="str">
        <f>IF(Table2[[#This Row],[Column1]]&gt;50%,"HIGH DISCOUNT","LOW DISCOUNT")</f>
        <v>LOW DISCOUNT</v>
      </c>
    </row>
    <row r="3933" spans="1:25" x14ac:dyDescent="0.25">
      <c r="A3933" s="2" t="s">
        <v>8096</v>
      </c>
      <c r="B3933" s="2">
        <v>15746196</v>
      </c>
      <c r="C3933" s="2" t="s">
        <v>490</v>
      </c>
      <c r="D3933" s="2" t="s">
        <v>28</v>
      </c>
      <c r="E3933" s="2" t="s">
        <v>306</v>
      </c>
      <c r="F3933" s="2" t="s">
        <v>17</v>
      </c>
      <c r="G3933" s="2" t="s">
        <v>8097</v>
      </c>
      <c r="I3933" s="2">
        <v>1499</v>
      </c>
      <c r="J3933" s="2"/>
      <c r="K3933" s="2" t="s">
        <v>115</v>
      </c>
      <c r="L3933" s="2">
        <v>4.5</v>
      </c>
      <c r="M3933" s="2">
        <v>532</v>
      </c>
      <c r="P3933" t="str">
        <f t="shared" si="247"/>
        <v/>
      </c>
      <c r="Q3933" s="12" t="str">
        <f t="shared" si="244"/>
        <v/>
      </c>
      <c r="R3933" s="9" t="str">
        <f t="shared" si="245"/>
        <v/>
      </c>
      <c r="S3933" s="9">
        <f>IF(R3933="",AVERAGEIF(Table1[Category],Table1[[#This Row],[Category]],Table2[orignal data]),Table2[[#This Row],[orignal data]])</f>
        <v>671.7823941958867</v>
      </c>
      <c r="T3933" t="str">
        <f t="shared" si="246"/>
        <v>UNIQUE</v>
      </c>
      <c r="U3933" t="str">
        <f>IF(ISBLANK(Table1[[#This Row],[SizeOption]]),"NOT AVAILABLE",Table1[[#This Row],[SizeOption]])</f>
        <v>XS, S, M, L, XL, XXL</v>
      </c>
      <c r="Y3933" t="str">
        <f>IF(Table2[[#This Row],[Column1]]&gt;50%,"HIGH DISCOUNT","LOW DISCOUNT")</f>
        <v>HIGH DISCOUNT</v>
      </c>
    </row>
    <row r="3934" spans="1:25" x14ac:dyDescent="0.25">
      <c r="A3934" s="1" t="s">
        <v>8098</v>
      </c>
      <c r="B3934" s="1">
        <v>12134678</v>
      </c>
      <c r="C3934" s="1" t="s">
        <v>113</v>
      </c>
      <c r="D3934" s="1" t="s">
        <v>76</v>
      </c>
      <c r="E3934" s="1" t="s">
        <v>77</v>
      </c>
      <c r="F3934" s="1" t="s">
        <v>36</v>
      </c>
      <c r="G3934" s="1" t="s">
        <v>8099</v>
      </c>
      <c r="H3934">
        <v>909</v>
      </c>
      <c r="I3934" s="1">
        <v>2599</v>
      </c>
      <c r="J3934" s="1" t="s">
        <v>150</v>
      </c>
      <c r="K3934" s="1" t="s">
        <v>115</v>
      </c>
      <c r="L3934" s="1">
        <v>3.9</v>
      </c>
      <c r="M3934" s="1">
        <v>532</v>
      </c>
      <c r="P3934" t="str">
        <f t="shared" si="247"/>
        <v>65%</v>
      </c>
      <c r="Q3934" s="12">
        <f t="shared" si="244"/>
        <v>0.65</v>
      </c>
      <c r="R3934" s="9">
        <f t="shared" si="245"/>
        <v>909.64999999999986</v>
      </c>
      <c r="S3934" s="9">
        <f>IF(R3934="",AVERAGEIF(Table1[Category],Table1[[#This Row],[Category]],Table2[orignal data]),Table2[[#This Row],[orignal data]])</f>
        <v>909.64999999999986</v>
      </c>
      <c r="T3934" t="str">
        <f t="shared" si="246"/>
        <v>UNIQUE</v>
      </c>
      <c r="U3934" t="str">
        <f>IF(ISBLANK(Table1[[#This Row],[SizeOption]]),"NOT AVAILABLE",Table1[[#This Row],[SizeOption]])</f>
        <v>XS, S, M, L, XL, XXL</v>
      </c>
      <c r="Y3934" t="str">
        <f>IF(Table2[[#This Row],[Column1]]&gt;50%,"HIGH DISCOUNT","LOW DISCOUNT")</f>
        <v>HIGH DISCOUNT</v>
      </c>
    </row>
    <row r="3935" spans="1:25" x14ac:dyDescent="0.25">
      <c r="A3935" s="2" t="s">
        <v>8100</v>
      </c>
      <c r="B3935" s="2">
        <v>13791256</v>
      </c>
      <c r="C3935" s="2" t="s">
        <v>397</v>
      </c>
      <c r="D3935" s="2" t="s">
        <v>76</v>
      </c>
      <c r="E3935" s="2" t="s">
        <v>77</v>
      </c>
      <c r="F3935" s="2" t="s">
        <v>36</v>
      </c>
      <c r="G3935" s="2" t="s">
        <v>8101</v>
      </c>
      <c r="H3935">
        <v>1418</v>
      </c>
      <c r="I3935" s="2">
        <v>4299</v>
      </c>
      <c r="J3935" s="2" t="s">
        <v>543</v>
      </c>
      <c r="K3935" s="2" t="s">
        <v>234</v>
      </c>
      <c r="L3935" s="2">
        <v>4.0999999999999996</v>
      </c>
      <c r="M3935" s="2">
        <v>532</v>
      </c>
      <c r="P3935" t="str">
        <f t="shared" si="247"/>
        <v>67%</v>
      </c>
      <c r="Q3935" s="12">
        <f t="shared" si="244"/>
        <v>0.67</v>
      </c>
      <c r="R3935" s="9">
        <f t="shared" si="245"/>
        <v>1418.6699999999996</v>
      </c>
      <c r="S3935" s="9">
        <f>IF(R3935="",AVERAGEIF(Table1[Category],Table1[[#This Row],[Category]],Table2[orignal data]),Table2[[#This Row],[orignal data]])</f>
        <v>1418.6699999999996</v>
      </c>
      <c r="T3935" t="str">
        <f t="shared" si="246"/>
        <v>UNIQUE</v>
      </c>
      <c r="U3935" t="str">
        <f>IF(ISBLANK(Table1[[#This Row],[SizeOption]]),"NOT AVAILABLE",Table1[[#This Row],[SizeOption]])</f>
        <v>S, M, L, XL, XXL, 3XL</v>
      </c>
      <c r="Y3935" t="str">
        <f>IF(Table2[[#This Row],[Column1]]&gt;50%,"HIGH DISCOUNT","LOW DISCOUNT")</f>
        <v>HIGH DISCOUNT</v>
      </c>
    </row>
    <row r="3936" spans="1:25" x14ac:dyDescent="0.25">
      <c r="A3936" s="1" t="s">
        <v>8102</v>
      </c>
      <c r="B3936" s="1">
        <v>7572958</v>
      </c>
      <c r="C3936" s="1" t="s">
        <v>92</v>
      </c>
      <c r="D3936" s="1" t="s">
        <v>76</v>
      </c>
      <c r="E3936" s="1" t="s">
        <v>77</v>
      </c>
      <c r="F3936" s="1" t="s">
        <v>36</v>
      </c>
      <c r="G3936" s="1" t="s">
        <v>8103</v>
      </c>
      <c r="H3936">
        <v>1759</v>
      </c>
      <c r="I3936" s="1">
        <v>4399</v>
      </c>
      <c r="J3936" s="1" t="s">
        <v>55</v>
      </c>
      <c r="K3936" s="1" t="s">
        <v>39</v>
      </c>
      <c r="L3936" s="1">
        <v>4.2</v>
      </c>
      <c r="M3936" s="1">
        <v>532</v>
      </c>
      <c r="P3936" t="str">
        <f t="shared" si="247"/>
        <v>60%</v>
      </c>
      <c r="Q3936" s="12">
        <f t="shared" si="244"/>
        <v>0.6</v>
      </c>
      <c r="R3936" s="9">
        <f t="shared" si="245"/>
        <v>1759.6</v>
      </c>
      <c r="S3936" s="9">
        <f>IF(R3936="",AVERAGEIF(Table1[Category],Table1[[#This Row],[Category]],Table2[orignal data]),Table2[[#This Row],[orignal data]])</f>
        <v>1759.6</v>
      </c>
      <c r="T3936" t="str">
        <f t="shared" si="246"/>
        <v>UNIQUE</v>
      </c>
      <c r="U3936" t="str">
        <f>IF(ISBLANK(Table1[[#This Row],[SizeOption]]),"NOT AVAILABLE",Table1[[#This Row],[SizeOption]])</f>
        <v>S, M, L, XL, XXL</v>
      </c>
      <c r="Y3936" t="str">
        <f>IF(Table2[[#This Row],[Column1]]&gt;50%,"HIGH DISCOUNT","LOW DISCOUNT")</f>
        <v>HIGH DISCOUNT</v>
      </c>
    </row>
    <row r="3937" spans="1:25" x14ac:dyDescent="0.25">
      <c r="A3937" s="2" t="s">
        <v>8104</v>
      </c>
      <c r="B3937" s="2">
        <v>12992914</v>
      </c>
      <c r="C3937" s="2" t="s">
        <v>4422</v>
      </c>
      <c r="D3937" s="2" t="s">
        <v>34</v>
      </c>
      <c r="E3937" s="2" t="s">
        <v>406</v>
      </c>
      <c r="F3937" s="2" t="s">
        <v>36</v>
      </c>
      <c r="G3937" s="2" t="s">
        <v>8105</v>
      </c>
      <c r="H3937">
        <v>751</v>
      </c>
      <c r="I3937" s="2">
        <v>1599</v>
      </c>
      <c r="J3937" s="2" t="s">
        <v>89</v>
      </c>
      <c r="K3937" s="2" t="s">
        <v>39</v>
      </c>
      <c r="L3937" s="2">
        <v>4.3</v>
      </c>
      <c r="M3937" s="2">
        <v>532</v>
      </c>
      <c r="P3937" t="str">
        <f t="shared" si="247"/>
        <v>53%</v>
      </c>
      <c r="Q3937" s="12">
        <f t="shared" si="244"/>
        <v>0.53</v>
      </c>
      <c r="R3937" s="9">
        <f t="shared" si="245"/>
        <v>751.53</v>
      </c>
      <c r="S3937" s="9">
        <f>IF(R3937="",AVERAGEIF(Table1[Category],Table1[[#This Row],[Category]],Table2[orignal data]),Table2[[#This Row],[orignal data]])</f>
        <v>751.53</v>
      </c>
      <c r="T3937" t="str">
        <f t="shared" si="246"/>
        <v>UNIQUE</v>
      </c>
      <c r="U3937" t="str">
        <f>IF(ISBLANK(Table1[[#This Row],[SizeOption]]),"NOT AVAILABLE",Table1[[#This Row],[SizeOption]])</f>
        <v>S, M, L, XL, XXL</v>
      </c>
      <c r="Y3937" t="str">
        <f>IF(Table2[[#This Row],[Column1]]&gt;50%,"HIGH DISCOUNT","LOW DISCOUNT")</f>
        <v>HIGH DISCOUNT</v>
      </c>
    </row>
    <row r="3938" spans="1:25" x14ac:dyDescent="0.25">
      <c r="A3938" s="1" t="s">
        <v>8106</v>
      </c>
      <c r="B3938" s="1">
        <v>13995710</v>
      </c>
      <c r="C3938" s="1" t="s">
        <v>113</v>
      </c>
      <c r="D3938" s="1" t="s">
        <v>41</v>
      </c>
      <c r="E3938" s="1" t="s">
        <v>148</v>
      </c>
      <c r="F3938" s="1" t="s">
        <v>36</v>
      </c>
      <c r="G3938" s="1" t="s">
        <v>8107</v>
      </c>
      <c r="I3938" s="1">
        <v>1099</v>
      </c>
      <c r="J3938" s="1" t="s">
        <v>25</v>
      </c>
      <c r="K3938" s="1" t="s">
        <v>115</v>
      </c>
      <c r="L3938" s="1">
        <v>4</v>
      </c>
      <c r="M3938" s="1">
        <v>532</v>
      </c>
      <c r="P3938" t="str">
        <f t="shared" si="247"/>
        <v>55%</v>
      </c>
      <c r="Q3938" s="12">
        <f t="shared" si="244"/>
        <v>0.55000000000000004</v>
      </c>
      <c r="R3938" s="9">
        <f t="shared" si="245"/>
        <v>494.54999999999995</v>
      </c>
      <c r="S3938" s="9">
        <f>IF(R3938="",AVERAGEIF(Table1[Category],Table1[[#This Row],[Category]],Table2[orignal data]),Table2[[#This Row],[orignal data]])</f>
        <v>494.54999999999995</v>
      </c>
      <c r="T3938" t="str">
        <f t="shared" si="246"/>
        <v>UNIQUE</v>
      </c>
      <c r="U3938" t="str">
        <f>IF(ISBLANK(Table1[[#This Row],[SizeOption]]),"NOT AVAILABLE",Table1[[#This Row],[SizeOption]])</f>
        <v>XS, S, M, L, XL, XXL</v>
      </c>
      <c r="Y3938" t="str">
        <f>IF(Table2[[#This Row],[Column1]]&gt;50%,"HIGH DISCOUNT","LOW DISCOUNT")</f>
        <v>HIGH DISCOUNT</v>
      </c>
    </row>
    <row r="3939" spans="1:25" x14ac:dyDescent="0.25">
      <c r="A3939" s="2" t="s">
        <v>8108</v>
      </c>
      <c r="B3939" s="2">
        <v>11118508</v>
      </c>
      <c r="C3939" s="2" t="s">
        <v>14</v>
      </c>
      <c r="D3939" s="2" t="s">
        <v>41</v>
      </c>
      <c r="E3939" s="2" t="s">
        <v>368</v>
      </c>
      <c r="F3939" s="2" t="s">
        <v>36</v>
      </c>
      <c r="G3939" s="2" t="s">
        <v>8109</v>
      </c>
      <c r="I3939" s="2">
        <v>1299</v>
      </c>
      <c r="J3939" s="2" t="s">
        <v>84</v>
      </c>
      <c r="K3939" s="2" t="s">
        <v>134</v>
      </c>
      <c r="L3939" s="2">
        <v>4.5</v>
      </c>
      <c r="M3939" s="2">
        <v>532</v>
      </c>
      <c r="P3939" t="str">
        <f t="shared" si="247"/>
        <v>50%</v>
      </c>
      <c r="Q3939" s="12">
        <f t="shared" si="244"/>
        <v>0.5</v>
      </c>
      <c r="R3939" s="9">
        <f t="shared" si="245"/>
        <v>649.5</v>
      </c>
      <c r="S3939" s="9">
        <f>IF(R3939="",AVERAGEIF(Table1[Category],Table1[[#This Row],[Category]],Table2[orignal data]),Table2[[#This Row],[orignal data]])</f>
        <v>649.5</v>
      </c>
      <c r="T3939" t="str">
        <f t="shared" si="246"/>
        <v>UNIQUE</v>
      </c>
      <c r="U3939" t="str">
        <f>IF(ISBLANK(Table1[[#This Row],[SizeOption]]),"NOT AVAILABLE",Table1[[#This Row],[SizeOption]])</f>
        <v>26, 28, 30, 32, 34, 36</v>
      </c>
      <c r="Y3939" t="str">
        <f>IF(Table2[[#This Row],[Column1]]&gt;50%,"HIGH DISCOUNT","LOW DISCOUNT")</f>
        <v>LOW DISCOUNT</v>
      </c>
    </row>
    <row r="3940" spans="1:25" x14ac:dyDescent="0.25">
      <c r="A3940" s="1" t="s">
        <v>8110</v>
      </c>
      <c r="B3940" s="1">
        <v>10813300</v>
      </c>
      <c r="C3940" s="1" t="s">
        <v>81</v>
      </c>
      <c r="D3940" s="1" t="s">
        <v>41</v>
      </c>
      <c r="E3940" s="1" t="s">
        <v>148</v>
      </c>
      <c r="F3940" s="1" t="s">
        <v>36</v>
      </c>
      <c r="G3940" s="1" t="s">
        <v>8111</v>
      </c>
      <c r="I3940" s="1">
        <v>3999</v>
      </c>
      <c r="J3940" s="1" t="s">
        <v>2327</v>
      </c>
      <c r="K3940" s="1" t="s">
        <v>115</v>
      </c>
      <c r="L3940" s="1">
        <v>4.2</v>
      </c>
      <c r="M3940" s="1">
        <v>532</v>
      </c>
      <c r="P3940" t="str">
        <f t="shared" si="247"/>
        <v>42%</v>
      </c>
      <c r="Q3940" s="12">
        <f t="shared" si="244"/>
        <v>0.42</v>
      </c>
      <c r="R3940" s="9">
        <f t="shared" si="245"/>
        <v>2319.42</v>
      </c>
      <c r="S3940" s="9">
        <f>IF(R3940="",AVERAGEIF(Table1[Category],Table1[[#This Row],[Category]],Table2[orignal data]),Table2[[#This Row],[orignal data]])</f>
        <v>2319.42</v>
      </c>
      <c r="T3940" t="str">
        <f t="shared" si="246"/>
        <v>UNIQUE</v>
      </c>
      <c r="U3940" t="str">
        <f>IF(ISBLANK(Table1[[#This Row],[SizeOption]]),"NOT AVAILABLE",Table1[[#This Row],[SizeOption]])</f>
        <v>XS, S, M, L, XL, XXL</v>
      </c>
      <c r="Y3940" t="str">
        <f>IF(Table2[[#This Row],[Column1]]&gt;50%,"HIGH DISCOUNT","LOW DISCOUNT")</f>
        <v>LOW DISCOUNT</v>
      </c>
    </row>
    <row r="3941" spans="1:25" x14ac:dyDescent="0.25">
      <c r="A3941" s="2" t="s">
        <v>8112</v>
      </c>
      <c r="B3941" s="2">
        <v>7572959</v>
      </c>
      <c r="C3941" s="2" t="s">
        <v>92</v>
      </c>
      <c r="D3941" s="2" t="s">
        <v>41</v>
      </c>
      <c r="E3941" s="2" t="s">
        <v>148</v>
      </c>
      <c r="F3941" s="2" t="s">
        <v>36</v>
      </c>
      <c r="G3941" s="2" t="s">
        <v>8113</v>
      </c>
      <c r="I3941" s="2">
        <v>4499</v>
      </c>
      <c r="J3941" s="2" t="s">
        <v>55</v>
      </c>
      <c r="K3941" s="2" t="s">
        <v>39</v>
      </c>
      <c r="L3941" s="2">
        <v>4.4000000000000004</v>
      </c>
      <c r="M3941" s="2">
        <v>532</v>
      </c>
      <c r="P3941" t="str">
        <f t="shared" si="247"/>
        <v>60%</v>
      </c>
      <c r="Q3941" s="12">
        <f t="shared" si="244"/>
        <v>0.6</v>
      </c>
      <c r="R3941" s="9">
        <f t="shared" si="245"/>
        <v>1799.6</v>
      </c>
      <c r="S3941" s="9">
        <f>IF(R3941="",AVERAGEIF(Table1[Category],Table1[[#This Row],[Category]],Table2[orignal data]),Table2[[#This Row],[orignal data]])</f>
        <v>1799.6</v>
      </c>
      <c r="T3941" t="str">
        <f t="shared" si="246"/>
        <v>UNIQUE</v>
      </c>
      <c r="U3941" t="str">
        <f>IF(ISBLANK(Table1[[#This Row],[SizeOption]]),"NOT AVAILABLE",Table1[[#This Row],[SizeOption]])</f>
        <v>S, M, L, XL, XXL</v>
      </c>
      <c r="Y3941" t="str">
        <f>IF(Table2[[#This Row],[Column1]]&gt;50%,"HIGH DISCOUNT","LOW DISCOUNT")</f>
        <v>HIGH DISCOUNT</v>
      </c>
    </row>
    <row r="3942" spans="1:25" x14ac:dyDescent="0.25">
      <c r="A3942" s="1" t="s">
        <v>8114</v>
      </c>
      <c r="B3942" s="1">
        <v>12193858</v>
      </c>
      <c r="C3942" s="1" t="s">
        <v>14</v>
      </c>
      <c r="D3942" s="1" t="s">
        <v>41</v>
      </c>
      <c r="E3942" s="1" t="s">
        <v>42</v>
      </c>
      <c r="F3942" s="1" t="s">
        <v>36</v>
      </c>
      <c r="G3942" s="1" t="s">
        <v>8115</v>
      </c>
      <c r="I3942" s="1">
        <v>799</v>
      </c>
      <c r="J3942" s="1" t="s">
        <v>680</v>
      </c>
      <c r="K3942" s="1" t="s">
        <v>45</v>
      </c>
      <c r="L3942" s="1">
        <v>4.2</v>
      </c>
      <c r="M3942" s="1">
        <v>532</v>
      </c>
      <c r="P3942" t="str">
        <f t="shared" si="247"/>
        <v>300</v>
      </c>
      <c r="Q3942" s="12">
        <f t="shared" si="244"/>
        <v>0.37546933667083854</v>
      </c>
      <c r="R3942" s="9">
        <f t="shared" si="245"/>
        <v>499</v>
      </c>
      <c r="S3942" s="9">
        <f>IF(R3942="",AVERAGEIF(Table1[Category],Table1[[#This Row],[Category]],Table2[orignal data]),Table2[[#This Row],[orignal data]])</f>
        <v>499</v>
      </c>
      <c r="T3942" t="str">
        <f t="shared" si="246"/>
        <v>UNIQUE</v>
      </c>
      <c r="U3942" t="str">
        <f>IF(ISBLANK(Table1[[#This Row],[SizeOption]]),"NOT AVAILABLE",Table1[[#This Row],[SizeOption]])</f>
        <v>XS, S, M, L, XL</v>
      </c>
      <c r="Y3942" t="str">
        <f>IF(Table2[[#This Row],[Column1]]&gt;50%,"HIGH DISCOUNT","LOW DISCOUNT")</f>
        <v>LOW DISCOUNT</v>
      </c>
    </row>
    <row r="3943" spans="1:25" x14ac:dyDescent="0.25">
      <c r="A3943" s="2" t="s">
        <v>8116</v>
      </c>
      <c r="B3943" s="2">
        <v>8325345</v>
      </c>
      <c r="C3943" s="2" t="s">
        <v>47</v>
      </c>
      <c r="D3943" s="2" t="s">
        <v>41</v>
      </c>
      <c r="E3943" s="2" t="s">
        <v>42</v>
      </c>
      <c r="F3943" s="2" t="s">
        <v>36</v>
      </c>
      <c r="G3943" s="2" t="s">
        <v>8117</v>
      </c>
      <c r="I3943" s="2">
        <v>899</v>
      </c>
      <c r="J3943" s="2" t="s">
        <v>25</v>
      </c>
      <c r="K3943" s="2" t="s">
        <v>45</v>
      </c>
      <c r="L3943" s="2">
        <v>4.0999999999999996</v>
      </c>
      <c r="M3943" s="2">
        <v>532</v>
      </c>
      <c r="P3943" t="str">
        <f t="shared" si="247"/>
        <v>55%</v>
      </c>
      <c r="Q3943" s="12">
        <f t="shared" si="244"/>
        <v>0.55000000000000004</v>
      </c>
      <c r="R3943" s="9">
        <f t="shared" si="245"/>
        <v>404.54999999999995</v>
      </c>
      <c r="S3943" s="9">
        <f>IF(R3943="",AVERAGEIF(Table1[Category],Table1[[#This Row],[Category]],Table2[orignal data]),Table2[[#This Row],[orignal data]])</f>
        <v>404.54999999999995</v>
      </c>
      <c r="T3943" t="str">
        <f t="shared" si="246"/>
        <v>UNIQUE</v>
      </c>
      <c r="U3943" t="str">
        <f>IF(ISBLANK(Table1[[#This Row],[SizeOption]]),"NOT AVAILABLE",Table1[[#This Row],[SizeOption]])</f>
        <v>XS, S, M, L, XL</v>
      </c>
      <c r="Y3943" t="str">
        <f>IF(Table2[[#This Row],[Column1]]&gt;50%,"HIGH DISCOUNT","LOW DISCOUNT")</f>
        <v>HIGH DISCOUNT</v>
      </c>
    </row>
    <row r="3944" spans="1:25" x14ac:dyDescent="0.25">
      <c r="A3944" s="1" t="s">
        <v>8118</v>
      </c>
      <c r="B3944" s="1">
        <v>8806289</v>
      </c>
      <c r="C3944" s="1" t="s">
        <v>64</v>
      </c>
      <c r="D3944" s="1" t="s">
        <v>15</v>
      </c>
      <c r="E3944" s="1" t="s">
        <v>16</v>
      </c>
      <c r="F3944" s="1" t="s">
        <v>17</v>
      </c>
      <c r="G3944" s="1" t="s">
        <v>8119</v>
      </c>
      <c r="H3944">
        <v>719</v>
      </c>
      <c r="I3944" s="1">
        <v>2399</v>
      </c>
      <c r="J3944" s="1" t="s">
        <v>79</v>
      </c>
      <c r="K3944" s="1" t="s">
        <v>20</v>
      </c>
      <c r="L3944" s="1">
        <v>3.8</v>
      </c>
      <c r="M3944" s="1">
        <v>531</v>
      </c>
      <c r="P3944" t="str">
        <f t="shared" si="247"/>
        <v>70%</v>
      </c>
      <c r="Q3944" s="12">
        <f t="shared" si="244"/>
        <v>0.7</v>
      </c>
      <c r="R3944" s="9">
        <f t="shared" si="245"/>
        <v>719.7</v>
      </c>
      <c r="S3944" s="9">
        <f>IF(R3944="",AVERAGEIF(Table1[Category],Table1[[#This Row],[Category]],Table2[orignal data]),Table2[[#This Row],[orignal data]])</f>
        <v>719.7</v>
      </c>
      <c r="T3944" t="str">
        <f t="shared" si="246"/>
        <v>UNIQUE</v>
      </c>
      <c r="U3944" t="str">
        <f>IF(ISBLANK(Table1[[#This Row],[SizeOption]]),"NOT AVAILABLE",Table1[[#This Row],[SizeOption]])</f>
        <v>28, 30, 32, 34, 36</v>
      </c>
      <c r="Y3944" t="str">
        <f>IF(Table2[[#This Row],[Column1]]&gt;50%,"HIGH DISCOUNT","LOW DISCOUNT")</f>
        <v>HIGH DISCOUNT</v>
      </c>
    </row>
    <row r="3945" spans="1:25" x14ac:dyDescent="0.25">
      <c r="A3945" s="2" t="s">
        <v>8120</v>
      </c>
      <c r="B3945" s="2">
        <v>2474396</v>
      </c>
      <c r="C3945" s="2" t="s">
        <v>6995</v>
      </c>
      <c r="D3945" s="2" t="s">
        <v>28</v>
      </c>
      <c r="E3945" s="2" t="s">
        <v>29</v>
      </c>
      <c r="F3945" s="2" t="s">
        <v>17</v>
      </c>
      <c r="G3945" s="2" t="s">
        <v>8121</v>
      </c>
      <c r="H3945">
        <v>1349</v>
      </c>
      <c r="I3945" s="2">
        <v>1499</v>
      </c>
      <c r="J3945" s="2" t="s">
        <v>1005</v>
      </c>
      <c r="K3945" s="2" t="s">
        <v>31</v>
      </c>
      <c r="L3945" s="2">
        <v>4.2</v>
      </c>
      <c r="M3945" s="2">
        <v>531</v>
      </c>
      <c r="P3945" t="str">
        <f t="shared" si="247"/>
        <v>10%</v>
      </c>
      <c r="Q3945" s="12">
        <f t="shared" si="244"/>
        <v>0.1</v>
      </c>
      <c r="R3945" s="9">
        <f t="shared" si="245"/>
        <v>1349.1</v>
      </c>
      <c r="S3945" s="9">
        <f>IF(R3945="",AVERAGEIF(Table1[Category],Table1[[#This Row],[Category]],Table2[orignal data]),Table2[[#This Row],[orignal data]])</f>
        <v>1349.1</v>
      </c>
      <c r="T3945" t="str">
        <f t="shared" si="246"/>
        <v>UNIQUE</v>
      </c>
      <c r="U3945" t="str">
        <f>IF(ISBLANK(Table1[[#This Row],[SizeOption]]),"NOT AVAILABLE",Table1[[#This Row],[SizeOption]])</f>
        <v>38, 40, 42, 44, 46, 48</v>
      </c>
      <c r="Y3945" t="str">
        <f>IF(Table2[[#This Row],[Column1]]&gt;50%,"HIGH DISCOUNT","LOW DISCOUNT")</f>
        <v>LOW DISCOUNT</v>
      </c>
    </row>
    <row r="3946" spans="1:25" x14ac:dyDescent="0.25">
      <c r="A3946" s="1" t="s">
        <v>8122</v>
      </c>
      <c r="B3946" s="1">
        <v>9951439</v>
      </c>
      <c r="C3946" s="1" t="s">
        <v>14</v>
      </c>
      <c r="D3946" s="1" t="s">
        <v>28</v>
      </c>
      <c r="E3946" s="1" t="s">
        <v>29</v>
      </c>
      <c r="F3946" s="1" t="s">
        <v>17</v>
      </c>
      <c r="G3946" s="1" t="s">
        <v>8123</v>
      </c>
      <c r="H3946">
        <v>1264</v>
      </c>
      <c r="I3946" s="1">
        <v>2299</v>
      </c>
      <c r="J3946" s="1" t="s">
        <v>19</v>
      </c>
      <c r="K3946" s="1" t="s">
        <v>253</v>
      </c>
      <c r="L3946" s="1">
        <v>4.0999999999999996</v>
      </c>
      <c r="M3946" s="1">
        <v>531</v>
      </c>
      <c r="P3946" t="str">
        <f t="shared" si="247"/>
        <v>45%</v>
      </c>
      <c r="Q3946" s="12">
        <f t="shared" si="244"/>
        <v>0.45</v>
      </c>
      <c r="R3946" s="9">
        <f t="shared" si="245"/>
        <v>1264.45</v>
      </c>
      <c r="S3946" s="9">
        <f>IF(R3946="",AVERAGEIF(Table1[Category],Table1[[#This Row],[Category]],Table2[orignal data]),Table2[[#This Row],[orignal data]])</f>
        <v>1264.45</v>
      </c>
      <c r="T3946" t="str">
        <f t="shared" si="246"/>
        <v>UNIQUE</v>
      </c>
      <c r="U3946" t="str">
        <f>IF(ISBLANK(Table1[[#This Row],[SizeOption]]),"NOT AVAILABLE",Table1[[#This Row],[SizeOption]])</f>
        <v>38, 40, 42, 44</v>
      </c>
      <c r="Y3946" t="str">
        <f>IF(Table2[[#This Row],[Column1]]&gt;50%,"HIGH DISCOUNT","LOW DISCOUNT")</f>
        <v>LOW DISCOUNT</v>
      </c>
    </row>
    <row r="3947" spans="1:25" x14ac:dyDescent="0.25">
      <c r="A3947" s="2" t="s">
        <v>8124</v>
      </c>
      <c r="B3947" s="2">
        <v>6832717</v>
      </c>
      <c r="C3947" s="2" t="s">
        <v>169</v>
      </c>
      <c r="D3947" s="2" t="s">
        <v>28</v>
      </c>
      <c r="E3947" s="2" t="s">
        <v>29</v>
      </c>
      <c r="F3947" s="2" t="s">
        <v>17</v>
      </c>
      <c r="G3947" s="2" t="s">
        <v>8125</v>
      </c>
      <c r="H3947">
        <v>1439</v>
      </c>
      <c r="I3947" s="2">
        <v>2399</v>
      </c>
      <c r="J3947" s="2" t="s">
        <v>50</v>
      </c>
      <c r="K3947" s="2" t="s">
        <v>484</v>
      </c>
      <c r="L3947" s="2">
        <v>4.2</v>
      </c>
      <c r="M3947" s="2">
        <v>531</v>
      </c>
      <c r="P3947" t="str">
        <f t="shared" si="247"/>
        <v>40%</v>
      </c>
      <c r="Q3947" s="12">
        <f t="shared" si="244"/>
        <v>0.4</v>
      </c>
      <c r="R3947" s="9">
        <f t="shared" si="245"/>
        <v>1439.4</v>
      </c>
      <c r="S3947" s="9">
        <f>IF(R3947="",AVERAGEIF(Table1[Category],Table1[[#This Row],[Category]],Table2[orignal data]),Table2[[#This Row],[orignal data]])</f>
        <v>1439.4</v>
      </c>
      <c r="T3947" t="str">
        <f t="shared" si="246"/>
        <v>UNIQUE</v>
      </c>
      <c r="U3947" t="str">
        <f>IF(ISBLANK(Table1[[#This Row],[SizeOption]]),"NOT AVAILABLE",Table1[[#This Row],[SizeOption]])</f>
        <v>39, 40, 42, 44, 46</v>
      </c>
      <c r="Y3947" t="str">
        <f>IF(Table2[[#This Row],[Column1]]&gt;50%,"HIGH DISCOUNT","LOW DISCOUNT")</f>
        <v>LOW DISCOUNT</v>
      </c>
    </row>
    <row r="3948" spans="1:25" x14ac:dyDescent="0.25">
      <c r="A3948" s="1" t="s">
        <v>8126</v>
      </c>
      <c r="B3948" s="1">
        <v>8972437</v>
      </c>
      <c r="C3948" s="1" t="s">
        <v>214</v>
      </c>
      <c r="D3948" s="1" t="s">
        <v>28</v>
      </c>
      <c r="E3948" s="1" t="s">
        <v>42</v>
      </c>
      <c r="F3948" s="1" t="s">
        <v>17</v>
      </c>
      <c r="G3948" s="1" t="s">
        <v>8127</v>
      </c>
      <c r="H3948">
        <v>494</v>
      </c>
      <c r="I3948" s="1">
        <v>899</v>
      </c>
      <c r="J3948" s="1" t="s">
        <v>19</v>
      </c>
      <c r="K3948" s="1" t="s">
        <v>39</v>
      </c>
      <c r="L3948" s="1">
        <v>4.0999999999999996</v>
      </c>
      <c r="M3948" s="1">
        <v>531</v>
      </c>
      <c r="P3948" t="str">
        <f t="shared" si="247"/>
        <v>45%</v>
      </c>
      <c r="Q3948" s="12">
        <f t="shared" si="244"/>
        <v>0.45</v>
      </c>
      <c r="R3948" s="9">
        <f t="shared" si="245"/>
        <v>494.45</v>
      </c>
      <c r="S3948" s="9">
        <f>IF(R3948="",AVERAGEIF(Table1[Category],Table1[[#This Row],[Category]],Table2[orignal data]),Table2[[#This Row],[orignal data]])</f>
        <v>494.45</v>
      </c>
      <c r="T3948" t="str">
        <f t="shared" si="246"/>
        <v>UNIQUE</v>
      </c>
      <c r="U3948" t="str">
        <f>IF(ISBLANK(Table1[[#This Row],[SizeOption]]),"NOT AVAILABLE",Table1[[#This Row],[SizeOption]])</f>
        <v>S, M, L, XL, XXL</v>
      </c>
      <c r="Y3948" t="str">
        <f>IF(Table2[[#This Row],[Column1]]&gt;50%,"HIGH DISCOUNT","LOW DISCOUNT")</f>
        <v>LOW DISCOUNT</v>
      </c>
    </row>
    <row r="3949" spans="1:25" x14ac:dyDescent="0.25">
      <c r="A3949" s="2" t="s">
        <v>8128</v>
      </c>
      <c r="B3949" s="2">
        <v>11369676</v>
      </c>
      <c r="C3949" s="2" t="s">
        <v>3903</v>
      </c>
      <c r="D3949" s="2" t="s">
        <v>76</v>
      </c>
      <c r="E3949" s="2" t="s">
        <v>93</v>
      </c>
      <c r="F3949" s="2" t="s">
        <v>36</v>
      </c>
      <c r="G3949" s="2" t="s">
        <v>8129</v>
      </c>
      <c r="H3949">
        <v>799</v>
      </c>
      <c r="I3949" s="2">
        <v>1999</v>
      </c>
      <c r="J3949" s="2" t="s">
        <v>55</v>
      </c>
      <c r="K3949" s="2" t="s">
        <v>100</v>
      </c>
      <c r="L3949" s="2">
        <v>4.2</v>
      </c>
      <c r="M3949" s="2">
        <v>531</v>
      </c>
      <c r="P3949" t="str">
        <f t="shared" si="247"/>
        <v>60%</v>
      </c>
      <c r="Q3949" s="12">
        <f t="shared" si="244"/>
        <v>0.6</v>
      </c>
      <c r="R3949" s="9">
        <f t="shared" si="245"/>
        <v>799.60000000000014</v>
      </c>
      <c r="S3949" s="9">
        <f>IF(R3949="",AVERAGEIF(Table1[Category],Table1[[#This Row],[Category]],Table2[orignal data]),Table2[[#This Row],[orignal data]])</f>
        <v>799.60000000000014</v>
      </c>
      <c r="T3949" t="str">
        <f t="shared" si="246"/>
        <v>UNIQUE</v>
      </c>
      <c r="U3949" t="str">
        <f>IF(ISBLANK(Table1[[#This Row],[SizeOption]]),"NOT AVAILABLE",Table1[[#This Row],[SizeOption]])</f>
        <v>XS, S, M, L, XL, XXL, 3XL</v>
      </c>
      <c r="Y3949" t="str">
        <f>IF(Table2[[#This Row],[Column1]]&gt;50%,"HIGH DISCOUNT","LOW DISCOUNT")</f>
        <v>HIGH DISCOUNT</v>
      </c>
    </row>
    <row r="3950" spans="1:25" x14ac:dyDescent="0.25">
      <c r="A3950" s="1" t="s">
        <v>8130</v>
      </c>
      <c r="B3950" s="1">
        <v>7094678</v>
      </c>
      <c r="C3950" s="1" t="s">
        <v>117</v>
      </c>
      <c r="D3950" s="1" t="s">
        <v>34</v>
      </c>
      <c r="E3950" s="1" t="s">
        <v>118</v>
      </c>
      <c r="F3950" s="1" t="s">
        <v>36</v>
      </c>
      <c r="G3950" s="1" t="s">
        <v>8131</v>
      </c>
      <c r="I3950" s="1">
        <v>1149</v>
      </c>
      <c r="J3950" s="1"/>
      <c r="K3950" s="1" t="s">
        <v>510</v>
      </c>
      <c r="L3950" s="1">
        <v>4.4000000000000004</v>
      </c>
      <c r="M3950" s="1">
        <v>531</v>
      </c>
      <c r="P3950" t="str">
        <f t="shared" si="247"/>
        <v/>
      </c>
      <c r="Q3950" s="12" t="str">
        <f t="shared" si="244"/>
        <v/>
      </c>
      <c r="R3950" s="9" t="str">
        <f t="shared" si="245"/>
        <v/>
      </c>
      <c r="S3950" s="9">
        <f>IF(R3950="",AVERAGEIF(Table1[Category],Table1[[#This Row],[Category]],Table2[orignal data]),Table2[[#This Row],[orignal data]])</f>
        <v>608.88518518518481</v>
      </c>
      <c r="T3950" t="str">
        <f t="shared" si="246"/>
        <v>UNIQUE</v>
      </c>
      <c r="U3950" t="str">
        <f>IF(ISBLANK(Table1[[#This Row],[SizeOption]]),"NOT AVAILABLE",Table1[[#This Row],[SizeOption]])</f>
        <v>32B, 32C, 32D, 34B, 34C, 34D, 36B, 36C, 36D, 38B, 38C</v>
      </c>
      <c r="Y3950" t="str">
        <f>IF(Table2[[#This Row],[Column1]]&gt;50%,"HIGH DISCOUNT","LOW DISCOUNT")</f>
        <v>HIGH DISCOUNT</v>
      </c>
    </row>
    <row r="3951" spans="1:25" x14ac:dyDescent="0.25">
      <c r="A3951" s="2" t="s">
        <v>8132</v>
      </c>
      <c r="B3951" s="2">
        <v>1445598</v>
      </c>
      <c r="C3951" s="2" t="s">
        <v>3035</v>
      </c>
      <c r="D3951" s="2" t="s">
        <v>34</v>
      </c>
      <c r="E3951" s="2" t="s">
        <v>296</v>
      </c>
      <c r="F3951" s="2" t="s">
        <v>36</v>
      </c>
      <c r="G3951" s="2" t="s">
        <v>8133</v>
      </c>
      <c r="H3951">
        <v>448</v>
      </c>
      <c r="I3951" s="2">
        <v>1494</v>
      </c>
      <c r="J3951" s="2" t="s">
        <v>79</v>
      </c>
      <c r="K3951" s="2" t="s">
        <v>881</v>
      </c>
      <c r="L3951" s="2">
        <v>4.0999999999999996</v>
      </c>
      <c r="M3951" s="2">
        <v>531</v>
      </c>
      <c r="P3951" t="str">
        <f t="shared" si="247"/>
        <v>70%</v>
      </c>
      <c r="Q3951" s="12">
        <f t="shared" si="244"/>
        <v>0.7</v>
      </c>
      <c r="R3951" s="9">
        <f t="shared" si="245"/>
        <v>448.20000000000005</v>
      </c>
      <c r="S3951" s="9">
        <f>IF(R3951="",AVERAGEIF(Table1[Category],Table1[[#This Row],[Category]],Table2[orignal data]),Table2[[#This Row],[orignal data]])</f>
        <v>448.20000000000005</v>
      </c>
      <c r="T3951" t="str">
        <f t="shared" si="246"/>
        <v>UNIQUE</v>
      </c>
      <c r="U3951" t="str">
        <f>IF(ISBLANK(Table1[[#This Row],[SizeOption]]),"NOT AVAILABLE",Table1[[#This Row],[SizeOption]])</f>
        <v>M, L, XL, XXL</v>
      </c>
      <c r="Y3951" t="str">
        <f>IF(Table2[[#This Row],[Column1]]&gt;50%,"HIGH DISCOUNT","LOW DISCOUNT")</f>
        <v>HIGH DISCOUNT</v>
      </c>
    </row>
    <row r="3952" spans="1:25" x14ac:dyDescent="0.25">
      <c r="A3952" s="1" t="s">
        <v>8134</v>
      </c>
      <c r="B3952" s="1">
        <v>9941521</v>
      </c>
      <c r="C3952" s="1" t="s">
        <v>2018</v>
      </c>
      <c r="D3952" s="1" t="s">
        <v>34</v>
      </c>
      <c r="E3952" s="1" t="s">
        <v>118</v>
      </c>
      <c r="F3952" s="1" t="s">
        <v>36</v>
      </c>
      <c r="G3952" s="1" t="s">
        <v>8135</v>
      </c>
      <c r="H3952">
        <v>442</v>
      </c>
      <c r="I3952" s="1">
        <v>650</v>
      </c>
      <c r="J3952" s="1" t="s">
        <v>3574</v>
      </c>
      <c r="K3952" s="1" t="s">
        <v>8136</v>
      </c>
      <c r="L3952" s="1">
        <v>3.5</v>
      </c>
      <c r="M3952" s="1">
        <v>531</v>
      </c>
      <c r="P3952" t="str">
        <f t="shared" si="247"/>
        <v>32%</v>
      </c>
      <c r="Q3952" s="12">
        <f t="shared" si="244"/>
        <v>0.32</v>
      </c>
      <c r="R3952" s="9">
        <f t="shared" si="245"/>
        <v>442</v>
      </c>
      <c r="S3952" s="9">
        <f>IF(R3952="",AVERAGEIF(Table1[Category],Table1[[#This Row],[Category]],Table2[orignal data]),Table2[[#This Row],[orignal data]])</f>
        <v>442</v>
      </c>
      <c r="T3952" t="str">
        <f t="shared" si="246"/>
        <v>UNIQUE</v>
      </c>
      <c r="U3952" t="str">
        <f>IF(ISBLANK(Table1[[#This Row],[SizeOption]]),"NOT AVAILABLE",Table1[[#This Row],[SizeOption]])</f>
        <v>30C, 30D, 32B, 32C, 34B, 34C, 36B</v>
      </c>
      <c r="Y3952" t="str">
        <f>IF(Table2[[#This Row],[Column1]]&gt;50%,"HIGH DISCOUNT","LOW DISCOUNT")</f>
        <v>LOW DISCOUNT</v>
      </c>
    </row>
    <row r="3953" spans="1:25" x14ac:dyDescent="0.25">
      <c r="A3953" s="2" t="s">
        <v>8137</v>
      </c>
      <c r="B3953" s="2">
        <v>9072691</v>
      </c>
      <c r="C3953" s="2" t="s">
        <v>64</v>
      </c>
      <c r="D3953" s="2" t="s">
        <v>98</v>
      </c>
      <c r="E3953" s="2" t="s">
        <v>16</v>
      </c>
      <c r="F3953" s="2" t="s">
        <v>36</v>
      </c>
      <c r="G3953" s="2" t="s">
        <v>8138</v>
      </c>
      <c r="H3953">
        <v>689</v>
      </c>
      <c r="I3953" s="2">
        <v>2299</v>
      </c>
      <c r="J3953" s="2" t="s">
        <v>1566</v>
      </c>
      <c r="K3953" s="2" t="s">
        <v>643</v>
      </c>
      <c r="L3953" s="2">
        <v>4.3</v>
      </c>
      <c r="M3953" s="2">
        <v>531</v>
      </c>
      <c r="P3953" t="str">
        <f t="shared" si="247"/>
        <v>70%</v>
      </c>
      <c r="Q3953" s="12">
        <f t="shared" si="244"/>
        <v>0.7</v>
      </c>
      <c r="R3953" s="9">
        <f t="shared" si="245"/>
        <v>689.7</v>
      </c>
      <c r="S3953" s="9">
        <f>IF(R3953="",AVERAGEIF(Table1[Category],Table1[[#This Row],[Category]],Table2[orignal data]),Table2[[#This Row],[orignal data]])</f>
        <v>689.7</v>
      </c>
      <c r="T3953" t="str">
        <f t="shared" si="246"/>
        <v>UNIQUE</v>
      </c>
      <c r="U3953" t="str">
        <f>IF(ISBLANK(Table1[[#This Row],[SizeOption]]),"NOT AVAILABLE",Table1[[#This Row],[SizeOption]])</f>
        <v>26, 28, 30, 32, 34, 36, 38, 40</v>
      </c>
      <c r="Y3953" t="str">
        <f>IF(Table2[[#This Row],[Column1]]&gt;50%,"HIGH DISCOUNT","LOW DISCOUNT")</f>
        <v>HIGH DISCOUNT</v>
      </c>
    </row>
    <row r="3954" spans="1:25" x14ac:dyDescent="0.25">
      <c r="A3954" s="1" t="s">
        <v>8139</v>
      </c>
      <c r="B3954" s="1">
        <v>17381538</v>
      </c>
      <c r="C3954" s="1" t="s">
        <v>14</v>
      </c>
      <c r="D3954" s="1" t="s">
        <v>41</v>
      </c>
      <c r="E3954" s="1" t="s">
        <v>42</v>
      </c>
      <c r="F3954" s="1" t="s">
        <v>36</v>
      </c>
      <c r="G3954" s="1" t="s">
        <v>3198</v>
      </c>
      <c r="I3954" s="1">
        <v>1198</v>
      </c>
      <c r="J3954" s="1" t="s">
        <v>84</v>
      </c>
      <c r="K3954" s="1" t="s">
        <v>45</v>
      </c>
      <c r="L3954" s="1">
        <v>4.4000000000000004</v>
      </c>
      <c r="M3954" s="1">
        <v>531</v>
      </c>
      <c r="P3954" t="str">
        <f t="shared" si="247"/>
        <v>50%</v>
      </c>
      <c r="Q3954" s="12">
        <f t="shared" si="244"/>
        <v>0.5</v>
      </c>
      <c r="R3954" s="9">
        <f t="shared" si="245"/>
        <v>599</v>
      </c>
      <c r="S3954" s="9">
        <f>IF(R3954="",AVERAGEIF(Table1[Category],Table1[[#This Row],[Category]],Table2[orignal data]),Table2[[#This Row],[orignal data]])</f>
        <v>599</v>
      </c>
      <c r="T3954" t="str">
        <f t="shared" si="246"/>
        <v>UNIQUE</v>
      </c>
      <c r="U3954" t="str">
        <f>IF(ISBLANK(Table1[[#This Row],[SizeOption]]),"NOT AVAILABLE",Table1[[#This Row],[SizeOption]])</f>
        <v>XS, S, M, L, XL</v>
      </c>
      <c r="Y3954" t="str">
        <f>IF(Table2[[#This Row],[Column1]]&gt;50%,"HIGH DISCOUNT","LOW DISCOUNT")</f>
        <v>LOW DISCOUNT</v>
      </c>
    </row>
    <row r="3955" spans="1:25" x14ac:dyDescent="0.25">
      <c r="A3955" s="2" t="s">
        <v>8140</v>
      </c>
      <c r="B3955" s="2">
        <v>17383900</v>
      </c>
      <c r="C3955" s="2" t="s">
        <v>14</v>
      </c>
      <c r="D3955" s="2" t="s">
        <v>41</v>
      </c>
      <c r="E3955" s="2" t="s">
        <v>42</v>
      </c>
      <c r="F3955" s="2" t="s">
        <v>36</v>
      </c>
      <c r="G3955" s="2" t="s">
        <v>62</v>
      </c>
      <c r="I3955" s="2">
        <v>1398</v>
      </c>
      <c r="J3955" s="2" t="s">
        <v>84</v>
      </c>
      <c r="K3955" s="2" t="s">
        <v>45</v>
      </c>
      <c r="L3955" s="2">
        <v>4.4000000000000004</v>
      </c>
      <c r="M3955" s="2">
        <v>531</v>
      </c>
      <c r="P3955" t="str">
        <f t="shared" si="247"/>
        <v>50%</v>
      </c>
      <c r="Q3955" s="12">
        <f t="shared" si="244"/>
        <v>0.5</v>
      </c>
      <c r="R3955" s="9">
        <f t="shared" si="245"/>
        <v>699</v>
      </c>
      <c r="S3955" s="9">
        <f>IF(R3955="",AVERAGEIF(Table1[Category],Table1[[#This Row],[Category]],Table2[orignal data]),Table2[[#This Row],[orignal data]])</f>
        <v>699</v>
      </c>
      <c r="T3955" t="str">
        <f t="shared" si="246"/>
        <v>UNIQUE</v>
      </c>
      <c r="U3955" t="str">
        <f>IF(ISBLANK(Table1[[#This Row],[SizeOption]]),"NOT AVAILABLE",Table1[[#This Row],[SizeOption]])</f>
        <v>XS, S, M, L, XL</v>
      </c>
      <c r="Y3955" t="str">
        <f>IF(Table2[[#This Row],[Column1]]&gt;50%,"HIGH DISCOUNT","LOW DISCOUNT")</f>
        <v>LOW DISCOUNT</v>
      </c>
    </row>
    <row r="3956" spans="1:25" x14ac:dyDescent="0.25">
      <c r="A3956" s="1" t="s">
        <v>8141</v>
      </c>
      <c r="B3956" s="1">
        <v>1923979</v>
      </c>
      <c r="C3956" s="1" t="s">
        <v>461</v>
      </c>
      <c r="D3956" s="1" t="s">
        <v>41</v>
      </c>
      <c r="E3956" s="1" t="s">
        <v>148</v>
      </c>
      <c r="F3956" s="1" t="s">
        <v>36</v>
      </c>
      <c r="G3956" s="1" t="s">
        <v>8142</v>
      </c>
      <c r="I3956" s="1">
        <v>1894</v>
      </c>
      <c r="J3956" s="1" t="s">
        <v>84</v>
      </c>
      <c r="K3956" s="1" t="s">
        <v>26</v>
      </c>
      <c r="L3956" s="1">
        <v>3.9</v>
      </c>
      <c r="M3956" s="1">
        <v>531</v>
      </c>
      <c r="P3956" t="str">
        <f t="shared" si="247"/>
        <v>50%</v>
      </c>
      <c r="Q3956" s="12">
        <f t="shared" si="244"/>
        <v>0.5</v>
      </c>
      <c r="R3956" s="9">
        <f t="shared" si="245"/>
        <v>947</v>
      </c>
      <c r="S3956" s="9">
        <f>IF(R3956="",AVERAGEIF(Table1[Category],Table1[[#This Row],[Category]],Table2[orignal data]),Table2[[#This Row],[orignal data]])</f>
        <v>947</v>
      </c>
      <c r="T3956" t="str">
        <f t="shared" si="246"/>
        <v>UNIQUE</v>
      </c>
      <c r="U3956" t="str">
        <f>IF(ISBLANK(Table1[[#This Row],[SizeOption]]),"NOT AVAILABLE",Table1[[#This Row],[SizeOption]])</f>
        <v>S, M, L, XL</v>
      </c>
      <c r="Y3956" t="str">
        <f>IF(Table2[[#This Row],[Column1]]&gt;50%,"HIGH DISCOUNT","LOW DISCOUNT")</f>
        <v>LOW DISCOUNT</v>
      </c>
    </row>
    <row r="3957" spans="1:25" x14ac:dyDescent="0.25">
      <c r="A3957" s="2" t="s">
        <v>8143</v>
      </c>
      <c r="B3957" s="2">
        <v>12221978</v>
      </c>
      <c r="C3957" s="2" t="s">
        <v>181</v>
      </c>
      <c r="D3957" s="2" t="s">
        <v>41</v>
      </c>
      <c r="E3957" s="2" t="s">
        <v>16</v>
      </c>
      <c r="F3957" s="2" t="s">
        <v>36</v>
      </c>
      <c r="G3957" s="2" t="s">
        <v>8144</v>
      </c>
      <c r="I3957" s="2">
        <v>1999</v>
      </c>
      <c r="J3957" s="2" t="s">
        <v>25</v>
      </c>
      <c r="K3957" s="2" t="s">
        <v>134</v>
      </c>
      <c r="L3957" s="2">
        <v>4.0999999999999996</v>
      </c>
      <c r="M3957" s="2">
        <v>531</v>
      </c>
      <c r="P3957" t="str">
        <f t="shared" si="247"/>
        <v>55%</v>
      </c>
      <c r="Q3957" s="12">
        <f t="shared" si="244"/>
        <v>0.55000000000000004</v>
      </c>
      <c r="R3957" s="9">
        <f t="shared" si="245"/>
        <v>899.55</v>
      </c>
      <c r="S3957" s="9">
        <f>IF(R3957="",AVERAGEIF(Table1[Category],Table1[[#This Row],[Category]],Table2[orignal data]),Table2[[#This Row],[orignal data]])</f>
        <v>899.55</v>
      </c>
      <c r="T3957" t="str">
        <f t="shared" si="246"/>
        <v>UNIQUE</v>
      </c>
      <c r="U3957" t="str">
        <f>IF(ISBLANK(Table1[[#This Row],[SizeOption]]),"NOT AVAILABLE",Table1[[#This Row],[SizeOption]])</f>
        <v>26, 28, 30, 32, 34, 36</v>
      </c>
      <c r="Y3957" t="str">
        <f>IF(Table2[[#This Row],[Column1]]&gt;50%,"HIGH DISCOUNT","LOW DISCOUNT")</f>
        <v>HIGH DISCOUNT</v>
      </c>
    </row>
    <row r="3958" spans="1:25" x14ac:dyDescent="0.25">
      <c r="A3958" s="1" t="s">
        <v>8145</v>
      </c>
      <c r="B3958" s="1">
        <v>10984922</v>
      </c>
      <c r="C3958" s="1" t="s">
        <v>346</v>
      </c>
      <c r="D3958" s="1" t="s">
        <v>41</v>
      </c>
      <c r="E3958" s="1" t="s">
        <v>42</v>
      </c>
      <c r="F3958" s="1" t="s">
        <v>36</v>
      </c>
      <c r="G3958" s="1" t="s">
        <v>8146</v>
      </c>
      <c r="I3958" s="1">
        <v>849</v>
      </c>
      <c r="J3958" s="1" t="s">
        <v>55</v>
      </c>
      <c r="K3958" s="1" t="s">
        <v>45</v>
      </c>
      <c r="L3958" s="1">
        <v>4.3</v>
      </c>
      <c r="M3958" s="1">
        <v>531</v>
      </c>
      <c r="P3958" t="str">
        <f t="shared" si="247"/>
        <v>60%</v>
      </c>
      <c r="Q3958" s="12">
        <f t="shared" si="244"/>
        <v>0.6</v>
      </c>
      <c r="R3958" s="9">
        <f t="shared" si="245"/>
        <v>339.6</v>
      </c>
      <c r="S3958" s="9">
        <f>IF(R3958="",AVERAGEIF(Table1[Category],Table1[[#This Row],[Category]],Table2[orignal data]),Table2[[#This Row],[orignal data]])</f>
        <v>339.6</v>
      </c>
      <c r="T3958" t="str">
        <f t="shared" si="246"/>
        <v>UNIQUE</v>
      </c>
      <c r="U3958" t="str">
        <f>IF(ISBLANK(Table1[[#This Row],[SizeOption]]),"NOT AVAILABLE",Table1[[#This Row],[SizeOption]])</f>
        <v>XS, S, M, L, XL</v>
      </c>
      <c r="Y3958" t="str">
        <f>IF(Table2[[#This Row],[Column1]]&gt;50%,"HIGH DISCOUNT","LOW DISCOUNT")</f>
        <v>HIGH DISCOUNT</v>
      </c>
    </row>
    <row r="3959" spans="1:25" x14ac:dyDescent="0.25">
      <c r="A3959" s="2" t="s">
        <v>8147</v>
      </c>
      <c r="B3959" s="2">
        <v>11274438</v>
      </c>
      <c r="C3959" s="2" t="s">
        <v>14</v>
      </c>
      <c r="D3959" s="2" t="s">
        <v>15</v>
      </c>
      <c r="E3959" s="2" t="s">
        <v>16</v>
      </c>
      <c r="F3959" s="2" t="s">
        <v>17</v>
      </c>
      <c r="G3959" s="2" t="s">
        <v>8148</v>
      </c>
      <c r="I3959" s="2">
        <v>1699</v>
      </c>
      <c r="J3959" s="2"/>
      <c r="K3959" s="2" t="s">
        <v>20</v>
      </c>
      <c r="L3959" s="2">
        <v>4.0999999999999996</v>
      </c>
      <c r="M3959" s="2">
        <v>530</v>
      </c>
      <c r="P3959" t="str">
        <f t="shared" si="247"/>
        <v/>
      </c>
      <c r="Q3959" s="12" t="str">
        <f t="shared" si="244"/>
        <v/>
      </c>
      <c r="R3959" s="9" t="str">
        <f t="shared" si="245"/>
        <v/>
      </c>
      <c r="S3959" s="9">
        <f>IF(R3959="",AVERAGEIF(Table1[Category],Table1[[#This Row],[Category]],Table2[orignal data]),Table2[[#This Row],[orignal data]])</f>
        <v>892.27590339892538</v>
      </c>
      <c r="T3959" t="str">
        <f t="shared" si="246"/>
        <v>UNIQUE</v>
      </c>
      <c r="U3959" t="str">
        <f>IF(ISBLANK(Table1[[#This Row],[SizeOption]]),"NOT AVAILABLE",Table1[[#This Row],[SizeOption]])</f>
        <v>28, 30, 32, 34, 36</v>
      </c>
      <c r="Y3959" t="str">
        <f>IF(Table2[[#This Row],[Column1]]&gt;50%,"HIGH DISCOUNT","LOW DISCOUNT")</f>
        <v>HIGH DISCOUNT</v>
      </c>
    </row>
    <row r="3960" spans="1:25" x14ac:dyDescent="0.25">
      <c r="A3960" s="1" t="s">
        <v>8149</v>
      </c>
      <c r="B3960" s="1">
        <v>7438760</v>
      </c>
      <c r="C3960" s="1" t="s">
        <v>52</v>
      </c>
      <c r="D3960" s="1" t="s">
        <v>15</v>
      </c>
      <c r="E3960" s="1" t="s">
        <v>16</v>
      </c>
      <c r="F3960" s="1" t="s">
        <v>17</v>
      </c>
      <c r="G3960" s="1" t="s">
        <v>4350</v>
      </c>
      <c r="H3960">
        <v>702</v>
      </c>
      <c r="I3960" s="1">
        <v>1899</v>
      </c>
      <c r="J3960" s="1" t="s">
        <v>476</v>
      </c>
      <c r="K3960" s="1" t="s">
        <v>816</v>
      </c>
      <c r="L3960" s="1">
        <v>3.7</v>
      </c>
      <c r="M3960" s="1">
        <v>530</v>
      </c>
      <c r="P3960" t="str">
        <f t="shared" si="247"/>
        <v>63%</v>
      </c>
      <c r="Q3960" s="12">
        <f t="shared" si="244"/>
        <v>0.63</v>
      </c>
      <c r="R3960" s="9">
        <f t="shared" si="245"/>
        <v>702.62999999999988</v>
      </c>
      <c r="S3960" s="9">
        <f>IF(R3960="",AVERAGEIF(Table1[Category],Table1[[#This Row],[Category]],Table2[orignal data]),Table2[[#This Row],[orignal data]])</f>
        <v>702.62999999999988</v>
      </c>
      <c r="T3960" t="str">
        <f t="shared" si="246"/>
        <v>UNIQUE</v>
      </c>
      <c r="U3960" t="str">
        <f>IF(ISBLANK(Table1[[#This Row],[SizeOption]]),"NOT AVAILABLE",Table1[[#This Row],[SizeOption]])</f>
        <v>30, 32, 34, 36, 38</v>
      </c>
      <c r="Y3960" t="str">
        <f>IF(Table2[[#This Row],[Column1]]&gt;50%,"HIGH DISCOUNT","LOW DISCOUNT")</f>
        <v>HIGH DISCOUNT</v>
      </c>
    </row>
    <row r="3961" spans="1:25" x14ac:dyDescent="0.25">
      <c r="A3961" s="2" t="s">
        <v>8150</v>
      </c>
      <c r="B3961" s="2">
        <v>2303688</v>
      </c>
      <c r="C3961" s="2" t="s">
        <v>14</v>
      </c>
      <c r="D3961" s="2" t="s">
        <v>28</v>
      </c>
      <c r="E3961" s="2" t="s">
        <v>42</v>
      </c>
      <c r="F3961" s="2" t="s">
        <v>17</v>
      </c>
      <c r="G3961" s="2" t="s">
        <v>8151</v>
      </c>
      <c r="H3961">
        <v>584</v>
      </c>
      <c r="I3961" s="2">
        <v>1299</v>
      </c>
      <c r="J3961" s="2" t="s">
        <v>25</v>
      </c>
      <c r="K3961" s="2" t="s">
        <v>45</v>
      </c>
      <c r="L3961" s="2">
        <v>4</v>
      </c>
      <c r="M3961" s="2">
        <v>530</v>
      </c>
      <c r="P3961" t="str">
        <f t="shared" si="247"/>
        <v>55%</v>
      </c>
      <c r="Q3961" s="12">
        <f t="shared" si="244"/>
        <v>0.55000000000000004</v>
      </c>
      <c r="R3961" s="9">
        <f t="shared" si="245"/>
        <v>584.54999999999995</v>
      </c>
      <c r="S3961" s="9">
        <f>IF(R3961="",AVERAGEIF(Table1[Category],Table1[[#This Row],[Category]],Table2[orignal data]),Table2[[#This Row],[orignal data]])</f>
        <v>584.54999999999995</v>
      </c>
      <c r="T3961" t="str">
        <f t="shared" si="246"/>
        <v>UNIQUE</v>
      </c>
      <c r="U3961" t="str">
        <f>IF(ISBLANK(Table1[[#This Row],[SizeOption]]),"NOT AVAILABLE",Table1[[#This Row],[SizeOption]])</f>
        <v>XS, S, M, L, XL</v>
      </c>
      <c r="Y3961" t="str">
        <f>IF(Table2[[#This Row],[Column1]]&gt;50%,"HIGH DISCOUNT","LOW DISCOUNT")</f>
        <v>HIGH DISCOUNT</v>
      </c>
    </row>
    <row r="3962" spans="1:25" x14ac:dyDescent="0.25">
      <c r="A3962" s="1" t="s">
        <v>8152</v>
      </c>
      <c r="B3962" s="1">
        <v>12062138</v>
      </c>
      <c r="C3962" s="1" t="s">
        <v>64</v>
      </c>
      <c r="D3962" s="1" t="s">
        <v>28</v>
      </c>
      <c r="E3962" s="1" t="s">
        <v>42</v>
      </c>
      <c r="F3962" s="1" t="s">
        <v>17</v>
      </c>
      <c r="G3962" s="1" t="s">
        <v>8153</v>
      </c>
      <c r="H3962">
        <v>359</v>
      </c>
      <c r="I3962" s="1">
        <v>899</v>
      </c>
      <c r="J3962" s="1" t="s">
        <v>55</v>
      </c>
      <c r="K3962" s="1" t="s">
        <v>26</v>
      </c>
      <c r="L3962" s="1">
        <v>4</v>
      </c>
      <c r="M3962" s="1">
        <v>530</v>
      </c>
      <c r="P3962" t="str">
        <f t="shared" si="247"/>
        <v>60%</v>
      </c>
      <c r="Q3962" s="12">
        <f t="shared" si="244"/>
        <v>0.6</v>
      </c>
      <c r="R3962" s="9">
        <f t="shared" si="245"/>
        <v>359.6</v>
      </c>
      <c r="S3962" s="9">
        <f>IF(R3962="",AVERAGEIF(Table1[Category],Table1[[#This Row],[Category]],Table2[orignal data]),Table2[[#This Row],[orignal data]])</f>
        <v>359.6</v>
      </c>
      <c r="T3962" t="str">
        <f t="shared" si="246"/>
        <v>UNIQUE</v>
      </c>
      <c r="U3962" t="str">
        <f>IF(ISBLANK(Table1[[#This Row],[SizeOption]]),"NOT AVAILABLE",Table1[[#This Row],[SizeOption]])</f>
        <v>S, M, L, XL</v>
      </c>
      <c r="Y3962" t="str">
        <f>IF(Table2[[#This Row],[Column1]]&gt;50%,"HIGH DISCOUNT","LOW DISCOUNT")</f>
        <v>HIGH DISCOUNT</v>
      </c>
    </row>
    <row r="3963" spans="1:25" x14ac:dyDescent="0.25">
      <c r="A3963" s="2" t="s">
        <v>8154</v>
      </c>
      <c r="B3963" s="2">
        <v>8350441</v>
      </c>
      <c r="C3963" s="2" t="s">
        <v>97</v>
      </c>
      <c r="D3963" s="2" t="s">
        <v>76</v>
      </c>
      <c r="E3963" s="2" t="s">
        <v>93</v>
      </c>
      <c r="F3963" s="2" t="s">
        <v>36</v>
      </c>
      <c r="G3963" s="2" t="s">
        <v>8155</v>
      </c>
      <c r="H3963">
        <v>599</v>
      </c>
      <c r="I3963" s="2">
        <v>999</v>
      </c>
      <c r="J3963" s="2" t="s">
        <v>50</v>
      </c>
      <c r="K3963" s="2" t="s">
        <v>100</v>
      </c>
      <c r="L3963" s="2">
        <v>3.7</v>
      </c>
      <c r="M3963" s="2">
        <v>530</v>
      </c>
      <c r="P3963" t="str">
        <f t="shared" si="247"/>
        <v>40%</v>
      </c>
      <c r="Q3963" s="12">
        <f t="shared" si="244"/>
        <v>0.4</v>
      </c>
      <c r="R3963" s="9">
        <f t="shared" si="245"/>
        <v>599.4</v>
      </c>
      <c r="S3963" s="9">
        <f>IF(R3963="",AVERAGEIF(Table1[Category],Table1[[#This Row],[Category]],Table2[orignal data]),Table2[[#This Row],[orignal data]])</f>
        <v>599.4</v>
      </c>
      <c r="T3963" t="str">
        <f t="shared" si="246"/>
        <v>UNIQUE</v>
      </c>
      <c r="U3963" t="str">
        <f>IF(ISBLANK(Table1[[#This Row],[SizeOption]]),"NOT AVAILABLE",Table1[[#This Row],[SizeOption]])</f>
        <v>XS, S, M, L, XL, XXL, 3XL</v>
      </c>
      <c r="Y3963" t="str">
        <f>IF(Table2[[#This Row],[Column1]]&gt;50%,"HIGH DISCOUNT","LOW DISCOUNT")</f>
        <v>LOW DISCOUNT</v>
      </c>
    </row>
    <row r="3964" spans="1:25" x14ac:dyDescent="0.25">
      <c r="A3964" s="1" t="s">
        <v>8156</v>
      </c>
      <c r="B3964" s="1">
        <v>9783653</v>
      </c>
      <c r="C3964" s="1" t="s">
        <v>3035</v>
      </c>
      <c r="D3964" s="1" t="s">
        <v>34</v>
      </c>
      <c r="E3964" s="1" t="s">
        <v>296</v>
      </c>
      <c r="F3964" s="1" t="s">
        <v>36</v>
      </c>
      <c r="G3964" s="1" t="s">
        <v>8157</v>
      </c>
      <c r="H3964">
        <v>412</v>
      </c>
      <c r="I3964" s="1">
        <v>550</v>
      </c>
      <c r="J3964" s="1" t="s">
        <v>282</v>
      </c>
      <c r="K3964" s="1" t="s">
        <v>234</v>
      </c>
      <c r="L3964" s="1">
        <v>4</v>
      </c>
      <c r="M3964" s="1">
        <v>530</v>
      </c>
      <c r="P3964" t="str">
        <f t="shared" si="247"/>
        <v>25%</v>
      </c>
      <c r="Q3964" s="12">
        <f t="shared" si="244"/>
        <v>0.25</v>
      </c>
      <c r="R3964" s="9">
        <f t="shared" si="245"/>
        <v>412.5</v>
      </c>
      <c r="S3964" s="9">
        <f>IF(R3964="",AVERAGEIF(Table1[Category],Table1[[#This Row],[Category]],Table2[orignal data]),Table2[[#This Row],[orignal data]])</f>
        <v>412.5</v>
      </c>
      <c r="T3964" t="str">
        <f t="shared" si="246"/>
        <v>UNIQUE</v>
      </c>
      <c r="U3964" t="str">
        <f>IF(ISBLANK(Table1[[#This Row],[SizeOption]]),"NOT AVAILABLE",Table1[[#This Row],[SizeOption]])</f>
        <v>S, M, L, XL, XXL, 3XL</v>
      </c>
      <c r="Y3964" t="str">
        <f>IF(Table2[[#This Row],[Column1]]&gt;50%,"HIGH DISCOUNT","LOW DISCOUNT")</f>
        <v>LOW DISCOUNT</v>
      </c>
    </row>
    <row r="3965" spans="1:25" x14ac:dyDescent="0.25">
      <c r="A3965" s="2" t="s">
        <v>8158</v>
      </c>
      <c r="B3965" s="2">
        <v>12723156</v>
      </c>
      <c r="C3965" s="2" t="s">
        <v>117</v>
      </c>
      <c r="D3965" s="2" t="s">
        <v>34</v>
      </c>
      <c r="E3965" s="2" t="s">
        <v>118</v>
      </c>
      <c r="F3965" s="2" t="s">
        <v>36</v>
      </c>
      <c r="G3965" s="2" t="s">
        <v>8159</v>
      </c>
      <c r="I3965" s="2">
        <v>599</v>
      </c>
      <c r="J3965" s="2"/>
      <c r="K3965" s="2" t="s">
        <v>510</v>
      </c>
      <c r="L3965" s="2">
        <v>4.2</v>
      </c>
      <c r="M3965" s="2">
        <v>530</v>
      </c>
      <c r="P3965" t="str">
        <f t="shared" si="247"/>
        <v/>
      </c>
      <c r="Q3965" s="12" t="str">
        <f t="shared" si="244"/>
        <v/>
      </c>
      <c r="R3965" s="9" t="str">
        <f t="shared" si="245"/>
        <v/>
      </c>
      <c r="S3965" s="9">
        <f>IF(R3965="",AVERAGEIF(Table1[Category],Table1[[#This Row],[Category]],Table2[orignal data]),Table2[[#This Row],[orignal data]])</f>
        <v>608.88518518518481</v>
      </c>
      <c r="T3965" t="str">
        <f t="shared" si="246"/>
        <v>UNIQUE</v>
      </c>
      <c r="U3965" t="str">
        <f>IF(ISBLANK(Table1[[#This Row],[SizeOption]]),"NOT AVAILABLE",Table1[[#This Row],[SizeOption]])</f>
        <v>32B, 32C, 32D, 34B, 34C, 34D, 36B, 36C, 36D, 38B, 38C</v>
      </c>
      <c r="Y3965" t="str">
        <f>IF(Table2[[#This Row],[Column1]]&gt;50%,"HIGH DISCOUNT","LOW DISCOUNT")</f>
        <v>HIGH DISCOUNT</v>
      </c>
    </row>
    <row r="3966" spans="1:25" x14ac:dyDescent="0.25">
      <c r="A3966" s="1" t="s">
        <v>8160</v>
      </c>
      <c r="B3966" s="1">
        <v>13370858</v>
      </c>
      <c r="C3966" s="1" t="s">
        <v>117</v>
      </c>
      <c r="D3966" s="1" t="s">
        <v>34</v>
      </c>
      <c r="E3966" s="1" t="s">
        <v>118</v>
      </c>
      <c r="F3966" s="1" t="s">
        <v>36</v>
      </c>
      <c r="G3966" s="1" t="s">
        <v>8161</v>
      </c>
      <c r="I3966" s="1">
        <v>849</v>
      </c>
      <c r="J3966" s="1"/>
      <c r="K3966" s="1" t="s">
        <v>26</v>
      </c>
      <c r="L3966" s="1">
        <v>4.3</v>
      </c>
      <c r="M3966" s="1">
        <v>530</v>
      </c>
      <c r="P3966" t="str">
        <f t="shared" si="247"/>
        <v/>
      </c>
      <c r="Q3966" s="12" t="str">
        <f t="shared" si="244"/>
        <v/>
      </c>
      <c r="R3966" s="9" t="str">
        <f t="shared" si="245"/>
        <v/>
      </c>
      <c r="S3966" s="9">
        <f>IF(R3966="",AVERAGEIF(Table1[Category],Table1[[#This Row],[Category]],Table2[orignal data]),Table2[[#This Row],[orignal data]])</f>
        <v>608.88518518518481</v>
      </c>
      <c r="T3966" t="str">
        <f t="shared" si="246"/>
        <v>UNIQUE</v>
      </c>
      <c r="U3966" t="str">
        <f>IF(ISBLANK(Table1[[#This Row],[SizeOption]]),"NOT AVAILABLE",Table1[[#This Row],[SizeOption]])</f>
        <v>S, M, L, XL</v>
      </c>
      <c r="Y3966" t="str">
        <f>IF(Table2[[#This Row],[Column1]]&gt;50%,"HIGH DISCOUNT","LOW DISCOUNT")</f>
        <v>HIGH DISCOUNT</v>
      </c>
    </row>
    <row r="3967" spans="1:25" x14ac:dyDescent="0.25">
      <c r="A3967" s="2" t="s">
        <v>8162</v>
      </c>
      <c r="B3967" s="2">
        <v>2428569</v>
      </c>
      <c r="C3967" s="2" t="s">
        <v>64</v>
      </c>
      <c r="D3967" s="2" t="s">
        <v>98</v>
      </c>
      <c r="E3967" s="2" t="s">
        <v>16</v>
      </c>
      <c r="F3967" s="2" t="s">
        <v>36</v>
      </c>
      <c r="G3967" s="2" t="s">
        <v>8163</v>
      </c>
      <c r="H3967">
        <v>899</v>
      </c>
      <c r="I3967" s="2">
        <v>1999</v>
      </c>
      <c r="J3967" s="2" t="s">
        <v>25</v>
      </c>
      <c r="K3967" s="2" t="s">
        <v>643</v>
      </c>
      <c r="L3967" s="2">
        <v>3.9</v>
      </c>
      <c r="M3967" s="2">
        <v>530</v>
      </c>
      <c r="P3967" t="str">
        <f t="shared" si="247"/>
        <v>55%</v>
      </c>
      <c r="Q3967" s="12">
        <f t="shared" si="244"/>
        <v>0.55000000000000004</v>
      </c>
      <c r="R3967" s="9">
        <f t="shared" si="245"/>
        <v>899.55</v>
      </c>
      <c r="S3967" s="9">
        <f>IF(R3967="",AVERAGEIF(Table1[Category],Table1[[#This Row],[Category]],Table2[orignal data]),Table2[[#This Row],[orignal data]])</f>
        <v>899.55</v>
      </c>
      <c r="T3967" t="str">
        <f t="shared" si="246"/>
        <v>UNIQUE</v>
      </c>
      <c r="U3967" t="str">
        <f>IF(ISBLANK(Table1[[#This Row],[SizeOption]]),"NOT AVAILABLE",Table1[[#This Row],[SizeOption]])</f>
        <v>26, 28, 30, 32, 34, 36, 38, 40</v>
      </c>
      <c r="Y3967" t="str">
        <f>IF(Table2[[#This Row],[Column1]]&gt;50%,"HIGH DISCOUNT","LOW DISCOUNT")</f>
        <v>HIGH DISCOUNT</v>
      </c>
    </row>
    <row r="3968" spans="1:25" x14ac:dyDescent="0.25">
      <c r="A3968" s="1" t="s">
        <v>8164</v>
      </c>
      <c r="B3968" s="1">
        <v>12163546</v>
      </c>
      <c r="C3968" s="1" t="s">
        <v>97</v>
      </c>
      <c r="D3968" s="1" t="s">
        <v>98</v>
      </c>
      <c r="E3968" s="1" t="s">
        <v>93</v>
      </c>
      <c r="F3968" s="1" t="s">
        <v>36</v>
      </c>
      <c r="G3968" s="1" t="s">
        <v>8165</v>
      </c>
      <c r="H3968">
        <v>499</v>
      </c>
      <c r="I3968" s="1">
        <v>999</v>
      </c>
      <c r="J3968" s="1" t="s">
        <v>84</v>
      </c>
      <c r="K3968" s="1" t="s">
        <v>100</v>
      </c>
      <c r="L3968" s="1">
        <v>4.0999999999999996</v>
      </c>
      <c r="M3968" s="1">
        <v>530</v>
      </c>
      <c r="P3968" t="str">
        <f t="shared" si="247"/>
        <v>50%</v>
      </c>
      <c r="Q3968" s="12">
        <f t="shared" si="244"/>
        <v>0.5</v>
      </c>
      <c r="R3968" s="9">
        <f t="shared" si="245"/>
        <v>499.5</v>
      </c>
      <c r="S3968" s="9">
        <f>IF(R3968="",AVERAGEIF(Table1[Category],Table1[[#This Row],[Category]],Table2[orignal data]),Table2[[#This Row],[orignal data]])</f>
        <v>499.5</v>
      </c>
      <c r="T3968" t="str">
        <f t="shared" si="246"/>
        <v>UNIQUE</v>
      </c>
      <c r="U3968" t="str">
        <f>IF(ISBLANK(Table1[[#This Row],[SizeOption]]),"NOT AVAILABLE",Table1[[#This Row],[SizeOption]])</f>
        <v>XS, S, M, L, XL, XXL, 3XL</v>
      </c>
      <c r="Y3968" t="str">
        <f>IF(Table2[[#This Row],[Column1]]&gt;50%,"HIGH DISCOUNT","LOW DISCOUNT")</f>
        <v>LOW DISCOUNT</v>
      </c>
    </row>
    <row r="3969" spans="1:25" x14ac:dyDescent="0.25">
      <c r="A3969" s="2" t="s">
        <v>8166</v>
      </c>
      <c r="B3969" s="2">
        <v>17382894</v>
      </c>
      <c r="C3969" s="2" t="s">
        <v>14</v>
      </c>
      <c r="D3969" s="2" t="s">
        <v>41</v>
      </c>
      <c r="E3969" s="2" t="s">
        <v>42</v>
      </c>
      <c r="F3969" s="2" t="s">
        <v>36</v>
      </c>
      <c r="G3969" s="2" t="s">
        <v>8167</v>
      </c>
      <c r="I3969" s="2">
        <v>1598</v>
      </c>
      <c r="J3969" s="2" t="s">
        <v>84</v>
      </c>
      <c r="K3969" s="2" t="s">
        <v>146</v>
      </c>
      <c r="L3969" s="2">
        <v>4.3</v>
      </c>
      <c r="M3969" s="2">
        <v>530</v>
      </c>
      <c r="P3969" t="str">
        <f t="shared" si="247"/>
        <v>50%</v>
      </c>
      <c r="Q3969" s="12">
        <f t="shared" si="244"/>
        <v>0.5</v>
      </c>
      <c r="R3969" s="9">
        <f t="shared" si="245"/>
        <v>799</v>
      </c>
      <c r="S3969" s="9">
        <f>IF(R3969="",AVERAGEIF(Table1[Category],Table1[[#This Row],[Category]],Table2[orignal data]),Table2[[#This Row],[orignal data]])</f>
        <v>799</v>
      </c>
      <c r="T3969" t="str">
        <f t="shared" si="246"/>
        <v>UNIQUE</v>
      </c>
      <c r="U3969" t="str">
        <f>IF(ISBLANK(Table1[[#This Row],[SizeOption]]),"NOT AVAILABLE",Table1[[#This Row],[SizeOption]])</f>
        <v>L, M, S, XS, XL</v>
      </c>
      <c r="Y3969" t="str">
        <f>IF(Table2[[#This Row],[Column1]]&gt;50%,"HIGH DISCOUNT","LOW DISCOUNT")</f>
        <v>LOW DISCOUNT</v>
      </c>
    </row>
    <row r="3970" spans="1:25" x14ac:dyDescent="0.25">
      <c r="A3970" s="1" t="s">
        <v>8168</v>
      </c>
      <c r="B3970" s="1">
        <v>10365189</v>
      </c>
      <c r="C3970" s="1" t="s">
        <v>107</v>
      </c>
      <c r="D3970" s="1" t="s">
        <v>41</v>
      </c>
      <c r="E3970" s="1" t="s">
        <v>16</v>
      </c>
      <c r="F3970" s="1" t="s">
        <v>36</v>
      </c>
      <c r="G3970" s="1" t="s">
        <v>488</v>
      </c>
      <c r="I3970" s="1">
        <v>1749</v>
      </c>
      <c r="J3970" s="1" t="s">
        <v>79</v>
      </c>
      <c r="K3970" s="1" t="s">
        <v>134</v>
      </c>
      <c r="L3970" s="1">
        <v>4.2</v>
      </c>
      <c r="M3970" s="1">
        <v>530</v>
      </c>
      <c r="P3970" t="str">
        <f t="shared" si="247"/>
        <v>70%</v>
      </c>
      <c r="Q3970" s="12">
        <f t="shared" ref="Q3970:Q4033" si="248">IF(P3970="","",IF(ISNUMBER(SEARCH("%",P3970)),P3970,P3970/I3970)*100%)</f>
        <v>0.7</v>
      </c>
      <c r="R3970" s="9">
        <f t="shared" ref="R3970:R4033" si="249">IF(P3970="","",I3970-(I3970*Q3970))</f>
        <v>524.70000000000005</v>
      </c>
      <c r="S3970" s="9">
        <f>IF(R3970="",AVERAGEIF(Table1[Category],Table1[[#This Row],[Category]],Table2[orignal data]),Table2[[#This Row],[orignal data]])</f>
        <v>524.70000000000005</v>
      </c>
      <c r="T3970" t="str">
        <f t="shared" ref="T3970:T4033" si="250">IF(COUNTIF($B$2:$B$5000,B3970)&gt;1,"DUPLICATE","UNIQUE")</f>
        <v>UNIQUE</v>
      </c>
      <c r="U3970" t="str">
        <f>IF(ISBLANK(Table1[[#This Row],[SizeOption]]),"NOT AVAILABLE",Table1[[#This Row],[SizeOption]])</f>
        <v>26, 28, 30, 32, 34, 36</v>
      </c>
      <c r="Y3970" t="str">
        <f>IF(Table2[[#This Row],[Column1]]&gt;50%,"HIGH DISCOUNT","LOW DISCOUNT")</f>
        <v>HIGH DISCOUNT</v>
      </c>
    </row>
    <row r="3971" spans="1:25" x14ac:dyDescent="0.25">
      <c r="A3971" s="2" t="s">
        <v>8169</v>
      </c>
      <c r="B3971" s="2">
        <v>10641934</v>
      </c>
      <c r="C3971" s="2" t="s">
        <v>102</v>
      </c>
      <c r="D3971" s="2" t="s">
        <v>41</v>
      </c>
      <c r="E3971" s="2" t="s">
        <v>16</v>
      </c>
      <c r="F3971" s="2" t="s">
        <v>36</v>
      </c>
      <c r="G3971" s="2" t="s">
        <v>8170</v>
      </c>
      <c r="I3971" s="2">
        <v>1899</v>
      </c>
      <c r="J3971" s="2" t="s">
        <v>130</v>
      </c>
      <c r="K3971" s="2" t="s">
        <v>428</v>
      </c>
      <c r="L3971" s="2">
        <v>4</v>
      </c>
      <c r="M3971" s="2">
        <v>530</v>
      </c>
      <c r="P3971" t="str">
        <f t="shared" ref="P3971:P4034" si="251">TRIM(SUBSTITUTE(SUBSTITUTE(SUBSTITUTE(SUBSTITUTE(J3971,"OFF",""),"Rs.",""),"Hurry*",""),",",""))</f>
        <v>57%</v>
      </c>
      <c r="Q3971" s="12">
        <f t="shared" si="248"/>
        <v>0.56999999999999995</v>
      </c>
      <c r="R3971" s="9">
        <f t="shared" si="249"/>
        <v>816.57000000000016</v>
      </c>
      <c r="S3971" s="9">
        <f>IF(R3971="",AVERAGEIF(Table1[Category],Table1[[#This Row],[Category]],Table2[orignal data]),Table2[[#This Row],[orignal data]])</f>
        <v>816.57000000000016</v>
      </c>
      <c r="T3971" t="str">
        <f t="shared" si="250"/>
        <v>UNIQUE</v>
      </c>
      <c r="U3971" t="str">
        <f>IF(ISBLANK(Table1[[#This Row],[SizeOption]]),"NOT AVAILABLE",Table1[[#This Row],[SizeOption]])</f>
        <v>26, 28, 30, 32, 34</v>
      </c>
      <c r="Y3971" t="str">
        <f>IF(Table2[[#This Row],[Column1]]&gt;50%,"HIGH DISCOUNT","LOW DISCOUNT")</f>
        <v>HIGH DISCOUNT</v>
      </c>
    </row>
    <row r="3972" spans="1:25" x14ac:dyDescent="0.25">
      <c r="A3972" s="1" t="s">
        <v>8171</v>
      </c>
      <c r="B3972" s="1">
        <v>11037596</v>
      </c>
      <c r="C3972" s="1" t="s">
        <v>346</v>
      </c>
      <c r="D3972" s="1" t="s">
        <v>41</v>
      </c>
      <c r="E3972" s="1" t="s">
        <v>42</v>
      </c>
      <c r="F3972" s="1" t="s">
        <v>36</v>
      </c>
      <c r="G3972" s="1" t="s">
        <v>6902</v>
      </c>
      <c r="I3972" s="1">
        <v>599</v>
      </c>
      <c r="J3972" s="1" t="s">
        <v>186</v>
      </c>
      <c r="K3972" s="1" t="s">
        <v>45</v>
      </c>
      <c r="L3972" s="1">
        <v>4.4000000000000004</v>
      </c>
      <c r="M3972" s="1">
        <v>530</v>
      </c>
      <c r="P3972" t="str">
        <f t="shared" si="251"/>
        <v>30%</v>
      </c>
      <c r="Q3972" s="12">
        <f t="shared" si="248"/>
        <v>0.3</v>
      </c>
      <c r="R3972" s="9">
        <f t="shared" si="249"/>
        <v>419.3</v>
      </c>
      <c r="S3972" s="9">
        <f>IF(R3972="",AVERAGEIF(Table1[Category],Table1[[#This Row],[Category]],Table2[orignal data]),Table2[[#This Row],[orignal data]])</f>
        <v>419.3</v>
      </c>
      <c r="T3972" t="str">
        <f t="shared" si="250"/>
        <v>UNIQUE</v>
      </c>
      <c r="U3972" t="str">
        <f>IF(ISBLANK(Table1[[#This Row],[SizeOption]]),"NOT AVAILABLE",Table1[[#This Row],[SizeOption]])</f>
        <v>XS, S, M, L, XL</v>
      </c>
      <c r="Y3972" t="str">
        <f>IF(Table2[[#This Row],[Column1]]&gt;50%,"HIGH DISCOUNT","LOW DISCOUNT")</f>
        <v>LOW DISCOUNT</v>
      </c>
    </row>
    <row r="3973" spans="1:25" x14ac:dyDescent="0.25">
      <c r="A3973" s="2" t="s">
        <v>8172</v>
      </c>
      <c r="B3973" s="2">
        <v>2464263</v>
      </c>
      <c r="C3973" s="2" t="s">
        <v>47</v>
      </c>
      <c r="D3973" s="2" t="s">
        <v>41</v>
      </c>
      <c r="E3973" s="2" t="s">
        <v>48</v>
      </c>
      <c r="F3973" s="2" t="s">
        <v>36</v>
      </c>
      <c r="G3973" s="2" t="s">
        <v>8173</v>
      </c>
      <c r="I3973" s="2">
        <v>699</v>
      </c>
      <c r="J3973" s="2" t="s">
        <v>50</v>
      </c>
      <c r="K3973" s="2" t="s">
        <v>45</v>
      </c>
      <c r="L3973" s="2">
        <v>4.4000000000000004</v>
      </c>
      <c r="M3973" s="2">
        <v>530</v>
      </c>
      <c r="P3973" t="str">
        <f t="shared" si="251"/>
        <v>40%</v>
      </c>
      <c r="Q3973" s="12">
        <f t="shared" si="248"/>
        <v>0.4</v>
      </c>
      <c r="R3973" s="9">
        <f t="shared" si="249"/>
        <v>419.4</v>
      </c>
      <c r="S3973" s="9">
        <f>IF(R3973="",AVERAGEIF(Table1[Category],Table1[[#This Row],[Category]],Table2[orignal data]),Table2[[#This Row],[orignal data]])</f>
        <v>419.4</v>
      </c>
      <c r="T3973" t="str">
        <f t="shared" si="250"/>
        <v>UNIQUE</v>
      </c>
      <c r="U3973" t="str">
        <f>IF(ISBLANK(Table1[[#This Row],[SizeOption]]),"NOT AVAILABLE",Table1[[#This Row],[SizeOption]])</f>
        <v>XS, S, M, L, XL</v>
      </c>
      <c r="Y3973" t="str">
        <f>IF(Table2[[#This Row],[Column1]]&gt;50%,"HIGH DISCOUNT","LOW DISCOUNT")</f>
        <v>LOW DISCOUNT</v>
      </c>
    </row>
    <row r="3974" spans="1:25" x14ac:dyDescent="0.25">
      <c r="A3974" s="1" t="s">
        <v>8174</v>
      </c>
      <c r="B3974" s="1">
        <v>11274580</v>
      </c>
      <c r="C3974" s="1" t="s">
        <v>14</v>
      </c>
      <c r="D3974" s="1" t="s">
        <v>15</v>
      </c>
      <c r="E3974" s="1" t="s">
        <v>16</v>
      </c>
      <c r="F3974" s="1" t="s">
        <v>17</v>
      </c>
      <c r="G3974" s="1" t="s">
        <v>2765</v>
      </c>
      <c r="H3974">
        <v>1199</v>
      </c>
      <c r="I3974" s="1">
        <v>1999</v>
      </c>
      <c r="J3974" s="1" t="s">
        <v>50</v>
      </c>
      <c r="K3974" s="1" t="s">
        <v>20</v>
      </c>
      <c r="L3974" s="1">
        <v>3.9</v>
      </c>
      <c r="M3974" s="1">
        <v>529</v>
      </c>
      <c r="P3974" t="str">
        <f t="shared" si="251"/>
        <v>40%</v>
      </c>
      <c r="Q3974" s="12">
        <f t="shared" si="248"/>
        <v>0.4</v>
      </c>
      <c r="R3974" s="9">
        <f t="shared" si="249"/>
        <v>1199.4000000000001</v>
      </c>
      <c r="S3974" s="9">
        <f>IF(R3974="",AVERAGEIF(Table1[Category],Table1[[#This Row],[Category]],Table2[orignal data]),Table2[[#This Row],[orignal data]])</f>
        <v>1199.4000000000001</v>
      </c>
      <c r="T3974" t="str">
        <f t="shared" si="250"/>
        <v>UNIQUE</v>
      </c>
      <c r="U3974" t="str">
        <f>IF(ISBLANK(Table1[[#This Row],[SizeOption]]),"NOT AVAILABLE",Table1[[#This Row],[SizeOption]])</f>
        <v>28, 30, 32, 34, 36</v>
      </c>
      <c r="Y3974" t="str">
        <f>IF(Table2[[#This Row],[Column1]]&gt;50%,"HIGH DISCOUNT","LOW DISCOUNT")</f>
        <v>LOW DISCOUNT</v>
      </c>
    </row>
    <row r="3975" spans="1:25" x14ac:dyDescent="0.25">
      <c r="A3975" s="2" t="s">
        <v>8175</v>
      </c>
      <c r="B3975" s="2">
        <v>6395435</v>
      </c>
      <c r="C3975" s="2" t="s">
        <v>67</v>
      </c>
      <c r="D3975" s="2" t="s">
        <v>15</v>
      </c>
      <c r="E3975" s="2" t="s">
        <v>23</v>
      </c>
      <c r="F3975" s="2" t="s">
        <v>17</v>
      </c>
      <c r="G3975" s="2" t="s">
        <v>8176</v>
      </c>
      <c r="H3975">
        <v>679</v>
      </c>
      <c r="I3975" s="2">
        <v>1699</v>
      </c>
      <c r="J3975" s="2" t="s">
        <v>55</v>
      </c>
      <c r="K3975" s="2" t="s">
        <v>39</v>
      </c>
      <c r="L3975" s="2">
        <v>4.2</v>
      </c>
      <c r="M3975" s="2">
        <v>529</v>
      </c>
      <c r="P3975" t="str">
        <f t="shared" si="251"/>
        <v>60%</v>
      </c>
      <c r="Q3975" s="12">
        <f t="shared" si="248"/>
        <v>0.6</v>
      </c>
      <c r="R3975" s="9">
        <f t="shared" si="249"/>
        <v>679.6</v>
      </c>
      <c r="S3975" s="9">
        <f>IF(R3975="",AVERAGEIF(Table1[Category],Table1[[#This Row],[Category]],Table2[orignal data]),Table2[[#This Row],[orignal data]])</f>
        <v>679.6</v>
      </c>
      <c r="T3975" t="str">
        <f t="shared" si="250"/>
        <v>UNIQUE</v>
      </c>
      <c r="U3975" t="str">
        <f>IF(ISBLANK(Table1[[#This Row],[SizeOption]]),"NOT AVAILABLE",Table1[[#This Row],[SizeOption]])</f>
        <v>S, M, L, XL, XXL</v>
      </c>
      <c r="Y3975" t="str">
        <f>IF(Table2[[#This Row],[Column1]]&gt;50%,"HIGH DISCOUNT","LOW DISCOUNT")</f>
        <v>HIGH DISCOUNT</v>
      </c>
    </row>
    <row r="3976" spans="1:25" x14ac:dyDescent="0.25">
      <c r="A3976" s="1" t="s">
        <v>8177</v>
      </c>
      <c r="B3976" s="1">
        <v>11422522</v>
      </c>
      <c r="C3976" s="1" t="s">
        <v>3308</v>
      </c>
      <c r="D3976" s="1" t="s">
        <v>76</v>
      </c>
      <c r="E3976" s="1" t="s">
        <v>93</v>
      </c>
      <c r="F3976" s="1" t="s">
        <v>17</v>
      </c>
      <c r="G3976" s="1" t="s">
        <v>8178</v>
      </c>
      <c r="H3976">
        <v>719</v>
      </c>
      <c r="I3976" s="1">
        <v>1599</v>
      </c>
      <c r="J3976" s="1" t="s">
        <v>25</v>
      </c>
      <c r="K3976" s="1" t="s">
        <v>39</v>
      </c>
      <c r="L3976" s="1">
        <v>4.3</v>
      </c>
      <c r="M3976" s="1">
        <v>529</v>
      </c>
      <c r="P3976" t="str">
        <f t="shared" si="251"/>
        <v>55%</v>
      </c>
      <c r="Q3976" s="12">
        <f t="shared" si="248"/>
        <v>0.55000000000000004</v>
      </c>
      <c r="R3976" s="9">
        <f t="shared" si="249"/>
        <v>719.55</v>
      </c>
      <c r="S3976" s="9">
        <f>IF(R3976="",AVERAGEIF(Table1[Category],Table1[[#This Row],[Category]],Table2[orignal data]),Table2[[#This Row],[orignal data]])</f>
        <v>719.55</v>
      </c>
      <c r="T3976" t="str">
        <f t="shared" si="250"/>
        <v>UNIQUE</v>
      </c>
      <c r="U3976" t="str">
        <f>IF(ISBLANK(Table1[[#This Row],[SizeOption]]),"NOT AVAILABLE",Table1[[#This Row],[SizeOption]])</f>
        <v>S, M, L, XL, XXL</v>
      </c>
      <c r="Y3976" t="str">
        <f>IF(Table2[[#This Row],[Column1]]&gt;50%,"HIGH DISCOUNT","LOW DISCOUNT")</f>
        <v>HIGH DISCOUNT</v>
      </c>
    </row>
    <row r="3977" spans="1:25" x14ac:dyDescent="0.25">
      <c r="A3977" s="2" t="s">
        <v>8179</v>
      </c>
      <c r="B3977" s="2">
        <v>14441230</v>
      </c>
      <c r="C3977" s="2" t="s">
        <v>52</v>
      </c>
      <c r="D3977" s="2" t="s">
        <v>28</v>
      </c>
      <c r="E3977" s="2" t="s">
        <v>29</v>
      </c>
      <c r="F3977" s="2" t="s">
        <v>17</v>
      </c>
      <c r="G3977" s="2" t="s">
        <v>8180</v>
      </c>
      <c r="H3977">
        <v>587</v>
      </c>
      <c r="I3977" s="2">
        <v>1249</v>
      </c>
      <c r="J3977" s="2" t="s">
        <v>89</v>
      </c>
      <c r="K3977" s="2" t="s">
        <v>90</v>
      </c>
      <c r="L3977" s="2">
        <v>4.2</v>
      </c>
      <c r="M3977" s="2">
        <v>529</v>
      </c>
      <c r="P3977" t="str">
        <f t="shared" si="251"/>
        <v>53%</v>
      </c>
      <c r="Q3977" s="12">
        <f t="shared" si="248"/>
        <v>0.53</v>
      </c>
      <c r="R3977" s="9">
        <f t="shared" si="249"/>
        <v>587.03</v>
      </c>
      <c r="S3977" s="9">
        <f>IF(R3977="",AVERAGEIF(Table1[Category],Table1[[#This Row],[Category]],Table2[orignal data]),Table2[[#This Row],[orignal data]])</f>
        <v>587.03</v>
      </c>
      <c r="T3977" t="str">
        <f t="shared" si="250"/>
        <v>UNIQUE</v>
      </c>
      <c r="U3977" t="str">
        <f>IF(ISBLANK(Table1[[#This Row],[SizeOption]]),"NOT AVAILABLE",Table1[[#This Row],[SizeOption]])</f>
        <v>39, 40, 42, 44</v>
      </c>
      <c r="Y3977" t="str">
        <f>IF(Table2[[#This Row],[Column1]]&gt;50%,"HIGH DISCOUNT","LOW DISCOUNT")</f>
        <v>HIGH DISCOUNT</v>
      </c>
    </row>
    <row r="3978" spans="1:25" x14ac:dyDescent="0.25">
      <c r="A3978" s="1" t="s">
        <v>8181</v>
      </c>
      <c r="B3978" s="1">
        <v>15090310</v>
      </c>
      <c r="C3978" s="1" t="s">
        <v>8182</v>
      </c>
      <c r="D3978" s="1" t="s">
        <v>76</v>
      </c>
      <c r="E3978" s="1" t="s">
        <v>93</v>
      </c>
      <c r="F3978" s="1" t="s">
        <v>36</v>
      </c>
      <c r="G3978" s="1" t="s">
        <v>8183</v>
      </c>
      <c r="H3978">
        <v>839</v>
      </c>
      <c r="I3978" s="1">
        <v>1999</v>
      </c>
      <c r="J3978" s="1" t="s">
        <v>60</v>
      </c>
      <c r="K3978" s="1" t="s">
        <v>234</v>
      </c>
      <c r="L3978" s="1">
        <v>4.5</v>
      </c>
      <c r="M3978" s="1">
        <v>529</v>
      </c>
      <c r="P3978" t="str">
        <f t="shared" si="251"/>
        <v>58%</v>
      </c>
      <c r="Q3978" s="12">
        <f t="shared" si="248"/>
        <v>0.57999999999999996</v>
      </c>
      <c r="R3978" s="9">
        <f t="shared" si="249"/>
        <v>839.58000000000015</v>
      </c>
      <c r="S3978" s="9">
        <f>IF(R3978="",AVERAGEIF(Table1[Category],Table1[[#This Row],[Category]],Table2[orignal data]),Table2[[#This Row],[orignal data]])</f>
        <v>839.58000000000015</v>
      </c>
      <c r="T3978" t="str">
        <f t="shared" si="250"/>
        <v>UNIQUE</v>
      </c>
      <c r="U3978" t="str">
        <f>IF(ISBLANK(Table1[[#This Row],[SizeOption]]),"NOT AVAILABLE",Table1[[#This Row],[SizeOption]])</f>
        <v>S, M, L, XL, XXL, 3XL</v>
      </c>
      <c r="Y3978" t="str">
        <f>IF(Table2[[#This Row],[Column1]]&gt;50%,"HIGH DISCOUNT","LOW DISCOUNT")</f>
        <v>HIGH DISCOUNT</v>
      </c>
    </row>
    <row r="3979" spans="1:25" x14ac:dyDescent="0.25">
      <c r="A3979" s="2" t="s">
        <v>8184</v>
      </c>
      <c r="B3979" s="2">
        <v>12441888</v>
      </c>
      <c r="C3979" s="2" t="s">
        <v>620</v>
      </c>
      <c r="D3979" s="2" t="s">
        <v>34</v>
      </c>
      <c r="E3979" s="2" t="s">
        <v>406</v>
      </c>
      <c r="F3979" s="2" t="s">
        <v>36</v>
      </c>
      <c r="G3979" s="2" t="s">
        <v>8185</v>
      </c>
      <c r="H3979">
        <v>854</v>
      </c>
      <c r="I3979" s="2">
        <v>1899</v>
      </c>
      <c r="J3979" s="2" t="s">
        <v>25</v>
      </c>
      <c r="K3979" s="2" t="s">
        <v>26</v>
      </c>
      <c r="L3979" s="2">
        <v>4.5</v>
      </c>
      <c r="M3979" s="2">
        <v>529</v>
      </c>
      <c r="P3979" t="str">
        <f t="shared" si="251"/>
        <v>55%</v>
      </c>
      <c r="Q3979" s="12">
        <f t="shared" si="248"/>
        <v>0.55000000000000004</v>
      </c>
      <c r="R3979" s="9">
        <f t="shared" si="249"/>
        <v>854.55</v>
      </c>
      <c r="S3979" s="9">
        <f>IF(R3979="",AVERAGEIF(Table1[Category],Table1[[#This Row],[Category]],Table2[orignal data]),Table2[[#This Row],[orignal data]])</f>
        <v>854.55</v>
      </c>
      <c r="T3979" t="str">
        <f t="shared" si="250"/>
        <v>UNIQUE</v>
      </c>
      <c r="U3979" t="str">
        <f>IF(ISBLANK(Table1[[#This Row],[SizeOption]]),"NOT AVAILABLE",Table1[[#This Row],[SizeOption]])</f>
        <v>S, M, L, XL</v>
      </c>
      <c r="Y3979" t="str">
        <f>IF(Table2[[#This Row],[Column1]]&gt;50%,"HIGH DISCOUNT","LOW DISCOUNT")</f>
        <v>HIGH DISCOUNT</v>
      </c>
    </row>
    <row r="3980" spans="1:25" x14ac:dyDescent="0.25">
      <c r="A3980" s="1" t="s">
        <v>8186</v>
      </c>
      <c r="B3980" s="1">
        <v>11316804</v>
      </c>
      <c r="C3980" s="1" t="s">
        <v>5316</v>
      </c>
      <c r="D3980" s="1" t="s">
        <v>34</v>
      </c>
      <c r="E3980" s="1" t="s">
        <v>406</v>
      </c>
      <c r="F3980" s="1" t="s">
        <v>36</v>
      </c>
      <c r="G3980" s="1" t="s">
        <v>8187</v>
      </c>
      <c r="H3980">
        <v>1199</v>
      </c>
      <c r="I3980" s="1">
        <v>1999</v>
      </c>
      <c r="J3980" s="1" t="s">
        <v>50</v>
      </c>
      <c r="K3980" s="1" t="s">
        <v>39</v>
      </c>
      <c r="L3980" s="1">
        <v>4.4000000000000004</v>
      </c>
      <c r="M3980" s="1">
        <v>529</v>
      </c>
      <c r="P3980" t="str">
        <f t="shared" si="251"/>
        <v>40%</v>
      </c>
      <c r="Q3980" s="12">
        <f t="shared" si="248"/>
        <v>0.4</v>
      </c>
      <c r="R3980" s="9">
        <f t="shared" si="249"/>
        <v>1199.4000000000001</v>
      </c>
      <c r="S3980" s="9">
        <f>IF(R3980="",AVERAGEIF(Table1[Category],Table1[[#This Row],[Category]],Table2[orignal data]),Table2[[#This Row],[orignal data]])</f>
        <v>1199.4000000000001</v>
      </c>
      <c r="T3980" t="str">
        <f t="shared" si="250"/>
        <v>UNIQUE</v>
      </c>
      <c r="U3980" t="str">
        <f>IF(ISBLANK(Table1[[#This Row],[SizeOption]]),"NOT AVAILABLE",Table1[[#This Row],[SizeOption]])</f>
        <v>S, M, L, XL, XXL</v>
      </c>
      <c r="Y3980" t="str">
        <f>IF(Table2[[#This Row],[Column1]]&gt;50%,"HIGH DISCOUNT","LOW DISCOUNT")</f>
        <v>LOW DISCOUNT</v>
      </c>
    </row>
    <row r="3981" spans="1:25" x14ac:dyDescent="0.25">
      <c r="A3981" s="2" t="s">
        <v>8188</v>
      </c>
      <c r="B3981" s="2">
        <v>11174022</v>
      </c>
      <c r="C3981" s="2" t="s">
        <v>97</v>
      </c>
      <c r="D3981" s="2" t="s">
        <v>98</v>
      </c>
      <c r="E3981" s="2" t="s">
        <v>93</v>
      </c>
      <c r="F3981" s="2" t="s">
        <v>36</v>
      </c>
      <c r="G3981" s="2" t="s">
        <v>8189</v>
      </c>
      <c r="H3981">
        <v>439</v>
      </c>
      <c r="I3981" s="2">
        <v>1099</v>
      </c>
      <c r="J3981" s="2" t="s">
        <v>55</v>
      </c>
      <c r="K3981" s="2" t="s">
        <v>100</v>
      </c>
      <c r="L3981" s="2">
        <v>4</v>
      </c>
      <c r="M3981" s="2">
        <v>529</v>
      </c>
      <c r="P3981" t="str">
        <f t="shared" si="251"/>
        <v>60%</v>
      </c>
      <c r="Q3981" s="12">
        <f t="shared" si="248"/>
        <v>0.6</v>
      </c>
      <c r="R3981" s="9">
        <f t="shared" si="249"/>
        <v>439.6</v>
      </c>
      <c r="S3981" s="9">
        <f>IF(R3981="",AVERAGEIF(Table1[Category],Table1[[#This Row],[Category]],Table2[orignal data]),Table2[[#This Row],[orignal data]])</f>
        <v>439.6</v>
      </c>
      <c r="T3981" t="str">
        <f t="shared" si="250"/>
        <v>UNIQUE</v>
      </c>
      <c r="U3981" t="str">
        <f>IF(ISBLANK(Table1[[#This Row],[SizeOption]]),"NOT AVAILABLE",Table1[[#This Row],[SizeOption]])</f>
        <v>XS, S, M, L, XL, XXL, 3XL</v>
      </c>
      <c r="Y3981" t="str">
        <f>IF(Table2[[#This Row],[Column1]]&gt;50%,"HIGH DISCOUNT","LOW DISCOUNT")</f>
        <v>HIGH DISCOUNT</v>
      </c>
    </row>
    <row r="3982" spans="1:25" x14ac:dyDescent="0.25">
      <c r="A3982" s="1" t="s">
        <v>8190</v>
      </c>
      <c r="B3982" s="1">
        <v>12625340</v>
      </c>
      <c r="C3982" s="1" t="s">
        <v>64</v>
      </c>
      <c r="D3982" s="1" t="s">
        <v>98</v>
      </c>
      <c r="E3982" s="1" t="s">
        <v>148</v>
      </c>
      <c r="F3982" s="1" t="s">
        <v>36</v>
      </c>
      <c r="G3982" s="1" t="s">
        <v>8191</v>
      </c>
      <c r="H3982">
        <v>479</v>
      </c>
      <c r="I3982" s="1">
        <v>1599</v>
      </c>
      <c r="J3982" s="1" t="s">
        <v>1566</v>
      </c>
      <c r="K3982" s="1" t="s">
        <v>115</v>
      </c>
      <c r="L3982" s="1">
        <v>3.9</v>
      </c>
      <c r="M3982" s="1">
        <v>529</v>
      </c>
      <c r="P3982" t="str">
        <f t="shared" si="251"/>
        <v>70%</v>
      </c>
      <c r="Q3982" s="12">
        <f t="shared" si="248"/>
        <v>0.7</v>
      </c>
      <c r="R3982" s="9">
        <f t="shared" si="249"/>
        <v>479.70000000000005</v>
      </c>
      <c r="S3982" s="9">
        <f>IF(R3982="",AVERAGEIF(Table1[Category],Table1[[#This Row],[Category]],Table2[orignal data]),Table2[[#This Row],[orignal data]])</f>
        <v>479.70000000000005</v>
      </c>
      <c r="T3982" t="str">
        <f t="shared" si="250"/>
        <v>UNIQUE</v>
      </c>
      <c r="U3982" t="str">
        <f>IF(ISBLANK(Table1[[#This Row],[SizeOption]]),"NOT AVAILABLE",Table1[[#This Row],[SizeOption]])</f>
        <v>XS, S, M, L, XL, XXL</v>
      </c>
      <c r="Y3982" t="str">
        <f>IF(Table2[[#This Row],[Column1]]&gt;50%,"HIGH DISCOUNT","LOW DISCOUNT")</f>
        <v>HIGH DISCOUNT</v>
      </c>
    </row>
    <row r="3983" spans="1:25" x14ac:dyDescent="0.25">
      <c r="A3983" s="2" t="s">
        <v>8192</v>
      </c>
      <c r="B3983" s="2">
        <v>7989991</v>
      </c>
      <c r="C3983" s="2" t="s">
        <v>64</v>
      </c>
      <c r="D3983" s="2" t="s">
        <v>98</v>
      </c>
      <c r="E3983" s="2" t="s">
        <v>48</v>
      </c>
      <c r="F3983" s="2" t="s">
        <v>36</v>
      </c>
      <c r="G3983" s="2" t="s">
        <v>8193</v>
      </c>
      <c r="H3983">
        <v>509</v>
      </c>
      <c r="I3983" s="2">
        <v>1699</v>
      </c>
      <c r="J3983" s="2" t="s">
        <v>1566</v>
      </c>
      <c r="K3983" s="2" t="s">
        <v>100</v>
      </c>
      <c r="L3983" s="2">
        <v>4.0999999999999996</v>
      </c>
      <c r="M3983" s="2">
        <v>529</v>
      </c>
      <c r="P3983" t="str">
        <f t="shared" si="251"/>
        <v>70%</v>
      </c>
      <c r="Q3983" s="12">
        <f t="shared" si="248"/>
        <v>0.7</v>
      </c>
      <c r="R3983" s="9">
        <f t="shared" si="249"/>
        <v>509.70000000000005</v>
      </c>
      <c r="S3983" s="9">
        <f>IF(R3983="",AVERAGEIF(Table1[Category],Table1[[#This Row],[Category]],Table2[orignal data]),Table2[[#This Row],[orignal data]])</f>
        <v>509.70000000000005</v>
      </c>
      <c r="T3983" t="str">
        <f t="shared" si="250"/>
        <v>UNIQUE</v>
      </c>
      <c r="U3983" t="str">
        <f>IF(ISBLANK(Table1[[#This Row],[SizeOption]]),"NOT AVAILABLE",Table1[[#This Row],[SizeOption]])</f>
        <v>XS, S, M, L, XL, XXL, 3XL</v>
      </c>
      <c r="Y3983" t="str">
        <f>IF(Table2[[#This Row],[Column1]]&gt;50%,"HIGH DISCOUNT","LOW DISCOUNT")</f>
        <v>HIGH DISCOUNT</v>
      </c>
    </row>
    <row r="3984" spans="1:25" x14ac:dyDescent="0.25">
      <c r="A3984" s="1" t="s">
        <v>8194</v>
      </c>
      <c r="B3984" s="1">
        <v>13437294</v>
      </c>
      <c r="C3984" s="1" t="s">
        <v>97</v>
      </c>
      <c r="D3984" s="1" t="s">
        <v>98</v>
      </c>
      <c r="E3984" s="1" t="s">
        <v>77</v>
      </c>
      <c r="F3984" s="1" t="s">
        <v>36</v>
      </c>
      <c r="G3984" s="1" t="s">
        <v>8195</v>
      </c>
      <c r="H3984">
        <v>659</v>
      </c>
      <c r="I3984" s="1">
        <v>2199</v>
      </c>
      <c r="J3984" s="1" t="s">
        <v>79</v>
      </c>
      <c r="K3984" s="1" t="s">
        <v>100</v>
      </c>
      <c r="L3984" s="1">
        <v>4.2</v>
      </c>
      <c r="M3984" s="1">
        <v>529</v>
      </c>
      <c r="P3984" t="str">
        <f t="shared" si="251"/>
        <v>70%</v>
      </c>
      <c r="Q3984" s="12">
        <f t="shared" si="248"/>
        <v>0.7</v>
      </c>
      <c r="R3984" s="9">
        <f t="shared" si="249"/>
        <v>659.7</v>
      </c>
      <c r="S3984" s="9">
        <f>IF(R3984="",AVERAGEIF(Table1[Category],Table1[[#This Row],[Category]],Table2[orignal data]),Table2[[#This Row],[orignal data]])</f>
        <v>659.7</v>
      </c>
      <c r="T3984" t="str">
        <f t="shared" si="250"/>
        <v>UNIQUE</v>
      </c>
      <c r="U3984" t="str">
        <f>IF(ISBLANK(Table1[[#This Row],[SizeOption]]),"NOT AVAILABLE",Table1[[#This Row],[SizeOption]])</f>
        <v>XS, S, M, L, XL, XXL, 3XL</v>
      </c>
      <c r="Y3984" t="str">
        <f>IF(Table2[[#This Row],[Column1]]&gt;50%,"HIGH DISCOUNT","LOW DISCOUNT")</f>
        <v>HIGH DISCOUNT</v>
      </c>
    </row>
    <row r="3985" spans="1:25" x14ac:dyDescent="0.25">
      <c r="A3985" s="2" t="s">
        <v>8196</v>
      </c>
      <c r="B3985" s="2">
        <v>8420367</v>
      </c>
      <c r="C3985" s="2" t="s">
        <v>97</v>
      </c>
      <c r="D3985" s="2" t="s">
        <v>98</v>
      </c>
      <c r="E3985" s="2" t="s">
        <v>533</v>
      </c>
      <c r="F3985" s="2" t="s">
        <v>36</v>
      </c>
      <c r="G3985" s="2" t="s">
        <v>8197</v>
      </c>
      <c r="I3985" s="2">
        <v>1099</v>
      </c>
      <c r="J3985" s="2"/>
      <c r="K3985" s="2" t="s">
        <v>100</v>
      </c>
      <c r="L3985" s="2">
        <v>4.2</v>
      </c>
      <c r="M3985" s="2">
        <v>529</v>
      </c>
      <c r="P3985" t="str">
        <f t="shared" si="251"/>
        <v/>
      </c>
      <c r="Q3985" s="12" t="str">
        <f t="shared" si="248"/>
        <v/>
      </c>
      <c r="R3985" s="9" t="str">
        <f t="shared" si="249"/>
        <v/>
      </c>
      <c r="S3985" s="9">
        <f>IF(R3985="",AVERAGEIF(Table1[Category],Table1[[#This Row],[Category]],Table2[orignal data]),Table2[[#This Row],[orignal data]])</f>
        <v>680.92918566775427</v>
      </c>
      <c r="T3985" t="str">
        <f t="shared" si="250"/>
        <v>UNIQUE</v>
      </c>
      <c r="U3985" t="str">
        <f>IF(ISBLANK(Table1[[#This Row],[SizeOption]]),"NOT AVAILABLE",Table1[[#This Row],[SizeOption]])</f>
        <v>XS, S, M, L, XL, XXL, 3XL</v>
      </c>
      <c r="Y3985" t="str">
        <f>IF(Table2[[#This Row],[Column1]]&gt;50%,"HIGH DISCOUNT","LOW DISCOUNT")</f>
        <v>HIGH DISCOUNT</v>
      </c>
    </row>
    <row r="3986" spans="1:25" x14ac:dyDescent="0.25">
      <c r="A3986" s="1" t="s">
        <v>8198</v>
      </c>
      <c r="B3986" s="1">
        <v>9446365</v>
      </c>
      <c r="C3986" s="1" t="s">
        <v>47</v>
      </c>
      <c r="D3986" s="1" t="s">
        <v>41</v>
      </c>
      <c r="E3986" s="1" t="s">
        <v>48</v>
      </c>
      <c r="F3986" s="1" t="s">
        <v>36</v>
      </c>
      <c r="G3986" s="1" t="s">
        <v>8199</v>
      </c>
      <c r="I3986" s="1">
        <v>1399</v>
      </c>
      <c r="J3986" s="1" t="s">
        <v>50</v>
      </c>
      <c r="K3986" s="1" t="s">
        <v>45</v>
      </c>
      <c r="L3986" s="1">
        <v>4.2</v>
      </c>
      <c r="M3986" s="1">
        <v>529</v>
      </c>
      <c r="P3986" t="str">
        <f t="shared" si="251"/>
        <v>40%</v>
      </c>
      <c r="Q3986" s="12">
        <f t="shared" si="248"/>
        <v>0.4</v>
      </c>
      <c r="R3986" s="9">
        <f t="shared" si="249"/>
        <v>839.4</v>
      </c>
      <c r="S3986" s="9">
        <f>IF(R3986="",AVERAGEIF(Table1[Category],Table1[[#This Row],[Category]],Table2[orignal data]),Table2[[#This Row],[orignal data]])</f>
        <v>839.4</v>
      </c>
      <c r="T3986" t="str">
        <f t="shared" si="250"/>
        <v>UNIQUE</v>
      </c>
      <c r="U3986" t="str">
        <f>IF(ISBLANK(Table1[[#This Row],[SizeOption]]),"NOT AVAILABLE",Table1[[#This Row],[SizeOption]])</f>
        <v>XS, S, M, L, XL</v>
      </c>
      <c r="Y3986" t="str">
        <f>IF(Table2[[#This Row],[Column1]]&gt;50%,"HIGH DISCOUNT","LOW DISCOUNT")</f>
        <v>LOW DISCOUNT</v>
      </c>
    </row>
    <row r="3987" spans="1:25" x14ac:dyDescent="0.25">
      <c r="A3987" s="2" t="s">
        <v>8200</v>
      </c>
      <c r="B3987" s="2">
        <v>10710902</v>
      </c>
      <c r="C3987" s="2" t="s">
        <v>102</v>
      </c>
      <c r="D3987" s="2" t="s">
        <v>41</v>
      </c>
      <c r="E3987" s="2" t="s">
        <v>306</v>
      </c>
      <c r="F3987" s="2" t="s">
        <v>36</v>
      </c>
      <c r="G3987" s="2" t="s">
        <v>8201</v>
      </c>
      <c r="I3987" s="2">
        <v>1399</v>
      </c>
      <c r="J3987" s="2" t="s">
        <v>403</v>
      </c>
      <c r="K3987" s="2" t="s">
        <v>26</v>
      </c>
      <c r="L3987" s="2">
        <v>4.2</v>
      </c>
      <c r="M3987" s="2">
        <v>529</v>
      </c>
      <c r="P3987" t="str">
        <f t="shared" si="251"/>
        <v>66%</v>
      </c>
      <c r="Q3987" s="12">
        <f t="shared" si="248"/>
        <v>0.66</v>
      </c>
      <c r="R3987" s="9">
        <f t="shared" si="249"/>
        <v>475.65999999999997</v>
      </c>
      <c r="S3987" s="9">
        <f>IF(R3987="",AVERAGEIF(Table1[Category],Table1[[#This Row],[Category]],Table2[orignal data]),Table2[[#This Row],[orignal data]])</f>
        <v>475.65999999999997</v>
      </c>
      <c r="T3987" t="str">
        <f t="shared" si="250"/>
        <v>UNIQUE</v>
      </c>
      <c r="U3987" t="str">
        <f>IF(ISBLANK(Table1[[#This Row],[SizeOption]]),"NOT AVAILABLE",Table1[[#This Row],[SizeOption]])</f>
        <v>S, M, L, XL</v>
      </c>
      <c r="Y3987" t="str">
        <f>IF(Table2[[#This Row],[Column1]]&gt;50%,"HIGH DISCOUNT","LOW DISCOUNT")</f>
        <v>HIGH DISCOUNT</v>
      </c>
    </row>
    <row r="3988" spans="1:25" x14ac:dyDescent="0.25">
      <c r="A3988" s="1" t="s">
        <v>8202</v>
      </c>
      <c r="B3988" s="1">
        <v>12739508</v>
      </c>
      <c r="C3988" s="1" t="s">
        <v>5053</v>
      </c>
      <c r="D3988" s="1" t="s">
        <v>41</v>
      </c>
      <c r="E3988" s="1" t="s">
        <v>148</v>
      </c>
      <c r="F3988" s="1" t="s">
        <v>36</v>
      </c>
      <c r="G3988" s="1" t="s">
        <v>8203</v>
      </c>
      <c r="I3988" s="1">
        <v>1427</v>
      </c>
      <c r="J3988" s="1" t="s">
        <v>535</v>
      </c>
      <c r="K3988" s="1" t="s">
        <v>1713</v>
      </c>
      <c r="L3988" s="1">
        <v>4.3</v>
      </c>
      <c r="M3988" s="1">
        <v>529</v>
      </c>
      <c r="P3988" t="str">
        <f t="shared" si="251"/>
        <v>27%</v>
      </c>
      <c r="Q3988" s="12">
        <f t="shared" si="248"/>
        <v>0.27</v>
      </c>
      <c r="R3988" s="9">
        <f t="shared" si="249"/>
        <v>1041.71</v>
      </c>
      <c r="S3988" s="9">
        <f>IF(R3988="",AVERAGEIF(Table1[Category],Table1[[#This Row],[Category]],Table2[orignal data]),Table2[[#This Row],[orignal data]])</f>
        <v>1041.71</v>
      </c>
      <c r="T3988" t="str">
        <f t="shared" si="250"/>
        <v>UNIQUE</v>
      </c>
      <c r="U3988" t="str">
        <f>IF(ISBLANK(Table1[[#This Row],[SizeOption]]),"NOT AVAILABLE",Table1[[#This Row],[SizeOption]])</f>
        <v>M, L, XL, XXL, 3XL</v>
      </c>
      <c r="Y3988" t="str">
        <f>IF(Table2[[#This Row],[Column1]]&gt;50%,"HIGH DISCOUNT","LOW DISCOUNT")</f>
        <v>LOW DISCOUNT</v>
      </c>
    </row>
    <row r="3989" spans="1:25" x14ac:dyDescent="0.25">
      <c r="A3989" s="2" t="s">
        <v>8204</v>
      </c>
      <c r="B3989" s="2">
        <v>17477808</v>
      </c>
      <c r="C3989" s="2" t="s">
        <v>107</v>
      </c>
      <c r="D3989" s="2" t="s">
        <v>41</v>
      </c>
      <c r="E3989" s="2" t="s">
        <v>42</v>
      </c>
      <c r="F3989" s="2" t="s">
        <v>36</v>
      </c>
      <c r="G3989" s="2" t="s">
        <v>5563</v>
      </c>
      <c r="I3989" s="2">
        <v>1598</v>
      </c>
      <c r="J3989" s="2" t="s">
        <v>55</v>
      </c>
      <c r="K3989" s="2" t="s">
        <v>45</v>
      </c>
      <c r="L3989" s="2">
        <v>4.3</v>
      </c>
      <c r="M3989" s="2">
        <v>529</v>
      </c>
      <c r="P3989" t="str">
        <f t="shared" si="251"/>
        <v>60%</v>
      </c>
      <c r="Q3989" s="12">
        <f t="shared" si="248"/>
        <v>0.6</v>
      </c>
      <c r="R3989" s="9">
        <f t="shared" si="249"/>
        <v>639.20000000000005</v>
      </c>
      <c r="S3989" s="9">
        <f>IF(R3989="",AVERAGEIF(Table1[Category],Table1[[#This Row],[Category]],Table2[orignal data]),Table2[[#This Row],[orignal data]])</f>
        <v>639.20000000000005</v>
      </c>
      <c r="T3989" t="str">
        <f t="shared" si="250"/>
        <v>UNIQUE</v>
      </c>
      <c r="U3989" t="str">
        <f>IF(ISBLANK(Table1[[#This Row],[SizeOption]]),"NOT AVAILABLE",Table1[[#This Row],[SizeOption]])</f>
        <v>XS, S, M, L, XL</v>
      </c>
      <c r="Y3989" t="str">
        <f>IF(Table2[[#This Row],[Column1]]&gt;50%,"HIGH DISCOUNT","LOW DISCOUNT")</f>
        <v>HIGH DISCOUNT</v>
      </c>
    </row>
    <row r="3990" spans="1:25" x14ac:dyDescent="0.25">
      <c r="A3990" s="1" t="s">
        <v>8205</v>
      </c>
      <c r="B3990" s="1">
        <v>5669789</v>
      </c>
      <c r="C3990" s="1" t="s">
        <v>107</v>
      </c>
      <c r="D3990" s="1" t="s">
        <v>41</v>
      </c>
      <c r="E3990" s="1" t="s">
        <v>16</v>
      </c>
      <c r="F3990" s="1" t="s">
        <v>36</v>
      </c>
      <c r="G3990" s="1" t="s">
        <v>2026</v>
      </c>
      <c r="I3990" s="1">
        <v>1599</v>
      </c>
      <c r="J3990" s="1" t="s">
        <v>79</v>
      </c>
      <c r="K3990" s="1" t="s">
        <v>134</v>
      </c>
      <c r="L3990" s="1">
        <v>3.7</v>
      </c>
      <c r="M3990" s="1">
        <v>529</v>
      </c>
      <c r="P3990" t="str">
        <f t="shared" si="251"/>
        <v>70%</v>
      </c>
      <c r="Q3990" s="12">
        <f t="shared" si="248"/>
        <v>0.7</v>
      </c>
      <c r="R3990" s="9">
        <f t="shared" si="249"/>
        <v>479.70000000000005</v>
      </c>
      <c r="S3990" s="9">
        <f>IF(R3990="",AVERAGEIF(Table1[Category],Table1[[#This Row],[Category]],Table2[orignal data]),Table2[[#This Row],[orignal data]])</f>
        <v>479.70000000000005</v>
      </c>
      <c r="T3990" t="str">
        <f t="shared" si="250"/>
        <v>UNIQUE</v>
      </c>
      <c r="U3990" t="str">
        <f>IF(ISBLANK(Table1[[#This Row],[SizeOption]]),"NOT AVAILABLE",Table1[[#This Row],[SizeOption]])</f>
        <v>26, 28, 30, 32, 34, 36</v>
      </c>
      <c r="Y3990" t="str">
        <f>IF(Table2[[#This Row],[Column1]]&gt;50%,"HIGH DISCOUNT","LOW DISCOUNT")</f>
        <v>HIGH DISCOUNT</v>
      </c>
    </row>
    <row r="3991" spans="1:25" x14ac:dyDescent="0.25">
      <c r="A3991" s="2" t="s">
        <v>8206</v>
      </c>
      <c r="B3991" s="2">
        <v>11489692</v>
      </c>
      <c r="C3991" s="2" t="s">
        <v>14</v>
      </c>
      <c r="D3991" s="2" t="s">
        <v>41</v>
      </c>
      <c r="E3991" s="2" t="s">
        <v>137</v>
      </c>
      <c r="F3991" s="2" t="s">
        <v>36</v>
      </c>
      <c r="G3991" s="2" t="s">
        <v>8207</v>
      </c>
      <c r="I3991" s="2">
        <v>1699</v>
      </c>
      <c r="J3991" s="2" t="s">
        <v>84</v>
      </c>
      <c r="K3991" s="2" t="s">
        <v>134</v>
      </c>
      <c r="L3991" s="2">
        <v>4.4000000000000004</v>
      </c>
      <c r="M3991" s="2">
        <v>529</v>
      </c>
      <c r="P3991" t="str">
        <f t="shared" si="251"/>
        <v>50%</v>
      </c>
      <c r="Q3991" s="12">
        <f t="shared" si="248"/>
        <v>0.5</v>
      </c>
      <c r="R3991" s="9">
        <f t="shared" si="249"/>
        <v>849.5</v>
      </c>
      <c r="S3991" s="9">
        <f>IF(R3991="",AVERAGEIF(Table1[Category],Table1[[#This Row],[Category]],Table2[orignal data]),Table2[[#This Row],[orignal data]])</f>
        <v>849.5</v>
      </c>
      <c r="T3991" t="str">
        <f t="shared" si="250"/>
        <v>UNIQUE</v>
      </c>
      <c r="U3991" t="str">
        <f>IF(ISBLANK(Table1[[#This Row],[SizeOption]]),"NOT AVAILABLE",Table1[[#This Row],[SizeOption]])</f>
        <v>26, 28, 30, 32, 34, 36</v>
      </c>
      <c r="Y3991" t="str">
        <f>IF(Table2[[#This Row],[Column1]]&gt;50%,"HIGH DISCOUNT","LOW DISCOUNT")</f>
        <v>LOW DISCOUNT</v>
      </c>
    </row>
    <row r="3992" spans="1:25" x14ac:dyDescent="0.25">
      <c r="A3992" s="1" t="s">
        <v>8208</v>
      </c>
      <c r="B3992" s="1">
        <v>10807960</v>
      </c>
      <c r="C3992" s="1" t="s">
        <v>952</v>
      </c>
      <c r="D3992" s="1" t="s">
        <v>41</v>
      </c>
      <c r="E3992" s="1" t="s">
        <v>82</v>
      </c>
      <c r="F3992" s="1" t="s">
        <v>36</v>
      </c>
      <c r="G3992" s="1" t="s">
        <v>8209</v>
      </c>
      <c r="I3992" s="1">
        <v>2899</v>
      </c>
      <c r="J3992" s="1" t="s">
        <v>55</v>
      </c>
      <c r="K3992" s="1" t="s">
        <v>45</v>
      </c>
      <c r="L3992" s="1">
        <v>4.4000000000000004</v>
      </c>
      <c r="M3992" s="1">
        <v>529</v>
      </c>
      <c r="P3992" t="str">
        <f t="shared" si="251"/>
        <v>60%</v>
      </c>
      <c r="Q3992" s="12">
        <f t="shared" si="248"/>
        <v>0.6</v>
      </c>
      <c r="R3992" s="9">
        <f t="shared" si="249"/>
        <v>1159.6000000000001</v>
      </c>
      <c r="S3992" s="9">
        <f>IF(R3992="",AVERAGEIF(Table1[Category],Table1[[#This Row],[Category]],Table2[orignal data]),Table2[[#This Row],[orignal data]])</f>
        <v>1159.6000000000001</v>
      </c>
      <c r="T3992" t="str">
        <f t="shared" si="250"/>
        <v>UNIQUE</v>
      </c>
      <c r="U3992" t="str">
        <f>IF(ISBLANK(Table1[[#This Row],[SizeOption]]),"NOT AVAILABLE",Table1[[#This Row],[SizeOption]])</f>
        <v>XS, S, M, L, XL</v>
      </c>
      <c r="Y3992" t="str">
        <f>IF(Table2[[#This Row],[Column1]]&gt;50%,"HIGH DISCOUNT","LOW DISCOUNT")</f>
        <v>HIGH DISCOUNT</v>
      </c>
    </row>
    <row r="3993" spans="1:25" x14ac:dyDescent="0.25">
      <c r="A3993" s="2" t="s">
        <v>8210</v>
      </c>
      <c r="B3993" s="2">
        <v>10958462</v>
      </c>
      <c r="C3993" s="2" t="s">
        <v>14</v>
      </c>
      <c r="D3993" s="2" t="s">
        <v>41</v>
      </c>
      <c r="E3993" s="2" t="s">
        <v>42</v>
      </c>
      <c r="F3993" s="2" t="s">
        <v>36</v>
      </c>
      <c r="G3993" s="2" t="s">
        <v>8211</v>
      </c>
      <c r="I3993" s="2">
        <v>799</v>
      </c>
      <c r="J3993" s="2" t="s">
        <v>55</v>
      </c>
      <c r="K3993" s="2" t="s">
        <v>45</v>
      </c>
      <c r="L3993" s="2">
        <v>4.2</v>
      </c>
      <c r="M3993" s="2">
        <v>529</v>
      </c>
      <c r="P3993" t="str">
        <f t="shared" si="251"/>
        <v>60%</v>
      </c>
      <c r="Q3993" s="12">
        <f t="shared" si="248"/>
        <v>0.6</v>
      </c>
      <c r="R3993" s="9">
        <f t="shared" si="249"/>
        <v>319.60000000000002</v>
      </c>
      <c r="S3993" s="9">
        <f>IF(R3993="",AVERAGEIF(Table1[Category],Table1[[#This Row],[Category]],Table2[orignal data]),Table2[[#This Row],[orignal data]])</f>
        <v>319.60000000000002</v>
      </c>
      <c r="T3993" t="str">
        <f t="shared" si="250"/>
        <v>UNIQUE</v>
      </c>
      <c r="U3993" t="str">
        <f>IF(ISBLANK(Table1[[#This Row],[SizeOption]]),"NOT AVAILABLE",Table1[[#This Row],[SizeOption]])</f>
        <v>XS, S, M, L, XL</v>
      </c>
      <c r="Y3993" t="str">
        <f>IF(Table2[[#This Row],[Column1]]&gt;50%,"HIGH DISCOUNT","LOW DISCOUNT")</f>
        <v>HIGH DISCOUNT</v>
      </c>
    </row>
    <row r="3994" spans="1:25" x14ac:dyDescent="0.25">
      <c r="A3994" s="1" t="s">
        <v>8212</v>
      </c>
      <c r="B3994" s="1">
        <v>11296064</v>
      </c>
      <c r="C3994" s="1" t="s">
        <v>14</v>
      </c>
      <c r="D3994" s="1" t="s">
        <v>41</v>
      </c>
      <c r="E3994" s="1" t="s">
        <v>42</v>
      </c>
      <c r="F3994" s="1" t="s">
        <v>36</v>
      </c>
      <c r="G3994" s="1" t="s">
        <v>1007</v>
      </c>
      <c r="I3994" s="1">
        <v>899</v>
      </c>
      <c r="J3994" s="1" t="s">
        <v>577</v>
      </c>
      <c r="K3994" s="1" t="s">
        <v>45</v>
      </c>
      <c r="L3994" s="1">
        <v>4.0999999999999996</v>
      </c>
      <c r="M3994" s="1">
        <v>529</v>
      </c>
      <c r="P3994" t="str">
        <f t="shared" si="251"/>
        <v>400</v>
      </c>
      <c r="Q3994" s="12">
        <f t="shared" si="248"/>
        <v>0.44493882091212456</v>
      </c>
      <c r="R3994" s="9">
        <f t="shared" si="249"/>
        <v>499</v>
      </c>
      <c r="S3994" s="9">
        <f>IF(R3994="",AVERAGEIF(Table1[Category],Table1[[#This Row],[Category]],Table2[orignal data]),Table2[[#This Row],[orignal data]])</f>
        <v>499</v>
      </c>
      <c r="T3994" t="str">
        <f t="shared" si="250"/>
        <v>UNIQUE</v>
      </c>
      <c r="U3994" t="str">
        <f>IF(ISBLANK(Table1[[#This Row],[SizeOption]]),"NOT AVAILABLE",Table1[[#This Row],[SizeOption]])</f>
        <v>XS, S, M, L, XL</v>
      </c>
      <c r="Y3994" t="str">
        <f>IF(Table2[[#This Row],[Column1]]&gt;50%,"HIGH DISCOUNT","LOW DISCOUNT")</f>
        <v>LOW DISCOUNT</v>
      </c>
    </row>
    <row r="3995" spans="1:25" x14ac:dyDescent="0.25">
      <c r="A3995" s="2" t="s">
        <v>8213</v>
      </c>
      <c r="B3995" s="2">
        <v>7149886</v>
      </c>
      <c r="C3995" s="2" t="s">
        <v>1299</v>
      </c>
      <c r="D3995" s="2" t="s">
        <v>15</v>
      </c>
      <c r="E3995" s="2" t="s">
        <v>53</v>
      </c>
      <c r="F3995" s="2" t="s">
        <v>17</v>
      </c>
      <c r="G3995" s="2" t="s">
        <v>8214</v>
      </c>
      <c r="H3995">
        <v>989</v>
      </c>
      <c r="I3995" s="2">
        <v>2199</v>
      </c>
      <c r="J3995" s="2" t="s">
        <v>25</v>
      </c>
      <c r="K3995" s="2" t="s">
        <v>56</v>
      </c>
      <c r="L3995" s="2">
        <v>4.0999999999999996</v>
      </c>
      <c r="M3995" s="2">
        <v>528</v>
      </c>
      <c r="P3995" t="str">
        <f t="shared" si="251"/>
        <v>55%</v>
      </c>
      <c r="Q3995" s="12">
        <f t="shared" si="248"/>
        <v>0.55000000000000004</v>
      </c>
      <c r="R3995" s="9">
        <f t="shared" si="249"/>
        <v>989.55</v>
      </c>
      <c r="S3995" s="9">
        <f>IF(R3995="",AVERAGEIF(Table1[Category],Table1[[#This Row],[Category]],Table2[orignal data]),Table2[[#This Row],[orignal data]])</f>
        <v>989.55</v>
      </c>
      <c r="T3995" t="str">
        <f t="shared" si="250"/>
        <v>UNIQUE</v>
      </c>
      <c r="U3995" t="str">
        <f>IF(ISBLANK(Table1[[#This Row],[SizeOption]]),"NOT AVAILABLE",Table1[[#This Row],[SizeOption]])</f>
        <v>30, 32, 34, 36</v>
      </c>
      <c r="Y3995" t="str">
        <f>IF(Table2[[#This Row],[Column1]]&gt;50%,"HIGH DISCOUNT","LOW DISCOUNT")</f>
        <v>HIGH DISCOUNT</v>
      </c>
    </row>
    <row r="3996" spans="1:25" x14ac:dyDescent="0.25">
      <c r="A3996" s="1" t="s">
        <v>8215</v>
      </c>
      <c r="B3996" s="1">
        <v>13249762</v>
      </c>
      <c r="C3996" s="1" t="s">
        <v>14</v>
      </c>
      <c r="D3996" s="1" t="s">
        <v>15</v>
      </c>
      <c r="E3996" s="1" t="s">
        <v>16</v>
      </c>
      <c r="F3996" s="1" t="s">
        <v>17</v>
      </c>
      <c r="G3996" s="1" t="s">
        <v>8216</v>
      </c>
      <c r="H3996">
        <v>679</v>
      </c>
      <c r="I3996" s="1">
        <v>1699</v>
      </c>
      <c r="J3996" s="1" t="s">
        <v>55</v>
      </c>
      <c r="K3996" s="1" t="s">
        <v>20</v>
      </c>
      <c r="L3996" s="1">
        <v>3.5</v>
      </c>
      <c r="M3996" s="1">
        <v>528</v>
      </c>
      <c r="P3996" t="str">
        <f t="shared" si="251"/>
        <v>60%</v>
      </c>
      <c r="Q3996" s="12">
        <f t="shared" si="248"/>
        <v>0.6</v>
      </c>
      <c r="R3996" s="9">
        <f t="shared" si="249"/>
        <v>679.6</v>
      </c>
      <c r="S3996" s="9">
        <f>IF(R3996="",AVERAGEIF(Table1[Category],Table1[[#This Row],[Category]],Table2[orignal data]),Table2[[#This Row],[orignal data]])</f>
        <v>679.6</v>
      </c>
      <c r="T3996" t="str">
        <f t="shared" si="250"/>
        <v>UNIQUE</v>
      </c>
      <c r="U3996" t="str">
        <f>IF(ISBLANK(Table1[[#This Row],[SizeOption]]),"NOT AVAILABLE",Table1[[#This Row],[SizeOption]])</f>
        <v>28, 30, 32, 34, 36</v>
      </c>
      <c r="Y3996" t="str">
        <f>IF(Table2[[#This Row],[Column1]]&gt;50%,"HIGH DISCOUNT","LOW DISCOUNT")</f>
        <v>HIGH DISCOUNT</v>
      </c>
    </row>
    <row r="3997" spans="1:25" x14ac:dyDescent="0.25">
      <c r="A3997" s="2" t="s">
        <v>8217</v>
      </c>
      <c r="B3997" s="2">
        <v>3003560</v>
      </c>
      <c r="C3997" s="2" t="s">
        <v>3439</v>
      </c>
      <c r="D3997" s="2" t="s">
        <v>76</v>
      </c>
      <c r="E3997" s="2" t="s">
        <v>93</v>
      </c>
      <c r="F3997" s="2" t="s">
        <v>17</v>
      </c>
      <c r="G3997" s="2" t="s">
        <v>8218</v>
      </c>
      <c r="H3997">
        <v>749</v>
      </c>
      <c r="I3997" s="2">
        <v>1499</v>
      </c>
      <c r="J3997" s="2" t="s">
        <v>84</v>
      </c>
      <c r="K3997" s="2" t="s">
        <v>26</v>
      </c>
      <c r="L3997" s="2">
        <v>4.2</v>
      </c>
      <c r="M3997" s="2">
        <v>528</v>
      </c>
      <c r="P3997" t="str">
        <f t="shared" si="251"/>
        <v>50%</v>
      </c>
      <c r="Q3997" s="12">
        <f t="shared" si="248"/>
        <v>0.5</v>
      </c>
      <c r="R3997" s="9">
        <f t="shared" si="249"/>
        <v>749.5</v>
      </c>
      <c r="S3997" s="9">
        <f>IF(R3997="",AVERAGEIF(Table1[Category],Table1[[#This Row],[Category]],Table2[orignal data]),Table2[[#This Row],[orignal data]])</f>
        <v>749.5</v>
      </c>
      <c r="T3997" t="str">
        <f t="shared" si="250"/>
        <v>UNIQUE</v>
      </c>
      <c r="U3997" t="str">
        <f>IF(ISBLANK(Table1[[#This Row],[SizeOption]]),"NOT AVAILABLE",Table1[[#This Row],[SizeOption]])</f>
        <v>S, M, L, XL</v>
      </c>
      <c r="Y3997" t="str">
        <f>IF(Table2[[#This Row],[Column1]]&gt;50%,"HIGH DISCOUNT","LOW DISCOUNT")</f>
        <v>LOW DISCOUNT</v>
      </c>
    </row>
    <row r="3998" spans="1:25" x14ac:dyDescent="0.25">
      <c r="A3998" s="1" t="s">
        <v>8219</v>
      </c>
      <c r="B3998" s="1">
        <v>11422524</v>
      </c>
      <c r="C3998" s="1" t="s">
        <v>3308</v>
      </c>
      <c r="D3998" s="1" t="s">
        <v>76</v>
      </c>
      <c r="E3998" s="1" t="s">
        <v>93</v>
      </c>
      <c r="F3998" s="1" t="s">
        <v>17</v>
      </c>
      <c r="G3998" s="1" t="s">
        <v>8220</v>
      </c>
      <c r="H3998">
        <v>719</v>
      </c>
      <c r="I3998" s="1">
        <v>1599</v>
      </c>
      <c r="J3998" s="1" t="s">
        <v>25</v>
      </c>
      <c r="K3998" s="1" t="s">
        <v>39</v>
      </c>
      <c r="L3998" s="1">
        <v>4.3</v>
      </c>
      <c r="M3998" s="1">
        <v>528</v>
      </c>
      <c r="P3998" t="str">
        <f t="shared" si="251"/>
        <v>55%</v>
      </c>
      <c r="Q3998" s="12">
        <f t="shared" si="248"/>
        <v>0.55000000000000004</v>
      </c>
      <c r="R3998" s="9">
        <f t="shared" si="249"/>
        <v>719.55</v>
      </c>
      <c r="S3998" s="9">
        <f>IF(R3998="",AVERAGEIF(Table1[Category],Table1[[#This Row],[Category]],Table2[orignal data]),Table2[[#This Row],[orignal data]])</f>
        <v>719.55</v>
      </c>
      <c r="T3998" t="str">
        <f t="shared" si="250"/>
        <v>UNIQUE</v>
      </c>
      <c r="U3998" t="str">
        <f>IF(ISBLANK(Table1[[#This Row],[SizeOption]]),"NOT AVAILABLE",Table1[[#This Row],[SizeOption]])</f>
        <v>S, M, L, XL, XXL</v>
      </c>
      <c r="Y3998" t="str">
        <f>IF(Table2[[#This Row],[Column1]]&gt;50%,"HIGH DISCOUNT","LOW DISCOUNT")</f>
        <v>HIGH DISCOUNT</v>
      </c>
    </row>
    <row r="3999" spans="1:25" x14ac:dyDescent="0.25">
      <c r="A3999" s="2" t="s">
        <v>8221</v>
      </c>
      <c r="B3999" s="2">
        <v>15209178</v>
      </c>
      <c r="C3999" s="2" t="s">
        <v>349</v>
      </c>
      <c r="D3999" s="2" t="s">
        <v>197</v>
      </c>
      <c r="E3999" s="2" t="s">
        <v>296</v>
      </c>
      <c r="F3999" s="2" t="s">
        <v>17</v>
      </c>
      <c r="G3999" s="2" t="s">
        <v>8222</v>
      </c>
      <c r="I3999" s="2">
        <v>378</v>
      </c>
      <c r="J3999" s="2"/>
      <c r="K3999" s="2" t="s">
        <v>352</v>
      </c>
      <c r="L3999" s="2">
        <v>4.5</v>
      </c>
      <c r="M3999" s="2">
        <v>528</v>
      </c>
      <c r="P3999" t="str">
        <f t="shared" si="251"/>
        <v/>
      </c>
      <c r="Q3999" s="12" t="str">
        <f t="shared" si="248"/>
        <v/>
      </c>
      <c r="R3999" s="9" t="str">
        <f t="shared" si="249"/>
        <v/>
      </c>
      <c r="S3999" s="9">
        <f>IF(R3999="",AVERAGEIF(Table1[Category],Table1[[#This Row],[Category]],Table2[orignal data]),Table2[[#This Row],[orignal data]])</f>
        <v>552.70900000000006</v>
      </c>
      <c r="T3999" t="str">
        <f t="shared" si="250"/>
        <v>UNIQUE</v>
      </c>
      <c r="U3999" t="str">
        <f>IF(ISBLANK(Table1[[#This Row],[SizeOption]]),"NOT AVAILABLE",Table1[[#This Row],[SizeOption]])</f>
        <v>S, M, L</v>
      </c>
      <c r="Y3999" t="str">
        <f>IF(Table2[[#This Row],[Column1]]&gt;50%,"HIGH DISCOUNT","LOW DISCOUNT")</f>
        <v>HIGH DISCOUNT</v>
      </c>
    </row>
    <row r="4000" spans="1:25" x14ac:dyDescent="0.25">
      <c r="A4000" s="1" t="s">
        <v>8223</v>
      </c>
      <c r="B4000" s="1">
        <v>8894455</v>
      </c>
      <c r="C4000" s="1" t="s">
        <v>14</v>
      </c>
      <c r="D4000" s="1" t="s">
        <v>28</v>
      </c>
      <c r="E4000" s="1" t="s">
        <v>29</v>
      </c>
      <c r="F4000" s="1" t="s">
        <v>17</v>
      </c>
      <c r="G4000" s="1" t="s">
        <v>8224</v>
      </c>
      <c r="H4000">
        <v>899</v>
      </c>
      <c r="I4000" s="1">
        <v>1499</v>
      </c>
      <c r="J4000" s="1" t="s">
        <v>50</v>
      </c>
      <c r="K4000" s="1" t="s">
        <v>253</v>
      </c>
      <c r="L4000" s="1">
        <v>4.2</v>
      </c>
      <c r="M4000" s="1">
        <v>528</v>
      </c>
      <c r="P4000" t="str">
        <f t="shared" si="251"/>
        <v>40%</v>
      </c>
      <c r="Q4000" s="12">
        <f t="shared" si="248"/>
        <v>0.4</v>
      </c>
      <c r="R4000" s="9">
        <f t="shared" si="249"/>
        <v>899.4</v>
      </c>
      <c r="S4000" s="9">
        <f>IF(R4000="",AVERAGEIF(Table1[Category],Table1[[#This Row],[Category]],Table2[orignal data]),Table2[[#This Row],[orignal data]])</f>
        <v>899.4</v>
      </c>
      <c r="T4000" t="str">
        <f t="shared" si="250"/>
        <v>UNIQUE</v>
      </c>
      <c r="U4000" t="str">
        <f>IF(ISBLANK(Table1[[#This Row],[SizeOption]]),"NOT AVAILABLE",Table1[[#This Row],[SizeOption]])</f>
        <v>38, 40, 42, 44</v>
      </c>
      <c r="Y4000" t="str">
        <f>IF(Table2[[#This Row],[Column1]]&gt;50%,"HIGH DISCOUNT","LOW DISCOUNT")</f>
        <v>LOW DISCOUNT</v>
      </c>
    </row>
    <row r="4001" spans="1:25" x14ac:dyDescent="0.25">
      <c r="A4001" s="2" t="s">
        <v>8225</v>
      </c>
      <c r="B4001" s="2">
        <v>2518731</v>
      </c>
      <c r="C4001" s="2" t="s">
        <v>47</v>
      </c>
      <c r="D4001" s="2" t="s">
        <v>28</v>
      </c>
      <c r="E4001" s="2" t="s">
        <v>29</v>
      </c>
      <c r="F4001" s="2" t="s">
        <v>17</v>
      </c>
      <c r="G4001" s="2" t="s">
        <v>8226</v>
      </c>
      <c r="H4001">
        <v>849</v>
      </c>
      <c r="I4001" s="2">
        <v>1699</v>
      </c>
      <c r="J4001" s="2" t="s">
        <v>84</v>
      </c>
      <c r="K4001" s="2" t="s">
        <v>253</v>
      </c>
      <c r="L4001" s="2">
        <v>4.0999999999999996</v>
      </c>
      <c r="M4001" s="2">
        <v>528</v>
      </c>
      <c r="P4001" t="str">
        <f t="shared" si="251"/>
        <v>50%</v>
      </c>
      <c r="Q4001" s="12">
        <f t="shared" si="248"/>
        <v>0.5</v>
      </c>
      <c r="R4001" s="9">
        <f t="shared" si="249"/>
        <v>849.5</v>
      </c>
      <c r="S4001" s="9">
        <f>IF(R4001="",AVERAGEIF(Table1[Category],Table1[[#This Row],[Category]],Table2[orignal data]),Table2[[#This Row],[orignal data]])</f>
        <v>849.5</v>
      </c>
      <c r="T4001" t="str">
        <f t="shared" si="250"/>
        <v>UNIQUE</v>
      </c>
      <c r="U4001" t="str">
        <f>IF(ISBLANK(Table1[[#This Row],[SizeOption]]),"NOT AVAILABLE",Table1[[#This Row],[SizeOption]])</f>
        <v>38, 40, 42, 44</v>
      </c>
      <c r="Y4001" t="str">
        <f>IF(Table2[[#This Row],[Column1]]&gt;50%,"HIGH DISCOUNT","LOW DISCOUNT")</f>
        <v>LOW DISCOUNT</v>
      </c>
    </row>
    <row r="4002" spans="1:25" x14ac:dyDescent="0.25">
      <c r="A4002" s="1" t="s">
        <v>8227</v>
      </c>
      <c r="B4002" s="1">
        <v>10250037</v>
      </c>
      <c r="C4002" s="1" t="s">
        <v>47</v>
      </c>
      <c r="D4002" s="1" t="s">
        <v>28</v>
      </c>
      <c r="E4002" s="1" t="s">
        <v>42</v>
      </c>
      <c r="F4002" s="1" t="s">
        <v>17</v>
      </c>
      <c r="G4002" s="1" t="s">
        <v>8228</v>
      </c>
      <c r="H4002">
        <v>319</v>
      </c>
      <c r="I4002" s="1">
        <v>799</v>
      </c>
      <c r="J4002" s="1" t="s">
        <v>55</v>
      </c>
      <c r="K4002" s="1" t="s">
        <v>26</v>
      </c>
      <c r="L4002" s="1">
        <v>4.0999999999999996</v>
      </c>
      <c r="M4002" s="1">
        <v>528</v>
      </c>
      <c r="P4002" t="str">
        <f t="shared" si="251"/>
        <v>60%</v>
      </c>
      <c r="Q4002" s="12">
        <f t="shared" si="248"/>
        <v>0.6</v>
      </c>
      <c r="R4002" s="9">
        <f t="shared" si="249"/>
        <v>319.60000000000002</v>
      </c>
      <c r="S4002" s="9">
        <f>IF(R4002="",AVERAGEIF(Table1[Category],Table1[[#This Row],[Category]],Table2[orignal data]),Table2[[#This Row],[orignal data]])</f>
        <v>319.60000000000002</v>
      </c>
      <c r="T4002" t="str">
        <f t="shared" si="250"/>
        <v>UNIQUE</v>
      </c>
      <c r="U4002" t="str">
        <f>IF(ISBLANK(Table1[[#This Row],[SizeOption]]),"NOT AVAILABLE",Table1[[#This Row],[SizeOption]])</f>
        <v>S, M, L, XL</v>
      </c>
      <c r="Y4002" t="str">
        <f>IF(Table2[[#This Row],[Column1]]&gt;50%,"HIGH DISCOUNT","LOW DISCOUNT")</f>
        <v>HIGH DISCOUNT</v>
      </c>
    </row>
    <row r="4003" spans="1:25" x14ac:dyDescent="0.25">
      <c r="A4003" s="2" t="s">
        <v>8229</v>
      </c>
      <c r="B4003" s="2">
        <v>10938486</v>
      </c>
      <c r="C4003" s="2" t="s">
        <v>14</v>
      </c>
      <c r="D4003" s="2" t="s">
        <v>28</v>
      </c>
      <c r="E4003" s="2" t="s">
        <v>42</v>
      </c>
      <c r="F4003" s="2" t="s">
        <v>17</v>
      </c>
      <c r="G4003" s="2" t="s">
        <v>8230</v>
      </c>
      <c r="H4003">
        <v>549</v>
      </c>
      <c r="I4003" s="2">
        <v>999</v>
      </c>
      <c r="J4003" s="2" t="s">
        <v>19</v>
      </c>
      <c r="K4003" s="2" t="s">
        <v>45</v>
      </c>
      <c r="L4003" s="2">
        <v>4</v>
      </c>
      <c r="M4003" s="2">
        <v>528</v>
      </c>
      <c r="P4003" t="str">
        <f t="shared" si="251"/>
        <v>45%</v>
      </c>
      <c r="Q4003" s="12">
        <f t="shared" si="248"/>
        <v>0.45</v>
      </c>
      <c r="R4003" s="9">
        <f t="shared" si="249"/>
        <v>549.45000000000005</v>
      </c>
      <c r="S4003" s="9">
        <f>IF(R4003="",AVERAGEIF(Table1[Category],Table1[[#This Row],[Category]],Table2[orignal data]),Table2[[#This Row],[orignal data]])</f>
        <v>549.45000000000005</v>
      </c>
      <c r="T4003" t="str">
        <f t="shared" si="250"/>
        <v>UNIQUE</v>
      </c>
      <c r="U4003" t="str">
        <f>IF(ISBLANK(Table1[[#This Row],[SizeOption]]),"NOT AVAILABLE",Table1[[#This Row],[SizeOption]])</f>
        <v>XS, S, M, L, XL</v>
      </c>
      <c r="Y4003" t="str">
        <f>IF(Table2[[#This Row],[Column1]]&gt;50%,"HIGH DISCOUNT","LOW DISCOUNT")</f>
        <v>LOW DISCOUNT</v>
      </c>
    </row>
    <row r="4004" spans="1:25" x14ac:dyDescent="0.25">
      <c r="A4004" s="1" t="s">
        <v>8231</v>
      </c>
      <c r="B4004" s="1">
        <v>7265327</v>
      </c>
      <c r="C4004" s="1" t="s">
        <v>92</v>
      </c>
      <c r="D4004" s="1" t="s">
        <v>76</v>
      </c>
      <c r="E4004" s="1" t="s">
        <v>93</v>
      </c>
      <c r="F4004" s="1" t="s">
        <v>36</v>
      </c>
      <c r="G4004" s="1" t="s">
        <v>8232</v>
      </c>
      <c r="H4004">
        <v>854</v>
      </c>
      <c r="I4004" s="1">
        <v>2249</v>
      </c>
      <c r="J4004" s="1" t="s">
        <v>126</v>
      </c>
      <c r="K4004" s="1" t="s">
        <v>39</v>
      </c>
      <c r="L4004" s="1">
        <v>4.3</v>
      </c>
      <c r="M4004" s="1">
        <v>528</v>
      </c>
      <c r="P4004" t="str">
        <f t="shared" si="251"/>
        <v>62%</v>
      </c>
      <c r="Q4004" s="12">
        <f t="shared" si="248"/>
        <v>0.62</v>
      </c>
      <c r="R4004" s="9">
        <f t="shared" si="249"/>
        <v>854.62000000000012</v>
      </c>
      <c r="S4004" s="9">
        <f>IF(R4004="",AVERAGEIF(Table1[Category],Table1[[#This Row],[Category]],Table2[orignal data]),Table2[[#This Row],[orignal data]])</f>
        <v>854.62000000000012</v>
      </c>
      <c r="T4004" t="str">
        <f t="shared" si="250"/>
        <v>UNIQUE</v>
      </c>
      <c r="U4004" t="str">
        <f>IF(ISBLANK(Table1[[#This Row],[SizeOption]]),"NOT AVAILABLE",Table1[[#This Row],[SizeOption]])</f>
        <v>S, M, L, XL, XXL</v>
      </c>
      <c r="Y4004" t="str">
        <f>IF(Table2[[#This Row],[Column1]]&gt;50%,"HIGH DISCOUNT","LOW DISCOUNT")</f>
        <v>HIGH DISCOUNT</v>
      </c>
    </row>
    <row r="4005" spans="1:25" x14ac:dyDescent="0.25">
      <c r="A4005" s="2" t="s">
        <v>8233</v>
      </c>
      <c r="B4005" s="2">
        <v>11536962</v>
      </c>
      <c r="C4005" s="2" t="s">
        <v>97</v>
      </c>
      <c r="D4005" s="2" t="s">
        <v>76</v>
      </c>
      <c r="E4005" s="2" t="s">
        <v>77</v>
      </c>
      <c r="F4005" s="2" t="s">
        <v>36</v>
      </c>
      <c r="G4005" s="2" t="s">
        <v>8234</v>
      </c>
      <c r="H4005">
        <v>839</v>
      </c>
      <c r="I4005" s="2">
        <v>2799</v>
      </c>
      <c r="J4005" s="2" t="s">
        <v>79</v>
      </c>
      <c r="K4005" s="2" t="s">
        <v>100</v>
      </c>
      <c r="L4005" s="2">
        <v>4.0999999999999996</v>
      </c>
      <c r="M4005" s="2">
        <v>528</v>
      </c>
      <c r="P4005" t="str">
        <f t="shared" si="251"/>
        <v>70%</v>
      </c>
      <c r="Q4005" s="12">
        <f t="shared" si="248"/>
        <v>0.7</v>
      </c>
      <c r="R4005" s="9">
        <f t="shared" si="249"/>
        <v>839.7</v>
      </c>
      <c r="S4005" s="9">
        <f>IF(R4005="",AVERAGEIF(Table1[Category],Table1[[#This Row],[Category]],Table2[orignal data]),Table2[[#This Row],[orignal data]])</f>
        <v>839.7</v>
      </c>
      <c r="T4005" t="str">
        <f t="shared" si="250"/>
        <v>UNIQUE</v>
      </c>
      <c r="U4005" t="str">
        <f>IF(ISBLANK(Table1[[#This Row],[SizeOption]]),"NOT AVAILABLE",Table1[[#This Row],[SizeOption]])</f>
        <v>XS, S, M, L, XL, XXL, 3XL</v>
      </c>
      <c r="Y4005" t="str">
        <f>IF(Table2[[#This Row],[Column1]]&gt;50%,"HIGH DISCOUNT","LOW DISCOUNT")</f>
        <v>HIGH DISCOUNT</v>
      </c>
    </row>
    <row r="4006" spans="1:25" x14ac:dyDescent="0.25">
      <c r="A4006" s="1" t="s">
        <v>8235</v>
      </c>
      <c r="B4006" s="1">
        <v>10606988</v>
      </c>
      <c r="C4006" s="1" t="s">
        <v>6131</v>
      </c>
      <c r="D4006" s="1" t="s">
        <v>76</v>
      </c>
      <c r="E4006" s="1" t="s">
        <v>77</v>
      </c>
      <c r="F4006" s="1" t="s">
        <v>36</v>
      </c>
      <c r="G4006" s="1" t="s">
        <v>8236</v>
      </c>
      <c r="H4006">
        <v>1484</v>
      </c>
      <c r="I4006" s="1">
        <v>4949</v>
      </c>
      <c r="J4006" s="1" t="s">
        <v>79</v>
      </c>
      <c r="K4006" s="1" t="s">
        <v>234</v>
      </c>
      <c r="L4006" s="1">
        <v>4.2</v>
      </c>
      <c r="M4006" s="1">
        <v>528</v>
      </c>
      <c r="P4006" t="str">
        <f t="shared" si="251"/>
        <v>70%</v>
      </c>
      <c r="Q4006" s="12">
        <f t="shared" si="248"/>
        <v>0.7</v>
      </c>
      <c r="R4006" s="9">
        <f t="shared" si="249"/>
        <v>1484.7000000000003</v>
      </c>
      <c r="S4006" s="9">
        <f>IF(R4006="",AVERAGEIF(Table1[Category],Table1[[#This Row],[Category]],Table2[orignal data]),Table2[[#This Row],[orignal data]])</f>
        <v>1484.7000000000003</v>
      </c>
      <c r="T4006" t="str">
        <f t="shared" si="250"/>
        <v>UNIQUE</v>
      </c>
      <c r="U4006" t="str">
        <f>IF(ISBLANK(Table1[[#This Row],[SizeOption]]),"NOT AVAILABLE",Table1[[#This Row],[SizeOption]])</f>
        <v>S, M, L, XL, XXL, 3XL</v>
      </c>
      <c r="Y4006" t="str">
        <f>IF(Table2[[#This Row],[Column1]]&gt;50%,"HIGH DISCOUNT","LOW DISCOUNT")</f>
        <v>HIGH DISCOUNT</v>
      </c>
    </row>
    <row r="4007" spans="1:25" x14ac:dyDescent="0.25">
      <c r="A4007" s="2" t="s">
        <v>8237</v>
      </c>
      <c r="B4007" s="2">
        <v>12185332</v>
      </c>
      <c r="C4007" s="2" t="s">
        <v>107</v>
      </c>
      <c r="D4007" s="2" t="s">
        <v>34</v>
      </c>
      <c r="E4007" s="2" t="s">
        <v>406</v>
      </c>
      <c r="F4007" s="2" t="s">
        <v>36</v>
      </c>
      <c r="G4007" s="2" t="s">
        <v>8238</v>
      </c>
      <c r="H4007">
        <v>779</v>
      </c>
      <c r="I4007" s="2">
        <v>1949</v>
      </c>
      <c r="J4007" s="2" t="s">
        <v>55</v>
      </c>
      <c r="K4007" s="2" t="s">
        <v>115</v>
      </c>
      <c r="L4007" s="2">
        <v>3.9</v>
      </c>
      <c r="M4007" s="2">
        <v>528</v>
      </c>
      <c r="P4007" t="str">
        <f t="shared" si="251"/>
        <v>60%</v>
      </c>
      <c r="Q4007" s="12">
        <f t="shared" si="248"/>
        <v>0.6</v>
      </c>
      <c r="R4007" s="9">
        <f t="shared" si="249"/>
        <v>779.60000000000014</v>
      </c>
      <c r="S4007" s="9">
        <f>IF(R4007="",AVERAGEIF(Table1[Category],Table1[[#This Row],[Category]],Table2[orignal data]),Table2[[#This Row],[orignal data]])</f>
        <v>779.60000000000014</v>
      </c>
      <c r="T4007" t="str">
        <f t="shared" si="250"/>
        <v>UNIQUE</v>
      </c>
      <c r="U4007" t="str">
        <f>IF(ISBLANK(Table1[[#This Row],[SizeOption]]),"NOT AVAILABLE",Table1[[#This Row],[SizeOption]])</f>
        <v>XS, S, M, L, XL, XXL</v>
      </c>
      <c r="Y4007" t="str">
        <f>IF(Table2[[#This Row],[Column1]]&gt;50%,"HIGH DISCOUNT","LOW DISCOUNT")</f>
        <v>HIGH DISCOUNT</v>
      </c>
    </row>
    <row r="4008" spans="1:25" x14ac:dyDescent="0.25">
      <c r="A4008" s="1" t="s">
        <v>8239</v>
      </c>
      <c r="B4008" s="1">
        <v>12530322</v>
      </c>
      <c r="C4008" s="1" t="s">
        <v>64</v>
      </c>
      <c r="D4008" s="1" t="s">
        <v>98</v>
      </c>
      <c r="E4008" s="1" t="s">
        <v>93</v>
      </c>
      <c r="F4008" s="1" t="s">
        <v>36</v>
      </c>
      <c r="G4008" s="1" t="s">
        <v>8240</v>
      </c>
      <c r="H4008">
        <v>479</v>
      </c>
      <c r="I4008" s="1">
        <v>1199</v>
      </c>
      <c r="J4008" s="1" t="s">
        <v>141</v>
      </c>
      <c r="K4008" s="1" t="s">
        <v>100</v>
      </c>
      <c r="L4008" s="1">
        <v>4.0999999999999996</v>
      </c>
      <c r="M4008" s="1">
        <v>528</v>
      </c>
      <c r="P4008" t="str">
        <f t="shared" si="251"/>
        <v>60%</v>
      </c>
      <c r="Q4008" s="12">
        <f t="shared" si="248"/>
        <v>0.6</v>
      </c>
      <c r="R4008" s="9">
        <f t="shared" si="249"/>
        <v>479.6</v>
      </c>
      <c r="S4008" s="9">
        <f>IF(R4008="",AVERAGEIF(Table1[Category],Table1[[#This Row],[Category]],Table2[orignal data]),Table2[[#This Row],[orignal data]])</f>
        <v>479.6</v>
      </c>
      <c r="T4008" t="str">
        <f t="shared" si="250"/>
        <v>UNIQUE</v>
      </c>
      <c r="U4008" t="str">
        <f>IF(ISBLANK(Table1[[#This Row],[SizeOption]]),"NOT AVAILABLE",Table1[[#This Row],[SizeOption]])</f>
        <v>XS, S, M, L, XL, XXL, 3XL</v>
      </c>
      <c r="Y4008" t="str">
        <f>IF(Table2[[#This Row],[Column1]]&gt;50%,"HIGH DISCOUNT","LOW DISCOUNT")</f>
        <v>HIGH DISCOUNT</v>
      </c>
    </row>
    <row r="4009" spans="1:25" x14ac:dyDescent="0.25">
      <c r="A4009" s="2" t="s">
        <v>8241</v>
      </c>
      <c r="B4009" s="2">
        <v>14154084</v>
      </c>
      <c r="C4009" s="2" t="s">
        <v>102</v>
      </c>
      <c r="D4009" s="2" t="s">
        <v>41</v>
      </c>
      <c r="E4009" s="2" t="s">
        <v>23</v>
      </c>
      <c r="F4009" s="2" t="s">
        <v>36</v>
      </c>
      <c r="G4009" s="2" t="s">
        <v>8242</v>
      </c>
      <c r="I4009" s="2">
        <v>1149</v>
      </c>
      <c r="J4009" s="2" t="s">
        <v>543</v>
      </c>
      <c r="K4009" s="2" t="s">
        <v>26</v>
      </c>
      <c r="L4009" s="2">
        <v>4.3</v>
      </c>
      <c r="M4009" s="2">
        <v>528</v>
      </c>
      <c r="P4009" t="str">
        <f t="shared" si="251"/>
        <v>67%</v>
      </c>
      <c r="Q4009" s="12">
        <f t="shared" si="248"/>
        <v>0.67</v>
      </c>
      <c r="R4009" s="9">
        <f t="shared" si="249"/>
        <v>379.16999999999996</v>
      </c>
      <c r="S4009" s="9">
        <f>IF(R4009="",AVERAGEIF(Table1[Category],Table1[[#This Row],[Category]],Table2[orignal data]),Table2[[#This Row],[orignal data]])</f>
        <v>379.16999999999996</v>
      </c>
      <c r="T4009" t="str">
        <f t="shared" si="250"/>
        <v>UNIQUE</v>
      </c>
      <c r="U4009" t="str">
        <f>IF(ISBLANK(Table1[[#This Row],[SizeOption]]),"NOT AVAILABLE",Table1[[#This Row],[SizeOption]])</f>
        <v>S, M, L, XL</v>
      </c>
      <c r="Y4009" t="str">
        <f>IF(Table2[[#This Row],[Column1]]&gt;50%,"HIGH DISCOUNT","LOW DISCOUNT")</f>
        <v>HIGH DISCOUNT</v>
      </c>
    </row>
    <row r="4010" spans="1:25" x14ac:dyDescent="0.25">
      <c r="A4010" s="1" t="s">
        <v>8243</v>
      </c>
      <c r="B4010" s="1">
        <v>10440636</v>
      </c>
      <c r="C4010" s="1" t="s">
        <v>107</v>
      </c>
      <c r="D4010" s="1" t="s">
        <v>41</v>
      </c>
      <c r="E4010" s="1" t="s">
        <v>148</v>
      </c>
      <c r="F4010" s="1" t="s">
        <v>36</v>
      </c>
      <c r="G4010" s="1" t="s">
        <v>8244</v>
      </c>
      <c r="I4010" s="1">
        <v>2099</v>
      </c>
      <c r="J4010" s="1" t="s">
        <v>79</v>
      </c>
      <c r="K4010" s="1" t="s">
        <v>45</v>
      </c>
      <c r="L4010" s="1">
        <v>4.2</v>
      </c>
      <c r="M4010" s="1">
        <v>528</v>
      </c>
      <c r="P4010" t="str">
        <f t="shared" si="251"/>
        <v>70%</v>
      </c>
      <c r="Q4010" s="12">
        <f t="shared" si="248"/>
        <v>0.7</v>
      </c>
      <c r="R4010" s="9">
        <f t="shared" si="249"/>
        <v>629.70000000000005</v>
      </c>
      <c r="S4010" s="9">
        <f>IF(R4010="",AVERAGEIF(Table1[Category],Table1[[#This Row],[Category]],Table2[orignal data]),Table2[[#This Row],[orignal data]])</f>
        <v>629.70000000000005</v>
      </c>
      <c r="T4010" t="str">
        <f t="shared" si="250"/>
        <v>UNIQUE</v>
      </c>
      <c r="U4010" t="str">
        <f>IF(ISBLANK(Table1[[#This Row],[SizeOption]]),"NOT AVAILABLE",Table1[[#This Row],[SizeOption]])</f>
        <v>XS, S, M, L, XL</v>
      </c>
      <c r="Y4010" t="str">
        <f>IF(Table2[[#This Row],[Column1]]&gt;50%,"HIGH DISCOUNT","LOW DISCOUNT")</f>
        <v>HIGH DISCOUNT</v>
      </c>
    </row>
    <row r="4011" spans="1:25" x14ac:dyDescent="0.25">
      <c r="A4011" s="2" t="s">
        <v>8245</v>
      </c>
      <c r="B4011" s="2">
        <v>9540491</v>
      </c>
      <c r="C4011" s="2" t="s">
        <v>573</v>
      </c>
      <c r="D4011" s="2" t="s">
        <v>41</v>
      </c>
      <c r="E4011" s="2" t="s">
        <v>148</v>
      </c>
      <c r="F4011" s="2" t="s">
        <v>36</v>
      </c>
      <c r="G4011" s="2" t="s">
        <v>8246</v>
      </c>
      <c r="I4011" s="2">
        <v>2199</v>
      </c>
      <c r="J4011" s="2" t="s">
        <v>1204</v>
      </c>
      <c r="K4011" s="2" t="s">
        <v>45</v>
      </c>
      <c r="L4011" s="2">
        <v>4.4000000000000004</v>
      </c>
      <c r="M4011" s="2">
        <v>528</v>
      </c>
      <c r="P4011" t="str">
        <f t="shared" si="251"/>
        <v>56%</v>
      </c>
      <c r="Q4011" s="12">
        <f t="shared" si="248"/>
        <v>0.56000000000000005</v>
      </c>
      <c r="R4011" s="9">
        <f t="shared" si="249"/>
        <v>967.56</v>
      </c>
      <c r="S4011" s="9">
        <f>IF(R4011="",AVERAGEIF(Table1[Category],Table1[[#This Row],[Category]],Table2[orignal data]),Table2[[#This Row],[orignal data]])</f>
        <v>967.56</v>
      </c>
      <c r="T4011" t="str">
        <f t="shared" si="250"/>
        <v>UNIQUE</v>
      </c>
      <c r="U4011" t="str">
        <f>IF(ISBLANK(Table1[[#This Row],[SizeOption]]),"NOT AVAILABLE",Table1[[#This Row],[SizeOption]])</f>
        <v>XS, S, M, L, XL</v>
      </c>
      <c r="Y4011" t="str">
        <f>IF(Table2[[#This Row],[Column1]]&gt;50%,"HIGH DISCOUNT","LOW DISCOUNT")</f>
        <v>HIGH DISCOUNT</v>
      </c>
    </row>
    <row r="4012" spans="1:25" x14ac:dyDescent="0.25">
      <c r="A4012" s="1" t="s">
        <v>8247</v>
      </c>
      <c r="B4012" s="1">
        <v>10868554</v>
      </c>
      <c r="C4012" s="1" t="s">
        <v>1385</v>
      </c>
      <c r="D4012" s="1" t="s">
        <v>41</v>
      </c>
      <c r="E4012" s="1" t="s">
        <v>42</v>
      </c>
      <c r="F4012" s="1" t="s">
        <v>36</v>
      </c>
      <c r="G4012" s="1" t="s">
        <v>8248</v>
      </c>
      <c r="I4012" s="1">
        <v>999</v>
      </c>
      <c r="J4012" s="1" t="s">
        <v>528</v>
      </c>
      <c r="K4012" s="1" t="s">
        <v>45</v>
      </c>
      <c r="L4012" s="1">
        <v>4</v>
      </c>
      <c r="M4012" s="1">
        <v>528</v>
      </c>
      <c r="P4012" t="str">
        <f t="shared" si="251"/>
        <v>500</v>
      </c>
      <c r="Q4012" s="12">
        <f t="shared" si="248"/>
        <v>0.50050050050050054</v>
      </c>
      <c r="R4012" s="9">
        <f t="shared" si="249"/>
        <v>498.99999999999994</v>
      </c>
      <c r="S4012" s="9">
        <f>IF(R4012="",AVERAGEIF(Table1[Category],Table1[[#This Row],[Category]],Table2[orignal data]),Table2[[#This Row],[orignal data]])</f>
        <v>498.99999999999994</v>
      </c>
      <c r="T4012" t="str">
        <f t="shared" si="250"/>
        <v>UNIQUE</v>
      </c>
      <c r="U4012" t="str">
        <f>IF(ISBLANK(Table1[[#This Row],[SizeOption]]),"NOT AVAILABLE",Table1[[#This Row],[SizeOption]])</f>
        <v>XS, S, M, L, XL</v>
      </c>
      <c r="Y4012" t="str">
        <f>IF(Table2[[#This Row],[Column1]]&gt;50%,"HIGH DISCOUNT","LOW DISCOUNT")</f>
        <v>HIGH DISCOUNT</v>
      </c>
    </row>
    <row r="4013" spans="1:25" x14ac:dyDescent="0.25">
      <c r="A4013" s="2" t="s">
        <v>8249</v>
      </c>
      <c r="B4013" s="2">
        <v>17384030</v>
      </c>
      <c r="C4013" s="2" t="s">
        <v>14</v>
      </c>
      <c r="D4013" s="2" t="s">
        <v>41</v>
      </c>
      <c r="E4013" s="2" t="s">
        <v>42</v>
      </c>
      <c r="F4013" s="2" t="s">
        <v>36</v>
      </c>
      <c r="G4013" s="2" t="s">
        <v>696</v>
      </c>
      <c r="I4013" s="2">
        <v>1298</v>
      </c>
      <c r="J4013" s="2"/>
      <c r="K4013" s="2" t="s">
        <v>3215</v>
      </c>
      <c r="L4013" s="2">
        <v>4.2</v>
      </c>
      <c r="M4013" s="2">
        <v>528</v>
      </c>
      <c r="P4013" t="str">
        <f t="shared" si="251"/>
        <v/>
      </c>
      <c r="Q4013" s="12" t="str">
        <f t="shared" si="248"/>
        <v/>
      </c>
      <c r="R4013" s="9" t="str">
        <f t="shared" si="249"/>
        <v/>
      </c>
      <c r="S4013" s="9">
        <f>IF(R4013="",AVERAGEIF(Table1[Category],Table1[[#This Row],[Category]],Table2[orignal data]),Table2[[#This Row],[orignal data]])</f>
        <v>715.78890751086249</v>
      </c>
      <c r="T4013" t="str">
        <f t="shared" si="250"/>
        <v>UNIQUE</v>
      </c>
      <c r="U4013" t="str">
        <f>IF(ISBLANK(Table1[[#This Row],[SizeOption]]),"NOT AVAILABLE",Table1[[#This Row],[SizeOption]])</f>
        <v>XS, XL, L, M, S</v>
      </c>
      <c r="Y4013" t="str">
        <f>IF(Table2[[#This Row],[Column1]]&gt;50%,"HIGH DISCOUNT","LOW DISCOUNT")</f>
        <v>HIGH DISCOUNT</v>
      </c>
    </row>
    <row r="4014" spans="1:25" x14ac:dyDescent="0.25">
      <c r="A4014" s="1" t="s">
        <v>8250</v>
      </c>
      <c r="B4014" s="1">
        <v>10685164</v>
      </c>
      <c r="C4014" s="1" t="s">
        <v>169</v>
      </c>
      <c r="D4014" s="1" t="s">
        <v>15</v>
      </c>
      <c r="E4014" s="1" t="s">
        <v>16</v>
      </c>
      <c r="F4014" s="1" t="s">
        <v>17</v>
      </c>
      <c r="G4014" s="1" t="s">
        <v>8251</v>
      </c>
      <c r="H4014">
        <v>1949</v>
      </c>
      <c r="I4014" s="1">
        <v>2999</v>
      </c>
      <c r="J4014" s="1" t="s">
        <v>44</v>
      </c>
      <c r="K4014" s="1" t="s">
        <v>171</v>
      </c>
      <c r="L4014" s="1">
        <v>4.3</v>
      </c>
      <c r="M4014" s="1">
        <v>527</v>
      </c>
      <c r="P4014" t="str">
        <f t="shared" si="251"/>
        <v>35%</v>
      </c>
      <c r="Q4014" s="12">
        <f t="shared" si="248"/>
        <v>0.35</v>
      </c>
      <c r="R4014" s="9">
        <f t="shared" si="249"/>
        <v>1949.3500000000001</v>
      </c>
      <c r="S4014" s="9">
        <f>IF(R4014="",AVERAGEIF(Table1[Category],Table1[[#This Row],[Category]],Table2[orignal data]),Table2[[#This Row],[orignal data]])</f>
        <v>1949.3500000000001</v>
      </c>
      <c r="T4014" t="str">
        <f t="shared" si="250"/>
        <v>UNIQUE</v>
      </c>
      <c r="U4014" t="str">
        <f>IF(ISBLANK(Table1[[#This Row],[SizeOption]]),"NOT AVAILABLE",Table1[[#This Row],[SizeOption]])</f>
        <v>28, 30, 32, 34, 36, 38</v>
      </c>
      <c r="Y4014" t="str">
        <f>IF(Table2[[#This Row],[Column1]]&gt;50%,"HIGH DISCOUNT","LOW DISCOUNT")</f>
        <v>LOW DISCOUNT</v>
      </c>
    </row>
    <row r="4015" spans="1:25" x14ac:dyDescent="0.25">
      <c r="A4015" s="2" t="s">
        <v>8252</v>
      </c>
      <c r="B4015" s="2">
        <v>11407268</v>
      </c>
      <c r="C4015" s="2" t="s">
        <v>271</v>
      </c>
      <c r="D4015" s="2" t="s">
        <v>76</v>
      </c>
      <c r="E4015" s="2" t="s">
        <v>93</v>
      </c>
      <c r="F4015" s="2" t="s">
        <v>17</v>
      </c>
      <c r="G4015" s="2" t="s">
        <v>8253</v>
      </c>
      <c r="H4015">
        <v>719</v>
      </c>
      <c r="I4015" s="2">
        <v>1799</v>
      </c>
      <c r="J4015" s="2" t="s">
        <v>55</v>
      </c>
      <c r="K4015" s="2" t="s">
        <v>39</v>
      </c>
      <c r="L4015" s="2">
        <v>4.5</v>
      </c>
      <c r="M4015" s="2">
        <v>527</v>
      </c>
      <c r="P4015" t="str">
        <f t="shared" si="251"/>
        <v>60%</v>
      </c>
      <c r="Q4015" s="12">
        <f t="shared" si="248"/>
        <v>0.6</v>
      </c>
      <c r="R4015" s="9">
        <f t="shared" si="249"/>
        <v>719.60000000000014</v>
      </c>
      <c r="S4015" s="9">
        <f>IF(R4015="",AVERAGEIF(Table1[Category],Table1[[#This Row],[Category]],Table2[orignal data]),Table2[[#This Row],[orignal data]])</f>
        <v>719.60000000000014</v>
      </c>
      <c r="T4015" t="str">
        <f t="shared" si="250"/>
        <v>UNIQUE</v>
      </c>
      <c r="U4015" t="str">
        <f>IF(ISBLANK(Table1[[#This Row],[SizeOption]]),"NOT AVAILABLE",Table1[[#This Row],[SizeOption]])</f>
        <v>S, M, L, XL, XXL</v>
      </c>
      <c r="Y4015" t="str">
        <f>IF(Table2[[#This Row],[Column1]]&gt;50%,"HIGH DISCOUNT","LOW DISCOUNT")</f>
        <v>HIGH DISCOUNT</v>
      </c>
    </row>
    <row r="4016" spans="1:25" x14ac:dyDescent="0.25">
      <c r="A4016" s="1" t="s">
        <v>8254</v>
      </c>
      <c r="B4016" s="1">
        <v>18028824</v>
      </c>
      <c r="C4016" s="1" t="s">
        <v>295</v>
      </c>
      <c r="D4016" s="1" t="s">
        <v>197</v>
      </c>
      <c r="E4016" s="1" t="s">
        <v>939</v>
      </c>
      <c r="F4016" s="1" t="s">
        <v>17</v>
      </c>
      <c r="G4016" s="1" t="s">
        <v>4736</v>
      </c>
      <c r="I4016" s="1">
        <v>1098</v>
      </c>
      <c r="J4016" s="1"/>
      <c r="K4016" s="1" t="s">
        <v>26</v>
      </c>
      <c r="L4016" s="1">
        <v>4.4000000000000004</v>
      </c>
      <c r="M4016" s="1">
        <v>527</v>
      </c>
      <c r="P4016" t="str">
        <f t="shared" si="251"/>
        <v/>
      </c>
      <c r="Q4016" s="12" t="str">
        <f t="shared" si="248"/>
        <v/>
      </c>
      <c r="R4016" s="9" t="str">
        <f t="shared" si="249"/>
        <v/>
      </c>
      <c r="S4016" s="9">
        <f>IF(R4016="",AVERAGEIF(Table1[Category],Table1[[#This Row],[Category]],Table2[orignal data]),Table2[[#This Row],[orignal data]])</f>
        <v>552.70900000000006</v>
      </c>
      <c r="T4016" t="str">
        <f t="shared" si="250"/>
        <v>UNIQUE</v>
      </c>
      <c r="U4016" t="str">
        <f>IF(ISBLANK(Table1[[#This Row],[SizeOption]]),"NOT AVAILABLE",Table1[[#This Row],[SizeOption]])</f>
        <v>S, M, L, XL</v>
      </c>
      <c r="Y4016" t="str">
        <f>IF(Table2[[#This Row],[Column1]]&gt;50%,"HIGH DISCOUNT","LOW DISCOUNT")</f>
        <v>HIGH DISCOUNT</v>
      </c>
    </row>
    <row r="4017" spans="1:25" x14ac:dyDescent="0.25">
      <c r="A4017" s="2" t="s">
        <v>8255</v>
      </c>
      <c r="B4017" s="2">
        <v>18030814</v>
      </c>
      <c r="C4017" s="2" t="s">
        <v>295</v>
      </c>
      <c r="D4017" s="2" t="s">
        <v>197</v>
      </c>
      <c r="E4017" s="2" t="s">
        <v>296</v>
      </c>
      <c r="F4017" s="2" t="s">
        <v>17</v>
      </c>
      <c r="G4017" s="2" t="s">
        <v>8256</v>
      </c>
      <c r="I4017" s="2">
        <v>1238</v>
      </c>
      <c r="J4017" s="2"/>
      <c r="K4017" s="2" t="s">
        <v>26</v>
      </c>
      <c r="L4017" s="2">
        <v>4.5</v>
      </c>
      <c r="M4017" s="2">
        <v>527</v>
      </c>
      <c r="P4017" t="str">
        <f t="shared" si="251"/>
        <v/>
      </c>
      <c r="Q4017" s="12" t="str">
        <f t="shared" si="248"/>
        <v/>
      </c>
      <c r="R4017" s="9" t="str">
        <f t="shared" si="249"/>
        <v/>
      </c>
      <c r="S4017" s="9">
        <f>IF(R4017="",AVERAGEIF(Table1[Category],Table1[[#This Row],[Category]],Table2[orignal data]),Table2[[#This Row],[orignal data]])</f>
        <v>552.70900000000006</v>
      </c>
      <c r="T4017" t="str">
        <f t="shared" si="250"/>
        <v>UNIQUE</v>
      </c>
      <c r="U4017" t="str">
        <f>IF(ISBLANK(Table1[[#This Row],[SizeOption]]),"NOT AVAILABLE",Table1[[#This Row],[SizeOption]])</f>
        <v>S, M, L, XL</v>
      </c>
      <c r="Y4017" t="str">
        <f>IF(Table2[[#This Row],[Column1]]&gt;50%,"HIGH DISCOUNT","LOW DISCOUNT")</f>
        <v>HIGH DISCOUNT</v>
      </c>
    </row>
    <row r="4018" spans="1:25" x14ac:dyDescent="0.25">
      <c r="A4018" s="1" t="s">
        <v>8257</v>
      </c>
      <c r="B4018" s="1">
        <v>11896070</v>
      </c>
      <c r="C4018" s="1" t="s">
        <v>14</v>
      </c>
      <c r="D4018" s="1" t="s">
        <v>28</v>
      </c>
      <c r="E4018" s="1" t="s">
        <v>29</v>
      </c>
      <c r="F4018" s="1" t="s">
        <v>17</v>
      </c>
      <c r="G4018" s="1" t="s">
        <v>8258</v>
      </c>
      <c r="H4018">
        <v>584</v>
      </c>
      <c r="I4018" s="1">
        <v>1299</v>
      </c>
      <c r="J4018" s="1" t="s">
        <v>25</v>
      </c>
      <c r="K4018" s="1" t="s">
        <v>253</v>
      </c>
      <c r="L4018" s="1">
        <v>4.4000000000000004</v>
      </c>
      <c r="M4018" s="1">
        <v>527</v>
      </c>
      <c r="P4018" t="str">
        <f t="shared" si="251"/>
        <v>55%</v>
      </c>
      <c r="Q4018" s="12">
        <f t="shared" si="248"/>
        <v>0.55000000000000004</v>
      </c>
      <c r="R4018" s="9">
        <f t="shared" si="249"/>
        <v>584.54999999999995</v>
      </c>
      <c r="S4018" s="9">
        <f>IF(R4018="",AVERAGEIF(Table1[Category],Table1[[#This Row],[Category]],Table2[orignal data]),Table2[[#This Row],[orignal data]])</f>
        <v>584.54999999999995</v>
      </c>
      <c r="T4018" t="str">
        <f t="shared" si="250"/>
        <v>UNIQUE</v>
      </c>
      <c r="U4018" t="str">
        <f>IF(ISBLANK(Table1[[#This Row],[SizeOption]]),"NOT AVAILABLE",Table1[[#This Row],[SizeOption]])</f>
        <v>38, 40, 42, 44</v>
      </c>
      <c r="Y4018" t="str">
        <f>IF(Table2[[#This Row],[Column1]]&gt;50%,"HIGH DISCOUNT","LOW DISCOUNT")</f>
        <v>HIGH DISCOUNT</v>
      </c>
    </row>
    <row r="4019" spans="1:25" x14ac:dyDescent="0.25">
      <c r="A4019" s="2" t="s">
        <v>8259</v>
      </c>
      <c r="B4019" s="2">
        <v>7851879</v>
      </c>
      <c r="C4019" s="2" t="s">
        <v>14</v>
      </c>
      <c r="D4019" s="2" t="s">
        <v>28</v>
      </c>
      <c r="E4019" s="2" t="s">
        <v>42</v>
      </c>
      <c r="F4019" s="2" t="s">
        <v>17</v>
      </c>
      <c r="G4019" s="2" t="s">
        <v>8260</v>
      </c>
      <c r="H4019">
        <v>1709</v>
      </c>
      <c r="I4019" s="2">
        <v>3799</v>
      </c>
      <c r="J4019" s="2" t="s">
        <v>25</v>
      </c>
      <c r="K4019" s="2" t="s">
        <v>45</v>
      </c>
      <c r="L4019" s="2">
        <v>4</v>
      </c>
      <c r="M4019" s="2">
        <v>527</v>
      </c>
      <c r="P4019" t="str">
        <f t="shared" si="251"/>
        <v>55%</v>
      </c>
      <c r="Q4019" s="12">
        <f t="shared" si="248"/>
        <v>0.55000000000000004</v>
      </c>
      <c r="R4019" s="9">
        <f t="shared" si="249"/>
        <v>1709.5499999999997</v>
      </c>
      <c r="S4019" s="9">
        <f>IF(R4019="",AVERAGEIF(Table1[Category],Table1[[#This Row],[Category]],Table2[orignal data]),Table2[[#This Row],[orignal data]])</f>
        <v>1709.5499999999997</v>
      </c>
      <c r="T4019" t="str">
        <f t="shared" si="250"/>
        <v>UNIQUE</v>
      </c>
      <c r="U4019" t="str">
        <f>IF(ISBLANK(Table1[[#This Row],[SizeOption]]),"NOT AVAILABLE",Table1[[#This Row],[SizeOption]])</f>
        <v>XS, S, M, L, XL</v>
      </c>
      <c r="Y4019" t="str">
        <f>IF(Table2[[#This Row],[Column1]]&gt;50%,"HIGH DISCOUNT","LOW DISCOUNT")</f>
        <v>HIGH DISCOUNT</v>
      </c>
    </row>
    <row r="4020" spans="1:25" x14ac:dyDescent="0.25">
      <c r="A4020" s="1" t="s">
        <v>8261</v>
      </c>
      <c r="B4020" s="1">
        <v>8350193</v>
      </c>
      <c r="C4020" s="1" t="s">
        <v>97</v>
      </c>
      <c r="D4020" s="1" t="s">
        <v>76</v>
      </c>
      <c r="E4020" s="1" t="s">
        <v>93</v>
      </c>
      <c r="F4020" s="1" t="s">
        <v>36</v>
      </c>
      <c r="G4020" s="1" t="s">
        <v>8262</v>
      </c>
      <c r="H4020">
        <v>604</v>
      </c>
      <c r="I4020" s="1">
        <v>1099</v>
      </c>
      <c r="J4020" s="1" t="s">
        <v>19</v>
      </c>
      <c r="K4020" s="1" t="s">
        <v>100</v>
      </c>
      <c r="L4020" s="1">
        <v>4.2</v>
      </c>
      <c r="M4020" s="1">
        <v>527</v>
      </c>
      <c r="P4020" t="str">
        <f t="shared" si="251"/>
        <v>45%</v>
      </c>
      <c r="Q4020" s="12">
        <f t="shared" si="248"/>
        <v>0.45</v>
      </c>
      <c r="R4020" s="9">
        <f t="shared" si="249"/>
        <v>604.45000000000005</v>
      </c>
      <c r="S4020" s="9">
        <f>IF(R4020="",AVERAGEIF(Table1[Category],Table1[[#This Row],[Category]],Table2[orignal data]),Table2[[#This Row],[orignal data]])</f>
        <v>604.45000000000005</v>
      </c>
      <c r="T4020" t="str">
        <f t="shared" si="250"/>
        <v>UNIQUE</v>
      </c>
      <c r="U4020" t="str">
        <f>IF(ISBLANK(Table1[[#This Row],[SizeOption]]),"NOT AVAILABLE",Table1[[#This Row],[SizeOption]])</f>
        <v>XS, S, M, L, XL, XXL, 3XL</v>
      </c>
      <c r="Y4020" t="str">
        <f>IF(Table2[[#This Row],[Column1]]&gt;50%,"HIGH DISCOUNT","LOW DISCOUNT")</f>
        <v>LOW DISCOUNT</v>
      </c>
    </row>
    <row r="4021" spans="1:25" x14ac:dyDescent="0.25">
      <c r="A4021" s="2" t="s">
        <v>8263</v>
      </c>
      <c r="B4021" s="2">
        <v>7637859</v>
      </c>
      <c r="C4021" s="2" t="s">
        <v>201</v>
      </c>
      <c r="D4021" s="2" t="s">
        <v>76</v>
      </c>
      <c r="E4021" s="2" t="s">
        <v>93</v>
      </c>
      <c r="F4021" s="2" t="s">
        <v>36</v>
      </c>
      <c r="G4021" s="2" t="s">
        <v>8264</v>
      </c>
      <c r="H4021">
        <v>849</v>
      </c>
      <c r="I4021" s="2">
        <v>1699</v>
      </c>
      <c r="J4021" s="2" t="s">
        <v>84</v>
      </c>
      <c r="K4021" s="2" t="s">
        <v>100</v>
      </c>
      <c r="L4021" s="2">
        <v>4.0999999999999996</v>
      </c>
      <c r="M4021" s="2">
        <v>527</v>
      </c>
      <c r="P4021" t="str">
        <f t="shared" si="251"/>
        <v>50%</v>
      </c>
      <c r="Q4021" s="12">
        <f t="shared" si="248"/>
        <v>0.5</v>
      </c>
      <c r="R4021" s="9">
        <f t="shared" si="249"/>
        <v>849.5</v>
      </c>
      <c r="S4021" s="9">
        <f>IF(R4021="",AVERAGEIF(Table1[Category],Table1[[#This Row],[Category]],Table2[orignal data]),Table2[[#This Row],[orignal data]])</f>
        <v>849.5</v>
      </c>
      <c r="T4021" t="str">
        <f t="shared" si="250"/>
        <v>UNIQUE</v>
      </c>
      <c r="U4021" t="str">
        <f>IF(ISBLANK(Table1[[#This Row],[SizeOption]]),"NOT AVAILABLE",Table1[[#This Row],[SizeOption]])</f>
        <v>XS, S, M, L, XL, XXL, 3XL</v>
      </c>
      <c r="Y4021" t="str">
        <f>IF(Table2[[#This Row],[Column1]]&gt;50%,"HIGH DISCOUNT","LOW DISCOUNT")</f>
        <v>LOW DISCOUNT</v>
      </c>
    </row>
    <row r="4022" spans="1:25" x14ac:dyDescent="0.25">
      <c r="A4022" s="1" t="s">
        <v>8265</v>
      </c>
      <c r="B4022" s="1">
        <v>12134544</v>
      </c>
      <c r="C4022" s="1" t="s">
        <v>113</v>
      </c>
      <c r="D4022" s="1" t="s">
        <v>76</v>
      </c>
      <c r="E4022" s="1" t="s">
        <v>148</v>
      </c>
      <c r="F4022" s="1" t="s">
        <v>36</v>
      </c>
      <c r="G4022" s="1" t="s">
        <v>8266</v>
      </c>
      <c r="H4022">
        <v>899</v>
      </c>
      <c r="I4022" s="1">
        <v>1999</v>
      </c>
      <c r="J4022" s="1" t="s">
        <v>25</v>
      </c>
      <c r="K4022" s="1" t="s">
        <v>115</v>
      </c>
      <c r="L4022" s="1">
        <v>4.3</v>
      </c>
      <c r="M4022" s="1">
        <v>527</v>
      </c>
      <c r="P4022" t="str">
        <f t="shared" si="251"/>
        <v>55%</v>
      </c>
      <c r="Q4022" s="12">
        <f t="shared" si="248"/>
        <v>0.55000000000000004</v>
      </c>
      <c r="R4022" s="9">
        <f t="shared" si="249"/>
        <v>899.55</v>
      </c>
      <c r="S4022" s="9">
        <f>IF(R4022="",AVERAGEIF(Table1[Category],Table1[[#This Row],[Category]],Table2[orignal data]),Table2[[#This Row],[orignal data]])</f>
        <v>899.55</v>
      </c>
      <c r="T4022" t="str">
        <f t="shared" si="250"/>
        <v>UNIQUE</v>
      </c>
      <c r="U4022" t="str">
        <f>IF(ISBLANK(Table1[[#This Row],[SizeOption]]),"NOT AVAILABLE",Table1[[#This Row],[SizeOption]])</f>
        <v>XS, S, M, L, XL, XXL</v>
      </c>
      <c r="Y4022" t="str">
        <f>IF(Table2[[#This Row],[Column1]]&gt;50%,"HIGH DISCOUNT","LOW DISCOUNT")</f>
        <v>HIGH DISCOUNT</v>
      </c>
    </row>
    <row r="4023" spans="1:25" x14ac:dyDescent="0.25">
      <c r="A4023" s="2" t="s">
        <v>8267</v>
      </c>
      <c r="B4023" s="2">
        <v>11244992</v>
      </c>
      <c r="C4023" s="2" t="s">
        <v>1375</v>
      </c>
      <c r="D4023" s="2" t="s">
        <v>76</v>
      </c>
      <c r="E4023" s="2" t="s">
        <v>320</v>
      </c>
      <c r="F4023" s="2" t="s">
        <v>36</v>
      </c>
      <c r="G4023" s="2" t="s">
        <v>8268</v>
      </c>
      <c r="H4023">
        <v>999</v>
      </c>
      <c r="I4023" s="2">
        <v>3999</v>
      </c>
      <c r="J4023" s="2" t="s">
        <v>109</v>
      </c>
      <c r="K4023" s="2" t="s">
        <v>164</v>
      </c>
      <c r="L4023" s="2">
        <v>4.2</v>
      </c>
      <c r="M4023" s="2">
        <v>527</v>
      </c>
      <c r="P4023" t="str">
        <f t="shared" si="251"/>
        <v>75%</v>
      </c>
      <c r="Q4023" s="12">
        <f t="shared" si="248"/>
        <v>0.75</v>
      </c>
      <c r="R4023" s="9">
        <f t="shared" si="249"/>
        <v>999.75</v>
      </c>
      <c r="S4023" s="9">
        <f>IF(R4023="",AVERAGEIF(Table1[Category],Table1[[#This Row],[Category]],Table2[orignal data]),Table2[[#This Row],[orignal data]])</f>
        <v>999.75</v>
      </c>
      <c r="T4023" t="str">
        <f t="shared" si="250"/>
        <v>UNIQUE</v>
      </c>
      <c r="U4023" t="str">
        <f>IF(ISBLANK(Table1[[#This Row],[SizeOption]]),"NOT AVAILABLE",Table1[[#This Row],[SizeOption]])</f>
        <v>Onesize</v>
      </c>
      <c r="Y4023" t="str">
        <f>IF(Table2[[#This Row],[Column1]]&gt;50%,"HIGH DISCOUNT","LOW DISCOUNT")</f>
        <v>HIGH DISCOUNT</v>
      </c>
    </row>
    <row r="4024" spans="1:25" x14ac:dyDescent="0.25">
      <c r="A4024" s="1" t="s">
        <v>8269</v>
      </c>
      <c r="B4024" s="1">
        <v>14224416</v>
      </c>
      <c r="C4024" s="1" t="s">
        <v>1465</v>
      </c>
      <c r="D4024" s="1" t="s">
        <v>76</v>
      </c>
      <c r="E4024" s="1" t="s">
        <v>77</v>
      </c>
      <c r="F4024" s="1" t="s">
        <v>36</v>
      </c>
      <c r="G4024" s="1" t="s">
        <v>8270</v>
      </c>
      <c r="H4024">
        <v>1999</v>
      </c>
      <c r="I4024" s="1">
        <v>4999</v>
      </c>
      <c r="J4024" s="1" t="s">
        <v>55</v>
      </c>
      <c r="K4024" s="1" t="s">
        <v>39</v>
      </c>
      <c r="L4024" s="1">
        <v>4.4000000000000004</v>
      </c>
      <c r="M4024" s="1">
        <v>527</v>
      </c>
      <c r="P4024" t="str">
        <f t="shared" si="251"/>
        <v>60%</v>
      </c>
      <c r="Q4024" s="12">
        <f t="shared" si="248"/>
        <v>0.6</v>
      </c>
      <c r="R4024" s="9">
        <f t="shared" si="249"/>
        <v>1999.6</v>
      </c>
      <c r="S4024" s="9">
        <f>IF(R4024="",AVERAGEIF(Table1[Category],Table1[[#This Row],[Category]],Table2[orignal data]),Table2[[#This Row],[orignal data]])</f>
        <v>1999.6</v>
      </c>
      <c r="T4024" t="str">
        <f t="shared" si="250"/>
        <v>UNIQUE</v>
      </c>
      <c r="U4024" t="str">
        <f>IF(ISBLANK(Table1[[#This Row],[SizeOption]]),"NOT AVAILABLE",Table1[[#This Row],[SizeOption]])</f>
        <v>S, M, L, XL, XXL</v>
      </c>
      <c r="Y4024" t="str">
        <f>IF(Table2[[#This Row],[Column1]]&gt;50%,"HIGH DISCOUNT","LOW DISCOUNT")</f>
        <v>HIGH DISCOUNT</v>
      </c>
    </row>
    <row r="4025" spans="1:25" x14ac:dyDescent="0.25">
      <c r="A4025" s="2" t="s">
        <v>8271</v>
      </c>
      <c r="B4025" s="2">
        <v>12851418</v>
      </c>
      <c r="C4025" s="2" t="s">
        <v>64</v>
      </c>
      <c r="D4025" s="2" t="s">
        <v>98</v>
      </c>
      <c r="E4025" s="2" t="s">
        <v>93</v>
      </c>
      <c r="F4025" s="2" t="s">
        <v>36</v>
      </c>
      <c r="G4025" s="2" t="s">
        <v>8272</v>
      </c>
      <c r="H4025">
        <v>299</v>
      </c>
      <c r="I4025" s="2">
        <v>1199</v>
      </c>
      <c r="J4025" s="2" t="s">
        <v>109</v>
      </c>
      <c r="K4025" s="2" t="s">
        <v>234</v>
      </c>
      <c r="L4025" s="2">
        <v>4.3</v>
      </c>
      <c r="M4025" s="2">
        <v>527</v>
      </c>
      <c r="P4025" t="str">
        <f t="shared" si="251"/>
        <v>75%</v>
      </c>
      <c r="Q4025" s="12">
        <f t="shared" si="248"/>
        <v>0.75</v>
      </c>
      <c r="R4025" s="9">
        <f t="shared" si="249"/>
        <v>299.75</v>
      </c>
      <c r="S4025" s="9">
        <f>IF(R4025="",AVERAGEIF(Table1[Category],Table1[[#This Row],[Category]],Table2[orignal data]),Table2[[#This Row],[orignal data]])</f>
        <v>299.75</v>
      </c>
      <c r="T4025" t="str">
        <f t="shared" si="250"/>
        <v>UNIQUE</v>
      </c>
      <c r="U4025" t="str">
        <f>IF(ISBLANK(Table1[[#This Row],[SizeOption]]),"NOT AVAILABLE",Table1[[#This Row],[SizeOption]])</f>
        <v>S, M, L, XL, XXL, 3XL</v>
      </c>
      <c r="Y4025" t="str">
        <f>IF(Table2[[#This Row],[Column1]]&gt;50%,"HIGH DISCOUNT","LOW DISCOUNT")</f>
        <v>HIGH DISCOUNT</v>
      </c>
    </row>
    <row r="4026" spans="1:25" x14ac:dyDescent="0.25">
      <c r="A4026" s="1" t="s">
        <v>8273</v>
      </c>
      <c r="B4026" s="1">
        <v>9731893</v>
      </c>
      <c r="C4026" s="1" t="s">
        <v>97</v>
      </c>
      <c r="D4026" s="1" t="s">
        <v>98</v>
      </c>
      <c r="E4026" s="1" t="s">
        <v>77</v>
      </c>
      <c r="F4026" s="1" t="s">
        <v>36</v>
      </c>
      <c r="G4026" s="1" t="s">
        <v>8274</v>
      </c>
      <c r="H4026">
        <v>1319</v>
      </c>
      <c r="I4026" s="1">
        <v>3299</v>
      </c>
      <c r="J4026" s="1" t="s">
        <v>141</v>
      </c>
      <c r="K4026" s="1" t="s">
        <v>100</v>
      </c>
      <c r="L4026" s="1">
        <v>3.8</v>
      </c>
      <c r="M4026" s="1">
        <v>527</v>
      </c>
      <c r="P4026" t="str">
        <f t="shared" si="251"/>
        <v>60%</v>
      </c>
      <c r="Q4026" s="12">
        <f t="shared" si="248"/>
        <v>0.6</v>
      </c>
      <c r="R4026" s="9">
        <f t="shared" si="249"/>
        <v>1319.6000000000001</v>
      </c>
      <c r="S4026" s="9">
        <f>IF(R4026="",AVERAGEIF(Table1[Category],Table1[[#This Row],[Category]],Table2[orignal data]),Table2[[#This Row],[orignal data]])</f>
        <v>1319.6000000000001</v>
      </c>
      <c r="T4026" t="str">
        <f t="shared" si="250"/>
        <v>UNIQUE</v>
      </c>
      <c r="U4026" t="str">
        <f>IF(ISBLANK(Table1[[#This Row],[SizeOption]]),"NOT AVAILABLE",Table1[[#This Row],[SizeOption]])</f>
        <v>XS, S, M, L, XL, XXL, 3XL</v>
      </c>
      <c r="Y4026" t="str">
        <f>IF(Table2[[#This Row],[Column1]]&gt;50%,"HIGH DISCOUNT","LOW DISCOUNT")</f>
        <v>HIGH DISCOUNT</v>
      </c>
    </row>
    <row r="4027" spans="1:25" x14ac:dyDescent="0.25">
      <c r="A4027" s="2" t="s">
        <v>8275</v>
      </c>
      <c r="B4027" s="2">
        <v>7687291</v>
      </c>
      <c r="C4027" s="2" t="s">
        <v>181</v>
      </c>
      <c r="D4027" s="2" t="s">
        <v>41</v>
      </c>
      <c r="E4027" s="2" t="s">
        <v>368</v>
      </c>
      <c r="F4027" s="2" t="s">
        <v>36</v>
      </c>
      <c r="G4027" s="2" t="s">
        <v>8276</v>
      </c>
      <c r="I4027" s="2">
        <v>2199</v>
      </c>
      <c r="J4027" s="2" t="s">
        <v>89</v>
      </c>
      <c r="K4027" s="2" t="s">
        <v>134</v>
      </c>
      <c r="L4027" s="2">
        <v>4.2</v>
      </c>
      <c r="M4027" s="2">
        <v>527</v>
      </c>
      <c r="P4027" t="str">
        <f t="shared" si="251"/>
        <v>53%</v>
      </c>
      <c r="Q4027" s="12">
        <f t="shared" si="248"/>
        <v>0.53</v>
      </c>
      <c r="R4027" s="9">
        <f t="shared" si="249"/>
        <v>1033.53</v>
      </c>
      <c r="S4027" s="9">
        <f>IF(R4027="",AVERAGEIF(Table1[Category],Table1[[#This Row],[Category]],Table2[orignal data]),Table2[[#This Row],[orignal data]])</f>
        <v>1033.53</v>
      </c>
      <c r="T4027" t="str">
        <f t="shared" si="250"/>
        <v>UNIQUE</v>
      </c>
      <c r="U4027" t="str">
        <f>IF(ISBLANK(Table1[[#This Row],[SizeOption]]),"NOT AVAILABLE",Table1[[#This Row],[SizeOption]])</f>
        <v>26, 28, 30, 32, 34, 36</v>
      </c>
      <c r="Y4027" t="str">
        <f>IF(Table2[[#This Row],[Column1]]&gt;50%,"HIGH DISCOUNT","LOW DISCOUNT")</f>
        <v>HIGH DISCOUNT</v>
      </c>
    </row>
    <row r="4028" spans="1:25" x14ac:dyDescent="0.25">
      <c r="A4028" s="1" t="s">
        <v>8277</v>
      </c>
      <c r="B4028" s="1">
        <v>12965808</v>
      </c>
      <c r="C4028" s="1" t="s">
        <v>5517</v>
      </c>
      <c r="D4028" s="1" t="s">
        <v>15</v>
      </c>
      <c r="E4028" s="1" t="s">
        <v>53</v>
      </c>
      <c r="F4028" s="1" t="s">
        <v>17</v>
      </c>
      <c r="G4028" s="1" t="s">
        <v>8278</v>
      </c>
      <c r="H4028">
        <v>949</v>
      </c>
      <c r="I4028" s="1">
        <v>999</v>
      </c>
      <c r="J4028" s="1" t="s">
        <v>764</v>
      </c>
      <c r="K4028" s="1" t="s">
        <v>816</v>
      </c>
      <c r="L4028" s="1">
        <v>4.3</v>
      </c>
      <c r="M4028" s="1">
        <v>526</v>
      </c>
      <c r="P4028" t="str">
        <f t="shared" si="251"/>
        <v>5%</v>
      </c>
      <c r="Q4028" s="12">
        <f t="shared" si="248"/>
        <v>0.05</v>
      </c>
      <c r="R4028" s="9">
        <f t="shared" si="249"/>
        <v>949.05</v>
      </c>
      <c r="S4028" s="9">
        <f>IF(R4028="",AVERAGEIF(Table1[Category],Table1[[#This Row],[Category]],Table2[orignal data]),Table2[[#This Row],[orignal data]])</f>
        <v>949.05</v>
      </c>
      <c r="T4028" t="str">
        <f t="shared" si="250"/>
        <v>UNIQUE</v>
      </c>
      <c r="U4028" t="str">
        <f>IF(ISBLANK(Table1[[#This Row],[SizeOption]]),"NOT AVAILABLE",Table1[[#This Row],[SizeOption]])</f>
        <v>30, 32, 34, 36, 38</v>
      </c>
      <c r="Y4028" t="str">
        <f>IF(Table2[[#This Row],[Column1]]&gt;50%,"HIGH DISCOUNT","LOW DISCOUNT")</f>
        <v>LOW DISCOUNT</v>
      </c>
    </row>
    <row r="4029" spans="1:25" x14ac:dyDescent="0.25">
      <c r="A4029" s="2" t="s">
        <v>8279</v>
      </c>
      <c r="B4029" s="2">
        <v>11259992</v>
      </c>
      <c r="C4029" s="2" t="s">
        <v>14</v>
      </c>
      <c r="D4029" s="2" t="s">
        <v>15</v>
      </c>
      <c r="E4029" s="2" t="s">
        <v>16</v>
      </c>
      <c r="F4029" s="2" t="s">
        <v>17</v>
      </c>
      <c r="G4029" s="2" t="s">
        <v>217</v>
      </c>
      <c r="H4029">
        <v>1079</v>
      </c>
      <c r="I4029" s="2">
        <v>2399</v>
      </c>
      <c r="J4029" s="2" t="s">
        <v>25</v>
      </c>
      <c r="K4029" s="2" t="s">
        <v>20</v>
      </c>
      <c r="L4029" s="2">
        <v>4</v>
      </c>
      <c r="M4029" s="2">
        <v>526</v>
      </c>
      <c r="P4029" t="str">
        <f t="shared" si="251"/>
        <v>55%</v>
      </c>
      <c r="Q4029" s="12">
        <f t="shared" si="248"/>
        <v>0.55000000000000004</v>
      </c>
      <c r="R4029" s="9">
        <f t="shared" si="249"/>
        <v>1079.55</v>
      </c>
      <c r="S4029" s="9">
        <f>IF(R4029="",AVERAGEIF(Table1[Category],Table1[[#This Row],[Category]],Table2[orignal data]),Table2[[#This Row],[orignal data]])</f>
        <v>1079.55</v>
      </c>
      <c r="T4029" t="str">
        <f t="shared" si="250"/>
        <v>UNIQUE</v>
      </c>
      <c r="U4029" t="str">
        <f>IF(ISBLANK(Table1[[#This Row],[SizeOption]]),"NOT AVAILABLE",Table1[[#This Row],[SizeOption]])</f>
        <v>28, 30, 32, 34, 36</v>
      </c>
      <c r="Y4029" t="str">
        <f>IF(Table2[[#This Row],[Column1]]&gt;50%,"HIGH DISCOUNT","LOW DISCOUNT")</f>
        <v>HIGH DISCOUNT</v>
      </c>
    </row>
    <row r="4030" spans="1:25" x14ac:dyDescent="0.25">
      <c r="A4030" s="1" t="s">
        <v>8280</v>
      </c>
      <c r="B4030" s="1">
        <v>13249742</v>
      </c>
      <c r="C4030" s="1" t="s">
        <v>14</v>
      </c>
      <c r="D4030" s="1" t="s">
        <v>15</v>
      </c>
      <c r="E4030" s="1" t="s">
        <v>16</v>
      </c>
      <c r="F4030" s="1" t="s">
        <v>17</v>
      </c>
      <c r="G4030" s="1" t="s">
        <v>8281</v>
      </c>
      <c r="H4030">
        <v>799</v>
      </c>
      <c r="I4030" s="1">
        <v>1999</v>
      </c>
      <c r="J4030" s="1" t="s">
        <v>55</v>
      </c>
      <c r="K4030" s="1" t="s">
        <v>20</v>
      </c>
      <c r="L4030" s="1">
        <v>3.9</v>
      </c>
      <c r="M4030" s="1">
        <v>526</v>
      </c>
      <c r="P4030" t="str">
        <f t="shared" si="251"/>
        <v>60%</v>
      </c>
      <c r="Q4030" s="12">
        <f t="shared" si="248"/>
        <v>0.6</v>
      </c>
      <c r="R4030" s="9">
        <f t="shared" si="249"/>
        <v>799.60000000000014</v>
      </c>
      <c r="S4030" s="9">
        <f>IF(R4030="",AVERAGEIF(Table1[Category],Table1[[#This Row],[Category]],Table2[orignal data]),Table2[[#This Row],[orignal data]])</f>
        <v>799.60000000000014</v>
      </c>
      <c r="T4030" t="str">
        <f t="shared" si="250"/>
        <v>UNIQUE</v>
      </c>
      <c r="U4030" t="str">
        <f>IF(ISBLANK(Table1[[#This Row],[SizeOption]]),"NOT AVAILABLE",Table1[[#This Row],[SizeOption]])</f>
        <v>28, 30, 32, 34, 36</v>
      </c>
      <c r="Y4030" t="str">
        <f>IF(Table2[[#This Row],[Column1]]&gt;50%,"HIGH DISCOUNT","LOW DISCOUNT")</f>
        <v>HIGH DISCOUNT</v>
      </c>
    </row>
    <row r="4031" spans="1:25" x14ac:dyDescent="0.25">
      <c r="A4031" s="2" t="s">
        <v>8282</v>
      </c>
      <c r="B4031" s="2">
        <v>10382757</v>
      </c>
      <c r="C4031" s="2" t="s">
        <v>8283</v>
      </c>
      <c r="D4031" s="2" t="s">
        <v>197</v>
      </c>
      <c r="E4031" s="2" t="s">
        <v>198</v>
      </c>
      <c r="F4031" s="2" t="s">
        <v>17</v>
      </c>
      <c r="G4031" s="2" t="s">
        <v>8284</v>
      </c>
      <c r="H4031">
        <v>524</v>
      </c>
      <c r="I4031" s="2">
        <v>749</v>
      </c>
      <c r="J4031" s="2" t="s">
        <v>186</v>
      </c>
      <c r="K4031" s="2" t="s">
        <v>164</v>
      </c>
      <c r="L4031" s="2">
        <v>4.3</v>
      </c>
      <c r="M4031" s="2">
        <v>526</v>
      </c>
      <c r="P4031" t="str">
        <f t="shared" si="251"/>
        <v>30%</v>
      </c>
      <c r="Q4031" s="12">
        <f t="shared" si="248"/>
        <v>0.3</v>
      </c>
      <c r="R4031" s="9">
        <f t="shared" si="249"/>
        <v>524.29999999999995</v>
      </c>
      <c r="S4031" s="9">
        <f>IF(R4031="",AVERAGEIF(Table1[Category],Table1[[#This Row],[Category]],Table2[orignal data]),Table2[[#This Row],[orignal data]])</f>
        <v>524.29999999999995</v>
      </c>
      <c r="T4031" t="str">
        <f t="shared" si="250"/>
        <v>UNIQUE</v>
      </c>
      <c r="U4031" t="str">
        <f>IF(ISBLANK(Table1[[#This Row],[SizeOption]]),"NOT AVAILABLE",Table1[[#This Row],[SizeOption]])</f>
        <v>Onesize</v>
      </c>
      <c r="Y4031" t="str">
        <f>IF(Table2[[#This Row],[Column1]]&gt;50%,"HIGH DISCOUNT","LOW DISCOUNT")</f>
        <v>LOW DISCOUNT</v>
      </c>
    </row>
    <row r="4032" spans="1:25" x14ac:dyDescent="0.25">
      <c r="A4032" s="1" t="s">
        <v>8285</v>
      </c>
      <c r="B4032" s="1">
        <v>11781626</v>
      </c>
      <c r="C4032" s="1" t="s">
        <v>346</v>
      </c>
      <c r="D4032" s="1" t="s">
        <v>28</v>
      </c>
      <c r="E4032" s="1" t="s">
        <v>29</v>
      </c>
      <c r="F4032" s="1" t="s">
        <v>17</v>
      </c>
      <c r="G4032" s="1" t="s">
        <v>8286</v>
      </c>
      <c r="H4032">
        <v>764</v>
      </c>
      <c r="I4032" s="1">
        <v>1699</v>
      </c>
      <c r="J4032" s="1" t="s">
        <v>25</v>
      </c>
      <c r="K4032" s="1" t="s">
        <v>253</v>
      </c>
      <c r="L4032" s="1">
        <v>4.3</v>
      </c>
      <c r="M4032" s="1">
        <v>526</v>
      </c>
      <c r="P4032" t="str">
        <f t="shared" si="251"/>
        <v>55%</v>
      </c>
      <c r="Q4032" s="12">
        <f t="shared" si="248"/>
        <v>0.55000000000000004</v>
      </c>
      <c r="R4032" s="9">
        <f t="shared" si="249"/>
        <v>764.55</v>
      </c>
      <c r="S4032" s="9">
        <f>IF(R4032="",AVERAGEIF(Table1[Category],Table1[[#This Row],[Category]],Table2[orignal data]),Table2[[#This Row],[orignal data]])</f>
        <v>764.55</v>
      </c>
      <c r="T4032" t="str">
        <f t="shared" si="250"/>
        <v>UNIQUE</v>
      </c>
      <c r="U4032" t="str">
        <f>IF(ISBLANK(Table1[[#This Row],[SizeOption]]),"NOT AVAILABLE",Table1[[#This Row],[SizeOption]])</f>
        <v>38, 40, 42, 44</v>
      </c>
      <c r="Y4032" t="str">
        <f>IF(Table2[[#This Row],[Column1]]&gt;50%,"HIGH DISCOUNT","LOW DISCOUNT")</f>
        <v>HIGH DISCOUNT</v>
      </c>
    </row>
    <row r="4033" spans="1:25" x14ac:dyDescent="0.25">
      <c r="A4033" s="2" t="s">
        <v>8287</v>
      </c>
      <c r="B4033" s="2">
        <v>10669746</v>
      </c>
      <c r="C4033" s="2" t="s">
        <v>2823</v>
      </c>
      <c r="D4033" s="2" t="s">
        <v>28</v>
      </c>
      <c r="E4033" s="2" t="s">
        <v>42</v>
      </c>
      <c r="F4033" s="2" t="s">
        <v>17</v>
      </c>
      <c r="G4033" s="2" t="s">
        <v>3141</v>
      </c>
      <c r="H4033">
        <v>659</v>
      </c>
      <c r="I4033" s="2">
        <v>1998</v>
      </c>
      <c r="J4033" s="2" t="s">
        <v>543</v>
      </c>
      <c r="K4033" s="2" t="s">
        <v>39</v>
      </c>
      <c r="L4033" s="2">
        <v>4.0999999999999996</v>
      </c>
      <c r="M4033" s="2">
        <v>526</v>
      </c>
      <c r="P4033" t="str">
        <f t="shared" si="251"/>
        <v>67%</v>
      </c>
      <c r="Q4033" s="12">
        <f t="shared" si="248"/>
        <v>0.67</v>
      </c>
      <c r="R4033" s="9">
        <f t="shared" si="249"/>
        <v>659.33999999999992</v>
      </c>
      <c r="S4033" s="9">
        <f>IF(R4033="",AVERAGEIF(Table1[Category],Table1[[#This Row],[Category]],Table2[orignal data]),Table2[[#This Row],[orignal data]])</f>
        <v>659.33999999999992</v>
      </c>
      <c r="T4033" t="str">
        <f t="shared" si="250"/>
        <v>UNIQUE</v>
      </c>
      <c r="U4033" t="str">
        <f>IF(ISBLANK(Table1[[#This Row],[SizeOption]]),"NOT AVAILABLE",Table1[[#This Row],[SizeOption]])</f>
        <v>S, M, L, XL, XXL</v>
      </c>
      <c r="Y4033" t="str">
        <f>IF(Table2[[#This Row],[Column1]]&gt;50%,"HIGH DISCOUNT","LOW DISCOUNT")</f>
        <v>HIGH DISCOUNT</v>
      </c>
    </row>
    <row r="4034" spans="1:25" x14ac:dyDescent="0.25">
      <c r="A4034" s="1" t="s">
        <v>8288</v>
      </c>
      <c r="B4034" s="1">
        <v>3082388</v>
      </c>
      <c r="C4034" s="1" t="s">
        <v>47</v>
      </c>
      <c r="D4034" s="1" t="s">
        <v>28</v>
      </c>
      <c r="E4034" s="1" t="s">
        <v>42</v>
      </c>
      <c r="F4034" s="1" t="s">
        <v>17</v>
      </c>
      <c r="G4034" s="1" t="s">
        <v>8289</v>
      </c>
      <c r="H4034">
        <v>319</v>
      </c>
      <c r="I4034" s="1">
        <v>799</v>
      </c>
      <c r="J4034" s="1" t="s">
        <v>55</v>
      </c>
      <c r="K4034" s="1" t="s">
        <v>26</v>
      </c>
      <c r="L4034" s="1">
        <v>4.2</v>
      </c>
      <c r="M4034" s="1">
        <v>526</v>
      </c>
      <c r="P4034" t="str">
        <f t="shared" si="251"/>
        <v>60%</v>
      </c>
      <c r="Q4034" s="12">
        <f t="shared" ref="Q4034:Q4097" si="252">IF(P4034="","",IF(ISNUMBER(SEARCH("%",P4034)),P4034,P4034/I4034)*100%)</f>
        <v>0.6</v>
      </c>
      <c r="R4034" s="9">
        <f t="shared" ref="R4034:R4097" si="253">IF(P4034="","",I4034-(I4034*Q4034))</f>
        <v>319.60000000000002</v>
      </c>
      <c r="S4034" s="9">
        <f>IF(R4034="",AVERAGEIF(Table1[Category],Table1[[#This Row],[Category]],Table2[orignal data]),Table2[[#This Row],[orignal data]])</f>
        <v>319.60000000000002</v>
      </c>
      <c r="T4034" t="str">
        <f t="shared" ref="T4034:T4097" si="254">IF(COUNTIF($B$2:$B$5000,B4034)&gt;1,"DUPLICATE","UNIQUE")</f>
        <v>UNIQUE</v>
      </c>
      <c r="U4034" t="str">
        <f>IF(ISBLANK(Table1[[#This Row],[SizeOption]]),"NOT AVAILABLE",Table1[[#This Row],[SizeOption]])</f>
        <v>S, M, L, XL</v>
      </c>
      <c r="Y4034" t="str">
        <f>IF(Table2[[#This Row],[Column1]]&gt;50%,"HIGH DISCOUNT","LOW DISCOUNT")</f>
        <v>HIGH DISCOUNT</v>
      </c>
    </row>
    <row r="4035" spans="1:25" x14ac:dyDescent="0.25">
      <c r="A4035" s="2" t="s">
        <v>8290</v>
      </c>
      <c r="B4035" s="2">
        <v>12003948</v>
      </c>
      <c r="C4035" s="2" t="s">
        <v>14</v>
      </c>
      <c r="D4035" s="2" t="s">
        <v>28</v>
      </c>
      <c r="E4035" s="2" t="s">
        <v>42</v>
      </c>
      <c r="F4035" s="2" t="s">
        <v>17</v>
      </c>
      <c r="G4035" s="2" t="s">
        <v>8291</v>
      </c>
      <c r="H4035">
        <v>499</v>
      </c>
      <c r="I4035" s="2">
        <v>999</v>
      </c>
      <c r="J4035" s="2" t="s">
        <v>84</v>
      </c>
      <c r="K4035" s="2" t="s">
        <v>73</v>
      </c>
      <c r="L4035" s="2">
        <v>4.3</v>
      </c>
      <c r="M4035" s="2">
        <v>526</v>
      </c>
      <c r="P4035" t="str">
        <f t="shared" ref="P4035:P4098" si="255">TRIM(SUBSTITUTE(SUBSTITUTE(SUBSTITUTE(SUBSTITUTE(J4035,"OFF",""),"Rs.",""),"Hurry*",""),",",""))</f>
        <v>50%</v>
      </c>
      <c r="Q4035" s="12">
        <f t="shared" si="252"/>
        <v>0.5</v>
      </c>
      <c r="R4035" s="9">
        <f t="shared" si="253"/>
        <v>499.5</v>
      </c>
      <c r="S4035" s="9">
        <f>IF(R4035="",AVERAGEIF(Table1[Category],Table1[[#This Row],[Category]],Table2[orignal data]),Table2[[#This Row],[orignal data]])</f>
        <v>499.5</v>
      </c>
      <c r="T4035" t="str">
        <f t="shared" si="254"/>
        <v>UNIQUE</v>
      </c>
      <c r="U4035" t="str">
        <f>IF(ISBLANK(Table1[[#This Row],[SizeOption]]),"NOT AVAILABLE",Table1[[#This Row],[SizeOption]])</f>
        <v>XS, S, M, L, XL, XXL, 3XL, 4XL</v>
      </c>
      <c r="Y4035" t="str">
        <f>IF(Table2[[#This Row],[Column1]]&gt;50%,"HIGH DISCOUNT","LOW DISCOUNT")</f>
        <v>LOW DISCOUNT</v>
      </c>
    </row>
    <row r="4036" spans="1:25" x14ac:dyDescent="0.25">
      <c r="A4036" s="1" t="s">
        <v>8292</v>
      </c>
      <c r="B4036" s="1">
        <v>15258520</v>
      </c>
      <c r="C4036" s="1" t="s">
        <v>1013</v>
      </c>
      <c r="D4036" s="1" t="s">
        <v>76</v>
      </c>
      <c r="E4036" s="1" t="s">
        <v>77</v>
      </c>
      <c r="F4036" s="1" t="s">
        <v>36</v>
      </c>
      <c r="G4036" s="1" t="s">
        <v>8293</v>
      </c>
      <c r="H4036">
        <v>1823</v>
      </c>
      <c r="I4036" s="1">
        <v>4799</v>
      </c>
      <c r="J4036" s="1" t="s">
        <v>126</v>
      </c>
      <c r="K4036" s="1" t="s">
        <v>115</v>
      </c>
      <c r="L4036" s="1">
        <v>4.0999999999999996</v>
      </c>
      <c r="M4036" s="1">
        <v>526</v>
      </c>
      <c r="P4036" t="str">
        <f t="shared" si="255"/>
        <v>62%</v>
      </c>
      <c r="Q4036" s="12">
        <f t="shared" si="252"/>
        <v>0.62</v>
      </c>
      <c r="R4036" s="9">
        <f t="shared" si="253"/>
        <v>1823.62</v>
      </c>
      <c r="S4036" s="9">
        <f>IF(R4036="",AVERAGEIF(Table1[Category],Table1[[#This Row],[Category]],Table2[orignal data]),Table2[[#This Row],[orignal data]])</f>
        <v>1823.62</v>
      </c>
      <c r="T4036" t="str">
        <f t="shared" si="254"/>
        <v>UNIQUE</v>
      </c>
      <c r="U4036" t="str">
        <f>IF(ISBLANK(Table1[[#This Row],[SizeOption]]),"NOT AVAILABLE",Table1[[#This Row],[SizeOption]])</f>
        <v>XS, S, M, L, XL, XXL</v>
      </c>
      <c r="Y4036" t="str">
        <f>IF(Table2[[#This Row],[Column1]]&gt;50%,"HIGH DISCOUNT","LOW DISCOUNT")</f>
        <v>HIGH DISCOUNT</v>
      </c>
    </row>
    <row r="4037" spans="1:25" x14ac:dyDescent="0.25">
      <c r="A4037" s="2" t="s">
        <v>8294</v>
      </c>
      <c r="B4037" s="2">
        <v>12889032</v>
      </c>
      <c r="C4037" s="2" t="s">
        <v>3855</v>
      </c>
      <c r="D4037" s="2" t="s">
        <v>76</v>
      </c>
      <c r="E4037" s="2" t="s">
        <v>1411</v>
      </c>
      <c r="F4037" s="2" t="s">
        <v>36</v>
      </c>
      <c r="G4037" s="2" t="s">
        <v>8295</v>
      </c>
      <c r="H4037">
        <v>399</v>
      </c>
      <c r="I4037" s="2">
        <v>499</v>
      </c>
      <c r="J4037" s="2" t="s">
        <v>412</v>
      </c>
      <c r="K4037" s="2" t="s">
        <v>164</v>
      </c>
      <c r="L4037" s="2">
        <v>4.4000000000000004</v>
      </c>
      <c r="M4037" s="2">
        <v>526</v>
      </c>
      <c r="P4037" t="str">
        <f t="shared" si="255"/>
        <v>20%</v>
      </c>
      <c r="Q4037" s="12">
        <f t="shared" si="252"/>
        <v>0.2</v>
      </c>
      <c r="R4037" s="9">
        <f t="shared" si="253"/>
        <v>399.2</v>
      </c>
      <c r="S4037" s="9">
        <f>IF(R4037="",AVERAGEIF(Table1[Category],Table1[[#This Row],[Category]],Table2[orignal data]),Table2[[#This Row],[orignal data]])</f>
        <v>399.2</v>
      </c>
      <c r="T4037" t="str">
        <f t="shared" si="254"/>
        <v>UNIQUE</v>
      </c>
      <c r="U4037" t="str">
        <f>IF(ISBLANK(Table1[[#This Row],[SizeOption]]),"NOT AVAILABLE",Table1[[#This Row],[SizeOption]])</f>
        <v>Onesize</v>
      </c>
      <c r="Y4037" t="str">
        <f>IF(Table2[[#This Row],[Column1]]&gt;50%,"HIGH DISCOUNT","LOW DISCOUNT")</f>
        <v>LOW DISCOUNT</v>
      </c>
    </row>
    <row r="4038" spans="1:25" x14ac:dyDescent="0.25">
      <c r="A4038" s="1" t="s">
        <v>8296</v>
      </c>
      <c r="B4038" s="1">
        <v>11966630</v>
      </c>
      <c r="C4038" s="1" t="s">
        <v>4422</v>
      </c>
      <c r="D4038" s="1" t="s">
        <v>34</v>
      </c>
      <c r="E4038" s="1" t="s">
        <v>406</v>
      </c>
      <c r="F4038" s="1" t="s">
        <v>36</v>
      </c>
      <c r="G4038" s="1" t="s">
        <v>8297</v>
      </c>
      <c r="H4038">
        <v>854</v>
      </c>
      <c r="I4038" s="1">
        <v>1499</v>
      </c>
      <c r="J4038" s="1" t="s">
        <v>4424</v>
      </c>
      <c r="K4038" s="1" t="s">
        <v>39</v>
      </c>
      <c r="L4038" s="1">
        <v>4.3</v>
      </c>
      <c r="M4038" s="1">
        <v>526</v>
      </c>
      <c r="P4038" t="str">
        <f t="shared" si="255"/>
        <v>43 %</v>
      </c>
      <c r="Q4038" s="12">
        <f t="shared" si="252"/>
        <v>0.43</v>
      </c>
      <c r="R4038" s="9">
        <f t="shared" si="253"/>
        <v>854.43000000000006</v>
      </c>
      <c r="S4038" s="9">
        <f>IF(R4038="",AVERAGEIF(Table1[Category],Table1[[#This Row],[Category]],Table2[orignal data]),Table2[[#This Row],[orignal data]])</f>
        <v>854.43000000000006</v>
      </c>
      <c r="T4038" t="str">
        <f t="shared" si="254"/>
        <v>UNIQUE</v>
      </c>
      <c r="U4038" t="str">
        <f>IF(ISBLANK(Table1[[#This Row],[SizeOption]]),"NOT AVAILABLE",Table1[[#This Row],[SizeOption]])</f>
        <v>S, M, L, XL, XXL</v>
      </c>
      <c r="Y4038" t="str">
        <f>IF(Table2[[#This Row],[Column1]]&gt;50%,"HIGH DISCOUNT","LOW DISCOUNT")</f>
        <v>LOW DISCOUNT</v>
      </c>
    </row>
    <row r="4039" spans="1:25" x14ac:dyDescent="0.25">
      <c r="A4039" s="2" t="s">
        <v>8298</v>
      </c>
      <c r="B4039" s="2">
        <v>12302822</v>
      </c>
      <c r="C4039" s="2" t="s">
        <v>117</v>
      </c>
      <c r="D4039" s="2" t="s">
        <v>34</v>
      </c>
      <c r="E4039" s="2" t="s">
        <v>2168</v>
      </c>
      <c r="F4039" s="2" t="s">
        <v>36</v>
      </c>
      <c r="G4039" s="2" t="s">
        <v>8299</v>
      </c>
      <c r="I4039" s="2">
        <v>299</v>
      </c>
      <c r="J4039" s="2"/>
      <c r="K4039" s="2" t="s">
        <v>26</v>
      </c>
      <c r="L4039" s="2">
        <v>4.5</v>
      </c>
      <c r="M4039" s="2">
        <v>526</v>
      </c>
      <c r="P4039" t="str">
        <f t="shared" si="255"/>
        <v/>
      </c>
      <c r="Q4039" s="12" t="str">
        <f t="shared" si="252"/>
        <v/>
      </c>
      <c r="R4039" s="9" t="str">
        <f t="shared" si="253"/>
        <v/>
      </c>
      <c r="S4039" s="9">
        <f>IF(R4039="",AVERAGEIF(Table1[Category],Table1[[#This Row],[Category]],Table2[orignal data]),Table2[[#This Row],[orignal data]])</f>
        <v>608.88518518518481</v>
      </c>
      <c r="T4039" t="str">
        <f t="shared" si="254"/>
        <v>UNIQUE</v>
      </c>
      <c r="U4039" t="str">
        <f>IF(ISBLANK(Table1[[#This Row],[SizeOption]]),"NOT AVAILABLE",Table1[[#This Row],[SizeOption]])</f>
        <v>S, M, L, XL</v>
      </c>
      <c r="Y4039" t="str">
        <f>IF(Table2[[#This Row],[Column1]]&gt;50%,"HIGH DISCOUNT","LOW DISCOUNT")</f>
        <v>HIGH DISCOUNT</v>
      </c>
    </row>
    <row r="4040" spans="1:25" x14ac:dyDescent="0.25">
      <c r="A4040" s="1" t="s">
        <v>8300</v>
      </c>
      <c r="B4040" s="1">
        <v>12512204</v>
      </c>
      <c r="C4040" s="1" t="s">
        <v>3035</v>
      </c>
      <c r="D4040" s="1" t="s">
        <v>34</v>
      </c>
      <c r="E4040" s="1" t="s">
        <v>296</v>
      </c>
      <c r="F4040" s="1" t="s">
        <v>36</v>
      </c>
      <c r="G4040" s="1" t="s">
        <v>8301</v>
      </c>
      <c r="H4040">
        <v>279</v>
      </c>
      <c r="I4040" s="1">
        <v>699</v>
      </c>
      <c r="J4040" s="1" t="s">
        <v>55</v>
      </c>
      <c r="K4040" s="1" t="s">
        <v>234</v>
      </c>
      <c r="L4040" s="1">
        <v>4.3</v>
      </c>
      <c r="M4040" s="1">
        <v>526</v>
      </c>
      <c r="P4040" t="str">
        <f t="shared" si="255"/>
        <v>60%</v>
      </c>
      <c r="Q4040" s="12">
        <f t="shared" si="252"/>
        <v>0.6</v>
      </c>
      <c r="R4040" s="9">
        <f t="shared" si="253"/>
        <v>279.60000000000002</v>
      </c>
      <c r="S4040" s="9">
        <f>IF(R4040="",AVERAGEIF(Table1[Category],Table1[[#This Row],[Category]],Table2[orignal data]),Table2[[#This Row],[orignal data]])</f>
        <v>279.60000000000002</v>
      </c>
      <c r="T4040" t="str">
        <f t="shared" si="254"/>
        <v>UNIQUE</v>
      </c>
      <c r="U4040" t="str">
        <f>IF(ISBLANK(Table1[[#This Row],[SizeOption]]),"NOT AVAILABLE",Table1[[#This Row],[SizeOption]])</f>
        <v>S, M, L, XL, XXL, 3XL</v>
      </c>
      <c r="Y4040" t="str">
        <f>IF(Table2[[#This Row],[Column1]]&gt;50%,"HIGH DISCOUNT","LOW DISCOUNT")</f>
        <v>HIGH DISCOUNT</v>
      </c>
    </row>
    <row r="4041" spans="1:25" x14ac:dyDescent="0.25">
      <c r="A4041" s="2" t="s">
        <v>8302</v>
      </c>
      <c r="B4041" s="2">
        <v>8004797</v>
      </c>
      <c r="C4041" s="2" t="s">
        <v>64</v>
      </c>
      <c r="D4041" s="2" t="s">
        <v>98</v>
      </c>
      <c r="E4041" s="2" t="s">
        <v>93</v>
      </c>
      <c r="F4041" s="2" t="s">
        <v>36</v>
      </c>
      <c r="G4041" s="2" t="s">
        <v>8303</v>
      </c>
      <c r="H4041">
        <v>539</v>
      </c>
      <c r="I4041" s="2">
        <v>1799</v>
      </c>
      <c r="J4041" s="2" t="s">
        <v>1566</v>
      </c>
      <c r="K4041" s="2" t="s">
        <v>234</v>
      </c>
      <c r="L4041" s="2">
        <v>4</v>
      </c>
      <c r="M4041" s="2">
        <v>526</v>
      </c>
      <c r="P4041" t="str">
        <f t="shared" si="255"/>
        <v>70%</v>
      </c>
      <c r="Q4041" s="12">
        <f t="shared" si="252"/>
        <v>0.7</v>
      </c>
      <c r="R4041" s="9">
        <f t="shared" si="253"/>
        <v>539.70000000000005</v>
      </c>
      <c r="S4041" s="9">
        <f>IF(R4041="",AVERAGEIF(Table1[Category],Table1[[#This Row],[Category]],Table2[orignal data]),Table2[[#This Row],[orignal data]])</f>
        <v>539.70000000000005</v>
      </c>
      <c r="T4041" t="str">
        <f t="shared" si="254"/>
        <v>UNIQUE</v>
      </c>
      <c r="U4041" t="str">
        <f>IF(ISBLANK(Table1[[#This Row],[SizeOption]]),"NOT AVAILABLE",Table1[[#This Row],[SizeOption]])</f>
        <v>S, M, L, XL, XXL, 3XL</v>
      </c>
      <c r="Y4041" t="str">
        <f>IF(Table2[[#This Row],[Column1]]&gt;50%,"HIGH DISCOUNT","LOW DISCOUNT")</f>
        <v>HIGH DISCOUNT</v>
      </c>
    </row>
    <row r="4042" spans="1:25" x14ac:dyDescent="0.25">
      <c r="A4042" s="1" t="s">
        <v>8304</v>
      </c>
      <c r="B4042" s="1">
        <v>13437288</v>
      </c>
      <c r="C4042" s="1" t="s">
        <v>97</v>
      </c>
      <c r="D4042" s="1" t="s">
        <v>98</v>
      </c>
      <c r="E4042" s="1" t="s">
        <v>77</v>
      </c>
      <c r="F4042" s="1" t="s">
        <v>36</v>
      </c>
      <c r="G4042" s="1" t="s">
        <v>8305</v>
      </c>
      <c r="H4042">
        <v>839</v>
      </c>
      <c r="I4042" s="1">
        <v>2799</v>
      </c>
      <c r="J4042" s="1" t="s">
        <v>79</v>
      </c>
      <c r="K4042" s="1" t="s">
        <v>100</v>
      </c>
      <c r="L4042" s="1">
        <v>4.2</v>
      </c>
      <c r="M4042" s="1">
        <v>526</v>
      </c>
      <c r="P4042" t="str">
        <f t="shared" si="255"/>
        <v>70%</v>
      </c>
      <c r="Q4042" s="12">
        <f t="shared" si="252"/>
        <v>0.7</v>
      </c>
      <c r="R4042" s="9">
        <f t="shared" si="253"/>
        <v>839.7</v>
      </c>
      <c r="S4042" s="9">
        <f>IF(R4042="",AVERAGEIF(Table1[Category],Table1[[#This Row],[Category]],Table2[orignal data]),Table2[[#This Row],[orignal data]])</f>
        <v>839.7</v>
      </c>
      <c r="T4042" t="str">
        <f t="shared" si="254"/>
        <v>UNIQUE</v>
      </c>
      <c r="U4042" t="str">
        <f>IF(ISBLANK(Table1[[#This Row],[SizeOption]]),"NOT AVAILABLE",Table1[[#This Row],[SizeOption]])</f>
        <v>XS, S, M, L, XL, XXL, 3XL</v>
      </c>
      <c r="Y4042" t="str">
        <f>IF(Table2[[#This Row],[Column1]]&gt;50%,"HIGH DISCOUNT","LOW DISCOUNT")</f>
        <v>HIGH DISCOUNT</v>
      </c>
    </row>
    <row r="4043" spans="1:25" x14ac:dyDescent="0.25">
      <c r="A4043" s="2" t="s">
        <v>8306</v>
      </c>
      <c r="B4043" s="2">
        <v>13437232</v>
      </c>
      <c r="C4043" s="2" t="s">
        <v>97</v>
      </c>
      <c r="D4043" s="2" t="s">
        <v>98</v>
      </c>
      <c r="E4043" s="2" t="s">
        <v>77</v>
      </c>
      <c r="F4043" s="2" t="s">
        <v>36</v>
      </c>
      <c r="G4043" s="2" t="s">
        <v>8307</v>
      </c>
      <c r="H4043">
        <v>899</v>
      </c>
      <c r="I4043" s="2">
        <v>2999</v>
      </c>
      <c r="J4043" s="2" t="s">
        <v>79</v>
      </c>
      <c r="K4043" s="2" t="s">
        <v>100</v>
      </c>
      <c r="L4043" s="2">
        <v>4</v>
      </c>
      <c r="M4043" s="2">
        <v>526</v>
      </c>
      <c r="P4043" t="str">
        <f t="shared" si="255"/>
        <v>70%</v>
      </c>
      <c r="Q4043" s="12">
        <f t="shared" si="252"/>
        <v>0.7</v>
      </c>
      <c r="R4043" s="9">
        <f t="shared" si="253"/>
        <v>899.70000000000027</v>
      </c>
      <c r="S4043" s="9">
        <f>IF(R4043="",AVERAGEIF(Table1[Category],Table1[[#This Row],[Category]],Table2[orignal data]),Table2[[#This Row],[orignal data]])</f>
        <v>899.70000000000027</v>
      </c>
      <c r="T4043" t="str">
        <f t="shared" si="254"/>
        <v>UNIQUE</v>
      </c>
      <c r="U4043" t="str">
        <f>IF(ISBLANK(Table1[[#This Row],[SizeOption]]),"NOT AVAILABLE",Table1[[#This Row],[SizeOption]])</f>
        <v>XS, S, M, L, XL, XXL, 3XL</v>
      </c>
      <c r="Y4043" t="str">
        <f>IF(Table2[[#This Row],[Column1]]&gt;50%,"HIGH DISCOUNT","LOW DISCOUNT")</f>
        <v>HIGH DISCOUNT</v>
      </c>
    </row>
    <row r="4044" spans="1:25" x14ac:dyDescent="0.25">
      <c r="A4044" s="1" t="s">
        <v>8308</v>
      </c>
      <c r="B4044" s="1">
        <v>10926076</v>
      </c>
      <c r="C4044" s="1" t="s">
        <v>8309</v>
      </c>
      <c r="D4044" s="1" t="s">
        <v>41</v>
      </c>
      <c r="E4044" s="1" t="s">
        <v>42</v>
      </c>
      <c r="F4044" s="1" t="s">
        <v>36</v>
      </c>
      <c r="G4044" s="1" t="s">
        <v>8310</v>
      </c>
      <c r="I4044" s="1">
        <v>1099</v>
      </c>
      <c r="J4044" s="1" t="s">
        <v>4409</v>
      </c>
      <c r="K4044" s="1" t="s">
        <v>45</v>
      </c>
      <c r="L4044" s="1">
        <v>4.5</v>
      </c>
      <c r="M4044" s="1">
        <v>526</v>
      </c>
      <c r="P4044" t="str">
        <f t="shared" si="255"/>
        <v>600</v>
      </c>
      <c r="Q4044" s="12">
        <f t="shared" si="252"/>
        <v>0.54595086442220198</v>
      </c>
      <c r="R4044" s="9">
        <f t="shared" si="253"/>
        <v>499</v>
      </c>
      <c r="S4044" s="9">
        <f>IF(R4044="",AVERAGEIF(Table1[Category],Table1[[#This Row],[Category]],Table2[orignal data]),Table2[[#This Row],[orignal data]])</f>
        <v>499</v>
      </c>
      <c r="T4044" t="str">
        <f t="shared" si="254"/>
        <v>UNIQUE</v>
      </c>
      <c r="U4044" t="str">
        <f>IF(ISBLANK(Table1[[#This Row],[SizeOption]]),"NOT AVAILABLE",Table1[[#This Row],[SizeOption]])</f>
        <v>XS, S, M, L, XL</v>
      </c>
      <c r="Y4044" t="str">
        <f>IF(Table2[[#This Row],[Column1]]&gt;50%,"HIGH DISCOUNT","LOW DISCOUNT")</f>
        <v>HIGH DISCOUNT</v>
      </c>
    </row>
    <row r="4045" spans="1:25" x14ac:dyDescent="0.25">
      <c r="A4045" s="2" t="s">
        <v>8311</v>
      </c>
      <c r="B4045" s="2">
        <v>12288160</v>
      </c>
      <c r="C4045" s="2" t="s">
        <v>181</v>
      </c>
      <c r="D4045" s="2" t="s">
        <v>41</v>
      </c>
      <c r="E4045" s="2" t="s">
        <v>368</v>
      </c>
      <c r="F4045" s="2" t="s">
        <v>36</v>
      </c>
      <c r="G4045" s="2" t="s">
        <v>8312</v>
      </c>
      <c r="I4045" s="2">
        <v>1299</v>
      </c>
      <c r="J4045" s="2" t="s">
        <v>84</v>
      </c>
      <c r="K4045" s="2" t="s">
        <v>428</v>
      </c>
      <c r="L4045" s="2">
        <v>4.0999999999999996</v>
      </c>
      <c r="M4045" s="2">
        <v>526</v>
      </c>
      <c r="P4045" t="str">
        <f t="shared" si="255"/>
        <v>50%</v>
      </c>
      <c r="Q4045" s="12">
        <f t="shared" si="252"/>
        <v>0.5</v>
      </c>
      <c r="R4045" s="9">
        <f t="shared" si="253"/>
        <v>649.5</v>
      </c>
      <c r="S4045" s="9">
        <f>IF(R4045="",AVERAGEIF(Table1[Category],Table1[[#This Row],[Category]],Table2[orignal data]),Table2[[#This Row],[orignal data]])</f>
        <v>649.5</v>
      </c>
      <c r="T4045" t="str">
        <f t="shared" si="254"/>
        <v>UNIQUE</v>
      </c>
      <c r="U4045" t="str">
        <f>IF(ISBLANK(Table1[[#This Row],[SizeOption]]),"NOT AVAILABLE",Table1[[#This Row],[SizeOption]])</f>
        <v>26, 28, 30, 32, 34</v>
      </c>
      <c r="Y4045" t="str">
        <f>IF(Table2[[#This Row],[Column1]]&gt;50%,"HIGH DISCOUNT","LOW DISCOUNT")</f>
        <v>LOW DISCOUNT</v>
      </c>
    </row>
    <row r="4046" spans="1:25" x14ac:dyDescent="0.25">
      <c r="A4046" s="1" t="s">
        <v>8313</v>
      </c>
      <c r="B4046" s="1">
        <v>17385144</v>
      </c>
      <c r="C4046" s="1" t="s">
        <v>14</v>
      </c>
      <c r="D4046" s="1" t="s">
        <v>41</v>
      </c>
      <c r="E4046" s="1" t="s">
        <v>42</v>
      </c>
      <c r="F4046" s="1" t="s">
        <v>36</v>
      </c>
      <c r="G4046" s="1" t="s">
        <v>2373</v>
      </c>
      <c r="I4046" s="1">
        <v>1398</v>
      </c>
      <c r="J4046" s="1" t="s">
        <v>84</v>
      </c>
      <c r="K4046" s="1" t="s">
        <v>45</v>
      </c>
      <c r="L4046" s="1">
        <v>4.4000000000000004</v>
      </c>
      <c r="M4046" s="1">
        <v>526</v>
      </c>
      <c r="P4046" t="str">
        <f t="shared" si="255"/>
        <v>50%</v>
      </c>
      <c r="Q4046" s="12">
        <f t="shared" si="252"/>
        <v>0.5</v>
      </c>
      <c r="R4046" s="9">
        <f t="shared" si="253"/>
        <v>699</v>
      </c>
      <c r="S4046" s="9">
        <f>IF(R4046="",AVERAGEIF(Table1[Category],Table1[[#This Row],[Category]],Table2[orignal data]),Table2[[#This Row],[orignal data]])</f>
        <v>699</v>
      </c>
      <c r="T4046" t="str">
        <f t="shared" si="254"/>
        <v>UNIQUE</v>
      </c>
      <c r="U4046" t="str">
        <f>IF(ISBLANK(Table1[[#This Row],[SizeOption]]),"NOT AVAILABLE",Table1[[#This Row],[SizeOption]])</f>
        <v>XS, S, M, L, XL</v>
      </c>
      <c r="Y4046" t="str">
        <f>IF(Table2[[#This Row],[Column1]]&gt;50%,"HIGH DISCOUNT","LOW DISCOUNT")</f>
        <v>LOW DISCOUNT</v>
      </c>
    </row>
    <row r="4047" spans="1:25" x14ac:dyDescent="0.25">
      <c r="A4047" s="2" t="s">
        <v>8314</v>
      </c>
      <c r="B4047" s="2">
        <v>10519498</v>
      </c>
      <c r="C4047" s="2" t="s">
        <v>102</v>
      </c>
      <c r="D4047" s="2" t="s">
        <v>41</v>
      </c>
      <c r="E4047" s="2" t="s">
        <v>148</v>
      </c>
      <c r="F4047" s="2" t="s">
        <v>36</v>
      </c>
      <c r="G4047" s="2" t="s">
        <v>8315</v>
      </c>
      <c r="I4047" s="2">
        <v>1599</v>
      </c>
      <c r="J4047" s="2" t="s">
        <v>602</v>
      </c>
      <c r="K4047" s="2" t="s">
        <v>26</v>
      </c>
      <c r="L4047" s="2">
        <v>4.4000000000000004</v>
      </c>
      <c r="M4047" s="2">
        <v>526</v>
      </c>
      <c r="P4047" t="str">
        <f t="shared" si="255"/>
        <v>48%</v>
      </c>
      <c r="Q4047" s="12">
        <f t="shared" si="252"/>
        <v>0.48</v>
      </c>
      <c r="R4047" s="9">
        <f t="shared" si="253"/>
        <v>831.48</v>
      </c>
      <c r="S4047" s="9">
        <f>IF(R4047="",AVERAGEIF(Table1[Category],Table1[[#This Row],[Category]],Table2[orignal data]),Table2[[#This Row],[orignal data]])</f>
        <v>831.48</v>
      </c>
      <c r="T4047" t="str">
        <f t="shared" si="254"/>
        <v>UNIQUE</v>
      </c>
      <c r="U4047" t="str">
        <f>IF(ISBLANK(Table1[[#This Row],[SizeOption]]),"NOT AVAILABLE",Table1[[#This Row],[SizeOption]])</f>
        <v>S, M, L, XL</v>
      </c>
      <c r="Y4047" t="str">
        <f>IF(Table2[[#This Row],[Column1]]&gt;50%,"HIGH DISCOUNT","LOW DISCOUNT")</f>
        <v>LOW DISCOUNT</v>
      </c>
    </row>
    <row r="4048" spans="1:25" x14ac:dyDescent="0.25">
      <c r="A4048" s="1" t="s">
        <v>8316</v>
      </c>
      <c r="B4048" s="1">
        <v>6832319</v>
      </c>
      <c r="C4048" s="1" t="s">
        <v>169</v>
      </c>
      <c r="D4048" s="1" t="s">
        <v>15</v>
      </c>
      <c r="E4048" s="1" t="s">
        <v>16</v>
      </c>
      <c r="F4048" s="1" t="s">
        <v>17</v>
      </c>
      <c r="G4048" s="1" t="s">
        <v>263</v>
      </c>
      <c r="H4048">
        <v>1689</v>
      </c>
      <c r="I4048" s="1">
        <v>2599</v>
      </c>
      <c r="J4048" s="1" t="s">
        <v>44</v>
      </c>
      <c r="K4048" s="1" t="s">
        <v>171</v>
      </c>
      <c r="L4048" s="1">
        <v>4</v>
      </c>
      <c r="M4048" s="1">
        <v>525</v>
      </c>
      <c r="P4048" t="str">
        <f t="shared" si="255"/>
        <v>35%</v>
      </c>
      <c r="Q4048" s="12">
        <f t="shared" si="252"/>
        <v>0.35</v>
      </c>
      <c r="R4048" s="9">
        <f t="shared" si="253"/>
        <v>1689.35</v>
      </c>
      <c r="S4048" s="9">
        <f>IF(R4048="",AVERAGEIF(Table1[Category],Table1[[#This Row],[Category]],Table2[orignal data]),Table2[[#This Row],[orignal data]])</f>
        <v>1689.35</v>
      </c>
      <c r="T4048" t="str">
        <f t="shared" si="254"/>
        <v>UNIQUE</v>
      </c>
      <c r="U4048" t="str">
        <f>IF(ISBLANK(Table1[[#This Row],[SizeOption]]),"NOT AVAILABLE",Table1[[#This Row],[SizeOption]])</f>
        <v>28, 30, 32, 34, 36, 38</v>
      </c>
      <c r="Y4048" t="str">
        <f>IF(Table2[[#This Row],[Column1]]&gt;50%,"HIGH DISCOUNT","LOW DISCOUNT")</f>
        <v>LOW DISCOUNT</v>
      </c>
    </row>
    <row r="4049" spans="1:25" x14ac:dyDescent="0.25">
      <c r="A4049" s="2" t="s">
        <v>8317</v>
      </c>
      <c r="B4049" s="2">
        <v>13275686</v>
      </c>
      <c r="C4049" s="2" t="s">
        <v>52</v>
      </c>
      <c r="D4049" s="2" t="s">
        <v>15</v>
      </c>
      <c r="E4049" s="2" t="s">
        <v>53</v>
      </c>
      <c r="F4049" s="2" t="s">
        <v>17</v>
      </c>
      <c r="G4049" s="2" t="s">
        <v>8318</v>
      </c>
      <c r="H4049">
        <v>751</v>
      </c>
      <c r="I4049" s="2">
        <v>1599</v>
      </c>
      <c r="J4049" s="2" t="s">
        <v>89</v>
      </c>
      <c r="K4049" s="2" t="s">
        <v>56</v>
      </c>
      <c r="L4049" s="2">
        <v>4</v>
      </c>
      <c r="M4049" s="2">
        <v>525</v>
      </c>
      <c r="P4049" t="str">
        <f t="shared" si="255"/>
        <v>53%</v>
      </c>
      <c r="Q4049" s="12">
        <f t="shared" si="252"/>
        <v>0.53</v>
      </c>
      <c r="R4049" s="9">
        <f t="shared" si="253"/>
        <v>751.53</v>
      </c>
      <c r="S4049" s="9">
        <f>IF(R4049="",AVERAGEIF(Table1[Category],Table1[[#This Row],[Category]],Table2[orignal data]),Table2[[#This Row],[orignal data]])</f>
        <v>751.53</v>
      </c>
      <c r="T4049" t="str">
        <f t="shared" si="254"/>
        <v>UNIQUE</v>
      </c>
      <c r="U4049" t="str">
        <f>IF(ISBLANK(Table1[[#This Row],[SizeOption]]),"NOT AVAILABLE",Table1[[#This Row],[SizeOption]])</f>
        <v>30, 32, 34, 36</v>
      </c>
      <c r="Y4049" t="str">
        <f>IF(Table2[[#This Row],[Column1]]&gt;50%,"HIGH DISCOUNT","LOW DISCOUNT")</f>
        <v>HIGH DISCOUNT</v>
      </c>
    </row>
    <row r="4050" spans="1:25" x14ac:dyDescent="0.25">
      <c r="A4050" s="1" t="s">
        <v>8319</v>
      </c>
      <c r="B4050" s="1">
        <v>12771324</v>
      </c>
      <c r="C4050" s="1" t="s">
        <v>841</v>
      </c>
      <c r="D4050" s="1" t="s">
        <v>15</v>
      </c>
      <c r="E4050" s="1" t="s">
        <v>16</v>
      </c>
      <c r="F4050" s="1" t="s">
        <v>17</v>
      </c>
      <c r="G4050" s="1" t="s">
        <v>8320</v>
      </c>
      <c r="H4050">
        <v>449</v>
      </c>
      <c r="I4050" s="1">
        <v>1498</v>
      </c>
      <c r="J4050" s="1" t="s">
        <v>79</v>
      </c>
      <c r="K4050" s="1" t="s">
        <v>134</v>
      </c>
      <c r="L4050" s="1">
        <v>3.4</v>
      </c>
      <c r="M4050" s="1">
        <v>525</v>
      </c>
      <c r="P4050" t="str">
        <f t="shared" si="255"/>
        <v>70%</v>
      </c>
      <c r="Q4050" s="12">
        <f t="shared" si="252"/>
        <v>0.7</v>
      </c>
      <c r="R4050" s="9">
        <f t="shared" si="253"/>
        <v>449.40000000000009</v>
      </c>
      <c r="S4050" s="9">
        <f>IF(R4050="",AVERAGEIF(Table1[Category],Table1[[#This Row],[Category]],Table2[orignal data]),Table2[[#This Row],[orignal data]])</f>
        <v>449.40000000000009</v>
      </c>
      <c r="T4050" t="str">
        <f t="shared" si="254"/>
        <v>UNIQUE</v>
      </c>
      <c r="U4050" t="str">
        <f>IF(ISBLANK(Table1[[#This Row],[SizeOption]]),"NOT AVAILABLE",Table1[[#This Row],[SizeOption]])</f>
        <v>26, 28, 30, 32, 34, 36</v>
      </c>
      <c r="Y4050" t="str">
        <f>IF(Table2[[#This Row],[Column1]]&gt;50%,"HIGH DISCOUNT","LOW DISCOUNT")</f>
        <v>HIGH DISCOUNT</v>
      </c>
    </row>
    <row r="4051" spans="1:25" x14ac:dyDescent="0.25">
      <c r="A4051" s="2" t="s">
        <v>8321</v>
      </c>
      <c r="B4051" s="2">
        <v>8851923</v>
      </c>
      <c r="C4051" s="2" t="s">
        <v>67</v>
      </c>
      <c r="D4051" s="2" t="s">
        <v>15</v>
      </c>
      <c r="E4051" s="2" t="s">
        <v>137</v>
      </c>
      <c r="F4051" s="2" t="s">
        <v>17</v>
      </c>
      <c r="G4051" s="2" t="s">
        <v>8322</v>
      </c>
      <c r="H4051">
        <v>629</v>
      </c>
      <c r="I4051" s="2">
        <v>1399</v>
      </c>
      <c r="J4051" s="2" t="s">
        <v>25</v>
      </c>
      <c r="K4051" s="2" t="s">
        <v>20</v>
      </c>
      <c r="L4051" s="2">
        <v>3.9</v>
      </c>
      <c r="M4051" s="2">
        <v>525</v>
      </c>
      <c r="P4051" t="str">
        <f t="shared" si="255"/>
        <v>55%</v>
      </c>
      <c r="Q4051" s="12">
        <f t="shared" si="252"/>
        <v>0.55000000000000004</v>
      </c>
      <c r="R4051" s="9">
        <f t="shared" si="253"/>
        <v>629.54999999999995</v>
      </c>
      <c r="S4051" s="9">
        <f>IF(R4051="",AVERAGEIF(Table1[Category],Table1[[#This Row],[Category]],Table2[orignal data]),Table2[[#This Row],[orignal data]])</f>
        <v>629.54999999999995</v>
      </c>
      <c r="T4051" t="str">
        <f t="shared" si="254"/>
        <v>UNIQUE</v>
      </c>
      <c r="U4051" t="str">
        <f>IF(ISBLANK(Table1[[#This Row],[SizeOption]]),"NOT AVAILABLE",Table1[[#This Row],[SizeOption]])</f>
        <v>28, 30, 32, 34, 36</v>
      </c>
      <c r="Y4051" t="str">
        <f>IF(Table2[[#This Row],[Column1]]&gt;50%,"HIGH DISCOUNT","LOW DISCOUNT")</f>
        <v>HIGH DISCOUNT</v>
      </c>
    </row>
    <row r="4052" spans="1:25" x14ac:dyDescent="0.25">
      <c r="A4052" s="1" t="s">
        <v>8323</v>
      </c>
      <c r="B4052" s="1">
        <v>11999658</v>
      </c>
      <c r="C4052" s="1" t="s">
        <v>67</v>
      </c>
      <c r="D4052" s="1" t="s">
        <v>68</v>
      </c>
      <c r="E4052" s="1" t="s">
        <v>42</v>
      </c>
      <c r="F4052" s="1" t="s">
        <v>17</v>
      </c>
      <c r="G4052" s="1" t="s">
        <v>8324</v>
      </c>
      <c r="H4052">
        <v>279</v>
      </c>
      <c r="I4052" s="1">
        <v>699</v>
      </c>
      <c r="J4052" s="1" t="s">
        <v>55</v>
      </c>
      <c r="K4052" s="1" t="s">
        <v>39</v>
      </c>
      <c r="L4052" s="1">
        <v>4.3</v>
      </c>
      <c r="M4052" s="1">
        <v>525</v>
      </c>
      <c r="P4052" t="str">
        <f t="shared" si="255"/>
        <v>60%</v>
      </c>
      <c r="Q4052" s="12">
        <f t="shared" si="252"/>
        <v>0.6</v>
      </c>
      <c r="R4052" s="9">
        <f t="shared" si="253"/>
        <v>279.60000000000002</v>
      </c>
      <c r="S4052" s="9">
        <f>IF(R4052="",AVERAGEIF(Table1[Category],Table1[[#This Row],[Category]],Table2[orignal data]),Table2[[#This Row],[orignal data]])</f>
        <v>279.60000000000002</v>
      </c>
      <c r="T4052" t="str">
        <f t="shared" si="254"/>
        <v>UNIQUE</v>
      </c>
      <c r="U4052" t="str">
        <f>IF(ISBLANK(Table1[[#This Row],[SizeOption]]),"NOT AVAILABLE",Table1[[#This Row],[SizeOption]])</f>
        <v>S, M, L, XL, XXL</v>
      </c>
      <c r="Y4052" t="str">
        <f>IF(Table2[[#This Row],[Column1]]&gt;50%,"HIGH DISCOUNT","LOW DISCOUNT")</f>
        <v>HIGH DISCOUNT</v>
      </c>
    </row>
    <row r="4053" spans="1:25" x14ac:dyDescent="0.25">
      <c r="A4053" s="2" t="s">
        <v>8325</v>
      </c>
      <c r="B4053" s="2">
        <v>15551432</v>
      </c>
      <c r="C4053" s="2" t="s">
        <v>794</v>
      </c>
      <c r="D4053" s="2" t="s">
        <v>28</v>
      </c>
      <c r="E4053" s="2" t="s">
        <v>42</v>
      </c>
      <c r="F4053" s="2" t="s">
        <v>17</v>
      </c>
      <c r="G4053" s="2" t="s">
        <v>8326</v>
      </c>
      <c r="I4053" s="2">
        <v>1499</v>
      </c>
      <c r="J4053" s="2"/>
      <c r="K4053" s="2" t="s">
        <v>234</v>
      </c>
      <c r="L4053" s="2">
        <v>4.2</v>
      </c>
      <c r="M4053" s="2">
        <v>525</v>
      </c>
      <c r="P4053" t="str">
        <f t="shared" si="255"/>
        <v/>
      </c>
      <c r="Q4053" s="12" t="str">
        <f t="shared" si="252"/>
        <v/>
      </c>
      <c r="R4053" s="9" t="str">
        <f t="shared" si="253"/>
        <v/>
      </c>
      <c r="S4053" s="9">
        <f>IF(R4053="",AVERAGEIF(Table1[Category],Table1[[#This Row],[Category]],Table2[orignal data]),Table2[[#This Row],[orignal data]])</f>
        <v>671.7823941958867</v>
      </c>
      <c r="T4053" t="str">
        <f t="shared" si="254"/>
        <v>UNIQUE</v>
      </c>
      <c r="U4053" t="str">
        <f>IF(ISBLANK(Table1[[#This Row],[SizeOption]]),"NOT AVAILABLE",Table1[[#This Row],[SizeOption]])</f>
        <v>S, M, L, XL, XXL, 3XL</v>
      </c>
      <c r="Y4053" t="str">
        <f>IF(Table2[[#This Row],[Column1]]&gt;50%,"HIGH DISCOUNT","LOW DISCOUNT")</f>
        <v>HIGH DISCOUNT</v>
      </c>
    </row>
    <row r="4054" spans="1:25" x14ac:dyDescent="0.25">
      <c r="A4054" s="1" t="s">
        <v>8327</v>
      </c>
      <c r="B4054" s="1">
        <v>13404386</v>
      </c>
      <c r="C4054" s="1" t="s">
        <v>64</v>
      </c>
      <c r="D4054" s="1" t="s">
        <v>76</v>
      </c>
      <c r="E4054" s="1" t="s">
        <v>93</v>
      </c>
      <c r="F4054" s="1" t="s">
        <v>36</v>
      </c>
      <c r="G4054" s="1" t="s">
        <v>8328</v>
      </c>
      <c r="H4054">
        <v>549</v>
      </c>
      <c r="I4054" s="1">
        <v>1099</v>
      </c>
      <c r="J4054" s="1" t="s">
        <v>84</v>
      </c>
      <c r="K4054" s="1" t="s">
        <v>100</v>
      </c>
      <c r="L4054" s="1">
        <v>4.0999999999999996</v>
      </c>
      <c r="M4054" s="1">
        <v>525</v>
      </c>
      <c r="P4054" t="str">
        <f t="shared" si="255"/>
        <v>50%</v>
      </c>
      <c r="Q4054" s="12">
        <f t="shared" si="252"/>
        <v>0.5</v>
      </c>
      <c r="R4054" s="9">
        <f t="shared" si="253"/>
        <v>549.5</v>
      </c>
      <c r="S4054" s="9">
        <f>IF(R4054="",AVERAGEIF(Table1[Category],Table1[[#This Row],[Category]],Table2[orignal data]),Table2[[#This Row],[orignal data]])</f>
        <v>549.5</v>
      </c>
      <c r="T4054" t="str">
        <f t="shared" si="254"/>
        <v>UNIQUE</v>
      </c>
      <c r="U4054" t="str">
        <f>IF(ISBLANK(Table1[[#This Row],[SizeOption]]),"NOT AVAILABLE",Table1[[#This Row],[SizeOption]])</f>
        <v>XS, S, M, L, XL, XXL, 3XL</v>
      </c>
      <c r="Y4054" t="str">
        <f>IF(Table2[[#This Row],[Column1]]&gt;50%,"HIGH DISCOUNT","LOW DISCOUNT")</f>
        <v>LOW DISCOUNT</v>
      </c>
    </row>
    <row r="4055" spans="1:25" x14ac:dyDescent="0.25">
      <c r="A4055" s="2" t="s">
        <v>8329</v>
      </c>
      <c r="B4055" s="2">
        <v>14988488</v>
      </c>
      <c r="C4055" s="2" t="s">
        <v>319</v>
      </c>
      <c r="D4055" s="2" t="s">
        <v>76</v>
      </c>
      <c r="E4055" s="2" t="s">
        <v>320</v>
      </c>
      <c r="F4055" s="2" t="s">
        <v>36</v>
      </c>
      <c r="G4055" s="2" t="s">
        <v>8330</v>
      </c>
      <c r="H4055">
        <v>899</v>
      </c>
      <c r="I4055" s="2">
        <v>1798</v>
      </c>
      <c r="J4055" s="2" t="s">
        <v>84</v>
      </c>
      <c r="K4055" s="2" t="s">
        <v>164</v>
      </c>
      <c r="L4055" s="2">
        <v>3.8</v>
      </c>
      <c r="M4055" s="2">
        <v>525</v>
      </c>
      <c r="P4055" t="str">
        <f t="shared" si="255"/>
        <v>50%</v>
      </c>
      <c r="Q4055" s="12">
        <f t="shared" si="252"/>
        <v>0.5</v>
      </c>
      <c r="R4055" s="9">
        <f t="shared" si="253"/>
        <v>899</v>
      </c>
      <c r="S4055" s="9">
        <f>IF(R4055="",AVERAGEIF(Table1[Category],Table1[[#This Row],[Category]],Table2[orignal data]),Table2[[#This Row],[orignal data]])</f>
        <v>899</v>
      </c>
      <c r="T4055" t="str">
        <f t="shared" si="254"/>
        <v>UNIQUE</v>
      </c>
      <c r="U4055" t="str">
        <f>IF(ISBLANK(Table1[[#This Row],[SizeOption]]),"NOT AVAILABLE",Table1[[#This Row],[SizeOption]])</f>
        <v>Onesize</v>
      </c>
      <c r="Y4055" t="str">
        <f>IF(Table2[[#This Row],[Column1]]&gt;50%,"HIGH DISCOUNT","LOW DISCOUNT")</f>
        <v>LOW DISCOUNT</v>
      </c>
    </row>
    <row r="4056" spans="1:25" x14ac:dyDescent="0.25">
      <c r="A4056" s="1" t="s">
        <v>8331</v>
      </c>
      <c r="B4056" s="1">
        <v>11299814</v>
      </c>
      <c r="C4056" s="1" t="s">
        <v>277</v>
      </c>
      <c r="D4056" s="1" t="s">
        <v>76</v>
      </c>
      <c r="E4056" s="1" t="s">
        <v>93</v>
      </c>
      <c r="F4056" s="1" t="s">
        <v>36</v>
      </c>
      <c r="G4056" s="1" t="s">
        <v>8332</v>
      </c>
      <c r="H4056">
        <v>989</v>
      </c>
      <c r="I4056" s="1">
        <v>2999</v>
      </c>
      <c r="J4056" s="1" t="s">
        <v>543</v>
      </c>
      <c r="K4056" s="1" t="s">
        <v>39</v>
      </c>
      <c r="L4056" s="1">
        <v>3.7</v>
      </c>
      <c r="M4056" s="1">
        <v>525</v>
      </c>
      <c r="P4056" t="str">
        <f t="shared" si="255"/>
        <v>67%</v>
      </c>
      <c r="Q4056" s="12">
        <f t="shared" si="252"/>
        <v>0.67</v>
      </c>
      <c r="R4056" s="9">
        <f t="shared" si="253"/>
        <v>989.66999999999985</v>
      </c>
      <c r="S4056" s="9">
        <f>IF(R4056="",AVERAGEIF(Table1[Category],Table1[[#This Row],[Category]],Table2[orignal data]),Table2[[#This Row],[orignal data]])</f>
        <v>989.66999999999985</v>
      </c>
      <c r="T4056" t="str">
        <f t="shared" si="254"/>
        <v>UNIQUE</v>
      </c>
      <c r="U4056" t="str">
        <f>IF(ISBLANK(Table1[[#This Row],[SizeOption]]),"NOT AVAILABLE",Table1[[#This Row],[SizeOption]])</f>
        <v>S, M, L, XL, XXL</v>
      </c>
      <c r="Y4056" t="str">
        <f>IF(Table2[[#This Row],[Column1]]&gt;50%,"HIGH DISCOUNT","LOW DISCOUNT")</f>
        <v>HIGH DISCOUNT</v>
      </c>
    </row>
    <row r="4057" spans="1:25" x14ac:dyDescent="0.25">
      <c r="A4057" s="2" t="s">
        <v>8333</v>
      </c>
      <c r="B4057" s="2">
        <v>13338042</v>
      </c>
      <c r="C4057" s="2" t="s">
        <v>397</v>
      </c>
      <c r="D4057" s="2" t="s">
        <v>76</v>
      </c>
      <c r="E4057" s="2" t="s">
        <v>77</v>
      </c>
      <c r="F4057" s="2" t="s">
        <v>36</v>
      </c>
      <c r="G4057" s="2" t="s">
        <v>8334</v>
      </c>
      <c r="H4057">
        <v>1469</v>
      </c>
      <c r="I4057" s="2">
        <v>3499</v>
      </c>
      <c r="J4057" s="2" t="s">
        <v>60</v>
      </c>
      <c r="K4057" s="2" t="s">
        <v>234</v>
      </c>
      <c r="L4057" s="2">
        <v>4</v>
      </c>
      <c r="M4057" s="2">
        <v>525</v>
      </c>
      <c r="P4057" t="str">
        <f t="shared" si="255"/>
        <v>58%</v>
      </c>
      <c r="Q4057" s="12">
        <f t="shared" si="252"/>
        <v>0.57999999999999996</v>
      </c>
      <c r="R4057" s="9">
        <f t="shared" si="253"/>
        <v>1469.5800000000002</v>
      </c>
      <c r="S4057" s="9">
        <f>IF(R4057="",AVERAGEIF(Table1[Category],Table1[[#This Row],[Category]],Table2[orignal data]),Table2[[#This Row],[orignal data]])</f>
        <v>1469.5800000000002</v>
      </c>
      <c r="T4057" t="str">
        <f t="shared" si="254"/>
        <v>UNIQUE</v>
      </c>
      <c r="U4057" t="str">
        <f>IF(ISBLANK(Table1[[#This Row],[SizeOption]]),"NOT AVAILABLE",Table1[[#This Row],[SizeOption]])</f>
        <v>S, M, L, XL, XXL, 3XL</v>
      </c>
      <c r="Y4057" t="str">
        <f>IF(Table2[[#This Row],[Column1]]&gt;50%,"HIGH DISCOUNT","LOW DISCOUNT")</f>
        <v>HIGH DISCOUNT</v>
      </c>
    </row>
    <row r="4058" spans="1:25" x14ac:dyDescent="0.25">
      <c r="A4058" s="1" t="s">
        <v>8335</v>
      </c>
      <c r="B4058" s="1">
        <v>11316858</v>
      </c>
      <c r="C4058" s="1" t="s">
        <v>5316</v>
      </c>
      <c r="D4058" s="1" t="s">
        <v>34</v>
      </c>
      <c r="E4058" s="1" t="s">
        <v>406</v>
      </c>
      <c r="F4058" s="1" t="s">
        <v>36</v>
      </c>
      <c r="G4058" s="1" t="s">
        <v>8187</v>
      </c>
      <c r="H4058">
        <v>1199</v>
      </c>
      <c r="I4058" s="1">
        <v>1999</v>
      </c>
      <c r="J4058" s="1" t="s">
        <v>50</v>
      </c>
      <c r="K4058" s="1" t="s">
        <v>39</v>
      </c>
      <c r="L4058" s="1">
        <v>4.4000000000000004</v>
      </c>
      <c r="M4058" s="1">
        <v>525</v>
      </c>
      <c r="P4058" t="str">
        <f t="shared" si="255"/>
        <v>40%</v>
      </c>
      <c r="Q4058" s="12">
        <f t="shared" si="252"/>
        <v>0.4</v>
      </c>
      <c r="R4058" s="9">
        <f t="shared" si="253"/>
        <v>1199.4000000000001</v>
      </c>
      <c r="S4058" s="9">
        <f>IF(R4058="",AVERAGEIF(Table1[Category],Table1[[#This Row],[Category]],Table2[orignal data]),Table2[[#This Row],[orignal data]])</f>
        <v>1199.4000000000001</v>
      </c>
      <c r="T4058" t="str">
        <f t="shared" si="254"/>
        <v>UNIQUE</v>
      </c>
      <c r="U4058" t="str">
        <f>IF(ISBLANK(Table1[[#This Row],[SizeOption]]),"NOT AVAILABLE",Table1[[#This Row],[SizeOption]])</f>
        <v>S, M, L, XL, XXL</v>
      </c>
      <c r="Y4058" t="str">
        <f>IF(Table2[[#This Row],[Column1]]&gt;50%,"HIGH DISCOUNT","LOW DISCOUNT")</f>
        <v>LOW DISCOUNT</v>
      </c>
    </row>
    <row r="4059" spans="1:25" x14ac:dyDescent="0.25">
      <c r="A4059" s="2" t="s">
        <v>8336</v>
      </c>
      <c r="B4059" s="2">
        <v>11158176</v>
      </c>
      <c r="C4059" s="2" t="s">
        <v>67</v>
      </c>
      <c r="D4059" s="2" t="s">
        <v>34</v>
      </c>
      <c r="E4059" s="2" t="s">
        <v>118</v>
      </c>
      <c r="F4059" s="2" t="s">
        <v>36</v>
      </c>
      <c r="G4059" s="2" t="s">
        <v>8337</v>
      </c>
      <c r="H4059">
        <v>879</v>
      </c>
      <c r="I4059" s="2">
        <v>2199</v>
      </c>
      <c r="J4059" s="2" t="s">
        <v>55</v>
      </c>
      <c r="K4059" s="2" t="s">
        <v>45</v>
      </c>
      <c r="L4059" s="2">
        <v>4.0999999999999996</v>
      </c>
      <c r="M4059" s="2">
        <v>525</v>
      </c>
      <c r="P4059" t="str">
        <f t="shared" si="255"/>
        <v>60%</v>
      </c>
      <c r="Q4059" s="12">
        <f t="shared" si="252"/>
        <v>0.6</v>
      </c>
      <c r="R4059" s="9">
        <f t="shared" si="253"/>
        <v>879.60000000000014</v>
      </c>
      <c r="S4059" s="9">
        <f>IF(R4059="",AVERAGEIF(Table1[Category],Table1[[#This Row],[Category]],Table2[orignal data]),Table2[[#This Row],[orignal data]])</f>
        <v>879.60000000000014</v>
      </c>
      <c r="T4059" t="str">
        <f t="shared" si="254"/>
        <v>UNIQUE</v>
      </c>
      <c r="U4059" t="str">
        <f>IF(ISBLANK(Table1[[#This Row],[SizeOption]]),"NOT AVAILABLE",Table1[[#This Row],[SizeOption]])</f>
        <v>XS, S, M, L, XL</v>
      </c>
      <c r="Y4059" t="str">
        <f>IF(Table2[[#This Row],[Column1]]&gt;50%,"HIGH DISCOUNT","LOW DISCOUNT")</f>
        <v>HIGH DISCOUNT</v>
      </c>
    </row>
    <row r="4060" spans="1:25" x14ac:dyDescent="0.25">
      <c r="A4060" s="1" t="s">
        <v>8338</v>
      </c>
      <c r="B4060" s="1">
        <v>14789508</v>
      </c>
      <c r="C4060" s="1" t="s">
        <v>779</v>
      </c>
      <c r="D4060" s="1" t="s">
        <v>34</v>
      </c>
      <c r="E4060" s="1" t="s">
        <v>296</v>
      </c>
      <c r="F4060" s="1" t="s">
        <v>36</v>
      </c>
      <c r="G4060" s="1" t="s">
        <v>8339</v>
      </c>
      <c r="I4060" s="1">
        <v>729</v>
      </c>
      <c r="J4060" s="1"/>
      <c r="K4060" s="1" t="s">
        <v>39</v>
      </c>
      <c r="L4060" s="1">
        <v>4.5</v>
      </c>
      <c r="M4060" s="1">
        <v>525</v>
      </c>
      <c r="P4060" t="str">
        <f t="shared" si="255"/>
        <v/>
      </c>
      <c r="Q4060" s="12" t="str">
        <f t="shared" si="252"/>
        <v/>
      </c>
      <c r="R4060" s="9" t="str">
        <f t="shared" si="253"/>
        <v/>
      </c>
      <c r="S4060" s="9">
        <f>IF(R4060="",AVERAGEIF(Table1[Category],Table1[[#This Row],[Category]],Table2[orignal data]),Table2[[#This Row],[orignal data]])</f>
        <v>608.88518518518481</v>
      </c>
      <c r="T4060" t="str">
        <f t="shared" si="254"/>
        <v>UNIQUE</v>
      </c>
      <c r="U4060" t="str">
        <f>IF(ISBLANK(Table1[[#This Row],[SizeOption]]),"NOT AVAILABLE",Table1[[#This Row],[SizeOption]])</f>
        <v>S, M, L, XL, XXL</v>
      </c>
      <c r="Y4060" t="str">
        <f>IF(Table2[[#This Row],[Column1]]&gt;50%,"HIGH DISCOUNT","LOW DISCOUNT")</f>
        <v>HIGH DISCOUNT</v>
      </c>
    </row>
    <row r="4061" spans="1:25" x14ac:dyDescent="0.25">
      <c r="A4061" s="2" t="s">
        <v>8340</v>
      </c>
      <c r="B4061" s="2">
        <v>11999876</v>
      </c>
      <c r="C4061" s="2" t="s">
        <v>67</v>
      </c>
      <c r="D4061" s="2" t="s">
        <v>68</v>
      </c>
      <c r="E4061" s="2" t="s">
        <v>42</v>
      </c>
      <c r="F4061" s="2" t="s">
        <v>36</v>
      </c>
      <c r="G4061" s="2" t="s">
        <v>8341</v>
      </c>
      <c r="H4061">
        <v>314</v>
      </c>
      <c r="I4061" s="2">
        <v>699</v>
      </c>
      <c r="J4061" s="2" t="s">
        <v>25</v>
      </c>
      <c r="K4061" s="2" t="s">
        <v>45</v>
      </c>
      <c r="L4061" s="2">
        <v>4.5</v>
      </c>
      <c r="M4061" s="2">
        <v>525</v>
      </c>
      <c r="P4061" t="str">
        <f t="shared" si="255"/>
        <v>55%</v>
      </c>
      <c r="Q4061" s="12">
        <f t="shared" si="252"/>
        <v>0.55000000000000004</v>
      </c>
      <c r="R4061" s="9">
        <f t="shared" si="253"/>
        <v>314.54999999999995</v>
      </c>
      <c r="S4061" s="9">
        <f>IF(R4061="",AVERAGEIF(Table1[Category],Table1[[#This Row],[Category]],Table2[orignal data]),Table2[[#This Row],[orignal data]])</f>
        <v>314.54999999999995</v>
      </c>
      <c r="T4061" t="str">
        <f t="shared" si="254"/>
        <v>UNIQUE</v>
      </c>
      <c r="U4061" t="str">
        <f>IF(ISBLANK(Table1[[#This Row],[SizeOption]]),"NOT AVAILABLE",Table1[[#This Row],[SizeOption]])</f>
        <v>XS, S, M, L, XL</v>
      </c>
      <c r="Y4061" t="str">
        <f>IF(Table2[[#This Row],[Column1]]&gt;50%,"HIGH DISCOUNT","LOW DISCOUNT")</f>
        <v>HIGH DISCOUNT</v>
      </c>
    </row>
    <row r="4062" spans="1:25" x14ac:dyDescent="0.25">
      <c r="A4062" s="1" t="s">
        <v>8342</v>
      </c>
      <c r="B4062" s="1">
        <v>12289122</v>
      </c>
      <c r="C4062" s="1" t="s">
        <v>102</v>
      </c>
      <c r="D4062" s="1" t="s">
        <v>41</v>
      </c>
      <c r="E4062" s="1" t="s">
        <v>48</v>
      </c>
      <c r="F4062" s="1" t="s">
        <v>36</v>
      </c>
      <c r="G4062" s="1" t="s">
        <v>8343</v>
      </c>
      <c r="I4062" s="1">
        <v>1099</v>
      </c>
      <c r="J4062" s="1" t="s">
        <v>95</v>
      </c>
      <c r="K4062" s="1" t="s">
        <v>26</v>
      </c>
      <c r="L4062" s="1">
        <v>4</v>
      </c>
      <c r="M4062" s="1">
        <v>525</v>
      </c>
      <c r="P4062" t="str">
        <f t="shared" si="255"/>
        <v>59%</v>
      </c>
      <c r="Q4062" s="12">
        <f t="shared" si="252"/>
        <v>0.59</v>
      </c>
      <c r="R4062" s="9">
        <f t="shared" si="253"/>
        <v>450.59000000000003</v>
      </c>
      <c r="S4062" s="9">
        <f>IF(R4062="",AVERAGEIF(Table1[Category],Table1[[#This Row],[Category]],Table2[orignal data]),Table2[[#This Row],[orignal data]])</f>
        <v>450.59000000000003</v>
      </c>
      <c r="T4062" t="str">
        <f t="shared" si="254"/>
        <v>UNIQUE</v>
      </c>
      <c r="U4062" t="str">
        <f>IF(ISBLANK(Table1[[#This Row],[SizeOption]]),"NOT AVAILABLE",Table1[[#This Row],[SizeOption]])</f>
        <v>S, M, L, XL</v>
      </c>
      <c r="Y4062" t="str">
        <f>IF(Table2[[#This Row],[Column1]]&gt;50%,"HIGH DISCOUNT","LOW DISCOUNT")</f>
        <v>HIGH DISCOUNT</v>
      </c>
    </row>
    <row r="4063" spans="1:25" x14ac:dyDescent="0.25">
      <c r="A4063" s="2" t="s">
        <v>8344</v>
      </c>
      <c r="B4063" s="2">
        <v>1297703</v>
      </c>
      <c r="C4063" s="2" t="s">
        <v>346</v>
      </c>
      <c r="D4063" s="2" t="s">
        <v>41</v>
      </c>
      <c r="E4063" s="2" t="s">
        <v>48</v>
      </c>
      <c r="F4063" s="2" t="s">
        <v>36</v>
      </c>
      <c r="G4063" s="2" t="s">
        <v>8345</v>
      </c>
      <c r="I4063" s="2">
        <v>1099</v>
      </c>
      <c r="J4063" s="2" t="s">
        <v>4409</v>
      </c>
      <c r="K4063" s="2" t="s">
        <v>45</v>
      </c>
      <c r="L4063" s="2">
        <v>4</v>
      </c>
      <c r="M4063" s="2">
        <v>525</v>
      </c>
      <c r="P4063" t="str">
        <f t="shared" si="255"/>
        <v>600</v>
      </c>
      <c r="Q4063" s="12">
        <f t="shared" si="252"/>
        <v>0.54595086442220198</v>
      </c>
      <c r="R4063" s="9">
        <f t="shared" si="253"/>
        <v>499</v>
      </c>
      <c r="S4063" s="9">
        <f>IF(R4063="",AVERAGEIF(Table1[Category],Table1[[#This Row],[Category]],Table2[orignal data]),Table2[[#This Row],[orignal data]])</f>
        <v>499</v>
      </c>
      <c r="T4063" t="str">
        <f t="shared" si="254"/>
        <v>UNIQUE</v>
      </c>
      <c r="U4063" t="str">
        <f>IF(ISBLANK(Table1[[#This Row],[SizeOption]]),"NOT AVAILABLE",Table1[[#This Row],[SizeOption]])</f>
        <v>XS, S, M, L, XL</v>
      </c>
      <c r="Y4063" t="str">
        <f>IF(Table2[[#This Row],[Column1]]&gt;50%,"HIGH DISCOUNT","LOW DISCOUNT")</f>
        <v>HIGH DISCOUNT</v>
      </c>
    </row>
    <row r="4064" spans="1:25" x14ac:dyDescent="0.25">
      <c r="A4064" s="1" t="s">
        <v>8346</v>
      </c>
      <c r="B4064" s="1">
        <v>8643141</v>
      </c>
      <c r="C4064" s="1" t="s">
        <v>181</v>
      </c>
      <c r="D4064" s="1" t="s">
        <v>41</v>
      </c>
      <c r="E4064" s="1" t="s">
        <v>818</v>
      </c>
      <c r="F4064" s="1" t="s">
        <v>36</v>
      </c>
      <c r="G4064" s="1" t="s">
        <v>8347</v>
      </c>
      <c r="I4064" s="1">
        <v>1399</v>
      </c>
      <c r="J4064" s="1" t="s">
        <v>55</v>
      </c>
      <c r="K4064" s="1" t="s">
        <v>115</v>
      </c>
      <c r="L4064" s="1">
        <v>4.4000000000000004</v>
      </c>
      <c r="M4064" s="1">
        <v>525</v>
      </c>
      <c r="P4064" t="str">
        <f t="shared" si="255"/>
        <v>60%</v>
      </c>
      <c r="Q4064" s="12">
        <f t="shared" si="252"/>
        <v>0.6</v>
      </c>
      <c r="R4064" s="9">
        <f t="shared" si="253"/>
        <v>559.6</v>
      </c>
      <c r="S4064" s="9">
        <f>IF(R4064="",AVERAGEIF(Table1[Category],Table1[[#This Row],[Category]],Table2[orignal data]),Table2[[#This Row],[orignal data]])</f>
        <v>559.6</v>
      </c>
      <c r="T4064" t="str">
        <f t="shared" si="254"/>
        <v>UNIQUE</v>
      </c>
      <c r="U4064" t="str">
        <f>IF(ISBLANK(Table1[[#This Row],[SizeOption]]),"NOT AVAILABLE",Table1[[#This Row],[SizeOption]])</f>
        <v>XS, S, M, L, XL, XXL</v>
      </c>
      <c r="Y4064" t="str">
        <f>IF(Table2[[#This Row],[Column1]]&gt;50%,"HIGH DISCOUNT","LOW DISCOUNT")</f>
        <v>HIGH DISCOUNT</v>
      </c>
    </row>
    <row r="4065" spans="1:25" x14ac:dyDescent="0.25">
      <c r="A4065" s="2" t="s">
        <v>8348</v>
      </c>
      <c r="B4065" s="2">
        <v>17382156</v>
      </c>
      <c r="C4065" s="2" t="s">
        <v>14</v>
      </c>
      <c r="D4065" s="2" t="s">
        <v>41</v>
      </c>
      <c r="E4065" s="2" t="s">
        <v>42</v>
      </c>
      <c r="F4065" s="2" t="s">
        <v>36</v>
      </c>
      <c r="G4065" s="2" t="s">
        <v>2359</v>
      </c>
      <c r="I4065" s="2">
        <v>1598</v>
      </c>
      <c r="J4065" s="2" t="s">
        <v>84</v>
      </c>
      <c r="K4065" s="2" t="s">
        <v>45</v>
      </c>
      <c r="L4065" s="2">
        <v>4</v>
      </c>
      <c r="M4065" s="2">
        <v>525</v>
      </c>
      <c r="P4065" t="str">
        <f t="shared" si="255"/>
        <v>50%</v>
      </c>
      <c r="Q4065" s="12">
        <f t="shared" si="252"/>
        <v>0.5</v>
      </c>
      <c r="R4065" s="9">
        <f t="shared" si="253"/>
        <v>799</v>
      </c>
      <c r="S4065" s="9">
        <f>IF(R4065="",AVERAGEIF(Table1[Category],Table1[[#This Row],[Category]],Table2[orignal data]),Table2[[#This Row],[orignal data]])</f>
        <v>799</v>
      </c>
      <c r="T4065" t="str">
        <f t="shared" si="254"/>
        <v>UNIQUE</v>
      </c>
      <c r="U4065" t="str">
        <f>IF(ISBLANK(Table1[[#This Row],[SizeOption]]),"NOT AVAILABLE",Table1[[#This Row],[SizeOption]])</f>
        <v>XS, S, M, L, XL</v>
      </c>
      <c r="Y4065" t="str">
        <f>IF(Table2[[#This Row],[Column1]]&gt;50%,"HIGH DISCOUNT","LOW DISCOUNT")</f>
        <v>LOW DISCOUNT</v>
      </c>
    </row>
    <row r="4066" spans="1:25" x14ac:dyDescent="0.25">
      <c r="A4066" s="1" t="s">
        <v>8349</v>
      </c>
      <c r="B4066" s="1">
        <v>4656865</v>
      </c>
      <c r="C4066" s="1" t="s">
        <v>14</v>
      </c>
      <c r="D4066" s="1" t="s">
        <v>41</v>
      </c>
      <c r="E4066" s="1" t="s">
        <v>16</v>
      </c>
      <c r="F4066" s="1" t="s">
        <v>36</v>
      </c>
      <c r="G4066" s="1" t="s">
        <v>8350</v>
      </c>
      <c r="I4066" s="1">
        <v>1699</v>
      </c>
      <c r="J4066" s="1" t="s">
        <v>84</v>
      </c>
      <c r="K4066" s="1" t="s">
        <v>134</v>
      </c>
      <c r="L4066" s="1">
        <v>3.9</v>
      </c>
      <c r="M4066" s="1">
        <v>525</v>
      </c>
      <c r="P4066" t="str">
        <f t="shared" si="255"/>
        <v>50%</v>
      </c>
      <c r="Q4066" s="12">
        <f t="shared" si="252"/>
        <v>0.5</v>
      </c>
      <c r="R4066" s="9">
        <f t="shared" si="253"/>
        <v>849.5</v>
      </c>
      <c r="S4066" s="9">
        <f>IF(R4066="",AVERAGEIF(Table1[Category],Table1[[#This Row],[Category]],Table2[orignal data]),Table2[[#This Row],[orignal data]])</f>
        <v>849.5</v>
      </c>
      <c r="T4066" t="str">
        <f t="shared" si="254"/>
        <v>UNIQUE</v>
      </c>
      <c r="U4066" t="str">
        <f>IF(ISBLANK(Table1[[#This Row],[SizeOption]]),"NOT AVAILABLE",Table1[[#This Row],[SizeOption]])</f>
        <v>26, 28, 30, 32, 34, 36</v>
      </c>
      <c r="Y4066" t="str">
        <f>IF(Table2[[#This Row],[Column1]]&gt;50%,"HIGH DISCOUNT","LOW DISCOUNT")</f>
        <v>LOW DISCOUNT</v>
      </c>
    </row>
    <row r="4067" spans="1:25" x14ac:dyDescent="0.25">
      <c r="A4067" s="2" t="s">
        <v>8351</v>
      </c>
      <c r="B4067" s="2">
        <v>10775360</v>
      </c>
      <c r="C4067" s="2" t="s">
        <v>113</v>
      </c>
      <c r="D4067" s="2" t="s">
        <v>41</v>
      </c>
      <c r="E4067" s="2" t="s">
        <v>148</v>
      </c>
      <c r="F4067" s="2" t="s">
        <v>36</v>
      </c>
      <c r="G4067" s="2" t="s">
        <v>8352</v>
      </c>
      <c r="I4067" s="2">
        <v>1699</v>
      </c>
      <c r="J4067" s="2" t="s">
        <v>55</v>
      </c>
      <c r="K4067" s="2" t="s">
        <v>39</v>
      </c>
      <c r="L4067" s="2">
        <v>4</v>
      </c>
      <c r="M4067" s="2">
        <v>525</v>
      </c>
      <c r="P4067" t="str">
        <f t="shared" si="255"/>
        <v>60%</v>
      </c>
      <c r="Q4067" s="12">
        <f t="shared" si="252"/>
        <v>0.6</v>
      </c>
      <c r="R4067" s="9">
        <f t="shared" si="253"/>
        <v>679.6</v>
      </c>
      <c r="S4067" s="9">
        <f>IF(R4067="",AVERAGEIF(Table1[Category],Table1[[#This Row],[Category]],Table2[orignal data]),Table2[[#This Row],[orignal data]])</f>
        <v>679.6</v>
      </c>
      <c r="T4067" t="str">
        <f t="shared" si="254"/>
        <v>UNIQUE</v>
      </c>
      <c r="U4067" t="str">
        <f>IF(ISBLANK(Table1[[#This Row],[SizeOption]]),"NOT AVAILABLE",Table1[[#This Row],[SizeOption]])</f>
        <v>S, M, L, XL, XXL</v>
      </c>
      <c r="Y4067" t="str">
        <f>IF(Table2[[#This Row],[Column1]]&gt;50%,"HIGH DISCOUNT","LOW DISCOUNT")</f>
        <v>HIGH DISCOUNT</v>
      </c>
    </row>
    <row r="4068" spans="1:25" x14ac:dyDescent="0.25">
      <c r="A4068" s="1" t="s">
        <v>8353</v>
      </c>
      <c r="B4068" s="1">
        <v>9920745</v>
      </c>
      <c r="C4068" s="1" t="s">
        <v>102</v>
      </c>
      <c r="D4068" s="1" t="s">
        <v>41</v>
      </c>
      <c r="E4068" s="1" t="s">
        <v>48</v>
      </c>
      <c r="F4068" s="1" t="s">
        <v>36</v>
      </c>
      <c r="G4068" s="1" t="s">
        <v>4920</v>
      </c>
      <c r="I4068" s="1">
        <v>949</v>
      </c>
      <c r="J4068" s="1" t="s">
        <v>758</v>
      </c>
      <c r="K4068" s="1" t="s">
        <v>26</v>
      </c>
      <c r="L4068" s="1">
        <v>4.2</v>
      </c>
      <c r="M4068" s="1">
        <v>525</v>
      </c>
      <c r="P4068" t="str">
        <f t="shared" si="255"/>
        <v>47%</v>
      </c>
      <c r="Q4068" s="12">
        <f t="shared" si="252"/>
        <v>0.47</v>
      </c>
      <c r="R4068" s="9">
        <f t="shared" si="253"/>
        <v>502.97</v>
      </c>
      <c r="S4068" s="9">
        <f>IF(R4068="",AVERAGEIF(Table1[Category],Table1[[#This Row],[Category]],Table2[orignal data]),Table2[[#This Row],[orignal data]])</f>
        <v>502.97</v>
      </c>
      <c r="T4068" t="str">
        <f t="shared" si="254"/>
        <v>UNIQUE</v>
      </c>
      <c r="U4068" t="str">
        <f>IF(ISBLANK(Table1[[#This Row],[SizeOption]]),"NOT AVAILABLE",Table1[[#This Row],[SizeOption]])</f>
        <v>S, M, L, XL</v>
      </c>
      <c r="Y4068" t="str">
        <f>IF(Table2[[#This Row],[Column1]]&gt;50%,"HIGH DISCOUNT","LOW DISCOUNT")</f>
        <v>LOW DISCOUNT</v>
      </c>
    </row>
    <row r="4069" spans="1:25" x14ac:dyDescent="0.25">
      <c r="A4069" s="2" t="s">
        <v>8354</v>
      </c>
      <c r="B4069" s="2">
        <v>11274536</v>
      </c>
      <c r="C4069" s="2" t="s">
        <v>14</v>
      </c>
      <c r="D4069" s="2" t="s">
        <v>15</v>
      </c>
      <c r="E4069" s="2" t="s">
        <v>16</v>
      </c>
      <c r="F4069" s="2" t="s">
        <v>17</v>
      </c>
      <c r="G4069" s="2" t="s">
        <v>918</v>
      </c>
      <c r="H4069">
        <v>719</v>
      </c>
      <c r="I4069" s="2">
        <v>1799</v>
      </c>
      <c r="J4069" s="2" t="s">
        <v>55</v>
      </c>
      <c r="K4069" s="2" t="s">
        <v>20</v>
      </c>
      <c r="L4069" s="2">
        <v>3.9</v>
      </c>
      <c r="M4069" s="2">
        <v>524</v>
      </c>
      <c r="P4069" t="str">
        <f t="shared" si="255"/>
        <v>60%</v>
      </c>
      <c r="Q4069" s="12">
        <f t="shared" si="252"/>
        <v>0.6</v>
      </c>
      <c r="R4069" s="9">
        <f t="shared" si="253"/>
        <v>719.60000000000014</v>
      </c>
      <c r="S4069" s="9">
        <f>IF(R4069="",AVERAGEIF(Table1[Category],Table1[[#This Row],[Category]],Table2[orignal data]),Table2[[#This Row],[orignal data]])</f>
        <v>719.60000000000014</v>
      </c>
      <c r="T4069" t="str">
        <f t="shared" si="254"/>
        <v>UNIQUE</v>
      </c>
      <c r="U4069" t="str">
        <f>IF(ISBLANK(Table1[[#This Row],[SizeOption]]),"NOT AVAILABLE",Table1[[#This Row],[SizeOption]])</f>
        <v>28, 30, 32, 34, 36</v>
      </c>
      <c r="Y4069" t="str">
        <f>IF(Table2[[#This Row],[Column1]]&gt;50%,"HIGH DISCOUNT","LOW DISCOUNT")</f>
        <v>HIGH DISCOUNT</v>
      </c>
    </row>
    <row r="4070" spans="1:25" x14ac:dyDescent="0.25">
      <c r="A4070" s="1" t="s">
        <v>8355</v>
      </c>
      <c r="B4070" s="1">
        <v>11812240</v>
      </c>
      <c r="C4070" s="1" t="s">
        <v>935</v>
      </c>
      <c r="D4070" s="1" t="s">
        <v>76</v>
      </c>
      <c r="E4070" s="1" t="s">
        <v>4631</v>
      </c>
      <c r="F4070" s="1" t="s">
        <v>17</v>
      </c>
      <c r="G4070" s="1" t="s">
        <v>8356</v>
      </c>
      <c r="H4070">
        <v>1919</v>
      </c>
      <c r="I4070" s="1">
        <v>5999</v>
      </c>
      <c r="J4070" s="1" t="s">
        <v>839</v>
      </c>
      <c r="K4070" s="1" t="s">
        <v>8357</v>
      </c>
      <c r="L4070" s="1">
        <v>3.4</v>
      </c>
      <c r="M4070" s="1">
        <v>524</v>
      </c>
      <c r="P4070" t="str">
        <f t="shared" si="255"/>
        <v>68%</v>
      </c>
      <c r="Q4070" s="12">
        <f t="shared" si="252"/>
        <v>0.68</v>
      </c>
      <c r="R4070" s="9">
        <f t="shared" si="253"/>
        <v>1919.6799999999998</v>
      </c>
      <c r="S4070" s="9">
        <f>IF(R4070="",AVERAGEIF(Table1[Category],Table1[[#This Row],[Category]],Table2[orignal data]),Table2[[#This Row],[orignal data]])</f>
        <v>1919.6799999999998</v>
      </c>
      <c r="T4070" t="str">
        <f t="shared" si="254"/>
        <v>UNIQUE</v>
      </c>
      <c r="U4070" t="str">
        <f>IF(ISBLANK(Table1[[#This Row],[SizeOption]]),"NOT AVAILABLE",Table1[[#This Row],[SizeOption]])</f>
        <v>36, 38, 40, 42, 44, 46</v>
      </c>
      <c r="Y4070" t="str">
        <f>IF(Table2[[#This Row],[Column1]]&gt;50%,"HIGH DISCOUNT","LOW DISCOUNT")</f>
        <v>HIGH DISCOUNT</v>
      </c>
    </row>
    <row r="4071" spans="1:25" x14ac:dyDescent="0.25">
      <c r="A4071" s="2" t="s">
        <v>8358</v>
      </c>
      <c r="B4071" s="2">
        <v>12032832</v>
      </c>
      <c r="C4071" s="2" t="s">
        <v>295</v>
      </c>
      <c r="D4071" s="2" t="s">
        <v>197</v>
      </c>
      <c r="E4071" s="2" t="s">
        <v>1807</v>
      </c>
      <c r="F4071" s="2" t="s">
        <v>17</v>
      </c>
      <c r="G4071" s="2" t="s">
        <v>8359</v>
      </c>
      <c r="I4071" s="2">
        <v>759</v>
      </c>
      <c r="J4071" s="2"/>
      <c r="K4071" s="2" t="s">
        <v>26</v>
      </c>
      <c r="L4071" s="2">
        <v>4.4000000000000004</v>
      </c>
      <c r="M4071" s="2">
        <v>524</v>
      </c>
      <c r="P4071" t="str">
        <f t="shared" si="255"/>
        <v/>
      </c>
      <c r="Q4071" s="12" t="str">
        <f t="shared" si="252"/>
        <v/>
      </c>
      <c r="R4071" s="9" t="str">
        <f t="shared" si="253"/>
        <v/>
      </c>
      <c r="S4071" s="9">
        <f>IF(R4071="",AVERAGEIF(Table1[Category],Table1[[#This Row],[Category]],Table2[orignal data]),Table2[[#This Row],[orignal data]])</f>
        <v>552.70900000000006</v>
      </c>
      <c r="T4071" t="str">
        <f t="shared" si="254"/>
        <v>UNIQUE</v>
      </c>
      <c r="U4071" t="str">
        <f>IF(ISBLANK(Table1[[#This Row],[SizeOption]]),"NOT AVAILABLE",Table1[[#This Row],[SizeOption]])</f>
        <v>S, M, L, XL</v>
      </c>
      <c r="Y4071" t="str">
        <f>IF(Table2[[#This Row],[Column1]]&gt;50%,"HIGH DISCOUNT","LOW DISCOUNT")</f>
        <v>HIGH DISCOUNT</v>
      </c>
    </row>
    <row r="4072" spans="1:25" x14ac:dyDescent="0.25">
      <c r="A4072" s="1" t="s">
        <v>8360</v>
      </c>
      <c r="B4072" s="1">
        <v>10861800</v>
      </c>
      <c r="C4072" s="1" t="s">
        <v>794</v>
      </c>
      <c r="D4072" s="1" t="s">
        <v>197</v>
      </c>
      <c r="E4072" s="1" t="s">
        <v>518</v>
      </c>
      <c r="F4072" s="1" t="s">
        <v>17</v>
      </c>
      <c r="G4072" s="1" t="s">
        <v>8361</v>
      </c>
      <c r="I4072" s="1">
        <v>1249</v>
      </c>
      <c r="J4072" s="1"/>
      <c r="K4072" s="1" t="s">
        <v>39</v>
      </c>
      <c r="L4072" s="1">
        <v>4.4000000000000004</v>
      </c>
      <c r="M4072" s="1">
        <v>524</v>
      </c>
      <c r="P4072" t="str">
        <f t="shared" si="255"/>
        <v/>
      </c>
      <c r="Q4072" s="12" t="str">
        <f t="shared" si="252"/>
        <v/>
      </c>
      <c r="R4072" s="9" t="str">
        <f t="shared" si="253"/>
        <v/>
      </c>
      <c r="S4072" s="9">
        <f>IF(R4072="",AVERAGEIF(Table1[Category],Table1[[#This Row],[Category]],Table2[orignal data]),Table2[[#This Row],[orignal data]])</f>
        <v>552.70900000000006</v>
      </c>
      <c r="T4072" t="str">
        <f t="shared" si="254"/>
        <v>UNIQUE</v>
      </c>
      <c r="U4072" t="str">
        <f>IF(ISBLANK(Table1[[#This Row],[SizeOption]]),"NOT AVAILABLE",Table1[[#This Row],[SizeOption]])</f>
        <v>S, M, L, XL, XXL</v>
      </c>
      <c r="Y4072" t="str">
        <f>IF(Table2[[#This Row],[Column1]]&gt;50%,"HIGH DISCOUNT","LOW DISCOUNT")</f>
        <v>HIGH DISCOUNT</v>
      </c>
    </row>
    <row r="4073" spans="1:25" x14ac:dyDescent="0.25">
      <c r="A4073" s="2" t="s">
        <v>8362</v>
      </c>
      <c r="B4073" s="2">
        <v>13078228</v>
      </c>
      <c r="C4073" s="2" t="s">
        <v>3903</v>
      </c>
      <c r="D4073" s="2" t="s">
        <v>76</v>
      </c>
      <c r="E4073" s="2" t="s">
        <v>93</v>
      </c>
      <c r="F4073" s="2" t="s">
        <v>36</v>
      </c>
      <c r="G4073" s="2" t="s">
        <v>8363</v>
      </c>
      <c r="H4073">
        <v>999</v>
      </c>
      <c r="I4073" s="2">
        <v>1999</v>
      </c>
      <c r="J4073" s="2" t="s">
        <v>84</v>
      </c>
      <c r="K4073" s="2" t="s">
        <v>100</v>
      </c>
      <c r="L4073" s="2">
        <v>4.4000000000000004</v>
      </c>
      <c r="M4073" s="2">
        <v>524</v>
      </c>
      <c r="P4073" t="str">
        <f t="shared" si="255"/>
        <v>50%</v>
      </c>
      <c r="Q4073" s="12">
        <f t="shared" si="252"/>
        <v>0.5</v>
      </c>
      <c r="R4073" s="9">
        <f t="shared" si="253"/>
        <v>999.5</v>
      </c>
      <c r="S4073" s="9">
        <f>IF(R4073="",AVERAGEIF(Table1[Category],Table1[[#This Row],[Category]],Table2[orignal data]),Table2[[#This Row],[orignal data]])</f>
        <v>999.5</v>
      </c>
      <c r="T4073" t="str">
        <f t="shared" si="254"/>
        <v>UNIQUE</v>
      </c>
      <c r="U4073" t="str">
        <f>IF(ISBLANK(Table1[[#This Row],[SizeOption]]),"NOT AVAILABLE",Table1[[#This Row],[SizeOption]])</f>
        <v>XS, S, M, L, XL, XXL, 3XL</v>
      </c>
      <c r="Y4073" t="str">
        <f>IF(Table2[[#This Row],[Column1]]&gt;50%,"HIGH DISCOUNT","LOW DISCOUNT")</f>
        <v>LOW DISCOUNT</v>
      </c>
    </row>
    <row r="4074" spans="1:25" x14ac:dyDescent="0.25">
      <c r="A4074" s="1" t="s">
        <v>8364</v>
      </c>
      <c r="B4074" s="1">
        <v>11169934</v>
      </c>
      <c r="C4074" s="1" t="s">
        <v>762</v>
      </c>
      <c r="D4074" s="1" t="s">
        <v>34</v>
      </c>
      <c r="E4074" s="1" t="s">
        <v>118</v>
      </c>
      <c r="F4074" s="1" t="s">
        <v>36</v>
      </c>
      <c r="G4074" s="1" t="s">
        <v>8365</v>
      </c>
      <c r="H4074">
        <v>853</v>
      </c>
      <c r="I4074" s="1">
        <v>898</v>
      </c>
      <c r="J4074" s="1" t="s">
        <v>764</v>
      </c>
      <c r="K4074" s="1" t="s">
        <v>8366</v>
      </c>
      <c r="L4074" s="1">
        <v>4.3</v>
      </c>
      <c r="M4074" s="1">
        <v>524</v>
      </c>
      <c r="P4074" t="str">
        <f t="shared" si="255"/>
        <v>5%</v>
      </c>
      <c r="Q4074" s="12">
        <f t="shared" si="252"/>
        <v>0.05</v>
      </c>
      <c r="R4074" s="9">
        <f t="shared" si="253"/>
        <v>853.1</v>
      </c>
      <c r="S4074" s="9">
        <f>IF(R4074="",AVERAGEIF(Table1[Category],Table1[[#This Row],[Category]],Table2[orignal data]),Table2[[#This Row],[orignal data]])</f>
        <v>853.1</v>
      </c>
      <c r="T4074" t="str">
        <f t="shared" si="254"/>
        <v>UNIQUE</v>
      </c>
      <c r="U4074" t="str">
        <f>IF(ISBLANK(Table1[[#This Row],[SizeOption]]),"NOT AVAILABLE",Table1[[#This Row],[SizeOption]])</f>
        <v>30C, 32C, 34C, 36C, 38C, 40C</v>
      </c>
      <c r="Y4074" t="str">
        <f>IF(Table2[[#This Row],[Column1]]&gt;50%,"HIGH DISCOUNT","LOW DISCOUNT")</f>
        <v>LOW DISCOUNT</v>
      </c>
    </row>
    <row r="4075" spans="1:25" x14ac:dyDescent="0.25">
      <c r="A4075" s="2" t="s">
        <v>8367</v>
      </c>
      <c r="B4075" s="2">
        <v>10961438</v>
      </c>
      <c r="C4075" s="2" t="s">
        <v>558</v>
      </c>
      <c r="D4075" s="2" t="s">
        <v>41</v>
      </c>
      <c r="E4075" s="2" t="s">
        <v>48</v>
      </c>
      <c r="F4075" s="2" t="s">
        <v>36</v>
      </c>
      <c r="G4075" s="2" t="s">
        <v>8368</v>
      </c>
      <c r="I4075" s="2">
        <v>1299</v>
      </c>
      <c r="J4075" s="2" t="s">
        <v>50</v>
      </c>
      <c r="K4075" s="2" t="s">
        <v>115</v>
      </c>
      <c r="L4075" s="2">
        <v>4.4000000000000004</v>
      </c>
      <c r="M4075" s="2">
        <v>524</v>
      </c>
      <c r="P4075" t="str">
        <f t="shared" si="255"/>
        <v>40%</v>
      </c>
      <c r="Q4075" s="12">
        <f t="shared" si="252"/>
        <v>0.4</v>
      </c>
      <c r="R4075" s="9">
        <f t="shared" si="253"/>
        <v>779.4</v>
      </c>
      <c r="S4075" s="9">
        <f>IF(R4075="",AVERAGEIF(Table1[Category],Table1[[#This Row],[Category]],Table2[orignal data]),Table2[[#This Row],[orignal data]])</f>
        <v>779.4</v>
      </c>
      <c r="T4075" t="str">
        <f t="shared" si="254"/>
        <v>UNIQUE</v>
      </c>
      <c r="U4075" t="str">
        <f>IF(ISBLANK(Table1[[#This Row],[SizeOption]]),"NOT AVAILABLE",Table1[[#This Row],[SizeOption]])</f>
        <v>XS, S, M, L, XL, XXL</v>
      </c>
      <c r="Y4075" t="str">
        <f>IF(Table2[[#This Row],[Column1]]&gt;50%,"HIGH DISCOUNT","LOW DISCOUNT")</f>
        <v>LOW DISCOUNT</v>
      </c>
    </row>
    <row r="4076" spans="1:25" x14ac:dyDescent="0.25">
      <c r="A4076" s="1" t="s">
        <v>8369</v>
      </c>
      <c r="B4076" s="1">
        <v>13633452</v>
      </c>
      <c r="C4076" s="1" t="s">
        <v>181</v>
      </c>
      <c r="D4076" s="1" t="s">
        <v>41</v>
      </c>
      <c r="E4076" s="1" t="s">
        <v>16</v>
      </c>
      <c r="F4076" s="1" t="s">
        <v>36</v>
      </c>
      <c r="G4076" s="1" t="s">
        <v>8370</v>
      </c>
      <c r="I4076" s="1">
        <v>1999</v>
      </c>
      <c r="J4076" s="1" t="s">
        <v>55</v>
      </c>
      <c r="K4076" s="1" t="s">
        <v>134</v>
      </c>
      <c r="L4076" s="1">
        <v>4.2</v>
      </c>
      <c r="M4076" s="1">
        <v>524</v>
      </c>
      <c r="P4076" t="str">
        <f t="shared" si="255"/>
        <v>60%</v>
      </c>
      <c r="Q4076" s="12">
        <f t="shared" si="252"/>
        <v>0.6</v>
      </c>
      <c r="R4076" s="9">
        <f t="shared" si="253"/>
        <v>799.60000000000014</v>
      </c>
      <c r="S4076" s="9">
        <f>IF(R4076="",AVERAGEIF(Table1[Category],Table1[[#This Row],[Category]],Table2[orignal data]),Table2[[#This Row],[orignal data]])</f>
        <v>799.60000000000014</v>
      </c>
      <c r="T4076" t="str">
        <f t="shared" si="254"/>
        <v>UNIQUE</v>
      </c>
      <c r="U4076" t="str">
        <f>IF(ISBLANK(Table1[[#This Row],[SizeOption]]),"NOT AVAILABLE",Table1[[#This Row],[SizeOption]])</f>
        <v>26, 28, 30, 32, 34, 36</v>
      </c>
      <c r="Y4076" t="str">
        <f>IF(Table2[[#This Row],[Column1]]&gt;50%,"HIGH DISCOUNT","LOW DISCOUNT")</f>
        <v>HIGH DISCOUNT</v>
      </c>
    </row>
    <row r="4077" spans="1:25" x14ac:dyDescent="0.25">
      <c r="A4077" s="2" t="s">
        <v>8371</v>
      </c>
      <c r="B4077" s="2">
        <v>8325337</v>
      </c>
      <c r="C4077" s="2" t="s">
        <v>47</v>
      </c>
      <c r="D4077" s="2" t="s">
        <v>41</v>
      </c>
      <c r="E4077" s="2" t="s">
        <v>48</v>
      </c>
      <c r="F4077" s="2" t="s">
        <v>36</v>
      </c>
      <c r="G4077" s="2" t="s">
        <v>8372</v>
      </c>
      <c r="I4077" s="2">
        <v>749</v>
      </c>
      <c r="J4077" s="2" t="s">
        <v>19</v>
      </c>
      <c r="K4077" s="2" t="s">
        <v>45</v>
      </c>
      <c r="L4077" s="2">
        <v>4.3</v>
      </c>
      <c r="M4077" s="2">
        <v>524</v>
      </c>
      <c r="P4077" t="str">
        <f t="shared" si="255"/>
        <v>45%</v>
      </c>
      <c r="Q4077" s="12">
        <f t="shared" si="252"/>
        <v>0.45</v>
      </c>
      <c r="R4077" s="9">
        <f t="shared" si="253"/>
        <v>411.95</v>
      </c>
      <c r="S4077" s="9">
        <f>IF(R4077="",AVERAGEIF(Table1[Category],Table1[[#This Row],[Category]],Table2[orignal data]),Table2[[#This Row],[orignal data]])</f>
        <v>411.95</v>
      </c>
      <c r="T4077" t="str">
        <f t="shared" si="254"/>
        <v>UNIQUE</v>
      </c>
      <c r="U4077" t="str">
        <f>IF(ISBLANK(Table1[[#This Row],[SizeOption]]),"NOT AVAILABLE",Table1[[#This Row],[SizeOption]])</f>
        <v>XS, S, M, L, XL</v>
      </c>
      <c r="Y4077" t="str">
        <f>IF(Table2[[#This Row],[Column1]]&gt;50%,"HIGH DISCOUNT","LOW DISCOUNT")</f>
        <v>LOW DISCOUNT</v>
      </c>
    </row>
    <row r="4078" spans="1:25" x14ac:dyDescent="0.25">
      <c r="A4078" s="1" t="s">
        <v>8373</v>
      </c>
      <c r="B4078" s="1">
        <v>12193750</v>
      </c>
      <c r="C4078" s="1" t="s">
        <v>14</v>
      </c>
      <c r="D4078" s="1" t="s">
        <v>41</v>
      </c>
      <c r="E4078" s="1" t="s">
        <v>42</v>
      </c>
      <c r="F4078" s="1" t="s">
        <v>36</v>
      </c>
      <c r="G4078" s="1" t="s">
        <v>8374</v>
      </c>
      <c r="I4078" s="1">
        <v>799</v>
      </c>
      <c r="J4078" s="1" t="s">
        <v>84</v>
      </c>
      <c r="K4078" s="1" t="s">
        <v>45</v>
      </c>
      <c r="L4078" s="1">
        <v>4.2</v>
      </c>
      <c r="M4078" s="1">
        <v>524</v>
      </c>
      <c r="P4078" t="str">
        <f t="shared" si="255"/>
        <v>50%</v>
      </c>
      <c r="Q4078" s="12">
        <f t="shared" si="252"/>
        <v>0.5</v>
      </c>
      <c r="R4078" s="9">
        <f t="shared" si="253"/>
        <v>399.5</v>
      </c>
      <c r="S4078" s="9">
        <f>IF(R4078="",AVERAGEIF(Table1[Category],Table1[[#This Row],[Category]],Table2[orignal data]),Table2[[#This Row],[orignal data]])</f>
        <v>399.5</v>
      </c>
      <c r="T4078" t="str">
        <f t="shared" si="254"/>
        <v>UNIQUE</v>
      </c>
      <c r="U4078" t="str">
        <f>IF(ISBLANK(Table1[[#This Row],[SizeOption]]),"NOT AVAILABLE",Table1[[#This Row],[SizeOption]])</f>
        <v>XS, S, M, L, XL</v>
      </c>
      <c r="Y4078" t="str">
        <f>IF(Table2[[#This Row],[Column1]]&gt;50%,"HIGH DISCOUNT","LOW DISCOUNT")</f>
        <v>LOW DISCOUNT</v>
      </c>
    </row>
    <row r="4079" spans="1:25" x14ac:dyDescent="0.25">
      <c r="A4079" s="2" t="s">
        <v>8375</v>
      </c>
      <c r="B4079" s="2">
        <v>11274728</v>
      </c>
      <c r="C4079" s="2" t="s">
        <v>14</v>
      </c>
      <c r="D4079" s="2" t="s">
        <v>15</v>
      </c>
      <c r="E4079" s="2" t="s">
        <v>16</v>
      </c>
      <c r="F4079" s="2" t="s">
        <v>17</v>
      </c>
      <c r="G4079" s="2" t="s">
        <v>8376</v>
      </c>
      <c r="H4079">
        <v>1124</v>
      </c>
      <c r="I4079" s="2">
        <v>2499</v>
      </c>
      <c r="J4079" s="2" t="s">
        <v>25</v>
      </c>
      <c r="K4079" s="2" t="s">
        <v>20</v>
      </c>
      <c r="L4079" s="2">
        <v>3.9</v>
      </c>
      <c r="M4079" s="2">
        <v>523</v>
      </c>
      <c r="P4079" t="str">
        <f t="shared" si="255"/>
        <v>55%</v>
      </c>
      <c r="Q4079" s="12">
        <f t="shared" si="252"/>
        <v>0.55000000000000004</v>
      </c>
      <c r="R4079" s="9">
        <f t="shared" si="253"/>
        <v>1124.55</v>
      </c>
      <c r="S4079" s="9">
        <f>IF(R4079="",AVERAGEIF(Table1[Category],Table1[[#This Row],[Category]],Table2[orignal data]),Table2[[#This Row],[orignal data]])</f>
        <v>1124.55</v>
      </c>
      <c r="T4079" t="str">
        <f t="shared" si="254"/>
        <v>UNIQUE</v>
      </c>
      <c r="U4079" t="str">
        <f>IF(ISBLANK(Table1[[#This Row],[SizeOption]]),"NOT AVAILABLE",Table1[[#This Row],[SizeOption]])</f>
        <v>28, 30, 32, 34, 36</v>
      </c>
      <c r="Y4079" t="str">
        <f>IF(Table2[[#This Row],[Column1]]&gt;50%,"HIGH DISCOUNT","LOW DISCOUNT")</f>
        <v>HIGH DISCOUNT</v>
      </c>
    </row>
    <row r="4080" spans="1:25" x14ac:dyDescent="0.25">
      <c r="A4080" s="1" t="s">
        <v>8377</v>
      </c>
      <c r="B4080" s="1">
        <v>11539222</v>
      </c>
      <c r="C4080" s="1" t="s">
        <v>52</v>
      </c>
      <c r="D4080" s="1" t="s">
        <v>15</v>
      </c>
      <c r="E4080" s="1" t="s">
        <v>137</v>
      </c>
      <c r="F4080" s="1" t="s">
        <v>17</v>
      </c>
      <c r="G4080" s="1" t="s">
        <v>8378</v>
      </c>
      <c r="H4080">
        <v>591</v>
      </c>
      <c r="I4080" s="1">
        <v>1599</v>
      </c>
      <c r="J4080" s="1" t="s">
        <v>476</v>
      </c>
      <c r="K4080" s="1" t="s">
        <v>816</v>
      </c>
      <c r="L4080" s="1">
        <v>4.0999999999999996</v>
      </c>
      <c r="M4080" s="1">
        <v>523</v>
      </c>
      <c r="P4080" t="str">
        <f t="shared" si="255"/>
        <v>63%</v>
      </c>
      <c r="Q4080" s="12">
        <f t="shared" si="252"/>
        <v>0.63</v>
      </c>
      <c r="R4080" s="9">
        <f t="shared" si="253"/>
        <v>591.63</v>
      </c>
      <c r="S4080" s="9">
        <f>IF(R4080="",AVERAGEIF(Table1[Category],Table1[[#This Row],[Category]],Table2[orignal data]),Table2[[#This Row],[orignal data]])</f>
        <v>591.63</v>
      </c>
      <c r="T4080" t="str">
        <f t="shared" si="254"/>
        <v>UNIQUE</v>
      </c>
      <c r="U4080" t="str">
        <f>IF(ISBLANK(Table1[[#This Row],[SizeOption]]),"NOT AVAILABLE",Table1[[#This Row],[SizeOption]])</f>
        <v>30, 32, 34, 36, 38</v>
      </c>
      <c r="Y4080" t="str">
        <f>IF(Table2[[#This Row],[Column1]]&gt;50%,"HIGH DISCOUNT","LOW DISCOUNT")</f>
        <v>HIGH DISCOUNT</v>
      </c>
    </row>
    <row r="4081" spans="1:25" x14ac:dyDescent="0.25">
      <c r="A4081" s="2" t="s">
        <v>8379</v>
      </c>
      <c r="B4081" s="2">
        <v>11638634</v>
      </c>
      <c r="C4081" s="2" t="s">
        <v>349</v>
      </c>
      <c r="D4081" s="2" t="s">
        <v>197</v>
      </c>
      <c r="E4081" s="2" t="s">
        <v>296</v>
      </c>
      <c r="F4081" s="2" t="s">
        <v>17</v>
      </c>
      <c r="G4081" s="2" t="s">
        <v>8380</v>
      </c>
      <c r="I4081" s="2">
        <v>1058</v>
      </c>
      <c r="J4081" s="2"/>
      <c r="K4081" s="2" t="s">
        <v>352</v>
      </c>
      <c r="L4081" s="2">
        <v>4.7</v>
      </c>
      <c r="M4081" s="2">
        <v>523</v>
      </c>
      <c r="P4081" t="str">
        <f t="shared" si="255"/>
        <v/>
      </c>
      <c r="Q4081" s="12" t="str">
        <f t="shared" si="252"/>
        <v/>
      </c>
      <c r="R4081" s="9" t="str">
        <f t="shared" si="253"/>
        <v/>
      </c>
      <c r="S4081" s="9">
        <f>IF(R4081="",AVERAGEIF(Table1[Category],Table1[[#This Row],[Category]],Table2[orignal data]),Table2[[#This Row],[orignal data]])</f>
        <v>552.70900000000006</v>
      </c>
      <c r="T4081" t="str">
        <f t="shared" si="254"/>
        <v>UNIQUE</v>
      </c>
      <c r="U4081" t="str">
        <f>IF(ISBLANK(Table1[[#This Row],[SizeOption]]),"NOT AVAILABLE",Table1[[#This Row],[SizeOption]])</f>
        <v>S, M, L</v>
      </c>
      <c r="Y4081" t="str">
        <f>IF(Table2[[#This Row],[Column1]]&gt;50%,"HIGH DISCOUNT","LOW DISCOUNT")</f>
        <v>HIGH DISCOUNT</v>
      </c>
    </row>
    <row r="4082" spans="1:25" x14ac:dyDescent="0.25">
      <c r="A4082" s="1" t="s">
        <v>8381</v>
      </c>
      <c r="B4082" s="1">
        <v>9867853</v>
      </c>
      <c r="C4082" s="1" t="s">
        <v>349</v>
      </c>
      <c r="D4082" s="1" t="s">
        <v>197</v>
      </c>
      <c r="E4082" s="1" t="s">
        <v>296</v>
      </c>
      <c r="F4082" s="1" t="s">
        <v>17</v>
      </c>
      <c r="G4082" s="1" t="s">
        <v>8382</v>
      </c>
      <c r="I4082" s="1">
        <v>529</v>
      </c>
      <c r="J4082" s="1"/>
      <c r="K4082" s="1" t="s">
        <v>352</v>
      </c>
      <c r="L4082" s="1">
        <v>4.7</v>
      </c>
      <c r="M4082" s="1">
        <v>523</v>
      </c>
      <c r="P4082" t="str">
        <f t="shared" si="255"/>
        <v/>
      </c>
      <c r="Q4082" s="12" t="str">
        <f t="shared" si="252"/>
        <v/>
      </c>
      <c r="R4082" s="9" t="str">
        <f t="shared" si="253"/>
        <v/>
      </c>
      <c r="S4082" s="9">
        <f>IF(R4082="",AVERAGEIF(Table1[Category],Table1[[#This Row],[Category]],Table2[orignal data]),Table2[[#This Row],[orignal data]])</f>
        <v>552.70900000000006</v>
      </c>
      <c r="T4082" t="str">
        <f t="shared" si="254"/>
        <v>UNIQUE</v>
      </c>
      <c r="U4082" t="str">
        <f>IF(ISBLANK(Table1[[#This Row],[SizeOption]]),"NOT AVAILABLE",Table1[[#This Row],[SizeOption]])</f>
        <v>S, M, L</v>
      </c>
      <c r="Y4082" t="str">
        <f>IF(Table2[[#This Row],[Column1]]&gt;50%,"HIGH DISCOUNT","LOW DISCOUNT")</f>
        <v>HIGH DISCOUNT</v>
      </c>
    </row>
    <row r="4083" spans="1:25" x14ac:dyDescent="0.25">
      <c r="A4083" s="2" t="s">
        <v>8383</v>
      </c>
      <c r="B4083" s="2">
        <v>13683920</v>
      </c>
      <c r="C4083" s="2" t="s">
        <v>52</v>
      </c>
      <c r="D4083" s="2" t="s">
        <v>28</v>
      </c>
      <c r="E4083" s="2" t="s">
        <v>29</v>
      </c>
      <c r="F4083" s="2" t="s">
        <v>17</v>
      </c>
      <c r="G4083" s="2" t="s">
        <v>8384</v>
      </c>
      <c r="H4083">
        <v>597</v>
      </c>
      <c r="I4083" s="2">
        <v>1049</v>
      </c>
      <c r="J4083" s="2" t="s">
        <v>509</v>
      </c>
      <c r="K4083" s="2" t="s">
        <v>90</v>
      </c>
      <c r="L4083" s="2">
        <v>4.2</v>
      </c>
      <c r="M4083" s="2">
        <v>523</v>
      </c>
      <c r="P4083" t="str">
        <f t="shared" si="255"/>
        <v>43%</v>
      </c>
      <c r="Q4083" s="12">
        <f t="shared" si="252"/>
        <v>0.43</v>
      </c>
      <c r="R4083" s="9">
        <f t="shared" si="253"/>
        <v>597.93000000000006</v>
      </c>
      <c r="S4083" s="9">
        <f>IF(R4083="",AVERAGEIF(Table1[Category],Table1[[#This Row],[Category]],Table2[orignal data]),Table2[[#This Row],[orignal data]])</f>
        <v>597.93000000000006</v>
      </c>
      <c r="T4083" t="str">
        <f t="shared" si="254"/>
        <v>UNIQUE</v>
      </c>
      <c r="U4083" t="str">
        <f>IF(ISBLANK(Table1[[#This Row],[SizeOption]]),"NOT AVAILABLE",Table1[[#This Row],[SizeOption]])</f>
        <v>39, 40, 42, 44</v>
      </c>
      <c r="Y4083" t="str">
        <f>IF(Table2[[#This Row],[Column1]]&gt;50%,"HIGH DISCOUNT","LOW DISCOUNT")</f>
        <v>LOW DISCOUNT</v>
      </c>
    </row>
    <row r="4084" spans="1:25" x14ac:dyDescent="0.25">
      <c r="A4084" s="1" t="s">
        <v>8385</v>
      </c>
      <c r="B4084" s="1">
        <v>13552826</v>
      </c>
      <c r="C4084" s="1" t="s">
        <v>1003</v>
      </c>
      <c r="D4084" s="1" t="s">
        <v>28</v>
      </c>
      <c r="E4084" s="1" t="s">
        <v>42</v>
      </c>
      <c r="F4084" s="1" t="s">
        <v>17</v>
      </c>
      <c r="G4084" s="1" t="s">
        <v>8386</v>
      </c>
      <c r="H4084">
        <v>424</v>
      </c>
      <c r="I4084" s="1">
        <v>499</v>
      </c>
      <c r="J4084" s="1" t="s">
        <v>786</v>
      </c>
      <c r="K4084" s="1" t="s">
        <v>234</v>
      </c>
      <c r="L4084" s="1">
        <v>4.5</v>
      </c>
      <c r="M4084" s="1">
        <v>523</v>
      </c>
      <c r="P4084" t="str">
        <f t="shared" si="255"/>
        <v>15%</v>
      </c>
      <c r="Q4084" s="12">
        <f t="shared" si="252"/>
        <v>0.15</v>
      </c>
      <c r="R4084" s="9">
        <f t="shared" si="253"/>
        <v>424.15</v>
      </c>
      <c r="S4084" s="9">
        <f>IF(R4084="",AVERAGEIF(Table1[Category],Table1[[#This Row],[Category]],Table2[orignal data]),Table2[[#This Row],[orignal data]])</f>
        <v>424.15</v>
      </c>
      <c r="T4084" t="str">
        <f t="shared" si="254"/>
        <v>UNIQUE</v>
      </c>
      <c r="U4084" t="str">
        <f>IF(ISBLANK(Table1[[#This Row],[SizeOption]]),"NOT AVAILABLE",Table1[[#This Row],[SizeOption]])</f>
        <v>S, M, L, XL, XXL, 3XL</v>
      </c>
      <c r="Y4084" t="str">
        <f>IF(Table2[[#This Row],[Column1]]&gt;50%,"HIGH DISCOUNT","LOW DISCOUNT")</f>
        <v>LOW DISCOUNT</v>
      </c>
    </row>
    <row r="4085" spans="1:25" x14ac:dyDescent="0.25">
      <c r="A4085" s="2" t="s">
        <v>8387</v>
      </c>
      <c r="B4085" s="2">
        <v>12786746</v>
      </c>
      <c r="C4085" s="2" t="s">
        <v>232</v>
      </c>
      <c r="D4085" s="2" t="s">
        <v>76</v>
      </c>
      <c r="E4085" s="2" t="s">
        <v>148</v>
      </c>
      <c r="F4085" s="2" t="s">
        <v>36</v>
      </c>
      <c r="G4085" s="2" t="s">
        <v>8388</v>
      </c>
      <c r="H4085">
        <v>1122</v>
      </c>
      <c r="I4085" s="2">
        <v>2495</v>
      </c>
      <c r="J4085" s="2" t="s">
        <v>25</v>
      </c>
      <c r="K4085" s="2" t="s">
        <v>223</v>
      </c>
      <c r="L4085" s="2">
        <v>4.3</v>
      </c>
      <c r="M4085" s="2">
        <v>523</v>
      </c>
      <c r="P4085" t="str">
        <f t="shared" si="255"/>
        <v>55%</v>
      </c>
      <c r="Q4085" s="12">
        <f t="shared" si="252"/>
        <v>0.55000000000000004</v>
      </c>
      <c r="R4085" s="9">
        <f t="shared" si="253"/>
        <v>1122.75</v>
      </c>
      <c r="S4085" s="9">
        <f>IF(R4085="",AVERAGEIF(Table1[Category],Table1[[#This Row],[Category]],Table2[orignal data]),Table2[[#This Row],[orignal data]])</f>
        <v>1122.75</v>
      </c>
      <c r="T4085" t="str">
        <f t="shared" si="254"/>
        <v>UNIQUE</v>
      </c>
      <c r="U4085" t="str">
        <f>IF(ISBLANK(Table1[[#This Row],[SizeOption]]),"NOT AVAILABLE",Table1[[#This Row],[SizeOption]])</f>
        <v>S, M, L, XL, XXL, 3XL, 4XL</v>
      </c>
      <c r="Y4085" t="str">
        <f>IF(Table2[[#This Row],[Column1]]&gt;50%,"HIGH DISCOUNT","LOW DISCOUNT")</f>
        <v>HIGH DISCOUNT</v>
      </c>
    </row>
    <row r="4086" spans="1:25" x14ac:dyDescent="0.25">
      <c r="A4086" s="1" t="s">
        <v>8389</v>
      </c>
      <c r="B4086" s="1">
        <v>11926142</v>
      </c>
      <c r="C4086" s="1" t="s">
        <v>3569</v>
      </c>
      <c r="D4086" s="1" t="s">
        <v>76</v>
      </c>
      <c r="E4086" s="1" t="s">
        <v>93</v>
      </c>
      <c r="F4086" s="1" t="s">
        <v>36</v>
      </c>
      <c r="G4086" s="1" t="s">
        <v>8390</v>
      </c>
      <c r="H4086">
        <v>999</v>
      </c>
      <c r="I4086" s="1">
        <v>3999</v>
      </c>
      <c r="J4086" s="1" t="s">
        <v>109</v>
      </c>
      <c r="K4086" s="1" t="s">
        <v>732</v>
      </c>
      <c r="L4086" s="1">
        <v>4.4000000000000004</v>
      </c>
      <c r="M4086" s="1">
        <v>523</v>
      </c>
      <c r="P4086" t="str">
        <f t="shared" si="255"/>
        <v>75%</v>
      </c>
      <c r="Q4086" s="12">
        <f t="shared" si="252"/>
        <v>0.75</v>
      </c>
      <c r="R4086" s="9">
        <f t="shared" si="253"/>
        <v>999.75</v>
      </c>
      <c r="S4086" s="9">
        <f>IF(R4086="",AVERAGEIF(Table1[Category],Table1[[#This Row],[Category]],Table2[orignal data]),Table2[[#This Row],[orignal data]])</f>
        <v>999.75</v>
      </c>
      <c r="T4086" t="str">
        <f t="shared" si="254"/>
        <v>UNIQUE</v>
      </c>
      <c r="U4086" t="str">
        <f>IF(ISBLANK(Table1[[#This Row],[SizeOption]]),"NOT AVAILABLE",Table1[[#This Row],[SizeOption]])</f>
        <v>S, M, L, XL, XXL, 3XL, 4XL, 5XL</v>
      </c>
      <c r="Y4086" t="str">
        <f>IF(Table2[[#This Row],[Column1]]&gt;50%,"HIGH DISCOUNT","LOW DISCOUNT")</f>
        <v>HIGH DISCOUNT</v>
      </c>
    </row>
    <row r="4087" spans="1:25" x14ac:dyDescent="0.25">
      <c r="A4087" s="2" t="s">
        <v>8391</v>
      </c>
      <c r="B4087" s="2">
        <v>12220392</v>
      </c>
      <c r="C4087" s="2" t="s">
        <v>184</v>
      </c>
      <c r="D4087" s="2" t="s">
        <v>41</v>
      </c>
      <c r="E4087" s="2" t="s">
        <v>148</v>
      </c>
      <c r="F4087" s="2" t="s">
        <v>36</v>
      </c>
      <c r="G4087" s="2" t="s">
        <v>8392</v>
      </c>
      <c r="I4087" s="2">
        <v>1199</v>
      </c>
      <c r="J4087" s="2" t="s">
        <v>7149</v>
      </c>
      <c r="K4087" s="2" t="s">
        <v>39</v>
      </c>
      <c r="L4087" s="2">
        <v>4.4000000000000004</v>
      </c>
      <c r="M4087" s="2">
        <v>523</v>
      </c>
      <c r="P4087" t="str">
        <f t="shared" si="255"/>
        <v>700</v>
      </c>
      <c r="Q4087" s="12">
        <f t="shared" si="252"/>
        <v>0.58381984987489577</v>
      </c>
      <c r="R4087" s="9">
        <f t="shared" si="253"/>
        <v>499</v>
      </c>
      <c r="S4087" s="9">
        <f>IF(R4087="",AVERAGEIF(Table1[Category],Table1[[#This Row],[Category]],Table2[orignal data]),Table2[[#This Row],[orignal data]])</f>
        <v>499</v>
      </c>
      <c r="T4087" t="str">
        <f t="shared" si="254"/>
        <v>UNIQUE</v>
      </c>
      <c r="U4087" t="str">
        <f>IF(ISBLANK(Table1[[#This Row],[SizeOption]]),"NOT AVAILABLE",Table1[[#This Row],[SizeOption]])</f>
        <v>S, M, L, XL, XXL</v>
      </c>
      <c r="Y4087" t="str">
        <f>IF(Table2[[#This Row],[Column1]]&gt;50%,"HIGH DISCOUNT","LOW DISCOUNT")</f>
        <v>HIGH DISCOUNT</v>
      </c>
    </row>
    <row r="4088" spans="1:25" x14ac:dyDescent="0.25">
      <c r="A4088" s="1" t="s">
        <v>8393</v>
      </c>
      <c r="B4088" s="1">
        <v>1737452</v>
      </c>
      <c r="C4088" s="1" t="s">
        <v>800</v>
      </c>
      <c r="D4088" s="1" t="s">
        <v>41</v>
      </c>
      <c r="E4088" s="1" t="s">
        <v>148</v>
      </c>
      <c r="F4088" s="1" t="s">
        <v>36</v>
      </c>
      <c r="G4088" s="1" t="s">
        <v>8394</v>
      </c>
      <c r="I4088" s="1">
        <v>1499</v>
      </c>
      <c r="J4088" s="1" t="s">
        <v>476</v>
      </c>
      <c r="K4088" s="1" t="s">
        <v>26</v>
      </c>
      <c r="L4088" s="1">
        <v>3.9</v>
      </c>
      <c r="M4088" s="1">
        <v>523</v>
      </c>
      <c r="P4088" t="str">
        <f t="shared" si="255"/>
        <v>63%</v>
      </c>
      <c r="Q4088" s="12">
        <f t="shared" si="252"/>
        <v>0.63</v>
      </c>
      <c r="R4088" s="9">
        <f t="shared" si="253"/>
        <v>554.63</v>
      </c>
      <c r="S4088" s="9">
        <f>IF(R4088="",AVERAGEIF(Table1[Category],Table1[[#This Row],[Category]],Table2[orignal data]),Table2[[#This Row],[orignal data]])</f>
        <v>554.63</v>
      </c>
      <c r="T4088" t="str">
        <f t="shared" si="254"/>
        <v>UNIQUE</v>
      </c>
      <c r="U4088" t="str">
        <f>IF(ISBLANK(Table1[[#This Row],[SizeOption]]),"NOT AVAILABLE",Table1[[#This Row],[SizeOption]])</f>
        <v>S, M, L, XL</v>
      </c>
      <c r="Y4088" t="str">
        <f>IF(Table2[[#This Row],[Column1]]&gt;50%,"HIGH DISCOUNT","LOW DISCOUNT")</f>
        <v>HIGH DISCOUNT</v>
      </c>
    </row>
    <row r="4089" spans="1:25" x14ac:dyDescent="0.25">
      <c r="A4089" s="2" t="s">
        <v>8395</v>
      </c>
      <c r="B4089" s="2">
        <v>1328700</v>
      </c>
      <c r="C4089" s="2" t="s">
        <v>47</v>
      </c>
      <c r="D4089" s="2" t="s">
        <v>41</v>
      </c>
      <c r="E4089" s="2" t="s">
        <v>48</v>
      </c>
      <c r="F4089" s="2" t="s">
        <v>36</v>
      </c>
      <c r="G4089" s="2" t="s">
        <v>8396</v>
      </c>
      <c r="I4089" s="2">
        <v>1499</v>
      </c>
      <c r="J4089" s="2" t="s">
        <v>25</v>
      </c>
      <c r="K4089" s="2" t="s">
        <v>45</v>
      </c>
      <c r="L4089" s="2">
        <v>4.0999999999999996</v>
      </c>
      <c r="M4089" s="2">
        <v>523</v>
      </c>
      <c r="P4089" t="str">
        <f t="shared" si="255"/>
        <v>55%</v>
      </c>
      <c r="Q4089" s="12">
        <f t="shared" si="252"/>
        <v>0.55000000000000004</v>
      </c>
      <c r="R4089" s="9">
        <f t="shared" si="253"/>
        <v>674.55</v>
      </c>
      <c r="S4089" s="9">
        <f>IF(R4089="",AVERAGEIF(Table1[Category],Table1[[#This Row],[Category]],Table2[orignal data]),Table2[[#This Row],[orignal data]])</f>
        <v>674.55</v>
      </c>
      <c r="T4089" t="str">
        <f t="shared" si="254"/>
        <v>UNIQUE</v>
      </c>
      <c r="U4089" t="str">
        <f>IF(ISBLANK(Table1[[#This Row],[SizeOption]]),"NOT AVAILABLE",Table1[[#This Row],[SizeOption]])</f>
        <v>XS, S, M, L, XL</v>
      </c>
      <c r="Y4089" t="str">
        <f>IF(Table2[[#This Row],[Column1]]&gt;50%,"HIGH DISCOUNT","LOW DISCOUNT")</f>
        <v>HIGH DISCOUNT</v>
      </c>
    </row>
    <row r="4090" spans="1:25" x14ac:dyDescent="0.25">
      <c r="A4090" s="1" t="s">
        <v>8397</v>
      </c>
      <c r="B4090" s="1">
        <v>17383650</v>
      </c>
      <c r="C4090" s="1" t="s">
        <v>14</v>
      </c>
      <c r="D4090" s="1" t="s">
        <v>41</v>
      </c>
      <c r="E4090" s="1" t="s">
        <v>42</v>
      </c>
      <c r="F4090" s="1" t="s">
        <v>36</v>
      </c>
      <c r="G4090" s="1" t="s">
        <v>8398</v>
      </c>
      <c r="I4090" s="1">
        <v>1598</v>
      </c>
      <c r="J4090" s="1" t="s">
        <v>84</v>
      </c>
      <c r="K4090" s="1" t="s">
        <v>146</v>
      </c>
      <c r="L4090" s="1">
        <v>4.3</v>
      </c>
      <c r="M4090" s="1">
        <v>523</v>
      </c>
      <c r="P4090" t="str">
        <f t="shared" si="255"/>
        <v>50%</v>
      </c>
      <c r="Q4090" s="12">
        <f t="shared" si="252"/>
        <v>0.5</v>
      </c>
      <c r="R4090" s="9">
        <f t="shared" si="253"/>
        <v>799</v>
      </c>
      <c r="S4090" s="9">
        <f>IF(R4090="",AVERAGEIF(Table1[Category],Table1[[#This Row],[Category]],Table2[orignal data]),Table2[[#This Row],[orignal data]])</f>
        <v>799</v>
      </c>
      <c r="T4090" t="str">
        <f t="shared" si="254"/>
        <v>UNIQUE</v>
      </c>
      <c r="U4090" t="str">
        <f>IF(ISBLANK(Table1[[#This Row],[SizeOption]]),"NOT AVAILABLE",Table1[[#This Row],[SizeOption]])</f>
        <v>L, M, S, XS, XL</v>
      </c>
      <c r="Y4090" t="str">
        <f>IF(Table2[[#This Row],[Column1]]&gt;50%,"HIGH DISCOUNT","LOW DISCOUNT")</f>
        <v>LOW DISCOUNT</v>
      </c>
    </row>
    <row r="4091" spans="1:25" x14ac:dyDescent="0.25">
      <c r="A4091" s="2" t="s">
        <v>8399</v>
      </c>
      <c r="B4091" s="2">
        <v>17381898</v>
      </c>
      <c r="C4091" s="2" t="s">
        <v>14</v>
      </c>
      <c r="D4091" s="2" t="s">
        <v>41</v>
      </c>
      <c r="E4091" s="2" t="s">
        <v>42</v>
      </c>
      <c r="F4091" s="2" t="s">
        <v>36</v>
      </c>
      <c r="G4091" s="2" t="s">
        <v>3203</v>
      </c>
      <c r="I4091" s="2">
        <v>1598</v>
      </c>
      <c r="J4091" s="2" t="s">
        <v>84</v>
      </c>
      <c r="K4091" s="2" t="s">
        <v>45</v>
      </c>
      <c r="L4091" s="2">
        <v>4.3</v>
      </c>
      <c r="M4091" s="2">
        <v>523</v>
      </c>
      <c r="P4091" t="str">
        <f t="shared" si="255"/>
        <v>50%</v>
      </c>
      <c r="Q4091" s="12">
        <f t="shared" si="252"/>
        <v>0.5</v>
      </c>
      <c r="R4091" s="9">
        <f t="shared" si="253"/>
        <v>799</v>
      </c>
      <c r="S4091" s="9">
        <f>IF(R4091="",AVERAGEIF(Table1[Category],Table1[[#This Row],[Category]],Table2[orignal data]),Table2[[#This Row],[orignal data]])</f>
        <v>799</v>
      </c>
      <c r="T4091" t="str">
        <f t="shared" si="254"/>
        <v>UNIQUE</v>
      </c>
      <c r="U4091" t="str">
        <f>IF(ISBLANK(Table1[[#This Row],[SizeOption]]),"NOT AVAILABLE",Table1[[#This Row],[SizeOption]])</f>
        <v>XS, S, M, L, XL</v>
      </c>
      <c r="Y4091" t="str">
        <f>IF(Table2[[#This Row],[Column1]]&gt;50%,"HIGH DISCOUNT","LOW DISCOUNT")</f>
        <v>LOW DISCOUNT</v>
      </c>
    </row>
    <row r="4092" spans="1:25" x14ac:dyDescent="0.25">
      <c r="A4092" s="1" t="s">
        <v>8400</v>
      </c>
      <c r="B4092" s="1">
        <v>13401054</v>
      </c>
      <c r="C4092" s="1" t="s">
        <v>52</v>
      </c>
      <c r="D4092" s="1" t="s">
        <v>15</v>
      </c>
      <c r="E4092" s="1" t="s">
        <v>16</v>
      </c>
      <c r="F4092" s="1" t="s">
        <v>17</v>
      </c>
      <c r="G4092" s="1" t="s">
        <v>8401</v>
      </c>
      <c r="H4092">
        <v>554</v>
      </c>
      <c r="I4092" s="1">
        <v>1499</v>
      </c>
      <c r="J4092" s="1" t="s">
        <v>476</v>
      </c>
      <c r="K4092" s="1" t="s">
        <v>816</v>
      </c>
      <c r="L4092" s="1">
        <v>3.9</v>
      </c>
      <c r="M4092" s="1">
        <v>522</v>
      </c>
      <c r="P4092" t="str">
        <f t="shared" si="255"/>
        <v>63%</v>
      </c>
      <c r="Q4092" s="12">
        <f t="shared" si="252"/>
        <v>0.63</v>
      </c>
      <c r="R4092" s="9">
        <f t="shared" si="253"/>
        <v>554.63</v>
      </c>
      <c r="S4092" s="9">
        <f>IF(R4092="",AVERAGEIF(Table1[Category],Table1[[#This Row],[Category]],Table2[orignal data]),Table2[[#This Row],[orignal data]])</f>
        <v>554.63</v>
      </c>
      <c r="T4092" t="str">
        <f t="shared" si="254"/>
        <v>UNIQUE</v>
      </c>
      <c r="U4092" t="str">
        <f>IF(ISBLANK(Table1[[#This Row],[SizeOption]]),"NOT AVAILABLE",Table1[[#This Row],[SizeOption]])</f>
        <v>30, 32, 34, 36, 38</v>
      </c>
      <c r="Y4092" t="str">
        <f>IF(Table2[[#This Row],[Column1]]&gt;50%,"HIGH DISCOUNT","LOW DISCOUNT")</f>
        <v>HIGH DISCOUNT</v>
      </c>
    </row>
    <row r="4093" spans="1:25" x14ac:dyDescent="0.25">
      <c r="A4093" s="2" t="s">
        <v>8402</v>
      </c>
      <c r="B4093" s="2">
        <v>11713416</v>
      </c>
      <c r="C4093" s="2" t="s">
        <v>517</v>
      </c>
      <c r="D4093" s="2" t="s">
        <v>15</v>
      </c>
      <c r="E4093" s="2" t="s">
        <v>53</v>
      </c>
      <c r="F4093" s="2" t="s">
        <v>17</v>
      </c>
      <c r="G4093" s="2" t="s">
        <v>8403</v>
      </c>
      <c r="H4093">
        <v>805</v>
      </c>
      <c r="I4093" s="2">
        <v>1299</v>
      </c>
      <c r="J4093" s="2" t="s">
        <v>408</v>
      </c>
      <c r="K4093" s="2" t="s">
        <v>816</v>
      </c>
      <c r="L4093" s="2">
        <v>3.8</v>
      </c>
      <c r="M4093" s="2">
        <v>522</v>
      </c>
      <c r="P4093" t="str">
        <f t="shared" si="255"/>
        <v>38%</v>
      </c>
      <c r="Q4093" s="12">
        <f t="shared" si="252"/>
        <v>0.38</v>
      </c>
      <c r="R4093" s="9">
        <f t="shared" si="253"/>
        <v>805.38</v>
      </c>
      <c r="S4093" s="9">
        <f>IF(R4093="",AVERAGEIF(Table1[Category],Table1[[#This Row],[Category]],Table2[orignal data]),Table2[[#This Row],[orignal data]])</f>
        <v>805.38</v>
      </c>
      <c r="T4093" t="str">
        <f t="shared" si="254"/>
        <v>UNIQUE</v>
      </c>
      <c r="U4093" t="str">
        <f>IF(ISBLANK(Table1[[#This Row],[SizeOption]]),"NOT AVAILABLE",Table1[[#This Row],[SizeOption]])</f>
        <v>30, 32, 34, 36, 38</v>
      </c>
      <c r="Y4093" t="str">
        <f>IF(Table2[[#This Row],[Column1]]&gt;50%,"HIGH DISCOUNT","LOW DISCOUNT")</f>
        <v>LOW DISCOUNT</v>
      </c>
    </row>
    <row r="4094" spans="1:25" x14ac:dyDescent="0.25">
      <c r="A4094" s="1" t="s">
        <v>8404</v>
      </c>
      <c r="B4094" s="1">
        <v>12135086</v>
      </c>
      <c r="C4094" s="1" t="s">
        <v>113</v>
      </c>
      <c r="D4094" s="1" t="s">
        <v>76</v>
      </c>
      <c r="E4094" s="1" t="s">
        <v>93</v>
      </c>
      <c r="F4094" s="1" t="s">
        <v>17</v>
      </c>
      <c r="G4094" s="1" t="s">
        <v>8405</v>
      </c>
      <c r="H4094">
        <v>599</v>
      </c>
      <c r="I4094" s="1">
        <v>1499</v>
      </c>
      <c r="J4094" s="1" t="s">
        <v>55</v>
      </c>
      <c r="K4094" s="1" t="s">
        <v>39</v>
      </c>
      <c r="L4094" s="1">
        <v>4</v>
      </c>
      <c r="M4094" s="1">
        <v>522</v>
      </c>
      <c r="P4094" t="str">
        <f t="shared" si="255"/>
        <v>60%</v>
      </c>
      <c r="Q4094" s="12">
        <f t="shared" si="252"/>
        <v>0.6</v>
      </c>
      <c r="R4094" s="9">
        <f t="shared" si="253"/>
        <v>599.6</v>
      </c>
      <c r="S4094" s="9">
        <f>IF(R4094="",AVERAGEIF(Table1[Category],Table1[[#This Row],[Category]],Table2[orignal data]),Table2[[#This Row],[orignal data]])</f>
        <v>599.6</v>
      </c>
      <c r="T4094" t="str">
        <f t="shared" si="254"/>
        <v>UNIQUE</v>
      </c>
      <c r="U4094" t="str">
        <f>IF(ISBLANK(Table1[[#This Row],[SizeOption]]),"NOT AVAILABLE",Table1[[#This Row],[SizeOption]])</f>
        <v>S, M, L, XL, XXL</v>
      </c>
      <c r="Y4094" t="str">
        <f>IF(Table2[[#This Row],[Column1]]&gt;50%,"HIGH DISCOUNT","LOW DISCOUNT")</f>
        <v>HIGH DISCOUNT</v>
      </c>
    </row>
    <row r="4095" spans="1:25" x14ac:dyDescent="0.25">
      <c r="A4095" s="2" t="s">
        <v>8406</v>
      </c>
      <c r="B4095" s="2">
        <v>10794374</v>
      </c>
      <c r="C4095" s="2" t="s">
        <v>1091</v>
      </c>
      <c r="D4095" s="2" t="s">
        <v>197</v>
      </c>
      <c r="E4095" s="2" t="s">
        <v>296</v>
      </c>
      <c r="F4095" s="2" t="s">
        <v>17</v>
      </c>
      <c r="G4095" s="2" t="s">
        <v>4933</v>
      </c>
      <c r="H4095">
        <v>510</v>
      </c>
      <c r="I4095" s="2">
        <v>693</v>
      </c>
      <c r="J4095" s="2" t="s">
        <v>8407</v>
      </c>
      <c r="K4095" s="2" t="s">
        <v>39</v>
      </c>
      <c r="L4095" s="2">
        <v>4</v>
      </c>
      <c r="M4095" s="2">
        <v>522</v>
      </c>
      <c r="P4095" t="str">
        <f t="shared" si="255"/>
        <v>183</v>
      </c>
      <c r="Q4095" s="12">
        <f t="shared" si="252"/>
        <v>0.26406926406926406</v>
      </c>
      <c r="R4095" s="9">
        <f t="shared" si="253"/>
        <v>510</v>
      </c>
      <c r="S4095" s="9">
        <f>IF(R4095="",AVERAGEIF(Table1[Category],Table1[[#This Row],[Category]],Table2[orignal data]),Table2[[#This Row],[orignal data]])</f>
        <v>510</v>
      </c>
      <c r="T4095" t="str">
        <f t="shared" si="254"/>
        <v>UNIQUE</v>
      </c>
      <c r="U4095" t="str">
        <f>IF(ISBLANK(Table1[[#This Row],[SizeOption]]),"NOT AVAILABLE",Table1[[#This Row],[SizeOption]])</f>
        <v>S, M, L, XL, XXL</v>
      </c>
      <c r="Y4095" t="str">
        <f>IF(Table2[[#This Row],[Column1]]&gt;50%,"HIGH DISCOUNT","LOW DISCOUNT")</f>
        <v>LOW DISCOUNT</v>
      </c>
    </row>
    <row r="4096" spans="1:25" x14ac:dyDescent="0.25">
      <c r="A4096" s="1" t="s">
        <v>8408</v>
      </c>
      <c r="B4096" s="1">
        <v>9918325</v>
      </c>
      <c r="C4096" s="1" t="s">
        <v>794</v>
      </c>
      <c r="D4096" s="1" t="s">
        <v>197</v>
      </c>
      <c r="E4096" s="1" t="s">
        <v>296</v>
      </c>
      <c r="F4096" s="1" t="s">
        <v>17</v>
      </c>
      <c r="G4096" s="1" t="s">
        <v>8409</v>
      </c>
      <c r="H4096">
        <v>247</v>
      </c>
      <c r="I4096" s="1">
        <v>309</v>
      </c>
      <c r="J4096" s="1" t="s">
        <v>412</v>
      </c>
      <c r="K4096" s="1" t="s">
        <v>352</v>
      </c>
      <c r="L4096" s="1">
        <v>4.5</v>
      </c>
      <c r="M4096" s="1">
        <v>522</v>
      </c>
      <c r="P4096" t="str">
        <f t="shared" si="255"/>
        <v>20%</v>
      </c>
      <c r="Q4096" s="12">
        <f t="shared" si="252"/>
        <v>0.2</v>
      </c>
      <c r="R4096" s="9">
        <f t="shared" si="253"/>
        <v>247.2</v>
      </c>
      <c r="S4096" s="9">
        <f>IF(R4096="",AVERAGEIF(Table1[Category],Table1[[#This Row],[Category]],Table2[orignal data]),Table2[[#This Row],[orignal data]])</f>
        <v>247.2</v>
      </c>
      <c r="T4096" t="str">
        <f t="shared" si="254"/>
        <v>UNIQUE</v>
      </c>
      <c r="U4096" t="str">
        <f>IF(ISBLANK(Table1[[#This Row],[SizeOption]]),"NOT AVAILABLE",Table1[[#This Row],[SizeOption]])</f>
        <v>S, M, L</v>
      </c>
      <c r="Y4096" t="str">
        <f>IF(Table2[[#This Row],[Column1]]&gt;50%,"HIGH DISCOUNT","LOW DISCOUNT")</f>
        <v>LOW DISCOUNT</v>
      </c>
    </row>
    <row r="4097" spans="1:25" x14ac:dyDescent="0.25">
      <c r="A4097" s="2" t="s">
        <v>8410</v>
      </c>
      <c r="B4097" s="2">
        <v>17804206</v>
      </c>
      <c r="C4097" s="2" t="s">
        <v>295</v>
      </c>
      <c r="D4097" s="2" t="s">
        <v>197</v>
      </c>
      <c r="E4097" s="2" t="s">
        <v>939</v>
      </c>
      <c r="F4097" s="2" t="s">
        <v>17</v>
      </c>
      <c r="G4097" s="2" t="s">
        <v>8411</v>
      </c>
      <c r="I4097" s="2">
        <v>1498</v>
      </c>
      <c r="J4097" s="2"/>
      <c r="K4097" s="2" t="s">
        <v>26</v>
      </c>
      <c r="L4097" s="2">
        <v>4.4000000000000004</v>
      </c>
      <c r="M4097" s="2">
        <v>522</v>
      </c>
      <c r="P4097" t="str">
        <f t="shared" si="255"/>
        <v/>
      </c>
      <c r="Q4097" s="12" t="str">
        <f t="shared" si="252"/>
        <v/>
      </c>
      <c r="R4097" s="9" t="str">
        <f t="shared" si="253"/>
        <v/>
      </c>
      <c r="S4097" s="9">
        <f>IF(R4097="",AVERAGEIF(Table1[Category],Table1[[#This Row],[Category]],Table2[orignal data]),Table2[[#This Row],[orignal data]])</f>
        <v>552.70900000000006</v>
      </c>
      <c r="T4097" t="str">
        <f t="shared" si="254"/>
        <v>UNIQUE</v>
      </c>
      <c r="U4097" t="str">
        <f>IF(ISBLANK(Table1[[#This Row],[SizeOption]]),"NOT AVAILABLE",Table1[[#This Row],[SizeOption]])</f>
        <v>S, M, L, XL</v>
      </c>
      <c r="Y4097" t="str">
        <f>IF(Table2[[#This Row],[Column1]]&gt;50%,"HIGH DISCOUNT","LOW DISCOUNT")</f>
        <v>HIGH DISCOUNT</v>
      </c>
    </row>
    <row r="4098" spans="1:25" x14ac:dyDescent="0.25">
      <c r="A4098" s="1" t="s">
        <v>8412</v>
      </c>
      <c r="B4098" s="1">
        <v>16323426</v>
      </c>
      <c r="C4098" s="1" t="s">
        <v>67</v>
      </c>
      <c r="D4098" s="1" t="s">
        <v>68</v>
      </c>
      <c r="E4098" s="1" t="s">
        <v>42</v>
      </c>
      <c r="F4098" s="1" t="s">
        <v>17</v>
      </c>
      <c r="G4098" s="1" t="s">
        <v>8413</v>
      </c>
      <c r="I4098" s="1">
        <v>1898</v>
      </c>
      <c r="J4098" s="1"/>
      <c r="K4098" s="1" t="s">
        <v>2184</v>
      </c>
      <c r="L4098" s="1">
        <v>4.4000000000000004</v>
      </c>
      <c r="M4098" s="1">
        <v>522</v>
      </c>
      <c r="P4098" t="str">
        <f t="shared" si="255"/>
        <v/>
      </c>
      <c r="Q4098" s="12" t="str">
        <f t="shared" ref="Q4098:Q4161" si="256">IF(P4098="","",IF(ISNUMBER(SEARCH("%",P4098)),P4098,P4098/I4098)*100%)</f>
        <v/>
      </c>
      <c r="R4098" s="9" t="str">
        <f t="shared" ref="R4098:R4161" si="257">IF(P4098="","",I4098-(I4098*Q4098))</f>
        <v/>
      </c>
      <c r="S4098" s="9">
        <f>IF(R4098="",AVERAGEIF(Table1[Category],Table1[[#This Row],[Category]],Table2[orignal data]),Table2[[#This Row],[orignal data]])</f>
        <v>734.32085365853686</v>
      </c>
      <c r="T4098" t="str">
        <f t="shared" ref="T4098:T4161" si="258">IF(COUNTIF($B$2:$B$5000,B4098)&gt;1,"DUPLICATE","UNIQUE")</f>
        <v>UNIQUE</v>
      </c>
      <c r="U4098" t="str">
        <f>IF(ISBLANK(Table1[[#This Row],[SizeOption]]),"NOT AVAILABLE",Table1[[#This Row],[SizeOption]])</f>
        <v>XL, XXL, L, S, M</v>
      </c>
      <c r="Y4098" t="str">
        <f>IF(Table2[[#This Row],[Column1]]&gt;50%,"HIGH DISCOUNT","LOW DISCOUNT")</f>
        <v>HIGH DISCOUNT</v>
      </c>
    </row>
    <row r="4099" spans="1:25" x14ac:dyDescent="0.25">
      <c r="A4099" s="2" t="s">
        <v>8414</v>
      </c>
      <c r="B4099" s="2">
        <v>11900250</v>
      </c>
      <c r="C4099" s="2" t="s">
        <v>346</v>
      </c>
      <c r="D4099" s="2" t="s">
        <v>28</v>
      </c>
      <c r="E4099" s="2" t="s">
        <v>42</v>
      </c>
      <c r="F4099" s="2" t="s">
        <v>17</v>
      </c>
      <c r="G4099" s="2" t="s">
        <v>8415</v>
      </c>
      <c r="H4099">
        <v>384</v>
      </c>
      <c r="I4099" s="2">
        <v>1099</v>
      </c>
      <c r="J4099" s="2" t="s">
        <v>150</v>
      </c>
      <c r="K4099" s="2" t="s">
        <v>39</v>
      </c>
      <c r="L4099" s="2">
        <v>4.0999999999999996</v>
      </c>
      <c r="M4099" s="2">
        <v>522</v>
      </c>
      <c r="P4099" t="str">
        <f t="shared" ref="P4099:P4162" si="259">TRIM(SUBSTITUTE(SUBSTITUTE(SUBSTITUTE(SUBSTITUTE(J4099,"OFF",""),"Rs.",""),"Hurry*",""),",",""))</f>
        <v>65%</v>
      </c>
      <c r="Q4099" s="12">
        <f t="shared" si="256"/>
        <v>0.65</v>
      </c>
      <c r="R4099" s="9">
        <f t="shared" si="257"/>
        <v>384.65</v>
      </c>
      <c r="S4099" s="9">
        <f>IF(R4099="",AVERAGEIF(Table1[Category],Table1[[#This Row],[Category]],Table2[orignal data]),Table2[[#This Row],[orignal data]])</f>
        <v>384.65</v>
      </c>
      <c r="T4099" t="str">
        <f t="shared" si="258"/>
        <v>UNIQUE</v>
      </c>
      <c r="U4099" t="str">
        <f>IF(ISBLANK(Table1[[#This Row],[SizeOption]]),"NOT AVAILABLE",Table1[[#This Row],[SizeOption]])</f>
        <v>S, M, L, XL, XXL</v>
      </c>
      <c r="Y4099" t="str">
        <f>IF(Table2[[#This Row],[Column1]]&gt;50%,"HIGH DISCOUNT","LOW DISCOUNT")</f>
        <v>HIGH DISCOUNT</v>
      </c>
    </row>
    <row r="4100" spans="1:25" x14ac:dyDescent="0.25">
      <c r="A4100" s="1" t="s">
        <v>8416</v>
      </c>
      <c r="B4100" s="1">
        <v>11363506</v>
      </c>
      <c r="C4100" s="1" t="s">
        <v>169</v>
      </c>
      <c r="D4100" s="1" t="s">
        <v>28</v>
      </c>
      <c r="E4100" s="1" t="s">
        <v>42</v>
      </c>
      <c r="F4100" s="1" t="s">
        <v>17</v>
      </c>
      <c r="G4100" s="1" t="s">
        <v>8417</v>
      </c>
      <c r="H4100">
        <v>699</v>
      </c>
      <c r="I4100" s="1">
        <v>1399</v>
      </c>
      <c r="J4100" s="1" t="s">
        <v>84</v>
      </c>
      <c r="K4100" s="1" t="s">
        <v>39</v>
      </c>
      <c r="L4100" s="1">
        <v>4.3</v>
      </c>
      <c r="M4100" s="1">
        <v>522</v>
      </c>
      <c r="P4100" t="str">
        <f t="shared" si="259"/>
        <v>50%</v>
      </c>
      <c r="Q4100" s="12">
        <f t="shared" si="256"/>
        <v>0.5</v>
      </c>
      <c r="R4100" s="9">
        <f t="shared" si="257"/>
        <v>699.5</v>
      </c>
      <c r="S4100" s="9">
        <f>IF(R4100="",AVERAGEIF(Table1[Category],Table1[[#This Row],[Category]],Table2[orignal data]),Table2[[#This Row],[orignal data]])</f>
        <v>699.5</v>
      </c>
      <c r="T4100" t="str">
        <f t="shared" si="258"/>
        <v>UNIQUE</v>
      </c>
      <c r="U4100" t="str">
        <f>IF(ISBLANK(Table1[[#This Row],[SizeOption]]),"NOT AVAILABLE",Table1[[#This Row],[SizeOption]])</f>
        <v>S, M, L, XL, XXL</v>
      </c>
      <c r="Y4100" t="str">
        <f>IF(Table2[[#This Row],[Column1]]&gt;50%,"HIGH DISCOUNT","LOW DISCOUNT")</f>
        <v>LOW DISCOUNT</v>
      </c>
    </row>
    <row r="4101" spans="1:25" x14ac:dyDescent="0.25">
      <c r="A4101" s="2" t="s">
        <v>8418</v>
      </c>
      <c r="B4101" s="2">
        <v>10887794</v>
      </c>
      <c r="C4101" s="2" t="s">
        <v>1299</v>
      </c>
      <c r="D4101" s="2" t="s">
        <v>28</v>
      </c>
      <c r="E4101" s="2" t="s">
        <v>29</v>
      </c>
      <c r="F4101" s="2" t="s">
        <v>17</v>
      </c>
      <c r="G4101" s="2" t="s">
        <v>8419</v>
      </c>
      <c r="H4101">
        <v>594</v>
      </c>
      <c r="I4101" s="2">
        <v>1699</v>
      </c>
      <c r="J4101" s="2" t="s">
        <v>150</v>
      </c>
      <c r="K4101" s="2" t="s">
        <v>1674</v>
      </c>
      <c r="L4101" s="2">
        <v>4</v>
      </c>
      <c r="M4101" s="2">
        <v>522</v>
      </c>
      <c r="P4101" t="str">
        <f t="shared" si="259"/>
        <v>65%</v>
      </c>
      <c r="Q4101" s="12">
        <f t="shared" si="256"/>
        <v>0.65</v>
      </c>
      <c r="R4101" s="9">
        <f t="shared" si="257"/>
        <v>594.64999999999986</v>
      </c>
      <c r="S4101" s="9">
        <f>IF(R4101="",AVERAGEIF(Table1[Category],Table1[[#This Row],[Category]],Table2[orignal data]),Table2[[#This Row],[orignal data]])</f>
        <v>594.64999999999986</v>
      </c>
      <c r="T4101" t="str">
        <f t="shared" si="258"/>
        <v>UNIQUE</v>
      </c>
      <c r="U4101" t="str">
        <f>IF(ISBLANK(Table1[[#This Row],[SizeOption]]),"NOT AVAILABLE",Table1[[#This Row],[SizeOption]])</f>
        <v>38, 39, 40, 42, 44</v>
      </c>
      <c r="Y4101" t="str">
        <f>IF(Table2[[#This Row],[Column1]]&gt;50%,"HIGH DISCOUNT","LOW DISCOUNT")</f>
        <v>HIGH DISCOUNT</v>
      </c>
    </row>
    <row r="4102" spans="1:25" x14ac:dyDescent="0.25">
      <c r="A4102" s="1" t="s">
        <v>8420</v>
      </c>
      <c r="B4102" s="1">
        <v>10777466</v>
      </c>
      <c r="C4102" s="1" t="s">
        <v>113</v>
      </c>
      <c r="D4102" s="1" t="s">
        <v>76</v>
      </c>
      <c r="E4102" s="1" t="s">
        <v>93</v>
      </c>
      <c r="F4102" s="1" t="s">
        <v>36</v>
      </c>
      <c r="G4102" s="1" t="s">
        <v>8421</v>
      </c>
      <c r="H4102">
        <v>639</v>
      </c>
      <c r="I4102" s="1">
        <v>1599</v>
      </c>
      <c r="J4102" s="1" t="s">
        <v>55</v>
      </c>
      <c r="K4102" s="1" t="s">
        <v>115</v>
      </c>
      <c r="L4102" s="1">
        <v>3.9</v>
      </c>
      <c r="M4102" s="1">
        <v>522</v>
      </c>
      <c r="P4102" t="str">
        <f t="shared" si="259"/>
        <v>60%</v>
      </c>
      <c r="Q4102" s="12">
        <f t="shared" si="256"/>
        <v>0.6</v>
      </c>
      <c r="R4102" s="9">
        <f t="shared" si="257"/>
        <v>639.6</v>
      </c>
      <c r="S4102" s="9">
        <f>IF(R4102="",AVERAGEIF(Table1[Category],Table1[[#This Row],[Category]],Table2[orignal data]),Table2[[#This Row],[orignal data]])</f>
        <v>639.6</v>
      </c>
      <c r="T4102" t="str">
        <f t="shared" si="258"/>
        <v>UNIQUE</v>
      </c>
      <c r="U4102" t="str">
        <f>IF(ISBLANK(Table1[[#This Row],[SizeOption]]),"NOT AVAILABLE",Table1[[#This Row],[SizeOption]])</f>
        <v>XS, S, M, L, XL, XXL</v>
      </c>
      <c r="Y4102" t="str">
        <f>IF(Table2[[#This Row],[Column1]]&gt;50%,"HIGH DISCOUNT","LOW DISCOUNT")</f>
        <v>HIGH DISCOUNT</v>
      </c>
    </row>
    <row r="4103" spans="1:25" x14ac:dyDescent="0.25">
      <c r="A4103" s="2" t="s">
        <v>8422</v>
      </c>
      <c r="B4103" s="2">
        <v>12289996</v>
      </c>
      <c r="C4103" s="2" t="s">
        <v>75</v>
      </c>
      <c r="D4103" s="2" t="s">
        <v>76</v>
      </c>
      <c r="E4103" s="2" t="s">
        <v>77</v>
      </c>
      <c r="F4103" s="2" t="s">
        <v>36</v>
      </c>
      <c r="G4103" s="2" t="s">
        <v>8423</v>
      </c>
      <c r="H4103">
        <v>1035</v>
      </c>
      <c r="I4103" s="2">
        <v>2799</v>
      </c>
      <c r="J4103" s="2" t="s">
        <v>476</v>
      </c>
      <c r="K4103" s="2" t="s">
        <v>39</v>
      </c>
      <c r="L4103" s="2">
        <v>4.3</v>
      </c>
      <c r="M4103" s="2">
        <v>522</v>
      </c>
      <c r="P4103" t="str">
        <f t="shared" si="259"/>
        <v>63%</v>
      </c>
      <c r="Q4103" s="12">
        <f t="shared" si="256"/>
        <v>0.63</v>
      </c>
      <c r="R4103" s="9">
        <f t="shared" si="257"/>
        <v>1035.6299999999999</v>
      </c>
      <c r="S4103" s="9">
        <f>IF(R4103="",AVERAGEIF(Table1[Category],Table1[[#This Row],[Category]],Table2[orignal data]),Table2[[#This Row],[orignal data]])</f>
        <v>1035.6299999999999</v>
      </c>
      <c r="T4103" t="str">
        <f t="shared" si="258"/>
        <v>UNIQUE</v>
      </c>
      <c r="U4103" t="str">
        <f>IF(ISBLANK(Table1[[#This Row],[SizeOption]]),"NOT AVAILABLE",Table1[[#This Row],[SizeOption]])</f>
        <v>S, M, L, XL, XXL</v>
      </c>
      <c r="Y4103" t="str">
        <f>IF(Table2[[#This Row],[Column1]]&gt;50%,"HIGH DISCOUNT","LOW DISCOUNT")</f>
        <v>HIGH DISCOUNT</v>
      </c>
    </row>
    <row r="4104" spans="1:25" x14ac:dyDescent="0.25">
      <c r="A4104" s="1" t="s">
        <v>8424</v>
      </c>
      <c r="B4104" s="1">
        <v>12529352</v>
      </c>
      <c r="C4104" s="1" t="s">
        <v>221</v>
      </c>
      <c r="D4104" s="1" t="s">
        <v>98</v>
      </c>
      <c r="E4104" s="1" t="s">
        <v>368</v>
      </c>
      <c r="F4104" s="1" t="s">
        <v>36</v>
      </c>
      <c r="G4104" s="1" t="s">
        <v>8425</v>
      </c>
      <c r="H4104">
        <v>559</v>
      </c>
      <c r="I4104" s="1">
        <v>1599</v>
      </c>
      <c r="J4104" s="1" t="s">
        <v>150</v>
      </c>
      <c r="K4104" s="1" t="s">
        <v>195</v>
      </c>
      <c r="L4104" s="1">
        <v>4.0999999999999996</v>
      </c>
      <c r="M4104" s="1">
        <v>522</v>
      </c>
      <c r="P4104" t="str">
        <f t="shared" si="259"/>
        <v>65%</v>
      </c>
      <c r="Q4104" s="12">
        <f t="shared" si="256"/>
        <v>0.65</v>
      </c>
      <c r="R4104" s="9">
        <f t="shared" si="257"/>
        <v>559.64999999999986</v>
      </c>
      <c r="S4104" s="9">
        <f>IF(R4104="",AVERAGEIF(Table1[Category],Table1[[#This Row],[Category]],Table2[orignal data]),Table2[[#This Row],[orignal data]])</f>
        <v>559.64999999999986</v>
      </c>
      <c r="T4104" t="str">
        <f t="shared" si="258"/>
        <v>UNIQUE</v>
      </c>
      <c r="U4104" t="str">
        <f>IF(ISBLANK(Table1[[#This Row],[SizeOption]]),"NOT AVAILABLE",Table1[[#This Row],[SizeOption]])</f>
        <v>28, 30, 32, 34, 36, 38, 40</v>
      </c>
      <c r="Y4104" t="str">
        <f>IF(Table2[[#This Row],[Column1]]&gt;50%,"HIGH DISCOUNT","LOW DISCOUNT")</f>
        <v>HIGH DISCOUNT</v>
      </c>
    </row>
    <row r="4105" spans="1:25" x14ac:dyDescent="0.25">
      <c r="A4105" s="2" t="s">
        <v>8426</v>
      </c>
      <c r="B4105" s="2">
        <v>12487482</v>
      </c>
      <c r="C4105" s="2" t="s">
        <v>107</v>
      </c>
      <c r="D4105" s="2" t="s">
        <v>41</v>
      </c>
      <c r="E4105" s="2" t="s">
        <v>42</v>
      </c>
      <c r="F4105" s="2" t="s">
        <v>36</v>
      </c>
      <c r="G4105" s="2" t="s">
        <v>8427</v>
      </c>
      <c r="I4105" s="2">
        <v>599</v>
      </c>
      <c r="J4105" s="2" t="s">
        <v>50</v>
      </c>
      <c r="K4105" s="2" t="s">
        <v>26</v>
      </c>
      <c r="L4105" s="2">
        <v>4.3</v>
      </c>
      <c r="M4105" s="2">
        <v>522</v>
      </c>
      <c r="P4105" t="str">
        <f t="shared" si="259"/>
        <v>40%</v>
      </c>
      <c r="Q4105" s="12">
        <f t="shared" si="256"/>
        <v>0.4</v>
      </c>
      <c r="R4105" s="9">
        <f t="shared" si="257"/>
        <v>359.4</v>
      </c>
      <c r="S4105" s="9">
        <f>IF(R4105="",AVERAGEIF(Table1[Category],Table1[[#This Row],[Category]],Table2[orignal data]),Table2[[#This Row],[orignal data]])</f>
        <v>359.4</v>
      </c>
      <c r="T4105" t="str">
        <f t="shared" si="258"/>
        <v>UNIQUE</v>
      </c>
      <c r="U4105" t="str">
        <f>IF(ISBLANK(Table1[[#This Row],[SizeOption]]),"NOT AVAILABLE",Table1[[#This Row],[SizeOption]])</f>
        <v>S, M, L, XL</v>
      </c>
      <c r="Y4105" t="str">
        <f>IF(Table2[[#This Row],[Column1]]&gt;50%,"HIGH DISCOUNT","LOW DISCOUNT")</f>
        <v>LOW DISCOUNT</v>
      </c>
    </row>
    <row r="4106" spans="1:25" x14ac:dyDescent="0.25">
      <c r="A4106" s="1" t="s">
        <v>8428</v>
      </c>
      <c r="B4106" s="1">
        <v>13321522</v>
      </c>
      <c r="C4106" s="1" t="s">
        <v>14</v>
      </c>
      <c r="D4106" s="1" t="s">
        <v>41</v>
      </c>
      <c r="E4106" s="1" t="s">
        <v>42</v>
      </c>
      <c r="F4106" s="1" t="s">
        <v>36</v>
      </c>
      <c r="G4106" s="1" t="s">
        <v>8429</v>
      </c>
      <c r="I4106" s="1">
        <v>799</v>
      </c>
      <c r="J4106" s="1"/>
      <c r="K4106" s="1" t="s">
        <v>45</v>
      </c>
      <c r="L4106" s="1">
        <v>4.4000000000000004</v>
      </c>
      <c r="M4106" s="1">
        <v>522</v>
      </c>
      <c r="P4106" t="str">
        <f t="shared" si="259"/>
        <v/>
      </c>
      <c r="Q4106" s="12" t="str">
        <f t="shared" si="256"/>
        <v/>
      </c>
      <c r="R4106" s="9" t="str">
        <f t="shared" si="257"/>
        <v/>
      </c>
      <c r="S4106" s="9">
        <f>IF(R4106="",AVERAGEIF(Table1[Category],Table1[[#This Row],[Category]],Table2[orignal data]),Table2[[#This Row],[orignal data]])</f>
        <v>715.78890751086249</v>
      </c>
      <c r="T4106" t="str">
        <f t="shared" si="258"/>
        <v>UNIQUE</v>
      </c>
      <c r="U4106" t="str">
        <f>IF(ISBLANK(Table1[[#This Row],[SizeOption]]),"NOT AVAILABLE",Table1[[#This Row],[SizeOption]])</f>
        <v>XS, S, M, L, XL</v>
      </c>
      <c r="Y4106" t="str">
        <f>IF(Table2[[#This Row],[Column1]]&gt;50%,"HIGH DISCOUNT","LOW DISCOUNT")</f>
        <v>HIGH DISCOUNT</v>
      </c>
    </row>
    <row r="4107" spans="1:25" x14ac:dyDescent="0.25">
      <c r="A4107" s="2" t="s">
        <v>8430</v>
      </c>
      <c r="B4107" s="2">
        <v>6832257</v>
      </c>
      <c r="C4107" s="2" t="s">
        <v>169</v>
      </c>
      <c r="D4107" s="2" t="s">
        <v>15</v>
      </c>
      <c r="E4107" s="2" t="s">
        <v>16</v>
      </c>
      <c r="F4107" s="2" t="s">
        <v>17</v>
      </c>
      <c r="G4107" s="2" t="s">
        <v>170</v>
      </c>
      <c r="H4107">
        <v>1559</v>
      </c>
      <c r="I4107" s="2">
        <v>2599</v>
      </c>
      <c r="J4107" s="2" t="s">
        <v>50</v>
      </c>
      <c r="K4107" s="2" t="s">
        <v>171</v>
      </c>
      <c r="L4107" s="2">
        <v>3.9</v>
      </c>
      <c r="M4107" s="2">
        <v>521</v>
      </c>
      <c r="P4107" t="str">
        <f t="shared" si="259"/>
        <v>40%</v>
      </c>
      <c r="Q4107" s="12">
        <f t="shared" si="256"/>
        <v>0.4</v>
      </c>
      <c r="R4107" s="9">
        <f t="shared" si="257"/>
        <v>1559.3999999999999</v>
      </c>
      <c r="S4107" s="9">
        <f>IF(R4107="",AVERAGEIF(Table1[Category],Table1[[#This Row],[Category]],Table2[orignal data]),Table2[[#This Row],[orignal data]])</f>
        <v>1559.3999999999999</v>
      </c>
      <c r="T4107" t="str">
        <f t="shared" si="258"/>
        <v>UNIQUE</v>
      </c>
      <c r="U4107" t="str">
        <f>IF(ISBLANK(Table1[[#This Row],[SizeOption]]),"NOT AVAILABLE",Table1[[#This Row],[SizeOption]])</f>
        <v>28, 30, 32, 34, 36, 38</v>
      </c>
      <c r="Y4107" t="str">
        <f>IF(Table2[[#This Row],[Column1]]&gt;50%,"HIGH DISCOUNT","LOW DISCOUNT")</f>
        <v>LOW DISCOUNT</v>
      </c>
    </row>
    <row r="4108" spans="1:25" x14ac:dyDescent="0.25">
      <c r="A4108" s="1" t="s">
        <v>8431</v>
      </c>
      <c r="B4108" s="1">
        <v>11191348</v>
      </c>
      <c r="C4108" s="1" t="s">
        <v>47</v>
      </c>
      <c r="D4108" s="1" t="s">
        <v>15</v>
      </c>
      <c r="E4108" s="1" t="s">
        <v>23</v>
      </c>
      <c r="F4108" s="1" t="s">
        <v>17</v>
      </c>
      <c r="G4108" s="1" t="s">
        <v>8432</v>
      </c>
      <c r="H4108">
        <v>759</v>
      </c>
      <c r="I4108" s="1">
        <v>1899</v>
      </c>
      <c r="J4108" s="1" t="s">
        <v>55</v>
      </c>
      <c r="K4108" s="1" t="s">
        <v>39</v>
      </c>
      <c r="L4108" s="1">
        <v>3.9</v>
      </c>
      <c r="M4108" s="1">
        <v>521</v>
      </c>
      <c r="P4108" t="str">
        <f t="shared" si="259"/>
        <v>60%</v>
      </c>
      <c r="Q4108" s="12">
        <f t="shared" si="256"/>
        <v>0.6</v>
      </c>
      <c r="R4108" s="9">
        <f t="shared" si="257"/>
        <v>759.60000000000014</v>
      </c>
      <c r="S4108" s="9">
        <f>IF(R4108="",AVERAGEIF(Table1[Category],Table1[[#This Row],[Category]],Table2[orignal data]),Table2[[#This Row],[orignal data]])</f>
        <v>759.60000000000014</v>
      </c>
      <c r="T4108" t="str">
        <f t="shared" si="258"/>
        <v>UNIQUE</v>
      </c>
      <c r="U4108" t="str">
        <f>IF(ISBLANK(Table1[[#This Row],[SizeOption]]),"NOT AVAILABLE",Table1[[#This Row],[SizeOption]])</f>
        <v>S, M, L, XL, XXL</v>
      </c>
      <c r="Y4108" t="str">
        <f>IF(Table2[[#This Row],[Column1]]&gt;50%,"HIGH DISCOUNT","LOW DISCOUNT")</f>
        <v>HIGH DISCOUNT</v>
      </c>
    </row>
    <row r="4109" spans="1:25" x14ac:dyDescent="0.25">
      <c r="A4109" s="2" t="s">
        <v>8433</v>
      </c>
      <c r="B4109" s="2">
        <v>13238904</v>
      </c>
      <c r="C4109" s="2" t="s">
        <v>113</v>
      </c>
      <c r="D4109" s="2" t="s">
        <v>76</v>
      </c>
      <c r="E4109" s="2" t="s">
        <v>93</v>
      </c>
      <c r="F4109" s="2" t="s">
        <v>17</v>
      </c>
      <c r="G4109" s="2" t="s">
        <v>8434</v>
      </c>
      <c r="H4109">
        <v>559</v>
      </c>
      <c r="I4109" s="2">
        <v>1599</v>
      </c>
      <c r="J4109" s="2" t="s">
        <v>150</v>
      </c>
      <c r="K4109" s="2" t="s">
        <v>39</v>
      </c>
      <c r="L4109" s="2">
        <v>4.3</v>
      </c>
      <c r="M4109" s="2">
        <v>521</v>
      </c>
      <c r="P4109" t="str">
        <f t="shared" si="259"/>
        <v>65%</v>
      </c>
      <c r="Q4109" s="12">
        <f t="shared" si="256"/>
        <v>0.65</v>
      </c>
      <c r="R4109" s="9">
        <f t="shared" si="257"/>
        <v>559.64999999999986</v>
      </c>
      <c r="S4109" s="9">
        <f>IF(R4109="",AVERAGEIF(Table1[Category],Table1[[#This Row],[Category]],Table2[orignal data]),Table2[[#This Row],[orignal data]])</f>
        <v>559.64999999999986</v>
      </c>
      <c r="T4109" t="str">
        <f t="shared" si="258"/>
        <v>UNIQUE</v>
      </c>
      <c r="U4109" t="str">
        <f>IF(ISBLANK(Table1[[#This Row],[SizeOption]]),"NOT AVAILABLE",Table1[[#This Row],[SizeOption]])</f>
        <v>S, M, L, XL, XXL</v>
      </c>
      <c r="Y4109" t="str">
        <f>IF(Table2[[#This Row],[Column1]]&gt;50%,"HIGH DISCOUNT","LOW DISCOUNT")</f>
        <v>HIGH DISCOUNT</v>
      </c>
    </row>
    <row r="4110" spans="1:25" x14ac:dyDescent="0.25">
      <c r="A4110" s="1" t="s">
        <v>8435</v>
      </c>
      <c r="B4110" s="1">
        <v>10659102</v>
      </c>
      <c r="C4110" s="1" t="s">
        <v>52</v>
      </c>
      <c r="D4110" s="1" t="s">
        <v>28</v>
      </c>
      <c r="E4110" s="1" t="s">
        <v>29</v>
      </c>
      <c r="F4110" s="1" t="s">
        <v>17</v>
      </c>
      <c r="G4110" s="1" t="s">
        <v>8436</v>
      </c>
      <c r="H4110">
        <v>531</v>
      </c>
      <c r="I4110" s="1">
        <v>1399</v>
      </c>
      <c r="J4110" s="1" t="s">
        <v>126</v>
      </c>
      <c r="K4110" s="1" t="s">
        <v>90</v>
      </c>
      <c r="L4110" s="1">
        <v>4.0999999999999996</v>
      </c>
      <c r="M4110" s="1">
        <v>521</v>
      </c>
      <c r="P4110" t="str">
        <f t="shared" si="259"/>
        <v>62%</v>
      </c>
      <c r="Q4110" s="12">
        <f t="shared" si="256"/>
        <v>0.62</v>
      </c>
      <c r="R4110" s="9">
        <f t="shared" si="257"/>
        <v>531.62</v>
      </c>
      <c r="S4110" s="9">
        <f>IF(R4110="",AVERAGEIF(Table1[Category],Table1[[#This Row],[Category]],Table2[orignal data]),Table2[[#This Row],[orignal data]])</f>
        <v>531.62</v>
      </c>
      <c r="T4110" t="str">
        <f t="shared" si="258"/>
        <v>UNIQUE</v>
      </c>
      <c r="U4110" t="str">
        <f>IF(ISBLANK(Table1[[#This Row],[SizeOption]]),"NOT AVAILABLE",Table1[[#This Row],[SizeOption]])</f>
        <v>39, 40, 42, 44</v>
      </c>
      <c r="Y4110" t="str">
        <f>IF(Table2[[#This Row],[Column1]]&gt;50%,"HIGH DISCOUNT","LOW DISCOUNT")</f>
        <v>HIGH DISCOUNT</v>
      </c>
    </row>
    <row r="4111" spans="1:25" x14ac:dyDescent="0.25">
      <c r="A4111" s="2" t="s">
        <v>8437</v>
      </c>
      <c r="B4111" s="2">
        <v>3451948</v>
      </c>
      <c r="C4111" s="2" t="s">
        <v>2306</v>
      </c>
      <c r="D4111" s="2" t="s">
        <v>76</v>
      </c>
      <c r="E4111" s="2" t="s">
        <v>93</v>
      </c>
      <c r="F4111" s="2" t="s">
        <v>36</v>
      </c>
      <c r="G4111" s="2" t="s">
        <v>8438</v>
      </c>
      <c r="H4111">
        <v>543</v>
      </c>
      <c r="I4111" s="2">
        <v>849</v>
      </c>
      <c r="J4111" s="2" t="s">
        <v>554</v>
      </c>
      <c r="K4111" s="2" t="s">
        <v>234</v>
      </c>
      <c r="L4111" s="2">
        <v>4.0999999999999996</v>
      </c>
      <c r="M4111" s="2">
        <v>521</v>
      </c>
      <c r="P4111" t="str">
        <f t="shared" si="259"/>
        <v>36%</v>
      </c>
      <c r="Q4111" s="12">
        <f t="shared" si="256"/>
        <v>0.36</v>
      </c>
      <c r="R4111" s="9">
        <f t="shared" si="257"/>
        <v>543.36</v>
      </c>
      <c r="S4111" s="9">
        <f>IF(R4111="",AVERAGEIF(Table1[Category],Table1[[#This Row],[Category]],Table2[orignal data]),Table2[[#This Row],[orignal data]])</f>
        <v>543.36</v>
      </c>
      <c r="T4111" t="str">
        <f t="shared" si="258"/>
        <v>UNIQUE</v>
      </c>
      <c r="U4111" t="str">
        <f>IF(ISBLANK(Table1[[#This Row],[SizeOption]]),"NOT AVAILABLE",Table1[[#This Row],[SizeOption]])</f>
        <v>S, M, L, XL, XXL, 3XL</v>
      </c>
      <c r="Y4111" t="str">
        <f>IF(Table2[[#This Row],[Column1]]&gt;50%,"HIGH DISCOUNT","LOW DISCOUNT")</f>
        <v>LOW DISCOUNT</v>
      </c>
    </row>
    <row r="4112" spans="1:25" x14ac:dyDescent="0.25">
      <c r="A4112" s="1" t="s">
        <v>8439</v>
      </c>
      <c r="B4112" s="1">
        <v>11161994</v>
      </c>
      <c r="C4112" s="1" t="s">
        <v>623</v>
      </c>
      <c r="D4112" s="1" t="s">
        <v>34</v>
      </c>
      <c r="E4112" s="1" t="s">
        <v>118</v>
      </c>
      <c r="F4112" s="1" t="s">
        <v>36</v>
      </c>
      <c r="G4112" s="1" t="s">
        <v>8440</v>
      </c>
      <c r="H4112">
        <v>311</v>
      </c>
      <c r="I4112" s="1">
        <v>599</v>
      </c>
      <c r="J4112" s="1" t="s">
        <v>602</v>
      </c>
      <c r="K4112" s="1" t="s">
        <v>2429</v>
      </c>
      <c r="L4112" s="1">
        <v>4.0999999999999996</v>
      </c>
      <c r="M4112" s="1">
        <v>521</v>
      </c>
      <c r="P4112" t="str">
        <f t="shared" si="259"/>
        <v>48%</v>
      </c>
      <c r="Q4112" s="12">
        <f t="shared" si="256"/>
        <v>0.48</v>
      </c>
      <c r="R4112" s="9">
        <f t="shared" si="257"/>
        <v>311.48</v>
      </c>
      <c r="S4112" s="9">
        <f>IF(R4112="",AVERAGEIF(Table1[Category],Table1[[#This Row],[Category]],Table2[orignal data]),Table2[[#This Row],[orignal data]])</f>
        <v>311.48</v>
      </c>
      <c r="T4112" t="str">
        <f t="shared" si="258"/>
        <v>UNIQUE</v>
      </c>
      <c r="U4112" t="str">
        <f>IF(ISBLANK(Table1[[#This Row],[SizeOption]]),"NOT AVAILABLE",Table1[[#This Row],[SizeOption]])</f>
        <v>32B, 32C, 32D, 34B, 34C, 34D, 36B, 36C, 36D, 38B, 38C, 40B, 40C</v>
      </c>
      <c r="Y4112" t="str">
        <f>IF(Table2[[#This Row],[Column1]]&gt;50%,"HIGH DISCOUNT","LOW DISCOUNT")</f>
        <v>LOW DISCOUNT</v>
      </c>
    </row>
    <row r="4113" spans="1:25" x14ac:dyDescent="0.25">
      <c r="A4113" s="2" t="s">
        <v>8441</v>
      </c>
      <c r="B4113" s="2">
        <v>8350227</v>
      </c>
      <c r="C4113" s="2" t="s">
        <v>97</v>
      </c>
      <c r="D4113" s="2" t="s">
        <v>98</v>
      </c>
      <c r="E4113" s="2" t="s">
        <v>93</v>
      </c>
      <c r="F4113" s="2" t="s">
        <v>36</v>
      </c>
      <c r="G4113" s="2" t="s">
        <v>8442</v>
      </c>
      <c r="H4113">
        <v>599</v>
      </c>
      <c r="I4113" s="2">
        <v>1499</v>
      </c>
      <c r="J4113" s="2" t="s">
        <v>141</v>
      </c>
      <c r="K4113" s="2" t="s">
        <v>100</v>
      </c>
      <c r="L4113" s="2">
        <v>4.2</v>
      </c>
      <c r="M4113" s="2">
        <v>521</v>
      </c>
      <c r="P4113" t="str">
        <f t="shared" si="259"/>
        <v>60%</v>
      </c>
      <c r="Q4113" s="12">
        <f t="shared" si="256"/>
        <v>0.6</v>
      </c>
      <c r="R4113" s="9">
        <f t="shared" si="257"/>
        <v>599.6</v>
      </c>
      <c r="S4113" s="9">
        <f>IF(R4113="",AVERAGEIF(Table1[Category],Table1[[#This Row],[Category]],Table2[orignal data]),Table2[[#This Row],[orignal data]])</f>
        <v>599.6</v>
      </c>
      <c r="T4113" t="str">
        <f t="shared" si="258"/>
        <v>UNIQUE</v>
      </c>
      <c r="U4113" t="str">
        <f>IF(ISBLANK(Table1[[#This Row],[SizeOption]]),"NOT AVAILABLE",Table1[[#This Row],[SizeOption]])</f>
        <v>XS, S, M, L, XL, XXL, 3XL</v>
      </c>
      <c r="Y4113" t="str">
        <f>IF(Table2[[#This Row],[Column1]]&gt;50%,"HIGH DISCOUNT","LOW DISCOUNT")</f>
        <v>HIGH DISCOUNT</v>
      </c>
    </row>
    <row r="4114" spans="1:25" x14ac:dyDescent="0.25">
      <c r="A4114" s="1" t="s">
        <v>8443</v>
      </c>
      <c r="B4114" s="1">
        <v>13287868</v>
      </c>
      <c r="C4114" s="1" t="s">
        <v>2641</v>
      </c>
      <c r="D4114" s="1" t="s">
        <v>41</v>
      </c>
      <c r="E4114" s="1" t="s">
        <v>137</v>
      </c>
      <c r="F4114" s="1" t="s">
        <v>36</v>
      </c>
      <c r="G4114" s="1" t="s">
        <v>8444</v>
      </c>
      <c r="I4114" s="1">
        <v>1299</v>
      </c>
      <c r="J4114" s="1" t="s">
        <v>55</v>
      </c>
      <c r="K4114" s="1" t="s">
        <v>1252</v>
      </c>
      <c r="L4114" s="1">
        <v>3.9</v>
      </c>
      <c r="M4114" s="1">
        <v>521</v>
      </c>
      <c r="P4114" t="str">
        <f t="shared" si="259"/>
        <v>60%</v>
      </c>
      <c r="Q4114" s="12">
        <f t="shared" si="256"/>
        <v>0.6</v>
      </c>
      <c r="R4114" s="9">
        <f t="shared" si="257"/>
        <v>519.6</v>
      </c>
      <c r="S4114" s="9">
        <f>IF(R4114="",AVERAGEIF(Table1[Category],Table1[[#This Row],[Category]],Table2[orignal data]),Table2[[#This Row],[orignal data]])</f>
        <v>519.6</v>
      </c>
      <c r="T4114" t="str">
        <f t="shared" si="258"/>
        <v>UNIQUE</v>
      </c>
      <c r="U4114" t="str">
        <f>IF(ISBLANK(Table1[[#This Row],[SizeOption]]),"NOT AVAILABLE",Table1[[#This Row],[SizeOption]])</f>
        <v>26, 28, 30, 32</v>
      </c>
      <c r="Y4114" t="str">
        <f>IF(Table2[[#This Row],[Column1]]&gt;50%,"HIGH DISCOUNT","LOW DISCOUNT")</f>
        <v>HIGH DISCOUNT</v>
      </c>
    </row>
    <row r="4115" spans="1:25" x14ac:dyDescent="0.25">
      <c r="A4115" s="2" t="s">
        <v>8445</v>
      </c>
      <c r="B4115" s="2">
        <v>1969381</v>
      </c>
      <c r="C4115" s="2" t="s">
        <v>225</v>
      </c>
      <c r="D4115" s="2" t="s">
        <v>41</v>
      </c>
      <c r="E4115" s="2" t="s">
        <v>48</v>
      </c>
      <c r="F4115" s="2" t="s">
        <v>36</v>
      </c>
      <c r="G4115" s="2" t="s">
        <v>8446</v>
      </c>
      <c r="I4115" s="2">
        <v>1399</v>
      </c>
      <c r="J4115" s="2" t="s">
        <v>130</v>
      </c>
      <c r="K4115" s="2" t="s">
        <v>26</v>
      </c>
      <c r="L4115" s="2">
        <v>4.3</v>
      </c>
      <c r="M4115" s="2">
        <v>521</v>
      </c>
      <c r="P4115" t="str">
        <f t="shared" si="259"/>
        <v>57%</v>
      </c>
      <c r="Q4115" s="12">
        <f t="shared" si="256"/>
        <v>0.56999999999999995</v>
      </c>
      <c r="R4115" s="9">
        <f t="shared" si="257"/>
        <v>601.57000000000005</v>
      </c>
      <c r="S4115" s="9">
        <f>IF(R4115="",AVERAGEIF(Table1[Category],Table1[[#This Row],[Category]],Table2[orignal data]),Table2[[#This Row],[orignal data]])</f>
        <v>601.57000000000005</v>
      </c>
      <c r="T4115" t="str">
        <f t="shared" si="258"/>
        <v>UNIQUE</v>
      </c>
      <c r="U4115" t="str">
        <f>IF(ISBLANK(Table1[[#This Row],[SizeOption]]),"NOT AVAILABLE",Table1[[#This Row],[SizeOption]])</f>
        <v>S, M, L, XL</v>
      </c>
      <c r="Y4115" t="str">
        <f>IF(Table2[[#This Row],[Column1]]&gt;50%,"HIGH DISCOUNT","LOW DISCOUNT")</f>
        <v>HIGH DISCOUNT</v>
      </c>
    </row>
    <row r="4116" spans="1:25" x14ac:dyDescent="0.25">
      <c r="A4116" s="1" t="s">
        <v>8447</v>
      </c>
      <c r="B4116" s="1">
        <v>6848994</v>
      </c>
      <c r="C4116" s="1" t="s">
        <v>67</v>
      </c>
      <c r="D4116" s="1" t="s">
        <v>41</v>
      </c>
      <c r="E4116" s="1" t="s">
        <v>306</v>
      </c>
      <c r="F4116" s="1" t="s">
        <v>36</v>
      </c>
      <c r="G4116" s="1" t="s">
        <v>8448</v>
      </c>
      <c r="I4116" s="1">
        <v>1499</v>
      </c>
      <c r="J4116" s="1" t="s">
        <v>1986</v>
      </c>
      <c r="K4116" s="1" t="s">
        <v>115</v>
      </c>
      <c r="L4116" s="1">
        <v>4.3</v>
      </c>
      <c r="M4116" s="1">
        <v>521</v>
      </c>
      <c r="P4116" t="str">
        <f t="shared" si="259"/>
        <v>60 %</v>
      </c>
      <c r="Q4116" s="12">
        <f t="shared" si="256"/>
        <v>0.6</v>
      </c>
      <c r="R4116" s="9">
        <f t="shared" si="257"/>
        <v>599.6</v>
      </c>
      <c r="S4116" s="9">
        <f>IF(R4116="",AVERAGEIF(Table1[Category],Table1[[#This Row],[Category]],Table2[orignal data]),Table2[[#This Row],[orignal data]])</f>
        <v>599.6</v>
      </c>
      <c r="T4116" t="str">
        <f t="shared" si="258"/>
        <v>UNIQUE</v>
      </c>
      <c r="U4116" t="str">
        <f>IF(ISBLANK(Table1[[#This Row],[SizeOption]]),"NOT AVAILABLE",Table1[[#This Row],[SizeOption]])</f>
        <v>XS, S, M, L, XL, XXL</v>
      </c>
      <c r="Y4116" t="str">
        <f>IF(Table2[[#This Row],[Column1]]&gt;50%,"HIGH DISCOUNT","LOW DISCOUNT")</f>
        <v>HIGH DISCOUNT</v>
      </c>
    </row>
    <row r="4117" spans="1:25" x14ac:dyDescent="0.25">
      <c r="A4117" s="2" t="s">
        <v>8449</v>
      </c>
      <c r="B4117" s="2">
        <v>10365289</v>
      </c>
      <c r="C4117" s="2" t="s">
        <v>14</v>
      </c>
      <c r="D4117" s="2" t="s">
        <v>41</v>
      </c>
      <c r="E4117" s="2" t="s">
        <v>579</v>
      </c>
      <c r="F4117" s="2" t="s">
        <v>36</v>
      </c>
      <c r="G4117" s="2" t="s">
        <v>8450</v>
      </c>
      <c r="I4117" s="2">
        <v>1799</v>
      </c>
      <c r="J4117" s="2" t="s">
        <v>25</v>
      </c>
      <c r="K4117" s="2" t="s">
        <v>134</v>
      </c>
      <c r="L4117" s="2">
        <v>4.2</v>
      </c>
      <c r="M4117" s="2">
        <v>521</v>
      </c>
      <c r="P4117" t="str">
        <f t="shared" si="259"/>
        <v>55%</v>
      </c>
      <c r="Q4117" s="12">
        <f t="shared" si="256"/>
        <v>0.55000000000000004</v>
      </c>
      <c r="R4117" s="9">
        <f t="shared" si="257"/>
        <v>809.55</v>
      </c>
      <c r="S4117" s="9">
        <f>IF(R4117="",AVERAGEIF(Table1[Category],Table1[[#This Row],[Category]],Table2[orignal data]),Table2[[#This Row],[orignal data]])</f>
        <v>809.55</v>
      </c>
      <c r="T4117" t="str">
        <f t="shared" si="258"/>
        <v>UNIQUE</v>
      </c>
      <c r="U4117" t="str">
        <f>IF(ISBLANK(Table1[[#This Row],[SizeOption]]),"NOT AVAILABLE",Table1[[#This Row],[SizeOption]])</f>
        <v>26, 28, 30, 32, 34, 36</v>
      </c>
      <c r="Y4117" t="str">
        <f>IF(Table2[[#This Row],[Column1]]&gt;50%,"HIGH DISCOUNT","LOW DISCOUNT")</f>
        <v>HIGH DISCOUNT</v>
      </c>
    </row>
    <row r="4118" spans="1:25" x14ac:dyDescent="0.25">
      <c r="A4118" s="1" t="s">
        <v>8451</v>
      </c>
      <c r="B4118" s="1">
        <v>11932614</v>
      </c>
      <c r="C4118" s="1" t="s">
        <v>102</v>
      </c>
      <c r="D4118" s="1" t="s">
        <v>41</v>
      </c>
      <c r="E4118" s="1" t="s">
        <v>48</v>
      </c>
      <c r="F4118" s="1" t="s">
        <v>36</v>
      </c>
      <c r="G4118" s="1" t="s">
        <v>8452</v>
      </c>
      <c r="I4118" s="1">
        <v>1799</v>
      </c>
      <c r="J4118" s="1" t="s">
        <v>1377</v>
      </c>
      <c r="K4118" s="1" t="s">
        <v>26</v>
      </c>
      <c r="L4118" s="1">
        <v>3.9</v>
      </c>
      <c r="M4118" s="1">
        <v>521</v>
      </c>
      <c r="P4118" t="str">
        <f t="shared" si="259"/>
        <v>72%</v>
      </c>
      <c r="Q4118" s="12">
        <f t="shared" si="256"/>
        <v>0.72</v>
      </c>
      <c r="R4118" s="9">
        <f t="shared" si="257"/>
        <v>503.72</v>
      </c>
      <c r="S4118" s="9">
        <f>IF(R4118="",AVERAGEIF(Table1[Category],Table1[[#This Row],[Category]],Table2[orignal data]),Table2[[#This Row],[orignal data]])</f>
        <v>503.72</v>
      </c>
      <c r="T4118" t="str">
        <f t="shared" si="258"/>
        <v>UNIQUE</v>
      </c>
      <c r="U4118" t="str">
        <f>IF(ISBLANK(Table1[[#This Row],[SizeOption]]),"NOT AVAILABLE",Table1[[#This Row],[SizeOption]])</f>
        <v>S, M, L, XL</v>
      </c>
      <c r="Y4118" t="str">
        <f>IF(Table2[[#This Row],[Column1]]&gt;50%,"HIGH DISCOUNT","LOW DISCOUNT")</f>
        <v>HIGH DISCOUNT</v>
      </c>
    </row>
    <row r="4119" spans="1:25" x14ac:dyDescent="0.25">
      <c r="A4119" s="2" t="s">
        <v>8453</v>
      </c>
      <c r="B4119" s="2">
        <v>2526525</v>
      </c>
      <c r="C4119" s="2" t="s">
        <v>461</v>
      </c>
      <c r="D4119" s="2" t="s">
        <v>41</v>
      </c>
      <c r="E4119" s="2" t="s">
        <v>148</v>
      </c>
      <c r="F4119" s="2" t="s">
        <v>36</v>
      </c>
      <c r="G4119" s="2" t="s">
        <v>8454</v>
      </c>
      <c r="I4119" s="2">
        <v>2494</v>
      </c>
      <c r="J4119" s="2" t="s">
        <v>84</v>
      </c>
      <c r="K4119" s="2" t="s">
        <v>26</v>
      </c>
      <c r="L4119" s="2">
        <v>4.2</v>
      </c>
      <c r="M4119" s="2">
        <v>521</v>
      </c>
      <c r="P4119" t="str">
        <f t="shared" si="259"/>
        <v>50%</v>
      </c>
      <c r="Q4119" s="12">
        <f t="shared" si="256"/>
        <v>0.5</v>
      </c>
      <c r="R4119" s="9">
        <f t="shared" si="257"/>
        <v>1247</v>
      </c>
      <c r="S4119" s="9">
        <f>IF(R4119="",AVERAGEIF(Table1[Category],Table1[[#This Row],[Category]],Table2[orignal data]),Table2[[#This Row],[orignal data]])</f>
        <v>1247</v>
      </c>
      <c r="T4119" t="str">
        <f t="shared" si="258"/>
        <v>UNIQUE</v>
      </c>
      <c r="U4119" t="str">
        <f>IF(ISBLANK(Table1[[#This Row],[SizeOption]]),"NOT AVAILABLE",Table1[[#This Row],[SizeOption]])</f>
        <v>S, M, L, XL</v>
      </c>
      <c r="Y4119" t="str">
        <f>IF(Table2[[#This Row],[Column1]]&gt;50%,"HIGH DISCOUNT","LOW DISCOUNT")</f>
        <v>LOW DISCOUNT</v>
      </c>
    </row>
    <row r="4120" spans="1:25" x14ac:dyDescent="0.25">
      <c r="A4120" s="1" t="s">
        <v>8455</v>
      </c>
      <c r="B4120" s="1">
        <v>13859442</v>
      </c>
      <c r="C4120" s="1" t="s">
        <v>14</v>
      </c>
      <c r="D4120" s="1" t="s">
        <v>15</v>
      </c>
      <c r="E4120" s="1" t="s">
        <v>53</v>
      </c>
      <c r="F4120" s="1" t="s">
        <v>17</v>
      </c>
      <c r="G4120" s="1" t="s">
        <v>8456</v>
      </c>
      <c r="I4120" s="1">
        <v>1299</v>
      </c>
      <c r="J4120" s="1"/>
      <c r="K4120" s="1" t="s">
        <v>20</v>
      </c>
      <c r="L4120" s="1">
        <v>4.0999999999999996</v>
      </c>
      <c r="M4120" s="1">
        <v>520</v>
      </c>
      <c r="P4120" t="str">
        <f t="shared" si="259"/>
        <v/>
      </c>
      <c r="Q4120" s="12" t="str">
        <f t="shared" si="256"/>
        <v/>
      </c>
      <c r="R4120" s="9" t="str">
        <f t="shared" si="257"/>
        <v/>
      </c>
      <c r="S4120" s="9">
        <f>IF(R4120="",AVERAGEIF(Table1[Category],Table1[[#This Row],[Category]],Table2[orignal data]),Table2[[#This Row],[orignal data]])</f>
        <v>892.27590339892538</v>
      </c>
      <c r="T4120" t="str">
        <f t="shared" si="258"/>
        <v>UNIQUE</v>
      </c>
      <c r="U4120" t="str">
        <f>IF(ISBLANK(Table1[[#This Row],[SizeOption]]),"NOT AVAILABLE",Table1[[#This Row],[SizeOption]])</f>
        <v>28, 30, 32, 34, 36</v>
      </c>
      <c r="Y4120" t="str">
        <f>IF(Table2[[#This Row],[Column1]]&gt;50%,"HIGH DISCOUNT","LOW DISCOUNT")</f>
        <v>HIGH DISCOUNT</v>
      </c>
    </row>
    <row r="4121" spans="1:25" x14ac:dyDescent="0.25">
      <c r="A4121" s="2" t="s">
        <v>8457</v>
      </c>
      <c r="B4121" s="2">
        <v>13858432</v>
      </c>
      <c r="C4121" s="2" t="s">
        <v>52</v>
      </c>
      <c r="D4121" s="2" t="s">
        <v>15</v>
      </c>
      <c r="E4121" s="2" t="s">
        <v>137</v>
      </c>
      <c r="F4121" s="2" t="s">
        <v>17</v>
      </c>
      <c r="G4121" s="2" t="s">
        <v>6081</v>
      </c>
      <c r="H4121">
        <v>349</v>
      </c>
      <c r="I4121" s="2">
        <v>699</v>
      </c>
      <c r="J4121" s="2" t="s">
        <v>84</v>
      </c>
      <c r="K4121" s="2" t="s">
        <v>56</v>
      </c>
      <c r="L4121" s="2">
        <v>4.2</v>
      </c>
      <c r="M4121" s="2">
        <v>520</v>
      </c>
      <c r="P4121" t="str">
        <f t="shared" si="259"/>
        <v>50%</v>
      </c>
      <c r="Q4121" s="12">
        <f t="shared" si="256"/>
        <v>0.5</v>
      </c>
      <c r="R4121" s="9">
        <f t="shared" si="257"/>
        <v>349.5</v>
      </c>
      <c r="S4121" s="9">
        <f>IF(R4121="",AVERAGEIF(Table1[Category],Table1[[#This Row],[Category]],Table2[orignal data]),Table2[[#This Row],[orignal data]])</f>
        <v>349.5</v>
      </c>
      <c r="T4121" t="str">
        <f t="shared" si="258"/>
        <v>UNIQUE</v>
      </c>
      <c r="U4121" t="str">
        <f>IF(ISBLANK(Table1[[#This Row],[SizeOption]]),"NOT AVAILABLE",Table1[[#This Row],[SizeOption]])</f>
        <v>30, 32, 34, 36</v>
      </c>
      <c r="Y4121" t="str">
        <f>IF(Table2[[#This Row],[Column1]]&gt;50%,"HIGH DISCOUNT","LOW DISCOUNT")</f>
        <v>LOW DISCOUNT</v>
      </c>
    </row>
    <row r="4122" spans="1:25" x14ac:dyDescent="0.25">
      <c r="A4122" s="1" t="s">
        <v>8458</v>
      </c>
      <c r="B4122" s="1">
        <v>2173628</v>
      </c>
      <c r="C4122" s="1" t="s">
        <v>1299</v>
      </c>
      <c r="D4122" s="1" t="s">
        <v>15</v>
      </c>
      <c r="E4122" s="1" t="s">
        <v>53</v>
      </c>
      <c r="F4122" s="1" t="s">
        <v>17</v>
      </c>
      <c r="G4122" s="1" t="s">
        <v>8459</v>
      </c>
      <c r="H4122">
        <v>1199</v>
      </c>
      <c r="I4122" s="1">
        <v>2399</v>
      </c>
      <c r="J4122" s="1" t="s">
        <v>84</v>
      </c>
      <c r="K4122" s="1" t="s">
        <v>56</v>
      </c>
      <c r="L4122" s="1">
        <v>3.9</v>
      </c>
      <c r="M4122" s="1">
        <v>520</v>
      </c>
      <c r="P4122" t="str">
        <f t="shared" si="259"/>
        <v>50%</v>
      </c>
      <c r="Q4122" s="12">
        <f t="shared" si="256"/>
        <v>0.5</v>
      </c>
      <c r="R4122" s="9">
        <f t="shared" si="257"/>
        <v>1199.5</v>
      </c>
      <c r="S4122" s="9">
        <f>IF(R4122="",AVERAGEIF(Table1[Category],Table1[[#This Row],[Category]],Table2[orignal data]),Table2[[#This Row],[orignal data]])</f>
        <v>1199.5</v>
      </c>
      <c r="T4122" t="str">
        <f t="shared" si="258"/>
        <v>UNIQUE</v>
      </c>
      <c r="U4122" t="str">
        <f>IF(ISBLANK(Table1[[#This Row],[SizeOption]]),"NOT AVAILABLE",Table1[[#This Row],[SizeOption]])</f>
        <v>30, 32, 34, 36</v>
      </c>
      <c r="Y4122" t="str">
        <f>IF(Table2[[#This Row],[Column1]]&gt;50%,"HIGH DISCOUNT","LOW DISCOUNT")</f>
        <v>LOW DISCOUNT</v>
      </c>
    </row>
    <row r="4123" spans="1:25" x14ac:dyDescent="0.25">
      <c r="A4123" s="2" t="s">
        <v>8460</v>
      </c>
      <c r="B4123" s="2">
        <v>12807314</v>
      </c>
      <c r="C4123" s="2" t="s">
        <v>8461</v>
      </c>
      <c r="D4123" s="2" t="s">
        <v>197</v>
      </c>
      <c r="E4123" s="2" t="s">
        <v>1807</v>
      </c>
      <c r="F4123" s="2" t="s">
        <v>17</v>
      </c>
      <c r="G4123" s="2" t="s">
        <v>8462</v>
      </c>
      <c r="H4123">
        <v>460</v>
      </c>
      <c r="I4123" s="2">
        <v>575</v>
      </c>
      <c r="J4123" s="2" t="s">
        <v>412</v>
      </c>
      <c r="K4123" s="2" t="s">
        <v>39</v>
      </c>
      <c r="L4123" s="2">
        <v>4.2</v>
      </c>
      <c r="M4123" s="2">
        <v>520</v>
      </c>
      <c r="P4123" t="str">
        <f t="shared" si="259"/>
        <v>20%</v>
      </c>
      <c r="Q4123" s="12">
        <f t="shared" si="256"/>
        <v>0.2</v>
      </c>
      <c r="R4123" s="9">
        <f t="shared" si="257"/>
        <v>460</v>
      </c>
      <c r="S4123" s="9">
        <f>IF(R4123="",AVERAGEIF(Table1[Category],Table1[[#This Row],[Category]],Table2[orignal data]),Table2[[#This Row],[orignal data]])</f>
        <v>460</v>
      </c>
      <c r="T4123" t="str">
        <f t="shared" si="258"/>
        <v>UNIQUE</v>
      </c>
      <c r="U4123" t="str">
        <f>IF(ISBLANK(Table1[[#This Row],[SizeOption]]),"NOT AVAILABLE",Table1[[#This Row],[SizeOption]])</f>
        <v>S, M, L, XL, XXL</v>
      </c>
      <c r="Y4123" t="str">
        <f>IF(Table2[[#This Row],[Column1]]&gt;50%,"HIGH DISCOUNT","LOW DISCOUNT")</f>
        <v>LOW DISCOUNT</v>
      </c>
    </row>
    <row r="4124" spans="1:25" x14ac:dyDescent="0.25">
      <c r="A4124" s="1" t="s">
        <v>8463</v>
      </c>
      <c r="B4124" s="1">
        <v>1422476</v>
      </c>
      <c r="C4124" s="1" t="s">
        <v>47</v>
      </c>
      <c r="D4124" s="1" t="s">
        <v>197</v>
      </c>
      <c r="E4124" s="1" t="s">
        <v>198</v>
      </c>
      <c r="F4124" s="1" t="s">
        <v>17</v>
      </c>
      <c r="G4124" s="1" t="s">
        <v>8464</v>
      </c>
      <c r="H4124">
        <v>259</v>
      </c>
      <c r="I4124" s="1">
        <v>399</v>
      </c>
      <c r="J4124" s="1" t="s">
        <v>44</v>
      </c>
      <c r="K4124" s="1" t="s">
        <v>164</v>
      </c>
      <c r="L4124" s="1">
        <v>4.5</v>
      </c>
      <c r="M4124" s="1">
        <v>520</v>
      </c>
      <c r="P4124" t="str">
        <f t="shared" si="259"/>
        <v>35%</v>
      </c>
      <c r="Q4124" s="12">
        <f t="shared" si="256"/>
        <v>0.35</v>
      </c>
      <c r="R4124" s="9">
        <f t="shared" si="257"/>
        <v>259.35000000000002</v>
      </c>
      <c r="S4124" s="9">
        <f>IF(R4124="",AVERAGEIF(Table1[Category],Table1[[#This Row],[Category]],Table2[orignal data]),Table2[[#This Row],[orignal data]])</f>
        <v>259.35000000000002</v>
      </c>
      <c r="T4124" t="str">
        <f t="shared" si="258"/>
        <v>UNIQUE</v>
      </c>
      <c r="U4124" t="str">
        <f>IF(ISBLANK(Table1[[#This Row],[SizeOption]]),"NOT AVAILABLE",Table1[[#This Row],[SizeOption]])</f>
        <v>Onesize</v>
      </c>
      <c r="Y4124" t="str">
        <f>IF(Table2[[#This Row],[Column1]]&gt;50%,"HIGH DISCOUNT","LOW DISCOUNT")</f>
        <v>LOW DISCOUNT</v>
      </c>
    </row>
    <row r="4125" spans="1:25" x14ac:dyDescent="0.25">
      <c r="A4125" s="2" t="s">
        <v>8465</v>
      </c>
      <c r="B4125" s="2">
        <v>1110027</v>
      </c>
      <c r="C4125" s="2" t="s">
        <v>3741</v>
      </c>
      <c r="D4125" s="2" t="s">
        <v>68</v>
      </c>
      <c r="E4125" s="2" t="s">
        <v>42</v>
      </c>
      <c r="F4125" s="2" t="s">
        <v>17</v>
      </c>
      <c r="G4125" s="2" t="s">
        <v>8466</v>
      </c>
      <c r="H4125">
        <v>1165</v>
      </c>
      <c r="I4125" s="2">
        <v>1295</v>
      </c>
      <c r="J4125" s="2" t="s">
        <v>1005</v>
      </c>
      <c r="K4125" s="2" t="s">
        <v>39</v>
      </c>
      <c r="L4125" s="2">
        <v>3.9</v>
      </c>
      <c r="M4125" s="2">
        <v>520</v>
      </c>
      <c r="P4125" t="str">
        <f t="shared" si="259"/>
        <v>10%</v>
      </c>
      <c r="Q4125" s="12">
        <f t="shared" si="256"/>
        <v>0.1</v>
      </c>
      <c r="R4125" s="9">
        <f t="shared" si="257"/>
        <v>1165.5</v>
      </c>
      <c r="S4125" s="9">
        <f>IF(R4125="",AVERAGEIF(Table1[Category],Table1[[#This Row],[Category]],Table2[orignal data]),Table2[[#This Row],[orignal data]])</f>
        <v>1165.5</v>
      </c>
      <c r="T4125" t="str">
        <f t="shared" si="258"/>
        <v>UNIQUE</v>
      </c>
      <c r="U4125" t="str">
        <f>IF(ISBLANK(Table1[[#This Row],[SizeOption]]),"NOT AVAILABLE",Table1[[#This Row],[SizeOption]])</f>
        <v>S, M, L, XL, XXL</v>
      </c>
      <c r="Y4125" t="str">
        <f>IF(Table2[[#This Row],[Column1]]&gt;50%,"HIGH DISCOUNT","LOW DISCOUNT")</f>
        <v>LOW DISCOUNT</v>
      </c>
    </row>
    <row r="4126" spans="1:25" x14ac:dyDescent="0.25">
      <c r="A4126" s="1" t="s">
        <v>8467</v>
      </c>
      <c r="B4126" s="1">
        <v>2314417</v>
      </c>
      <c r="C4126" s="1" t="s">
        <v>67</v>
      </c>
      <c r="D4126" s="1" t="s">
        <v>68</v>
      </c>
      <c r="E4126" s="1" t="s">
        <v>42</v>
      </c>
      <c r="F4126" s="1" t="s">
        <v>17</v>
      </c>
      <c r="G4126" s="1" t="s">
        <v>8468</v>
      </c>
      <c r="H4126">
        <v>494</v>
      </c>
      <c r="I4126" s="1">
        <v>899</v>
      </c>
      <c r="J4126" s="1" t="s">
        <v>19</v>
      </c>
      <c r="K4126" s="1" t="s">
        <v>39</v>
      </c>
      <c r="L4126" s="1">
        <v>4.4000000000000004</v>
      </c>
      <c r="M4126" s="1">
        <v>520</v>
      </c>
      <c r="P4126" t="str">
        <f t="shared" si="259"/>
        <v>45%</v>
      </c>
      <c r="Q4126" s="12">
        <f t="shared" si="256"/>
        <v>0.45</v>
      </c>
      <c r="R4126" s="9">
        <f t="shared" si="257"/>
        <v>494.45</v>
      </c>
      <c r="S4126" s="9">
        <f>IF(R4126="",AVERAGEIF(Table1[Category],Table1[[#This Row],[Category]],Table2[orignal data]),Table2[[#This Row],[orignal data]])</f>
        <v>494.45</v>
      </c>
      <c r="T4126" t="str">
        <f t="shared" si="258"/>
        <v>UNIQUE</v>
      </c>
      <c r="U4126" t="str">
        <f>IF(ISBLANK(Table1[[#This Row],[SizeOption]]),"NOT AVAILABLE",Table1[[#This Row],[SizeOption]])</f>
        <v>S, M, L, XL, XXL</v>
      </c>
      <c r="Y4126" t="str">
        <f>IF(Table2[[#This Row],[Column1]]&gt;50%,"HIGH DISCOUNT","LOW DISCOUNT")</f>
        <v>LOW DISCOUNT</v>
      </c>
    </row>
    <row r="4127" spans="1:25" x14ac:dyDescent="0.25">
      <c r="A4127" s="2" t="s">
        <v>8469</v>
      </c>
      <c r="B4127" s="2">
        <v>11359686</v>
      </c>
      <c r="C4127" s="2" t="s">
        <v>794</v>
      </c>
      <c r="D4127" s="2" t="s">
        <v>28</v>
      </c>
      <c r="E4127" s="2" t="s">
        <v>42</v>
      </c>
      <c r="F4127" s="2" t="s">
        <v>17</v>
      </c>
      <c r="G4127" s="2" t="s">
        <v>8470</v>
      </c>
      <c r="H4127">
        <v>1499</v>
      </c>
      <c r="I4127" s="2">
        <v>1999</v>
      </c>
      <c r="J4127" s="2" t="s">
        <v>282</v>
      </c>
      <c r="K4127" s="2" t="s">
        <v>100</v>
      </c>
      <c r="L4127" s="2">
        <v>4.4000000000000004</v>
      </c>
      <c r="M4127" s="2">
        <v>520</v>
      </c>
      <c r="P4127" t="str">
        <f t="shared" si="259"/>
        <v>25%</v>
      </c>
      <c r="Q4127" s="12">
        <f t="shared" si="256"/>
        <v>0.25</v>
      </c>
      <c r="R4127" s="9">
        <f t="shared" si="257"/>
        <v>1499.25</v>
      </c>
      <c r="S4127" s="9">
        <f>IF(R4127="",AVERAGEIF(Table1[Category],Table1[[#This Row],[Category]],Table2[orignal data]),Table2[[#This Row],[orignal data]])</f>
        <v>1499.25</v>
      </c>
      <c r="T4127" t="str">
        <f t="shared" si="258"/>
        <v>UNIQUE</v>
      </c>
      <c r="U4127" t="str">
        <f>IF(ISBLANK(Table1[[#This Row],[SizeOption]]),"NOT AVAILABLE",Table1[[#This Row],[SizeOption]])</f>
        <v>XS, S, M, L, XL, XXL, 3XL</v>
      </c>
      <c r="Y4127" t="str">
        <f>IF(Table2[[#This Row],[Column1]]&gt;50%,"HIGH DISCOUNT","LOW DISCOUNT")</f>
        <v>LOW DISCOUNT</v>
      </c>
    </row>
    <row r="4128" spans="1:25" x14ac:dyDescent="0.25">
      <c r="A4128" s="1" t="s">
        <v>8471</v>
      </c>
      <c r="B4128" s="1">
        <v>12970018</v>
      </c>
      <c r="C4128" s="1" t="s">
        <v>22</v>
      </c>
      <c r="D4128" s="1" t="s">
        <v>28</v>
      </c>
      <c r="E4128" s="1" t="s">
        <v>189</v>
      </c>
      <c r="F4128" s="1" t="s">
        <v>17</v>
      </c>
      <c r="G4128" s="1" t="s">
        <v>8472</v>
      </c>
      <c r="H4128">
        <v>1579</v>
      </c>
      <c r="I4128" s="1">
        <v>4049</v>
      </c>
      <c r="J4128" s="1" t="s">
        <v>104</v>
      </c>
      <c r="K4128" s="1" t="s">
        <v>881</v>
      </c>
      <c r="L4128" s="1">
        <v>3.9</v>
      </c>
      <c r="M4128" s="1">
        <v>520</v>
      </c>
      <c r="P4128" t="str">
        <f t="shared" si="259"/>
        <v>61%</v>
      </c>
      <c r="Q4128" s="12">
        <f t="shared" si="256"/>
        <v>0.61</v>
      </c>
      <c r="R4128" s="9">
        <f t="shared" si="257"/>
        <v>1579.1100000000001</v>
      </c>
      <c r="S4128" s="9">
        <f>IF(R4128="",AVERAGEIF(Table1[Category],Table1[[#This Row],[Category]],Table2[orignal data]),Table2[[#This Row],[orignal data]])</f>
        <v>1579.1100000000001</v>
      </c>
      <c r="T4128" t="str">
        <f t="shared" si="258"/>
        <v>UNIQUE</v>
      </c>
      <c r="U4128" t="str">
        <f>IF(ISBLANK(Table1[[#This Row],[SizeOption]]),"NOT AVAILABLE",Table1[[#This Row],[SizeOption]])</f>
        <v>M, L, XL, XXL</v>
      </c>
      <c r="Y4128" t="str">
        <f>IF(Table2[[#This Row],[Column1]]&gt;50%,"HIGH DISCOUNT","LOW DISCOUNT")</f>
        <v>HIGH DISCOUNT</v>
      </c>
    </row>
    <row r="4129" spans="1:25" x14ac:dyDescent="0.25">
      <c r="A4129" s="2" t="s">
        <v>8473</v>
      </c>
      <c r="B4129" s="2">
        <v>11700038</v>
      </c>
      <c r="C4129" s="2" t="s">
        <v>47</v>
      </c>
      <c r="D4129" s="2" t="s">
        <v>28</v>
      </c>
      <c r="E4129" s="2" t="s">
        <v>42</v>
      </c>
      <c r="F4129" s="2" t="s">
        <v>17</v>
      </c>
      <c r="G4129" s="2" t="s">
        <v>8474</v>
      </c>
      <c r="H4129">
        <v>319</v>
      </c>
      <c r="I4129" s="2">
        <v>799</v>
      </c>
      <c r="J4129" s="2" t="s">
        <v>55</v>
      </c>
      <c r="K4129" s="2" t="s">
        <v>26</v>
      </c>
      <c r="L4129" s="2">
        <v>4</v>
      </c>
      <c r="M4129" s="2">
        <v>520</v>
      </c>
      <c r="P4129" t="str">
        <f t="shared" si="259"/>
        <v>60%</v>
      </c>
      <c r="Q4129" s="12">
        <f t="shared" si="256"/>
        <v>0.6</v>
      </c>
      <c r="R4129" s="9">
        <f t="shared" si="257"/>
        <v>319.60000000000002</v>
      </c>
      <c r="S4129" s="9">
        <f>IF(R4129="",AVERAGEIF(Table1[Category],Table1[[#This Row],[Category]],Table2[orignal data]),Table2[[#This Row],[orignal data]])</f>
        <v>319.60000000000002</v>
      </c>
      <c r="T4129" t="str">
        <f t="shared" si="258"/>
        <v>UNIQUE</v>
      </c>
      <c r="U4129" t="str">
        <f>IF(ISBLANK(Table1[[#This Row],[SizeOption]]),"NOT AVAILABLE",Table1[[#This Row],[SizeOption]])</f>
        <v>S, M, L, XL</v>
      </c>
      <c r="Y4129" t="str">
        <f>IF(Table2[[#This Row],[Column1]]&gt;50%,"HIGH DISCOUNT","LOW DISCOUNT")</f>
        <v>HIGH DISCOUNT</v>
      </c>
    </row>
    <row r="4130" spans="1:25" x14ac:dyDescent="0.25">
      <c r="A4130" s="1" t="s">
        <v>8475</v>
      </c>
      <c r="B4130" s="1">
        <v>12009454</v>
      </c>
      <c r="C4130" s="1" t="s">
        <v>47</v>
      </c>
      <c r="D4130" s="1" t="s">
        <v>28</v>
      </c>
      <c r="E4130" s="1" t="s">
        <v>42</v>
      </c>
      <c r="F4130" s="1" t="s">
        <v>17</v>
      </c>
      <c r="G4130" s="1" t="s">
        <v>8476</v>
      </c>
      <c r="H4130">
        <v>549</v>
      </c>
      <c r="I4130" s="1">
        <v>999</v>
      </c>
      <c r="J4130" s="1" t="s">
        <v>19</v>
      </c>
      <c r="K4130" s="1" t="s">
        <v>26</v>
      </c>
      <c r="L4130" s="1">
        <v>4.0999999999999996</v>
      </c>
      <c r="M4130" s="1">
        <v>520</v>
      </c>
      <c r="P4130" t="str">
        <f t="shared" si="259"/>
        <v>45%</v>
      </c>
      <c r="Q4130" s="12">
        <f t="shared" si="256"/>
        <v>0.45</v>
      </c>
      <c r="R4130" s="9">
        <f t="shared" si="257"/>
        <v>549.45000000000005</v>
      </c>
      <c r="S4130" s="9">
        <f>IF(R4130="",AVERAGEIF(Table1[Category],Table1[[#This Row],[Category]],Table2[orignal data]),Table2[[#This Row],[orignal data]])</f>
        <v>549.45000000000005</v>
      </c>
      <c r="T4130" t="str">
        <f t="shared" si="258"/>
        <v>UNIQUE</v>
      </c>
      <c r="U4130" t="str">
        <f>IF(ISBLANK(Table1[[#This Row],[SizeOption]]),"NOT AVAILABLE",Table1[[#This Row],[SizeOption]])</f>
        <v>S, M, L, XL</v>
      </c>
      <c r="Y4130" t="str">
        <f>IF(Table2[[#This Row],[Column1]]&gt;50%,"HIGH DISCOUNT","LOW DISCOUNT")</f>
        <v>LOW DISCOUNT</v>
      </c>
    </row>
    <row r="4131" spans="1:25" x14ac:dyDescent="0.25">
      <c r="A4131" s="2" t="s">
        <v>8477</v>
      </c>
      <c r="B4131" s="2">
        <v>7427218</v>
      </c>
      <c r="C4131" s="2" t="s">
        <v>92</v>
      </c>
      <c r="D4131" s="2" t="s">
        <v>76</v>
      </c>
      <c r="E4131" s="2" t="s">
        <v>93</v>
      </c>
      <c r="F4131" s="2" t="s">
        <v>36</v>
      </c>
      <c r="G4131" s="2" t="s">
        <v>8478</v>
      </c>
      <c r="H4131">
        <v>557</v>
      </c>
      <c r="I4131" s="2">
        <v>1549</v>
      </c>
      <c r="J4131" s="2" t="s">
        <v>416</v>
      </c>
      <c r="K4131" s="2" t="s">
        <v>39</v>
      </c>
      <c r="L4131" s="2">
        <v>4.3</v>
      </c>
      <c r="M4131" s="2">
        <v>520</v>
      </c>
      <c r="P4131" t="str">
        <f t="shared" si="259"/>
        <v>64%</v>
      </c>
      <c r="Q4131" s="12">
        <f t="shared" si="256"/>
        <v>0.64</v>
      </c>
      <c r="R4131" s="9">
        <f t="shared" si="257"/>
        <v>557.64</v>
      </c>
      <c r="S4131" s="9">
        <f>IF(R4131="",AVERAGEIF(Table1[Category],Table1[[#This Row],[Category]],Table2[orignal data]),Table2[[#This Row],[orignal data]])</f>
        <v>557.64</v>
      </c>
      <c r="T4131" t="str">
        <f t="shared" si="258"/>
        <v>UNIQUE</v>
      </c>
      <c r="U4131" t="str">
        <f>IF(ISBLANK(Table1[[#This Row],[SizeOption]]),"NOT AVAILABLE",Table1[[#This Row],[SizeOption]])</f>
        <v>S, M, L, XL, XXL</v>
      </c>
      <c r="Y4131" t="str">
        <f>IF(Table2[[#This Row],[Column1]]&gt;50%,"HIGH DISCOUNT","LOW DISCOUNT")</f>
        <v>HIGH DISCOUNT</v>
      </c>
    </row>
    <row r="4132" spans="1:25" x14ac:dyDescent="0.25">
      <c r="A4132" s="1" t="s">
        <v>8479</v>
      </c>
      <c r="B4132" s="1">
        <v>8420491</v>
      </c>
      <c r="C4132" s="1" t="s">
        <v>97</v>
      </c>
      <c r="D4132" s="1" t="s">
        <v>98</v>
      </c>
      <c r="E4132" s="1" t="s">
        <v>93</v>
      </c>
      <c r="F4132" s="1" t="s">
        <v>36</v>
      </c>
      <c r="G4132" s="1" t="s">
        <v>8480</v>
      </c>
      <c r="H4132">
        <v>599</v>
      </c>
      <c r="I4132" s="1">
        <v>1499</v>
      </c>
      <c r="J4132" s="1" t="s">
        <v>141</v>
      </c>
      <c r="K4132" s="1" t="s">
        <v>100</v>
      </c>
      <c r="L4132" s="1">
        <v>4.0999999999999996</v>
      </c>
      <c r="M4132" s="1">
        <v>520</v>
      </c>
      <c r="P4132" t="str">
        <f t="shared" si="259"/>
        <v>60%</v>
      </c>
      <c r="Q4132" s="12">
        <f t="shared" si="256"/>
        <v>0.6</v>
      </c>
      <c r="R4132" s="9">
        <f t="shared" si="257"/>
        <v>599.6</v>
      </c>
      <c r="S4132" s="9">
        <f>IF(R4132="",AVERAGEIF(Table1[Category],Table1[[#This Row],[Category]],Table2[orignal data]),Table2[[#This Row],[orignal data]])</f>
        <v>599.6</v>
      </c>
      <c r="T4132" t="str">
        <f t="shared" si="258"/>
        <v>UNIQUE</v>
      </c>
      <c r="U4132" t="str">
        <f>IF(ISBLANK(Table1[[#This Row],[SizeOption]]),"NOT AVAILABLE",Table1[[#This Row],[SizeOption]])</f>
        <v>XS, S, M, L, XL, XXL, 3XL</v>
      </c>
      <c r="Y4132" t="str">
        <f>IF(Table2[[#This Row],[Column1]]&gt;50%,"HIGH DISCOUNT","LOW DISCOUNT")</f>
        <v>HIGH DISCOUNT</v>
      </c>
    </row>
    <row r="4133" spans="1:25" x14ac:dyDescent="0.25">
      <c r="A4133" s="2" t="s">
        <v>8481</v>
      </c>
      <c r="B4133" s="2">
        <v>11401662</v>
      </c>
      <c r="C4133" s="2" t="s">
        <v>14</v>
      </c>
      <c r="D4133" s="2" t="s">
        <v>41</v>
      </c>
      <c r="E4133" s="2" t="s">
        <v>48</v>
      </c>
      <c r="F4133" s="2" t="s">
        <v>36</v>
      </c>
      <c r="G4133" s="2" t="s">
        <v>8482</v>
      </c>
      <c r="I4133" s="2">
        <v>1099</v>
      </c>
      <c r="J4133" s="2" t="s">
        <v>19</v>
      </c>
      <c r="K4133" s="2" t="s">
        <v>45</v>
      </c>
      <c r="L4133" s="2">
        <v>4.4000000000000004</v>
      </c>
      <c r="M4133" s="2">
        <v>520</v>
      </c>
      <c r="P4133" t="str">
        <f t="shared" si="259"/>
        <v>45%</v>
      </c>
      <c r="Q4133" s="12">
        <f t="shared" si="256"/>
        <v>0.45</v>
      </c>
      <c r="R4133" s="9">
        <f t="shared" si="257"/>
        <v>604.45000000000005</v>
      </c>
      <c r="S4133" s="9">
        <f>IF(R4133="",AVERAGEIF(Table1[Category],Table1[[#This Row],[Category]],Table2[orignal data]),Table2[[#This Row],[orignal data]])</f>
        <v>604.45000000000005</v>
      </c>
      <c r="T4133" t="str">
        <f t="shared" si="258"/>
        <v>UNIQUE</v>
      </c>
      <c r="U4133" t="str">
        <f>IF(ISBLANK(Table1[[#This Row],[SizeOption]]),"NOT AVAILABLE",Table1[[#This Row],[SizeOption]])</f>
        <v>XS, S, M, L, XL</v>
      </c>
      <c r="Y4133" t="str">
        <f>IF(Table2[[#This Row],[Column1]]&gt;50%,"HIGH DISCOUNT","LOW DISCOUNT")</f>
        <v>LOW DISCOUNT</v>
      </c>
    </row>
    <row r="4134" spans="1:25" x14ac:dyDescent="0.25">
      <c r="A4134" s="1" t="s">
        <v>8483</v>
      </c>
      <c r="B4134" s="1">
        <v>14021452</v>
      </c>
      <c r="C4134" s="1" t="s">
        <v>461</v>
      </c>
      <c r="D4134" s="1" t="s">
        <v>41</v>
      </c>
      <c r="E4134" s="1" t="s">
        <v>818</v>
      </c>
      <c r="F4134" s="1" t="s">
        <v>36</v>
      </c>
      <c r="G4134" s="1" t="s">
        <v>8484</v>
      </c>
      <c r="I4134" s="1">
        <v>1494</v>
      </c>
      <c r="J4134" s="1" t="s">
        <v>84</v>
      </c>
      <c r="K4134" s="1" t="s">
        <v>26</v>
      </c>
      <c r="L4134" s="1">
        <v>4.3</v>
      </c>
      <c r="M4134" s="1">
        <v>520</v>
      </c>
      <c r="P4134" t="str">
        <f t="shared" si="259"/>
        <v>50%</v>
      </c>
      <c r="Q4134" s="12">
        <f t="shared" si="256"/>
        <v>0.5</v>
      </c>
      <c r="R4134" s="9">
        <f t="shared" si="257"/>
        <v>747</v>
      </c>
      <c r="S4134" s="9">
        <f>IF(R4134="",AVERAGEIF(Table1[Category],Table1[[#This Row],[Category]],Table2[orignal data]),Table2[[#This Row],[orignal data]])</f>
        <v>747</v>
      </c>
      <c r="T4134" t="str">
        <f t="shared" si="258"/>
        <v>UNIQUE</v>
      </c>
      <c r="U4134" t="str">
        <f>IF(ISBLANK(Table1[[#This Row],[SizeOption]]),"NOT AVAILABLE",Table1[[#This Row],[SizeOption]])</f>
        <v>S, M, L, XL</v>
      </c>
      <c r="Y4134" t="str">
        <f>IF(Table2[[#This Row],[Column1]]&gt;50%,"HIGH DISCOUNT","LOW DISCOUNT")</f>
        <v>LOW DISCOUNT</v>
      </c>
    </row>
    <row r="4135" spans="1:25" x14ac:dyDescent="0.25">
      <c r="A4135" s="2" t="s">
        <v>8485</v>
      </c>
      <c r="B4135" s="2">
        <v>13634866</v>
      </c>
      <c r="C4135" s="2" t="s">
        <v>92</v>
      </c>
      <c r="D4135" s="2" t="s">
        <v>41</v>
      </c>
      <c r="E4135" s="2" t="s">
        <v>148</v>
      </c>
      <c r="F4135" s="2" t="s">
        <v>36</v>
      </c>
      <c r="G4135" s="2" t="s">
        <v>8486</v>
      </c>
      <c r="I4135" s="2">
        <v>1649</v>
      </c>
      <c r="J4135" s="2" t="s">
        <v>104</v>
      </c>
      <c r="K4135" s="2" t="s">
        <v>39</v>
      </c>
      <c r="L4135" s="2">
        <v>4.3</v>
      </c>
      <c r="M4135" s="2">
        <v>520</v>
      </c>
      <c r="P4135" t="str">
        <f t="shared" si="259"/>
        <v>61%</v>
      </c>
      <c r="Q4135" s="12">
        <f t="shared" si="256"/>
        <v>0.61</v>
      </c>
      <c r="R4135" s="9">
        <f t="shared" si="257"/>
        <v>643.11</v>
      </c>
      <c r="S4135" s="9">
        <f>IF(R4135="",AVERAGEIF(Table1[Category],Table1[[#This Row],[Category]],Table2[orignal data]),Table2[[#This Row],[orignal data]])</f>
        <v>643.11</v>
      </c>
      <c r="T4135" t="str">
        <f t="shared" si="258"/>
        <v>UNIQUE</v>
      </c>
      <c r="U4135" t="str">
        <f>IF(ISBLANK(Table1[[#This Row],[SizeOption]]),"NOT AVAILABLE",Table1[[#This Row],[SizeOption]])</f>
        <v>S, M, L, XL, XXL</v>
      </c>
      <c r="Y4135" t="str">
        <f>IF(Table2[[#This Row],[Column1]]&gt;50%,"HIGH DISCOUNT","LOW DISCOUNT")</f>
        <v>HIGH DISCOUNT</v>
      </c>
    </row>
    <row r="4136" spans="1:25" x14ac:dyDescent="0.25">
      <c r="A4136" s="1" t="s">
        <v>8487</v>
      </c>
      <c r="B4136" s="1">
        <v>9478503</v>
      </c>
      <c r="C4136" s="1" t="s">
        <v>14</v>
      </c>
      <c r="D4136" s="1" t="s">
        <v>41</v>
      </c>
      <c r="E4136" s="1" t="s">
        <v>1881</v>
      </c>
      <c r="F4136" s="1" t="s">
        <v>36</v>
      </c>
      <c r="G4136" s="1" t="s">
        <v>8488</v>
      </c>
      <c r="I4136" s="1">
        <v>1899</v>
      </c>
      <c r="J4136" s="1" t="s">
        <v>25</v>
      </c>
      <c r="K4136" s="1" t="s">
        <v>115</v>
      </c>
      <c r="L4136" s="1">
        <v>4.0999999999999996</v>
      </c>
      <c r="M4136" s="1">
        <v>520</v>
      </c>
      <c r="P4136" t="str">
        <f t="shared" si="259"/>
        <v>55%</v>
      </c>
      <c r="Q4136" s="12">
        <f t="shared" si="256"/>
        <v>0.55000000000000004</v>
      </c>
      <c r="R4136" s="9">
        <f t="shared" si="257"/>
        <v>854.55</v>
      </c>
      <c r="S4136" s="9">
        <f>IF(R4136="",AVERAGEIF(Table1[Category],Table1[[#This Row],[Category]],Table2[orignal data]),Table2[[#This Row],[orignal data]])</f>
        <v>854.55</v>
      </c>
      <c r="T4136" t="str">
        <f t="shared" si="258"/>
        <v>UNIQUE</v>
      </c>
      <c r="U4136" t="str">
        <f>IF(ISBLANK(Table1[[#This Row],[SizeOption]]),"NOT AVAILABLE",Table1[[#This Row],[SizeOption]])</f>
        <v>XS, S, M, L, XL, XXL</v>
      </c>
      <c r="Y4136" t="str">
        <f>IF(Table2[[#This Row],[Column1]]&gt;50%,"HIGH DISCOUNT","LOW DISCOUNT")</f>
        <v>HIGH DISCOUNT</v>
      </c>
    </row>
    <row r="4137" spans="1:25" x14ac:dyDescent="0.25">
      <c r="A4137" s="2" t="s">
        <v>8489</v>
      </c>
      <c r="B4137" s="2">
        <v>10336543</v>
      </c>
      <c r="C4137" s="2" t="s">
        <v>102</v>
      </c>
      <c r="D4137" s="2" t="s">
        <v>41</v>
      </c>
      <c r="E4137" s="2" t="s">
        <v>148</v>
      </c>
      <c r="F4137" s="2" t="s">
        <v>36</v>
      </c>
      <c r="G4137" s="2" t="s">
        <v>8490</v>
      </c>
      <c r="I4137" s="2">
        <v>2199</v>
      </c>
      <c r="J4137" s="2" t="s">
        <v>416</v>
      </c>
      <c r="K4137" s="2" t="s">
        <v>26</v>
      </c>
      <c r="L4137" s="2">
        <v>4.3</v>
      </c>
      <c r="M4137" s="2">
        <v>520</v>
      </c>
      <c r="P4137" t="str">
        <f t="shared" si="259"/>
        <v>64%</v>
      </c>
      <c r="Q4137" s="12">
        <f t="shared" si="256"/>
        <v>0.64</v>
      </c>
      <c r="R4137" s="9">
        <f t="shared" si="257"/>
        <v>791.63999999999987</v>
      </c>
      <c r="S4137" s="9">
        <f>IF(R4137="",AVERAGEIF(Table1[Category],Table1[[#This Row],[Category]],Table2[orignal data]),Table2[[#This Row],[orignal data]])</f>
        <v>791.63999999999987</v>
      </c>
      <c r="T4137" t="str">
        <f t="shared" si="258"/>
        <v>UNIQUE</v>
      </c>
      <c r="U4137" t="str">
        <f>IF(ISBLANK(Table1[[#This Row],[SizeOption]]),"NOT AVAILABLE",Table1[[#This Row],[SizeOption]])</f>
        <v>S, M, L, XL</v>
      </c>
      <c r="Y4137" t="str">
        <f>IF(Table2[[#This Row],[Column1]]&gt;50%,"HIGH DISCOUNT","LOW DISCOUNT")</f>
        <v>HIGH DISCOUNT</v>
      </c>
    </row>
    <row r="4138" spans="1:25" x14ac:dyDescent="0.25">
      <c r="A4138" s="1" t="s">
        <v>8491</v>
      </c>
      <c r="B4138" s="1">
        <v>7687306</v>
      </c>
      <c r="C4138" s="1" t="s">
        <v>181</v>
      </c>
      <c r="D4138" s="1" t="s">
        <v>41</v>
      </c>
      <c r="E4138" s="1" t="s">
        <v>189</v>
      </c>
      <c r="F4138" s="1" t="s">
        <v>36</v>
      </c>
      <c r="G4138" s="1" t="s">
        <v>8492</v>
      </c>
      <c r="I4138" s="1">
        <v>2199</v>
      </c>
      <c r="J4138" s="1" t="s">
        <v>55</v>
      </c>
      <c r="K4138" s="1" t="s">
        <v>115</v>
      </c>
      <c r="L4138" s="1">
        <v>4.0999999999999996</v>
      </c>
      <c r="M4138" s="1">
        <v>520</v>
      </c>
      <c r="P4138" t="str">
        <f t="shared" si="259"/>
        <v>60%</v>
      </c>
      <c r="Q4138" s="12">
        <f t="shared" si="256"/>
        <v>0.6</v>
      </c>
      <c r="R4138" s="9">
        <f t="shared" si="257"/>
        <v>879.60000000000014</v>
      </c>
      <c r="S4138" s="9">
        <f>IF(R4138="",AVERAGEIF(Table1[Category],Table1[[#This Row],[Category]],Table2[orignal data]),Table2[[#This Row],[orignal data]])</f>
        <v>879.60000000000014</v>
      </c>
      <c r="T4138" t="str">
        <f t="shared" si="258"/>
        <v>UNIQUE</v>
      </c>
      <c r="U4138" t="str">
        <f>IF(ISBLANK(Table1[[#This Row],[SizeOption]]),"NOT AVAILABLE",Table1[[#This Row],[SizeOption]])</f>
        <v>XS, S, M, L, XL, XXL</v>
      </c>
      <c r="Y4138" t="str">
        <f>IF(Table2[[#This Row],[Column1]]&gt;50%,"HIGH DISCOUNT","LOW DISCOUNT")</f>
        <v>HIGH DISCOUNT</v>
      </c>
    </row>
    <row r="4139" spans="1:25" x14ac:dyDescent="0.25">
      <c r="A4139" s="2" t="s">
        <v>8493</v>
      </c>
      <c r="B4139" s="2">
        <v>10573158</v>
      </c>
      <c r="C4139" s="2" t="s">
        <v>102</v>
      </c>
      <c r="D4139" s="2" t="s">
        <v>41</v>
      </c>
      <c r="E4139" s="2" t="s">
        <v>189</v>
      </c>
      <c r="F4139" s="2" t="s">
        <v>36</v>
      </c>
      <c r="G4139" s="2" t="s">
        <v>8494</v>
      </c>
      <c r="I4139" s="2">
        <v>2299</v>
      </c>
      <c r="J4139" s="2" t="s">
        <v>130</v>
      </c>
      <c r="K4139" s="2" t="s">
        <v>26</v>
      </c>
      <c r="L4139" s="2">
        <v>4.3</v>
      </c>
      <c r="M4139" s="2">
        <v>520</v>
      </c>
      <c r="P4139" t="str">
        <f t="shared" si="259"/>
        <v>57%</v>
      </c>
      <c r="Q4139" s="12">
        <f t="shared" si="256"/>
        <v>0.56999999999999995</v>
      </c>
      <c r="R4139" s="9">
        <f t="shared" si="257"/>
        <v>988.57000000000016</v>
      </c>
      <c r="S4139" s="9">
        <f>IF(R4139="",AVERAGEIF(Table1[Category],Table1[[#This Row],[Category]],Table2[orignal data]),Table2[[#This Row],[orignal data]])</f>
        <v>988.57000000000016</v>
      </c>
      <c r="T4139" t="str">
        <f t="shared" si="258"/>
        <v>UNIQUE</v>
      </c>
      <c r="U4139" t="str">
        <f>IF(ISBLANK(Table1[[#This Row],[SizeOption]]),"NOT AVAILABLE",Table1[[#This Row],[SizeOption]])</f>
        <v>S, M, L, XL</v>
      </c>
      <c r="Y4139" t="str">
        <f>IF(Table2[[#This Row],[Column1]]&gt;50%,"HIGH DISCOUNT","LOW DISCOUNT")</f>
        <v>HIGH DISCOUNT</v>
      </c>
    </row>
    <row r="4140" spans="1:25" x14ac:dyDescent="0.25">
      <c r="A4140" s="1" t="s">
        <v>8495</v>
      </c>
      <c r="B4140" s="1">
        <v>8325407</v>
      </c>
      <c r="C4140" s="1" t="s">
        <v>47</v>
      </c>
      <c r="D4140" s="1" t="s">
        <v>41</v>
      </c>
      <c r="E4140" s="1" t="s">
        <v>48</v>
      </c>
      <c r="F4140" s="1" t="s">
        <v>36</v>
      </c>
      <c r="G4140" s="1" t="s">
        <v>8496</v>
      </c>
      <c r="I4140" s="1">
        <v>899</v>
      </c>
      <c r="J4140" s="1" t="s">
        <v>25</v>
      </c>
      <c r="K4140" s="1" t="s">
        <v>45</v>
      </c>
      <c r="L4140" s="1">
        <v>4.0999999999999996</v>
      </c>
      <c r="M4140" s="1">
        <v>520</v>
      </c>
      <c r="P4140" t="str">
        <f t="shared" si="259"/>
        <v>55%</v>
      </c>
      <c r="Q4140" s="12">
        <f t="shared" si="256"/>
        <v>0.55000000000000004</v>
      </c>
      <c r="R4140" s="9">
        <f t="shared" si="257"/>
        <v>404.54999999999995</v>
      </c>
      <c r="S4140" s="9">
        <f>IF(R4140="",AVERAGEIF(Table1[Category],Table1[[#This Row],[Category]],Table2[orignal data]),Table2[[#This Row],[orignal data]])</f>
        <v>404.54999999999995</v>
      </c>
      <c r="T4140" t="str">
        <f t="shared" si="258"/>
        <v>UNIQUE</v>
      </c>
      <c r="U4140" t="str">
        <f>IF(ISBLANK(Table1[[#This Row],[SizeOption]]),"NOT AVAILABLE",Table1[[#This Row],[SizeOption]])</f>
        <v>XS, S, M, L, XL</v>
      </c>
      <c r="Y4140" t="str">
        <f>IF(Table2[[#This Row],[Column1]]&gt;50%,"HIGH DISCOUNT","LOW DISCOUNT")</f>
        <v>HIGH DISCOUNT</v>
      </c>
    </row>
    <row r="4141" spans="1:25" x14ac:dyDescent="0.25">
      <c r="A4141" s="2" t="s">
        <v>8497</v>
      </c>
      <c r="B4141" s="2">
        <v>10187471</v>
      </c>
      <c r="C4141" s="2" t="s">
        <v>169</v>
      </c>
      <c r="D4141" s="2" t="s">
        <v>15</v>
      </c>
      <c r="E4141" s="2" t="s">
        <v>16</v>
      </c>
      <c r="F4141" s="2" t="s">
        <v>17</v>
      </c>
      <c r="G4141" s="2" t="s">
        <v>170</v>
      </c>
      <c r="H4141">
        <v>1399</v>
      </c>
      <c r="I4141" s="2">
        <v>2799</v>
      </c>
      <c r="J4141" s="2" t="s">
        <v>84</v>
      </c>
      <c r="K4141" s="2" t="s">
        <v>171</v>
      </c>
      <c r="L4141" s="2">
        <v>4.0999999999999996</v>
      </c>
      <c r="M4141" s="2">
        <v>519</v>
      </c>
      <c r="P4141" t="str">
        <f t="shared" si="259"/>
        <v>50%</v>
      </c>
      <c r="Q4141" s="12">
        <f t="shared" si="256"/>
        <v>0.5</v>
      </c>
      <c r="R4141" s="9">
        <f t="shared" si="257"/>
        <v>1399.5</v>
      </c>
      <c r="S4141" s="9">
        <f>IF(R4141="",AVERAGEIF(Table1[Category],Table1[[#This Row],[Category]],Table2[orignal data]),Table2[[#This Row],[orignal data]])</f>
        <v>1399.5</v>
      </c>
      <c r="T4141" t="str">
        <f t="shared" si="258"/>
        <v>UNIQUE</v>
      </c>
      <c r="U4141" t="str">
        <f>IF(ISBLANK(Table1[[#This Row],[SizeOption]]),"NOT AVAILABLE",Table1[[#This Row],[SizeOption]])</f>
        <v>28, 30, 32, 34, 36, 38</v>
      </c>
      <c r="Y4141" t="str">
        <f>IF(Table2[[#This Row],[Column1]]&gt;50%,"HIGH DISCOUNT","LOW DISCOUNT")</f>
        <v>LOW DISCOUNT</v>
      </c>
    </row>
    <row r="4142" spans="1:25" x14ac:dyDescent="0.25">
      <c r="A4142" s="1" t="s">
        <v>8498</v>
      </c>
      <c r="B4142" s="1">
        <v>6518415</v>
      </c>
      <c r="C4142" s="1" t="s">
        <v>3308</v>
      </c>
      <c r="D4142" s="1" t="s">
        <v>76</v>
      </c>
      <c r="E4142" s="1" t="s">
        <v>77</v>
      </c>
      <c r="F4142" s="1" t="s">
        <v>17</v>
      </c>
      <c r="G4142" s="1" t="s">
        <v>8499</v>
      </c>
      <c r="H4142">
        <v>2199</v>
      </c>
      <c r="I4142" s="1">
        <v>5499</v>
      </c>
      <c r="J4142" s="1" t="s">
        <v>55</v>
      </c>
      <c r="K4142" s="1" t="s">
        <v>881</v>
      </c>
      <c r="L4142" s="1">
        <v>3.9</v>
      </c>
      <c r="M4142" s="1">
        <v>519</v>
      </c>
      <c r="P4142" t="str">
        <f t="shared" si="259"/>
        <v>60%</v>
      </c>
      <c r="Q4142" s="12">
        <f t="shared" si="256"/>
        <v>0.6</v>
      </c>
      <c r="R4142" s="9">
        <f t="shared" si="257"/>
        <v>2199.6</v>
      </c>
      <c r="S4142" s="9">
        <f>IF(R4142="",AVERAGEIF(Table1[Category],Table1[[#This Row],[Category]],Table2[orignal data]),Table2[[#This Row],[orignal data]])</f>
        <v>2199.6</v>
      </c>
      <c r="T4142" t="str">
        <f t="shared" si="258"/>
        <v>UNIQUE</v>
      </c>
      <c r="U4142" t="str">
        <f>IF(ISBLANK(Table1[[#This Row],[SizeOption]]),"NOT AVAILABLE",Table1[[#This Row],[SizeOption]])</f>
        <v>M, L, XL, XXL</v>
      </c>
      <c r="Y4142" t="str">
        <f>IF(Table2[[#This Row],[Column1]]&gt;50%,"HIGH DISCOUNT","LOW DISCOUNT")</f>
        <v>HIGH DISCOUNT</v>
      </c>
    </row>
    <row r="4143" spans="1:25" x14ac:dyDescent="0.25">
      <c r="A4143" s="2" t="s">
        <v>8500</v>
      </c>
      <c r="B4143" s="2">
        <v>1724813</v>
      </c>
      <c r="C4143" s="2" t="s">
        <v>6558</v>
      </c>
      <c r="D4143" s="2" t="s">
        <v>197</v>
      </c>
      <c r="E4143" s="2" t="s">
        <v>350</v>
      </c>
      <c r="F4143" s="2" t="s">
        <v>17</v>
      </c>
      <c r="G4143" s="2" t="s">
        <v>8501</v>
      </c>
      <c r="H4143">
        <v>453</v>
      </c>
      <c r="I4143" s="2">
        <v>567</v>
      </c>
      <c r="J4143" s="2" t="s">
        <v>412</v>
      </c>
      <c r="K4143" s="2" t="s">
        <v>223</v>
      </c>
      <c r="L4143" s="2">
        <v>4</v>
      </c>
      <c r="M4143" s="2">
        <v>519</v>
      </c>
      <c r="P4143" t="str">
        <f t="shared" si="259"/>
        <v>20%</v>
      </c>
      <c r="Q4143" s="12">
        <f t="shared" si="256"/>
        <v>0.2</v>
      </c>
      <c r="R4143" s="9">
        <f t="shared" si="257"/>
        <v>453.6</v>
      </c>
      <c r="S4143" s="9">
        <f>IF(R4143="",AVERAGEIF(Table1[Category],Table1[[#This Row],[Category]],Table2[orignal data]),Table2[[#This Row],[orignal data]])</f>
        <v>453.6</v>
      </c>
      <c r="T4143" t="str">
        <f t="shared" si="258"/>
        <v>UNIQUE</v>
      </c>
      <c r="U4143" t="str">
        <f>IF(ISBLANK(Table1[[#This Row],[SizeOption]]),"NOT AVAILABLE",Table1[[#This Row],[SizeOption]])</f>
        <v>S, M, L, XL, XXL, 3XL, 4XL</v>
      </c>
      <c r="Y4143" t="str">
        <f>IF(Table2[[#This Row],[Column1]]&gt;50%,"HIGH DISCOUNT","LOW DISCOUNT")</f>
        <v>LOW DISCOUNT</v>
      </c>
    </row>
    <row r="4144" spans="1:25" x14ac:dyDescent="0.25">
      <c r="A4144" s="1" t="s">
        <v>8502</v>
      </c>
      <c r="B4144" s="1">
        <v>18030426</v>
      </c>
      <c r="C4144" s="1" t="s">
        <v>295</v>
      </c>
      <c r="D4144" s="1" t="s">
        <v>197</v>
      </c>
      <c r="E4144" s="1" t="s">
        <v>296</v>
      </c>
      <c r="F4144" s="1" t="s">
        <v>17</v>
      </c>
      <c r="G4144" s="1" t="s">
        <v>8503</v>
      </c>
      <c r="I4144" s="1">
        <v>558</v>
      </c>
      <c r="J4144" s="1"/>
      <c r="K4144" s="1" t="s">
        <v>26</v>
      </c>
      <c r="L4144" s="1">
        <v>4.0999999999999996</v>
      </c>
      <c r="M4144" s="1">
        <v>519</v>
      </c>
      <c r="P4144" t="str">
        <f t="shared" si="259"/>
        <v/>
      </c>
      <c r="Q4144" s="12" t="str">
        <f t="shared" si="256"/>
        <v/>
      </c>
      <c r="R4144" s="9" t="str">
        <f t="shared" si="257"/>
        <v/>
      </c>
      <c r="S4144" s="9">
        <f>IF(R4144="",AVERAGEIF(Table1[Category],Table1[[#This Row],[Category]],Table2[orignal data]),Table2[[#This Row],[orignal data]])</f>
        <v>552.70900000000006</v>
      </c>
      <c r="T4144" t="str">
        <f t="shared" si="258"/>
        <v>UNIQUE</v>
      </c>
      <c r="U4144" t="str">
        <f>IF(ISBLANK(Table1[[#This Row],[SizeOption]]),"NOT AVAILABLE",Table1[[#This Row],[SizeOption]])</f>
        <v>S, M, L, XL</v>
      </c>
      <c r="Y4144" t="str">
        <f>IF(Table2[[#This Row],[Column1]]&gt;50%,"HIGH DISCOUNT","LOW DISCOUNT")</f>
        <v>HIGH DISCOUNT</v>
      </c>
    </row>
    <row r="4145" spans="1:25" x14ac:dyDescent="0.25">
      <c r="A4145" s="2" t="s">
        <v>8504</v>
      </c>
      <c r="B4145" s="2">
        <v>9297747</v>
      </c>
      <c r="C4145" s="2" t="s">
        <v>67</v>
      </c>
      <c r="D4145" s="2" t="s">
        <v>68</v>
      </c>
      <c r="E4145" s="2" t="s">
        <v>189</v>
      </c>
      <c r="F4145" s="2" t="s">
        <v>17</v>
      </c>
      <c r="G4145" s="2" t="s">
        <v>8505</v>
      </c>
      <c r="I4145" s="2">
        <v>4499</v>
      </c>
      <c r="J4145" s="2"/>
      <c r="K4145" s="2" t="s">
        <v>39</v>
      </c>
      <c r="L4145" s="2">
        <v>4.3</v>
      </c>
      <c r="M4145" s="2">
        <v>519</v>
      </c>
      <c r="P4145" t="str">
        <f t="shared" si="259"/>
        <v/>
      </c>
      <c r="Q4145" s="12" t="str">
        <f t="shared" si="256"/>
        <v/>
      </c>
      <c r="R4145" s="9" t="str">
        <f t="shared" si="257"/>
        <v/>
      </c>
      <c r="S4145" s="9">
        <f>IF(R4145="",AVERAGEIF(Table1[Category],Table1[[#This Row],[Category]],Table2[orignal data]),Table2[[#This Row],[orignal data]])</f>
        <v>734.32085365853686</v>
      </c>
      <c r="T4145" t="str">
        <f t="shared" si="258"/>
        <v>UNIQUE</v>
      </c>
      <c r="U4145" t="str">
        <f>IF(ISBLANK(Table1[[#This Row],[SizeOption]]),"NOT AVAILABLE",Table1[[#This Row],[SizeOption]])</f>
        <v>S, M, L, XL, XXL</v>
      </c>
      <c r="Y4145" t="str">
        <f>IF(Table2[[#This Row],[Column1]]&gt;50%,"HIGH DISCOUNT","LOW DISCOUNT")</f>
        <v>HIGH DISCOUNT</v>
      </c>
    </row>
    <row r="4146" spans="1:25" x14ac:dyDescent="0.25">
      <c r="A4146" s="1" t="s">
        <v>8506</v>
      </c>
      <c r="B4146" s="1">
        <v>11999492</v>
      </c>
      <c r="C4146" s="1" t="s">
        <v>67</v>
      </c>
      <c r="D4146" s="1" t="s">
        <v>68</v>
      </c>
      <c r="E4146" s="1" t="s">
        <v>42</v>
      </c>
      <c r="F4146" s="1" t="s">
        <v>17</v>
      </c>
      <c r="G4146" s="1" t="s">
        <v>5968</v>
      </c>
      <c r="I4146" s="1">
        <v>699</v>
      </c>
      <c r="J4146" s="1"/>
      <c r="K4146" s="1" t="s">
        <v>39</v>
      </c>
      <c r="L4146" s="1">
        <v>4.2</v>
      </c>
      <c r="M4146" s="1">
        <v>519</v>
      </c>
      <c r="P4146" t="str">
        <f t="shared" si="259"/>
        <v/>
      </c>
      <c r="Q4146" s="12" t="str">
        <f t="shared" si="256"/>
        <v/>
      </c>
      <c r="R4146" s="9" t="str">
        <f t="shared" si="257"/>
        <v/>
      </c>
      <c r="S4146" s="9">
        <f>IF(R4146="",AVERAGEIF(Table1[Category],Table1[[#This Row],[Category]],Table2[orignal data]),Table2[[#This Row],[orignal data]])</f>
        <v>734.32085365853686</v>
      </c>
      <c r="T4146" t="str">
        <f t="shared" si="258"/>
        <v>UNIQUE</v>
      </c>
      <c r="U4146" t="str">
        <f>IF(ISBLANK(Table1[[#This Row],[SizeOption]]),"NOT AVAILABLE",Table1[[#This Row],[SizeOption]])</f>
        <v>S, M, L, XL, XXL</v>
      </c>
      <c r="Y4146" t="str">
        <f>IF(Table2[[#This Row],[Column1]]&gt;50%,"HIGH DISCOUNT","LOW DISCOUNT")</f>
        <v>HIGH DISCOUNT</v>
      </c>
    </row>
    <row r="4147" spans="1:25" x14ac:dyDescent="0.25">
      <c r="A4147" s="2" t="s">
        <v>8507</v>
      </c>
      <c r="B4147" s="2">
        <v>2263555</v>
      </c>
      <c r="C4147" s="2" t="s">
        <v>47</v>
      </c>
      <c r="D4147" s="2" t="s">
        <v>28</v>
      </c>
      <c r="E4147" s="2" t="s">
        <v>42</v>
      </c>
      <c r="F4147" s="2" t="s">
        <v>17</v>
      </c>
      <c r="G4147" s="2" t="s">
        <v>8508</v>
      </c>
      <c r="H4147">
        <v>439</v>
      </c>
      <c r="I4147" s="2">
        <v>1099</v>
      </c>
      <c r="J4147" s="2" t="s">
        <v>55</v>
      </c>
      <c r="K4147" s="2" t="s">
        <v>26</v>
      </c>
      <c r="L4147" s="2">
        <v>4</v>
      </c>
      <c r="M4147" s="2">
        <v>519</v>
      </c>
      <c r="P4147" t="str">
        <f t="shared" si="259"/>
        <v>60%</v>
      </c>
      <c r="Q4147" s="12">
        <f t="shared" si="256"/>
        <v>0.6</v>
      </c>
      <c r="R4147" s="9">
        <f t="shared" si="257"/>
        <v>439.6</v>
      </c>
      <c r="S4147" s="9">
        <f>IF(R4147="",AVERAGEIF(Table1[Category],Table1[[#This Row],[Category]],Table2[orignal data]),Table2[[#This Row],[orignal data]])</f>
        <v>439.6</v>
      </c>
      <c r="T4147" t="str">
        <f t="shared" si="258"/>
        <v>UNIQUE</v>
      </c>
      <c r="U4147" t="str">
        <f>IF(ISBLANK(Table1[[#This Row],[SizeOption]]),"NOT AVAILABLE",Table1[[#This Row],[SizeOption]])</f>
        <v>S, M, L, XL</v>
      </c>
      <c r="Y4147" t="str">
        <f>IF(Table2[[#This Row],[Column1]]&gt;50%,"HIGH DISCOUNT","LOW DISCOUNT")</f>
        <v>HIGH DISCOUNT</v>
      </c>
    </row>
    <row r="4148" spans="1:25" x14ac:dyDescent="0.25">
      <c r="A4148" s="1" t="s">
        <v>8509</v>
      </c>
      <c r="B4148" s="1">
        <v>11363524</v>
      </c>
      <c r="C4148" s="1" t="s">
        <v>169</v>
      </c>
      <c r="D4148" s="1" t="s">
        <v>28</v>
      </c>
      <c r="E4148" s="1" t="s">
        <v>42</v>
      </c>
      <c r="F4148" s="1" t="s">
        <v>17</v>
      </c>
      <c r="G4148" s="1" t="s">
        <v>8510</v>
      </c>
      <c r="H4148">
        <v>599</v>
      </c>
      <c r="I4148" s="1">
        <v>1199</v>
      </c>
      <c r="J4148" s="1" t="s">
        <v>84</v>
      </c>
      <c r="K4148" s="1" t="s">
        <v>39</v>
      </c>
      <c r="L4148" s="1">
        <v>4</v>
      </c>
      <c r="M4148" s="1">
        <v>519</v>
      </c>
      <c r="P4148" t="str">
        <f t="shared" si="259"/>
        <v>50%</v>
      </c>
      <c r="Q4148" s="12">
        <f t="shared" si="256"/>
        <v>0.5</v>
      </c>
      <c r="R4148" s="9">
        <f t="shared" si="257"/>
        <v>599.5</v>
      </c>
      <c r="S4148" s="9">
        <f>IF(R4148="",AVERAGEIF(Table1[Category],Table1[[#This Row],[Category]],Table2[orignal data]),Table2[[#This Row],[orignal data]])</f>
        <v>599.5</v>
      </c>
      <c r="T4148" t="str">
        <f t="shared" si="258"/>
        <v>UNIQUE</v>
      </c>
      <c r="U4148" t="str">
        <f>IF(ISBLANK(Table1[[#This Row],[SizeOption]]),"NOT AVAILABLE",Table1[[#This Row],[SizeOption]])</f>
        <v>S, M, L, XL, XXL</v>
      </c>
      <c r="Y4148" t="str">
        <f>IF(Table2[[#This Row],[Column1]]&gt;50%,"HIGH DISCOUNT","LOW DISCOUNT")</f>
        <v>LOW DISCOUNT</v>
      </c>
    </row>
    <row r="4149" spans="1:25" x14ac:dyDescent="0.25">
      <c r="A4149" s="2" t="s">
        <v>8511</v>
      </c>
      <c r="B4149" s="2">
        <v>10914084</v>
      </c>
      <c r="C4149" s="2" t="s">
        <v>169</v>
      </c>
      <c r="D4149" s="2" t="s">
        <v>28</v>
      </c>
      <c r="E4149" s="2" t="s">
        <v>1881</v>
      </c>
      <c r="F4149" s="2" t="s">
        <v>17</v>
      </c>
      <c r="G4149" s="2" t="s">
        <v>8512</v>
      </c>
      <c r="H4149">
        <v>679</v>
      </c>
      <c r="I4149" s="2">
        <v>1699</v>
      </c>
      <c r="J4149" s="2" t="s">
        <v>55</v>
      </c>
      <c r="K4149" s="2" t="s">
        <v>39</v>
      </c>
      <c r="L4149" s="2">
        <v>4.3</v>
      </c>
      <c r="M4149" s="2">
        <v>519</v>
      </c>
      <c r="P4149" t="str">
        <f t="shared" si="259"/>
        <v>60%</v>
      </c>
      <c r="Q4149" s="12">
        <f t="shared" si="256"/>
        <v>0.6</v>
      </c>
      <c r="R4149" s="9">
        <f t="shared" si="257"/>
        <v>679.6</v>
      </c>
      <c r="S4149" s="9">
        <f>IF(R4149="",AVERAGEIF(Table1[Category],Table1[[#This Row],[Category]],Table2[orignal data]),Table2[[#This Row],[orignal data]])</f>
        <v>679.6</v>
      </c>
      <c r="T4149" t="str">
        <f t="shared" si="258"/>
        <v>UNIQUE</v>
      </c>
      <c r="U4149" t="str">
        <f>IF(ISBLANK(Table1[[#This Row],[SizeOption]]),"NOT AVAILABLE",Table1[[#This Row],[SizeOption]])</f>
        <v>S, M, L, XL, XXL</v>
      </c>
      <c r="Y4149" t="str">
        <f>IF(Table2[[#This Row],[Column1]]&gt;50%,"HIGH DISCOUNT","LOW DISCOUNT")</f>
        <v>HIGH DISCOUNT</v>
      </c>
    </row>
    <row r="4150" spans="1:25" x14ac:dyDescent="0.25">
      <c r="A4150" s="1" t="s">
        <v>8513</v>
      </c>
      <c r="B4150" s="1">
        <v>5509110</v>
      </c>
      <c r="C4150" s="1" t="s">
        <v>22</v>
      </c>
      <c r="D4150" s="1" t="s">
        <v>28</v>
      </c>
      <c r="E4150" s="1" t="s">
        <v>29</v>
      </c>
      <c r="F4150" s="1" t="s">
        <v>17</v>
      </c>
      <c r="G4150" s="1" t="s">
        <v>8514</v>
      </c>
      <c r="H4150">
        <v>859</v>
      </c>
      <c r="I4150" s="1">
        <v>2149</v>
      </c>
      <c r="J4150" s="1" t="s">
        <v>55</v>
      </c>
      <c r="K4150" s="1" t="s">
        <v>90</v>
      </c>
      <c r="L4150" s="1">
        <v>4.2</v>
      </c>
      <c r="M4150" s="1">
        <v>519</v>
      </c>
      <c r="P4150" t="str">
        <f t="shared" si="259"/>
        <v>60%</v>
      </c>
      <c r="Q4150" s="12">
        <f t="shared" si="256"/>
        <v>0.6</v>
      </c>
      <c r="R4150" s="9">
        <f t="shared" si="257"/>
        <v>859.60000000000014</v>
      </c>
      <c r="S4150" s="9">
        <f>IF(R4150="",AVERAGEIF(Table1[Category],Table1[[#This Row],[Category]],Table2[orignal data]),Table2[[#This Row],[orignal data]])</f>
        <v>859.60000000000014</v>
      </c>
      <c r="T4150" t="str">
        <f t="shared" si="258"/>
        <v>UNIQUE</v>
      </c>
      <c r="U4150" t="str">
        <f>IF(ISBLANK(Table1[[#This Row],[SizeOption]]),"NOT AVAILABLE",Table1[[#This Row],[SizeOption]])</f>
        <v>39, 40, 42, 44</v>
      </c>
      <c r="Y4150" t="str">
        <f>IF(Table2[[#This Row],[Column1]]&gt;50%,"HIGH DISCOUNT","LOW DISCOUNT")</f>
        <v>HIGH DISCOUNT</v>
      </c>
    </row>
    <row r="4151" spans="1:25" x14ac:dyDescent="0.25">
      <c r="A4151" s="2" t="s">
        <v>8515</v>
      </c>
      <c r="B4151" s="2">
        <v>8807157</v>
      </c>
      <c r="C4151" s="2" t="s">
        <v>14</v>
      </c>
      <c r="D4151" s="2" t="s">
        <v>28</v>
      </c>
      <c r="E4151" s="2" t="s">
        <v>42</v>
      </c>
      <c r="F4151" s="2" t="s">
        <v>17</v>
      </c>
      <c r="G4151" s="2" t="s">
        <v>8516</v>
      </c>
      <c r="H4151">
        <v>399</v>
      </c>
      <c r="I4151" s="2">
        <v>799</v>
      </c>
      <c r="J4151" s="2" t="s">
        <v>84</v>
      </c>
      <c r="K4151" s="2" t="s">
        <v>45</v>
      </c>
      <c r="L4151" s="2">
        <v>4.3</v>
      </c>
      <c r="M4151" s="2">
        <v>519</v>
      </c>
      <c r="P4151" t="str">
        <f t="shared" si="259"/>
        <v>50%</v>
      </c>
      <c r="Q4151" s="12">
        <f t="shared" si="256"/>
        <v>0.5</v>
      </c>
      <c r="R4151" s="9">
        <f t="shared" si="257"/>
        <v>399.5</v>
      </c>
      <c r="S4151" s="9">
        <f>IF(R4151="",AVERAGEIF(Table1[Category],Table1[[#This Row],[Category]],Table2[orignal data]),Table2[[#This Row],[orignal data]])</f>
        <v>399.5</v>
      </c>
      <c r="T4151" t="str">
        <f t="shared" si="258"/>
        <v>UNIQUE</v>
      </c>
      <c r="U4151" t="str">
        <f>IF(ISBLANK(Table1[[#This Row],[SizeOption]]),"NOT AVAILABLE",Table1[[#This Row],[SizeOption]])</f>
        <v>XS, S, M, L, XL</v>
      </c>
      <c r="Y4151" t="str">
        <f>IF(Table2[[#This Row],[Column1]]&gt;50%,"HIGH DISCOUNT","LOW DISCOUNT")</f>
        <v>LOW DISCOUNT</v>
      </c>
    </row>
    <row r="4152" spans="1:25" x14ac:dyDescent="0.25">
      <c r="A4152" s="1" t="s">
        <v>8517</v>
      </c>
      <c r="B4152" s="1">
        <v>10940616</v>
      </c>
      <c r="C4152" s="1" t="s">
        <v>14</v>
      </c>
      <c r="D4152" s="1" t="s">
        <v>28</v>
      </c>
      <c r="E4152" s="1" t="s">
        <v>42</v>
      </c>
      <c r="F4152" s="1" t="s">
        <v>17</v>
      </c>
      <c r="G4152" s="1" t="s">
        <v>8518</v>
      </c>
      <c r="H4152">
        <v>449</v>
      </c>
      <c r="I4152" s="1">
        <v>899</v>
      </c>
      <c r="J4152" s="1" t="s">
        <v>84</v>
      </c>
      <c r="K4152" s="1" t="s">
        <v>45</v>
      </c>
      <c r="L4152" s="1">
        <v>4.2</v>
      </c>
      <c r="M4152" s="1">
        <v>519</v>
      </c>
      <c r="P4152" t="str">
        <f t="shared" si="259"/>
        <v>50%</v>
      </c>
      <c r="Q4152" s="12">
        <f t="shared" si="256"/>
        <v>0.5</v>
      </c>
      <c r="R4152" s="9">
        <f t="shared" si="257"/>
        <v>449.5</v>
      </c>
      <c r="S4152" s="9">
        <f>IF(R4152="",AVERAGEIF(Table1[Category],Table1[[#This Row],[Category]],Table2[orignal data]),Table2[[#This Row],[orignal data]])</f>
        <v>449.5</v>
      </c>
      <c r="T4152" t="str">
        <f t="shared" si="258"/>
        <v>UNIQUE</v>
      </c>
      <c r="U4152" t="str">
        <f>IF(ISBLANK(Table1[[#This Row],[SizeOption]]),"NOT AVAILABLE",Table1[[#This Row],[SizeOption]])</f>
        <v>XS, S, M, L, XL</v>
      </c>
      <c r="Y4152" t="str">
        <f>IF(Table2[[#This Row],[Column1]]&gt;50%,"HIGH DISCOUNT","LOW DISCOUNT")</f>
        <v>LOW DISCOUNT</v>
      </c>
    </row>
    <row r="4153" spans="1:25" x14ac:dyDescent="0.25">
      <c r="A4153" s="2" t="s">
        <v>8519</v>
      </c>
      <c r="B4153" s="2">
        <v>2397224</v>
      </c>
      <c r="C4153" s="2" t="s">
        <v>64</v>
      </c>
      <c r="D4153" s="2" t="s">
        <v>98</v>
      </c>
      <c r="E4153" s="2" t="s">
        <v>93</v>
      </c>
      <c r="F4153" s="2" t="s">
        <v>36</v>
      </c>
      <c r="G4153" s="2" t="s">
        <v>8520</v>
      </c>
      <c r="H4153">
        <v>599</v>
      </c>
      <c r="I4153" s="2">
        <v>1499</v>
      </c>
      <c r="J4153" s="2" t="s">
        <v>55</v>
      </c>
      <c r="K4153" s="2" t="s">
        <v>100</v>
      </c>
      <c r="L4153" s="2">
        <v>3.9</v>
      </c>
      <c r="M4153" s="2">
        <v>519</v>
      </c>
      <c r="P4153" t="str">
        <f t="shared" si="259"/>
        <v>60%</v>
      </c>
      <c r="Q4153" s="12">
        <f t="shared" si="256"/>
        <v>0.6</v>
      </c>
      <c r="R4153" s="9">
        <f t="shared" si="257"/>
        <v>599.6</v>
      </c>
      <c r="S4153" s="9">
        <f>IF(R4153="",AVERAGEIF(Table1[Category],Table1[[#This Row],[Category]],Table2[orignal data]),Table2[[#This Row],[orignal data]])</f>
        <v>599.6</v>
      </c>
      <c r="T4153" t="str">
        <f t="shared" si="258"/>
        <v>UNIQUE</v>
      </c>
      <c r="U4153" t="str">
        <f>IF(ISBLANK(Table1[[#This Row],[SizeOption]]),"NOT AVAILABLE",Table1[[#This Row],[SizeOption]])</f>
        <v>XS, S, M, L, XL, XXL, 3XL</v>
      </c>
      <c r="Y4153" t="str">
        <f>IF(Table2[[#This Row],[Column1]]&gt;50%,"HIGH DISCOUNT","LOW DISCOUNT")</f>
        <v>HIGH DISCOUNT</v>
      </c>
    </row>
    <row r="4154" spans="1:25" x14ac:dyDescent="0.25">
      <c r="A4154" s="1" t="s">
        <v>8521</v>
      </c>
      <c r="B4154" s="1">
        <v>6738046</v>
      </c>
      <c r="C4154" s="1" t="s">
        <v>64</v>
      </c>
      <c r="D4154" s="1" t="s">
        <v>98</v>
      </c>
      <c r="E4154" s="1" t="s">
        <v>93</v>
      </c>
      <c r="F4154" s="1" t="s">
        <v>36</v>
      </c>
      <c r="G4154" s="1" t="s">
        <v>8522</v>
      </c>
      <c r="H4154">
        <v>569</v>
      </c>
      <c r="I4154" s="1">
        <v>1899</v>
      </c>
      <c r="J4154" s="1" t="s">
        <v>1566</v>
      </c>
      <c r="K4154" s="1" t="s">
        <v>100</v>
      </c>
      <c r="L4154" s="1">
        <v>4.0999999999999996</v>
      </c>
      <c r="M4154" s="1">
        <v>519</v>
      </c>
      <c r="P4154" t="str">
        <f t="shared" si="259"/>
        <v>70%</v>
      </c>
      <c r="Q4154" s="12">
        <f t="shared" si="256"/>
        <v>0.7</v>
      </c>
      <c r="R4154" s="9">
        <f t="shared" si="257"/>
        <v>569.70000000000005</v>
      </c>
      <c r="S4154" s="9">
        <f>IF(R4154="",AVERAGEIF(Table1[Category],Table1[[#This Row],[Category]],Table2[orignal data]),Table2[[#This Row],[orignal data]])</f>
        <v>569.70000000000005</v>
      </c>
      <c r="T4154" t="str">
        <f t="shared" si="258"/>
        <v>UNIQUE</v>
      </c>
      <c r="U4154" t="str">
        <f>IF(ISBLANK(Table1[[#This Row],[SizeOption]]),"NOT AVAILABLE",Table1[[#This Row],[SizeOption]])</f>
        <v>XS, S, M, L, XL, XXL, 3XL</v>
      </c>
      <c r="Y4154" t="str">
        <f>IF(Table2[[#This Row],[Column1]]&gt;50%,"HIGH DISCOUNT","LOW DISCOUNT")</f>
        <v>HIGH DISCOUNT</v>
      </c>
    </row>
    <row r="4155" spans="1:25" x14ac:dyDescent="0.25">
      <c r="A4155" s="2" t="s">
        <v>8523</v>
      </c>
      <c r="B4155" s="2">
        <v>11264144</v>
      </c>
      <c r="C4155" s="2" t="s">
        <v>107</v>
      </c>
      <c r="D4155" s="2" t="s">
        <v>41</v>
      </c>
      <c r="E4155" s="2" t="s">
        <v>137</v>
      </c>
      <c r="F4155" s="2" t="s">
        <v>36</v>
      </c>
      <c r="G4155" s="2" t="s">
        <v>8524</v>
      </c>
      <c r="I4155" s="2">
        <v>1249</v>
      </c>
      <c r="J4155" s="2" t="s">
        <v>25</v>
      </c>
      <c r="K4155" s="2" t="s">
        <v>134</v>
      </c>
      <c r="L4155" s="2">
        <v>4.4000000000000004</v>
      </c>
      <c r="M4155" s="2">
        <v>519</v>
      </c>
      <c r="P4155" t="str">
        <f t="shared" si="259"/>
        <v>55%</v>
      </c>
      <c r="Q4155" s="12">
        <f t="shared" si="256"/>
        <v>0.55000000000000004</v>
      </c>
      <c r="R4155" s="9">
        <f t="shared" si="257"/>
        <v>562.04999999999995</v>
      </c>
      <c r="S4155" s="9">
        <f>IF(R4155="",AVERAGEIF(Table1[Category],Table1[[#This Row],[Category]],Table2[orignal data]),Table2[[#This Row],[orignal data]])</f>
        <v>562.04999999999995</v>
      </c>
      <c r="T4155" t="str">
        <f t="shared" si="258"/>
        <v>UNIQUE</v>
      </c>
      <c r="U4155" t="str">
        <f>IF(ISBLANK(Table1[[#This Row],[SizeOption]]),"NOT AVAILABLE",Table1[[#This Row],[SizeOption]])</f>
        <v>26, 28, 30, 32, 34, 36</v>
      </c>
      <c r="Y4155" t="str">
        <f>IF(Table2[[#This Row],[Column1]]&gt;50%,"HIGH DISCOUNT","LOW DISCOUNT")</f>
        <v>HIGH DISCOUNT</v>
      </c>
    </row>
    <row r="4156" spans="1:25" x14ac:dyDescent="0.25">
      <c r="A4156" s="1" t="s">
        <v>8525</v>
      </c>
      <c r="B4156" s="1">
        <v>12382154</v>
      </c>
      <c r="C4156" s="1" t="s">
        <v>887</v>
      </c>
      <c r="D4156" s="1" t="s">
        <v>41</v>
      </c>
      <c r="E4156" s="1" t="s">
        <v>48</v>
      </c>
      <c r="F4156" s="1" t="s">
        <v>36</v>
      </c>
      <c r="G4156" s="1" t="s">
        <v>8526</v>
      </c>
      <c r="I4156" s="1">
        <v>1399</v>
      </c>
      <c r="J4156" s="1" t="s">
        <v>403</v>
      </c>
      <c r="K4156" s="1" t="s">
        <v>26</v>
      </c>
      <c r="L4156" s="1">
        <v>4.0999999999999996</v>
      </c>
      <c r="M4156" s="1">
        <v>519</v>
      </c>
      <c r="P4156" t="str">
        <f t="shared" si="259"/>
        <v>66%</v>
      </c>
      <c r="Q4156" s="12">
        <f t="shared" si="256"/>
        <v>0.66</v>
      </c>
      <c r="R4156" s="9">
        <f t="shared" si="257"/>
        <v>475.65999999999997</v>
      </c>
      <c r="S4156" s="9">
        <f>IF(R4156="",AVERAGEIF(Table1[Category],Table1[[#This Row],[Category]],Table2[orignal data]),Table2[[#This Row],[orignal data]])</f>
        <v>475.65999999999997</v>
      </c>
      <c r="T4156" t="str">
        <f t="shared" si="258"/>
        <v>UNIQUE</v>
      </c>
      <c r="U4156" t="str">
        <f>IF(ISBLANK(Table1[[#This Row],[SizeOption]]),"NOT AVAILABLE",Table1[[#This Row],[SizeOption]])</f>
        <v>S, M, L, XL</v>
      </c>
      <c r="Y4156" t="str">
        <f>IF(Table2[[#This Row],[Column1]]&gt;50%,"HIGH DISCOUNT","LOW DISCOUNT")</f>
        <v>HIGH DISCOUNT</v>
      </c>
    </row>
    <row r="4157" spans="1:25" x14ac:dyDescent="0.25">
      <c r="A4157" s="2" t="s">
        <v>8527</v>
      </c>
      <c r="B4157" s="2">
        <v>11990814</v>
      </c>
      <c r="C4157" s="2" t="s">
        <v>14</v>
      </c>
      <c r="D4157" s="2" t="s">
        <v>41</v>
      </c>
      <c r="E4157" s="2" t="s">
        <v>1881</v>
      </c>
      <c r="F4157" s="2" t="s">
        <v>36</v>
      </c>
      <c r="G4157" s="2" t="s">
        <v>8528</v>
      </c>
      <c r="I4157" s="2">
        <v>1599</v>
      </c>
      <c r="J4157" s="2" t="s">
        <v>273</v>
      </c>
      <c r="K4157" s="2" t="s">
        <v>115</v>
      </c>
      <c r="L4157" s="2">
        <v>4.2</v>
      </c>
      <c r="M4157" s="2">
        <v>519</v>
      </c>
      <c r="P4157" t="str">
        <f t="shared" si="259"/>
        <v>45 %</v>
      </c>
      <c r="Q4157" s="12">
        <f t="shared" si="256"/>
        <v>0.45</v>
      </c>
      <c r="R4157" s="9">
        <f t="shared" si="257"/>
        <v>879.44999999999993</v>
      </c>
      <c r="S4157" s="9">
        <f>IF(R4157="",AVERAGEIF(Table1[Category],Table1[[#This Row],[Category]],Table2[orignal data]),Table2[[#This Row],[orignal data]])</f>
        <v>879.44999999999993</v>
      </c>
      <c r="T4157" t="str">
        <f t="shared" si="258"/>
        <v>UNIQUE</v>
      </c>
      <c r="U4157" t="str">
        <f>IF(ISBLANK(Table1[[#This Row],[SizeOption]]),"NOT AVAILABLE",Table1[[#This Row],[SizeOption]])</f>
        <v>XS, S, M, L, XL, XXL</v>
      </c>
      <c r="Y4157" t="str">
        <f>IF(Table2[[#This Row],[Column1]]&gt;50%,"HIGH DISCOUNT","LOW DISCOUNT")</f>
        <v>LOW DISCOUNT</v>
      </c>
    </row>
    <row r="4158" spans="1:25" x14ac:dyDescent="0.25">
      <c r="A4158" s="1" t="s">
        <v>8529</v>
      </c>
      <c r="B4158" s="1">
        <v>2312853</v>
      </c>
      <c r="C4158" s="1" t="s">
        <v>14</v>
      </c>
      <c r="D4158" s="1" t="s">
        <v>41</v>
      </c>
      <c r="E4158" s="1" t="s">
        <v>48</v>
      </c>
      <c r="F4158" s="1" t="s">
        <v>36</v>
      </c>
      <c r="G4158" s="1" t="s">
        <v>4070</v>
      </c>
      <c r="I4158" s="1">
        <v>899</v>
      </c>
      <c r="J4158" s="1" t="s">
        <v>55</v>
      </c>
      <c r="K4158" s="1" t="s">
        <v>45</v>
      </c>
      <c r="L4158" s="1">
        <v>3.9</v>
      </c>
      <c r="M4158" s="1">
        <v>519</v>
      </c>
      <c r="P4158" t="str">
        <f t="shared" si="259"/>
        <v>60%</v>
      </c>
      <c r="Q4158" s="12">
        <f t="shared" si="256"/>
        <v>0.6</v>
      </c>
      <c r="R4158" s="9">
        <f t="shared" si="257"/>
        <v>359.6</v>
      </c>
      <c r="S4158" s="9">
        <f>IF(R4158="",AVERAGEIF(Table1[Category],Table1[[#This Row],[Category]],Table2[orignal data]),Table2[[#This Row],[orignal data]])</f>
        <v>359.6</v>
      </c>
      <c r="T4158" t="str">
        <f t="shared" si="258"/>
        <v>UNIQUE</v>
      </c>
      <c r="U4158" t="str">
        <f>IF(ISBLANK(Table1[[#This Row],[SizeOption]]),"NOT AVAILABLE",Table1[[#This Row],[SizeOption]])</f>
        <v>XS, S, M, L, XL</v>
      </c>
      <c r="Y4158" t="str">
        <f>IF(Table2[[#This Row],[Column1]]&gt;50%,"HIGH DISCOUNT","LOW DISCOUNT")</f>
        <v>HIGH DISCOUNT</v>
      </c>
    </row>
    <row r="4159" spans="1:25" x14ac:dyDescent="0.25">
      <c r="A4159" s="2" t="s">
        <v>8530</v>
      </c>
      <c r="B4159" s="2">
        <v>1744646</v>
      </c>
      <c r="C4159" s="2" t="s">
        <v>206</v>
      </c>
      <c r="D4159" s="2" t="s">
        <v>41</v>
      </c>
      <c r="E4159" s="2" t="s">
        <v>48</v>
      </c>
      <c r="F4159" s="2" t="s">
        <v>36</v>
      </c>
      <c r="G4159" s="2" t="s">
        <v>8531</v>
      </c>
      <c r="I4159" s="2">
        <v>999</v>
      </c>
      <c r="J4159" s="2" t="s">
        <v>208</v>
      </c>
      <c r="K4159" s="2" t="s">
        <v>26</v>
      </c>
      <c r="L4159" s="2">
        <v>4</v>
      </c>
      <c r="M4159" s="2">
        <v>519</v>
      </c>
      <c r="P4159" t="str">
        <f t="shared" si="259"/>
        <v>52%</v>
      </c>
      <c r="Q4159" s="12">
        <f t="shared" si="256"/>
        <v>0.52</v>
      </c>
      <c r="R4159" s="9">
        <f t="shared" si="257"/>
        <v>479.52</v>
      </c>
      <c r="S4159" s="9">
        <f>IF(R4159="",AVERAGEIF(Table1[Category],Table1[[#This Row],[Category]],Table2[orignal data]),Table2[[#This Row],[orignal data]])</f>
        <v>479.52</v>
      </c>
      <c r="T4159" t="str">
        <f t="shared" si="258"/>
        <v>UNIQUE</v>
      </c>
      <c r="U4159" t="str">
        <f>IF(ISBLANK(Table1[[#This Row],[SizeOption]]),"NOT AVAILABLE",Table1[[#This Row],[SizeOption]])</f>
        <v>S, M, L, XL</v>
      </c>
      <c r="Y4159" t="str">
        <f>IF(Table2[[#This Row],[Column1]]&gt;50%,"HIGH DISCOUNT","LOW DISCOUNT")</f>
        <v>HIGH DISCOUNT</v>
      </c>
    </row>
    <row r="4160" spans="1:25" x14ac:dyDescent="0.25">
      <c r="A4160" s="1" t="s">
        <v>8532</v>
      </c>
      <c r="B4160" s="1">
        <v>11357282</v>
      </c>
      <c r="C4160" s="1" t="s">
        <v>67</v>
      </c>
      <c r="D4160" s="1" t="s">
        <v>15</v>
      </c>
      <c r="E4160" s="1" t="s">
        <v>53</v>
      </c>
      <c r="F4160" s="1" t="s">
        <v>17</v>
      </c>
      <c r="G4160" s="1" t="s">
        <v>8533</v>
      </c>
      <c r="H4160">
        <v>1039</v>
      </c>
      <c r="I4160" s="1">
        <v>2599</v>
      </c>
      <c r="J4160" s="1" t="s">
        <v>55</v>
      </c>
      <c r="K4160" s="1" t="s">
        <v>171</v>
      </c>
      <c r="L4160" s="1">
        <v>3.6</v>
      </c>
      <c r="M4160" s="1">
        <v>518</v>
      </c>
      <c r="P4160" t="str">
        <f t="shared" si="259"/>
        <v>60%</v>
      </c>
      <c r="Q4160" s="12">
        <f t="shared" si="256"/>
        <v>0.6</v>
      </c>
      <c r="R4160" s="9">
        <f t="shared" si="257"/>
        <v>1039.6000000000001</v>
      </c>
      <c r="S4160" s="9">
        <f>IF(R4160="",AVERAGEIF(Table1[Category],Table1[[#This Row],[Category]],Table2[orignal data]),Table2[[#This Row],[orignal data]])</f>
        <v>1039.6000000000001</v>
      </c>
      <c r="T4160" t="str">
        <f t="shared" si="258"/>
        <v>UNIQUE</v>
      </c>
      <c r="U4160" t="str">
        <f>IF(ISBLANK(Table1[[#This Row],[SizeOption]]),"NOT AVAILABLE",Table1[[#This Row],[SizeOption]])</f>
        <v>28, 30, 32, 34, 36, 38</v>
      </c>
      <c r="Y4160" t="str">
        <f>IF(Table2[[#This Row],[Column1]]&gt;50%,"HIGH DISCOUNT","LOW DISCOUNT")</f>
        <v>HIGH DISCOUNT</v>
      </c>
    </row>
    <row r="4161" spans="1:25" x14ac:dyDescent="0.25">
      <c r="A4161" s="2" t="s">
        <v>8534</v>
      </c>
      <c r="B4161" s="2">
        <v>10803170</v>
      </c>
      <c r="C4161" s="2" t="s">
        <v>113</v>
      </c>
      <c r="D4161" s="2" t="s">
        <v>76</v>
      </c>
      <c r="E4161" s="2" t="s">
        <v>93</v>
      </c>
      <c r="F4161" s="2" t="s">
        <v>17</v>
      </c>
      <c r="G4161" s="2" t="s">
        <v>8535</v>
      </c>
      <c r="H4161">
        <v>674</v>
      </c>
      <c r="I4161" s="2">
        <v>1499</v>
      </c>
      <c r="J4161" s="2" t="s">
        <v>25</v>
      </c>
      <c r="K4161" s="2" t="s">
        <v>39</v>
      </c>
      <c r="L4161" s="2">
        <v>4</v>
      </c>
      <c r="M4161" s="2">
        <v>518</v>
      </c>
      <c r="P4161" t="str">
        <f t="shared" si="259"/>
        <v>55%</v>
      </c>
      <c r="Q4161" s="12">
        <f t="shared" si="256"/>
        <v>0.55000000000000004</v>
      </c>
      <c r="R4161" s="9">
        <f t="shared" si="257"/>
        <v>674.55</v>
      </c>
      <c r="S4161" s="9">
        <f>IF(R4161="",AVERAGEIF(Table1[Category],Table1[[#This Row],[Category]],Table2[orignal data]),Table2[[#This Row],[orignal data]])</f>
        <v>674.55</v>
      </c>
      <c r="T4161" t="str">
        <f t="shared" si="258"/>
        <v>UNIQUE</v>
      </c>
      <c r="U4161" t="str">
        <f>IF(ISBLANK(Table1[[#This Row],[SizeOption]]),"NOT AVAILABLE",Table1[[#This Row],[SizeOption]])</f>
        <v>S, M, L, XL, XXL</v>
      </c>
      <c r="Y4161" t="str">
        <f>IF(Table2[[#This Row],[Column1]]&gt;50%,"HIGH DISCOUNT","LOW DISCOUNT")</f>
        <v>HIGH DISCOUNT</v>
      </c>
    </row>
    <row r="4162" spans="1:25" x14ac:dyDescent="0.25">
      <c r="A4162" s="1" t="s">
        <v>8536</v>
      </c>
      <c r="B4162" s="1">
        <v>11008426</v>
      </c>
      <c r="C4162" s="1" t="s">
        <v>5934</v>
      </c>
      <c r="D4162" s="1" t="s">
        <v>98</v>
      </c>
      <c r="E4162" s="1" t="s">
        <v>42</v>
      </c>
      <c r="F4162" s="1" t="s">
        <v>17</v>
      </c>
      <c r="G4162" s="1" t="s">
        <v>8537</v>
      </c>
      <c r="H4162">
        <v>604</v>
      </c>
      <c r="I4162" s="1">
        <v>1099</v>
      </c>
      <c r="J4162" s="1" t="s">
        <v>19</v>
      </c>
      <c r="K4162" s="1" t="s">
        <v>8538</v>
      </c>
      <c r="L4162" s="1">
        <v>4.5</v>
      </c>
      <c r="M4162" s="1">
        <v>518</v>
      </c>
      <c r="P4162" t="str">
        <f t="shared" si="259"/>
        <v>45%</v>
      </c>
      <c r="Q4162" s="12">
        <f t="shared" ref="Q4162:Q4225" si="260">IF(P4162="","",IF(ISNUMBER(SEARCH("%",P4162)),P4162,P4162/I4162)*100%)</f>
        <v>0.45</v>
      </c>
      <c r="R4162" s="9">
        <f t="shared" ref="R4162:R4225" si="261">IF(P4162="","",I4162-(I4162*Q4162))</f>
        <v>604.45000000000005</v>
      </c>
      <c r="S4162" s="9">
        <f>IF(R4162="",AVERAGEIF(Table1[Category],Table1[[#This Row],[Category]],Table2[orignal data]),Table2[[#This Row],[orignal data]])</f>
        <v>604.45000000000005</v>
      </c>
      <c r="T4162" t="str">
        <f t="shared" ref="T4162:T4225" si="262">IF(COUNTIF($B$2:$B$5000,B4162)&gt;1,"DUPLICATE","UNIQUE")</f>
        <v>UNIQUE</v>
      </c>
      <c r="U4162" t="str">
        <f>IF(ISBLANK(Table1[[#This Row],[SizeOption]]),"NOT AVAILABLE",Table1[[#This Row],[SizeOption]])</f>
        <v>XXL, 3XL, 4XL, 5XL, 6XL</v>
      </c>
      <c r="Y4162" t="str">
        <f>IF(Table2[[#This Row],[Column1]]&gt;50%,"HIGH DISCOUNT","LOW DISCOUNT")</f>
        <v>LOW DISCOUNT</v>
      </c>
    </row>
    <row r="4163" spans="1:25" x14ac:dyDescent="0.25">
      <c r="A4163" s="2" t="s">
        <v>8539</v>
      </c>
      <c r="B4163" s="2">
        <v>10955520</v>
      </c>
      <c r="C4163" s="2" t="s">
        <v>52</v>
      </c>
      <c r="D4163" s="2" t="s">
        <v>28</v>
      </c>
      <c r="E4163" s="2" t="s">
        <v>29</v>
      </c>
      <c r="F4163" s="2" t="s">
        <v>17</v>
      </c>
      <c r="G4163" s="2" t="s">
        <v>8540</v>
      </c>
      <c r="H4163">
        <v>506</v>
      </c>
      <c r="I4163" s="2">
        <v>1299</v>
      </c>
      <c r="J4163" s="2" t="s">
        <v>104</v>
      </c>
      <c r="K4163" s="2" t="s">
        <v>90</v>
      </c>
      <c r="L4163" s="2">
        <v>4.2</v>
      </c>
      <c r="M4163" s="2">
        <v>518</v>
      </c>
      <c r="P4163" t="str">
        <f t="shared" ref="P4163:P4226" si="263">TRIM(SUBSTITUTE(SUBSTITUTE(SUBSTITUTE(SUBSTITUTE(J4163,"OFF",""),"Rs.",""),"Hurry*",""),",",""))</f>
        <v>61%</v>
      </c>
      <c r="Q4163" s="12">
        <f t="shared" si="260"/>
        <v>0.61</v>
      </c>
      <c r="R4163" s="9">
        <f t="shared" si="261"/>
        <v>506.61</v>
      </c>
      <c r="S4163" s="9">
        <f>IF(R4163="",AVERAGEIF(Table1[Category],Table1[[#This Row],[Category]],Table2[orignal data]),Table2[[#This Row],[orignal data]])</f>
        <v>506.61</v>
      </c>
      <c r="T4163" t="str">
        <f t="shared" si="262"/>
        <v>UNIQUE</v>
      </c>
      <c r="U4163" t="str">
        <f>IF(ISBLANK(Table1[[#This Row],[SizeOption]]),"NOT AVAILABLE",Table1[[#This Row],[SizeOption]])</f>
        <v>39, 40, 42, 44</v>
      </c>
      <c r="Y4163" t="str">
        <f>IF(Table2[[#This Row],[Column1]]&gt;50%,"HIGH DISCOUNT","LOW DISCOUNT")</f>
        <v>HIGH DISCOUNT</v>
      </c>
    </row>
    <row r="4164" spans="1:25" x14ac:dyDescent="0.25">
      <c r="A4164" s="1" t="s">
        <v>8541</v>
      </c>
      <c r="B4164" s="1">
        <v>12934524</v>
      </c>
      <c r="C4164" s="1" t="s">
        <v>47</v>
      </c>
      <c r="D4164" s="1" t="s">
        <v>28</v>
      </c>
      <c r="E4164" s="1" t="s">
        <v>29</v>
      </c>
      <c r="F4164" s="1" t="s">
        <v>17</v>
      </c>
      <c r="G4164" s="1" t="s">
        <v>8542</v>
      </c>
      <c r="H4164">
        <v>759</v>
      </c>
      <c r="I4164" s="1">
        <v>1899</v>
      </c>
      <c r="J4164" s="1" t="s">
        <v>55</v>
      </c>
      <c r="K4164" s="1" t="s">
        <v>253</v>
      </c>
      <c r="L4164" s="1">
        <v>4.0999999999999996</v>
      </c>
      <c r="M4164" s="1">
        <v>518</v>
      </c>
      <c r="P4164" t="str">
        <f t="shared" si="263"/>
        <v>60%</v>
      </c>
      <c r="Q4164" s="12">
        <f t="shared" si="260"/>
        <v>0.6</v>
      </c>
      <c r="R4164" s="9">
        <f t="shared" si="261"/>
        <v>759.60000000000014</v>
      </c>
      <c r="S4164" s="9">
        <f>IF(R4164="",AVERAGEIF(Table1[Category],Table1[[#This Row],[Category]],Table2[orignal data]),Table2[[#This Row],[orignal data]])</f>
        <v>759.60000000000014</v>
      </c>
      <c r="T4164" t="str">
        <f t="shared" si="262"/>
        <v>UNIQUE</v>
      </c>
      <c r="U4164" t="str">
        <f>IF(ISBLANK(Table1[[#This Row],[SizeOption]]),"NOT AVAILABLE",Table1[[#This Row],[SizeOption]])</f>
        <v>38, 40, 42, 44</v>
      </c>
      <c r="Y4164" t="str">
        <f>IF(Table2[[#This Row],[Column1]]&gt;50%,"HIGH DISCOUNT","LOW DISCOUNT")</f>
        <v>HIGH DISCOUNT</v>
      </c>
    </row>
    <row r="4165" spans="1:25" x14ac:dyDescent="0.25">
      <c r="A4165" s="2" t="s">
        <v>8543</v>
      </c>
      <c r="B4165" s="2">
        <v>2388034</v>
      </c>
      <c r="C4165" s="2" t="s">
        <v>430</v>
      </c>
      <c r="D4165" s="2" t="s">
        <v>28</v>
      </c>
      <c r="E4165" s="2" t="s">
        <v>42</v>
      </c>
      <c r="F4165" s="2" t="s">
        <v>17</v>
      </c>
      <c r="G4165" s="2" t="s">
        <v>8544</v>
      </c>
      <c r="H4165">
        <v>359</v>
      </c>
      <c r="I4165" s="2">
        <v>799</v>
      </c>
      <c r="J4165" s="2" t="s">
        <v>25</v>
      </c>
      <c r="K4165" s="2" t="s">
        <v>39</v>
      </c>
      <c r="L4165" s="2">
        <v>3.7</v>
      </c>
      <c r="M4165" s="2">
        <v>518</v>
      </c>
      <c r="P4165" t="str">
        <f t="shared" si="263"/>
        <v>55%</v>
      </c>
      <c r="Q4165" s="12">
        <f t="shared" si="260"/>
        <v>0.55000000000000004</v>
      </c>
      <c r="R4165" s="9">
        <f t="shared" si="261"/>
        <v>359.54999999999995</v>
      </c>
      <c r="S4165" s="9">
        <f>IF(R4165="",AVERAGEIF(Table1[Category],Table1[[#This Row],[Category]],Table2[orignal data]),Table2[[#This Row],[orignal data]])</f>
        <v>359.54999999999995</v>
      </c>
      <c r="T4165" t="str">
        <f t="shared" si="262"/>
        <v>UNIQUE</v>
      </c>
      <c r="U4165" t="str">
        <f>IF(ISBLANK(Table1[[#This Row],[SizeOption]]),"NOT AVAILABLE",Table1[[#This Row],[SizeOption]])</f>
        <v>S, M, L, XL, XXL</v>
      </c>
      <c r="Y4165" t="str">
        <f>IF(Table2[[#This Row],[Column1]]&gt;50%,"HIGH DISCOUNT","LOW DISCOUNT")</f>
        <v>HIGH DISCOUNT</v>
      </c>
    </row>
    <row r="4166" spans="1:25" x14ac:dyDescent="0.25">
      <c r="A4166" s="1" t="s">
        <v>8545</v>
      </c>
      <c r="B4166" s="1">
        <v>10335569</v>
      </c>
      <c r="C4166" s="1" t="s">
        <v>2823</v>
      </c>
      <c r="D4166" s="1" t="s">
        <v>28</v>
      </c>
      <c r="E4166" s="1" t="s">
        <v>42</v>
      </c>
      <c r="F4166" s="1" t="s">
        <v>17</v>
      </c>
      <c r="G4166" s="1" t="s">
        <v>8546</v>
      </c>
      <c r="H4166">
        <v>399</v>
      </c>
      <c r="I4166" s="1">
        <v>999</v>
      </c>
      <c r="J4166" s="1" t="s">
        <v>55</v>
      </c>
      <c r="K4166" s="1" t="s">
        <v>39</v>
      </c>
      <c r="L4166" s="1">
        <v>4.2</v>
      </c>
      <c r="M4166" s="1">
        <v>518</v>
      </c>
      <c r="P4166" t="str">
        <f t="shared" si="263"/>
        <v>60%</v>
      </c>
      <c r="Q4166" s="12">
        <f t="shared" si="260"/>
        <v>0.6</v>
      </c>
      <c r="R4166" s="9">
        <f t="shared" si="261"/>
        <v>399.6</v>
      </c>
      <c r="S4166" s="9">
        <f>IF(R4166="",AVERAGEIF(Table1[Category],Table1[[#This Row],[Category]],Table2[orignal data]),Table2[[#This Row],[orignal data]])</f>
        <v>399.6</v>
      </c>
      <c r="T4166" t="str">
        <f t="shared" si="262"/>
        <v>UNIQUE</v>
      </c>
      <c r="U4166" t="str">
        <f>IF(ISBLANK(Table1[[#This Row],[SizeOption]]),"NOT AVAILABLE",Table1[[#This Row],[SizeOption]])</f>
        <v>S, M, L, XL, XXL</v>
      </c>
      <c r="Y4166" t="str">
        <f>IF(Table2[[#This Row],[Column1]]&gt;50%,"HIGH DISCOUNT","LOW DISCOUNT")</f>
        <v>HIGH DISCOUNT</v>
      </c>
    </row>
    <row r="4167" spans="1:25" x14ac:dyDescent="0.25">
      <c r="A4167" s="2" t="s">
        <v>8547</v>
      </c>
      <c r="B4167" s="2">
        <v>13789760</v>
      </c>
      <c r="C4167" s="2" t="s">
        <v>113</v>
      </c>
      <c r="D4167" s="2" t="s">
        <v>76</v>
      </c>
      <c r="E4167" s="2" t="s">
        <v>77</v>
      </c>
      <c r="F4167" s="2" t="s">
        <v>36</v>
      </c>
      <c r="G4167" s="2" t="s">
        <v>8548</v>
      </c>
      <c r="H4167">
        <v>1394</v>
      </c>
      <c r="I4167" s="2">
        <v>3099</v>
      </c>
      <c r="J4167" s="2" t="s">
        <v>25</v>
      </c>
      <c r="K4167" s="2" t="s">
        <v>73</v>
      </c>
      <c r="L4167" s="2">
        <v>4.4000000000000004</v>
      </c>
      <c r="M4167" s="2">
        <v>518</v>
      </c>
      <c r="P4167" t="str">
        <f t="shared" si="263"/>
        <v>55%</v>
      </c>
      <c r="Q4167" s="12">
        <f t="shared" si="260"/>
        <v>0.55000000000000004</v>
      </c>
      <c r="R4167" s="9">
        <f t="shared" si="261"/>
        <v>1394.55</v>
      </c>
      <c r="S4167" s="9">
        <f>IF(R4167="",AVERAGEIF(Table1[Category],Table1[[#This Row],[Category]],Table2[orignal data]),Table2[[#This Row],[orignal data]])</f>
        <v>1394.55</v>
      </c>
      <c r="T4167" t="str">
        <f t="shared" si="262"/>
        <v>UNIQUE</v>
      </c>
      <c r="U4167" t="str">
        <f>IF(ISBLANK(Table1[[#This Row],[SizeOption]]),"NOT AVAILABLE",Table1[[#This Row],[SizeOption]])</f>
        <v>XS, S, M, L, XL, XXL, 3XL, 4XL</v>
      </c>
      <c r="Y4167" t="str">
        <f>IF(Table2[[#This Row],[Column1]]&gt;50%,"HIGH DISCOUNT","LOW DISCOUNT")</f>
        <v>HIGH DISCOUNT</v>
      </c>
    </row>
    <row r="4168" spans="1:25" x14ac:dyDescent="0.25">
      <c r="A4168" s="1" t="s">
        <v>8549</v>
      </c>
      <c r="B4168" s="1">
        <v>12524776</v>
      </c>
      <c r="C4168" s="1" t="s">
        <v>64</v>
      </c>
      <c r="D4168" s="1" t="s">
        <v>98</v>
      </c>
      <c r="E4168" s="1" t="s">
        <v>93</v>
      </c>
      <c r="F4168" s="1" t="s">
        <v>36</v>
      </c>
      <c r="G4168" s="1" t="s">
        <v>8550</v>
      </c>
      <c r="H4168">
        <v>349</v>
      </c>
      <c r="I4168" s="1">
        <v>1399</v>
      </c>
      <c r="J4168" s="1" t="s">
        <v>109</v>
      </c>
      <c r="K4168" s="1" t="s">
        <v>234</v>
      </c>
      <c r="L4168" s="1">
        <v>4.0999999999999996</v>
      </c>
      <c r="M4168" s="1">
        <v>518</v>
      </c>
      <c r="P4168" t="str">
        <f t="shared" si="263"/>
        <v>75%</v>
      </c>
      <c r="Q4168" s="12">
        <f t="shared" si="260"/>
        <v>0.75</v>
      </c>
      <c r="R4168" s="9">
        <f t="shared" si="261"/>
        <v>349.75</v>
      </c>
      <c r="S4168" s="9">
        <f>IF(R4168="",AVERAGEIF(Table1[Category],Table1[[#This Row],[Category]],Table2[orignal data]),Table2[[#This Row],[orignal data]])</f>
        <v>349.75</v>
      </c>
      <c r="T4168" t="str">
        <f t="shared" si="262"/>
        <v>UNIQUE</v>
      </c>
      <c r="U4168" t="str">
        <f>IF(ISBLANK(Table1[[#This Row],[SizeOption]]),"NOT AVAILABLE",Table1[[#This Row],[SizeOption]])</f>
        <v>S, M, L, XL, XXL, 3XL</v>
      </c>
      <c r="Y4168" t="str">
        <f>IF(Table2[[#This Row],[Column1]]&gt;50%,"HIGH DISCOUNT","LOW DISCOUNT")</f>
        <v>HIGH DISCOUNT</v>
      </c>
    </row>
    <row r="4169" spans="1:25" x14ac:dyDescent="0.25">
      <c r="A4169" s="2" t="s">
        <v>8551</v>
      </c>
      <c r="B4169" s="2">
        <v>12290170</v>
      </c>
      <c r="C4169" s="2" t="s">
        <v>5556</v>
      </c>
      <c r="D4169" s="2" t="s">
        <v>41</v>
      </c>
      <c r="E4169" s="2" t="s">
        <v>48</v>
      </c>
      <c r="F4169" s="2" t="s">
        <v>36</v>
      </c>
      <c r="G4169" s="2" t="s">
        <v>8552</v>
      </c>
      <c r="I4169" s="2">
        <v>1395</v>
      </c>
      <c r="J4169" s="2" t="s">
        <v>282</v>
      </c>
      <c r="K4169" s="2" t="s">
        <v>45</v>
      </c>
      <c r="L4169" s="2">
        <v>4.4000000000000004</v>
      </c>
      <c r="M4169" s="2">
        <v>518</v>
      </c>
      <c r="P4169" t="str">
        <f t="shared" si="263"/>
        <v>25%</v>
      </c>
      <c r="Q4169" s="12">
        <f t="shared" si="260"/>
        <v>0.25</v>
      </c>
      <c r="R4169" s="9">
        <f t="shared" si="261"/>
        <v>1046.25</v>
      </c>
      <c r="S4169" s="9">
        <f>IF(R4169="",AVERAGEIF(Table1[Category],Table1[[#This Row],[Category]],Table2[orignal data]),Table2[[#This Row],[orignal data]])</f>
        <v>1046.25</v>
      </c>
      <c r="T4169" t="str">
        <f t="shared" si="262"/>
        <v>UNIQUE</v>
      </c>
      <c r="U4169" t="str">
        <f>IF(ISBLANK(Table1[[#This Row],[SizeOption]]),"NOT AVAILABLE",Table1[[#This Row],[SizeOption]])</f>
        <v>XS, S, M, L, XL</v>
      </c>
      <c r="Y4169" t="str">
        <f>IF(Table2[[#This Row],[Column1]]&gt;50%,"HIGH DISCOUNT","LOW DISCOUNT")</f>
        <v>LOW DISCOUNT</v>
      </c>
    </row>
    <row r="4170" spans="1:25" x14ac:dyDescent="0.25">
      <c r="A4170" s="1" t="s">
        <v>8553</v>
      </c>
      <c r="B4170" s="1">
        <v>17385634</v>
      </c>
      <c r="C4170" s="1" t="s">
        <v>14</v>
      </c>
      <c r="D4170" s="1" t="s">
        <v>41</v>
      </c>
      <c r="E4170" s="1" t="s">
        <v>42</v>
      </c>
      <c r="F4170" s="1" t="s">
        <v>36</v>
      </c>
      <c r="G4170" s="1" t="s">
        <v>111</v>
      </c>
      <c r="I4170" s="1">
        <v>1398</v>
      </c>
      <c r="J4170" s="1" t="s">
        <v>84</v>
      </c>
      <c r="K4170" s="1" t="s">
        <v>45</v>
      </c>
      <c r="L4170" s="1">
        <v>4.3</v>
      </c>
      <c r="M4170" s="1">
        <v>518</v>
      </c>
      <c r="P4170" t="str">
        <f t="shared" si="263"/>
        <v>50%</v>
      </c>
      <c r="Q4170" s="12">
        <f t="shared" si="260"/>
        <v>0.5</v>
      </c>
      <c r="R4170" s="9">
        <f t="shared" si="261"/>
        <v>699</v>
      </c>
      <c r="S4170" s="9">
        <f>IF(R4170="",AVERAGEIF(Table1[Category],Table1[[#This Row],[Category]],Table2[orignal data]),Table2[[#This Row],[orignal data]])</f>
        <v>699</v>
      </c>
      <c r="T4170" t="str">
        <f t="shared" si="262"/>
        <v>UNIQUE</v>
      </c>
      <c r="U4170" t="str">
        <f>IF(ISBLANK(Table1[[#This Row],[SizeOption]]),"NOT AVAILABLE",Table1[[#This Row],[SizeOption]])</f>
        <v>XS, S, M, L, XL</v>
      </c>
      <c r="Y4170" t="str">
        <f>IF(Table2[[#This Row],[Column1]]&gt;50%,"HIGH DISCOUNT","LOW DISCOUNT")</f>
        <v>LOW DISCOUNT</v>
      </c>
    </row>
    <row r="4171" spans="1:25" x14ac:dyDescent="0.25">
      <c r="A4171" s="2" t="s">
        <v>8554</v>
      </c>
      <c r="B4171" s="2">
        <v>10462968</v>
      </c>
      <c r="C4171" s="2" t="s">
        <v>14</v>
      </c>
      <c r="D4171" s="2" t="s">
        <v>41</v>
      </c>
      <c r="E4171" s="2" t="s">
        <v>306</v>
      </c>
      <c r="F4171" s="2" t="s">
        <v>36</v>
      </c>
      <c r="G4171" s="2" t="s">
        <v>8555</v>
      </c>
      <c r="I4171" s="2">
        <v>1799</v>
      </c>
      <c r="J4171" s="2" t="s">
        <v>109</v>
      </c>
      <c r="K4171" s="2" t="s">
        <v>45</v>
      </c>
      <c r="L4171" s="2">
        <v>4.0999999999999996</v>
      </c>
      <c r="M4171" s="2">
        <v>518</v>
      </c>
      <c r="P4171" t="str">
        <f t="shared" si="263"/>
        <v>75%</v>
      </c>
      <c r="Q4171" s="12">
        <f t="shared" si="260"/>
        <v>0.75</v>
      </c>
      <c r="R4171" s="9">
        <f t="shared" si="261"/>
        <v>449.75</v>
      </c>
      <c r="S4171" s="9">
        <f>IF(R4171="",AVERAGEIF(Table1[Category],Table1[[#This Row],[Category]],Table2[orignal data]),Table2[[#This Row],[orignal data]])</f>
        <v>449.75</v>
      </c>
      <c r="T4171" t="str">
        <f t="shared" si="262"/>
        <v>UNIQUE</v>
      </c>
      <c r="U4171" t="str">
        <f>IF(ISBLANK(Table1[[#This Row],[SizeOption]]),"NOT AVAILABLE",Table1[[#This Row],[SizeOption]])</f>
        <v>XS, S, M, L, XL</v>
      </c>
      <c r="Y4171" t="str">
        <f>IF(Table2[[#This Row],[Column1]]&gt;50%,"HIGH DISCOUNT","LOW DISCOUNT")</f>
        <v>HIGH DISCOUNT</v>
      </c>
    </row>
    <row r="4172" spans="1:25" x14ac:dyDescent="0.25">
      <c r="A4172" s="1" t="s">
        <v>8556</v>
      </c>
      <c r="B4172" s="1">
        <v>14852116</v>
      </c>
      <c r="C4172" s="1" t="s">
        <v>295</v>
      </c>
      <c r="D4172" s="1" t="s">
        <v>15</v>
      </c>
      <c r="E4172" s="1" t="s">
        <v>16</v>
      </c>
      <c r="F4172" s="1" t="s">
        <v>17</v>
      </c>
      <c r="G4172" s="1" t="s">
        <v>8557</v>
      </c>
      <c r="H4172">
        <v>1949</v>
      </c>
      <c r="I4172" s="1">
        <v>2999</v>
      </c>
      <c r="J4172" s="1" t="s">
        <v>44</v>
      </c>
      <c r="K4172" s="1" t="s">
        <v>195</v>
      </c>
      <c r="L4172" s="1">
        <v>4.0999999999999996</v>
      </c>
      <c r="M4172" s="1">
        <v>517</v>
      </c>
      <c r="P4172" t="str">
        <f t="shared" si="263"/>
        <v>35%</v>
      </c>
      <c r="Q4172" s="12">
        <f t="shared" si="260"/>
        <v>0.35</v>
      </c>
      <c r="R4172" s="9">
        <f t="shared" si="261"/>
        <v>1949.3500000000001</v>
      </c>
      <c r="S4172" s="9">
        <f>IF(R4172="",AVERAGEIF(Table1[Category],Table1[[#This Row],[Category]],Table2[orignal data]),Table2[[#This Row],[orignal data]])</f>
        <v>1949.3500000000001</v>
      </c>
      <c r="T4172" t="str">
        <f t="shared" si="262"/>
        <v>UNIQUE</v>
      </c>
      <c r="U4172" t="str">
        <f>IF(ISBLANK(Table1[[#This Row],[SizeOption]]),"NOT AVAILABLE",Table1[[#This Row],[SizeOption]])</f>
        <v>28, 30, 32, 34, 36, 38, 40</v>
      </c>
      <c r="Y4172" t="str">
        <f>IF(Table2[[#This Row],[Column1]]&gt;50%,"HIGH DISCOUNT","LOW DISCOUNT")</f>
        <v>LOW DISCOUNT</v>
      </c>
    </row>
    <row r="4173" spans="1:25" x14ac:dyDescent="0.25">
      <c r="A4173" s="2" t="s">
        <v>8558</v>
      </c>
      <c r="B4173" s="2">
        <v>18031068</v>
      </c>
      <c r="C4173" s="2" t="s">
        <v>295</v>
      </c>
      <c r="D4173" s="2" t="s">
        <v>197</v>
      </c>
      <c r="E4173" s="2" t="s">
        <v>350</v>
      </c>
      <c r="F4173" s="2" t="s">
        <v>17</v>
      </c>
      <c r="G4173" s="2" t="s">
        <v>8559</v>
      </c>
      <c r="I4173" s="2">
        <v>648</v>
      </c>
      <c r="J4173" s="2"/>
      <c r="K4173" s="2" t="s">
        <v>26</v>
      </c>
      <c r="L4173" s="2">
        <v>4.2</v>
      </c>
      <c r="M4173" s="2">
        <v>517</v>
      </c>
      <c r="P4173" t="str">
        <f t="shared" si="263"/>
        <v/>
      </c>
      <c r="Q4173" s="12" t="str">
        <f t="shared" si="260"/>
        <v/>
      </c>
      <c r="R4173" s="9" t="str">
        <f t="shared" si="261"/>
        <v/>
      </c>
      <c r="S4173" s="9">
        <f>IF(R4173="",AVERAGEIF(Table1[Category],Table1[[#This Row],[Category]],Table2[orignal data]),Table2[[#This Row],[orignal data]])</f>
        <v>552.70900000000006</v>
      </c>
      <c r="T4173" t="str">
        <f t="shared" si="262"/>
        <v>UNIQUE</v>
      </c>
      <c r="U4173" t="str">
        <f>IF(ISBLANK(Table1[[#This Row],[SizeOption]]),"NOT AVAILABLE",Table1[[#This Row],[SizeOption]])</f>
        <v>S, M, L, XL</v>
      </c>
      <c r="Y4173" t="str">
        <f>IF(Table2[[#This Row],[Column1]]&gt;50%,"HIGH DISCOUNT","LOW DISCOUNT")</f>
        <v>HIGH DISCOUNT</v>
      </c>
    </row>
    <row r="4174" spans="1:25" x14ac:dyDescent="0.25">
      <c r="A4174" s="1" t="s">
        <v>8560</v>
      </c>
      <c r="B4174" s="1">
        <v>10106215</v>
      </c>
      <c r="C4174" s="1" t="s">
        <v>67</v>
      </c>
      <c r="D4174" s="1" t="s">
        <v>68</v>
      </c>
      <c r="E4174" s="1" t="s">
        <v>42</v>
      </c>
      <c r="F4174" s="1" t="s">
        <v>17</v>
      </c>
      <c r="G4174" s="1" t="s">
        <v>8561</v>
      </c>
      <c r="H4174">
        <v>359</v>
      </c>
      <c r="I4174" s="1">
        <v>899</v>
      </c>
      <c r="J4174" s="1" t="s">
        <v>55</v>
      </c>
      <c r="K4174" s="1" t="s">
        <v>39</v>
      </c>
      <c r="L4174" s="1">
        <v>4.2</v>
      </c>
      <c r="M4174" s="1">
        <v>517</v>
      </c>
      <c r="P4174" t="str">
        <f t="shared" si="263"/>
        <v>60%</v>
      </c>
      <c r="Q4174" s="12">
        <f t="shared" si="260"/>
        <v>0.6</v>
      </c>
      <c r="R4174" s="9">
        <f t="shared" si="261"/>
        <v>359.6</v>
      </c>
      <c r="S4174" s="9">
        <f>IF(R4174="",AVERAGEIF(Table1[Category],Table1[[#This Row],[Category]],Table2[orignal data]),Table2[[#This Row],[orignal data]])</f>
        <v>359.6</v>
      </c>
      <c r="T4174" t="str">
        <f t="shared" si="262"/>
        <v>UNIQUE</v>
      </c>
      <c r="U4174" t="str">
        <f>IF(ISBLANK(Table1[[#This Row],[SizeOption]]),"NOT AVAILABLE",Table1[[#This Row],[SizeOption]])</f>
        <v>S, M, L, XL, XXL</v>
      </c>
      <c r="Y4174" t="str">
        <f>IF(Table2[[#This Row],[Column1]]&gt;50%,"HIGH DISCOUNT","LOW DISCOUNT")</f>
        <v>HIGH DISCOUNT</v>
      </c>
    </row>
    <row r="4175" spans="1:25" x14ac:dyDescent="0.25">
      <c r="A4175" s="2" t="s">
        <v>8562</v>
      </c>
      <c r="B4175" s="2">
        <v>6832562</v>
      </c>
      <c r="C4175" s="2" t="s">
        <v>169</v>
      </c>
      <c r="D4175" s="2" t="s">
        <v>28</v>
      </c>
      <c r="E4175" s="2" t="s">
        <v>29</v>
      </c>
      <c r="F4175" s="2" t="s">
        <v>17</v>
      </c>
      <c r="G4175" s="2" t="s">
        <v>8563</v>
      </c>
      <c r="H4175">
        <v>1399</v>
      </c>
      <c r="I4175" s="2">
        <v>2799</v>
      </c>
      <c r="J4175" s="2" t="s">
        <v>84</v>
      </c>
      <c r="K4175" s="2" t="s">
        <v>484</v>
      </c>
      <c r="L4175" s="2">
        <v>4.0999999999999996</v>
      </c>
      <c r="M4175" s="2">
        <v>517</v>
      </c>
      <c r="P4175" t="str">
        <f t="shared" si="263"/>
        <v>50%</v>
      </c>
      <c r="Q4175" s="12">
        <f t="shared" si="260"/>
        <v>0.5</v>
      </c>
      <c r="R4175" s="9">
        <f t="shared" si="261"/>
        <v>1399.5</v>
      </c>
      <c r="S4175" s="9">
        <f>IF(R4175="",AVERAGEIF(Table1[Category],Table1[[#This Row],[Category]],Table2[orignal data]),Table2[[#This Row],[orignal data]])</f>
        <v>1399.5</v>
      </c>
      <c r="T4175" t="str">
        <f t="shared" si="262"/>
        <v>UNIQUE</v>
      </c>
      <c r="U4175" t="str">
        <f>IF(ISBLANK(Table1[[#This Row],[SizeOption]]),"NOT AVAILABLE",Table1[[#This Row],[SizeOption]])</f>
        <v>39, 40, 42, 44, 46</v>
      </c>
      <c r="Y4175" t="str">
        <f>IF(Table2[[#This Row],[Column1]]&gt;50%,"HIGH DISCOUNT","LOW DISCOUNT")</f>
        <v>LOW DISCOUNT</v>
      </c>
    </row>
    <row r="4176" spans="1:25" x14ac:dyDescent="0.25">
      <c r="A4176" s="1" t="s">
        <v>8564</v>
      </c>
      <c r="B4176" s="1">
        <v>10430788</v>
      </c>
      <c r="C4176" s="1" t="s">
        <v>1375</v>
      </c>
      <c r="D4176" s="1" t="s">
        <v>76</v>
      </c>
      <c r="E4176" s="1" t="s">
        <v>320</v>
      </c>
      <c r="F4176" s="1" t="s">
        <v>36</v>
      </c>
      <c r="G4176" s="1" t="s">
        <v>8565</v>
      </c>
      <c r="H4176">
        <v>867</v>
      </c>
      <c r="I4176" s="1">
        <v>3099</v>
      </c>
      <c r="J4176" s="1" t="s">
        <v>1377</v>
      </c>
      <c r="K4176" s="1" t="s">
        <v>164</v>
      </c>
      <c r="L4176" s="1">
        <v>3.9</v>
      </c>
      <c r="M4176" s="1">
        <v>517</v>
      </c>
      <c r="P4176" t="str">
        <f t="shared" si="263"/>
        <v>72%</v>
      </c>
      <c r="Q4176" s="12">
        <f t="shared" si="260"/>
        <v>0.72</v>
      </c>
      <c r="R4176" s="9">
        <f t="shared" si="261"/>
        <v>867.72000000000025</v>
      </c>
      <c r="S4176" s="9">
        <f>IF(R4176="",AVERAGEIF(Table1[Category],Table1[[#This Row],[Category]],Table2[orignal data]),Table2[[#This Row],[orignal data]])</f>
        <v>867.72000000000025</v>
      </c>
      <c r="T4176" t="str">
        <f t="shared" si="262"/>
        <v>UNIQUE</v>
      </c>
      <c r="U4176" t="str">
        <f>IF(ISBLANK(Table1[[#This Row],[SizeOption]]),"NOT AVAILABLE",Table1[[#This Row],[SizeOption]])</f>
        <v>Onesize</v>
      </c>
      <c r="Y4176" t="str">
        <f>IF(Table2[[#This Row],[Column1]]&gt;50%,"HIGH DISCOUNT","LOW DISCOUNT")</f>
        <v>HIGH DISCOUNT</v>
      </c>
    </row>
    <row r="4177" spans="1:25" x14ac:dyDescent="0.25">
      <c r="A4177" s="2" t="s">
        <v>8566</v>
      </c>
      <c r="B4177" s="2">
        <v>10430778</v>
      </c>
      <c r="C4177" s="2" t="s">
        <v>1375</v>
      </c>
      <c r="D4177" s="2" t="s">
        <v>76</v>
      </c>
      <c r="E4177" s="2" t="s">
        <v>320</v>
      </c>
      <c r="F4177" s="2" t="s">
        <v>36</v>
      </c>
      <c r="G4177" s="2" t="s">
        <v>8567</v>
      </c>
      <c r="H4177">
        <v>896</v>
      </c>
      <c r="I4177" s="2">
        <v>3899</v>
      </c>
      <c r="J4177" s="2" t="s">
        <v>4337</v>
      </c>
      <c r="K4177" s="2" t="s">
        <v>164</v>
      </c>
      <c r="L4177" s="2">
        <v>3.8</v>
      </c>
      <c r="M4177" s="2">
        <v>517</v>
      </c>
      <c r="P4177" t="str">
        <f t="shared" si="263"/>
        <v>77%</v>
      </c>
      <c r="Q4177" s="12">
        <f t="shared" si="260"/>
        <v>0.77</v>
      </c>
      <c r="R4177" s="9">
        <f t="shared" si="261"/>
        <v>896.77</v>
      </c>
      <c r="S4177" s="9">
        <f>IF(R4177="",AVERAGEIF(Table1[Category],Table1[[#This Row],[Category]],Table2[orignal data]),Table2[[#This Row],[orignal data]])</f>
        <v>896.77</v>
      </c>
      <c r="T4177" t="str">
        <f t="shared" si="262"/>
        <v>UNIQUE</v>
      </c>
      <c r="U4177" t="str">
        <f>IF(ISBLANK(Table1[[#This Row],[SizeOption]]),"NOT AVAILABLE",Table1[[#This Row],[SizeOption]])</f>
        <v>Onesize</v>
      </c>
      <c r="Y4177" t="str">
        <f>IF(Table2[[#This Row],[Column1]]&gt;50%,"HIGH DISCOUNT","LOW DISCOUNT")</f>
        <v>HIGH DISCOUNT</v>
      </c>
    </row>
    <row r="4178" spans="1:25" x14ac:dyDescent="0.25">
      <c r="A4178" s="1" t="s">
        <v>8568</v>
      </c>
      <c r="B4178" s="1">
        <v>13791192</v>
      </c>
      <c r="C4178" s="1" t="s">
        <v>397</v>
      </c>
      <c r="D4178" s="1" t="s">
        <v>76</v>
      </c>
      <c r="E4178" s="1" t="s">
        <v>77</v>
      </c>
      <c r="F4178" s="1" t="s">
        <v>36</v>
      </c>
      <c r="G4178" s="1" t="s">
        <v>8569</v>
      </c>
      <c r="H4178">
        <v>1319</v>
      </c>
      <c r="I4178" s="1">
        <v>3999</v>
      </c>
      <c r="J4178" s="1" t="s">
        <v>543</v>
      </c>
      <c r="K4178" s="1" t="s">
        <v>234</v>
      </c>
      <c r="L4178" s="1">
        <v>4.2</v>
      </c>
      <c r="M4178" s="1">
        <v>517</v>
      </c>
      <c r="P4178" t="str">
        <f t="shared" si="263"/>
        <v>67%</v>
      </c>
      <c r="Q4178" s="12">
        <f t="shared" si="260"/>
        <v>0.67</v>
      </c>
      <c r="R4178" s="9">
        <f t="shared" si="261"/>
        <v>1319.6699999999996</v>
      </c>
      <c r="S4178" s="9">
        <f>IF(R4178="",AVERAGEIF(Table1[Category],Table1[[#This Row],[Category]],Table2[orignal data]),Table2[[#This Row],[orignal data]])</f>
        <v>1319.6699999999996</v>
      </c>
      <c r="T4178" t="str">
        <f t="shared" si="262"/>
        <v>UNIQUE</v>
      </c>
      <c r="U4178" t="str">
        <f>IF(ISBLANK(Table1[[#This Row],[SizeOption]]),"NOT AVAILABLE",Table1[[#This Row],[SizeOption]])</f>
        <v>S, M, L, XL, XXL, 3XL</v>
      </c>
      <c r="Y4178" t="str">
        <f>IF(Table2[[#This Row],[Column1]]&gt;50%,"HIGH DISCOUNT","LOW DISCOUNT")</f>
        <v>HIGH DISCOUNT</v>
      </c>
    </row>
    <row r="4179" spans="1:25" x14ac:dyDescent="0.25">
      <c r="A4179" s="2" t="s">
        <v>8570</v>
      </c>
      <c r="B4179" s="2">
        <v>14141204</v>
      </c>
      <c r="C4179" s="2" t="s">
        <v>221</v>
      </c>
      <c r="D4179" s="2" t="s">
        <v>98</v>
      </c>
      <c r="E4179" s="2" t="s">
        <v>148</v>
      </c>
      <c r="F4179" s="2" t="s">
        <v>36</v>
      </c>
      <c r="G4179" s="2" t="s">
        <v>8571</v>
      </c>
      <c r="H4179">
        <v>769</v>
      </c>
      <c r="I4179" s="2">
        <v>2199</v>
      </c>
      <c r="J4179" s="2" t="s">
        <v>150</v>
      </c>
      <c r="K4179" s="2" t="s">
        <v>223</v>
      </c>
      <c r="L4179" s="2">
        <v>4.3</v>
      </c>
      <c r="M4179" s="2">
        <v>517</v>
      </c>
      <c r="P4179" t="str">
        <f t="shared" si="263"/>
        <v>65%</v>
      </c>
      <c r="Q4179" s="12">
        <f t="shared" si="260"/>
        <v>0.65</v>
      </c>
      <c r="R4179" s="9">
        <f t="shared" si="261"/>
        <v>769.64999999999986</v>
      </c>
      <c r="S4179" s="9">
        <f>IF(R4179="",AVERAGEIF(Table1[Category],Table1[[#This Row],[Category]],Table2[orignal data]),Table2[[#This Row],[orignal data]])</f>
        <v>769.64999999999986</v>
      </c>
      <c r="T4179" t="str">
        <f t="shared" si="262"/>
        <v>UNIQUE</v>
      </c>
      <c r="U4179" t="str">
        <f>IF(ISBLANK(Table1[[#This Row],[SizeOption]]),"NOT AVAILABLE",Table1[[#This Row],[SizeOption]])</f>
        <v>S, M, L, XL, XXL, 3XL, 4XL</v>
      </c>
      <c r="Y4179" t="str">
        <f>IF(Table2[[#This Row],[Column1]]&gt;50%,"HIGH DISCOUNT","LOW DISCOUNT")</f>
        <v>HIGH DISCOUNT</v>
      </c>
    </row>
    <row r="4180" spans="1:25" x14ac:dyDescent="0.25">
      <c r="A4180" s="1" t="s">
        <v>8572</v>
      </c>
      <c r="B4180" s="1">
        <v>12289164</v>
      </c>
      <c r="C4180" s="1" t="s">
        <v>102</v>
      </c>
      <c r="D4180" s="1" t="s">
        <v>41</v>
      </c>
      <c r="E4180" s="1" t="s">
        <v>48</v>
      </c>
      <c r="F4180" s="1" t="s">
        <v>36</v>
      </c>
      <c r="G4180" s="1" t="s">
        <v>8573</v>
      </c>
      <c r="I4180" s="1">
        <v>1199</v>
      </c>
      <c r="J4180" s="1" t="s">
        <v>60</v>
      </c>
      <c r="K4180" s="1" t="s">
        <v>26</v>
      </c>
      <c r="L4180" s="1">
        <v>4.5</v>
      </c>
      <c r="M4180" s="1">
        <v>517</v>
      </c>
      <c r="P4180" t="str">
        <f t="shared" si="263"/>
        <v>58%</v>
      </c>
      <c r="Q4180" s="12">
        <f t="shared" si="260"/>
        <v>0.57999999999999996</v>
      </c>
      <c r="R4180" s="9">
        <f t="shared" si="261"/>
        <v>503.58000000000004</v>
      </c>
      <c r="S4180" s="9">
        <f>IF(R4180="",AVERAGEIF(Table1[Category],Table1[[#This Row],[Category]],Table2[orignal data]),Table2[[#This Row],[orignal data]])</f>
        <v>503.58000000000004</v>
      </c>
      <c r="T4180" t="str">
        <f t="shared" si="262"/>
        <v>UNIQUE</v>
      </c>
      <c r="U4180" t="str">
        <f>IF(ISBLANK(Table1[[#This Row],[SizeOption]]),"NOT AVAILABLE",Table1[[#This Row],[SizeOption]])</f>
        <v>S, M, L, XL</v>
      </c>
      <c r="Y4180" t="str">
        <f>IF(Table2[[#This Row],[Column1]]&gt;50%,"HIGH DISCOUNT","LOW DISCOUNT")</f>
        <v>HIGH DISCOUNT</v>
      </c>
    </row>
    <row r="4181" spans="1:25" x14ac:dyDescent="0.25">
      <c r="A4181" s="2" t="s">
        <v>8574</v>
      </c>
      <c r="B4181" s="2">
        <v>10162667</v>
      </c>
      <c r="C4181" s="2" t="s">
        <v>107</v>
      </c>
      <c r="D4181" s="2" t="s">
        <v>41</v>
      </c>
      <c r="E4181" s="2" t="s">
        <v>48</v>
      </c>
      <c r="F4181" s="2" t="s">
        <v>36</v>
      </c>
      <c r="G4181" s="2" t="s">
        <v>8575</v>
      </c>
      <c r="I4181" s="2">
        <v>1499</v>
      </c>
      <c r="J4181" s="2" t="s">
        <v>19</v>
      </c>
      <c r="K4181" s="2" t="s">
        <v>311</v>
      </c>
      <c r="L4181" s="2">
        <v>4.2</v>
      </c>
      <c r="M4181" s="2">
        <v>517</v>
      </c>
      <c r="P4181" t="str">
        <f t="shared" si="263"/>
        <v>45%</v>
      </c>
      <c r="Q4181" s="12">
        <f t="shared" si="260"/>
        <v>0.45</v>
      </c>
      <c r="R4181" s="9">
        <f t="shared" si="261"/>
        <v>824.44999999999993</v>
      </c>
      <c r="S4181" s="9">
        <f>IF(R4181="",AVERAGEIF(Table1[Category],Table1[[#This Row],[Category]],Table2[orignal data]),Table2[[#This Row],[orignal data]])</f>
        <v>824.44999999999993</v>
      </c>
      <c r="T4181" t="str">
        <f t="shared" si="262"/>
        <v>UNIQUE</v>
      </c>
      <c r="U4181" t="str">
        <f>IF(ISBLANK(Table1[[#This Row],[SizeOption]]),"NOT AVAILABLE",Table1[[#This Row],[SizeOption]])</f>
        <v>XS, S, M, L</v>
      </c>
      <c r="Y4181" t="str">
        <f>IF(Table2[[#This Row],[Column1]]&gt;50%,"HIGH DISCOUNT","LOW DISCOUNT")</f>
        <v>LOW DISCOUNT</v>
      </c>
    </row>
    <row r="4182" spans="1:25" x14ac:dyDescent="0.25">
      <c r="A4182" s="1" t="s">
        <v>8576</v>
      </c>
      <c r="B4182" s="1">
        <v>9039283</v>
      </c>
      <c r="C4182" s="1" t="s">
        <v>887</v>
      </c>
      <c r="D4182" s="1" t="s">
        <v>41</v>
      </c>
      <c r="E4182" s="1" t="s">
        <v>148</v>
      </c>
      <c r="F4182" s="1" t="s">
        <v>36</v>
      </c>
      <c r="G4182" s="1" t="s">
        <v>8577</v>
      </c>
      <c r="I4182" s="1">
        <v>1798</v>
      </c>
      <c r="J4182" s="1" t="s">
        <v>60</v>
      </c>
      <c r="K4182" s="1" t="s">
        <v>26</v>
      </c>
      <c r="L4182" s="1">
        <v>4.2</v>
      </c>
      <c r="M4182" s="1">
        <v>517</v>
      </c>
      <c r="P4182" t="str">
        <f t="shared" si="263"/>
        <v>58%</v>
      </c>
      <c r="Q4182" s="12">
        <f t="shared" si="260"/>
        <v>0.57999999999999996</v>
      </c>
      <c r="R4182" s="9">
        <f t="shared" si="261"/>
        <v>755.16000000000008</v>
      </c>
      <c r="S4182" s="9">
        <f>IF(R4182="",AVERAGEIF(Table1[Category],Table1[[#This Row],[Category]],Table2[orignal data]),Table2[[#This Row],[orignal data]])</f>
        <v>755.16000000000008</v>
      </c>
      <c r="T4182" t="str">
        <f t="shared" si="262"/>
        <v>UNIQUE</v>
      </c>
      <c r="U4182" t="str">
        <f>IF(ISBLANK(Table1[[#This Row],[SizeOption]]),"NOT AVAILABLE",Table1[[#This Row],[SizeOption]])</f>
        <v>S, M, L, XL</v>
      </c>
      <c r="Y4182" t="str">
        <f>IF(Table2[[#This Row],[Column1]]&gt;50%,"HIGH DISCOUNT","LOW DISCOUNT")</f>
        <v>HIGH DISCOUNT</v>
      </c>
    </row>
    <row r="4183" spans="1:25" x14ac:dyDescent="0.25">
      <c r="A4183" s="2" t="s">
        <v>8578</v>
      </c>
      <c r="B4183" s="2">
        <v>11265850</v>
      </c>
      <c r="C4183" s="2" t="s">
        <v>107</v>
      </c>
      <c r="D4183" s="2" t="s">
        <v>41</v>
      </c>
      <c r="E4183" s="2" t="s">
        <v>148</v>
      </c>
      <c r="F4183" s="2" t="s">
        <v>36</v>
      </c>
      <c r="G4183" s="2" t="s">
        <v>8579</v>
      </c>
      <c r="I4183" s="2">
        <v>1999</v>
      </c>
      <c r="J4183" s="2" t="s">
        <v>50</v>
      </c>
      <c r="K4183" s="2" t="s">
        <v>45</v>
      </c>
      <c r="L4183" s="2">
        <v>4.3</v>
      </c>
      <c r="M4183" s="2">
        <v>517</v>
      </c>
      <c r="P4183" t="str">
        <f t="shared" si="263"/>
        <v>40%</v>
      </c>
      <c r="Q4183" s="12">
        <f t="shared" si="260"/>
        <v>0.4</v>
      </c>
      <c r="R4183" s="9">
        <f t="shared" si="261"/>
        <v>1199.4000000000001</v>
      </c>
      <c r="S4183" s="9">
        <f>IF(R4183="",AVERAGEIF(Table1[Category],Table1[[#This Row],[Category]],Table2[orignal data]),Table2[[#This Row],[orignal data]])</f>
        <v>1199.4000000000001</v>
      </c>
      <c r="T4183" t="str">
        <f t="shared" si="262"/>
        <v>UNIQUE</v>
      </c>
      <c r="U4183" t="str">
        <f>IF(ISBLANK(Table1[[#This Row],[SizeOption]]),"NOT AVAILABLE",Table1[[#This Row],[SizeOption]])</f>
        <v>XS, S, M, L, XL</v>
      </c>
      <c r="Y4183" t="str">
        <f>IF(Table2[[#This Row],[Column1]]&gt;50%,"HIGH DISCOUNT","LOW DISCOUNT")</f>
        <v>LOW DISCOUNT</v>
      </c>
    </row>
    <row r="4184" spans="1:25" x14ac:dyDescent="0.25">
      <c r="A4184" s="1" t="s">
        <v>8580</v>
      </c>
      <c r="B4184" s="1">
        <v>2529711</v>
      </c>
      <c r="C4184" s="1" t="s">
        <v>107</v>
      </c>
      <c r="D4184" s="1" t="s">
        <v>41</v>
      </c>
      <c r="E4184" s="1" t="s">
        <v>148</v>
      </c>
      <c r="F4184" s="1" t="s">
        <v>36</v>
      </c>
      <c r="G4184" s="1" t="s">
        <v>8581</v>
      </c>
      <c r="I4184" s="1">
        <v>1999</v>
      </c>
      <c r="J4184" s="1" t="s">
        <v>1986</v>
      </c>
      <c r="K4184" s="1" t="s">
        <v>45</v>
      </c>
      <c r="L4184" s="1">
        <v>4.4000000000000004</v>
      </c>
      <c r="M4184" s="1">
        <v>517</v>
      </c>
      <c r="P4184" t="str">
        <f t="shared" si="263"/>
        <v>60 %</v>
      </c>
      <c r="Q4184" s="12">
        <f t="shared" si="260"/>
        <v>0.6</v>
      </c>
      <c r="R4184" s="9">
        <f t="shared" si="261"/>
        <v>799.60000000000014</v>
      </c>
      <c r="S4184" s="9">
        <f>IF(R4184="",AVERAGEIF(Table1[Category],Table1[[#This Row],[Category]],Table2[orignal data]),Table2[[#This Row],[orignal data]])</f>
        <v>799.60000000000014</v>
      </c>
      <c r="T4184" t="str">
        <f t="shared" si="262"/>
        <v>UNIQUE</v>
      </c>
      <c r="U4184" t="str">
        <f>IF(ISBLANK(Table1[[#This Row],[SizeOption]]),"NOT AVAILABLE",Table1[[#This Row],[SizeOption]])</f>
        <v>XS, S, M, L, XL</v>
      </c>
      <c r="Y4184" t="str">
        <f>IF(Table2[[#This Row],[Column1]]&gt;50%,"HIGH DISCOUNT","LOW DISCOUNT")</f>
        <v>HIGH DISCOUNT</v>
      </c>
    </row>
    <row r="4185" spans="1:25" x14ac:dyDescent="0.25">
      <c r="A4185" s="2" t="s">
        <v>8582</v>
      </c>
      <c r="B4185" s="2">
        <v>2414687</v>
      </c>
      <c r="C4185" s="2" t="s">
        <v>430</v>
      </c>
      <c r="D4185" s="2" t="s">
        <v>41</v>
      </c>
      <c r="E4185" s="2" t="s">
        <v>42</v>
      </c>
      <c r="F4185" s="2" t="s">
        <v>36</v>
      </c>
      <c r="G4185" s="2" t="s">
        <v>8583</v>
      </c>
      <c r="I4185" s="2">
        <v>799</v>
      </c>
      <c r="J4185" s="2" t="s">
        <v>150</v>
      </c>
      <c r="K4185" s="2" t="s">
        <v>1875</v>
      </c>
      <c r="L4185" s="2">
        <v>4.0999999999999996</v>
      </c>
      <c r="M4185" s="2">
        <v>517</v>
      </c>
      <c r="P4185" t="str">
        <f t="shared" si="263"/>
        <v>65%</v>
      </c>
      <c r="Q4185" s="12">
        <f t="shared" si="260"/>
        <v>0.65</v>
      </c>
      <c r="R4185" s="9">
        <f t="shared" si="261"/>
        <v>279.64999999999998</v>
      </c>
      <c r="S4185" s="9">
        <f>IF(R4185="",AVERAGEIF(Table1[Category],Table1[[#This Row],[Category]],Table2[orignal data]),Table2[[#This Row],[orignal data]])</f>
        <v>279.64999999999998</v>
      </c>
      <c r="T4185" t="str">
        <f t="shared" si="262"/>
        <v>UNIQUE</v>
      </c>
      <c r="U4185" t="str">
        <f>IF(ISBLANK(Table1[[#This Row],[SizeOption]]),"NOT AVAILABLE",Table1[[#This Row],[SizeOption]])</f>
        <v>XXS, XS, S, M, L, XL</v>
      </c>
      <c r="Y4185" t="str">
        <f>IF(Table2[[#This Row],[Column1]]&gt;50%,"HIGH DISCOUNT","LOW DISCOUNT")</f>
        <v>HIGH DISCOUNT</v>
      </c>
    </row>
    <row r="4186" spans="1:25" x14ac:dyDescent="0.25">
      <c r="A4186" s="1" t="s">
        <v>8584</v>
      </c>
      <c r="B4186" s="1">
        <v>13658880</v>
      </c>
      <c r="C4186" s="1" t="s">
        <v>52</v>
      </c>
      <c r="D4186" s="1" t="s">
        <v>15</v>
      </c>
      <c r="E4186" s="1" t="s">
        <v>23</v>
      </c>
      <c r="F4186" s="1" t="s">
        <v>17</v>
      </c>
      <c r="G4186" s="1" t="s">
        <v>8585</v>
      </c>
      <c r="H4186">
        <v>359</v>
      </c>
      <c r="I4186" s="1">
        <v>899</v>
      </c>
      <c r="J4186" s="1" t="s">
        <v>55</v>
      </c>
      <c r="K4186" s="1" t="s">
        <v>26</v>
      </c>
      <c r="L4186" s="1">
        <v>4</v>
      </c>
      <c r="M4186" s="1">
        <v>516</v>
      </c>
      <c r="P4186" t="str">
        <f t="shared" si="263"/>
        <v>60%</v>
      </c>
      <c r="Q4186" s="12">
        <f t="shared" si="260"/>
        <v>0.6</v>
      </c>
      <c r="R4186" s="9">
        <f t="shared" si="261"/>
        <v>359.6</v>
      </c>
      <c r="S4186" s="9">
        <f>IF(R4186="",AVERAGEIF(Table1[Category],Table1[[#This Row],[Category]],Table2[orignal data]),Table2[[#This Row],[orignal data]])</f>
        <v>359.6</v>
      </c>
      <c r="T4186" t="str">
        <f t="shared" si="262"/>
        <v>UNIQUE</v>
      </c>
      <c r="U4186" t="str">
        <f>IF(ISBLANK(Table1[[#This Row],[SizeOption]]),"NOT AVAILABLE",Table1[[#This Row],[SizeOption]])</f>
        <v>S, M, L, XL</v>
      </c>
      <c r="Y4186" t="str">
        <f>IF(Table2[[#This Row],[Column1]]&gt;50%,"HIGH DISCOUNT","LOW DISCOUNT")</f>
        <v>HIGH DISCOUNT</v>
      </c>
    </row>
    <row r="4187" spans="1:25" x14ac:dyDescent="0.25">
      <c r="A4187" s="2" t="s">
        <v>8586</v>
      </c>
      <c r="B4187" s="2">
        <v>12402728</v>
      </c>
      <c r="C4187" s="2" t="s">
        <v>169</v>
      </c>
      <c r="D4187" s="2" t="s">
        <v>197</v>
      </c>
      <c r="E4187" s="2" t="s">
        <v>198</v>
      </c>
      <c r="F4187" s="2" t="s">
        <v>17</v>
      </c>
      <c r="G4187" s="2" t="s">
        <v>8587</v>
      </c>
      <c r="H4187">
        <v>419</v>
      </c>
      <c r="I4187" s="2">
        <v>599</v>
      </c>
      <c r="J4187" s="2" t="s">
        <v>186</v>
      </c>
      <c r="K4187" s="2" t="s">
        <v>164</v>
      </c>
      <c r="L4187" s="2">
        <v>4.3</v>
      </c>
      <c r="M4187" s="2">
        <v>516</v>
      </c>
      <c r="P4187" t="str">
        <f t="shared" si="263"/>
        <v>30%</v>
      </c>
      <c r="Q4187" s="12">
        <f t="shared" si="260"/>
        <v>0.3</v>
      </c>
      <c r="R4187" s="9">
        <f t="shared" si="261"/>
        <v>419.3</v>
      </c>
      <c r="S4187" s="9">
        <f>IF(R4187="",AVERAGEIF(Table1[Category],Table1[[#This Row],[Category]],Table2[orignal data]),Table2[[#This Row],[orignal data]])</f>
        <v>419.3</v>
      </c>
      <c r="T4187" t="str">
        <f t="shared" si="262"/>
        <v>UNIQUE</v>
      </c>
      <c r="U4187" t="str">
        <f>IF(ISBLANK(Table1[[#This Row],[SizeOption]]),"NOT AVAILABLE",Table1[[#This Row],[SizeOption]])</f>
        <v>Onesize</v>
      </c>
      <c r="Y4187" t="str">
        <f>IF(Table2[[#This Row],[Column1]]&gt;50%,"HIGH DISCOUNT","LOW DISCOUNT")</f>
        <v>LOW DISCOUNT</v>
      </c>
    </row>
    <row r="4188" spans="1:25" x14ac:dyDescent="0.25">
      <c r="A4188" s="1" t="s">
        <v>8588</v>
      </c>
      <c r="B4188" s="1">
        <v>11806886</v>
      </c>
      <c r="C4188" s="1" t="s">
        <v>8589</v>
      </c>
      <c r="D4188" s="1" t="s">
        <v>28</v>
      </c>
      <c r="E4188" s="1" t="s">
        <v>42</v>
      </c>
      <c r="F4188" s="1" t="s">
        <v>17</v>
      </c>
      <c r="G4188" s="1" t="s">
        <v>8590</v>
      </c>
      <c r="I4188" s="1">
        <v>499</v>
      </c>
      <c r="J4188" s="1"/>
      <c r="K4188" s="1" t="s">
        <v>39</v>
      </c>
      <c r="L4188" s="1">
        <v>4.3</v>
      </c>
      <c r="M4188" s="1">
        <v>516</v>
      </c>
      <c r="P4188" t="str">
        <f t="shared" si="263"/>
        <v/>
      </c>
      <c r="Q4188" s="12" t="str">
        <f t="shared" si="260"/>
        <v/>
      </c>
      <c r="R4188" s="9" t="str">
        <f t="shared" si="261"/>
        <v/>
      </c>
      <c r="S4188" s="9">
        <f>IF(R4188="",AVERAGEIF(Table1[Category],Table1[[#This Row],[Category]],Table2[orignal data]),Table2[[#This Row],[orignal data]])</f>
        <v>671.7823941958867</v>
      </c>
      <c r="T4188" t="str">
        <f t="shared" si="262"/>
        <v>UNIQUE</v>
      </c>
      <c r="U4188" t="str">
        <f>IF(ISBLANK(Table1[[#This Row],[SizeOption]]),"NOT AVAILABLE",Table1[[#This Row],[SizeOption]])</f>
        <v>S, M, L, XL, XXL</v>
      </c>
      <c r="Y4188" t="str">
        <f>IF(Table2[[#This Row],[Column1]]&gt;50%,"HIGH DISCOUNT","LOW DISCOUNT")</f>
        <v>HIGH DISCOUNT</v>
      </c>
    </row>
    <row r="4189" spans="1:25" x14ac:dyDescent="0.25">
      <c r="A4189" s="2" t="s">
        <v>8591</v>
      </c>
      <c r="B4189" s="2">
        <v>5556553</v>
      </c>
      <c r="C4189" s="2" t="s">
        <v>8592</v>
      </c>
      <c r="D4189" s="2" t="s">
        <v>76</v>
      </c>
      <c r="E4189" s="2" t="s">
        <v>8593</v>
      </c>
      <c r="F4189" s="2" t="s">
        <v>36</v>
      </c>
      <c r="G4189" s="2" t="s">
        <v>8594</v>
      </c>
      <c r="H4189">
        <v>676</v>
      </c>
      <c r="I4189" s="2">
        <v>1025</v>
      </c>
      <c r="J4189" s="2" t="s">
        <v>3662</v>
      </c>
      <c r="K4189" s="2" t="s">
        <v>164</v>
      </c>
      <c r="L4189" s="2">
        <v>4.2</v>
      </c>
      <c r="M4189" s="2">
        <v>516</v>
      </c>
      <c r="P4189" t="str">
        <f t="shared" si="263"/>
        <v>34%</v>
      </c>
      <c r="Q4189" s="12">
        <f t="shared" si="260"/>
        <v>0.34</v>
      </c>
      <c r="R4189" s="9">
        <f t="shared" si="261"/>
        <v>676.5</v>
      </c>
      <c r="S4189" s="9">
        <f>IF(R4189="",AVERAGEIF(Table1[Category],Table1[[#This Row],[Category]],Table2[orignal data]),Table2[[#This Row],[orignal data]])</f>
        <v>676.5</v>
      </c>
      <c r="T4189" t="str">
        <f t="shared" si="262"/>
        <v>UNIQUE</v>
      </c>
      <c r="U4189" t="str">
        <f>IF(ISBLANK(Table1[[#This Row],[SizeOption]]),"NOT AVAILABLE",Table1[[#This Row],[SizeOption]])</f>
        <v>Onesize</v>
      </c>
      <c r="Y4189" t="str">
        <f>IF(Table2[[#This Row],[Column1]]&gt;50%,"HIGH DISCOUNT","LOW DISCOUNT")</f>
        <v>LOW DISCOUNT</v>
      </c>
    </row>
    <row r="4190" spans="1:25" x14ac:dyDescent="0.25">
      <c r="A4190" s="1" t="s">
        <v>8595</v>
      </c>
      <c r="B4190" s="1">
        <v>14182598</v>
      </c>
      <c r="C4190" s="1" t="s">
        <v>8596</v>
      </c>
      <c r="D4190" s="1" t="s">
        <v>76</v>
      </c>
      <c r="E4190" s="1" t="s">
        <v>48</v>
      </c>
      <c r="F4190" s="1" t="s">
        <v>36</v>
      </c>
      <c r="G4190" s="1" t="s">
        <v>8597</v>
      </c>
      <c r="H4190">
        <v>949</v>
      </c>
      <c r="I4190" s="1">
        <v>1399</v>
      </c>
      <c r="J4190" s="1" t="s">
        <v>8598</v>
      </c>
      <c r="K4190" s="1" t="s">
        <v>39</v>
      </c>
      <c r="L4190" s="1">
        <v>4.3</v>
      </c>
      <c r="M4190" s="1">
        <v>516</v>
      </c>
      <c r="P4190" t="str">
        <f t="shared" si="263"/>
        <v>450</v>
      </c>
      <c r="Q4190" s="12">
        <f t="shared" si="260"/>
        <v>0.32165832737669764</v>
      </c>
      <c r="R4190" s="9">
        <f t="shared" si="261"/>
        <v>949</v>
      </c>
      <c r="S4190" s="9">
        <f>IF(R4190="",AVERAGEIF(Table1[Category],Table1[[#This Row],[Category]],Table2[orignal data]),Table2[[#This Row],[orignal data]])</f>
        <v>949</v>
      </c>
      <c r="T4190" t="str">
        <f t="shared" si="262"/>
        <v>UNIQUE</v>
      </c>
      <c r="U4190" t="str">
        <f>IF(ISBLANK(Table1[[#This Row],[SizeOption]]),"NOT AVAILABLE",Table1[[#This Row],[SizeOption]])</f>
        <v>S, M, L, XL, XXL</v>
      </c>
      <c r="Y4190" t="str">
        <f>IF(Table2[[#This Row],[Column1]]&gt;50%,"HIGH DISCOUNT","LOW DISCOUNT")</f>
        <v>LOW DISCOUNT</v>
      </c>
    </row>
    <row r="4191" spans="1:25" x14ac:dyDescent="0.25">
      <c r="A4191" s="2" t="s">
        <v>8599</v>
      </c>
      <c r="B4191" s="2">
        <v>2109507</v>
      </c>
      <c r="C4191" s="2" t="s">
        <v>303</v>
      </c>
      <c r="D4191" s="2" t="s">
        <v>34</v>
      </c>
      <c r="E4191" s="2" t="s">
        <v>3807</v>
      </c>
      <c r="F4191" s="2" t="s">
        <v>36</v>
      </c>
      <c r="G4191" s="2" t="s">
        <v>8600</v>
      </c>
      <c r="H4191">
        <v>684</v>
      </c>
      <c r="I4191" s="2">
        <v>855</v>
      </c>
      <c r="J4191" s="2" t="s">
        <v>412</v>
      </c>
      <c r="K4191" s="2" t="s">
        <v>115</v>
      </c>
      <c r="L4191" s="2">
        <v>4.4000000000000004</v>
      </c>
      <c r="M4191" s="2">
        <v>516</v>
      </c>
      <c r="P4191" t="str">
        <f t="shared" si="263"/>
        <v>20%</v>
      </c>
      <c r="Q4191" s="12">
        <f t="shared" si="260"/>
        <v>0.2</v>
      </c>
      <c r="R4191" s="9">
        <f t="shared" si="261"/>
        <v>684</v>
      </c>
      <c r="S4191" s="9">
        <f>IF(R4191="",AVERAGEIF(Table1[Category],Table1[[#This Row],[Category]],Table2[orignal data]),Table2[[#This Row],[orignal data]])</f>
        <v>684</v>
      </c>
      <c r="T4191" t="str">
        <f t="shared" si="262"/>
        <v>UNIQUE</v>
      </c>
      <c r="U4191" t="str">
        <f>IF(ISBLANK(Table1[[#This Row],[SizeOption]]),"NOT AVAILABLE",Table1[[#This Row],[SizeOption]])</f>
        <v>XS, S, M, L, XL, XXL</v>
      </c>
      <c r="Y4191" t="str">
        <f>IF(Table2[[#This Row],[Column1]]&gt;50%,"HIGH DISCOUNT","LOW DISCOUNT")</f>
        <v>LOW DISCOUNT</v>
      </c>
    </row>
    <row r="4192" spans="1:25" x14ac:dyDescent="0.25">
      <c r="A4192" s="1" t="s">
        <v>8601</v>
      </c>
      <c r="B4192" s="1">
        <v>11174510</v>
      </c>
      <c r="C4192" s="1" t="s">
        <v>97</v>
      </c>
      <c r="D4192" s="1" t="s">
        <v>98</v>
      </c>
      <c r="E4192" s="1" t="s">
        <v>93</v>
      </c>
      <c r="F4192" s="1" t="s">
        <v>36</v>
      </c>
      <c r="G4192" s="1" t="s">
        <v>8602</v>
      </c>
      <c r="H4192">
        <v>479</v>
      </c>
      <c r="I4192" s="1">
        <v>1199</v>
      </c>
      <c r="J4192" s="1" t="s">
        <v>55</v>
      </c>
      <c r="K4192" s="1" t="s">
        <v>100</v>
      </c>
      <c r="L4192" s="1">
        <v>4.0999999999999996</v>
      </c>
      <c r="M4192" s="1">
        <v>516</v>
      </c>
      <c r="P4192" t="str">
        <f t="shared" si="263"/>
        <v>60%</v>
      </c>
      <c r="Q4192" s="12">
        <f t="shared" si="260"/>
        <v>0.6</v>
      </c>
      <c r="R4192" s="9">
        <f t="shared" si="261"/>
        <v>479.6</v>
      </c>
      <c r="S4192" s="9">
        <f>IF(R4192="",AVERAGEIF(Table1[Category],Table1[[#This Row],[Category]],Table2[orignal data]),Table2[[#This Row],[orignal data]])</f>
        <v>479.6</v>
      </c>
      <c r="T4192" t="str">
        <f t="shared" si="262"/>
        <v>UNIQUE</v>
      </c>
      <c r="U4192" t="str">
        <f>IF(ISBLANK(Table1[[#This Row],[SizeOption]]),"NOT AVAILABLE",Table1[[#This Row],[SizeOption]])</f>
        <v>XS, S, M, L, XL, XXL, 3XL</v>
      </c>
      <c r="Y4192" t="str">
        <f>IF(Table2[[#This Row],[Column1]]&gt;50%,"HIGH DISCOUNT","LOW DISCOUNT")</f>
        <v>HIGH DISCOUNT</v>
      </c>
    </row>
    <row r="4193" spans="1:25" x14ac:dyDescent="0.25">
      <c r="A4193" s="2" t="s">
        <v>8603</v>
      </c>
      <c r="B4193" s="2">
        <v>10163701</v>
      </c>
      <c r="C4193" s="2" t="s">
        <v>64</v>
      </c>
      <c r="D4193" s="2" t="s">
        <v>98</v>
      </c>
      <c r="E4193" s="2" t="s">
        <v>48</v>
      </c>
      <c r="F4193" s="2" t="s">
        <v>36</v>
      </c>
      <c r="G4193" s="2" t="s">
        <v>8604</v>
      </c>
      <c r="H4193">
        <v>559</v>
      </c>
      <c r="I4193" s="2">
        <v>1599</v>
      </c>
      <c r="J4193" s="2" t="s">
        <v>150</v>
      </c>
      <c r="K4193" s="2" t="s">
        <v>39</v>
      </c>
      <c r="L4193" s="2">
        <v>4</v>
      </c>
      <c r="M4193" s="2">
        <v>516</v>
      </c>
      <c r="P4193" t="str">
        <f t="shared" si="263"/>
        <v>65%</v>
      </c>
      <c r="Q4193" s="12">
        <f t="shared" si="260"/>
        <v>0.65</v>
      </c>
      <c r="R4193" s="9">
        <f t="shared" si="261"/>
        <v>559.64999999999986</v>
      </c>
      <c r="S4193" s="9">
        <f>IF(R4193="",AVERAGEIF(Table1[Category],Table1[[#This Row],[Category]],Table2[orignal data]),Table2[[#This Row],[orignal data]])</f>
        <v>559.64999999999986</v>
      </c>
      <c r="T4193" t="str">
        <f t="shared" si="262"/>
        <v>UNIQUE</v>
      </c>
      <c r="U4193" t="str">
        <f>IF(ISBLANK(Table1[[#This Row],[SizeOption]]),"NOT AVAILABLE",Table1[[#This Row],[SizeOption]])</f>
        <v>S, M, L, XL, XXL</v>
      </c>
      <c r="Y4193" t="str">
        <f>IF(Table2[[#This Row],[Column1]]&gt;50%,"HIGH DISCOUNT","LOW DISCOUNT")</f>
        <v>HIGH DISCOUNT</v>
      </c>
    </row>
    <row r="4194" spans="1:25" x14ac:dyDescent="0.25">
      <c r="A4194" s="1" t="s">
        <v>8605</v>
      </c>
      <c r="B4194" s="1">
        <v>9370845</v>
      </c>
      <c r="C4194" s="1" t="s">
        <v>97</v>
      </c>
      <c r="D4194" s="1" t="s">
        <v>98</v>
      </c>
      <c r="E4194" s="1" t="s">
        <v>48</v>
      </c>
      <c r="F4194" s="1" t="s">
        <v>36</v>
      </c>
      <c r="G4194" s="1" t="s">
        <v>8606</v>
      </c>
      <c r="H4194">
        <v>399</v>
      </c>
      <c r="I4194" s="1">
        <v>999</v>
      </c>
      <c r="J4194" s="1" t="s">
        <v>141</v>
      </c>
      <c r="K4194" s="1" t="s">
        <v>100</v>
      </c>
      <c r="L4194" s="1">
        <v>4.2</v>
      </c>
      <c r="M4194" s="1">
        <v>516</v>
      </c>
      <c r="P4194" t="str">
        <f t="shared" si="263"/>
        <v>60%</v>
      </c>
      <c r="Q4194" s="12">
        <f t="shared" si="260"/>
        <v>0.6</v>
      </c>
      <c r="R4194" s="9">
        <f t="shared" si="261"/>
        <v>399.6</v>
      </c>
      <c r="S4194" s="9">
        <f>IF(R4194="",AVERAGEIF(Table1[Category],Table1[[#This Row],[Category]],Table2[orignal data]),Table2[[#This Row],[orignal data]])</f>
        <v>399.6</v>
      </c>
      <c r="T4194" t="str">
        <f t="shared" si="262"/>
        <v>UNIQUE</v>
      </c>
      <c r="U4194" t="str">
        <f>IF(ISBLANK(Table1[[#This Row],[SizeOption]]),"NOT AVAILABLE",Table1[[#This Row],[SizeOption]])</f>
        <v>XS, S, M, L, XL, XXL, 3XL</v>
      </c>
      <c r="Y4194" t="str">
        <f>IF(Table2[[#This Row],[Column1]]&gt;50%,"HIGH DISCOUNT","LOW DISCOUNT")</f>
        <v>HIGH DISCOUNT</v>
      </c>
    </row>
    <row r="4195" spans="1:25" x14ac:dyDescent="0.25">
      <c r="A4195" s="2" t="s">
        <v>8607</v>
      </c>
      <c r="B4195" s="2">
        <v>11223680</v>
      </c>
      <c r="C4195" s="2" t="s">
        <v>4731</v>
      </c>
      <c r="D4195" s="2" t="s">
        <v>41</v>
      </c>
      <c r="E4195" s="2" t="s">
        <v>48</v>
      </c>
      <c r="F4195" s="2" t="s">
        <v>36</v>
      </c>
      <c r="G4195" s="2" t="s">
        <v>8608</v>
      </c>
      <c r="I4195" s="2">
        <v>1499</v>
      </c>
      <c r="J4195" s="2" t="s">
        <v>25</v>
      </c>
      <c r="K4195" s="2" t="s">
        <v>39</v>
      </c>
      <c r="L4195" s="2">
        <v>4.2</v>
      </c>
      <c r="M4195" s="2">
        <v>516</v>
      </c>
      <c r="P4195" t="str">
        <f t="shared" si="263"/>
        <v>55%</v>
      </c>
      <c r="Q4195" s="12">
        <f t="shared" si="260"/>
        <v>0.55000000000000004</v>
      </c>
      <c r="R4195" s="9">
        <f t="shared" si="261"/>
        <v>674.55</v>
      </c>
      <c r="S4195" s="9">
        <f>IF(R4195="",AVERAGEIF(Table1[Category],Table1[[#This Row],[Category]],Table2[orignal data]),Table2[[#This Row],[orignal data]])</f>
        <v>674.55</v>
      </c>
      <c r="T4195" t="str">
        <f t="shared" si="262"/>
        <v>UNIQUE</v>
      </c>
      <c r="U4195" t="str">
        <f>IF(ISBLANK(Table1[[#This Row],[SizeOption]]),"NOT AVAILABLE",Table1[[#This Row],[SizeOption]])</f>
        <v>S, M, L, XL, XXL</v>
      </c>
      <c r="Y4195" t="str">
        <f>IF(Table2[[#This Row],[Column1]]&gt;50%,"HIGH DISCOUNT","LOW DISCOUNT")</f>
        <v>HIGH DISCOUNT</v>
      </c>
    </row>
    <row r="4196" spans="1:25" x14ac:dyDescent="0.25">
      <c r="A4196" s="1" t="s">
        <v>8609</v>
      </c>
      <c r="B4196" s="1">
        <v>11264046</v>
      </c>
      <c r="C4196" s="1" t="s">
        <v>107</v>
      </c>
      <c r="D4196" s="1" t="s">
        <v>41</v>
      </c>
      <c r="E4196" s="1" t="s">
        <v>3635</v>
      </c>
      <c r="F4196" s="1" t="s">
        <v>36</v>
      </c>
      <c r="G4196" s="1" t="s">
        <v>8610</v>
      </c>
      <c r="I4196" s="1">
        <v>2499</v>
      </c>
      <c r="J4196" s="1" t="s">
        <v>84</v>
      </c>
      <c r="K4196" s="1" t="s">
        <v>20</v>
      </c>
      <c r="L4196" s="1">
        <v>4.3</v>
      </c>
      <c r="M4196" s="1">
        <v>516</v>
      </c>
      <c r="P4196" t="str">
        <f t="shared" si="263"/>
        <v>50%</v>
      </c>
      <c r="Q4196" s="12">
        <f t="shared" si="260"/>
        <v>0.5</v>
      </c>
      <c r="R4196" s="9">
        <f t="shared" si="261"/>
        <v>1249.5</v>
      </c>
      <c r="S4196" s="9">
        <f>IF(R4196="",AVERAGEIF(Table1[Category],Table1[[#This Row],[Category]],Table2[orignal data]),Table2[[#This Row],[orignal data]])</f>
        <v>1249.5</v>
      </c>
      <c r="T4196" t="str">
        <f t="shared" si="262"/>
        <v>UNIQUE</v>
      </c>
      <c r="U4196" t="str">
        <f>IF(ISBLANK(Table1[[#This Row],[SizeOption]]),"NOT AVAILABLE",Table1[[#This Row],[SizeOption]])</f>
        <v>28, 30, 32, 34, 36</v>
      </c>
      <c r="Y4196" t="str">
        <f>IF(Table2[[#This Row],[Column1]]&gt;50%,"HIGH DISCOUNT","LOW DISCOUNT")</f>
        <v>LOW DISCOUNT</v>
      </c>
    </row>
    <row r="4197" spans="1:25" x14ac:dyDescent="0.25">
      <c r="A4197" s="2" t="s">
        <v>8611</v>
      </c>
      <c r="B4197" s="2">
        <v>11970452</v>
      </c>
      <c r="C4197" s="2" t="s">
        <v>676</v>
      </c>
      <c r="D4197" s="2" t="s">
        <v>41</v>
      </c>
      <c r="E4197" s="2" t="s">
        <v>148</v>
      </c>
      <c r="F4197" s="2" t="s">
        <v>36</v>
      </c>
      <c r="G4197" s="2" t="s">
        <v>8612</v>
      </c>
      <c r="I4197" s="2">
        <v>3499</v>
      </c>
      <c r="J4197" s="2" t="s">
        <v>25</v>
      </c>
      <c r="K4197" s="2" t="s">
        <v>26</v>
      </c>
      <c r="L4197" s="2">
        <v>4.3</v>
      </c>
      <c r="M4197" s="2">
        <v>516</v>
      </c>
      <c r="P4197" t="str">
        <f t="shared" si="263"/>
        <v>55%</v>
      </c>
      <c r="Q4197" s="12">
        <f t="shared" si="260"/>
        <v>0.55000000000000004</v>
      </c>
      <c r="R4197" s="9">
        <f t="shared" si="261"/>
        <v>1574.55</v>
      </c>
      <c r="S4197" s="9">
        <f>IF(R4197="",AVERAGEIF(Table1[Category],Table1[[#This Row],[Category]],Table2[orignal data]),Table2[[#This Row],[orignal data]])</f>
        <v>1574.55</v>
      </c>
      <c r="T4197" t="str">
        <f t="shared" si="262"/>
        <v>UNIQUE</v>
      </c>
      <c r="U4197" t="str">
        <f>IF(ISBLANK(Table1[[#This Row],[SizeOption]]),"NOT AVAILABLE",Table1[[#This Row],[SizeOption]])</f>
        <v>S, M, L, XL</v>
      </c>
      <c r="Y4197" t="str">
        <f>IF(Table2[[#This Row],[Column1]]&gt;50%,"HIGH DISCOUNT","LOW DISCOUNT")</f>
        <v>HIGH DISCOUNT</v>
      </c>
    </row>
    <row r="4198" spans="1:25" x14ac:dyDescent="0.25">
      <c r="A4198" s="1" t="s">
        <v>8613</v>
      </c>
      <c r="B4198" s="1">
        <v>4453374</v>
      </c>
      <c r="C4198" s="1" t="s">
        <v>67</v>
      </c>
      <c r="D4198" s="1" t="s">
        <v>41</v>
      </c>
      <c r="E4198" s="1" t="s">
        <v>189</v>
      </c>
      <c r="F4198" s="1" t="s">
        <v>36</v>
      </c>
      <c r="G4198" s="1" t="s">
        <v>8614</v>
      </c>
      <c r="I4198" s="1">
        <v>3999</v>
      </c>
      <c r="J4198" s="1" t="s">
        <v>84</v>
      </c>
      <c r="K4198" s="1" t="s">
        <v>115</v>
      </c>
      <c r="L4198" s="1">
        <v>4.3</v>
      </c>
      <c r="M4198" s="1">
        <v>516</v>
      </c>
      <c r="P4198" t="str">
        <f t="shared" si="263"/>
        <v>50%</v>
      </c>
      <c r="Q4198" s="12">
        <f t="shared" si="260"/>
        <v>0.5</v>
      </c>
      <c r="R4198" s="9">
        <f t="shared" si="261"/>
        <v>1999.5</v>
      </c>
      <c r="S4198" s="9">
        <f>IF(R4198="",AVERAGEIF(Table1[Category],Table1[[#This Row],[Category]],Table2[orignal data]),Table2[[#This Row],[orignal data]])</f>
        <v>1999.5</v>
      </c>
      <c r="T4198" t="str">
        <f t="shared" si="262"/>
        <v>UNIQUE</v>
      </c>
      <c r="U4198" t="str">
        <f>IF(ISBLANK(Table1[[#This Row],[SizeOption]]),"NOT AVAILABLE",Table1[[#This Row],[SizeOption]])</f>
        <v>XS, S, M, L, XL, XXL</v>
      </c>
      <c r="Y4198" t="str">
        <f>IF(Table2[[#This Row],[Column1]]&gt;50%,"HIGH DISCOUNT","LOW DISCOUNT")</f>
        <v>LOW DISCOUNT</v>
      </c>
    </row>
    <row r="4199" spans="1:25" x14ac:dyDescent="0.25">
      <c r="A4199" s="2" t="s">
        <v>8615</v>
      </c>
      <c r="B4199" s="2">
        <v>17523414</v>
      </c>
      <c r="C4199" s="2" t="s">
        <v>47</v>
      </c>
      <c r="D4199" s="2" t="s">
        <v>41</v>
      </c>
      <c r="E4199" s="2" t="s">
        <v>42</v>
      </c>
      <c r="F4199" s="2" t="s">
        <v>36</v>
      </c>
      <c r="G4199" s="2" t="s">
        <v>5939</v>
      </c>
      <c r="I4199" s="2">
        <v>1298</v>
      </c>
      <c r="J4199" s="2"/>
      <c r="K4199" s="2" t="s">
        <v>45</v>
      </c>
      <c r="L4199" s="2">
        <v>4.4000000000000004</v>
      </c>
      <c r="M4199" s="2">
        <v>516</v>
      </c>
      <c r="P4199" t="str">
        <f t="shared" si="263"/>
        <v/>
      </c>
      <c r="Q4199" s="12" t="str">
        <f t="shared" si="260"/>
        <v/>
      </c>
      <c r="R4199" s="9" t="str">
        <f t="shared" si="261"/>
        <v/>
      </c>
      <c r="S4199" s="9">
        <f>IF(R4199="",AVERAGEIF(Table1[Category],Table1[[#This Row],[Category]],Table2[orignal data]),Table2[[#This Row],[orignal data]])</f>
        <v>715.78890751086249</v>
      </c>
      <c r="T4199" t="str">
        <f t="shared" si="262"/>
        <v>UNIQUE</v>
      </c>
      <c r="U4199" t="str">
        <f>IF(ISBLANK(Table1[[#This Row],[SizeOption]]),"NOT AVAILABLE",Table1[[#This Row],[SizeOption]])</f>
        <v>XS, S, M, L, XL</v>
      </c>
      <c r="Y4199" t="str">
        <f>IF(Table2[[#This Row],[Column1]]&gt;50%,"HIGH DISCOUNT","LOW DISCOUNT")</f>
        <v>HIGH DISCOUNT</v>
      </c>
    </row>
    <row r="4200" spans="1:25" x14ac:dyDescent="0.25">
      <c r="A4200" s="1" t="s">
        <v>8616</v>
      </c>
      <c r="B4200" s="1">
        <v>9089117</v>
      </c>
      <c r="C4200" s="1" t="s">
        <v>64</v>
      </c>
      <c r="D4200" s="1" t="s">
        <v>15</v>
      </c>
      <c r="E4200" s="1" t="s">
        <v>53</v>
      </c>
      <c r="F4200" s="1" t="s">
        <v>17</v>
      </c>
      <c r="G4200" s="1" t="s">
        <v>8617</v>
      </c>
      <c r="H4200">
        <v>1119</v>
      </c>
      <c r="I4200" s="1">
        <v>2799</v>
      </c>
      <c r="J4200" s="1" t="s">
        <v>55</v>
      </c>
      <c r="K4200" s="1" t="s">
        <v>171</v>
      </c>
      <c r="L4200" s="1">
        <v>3.8</v>
      </c>
      <c r="M4200" s="1">
        <v>515</v>
      </c>
      <c r="P4200" t="str">
        <f t="shared" si="263"/>
        <v>60%</v>
      </c>
      <c r="Q4200" s="12">
        <f t="shared" si="260"/>
        <v>0.6</v>
      </c>
      <c r="R4200" s="9">
        <f t="shared" si="261"/>
        <v>1119.6000000000001</v>
      </c>
      <c r="S4200" s="9">
        <f>IF(R4200="",AVERAGEIF(Table1[Category],Table1[[#This Row],[Category]],Table2[orignal data]),Table2[[#This Row],[orignal data]])</f>
        <v>1119.6000000000001</v>
      </c>
      <c r="T4200" t="str">
        <f t="shared" si="262"/>
        <v>UNIQUE</v>
      </c>
      <c r="U4200" t="str">
        <f>IF(ISBLANK(Table1[[#This Row],[SizeOption]]),"NOT AVAILABLE",Table1[[#This Row],[SizeOption]])</f>
        <v>28, 30, 32, 34, 36, 38</v>
      </c>
      <c r="Y4200" t="str">
        <f>IF(Table2[[#This Row],[Column1]]&gt;50%,"HIGH DISCOUNT","LOW DISCOUNT")</f>
        <v>HIGH DISCOUNT</v>
      </c>
    </row>
    <row r="4201" spans="1:25" x14ac:dyDescent="0.25">
      <c r="A4201" s="2" t="s">
        <v>8618</v>
      </c>
      <c r="B4201" s="2">
        <v>10187381</v>
      </c>
      <c r="C4201" s="2" t="s">
        <v>169</v>
      </c>
      <c r="D4201" s="2" t="s">
        <v>15</v>
      </c>
      <c r="E4201" s="2" t="s">
        <v>16</v>
      </c>
      <c r="F4201" s="2" t="s">
        <v>17</v>
      </c>
      <c r="G4201" s="2" t="s">
        <v>8619</v>
      </c>
      <c r="H4201">
        <v>1559</v>
      </c>
      <c r="I4201" s="2">
        <v>2599</v>
      </c>
      <c r="J4201" s="2" t="s">
        <v>50</v>
      </c>
      <c r="K4201" s="2" t="s">
        <v>171</v>
      </c>
      <c r="L4201" s="2">
        <v>4.2</v>
      </c>
      <c r="M4201" s="2">
        <v>515</v>
      </c>
      <c r="P4201" t="str">
        <f t="shared" si="263"/>
        <v>40%</v>
      </c>
      <c r="Q4201" s="12">
        <f t="shared" si="260"/>
        <v>0.4</v>
      </c>
      <c r="R4201" s="9">
        <f t="shared" si="261"/>
        <v>1559.3999999999999</v>
      </c>
      <c r="S4201" s="9">
        <f>IF(R4201="",AVERAGEIF(Table1[Category],Table1[[#This Row],[Category]],Table2[orignal data]),Table2[[#This Row],[orignal data]])</f>
        <v>1559.3999999999999</v>
      </c>
      <c r="T4201" t="str">
        <f t="shared" si="262"/>
        <v>UNIQUE</v>
      </c>
      <c r="U4201" t="str">
        <f>IF(ISBLANK(Table1[[#This Row],[SizeOption]]),"NOT AVAILABLE",Table1[[#This Row],[SizeOption]])</f>
        <v>28, 30, 32, 34, 36, 38</v>
      </c>
      <c r="Y4201" t="str">
        <f>IF(Table2[[#This Row],[Column1]]&gt;50%,"HIGH DISCOUNT","LOW DISCOUNT")</f>
        <v>LOW DISCOUNT</v>
      </c>
    </row>
    <row r="4202" spans="1:25" x14ac:dyDescent="0.25">
      <c r="A4202" s="1" t="s">
        <v>8620</v>
      </c>
      <c r="B4202" s="1">
        <v>2387569</v>
      </c>
      <c r="C4202" s="1" t="s">
        <v>14</v>
      </c>
      <c r="D4202" s="1" t="s">
        <v>15</v>
      </c>
      <c r="E4202" s="1" t="s">
        <v>137</v>
      </c>
      <c r="F4202" s="1" t="s">
        <v>17</v>
      </c>
      <c r="G4202" s="1" t="s">
        <v>8621</v>
      </c>
      <c r="H4202">
        <v>594</v>
      </c>
      <c r="I4202" s="1">
        <v>1699</v>
      </c>
      <c r="J4202" s="1" t="s">
        <v>150</v>
      </c>
      <c r="K4202" s="1" t="s">
        <v>20</v>
      </c>
      <c r="L4202" s="1">
        <v>4.3</v>
      </c>
      <c r="M4202" s="1">
        <v>515</v>
      </c>
      <c r="P4202" t="str">
        <f t="shared" si="263"/>
        <v>65%</v>
      </c>
      <c r="Q4202" s="12">
        <f t="shared" si="260"/>
        <v>0.65</v>
      </c>
      <c r="R4202" s="9">
        <f t="shared" si="261"/>
        <v>594.64999999999986</v>
      </c>
      <c r="S4202" s="9">
        <f>IF(R4202="",AVERAGEIF(Table1[Category],Table1[[#This Row],[Category]],Table2[orignal data]),Table2[[#This Row],[orignal data]])</f>
        <v>594.64999999999986</v>
      </c>
      <c r="T4202" t="str">
        <f t="shared" si="262"/>
        <v>UNIQUE</v>
      </c>
      <c r="U4202" t="str">
        <f>IF(ISBLANK(Table1[[#This Row],[SizeOption]]),"NOT AVAILABLE",Table1[[#This Row],[SizeOption]])</f>
        <v>28, 30, 32, 34, 36</v>
      </c>
      <c r="Y4202" t="str">
        <f>IF(Table2[[#This Row],[Column1]]&gt;50%,"HIGH DISCOUNT","LOW DISCOUNT")</f>
        <v>HIGH DISCOUNT</v>
      </c>
    </row>
    <row r="4203" spans="1:25" x14ac:dyDescent="0.25">
      <c r="A4203" s="2" t="s">
        <v>8622</v>
      </c>
      <c r="B4203" s="2">
        <v>11102990</v>
      </c>
      <c r="C4203" s="2" t="s">
        <v>935</v>
      </c>
      <c r="D4203" s="2" t="s">
        <v>76</v>
      </c>
      <c r="E4203" s="2" t="s">
        <v>77</v>
      </c>
      <c r="F4203" s="2" t="s">
        <v>17</v>
      </c>
      <c r="G4203" s="2" t="s">
        <v>8623</v>
      </c>
      <c r="H4203">
        <v>1819</v>
      </c>
      <c r="I4203" s="2">
        <v>6999</v>
      </c>
      <c r="J4203" s="2" t="s">
        <v>2469</v>
      </c>
      <c r="K4203" s="2" t="s">
        <v>26</v>
      </c>
      <c r="L4203" s="2">
        <v>3.7</v>
      </c>
      <c r="M4203" s="2">
        <v>515</v>
      </c>
      <c r="P4203" t="str">
        <f t="shared" si="263"/>
        <v>74%</v>
      </c>
      <c r="Q4203" s="12">
        <f t="shared" si="260"/>
        <v>0.74</v>
      </c>
      <c r="R4203" s="9">
        <f t="shared" si="261"/>
        <v>1819.7399999999998</v>
      </c>
      <c r="S4203" s="9">
        <f>IF(R4203="",AVERAGEIF(Table1[Category],Table1[[#This Row],[Category]],Table2[orignal data]),Table2[[#This Row],[orignal data]])</f>
        <v>1819.7399999999998</v>
      </c>
      <c r="T4203" t="str">
        <f t="shared" si="262"/>
        <v>UNIQUE</v>
      </c>
      <c r="U4203" t="str">
        <f>IF(ISBLANK(Table1[[#This Row],[SizeOption]]),"NOT AVAILABLE",Table1[[#This Row],[SizeOption]])</f>
        <v>S, M, L, XL</v>
      </c>
      <c r="Y4203" t="str">
        <f>IF(Table2[[#This Row],[Column1]]&gt;50%,"HIGH DISCOUNT","LOW DISCOUNT")</f>
        <v>HIGH DISCOUNT</v>
      </c>
    </row>
    <row r="4204" spans="1:25" x14ac:dyDescent="0.25">
      <c r="A4204" s="1" t="s">
        <v>8624</v>
      </c>
      <c r="B4204" s="1">
        <v>11444786</v>
      </c>
      <c r="C4204" s="1" t="s">
        <v>349</v>
      </c>
      <c r="D4204" s="1" t="s">
        <v>197</v>
      </c>
      <c r="E4204" s="1" t="s">
        <v>1807</v>
      </c>
      <c r="F4204" s="1" t="s">
        <v>17</v>
      </c>
      <c r="G4204" s="1" t="s">
        <v>8625</v>
      </c>
      <c r="I4204" s="1">
        <v>479</v>
      </c>
      <c r="J4204" s="1"/>
      <c r="K4204" s="1" t="s">
        <v>352</v>
      </c>
      <c r="L4204" s="1">
        <v>4.3</v>
      </c>
      <c r="M4204" s="1">
        <v>515</v>
      </c>
      <c r="P4204" t="str">
        <f t="shared" si="263"/>
        <v/>
      </c>
      <c r="Q4204" s="12" t="str">
        <f t="shared" si="260"/>
        <v/>
      </c>
      <c r="R4204" s="9" t="str">
        <f t="shared" si="261"/>
        <v/>
      </c>
      <c r="S4204" s="9">
        <f>IF(R4204="",AVERAGEIF(Table1[Category],Table1[[#This Row],[Category]],Table2[orignal data]),Table2[[#This Row],[orignal data]])</f>
        <v>552.70900000000006</v>
      </c>
      <c r="T4204" t="str">
        <f t="shared" si="262"/>
        <v>UNIQUE</v>
      </c>
      <c r="U4204" t="str">
        <f>IF(ISBLANK(Table1[[#This Row],[SizeOption]]),"NOT AVAILABLE",Table1[[#This Row],[SizeOption]])</f>
        <v>S, M, L</v>
      </c>
      <c r="Y4204" t="str">
        <f>IF(Table2[[#This Row],[Column1]]&gt;50%,"HIGH DISCOUNT","LOW DISCOUNT")</f>
        <v>HIGH DISCOUNT</v>
      </c>
    </row>
    <row r="4205" spans="1:25" x14ac:dyDescent="0.25">
      <c r="A4205" s="2" t="s">
        <v>8626</v>
      </c>
      <c r="B4205" s="2">
        <v>8479025</v>
      </c>
      <c r="C4205" s="2" t="s">
        <v>67</v>
      </c>
      <c r="D4205" s="2" t="s">
        <v>68</v>
      </c>
      <c r="E4205" s="2" t="s">
        <v>42</v>
      </c>
      <c r="F4205" s="2" t="s">
        <v>17</v>
      </c>
      <c r="G4205" s="2" t="s">
        <v>8627</v>
      </c>
      <c r="H4205">
        <v>539</v>
      </c>
      <c r="I4205" s="2">
        <v>899</v>
      </c>
      <c r="J4205" s="2" t="s">
        <v>50</v>
      </c>
      <c r="K4205" s="2" t="s">
        <v>39</v>
      </c>
      <c r="L4205" s="2">
        <v>4.0999999999999996</v>
      </c>
      <c r="M4205" s="2">
        <v>515</v>
      </c>
      <c r="P4205" t="str">
        <f t="shared" si="263"/>
        <v>40%</v>
      </c>
      <c r="Q4205" s="12">
        <f t="shared" si="260"/>
        <v>0.4</v>
      </c>
      <c r="R4205" s="9">
        <f t="shared" si="261"/>
        <v>539.4</v>
      </c>
      <c r="S4205" s="9">
        <f>IF(R4205="",AVERAGEIF(Table1[Category],Table1[[#This Row],[Category]],Table2[orignal data]),Table2[[#This Row],[orignal data]])</f>
        <v>539.4</v>
      </c>
      <c r="T4205" t="str">
        <f t="shared" si="262"/>
        <v>UNIQUE</v>
      </c>
      <c r="U4205" t="str">
        <f>IF(ISBLANK(Table1[[#This Row],[SizeOption]]),"NOT AVAILABLE",Table1[[#This Row],[SizeOption]])</f>
        <v>S, M, L, XL, XXL</v>
      </c>
      <c r="Y4205" t="str">
        <f>IF(Table2[[#This Row],[Column1]]&gt;50%,"HIGH DISCOUNT","LOW DISCOUNT")</f>
        <v>LOW DISCOUNT</v>
      </c>
    </row>
    <row r="4206" spans="1:25" x14ac:dyDescent="0.25">
      <c r="A4206" s="1" t="s">
        <v>8628</v>
      </c>
      <c r="B4206" s="1">
        <v>11327044</v>
      </c>
      <c r="C4206" s="1" t="s">
        <v>14</v>
      </c>
      <c r="D4206" s="1" t="s">
        <v>28</v>
      </c>
      <c r="E4206" s="1" t="s">
        <v>29</v>
      </c>
      <c r="F4206" s="1" t="s">
        <v>17</v>
      </c>
      <c r="G4206" s="1" t="s">
        <v>8629</v>
      </c>
      <c r="H4206">
        <v>714</v>
      </c>
      <c r="I4206" s="1">
        <v>1299</v>
      </c>
      <c r="J4206" s="1" t="s">
        <v>19</v>
      </c>
      <c r="K4206" s="1" t="s">
        <v>253</v>
      </c>
      <c r="L4206" s="1">
        <v>4.2</v>
      </c>
      <c r="M4206" s="1">
        <v>515</v>
      </c>
      <c r="P4206" t="str">
        <f t="shared" si="263"/>
        <v>45%</v>
      </c>
      <c r="Q4206" s="12">
        <f t="shared" si="260"/>
        <v>0.45</v>
      </c>
      <c r="R4206" s="9">
        <f t="shared" si="261"/>
        <v>714.44999999999993</v>
      </c>
      <c r="S4206" s="9">
        <f>IF(R4206="",AVERAGEIF(Table1[Category],Table1[[#This Row],[Category]],Table2[orignal data]),Table2[[#This Row],[orignal data]])</f>
        <v>714.44999999999993</v>
      </c>
      <c r="T4206" t="str">
        <f t="shared" si="262"/>
        <v>UNIQUE</v>
      </c>
      <c r="U4206" t="str">
        <f>IF(ISBLANK(Table1[[#This Row],[SizeOption]]),"NOT AVAILABLE",Table1[[#This Row],[SizeOption]])</f>
        <v>38, 40, 42, 44</v>
      </c>
      <c r="Y4206" t="str">
        <f>IF(Table2[[#This Row],[Column1]]&gt;50%,"HIGH DISCOUNT","LOW DISCOUNT")</f>
        <v>LOW DISCOUNT</v>
      </c>
    </row>
    <row r="4207" spans="1:25" x14ac:dyDescent="0.25">
      <c r="A4207" s="2" t="s">
        <v>8630</v>
      </c>
      <c r="B4207" s="2">
        <v>7538231</v>
      </c>
      <c r="C4207" s="2" t="s">
        <v>271</v>
      </c>
      <c r="D4207" s="2" t="s">
        <v>76</v>
      </c>
      <c r="E4207" s="2" t="s">
        <v>1411</v>
      </c>
      <c r="F4207" s="2" t="s">
        <v>36</v>
      </c>
      <c r="G4207" s="2" t="s">
        <v>6376</v>
      </c>
      <c r="H4207">
        <v>549</v>
      </c>
      <c r="I4207" s="2">
        <v>1099</v>
      </c>
      <c r="J4207" s="2" t="s">
        <v>84</v>
      </c>
      <c r="K4207" s="2" t="s">
        <v>164</v>
      </c>
      <c r="L4207" s="2">
        <v>4.5</v>
      </c>
      <c r="M4207" s="2">
        <v>515</v>
      </c>
      <c r="P4207" t="str">
        <f t="shared" si="263"/>
        <v>50%</v>
      </c>
      <c r="Q4207" s="12">
        <f t="shared" si="260"/>
        <v>0.5</v>
      </c>
      <c r="R4207" s="9">
        <f t="shared" si="261"/>
        <v>549.5</v>
      </c>
      <c r="S4207" s="9">
        <f>IF(R4207="",AVERAGEIF(Table1[Category],Table1[[#This Row],[Category]],Table2[orignal data]),Table2[[#This Row],[orignal data]])</f>
        <v>549.5</v>
      </c>
      <c r="T4207" t="str">
        <f t="shared" si="262"/>
        <v>UNIQUE</v>
      </c>
      <c r="U4207" t="str">
        <f>IF(ISBLANK(Table1[[#This Row],[SizeOption]]),"NOT AVAILABLE",Table1[[#This Row],[SizeOption]])</f>
        <v>Onesize</v>
      </c>
      <c r="Y4207" t="str">
        <f>IF(Table2[[#This Row],[Column1]]&gt;50%,"HIGH DISCOUNT","LOW DISCOUNT")</f>
        <v>LOW DISCOUNT</v>
      </c>
    </row>
    <row r="4208" spans="1:25" x14ac:dyDescent="0.25">
      <c r="A4208" s="1" t="s">
        <v>8631</v>
      </c>
      <c r="B4208" s="1">
        <v>9539303</v>
      </c>
      <c r="C4208" s="1" t="s">
        <v>924</v>
      </c>
      <c r="D4208" s="1" t="s">
        <v>76</v>
      </c>
      <c r="E4208" s="1" t="s">
        <v>93</v>
      </c>
      <c r="F4208" s="1" t="s">
        <v>36</v>
      </c>
      <c r="G4208" s="1" t="s">
        <v>8632</v>
      </c>
      <c r="H4208">
        <v>1529</v>
      </c>
      <c r="I4208" s="1">
        <v>3399</v>
      </c>
      <c r="J4208" s="1" t="s">
        <v>25</v>
      </c>
      <c r="K4208" s="1" t="s">
        <v>39</v>
      </c>
      <c r="L4208" s="1">
        <v>4.2</v>
      </c>
      <c r="M4208" s="1">
        <v>515</v>
      </c>
      <c r="P4208" t="str">
        <f t="shared" si="263"/>
        <v>55%</v>
      </c>
      <c r="Q4208" s="12">
        <f t="shared" si="260"/>
        <v>0.55000000000000004</v>
      </c>
      <c r="R4208" s="9">
        <f t="shared" si="261"/>
        <v>1529.55</v>
      </c>
      <c r="S4208" s="9">
        <f>IF(R4208="",AVERAGEIF(Table1[Category],Table1[[#This Row],[Category]],Table2[orignal data]),Table2[[#This Row],[orignal data]])</f>
        <v>1529.55</v>
      </c>
      <c r="T4208" t="str">
        <f t="shared" si="262"/>
        <v>UNIQUE</v>
      </c>
      <c r="U4208" t="str">
        <f>IF(ISBLANK(Table1[[#This Row],[SizeOption]]),"NOT AVAILABLE",Table1[[#This Row],[SizeOption]])</f>
        <v>S, M, L, XL, XXL</v>
      </c>
      <c r="Y4208" t="str">
        <f>IF(Table2[[#This Row],[Column1]]&gt;50%,"HIGH DISCOUNT","LOW DISCOUNT")</f>
        <v>HIGH DISCOUNT</v>
      </c>
    </row>
    <row r="4209" spans="1:25" x14ac:dyDescent="0.25">
      <c r="A4209" s="2" t="s">
        <v>8633</v>
      </c>
      <c r="B4209" s="2">
        <v>13631268</v>
      </c>
      <c r="C4209" s="2" t="s">
        <v>620</v>
      </c>
      <c r="D4209" s="2" t="s">
        <v>34</v>
      </c>
      <c r="E4209" s="2" t="s">
        <v>406</v>
      </c>
      <c r="F4209" s="2" t="s">
        <v>36</v>
      </c>
      <c r="G4209" s="2" t="s">
        <v>8634</v>
      </c>
      <c r="H4209">
        <v>804</v>
      </c>
      <c r="I4209" s="2">
        <v>2299</v>
      </c>
      <c r="J4209" s="2" t="s">
        <v>150</v>
      </c>
      <c r="K4209" s="2" t="s">
        <v>26</v>
      </c>
      <c r="L4209" s="2">
        <v>4.2</v>
      </c>
      <c r="M4209" s="2">
        <v>515</v>
      </c>
      <c r="P4209" t="str">
        <f t="shared" si="263"/>
        <v>65%</v>
      </c>
      <c r="Q4209" s="12">
        <f t="shared" si="260"/>
        <v>0.65</v>
      </c>
      <c r="R4209" s="9">
        <f t="shared" si="261"/>
        <v>804.64999999999986</v>
      </c>
      <c r="S4209" s="9">
        <f>IF(R4209="",AVERAGEIF(Table1[Category],Table1[[#This Row],[Category]],Table2[orignal data]),Table2[[#This Row],[orignal data]])</f>
        <v>804.64999999999986</v>
      </c>
      <c r="T4209" t="str">
        <f t="shared" si="262"/>
        <v>UNIQUE</v>
      </c>
      <c r="U4209" t="str">
        <f>IF(ISBLANK(Table1[[#This Row],[SizeOption]]),"NOT AVAILABLE",Table1[[#This Row],[SizeOption]])</f>
        <v>S, M, L, XL</v>
      </c>
      <c r="Y4209" t="str">
        <f>IF(Table2[[#This Row],[Column1]]&gt;50%,"HIGH DISCOUNT","LOW DISCOUNT")</f>
        <v>HIGH DISCOUNT</v>
      </c>
    </row>
    <row r="4210" spans="1:25" x14ac:dyDescent="0.25">
      <c r="A4210" s="1" t="s">
        <v>8635</v>
      </c>
      <c r="B4210" s="1">
        <v>10671380</v>
      </c>
      <c r="C4210" s="1" t="s">
        <v>107</v>
      </c>
      <c r="D4210" s="1" t="s">
        <v>41</v>
      </c>
      <c r="E4210" s="1" t="s">
        <v>16</v>
      </c>
      <c r="F4210" s="1" t="s">
        <v>36</v>
      </c>
      <c r="G4210" s="1" t="s">
        <v>5098</v>
      </c>
      <c r="I4210" s="1">
        <v>1799</v>
      </c>
      <c r="J4210" s="1" t="s">
        <v>150</v>
      </c>
      <c r="K4210" s="1" t="s">
        <v>134</v>
      </c>
      <c r="L4210" s="1">
        <v>3.8</v>
      </c>
      <c r="M4210" s="1">
        <v>515</v>
      </c>
      <c r="P4210" t="str">
        <f t="shared" si="263"/>
        <v>65%</v>
      </c>
      <c r="Q4210" s="12">
        <f t="shared" si="260"/>
        <v>0.65</v>
      </c>
      <c r="R4210" s="9">
        <f t="shared" si="261"/>
        <v>629.64999999999986</v>
      </c>
      <c r="S4210" s="9">
        <f>IF(R4210="",AVERAGEIF(Table1[Category],Table1[[#This Row],[Category]],Table2[orignal data]),Table2[[#This Row],[orignal data]])</f>
        <v>629.64999999999986</v>
      </c>
      <c r="T4210" t="str">
        <f t="shared" si="262"/>
        <v>UNIQUE</v>
      </c>
      <c r="U4210" t="str">
        <f>IF(ISBLANK(Table1[[#This Row],[SizeOption]]),"NOT AVAILABLE",Table1[[#This Row],[SizeOption]])</f>
        <v>26, 28, 30, 32, 34, 36</v>
      </c>
      <c r="Y4210" t="str">
        <f>IF(Table2[[#This Row],[Column1]]&gt;50%,"HIGH DISCOUNT","LOW DISCOUNT")</f>
        <v>HIGH DISCOUNT</v>
      </c>
    </row>
    <row r="4211" spans="1:25" x14ac:dyDescent="0.25">
      <c r="A4211" s="2" t="s">
        <v>8636</v>
      </c>
      <c r="B4211" s="2">
        <v>10187429</v>
      </c>
      <c r="C4211" s="2" t="s">
        <v>169</v>
      </c>
      <c r="D4211" s="2" t="s">
        <v>15</v>
      </c>
      <c r="E4211" s="2" t="s">
        <v>16</v>
      </c>
      <c r="F4211" s="2" t="s">
        <v>17</v>
      </c>
      <c r="G4211" s="2" t="s">
        <v>8637</v>
      </c>
      <c r="H4211">
        <v>1399</v>
      </c>
      <c r="I4211" s="2">
        <v>2799</v>
      </c>
      <c r="J4211" s="2" t="s">
        <v>84</v>
      </c>
      <c r="K4211" s="2" t="s">
        <v>171</v>
      </c>
      <c r="L4211" s="2">
        <v>4</v>
      </c>
      <c r="M4211" s="2">
        <v>514</v>
      </c>
      <c r="P4211" t="str">
        <f t="shared" si="263"/>
        <v>50%</v>
      </c>
      <c r="Q4211" s="12">
        <f t="shared" si="260"/>
        <v>0.5</v>
      </c>
      <c r="R4211" s="9">
        <f t="shared" si="261"/>
        <v>1399.5</v>
      </c>
      <c r="S4211" s="9">
        <f>IF(R4211="",AVERAGEIF(Table1[Category],Table1[[#This Row],[Category]],Table2[orignal data]),Table2[[#This Row],[orignal data]])</f>
        <v>1399.5</v>
      </c>
      <c r="T4211" t="str">
        <f t="shared" si="262"/>
        <v>UNIQUE</v>
      </c>
      <c r="U4211" t="str">
        <f>IF(ISBLANK(Table1[[#This Row],[SizeOption]]),"NOT AVAILABLE",Table1[[#This Row],[SizeOption]])</f>
        <v>28, 30, 32, 34, 36, 38</v>
      </c>
      <c r="Y4211" t="str">
        <f>IF(Table2[[#This Row],[Column1]]&gt;50%,"HIGH DISCOUNT","LOW DISCOUNT")</f>
        <v>LOW DISCOUNT</v>
      </c>
    </row>
    <row r="4212" spans="1:25" x14ac:dyDescent="0.25">
      <c r="A4212" s="1" t="s">
        <v>8638</v>
      </c>
      <c r="B4212" s="1">
        <v>1885253</v>
      </c>
      <c r="C4212" s="1" t="s">
        <v>430</v>
      </c>
      <c r="D4212" s="1" t="s">
        <v>15</v>
      </c>
      <c r="E4212" s="1" t="s">
        <v>16</v>
      </c>
      <c r="F4212" s="1" t="s">
        <v>17</v>
      </c>
      <c r="G4212" s="1" t="s">
        <v>8639</v>
      </c>
      <c r="H4212">
        <v>1264</v>
      </c>
      <c r="I4212" s="1">
        <v>2299</v>
      </c>
      <c r="J4212" s="1" t="s">
        <v>19</v>
      </c>
      <c r="K4212" s="1" t="s">
        <v>171</v>
      </c>
      <c r="L4212" s="1">
        <v>3.6</v>
      </c>
      <c r="M4212" s="1">
        <v>514</v>
      </c>
      <c r="P4212" t="str">
        <f t="shared" si="263"/>
        <v>45%</v>
      </c>
      <c r="Q4212" s="12">
        <f t="shared" si="260"/>
        <v>0.45</v>
      </c>
      <c r="R4212" s="9">
        <f t="shared" si="261"/>
        <v>1264.45</v>
      </c>
      <c r="S4212" s="9">
        <f>IF(R4212="",AVERAGEIF(Table1[Category],Table1[[#This Row],[Category]],Table2[orignal data]),Table2[[#This Row],[orignal data]])</f>
        <v>1264.45</v>
      </c>
      <c r="T4212" t="str">
        <f t="shared" si="262"/>
        <v>UNIQUE</v>
      </c>
      <c r="U4212" t="str">
        <f>IF(ISBLANK(Table1[[#This Row],[SizeOption]]),"NOT AVAILABLE",Table1[[#This Row],[SizeOption]])</f>
        <v>28, 30, 32, 34, 36, 38</v>
      </c>
      <c r="Y4212" t="str">
        <f>IF(Table2[[#This Row],[Column1]]&gt;50%,"HIGH DISCOUNT","LOW DISCOUNT")</f>
        <v>LOW DISCOUNT</v>
      </c>
    </row>
    <row r="4213" spans="1:25" x14ac:dyDescent="0.25">
      <c r="A4213" s="2" t="s">
        <v>8640</v>
      </c>
      <c r="B4213" s="2">
        <v>11901402</v>
      </c>
      <c r="C4213" s="2" t="s">
        <v>841</v>
      </c>
      <c r="D4213" s="2" t="s">
        <v>15</v>
      </c>
      <c r="E4213" s="2" t="s">
        <v>16</v>
      </c>
      <c r="F4213" s="2" t="s">
        <v>17</v>
      </c>
      <c r="G4213" s="2" t="s">
        <v>3058</v>
      </c>
      <c r="H4213">
        <v>539</v>
      </c>
      <c r="I4213" s="2">
        <v>1798</v>
      </c>
      <c r="J4213" s="2" t="s">
        <v>79</v>
      </c>
      <c r="K4213" s="2" t="s">
        <v>20</v>
      </c>
      <c r="L4213" s="2">
        <v>3.6</v>
      </c>
      <c r="M4213" s="2">
        <v>514</v>
      </c>
      <c r="P4213" t="str">
        <f t="shared" si="263"/>
        <v>70%</v>
      </c>
      <c r="Q4213" s="12">
        <f t="shared" si="260"/>
        <v>0.7</v>
      </c>
      <c r="R4213" s="9">
        <f t="shared" si="261"/>
        <v>539.40000000000009</v>
      </c>
      <c r="S4213" s="9">
        <f>IF(R4213="",AVERAGEIF(Table1[Category],Table1[[#This Row],[Category]],Table2[orignal data]),Table2[[#This Row],[orignal data]])</f>
        <v>539.40000000000009</v>
      </c>
      <c r="T4213" t="str">
        <f t="shared" si="262"/>
        <v>UNIQUE</v>
      </c>
      <c r="U4213" t="str">
        <f>IF(ISBLANK(Table1[[#This Row],[SizeOption]]),"NOT AVAILABLE",Table1[[#This Row],[SizeOption]])</f>
        <v>28, 30, 32, 34, 36</v>
      </c>
      <c r="Y4213" t="str">
        <f>IF(Table2[[#This Row],[Column1]]&gt;50%,"HIGH DISCOUNT","LOW DISCOUNT")</f>
        <v>HIGH DISCOUNT</v>
      </c>
    </row>
    <row r="4214" spans="1:25" x14ac:dyDescent="0.25">
      <c r="A4214" s="1" t="s">
        <v>8641</v>
      </c>
      <c r="B4214" s="1">
        <v>14461444</v>
      </c>
      <c r="C4214" s="1" t="s">
        <v>295</v>
      </c>
      <c r="D4214" s="1" t="s">
        <v>197</v>
      </c>
      <c r="E4214" s="1" t="s">
        <v>350</v>
      </c>
      <c r="F4214" s="1" t="s">
        <v>17</v>
      </c>
      <c r="G4214" s="1" t="s">
        <v>8642</v>
      </c>
      <c r="H4214">
        <v>287</v>
      </c>
      <c r="I4214" s="1">
        <v>319</v>
      </c>
      <c r="J4214" s="1" t="s">
        <v>1005</v>
      </c>
      <c r="K4214" s="1" t="s">
        <v>26</v>
      </c>
      <c r="L4214" s="1">
        <v>4.2</v>
      </c>
      <c r="M4214" s="1">
        <v>514</v>
      </c>
      <c r="P4214" t="str">
        <f t="shared" si="263"/>
        <v>10%</v>
      </c>
      <c r="Q4214" s="12">
        <f t="shared" si="260"/>
        <v>0.1</v>
      </c>
      <c r="R4214" s="9">
        <f t="shared" si="261"/>
        <v>287.10000000000002</v>
      </c>
      <c r="S4214" s="9">
        <f>IF(R4214="",AVERAGEIF(Table1[Category],Table1[[#This Row],[Category]],Table2[orignal data]),Table2[[#This Row],[orignal data]])</f>
        <v>287.10000000000002</v>
      </c>
      <c r="T4214" t="str">
        <f t="shared" si="262"/>
        <v>UNIQUE</v>
      </c>
      <c r="U4214" t="str">
        <f>IF(ISBLANK(Table1[[#This Row],[SizeOption]]),"NOT AVAILABLE",Table1[[#This Row],[SizeOption]])</f>
        <v>S, M, L, XL</v>
      </c>
      <c r="Y4214" t="str">
        <f>IF(Table2[[#This Row],[Column1]]&gt;50%,"HIGH DISCOUNT","LOW DISCOUNT")</f>
        <v>LOW DISCOUNT</v>
      </c>
    </row>
    <row r="4215" spans="1:25" x14ac:dyDescent="0.25">
      <c r="A4215" s="2" t="s">
        <v>8643</v>
      </c>
      <c r="B4215" s="2">
        <v>8923771</v>
      </c>
      <c r="C4215" s="2" t="s">
        <v>6741</v>
      </c>
      <c r="D4215" s="2" t="s">
        <v>28</v>
      </c>
      <c r="E4215" s="2" t="s">
        <v>42</v>
      </c>
      <c r="F4215" s="2" t="s">
        <v>17</v>
      </c>
      <c r="G4215" s="2" t="s">
        <v>8644</v>
      </c>
      <c r="H4215">
        <v>439</v>
      </c>
      <c r="I4215" s="2">
        <v>1099</v>
      </c>
      <c r="J4215" s="2" t="s">
        <v>55</v>
      </c>
      <c r="K4215" s="2" t="s">
        <v>39</v>
      </c>
      <c r="L4215" s="2">
        <v>4.0999999999999996</v>
      </c>
      <c r="M4215" s="2">
        <v>514</v>
      </c>
      <c r="P4215" t="str">
        <f t="shared" si="263"/>
        <v>60%</v>
      </c>
      <c r="Q4215" s="12">
        <f t="shared" si="260"/>
        <v>0.6</v>
      </c>
      <c r="R4215" s="9">
        <f t="shared" si="261"/>
        <v>439.6</v>
      </c>
      <c r="S4215" s="9">
        <f>IF(R4215="",AVERAGEIF(Table1[Category],Table1[[#This Row],[Category]],Table2[orignal data]),Table2[[#This Row],[orignal data]])</f>
        <v>439.6</v>
      </c>
      <c r="T4215" t="str">
        <f t="shared" si="262"/>
        <v>UNIQUE</v>
      </c>
      <c r="U4215" t="str">
        <f>IF(ISBLANK(Table1[[#This Row],[SizeOption]]),"NOT AVAILABLE",Table1[[#This Row],[SizeOption]])</f>
        <v>S, M, L, XL, XXL</v>
      </c>
      <c r="Y4215" t="str">
        <f>IF(Table2[[#This Row],[Column1]]&gt;50%,"HIGH DISCOUNT","LOW DISCOUNT")</f>
        <v>HIGH DISCOUNT</v>
      </c>
    </row>
    <row r="4216" spans="1:25" x14ac:dyDescent="0.25">
      <c r="A4216" s="1" t="s">
        <v>8645</v>
      </c>
      <c r="B4216" s="1">
        <v>12056204</v>
      </c>
      <c r="C4216" s="1" t="s">
        <v>14</v>
      </c>
      <c r="D4216" s="1" t="s">
        <v>28</v>
      </c>
      <c r="E4216" s="1" t="s">
        <v>29</v>
      </c>
      <c r="F4216" s="1" t="s">
        <v>17</v>
      </c>
      <c r="G4216" s="1" t="s">
        <v>8646</v>
      </c>
      <c r="H4216">
        <v>849</v>
      </c>
      <c r="I4216" s="1">
        <v>1699</v>
      </c>
      <c r="J4216" s="1" t="s">
        <v>84</v>
      </c>
      <c r="K4216" s="1" t="s">
        <v>253</v>
      </c>
      <c r="L4216" s="1">
        <v>4.0999999999999996</v>
      </c>
      <c r="M4216" s="1">
        <v>514</v>
      </c>
      <c r="P4216" t="str">
        <f t="shared" si="263"/>
        <v>50%</v>
      </c>
      <c r="Q4216" s="12">
        <f t="shared" si="260"/>
        <v>0.5</v>
      </c>
      <c r="R4216" s="9">
        <f t="shared" si="261"/>
        <v>849.5</v>
      </c>
      <c r="S4216" s="9">
        <f>IF(R4216="",AVERAGEIF(Table1[Category],Table1[[#This Row],[Category]],Table2[orignal data]),Table2[[#This Row],[orignal data]])</f>
        <v>849.5</v>
      </c>
      <c r="T4216" t="str">
        <f t="shared" si="262"/>
        <v>UNIQUE</v>
      </c>
      <c r="U4216" t="str">
        <f>IF(ISBLANK(Table1[[#This Row],[SizeOption]]),"NOT AVAILABLE",Table1[[#This Row],[SizeOption]])</f>
        <v>38, 40, 42, 44</v>
      </c>
      <c r="Y4216" t="str">
        <f>IF(Table2[[#This Row],[Column1]]&gt;50%,"HIGH DISCOUNT","LOW DISCOUNT")</f>
        <v>LOW DISCOUNT</v>
      </c>
    </row>
    <row r="4217" spans="1:25" x14ac:dyDescent="0.25">
      <c r="A4217" s="2" t="s">
        <v>8647</v>
      </c>
      <c r="B4217" s="2">
        <v>11896306</v>
      </c>
      <c r="C4217" s="2" t="s">
        <v>14</v>
      </c>
      <c r="D4217" s="2" t="s">
        <v>28</v>
      </c>
      <c r="E4217" s="2" t="s">
        <v>29</v>
      </c>
      <c r="F4217" s="2" t="s">
        <v>17</v>
      </c>
      <c r="G4217" s="2" t="s">
        <v>2491</v>
      </c>
      <c r="H4217">
        <v>854</v>
      </c>
      <c r="I4217" s="2">
        <v>1899</v>
      </c>
      <c r="J4217" s="2" t="s">
        <v>25</v>
      </c>
      <c r="K4217" s="2" t="s">
        <v>253</v>
      </c>
      <c r="L4217" s="2">
        <v>4.3</v>
      </c>
      <c r="M4217" s="2">
        <v>514</v>
      </c>
      <c r="P4217" t="str">
        <f t="shared" si="263"/>
        <v>55%</v>
      </c>
      <c r="Q4217" s="12">
        <f t="shared" si="260"/>
        <v>0.55000000000000004</v>
      </c>
      <c r="R4217" s="9">
        <f t="shared" si="261"/>
        <v>854.55</v>
      </c>
      <c r="S4217" s="9">
        <f>IF(R4217="",AVERAGEIF(Table1[Category],Table1[[#This Row],[Category]],Table2[orignal data]),Table2[[#This Row],[orignal data]])</f>
        <v>854.55</v>
      </c>
      <c r="T4217" t="str">
        <f t="shared" si="262"/>
        <v>UNIQUE</v>
      </c>
      <c r="U4217" t="str">
        <f>IF(ISBLANK(Table1[[#This Row],[SizeOption]]),"NOT AVAILABLE",Table1[[#This Row],[SizeOption]])</f>
        <v>38, 40, 42, 44</v>
      </c>
      <c r="Y4217" t="str">
        <f>IF(Table2[[#This Row],[Column1]]&gt;50%,"HIGH DISCOUNT","LOW DISCOUNT")</f>
        <v>HIGH DISCOUNT</v>
      </c>
    </row>
    <row r="4218" spans="1:25" x14ac:dyDescent="0.25">
      <c r="A4218" s="1" t="s">
        <v>8648</v>
      </c>
      <c r="B4218" s="1">
        <v>13791612</v>
      </c>
      <c r="C4218" s="1" t="s">
        <v>113</v>
      </c>
      <c r="D4218" s="1" t="s">
        <v>76</v>
      </c>
      <c r="E4218" s="1" t="s">
        <v>77</v>
      </c>
      <c r="F4218" s="1" t="s">
        <v>36</v>
      </c>
      <c r="G4218" s="1" t="s">
        <v>8649</v>
      </c>
      <c r="H4218">
        <v>944</v>
      </c>
      <c r="I4218" s="1">
        <v>2099</v>
      </c>
      <c r="J4218" s="1" t="s">
        <v>25</v>
      </c>
      <c r="K4218" s="1" t="s">
        <v>115</v>
      </c>
      <c r="L4218" s="1">
        <v>3.8</v>
      </c>
      <c r="M4218" s="1">
        <v>514</v>
      </c>
      <c r="P4218" t="str">
        <f t="shared" si="263"/>
        <v>55%</v>
      </c>
      <c r="Q4218" s="12">
        <f t="shared" si="260"/>
        <v>0.55000000000000004</v>
      </c>
      <c r="R4218" s="9">
        <f t="shared" si="261"/>
        <v>944.55</v>
      </c>
      <c r="S4218" s="9">
        <f>IF(R4218="",AVERAGEIF(Table1[Category],Table1[[#This Row],[Category]],Table2[orignal data]),Table2[[#This Row],[orignal data]])</f>
        <v>944.55</v>
      </c>
      <c r="T4218" t="str">
        <f t="shared" si="262"/>
        <v>UNIQUE</v>
      </c>
      <c r="U4218" t="str">
        <f>IF(ISBLANK(Table1[[#This Row],[SizeOption]]),"NOT AVAILABLE",Table1[[#This Row],[SizeOption]])</f>
        <v>XS, S, M, L, XL, XXL</v>
      </c>
      <c r="Y4218" t="str">
        <f>IF(Table2[[#This Row],[Column1]]&gt;50%,"HIGH DISCOUNT","LOW DISCOUNT")</f>
        <v>HIGH DISCOUNT</v>
      </c>
    </row>
    <row r="4219" spans="1:25" x14ac:dyDescent="0.25">
      <c r="A4219" s="2" t="s">
        <v>8650</v>
      </c>
      <c r="B4219" s="2">
        <v>13988178</v>
      </c>
      <c r="C4219" s="2" t="s">
        <v>545</v>
      </c>
      <c r="D4219" s="2" t="s">
        <v>76</v>
      </c>
      <c r="E4219" s="2" t="s">
        <v>320</v>
      </c>
      <c r="F4219" s="2" t="s">
        <v>36</v>
      </c>
      <c r="G4219" s="2" t="s">
        <v>8651</v>
      </c>
      <c r="H4219">
        <v>874</v>
      </c>
      <c r="I4219" s="2">
        <v>2499</v>
      </c>
      <c r="J4219" s="2" t="s">
        <v>150</v>
      </c>
      <c r="K4219" s="2" t="s">
        <v>164</v>
      </c>
      <c r="L4219" s="2">
        <v>3.9</v>
      </c>
      <c r="M4219" s="2">
        <v>514</v>
      </c>
      <c r="P4219" t="str">
        <f t="shared" si="263"/>
        <v>65%</v>
      </c>
      <c r="Q4219" s="12">
        <f t="shared" si="260"/>
        <v>0.65</v>
      </c>
      <c r="R4219" s="9">
        <f t="shared" si="261"/>
        <v>874.64999999999986</v>
      </c>
      <c r="S4219" s="9">
        <f>IF(R4219="",AVERAGEIF(Table1[Category],Table1[[#This Row],[Category]],Table2[orignal data]),Table2[[#This Row],[orignal data]])</f>
        <v>874.64999999999986</v>
      </c>
      <c r="T4219" t="str">
        <f t="shared" si="262"/>
        <v>UNIQUE</v>
      </c>
      <c r="U4219" t="str">
        <f>IF(ISBLANK(Table1[[#This Row],[SizeOption]]),"NOT AVAILABLE",Table1[[#This Row],[SizeOption]])</f>
        <v>Onesize</v>
      </c>
      <c r="Y4219" t="str">
        <f>IF(Table2[[#This Row],[Column1]]&gt;50%,"HIGH DISCOUNT","LOW DISCOUNT")</f>
        <v>HIGH DISCOUNT</v>
      </c>
    </row>
    <row r="4220" spans="1:25" x14ac:dyDescent="0.25">
      <c r="A4220" s="1" t="s">
        <v>8652</v>
      </c>
      <c r="B4220" s="1">
        <v>13237954</v>
      </c>
      <c r="C4220" s="1" t="s">
        <v>113</v>
      </c>
      <c r="D4220" s="1" t="s">
        <v>76</v>
      </c>
      <c r="E4220" s="1" t="s">
        <v>77</v>
      </c>
      <c r="F4220" s="1" t="s">
        <v>36</v>
      </c>
      <c r="G4220" s="1" t="s">
        <v>8653</v>
      </c>
      <c r="H4220">
        <v>1084</v>
      </c>
      <c r="I4220" s="1">
        <v>3099</v>
      </c>
      <c r="J4220" s="1" t="s">
        <v>150</v>
      </c>
      <c r="K4220" s="1" t="s">
        <v>115</v>
      </c>
      <c r="L4220" s="1">
        <v>3.9</v>
      </c>
      <c r="M4220" s="1">
        <v>514</v>
      </c>
      <c r="P4220" t="str">
        <f t="shared" si="263"/>
        <v>65%</v>
      </c>
      <c r="Q4220" s="12">
        <f t="shared" si="260"/>
        <v>0.65</v>
      </c>
      <c r="R4220" s="9">
        <f t="shared" si="261"/>
        <v>1084.6499999999999</v>
      </c>
      <c r="S4220" s="9">
        <f>IF(R4220="",AVERAGEIF(Table1[Category],Table1[[#This Row],[Category]],Table2[orignal data]),Table2[[#This Row],[orignal data]])</f>
        <v>1084.6499999999999</v>
      </c>
      <c r="T4220" t="str">
        <f t="shared" si="262"/>
        <v>UNIQUE</v>
      </c>
      <c r="U4220" t="str">
        <f>IF(ISBLANK(Table1[[#This Row],[SizeOption]]),"NOT AVAILABLE",Table1[[#This Row],[SizeOption]])</f>
        <v>XS, S, M, L, XL, XXL</v>
      </c>
      <c r="Y4220" t="str">
        <f>IF(Table2[[#This Row],[Column1]]&gt;50%,"HIGH DISCOUNT","LOW DISCOUNT")</f>
        <v>HIGH DISCOUNT</v>
      </c>
    </row>
    <row r="4221" spans="1:25" x14ac:dyDescent="0.25">
      <c r="A4221" s="2" t="s">
        <v>8654</v>
      </c>
      <c r="B4221" s="2">
        <v>2486241</v>
      </c>
      <c r="C4221" s="2" t="s">
        <v>762</v>
      </c>
      <c r="D4221" s="2" t="s">
        <v>34</v>
      </c>
      <c r="E4221" s="2" t="s">
        <v>118</v>
      </c>
      <c r="F4221" s="2" t="s">
        <v>36</v>
      </c>
      <c r="G4221" s="2" t="s">
        <v>8655</v>
      </c>
      <c r="H4221">
        <v>853</v>
      </c>
      <c r="I4221" s="2">
        <v>898</v>
      </c>
      <c r="J4221" s="2" t="s">
        <v>764</v>
      </c>
      <c r="K4221" s="2" t="s">
        <v>765</v>
      </c>
      <c r="L4221" s="2">
        <v>4.3</v>
      </c>
      <c r="M4221" s="2">
        <v>514</v>
      </c>
      <c r="P4221" t="str">
        <f t="shared" si="263"/>
        <v>5%</v>
      </c>
      <c r="Q4221" s="12">
        <f t="shared" si="260"/>
        <v>0.05</v>
      </c>
      <c r="R4221" s="9">
        <f t="shared" si="261"/>
        <v>853.1</v>
      </c>
      <c r="S4221" s="9">
        <f>IF(R4221="",AVERAGEIF(Table1[Category],Table1[[#This Row],[Category]],Table2[orignal data]),Table2[[#This Row],[orignal data]])</f>
        <v>853.1</v>
      </c>
      <c r="T4221" t="str">
        <f t="shared" si="262"/>
        <v>UNIQUE</v>
      </c>
      <c r="U4221" t="str">
        <f>IF(ISBLANK(Table1[[#This Row],[SizeOption]]),"NOT AVAILABLE",Table1[[#This Row],[SizeOption]])</f>
        <v>30B, 32B, 34B, 36B, 38B, 40B</v>
      </c>
      <c r="Y4221" t="str">
        <f>IF(Table2[[#This Row],[Column1]]&gt;50%,"HIGH DISCOUNT","LOW DISCOUNT")</f>
        <v>LOW DISCOUNT</v>
      </c>
    </row>
    <row r="4222" spans="1:25" x14ac:dyDescent="0.25">
      <c r="A4222" s="1" t="s">
        <v>8656</v>
      </c>
      <c r="B4222" s="1">
        <v>11003398</v>
      </c>
      <c r="C4222" s="1" t="s">
        <v>107</v>
      </c>
      <c r="D4222" s="1" t="s">
        <v>68</v>
      </c>
      <c r="E4222" s="1" t="s">
        <v>23</v>
      </c>
      <c r="F4222" s="1" t="s">
        <v>36</v>
      </c>
      <c r="G4222" s="1" t="s">
        <v>8657</v>
      </c>
      <c r="H4222">
        <v>479</v>
      </c>
      <c r="I4222" s="1">
        <v>1599</v>
      </c>
      <c r="J4222" s="1" t="s">
        <v>79</v>
      </c>
      <c r="K4222" s="1" t="s">
        <v>115</v>
      </c>
      <c r="L4222" s="1">
        <v>4.3</v>
      </c>
      <c r="M4222" s="1">
        <v>514</v>
      </c>
      <c r="P4222" t="str">
        <f t="shared" si="263"/>
        <v>70%</v>
      </c>
      <c r="Q4222" s="12">
        <f t="shared" si="260"/>
        <v>0.7</v>
      </c>
      <c r="R4222" s="9">
        <f t="shared" si="261"/>
        <v>479.70000000000005</v>
      </c>
      <c r="S4222" s="9">
        <f>IF(R4222="",AVERAGEIF(Table1[Category],Table1[[#This Row],[Category]],Table2[orignal data]),Table2[[#This Row],[orignal data]])</f>
        <v>479.70000000000005</v>
      </c>
      <c r="T4222" t="str">
        <f t="shared" si="262"/>
        <v>UNIQUE</v>
      </c>
      <c r="U4222" t="str">
        <f>IF(ISBLANK(Table1[[#This Row],[SizeOption]]),"NOT AVAILABLE",Table1[[#This Row],[SizeOption]])</f>
        <v>XS, S, M, L, XL, XXL</v>
      </c>
      <c r="Y4222" t="str">
        <f>IF(Table2[[#This Row],[Column1]]&gt;50%,"HIGH DISCOUNT","LOW DISCOUNT")</f>
        <v>HIGH DISCOUNT</v>
      </c>
    </row>
    <row r="4223" spans="1:25" x14ac:dyDescent="0.25">
      <c r="A4223" s="2" t="s">
        <v>8658</v>
      </c>
      <c r="B4223" s="2">
        <v>13670868</v>
      </c>
      <c r="C4223" s="2" t="s">
        <v>124</v>
      </c>
      <c r="D4223" s="2" t="s">
        <v>41</v>
      </c>
      <c r="E4223" s="2" t="s">
        <v>48</v>
      </c>
      <c r="F4223" s="2" t="s">
        <v>36</v>
      </c>
      <c r="G4223" s="2" t="s">
        <v>8659</v>
      </c>
      <c r="I4223" s="2">
        <v>1599</v>
      </c>
      <c r="J4223" s="2" t="s">
        <v>55</v>
      </c>
      <c r="K4223" s="2" t="s">
        <v>352</v>
      </c>
      <c r="L4223" s="2">
        <v>4.0999999999999996</v>
      </c>
      <c r="M4223" s="2">
        <v>514</v>
      </c>
      <c r="P4223" t="str">
        <f t="shared" si="263"/>
        <v>60%</v>
      </c>
      <c r="Q4223" s="12">
        <f t="shared" si="260"/>
        <v>0.6</v>
      </c>
      <c r="R4223" s="9">
        <f t="shared" si="261"/>
        <v>639.6</v>
      </c>
      <c r="S4223" s="9">
        <f>IF(R4223="",AVERAGEIF(Table1[Category],Table1[[#This Row],[Category]],Table2[orignal data]),Table2[[#This Row],[orignal data]])</f>
        <v>639.6</v>
      </c>
      <c r="T4223" t="str">
        <f t="shared" si="262"/>
        <v>UNIQUE</v>
      </c>
      <c r="U4223" t="str">
        <f>IF(ISBLANK(Table1[[#This Row],[SizeOption]]),"NOT AVAILABLE",Table1[[#This Row],[SizeOption]])</f>
        <v>S, M, L</v>
      </c>
      <c r="Y4223" t="str">
        <f>IF(Table2[[#This Row],[Column1]]&gt;50%,"HIGH DISCOUNT","LOW DISCOUNT")</f>
        <v>HIGH DISCOUNT</v>
      </c>
    </row>
    <row r="4224" spans="1:25" x14ac:dyDescent="0.25">
      <c r="A4224" s="1" t="s">
        <v>8660</v>
      </c>
      <c r="B4224" s="1">
        <v>10856174</v>
      </c>
      <c r="C4224" s="1" t="s">
        <v>181</v>
      </c>
      <c r="D4224" s="1" t="s">
        <v>41</v>
      </c>
      <c r="E4224" s="1" t="s">
        <v>148</v>
      </c>
      <c r="F4224" s="1" t="s">
        <v>36</v>
      </c>
      <c r="G4224" s="1" t="s">
        <v>8661</v>
      </c>
      <c r="I4224" s="1">
        <v>1599</v>
      </c>
      <c r="J4224" s="1" t="s">
        <v>163</v>
      </c>
      <c r="K4224" s="1" t="s">
        <v>115</v>
      </c>
      <c r="L4224" s="1">
        <v>4.5</v>
      </c>
      <c r="M4224" s="1">
        <v>514</v>
      </c>
      <c r="P4224" t="str">
        <f t="shared" si="263"/>
        <v>51%</v>
      </c>
      <c r="Q4224" s="12">
        <f t="shared" si="260"/>
        <v>0.51</v>
      </c>
      <c r="R4224" s="9">
        <f t="shared" si="261"/>
        <v>783.51</v>
      </c>
      <c r="S4224" s="9">
        <f>IF(R4224="",AVERAGEIF(Table1[Category],Table1[[#This Row],[Category]],Table2[orignal data]),Table2[[#This Row],[orignal data]])</f>
        <v>783.51</v>
      </c>
      <c r="T4224" t="str">
        <f t="shared" si="262"/>
        <v>UNIQUE</v>
      </c>
      <c r="U4224" t="str">
        <f>IF(ISBLANK(Table1[[#This Row],[SizeOption]]),"NOT AVAILABLE",Table1[[#This Row],[SizeOption]])</f>
        <v>XS, S, M, L, XL, XXL</v>
      </c>
      <c r="Y4224" t="str">
        <f>IF(Table2[[#This Row],[Column1]]&gt;50%,"HIGH DISCOUNT","LOW DISCOUNT")</f>
        <v>HIGH DISCOUNT</v>
      </c>
    </row>
    <row r="4225" spans="1:25" x14ac:dyDescent="0.25">
      <c r="A4225" s="2" t="s">
        <v>8662</v>
      </c>
      <c r="B4225" s="2">
        <v>1978691</v>
      </c>
      <c r="C4225" s="2" t="s">
        <v>188</v>
      </c>
      <c r="D4225" s="2" t="s">
        <v>41</v>
      </c>
      <c r="E4225" s="2" t="s">
        <v>48</v>
      </c>
      <c r="F4225" s="2" t="s">
        <v>36</v>
      </c>
      <c r="G4225" s="2" t="s">
        <v>8663</v>
      </c>
      <c r="I4225" s="2">
        <v>1599</v>
      </c>
      <c r="J4225" s="2" t="s">
        <v>25</v>
      </c>
      <c r="K4225" s="2" t="s">
        <v>26</v>
      </c>
      <c r="L4225" s="2">
        <v>4.3</v>
      </c>
      <c r="M4225" s="2">
        <v>514</v>
      </c>
      <c r="P4225" t="str">
        <f t="shared" si="263"/>
        <v>55%</v>
      </c>
      <c r="Q4225" s="12">
        <f t="shared" si="260"/>
        <v>0.55000000000000004</v>
      </c>
      <c r="R4225" s="9">
        <f t="shared" si="261"/>
        <v>719.55</v>
      </c>
      <c r="S4225" s="9">
        <f>IF(R4225="",AVERAGEIF(Table1[Category],Table1[[#This Row],[Category]],Table2[orignal data]),Table2[[#This Row],[orignal data]])</f>
        <v>719.55</v>
      </c>
      <c r="T4225" t="str">
        <f t="shared" si="262"/>
        <v>UNIQUE</v>
      </c>
      <c r="U4225" t="str">
        <f>IF(ISBLANK(Table1[[#This Row],[SizeOption]]),"NOT AVAILABLE",Table1[[#This Row],[SizeOption]])</f>
        <v>S, M, L, XL</v>
      </c>
      <c r="Y4225" t="str">
        <f>IF(Table2[[#This Row],[Column1]]&gt;50%,"HIGH DISCOUNT","LOW DISCOUNT")</f>
        <v>HIGH DISCOUNT</v>
      </c>
    </row>
    <row r="4226" spans="1:25" x14ac:dyDescent="0.25">
      <c r="A4226" s="1" t="s">
        <v>8664</v>
      </c>
      <c r="B4226" s="1">
        <v>13178044</v>
      </c>
      <c r="C4226" s="1" t="s">
        <v>102</v>
      </c>
      <c r="D4226" s="1" t="s">
        <v>41</v>
      </c>
      <c r="E4226" s="1" t="s">
        <v>189</v>
      </c>
      <c r="F4226" s="1" t="s">
        <v>36</v>
      </c>
      <c r="G4226" s="1" t="s">
        <v>8665</v>
      </c>
      <c r="I4226" s="1">
        <v>3849</v>
      </c>
      <c r="J4226" s="1" t="s">
        <v>104</v>
      </c>
      <c r="K4226" s="1" t="s">
        <v>26</v>
      </c>
      <c r="L4226" s="1">
        <v>4.4000000000000004</v>
      </c>
      <c r="M4226" s="1">
        <v>514</v>
      </c>
      <c r="P4226" t="str">
        <f t="shared" si="263"/>
        <v>61%</v>
      </c>
      <c r="Q4226" s="12">
        <f t="shared" ref="Q4226:Q4289" si="264">IF(P4226="","",IF(ISNUMBER(SEARCH("%",P4226)),P4226,P4226/I4226)*100%)</f>
        <v>0.61</v>
      </c>
      <c r="R4226" s="9">
        <f t="shared" ref="R4226:R4289" si="265">IF(P4226="","",I4226-(I4226*Q4226))</f>
        <v>1501.1100000000001</v>
      </c>
      <c r="S4226" s="9">
        <f>IF(R4226="",AVERAGEIF(Table1[Category],Table1[[#This Row],[Category]],Table2[orignal data]),Table2[[#This Row],[orignal data]])</f>
        <v>1501.1100000000001</v>
      </c>
      <c r="T4226" t="str">
        <f t="shared" ref="T4226:T4289" si="266">IF(COUNTIF($B$2:$B$5000,B4226)&gt;1,"DUPLICATE","UNIQUE")</f>
        <v>UNIQUE</v>
      </c>
      <c r="U4226" t="str">
        <f>IF(ISBLANK(Table1[[#This Row],[SizeOption]]),"NOT AVAILABLE",Table1[[#This Row],[SizeOption]])</f>
        <v>S, M, L, XL</v>
      </c>
      <c r="Y4226" t="str">
        <f>IF(Table2[[#This Row],[Column1]]&gt;50%,"HIGH DISCOUNT","LOW DISCOUNT")</f>
        <v>HIGH DISCOUNT</v>
      </c>
    </row>
    <row r="4227" spans="1:25" x14ac:dyDescent="0.25">
      <c r="A4227" s="2" t="s">
        <v>8666</v>
      </c>
      <c r="B4227" s="2">
        <v>2202034</v>
      </c>
      <c r="C4227" s="2" t="s">
        <v>346</v>
      </c>
      <c r="D4227" s="2" t="s">
        <v>41</v>
      </c>
      <c r="E4227" s="2" t="s">
        <v>42</v>
      </c>
      <c r="F4227" s="2" t="s">
        <v>36</v>
      </c>
      <c r="G4227" s="2" t="s">
        <v>8667</v>
      </c>
      <c r="I4227" s="2">
        <v>599</v>
      </c>
      <c r="J4227" s="2" t="s">
        <v>1986</v>
      </c>
      <c r="K4227" s="2" t="s">
        <v>45</v>
      </c>
      <c r="L4227" s="2">
        <v>4.2</v>
      </c>
      <c r="M4227" s="2">
        <v>514</v>
      </c>
      <c r="P4227" t="str">
        <f t="shared" ref="P4227:P4290" si="267">TRIM(SUBSTITUTE(SUBSTITUTE(SUBSTITUTE(SUBSTITUTE(J4227,"OFF",""),"Rs.",""),"Hurry*",""),",",""))</f>
        <v>60 %</v>
      </c>
      <c r="Q4227" s="12">
        <f t="shared" si="264"/>
        <v>0.6</v>
      </c>
      <c r="R4227" s="9">
        <f t="shared" si="265"/>
        <v>239.60000000000002</v>
      </c>
      <c r="S4227" s="9">
        <f>IF(R4227="",AVERAGEIF(Table1[Category],Table1[[#This Row],[Category]],Table2[orignal data]),Table2[[#This Row],[orignal data]])</f>
        <v>239.60000000000002</v>
      </c>
      <c r="T4227" t="str">
        <f t="shared" si="266"/>
        <v>UNIQUE</v>
      </c>
      <c r="U4227" t="str">
        <f>IF(ISBLANK(Table1[[#This Row],[SizeOption]]),"NOT AVAILABLE",Table1[[#This Row],[SizeOption]])</f>
        <v>XS, S, M, L, XL</v>
      </c>
      <c r="Y4227" t="str">
        <f>IF(Table2[[#This Row],[Column1]]&gt;50%,"HIGH DISCOUNT","LOW DISCOUNT")</f>
        <v>HIGH DISCOUNT</v>
      </c>
    </row>
    <row r="4228" spans="1:25" x14ac:dyDescent="0.25">
      <c r="A4228" s="1" t="s">
        <v>8668</v>
      </c>
      <c r="B4228" s="1">
        <v>8339531</v>
      </c>
      <c r="C4228" s="1" t="s">
        <v>14</v>
      </c>
      <c r="D4228" s="1" t="s">
        <v>41</v>
      </c>
      <c r="E4228" s="1" t="s">
        <v>48</v>
      </c>
      <c r="F4228" s="1" t="s">
        <v>36</v>
      </c>
      <c r="G4228" s="1" t="s">
        <v>8669</v>
      </c>
      <c r="I4228" s="1">
        <v>699</v>
      </c>
      <c r="J4228" s="1" t="s">
        <v>84</v>
      </c>
      <c r="K4228" s="1" t="s">
        <v>45</v>
      </c>
      <c r="L4228" s="1">
        <v>4.3</v>
      </c>
      <c r="M4228" s="1">
        <v>514</v>
      </c>
      <c r="P4228" t="str">
        <f t="shared" si="267"/>
        <v>50%</v>
      </c>
      <c r="Q4228" s="12">
        <f t="shared" si="264"/>
        <v>0.5</v>
      </c>
      <c r="R4228" s="9">
        <f t="shared" si="265"/>
        <v>349.5</v>
      </c>
      <c r="S4228" s="9">
        <f>IF(R4228="",AVERAGEIF(Table1[Category],Table1[[#This Row],[Category]],Table2[orignal data]),Table2[[#This Row],[orignal data]])</f>
        <v>349.5</v>
      </c>
      <c r="T4228" t="str">
        <f t="shared" si="266"/>
        <v>UNIQUE</v>
      </c>
      <c r="U4228" t="str">
        <f>IF(ISBLANK(Table1[[#This Row],[SizeOption]]),"NOT AVAILABLE",Table1[[#This Row],[SizeOption]])</f>
        <v>XS, S, M, L, XL</v>
      </c>
      <c r="Y4228" t="str">
        <f>IF(Table2[[#This Row],[Column1]]&gt;50%,"HIGH DISCOUNT","LOW DISCOUNT")</f>
        <v>LOW DISCOUNT</v>
      </c>
    </row>
    <row r="4229" spans="1:25" x14ac:dyDescent="0.25">
      <c r="A4229" s="2" t="s">
        <v>8670</v>
      </c>
      <c r="B4229" s="2">
        <v>7942417</v>
      </c>
      <c r="C4229" s="2" t="s">
        <v>22</v>
      </c>
      <c r="D4229" s="2" t="s">
        <v>15</v>
      </c>
      <c r="E4229" s="2" t="s">
        <v>16</v>
      </c>
      <c r="F4229" s="2" t="s">
        <v>17</v>
      </c>
      <c r="G4229" s="2" t="s">
        <v>8671</v>
      </c>
      <c r="H4229">
        <v>881</v>
      </c>
      <c r="I4229" s="2">
        <v>2449</v>
      </c>
      <c r="J4229" s="2" t="s">
        <v>416</v>
      </c>
      <c r="K4229" s="2" t="s">
        <v>56</v>
      </c>
      <c r="L4229" s="2">
        <v>3.7</v>
      </c>
      <c r="M4229" s="2">
        <v>513</v>
      </c>
      <c r="P4229" t="str">
        <f t="shared" si="267"/>
        <v>64%</v>
      </c>
      <c r="Q4229" s="12">
        <f t="shared" si="264"/>
        <v>0.64</v>
      </c>
      <c r="R4229" s="9">
        <f t="shared" si="265"/>
        <v>881.63999999999987</v>
      </c>
      <c r="S4229" s="9">
        <f>IF(R4229="",AVERAGEIF(Table1[Category],Table1[[#This Row],[Category]],Table2[orignal data]),Table2[[#This Row],[orignal data]])</f>
        <v>881.63999999999987</v>
      </c>
      <c r="T4229" t="str">
        <f t="shared" si="266"/>
        <v>UNIQUE</v>
      </c>
      <c r="U4229" t="str">
        <f>IF(ISBLANK(Table1[[#This Row],[SizeOption]]),"NOT AVAILABLE",Table1[[#This Row],[SizeOption]])</f>
        <v>30, 32, 34, 36</v>
      </c>
      <c r="Y4229" t="str">
        <f>IF(Table2[[#This Row],[Column1]]&gt;50%,"HIGH DISCOUNT","LOW DISCOUNT")</f>
        <v>HIGH DISCOUNT</v>
      </c>
    </row>
    <row r="4230" spans="1:25" x14ac:dyDescent="0.25">
      <c r="A4230" s="1" t="s">
        <v>8672</v>
      </c>
      <c r="B4230" s="1">
        <v>11156762</v>
      </c>
      <c r="C4230" s="1" t="s">
        <v>52</v>
      </c>
      <c r="D4230" s="1" t="s">
        <v>15</v>
      </c>
      <c r="E4230" s="1" t="s">
        <v>53</v>
      </c>
      <c r="F4230" s="1" t="s">
        <v>17</v>
      </c>
      <c r="G4230" s="1" t="s">
        <v>3114</v>
      </c>
      <c r="H4230">
        <v>759</v>
      </c>
      <c r="I4230" s="1">
        <v>1899</v>
      </c>
      <c r="J4230" s="1" t="s">
        <v>55</v>
      </c>
      <c r="K4230" s="1" t="s">
        <v>816</v>
      </c>
      <c r="L4230" s="1">
        <v>4.0999999999999996</v>
      </c>
      <c r="M4230" s="1">
        <v>513</v>
      </c>
      <c r="P4230" t="str">
        <f t="shared" si="267"/>
        <v>60%</v>
      </c>
      <c r="Q4230" s="12">
        <f t="shared" si="264"/>
        <v>0.6</v>
      </c>
      <c r="R4230" s="9">
        <f t="shared" si="265"/>
        <v>759.60000000000014</v>
      </c>
      <c r="S4230" s="9">
        <f>IF(R4230="",AVERAGEIF(Table1[Category],Table1[[#This Row],[Category]],Table2[orignal data]),Table2[[#This Row],[orignal data]])</f>
        <v>759.60000000000014</v>
      </c>
      <c r="T4230" t="str">
        <f t="shared" si="266"/>
        <v>UNIQUE</v>
      </c>
      <c r="U4230" t="str">
        <f>IF(ISBLANK(Table1[[#This Row],[SizeOption]]),"NOT AVAILABLE",Table1[[#This Row],[SizeOption]])</f>
        <v>30, 32, 34, 36, 38</v>
      </c>
      <c r="Y4230" t="str">
        <f>IF(Table2[[#This Row],[Column1]]&gt;50%,"HIGH DISCOUNT","LOW DISCOUNT")</f>
        <v>HIGH DISCOUNT</v>
      </c>
    </row>
    <row r="4231" spans="1:25" x14ac:dyDescent="0.25">
      <c r="A4231" s="2" t="s">
        <v>8673</v>
      </c>
      <c r="B4231" s="2">
        <v>6544941</v>
      </c>
      <c r="C4231" s="2" t="s">
        <v>14</v>
      </c>
      <c r="D4231" s="2" t="s">
        <v>15</v>
      </c>
      <c r="E4231" s="2" t="s">
        <v>16</v>
      </c>
      <c r="F4231" s="2" t="s">
        <v>17</v>
      </c>
      <c r="G4231" s="2" t="s">
        <v>3068</v>
      </c>
      <c r="H4231">
        <v>854</v>
      </c>
      <c r="I4231" s="2">
        <v>1899</v>
      </c>
      <c r="J4231" s="2" t="s">
        <v>25</v>
      </c>
      <c r="K4231" s="2" t="s">
        <v>20</v>
      </c>
      <c r="L4231" s="2">
        <v>3.8</v>
      </c>
      <c r="M4231" s="2">
        <v>513</v>
      </c>
      <c r="P4231" t="str">
        <f t="shared" si="267"/>
        <v>55%</v>
      </c>
      <c r="Q4231" s="12">
        <f t="shared" si="264"/>
        <v>0.55000000000000004</v>
      </c>
      <c r="R4231" s="9">
        <f t="shared" si="265"/>
        <v>854.55</v>
      </c>
      <c r="S4231" s="9">
        <f>IF(R4231="",AVERAGEIF(Table1[Category],Table1[[#This Row],[Category]],Table2[orignal data]),Table2[[#This Row],[orignal data]])</f>
        <v>854.55</v>
      </c>
      <c r="T4231" t="str">
        <f t="shared" si="266"/>
        <v>UNIQUE</v>
      </c>
      <c r="U4231" t="str">
        <f>IF(ISBLANK(Table1[[#This Row],[SizeOption]]),"NOT AVAILABLE",Table1[[#This Row],[SizeOption]])</f>
        <v>28, 30, 32, 34, 36</v>
      </c>
      <c r="Y4231" t="str">
        <f>IF(Table2[[#This Row],[Column1]]&gt;50%,"HIGH DISCOUNT","LOW DISCOUNT")</f>
        <v>HIGH DISCOUNT</v>
      </c>
    </row>
    <row r="4232" spans="1:25" x14ac:dyDescent="0.25">
      <c r="A4232" s="1" t="s">
        <v>8674</v>
      </c>
      <c r="B4232" s="1">
        <v>9451673</v>
      </c>
      <c r="C4232" s="1" t="s">
        <v>47</v>
      </c>
      <c r="D4232" s="1" t="s">
        <v>197</v>
      </c>
      <c r="E4232" s="1" t="s">
        <v>198</v>
      </c>
      <c r="F4232" s="1" t="s">
        <v>17</v>
      </c>
      <c r="G4232" s="1" t="s">
        <v>8675</v>
      </c>
      <c r="I4232" s="1">
        <v>549</v>
      </c>
      <c r="J4232" s="1"/>
      <c r="K4232" s="1" t="s">
        <v>164</v>
      </c>
      <c r="L4232" s="1">
        <v>4.0999999999999996</v>
      </c>
      <c r="M4232" s="1">
        <v>513</v>
      </c>
      <c r="P4232" t="str">
        <f t="shared" si="267"/>
        <v/>
      </c>
      <c r="Q4232" s="12" t="str">
        <f t="shared" si="264"/>
        <v/>
      </c>
      <c r="R4232" s="9" t="str">
        <f t="shared" si="265"/>
        <v/>
      </c>
      <c r="S4232" s="9">
        <f>IF(R4232="",AVERAGEIF(Table1[Category],Table1[[#This Row],[Category]],Table2[orignal data]),Table2[[#This Row],[orignal data]])</f>
        <v>552.70900000000006</v>
      </c>
      <c r="T4232" t="str">
        <f t="shared" si="266"/>
        <v>UNIQUE</v>
      </c>
      <c r="U4232" t="str">
        <f>IF(ISBLANK(Table1[[#This Row],[SizeOption]]),"NOT AVAILABLE",Table1[[#This Row],[SizeOption]])</f>
        <v>Onesize</v>
      </c>
      <c r="Y4232" t="str">
        <f>IF(Table2[[#This Row],[Column1]]&gt;50%,"HIGH DISCOUNT","LOW DISCOUNT")</f>
        <v>HIGH DISCOUNT</v>
      </c>
    </row>
    <row r="4233" spans="1:25" x14ac:dyDescent="0.25">
      <c r="A4233" s="2" t="s">
        <v>8676</v>
      </c>
      <c r="B4233" s="2">
        <v>18030424</v>
      </c>
      <c r="C4233" s="2" t="s">
        <v>295</v>
      </c>
      <c r="D4233" s="2" t="s">
        <v>197</v>
      </c>
      <c r="E4233" s="2" t="s">
        <v>296</v>
      </c>
      <c r="F4233" s="2" t="s">
        <v>17</v>
      </c>
      <c r="G4233" s="2" t="s">
        <v>8503</v>
      </c>
      <c r="I4233" s="2">
        <v>558</v>
      </c>
      <c r="J4233" s="2"/>
      <c r="K4233" s="2" t="s">
        <v>26</v>
      </c>
      <c r="L4233" s="2">
        <v>4.2</v>
      </c>
      <c r="M4233" s="2">
        <v>513</v>
      </c>
      <c r="P4233" t="str">
        <f t="shared" si="267"/>
        <v/>
      </c>
      <c r="Q4233" s="12" t="str">
        <f t="shared" si="264"/>
        <v/>
      </c>
      <c r="R4233" s="9" t="str">
        <f t="shared" si="265"/>
        <v/>
      </c>
      <c r="S4233" s="9">
        <f>IF(R4233="",AVERAGEIF(Table1[Category],Table1[[#This Row],[Category]],Table2[orignal data]),Table2[[#This Row],[orignal data]])</f>
        <v>552.70900000000006</v>
      </c>
      <c r="T4233" t="str">
        <f t="shared" si="266"/>
        <v>UNIQUE</v>
      </c>
      <c r="U4233" t="str">
        <f>IF(ISBLANK(Table1[[#This Row],[SizeOption]]),"NOT AVAILABLE",Table1[[#This Row],[SizeOption]])</f>
        <v>S, M, L, XL</v>
      </c>
      <c r="Y4233" t="str">
        <f>IF(Table2[[#This Row],[Column1]]&gt;50%,"HIGH DISCOUNT","LOW DISCOUNT")</f>
        <v>HIGH DISCOUNT</v>
      </c>
    </row>
    <row r="4234" spans="1:25" x14ac:dyDescent="0.25">
      <c r="A4234" s="1" t="s">
        <v>8677</v>
      </c>
      <c r="B4234" s="1">
        <v>1879748</v>
      </c>
      <c r="C4234" s="1" t="s">
        <v>214</v>
      </c>
      <c r="D4234" s="1" t="s">
        <v>28</v>
      </c>
      <c r="E4234" s="1" t="s">
        <v>29</v>
      </c>
      <c r="F4234" s="1" t="s">
        <v>17</v>
      </c>
      <c r="G4234" s="1" t="s">
        <v>8678</v>
      </c>
      <c r="H4234">
        <v>759</v>
      </c>
      <c r="I4234" s="1">
        <v>1899</v>
      </c>
      <c r="J4234" s="1" t="s">
        <v>55</v>
      </c>
      <c r="K4234" s="1" t="s">
        <v>90</v>
      </c>
      <c r="L4234" s="1">
        <v>4.2</v>
      </c>
      <c r="M4234" s="1">
        <v>513</v>
      </c>
      <c r="P4234" t="str">
        <f t="shared" si="267"/>
        <v>60%</v>
      </c>
      <c r="Q4234" s="12">
        <f t="shared" si="264"/>
        <v>0.6</v>
      </c>
      <c r="R4234" s="9">
        <f t="shared" si="265"/>
        <v>759.60000000000014</v>
      </c>
      <c r="S4234" s="9">
        <f>IF(R4234="",AVERAGEIF(Table1[Category],Table1[[#This Row],[Category]],Table2[orignal data]),Table2[[#This Row],[orignal data]])</f>
        <v>759.60000000000014</v>
      </c>
      <c r="T4234" t="str">
        <f t="shared" si="266"/>
        <v>UNIQUE</v>
      </c>
      <c r="U4234" t="str">
        <f>IF(ISBLANK(Table1[[#This Row],[SizeOption]]),"NOT AVAILABLE",Table1[[#This Row],[SizeOption]])</f>
        <v>39, 40, 42, 44</v>
      </c>
      <c r="Y4234" t="str">
        <f>IF(Table2[[#This Row],[Column1]]&gt;50%,"HIGH DISCOUNT","LOW DISCOUNT")</f>
        <v>HIGH DISCOUNT</v>
      </c>
    </row>
    <row r="4235" spans="1:25" x14ac:dyDescent="0.25">
      <c r="A4235" s="2" t="s">
        <v>8679</v>
      </c>
      <c r="B4235" s="2">
        <v>14514382</v>
      </c>
      <c r="C4235" s="2" t="s">
        <v>1711</v>
      </c>
      <c r="D4235" s="2" t="s">
        <v>76</v>
      </c>
      <c r="E4235" s="2" t="s">
        <v>77</v>
      </c>
      <c r="F4235" s="2" t="s">
        <v>36</v>
      </c>
      <c r="G4235" s="2" t="s">
        <v>8680</v>
      </c>
      <c r="H4235">
        <v>1535</v>
      </c>
      <c r="I4235" s="2">
        <v>3198</v>
      </c>
      <c r="J4235" s="2" t="s">
        <v>208</v>
      </c>
      <c r="K4235" s="2" t="s">
        <v>1713</v>
      </c>
      <c r="L4235" s="2">
        <v>4.2</v>
      </c>
      <c r="M4235" s="2">
        <v>513</v>
      </c>
      <c r="P4235" t="str">
        <f t="shared" si="267"/>
        <v>52%</v>
      </c>
      <c r="Q4235" s="12">
        <f t="shared" si="264"/>
        <v>0.52</v>
      </c>
      <c r="R4235" s="9">
        <f t="shared" si="265"/>
        <v>1535.04</v>
      </c>
      <c r="S4235" s="9">
        <f>IF(R4235="",AVERAGEIF(Table1[Category],Table1[[#This Row],[Category]],Table2[orignal data]),Table2[[#This Row],[orignal data]])</f>
        <v>1535.04</v>
      </c>
      <c r="T4235" t="str">
        <f t="shared" si="266"/>
        <v>UNIQUE</v>
      </c>
      <c r="U4235" t="str">
        <f>IF(ISBLANK(Table1[[#This Row],[SizeOption]]),"NOT AVAILABLE",Table1[[#This Row],[SizeOption]])</f>
        <v>M, L, XL, XXL, 3XL</v>
      </c>
      <c r="Y4235" t="str">
        <f>IF(Table2[[#This Row],[Column1]]&gt;50%,"HIGH DISCOUNT","LOW DISCOUNT")</f>
        <v>HIGH DISCOUNT</v>
      </c>
    </row>
    <row r="4236" spans="1:25" x14ac:dyDescent="0.25">
      <c r="A4236" s="1" t="s">
        <v>8681</v>
      </c>
      <c r="B4236" s="1">
        <v>12450322</v>
      </c>
      <c r="C4236" s="1" t="s">
        <v>277</v>
      </c>
      <c r="D4236" s="1" t="s">
        <v>76</v>
      </c>
      <c r="E4236" s="1" t="s">
        <v>77</v>
      </c>
      <c r="F4236" s="1" t="s">
        <v>36</v>
      </c>
      <c r="G4236" s="1" t="s">
        <v>8682</v>
      </c>
      <c r="H4236">
        <v>1949</v>
      </c>
      <c r="I4236" s="1">
        <v>4999</v>
      </c>
      <c r="J4236" s="1" t="s">
        <v>104</v>
      </c>
      <c r="K4236" s="1" t="s">
        <v>39</v>
      </c>
      <c r="L4236" s="1">
        <v>4.2</v>
      </c>
      <c r="M4236" s="1">
        <v>513</v>
      </c>
      <c r="P4236" t="str">
        <f t="shared" si="267"/>
        <v>61%</v>
      </c>
      <c r="Q4236" s="12">
        <f t="shared" si="264"/>
        <v>0.61</v>
      </c>
      <c r="R4236" s="9">
        <f t="shared" si="265"/>
        <v>1949.6100000000001</v>
      </c>
      <c r="S4236" s="9">
        <f>IF(R4236="",AVERAGEIF(Table1[Category],Table1[[#This Row],[Category]],Table2[orignal data]),Table2[[#This Row],[orignal data]])</f>
        <v>1949.6100000000001</v>
      </c>
      <c r="T4236" t="str">
        <f t="shared" si="266"/>
        <v>UNIQUE</v>
      </c>
      <c r="U4236" t="str">
        <f>IF(ISBLANK(Table1[[#This Row],[SizeOption]]),"NOT AVAILABLE",Table1[[#This Row],[SizeOption]])</f>
        <v>S, M, L, XL, XXL</v>
      </c>
      <c r="Y4236" t="str">
        <f>IF(Table2[[#This Row],[Column1]]&gt;50%,"HIGH DISCOUNT","LOW DISCOUNT")</f>
        <v>HIGH DISCOUNT</v>
      </c>
    </row>
    <row r="4237" spans="1:25" x14ac:dyDescent="0.25">
      <c r="A4237" s="2" t="s">
        <v>8683</v>
      </c>
      <c r="B4237" s="2">
        <v>3451656</v>
      </c>
      <c r="C4237" s="2" t="s">
        <v>1111</v>
      </c>
      <c r="D4237" s="2" t="s">
        <v>34</v>
      </c>
      <c r="E4237" s="2" t="s">
        <v>118</v>
      </c>
      <c r="F4237" s="2" t="s">
        <v>36</v>
      </c>
      <c r="G4237" s="2" t="s">
        <v>8684</v>
      </c>
      <c r="H4237">
        <v>323</v>
      </c>
      <c r="I4237" s="2">
        <v>599</v>
      </c>
      <c r="J4237" s="2" t="s">
        <v>2415</v>
      </c>
      <c r="K4237" s="2" t="s">
        <v>1113</v>
      </c>
      <c r="L4237" s="2">
        <v>3.7</v>
      </c>
      <c r="M4237" s="2">
        <v>513</v>
      </c>
      <c r="P4237" t="str">
        <f t="shared" si="267"/>
        <v>46%</v>
      </c>
      <c r="Q4237" s="12">
        <f t="shared" si="264"/>
        <v>0.46</v>
      </c>
      <c r="R4237" s="9">
        <f t="shared" si="265"/>
        <v>323.45999999999998</v>
      </c>
      <c r="S4237" s="9">
        <f>IF(R4237="",AVERAGEIF(Table1[Category],Table1[[#This Row],[Category]],Table2[orignal data]),Table2[[#This Row],[orignal data]])</f>
        <v>323.45999999999998</v>
      </c>
      <c r="T4237" t="str">
        <f t="shared" si="266"/>
        <v>UNIQUE</v>
      </c>
      <c r="U4237" t="str">
        <f>IF(ISBLANK(Table1[[#This Row],[SizeOption]]),"NOT AVAILABLE",Table1[[#This Row],[SizeOption]])</f>
        <v>32B, 32C, 32D, 34B, 34C, 34D, 36B, 36C, 36D, 38B, 38C, 38D</v>
      </c>
      <c r="Y4237" t="str">
        <f>IF(Table2[[#This Row],[Column1]]&gt;50%,"HIGH DISCOUNT","LOW DISCOUNT")</f>
        <v>LOW DISCOUNT</v>
      </c>
    </row>
    <row r="4238" spans="1:25" x14ac:dyDescent="0.25">
      <c r="A4238" s="1" t="s">
        <v>8685</v>
      </c>
      <c r="B4238" s="1">
        <v>2483479</v>
      </c>
      <c r="C4238" s="1" t="s">
        <v>64</v>
      </c>
      <c r="D4238" s="1" t="s">
        <v>98</v>
      </c>
      <c r="E4238" s="1" t="s">
        <v>148</v>
      </c>
      <c r="F4238" s="1" t="s">
        <v>36</v>
      </c>
      <c r="G4238" s="1" t="s">
        <v>8686</v>
      </c>
      <c r="H4238">
        <v>639</v>
      </c>
      <c r="I4238" s="1">
        <v>1599</v>
      </c>
      <c r="J4238" s="1" t="s">
        <v>141</v>
      </c>
      <c r="K4238" s="1" t="s">
        <v>115</v>
      </c>
      <c r="L4238" s="1">
        <v>4.4000000000000004</v>
      </c>
      <c r="M4238" s="1">
        <v>513</v>
      </c>
      <c r="P4238" t="str">
        <f t="shared" si="267"/>
        <v>60%</v>
      </c>
      <c r="Q4238" s="12">
        <f t="shared" si="264"/>
        <v>0.6</v>
      </c>
      <c r="R4238" s="9">
        <f t="shared" si="265"/>
        <v>639.6</v>
      </c>
      <c r="S4238" s="9">
        <f>IF(R4238="",AVERAGEIF(Table1[Category],Table1[[#This Row],[Category]],Table2[orignal data]),Table2[[#This Row],[orignal data]])</f>
        <v>639.6</v>
      </c>
      <c r="T4238" t="str">
        <f t="shared" si="266"/>
        <v>UNIQUE</v>
      </c>
      <c r="U4238" t="str">
        <f>IF(ISBLANK(Table1[[#This Row],[SizeOption]]),"NOT AVAILABLE",Table1[[#This Row],[SizeOption]])</f>
        <v>XS, S, M, L, XL, XXL</v>
      </c>
      <c r="Y4238" t="str">
        <f>IF(Table2[[#This Row],[Column1]]&gt;50%,"HIGH DISCOUNT","LOW DISCOUNT")</f>
        <v>HIGH DISCOUNT</v>
      </c>
    </row>
    <row r="4239" spans="1:25" x14ac:dyDescent="0.25">
      <c r="A4239" s="2" t="s">
        <v>8687</v>
      </c>
      <c r="B4239" s="2">
        <v>1916569</v>
      </c>
      <c r="C4239" s="2" t="s">
        <v>1773</v>
      </c>
      <c r="D4239" s="2" t="s">
        <v>41</v>
      </c>
      <c r="E4239" s="2" t="s">
        <v>42</v>
      </c>
      <c r="F4239" s="2" t="s">
        <v>36</v>
      </c>
      <c r="G4239" s="2" t="s">
        <v>8688</v>
      </c>
      <c r="I4239" s="2">
        <v>1099</v>
      </c>
      <c r="J4239" s="2" t="s">
        <v>4409</v>
      </c>
      <c r="K4239" s="2" t="s">
        <v>45</v>
      </c>
      <c r="L4239" s="2">
        <v>3.8</v>
      </c>
      <c r="M4239" s="2">
        <v>513</v>
      </c>
      <c r="P4239" t="str">
        <f t="shared" si="267"/>
        <v>600</v>
      </c>
      <c r="Q4239" s="12">
        <f t="shared" si="264"/>
        <v>0.54595086442220198</v>
      </c>
      <c r="R4239" s="9">
        <f t="shared" si="265"/>
        <v>499</v>
      </c>
      <c r="S4239" s="9">
        <f>IF(R4239="",AVERAGEIF(Table1[Category],Table1[[#This Row],[Category]],Table2[orignal data]),Table2[[#This Row],[orignal data]])</f>
        <v>499</v>
      </c>
      <c r="T4239" t="str">
        <f t="shared" si="266"/>
        <v>UNIQUE</v>
      </c>
      <c r="U4239" t="str">
        <f>IF(ISBLANK(Table1[[#This Row],[SizeOption]]),"NOT AVAILABLE",Table1[[#This Row],[SizeOption]])</f>
        <v>XS, S, M, L, XL</v>
      </c>
      <c r="Y4239" t="str">
        <f>IF(Table2[[#This Row],[Column1]]&gt;50%,"HIGH DISCOUNT","LOW DISCOUNT")</f>
        <v>HIGH DISCOUNT</v>
      </c>
    </row>
    <row r="4240" spans="1:25" x14ac:dyDescent="0.25">
      <c r="A4240" s="1" t="s">
        <v>8689</v>
      </c>
      <c r="B4240" s="1">
        <v>1755933</v>
      </c>
      <c r="C4240" s="1" t="s">
        <v>346</v>
      </c>
      <c r="D4240" s="1" t="s">
        <v>41</v>
      </c>
      <c r="E4240" s="1" t="s">
        <v>148</v>
      </c>
      <c r="F4240" s="1" t="s">
        <v>36</v>
      </c>
      <c r="G4240" s="1" t="s">
        <v>8690</v>
      </c>
      <c r="I4240" s="1">
        <v>1799</v>
      </c>
      <c r="J4240" s="1" t="s">
        <v>150</v>
      </c>
      <c r="K4240" s="1" t="s">
        <v>26</v>
      </c>
      <c r="L4240" s="1">
        <v>4.4000000000000004</v>
      </c>
      <c r="M4240" s="1">
        <v>513</v>
      </c>
      <c r="P4240" t="str">
        <f t="shared" si="267"/>
        <v>65%</v>
      </c>
      <c r="Q4240" s="12">
        <f t="shared" si="264"/>
        <v>0.65</v>
      </c>
      <c r="R4240" s="9">
        <f t="shared" si="265"/>
        <v>629.64999999999986</v>
      </c>
      <c r="S4240" s="9">
        <f>IF(R4240="",AVERAGEIF(Table1[Category],Table1[[#This Row],[Category]],Table2[orignal data]),Table2[[#This Row],[orignal data]])</f>
        <v>629.64999999999986</v>
      </c>
      <c r="T4240" t="str">
        <f t="shared" si="266"/>
        <v>UNIQUE</v>
      </c>
      <c r="U4240" t="str">
        <f>IF(ISBLANK(Table1[[#This Row],[SizeOption]]),"NOT AVAILABLE",Table1[[#This Row],[SizeOption]])</f>
        <v>S, M, L, XL</v>
      </c>
      <c r="Y4240" t="str">
        <f>IF(Table2[[#This Row],[Column1]]&gt;50%,"HIGH DISCOUNT","LOW DISCOUNT")</f>
        <v>HIGH DISCOUNT</v>
      </c>
    </row>
    <row r="4241" spans="1:25" x14ac:dyDescent="0.25">
      <c r="A4241" s="2" t="s">
        <v>8691</v>
      </c>
      <c r="B4241" s="2">
        <v>10237777</v>
      </c>
      <c r="C4241" s="2" t="s">
        <v>8692</v>
      </c>
      <c r="D4241" s="2" t="s">
        <v>41</v>
      </c>
      <c r="E4241" s="2" t="s">
        <v>42</v>
      </c>
      <c r="F4241" s="2" t="s">
        <v>36</v>
      </c>
      <c r="G4241" s="2" t="s">
        <v>8693</v>
      </c>
      <c r="I4241" s="2">
        <v>799</v>
      </c>
      <c r="J4241" s="2" t="s">
        <v>186</v>
      </c>
      <c r="K4241" s="2" t="s">
        <v>45</v>
      </c>
      <c r="L4241" s="2">
        <v>4.3</v>
      </c>
      <c r="M4241" s="2">
        <v>513</v>
      </c>
      <c r="P4241" t="str">
        <f t="shared" si="267"/>
        <v>30%</v>
      </c>
      <c r="Q4241" s="12">
        <f t="shared" si="264"/>
        <v>0.3</v>
      </c>
      <c r="R4241" s="9">
        <f t="shared" si="265"/>
        <v>559.29999999999995</v>
      </c>
      <c r="S4241" s="9">
        <f>IF(R4241="",AVERAGEIF(Table1[Category],Table1[[#This Row],[Category]],Table2[orignal data]),Table2[[#This Row],[orignal data]])</f>
        <v>559.29999999999995</v>
      </c>
      <c r="T4241" t="str">
        <f t="shared" si="266"/>
        <v>UNIQUE</v>
      </c>
      <c r="U4241" t="str">
        <f>IF(ISBLANK(Table1[[#This Row],[SizeOption]]),"NOT AVAILABLE",Table1[[#This Row],[SizeOption]])</f>
        <v>XS, S, M, L, XL</v>
      </c>
      <c r="Y4241" t="str">
        <f>IF(Table2[[#This Row],[Column1]]&gt;50%,"HIGH DISCOUNT","LOW DISCOUNT")</f>
        <v>LOW DISCOUNT</v>
      </c>
    </row>
    <row r="4242" spans="1:25" x14ac:dyDescent="0.25">
      <c r="A4242" s="1" t="s">
        <v>8694</v>
      </c>
      <c r="B4242" s="1">
        <v>14154090</v>
      </c>
      <c r="C4242" s="1" t="s">
        <v>102</v>
      </c>
      <c r="D4242" s="1" t="s">
        <v>41</v>
      </c>
      <c r="E4242" s="1" t="s">
        <v>23</v>
      </c>
      <c r="F4242" s="1" t="s">
        <v>36</v>
      </c>
      <c r="G4242" s="1" t="s">
        <v>8695</v>
      </c>
      <c r="I4242" s="1">
        <v>999</v>
      </c>
      <c r="J4242" s="1" t="s">
        <v>55</v>
      </c>
      <c r="K4242" s="1" t="s">
        <v>26</v>
      </c>
      <c r="L4242" s="1">
        <v>4.3</v>
      </c>
      <c r="M4242" s="1">
        <v>513</v>
      </c>
      <c r="P4242" t="str">
        <f t="shared" si="267"/>
        <v>60%</v>
      </c>
      <c r="Q4242" s="12">
        <f t="shared" si="264"/>
        <v>0.6</v>
      </c>
      <c r="R4242" s="9">
        <f t="shared" si="265"/>
        <v>399.6</v>
      </c>
      <c r="S4242" s="9">
        <f>IF(R4242="",AVERAGEIF(Table1[Category],Table1[[#This Row],[Category]],Table2[orignal data]),Table2[[#This Row],[orignal data]])</f>
        <v>399.6</v>
      </c>
      <c r="T4242" t="str">
        <f t="shared" si="266"/>
        <v>UNIQUE</v>
      </c>
      <c r="U4242" t="str">
        <f>IF(ISBLANK(Table1[[#This Row],[SizeOption]]),"NOT AVAILABLE",Table1[[#This Row],[SizeOption]])</f>
        <v>S, M, L, XL</v>
      </c>
      <c r="Y4242" t="str">
        <f>IF(Table2[[#This Row],[Column1]]&gt;50%,"HIGH DISCOUNT","LOW DISCOUNT")</f>
        <v>HIGH DISCOUNT</v>
      </c>
    </row>
    <row r="4243" spans="1:25" x14ac:dyDescent="0.25">
      <c r="A4243" s="2" t="s">
        <v>8696</v>
      </c>
      <c r="B4243" s="2">
        <v>11274466</v>
      </c>
      <c r="C4243" s="2" t="s">
        <v>14</v>
      </c>
      <c r="D4243" s="2" t="s">
        <v>15</v>
      </c>
      <c r="E4243" s="2" t="s">
        <v>16</v>
      </c>
      <c r="F4243" s="2" t="s">
        <v>17</v>
      </c>
      <c r="G4243" s="2" t="s">
        <v>8697</v>
      </c>
      <c r="I4243" s="2">
        <v>1499</v>
      </c>
      <c r="J4243" s="2"/>
      <c r="K4243" s="2" t="s">
        <v>20</v>
      </c>
      <c r="L4243" s="2">
        <v>4</v>
      </c>
      <c r="M4243" s="2">
        <v>512</v>
      </c>
      <c r="P4243" t="str">
        <f t="shared" si="267"/>
        <v/>
      </c>
      <c r="Q4243" s="12" t="str">
        <f t="shared" si="264"/>
        <v/>
      </c>
      <c r="R4243" s="9" t="str">
        <f t="shared" si="265"/>
        <v/>
      </c>
      <c r="S4243" s="9">
        <f>IF(R4243="",AVERAGEIF(Table1[Category],Table1[[#This Row],[Category]],Table2[orignal data]),Table2[[#This Row],[orignal data]])</f>
        <v>892.27590339892538</v>
      </c>
      <c r="T4243" t="str">
        <f t="shared" si="266"/>
        <v>UNIQUE</v>
      </c>
      <c r="U4243" t="str">
        <f>IF(ISBLANK(Table1[[#This Row],[SizeOption]]),"NOT AVAILABLE",Table1[[#This Row],[SizeOption]])</f>
        <v>28, 30, 32, 34, 36</v>
      </c>
      <c r="Y4243" t="str">
        <f>IF(Table2[[#This Row],[Column1]]&gt;50%,"HIGH DISCOUNT","LOW DISCOUNT")</f>
        <v>HIGH DISCOUNT</v>
      </c>
    </row>
    <row r="4244" spans="1:25" x14ac:dyDescent="0.25">
      <c r="A4244" s="1" t="s">
        <v>8698</v>
      </c>
      <c r="B4244" s="1">
        <v>10415072</v>
      </c>
      <c r="C4244" s="1" t="s">
        <v>841</v>
      </c>
      <c r="D4244" s="1" t="s">
        <v>15</v>
      </c>
      <c r="E4244" s="1" t="s">
        <v>16</v>
      </c>
      <c r="F4244" s="1" t="s">
        <v>17</v>
      </c>
      <c r="G4244" s="1" t="s">
        <v>5163</v>
      </c>
      <c r="H4244">
        <v>854</v>
      </c>
      <c r="I4244" s="1">
        <v>1898</v>
      </c>
      <c r="J4244" s="1" t="s">
        <v>25</v>
      </c>
      <c r="K4244" s="1" t="s">
        <v>20</v>
      </c>
      <c r="L4244" s="1">
        <v>3.8</v>
      </c>
      <c r="M4244" s="1">
        <v>512</v>
      </c>
      <c r="P4244" t="str">
        <f t="shared" si="267"/>
        <v>55%</v>
      </c>
      <c r="Q4244" s="12">
        <f t="shared" si="264"/>
        <v>0.55000000000000004</v>
      </c>
      <c r="R4244" s="9">
        <f t="shared" si="265"/>
        <v>854.09999999999991</v>
      </c>
      <c r="S4244" s="9">
        <f>IF(R4244="",AVERAGEIF(Table1[Category],Table1[[#This Row],[Category]],Table2[orignal data]),Table2[[#This Row],[orignal data]])</f>
        <v>854.09999999999991</v>
      </c>
      <c r="T4244" t="str">
        <f t="shared" si="266"/>
        <v>UNIQUE</v>
      </c>
      <c r="U4244" t="str">
        <f>IF(ISBLANK(Table1[[#This Row],[SizeOption]]),"NOT AVAILABLE",Table1[[#This Row],[SizeOption]])</f>
        <v>28, 30, 32, 34, 36</v>
      </c>
      <c r="Y4244" t="str">
        <f>IF(Table2[[#This Row],[Column1]]&gt;50%,"HIGH DISCOUNT","LOW DISCOUNT")</f>
        <v>HIGH DISCOUNT</v>
      </c>
    </row>
    <row r="4245" spans="1:25" x14ac:dyDescent="0.25">
      <c r="A4245" s="2" t="s">
        <v>8699</v>
      </c>
      <c r="B4245" s="2">
        <v>12222402</v>
      </c>
      <c r="C4245" s="2" t="s">
        <v>7161</v>
      </c>
      <c r="D4245" s="2" t="s">
        <v>76</v>
      </c>
      <c r="E4245" s="2" t="s">
        <v>77</v>
      </c>
      <c r="F4245" s="2" t="s">
        <v>17</v>
      </c>
      <c r="G4245" s="2" t="s">
        <v>8700</v>
      </c>
      <c r="H4245">
        <v>699</v>
      </c>
      <c r="I4245" s="2">
        <v>1999</v>
      </c>
      <c r="J4245" s="2" t="s">
        <v>150</v>
      </c>
      <c r="K4245" s="2" t="s">
        <v>39</v>
      </c>
      <c r="L4245" s="2">
        <v>3.9</v>
      </c>
      <c r="M4245" s="2">
        <v>512</v>
      </c>
      <c r="P4245" t="str">
        <f t="shared" si="267"/>
        <v>65%</v>
      </c>
      <c r="Q4245" s="12">
        <f t="shared" si="264"/>
        <v>0.65</v>
      </c>
      <c r="R4245" s="9">
        <f t="shared" si="265"/>
        <v>699.64999999999986</v>
      </c>
      <c r="S4245" s="9">
        <f>IF(R4245="",AVERAGEIF(Table1[Category],Table1[[#This Row],[Category]],Table2[orignal data]),Table2[[#This Row],[orignal data]])</f>
        <v>699.64999999999986</v>
      </c>
      <c r="T4245" t="str">
        <f t="shared" si="266"/>
        <v>UNIQUE</v>
      </c>
      <c r="U4245" t="str">
        <f>IF(ISBLANK(Table1[[#This Row],[SizeOption]]),"NOT AVAILABLE",Table1[[#This Row],[SizeOption]])</f>
        <v>S, M, L, XL, XXL</v>
      </c>
      <c r="Y4245" t="str">
        <f>IF(Table2[[#This Row],[Column1]]&gt;50%,"HIGH DISCOUNT","LOW DISCOUNT")</f>
        <v>HIGH DISCOUNT</v>
      </c>
    </row>
    <row r="4246" spans="1:25" x14ac:dyDescent="0.25">
      <c r="A4246" s="1" t="s">
        <v>8701</v>
      </c>
      <c r="B4246" s="1">
        <v>11752140</v>
      </c>
      <c r="C4246" s="1" t="s">
        <v>346</v>
      </c>
      <c r="D4246" s="1" t="s">
        <v>28</v>
      </c>
      <c r="E4246" s="1" t="s">
        <v>42</v>
      </c>
      <c r="F4246" s="1" t="s">
        <v>17</v>
      </c>
      <c r="G4246" s="1" t="s">
        <v>8702</v>
      </c>
      <c r="H4246">
        <v>329</v>
      </c>
      <c r="I4246" s="1">
        <v>599</v>
      </c>
      <c r="J4246" s="1" t="s">
        <v>19</v>
      </c>
      <c r="K4246" s="1" t="s">
        <v>115</v>
      </c>
      <c r="L4246" s="1">
        <v>4.2</v>
      </c>
      <c r="M4246" s="1">
        <v>512</v>
      </c>
      <c r="P4246" t="str">
        <f t="shared" si="267"/>
        <v>45%</v>
      </c>
      <c r="Q4246" s="12">
        <f t="shared" si="264"/>
        <v>0.45</v>
      </c>
      <c r="R4246" s="9">
        <f t="shared" si="265"/>
        <v>329.45</v>
      </c>
      <c r="S4246" s="9">
        <f>IF(R4246="",AVERAGEIF(Table1[Category],Table1[[#This Row],[Category]],Table2[orignal data]),Table2[[#This Row],[orignal data]])</f>
        <v>329.45</v>
      </c>
      <c r="T4246" t="str">
        <f t="shared" si="266"/>
        <v>UNIQUE</v>
      </c>
      <c r="U4246" t="str">
        <f>IF(ISBLANK(Table1[[#This Row],[SizeOption]]),"NOT AVAILABLE",Table1[[#This Row],[SizeOption]])</f>
        <v>XS, S, M, L, XL, XXL</v>
      </c>
      <c r="Y4246" t="str">
        <f>IF(Table2[[#This Row],[Column1]]&gt;50%,"HIGH DISCOUNT","LOW DISCOUNT")</f>
        <v>LOW DISCOUNT</v>
      </c>
    </row>
    <row r="4247" spans="1:25" x14ac:dyDescent="0.25">
      <c r="A4247" s="2" t="s">
        <v>8703</v>
      </c>
      <c r="B4247" s="2">
        <v>12414890</v>
      </c>
      <c r="C4247" s="2" t="s">
        <v>97</v>
      </c>
      <c r="D4247" s="2" t="s">
        <v>76</v>
      </c>
      <c r="E4247" s="2" t="s">
        <v>77</v>
      </c>
      <c r="F4247" s="2" t="s">
        <v>36</v>
      </c>
      <c r="G4247" s="2" t="s">
        <v>8704</v>
      </c>
      <c r="H4247">
        <v>1199</v>
      </c>
      <c r="I4247" s="2">
        <v>1999</v>
      </c>
      <c r="J4247" s="2" t="s">
        <v>50</v>
      </c>
      <c r="K4247" s="2" t="s">
        <v>100</v>
      </c>
      <c r="L4247" s="2">
        <v>4</v>
      </c>
      <c r="M4247" s="2">
        <v>512</v>
      </c>
      <c r="P4247" t="str">
        <f t="shared" si="267"/>
        <v>40%</v>
      </c>
      <c r="Q4247" s="12">
        <f t="shared" si="264"/>
        <v>0.4</v>
      </c>
      <c r="R4247" s="9">
        <f t="shared" si="265"/>
        <v>1199.4000000000001</v>
      </c>
      <c r="S4247" s="9">
        <f>IF(R4247="",AVERAGEIF(Table1[Category],Table1[[#This Row],[Category]],Table2[orignal data]),Table2[[#This Row],[orignal data]])</f>
        <v>1199.4000000000001</v>
      </c>
      <c r="T4247" t="str">
        <f t="shared" si="266"/>
        <v>UNIQUE</v>
      </c>
      <c r="U4247" t="str">
        <f>IF(ISBLANK(Table1[[#This Row],[SizeOption]]),"NOT AVAILABLE",Table1[[#This Row],[SizeOption]])</f>
        <v>XS, S, M, L, XL, XXL, 3XL</v>
      </c>
      <c r="Y4247" t="str">
        <f>IF(Table2[[#This Row],[Column1]]&gt;50%,"HIGH DISCOUNT","LOW DISCOUNT")</f>
        <v>LOW DISCOUNT</v>
      </c>
    </row>
    <row r="4248" spans="1:25" x14ac:dyDescent="0.25">
      <c r="A4248" s="1" t="s">
        <v>8705</v>
      </c>
      <c r="B4248" s="1">
        <v>11938902</v>
      </c>
      <c r="C4248" s="1" t="s">
        <v>160</v>
      </c>
      <c r="D4248" s="1" t="s">
        <v>34</v>
      </c>
      <c r="E4248" s="1" t="s">
        <v>161</v>
      </c>
      <c r="F4248" s="1" t="s">
        <v>36</v>
      </c>
      <c r="G4248" s="1" t="s">
        <v>8706</v>
      </c>
      <c r="H4248">
        <v>489</v>
      </c>
      <c r="I4248" s="1">
        <v>999</v>
      </c>
      <c r="J4248" s="1" t="s">
        <v>163</v>
      </c>
      <c r="K4248" s="1" t="s">
        <v>164</v>
      </c>
      <c r="L4248" s="1">
        <v>4</v>
      </c>
      <c r="M4248" s="1">
        <v>512</v>
      </c>
      <c r="P4248" t="str">
        <f t="shared" si="267"/>
        <v>51%</v>
      </c>
      <c r="Q4248" s="12">
        <f t="shared" si="264"/>
        <v>0.51</v>
      </c>
      <c r="R4248" s="9">
        <f t="shared" si="265"/>
        <v>489.51</v>
      </c>
      <c r="S4248" s="9">
        <f>IF(R4248="",AVERAGEIF(Table1[Category],Table1[[#This Row],[Category]],Table2[orignal data]),Table2[[#This Row],[orignal data]])</f>
        <v>489.51</v>
      </c>
      <c r="T4248" t="str">
        <f t="shared" si="266"/>
        <v>UNIQUE</v>
      </c>
      <c r="U4248" t="str">
        <f>IF(ISBLANK(Table1[[#This Row],[SizeOption]]),"NOT AVAILABLE",Table1[[#This Row],[SizeOption]])</f>
        <v>Onesize</v>
      </c>
      <c r="Y4248" t="str">
        <f>IF(Table2[[#This Row],[Column1]]&gt;50%,"HIGH DISCOUNT","LOW DISCOUNT")</f>
        <v>HIGH DISCOUNT</v>
      </c>
    </row>
    <row r="4249" spans="1:25" x14ac:dyDescent="0.25">
      <c r="A4249" s="2" t="s">
        <v>8707</v>
      </c>
      <c r="B4249" s="2">
        <v>11174394</v>
      </c>
      <c r="C4249" s="2" t="s">
        <v>97</v>
      </c>
      <c r="D4249" s="2" t="s">
        <v>98</v>
      </c>
      <c r="E4249" s="2" t="s">
        <v>148</v>
      </c>
      <c r="F4249" s="2" t="s">
        <v>36</v>
      </c>
      <c r="G4249" s="2" t="s">
        <v>8708</v>
      </c>
      <c r="H4249">
        <v>919</v>
      </c>
      <c r="I4249" s="2">
        <v>2299</v>
      </c>
      <c r="J4249" s="2" t="s">
        <v>141</v>
      </c>
      <c r="K4249" s="2" t="s">
        <v>100</v>
      </c>
      <c r="L4249" s="2">
        <v>4.0999999999999996</v>
      </c>
      <c r="M4249" s="2">
        <v>512</v>
      </c>
      <c r="P4249" t="str">
        <f t="shared" si="267"/>
        <v>60%</v>
      </c>
      <c r="Q4249" s="12">
        <f t="shared" si="264"/>
        <v>0.6</v>
      </c>
      <c r="R4249" s="9">
        <f t="shared" si="265"/>
        <v>919.60000000000014</v>
      </c>
      <c r="S4249" s="9">
        <f>IF(R4249="",AVERAGEIF(Table1[Category],Table1[[#This Row],[Category]],Table2[orignal data]),Table2[[#This Row],[orignal data]])</f>
        <v>919.60000000000014</v>
      </c>
      <c r="T4249" t="str">
        <f t="shared" si="266"/>
        <v>UNIQUE</v>
      </c>
      <c r="U4249" t="str">
        <f>IF(ISBLANK(Table1[[#This Row],[SizeOption]]),"NOT AVAILABLE",Table1[[#This Row],[SizeOption]])</f>
        <v>XS, S, M, L, XL, XXL, 3XL</v>
      </c>
      <c r="Y4249" t="str">
        <f>IF(Table2[[#This Row],[Column1]]&gt;50%,"HIGH DISCOUNT","LOW DISCOUNT")</f>
        <v>HIGH DISCOUNT</v>
      </c>
    </row>
    <row r="4250" spans="1:25" x14ac:dyDescent="0.25">
      <c r="A4250" s="1" t="s">
        <v>8709</v>
      </c>
      <c r="B4250" s="1">
        <v>9341537</v>
      </c>
      <c r="C4250" s="1" t="s">
        <v>676</v>
      </c>
      <c r="D4250" s="1" t="s">
        <v>41</v>
      </c>
      <c r="E4250" s="1" t="s">
        <v>48</v>
      </c>
      <c r="F4250" s="1" t="s">
        <v>36</v>
      </c>
      <c r="G4250" s="1" t="s">
        <v>8710</v>
      </c>
      <c r="I4250" s="1">
        <v>1998</v>
      </c>
      <c r="J4250" s="1" t="s">
        <v>84</v>
      </c>
      <c r="K4250" s="1" t="s">
        <v>26</v>
      </c>
      <c r="L4250" s="1">
        <v>3.7</v>
      </c>
      <c r="M4250" s="1">
        <v>512</v>
      </c>
      <c r="P4250" t="str">
        <f t="shared" si="267"/>
        <v>50%</v>
      </c>
      <c r="Q4250" s="12">
        <f t="shared" si="264"/>
        <v>0.5</v>
      </c>
      <c r="R4250" s="9">
        <f t="shared" si="265"/>
        <v>999</v>
      </c>
      <c r="S4250" s="9">
        <f>IF(R4250="",AVERAGEIF(Table1[Category],Table1[[#This Row],[Category]],Table2[orignal data]),Table2[[#This Row],[orignal data]])</f>
        <v>999</v>
      </c>
      <c r="T4250" t="str">
        <f t="shared" si="266"/>
        <v>UNIQUE</v>
      </c>
      <c r="U4250" t="str">
        <f>IF(ISBLANK(Table1[[#This Row],[SizeOption]]),"NOT AVAILABLE",Table1[[#This Row],[SizeOption]])</f>
        <v>S, M, L, XL</v>
      </c>
      <c r="Y4250" t="str">
        <f>IF(Table2[[#This Row],[Column1]]&gt;50%,"HIGH DISCOUNT","LOW DISCOUNT")</f>
        <v>LOW DISCOUNT</v>
      </c>
    </row>
    <row r="4251" spans="1:25" x14ac:dyDescent="0.25">
      <c r="A4251" s="2" t="s">
        <v>8711</v>
      </c>
      <c r="B4251" s="2">
        <v>9478141</v>
      </c>
      <c r="C4251" s="2" t="s">
        <v>14</v>
      </c>
      <c r="D4251" s="2" t="s">
        <v>41</v>
      </c>
      <c r="E4251" s="2" t="s">
        <v>306</v>
      </c>
      <c r="F4251" s="2" t="s">
        <v>36</v>
      </c>
      <c r="G4251" s="2" t="s">
        <v>8712</v>
      </c>
      <c r="I4251" s="2">
        <v>1999</v>
      </c>
      <c r="J4251" s="2" t="s">
        <v>79</v>
      </c>
      <c r="K4251" s="2" t="s">
        <v>115</v>
      </c>
      <c r="L4251" s="2">
        <v>3.9</v>
      </c>
      <c r="M4251" s="2">
        <v>512</v>
      </c>
      <c r="P4251" t="str">
        <f t="shared" si="267"/>
        <v>70%</v>
      </c>
      <c r="Q4251" s="12">
        <f t="shared" si="264"/>
        <v>0.7</v>
      </c>
      <c r="R4251" s="9">
        <f t="shared" si="265"/>
        <v>599.70000000000005</v>
      </c>
      <c r="S4251" s="9">
        <f>IF(R4251="",AVERAGEIF(Table1[Category],Table1[[#This Row],[Category]],Table2[orignal data]),Table2[[#This Row],[orignal data]])</f>
        <v>599.70000000000005</v>
      </c>
      <c r="T4251" t="str">
        <f t="shared" si="266"/>
        <v>UNIQUE</v>
      </c>
      <c r="U4251" t="str">
        <f>IF(ISBLANK(Table1[[#This Row],[SizeOption]]),"NOT AVAILABLE",Table1[[#This Row],[SizeOption]])</f>
        <v>XS, S, M, L, XL, XXL</v>
      </c>
      <c r="Y4251" t="str">
        <f>IF(Table2[[#This Row],[Column1]]&gt;50%,"HIGH DISCOUNT","LOW DISCOUNT")</f>
        <v>HIGH DISCOUNT</v>
      </c>
    </row>
    <row r="4252" spans="1:25" x14ac:dyDescent="0.25">
      <c r="A4252" s="1" t="s">
        <v>8713</v>
      </c>
      <c r="B4252" s="1">
        <v>14232422</v>
      </c>
      <c r="C4252" s="1" t="s">
        <v>490</v>
      </c>
      <c r="D4252" s="1" t="s">
        <v>15</v>
      </c>
      <c r="E4252" s="1" t="s">
        <v>137</v>
      </c>
      <c r="F4252" s="1" t="s">
        <v>17</v>
      </c>
      <c r="G4252" s="1" t="s">
        <v>8714</v>
      </c>
      <c r="I4252" s="1">
        <v>799</v>
      </c>
      <c r="J4252" s="1"/>
      <c r="K4252" s="1" t="s">
        <v>6908</v>
      </c>
      <c r="L4252" s="1">
        <v>4.5999999999999996</v>
      </c>
      <c r="M4252" s="1">
        <v>511</v>
      </c>
      <c r="P4252" t="str">
        <f t="shared" si="267"/>
        <v/>
      </c>
      <c r="Q4252" s="12" t="str">
        <f t="shared" si="264"/>
        <v/>
      </c>
      <c r="R4252" s="9" t="str">
        <f t="shared" si="265"/>
        <v/>
      </c>
      <c r="S4252" s="9">
        <f>IF(R4252="",AVERAGEIF(Table1[Category],Table1[[#This Row],[Category]],Table2[orignal data]),Table2[[#This Row],[orignal data]])</f>
        <v>892.27590339892538</v>
      </c>
      <c r="T4252" t="str">
        <f t="shared" si="266"/>
        <v>UNIQUE</v>
      </c>
      <c r="U4252" t="str">
        <f>IF(ISBLANK(Table1[[#This Row],[SizeOption]]),"NOT AVAILABLE",Table1[[#This Row],[SizeOption]])</f>
        <v>28, 31, 33, 37, 41, 44</v>
      </c>
      <c r="Y4252" t="str">
        <f>IF(Table2[[#This Row],[Column1]]&gt;50%,"HIGH DISCOUNT","LOW DISCOUNT")</f>
        <v>HIGH DISCOUNT</v>
      </c>
    </row>
    <row r="4253" spans="1:25" x14ac:dyDescent="0.25">
      <c r="A4253" s="2" t="s">
        <v>8715</v>
      </c>
      <c r="B4253" s="2">
        <v>10737426</v>
      </c>
      <c r="C4253" s="2" t="s">
        <v>3911</v>
      </c>
      <c r="D4253" s="2" t="s">
        <v>15</v>
      </c>
      <c r="E4253" s="2" t="s">
        <v>137</v>
      </c>
      <c r="F4253" s="2" t="s">
        <v>17</v>
      </c>
      <c r="G4253" s="2" t="s">
        <v>8716</v>
      </c>
      <c r="H4253">
        <v>539</v>
      </c>
      <c r="I4253" s="2">
        <v>899</v>
      </c>
      <c r="J4253" s="2" t="s">
        <v>50</v>
      </c>
      <c r="K4253" s="2" t="s">
        <v>171</v>
      </c>
      <c r="L4253" s="2">
        <v>4.0999999999999996</v>
      </c>
      <c r="M4253" s="2">
        <v>511</v>
      </c>
      <c r="P4253" t="str">
        <f t="shared" si="267"/>
        <v>40%</v>
      </c>
      <c r="Q4253" s="12">
        <f t="shared" si="264"/>
        <v>0.4</v>
      </c>
      <c r="R4253" s="9">
        <f t="shared" si="265"/>
        <v>539.4</v>
      </c>
      <c r="S4253" s="9">
        <f>IF(R4253="",AVERAGEIF(Table1[Category],Table1[[#This Row],[Category]],Table2[orignal data]),Table2[[#This Row],[orignal data]])</f>
        <v>539.4</v>
      </c>
      <c r="T4253" t="str">
        <f t="shared" si="266"/>
        <v>UNIQUE</v>
      </c>
      <c r="U4253" t="str">
        <f>IF(ISBLANK(Table1[[#This Row],[SizeOption]]),"NOT AVAILABLE",Table1[[#This Row],[SizeOption]])</f>
        <v>28, 30, 32, 34, 36, 38</v>
      </c>
      <c r="Y4253" t="str">
        <f>IF(Table2[[#This Row],[Column1]]&gt;50%,"HIGH DISCOUNT","LOW DISCOUNT")</f>
        <v>LOW DISCOUNT</v>
      </c>
    </row>
    <row r="4254" spans="1:25" x14ac:dyDescent="0.25">
      <c r="A4254" s="1" t="s">
        <v>8717</v>
      </c>
      <c r="B4254" s="1">
        <v>1284724</v>
      </c>
      <c r="C4254" s="1" t="s">
        <v>346</v>
      </c>
      <c r="D4254" s="1" t="s">
        <v>15</v>
      </c>
      <c r="E4254" s="1" t="s">
        <v>53</v>
      </c>
      <c r="F4254" s="1" t="s">
        <v>17</v>
      </c>
      <c r="G4254" s="1" t="s">
        <v>8718</v>
      </c>
      <c r="H4254">
        <v>1099</v>
      </c>
      <c r="I4254" s="1">
        <v>2199</v>
      </c>
      <c r="J4254" s="1" t="s">
        <v>84</v>
      </c>
      <c r="K4254" s="1" t="s">
        <v>20</v>
      </c>
      <c r="L4254" s="1">
        <v>4.2</v>
      </c>
      <c r="M4254" s="1">
        <v>511</v>
      </c>
      <c r="P4254" t="str">
        <f t="shared" si="267"/>
        <v>50%</v>
      </c>
      <c r="Q4254" s="12">
        <f t="shared" si="264"/>
        <v>0.5</v>
      </c>
      <c r="R4254" s="9">
        <f t="shared" si="265"/>
        <v>1099.5</v>
      </c>
      <c r="S4254" s="9">
        <f>IF(R4254="",AVERAGEIF(Table1[Category],Table1[[#This Row],[Category]],Table2[orignal data]),Table2[[#This Row],[orignal data]])</f>
        <v>1099.5</v>
      </c>
      <c r="T4254" t="str">
        <f t="shared" si="266"/>
        <v>UNIQUE</v>
      </c>
      <c r="U4254" t="str">
        <f>IF(ISBLANK(Table1[[#This Row],[SizeOption]]),"NOT AVAILABLE",Table1[[#This Row],[SizeOption]])</f>
        <v>28, 30, 32, 34, 36</v>
      </c>
      <c r="Y4254" t="str">
        <f>IF(Table2[[#This Row],[Column1]]&gt;50%,"HIGH DISCOUNT","LOW DISCOUNT")</f>
        <v>LOW DISCOUNT</v>
      </c>
    </row>
    <row r="4255" spans="1:25" x14ac:dyDescent="0.25">
      <c r="A4255" s="2" t="s">
        <v>8719</v>
      </c>
      <c r="B4255" s="2">
        <v>1999072</v>
      </c>
      <c r="C4255" s="2" t="s">
        <v>349</v>
      </c>
      <c r="D4255" s="2" t="s">
        <v>197</v>
      </c>
      <c r="E4255" s="2" t="s">
        <v>1807</v>
      </c>
      <c r="F4255" s="2" t="s">
        <v>17</v>
      </c>
      <c r="G4255" s="2" t="s">
        <v>8720</v>
      </c>
      <c r="I4255" s="2">
        <v>299</v>
      </c>
      <c r="J4255" s="2"/>
      <c r="K4255" s="2" t="s">
        <v>352</v>
      </c>
      <c r="L4255" s="2">
        <v>4.4000000000000004</v>
      </c>
      <c r="M4255" s="2">
        <v>511</v>
      </c>
      <c r="P4255" t="str">
        <f t="shared" si="267"/>
        <v/>
      </c>
      <c r="Q4255" s="12" t="str">
        <f t="shared" si="264"/>
        <v/>
      </c>
      <c r="R4255" s="9" t="str">
        <f t="shared" si="265"/>
        <v/>
      </c>
      <c r="S4255" s="9">
        <f>IF(R4255="",AVERAGEIF(Table1[Category],Table1[[#This Row],[Category]],Table2[orignal data]),Table2[[#This Row],[orignal data]])</f>
        <v>552.70900000000006</v>
      </c>
      <c r="T4255" t="str">
        <f t="shared" si="266"/>
        <v>UNIQUE</v>
      </c>
      <c r="U4255" t="str">
        <f>IF(ISBLANK(Table1[[#This Row],[SizeOption]]),"NOT AVAILABLE",Table1[[#This Row],[SizeOption]])</f>
        <v>S, M, L</v>
      </c>
      <c r="Y4255" t="str">
        <f>IF(Table2[[#This Row],[Column1]]&gt;50%,"HIGH DISCOUNT","LOW DISCOUNT")</f>
        <v>HIGH DISCOUNT</v>
      </c>
    </row>
    <row r="4256" spans="1:25" x14ac:dyDescent="0.25">
      <c r="A4256" s="1" t="s">
        <v>8721</v>
      </c>
      <c r="B4256" s="1">
        <v>10106187</v>
      </c>
      <c r="C4256" s="1" t="s">
        <v>67</v>
      </c>
      <c r="D4256" s="1" t="s">
        <v>68</v>
      </c>
      <c r="E4256" s="1" t="s">
        <v>42</v>
      </c>
      <c r="F4256" s="1" t="s">
        <v>17</v>
      </c>
      <c r="G4256" s="1" t="s">
        <v>8722</v>
      </c>
      <c r="H4256">
        <v>384</v>
      </c>
      <c r="I4256" s="1">
        <v>699</v>
      </c>
      <c r="J4256" s="1" t="s">
        <v>19</v>
      </c>
      <c r="K4256" s="1" t="s">
        <v>39</v>
      </c>
      <c r="L4256" s="1">
        <v>4.4000000000000004</v>
      </c>
      <c r="M4256" s="1">
        <v>511</v>
      </c>
      <c r="P4256" t="str">
        <f t="shared" si="267"/>
        <v>45%</v>
      </c>
      <c r="Q4256" s="12">
        <f t="shared" si="264"/>
        <v>0.45</v>
      </c>
      <c r="R4256" s="9">
        <f t="shared" si="265"/>
        <v>384.45</v>
      </c>
      <c r="S4256" s="9">
        <f>IF(R4256="",AVERAGEIF(Table1[Category],Table1[[#This Row],[Category]],Table2[orignal data]),Table2[[#This Row],[orignal data]])</f>
        <v>384.45</v>
      </c>
      <c r="T4256" t="str">
        <f t="shared" si="266"/>
        <v>UNIQUE</v>
      </c>
      <c r="U4256" t="str">
        <f>IF(ISBLANK(Table1[[#This Row],[SizeOption]]),"NOT AVAILABLE",Table1[[#This Row],[SizeOption]])</f>
        <v>S, M, L, XL, XXL</v>
      </c>
      <c r="Y4256" t="str">
        <f>IF(Table2[[#This Row],[Column1]]&gt;50%,"HIGH DISCOUNT","LOW DISCOUNT")</f>
        <v>LOW DISCOUNT</v>
      </c>
    </row>
    <row r="4257" spans="1:25" x14ac:dyDescent="0.25">
      <c r="A4257" s="2" t="s">
        <v>8723</v>
      </c>
      <c r="B4257" s="2">
        <v>14950386</v>
      </c>
      <c r="C4257" s="2" t="s">
        <v>52</v>
      </c>
      <c r="D4257" s="2" t="s">
        <v>28</v>
      </c>
      <c r="E4257" s="2" t="s">
        <v>29</v>
      </c>
      <c r="F4257" s="2" t="s">
        <v>17</v>
      </c>
      <c r="G4257" s="2" t="s">
        <v>8724</v>
      </c>
      <c r="H4257">
        <v>562</v>
      </c>
      <c r="I4257" s="2">
        <v>1249</v>
      </c>
      <c r="J4257" s="2" t="s">
        <v>25</v>
      </c>
      <c r="K4257" s="2" t="s">
        <v>90</v>
      </c>
      <c r="L4257" s="2">
        <v>4.0999999999999996</v>
      </c>
      <c r="M4257" s="2">
        <v>511</v>
      </c>
      <c r="P4257" t="str">
        <f t="shared" si="267"/>
        <v>55%</v>
      </c>
      <c r="Q4257" s="12">
        <f t="shared" si="264"/>
        <v>0.55000000000000004</v>
      </c>
      <c r="R4257" s="9">
        <f t="shared" si="265"/>
        <v>562.04999999999995</v>
      </c>
      <c r="S4257" s="9">
        <f>IF(R4257="",AVERAGEIF(Table1[Category],Table1[[#This Row],[Category]],Table2[orignal data]),Table2[[#This Row],[orignal data]])</f>
        <v>562.04999999999995</v>
      </c>
      <c r="T4257" t="str">
        <f t="shared" si="266"/>
        <v>UNIQUE</v>
      </c>
      <c r="U4257" t="str">
        <f>IF(ISBLANK(Table1[[#This Row],[SizeOption]]),"NOT AVAILABLE",Table1[[#This Row],[SizeOption]])</f>
        <v>39, 40, 42, 44</v>
      </c>
      <c r="Y4257" t="str">
        <f>IF(Table2[[#This Row],[Column1]]&gt;50%,"HIGH DISCOUNT","LOW DISCOUNT")</f>
        <v>HIGH DISCOUNT</v>
      </c>
    </row>
    <row r="4258" spans="1:25" x14ac:dyDescent="0.25">
      <c r="A4258" s="1" t="s">
        <v>8725</v>
      </c>
      <c r="B4258" s="1">
        <v>1086730</v>
      </c>
      <c r="C4258" s="1" t="s">
        <v>1299</v>
      </c>
      <c r="D4258" s="1" t="s">
        <v>28</v>
      </c>
      <c r="E4258" s="1" t="s">
        <v>29</v>
      </c>
      <c r="F4258" s="1" t="s">
        <v>17</v>
      </c>
      <c r="G4258" s="1" t="s">
        <v>8726</v>
      </c>
      <c r="H4258">
        <v>809</v>
      </c>
      <c r="I4258" s="1">
        <v>1799</v>
      </c>
      <c r="J4258" s="1" t="s">
        <v>25</v>
      </c>
      <c r="K4258" s="1" t="s">
        <v>1674</v>
      </c>
      <c r="L4258" s="1">
        <v>4.3</v>
      </c>
      <c r="M4258" s="1">
        <v>511</v>
      </c>
      <c r="P4258" t="str">
        <f t="shared" si="267"/>
        <v>55%</v>
      </c>
      <c r="Q4258" s="12">
        <f t="shared" si="264"/>
        <v>0.55000000000000004</v>
      </c>
      <c r="R4258" s="9">
        <f t="shared" si="265"/>
        <v>809.55</v>
      </c>
      <c r="S4258" s="9">
        <f>IF(R4258="",AVERAGEIF(Table1[Category],Table1[[#This Row],[Category]],Table2[orignal data]),Table2[[#This Row],[orignal data]])</f>
        <v>809.55</v>
      </c>
      <c r="T4258" t="str">
        <f t="shared" si="266"/>
        <v>UNIQUE</v>
      </c>
      <c r="U4258" t="str">
        <f>IF(ISBLANK(Table1[[#This Row],[SizeOption]]),"NOT AVAILABLE",Table1[[#This Row],[SizeOption]])</f>
        <v>38, 39, 40, 42, 44</v>
      </c>
      <c r="Y4258" t="str">
        <f>IF(Table2[[#This Row],[Column1]]&gt;50%,"HIGH DISCOUNT","LOW DISCOUNT")</f>
        <v>HIGH DISCOUNT</v>
      </c>
    </row>
    <row r="4259" spans="1:25" x14ac:dyDescent="0.25">
      <c r="A4259" s="2" t="s">
        <v>8727</v>
      </c>
      <c r="B4259" s="2">
        <v>10275287</v>
      </c>
      <c r="C4259" s="2" t="s">
        <v>14</v>
      </c>
      <c r="D4259" s="2" t="s">
        <v>28</v>
      </c>
      <c r="E4259" s="2" t="s">
        <v>29</v>
      </c>
      <c r="F4259" s="2" t="s">
        <v>17</v>
      </c>
      <c r="G4259" s="2" t="s">
        <v>7231</v>
      </c>
      <c r="H4259">
        <v>854</v>
      </c>
      <c r="I4259" s="2">
        <v>1899</v>
      </c>
      <c r="J4259" s="2" t="s">
        <v>25</v>
      </c>
      <c r="K4259" s="2" t="s">
        <v>253</v>
      </c>
      <c r="L4259" s="2">
        <v>3.9</v>
      </c>
      <c r="M4259" s="2">
        <v>511</v>
      </c>
      <c r="P4259" t="str">
        <f t="shared" si="267"/>
        <v>55%</v>
      </c>
      <c r="Q4259" s="12">
        <f t="shared" si="264"/>
        <v>0.55000000000000004</v>
      </c>
      <c r="R4259" s="9">
        <f t="shared" si="265"/>
        <v>854.55</v>
      </c>
      <c r="S4259" s="9">
        <f>IF(R4259="",AVERAGEIF(Table1[Category],Table1[[#This Row],[Category]],Table2[orignal data]),Table2[[#This Row],[orignal data]])</f>
        <v>854.55</v>
      </c>
      <c r="T4259" t="str">
        <f t="shared" si="266"/>
        <v>UNIQUE</v>
      </c>
      <c r="U4259" t="str">
        <f>IF(ISBLANK(Table1[[#This Row],[SizeOption]]),"NOT AVAILABLE",Table1[[#This Row],[SizeOption]])</f>
        <v>38, 40, 42, 44</v>
      </c>
      <c r="Y4259" t="str">
        <f>IF(Table2[[#This Row],[Column1]]&gt;50%,"HIGH DISCOUNT","LOW DISCOUNT")</f>
        <v>HIGH DISCOUNT</v>
      </c>
    </row>
    <row r="4260" spans="1:25" x14ac:dyDescent="0.25">
      <c r="A4260" s="1" t="s">
        <v>8728</v>
      </c>
      <c r="B4260" s="1">
        <v>15654428</v>
      </c>
      <c r="C4260" s="1" t="s">
        <v>14</v>
      </c>
      <c r="D4260" s="1" t="s">
        <v>28</v>
      </c>
      <c r="E4260" s="1" t="s">
        <v>1881</v>
      </c>
      <c r="F4260" s="1" t="s">
        <v>17</v>
      </c>
      <c r="G4260" s="1" t="s">
        <v>8729</v>
      </c>
      <c r="H4260">
        <v>999</v>
      </c>
      <c r="I4260" s="1">
        <v>1999</v>
      </c>
      <c r="J4260" s="1" t="s">
        <v>84</v>
      </c>
      <c r="K4260" s="1" t="s">
        <v>26</v>
      </c>
      <c r="L4260" s="1">
        <v>4.3</v>
      </c>
      <c r="M4260" s="1">
        <v>511</v>
      </c>
      <c r="P4260" t="str">
        <f t="shared" si="267"/>
        <v>50%</v>
      </c>
      <c r="Q4260" s="12">
        <f t="shared" si="264"/>
        <v>0.5</v>
      </c>
      <c r="R4260" s="9">
        <f t="shared" si="265"/>
        <v>999.5</v>
      </c>
      <c r="S4260" s="9">
        <f>IF(R4260="",AVERAGEIF(Table1[Category],Table1[[#This Row],[Category]],Table2[orignal data]),Table2[[#This Row],[orignal data]])</f>
        <v>999.5</v>
      </c>
      <c r="T4260" t="str">
        <f t="shared" si="266"/>
        <v>UNIQUE</v>
      </c>
      <c r="U4260" t="str">
        <f>IF(ISBLANK(Table1[[#This Row],[SizeOption]]),"NOT AVAILABLE",Table1[[#This Row],[SizeOption]])</f>
        <v>S, M, L, XL</v>
      </c>
      <c r="Y4260" t="str">
        <f>IF(Table2[[#This Row],[Column1]]&gt;50%,"HIGH DISCOUNT","LOW DISCOUNT")</f>
        <v>LOW DISCOUNT</v>
      </c>
    </row>
    <row r="4261" spans="1:25" x14ac:dyDescent="0.25">
      <c r="A4261" s="2" t="s">
        <v>8730</v>
      </c>
      <c r="B4261" s="2">
        <v>12105068</v>
      </c>
      <c r="C4261" s="2" t="s">
        <v>97</v>
      </c>
      <c r="D4261" s="2" t="s">
        <v>76</v>
      </c>
      <c r="E4261" s="2" t="s">
        <v>148</v>
      </c>
      <c r="F4261" s="2" t="s">
        <v>36</v>
      </c>
      <c r="G4261" s="2" t="s">
        <v>8731</v>
      </c>
      <c r="H4261">
        <v>1249</v>
      </c>
      <c r="I4261" s="2">
        <v>2499</v>
      </c>
      <c r="J4261" s="2" t="s">
        <v>84</v>
      </c>
      <c r="K4261" s="2" t="s">
        <v>100</v>
      </c>
      <c r="L4261" s="2">
        <v>4.3</v>
      </c>
      <c r="M4261" s="2">
        <v>511</v>
      </c>
      <c r="P4261" t="str">
        <f t="shared" si="267"/>
        <v>50%</v>
      </c>
      <c r="Q4261" s="12">
        <f t="shared" si="264"/>
        <v>0.5</v>
      </c>
      <c r="R4261" s="9">
        <f t="shared" si="265"/>
        <v>1249.5</v>
      </c>
      <c r="S4261" s="9">
        <f>IF(R4261="",AVERAGEIF(Table1[Category],Table1[[#This Row],[Category]],Table2[orignal data]),Table2[[#This Row],[orignal data]])</f>
        <v>1249.5</v>
      </c>
      <c r="T4261" t="str">
        <f t="shared" si="266"/>
        <v>UNIQUE</v>
      </c>
      <c r="U4261" t="str">
        <f>IF(ISBLANK(Table1[[#This Row],[SizeOption]]),"NOT AVAILABLE",Table1[[#This Row],[SizeOption]])</f>
        <v>XS, S, M, L, XL, XXL, 3XL</v>
      </c>
      <c r="Y4261" t="str">
        <f>IF(Table2[[#This Row],[Column1]]&gt;50%,"HIGH DISCOUNT","LOW DISCOUNT")</f>
        <v>LOW DISCOUNT</v>
      </c>
    </row>
    <row r="4262" spans="1:25" x14ac:dyDescent="0.25">
      <c r="A4262" s="1" t="s">
        <v>8732</v>
      </c>
      <c r="B4262" s="1">
        <v>2038137</v>
      </c>
      <c r="C4262" s="1" t="s">
        <v>64</v>
      </c>
      <c r="D4262" s="1" t="s">
        <v>98</v>
      </c>
      <c r="E4262" s="1" t="s">
        <v>48</v>
      </c>
      <c r="F4262" s="1" t="s">
        <v>36</v>
      </c>
      <c r="G4262" s="1" t="s">
        <v>8733</v>
      </c>
      <c r="H4262">
        <v>359</v>
      </c>
      <c r="I4262" s="1">
        <v>1199</v>
      </c>
      <c r="J4262" s="1" t="s">
        <v>79</v>
      </c>
      <c r="K4262" s="1" t="s">
        <v>39</v>
      </c>
      <c r="L4262" s="1">
        <v>4</v>
      </c>
      <c r="M4262" s="1">
        <v>511</v>
      </c>
      <c r="P4262" t="str">
        <f t="shared" si="267"/>
        <v>70%</v>
      </c>
      <c r="Q4262" s="12">
        <f t="shared" si="264"/>
        <v>0.7</v>
      </c>
      <c r="R4262" s="9">
        <f t="shared" si="265"/>
        <v>359.70000000000005</v>
      </c>
      <c r="S4262" s="9">
        <f>IF(R4262="",AVERAGEIF(Table1[Category],Table1[[#This Row],[Category]],Table2[orignal data]),Table2[[#This Row],[orignal data]])</f>
        <v>359.70000000000005</v>
      </c>
      <c r="T4262" t="str">
        <f t="shared" si="266"/>
        <v>UNIQUE</v>
      </c>
      <c r="U4262" t="str">
        <f>IF(ISBLANK(Table1[[#This Row],[SizeOption]]),"NOT AVAILABLE",Table1[[#This Row],[SizeOption]])</f>
        <v>S, M, L, XL, XXL</v>
      </c>
      <c r="Y4262" t="str">
        <f>IF(Table2[[#This Row],[Column1]]&gt;50%,"HIGH DISCOUNT","LOW DISCOUNT")</f>
        <v>HIGH DISCOUNT</v>
      </c>
    </row>
    <row r="4263" spans="1:25" x14ac:dyDescent="0.25">
      <c r="A4263" s="2" t="s">
        <v>8734</v>
      </c>
      <c r="B4263" s="2">
        <v>8427205</v>
      </c>
      <c r="C4263" s="2" t="s">
        <v>221</v>
      </c>
      <c r="D4263" s="2" t="s">
        <v>98</v>
      </c>
      <c r="E4263" s="2" t="s">
        <v>148</v>
      </c>
      <c r="F4263" s="2" t="s">
        <v>36</v>
      </c>
      <c r="G4263" s="2" t="s">
        <v>8735</v>
      </c>
      <c r="H4263">
        <v>989</v>
      </c>
      <c r="I4263" s="2">
        <v>3299</v>
      </c>
      <c r="J4263" s="2" t="s">
        <v>79</v>
      </c>
      <c r="K4263" s="2" t="s">
        <v>223</v>
      </c>
      <c r="L4263" s="2">
        <v>4.3</v>
      </c>
      <c r="M4263" s="2">
        <v>511</v>
      </c>
      <c r="P4263" t="str">
        <f t="shared" si="267"/>
        <v>70%</v>
      </c>
      <c r="Q4263" s="12">
        <f t="shared" si="264"/>
        <v>0.7</v>
      </c>
      <c r="R4263" s="9">
        <f t="shared" si="265"/>
        <v>989.70000000000027</v>
      </c>
      <c r="S4263" s="9">
        <f>IF(R4263="",AVERAGEIF(Table1[Category],Table1[[#This Row],[Category]],Table2[orignal data]),Table2[[#This Row],[orignal data]])</f>
        <v>989.70000000000027</v>
      </c>
      <c r="T4263" t="str">
        <f t="shared" si="266"/>
        <v>UNIQUE</v>
      </c>
      <c r="U4263" t="str">
        <f>IF(ISBLANK(Table1[[#This Row],[SizeOption]]),"NOT AVAILABLE",Table1[[#This Row],[SizeOption]])</f>
        <v>S, M, L, XL, XXL, 3XL, 4XL</v>
      </c>
      <c r="Y4263" t="str">
        <f>IF(Table2[[#This Row],[Column1]]&gt;50%,"HIGH DISCOUNT","LOW DISCOUNT")</f>
        <v>HIGH DISCOUNT</v>
      </c>
    </row>
    <row r="4264" spans="1:25" x14ac:dyDescent="0.25">
      <c r="A4264" s="1" t="s">
        <v>8736</v>
      </c>
      <c r="B4264" s="1">
        <v>2414605</v>
      </c>
      <c r="C4264" s="1" t="s">
        <v>430</v>
      </c>
      <c r="D4264" s="1" t="s">
        <v>41</v>
      </c>
      <c r="E4264" s="1" t="s">
        <v>148</v>
      </c>
      <c r="F4264" s="1" t="s">
        <v>36</v>
      </c>
      <c r="G4264" s="1" t="s">
        <v>8737</v>
      </c>
      <c r="I4264" s="1">
        <v>1299</v>
      </c>
      <c r="J4264" s="1" t="s">
        <v>25</v>
      </c>
      <c r="K4264" s="1" t="s">
        <v>45</v>
      </c>
      <c r="L4264" s="1">
        <v>3.9</v>
      </c>
      <c r="M4264" s="1">
        <v>511</v>
      </c>
      <c r="P4264" t="str">
        <f t="shared" si="267"/>
        <v>55%</v>
      </c>
      <c r="Q4264" s="12">
        <f t="shared" si="264"/>
        <v>0.55000000000000004</v>
      </c>
      <c r="R4264" s="9">
        <f t="shared" si="265"/>
        <v>584.54999999999995</v>
      </c>
      <c r="S4264" s="9">
        <f>IF(R4264="",AVERAGEIF(Table1[Category],Table1[[#This Row],[Category]],Table2[orignal data]),Table2[[#This Row],[orignal data]])</f>
        <v>584.54999999999995</v>
      </c>
      <c r="T4264" t="str">
        <f t="shared" si="266"/>
        <v>UNIQUE</v>
      </c>
      <c r="U4264" t="str">
        <f>IF(ISBLANK(Table1[[#This Row],[SizeOption]]),"NOT AVAILABLE",Table1[[#This Row],[SizeOption]])</f>
        <v>XS, S, M, L, XL</v>
      </c>
      <c r="Y4264" t="str">
        <f>IF(Table2[[#This Row],[Column1]]&gt;50%,"HIGH DISCOUNT","LOW DISCOUNT")</f>
        <v>HIGH DISCOUNT</v>
      </c>
    </row>
    <row r="4265" spans="1:25" x14ac:dyDescent="0.25">
      <c r="A4265" s="2" t="s">
        <v>8738</v>
      </c>
      <c r="B4265" s="2">
        <v>8002221</v>
      </c>
      <c r="C4265" s="2" t="s">
        <v>102</v>
      </c>
      <c r="D4265" s="2" t="s">
        <v>41</v>
      </c>
      <c r="E4265" s="2" t="s">
        <v>16</v>
      </c>
      <c r="F4265" s="2" t="s">
        <v>36</v>
      </c>
      <c r="G4265" s="2" t="s">
        <v>1318</v>
      </c>
      <c r="I4265" s="2">
        <v>1899</v>
      </c>
      <c r="J4265" s="2" t="s">
        <v>126</v>
      </c>
      <c r="K4265" s="2" t="s">
        <v>428</v>
      </c>
      <c r="L4265" s="2">
        <v>3.9</v>
      </c>
      <c r="M4265" s="2">
        <v>511</v>
      </c>
      <c r="P4265" t="str">
        <f t="shared" si="267"/>
        <v>62%</v>
      </c>
      <c r="Q4265" s="12">
        <f t="shared" si="264"/>
        <v>0.62</v>
      </c>
      <c r="R4265" s="9">
        <f t="shared" si="265"/>
        <v>721.62000000000012</v>
      </c>
      <c r="S4265" s="9">
        <f>IF(R4265="",AVERAGEIF(Table1[Category],Table1[[#This Row],[Category]],Table2[orignal data]),Table2[[#This Row],[orignal data]])</f>
        <v>721.62000000000012</v>
      </c>
      <c r="T4265" t="str">
        <f t="shared" si="266"/>
        <v>UNIQUE</v>
      </c>
      <c r="U4265" t="str">
        <f>IF(ISBLANK(Table1[[#This Row],[SizeOption]]),"NOT AVAILABLE",Table1[[#This Row],[SizeOption]])</f>
        <v>26, 28, 30, 32, 34</v>
      </c>
      <c r="Y4265" t="str">
        <f>IF(Table2[[#This Row],[Column1]]&gt;50%,"HIGH DISCOUNT","LOW DISCOUNT")</f>
        <v>HIGH DISCOUNT</v>
      </c>
    </row>
    <row r="4266" spans="1:25" x14ac:dyDescent="0.25">
      <c r="A4266" s="1" t="s">
        <v>8739</v>
      </c>
      <c r="B4266" s="1">
        <v>10389849</v>
      </c>
      <c r="C4266" s="1" t="s">
        <v>67</v>
      </c>
      <c r="D4266" s="1" t="s">
        <v>15</v>
      </c>
      <c r="E4266" s="1" t="s">
        <v>23</v>
      </c>
      <c r="F4266" s="1" t="s">
        <v>17</v>
      </c>
      <c r="G4266" s="1" t="s">
        <v>8740</v>
      </c>
      <c r="H4266">
        <v>879</v>
      </c>
      <c r="I4266" s="1">
        <v>2199</v>
      </c>
      <c r="J4266" s="1" t="s">
        <v>55</v>
      </c>
      <c r="K4266" s="1" t="s">
        <v>39</v>
      </c>
      <c r="L4266" s="1">
        <v>4.0999999999999996</v>
      </c>
      <c r="M4266" s="1">
        <v>510</v>
      </c>
      <c r="P4266" t="str">
        <f t="shared" si="267"/>
        <v>60%</v>
      </c>
      <c r="Q4266" s="12">
        <f t="shared" si="264"/>
        <v>0.6</v>
      </c>
      <c r="R4266" s="9">
        <f t="shared" si="265"/>
        <v>879.60000000000014</v>
      </c>
      <c r="S4266" s="9">
        <f>IF(R4266="",AVERAGEIF(Table1[Category],Table1[[#This Row],[Category]],Table2[orignal data]),Table2[[#This Row],[orignal data]])</f>
        <v>879.60000000000014</v>
      </c>
      <c r="T4266" t="str">
        <f t="shared" si="266"/>
        <v>UNIQUE</v>
      </c>
      <c r="U4266" t="str">
        <f>IF(ISBLANK(Table1[[#This Row],[SizeOption]]),"NOT AVAILABLE",Table1[[#This Row],[SizeOption]])</f>
        <v>S, M, L, XL, XXL</v>
      </c>
      <c r="Y4266" t="str">
        <f>IF(Table2[[#This Row],[Column1]]&gt;50%,"HIGH DISCOUNT","LOW DISCOUNT")</f>
        <v>HIGH DISCOUNT</v>
      </c>
    </row>
    <row r="4267" spans="1:25" x14ac:dyDescent="0.25">
      <c r="A4267" s="2" t="s">
        <v>8741</v>
      </c>
      <c r="B4267" s="2">
        <v>10215627</v>
      </c>
      <c r="C4267" s="2" t="s">
        <v>14</v>
      </c>
      <c r="D4267" s="2" t="s">
        <v>28</v>
      </c>
      <c r="E4267" s="2" t="s">
        <v>1881</v>
      </c>
      <c r="F4267" s="2" t="s">
        <v>17</v>
      </c>
      <c r="G4267" s="2" t="s">
        <v>8742</v>
      </c>
      <c r="H4267">
        <v>674</v>
      </c>
      <c r="I4267" s="2">
        <v>1499</v>
      </c>
      <c r="J4267" s="2" t="s">
        <v>25</v>
      </c>
      <c r="K4267" s="2" t="s">
        <v>115</v>
      </c>
      <c r="L4267" s="2">
        <v>4.0999999999999996</v>
      </c>
      <c r="M4267" s="2">
        <v>510</v>
      </c>
      <c r="P4267" t="str">
        <f t="shared" si="267"/>
        <v>55%</v>
      </c>
      <c r="Q4267" s="12">
        <f t="shared" si="264"/>
        <v>0.55000000000000004</v>
      </c>
      <c r="R4267" s="9">
        <f t="shared" si="265"/>
        <v>674.55</v>
      </c>
      <c r="S4267" s="9">
        <f>IF(R4267="",AVERAGEIF(Table1[Category],Table1[[#This Row],[Category]],Table2[orignal data]),Table2[[#This Row],[orignal data]])</f>
        <v>674.55</v>
      </c>
      <c r="T4267" t="str">
        <f t="shared" si="266"/>
        <v>UNIQUE</v>
      </c>
      <c r="U4267" t="str">
        <f>IF(ISBLANK(Table1[[#This Row],[SizeOption]]),"NOT AVAILABLE",Table1[[#This Row],[SizeOption]])</f>
        <v>XS, S, M, L, XL, XXL</v>
      </c>
      <c r="Y4267" t="str">
        <f>IF(Table2[[#This Row],[Column1]]&gt;50%,"HIGH DISCOUNT","LOW DISCOUNT")</f>
        <v>HIGH DISCOUNT</v>
      </c>
    </row>
    <row r="4268" spans="1:25" x14ac:dyDescent="0.25">
      <c r="A4268" s="1" t="s">
        <v>8743</v>
      </c>
      <c r="B4268" s="1">
        <v>11632494</v>
      </c>
      <c r="C4268" s="1" t="s">
        <v>14</v>
      </c>
      <c r="D4268" s="1" t="s">
        <v>28</v>
      </c>
      <c r="E4268" s="1" t="s">
        <v>42</v>
      </c>
      <c r="F4268" s="1" t="s">
        <v>17</v>
      </c>
      <c r="G4268" s="1" t="s">
        <v>8744</v>
      </c>
      <c r="H4268">
        <v>249</v>
      </c>
      <c r="I4268" s="1">
        <v>499</v>
      </c>
      <c r="J4268" s="1" t="s">
        <v>84</v>
      </c>
      <c r="K4268" s="1" t="s">
        <v>45</v>
      </c>
      <c r="L4268" s="1">
        <v>4.2</v>
      </c>
      <c r="M4268" s="1">
        <v>510</v>
      </c>
      <c r="P4268" t="str">
        <f t="shared" si="267"/>
        <v>50%</v>
      </c>
      <c r="Q4268" s="12">
        <f t="shared" si="264"/>
        <v>0.5</v>
      </c>
      <c r="R4268" s="9">
        <f t="shared" si="265"/>
        <v>249.5</v>
      </c>
      <c r="S4268" s="9">
        <f>IF(R4268="",AVERAGEIF(Table1[Category],Table1[[#This Row],[Category]],Table2[orignal data]),Table2[[#This Row],[orignal data]])</f>
        <v>249.5</v>
      </c>
      <c r="T4268" t="str">
        <f t="shared" si="266"/>
        <v>UNIQUE</v>
      </c>
      <c r="U4268" t="str">
        <f>IF(ISBLANK(Table1[[#This Row],[SizeOption]]),"NOT AVAILABLE",Table1[[#This Row],[SizeOption]])</f>
        <v>XS, S, M, L, XL</v>
      </c>
      <c r="Y4268" t="str">
        <f>IF(Table2[[#This Row],[Column1]]&gt;50%,"HIGH DISCOUNT","LOW DISCOUNT")</f>
        <v>LOW DISCOUNT</v>
      </c>
    </row>
    <row r="4269" spans="1:25" x14ac:dyDescent="0.25">
      <c r="A4269" s="2" t="s">
        <v>8745</v>
      </c>
      <c r="B4269" s="2">
        <v>12816788</v>
      </c>
      <c r="C4269" s="2" t="s">
        <v>64</v>
      </c>
      <c r="D4269" s="2" t="s">
        <v>28</v>
      </c>
      <c r="E4269" s="2" t="s">
        <v>42</v>
      </c>
      <c r="F4269" s="2" t="s">
        <v>17</v>
      </c>
      <c r="G4269" s="2" t="s">
        <v>8746</v>
      </c>
      <c r="H4269">
        <v>269</v>
      </c>
      <c r="I4269" s="2">
        <v>599</v>
      </c>
      <c r="J4269" s="2" t="s">
        <v>25</v>
      </c>
      <c r="K4269" s="2" t="s">
        <v>26</v>
      </c>
      <c r="L4269" s="2">
        <v>4.0999999999999996</v>
      </c>
      <c r="M4269" s="2">
        <v>510</v>
      </c>
      <c r="P4269" t="str">
        <f t="shared" si="267"/>
        <v>55%</v>
      </c>
      <c r="Q4269" s="12">
        <f t="shared" si="264"/>
        <v>0.55000000000000004</v>
      </c>
      <c r="R4269" s="9">
        <f t="shared" si="265"/>
        <v>269.54999999999995</v>
      </c>
      <c r="S4269" s="9">
        <f>IF(R4269="",AVERAGEIF(Table1[Category],Table1[[#This Row],[Category]],Table2[orignal data]),Table2[[#This Row],[orignal data]])</f>
        <v>269.54999999999995</v>
      </c>
      <c r="T4269" t="str">
        <f t="shared" si="266"/>
        <v>UNIQUE</v>
      </c>
      <c r="U4269" t="str">
        <f>IF(ISBLANK(Table1[[#This Row],[SizeOption]]),"NOT AVAILABLE",Table1[[#This Row],[SizeOption]])</f>
        <v>S, M, L, XL</v>
      </c>
      <c r="Y4269" t="str">
        <f>IF(Table2[[#This Row],[Column1]]&gt;50%,"HIGH DISCOUNT","LOW DISCOUNT")</f>
        <v>HIGH DISCOUNT</v>
      </c>
    </row>
    <row r="4270" spans="1:25" x14ac:dyDescent="0.25">
      <c r="A4270" s="1" t="s">
        <v>8747</v>
      </c>
      <c r="B4270" s="1">
        <v>11017726</v>
      </c>
      <c r="C4270" s="1" t="s">
        <v>47</v>
      </c>
      <c r="D4270" s="1" t="s">
        <v>28</v>
      </c>
      <c r="E4270" s="1" t="s">
        <v>42</v>
      </c>
      <c r="F4270" s="1" t="s">
        <v>17</v>
      </c>
      <c r="G4270" s="1" t="s">
        <v>4723</v>
      </c>
      <c r="H4270">
        <v>319</v>
      </c>
      <c r="I4270" s="1">
        <v>799</v>
      </c>
      <c r="J4270" s="1" t="s">
        <v>55</v>
      </c>
      <c r="K4270" s="1" t="s">
        <v>26</v>
      </c>
      <c r="L4270" s="1">
        <v>4.0999999999999996</v>
      </c>
      <c r="M4270" s="1">
        <v>510</v>
      </c>
      <c r="P4270" t="str">
        <f t="shared" si="267"/>
        <v>60%</v>
      </c>
      <c r="Q4270" s="12">
        <f t="shared" si="264"/>
        <v>0.6</v>
      </c>
      <c r="R4270" s="9">
        <f t="shared" si="265"/>
        <v>319.60000000000002</v>
      </c>
      <c r="S4270" s="9">
        <f>IF(R4270="",AVERAGEIF(Table1[Category],Table1[[#This Row],[Category]],Table2[orignal data]),Table2[[#This Row],[orignal data]])</f>
        <v>319.60000000000002</v>
      </c>
      <c r="T4270" t="str">
        <f t="shared" si="266"/>
        <v>UNIQUE</v>
      </c>
      <c r="U4270" t="str">
        <f>IF(ISBLANK(Table1[[#This Row],[SizeOption]]),"NOT AVAILABLE",Table1[[#This Row],[SizeOption]])</f>
        <v>S, M, L, XL</v>
      </c>
      <c r="Y4270" t="str">
        <f>IF(Table2[[#This Row],[Column1]]&gt;50%,"HIGH DISCOUNT","LOW DISCOUNT")</f>
        <v>HIGH DISCOUNT</v>
      </c>
    </row>
    <row r="4271" spans="1:25" x14ac:dyDescent="0.25">
      <c r="A4271" s="2" t="s">
        <v>8748</v>
      </c>
      <c r="B4271" s="2">
        <v>9876215</v>
      </c>
      <c r="C4271" s="2" t="s">
        <v>8749</v>
      </c>
      <c r="D4271" s="2" t="s">
        <v>76</v>
      </c>
      <c r="E4271" s="2" t="s">
        <v>320</v>
      </c>
      <c r="F4271" s="2" t="s">
        <v>36</v>
      </c>
      <c r="G4271" s="2" t="s">
        <v>8750</v>
      </c>
      <c r="H4271">
        <v>988</v>
      </c>
      <c r="I4271" s="2">
        <v>1798</v>
      </c>
      <c r="J4271" s="2" t="s">
        <v>19</v>
      </c>
      <c r="K4271" s="2" t="s">
        <v>164</v>
      </c>
      <c r="L4271" s="2">
        <v>4.2</v>
      </c>
      <c r="M4271" s="2">
        <v>510</v>
      </c>
      <c r="P4271" t="str">
        <f t="shared" si="267"/>
        <v>45%</v>
      </c>
      <c r="Q4271" s="12">
        <f t="shared" si="264"/>
        <v>0.45</v>
      </c>
      <c r="R4271" s="9">
        <f t="shared" si="265"/>
        <v>988.9</v>
      </c>
      <c r="S4271" s="9">
        <f>IF(R4271="",AVERAGEIF(Table1[Category],Table1[[#This Row],[Category]],Table2[orignal data]),Table2[[#This Row],[orignal data]])</f>
        <v>988.9</v>
      </c>
      <c r="T4271" t="str">
        <f t="shared" si="266"/>
        <v>UNIQUE</v>
      </c>
      <c r="U4271" t="str">
        <f>IF(ISBLANK(Table1[[#This Row],[SizeOption]]),"NOT AVAILABLE",Table1[[#This Row],[SizeOption]])</f>
        <v>Onesize</v>
      </c>
      <c r="Y4271" t="str">
        <f>IF(Table2[[#This Row],[Column1]]&gt;50%,"HIGH DISCOUNT","LOW DISCOUNT")</f>
        <v>LOW DISCOUNT</v>
      </c>
    </row>
    <row r="4272" spans="1:25" x14ac:dyDescent="0.25">
      <c r="A4272" s="1" t="s">
        <v>8751</v>
      </c>
      <c r="B4272" s="1">
        <v>11863044</v>
      </c>
      <c r="C4272" s="1" t="s">
        <v>349</v>
      </c>
      <c r="D4272" s="1" t="s">
        <v>34</v>
      </c>
      <c r="E4272" s="1" t="s">
        <v>118</v>
      </c>
      <c r="F4272" s="1" t="s">
        <v>36</v>
      </c>
      <c r="G4272" s="1" t="s">
        <v>8752</v>
      </c>
      <c r="I4272" s="1">
        <v>599</v>
      </c>
      <c r="J4272" s="1"/>
      <c r="K4272" s="1" t="s">
        <v>5171</v>
      </c>
      <c r="L4272" s="1">
        <v>4.4000000000000004</v>
      </c>
      <c r="M4272" s="1">
        <v>510</v>
      </c>
      <c r="P4272" t="str">
        <f t="shared" si="267"/>
        <v/>
      </c>
      <c r="Q4272" s="12" t="str">
        <f t="shared" si="264"/>
        <v/>
      </c>
      <c r="R4272" s="9" t="str">
        <f t="shared" si="265"/>
        <v/>
      </c>
      <c r="S4272" s="9">
        <f>IF(R4272="",AVERAGEIF(Table1[Category],Table1[[#This Row],[Category]],Table2[orignal data]),Table2[[#This Row],[orignal data]])</f>
        <v>608.88518518518481</v>
      </c>
      <c r="T4272" t="str">
        <f t="shared" si="266"/>
        <v>UNIQUE</v>
      </c>
      <c r="U4272" t="str">
        <f>IF(ISBLANK(Table1[[#This Row],[SizeOption]]),"NOT AVAILABLE",Table1[[#This Row],[SizeOption]])</f>
        <v>32B, 32C, 34B, 34C, 36B, 36C, 38B, 38C</v>
      </c>
      <c r="Y4272" t="str">
        <f>IF(Table2[[#This Row],[Column1]]&gt;50%,"HIGH DISCOUNT","LOW DISCOUNT")</f>
        <v>HIGH DISCOUNT</v>
      </c>
    </row>
    <row r="4273" spans="1:25" x14ac:dyDescent="0.25">
      <c r="A4273" s="2" t="s">
        <v>8753</v>
      </c>
      <c r="B4273" s="2">
        <v>2176930</v>
      </c>
      <c r="C4273" s="2" t="s">
        <v>64</v>
      </c>
      <c r="D4273" s="2" t="s">
        <v>98</v>
      </c>
      <c r="E4273" s="2" t="s">
        <v>48</v>
      </c>
      <c r="F4273" s="2" t="s">
        <v>36</v>
      </c>
      <c r="G4273" s="2" t="s">
        <v>8754</v>
      </c>
      <c r="H4273">
        <v>359</v>
      </c>
      <c r="I4273" s="2">
        <v>1199</v>
      </c>
      <c r="J4273" s="2" t="s">
        <v>1566</v>
      </c>
      <c r="K4273" s="2" t="s">
        <v>39</v>
      </c>
      <c r="L4273" s="2">
        <v>4.3</v>
      </c>
      <c r="M4273" s="2">
        <v>510</v>
      </c>
      <c r="P4273" t="str">
        <f t="shared" si="267"/>
        <v>70%</v>
      </c>
      <c r="Q4273" s="12">
        <f t="shared" si="264"/>
        <v>0.7</v>
      </c>
      <c r="R4273" s="9">
        <f t="shared" si="265"/>
        <v>359.70000000000005</v>
      </c>
      <c r="S4273" s="9">
        <f>IF(R4273="",AVERAGEIF(Table1[Category],Table1[[#This Row],[Category]],Table2[orignal data]),Table2[[#This Row],[orignal data]])</f>
        <v>359.70000000000005</v>
      </c>
      <c r="T4273" t="str">
        <f t="shared" si="266"/>
        <v>UNIQUE</v>
      </c>
      <c r="U4273" t="str">
        <f>IF(ISBLANK(Table1[[#This Row],[SizeOption]]),"NOT AVAILABLE",Table1[[#This Row],[SizeOption]])</f>
        <v>S, M, L, XL, XXL</v>
      </c>
      <c r="Y4273" t="str">
        <f>IF(Table2[[#This Row],[Column1]]&gt;50%,"HIGH DISCOUNT","LOW DISCOUNT")</f>
        <v>HIGH DISCOUNT</v>
      </c>
    </row>
    <row r="4274" spans="1:25" x14ac:dyDescent="0.25">
      <c r="A4274" s="1" t="s">
        <v>8755</v>
      </c>
      <c r="B4274" s="1">
        <v>11174826</v>
      </c>
      <c r="C4274" s="1" t="s">
        <v>97</v>
      </c>
      <c r="D4274" s="1" t="s">
        <v>98</v>
      </c>
      <c r="E4274" s="1" t="s">
        <v>533</v>
      </c>
      <c r="F4274" s="1" t="s">
        <v>36</v>
      </c>
      <c r="G4274" s="1" t="s">
        <v>8756</v>
      </c>
      <c r="H4274">
        <v>649</v>
      </c>
      <c r="I4274" s="1">
        <v>1299</v>
      </c>
      <c r="J4274" s="1" t="s">
        <v>84</v>
      </c>
      <c r="K4274" s="1" t="s">
        <v>4579</v>
      </c>
      <c r="L4274" s="1">
        <v>4.2</v>
      </c>
      <c r="M4274" s="1">
        <v>510</v>
      </c>
      <c r="P4274" t="str">
        <f t="shared" si="267"/>
        <v>50%</v>
      </c>
      <c r="Q4274" s="12">
        <f t="shared" si="264"/>
        <v>0.5</v>
      </c>
      <c r="R4274" s="9">
        <f t="shared" si="265"/>
        <v>649.5</v>
      </c>
      <c r="S4274" s="9">
        <f>IF(R4274="",AVERAGEIF(Table1[Category],Table1[[#This Row],[Category]],Table2[orignal data]),Table2[[#This Row],[orignal data]])</f>
        <v>649.5</v>
      </c>
      <c r="T4274" t="str">
        <f t="shared" si="266"/>
        <v>UNIQUE</v>
      </c>
      <c r="U4274" t="str">
        <f>IF(ISBLANK(Table1[[#This Row],[SizeOption]]),"NOT AVAILABLE",Table1[[#This Row],[SizeOption]])</f>
        <v>XS, S, M, L, XL, 3XL, XXL</v>
      </c>
      <c r="Y4274" t="str">
        <f>IF(Table2[[#This Row],[Column1]]&gt;50%,"HIGH DISCOUNT","LOW DISCOUNT")</f>
        <v>LOW DISCOUNT</v>
      </c>
    </row>
    <row r="4275" spans="1:25" x14ac:dyDescent="0.25">
      <c r="A4275" s="2" t="s">
        <v>8757</v>
      </c>
      <c r="B4275" s="2">
        <v>9445943</v>
      </c>
      <c r="C4275" s="2" t="s">
        <v>67</v>
      </c>
      <c r="D4275" s="2" t="s">
        <v>68</v>
      </c>
      <c r="E4275" s="2" t="s">
        <v>306</v>
      </c>
      <c r="F4275" s="2" t="s">
        <v>36</v>
      </c>
      <c r="G4275" s="2" t="s">
        <v>8758</v>
      </c>
      <c r="H4275">
        <v>674</v>
      </c>
      <c r="I4275" s="2">
        <v>1499</v>
      </c>
      <c r="J4275" s="2" t="s">
        <v>25</v>
      </c>
      <c r="K4275" s="2" t="s">
        <v>115</v>
      </c>
      <c r="L4275" s="2">
        <v>4.3</v>
      </c>
      <c r="M4275" s="2">
        <v>510</v>
      </c>
      <c r="P4275" t="str">
        <f t="shared" si="267"/>
        <v>55%</v>
      </c>
      <c r="Q4275" s="12">
        <f t="shared" si="264"/>
        <v>0.55000000000000004</v>
      </c>
      <c r="R4275" s="9">
        <f t="shared" si="265"/>
        <v>674.55</v>
      </c>
      <c r="S4275" s="9">
        <f>IF(R4275="",AVERAGEIF(Table1[Category],Table1[[#This Row],[Category]],Table2[orignal data]),Table2[[#This Row],[orignal data]])</f>
        <v>674.55</v>
      </c>
      <c r="T4275" t="str">
        <f t="shared" si="266"/>
        <v>UNIQUE</v>
      </c>
      <c r="U4275" t="str">
        <f>IF(ISBLANK(Table1[[#This Row],[SizeOption]]),"NOT AVAILABLE",Table1[[#This Row],[SizeOption]])</f>
        <v>XS, S, M, L, XL, XXL</v>
      </c>
      <c r="Y4275" t="str">
        <f>IF(Table2[[#This Row],[Column1]]&gt;50%,"HIGH DISCOUNT","LOW DISCOUNT")</f>
        <v>HIGH DISCOUNT</v>
      </c>
    </row>
    <row r="4276" spans="1:25" x14ac:dyDescent="0.25">
      <c r="A4276" s="1" t="s">
        <v>8759</v>
      </c>
      <c r="B4276" s="1">
        <v>11262470</v>
      </c>
      <c r="C4276" s="1" t="s">
        <v>92</v>
      </c>
      <c r="D4276" s="1" t="s">
        <v>41</v>
      </c>
      <c r="E4276" s="1" t="s">
        <v>53</v>
      </c>
      <c r="F4276" s="1" t="s">
        <v>36</v>
      </c>
      <c r="G4276" s="1" t="s">
        <v>8760</v>
      </c>
      <c r="I4276" s="1">
        <v>1049</v>
      </c>
      <c r="J4276" s="1" t="s">
        <v>126</v>
      </c>
      <c r="K4276" s="1" t="s">
        <v>20</v>
      </c>
      <c r="L4276" s="1">
        <v>4</v>
      </c>
      <c r="M4276" s="1">
        <v>510</v>
      </c>
      <c r="P4276" t="str">
        <f t="shared" si="267"/>
        <v>62%</v>
      </c>
      <c r="Q4276" s="12">
        <f t="shared" si="264"/>
        <v>0.62</v>
      </c>
      <c r="R4276" s="9">
        <f t="shared" si="265"/>
        <v>398.62</v>
      </c>
      <c r="S4276" s="9">
        <f>IF(R4276="",AVERAGEIF(Table1[Category],Table1[[#This Row],[Category]],Table2[orignal data]),Table2[[#This Row],[orignal data]])</f>
        <v>398.62</v>
      </c>
      <c r="T4276" t="str">
        <f t="shared" si="266"/>
        <v>UNIQUE</v>
      </c>
      <c r="U4276" t="str">
        <f>IF(ISBLANK(Table1[[#This Row],[SizeOption]]),"NOT AVAILABLE",Table1[[#This Row],[SizeOption]])</f>
        <v>28, 30, 32, 34, 36</v>
      </c>
      <c r="Y4276" t="str">
        <f>IF(Table2[[#This Row],[Column1]]&gt;50%,"HIGH DISCOUNT","LOW DISCOUNT")</f>
        <v>HIGH DISCOUNT</v>
      </c>
    </row>
    <row r="4277" spans="1:25" x14ac:dyDescent="0.25">
      <c r="A4277" s="2" t="s">
        <v>8761</v>
      </c>
      <c r="B4277" s="2">
        <v>10967618</v>
      </c>
      <c r="C4277" s="2" t="s">
        <v>14</v>
      </c>
      <c r="D4277" s="2" t="s">
        <v>41</v>
      </c>
      <c r="E4277" s="2" t="s">
        <v>579</v>
      </c>
      <c r="F4277" s="2" t="s">
        <v>36</v>
      </c>
      <c r="G4277" s="2" t="s">
        <v>8762</v>
      </c>
      <c r="I4277" s="2">
        <v>1299</v>
      </c>
      <c r="J4277" s="2" t="s">
        <v>25</v>
      </c>
      <c r="K4277" s="2" t="s">
        <v>134</v>
      </c>
      <c r="L4277" s="2">
        <v>4</v>
      </c>
      <c r="M4277" s="2">
        <v>510</v>
      </c>
      <c r="P4277" t="str">
        <f t="shared" si="267"/>
        <v>55%</v>
      </c>
      <c r="Q4277" s="12">
        <f t="shared" si="264"/>
        <v>0.55000000000000004</v>
      </c>
      <c r="R4277" s="9">
        <f t="shared" si="265"/>
        <v>584.54999999999995</v>
      </c>
      <c r="S4277" s="9">
        <f>IF(R4277="",AVERAGEIF(Table1[Category],Table1[[#This Row],[Category]],Table2[orignal data]),Table2[[#This Row],[orignal data]])</f>
        <v>584.54999999999995</v>
      </c>
      <c r="T4277" t="str">
        <f t="shared" si="266"/>
        <v>UNIQUE</v>
      </c>
      <c r="U4277" t="str">
        <f>IF(ISBLANK(Table1[[#This Row],[SizeOption]]),"NOT AVAILABLE",Table1[[#This Row],[SizeOption]])</f>
        <v>26, 28, 30, 32, 34, 36</v>
      </c>
      <c r="Y4277" t="str">
        <f>IF(Table2[[#This Row],[Column1]]&gt;50%,"HIGH DISCOUNT","LOW DISCOUNT")</f>
        <v>HIGH DISCOUNT</v>
      </c>
    </row>
    <row r="4278" spans="1:25" x14ac:dyDescent="0.25">
      <c r="A4278" s="1" t="s">
        <v>8763</v>
      </c>
      <c r="B4278" s="1">
        <v>12458046</v>
      </c>
      <c r="C4278" s="1" t="s">
        <v>8764</v>
      </c>
      <c r="D4278" s="1" t="s">
        <v>41</v>
      </c>
      <c r="E4278" s="1" t="s">
        <v>818</v>
      </c>
      <c r="F4278" s="1" t="s">
        <v>36</v>
      </c>
      <c r="G4278" s="1" t="s">
        <v>8765</v>
      </c>
      <c r="I4278" s="1">
        <v>1499</v>
      </c>
      <c r="J4278" s="1" t="s">
        <v>126</v>
      </c>
      <c r="K4278" s="1" t="s">
        <v>732</v>
      </c>
      <c r="L4278" s="1">
        <v>4.5</v>
      </c>
      <c r="M4278" s="1">
        <v>510</v>
      </c>
      <c r="P4278" t="str">
        <f t="shared" si="267"/>
        <v>62%</v>
      </c>
      <c r="Q4278" s="12">
        <f t="shared" si="264"/>
        <v>0.62</v>
      </c>
      <c r="R4278" s="9">
        <f t="shared" si="265"/>
        <v>569.62</v>
      </c>
      <c r="S4278" s="9">
        <f>IF(R4278="",AVERAGEIF(Table1[Category],Table1[[#This Row],[Category]],Table2[orignal data]),Table2[[#This Row],[orignal data]])</f>
        <v>569.62</v>
      </c>
      <c r="T4278" t="str">
        <f t="shared" si="266"/>
        <v>UNIQUE</v>
      </c>
      <c r="U4278" t="str">
        <f>IF(ISBLANK(Table1[[#This Row],[SizeOption]]),"NOT AVAILABLE",Table1[[#This Row],[SizeOption]])</f>
        <v>S, M, L, XL, XXL, 3XL, 4XL, 5XL</v>
      </c>
      <c r="Y4278" t="str">
        <f>IF(Table2[[#This Row],[Column1]]&gt;50%,"HIGH DISCOUNT","LOW DISCOUNT")</f>
        <v>HIGH DISCOUNT</v>
      </c>
    </row>
    <row r="4279" spans="1:25" x14ac:dyDescent="0.25">
      <c r="A4279" s="2" t="s">
        <v>8766</v>
      </c>
      <c r="B4279" s="2">
        <v>11531858</v>
      </c>
      <c r="C4279" s="2" t="s">
        <v>14</v>
      </c>
      <c r="D4279" s="2" t="s">
        <v>41</v>
      </c>
      <c r="E4279" s="2" t="s">
        <v>16</v>
      </c>
      <c r="F4279" s="2" t="s">
        <v>36</v>
      </c>
      <c r="G4279" s="2" t="s">
        <v>8767</v>
      </c>
      <c r="I4279" s="2">
        <v>2299</v>
      </c>
      <c r="J4279" s="2" t="s">
        <v>55</v>
      </c>
      <c r="K4279" s="2" t="s">
        <v>134</v>
      </c>
      <c r="L4279" s="2">
        <v>4.3</v>
      </c>
      <c r="M4279" s="2">
        <v>510</v>
      </c>
      <c r="P4279" t="str">
        <f t="shared" si="267"/>
        <v>60%</v>
      </c>
      <c r="Q4279" s="12">
        <f t="shared" si="264"/>
        <v>0.6</v>
      </c>
      <c r="R4279" s="9">
        <f t="shared" si="265"/>
        <v>919.60000000000014</v>
      </c>
      <c r="S4279" s="9">
        <f>IF(R4279="",AVERAGEIF(Table1[Category],Table1[[#This Row],[Category]],Table2[orignal data]),Table2[[#This Row],[orignal data]])</f>
        <v>919.60000000000014</v>
      </c>
      <c r="T4279" t="str">
        <f t="shared" si="266"/>
        <v>UNIQUE</v>
      </c>
      <c r="U4279" t="str">
        <f>IF(ISBLANK(Table1[[#This Row],[SizeOption]]),"NOT AVAILABLE",Table1[[#This Row],[SizeOption]])</f>
        <v>26, 28, 30, 32, 34, 36</v>
      </c>
      <c r="Y4279" t="str">
        <f>IF(Table2[[#This Row],[Column1]]&gt;50%,"HIGH DISCOUNT","LOW DISCOUNT")</f>
        <v>HIGH DISCOUNT</v>
      </c>
    </row>
    <row r="4280" spans="1:25" x14ac:dyDescent="0.25">
      <c r="A4280" s="1" t="s">
        <v>8768</v>
      </c>
      <c r="B4280" s="1">
        <v>11697412</v>
      </c>
      <c r="C4280" s="1" t="s">
        <v>14</v>
      </c>
      <c r="D4280" s="1" t="s">
        <v>41</v>
      </c>
      <c r="E4280" s="1" t="s">
        <v>42</v>
      </c>
      <c r="F4280" s="1" t="s">
        <v>36</v>
      </c>
      <c r="G4280" s="1" t="s">
        <v>8769</v>
      </c>
      <c r="I4280" s="1">
        <v>599</v>
      </c>
      <c r="J4280" s="1" t="s">
        <v>55</v>
      </c>
      <c r="K4280" s="1" t="s">
        <v>45</v>
      </c>
      <c r="L4280" s="1">
        <v>4.2</v>
      </c>
      <c r="M4280" s="1">
        <v>510</v>
      </c>
      <c r="P4280" t="str">
        <f t="shared" si="267"/>
        <v>60%</v>
      </c>
      <c r="Q4280" s="12">
        <f t="shared" si="264"/>
        <v>0.6</v>
      </c>
      <c r="R4280" s="9">
        <f t="shared" si="265"/>
        <v>239.60000000000002</v>
      </c>
      <c r="S4280" s="9">
        <f>IF(R4280="",AVERAGEIF(Table1[Category],Table1[[#This Row],[Category]],Table2[orignal data]),Table2[[#This Row],[orignal data]])</f>
        <v>239.60000000000002</v>
      </c>
      <c r="T4280" t="str">
        <f t="shared" si="266"/>
        <v>UNIQUE</v>
      </c>
      <c r="U4280" t="str">
        <f>IF(ISBLANK(Table1[[#This Row],[SizeOption]]),"NOT AVAILABLE",Table1[[#This Row],[SizeOption]])</f>
        <v>XS, S, M, L, XL</v>
      </c>
      <c r="Y4280" t="str">
        <f>IF(Table2[[#This Row],[Column1]]&gt;50%,"HIGH DISCOUNT","LOW DISCOUNT")</f>
        <v>HIGH DISCOUNT</v>
      </c>
    </row>
    <row r="4281" spans="1:25" x14ac:dyDescent="0.25">
      <c r="A4281" s="2" t="s">
        <v>8770</v>
      </c>
      <c r="B4281" s="2">
        <v>15545828</v>
      </c>
      <c r="C4281" s="2" t="s">
        <v>490</v>
      </c>
      <c r="D4281" s="2" t="s">
        <v>41</v>
      </c>
      <c r="E4281" s="2" t="s">
        <v>42</v>
      </c>
      <c r="F4281" s="2" t="s">
        <v>36</v>
      </c>
      <c r="G4281" s="2" t="s">
        <v>8771</v>
      </c>
      <c r="I4281" s="2">
        <v>699</v>
      </c>
      <c r="J4281" s="2"/>
      <c r="K4281" s="2" t="s">
        <v>45</v>
      </c>
      <c r="L4281" s="2">
        <v>4.4000000000000004</v>
      </c>
      <c r="M4281" s="2">
        <v>510</v>
      </c>
      <c r="P4281" t="str">
        <f t="shared" si="267"/>
        <v/>
      </c>
      <c r="Q4281" s="12" t="str">
        <f t="shared" si="264"/>
        <v/>
      </c>
      <c r="R4281" s="9" t="str">
        <f t="shared" si="265"/>
        <v/>
      </c>
      <c r="S4281" s="9">
        <f>IF(R4281="",AVERAGEIF(Table1[Category],Table1[[#This Row],[Category]],Table2[orignal data]),Table2[[#This Row],[orignal data]])</f>
        <v>715.78890751086249</v>
      </c>
      <c r="T4281" t="str">
        <f t="shared" si="266"/>
        <v>UNIQUE</v>
      </c>
      <c r="U4281" t="str">
        <f>IF(ISBLANK(Table1[[#This Row],[SizeOption]]),"NOT AVAILABLE",Table1[[#This Row],[SizeOption]])</f>
        <v>XS, S, M, L, XL</v>
      </c>
      <c r="Y4281" t="str">
        <f>IF(Table2[[#This Row],[Column1]]&gt;50%,"HIGH DISCOUNT","LOW DISCOUNT")</f>
        <v>HIGH DISCOUNT</v>
      </c>
    </row>
    <row r="4282" spans="1:25" x14ac:dyDescent="0.25">
      <c r="A4282" s="1" t="s">
        <v>8772</v>
      </c>
      <c r="B4282" s="1">
        <v>10064489</v>
      </c>
      <c r="C4282" s="1" t="s">
        <v>14</v>
      </c>
      <c r="D4282" s="1" t="s">
        <v>15</v>
      </c>
      <c r="E4282" s="1" t="s">
        <v>16</v>
      </c>
      <c r="F4282" s="1" t="s">
        <v>17</v>
      </c>
      <c r="G4282" s="1" t="s">
        <v>8773</v>
      </c>
      <c r="H4282">
        <v>809</v>
      </c>
      <c r="I4282" s="1">
        <v>1799</v>
      </c>
      <c r="J4282" s="1" t="s">
        <v>25</v>
      </c>
      <c r="K4282" s="1" t="s">
        <v>20</v>
      </c>
      <c r="L4282" s="1">
        <v>4</v>
      </c>
      <c r="M4282" s="1">
        <v>509</v>
      </c>
      <c r="P4282" t="str">
        <f t="shared" si="267"/>
        <v>55%</v>
      </c>
      <c r="Q4282" s="12">
        <f t="shared" si="264"/>
        <v>0.55000000000000004</v>
      </c>
      <c r="R4282" s="9">
        <f t="shared" si="265"/>
        <v>809.55</v>
      </c>
      <c r="S4282" s="9">
        <f>IF(R4282="",AVERAGEIF(Table1[Category],Table1[[#This Row],[Category]],Table2[orignal data]),Table2[[#This Row],[orignal data]])</f>
        <v>809.55</v>
      </c>
      <c r="T4282" t="str">
        <f t="shared" si="266"/>
        <v>UNIQUE</v>
      </c>
      <c r="U4282" t="str">
        <f>IF(ISBLANK(Table1[[#This Row],[SizeOption]]),"NOT AVAILABLE",Table1[[#This Row],[SizeOption]])</f>
        <v>28, 30, 32, 34, 36</v>
      </c>
      <c r="Y4282" t="str">
        <f>IF(Table2[[#This Row],[Column1]]&gt;50%,"HIGH DISCOUNT","LOW DISCOUNT")</f>
        <v>HIGH DISCOUNT</v>
      </c>
    </row>
    <row r="4283" spans="1:25" x14ac:dyDescent="0.25">
      <c r="A4283" s="2" t="s">
        <v>8774</v>
      </c>
      <c r="B4283" s="2">
        <v>11274470</v>
      </c>
      <c r="C4283" s="2" t="s">
        <v>14</v>
      </c>
      <c r="D4283" s="2" t="s">
        <v>15</v>
      </c>
      <c r="E4283" s="2" t="s">
        <v>16</v>
      </c>
      <c r="F4283" s="2" t="s">
        <v>17</v>
      </c>
      <c r="G4283" s="2" t="s">
        <v>3068</v>
      </c>
      <c r="H4283">
        <v>764</v>
      </c>
      <c r="I4283" s="2">
        <v>1699</v>
      </c>
      <c r="J4283" s="2" t="s">
        <v>25</v>
      </c>
      <c r="K4283" s="2" t="s">
        <v>20</v>
      </c>
      <c r="L4283" s="2">
        <v>4.2</v>
      </c>
      <c r="M4283" s="2">
        <v>509</v>
      </c>
      <c r="P4283" t="str">
        <f t="shared" si="267"/>
        <v>55%</v>
      </c>
      <c r="Q4283" s="12">
        <f t="shared" si="264"/>
        <v>0.55000000000000004</v>
      </c>
      <c r="R4283" s="9">
        <f t="shared" si="265"/>
        <v>764.55</v>
      </c>
      <c r="S4283" s="9">
        <f>IF(R4283="",AVERAGEIF(Table1[Category],Table1[[#This Row],[Category]],Table2[orignal data]),Table2[[#This Row],[orignal data]])</f>
        <v>764.55</v>
      </c>
      <c r="T4283" t="str">
        <f t="shared" si="266"/>
        <v>UNIQUE</v>
      </c>
      <c r="U4283" t="str">
        <f>IF(ISBLANK(Table1[[#This Row],[SizeOption]]),"NOT AVAILABLE",Table1[[#This Row],[SizeOption]])</f>
        <v>28, 30, 32, 34, 36</v>
      </c>
      <c r="Y4283" t="str">
        <f>IF(Table2[[#This Row],[Column1]]&gt;50%,"HIGH DISCOUNT","LOW DISCOUNT")</f>
        <v>HIGH DISCOUNT</v>
      </c>
    </row>
    <row r="4284" spans="1:25" x14ac:dyDescent="0.25">
      <c r="A4284" s="1" t="s">
        <v>8775</v>
      </c>
      <c r="B4284" s="1">
        <v>11200612</v>
      </c>
      <c r="C4284" s="1" t="s">
        <v>113</v>
      </c>
      <c r="D4284" s="1" t="s">
        <v>76</v>
      </c>
      <c r="E4284" s="1" t="s">
        <v>93</v>
      </c>
      <c r="F4284" s="1" t="s">
        <v>17</v>
      </c>
      <c r="G4284" s="1" t="s">
        <v>8776</v>
      </c>
      <c r="H4284">
        <v>719</v>
      </c>
      <c r="I4284" s="1">
        <v>1599</v>
      </c>
      <c r="J4284" s="1" t="s">
        <v>25</v>
      </c>
      <c r="K4284" s="1" t="s">
        <v>39</v>
      </c>
      <c r="L4284" s="1">
        <v>4.4000000000000004</v>
      </c>
      <c r="M4284" s="1">
        <v>509</v>
      </c>
      <c r="P4284" t="str">
        <f t="shared" si="267"/>
        <v>55%</v>
      </c>
      <c r="Q4284" s="12">
        <f t="shared" si="264"/>
        <v>0.55000000000000004</v>
      </c>
      <c r="R4284" s="9">
        <f t="shared" si="265"/>
        <v>719.55</v>
      </c>
      <c r="S4284" s="9">
        <f>IF(R4284="",AVERAGEIF(Table1[Category],Table1[[#This Row],[Category]],Table2[orignal data]),Table2[[#This Row],[orignal data]])</f>
        <v>719.55</v>
      </c>
      <c r="T4284" t="str">
        <f t="shared" si="266"/>
        <v>UNIQUE</v>
      </c>
      <c r="U4284" t="str">
        <f>IF(ISBLANK(Table1[[#This Row],[SizeOption]]),"NOT AVAILABLE",Table1[[#This Row],[SizeOption]])</f>
        <v>S, M, L, XL, XXL</v>
      </c>
      <c r="Y4284" t="str">
        <f>IF(Table2[[#This Row],[Column1]]&gt;50%,"HIGH DISCOUNT","LOW DISCOUNT")</f>
        <v>HIGH DISCOUNT</v>
      </c>
    </row>
    <row r="4285" spans="1:25" x14ac:dyDescent="0.25">
      <c r="A4285" s="2" t="s">
        <v>8777</v>
      </c>
      <c r="B4285" s="2">
        <v>10354539</v>
      </c>
      <c r="C4285" s="2" t="s">
        <v>113</v>
      </c>
      <c r="D4285" s="2" t="s">
        <v>76</v>
      </c>
      <c r="E4285" s="2" t="s">
        <v>93</v>
      </c>
      <c r="F4285" s="2" t="s">
        <v>17</v>
      </c>
      <c r="G4285" s="2" t="s">
        <v>8778</v>
      </c>
      <c r="H4285">
        <v>809</v>
      </c>
      <c r="I4285" s="2">
        <v>1799</v>
      </c>
      <c r="J4285" s="2" t="s">
        <v>25</v>
      </c>
      <c r="K4285" s="2" t="s">
        <v>39</v>
      </c>
      <c r="L4285" s="2">
        <v>3.9</v>
      </c>
      <c r="M4285" s="2">
        <v>509</v>
      </c>
      <c r="P4285" t="str">
        <f t="shared" si="267"/>
        <v>55%</v>
      </c>
      <c r="Q4285" s="12">
        <f t="shared" si="264"/>
        <v>0.55000000000000004</v>
      </c>
      <c r="R4285" s="9">
        <f t="shared" si="265"/>
        <v>809.55</v>
      </c>
      <c r="S4285" s="9">
        <f>IF(R4285="",AVERAGEIF(Table1[Category],Table1[[#This Row],[Category]],Table2[orignal data]),Table2[[#This Row],[orignal data]])</f>
        <v>809.55</v>
      </c>
      <c r="T4285" t="str">
        <f t="shared" si="266"/>
        <v>UNIQUE</v>
      </c>
      <c r="U4285" t="str">
        <f>IF(ISBLANK(Table1[[#This Row],[SizeOption]]),"NOT AVAILABLE",Table1[[#This Row],[SizeOption]])</f>
        <v>S, M, L, XL, XXL</v>
      </c>
      <c r="Y4285" t="str">
        <f>IF(Table2[[#This Row],[Column1]]&gt;50%,"HIGH DISCOUNT","LOW DISCOUNT")</f>
        <v>HIGH DISCOUNT</v>
      </c>
    </row>
    <row r="4286" spans="1:25" x14ac:dyDescent="0.25">
      <c r="A4286" s="1" t="s">
        <v>8779</v>
      </c>
      <c r="B4286" s="1">
        <v>9108351</v>
      </c>
      <c r="C4286" s="1" t="s">
        <v>1516</v>
      </c>
      <c r="D4286" s="1" t="s">
        <v>76</v>
      </c>
      <c r="E4286" s="1" t="s">
        <v>77</v>
      </c>
      <c r="F4286" s="1" t="s">
        <v>17</v>
      </c>
      <c r="G4286" s="1" t="s">
        <v>8780</v>
      </c>
      <c r="H4286">
        <v>2236</v>
      </c>
      <c r="I4286" s="1">
        <v>5590</v>
      </c>
      <c r="J4286" s="1" t="s">
        <v>55</v>
      </c>
      <c r="K4286" s="1" t="s">
        <v>234</v>
      </c>
      <c r="L4286" s="1">
        <v>3.8</v>
      </c>
      <c r="M4286" s="1">
        <v>509</v>
      </c>
      <c r="P4286" t="str">
        <f t="shared" si="267"/>
        <v>60%</v>
      </c>
      <c r="Q4286" s="12">
        <f t="shared" si="264"/>
        <v>0.6</v>
      </c>
      <c r="R4286" s="9">
        <f t="shared" si="265"/>
        <v>2236</v>
      </c>
      <c r="S4286" s="9">
        <f>IF(R4286="",AVERAGEIF(Table1[Category],Table1[[#This Row],[Category]],Table2[orignal data]),Table2[[#This Row],[orignal data]])</f>
        <v>2236</v>
      </c>
      <c r="T4286" t="str">
        <f t="shared" si="266"/>
        <v>UNIQUE</v>
      </c>
      <c r="U4286" t="str">
        <f>IF(ISBLANK(Table1[[#This Row],[SizeOption]]),"NOT AVAILABLE",Table1[[#This Row],[SizeOption]])</f>
        <v>S, M, L, XL, XXL, 3XL</v>
      </c>
      <c r="Y4286" t="str">
        <f>IF(Table2[[#This Row],[Column1]]&gt;50%,"HIGH DISCOUNT","LOW DISCOUNT")</f>
        <v>HIGH DISCOUNT</v>
      </c>
    </row>
    <row r="4287" spans="1:25" x14ac:dyDescent="0.25">
      <c r="A4287" s="2" t="s">
        <v>8781</v>
      </c>
      <c r="B4287" s="2">
        <v>11899516</v>
      </c>
      <c r="C4287" s="2" t="s">
        <v>52</v>
      </c>
      <c r="D4287" s="2" t="s">
        <v>28</v>
      </c>
      <c r="E4287" s="2" t="s">
        <v>29</v>
      </c>
      <c r="F4287" s="2" t="s">
        <v>17</v>
      </c>
      <c r="G4287" s="2" t="s">
        <v>8782</v>
      </c>
      <c r="H4287">
        <v>419</v>
      </c>
      <c r="I4287" s="2">
        <v>1049</v>
      </c>
      <c r="J4287" s="2" t="s">
        <v>55</v>
      </c>
      <c r="K4287" s="2" t="s">
        <v>90</v>
      </c>
      <c r="L4287" s="2">
        <v>4</v>
      </c>
      <c r="M4287" s="2">
        <v>509</v>
      </c>
      <c r="P4287" t="str">
        <f t="shared" si="267"/>
        <v>60%</v>
      </c>
      <c r="Q4287" s="12">
        <f t="shared" si="264"/>
        <v>0.6</v>
      </c>
      <c r="R4287" s="9">
        <f t="shared" si="265"/>
        <v>419.6</v>
      </c>
      <c r="S4287" s="9">
        <f>IF(R4287="",AVERAGEIF(Table1[Category],Table1[[#This Row],[Category]],Table2[orignal data]),Table2[[#This Row],[orignal data]])</f>
        <v>419.6</v>
      </c>
      <c r="T4287" t="str">
        <f t="shared" si="266"/>
        <v>UNIQUE</v>
      </c>
      <c r="U4287" t="str">
        <f>IF(ISBLANK(Table1[[#This Row],[SizeOption]]),"NOT AVAILABLE",Table1[[#This Row],[SizeOption]])</f>
        <v>39, 40, 42, 44</v>
      </c>
      <c r="Y4287" t="str">
        <f>IF(Table2[[#This Row],[Column1]]&gt;50%,"HIGH DISCOUNT","LOW DISCOUNT")</f>
        <v>HIGH DISCOUNT</v>
      </c>
    </row>
    <row r="4288" spans="1:25" x14ac:dyDescent="0.25">
      <c r="A4288" s="1" t="s">
        <v>8783</v>
      </c>
      <c r="B4288" s="1">
        <v>11363816</v>
      </c>
      <c r="C4288" s="1" t="s">
        <v>169</v>
      </c>
      <c r="D4288" s="1" t="s">
        <v>28</v>
      </c>
      <c r="E4288" s="1" t="s">
        <v>42</v>
      </c>
      <c r="F4288" s="1" t="s">
        <v>17</v>
      </c>
      <c r="G4288" s="1" t="s">
        <v>8784</v>
      </c>
      <c r="H4288">
        <v>649</v>
      </c>
      <c r="I4288" s="1">
        <v>1299</v>
      </c>
      <c r="J4288" s="1" t="s">
        <v>84</v>
      </c>
      <c r="K4288" s="1" t="s">
        <v>39</v>
      </c>
      <c r="L4288" s="1">
        <v>3.9</v>
      </c>
      <c r="M4288" s="1">
        <v>509</v>
      </c>
      <c r="P4288" t="str">
        <f t="shared" si="267"/>
        <v>50%</v>
      </c>
      <c r="Q4288" s="12">
        <f t="shared" si="264"/>
        <v>0.5</v>
      </c>
      <c r="R4288" s="9">
        <f t="shared" si="265"/>
        <v>649.5</v>
      </c>
      <c r="S4288" s="9">
        <f>IF(R4288="",AVERAGEIF(Table1[Category],Table1[[#This Row],[Category]],Table2[orignal data]),Table2[[#This Row],[orignal data]])</f>
        <v>649.5</v>
      </c>
      <c r="T4288" t="str">
        <f t="shared" si="266"/>
        <v>UNIQUE</v>
      </c>
      <c r="U4288" t="str">
        <f>IF(ISBLANK(Table1[[#This Row],[SizeOption]]),"NOT AVAILABLE",Table1[[#This Row],[SizeOption]])</f>
        <v>S, M, L, XL, XXL</v>
      </c>
      <c r="Y4288" t="str">
        <f>IF(Table2[[#This Row],[Column1]]&gt;50%,"HIGH DISCOUNT","LOW DISCOUNT")</f>
        <v>LOW DISCOUNT</v>
      </c>
    </row>
    <row r="4289" spans="1:25" x14ac:dyDescent="0.25">
      <c r="A4289" s="2" t="s">
        <v>8785</v>
      </c>
      <c r="B4289" s="2">
        <v>10356893</v>
      </c>
      <c r="C4289" s="2" t="s">
        <v>113</v>
      </c>
      <c r="D4289" s="2" t="s">
        <v>28</v>
      </c>
      <c r="E4289" s="2" t="s">
        <v>29</v>
      </c>
      <c r="F4289" s="2" t="s">
        <v>17</v>
      </c>
      <c r="G4289" s="2" t="s">
        <v>8786</v>
      </c>
      <c r="H4289">
        <v>629</v>
      </c>
      <c r="I4289" s="2">
        <v>1399</v>
      </c>
      <c r="J4289" s="2" t="s">
        <v>25</v>
      </c>
      <c r="K4289" s="2" t="s">
        <v>361</v>
      </c>
      <c r="L4289" s="2">
        <v>4</v>
      </c>
      <c r="M4289" s="2">
        <v>509</v>
      </c>
      <c r="P4289" t="str">
        <f t="shared" si="267"/>
        <v>55%</v>
      </c>
      <c r="Q4289" s="12">
        <f t="shared" si="264"/>
        <v>0.55000000000000004</v>
      </c>
      <c r="R4289" s="9">
        <f t="shared" si="265"/>
        <v>629.54999999999995</v>
      </c>
      <c r="S4289" s="9">
        <f>IF(R4289="",AVERAGEIF(Table1[Category],Table1[[#This Row],[Category]],Table2[orignal data]),Table2[[#This Row],[orignal data]])</f>
        <v>629.54999999999995</v>
      </c>
      <c r="T4289" t="str">
        <f t="shared" si="266"/>
        <v>UNIQUE</v>
      </c>
      <c r="U4289" t="str">
        <f>IF(ISBLANK(Table1[[#This Row],[SizeOption]]),"NOT AVAILABLE",Table1[[#This Row],[SizeOption]])</f>
        <v>38, 40, 42, 44, 46</v>
      </c>
      <c r="Y4289" t="str">
        <f>IF(Table2[[#This Row],[Column1]]&gt;50%,"HIGH DISCOUNT","LOW DISCOUNT")</f>
        <v>HIGH DISCOUNT</v>
      </c>
    </row>
    <row r="4290" spans="1:25" x14ac:dyDescent="0.25">
      <c r="A4290" s="1" t="s">
        <v>8787</v>
      </c>
      <c r="B4290" s="1">
        <v>10944582</v>
      </c>
      <c r="C4290" s="1" t="s">
        <v>14</v>
      </c>
      <c r="D4290" s="1" t="s">
        <v>28</v>
      </c>
      <c r="E4290" s="1" t="s">
        <v>29</v>
      </c>
      <c r="F4290" s="1" t="s">
        <v>17</v>
      </c>
      <c r="G4290" s="1" t="s">
        <v>4416</v>
      </c>
      <c r="H4290">
        <v>674</v>
      </c>
      <c r="I4290" s="1">
        <v>1499</v>
      </c>
      <c r="J4290" s="1" t="s">
        <v>25</v>
      </c>
      <c r="K4290" s="1" t="s">
        <v>253</v>
      </c>
      <c r="L4290" s="1">
        <v>4.3</v>
      </c>
      <c r="M4290" s="1">
        <v>509</v>
      </c>
      <c r="P4290" t="str">
        <f t="shared" si="267"/>
        <v>55%</v>
      </c>
      <c r="Q4290" s="12">
        <f t="shared" ref="Q4290:Q4353" si="268">IF(P4290="","",IF(ISNUMBER(SEARCH("%",P4290)),P4290,P4290/I4290)*100%)</f>
        <v>0.55000000000000004</v>
      </c>
      <c r="R4290" s="9">
        <f t="shared" ref="R4290:R4353" si="269">IF(P4290="","",I4290-(I4290*Q4290))</f>
        <v>674.55</v>
      </c>
      <c r="S4290" s="9">
        <f>IF(R4290="",AVERAGEIF(Table1[Category],Table1[[#This Row],[Category]],Table2[orignal data]),Table2[[#This Row],[orignal data]])</f>
        <v>674.55</v>
      </c>
      <c r="T4290" t="str">
        <f t="shared" ref="T4290:T4353" si="270">IF(COUNTIF($B$2:$B$5000,B4290)&gt;1,"DUPLICATE","UNIQUE")</f>
        <v>UNIQUE</v>
      </c>
      <c r="U4290" t="str">
        <f>IF(ISBLANK(Table1[[#This Row],[SizeOption]]),"NOT AVAILABLE",Table1[[#This Row],[SizeOption]])</f>
        <v>38, 40, 42, 44</v>
      </c>
      <c r="Y4290" t="str">
        <f>IF(Table2[[#This Row],[Column1]]&gt;50%,"HIGH DISCOUNT","LOW DISCOUNT")</f>
        <v>HIGH DISCOUNT</v>
      </c>
    </row>
    <row r="4291" spans="1:25" x14ac:dyDescent="0.25">
      <c r="A4291" s="2" t="s">
        <v>8788</v>
      </c>
      <c r="B4291" s="2">
        <v>10168965</v>
      </c>
      <c r="C4291" s="2" t="s">
        <v>47</v>
      </c>
      <c r="D4291" s="2" t="s">
        <v>28</v>
      </c>
      <c r="E4291" s="2" t="s">
        <v>29</v>
      </c>
      <c r="F4291" s="2" t="s">
        <v>17</v>
      </c>
      <c r="G4291" s="2" t="s">
        <v>8789</v>
      </c>
      <c r="H4291">
        <v>839</v>
      </c>
      <c r="I4291" s="2">
        <v>2099</v>
      </c>
      <c r="J4291" s="2" t="s">
        <v>55</v>
      </c>
      <c r="K4291" s="2" t="s">
        <v>253</v>
      </c>
      <c r="L4291" s="2">
        <v>4.2</v>
      </c>
      <c r="M4291" s="2">
        <v>509</v>
      </c>
      <c r="P4291" t="str">
        <f t="shared" ref="P4291:P4354" si="271">TRIM(SUBSTITUTE(SUBSTITUTE(SUBSTITUTE(SUBSTITUTE(J4291,"OFF",""),"Rs.",""),"Hurry*",""),",",""))</f>
        <v>60%</v>
      </c>
      <c r="Q4291" s="12">
        <f t="shared" si="268"/>
        <v>0.6</v>
      </c>
      <c r="R4291" s="9">
        <f t="shared" si="269"/>
        <v>839.60000000000014</v>
      </c>
      <c r="S4291" s="9">
        <f>IF(R4291="",AVERAGEIF(Table1[Category],Table1[[#This Row],[Category]],Table2[orignal data]),Table2[[#This Row],[orignal data]])</f>
        <v>839.60000000000014</v>
      </c>
      <c r="T4291" t="str">
        <f t="shared" si="270"/>
        <v>UNIQUE</v>
      </c>
      <c r="U4291" t="str">
        <f>IF(ISBLANK(Table1[[#This Row],[SizeOption]]),"NOT AVAILABLE",Table1[[#This Row],[SizeOption]])</f>
        <v>38, 40, 42, 44</v>
      </c>
      <c r="Y4291" t="str">
        <f>IF(Table2[[#This Row],[Column1]]&gt;50%,"HIGH DISCOUNT","LOW DISCOUNT")</f>
        <v>HIGH DISCOUNT</v>
      </c>
    </row>
    <row r="4292" spans="1:25" x14ac:dyDescent="0.25">
      <c r="A4292" s="1" t="s">
        <v>8790</v>
      </c>
      <c r="B4292" s="1">
        <v>2144289</v>
      </c>
      <c r="C4292" s="1" t="s">
        <v>52</v>
      </c>
      <c r="D4292" s="1" t="s">
        <v>28</v>
      </c>
      <c r="E4292" s="1" t="s">
        <v>29</v>
      </c>
      <c r="F4292" s="1" t="s">
        <v>17</v>
      </c>
      <c r="G4292" s="1" t="s">
        <v>8791</v>
      </c>
      <c r="H4292">
        <v>549</v>
      </c>
      <c r="I4292" s="1">
        <v>999</v>
      </c>
      <c r="J4292" s="1" t="s">
        <v>19</v>
      </c>
      <c r="K4292" s="1" t="s">
        <v>90</v>
      </c>
      <c r="L4292" s="1">
        <v>4.0999999999999996</v>
      </c>
      <c r="M4292" s="1">
        <v>509</v>
      </c>
      <c r="P4292" t="str">
        <f t="shared" si="271"/>
        <v>45%</v>
      </c>
      <c r="Q4292" s="12">
        <f t="shared" si="268"/>
        <v>0.45</v>
      </c>
      <c r="R4292" s="9">
        <f t="shared" si="269"/>
        <v>549.45000000000005</v>
      </c>
      <c r="S4292" s="9">
        <f>IF(R4292="",AVERAGEIF(Table1[Category],Table1[[#This Row],[Category]],Table2[orignal data]),Table2[[#This Row],[orignal data]])</f>
        <v>549.45000000000005</v>
      </c>
      <c r="T4292" t="str">
        <f t="shared" si="270"/>
        <v>UNIQUE</v>
      </c>
      <c r="U4292" t="str">
        <f>IF(ISBLANK(Table1[[#This Row],[SizeOption]]),"NOT AVAILABLE",Table1[[#This Row],[SizeOption]])</f>
        <v>39, 40, 42, 44</v>
      </c>
      <c r="Y4292" t="str">
        <f>IF(Table2[[#This Row],[Column1]]&gt;50%,"HIGH DISCOUNT","LOW DISCOUNT")</f>
        <v>LOW DISCOUNT</v>
      </c>
    </row>
    <row r="4293" spans="1:25" x14ac:dyDescent="0.25">
      <c r="A4293" s="2" t="s">
        <v>8792</v>
      </c>
      <c r="B4293" s="2">
        <v>11117482</v>
      </c>
      <c r="C4293" s="2" t="s">
        <v>277</v>
      </c>
      <c r="D4293" s="2" t="s">
        <v>76</v>
      </c>
      <c r="E4293" s="2" t="s">
        <v>93</v>
      </c>
      <c r="F4293" s="2" t="s">
        <v>36</v>
      </c>
      <c r="G4293" s="2" t="s">
        <v>8793</v>
      </c>
      <c r="H4293">
        <v>629</v>
      </c>
      <c r="I4293" s="2">
        <v>2999</v>
      </c>
      <c r="J4293" s="2" t="s">
        <v>1594</v>
      </c>
      <c r="K4293" s="2" t="s">
        <v>26</v>
      </c>
      <c r="L4293" s="2">
        <v>3.7</v>
      </c>
      <c r="M4293" s="2">
        <v>509</v>
      </c>
      <c r="P4293" t="str">
        <f t="shared" si="271"/>
        <v>79%</v>
      </c>
      <c r="Q4293" s="12">
        <f t="shared" si="268"/>
        <v>0.79</v>
      </c>
      <c r="R4293" s="9">
        <f t="shared" si="269"/>
        <v>629.79</v>
      </c>
      <c r="S4293" s="9">
        <f>IF(R4293="",AVERAGEIF(Table1[Category],Table1[[#This Row],[Category]],Table2[orignal data]),Table2[[#This Row],[orignal data]])</f>
        <v>629.79</v>
      </c>
      <c r="T4293" t="str">
        <f t="shared" si="270"/>
        <v>UNIQUE</v>
      </c>
      <c r="U4293" t="str">
        <f>IF(ISBLANK(Table1[[#This Row],[SizeOption]]),"NOT AVAILABLE",Table1[[#This Row],[SizeOption]])</f>
        <v>S, M, L, XL</v>
      </c>
      <c r="Y4293" t="str">
        <f>IF(Table2[[#This Row],[Column1]]&gt;50%,"HIGH DISCOUNT","LOW DISCOUNT")</f>
        <v>HIGH DISCOUNT</v>
      </c>
    </row>
    <row r="4294" spans="1:25" x14ac:dyDescent="0.25">
      <c r="A4294" s="1" t="s">
        <v>8794</v>
      </c>
      <c r="B4294" s="1">
        <v>13494300</v>
      </c>
      <c r="C4294" s="1" t="s">
        <v>865</v>
      </c>
      <c r="D4294" s="1" t="s">
        <v>76</v>
      </c>
      <c r="E4294" s="1" t="s">
        <v>77</v>
      </c>
      <c r="F4294" s="1" t="s">
        <v>36</v>
      </c>
      <c r="G4294" s="1" t="s">
        <v>8795</v>
      </c>
      <c r="H4294">
        <v>2204</v>
      </c>
      <c r="I4294" s="1">
        <v>4899</v>
      </c>
      <c r="J4294" s="1" t="s">
        <v>25</v>
      </c>
      <c r="K4294" s="1" t="s">
        <v>39</v>
      </c>
      <c r="L4294" s="1">
        <v>4.0999999999999996</v>
      </c>
      <c r="M4294" s="1">
        <v>509</v>
      </c>
      <c r="P4294" t="str">
        <f t="shared" si="271"/>
        <v>55%</v>
      </c>
      <c r="Q4294" s="12">
        <f t="shared" si="268"/>
        <v>0.55000000000000004</v>
      </c>
      <c r="R4294" s="9">
        <f t="shared" si="269"/>
        <v>2204.5499999999997</v>
      </c>
      <c r="S4294" s="9">
        <f>IF(R4294="",AVERAGEIF(Table1[Category],Table1[[#This Row],[Category]],Table2[orignal data]),Table2[[#This Row],[orignal data]])</f>
        <v>2204.5499999999997</v>
      </c>
      <c r="T4294" t="str">
        <f t="shared" si="270"/>
        <v>UNIQUE</v>
      </c>
      <c r="U4294" t="str">
        <f>IF(ISBLANK(Table1[[#This Row],[SizeOption]]),"NOT AVAILABLE",Table1[[#This Row],[SizeOption]])</f>
        <v>S, M, L, XL, XXL</v>
      </c>
      <c r="Y4294" t="str">
        <f>IF(Table2[[#This Row],[Column1]]&gt;50%,"HIGH DISCOUNT","LOW DISCOUNT")</f>
        <v>HIGH DISCOUNT</v>
      </c>
    </row>
    <row r="4295" spans="1:25" x14ac:dyDescent="0.25">
      <c r="A4295" s="2" t="s">
        <v>8796</v>
      </c>
      <c r="B4295" s="2">
        <v>11991508</v>
      </c>
      <c r="C4295" s="2" t="s">
        <v>14</v>
      </c>
      <c r="D4295" s="2" t="s">
        <v>41</v>
      </c>
      <c r="E4295" s="2" t="s">
        <v>306</v>
      </c>
      <c r="F4295" s="2" t="s">
        <v>36</v>
      </c>
      <c r="G4295" s="2" t="s">
        <v>8797</v>
      </c>
      <c r="I4295" s="2">
        <v>1599</v>
      </c>
      <c r="J4295" s="2" t="s">
        <v>150</v>
      </c>
      <c r="K4295" s="2" t="s">
        <v>115</v>
      </c>
      <c r="L4295" s="2">
        <v>4.2</v>
      </c>
      <c r="M4295" s="2">
        <v>509</v>
      </c>
      <c r="P4295" t="str">
        <f t="shared" si="271"/>
        <v>65%</v>
      </c>
      <c r="Q4295" s="12">
        <f t="shared" si="268"/>
        <v>0.65</v>
      </c>
      <c r="R4295" s="9">
        <f t="shared" si="269"/>
        <v>559.64999999999986</v>
      </c>
      <c r="S4295" s="9">
        <f>IF(R4295="",AVERAGEIF(Table1[Category],Table1[[#This Row],[Category]],Table2[orignal data]),Table2[[#This Row],[orignal data]])</f>
        <v>559.64999999999986</v>
      </c>
      <c r="T4295" t="str">
        <f t="shared" si="270"/>
        <v>UNIQUE</v>
      </c>
      <c r="U4295" t="str">
        <f>IF(ISBLANK(Table1[[#This Row],[SizeOption]]),"NOT AVAILABLE",Table1[[#This Row],[SizeOption]])</f>
        <v>XS, S, M, L, XL, XXL</v>
      </c>
      <c r="Y4295" t="str">
        <f>IF(Table2[[#This Row],[Column1]]&gt;50%,"HIGH DISCOUNT","LOW DISCOUNT")</f>
        <v>HIGH DISCOUNT</v>
      </c>
    </row>
    <row r="4296" spans="1:25" x14ac:dyDescent="0.25">
      <c r="A4296" s="1" t="s">
        <v>8798</v>
      </c>
      <c r="B4296" s="1">
        <v>13617010</v>
      </c>
      <c r="C4296" s="1" t="s">
        <v>295</v>
      </c>
      <c r="D4296" s="1" t="s">
        <v>41</v>
      </c>
      <c r="E4296" s="1" t="s">
        <v>16</v>
      </c>
      <c r="F4296" s="1" t="s">
        <v>36</v>
      </c>
      <c r="G4296" s="1" t="s">
        <v>8799</v>
      </c>
      <c r="I4296" s="1">
        <v>2299</v>
      </c>
      <c r="J4296" s="1" t="s">
        <v>44</v>
      </c>
      <c r="K4296" s="1" t="s">
        <v>8800</v>
      </c>
      <c r="L4296" s="1">
        <v>4.4000000000000004</v>
      </c>
      <c r="M4296" s="1">
        <v>509</v>
      </c>
      <c r="P4296" t="str">
        <f t="shared" si="271"/>
        <v>35%</v>
      </c>
      <c r="Q4296" s="12">
        <f t="shared" si="268"/>
        <v>0.35</v>
      </c>
      <c r="R4296" s="9">
        <f t="shared" si="269"/>
        <v>1494.35</v>
      </c>
      <c r="S4296" s="9">
        <f>IF(R4296="",AVERAGEIF(Table1[Category],Table1[[#This Row],[Category]],Table2[orignal data]),Table2[[#This Row],[orignal data]])</f>
        <v>1494.35</v>
      </c>
      <c r="T4296" t="str">
        <f t="shared" si="270"/>
        <v>UNIQUE</v>
      </c>
      <c r="U4296" t="str">
        <f>IF(ISBLANK(Table1[[#This Row],[SizeOption]]),"NOT AVAILABLE",Table1[[#This Row],[SizeOption]])</f>
        <v>26, 27, 28, 30, 32, 34</v>
      </c>
      <c r="Y4296" t="str">
        <f>IF(Table2[[#This Row],[Column1]]&gt;50%,"HIGH DISCOUNT","LOW DISCOUNT")</f>
        <v>LOW DISCOUNT</v>
      </c>
    </row>
    <row r="4297" spans="1:25" x14ac:dyDescent="0.25">
      <c r="A4297" s="2" t="s">
        <v>8801</v>
      </c>
      <c r="B4297" s="2">
        <v>12645760</v>
      </c>
      <c r="C4297" s="2" t="s">
        <v>1385</v>
      </c>
      <c r="D4297" s="2" t="s">
        <v>41</v>
      </c>
      <c r="E4297" s="2" t="s">
        <v>42</v>
      </c>
      <c r="F4297" s="2" t="s">
        <v>36</v>
      </c>
      <c r="G4297" s="2" t="s">
        <v>8802</v>
      </c>
      <c r="I4297" s="2">
        <v>599</v>
      </c>
      <c r="J4297" s="2" t="s">
        <v>19</v>
      </c>
      <c r="K4297" s="2" t="s">
        <v>45</v>
      </c>
      <c r="L4297" s="2">
        <v>4.4000000000000004</v>
      </c>
      <c r="M4297" s="2">
        <v>509</v>
      </c>
      <c r="P4297" t="str">
        <f t="shared" si="271"/>
        <v>45%</v>
      </c>
      <c r="Q4297" s="12">
        <f t="shared" si="268"/>
        <v>0.45</v>
      </c>
      <c r="R4297" s="9">
        <f t="shared" si="269"/>
        <v>329.45</v>
      </c>
      <c r="S4297" s="9">
        <f>IF(R4297="",AVERAGEIF(Table1[Category],Table1[[#This Row],[Category]],Table2[orignal data]),Table2[[#This Row],[orignal data]])</f>
        <v>329.45</v>
      </c>
      <c r="T4297" t="str">
        <f t="shared" si="270"/>
        <v>UNIQUE</v>
      </c>
      <c r="U4297" t="str">
        <f>IF(ISBLANK(Table1[[#This Row],[SizeOption]]),"NOT AVAILABLE",Table1[[#This Row],[SizeOption]])</f>
        <v>XS, S, M, L, XL</v>
      </c>
      <c r="Y4297" t="str">
        <f>IF(Table2[[#This Row],[Column1]]&gt;50%,"HIGH DISCOUNT","LOW DISCOUNT")</f>
        <v>LOW DISCOUNT</v>
      </c>
    </row>
    <row r="4298" spans="1:25" x14ac:dyDescent="0.25">
      <c r="A4298" s="1" t="s">
        <v>8803</v>
      </c>
      <c r="B4298" s="1">
        <v>7630889</v>
      </c>
      <c r="C4298" s="1" t="s">
        <v>22</v>
      </c>
      <c r="D4298" s="1" t="s">
        <v>15</v>
      </c>
      <c r="E4298" s="1" t="s">
        <v>16</v>
      </c>
      <c r="F4298" s="1" t="s">
        <v>17</v>
      </c>
      <c r="G4298" s="1" t="s">
        <v>8804</v>
      </c>
      <c r="H4298">
        <v>974</v>
      </c>
      <c r="I4298" s="1">
        <v>2499</v>
      </c>
      <c r="J4298" s="1" t="s">
        <v>104</v>
      </c>
      <c r="K4298" s="1" t="s">
        <v>56</v>
      </c>
      <c r="L4298" s="1">
        <v>3.9</v>
      </c>
      <c r="M4298" s="1">
        <v>508</v>
      </c>
      <c r="P4298" t="str">
        <f t="shared" si="271"/>
        <v>61%</v>
      </c>
      <c r="Q4298" s="12">
        <f t="shared" si="268"/>
        <v>0.61</v>
      </c>
      <c r="R4298" s="9">
        <f t="shared" si="269"/>
        <v>974.61000000000013</v>
      </c>
      <c r="S4298" s="9">
        <f>IF(R4298="",AVERAGEIF(Table1[Category],Table1[[#This Row],[Category]],Table2[orignal data]),Table2[[#This Row],[orignal data]])</f>
        <v>974.61000000000013</v>
      </c>
      <c r="T4298" t="str">
        <f t="shared" si="270"/>
        <v>UNIQUE</v>
      </c>
      <c r="U4298" t="str">
        <f>IF(ISBLANK(Table1[[#This Row],[SizeOption]]),"NOT AVAILABLE",Table1[[#This Row],[SizeOption]])</f>
        <v>30, 32, 34, 36</v>
      </c>
      <c r="Y4298" t="str">
        <f>IF(Table2[[#This Row],[Column1]]&gt;50%,"HIGH DISCOUNT","LOW DISCOUNT")</f>
        <v>HIGH DISCOUNT</v>
      </c>
    </row>
    <row r="4299" spans="1:25" x14ac:dyDescent="0.25">
      <c r="A4299" s="2" t="s">
        <v>8805</v>
      </c>
      <c r="B4299" s="2">
        <v>11274416</v>
      </c>
      <c r="C4299" s="2" t="s">
        <v>14</v>
      </c>
      <c r="D4299" s="2" t="s">
        <v>15</v>
      </c>
      <c r="E4299" s="2" t="s">
        <v>16</v>
      </c>
      <c r="F4299" s="2" t="s">
        <v>17</v>
      </c>
      <c r="G4299" s="2" t="s">
        <v>6083</v>
      </c>
      <c r="H4299">
        <v>499</v>
      </c>
      <c r="I4299" s="2">
        <v>1999</v>
      </c>
      <c r="J4299" s="2" t="s">
        <v>109</v>
      </c>
      <c r="K4299" s="2" t="s">
        <v>20</v>
      </c>
      <c r="L4299" s="2">
        <v>3.9</v>
      </c>
      <c r="M4299" s="2">
        <v>508</v>
      </c>
      <c r="P4299" t="str">
        <f t="shared" si="271"/>
        <v>75%</v>
      </c>
      <c r="Q4299" s="12">
        <f t="shared" si="268"/>
        <v>0.75</v>
      </c>
      <c r="R4299" s="9">
        <f t="shared" si="269"/>
        <v>499.75</v>
      </c>
      <c r="S4299" s="9">
        <f>IF(R4299="",AVERAGEIF(Table1[Category],Table1[[#This Row],[Category]],Table2[orignal data]),Table2[[#This Row],[orignal data]])</f>
        <v>499.75</v>
      </c>
      <c r="T4299" t="str">
        <f t="shared" si="270"/>
        <v>UNIQUE</v>
      </c>
      <c r="U4299" t="str">
        <f>IF(ISBLANK(Table1[[#This Row],[SizeOption]]),"NOT AVAILABLE",Table1[[#This Row],[SizeOption]])</f>
        <v>28, 30, 32, 34, 36</v>
      </c>
      <c r="Y4299" t="str">
        <f>IF(Table2[[#This Row],[Column1]]&gt;50%,"HIGH DISCOUNT","LOW DISCOUNT")</f>
        <v>HIGH DISCOUNT</v>
      </c>
    </row>
    <row r="4300" spans="1:25" x14ac:dyDescent="0.25">
      <c r="A4300" s="1" t="s">
        <v>8806</v>
      </c>
      <c r="B4300" s="1">
        <v>9167269</v>
      </c>
      <c r="C4300" s="1" t="s">
        <v>794</v>
      </c>
      <c r="D4300" s="1" t="s">
        <v>197</v>
      </c>
      <c r="E4300" s="1" t="s">
        <v>939</v>
      </c>
      <c r="F4300" s="1" t="s">
        <v>17</v>
      </c>
      <c r="G4300" s="1" t="s">
        <v>8807</v>
      </c>
      <c r="H4300">
        <v>559</v>
      </c>
      <c r="I4300" s="1">
        <v>699</v>
      </c>
      <c r="J4300" s="1" t="s">
        <v>412</v>
      </c>
      <c r="K4300" s="1" t="s">
        <v>39</v>
      </c>
      <c r="L4300" s="1">
        <v>4.4000000000000004</v>
      </c>
      <c r="M4300" s="1">
        <v>508</v>
      </c>
      <c r="P4300" t="str">
        <f t="shared" si="271"/>
        <v>20%</v>
      </c>
      <c r="Q4300" s="12">
        <f t="shared" si="268"/>
        <v>0.2</v>
      </c>
      <c r="R4300" s="9">
        <f t="shared" si="269"/>
        <v>559.20000000000005</v>
      </c>
      <c r="S4300" s="9">
        <f>IF(R4300="",AVERAGEIF(Table1[Category],Table1[[#This Row],[Category]],Table2[orignal data]),Table2[[#This Row],[orignal data]])</f>
        <v>559.20000000000005</v>
      </c>
      <c r="T4300" t="str">
        <f t="shared" si="270"/>
        <v>UNIQUE</v>
      </c>
      <c r="U4300" t="str">
        <f>IF(ISBLANK(Table1[[#This Row],[SizeOption]]),"NOT AVAILABLE",Table1[[#This Row],[SizeOption]])</f>
        <v>S, M, L, XL, XXL</v>
      </c>
      <c r="Y4300" t="str">
        <f>IF(Table2[[#This Row],[Column1]]&gt;50%,"HIGH DISCOUNT","LOW DISCOUNT")</f>
        <v>LOW DISCOUNT</v>
      </c>
    </row>
    <row r="4301" spans="1:25" x14ac:dyDescent="0.25">
      <c r="A4301" s="2" t="s">
        <v>8808</v>
      </c>
      <c r="B4301" s="2">
        <v>17973292</v>
      </c>
      <c r="C4301" s="2" t="s">
        <v>3804</v>
      </c>
      <c r="D4301" s="2" t="s">
        <v>197</v>
      </c>
      <c r="E4301" s="2" t="s">
        <v>296</v>
      </c>
      <c r="F4301" s="2" t="s">
        <v>17</v>
      </c>
      <c r="G4301" s="2" t="s">
        <v>8809</v>
      </c>
      <c r="H4301">
        <v>432</v>
      </c>
      <c r="I4301" s="2">
        <v>618</v>
      </c>
      <c r="J4301" s="2" t="s">
        <v>186</v>
      </c>
      <c r="K4301" s="2" t="s">
        <v>5894</v>
      </c>
      <c r="L4301" s="2">
        <v>4.2</v>
      </c>
      <c r="M4301" s="2">
        <v>508</v>
      </c>
      <c r="P4301" t="str">
        <f t="shared" si="271"/>
        <v>30%</v>
      </c>
      <c r="Q4301" s="12">
        <f t="shared" si="268"/>
        <v>0.3</v>
      </c>
      <c r="R4301" s="9">
        <f t="shared" si="269"/>
        <v>432.6</v>
      </c>
      <c r="S4301" s="9">
        <f>IF(R4301="",AVERAGEIF(Table1[Category],Table1[[#This Row],[Category]],Table2[orignal data]),Table2[[#This Row],[orignal data]])</f>
        <v>432.6</v>
      </c>
      <c r="T4301" t="str">
        <f t="shared" si="270"/>
        <v>UNIQUE</v>
      </c>
      <c r="U4301" t="str">
        <f>IF(ISBLANK(Table1[[#This Row],[SizeOption]]),"NOT AVAILABLE",Table1[[#This Row],[SizeOption]])</f>
        <v>M, S, L</v>
      </c>
      <c r="Y4301" t="str">
        <f>IF(Table2[[#This Row],[Column1]]&gt;50%,"HIGH DISCOUNT","LOW DISCOUNT")</f>
        <v>LOW DISCOUNT</v>
      </c>
    </row>
    <row r="4302" spans="1:25" x14ac:dyDescent="0.25">
      <c r="A4302" s="1" t="s">
        <v>8810</v>
      </c>
      <c r="B4302" s="1">
        <v>7224670</v>
      </c>
      <c r="C4302" s="1" t="s">
        <v>480</v>
      </c>
      <c r="D4302" s="1" t="s">
        <v>197</v>
      </c>
      <c r="E4302" s="1" t="s">
        <v>198</v>
      </c>
      <c r="F4302" s="1" t="s">
        <v>17</v>
      </c>
      <c r="G4302" s="1" t="s">
        <v>8811</v>
      </c>
      <c r="I4302" s="1">
        <v>429</v>
      </c>
      <c r="J4302" s="1"/>
      <c r="K4302" s="1" t="s">
        <v>164</v>
      </c>
      <c r="L4302" s="1">
        <v>4.5</v>
      </c>
      <c r="M4302" s="1">
        <v>508</v>
      </c>
      <c r="P4302" t="str">
        <f t="shared" si="271"/>
        <v/>
      </c>
      <c r="Q4302" s="12" t="str">
        <f t="shared" si="268"/>
        <v/>
      </c>
      <c r="R4302" s="9" t="str">
        <f t="shared" si="269"/>
        <v/>
      </c>
      <c r="S4302" s="9">
        <f>IF(R4302="",AVERAGEIF(Table1[Category],Table1[[#This Row],[Category]],Table2[orignal data]),Table2[[#This Row],[orignal data]])</f>
        <v>552.70900000000006</v>
      </c>
      <c r="T4302" t="str">
        <f t="shared" si="270"/>
        <v>UNIQUE</v>
      </c>
      <c r="U4302" t="str">
        <f>IF(ISBLANK(Table1[[#This Row],[SizeOption]]),"NOT AVAILABLE",Table1[[#This Row],[SizeOption]])</f>
        <v>Onesize</v>
      </c>
      <c r="Y4302" t="str">
        <f>IF(Table2[[#This Row],[Column1]]&gt;50%,"HIGH DISCOUNT","LOW DISCOUNT")</f>
        <v>HIGH DISCOUNT</v>
      </c>
    </row>
    <row r="4303" spans="1:25" x14ac:dyDescent="0.25">
      <c r="A4303" s="2" t="s">
        <v>8812</v>
      </c>
      <c r="B4303" s="2">
        <v>11786138</v>
      </c>
      <c r="C4303" s="2" t="s">
        <v>794</v>
      </c>
      <c r="D4303" s="2" t="s">
        <v>197</v>
      </c>
      <c r="E4303" s="2" t="s">
        <v>939</v>
      </c>
      <c r="F4303" s="2" t="s">
        <v>17</v>
      </c>
      <c r="G4303" s="2" t="s">
        <v>8813</v>
      </c>
      <c r="I4303" s="2">
        <v>1398</v>
      </c>
      <c r="J4303" s="2"/>
      <c r="K4303" s="2" t="s">
        <v>1847</v>
      </c>
      <c r="L4303" s="2">
        <v>4.4000000000000004</v>
      </c>
      <c r="M4303" s="2">
        <v>508</v>
      </c>
      <c r="P4303" t="str">
        <f t="shared" si="271"/>
        <v/>
      </c>
      <c r="Q4303" s="12" t="str">
        <f t="shared" si="268"/>
        <v/>
      </c>
      <c r="R4303" s="9" t="str">
        <f t="shared" si="269"/>
        <v/>
      </c>
      <c r="S4303" s="9">
        <f>IF(R4303="",AVERAGEIF(Table1[Category],Table1[[#This Row],[Category]],Table2[orignal data]),Table2[[#This Row],[orignal data]])</f>
        <v>552.70900000000006</v>
      </c>
      <c r="T4303" t="str">
        <f t="shared" si="270"/>
        <v>UNIQUE</v>
      </c>
      <c r="U4303" t="str">
        <f>IF(ISBLANK(Table1[[#This Row],[SizeOption]]),"NOT AVAILABLE",Table1[[#This Row],[SizeOption]])</f>
        <v>XXL, XL, M, S, L</v>
      </c>
      <c r="Y4303" t="str">
        <f>IF(Table2[[#This Row],[Column1]]&gt;50%,"HIGH DISCOUNT","LOW DISCOUNT")</f>
        <v>HIGH DISCOUNT</v>
      </c>
    </row>
    <row r="4304" spans="1:25" x14ac:dyDescent="0.25">
      <c r="A4304" s="1" t="s">
        <v>8814</v>
      </c>
      <c r="B4304" s="1">
        <v>11876030</v>
      </c>
      <c r="C4304" s="1" t="s">
        <v>52</v>
      </c>
      <c r="D4304" s="1" t="s">
        <v>28</v>
      </c>
      <c r="E4304" s="1" t="s">
        <v>29</v>
      </c>
      <c r="F4304" s="1" t="s">
        <v>17</v>
      </c>
      <c r="G4304" s="1" t="s">
        <v>1771</v>
      </c>
      <c r="H4304">
        <v>419</v>
      </c>
      <c r="I4304" s="1">
        <v>1049</v>
      </c>
      <c r="J4304" s="1" t="s">
        <v>55</v>
      </c>
      <c r="K4304" s="1" t="s">
        <v>90</v>
      </c>
      <c r="L4304" s="1">
        <v>4.3</v>
      </c>
      <c r="M4304" s="1">
        <v>508</v>
      </c>
      <c r="P4304" t="str">
        <f t="shared" si="271"/>
        <v>60%</v>
      </c>
      <c r="Q4304" s="12">
        <f t="shared" si="268"/>
        <v>0.6</v>
      </c>
      <c r="R4304" s="9">
        <f t="shared" si="269"/>
        <v>419.6</v>
      </c>
      <c r="S4304" s="9">
        <f>IF(R4304="",AVERAGEIF(Table1[Category],Table1[[#This Row],[Category]],Table2[orignal data]),Table2[[#This Row],[orignal data]])</f>
        <v>419.6</v>
      </c>
      <c r="T4304" t="str">
        <f t="shared" si="270"/>
        <v>UNIQUE</v>
      </c>
      <c r="U4304" t="str">
        <f>IF(ISBLANK(Table1[[#This Row],[SizeOption]]),"NOT AVAILABLE",Table1[[#This Row],[SizeOption]])</f>
        <v>39, 40, 42, 44</v>
      </c>
      <c r="Y4304" t="str">
        <f>IF(Table2[[#This Row],[Column1]]&gt;50%,"HIGH DISCOUNT","LOW DISCOUNT")</f>
        <v>HIGH DISCOUNT</v>
      </c>
    </row>
    <row r="4305" spans="1:25" x14ac:dyDescent="0.25">
      <c r="A4305" s="2" t="s">
        <v>8815</v>
      </c>
      <c r="B4305" s="2">
        <v>1395989</v>
      </c>
      <c r="C4305" s="2" t="s">
        <v>430</v>
      </c>
      <c r="D4305" s="2" t="s">
        <v>28</v>
      </c>
      <c r="E4305" s="2" t="s">
        <v>306</v>
      </c>
      <c r="F4305" s="2" t="s">
        <v>17</v>
      </c>
      <c r="G4305" s="2" t="s">
        <v>8816</v>
      </c>
      <c r="H4305">
        <v>474</v>
      </c>
      <c r="I4305" s="2">
        <v>1899</v>
      </c>
      <c r="J4305" s="2" t="s">
        <v>109</v>
      </c>
      <c r="K4305" s="2" t="s">
        <v>26</v>
      </c>
      <c r="L4305" s="2">
        <v>4</v>
      </c>
      <c r="M4305" s="2">
        <v>508</v>
      </c>
      <c r="P4305" t="str">
        <f t="shared" si="271"/>
        <v>75%</v>
      </c>
      <c r="Q4305" s="12">
        <f t="shared" si="268"/>
        <v>0.75</v>
      </c>
      <c r="R4305" s="9">
        <f t="shared" si="269"/>
        <v>474.75</v>
      </c>
      <c r="S4305" s="9">
        <f>IF(R4305="",AVERAGEIF(Table1[Category],Table1[[#This Row],[Category]],Table2[orignal data]),Table2[[#This Row],[orignal data]])</f>
        <v>474.75</v>
      </c>
      <c r="T4305" t="str">
        <f t="shared" si="270"/>
        <v>UNIQUE</v>
      </c>
      <c r="U4305" t="str">
        <f>IF(ISBLANK(Table1[[#This Row],[SizeOption]]),"NOT AVAILABLE",Table1[[#This Row],[SizeOption]])</f>
        <v>S, M, L, XL</v>
      </c>
      <c r="Y4305" t="str">
        <f>IF(Table2[[#This Row],[Column1]]&gt;50%,"HIGH DISCOUNT","LOW DISCOUNT")</f>
        <v>HIGH DISCOUNT</v>
      </c>
    </row>
    <row r="4306" spans="1:25" x14ac:dyDescent="0.25">
      <c r="A4306" s="1" t="s">
        <v>8817</v>
      </c>
      <c r="B4306" s="1">
        <v>1847924</v>
      </c>
      <c r="C4306" s="1" t="s">
        <v>52</v>
      </c>
      <c r="D4306" s="1" t="s">
        <v>28</v>
      </c>
      <c r="E4306" s="1" t="s">
        <v>42</v>
      </c>
      <c r="F4306" s="1" t="s">
        <v>17</v>
      </c>
      <c r="G4306" s="1" t="s">
        <v>8818</v>
      </c>
      <c r="H4306">
        <v>274</v>
      </c>
      <c r="I4306" s="1">
        <v>549</v>
      </c>
      <c r="J4306" s="1" t="s">
        <v>84</v>
      </c>
      <c r="K4306" s="1" t="s">
        <v>26</v>
      </c>
      <c r="L4306" s="1">
        <v>4</v>
      </c>
      <c r="M4306" s="1">
        <v>508</v>
      </c>
      <c r="P4306" t="str">
        <f t="shared" si="271"/>
        <v>50%</v>
      </c>
      <c r="Q4306" s="12">
        <f t="shared" si="268"/>
        <v>0.5</v>
      </c>
      <c r="R4306" s="9">
        <f t="shared" si="269"/>
        <v>274.5</v>
      </c>
      <c r="S4306" s="9">
        <f>IF(R4306="",AVERAGEIF(Table1[Category],Table1[[#This Row],[Category]],Table2[orignal data]),Table2[[#This Row],[orignal data]])</f>
        <v>274.5</v>
      </c>
      <c r="T4306" t="str">
        <f t="shared" si="270"/>
        <v>UNIQUE</v>
      </c>
      <c r="U4306" t="str">
        <f>IF(ISBLANK(Table1[[#This Row],[SizeOption]]),"NOT AVAILABLE",Table1[[#This Row],[SizeOption]])</f>
        <v>S, M, L, XL</v>
      </c>
      <c r="Y4306" t="str">
        <f>IF(Table2[[#This Row],[Column1]]&gt;50%,"HIGH DISCOUNT","LOW DISCOUNT")</f>
        <v>LOW DISCOUNT</v>
      </c>
    </row>
    <row r="4307" spans="1:25" x14ac:dyDescent="0.25">
      <c r="A4307" s="2" t="s">
        <v>8819</v>
      </c>
      <c r="B4307" s="2">
        <v>1923232</v>
      </c>
      <c r="C4307" s="2" t="s">
        <v>52</v>
      </c>
      <c r="D4307" s="2" t="s">
        <v>28</v>
      </c>
      <c r="E4307" s="2" t="s">
        <v>42</v>
      </c>
      <c r="F4307" s="2" t="s">
        <v>17</v>
      </c>
      <c r="G4307" s="2" t="s">
        <v>8820</v>
      </c>
      <c r="H4307">
        <v>299</v>
      </c>
      <c r="I4307" s="2">
        <v>749</v>
      </c>
      <c r="J4307" s="2" t="s">
        <v>55</v>
      </c>
      <c r="K4307" s="2" t="s">
        <v>26</v>
      </c>
      <c r="L4307" s="2">
        <v>3.9</v>
      </c>
      <c r="M4307" s="2">
        <v>508</v>
      </c>
      <c r="P4307" t="str">
        <f t="shared" si="271"/>
        <v>60%</v>
      </c>
      <c r="Q4307" s="12">
        <f t="shared" si="268"/>
        <v>0.6</v>
      </c>
      <c r="R4307" s="9">
        <f t="shared" si="269"/>
        <v>299.60000000000002</v>
      </c>
      <c r="S4307" s="9">
        <f>IF(R4307="",AVERAGEIF(Table1[Category],Table1[[#This Row],[Category]],Table2[orignal data]),Table2[[#This Row],[orignal data]])</f>
        <v>299.60000000000002</v>
      </c>
      <c r="T4307" t="str">
        <f t="shared" si="270"/>
        <v>UNIQUE</v>
      </c>
      <c r="U4307" t="str">
        <f>IF(ISBLANK(Table1[[#This Row],[SizeOption]]),"NOT AVAILABLE",Table1[[#This Row],[SizeOption]])</f>
        <v>S, M, L, XL</v>
      </c>
      <c r="Y4307" t="str">
        <f>IF(Table2[[#This Row],[Column1]]&gt;50%,"HIGH DISCOUNT","LOW DISCOUNT")</f>
        <v>HIGH DISCOUNT</v>
      </c>
    </row>
    <row r="4308" spans="1:25" x14ac:dyDescent="0.25">
      <c r="A4308" s="1" t="s">
        <v>8821</v>
      </c>
      <c r="B4308" s="1">
        <v>11029220</v>
      </c>
      <c r="C4308" s="1" t="s">
        <v>430</v>
      </c>
      <c r="D4308" s="1" t="s">
        <v>28</v>
      </c>
      <c r="E4308" s="1" t="s">
        <v>42</v>
      </c>
      <c r="F4308" s="1" t="s">
        <v>17</v>
      </c>
      <c r="G4308" s="1" t="s">
        <v>8822</v>
      </c>
      <c r="H4308">
        <v>499</v>
      </c>
      <c r="I4308" s="1">
        <v>999</v>
      </c>
      <c r="J4308" s="1" t="s">
        <v>84</v>
      </c>
      <c r="K4308" s="1" t="s">
        <v>39</v>
      </c>
      <c r="L4308" s="1">
        <v>4.0999999999999996</v>
      </c>
      <c r="M4308" s="1">
        <v>508</v>
      </c>
      <c r="P4308" t="str">
        <f t="shared" si="271"/>
        <v>50%</v>
      </c>
      <c r="Q4308" s="12">
        <f t="shared" si="268"/>
        <v>0.5</v>
      </c>
      <c r="R4308" s="9">
        <f t="shared" si="269"/>
        <v>499.5</v>
      </c>
      <c r="S4308" s="9">
        <f>IF(R4308="",AVERAGEIF(Table1[Category],Table1[[#This Row],[Category]],Table2[orignal data]),Table2[[#This Row],[orignal data]])</f>
        <v>499.5</v>
      </c>
      <c r="T4308" t="str">
        <f t="shared" si="270"/>
        <v>UNIQUE</v>
      </c>
      <c r="U4308" t="str">
        <f>IF(ISBLANK(Table1[[#This Row],[SizeOption]]),"NOT AVAILABLE",Table1[[#This Row],[SizeOption]])</f>
        <v>S, M, L, XL, XXL</v>
      </c>
      <c r="Y4308" t="str">
        <f>IF(Table2[[#This Row],[Column1]]&gt;50%,"HIGH DISCOUNT","LOW DISCOUNT")</f>
        <v>LOW DISCOUNT</v>
      </c>
    </row>
    <row r="4309" spans="1:25" x14ac:dyDescent="0.25">
      <c r="A4309" s="2" t="s">
        <v>8823</v>
      </c>
      <c r="B4309" s="2">
        <v>1929826</v>
      </c>
      <c r="C4309" s="2" t="s">
        <v>349</v>
      </c>
      <c r="D4309" s="2" t="s">
        <v>34</v>
      </c>
      <c r="E4309" s="2" t="s">
        <v>296</v>
      </c>
      <c r="F4309" s="2" t="s">
        <v>36</v>
      </c>
      <c r="G4309" s="2" t="s">
        <v>8824</v>
      </c>
      <c r="I4309" s="2">
        <v>239</v>
      </c>
      <c r="J4309" s="2"/>
      <c r="K4309" s="2" t="s">
        <v>352</v>
      </c>
      <c r="L4309" s="2">
        <v>4.5</v>
      </c>
      <c r="M4309" s="2">
        <v>508</v>
      </c>
      <c r="P4309" t="str">
        <f t="shared" si="271"/>
        <v/>
      </c>
      <c r="Q4309" s="12" t="str">
        <f t="shared" si="268"/>
        <v/>
      </c>
      <c r="R4309" s="9" t="str">
        <f t="shared" si="269"/>
        <v/>
      </c>
      <c r="S4309" s="9">
        <f>IF(R4309="",AVERAGEIF(Table1[Category],Table1[[#This Row],[Category]],Table2[orignal data]),Table2[[#This Row],[orignal data]])</f>
        <v>608.88518518518481</v>
      </c>
      <c r="T4309" t="str">
        <f t="shared" si="270"/>
        <v>UNIQUE</v>
      </c>
      <c r="U4309" t="str">
        <f>IF(ISBLANK(Table1[[#This Row],[SizeOption]]),"NOT AVAILABLE",Table1[[#This Row],[SizeOption]])</f>
        <v>S, M, L</v>
      </c>
      <c r="Y4309" t="str">
        <f>IF(Table2[[#This Row],[Column1]]&gt;50%,"HIGH DISCOUNT","LOW DISCOUNT")</f>
        <v>HIGH DISCOUNT</v>
      </c>
    </row>
    <row r="4310" spans="1:25" x14ac:dyDescent="0.25">
      <c r="A4310" s="1" t="s">
        <v>8825</v>
      </c>
      <c r="B4310" s="1">
        <v>11810300</v>
      </c>
      <c r="C4310" s="1" t="s">
        <v>349</v>
      </c>
      <c r="D4310" s="1" t="s">
        <v>34</v>
      </c>
      <c r="E4310" s="1" t="s">
        <v>296</v>
      </c>
      <c r="F4310" s="1" t="s">
        <v>36</v>
      </c>
      <c r="G4310" s="1" t="s">
        <v>8826</v>
      </c>
      <c r="I4310" s="1">
        <v>478</v>
      </c>
      <c r="J4310" s="1"/>
      <c r="K4310" s="1" t="s">
        <v>352</v>
      </c>
      <c r="L4310" s="1">
        <v>4.5</v>
      </c>
      <c r="M4310" s="1">
        <v>508</v>
      </c>
      <c r="P4310" t="str">
        <f t="shared" si="271"/>
        <v/>
      </c>
      <c r="Q4310" s="12" t="str">
        <f t="shared" si="268"/>
        <v/>
      </c>
      <c r="R4310" s="9" t="str">
        <f t="shared" si="269"/>
        <v/>
      </c>
      <c r="S4310" s="9">
        <f>IF(R4310="",AVERAGEIF(Table1[Category],Table1[[#This Row],[Category]],Table2[orignal data]),Table2[[#This Row],[orignal data]])</f>
        <v>608.88518518518481</v>
      </c>
      <c r="T4310" t="str">
        <f t="shared" si="270"/>
        <v>UNIQUE</v>
      </c>
      <c r="U4310" t="str">
        <f>IF(ISBLANK(Table1[[#This Row],[SizeOption]]),"NOT AVAILABLE",Table1[[#This Row],[SizeOption]])</f>
        <v>S, M, L</v>
      </c>
      <c r="Y4310" t="str">
        <f>IF(Table2[[#This Row],[Column1]]&gt;50%,"HIGH DISCOUNT","LOW DISCOUNT")</f>
        <v>HIGH DISCOUNT</v>
      </c>
    </row>
    <row r="4311" spans="1:25" x14ac:dyDescent="0.25">
      <c r="A4311" s="2" t="s">
        <v>8827</v>
      </c>
      <c r="B4311" s="2">
        <v>7432570</v>
      </c>
      <c r="C4311" s="2" t="s">
        <v>5934</v>
      </c>
      <c r="D4311" s="2" t="s">
        <v>98</v>
      </c>
      <c r="E4311" s="2" t="s">
        <v>48</v>
      </c>
      <c r="F4311" s="2" t="s">
        <v>36</v>
      </c>
      <c r="G4311" s="2" t="s">
        <v>8828</v>
      </c>
      <c r="H4311">
        <v>934</v>
      </c>
      <c r="I4311" s="2">
        <v>1699</v>
      </c>
      <c r="J4311" s="2" t="s">
        <v>19</v>
      </c>
      <c r="K4311" s="2" t="s">
        <v>8829</v>
      </c>
      <c r="L4311" s="2">
        <v>4</v>
      </c>
      <c r="M4311" s="2">
        <v>508</v>
      </c>
      <c r="P4311" t="str">
        <f t="shared" si="271"/>
        <v>45%</v>
      </c>
      <c r="Q4311" s="12">
        <f t="shared" si="268"/>
        <v>0.45</v>
      </c>
      <c r="R4311" s="9">
        <f t="shared" si="269"/>
        <v>934.44999999999993</v>
      </c>
      <c r="S4311" s="9">
        <f>IF(R4311="",AVERAGEIF(Table1[Category],Table1[[#This Row],[Category]],Table2[orignal data]),Table2[[#This Row],[orignal data]])</f>
        <v>934.44999999999993</v>
      </c>
      <c r="T4311" t="str">
        <f t="shared" si="270"/>
        <v>UNIQUE</v>
      </c>
      <c r="U4311" t="str">
        <f>IF(ISBLANK(Table1[[#This Row],[SizeOption]]),"NOT AVAILABLE",Table1[[#This Row],[SizeOption]])</f>
        <v>L, XL, XXL, 3XL, 4XL, 5XL, 6XL</v>
      </c>
      <c r="Y4311" t="str">
        <f>IF(Table2[[#This Row],[Column1]]&gt;50%,"HIGH DISCOUNT","LOW DISCOUNT")</f>
        <v>LOW DISCOUNT</v>
      </c>
    </row>
    <row r="4312" spans="1:25" x14ac:dyDescent="0.25">
      <c r="A4312" s="1" t="s">
        <v>8830</v>
      </c>
      <c r="B4312" s="1">
        <v>10462964</v>
      </c>
      <c r="C4312" s="1" t="s">
        <v>14</v>
      </c>
      <c r="D4312" s="1" t="s">
        <v>41</v>
      </c>
      <c r="E4312" s="1" t="s">
        <v>306</v>
      </c>
      <c r="F4312" s="1" t="s">
        <v>36</v>
      </c>
      <c r="G4312" s="1" t="s">
        <v>8831</v>
      </c>
      <c r="I4312" s="1">
        <v>1699</v>
      </c>
      <c r="J4312" s="1" t="s">
        <v>150</v>
      </c>
      <c r="K4312" s="1" t="s">
        <v>115</v>
      </c>
      <c r="L4312" s="1">
        <v>4.2</v>
      </c>
      <c r="M4312" s="1">
        <v>508</v>
      </c>
      <c r="P4312" t="str">
        <f t="shared" si="271"/>
        <v>65%</v>
      </c>
      <c r="Q4312" s="12">
        <f t="shared" si="268"/>
        <v>0.65</v>
      </c>
      <c r="R4312" s="9">
        <f t="shared" si="269"/>
        <v>594.64999999999986</v>
      </c>
      <c r="S4312" s="9">
        <f>IF(R4312="",AVERAGEIF(Table1[Category],Table1[[#This Row],[Category]],Table2[orignal data]),Table2[[#This Row],[orignal data]])</f>
        <v>594.64999999999986</v>
      </c>
      <c r="T4312" t="str">
        <f t="shared" si="270"/>
        <v>UNIQUE</v>
      </c>
      <c r="U4312" t="str">
        <f>IF(ISBLANK(Table1[[#This Row],[SizeOption]]),"NOT AVAILABLE",Table1[[#This Row],[SizeOption]])</f>
        <v>XS, S, M, L, XL, XXL</v>
      </c>
      <c r="Y4312" t="str">
        <f>IF(Table2[[#This Row],[Column1]]&gt;50%,"HIGH DISCOUNT","LOW DISCOUNT")</f>
        <v>HIGH DISCOUNT</v>
      </c>
    </row>
    <row r="4313" spans="1:25" x14ac:dyDescent="0.25">
      <c r="A4313" s="2" t="s">
        <v>8832</v>
      </c>
      <c r="B4313" s="2">
        <v>11514704</v>
      </c>
      <c r="C4313" s="2" t="s">
        <v>181</v>
      </c>
      <c r="D4313" s="2" t="s">
        <v>41</v>
      </c>
      <c r="E4313" s="2" t="s">
        <v>48</v>
      </c>
      <c r="F4313" s="2" t="s">
        <v>36</v>
      </c>
      <c r="G4313" s="2" t="s">
        <v>8833</v>
      </c>
      <c r="I4313" s="2">
        <v>799</v>
      </c>
      <c r="J4313" s="2" t="s">
        <v>19</v>
      </c>
      <c r="K4313" s="2" t="s">
        <v>45</v>
      </c>
      <c r="L4313" s="2">
        <v>4.4000000000000004</v>
      </c>
      <c r="M4313" s="2">
        <v>508</v>
      </c>
      <c r="P4313" t="str">
        <f t="shared" si="271"/>
        <v>45%</v>
      </c>
      <c r="Q4313" s="12">
        <f t="shared" si="268"/>
        <v>0.45</v>
      </c>
      <c r="R4313" s="9">
        <f t="shared" si="269"/>
        <v>439.45</v>
      </c>
      <c r="S4313" s="9">
        <f>IF(R4313="",AVERAGEIF(Table1[Category],Table1[[#This Row],[Category]],Table2[orignal data]),Table2[[#This Row],[orignal data]])</f>
        <v>439.45</v>
      </c>
      <c r="T4313" t="str">
        <f t="shared" si="270"/>
        <v>UNIQUE</v>
      </c>
      <c r="U4313" t="str">
        <f>IF(ISBLANK(Table1[[#This Row],[SizeOption]]),"NOT AVAILABLE",Table1[[#This Row],[SizeOption]])</f>
        <v>XS, S, M, L, XL</v>
      </c>
      <c r="Y4313" t="str">
        <f>IF(Table2[[#This Row],[Column1]]&gt;50%,"HIGH DISCOUNT","LOW DISCOUNT")</f>
        <v>LOW DISCOUNT</v>
      </c>
    </row>
    <row r="4314" spans="1:25" x14ac:dyDescent="0.25">
      <c r="A4314" s="1" t="s">
        <v>8834</v>
      </c>
      <c r="B4314" s="1">
        <v>17383266</v>
      </c>
      <c r="C4314" s="1" t="s">
        <v>14</v>
      </c>
      <c r="D4314" s="1" t="s">
        <v>41</v>
      </c>
      <c r="E4314" s="1" t="s">
        <v>42</v>
      </c>
      <c r="F4314" s="1" t="s">
        <v>36</v>
      </c>
      <c r="G4314" s="1" t="s">
        <v>8835</v>
      </c>
      <c r="I4314" s="1">
        <v>1598</v>
      </c>
      <c r="J4314" s="1"/>
      <c r="K4314" s="1" t="s">
        <v>146</v>
      </c>
      <c r="L4314" s="1">
        <v>4.3</v>
      </c>
      <c r="M4314" s="1">
        <v>508</v>
      </c>
      <c r="P4314" t="str">
        <f t="shared" si="271"/>
        <v/>
      </c>
      <c r="Q4314" s="12" t="str">
        <f t="shared" si="268"/>
        <v/>
      </c>
      <c r="R4314" s="9" t="str">
        <f t="shared" si="269"/>
        <v/>
      </c>
      <c r="S4314" s="9">
        <f>IF(R4314="",AVERAGEIF(Table1[Category],Table1[[#This Row],[Category]],Table2[orignal data]),Table2[[#This Row],[orignal data]])</f>
        <v>715.78890751086249</v>
      </c>
      <c r="T4314" t="str">
        <f t="shared" si="270"/>
        <v>UNIQUE</v>
      </c>
      <c r="U4314" t="str">
        <f>IF(ISBLANK(Table1[[#This Row],[SizeOption]]),"NOT AVAILABLE",Table1[[#This Row],[SizeOption]])</f>
        <v>L, M, S, XS, XL</v>
      </c>
      <c r="Y4314" t="str">
        <f>IF(Table2[[#This Row],[Column1]]&gt;50%,"HIGH DISCOUNT","LOW DISCOUNT")</f>
        <v>HIGH DISCOUNT</v>
      </c>
    </row>
    <row r="4315" spans="1:25" x14ac:dyDescent="0.25">
      <c r="A4315" s="2" t="s">
        <v>8836</v>
      </c>
      <c r="B4315" s="2">
        <v>13931936</v>
      </c>
      <c r="C4315" s="2" t="s">
        <v>517</v>
      </c>
      <c r="D4315" s="2" t="s">
        <v>15</v>
      </c>
      <c r="E4315" s="2" t="s">
        <v>53</v>
      </c>
      <c r="F4315" s="2" t="s">
        <v>17</v>
      </c>
      <c r="G4315" s="2" t="s">
        <v>8837</v>
      </c>
      <c r="H4315">
        <v>824</v>
      </c>
      <c r="I4315" s="2">
        <v>1499</v>
      </c>
      <c r="J4315" s="2" t="s">
        <v>19</v>
      </c>
      <c r="K4315" s="2" t="s">
        <v>56</v>
      </c>
      <c r="L4315" s="2">
        <v>4.0999999999999996</v>
      </c>
      <c r="M4315" s="2">
        <v>507</v>
      </c>
      <c r="P4315" t="str">
        <f t="shared" si="271"/>
        <v>45%</v>
      </c>
      <c r="Q4315" s="12">
        <f t="shared" si="268"/>
        <v>0.45</v>
      </c>
      <c r="R4315" s="9">
        <f t="shared" si="269"/>
        <v>824.44999999999993</v>
      </c>
      <c r="S4315" s="9">
        <f>IF(R4315="",AVERAGEIF(Table1[Category],Table1[[#This Row],[Category]],Table2[orignal data]),Table2[[#This Row],[orignal data]])</f>
        <v>824.44999999999993</v>
      </c>
      <c r="T4315" t="str">
        <f t="shared" si="270"/>
        <v>UNIQUE</v>
      </c>
      <c r="U4315" t="str">
        <f>IF(ISBLANK(Table1[[#This Row],[SizeOption]]),"NOT AVAILABLE",Table1[[#This Row],[SizeOption]])</f>
        <v>30, 32, 34, 36</v>
      </c>
      <c r="Y4315" t="str">
        <f>IF(Table2[[#This Row],[Column1]]&gt;50%,"HIGH DISCOUNT","LOW DISCOUNT")</f>
        <v>LOW DISCOUNT</v>
      </c>
    </row>
    <row r="4316" spans="1:25" x14ac:dyDescent="0.25">
      <c r="A4316" s="1" t="s">
        <v>8838</v>
      </c>
      <c r="B4316" s="1">
        <v>10105997</v>
      </c>
      <c r="C4316" s="1" t="s">
        <v>67</v>
      </c>
      <c r="D4316" s="1" t="s">
        <v>68</v>
      </c>
      <c r="E4316" s="1" t="s">
        <v>42</v>
      </c>
      <c r="F4316" s="1" t="s">
        <v>17</v>
      </c>
      <c r="G4316" s="1" t="s">
        <v>8839</v>
      </c>
      <c r="H4316">
        <v>804</v>
      </c>
      <c r="I4316" s="1">
        <v>2299</v>
      </c>
      <c r="J4316" s="1" t="s">
        <v>150</v>
      </c>
      <c r="K4316" s="1" t="s">
        <v>39</v>
      </c>
      <c r="L4316" s="1">
        <v>4.5</v>
      </c>
      <c r="M4316" s="1">
        <v>507</v>
      </c>
      <c r="P4316" t="str">
        <f t="shared" si="271"/>
        <v>65%</v>
      </c>
      <c r="Q4316" s="12">
        <f t="shared" si="268"/>
        <v>0.65</v>
      </c>
      <c r="R4316" s="9">
        <f t="shared" si="269"/>
        <v>804.64999999999986</v>
      </c>
      <c r="S4316" s="9">
        <f>IF(R4316="",AVERAGEIF(Table1[Category],Table1[[#This Row],[Category]],Table2[orignal data]),Table2[[#This Row],[orignal data]])</f>
        <v>804.64999999999986</v>
      </c>
      <c r="T4316" t="str">
        <f t="shared" si="270"/>
        <v>UNIQUE</v>
      </c>
      <c r="U4316" t="str">
        <f>IF(ISBLANK(Table1[[#This Row],[SizeOption]]),"NOT AVAILABLE",Table1[[#This Row],[SizeOption]])</f>
        <v>S, M, L, XL, XXL</v>
      </c>
      <c r="Y4316" t="str">
        <f>IF(Table2[[#This Row],[Column1]]&gt;50%,"HIGH DISCOUNT","LOW DISCOUNT")</f>
        <v>HIGH DISCOUNT</v>
      </c>
    </row>
    <row r="4317" spans="1:25" x14ac:dyDescent="0.25">
      <c r="A4317" s="2" t="s">
        <v>8840</v>
      </c>
      <c r="B4317" s="2">
        <v>14514654</v>
      </c>
      <c r="C4317" s="2" t="s">
        <v>784</v>
      </c>
      <c r="D4317" s="2" t="s">
        <v>68</v>
      </c>
      <c r="E4317" s="2" t="s">
        <v>42</v>
      </c>
      <c r="F4317" s="2" t="s">
        <v>17</v>
      </c>
      <c r="G4317" s="2" t="s">
        <v>8841</v>
      </c>
      <c r="H4317">
        <v>649</v>
      </c>
      <c r="I4317" s="2">
        <v>999</v>
      </c>
      <c r="J4317" s="2" t="s">
        <v>44</v>
      </c>
      <c r="K4317" s="2" t="s">
        <v>39</v>
      </c>
      <c r="L4317" s="2">
        <v>4.3</v>
      </c>
      <c r="M4317" s="2">
        <v>507</v>
      </c>
      <c r="P4317" t="str">
        <f t="shared" si="271"/>
        <v>35%</v>
      </c>
      <c r="Q4317" s="12">
        <f t="shared" si="268"/>
        <v>0.35</v>
      </c>
      <c r="R4317" s="9">
        <f t="shared" si="269"/>
        <v>649.35</v>
      </c>
      <c r="S4317" s="9">
        <f>IF(R4317="",AVERAGEIF(Table1[Category],Table1[[#This Row],[Category]],Table2[orignal data]),Table2[[#This Row],[orignal data]])</f>
        <v>649.35</v>
      </c>
      <c r="T4317" t="str">
        <f t="shared" si="270"/>
        <v>UNIQUE</v>
      </c>
      <c r="U4317" t="str">
        <f>IF(ISBLANK(Table1[[#This Row],[SizeOption]]),"NOT AVAILABLE",Table1[[#This Row],[SizeOption]])</f>
        <v>S, M, L, XL, XXL</v>
      </c>
      <c r="Y4317" t="str">
        <f>IF(Table2[[#This Row],[Column1]]&gt;50%,"HIGH DISCOUNT","LOW DISCOUNT")</f>
        <v>LOW DISCOUNT</v>
      </c>
    </row>
    <row r="4318" spans="1:25" x14ac:dyDescent="0.25">
      <c r="A4318" s="1" t="s">
        <v>8842</v>
      </c>
      <c r="B4318" s="1">
        <v>14038160</v>
      </c>
      <c r="C4318" s="1" t="s">
        <v>1024</v>
      </c>
      <c r="D4318" s="1" t="s">
        <v>76</v>
      </c>
      <c r="E4318" s="1" t="s">
        <v>93</v>
      </c>
      <c r="F4318" s="1" t="s">
        <v>36</v>
      </c>
      <c r="G4318" s="1" t="s">
        <v>8843</v>
      </c>
      <c r="H4318">
        <v>441</v>
      </c>
      <c r="I4318" s="1">
        <v>1225</v>
      </c>
      <c r="J4318" s="1" t="s">
        <v>416</v>
      </c>
      <c r="K4318" s="1" t="s">
        <v>73</v>
      </c>
      <c r="L4318" s="1">
        <v>3.9</v>
      </c>
      <c r="M4318" s="1">
        <v>507</v>
      </c>
      <c r="P4318" t="str">
        <f t="shared" si="271"/>
        <v>64%</v>
      </c>
      <c r="Q4318" s="12">
        <f t="shared" si="268"/>
        <v>0.64</v>
      </c>
      <c r="R4318" s="9">
        <f t="shared" si="269"/>
        <v>441</v>
      </c>
      <c r="S4318" s="9">
        <f>IF(R4318="",AVERAGEIF(Table1[Category],Table1[[#This Row],[Category]],Table2[orignal data]),Table2[[#This Row],[orignal data]])</f>
        <v>441</v>
      </c>
      <c r="T4318" t="str">
        <f t="shared" si="270"/>
        <v>UNIQUE</v>
      </c>
      <c r="U4318" t="str">
        <f>IF(ISBLANK(Table1[[#This Row],[SizeOption]]),"NOT AVAILABLE",Table1[[#This Row],[SizeOption]])</f>
        <v>XS, S, M, L, XL, XXL, 3XL, 4XL</v>
      </c>
      <c r="Y4318" t="str">
        <f>IF(Table2[[#This Row],[Column1]]&gt;50%,"HIGH DISCOUNT","LOW DISCOUNT")</f>
        <v>HIGH DISCOUNT</v>
      </c>
    </row>
    <row r="4319" spans="1:25" x14ac:dyDescent="0.25">
      <c r="A4319" s="2" t="s">
        <v>8844</v>
      </c>
      <c r="B4319" s="2">
        <v>6603450</v>
      </c>
      <c r="C4319" s="2" t="s">
        <v>92</v>
      </c>
      <c r="D4319" s="2" t="s">
        <v>76</v>
      </c>
      <c r="E4319" s="2" t="s">
        <v>93</v>
      </c>
      <c r="F4319" s="2" t="s">
        <v>36</v>
      </c>
      <c r="G4319" s="2" t="s">
        <v>8845</v>
      </c>
      <c r="H4319">
        <v>527</v>
      </c>
      <c r="I4319" s="2">
        <v>1649</v>
      </c>
      <c r="J4319" s="2" t="s">
        <v>839</v>
      </c>
      <c r="K4319" s="2" t="s">
        <v>39</v>
      </c>
      <c r="L4319" s="2">
        <v>4</v>
      </c>
      <c r="M4319" s="2">
        <v>507</v>
      </c>
      <c r="P4319" t="str">
        <f t="shared" si="271"/>
        <v>68%</v>
      </c>
      <c r="Q4319" s="12">
        <f t="shared" si="268"/>
        <v>0.68</v>
      </c>
      <c r="R4319" s="9">
        <f t="shared" si="269"/>
        <v>527.67999999999984</v>
      </c>
      <c r="S4319" s="9">
        <f>IF(R4319="",AVERAGEIF(Table1[Category],Table1[[#This Row],[Category]],Table2[orignal data]),Table2[[#This Row],[orignal data]])</f>
        <v>527.67999999999984</v>
      </c>
      <c r="T4319" t="str">
        <f t="shared" si="270"/>
        <v>UNIQUE</v>
      </c>
      <c r="U4319" t="str">
        <f>IF(ISBLANK(Table1[[#This Row],[SizeOption]]),"NOT AVAILABLE",Table1[[#This Row],[SizeOption]])</f>
        <v>S, M, L, XL, XXL</v>
      </c>
      <c r="Y4319" t="str">
        <f>IF(Table2[[#This Row],[Column1]]&gt;50%,"HIGH DISCOUNT","LOW DISCOUNT")</f>
        <v>HIGH DISCOUNT</v>
      </c>
    </row>
    <row r="4320" spans="1:25" x14ac:dyDescent="0.25">
      <c r="A4320" s="1" t="s">
        <v>8846</v>
      </c>
      <c r="B4320" s="1">
        <v>13789756</v>
      </c>
      <c r="C4320" s="1" t="s">
        <v>113</v>
      </c>
      <c r="D4320" s="1" t="s">
        <v>76</v>
      </c>
      <c r="E4320" s="1" t="s">
        <v>77</v>
      </c>
      <c r="F4320" s="1" t="s">
        <v>36</v>
      </c>
      <c r="G4320" s="1" t="s">
        <v>8847</v>
      </c>
      <c r="H4320">
        <v>1119</v>
      </c>
      <c r="I4320" s="1">
        <v>2799</v>
      </c>
      <c r="J4320" s="1" t="s">
        <v>55</v>
      </c>
      <c r="K4320" s="1" t="s">
        <v>73</v>
      </c>
      <c r="L4320" s="1">
        <v>4.3</v>
      </c>
      <c r="M4320" s="1">
        <v>507</v>
      </c>
      <c r="P4320" t="str">
        <f t="shared" si="271"/>
        <v>60%</v>
      </c>
      <c r="Q4320" s="12">
        <f t="shared" si="268"/>
        <v>0.6</v>
      </c>
      <c r="R4320" s="9">
        <f t="shared" si="269"/>
        <v>1119.6000000000001</v>
      </c>
      <c r="S4320" s="9">
        <f>IF(R4320="",AVERAGEIF(Table1[Category],Table1[[#This Row],[Category]],Table2[orignal data]),Table2[[#This Row],[orignal data]])</f>
        <v>1119.6000000000001</v>
      </c>
      <c r="T4320" t="str">
        <f t="shared" si="270"/>
        <v>UNIQUE</v>
      </c>
      <c r="U4320" t="str">
        <f>IF(ISBLANK(Table1[[#This Row],[SizeOption]]),"NOT AVAILABLE",Table1[[#This Row],[SizeOption]])</f>
        <v>XS, S, M, L, XL, XXL, 3XL, 4XL</v>
      </c>
      <c r="Y4320" t="str">
        <f>IF(Table2[[#This Row],[Column1]]&gt;50%,"HIGH DISCOUNT","LOW DISCOUNT")</f>
        <v>HIGH DISCOUNT</v>
      </c>
    </row>
    <row r="4321" spans="1:25" x14ac:dyDescent="0.25">
      <c r="A4321" s="2" t="s">
        <v>8848</v>
      </c>
      <c r="B4321" s="2">
        <v>9816649</v>
      </c>
      <c r="C4321" s="2" t="s">
        <v>1127</v>
      </c>
      <c r="D4321" s="2" t="s">
        <v>76</v>
      </c>
      <c r="E4321" s="2" t="s">
        <v>77</v>
      </c>
      <c r="F4321" s="2" t="s">
        <v>36</v>
      </c>
      <c r="G4321" s="2" t="s">
        <v>8849</v>
      </c>
      <c r="H4321">
        <v>1331</v>
      </c>
      <c r="I4321" s="2">
        <v>3599</v>
      </c>
      <c r="J4321" s="2" t="s">
        <v>476</v>
      </c>
      <c r="K4321" s="2" t="s">
        <v>26</v>
      </c>
      <c r="L4321" s="2">
        <v>4</v>
      </c>
      <c r="M4321" s="2">
        <v>507</v>
      </c>
      <c r="P4321" t="str">
        <f t="shared" si="271"/>
        <v>63%</v>
      </c>
      <c r="Q4321" s="12">
        <f t="shared" si="268"/>
        <v>0.63</v>
      </c>
      <c r="R4321" s="9">
        <f t="shared" si="269"/>
        <v>1331.63</v>
      </c>
      <c r="S4321" s="9">
        <f>IF(R4321="",AVERAGEIF(Table1[Category],Table1[[#This Row],[Category]],Table2[orignal data]),Table2[[#This Row],[orignal data]])</f>
        <v>1331.63</v>
      </c>
      <c r="T4321" t="str">
        <f t="shared" si="270"/>
        <v>UNIQUE</v>
      </c>
      <c r="U4321" t="str">
        <f>IF(ISBLANK(Table1[[#This Row],[SizeOption]]),"NOT AVAILABLE",Table1[[#This Row],[SizeOption]])</f>
        <v>S, M, L, XL</v>
      </c>
      <c r="Y4321" t="str">
        <f>IF(Table2[[#This Row],[Column1]]&gt;50%,"HIGH DISCOUNT","LOW DISCOUNT")</f>
        <v>HIGH DISCOUNT</v>
      </c>
    </row>
    <row r="4322" spans="1:25" x14ac:dyDescent="0.25">
      <c r="A4322" s="1" t="s">
        <v>8850</v>
      </c>
      <c r="B4322" s="1">
        <v>13033708</v>
      </c>
      <c r="C4322" s="1" t="s">
        <v>8851</v>
      </c>
      <c r="D4322" s="1" t="s">
        <v>34</v>
      </c>
      <c r="E4322" s="1" t="s">
        <v>406</v>
      </c>
      <c r="F4322" s="1" t="s">
        <v>36</v>
      </c>
      <c r="G4322" s="1" t="s">
        <v>8852</v>
      </c>
      <c r="H4322">
        <v>999</v>
      </c>
      <c r="I4322" s="1">
        <v>2499</v>
      </c>
      <c r="J4322" s="1" t="s">
        <v>55</v>
      </c>
      <c r="K4322" s="1" t="s">
        <v>39</v>
      </c>
      <c r="L4322" s="1">
        <v>4.5</v>
      </c>
      <c r="M4322" s="1">
        <v>507</v>
      </c>
      <c r="P4322" t="str">
        <f t="shared" si="271"/>
        <v>60%</v>
      </c>
      <c r="Q4322" s="12">
        <f t="shared" si="268"/>
        <v>0.6</v>
      </c>
      <c r="R4322" s="9">
        <f t="shared" si="269"/>
        <v>999.60000000000014</v>
      </c>
      <c r="S4322" s="9">
        <f>IF(R4322="",AVERAGEIF(Table1[Category],Table1[[#This Row],[Category]],Table2[orignal data]),Table2[[#This Row],[orignal data]])</f>
        <v>999.60000000000014</v>
      </c>
      <c r="T4322" t="str">
        <f t="shared" si="270"/>
        <v>UNIQUE</v>
      </c>
      <c r="U4322" t="str">
        <f>IF(ISBLANK(Table1[[#This Row],[SizeOption]]),"NOT AVAILABLE",Table1[[#This Row],[SizeOption]])</f>
        <v>S, M, L, XL, XXL</v>
      </c>
      <c r="Y4322" t="str">
        <f>IF(Table2[[#This Row],[Column1]]&gt;50%,"HIGH DISCOUNT","LOW DISCOUNT")</f>
        <v>HIGH DISCOUNT</v>
      </c>
    </row>
    <row r="4323" spans="1:25" x14ac:dyDescent="0.25">
      <c r="A4323" s="2" t="s">
        <v>8853</v>
      </c>
      <c r="B4323" s="2">
        <v>2299710</v>
      </c>
      <c r="C4323" s="2" t="s">
        <v>102</v>
      </c>
      <c r="D4323" s="2" t="s">
        <v>41</v>
      </c>
      <c r="E4323" s="2" t="s">
        <v>148</v>
      </c>
      <c r="F4323" s="2" t="s">
        <v>36</v>
      </c>
      <c r="G4323" s="2" t="s">
        <v>8854</v>
      </c>
      <c r="I4323" s="2">
        <v>1649</v>
      </c>
      <c r="J4323" s="2" t="s">
        <v>758</v>
      </c>
      <c r="K4323" s="2" t="s">
        <v>26</v>
      </c>
      <c r="L4323" s="2">
        <v>4</v>
      </c>
      <c r="M4323" s="2">
        <v>507</v>
      </c>
      <c r="P4323" t="str">
        <f t="shared" si="271"/>
        <v>47%</v>
      </c>
      <c r="Q4323" s="12">
        <f t="shared" si="268"/>
        <v>0.47</v>
      </c>
      <c r="R4323" s="9">
        <f t="shared" si="269"/>
        <v>873.97</v>
      </c>
      <c r="S4323" s="9">
        <f>IF(R4323="",AVERAGEIF(Table1[Category],Table1[[#This Row],[Category]],Table2[orignal data]),Table2[[#This Row],[orignal data]])</f>
        <v>873.97</v>
      </c>
      <c r="T4323" t="str">
        <f t="shared" si="270"/>
        <v>UNIQUE</v>
      </c>
      <c r="U4323" t="str">
        <f>IF(ISBLANK(Table1[[#This Row],[SizeOption]]),"NOT AVAILABLE",Table1[[#This Row],[SizeOption]])</f>
        <v>S, M, L, XL</v>
      </c>
      <c r="Y4323" t="str">
        <f>IF(Table2[[#This Row],[Column1]]&gt;50%,"HIGH DISCOUNT","LOW DISCOUNT")</f>
        <v>LOW DISCOUNT</v>
      </c>
    </row>
    <row r="4324" spans="1:25" x14ac:dyDescent="0.25">
      <c r="A4324" s="1" t="s">
        <v>8855</v>
      </c>
      <c r="B4324" s="1">
        <v>10196225</v>
      </c>
      <c r="C4324" s="1" t="s">
        <v>952</v>
      </c>
      <c r="D4324" s="1" t="s">
        <v>41</v>
      </c>
      <c r="E4324" s="1" t="s">
        <v>16</v>
      </c>
      <c r="F4324" s="1" t="s">
        <v>36</v>
      </c>
      <c r="G4324" s="1" t="s">
        <v>8856</v>
      </c>
      <c r="I4324" s="1">
        <v>2299</v>
      </c>
      <c r="J4324" s="1" t="s">
        <v>84</v>
      </c>
      <c r="K4324" s="1" t="s">
        <v>428</v>
      </c>
      <c r="L4324" s="1">
        <v>4.0999999999999996</v>
      </c>
      <c r="M4324" s="1">
        <v>507</v>
      </c>
      <c r="P4324" t="str">
        <f t="shared" si="271"/>
        <v>50%</v>
      </c>
      <c r="Q4324" s="12">
        <f t="shared" si="268"/>
        <v>0.5</v>
      </c>
      <c r="R4324" s="9">
        <f t="shared" si="269"/>
        <v>1149.5</v>
      </c>
      <c r="S4324" s="9">
        <f>IF(R4324="",AVERAGEIF(Table1[Category],Table1[[#This Row],[Category]],Table2[orignal data]),Table2[[#This Row],[orignal data]])</f>
        <v>1149.5</v>
      </c>
      <c r="T4324" t="str">
        <f t="shared" si="270"/>
        <v>UNIQUE</v>
      </c>
      <c r="U4324" t="str">
        <f>IF(ISBLANK(Table1[[#This Row],[SizeOption]]),"NOT AVAILABLE",Table1[[#This Row],[SizeOption]])</f>
        <v>26, 28, 30, 32, 34</v>
      </c>
      <c r="Y4324" t="str">
        <f>IF(Table2[[#This Row],[Column1]]&gt;50%,"HIGH DISCOUNT","LOW DISCOUNT")</f>
        <v>LOW DISCOUNT</v>
      </c>
    </row>
    <row r="4325" spans="1:25" x14ac:dyDescent="0.25">
      <c r="A4325" s="2" t="s">
        <v>8857</v>
      </c>
      <c r="B4325" s="2">
        <v>13601516</v>
      </c>
      <c r="C4325" s="2" t="s">
        <v>14</v>
      </c>
      <c r="D4325" s="2" t="s">
        <v>41</v>
      </c>
      <c r="E4325" s="2" t="s">
        <v>42</v>
      </c>
      <c r="F4325" s="2" t="s">
        <v>36</v>
      </c>
      <c r="G4325" s="2" t="s">
        <v>8858</v>
      </c>
      <c r="I4325" s="2">
        <v>699</v>
      </c>
      <c r="J4325" s="2" t="s">
        <v>150</v>
      </c>
      <c r="K4325" s="2" t="s">
        <v>45</v>
      </c>
      <c r="L4325" s="2">
        <v>4.2</v>
      </c>
      <c r="M4325" s="2">
        <v>507</v>
      </c>
      <c r="P4325" t="str">
        <f t="shared" si="271"/>
        <v>65%</v>
      </c>
      <c r="Q4325" s="12">
        <f t="shared" si="268"/>
        <v>0.65</v>
      </c>
      <c r="R4325" s="9">
        <f t="shared" si="269"/>
        <v>244.64999999999998</v>
      </c>
      <c r="S4325" s="9">
        <f>IF(R4325="",AVERAGEIF(Table1[Category],Table1[[#This Row],[Category]],Table2[orignal data]),Table2[[#This Row],[orignal data]])</f>
        <v>244.64999999999998</v>
      </c>
      <c r="T4325" t="str">
        <f t="shared" si="270"/>
        <v>UNIQUE</v>
      </c>
      <c r="U4325" t="str">
        <f>IF(ISBLANK(Table1[[#This Row],[SizeOption]]),"NOT AVAILABLE",Table1[[#This Row],[SizeOption]])</f>
        <v>XS, S, M, L, XL</v>
      </c>
      <c r="Y4325" t="str">
        <f>IF(Table2[[#This Row],[Column1]]&gt;50%,"HIGH DISCOUNT","LOW DISCOUNT")</f>
        <v>HIGH DISCOUNT</v>
      </c>
    </row>
    <row r="4326" spans="1:25" x14ac:dyDescent="0.25">
      <c r="A4326" s="1" t="s">
        <v>8859</v>
      </c>
      <c r="B4326" s="1">
        <v>14491142</v>
      </c>
      <c r="C4326" s="1" t="s">
        <v>2315</v>
      </c>
      <c r="D4326" s="1" t="s">
        <v>15</v>
      </c>
      <c r="E4326" s="1" t="s">
        <v>137</v>
      </c>
      <c r="F4326" s="1" t="s">
        <v>17</v>
      </c>
      <c r="G4326" s="1" t="s">
        <v>8860</v>
      </c>
      <c r="H4326">
        <v>601</v>
      </c>
      <c r="I4326" s="1">
        <v>699</v>
      </c>
      <c r="J4326" s="1" t="s">
        <v>2317</v>
      </c>
      <c r="K4326" s="1" t="s">
        <v>816</v>
      </c>
      <c r="L4326" s="1">
        <v>4.0999999999999996</v>
      </c>
      <c r="M4326" s="1">
        <v>506</v>
      </c>
      <c r="P4326" t="str">
        <f t="shared" si="271"/>
        <v>14%</v>
      </c>
      <c r="Q4326" s="12">
        <f t="shared" si="268"/>
        <v>0.14000000000000001</v>
      </c>
      <c r="R4326" s="9">
        <f t="shared" si="269"/>
        <v>601.14</v>
      </c>
      <c r="S4326" s="9">
        <f>IF(R4326="",AVERAGEIF(Table1[Category],Table1[[#This Row],[Category]],Table2[orignal data]),Table2[[#This Row],[orignal data]])</f>
        <v>601.14</v>
      </c>
      <c r="T4326" t="str">
        <f t="shared" si="270"/>
        <v>UNIQUE</v>
      </c>
      <c r="U4326" t="str">
        <f>IF(ISBLANK(Table1[[#This Row],[SizeOption]]),"NOT AVAILABLE",Table1[[#This Row],[SizeOption]])</f>
        <v>30, 32, 34, 36, 38</v>
      </c>
      <c r="Y4326" t="str">
        <f>IF(Table2[[#This Row],[Column1]]&gt;50%,"HIGH DISCOUNT","LOW DISCOUNT")</f>
        <v>LOW DISCOUNT</v>
      </c>
    </row>
    <row r="4327" spans="1:25" x14ac:dyDescent="0.25">
      <c r="A4327" s="2" t="s">
        <v>8861</v>
      </c>
      <c r="B4327" s="2">
        <v>8673405</v>
      </c>
      <c r="C4327" s="2" t="s">
        <v>169</v>
      </c>
      <c r="D4327" s="2" t="s">
        <v>15</v>
      </c>
      <c r="E4327" s="2" t="s">
        <v>16</v>
      </c>
      <c r="F4327" s="2" t="s">
        <v>17</v>
      </c>
      <c r="G4327" s="2" t="s">
        <v>2900</v>
      </c>
      <c r="H4327">
        <v>1484</v>
      </c>
      <c r="I4327" s="2">
        <v>2699</v>
      </c>
      <c r="J4327" s="2" t="s">
        <v>19</v>
      </c>
      <c r="K4327" s="2" t="s">
        <v>171</v>
      </c>
      <c r="L4327" s="2">
        <v>3.9</v>
      </c>
      <c r="M4327" s="2">
        <v>506</v>
      </c>
      <c r="P4327" t="str">
        <f t="shared" si="271"/>
        <v>45%</v>
      </c>
      <c r="Q4327" s="12">
        <f t="shared" si="268"/>
        <v>0.45</v>
      </c>
      <c r="R4327" s="9">
        <f t="shared" si="269"/>
        <v>1484.45</v>
      </c>
      <c r="S4327" s="9">
        <f>IF(R4327="",AVERAGEIF(Table1[Category],Table1[[#This Row],[Category]],Table2[orignal data]),Table2[[#This Row],[orignal data]])</f>
        <v>1484.45</v>
      </c>
      <c r="T4327" t="str">
        <f t="shared" si="270"/>
        <v>UNIQUE</v>
      </c>
      <c r="U4327" t="str">
        <f>IF(ISBLANK(Table1[[#This Row],[SizeOption]]),"NOT AVAILABLE",Table1[[#This Row],[SizeOption]])</f>
        <v>28, 30, 32, 34, 36, 38</v>
      </c>
      <c r="Y4327" t="str">
        <f>IF(Table2[[#This Row],[Column1]]&gt;50%,"HIGH DISCOUNT","LOW DISCOUNT")</f>
        <v>LOW DISCOUNT</v>
      </c>
    </row>
    <row r="4328" spans="1:25" x14ac:dyDescent="0.25">
      <c r="A4328" s="1" t="s">
        <v>8862</v>
      </c>
      <c r="B4328" s="1">
        <v>16269612</v>
      </c>
      <c r="C4328" s="1" t="s">
        <v>52</v>
      </c>
      <c r="D4328" s="1" t="s">
        <v>15</v>
      </c>
      <c r="E4328" s="1" t="s">
        <v>23</v>
      </c>
      <c r="F4328" s="1" t="s">
        <v>17</v>
      </c>
      <c r="G4328" s="1" t="s">
        <v>8863</v>
      </c>
      <c r="H4328">
        <v>519</v>
      </c>
      <c r="I4328" s="1">
        <v>1299</v>
      </c>
      <c r="J4328" s="1" t="s">
        <v>55</v>
      </c>
      <c r="K4328" s="1" t="s">
        <v>26</v>
      </c>
      <c r="L4328" s="1">
        <v>4.0999999999999996</v>
      </c>
      <c r="M4328" s="1">
        <v>506</v>
      </c>
      <c r="P4328" t="str">
        <f t="shared" si="271"/>
        <v>60%</v>
      </c>
      <c r="Q4328" s="12">
        <f t="shared" si="268"/>
        <v>0.6</v>
      </c>
      <c r="R4328" s="9">
        <f t="shared" si="269"/>
        <v>519.6</v>
      </c>
      <c r="S4328" s="9">
        <f>IF(R4328="",AVERAGEIF(Table1[Category],Table1[[#This Row],[Category]],Table2[orignal data]),Table2[[#This Row],[orignal data]])</f>
        <v>519.6</v>
      </c>
      <c r="T4328" t="str">
        <f t="shared" si="270"/>
        <v>UNIQUE</v>
      </c>
      <c r="U4328" t="str">
        <f>IF(ISBLANK(Table1[[#This Row],[SizeOption]]),"NOT AVAILABLE",Table1[[#This Row],[SizeOption]])</f>
        <v>S, M, L, XL</v>
      </c>
      <c r="Y4328" t="str">
        <f>IF(Table2[[#This Row],[Column1]]&gt;50%,"HIGH DISCOUNT","LOW DISCOUNT")</f>
        <v>HIGH DISCOUNT</v>
      </c>
    </row>
    <row r="4329" spans="1:25" x14ac:dyDescent="0.25">
      <c r="A4329" s="2" t="s">
        <v>8864</v>
      </c>
      <c r="B4329" s="2">
        <v>13985384</v>
      </c>
      <c r="C4329" s="2" t="s">
        <v>52</v>
      </c>
      <c r="D4329" s="2" t="s">
        <v>15</v>
      </c>
      <c r="E4329" s="2" t="s">
        <v>137</v>
      </c>
      <c r="F4329" s="2" t="s">
        <v>17</v>
      </c>
      <c r="G4329" s="2" t="s">
        <v>8865</v>
      </c>
      <c r="H4329">
        <v>724</v>
      </c>
      <c r="I4329" s="2">
        <v>1249</v>
      </c>
      <c r="J4329" s="2" t="s">
        <v>2327</v>
      </c>
      <c r="K4329" s="2" t="s">
        <v>56</v>
      </c>
      <c r="L4329" s="2">
        <v>4.0999999999999996</v>
      </c>
      <c r="M4329" s="2">
        <v>506</v>
      </c>
      <c r="P4329" t="str">
        <f t="shared" si="271"/>
        <v>42%</v>
      </c>
      <c r="Q4329" s="12">
        <f t="shared" si="268"/>
        <v>0.42</v>
      </c>
      <c r="R4329" s="9">
        <f t="shared" si="269"/>
        <v>724.42000000000007</v>
      </c>
      <c r="S4329" s="9">
        <f>IF(R4329="",AVERAGEIF(Table1[Category],Table1[[#This Row],[Category]],Table2[orignal data]),Table2[[#This Row],[orignal data]])</f>
        <v>724.42000000000007</v>
      </c>
      <c r="T4329" t="str">
        <f t="shared" si="270"/>
        <v>UNIQUE</v>
      </c>
      <c r="U4329" t="str">
        <f>IF(ISBLANK(Table1[[#This Row],[SizeOption]]),"NOT AVAILABLE",Table1[[#This Row],[SizeOption]])</f>
        <v>30, 32, 34, 36</v>
      </c>
      <c r="Y4329" t="str">
        <f>IF(Table2[[#This Row],[Column1]]&gt;50%,"HIGH DISCOUNT","LOW DISCOUNT")</f>
        <v>LOW DISCOUNT</v>
      </c>
    </row>
    <row r="4330" spans="1:25" x14ac:dyDescent="0.25">
      <c r="A4330" s="1" t="s">
        <v>8866</v>
      </c>
      <c r="B4330" s="1">
        <v>11422670</v>
      </c>
      <c r="C4330" s="1" t="s">
        <v>3308</v>
      </c>
      <c r="D4330" s="1" t="s">
        <v>76</v>
      </c>
      <c r="E4330" s="1" t="s">
        <v>93</v>
      </c>
      <c r="F4330" s="1" t="s">
        <v>17</v>
      </c>
      <c r="G4330" s="1" t="s">
        <v>8867</v>
      </c>
      <c r="H4330">
        <v>719</v>
      </c>
      <c r="I4330" s="1">
        <v>1599</v>
      </c>
      <c r="J4330" s="1" t="s">
        <v>25</v>
      </c>
      <c r="K4330" s="1" t="s">
        <v>39</v>
      </c>
      <c r="L4330" s="1">
        <v>4.4000000000000004</v>
      </c>
      <c r="M4330" s="1">
        <v>506</v>
      </c>
      <c r="P4330" t="str">
        <f t="shared" si="271"/>
        <v>55%</v>
      </c>
      <c r="Q4330" s="12">
        <f t="shared" si="268"/>
        <v>0.55000000000000004</v>
      </c>
      <c r="R4330" s="9">
        <f t="shared" si="269"/>
        <v>719.55</v>
      </c>
      <c r="S4330" s="9">
        <f>IF(R4330="",AVERAGEIF(Table1[Category],Table1[[#This Row],[Category]],Table2[orignal data]),Table2[[#This Row],[orignal data]])</f>
        <v>719.55</v>
      </c>
      <c r="T4330" t="str">
        <f t="shared" si="270"/>
        <v>UNIQUE</v>
      </c>
      <c r="U4330" t="str">
        <f>IF(ISBLANK(Table1[[#This Row],[SizeOption]]),"NOT AVAILABLE",Table1[[#This Row],[SizeOption]])</f>
        <v>S, M, L, XL, XXL</v>
      </c>
      <c r="Y4330" t="str">
        <f>IF(Table2[[#This Row],[Column1]]&gt;50%,"HIGH DISCOUNT","LOW DISCOUNT")</f>
        <v>HIGH DISCOUNT</v>
      </c>
    </row>
    <row r="4331" spans="1:25" x14ac:dyDescent="0.25">
      <c r="A4331" s="2" t="s">
        <v>8868</v>
      </c>
      <c r="B4331" s="2">
        <v>11421778</v>
      </c>
      <c r="C4331" s="2" t="s">
        <v>3030</v>
      </c>
      <c r="D4331" s="2" t="s">
        <v>76</v>
      </c>
      <c r="E4331" s="2" t="s">
        <v>8869</v>
      </c>
      <c r="F4331" s="2" t="s">
        <v>17</v>
      </c>
      <c r="G4331" s="2" t="s">
        <v>8870</v>
      </c>
      <c r="H4331">
        <v>499</v>
      </c>
      <c r="I4331" s="2">
        <v>999</v>
      </c>
      <c r="J4331" s="2" t="s">
        <v>84</v>
      </c>
      <c r="K4331" s="2" t="s">
        <v>39</v>
      </c>
      <c r="L4331" s="2">
        <v>4</v>
      </c>
      <c r="M4331" s="2">
        <v>506</v>
      </c>
      <c r="P4331" t="str">
        <f t="shared" si="271"/>
        <v>50%</v>
      </c>
      <c r="Q4331" s="12">
        <f t="shared" si="268"/>
        <v>0.5</v>
      </c>
      <c r="R4331" s="9">
        <f t="shared" si="269"/>
        <v>499.5</v>
      </c>
      <c r="S4331" s="9">
        <f>IF(R4331="",AVERAGEIF(Table1[Category],Table1[[#This Row],[Category]],Table2[orignal data]),Table2[[#This Row],[orignal data]])</f>
        <v>499.5</v>
      </c>
      <c r="T4331" t="str">
        <f t="shared" si="270"/>
        <v>UNIQUE</v>
      </c>
      <c r="U4331" t="str">
        <f>IF(ISBLANK(Table1[[#This Row],[SizeOption]]),"NOT AVAILABLE",Table1[[#This Row],[SizeOption]])</f>
        <v>S, M, L, XL, XXL</v>
      </c>
      <c r="Y4331" t="str">
        <f>IF(Table2[[#This Row],[Column1]]&gt;50%,"HIGH DISCOUNT","LOW DISCOUNT")</f>
        <v>LOW DISCOUNT</v>
      </c>
    </row>
    <row r="4332" spans="1:25" x14ac:dyDescent="0.25">
      <c r="A4332" s="1" t="s">
        <v>8871</v>
      </c>
      <c r="B4332" s="1">
        <v>18030430</v>
      </c>
      <c r="C4332" s="1" t="s">
        <v>295</v>
      </c>
      <c r="D4332" s="1" t="s">
        <v>197</v>
      </c>
      <c r="E4332" s="1" t="s">
        <v>296</v>
      </c>
      <c r="F4332" s="1" t="s">
        <v>17</v>
      </c>
      <c r="G4332" s="1" t="s">
        <v>8503</v>
      </c>
      <c r="I4332" s="1">
        <v>558</v>
      </c>
      <c r="J4332" s="1"/>
      <c r="K4332" s="1" t="s">
        <v>26</v>
      </c>
      <c r="L4332" s="1">
        <v>4.0999999999999996</v>
      </c>
      <c r="M4332" s="1">
        <v>506</v>
      </c>
      <c r="P4332" t="str">
        <f t="shared" si="271"/>
        <v/>
      </c>
      <c r="Q4332" s="12" t="str">
        <f t="shared" si="268"/>
        <v/>
      </c>
      <c r="R4332" s="9" t="str">
        <f t="shared" si="269"/>
        <v/>
      </c>
      <c r="S4332" s="9">
        <f>IF(R4332="",AVERAGEIF(Table1[Category],Table1[[#This Row],[Category]],Table2[orignal data]),Table2[[#This Row],[orignal data]])</f>
        <v>552.70900000000006</v>
      </c>
      <c r="T4332" t="str">
        <f t="shared" si="270"/>
        <v>UNIQUE</v>
      </c>
      <c r="U4332" t="str">
        <f>IF(ISBLANK(Table1[[#This Row],[SizeOption]]),"NOT AVAILABLE",Table1[[#This Row],[SizeOption]])</f>
        <v>S, M, L, XL</v>
      </c>
      <c r="Y4332" t="str">
        <f>IF(Table2[[#This Row],[Column1]]&gt;50%,"HIGH DISCOUNT","LOW DISCOUNT")</f>
        <v>HIGH DISCOUNT</v>
      </c>
    </row>
    <row r="4333" spans="1:25" x14ac:dyDescent="0.25">
      <c r="A4333" s="2" t="s">
        <v>8872</v>
      </c>
      <c r="B4333" s="2">
        <v>11691510</v>
      </c>
      <c r="C4333" s="2" t="s">
        <v>420</v>
      </c>
      <c r="D4333" s="2" t="s">
        <v>68</v>
      </c>
      <c r="E4333" s="2" t="s">
        <v>42</v>
      </c>
      <c r="F4333" s="2" t="s">
        <v>17</v>
      </c>
      <c r="G4333" s="2" t="s">
        <v>8873</v>
      </c>
      <c r="H4333">
        <v>515</v>
      </c>
      <c r="I4333" s="2">
        <v>1199</v>
      </c>
      <c r="J4333" s="2" t="s">
        <v>130</v>
      </c>
      <c r="K4333" s="2" t="s">
        <v>26</v>
      </c>
      <c r="L4333" s="2">
        <v>4.3</v>
      </c>
      <c r="M4333" s="2">
        <v>506</v>
      </c>
      <c r="P4333" t="str">
        <f t="shared" si="271"/>
        <v>57%</v>
      </c>
      <c r="Q4333" s="12">
        <f t="shared" si="268"/>
        <v>0.56999999999999995</v>
      </c>
      <c r="R4333" s="9">
        <f t="shared" si="269"/>
        <v>515.57000000000005</v>
      </c>
      <c r="S4333" s="9">
        <f>IF(R4333="",AVERAGEIF(Table1[Category],Table1[[#This Row],[Category]],Table2[orignal data]),Table2[[#This Row],[orignal data]])</f>
        <v>515.57000000000005</v>
      </c>
      <c r="T4333" t="str">
        <f t="shared" si="270"/>
        <v>UNIQUE</v>
      </c>
      <c r="U4333" t="str">
        <f>IF(ISBLANK(Table1[[#This Row],[SizeOption]]),"NOT AVAILABLE",Table1[[#This Row],[SizeOption]])</f>
        <v>S, M, L, XL</v>
      </c>
      <c r="Y4333" t="str">
        <f>IF(Table2[[#This Row],[Column1]]&gt;50%,"HIGH DISCOUNT","LOW DISCOUNT")</f>
        <v>HIGH DISCOUNT</v>
      </c>
    </row>
    <row r="4334" spans="1:25" x14ac:dyDescent="0.25">
      <c r="A4334" s="1" t="s">
        <v>8874</v>
      </c>
      <c r="B4334" s="1">
        <v>15128272</v>
      </c>
      <c r="C4334" s="1" t="s">
        <v>2895</v>
      </c>
      <c r="D4334" s="1" t="s">
        <v>68</v>
      </c>
      <c r="E4334" s="1" t="s">
        <v>306</v>
      </c>
      <c r="F4334" s="1" t="s">
        <v>17</v>
      </c>
      <c r="G4334" s="1" t="s">
        <v>8875</v>
      </c>
      <c r="I4334" s="1">
        <v>699</v>
      </c>
      <c r="J4334" s="1"/>
      <c r="K4334" s="1" t="s">
        <v>73</v>
      </c>
      <c r="L4334" s="1">
        <v>4.4000000000000004</v>
      </c>
      <c r="M4334" s="1">
        <v>506</v>
      </c>
      <c r="P4334" t="str">
        <f t="shared" si="271"/>
        <v/>
      </c>
      <c r="Q4334" s="12" t="str">
        <f t="shared" si="268"/>
        <v/>
      </c>
      <c r="R4334" s="9" t="str">
        <f t="shared" si="269"/>
        <v/>
      </c>
      <c r="S4334" s="9">
        <f>IF(R4334="",AVERAGEIF(Table1[Category],Table1[[#This Row],[Category]],Table2[orignal data]),Table2[[#This Row],[orignal data]])</f>
        <v>734.32085365853686</v>
      </c>
      <c r="T4334" t="str">
        <f t="shared" si="270"/>
        <v>UNIQUE</v>
      </c>
      <c r="U4334" t="str">
        <f>IF(ISBLANK(Table1[[#This Row],[SizeOption]]),"NOT AVAILABLE",Table1[[#This Row],[SizeOption]])</f>
        <v>XS, S, M, L, XL, XXL, 3XL, 4XL</v>
      </c>
      <c r="Y4334" t="str">
        <f>IF(Table2[[#This Row],[Column1]]&gt;50%,"HIGH DISCOUNT","LOW DISCOUNT")</f>
        <v>HIGH DISCOUNT</v>
      </c>
    </row>
    <row r="4335" spans="1:25" x14ac:dyDescent="0.25">
      <c r="A4335" s="2" t="s">
        <v>8876</v>
      </c>
      <c r="B4335" s="2">
        <v>11096494</v>
      </c>
      <c r="C4335" s="2" t="s">
        <v>7903</v>
      </c>
      <c r="D4335" s="2" t="s">
        <v>28</v>
      </c>
      <c r="E4335" s="2" t="s">
        <v>42</v>
      </c>
      <c r="F4335" s="2" t="s">
        <v>17</v>
      </c>
      <c r="G4335" s="2" t="s">
        <v>8877</v>
      </c>
      <c r="H4335">
        <v>509</v>
      </c>
      <c r="I4335" s="2">
        <v>1499</v>
      </c>
      <c r="J4335" s="2" t="s">
        <v>403</v>
      </c>
      <c r="K4335" s="2" t="s">
        <v>234</v>
      </c>
      <c r="L4335" s="2">
        <v>4.0999999999999996</v>
      </c>
      <c r="M4335" s="2">
        <v>506</v>
      </c>
      <c r="P4335" t="str">
        <f t="shared" si="271"/>
        <v>66%</v>
      </c>
      <c r="Q4335" s="12">
        <f t="shared" si="268"/>
        <v>0.66</v>
      </c>
      <c r="R4335" s="9">
        <f t="shared" si="269"/>
        <v>509.65999999999997</v>
      </c>
      <c r="S4335" s="9">
        <f>IF(R4335="",AVERAGEIF(Table1[Category],Table1[[#This Row],[Category]],Table2[orignal data]),Table2[[#This Row],[orignal data]])</f>
        <v>509.65999999999997</v>
      </c>
      <c r="T4335" t="str">
        <f t="shared" si="270"/>
        <v>UNIQUE</v>
      </c>
      <c r="U4335" t="str">
        <f>IF(ISBLANK(Table1[[#This Row],[SizeOption]]),"NOT AVAILABLE",Table1[[#This Row],[SizeOption]])</f>
        <v>S, M, L, XL, XXL, 3XL</v>
      </c>
      <c r="Y4335" t="str">
        <f>IF(Table2[[#This Row],[Column1]]&gt;50%,"HIGH DISCOUNT","LOW DISCOUNT")</f>
        <v>HIGH DISCOUNT</v>
      </c>
    </row>
    <row r="4336" spans="1:25" x14ac:dyDescent="0.25">
      <c r="A4336" s="1" t="s">
        <v>8878</v>
      </c>
      <c r="B4336" s="1">
        <v>11140514</v>
      </c>
      <c r="C4336" s="1" t="s">
        <v>420</v>
      </c>
      <c r="D4336" s="1" t="s">
        <v>28</v>
      </c>
      <c r="E4336" s="1" t="s">
        <v>189</v>
      </c>
      <c r="F4336" s="1" t="s">
        <v>17</v>
      </c>
      <c r="G4336" s="1" t="s">
        <v>8879</v>
      </c>
      <c r="H4336">
        <v>799</v>
      </c>
      <c r="I4336" s="1">
        <v>1999</v>
      </c>
      <c r="J4336" s="1" t="s">
        <v>55</v>
      </c>
      <c r="K4336" s="1" t="s">
        <v>26</v>
      </c>
      <c r="L4336" s="1">
        <v>3.8</v>
      </c>
      <c r="M4336" s="1">
        <v>506</v>
      </c>
      <c r="P4336" t="str">
        <f t="shared" si="271"/>
        <v>60%</v>
      </c>
      <c r="Q4336" s="12">
        <f t="shared" si="268"/>
        <v>0.6</v>
      </c>
      <c r="R4336" s="9">
        <f t="shared" si="269"/>
        <v>799.60000000000014</v>
      </c>
      <c r="S4336" s="9">
        <f>IF(R4336="",AVERAGEIF(Table1[Category],Table1[[#This Row],[Category]],Table2[orignal data]),Table2[[#This Row],[orignal data]])</f>
        <v>799.60000000000014</v>
      </c>
      <c r="T4336" t="str">
        <f t="shared" si="270"/>
        <v>UNIQUE</v>
      </c>
      <c r="U4336" t="str">
        <f>IF(ISBLANK(Table1[[#This Row],[SizeOption]]),"NOT AVAILABLE",Table1[[#This Row],[SizeOption]])</f>
        <v>S, M, L, XL</v>
      </c>
      <c r="Y4336" t="str">
        <f>IF(Table2[[#This Row],[Column1]]&gt;50%,"HIGH DISCOUNT","LOW DISCOUNT")</f>
        <v>HIGH DISCOUNT</v>
      </c>
    </row>
    <row r="4337" spans="1:25" x14ac:dyDescent="0.25">
      <c r="A4337" s="2" t="s">
        <v>8880</v>
      </c>
      <c r="B4337" s="2">
        <v>6832146</v>
      </c>
      <c r="C4337" s="2" t="s">
        <v>169</v>
      </c>
      <c r="D4337" s="2" t="s">
        <v>28</v>
      </c>
      <c r="E4337" s="2" t="s">
        <v>189</v>
      </c>
      <c r="F4337" s="2" t="s">
        <v>17</v>
      </c>
      <c r="G4337" s="2" t="s">
        <v>8881</v>
      </c>
      <c r="H4337">
        <v>1919</v>
      </c>
      <c r="I4337" s="2">
        <v>4799</v>
      </c>
      <c r="J4337" s="2" t="s">
        <v>55</v>
      </c>
      <c r="K4337" s="2" t="s">
        <v>881</v>
      </c>
      <c r="L4337" s="2">
        <v>4.2</v>
      </c>
      <c r="M4337" s="2">
        <v>506</v>
      </c>
      <c r="P4337" t="str">
        <f t="shared" si="271"/>
        <v>60%</v>
      </c>
      <c r="Q4337" s="12">
        <f t="shared" si="268"/>
        <v>0.6</v>
      </c>
      <c r="R4337" s="9">
        <f t="shared" si="269"/>
        <v>1919.6</v>
      </c>
      <c r="S4337" s="9">
        <f>IF(R4337="",AVERAGEIF(Table1[Category],Table1[[#This Row],[Category]],Table2[orignal data]),Table2[[#This Row],[orignal data]])</f>
        <v>1919.6</v>
      </c>
      <c r="T4337" t="str">
        <f t="shared" si="270"/>
        <v>UNIQUE</v>
      </c>
      <c r="U4337" t="str">
        <f>IF(ISBLANK(Table1[[#This Row],[SizeOption]]),"NOT AVAILABLE",Table1[[#This Row],[SizeOption]])</f>
        <v>M, L, XL, XXL</v>
      </c>
      <c r="Y4337" t="str">
        <f>IF(Table2[[#This Row],[Column1]]&gt;50%,"HIGH DISCOUNT","LOW DISCOUNT")</f>
        <v>HIGH DISCOUNT</v>
      </c>
    </row>
    <row r="4338" spans="1:25" x14ac:dyDescent="0.25">
      <c r="A4338" s="1" t="s">
        <v>8882</v>
      </c>
      <c r="B4338" s="1">
        <v>11126638</v>
      </c>
      <c r="C4338" s="1" t="s">
        <v>14</v>
      </c>
      <c r="D4338" s="1" t="s">
        <v>28</v>
      </c>
      <c r="E4338" s="1" t="s">
        <v>42</v>
      </c>
      <c r="F4338" s="1" t="s">
        <v>17</v>
      </c>
      <c r="G4338" s="1" t="s">
        <v>8883</v>
      </c>
      <c r="H4338">
        <v>269</v>
      </c>
      <c r="I4338" s="1">
        <v>599</v>
      </c>
      <c r="J4338" s="1" t="s">
        <v>25</v>
      </c>
      <c r="K4338" s="1" t="s">
        <v>45</v>
      </c>
      <c r="L4338" s="1">
        <v>3.8</v>
      </c>
      <c r="M4338" s="1">
        <v>506</v>
      </c>
      <c r="P4338" t="str">
        <f t="shared" si="271"/>
        <v>55%</v>
      </c>
      <c r="Q4338" s="12">
        <f t="shared" si="268"/>
        <v>0.55000000000000004</v>
      </c>
      <c r="R4338" s="9">
        <f t="shared" si="269"/>
        <v>269.54999999999995</v>
      </c>
      <c r="S4338" s="9">
        <f>IF(R4338="",AVERAGEIF(Table1[Category],Table1[[#This Row],[Category]],Table2[orignal data]),Table2[[#This Row],[orignal data]])</f>
        <v>269.54999999999995</v>
      </c>
      <c r="T4338" t="str">
        <f t="shared" si="270"/>
        <v>UNIQUE</v>
      </c>
      <c r="U4338" t="str">
        <f>IF(ISBLANK(Table1[[#This Row],[SizeOption]]),"NOT AVAILABLE",Table1[[#This Row],[SizeOption]])</f>
        <v>XS, S, M, L, XL</v>
      </c>
      <c r="Y4338" t="str">
        <f>IF(Table2[[#This Row],[Column1]]&gt;50%,"HIGH DISCOUNT","LOW DISCOUNT")</f>
        <v>HIGH DISCOUNT</v>
      </c>
    </row>
    <row r="4339" spans="1:25" x14ac:dyDescent="0.25">
      <c r="A4339" s="2" t="s">
        <v>8884</v>
      </c>
      <c r="B4339" s="2">
        <v>12817316</v>
      </c>
      <c r="C4339" s="2" t="s">
        <v>64</v>
      </c>
      <c r="D4339" s="2" t="s">
        <v>28</v>
      </c>
      <c r="E4339" s="2" t="s">
        <v>42</v>
      </c>
      <c r="F4339" s="2" t="s">
        <v>17</v>
      </c>
      <c r="G4339" s="2" t="s">
        <v>8885</v>
      </c>
      <c r="H4339">
        <v>279</v>
      </c>
      <c r="I4339" s="2">
        <v>699</v>
      </c>
      <c r="J4339" s="2" t="s">
        <v>55</v>
      </c>
      <c r="K4339" s="2" t="s">
        <v>26</v>
      </c>
      <c r="L4339" s="2">
        <v>4.2</v>
      </c>
      <c r="M4339" s="2">
        <v>506</v>
      </c>
      <c r="P4339" t="str">
        <f t="shared" si="271"/>
        <v>60%</v>
      </c>
      <c r="Q4339" s="12">
        <f t="shared" si="268"/>
        <v>0.6</v>
      </c>
      <c r="R4339" s="9">
        <f t="shared" si="269"/>
        <v>279.60000000000002</v>
      </c>
      <c r="S4339" s="9">
        <f>IF(R4339="",AVERAGEIF(Table1[Category],Table1[[#This Row],[Category]],Table2[orignal data]),Table2[[#This Row],[orignal data]])</f>
        <v>279.60000000000002</v>
      </c>
      <c r="T4339" t="str">
        <f t="shared" si="270"/>
        <v>UNIQUE</v>
      </c>
      <c r="U4339" t="str">
        <f>IF(ISBLANK(Table1[[#This Row],[SizeOption]]),"NOT AVAILABLE",Table1[[#This Row],[SizeOption]])</f>
        <v>S, M, L, XL</v>
      </c>
      <c r="Y4339" t="str">
        <f>IF(Table2[[#This Row],[Column1]]&gt;50%,"HIGH DISCOUNT","LOW DISCOUNT")</f>
        <v>HIGH DISCOUNT</v>
      </c>
    </row>
    <row r="4340" spans="1:25" x14ac:dyDescent="0.25">
      <c r="A4340" s="1" t="s">
        <v>8886</v>
      </c>
      <c r="B4340" s="1">
        <v>11363338</v>
      </c>
      <c r="C4340" s="1" t="s">
        <v>169</v>
      </c>
      <c r="D4340" s="1" t="s">
        <v>28</v>
      </c>
      <c r="E4340" s="1" t="s">
        <v>42</v>
      </c>
      <c r="F4340" s="1" t="s">
        <v>17</v>
      </c>
      <c r="G4340" s="1" t="s">
        <v>8887</v>
      </c>
      <c r="H4340">
        <v>449</v>
      </c>
      <c r="I4340" s="1">
        <v>899</v>
      </c>
      <c r="J4340" s="1" t="s">
        <v>84</v>
      </c>
      <c r="K4340" s="1" t="s">
        <v>39</v>
      </c>
      <c r="L4340" s="1">
        <v>4</v>
      </c>
      <c r="M4340" s="1">
        <v>506</v>
      </c>
      <c r="P4340" t="str">
        <f t="shared" si="271"/>
        <v>50%</v>
      </c>
      <c r="Q4340" s="12">
        <f t="shared" si="268"/>
        <v>0.5</v>
      </c>
      <c r="R4340" s="9">
        <f t="shared" si="269"/>
        <v>449.5</v>
      </c>
      <c r="S4340" s="9">
        <f>IF(R4340="",AVERAGEIF(Table1[Category],Table1[[#This Row],[Category]],Table2[orignal data]),Table2[[#This Row],[orignal data]])</f>
        <v>449.5</v>
      </c>
      <c r="T4340" t="str">
        <f t="shared" si="270"/>
        <v>UNIQUE</v>
      </c>
      <c r="U4340" t="str">
        <f>IF(ISBLANK(Table1[[#This Row],[SizeOption]]),"NOT AVAILABLE",Table1[[#This Row],[SizeOption]])</f>
        <v>S, M, L, XL, XXL</v>
      </c>
      <c r="Y4340" t="str">
        <f>IF(Table2[[#This Row],[Column1]]&gt;50%,"HIGH DISCOUNT","LOW DISCOUNT")</f>
        <v>LOW DISCOUNT</v>
      </c>
    </row>
    <row r="4341" spans="1:25" x14ac:dyDescent="0.25">
      <c r="A4341" s="2" t="s">
        <v>8888</v>
      </c>
      <c r="B4341" s="2">
        <v>11117260</v>
      </c>
      <c r="C4341" s="2" t="s">
        <v>1375</v>
      </c>
      <c r="D4341" s="2" t="s">
        <v>76</v>
      </c>
      <c r="E4341" s="2" t="s">
        <v>320</v>
      </c>
      <c r="F4341" s="2" t="s">
        <v>36</v>
      </c>
      <c r="G4341" s="2" t="s">
        <v>8889</v>
      </c>
      <c r="H4341">
        <v>999</v>
      </c>
      <c r="I4341" s="2">
        <v>4999</v>
      </c>
      <c r="J4341" s="2" t="s">
        <v>589</v>
      </c>
      <c r="K4341" s="2" t="s">
        <v>164</v>
      </c>
      <c r="L4341" s="2">
        <v>4.3</v>
      </c>
      <c r="M4341" s="2">
        <v>506</v>
      </c>
      <c r="P4341" t="str">
        <f t="shared" si="271"/>
        <v>80%</v>
      </c>
      <c r="Q4341" s="12">
        <f t="shared" si="268"/>
        <v>0.8</v>
      </c>
      <c r="R4341" s="9">
        <f t="shared" si="269"/>
        <v>999.79999999999973</v>
      </c>
      <c r="S4341" s="9">
        <f>IF(R4341="",AVERAGEIF(Table1[Category],Table1[[#This Row],[Category]],Table2[orignal data]),Table2[[#This Row],[orignal data]])</f>
        <v>999.79999999999973</v>
      </c>
      <c r="T4341" t="str">
        <f t="shared" si="270"/>
        <v>UNIQUE</v>
      </c>
      <c r="U4341" t="str">
        <f>IF(ISBLANK(Table1[[#This Row],[SizeOption]]),"NOT AVAILABLE",Table1[[#This Row],[SizeOption]])</f>
        <v>Onesize</v>
      </c>
      <c r="Y4341" t="str">
        <f>IF(Table2[[#This Row],[Column1]]&gt;50%,"HIGH DISCOUNT","LOW DISCOUNT")</f>
        <v>HIGH DISCOUNT</v>
      </c>
    </row>
    <row r="4342" spans="1:25" x14ac:dyDescent="0.25">
      <c r="A4342" s="1" t="s">
        <v>8890</v>
      </c>
      <c r="B4342" s="1">
        <v>10096239</v>
      </c>
      <c r="C4342" s="1" t="s">
        <v>623</v>
      </c>
      <c r="D4342" s="1" t="s">
        <v>34</v>
      </c>
      <c r="E4342" s="1" t="s">
        <v>118</v>
      </c>
      <c r="F4342" s="1" t="s">
        <v>36</v>
      </c>
      <c r="G4342" s="1" t="s">
        <v>8891</v>
      </c>
      <c r="H4342">
        <v>311</v>
      </c>
      <c r="I4342" s="1">
        <v>599</v>
      </c>
      <c r="J4342" s="1" t="s">
        <v>602</v>
      </c>
      <c r="K4342" s="1" t="s">
        <v>8892</v>
      </c>
      <c r="L4342" s="1">
        <v>4.3</v>
      </c>
      <c r="M4342" s="1">
        <v>506</v>
      </c>
      <c r="P4342" t="str">
        <f t="shared" si="271"/>
        <v>48%</v>
      </c>
      <c r="Q4342" s="12">
        <f t="shared" si="268"/>
        <v>0.48</v>
      </c>
      <c r="R4342" s="9">
        <f t="shared" si="269"/>
        <v>311.48</v>
      </c>
      <c r="S4342" s="9">
        <f>IF(R4342="",AVERAGEIF(Table1[Category],Table1[[#This Row],[Category]],Table2[orignal data]),Table2[[#This Row],[orignal data]])</f>
        <v>311.48</v>
      </c>
      <c r="T4342" t="str">
        <f t="shared" si="270"/>
        <v>UNIQUE</v>
      </c>
      <c r="U4342" t="str">
        <f>IF(ISBLANK(Table1[[#This Row],[SizeOption]]),"NOT AVAILABLE",Table1[[#This Row],[SizeOption]])</f>
        <v>32B, 32C, 32D, 34B, 34C, 34D, 36B, 36C, 36D, 38B, 38C, 38D, 40B, 40C, 42B, 42C, 44B</v>
      </c>
      <c r="Y4342" t="str">
        <f>IF(Table2[[#This Row],[Column1]]&gt;50%,"HIGH DISCOUNT","LOW DISCOUNT")</f>
        <v>LOW DISCOUNT</v>
      </c>
    </row>
    <row r="4343" spans="1:25" x14ac:dyDescent="0.25">
      <c r="A4343" s="2" t="s">
        <v>8893</v>
      </c>
      <c r="B4343" s="2">
        <v>12969680</v>
      </c>
      <c r="C4343" s="2" t="s">
        <v>64</v>
      </c>
      <c r="D4343" s="2" t="s">
        <v>98</v>
      </c>
      <c r="E4343" s="2" t="s">
        <v>48</v>
      </c>
      <c r="F4343" s="2" t="s">
        <v>36</v>
      </c>
      <c r="G4343" s="2" t="s">
        <v>8894</v>
      </c>
      <c r="H4343">
        <v>279</v>
      </c>
      <c r="I4343" s="2">
        <v>699</v>
      </c>
      <c r="J4343" s="2" t="s">
        <v>141</v>
      </c>
      <c r="K4343" s="2" t="s">
        <v>115</v>
      </c>
      <c r="L4343" s="2">
        <v>3.9</v>
      </c>
      <c r="M4343" s="2">
        <v>506</v>
      </c>
      <c r="P4343" t="str">
        <f t="shared" si="271"/>
        <v>60%</v>
      </c>
      <c r="Q4343" s="12">
        <f t="shared" si="268"/>
        <v>0.6</v>
      </c>
      <c r="R4343" s="9">
        <f t="shared" si="269"/>
        <v>279.60000000000002</v>
      </c>
      <c r="S4343" s="9">
        <f>IF(R4343="",AVERAGEIF(Table1[Category],Table1[[#This Row],[Category]],Table2[orignal data]),Table2[[#This Row],[orignal data]])</f>
        <v>279.60000000000002</v>
      </c>
      <c r="T4343" t="str">
        <f t="shared" si="270"/>
        <v>UNIQUE</v>
      </c>
      <c r="U4343" t="str">
        <f>IF(ISBLANK(Table1[[#This Row],[SizeOption]]),"NOT AVAILABLE",Table1[[#This Row],[SizeOption]])</f>
        <v>XS, S, M, L, XL, XXL</v>
      </c>
      <c r="Y4343" t="str">
        <f>IF(Table2[[#This Row],[Column1]]&gt;50%,"HIGH DISCOUNT","LOW DISCOUNT")</f>
        <v>HIGH DISCOUNT</v>
      </c>
    </row>
    <row r="4344" spans="1:25" x14ac:dyDescent="0.25">
      <c r="A4344" s="1" t="s">
        <v>8895</v>
      </c>
      <c r="B4344" s="1">
        <v>6604930</v>
      </c>
      <c r="C4344" s="1" t="s">
        <v>290</v>
      </c>
      <c r="D4344" s="1" t="s">
        <v>41</v>
      </c>
      <c r="E4344" s="1" t="s">
        <v>148</v>
      </c>
      <c r="F4344" s="1" t="s">
        <v>36</v>
      </c>
      <c r="G4344" s="1" t="s">
        <v>8896</v>
      </c>
      <c r="I4344" s="1">
        <v>1399</v>
      </c>
      <c r="J4344" s="1" t="s">
        <v>84</v>
      </c>
      <c r="K4344" s="1" t="s">
        <v>115</v>
      </c>
      <c r="L4344" s="1">
        <v>4.3</v>
      </c>
      <c r="M4344" s="1">
        <v>506</v>
      </c>
      <c r="P4344" t="str">
        <f t="shared" si="271"/>
        <v>50%</v>
      </c>
      <c r="Q4344" s="12">
        <f t="shared" si="268"/>
        <v>0.5</v>
      </c>
      <c r="R4344" s="9">
        <f t="shared" si="269"/>
        <v>699.5</v>
      </c>
      <c r="S4344" s="9">
        <f>IF(R4344="",AVERAGEIF(Table1[Category],Table1[[#This Row],[Category]],Table2[orignal data]),Table2[[#This Row],[orignal data]])</f>
        <v>699.5</v>
      </c>
      <c r="T4344" t="str">
        <f t="shared" si="270"/>
        <v>UNIQUE</v>
      </c>
      <c r="U4344" t="str">
        <f>IF(ISBLANK(Table1[[#This Row],[SizeOption]]),"NOT AVAILABLE",Table1[[#This Row],[SizeOption]])</f>
        <v>XS, S, M, L, XL, XXL</v>
      </c>
      <c r="Y4344" t="str">
        <f>IF(Table2[[#This Row],[Column1]]&gt;50%,"HIGH DISCOUNT","LOW DISCOUNT")</f>
        <v>LOW DISCOUNT</v>
      </c>
    </row>
    <row r="4345" spans="1:25" x14ac:dyDescent="0.25">
      <c r="A4345" s="2" t="s">
        <v>8897</v>
      </c>
      <c r="B4345" s="2">
        <v>12277588</v>
      </c>
      <c r="C4345" s="2" t="s">
        <v>290</v>
      </c>
      <c r="D4345" s="2" t="s">
        <v>41</v>
      </c>
      <c r="E4345" s="2" t="s">
        <v>53</v>
      </c>
      <c r="F4345" s="2" t="s">
        <v>36</v>
      </c>
      <c r="G4345" s="2" t="s">
        <v>8898</v>
      </c>
      <c r="I4345" s="2">
        <v>1799</v>
      </c>
      <c r="J4345" s="2" t="s">
        <v>84</v>
      </c>
      <c r="K4345" s="2" t="s">
        <v>428</v>
      </c>
      <c r="L4345" s="2">
        <v>4.3</v>
      </c>
      <c r="M4345" s="2">
        <v>506</v>
      </c>
      <c r="P4345" t="str">
        <f t="shared" si="271"/>
        <v>50%</v>
      </c>
      <c r="Q4345" s="12">
        <f t="shared" si="268"/>
        <v>0.5</v>
      </c>
      <c r="R4345" s="9">
        <f t="shared" si="269"/>
        <v>899.5</v>
      </c>
      <c r="S4345" s="9">
        <f>IF(R4345="",AVERAGEIF(Table1[Category],Table1[[#This Row],[Category]],Table2[orignal data]),Table2[[#This Row],[orignal data]])</f>
        <v>899.5</v>
      </c>
      <c r="T4345" t="str">
        <f t="shared" si="270"/>
        <v>UNIQUE</v>
      </c>
      <c r="U4345" t="str">
        <f>IF(ISBLANK(Table1[[#This Row],[SizeOption]]),"NOT AVAILABLE",Table1[[#This Row],[SizeOption]])</f>
        <v>26, 28, 30, 32, 34</v>
      </c>
      <c r="Y4345" t="str">
        <f>IF(Table2[[#This Row],[Column1]]&gt;50%,"HIGH DISCOUNT","LOW DISCOUNT")</f>
        <v>LOW DISCOUNT</v>
      </c>
    </row>
    <row r="4346" spans="1:25" x14ac:dyDescent="0.25">
      <c r="A4346" s="1" t="s">
        <v>8899</v>
      </c>
      <c r="B4346" s="1">
        <v>13205038</v>
      </c>
      <c r="C4346" s="1" t="s">
        <v>121</v>
      </c>
      <c r="D4346" s="1" t="s">
        <v>41</v>
      </c>
      <c r="E4346" s="1" t="s">
        <v>148</v>
      </c>
      <c r="F4346" s="1" t="s">
        <v>36</v>
      </c>
      <c r="G4346" s="1" t="s">
        <v>8900</v>
      </c>
      <c r="I4346" s="1">
        <v>1999</v>
      </c>
      <c r="J4346" s="1" t="s">
        <v>44</v>
      </c>
      <c r="K4346" s="1" t="s">
        <v>45</v>
      </c>
      <c r="L4346" s="1">
        <v>4.3</v>
      </c>
      <c r="M4346" s="1">
        <v>506</v>
      </c>
      <c r="P4346" t="str">
        <f t="shared" si="271"/>
        <v>35%</v>
      </c>
      <c r="Q4346" s="12">
        <f t="shared" si="268"/>
        <v>0.35</v>
      </c>
      <c r="R4346" s="9">
        <f t="shared" si="269"/>
        <v>1299.3499999999999</v>
      </c>
      <c r="S4346" s="9">
        <f>IF(R4346="",AVERAGEIF(Table1[Category],Table1[[#This Row],[Category]],Table2[orignal data]),Table2[[#This Row],[orignal data]])</f>
        <v>1299.3499999999999</v>
      </c>
      <c r="T4346" t="str">
        <f t="shared" si="270"/>
        <v>UNIQUE</v>
      </c>
      <c r="U4346" t="str">
        <f>IF(ISBLANK(Table1[[#This Row],[SizeOption]]),"NOT AVAILABLE",Table1[[#This Row],[SizeOption]])</f>
        <v>XS, S, M, L, XL</v>
      </c>
      <c r="Y4346" t="str">
        <f>IF(Table2[[#This Row],[Column1]]&gt;50%,"HIGH DISCOUNT","LOW DISCOUNT")</f>
        <v>LOW DISCOUNT</v>
      </c>
    </row>
    <row r="4347" spans="1:25" x14ac:dyDescent="0.25">
      <c r="A4347" s="2" t="s">
        <v>8901</v>
      </c>
      <c r="B4347" s="2">
        <v>10970306</v>
      </c>
      <c r="C4347" s="2" t="s">
        <v>14</v>
      </c>
      <c r="D4347" s="2" t="s">
        <v>41</v>
      </c>
      <c r="E4347" s="2" t="s">
        <v>42</v>
      </c>
      <c r="F4347" s="2" t="s">
        <v>36</v>
      </c>
      <c r="G4347" s="2" t="s">
        <v>8902</v>
      </c>
      <c r="I4347" s="2">
        <v>999</v>
      </c>
      <c r="J4347" s="2" t="s">
        <v>528</v>
      </c>
      <c r="K4347" s="2" t="s">
        <v>45</v>
      </c>
      <c r="L4347" s="2">
        <v>4.0999999999999996</v>
      </c>
      <c r="M4347" s="2">
        <v>506</v>
      </c>
      <c r="P4347" t="str">
        <f t="shared" si="271"/>
        <v>500</v>
      </c>
      <c r="Q4347" s="12">
        <f t="shared" si="268"/>
        <v>0.50050050050050054</v>
      </c>
      <c r="R4347" s="9">
        <f t="shared" si="269"/>
        <v>498.99999999999994</v>
      </c>
      <c r="S4347" s="9">
        <f>IF(R4347="",AVERAGEIF(Table1[Category],Table1[[#This Row],[Category]],Table2[orignal data]),Table2[[#This Row],[orignal data]])</f>
        <v>498.99999999999994</v>
      </c>
      <c r="T4347" t="str">
        <f t="shared" si="270"/>
        <v>UNIQUE</v>
      </c>
      <c r="U4347" t="str">
        <f>IF(ISBLANK(Table1[[#This Row],[SizeOption]]),"NOT AVAILABLE",Table1[[#This Row],[SizeOption]])</f>
        <v>XS, S, M, L, XL</v>
      </c>
      <c r="Y4347" t="str">
        <f>IF(Table2[[#This Row],[Column1]]&gt;50%,"HIGH DISCOUNT","LOW DISCOUNT")</f>
        <v>HIGH DISCOUNT</v>
      </c>
    </row>
    <row r="4348" spans="1:25" x14ac:dyDescent="0.25">
      <c r="A4348" s="1" t="s">
        <v>8903</v>
      </c>
      <c r="B4348" s="1">
        <v>12194288</v>
      </c>
      <c r="C4348" s="1" t="s">
        <v>14</v>
      </c>
      <c r="D4348" s="1" t="s">
        <v>41</v>
      </c>
      <c r="E4348" s="1" t="s">
        <v>48</v>
      </c>
      <c r="F4348" s="1" t="s">
        <v>36</v>
      </c>
      <c r="G4348" s="1" t="s">
        <v>8904</v>
      </c>
      <c r="I4348" s="1">
        <v>999</v>
      </c>
      <c r="J4348" s="1" t="s">
        <v>84</v>
      </c>
      <c r="K4348" s="1" t="s">
        <v>45</v>
      </c>
      <c r="L4348" s="1">
        <v>4.3</v>
      </c>
      <c r="M4348" s="1">
        <v>506</v>
      </c>
      <c r="P4348" t="str">
        <f t="shared" si="271"/>
        <v>50%</v>
      </c>
      <c r="Q4348" s="12">
        <f t="shared" si="268"/>
        <v>0.5</v>
      </c>
      <c r="R4348" s="9">
        <f t="shared" si="269"/>
        <v>499.5</v>
      </c>
      <c r="S4348" s="9">
        <f>IF(R4348="",AVERAGEIF(Table1[Category],Table1[[#This Row],[Category]],Table2[orignal data]),Table2[[#This Row],[orignal data]])</f>
        <v>499.5</v>
      </c>
      <c r="T4348" t="str">
        <f t="shared" si="270"/>
        <v>UNIQUE</v>
      </c>
      <c r="U4348" t="str">
        <f>IF(ISBLANK(Table1[[#This Row],[SizeOption]]),"NOT AVAILABLE",Table1[[#This Row],[SizeOption]])</f>
        <v>XS, S, M, L, XL</v>
      </c>
      <c r="Y4348" t="str">
        <f>IF(Table2[[#This Row],[Column1]]&gt;50%,"HIGH DISCOUNT","LOW DISCOUNT")</f>
        <v>LOW DISCOUNT</v>
      </c>
    </row>
    <row r="4349" spans="1:25" x14ac:dyDescent="0.25">
      <c r="A4349" s="2" t="s">
        <v>8905</v>
      </c>
      <c r="B4349" s="2">
        <v>13842378</v>
      </c>
      <c r="C4349" s="2" t="s">
        <v>52</v>
      </c>
      <c r="D4349" s="2" t="s">
        <v>15</v>
      </c>
      <c r="E4349" s="2" t="s">
        <v>23</v>
      </c>
      <c r="F4349" s="2" t="s">
        <v>17</v>
      </c>
      <c r="G4349" s="2" t="s">
        <v>8906</v>
      </c>
      <c r="H4349">
        <v>446</v>
      </c>
      <c r="I4349" s="2">
        <v>949</v>
      </c>
      <c r="J4349" s="2" t="s">
        <v>89</v>
      </c>
      <c r="K4349" s="2" t="s">
        <v>26</v>
      </c>
      <c r="L4349" s="2">
        <v>4.2</v>
      </c>
      <c r="M4349" s="2">
        <v>505</v>
      </c>
      <c r="P4349" t="str">
        <f t="shared" si="271"/>
        <v>53%</v>
      </c>
      <c r="Q4349" s="12">
        <f t="shared" si="268"/>
        <v>0.53</v>
      </c>
      <c r="R4349" s="9">
        <f t="shared" si="269"/>
        <v>446.03</v>
      </c>
      <c r="S4349" s="9">
        <f>IF(R4349="",AVERAGEIF(Table1[Category],Table1[[#This Row],[Category]],Table2[orignal data]),Table2[[#This Row],[orignal data]])</f>
        <v>446.03</v>
      </c>
      <c r="T4349" t="str">
        <f t="shared" si="270"/>
        <v>UNIQUE</v>
      </c>
      <c r="U4349" t="str">
        <f>IF(ISBLANK(Table1[[#This Row],[SizeOption]]),"NOT AVAILABLE",Table1[[#This Row],[SizeOption]])</f>
        <v>S, M, L, XL</v>
      </c>
      <c r="Y4349" t="str">
        <f>IF(Table2[[#This Row],[Column1]]&gt;50%,"HIGH DISCOUNT","LOW DISCOUNT")</f>
        <v>HIGH DISCOUNT</v>
      </c>
    </row>
    <row r="4350" spans="1:25" x14ac:dyDescent="0.25">
      <c r="A4350" s="1" t="s">
        <v>8907</v>
      </c>
      <c r="B4350" s="1">
        <v>8903747</v>
      </c>
      <c r="C4350" s="1" t="s">
        <v>14</v>
      </c>
      <c r="D4350" s="1" t="s">
        <v>15</v>
      </c>
      <c r="E4350" s="1" t="s">
        <v>16</v>
      </c>
      <c r="F4350" s="1" t="s">
        <v>17</v>
      </c>
      <c r="G4350" s="1" t="s">
        <v>918</v>
      </c>
      <c r="H4350">
        <v>759</v>
      </c>
      <c r="I4350" s="1">
        <v>1899</v>
      </c>
      <c r="J4350" s="1" t="s">
        <v>55</v>
      </c>
      <c r="K4350" s="1" t="s">
        <v>20</v>
      </c>
      <c r="L4350" s="1">
        <v>4</v>
      </c>
      <c r="M4350" s="1">
        <v>505</v>
      </c>
      <c r="P4350" t="str">
        <f t="shared" si="271"/>
        <v>60%</v>
      </c>
      <c r="Q4350" s="12">
        <f t="shared" si="268"/>
        <v>0.6</v>
      </c>
      <c r="R4350" s="9">
        <f t="shared" si="269"/>
        <v>759.60000000000014</v>
      </c>
      <c r="S4350" s="9">
        <f>IF(R4350="",AVERAGEIF(Table1[Category],Table1[[#This Row],[Category]],Table2[orignal data]),Table2[[#This Row],[orignal data]])</f>
        <v>759.60000000000014</v>
      </c>
      <c r="T4350" t="str">
        <f t="shared" si="270"/>
        <v>UNIQUE</v>
      </c>
      <c r="U4350" t="str">
        <f>IF(ISBLANK(Table1[[#This Row],[SizeOption]]),"NOT AVAILABLE",Table1[[#This Row],[SizeOption]])</f>
        <v>28, 30, 32, 34, 36</v>
      </c>
      <c r="Y4350" t="str">
        <f>IF(Table2[[#This Row],[Column1]]&gt;50%,"HIGH DISCOUNT","LOW DISCOUNT")</f>
        <v>HIGH DISCOUNT</v>
      </c>
    </row>
    <row r="4351" spans="1:25" x14ac:dyDescent="0.25">
      <c r="A4351" s="2" t="s">
        <v>8908</v>
      </c>
      <c r="B4351" s="2">
        <v>13859366</v>
      </c>
      <c r="C4351" s="2" t="s">
        <v>14</v>
      </c>
      <c r="D4351" s="2" t="s">
        <v>15</v>
      </c>
      <c r="E4351" s="2" t="s">
        <v>53</v>
      </c>
      <c r="F4351" s="2" t="s">
        <v>17</v>
      </c>
      <c r="G4351" s="2" t="s">
        <v>8909</v>
      </c>
      <c r="H4351">
        <v>584</v>
      </c>
      <c r="I4351" s="2">
        <v>1299</v>
      </c>
      <c r="J4351" s="2" t="s">
        <v>25</v>
      </c>
      <c r="K4351" s="2" t="s">
        <v>20</v>
      </c>
      <c r="L4351" s="2">
        <v>3.8</v>
      </c>
      <c r="M4351" s="2">
        <v>505</v>
      </c>
      <c r="P4351" t="str">
        <f t="shared" si="271"/>
        <v>55%</v>
      </c>
      <c r="Q4351" s="12">
        <f t="shared" si="268"/>
        <v>0.55000000000000004</v>
      </c>
      <c r="R4351" s="9">
        <f t="shared" si="269"/>
        <v>584.54999999999995</v>
      </c>
      <c r="S4351" s="9">
        <f>IF(R4351="",AVERAGEIF(Table1[Category],Table1[[#This Row],[Category]],Table2[orignal data]),Table2[[#This Row],[orignal data]])</f>
        <v>584.54999999999995</v>
      </c>
      <c r="T4351" t="str">
        <f t="shared" si="270"/>
        <v>UNIQUE</v>
      </c>
      <c r="U4351" t="str">
        <f>IF(ISBLANK(Table1[[#This Row],[SizeOption]]),"NOT AVAILABLE",Table1[[#This Row],[SizeOption]])</f>
        <v>28, 30, 32, 34, 36</v>
      </c>
      <c r="Y4351" t="str">
        <f>IF(Table2[[#This Row],[Column1]]&gt;50%,"HIGH DISCOUNT","LOW DISCOUNT")</f>
        <v>HIGH DISCOUNT</v>
      </c>
    </row>
    <row r="4352" spans="1:25" x14ac:dyDescent="0.25">
      <c r="A4352" s="1" t="s">
        <v>8910</v>
      </c>
      <c r="B4352" s="1">
        <v>10384139</v>
      </c>
      <c r="C4352" s="1" t="s">
        <v>271</v>
      </c>
      <c r="D4352" s="1" t="s">
        <v>76</v>
      </c>
      <c r="E4352" s="1" t="s">
        <v>93</v>
      </c>
      <c r="F4352" s="1" t="s">
        <v>17</v>
      </c>
      <c r="G4352" s="1" t="s">
        <v>8911</v>
      </c>
      <c r="H4352">
        <v>1049</v>
      </c>
      <c r="I4352" s="1">
        <v>2099</v>
      </c>
      <c r="J4352" s="1" t="s">
        <v>84</v>
      </c>
      <c r="K4352" s="1" t="s">
        <v>39</v>
      </c>
      <c r="L4352" s="1">
        <v>4.0999999999999996</v>
      </c>
      <c r="M4352" s="1">
        <v>505</v>
      </c>
      <c r="P4352" t="str">
        <f t="shared" si="271"/>
        <v>50%</v>
      </c>
      <c r="Q4352" s="12">
        <f t="shared" si="268"/>
        <v>0.5</v>
      </c>
      <c r="R4352" s="9">
        <f t="shared" si="269"/>
        <v>1049.5</v>
      </c>
      <c r="S4352" s="9">
        <f>IF(R4352="",AVERAGEIF(Table1[Category],Table1[[#This Row],[Category]],Table2[orignal data]),Table2[[#This Row],[orignal data]])</f>
        <v>1049.5</v>
      </c>
      <c r="T4352" t="str">
        <f t="shared" si="270"/>
        <v>UNIQUE</v>
      </c>
      <c r="U4352" t="str">
        <f>IF(ISBLANK(Table1[[#This Row],[SizeOption]]),"NOT AVAILABLE",Table1[[#This Row],[SizeOption]])</f>
        <v>S, M, L, XL, XXL</v>
      </c>
      <c r="Y4352" t="str">
        <f>IF(Table2[[#This Row],[Column1]]&gt;50%,"HIGH DISCOUNT","LOW DISCOUNT")</f>
        <v>LOW DISCOUNT</v>
      </c>
    </row>
    <row r="4353" spans="1:25" x14ac:dyDescent="0.25">
      <c r="A4353" s="2" t="s">
        <v>8912</v>
      </c>
      <c r="B4353" s="2">
        <v>11036512</v>
      </c>
      <c r="C4353" s="2" t="s">
        <v>349</v>
      </c>
      <c r="D4353" s="2" t="s">
        <v>197</v>
      </c>
      <c r="E4353" s="2" t="s">
        <v>296</v>
      </c>
      <c r="F4353" s="2" t="s">
        <v>17</v>
      </c>
      <c r="G4353" s="2" t="s">
        <v>8913</v>
      </c>
      <c r="I4353" s="2">
        <v>418</v>
      </c>
      <c r="J4353" s="2"/>
      <c r="K4353" s="2" t="s">
        <v>352</v>
      </c>
      <c r="L4353" s="2">
        <v>4.5</v>
      </c>
      <c r="M4353" s="2">
        <v>505</v>
      </c>
      <c r="P4353" t="str">
        <f t="shared" si="271"/>
        <v/>
      </c>
      <c r="Q4353" s="12" t="str">
        <f t="shared" si="268"/>
        <v/>
      </c>
      <c r="R4353" s="9" t="str">
        <f t="shared" si="269"/>
        <v/>
      </c>
      <c r="S4353" s="9">
        <f>IF(R4353="",AVERAGEIF(Table1[Category],Table1[[#This Row],[Category]],Table2[orignal data]),Table2[[#This Row],[orignal data]])</f>
        <v>552.70900000000006</v>
      </c>
      <c r="T4353" t="str">
        <f t="shared" si="270"/>
        <v>UNIQUE</v>
      </c>
      <c r="U4353" t="str">
        <f>IF(ISBLANK(Table1[[#This Row],[SizeOption]]),"NOT AVAILABLE",Table1[[#This Row],[SizeOption]])</f>
        <v>S, M, L</v>
      </c>
      <c r="Y4353" t="str">
        <f>IF(Table2[[#This Row],[Column1]]&gt;50%,"HIGH DISCOUNT","LOW DISCOUNT")</f>
        <v>HIGH DISCOUNT</v>
      </c>
    </row>
    <row r="4354" spans="1:25" x14ac:dyDescent="0.25">
      <c r="A4354" s="1" t="s">
        <v>8914</v>
      </c>
      <c r="B4354" s="1">
        <v>11639104</v>
      </c>
      <c r="C4354" s="1" t="s">
        <v>349</v>
      </c>
      <c r="D4354" s="1" t="s">
        <v>197</v>
      </c>
      <c r="E4354" s="1" t="s">
        <v>296</v>
      </c>
      <c r="F4354" s="1" t="s">
        <v>17</v>
      </c>
      <c r="G4354" s="1" t="s">
        <v>8915</v>
      </c>
      <c r="I4354" s="1">
        <v>836</v>
      </c>
      <c r="J4354" s="1"/>
      <c r="K4354" s="1" t="s">
        <v>352</v>
      </c>
      <c r="L4354" s="1">
        <v>4.5</v>
      </c>
      <c r="M4354" s="1">
        <v>505</v>
      </c>
      <c r="P4354" t="str">
        <f t="shared" si="271"/>
        <v/>
      </c>
      <c r="Q4354" s="12" t="str">
        <f t="shared" ref="Q4354:Q4417" si="272">IF(P4354="","",IF(ISNUMBER(SEARCH("%",P4354)),P4354,P4354/I4354)*100%)</f>
        <v/>
      </c>
      <c r="R4354" s="9" t="str">
        <f t="shared" ref="R4354:R4417" si="273">IF(P4354="","",I4354-(I4354*Q4354))</f>
        <v/>
      </c>
      <c r="S4354" s="9">
        <f>IF(R4354="",AVERAGEIF(Table1[Category],Table1[[#This Row],[Category]],Table2[orignal data]),Table2[[#This Row],[orignal data]])</f>
        <v>552.70900000000006</v>
      </c>
      <c r="T4354" t="str">
        <f t="shared" ref="T4354:T4417" si="274">IF(COUNTIF($B$2:$B$5000,B4354)&gt;1,"DUPLICATE","UNIQUE")</f>
        <v>UNIQUE</v>
      </c>
      <c r="U4354" t="str">
        <f>IF(ISBLANK(Table1[[#This Row],[SizeOption]]),"NOT AVAILABLE",Table1[[#This Row],[SizeOption]])</f>
        <v>S, M, L</v>
      </c>
      <c r="Y4354" t="str">
        <f>IF(Table2[[#This Row],[Column1]]&gt;50%,"HIGH DISCOUNT","LOW DISCOUNT")</f>
        <v>HIGH DISCOUNT</v>
      </c>
    </row>
    <row r="4355" spans="1:25" x14ac:dyDescent="0.25">
      <c r="A4355" s="2" t="s">
        <v>8916</v>
      </c>
      <c r="B4355" s="2">
        <v>10353595</v>
      </c>
      <c r="C4355" s="2" t="s">
        <v>794</v>
      </c>
      <c r="D4355" s="2" t="s">
        <v>197</v>
      </c>
      <c r="E4355" s="2" t="s">
        <v>296</v>
      </c>
      <c r="F4355" s="2" t="s">
        <v>17</v>
      </c>
      <c r="G4355" s="2" t="s">
        <v>8917</v>
      </c>
      <c r="I4355" s="2">
        <v>329</v>
      </c>
      <c r="J4355" s="2"/>
      <c r="K4355" s="2" t="s">
        <v>352</v>
      </c>
      <c r="L4355" s="2">
        <v>4.0999999999999996</v>
      </c>
      <c r="M4355" s="2">
        <v>505</v>
      </c>
      <c r="P4355" t="str">
        <f t="shared" ref="P4355:P4418" si="275">TRIM(SUBSTITUTE(SUBSTITUTE(SUBSTITUTE(SUBSTITUTE(J4355,"OFF",""),"Rs.",""),"Hurry*",""),",",""))</f>
        <v/>
      </c>
      <c r="Q4355" s="12" t="str">
        <f t="shared" si="272"/>
        <v/>
      </c>
      <c r="R4355" s="9" t="str">
        <f t="shared" si="273"/>
        <v/>
      </c>
      <c r="S4355" s="9">
        <f>IF(R4355="",AVERAGEIF(Table1[Category],Table1[[#This Row],[Category]],Table2[orignal data]),Table2[[#This Row],[orignal data]])</f>
        <v>552.70900000000006</v>
      </c>
      <c r="T4355" t="str">
        <f t="shared" si="274"/>
        <v>UNIQUE</v>
      </c>
      <c r="U4355" t="str">
        <f>IF(ISBLANK(Table1[[#This Row],[SizeOption]]),"NOT AVAILABLE",Table1[[#This Row],[SizeOption]])</f>
        <v>S, M, L</v>
      </c>
      <c r="Y4355" t="str">
        <f>IF(Table2[[#This Row],[Column1]]&gt;50%,"HIGH DISCOUNT","LOW DISCOUNT")</f>
        <v>HIGH DISCOUNT</v>
      </c>
    </row>
    <row r="4356" spans="1:25" x14ac:dyDescent="0.25">
      <c r="A4356" s="1" t="s">
        <v>8918</v>
      </c>
      <c r="B4356" s="1">
        <v>18030432</v>
      </c>
      <c r="C4356" s="1" t="s">
        <v>295</v>
      </c>
      <c r="D4356" s="1" t="s">
        <v>197</v>
      </c>
      <c r="E4356" s="1" t="s">
        <v>296</v>
      </c>
      <c r="F4356" s="1" t="s">
        <v>17</v>
      </c>
      <c r="G4356" s="1" t="s">
        <v>8503</v>
      </c>
      <c r="I4356" s="1">
        <v>558</v>
      </c>
      <c r="J4356" s="1"/>
      <c r="K4356" s="1" t="s">
        <v>26</v>
      </c>
      <c r="L4356" s="1">
        <v>4.2</v>
      </c>
      <c r="M4356" s="1">
        <v>505</v>
      </c>
      <c r="P4356" t="str">
        <f t="shared" si="275"/>
        <v/>
      </c>
      <c r="Q4356" s="12" t="str">
        <f t="shared" si="272"/>
        <v/>
      </c>
      <c r="R4356" s="9" t="str">
        <f t="shared" si="273"/>
        <v/>
      </c>
      <c r="S4356" s="9">
        <f>IF(R4356="",AVERAGEIF(Table1[Category],Table1[[#This Row],[Category]],Table2[orignal data]),Table2[[#This Row],[orignal data]])</f>
        <v>552.70900000000006</v>
      </c>
      <c r="T4356" t="str">
        <f t="shared" si="274"/>
        <v>UNIQUE</v>
      </c>
      <c r="U4356" t="str">
        <f>IF(ISBLANK(Table1[[#This Row],[SizeOption]]),"NOT AVAILABLE",Table1[[#This Row],[SizeOption]])</f>
        <v>S, M, L, XL</v>
      </c>
      <c r="Y4356" t="str">
        <f>IF(Table2[[#This Row],[Column1]]&gt;50%,"HIGH DISCOUNT","LOW DISCOUNT")</f>
        <v>HIGH DISCOUNT</v>
      </c>
    </row>
    <row r="4357" spans="1:25" x14ac:dyDescent="0.25">
      <c r="A4357" s="2" t="s">
        <v>8919</v>
      </c>
      <c r="B4357" s="2">
        <v>18030422</v>
      </c>
      <c r="C4357" s="2" t="s">
        <v>295</v>
      </c>
      <c r="D4357" s="2" t="s">
        <v>197</v>
      </c>
      <c r="E4357" s="2" t="s">
        <v>296</v>
      </c>
      <c r="F4357" s="2" t="s">
        <v>17</v>
      </c>
      <c r="G4357" s="2" t="s">
        <v>8503</v>
      </c>
      <c r="I4357" s="2">
        <v>558</v>
      </c>
      <c r="J4357" s="2"/>
      <c r="K4357" s="2" t="s">
        <v>26</v>
      </c>
      <c r="L4357" s="2">
        <v>4.0999999999999996</v>
      </c>
      <c r="M4357" s="2">
        <v>505</v>
      </c>
      <c r="P4357" t="str">
        <f t="shared" si="275"/>
        <v/>
      </c>
      <c r="Q4357" s="12" t="str">
        <f t="shared" si="272"/>
        <v/>
      </c>
      <c r="R4357" s="9" t="str">
        <f t="shared" si="273"/>
        <v/>
      </c>
      <c r="S4357" s="9">
        <f>IF(R4357="",AVERAGEIF(Table1[Category],Table1[[#This Row],[Category]],Table2[orignal data]),Table2[[#This Row],[orignal data]])</f>
        <v>552.70900000000006</v>
      </c>
      <c r="T4357" t="str">
        <f t="shared" si="274"/>
        <v>UNIQUE</v>
      </c>
      <c r="U4357" t="str">
        <f>IF(ISBLANK(Table1[[#This Row],[SizeOption]]),"NOT AVAILABLE",Table1[[#This Row],[SizeOption]])</f>
        <v>S, M, L, XL</v>
      </c>
      <c r="Y4357" t="str">
        <f>IF(Table2[[#This Row],[Column1]]&gt;50%,"HIGH DISCOUNT","LOW DISCOUNT")</f>
        <v>HIGH DISCOUNT</v>
      </c>
    </row>
    <row r="4358" spans="1:25" x14ac:dyDescent="0.25">
      <c r="A4358" s="1" t="s">
        <v>8920</v>
      </c>
      <c r="B4358" s="1">
        <v>9445655</v>
      </c>
      <c r="C4358" s="1" t="s">
        <v>67</v>
      </c>
      <c r="D4358" s="1" t="s">
        <v>68</v>
      </c>
      <c r="E4358" s="1" t="s">
        <v>306</v>
      </c>
      <c r="F4358" s="1" t="s">
        <v>17</v>
      </c>
      <c r="G4358" s="1" t="s">
        <v>8921</v>
      </c>
      <c r="I4358" s="1">
        <v>1699</v>
      </c>
      <c r="J4358" s="1"/>
      <c r="K4358" s="1" t="s">
        <v>39</v>
      </c>
      <c r="L4358" s="1">
        <v>4.3</v>
      </c>
      <c r="M4358" s="1">
        <v>505</v>
      </c>
      <c r="P4358" t="str">
        <f t="shared" si="275"/>
        <v/>
      </c>
      <c r="Q4358" s="12" t="str">
        <f t="shared" si="272"/>
        <v/>
      </c>
      <c r="R4358" s="9" t="str">
        <f t="shared" si="273"/>
        <v/>
      </c>
      <c r="S4358" s="9">
        <f>IF(R4358="",AVERAGEIF(Table1[Category],Table1[[#This Row],[Category]],Table2[orignal data]),Table2[[#This Row],[orignal data]])</f>
        <v>734.32085365853686</v>
      </c>
      <c r="T4358" t="str">
        <f t="shared" si="274"/>
        <v>UNIQUE</v>
      </c>
      <c r="U4358" t="str">
        <f>IF(ISBLANK(Table1[[#This Row],[SizeOption]]),"NOT AVAILABLE",Table1[[#This Row],[SizeOption]])</f>
        <v>S, M, L, XL, XXL</v>
      </c>
      <c r="Y4358" t="str">
        <f>IF(Table2[[#This Row],[Column1]]&gt;50%,"HIGH DISCOUNT","LOW DISCOUNT")</f>
        <v>HIGH DISCOUNT</v>
      </c>
    </row>
    <row r="4359" spans="1:25" x14ac:dyDescent="0.25">
      <c r="A4359" s="2" t="s">
        <v>8922</v>
      </c>
      <c r="B4359" s="2">
        <v>11327704</v>
      </c>
      <c r="C4359" s="2" t="s">
        <v>14</v>
      </c>
      <c r="D4359" s="2" t="s">
        <v>28</v>
      </c>
      <c r="E4359" s="2" t="s">
        <v>29</v>
      </c>
      <c r="F4359" s="2" t="s">
        <v>17</v>
      </c>
      <c r="G4359" s="2" t="s">
        <v>8923</v>
      </c>
      <c r="H4359">
        <v>719</v>
      </c>
      <c r="I4359" s="2">
        <v>1799</v>
      </c>
      <c r="J4359" s="2" t="s">
        <v>55</v>
      </c>
      <c r="K4359" s="2" t="s">
        <v>253</v>
      </c>
      <c r="L4359" s="2">
        <v>4.0999999999999996</v>
      </c>
      <c r="M4359" s="2">
        <v>505</v>
      </c>
      <c r="P4359" t="str">
        <f t="shared" si="275"/>
        <v>60%</v>
      </c>
      <c r="Q4359" s="12">
        <f t="shared" si="272"/>
        <v>0.6</v>
      </c>
      <c r="R4359" s="9">
        <f t="shared" si="273"/>
        <v>719.60000000000014</v>
      </c>
      <c r="S4359" s="9">
        <f>IF(R4359="",AVERAGEIF(Table1[Category],Table1[[#This Row],[Category]],Table2[orignal data]),Table2[[#This Row],[orignal data]])</f>
        <v>719.60000000000014</v>
      </c>
      <c r="T4359" t="str">
        <f t="shared" si="274"/>
        <v>UNIQUE</v>
      </c>
      <c r="U4359" t="str">
        <f>IF(ISBLANK(Table1[[#This Row],[SizeOption]]),"NOT AVAILABLE",Table1[[#This Row],[SizeOption]])</f>
        <v>38, 40, 42, 44</v>
      </c>
      <c r="Y4359" t="str">
        <f>IF(Table2[[#This Row],[Column1]]&gt;50%,"HIGH DISCOUNT","LOW DISCOUNT")</f>
        <v>HIGH DISCOUNT</v>
      </c>
    </row>
    <row r="4360" spans="1:25" x14ac:dyDescent="0.25">
      <c r="A4360" s="1" t="s">
        <v>8924</v>
      </c>
      <c r="B4360" s="1">
        <v>11900294</v>
      </c>
      <c r="C4360" s="1" t="s">
        <v>346</v>
      </c>
      <c r="D4360" s="1" t="s">
        <v>28</v>
      </c>
      <c r="E4360" s="1" t="s">
        <v>42</v>
      </c>
      <c r="F4360" s="1" t="s">
        <v>17</v>
      </c>
      <c r="G4360" s="1" t="s">
        <v>8925</v>
      </c>
      <c r="H4360">
        <v>359</v>
      </c>
      <c r="I4360" s="1">
        <v>799</v>
      </c>
      <c r="J4360" s="1" t="s">
        <v>25</v>
      </c>
      <c r="K4360" s="1" t="s">
        <v>115</v>
      </c>
      <c r="L4360" s="1">
        <v>4.2</v>
      </c>
      <c r="M4360" s="1">
        <v>505</v>
      </c>
      <c r="P4360" t="str">
        <f t="shared" si="275"/>
        <v>55%</v>
      </c>
      <c r="Q4360" s="12">
        <f t="shared" si="272"/>
        <v>0.55000000000000004</v>
      </c>
      <c r="R4360" s="9">
        <f t="shared" si="273"/>
        <v>359.54999999999995</v>
      </c>
      <c r="S4360" s="9">
        <f>IF(R4360="",AVERAGEIF(Table1[Category],Table1[[#This Row],[Category]],Table2[orignal data]),Table2[[#This Row],[orignal data]])</f>
        <v>359.54999999999995</v>
      </c>
      <c r="T4360" t="str">
        <f t="shared" si="274"/>
        <v>UNIQUE</v>
      </c>
      <c r="U4360" t="str">
        <f>IF(ISBLANK(Table1[[#This Row],[SizeOption]]),"NOT AVAILABLE",Table1[[#This Row],[SizeOption]])</f>
        <v>XS, S, M, L, XL, XXL</v>
      </c>
      <c r="Y4360" t="str">
        <f>IF(Table2[[#This Row],[Column1]]&gt;50%,"HIGH DISCOUNT","LOW DISCOUNT")</f>
        <v>HIGH DISCOUNT</v>
      </c>
    </row>
    <row r="4361" spans="1:25" x14ac:dyDescent="0.25">
      <c r="A4361" s="2" t="s">
        <v>8926</v>
      </c>
      <c r="B4361" s="2">
        <v>10375033</v>
      </c>
      <c r="C4361" s="2" t="s">
        <v>271</v>
      </c>
      <c r="D4361" s="2" t="s">
        <v>76</v>
      </c>
      <c r="E4361" s="2" t="s">
        <v>1411</v>
      </c>
      <c r="F4361" s="2" t="s">
        <v>36</v>
      </c>
      <c r="G4361" s="2" t="s">
        <v>8927</v>
      </c>
      <c r="H4361">
        <v>714</v>
      </c>
      <c r="I4361" s="2">
        <v>1299</v>
      </c>
      <c r="J4361" s="2" t="s">
        <v>19</v>
      </c>
      <c r="K4361" s="2" t="s">
        <v>164</v>
      </c>
      <c r="L4361" s="2">
        <v>4.5</v>
      </c>
      <c r="M4361" s="2">
        <v>505</v>
      </c>
      <c r="P4361" t="str">
        <f t="shared" si="275"/>
        <v>45%</v>
      </c>
      <c r="Q4361" s="12">
        <f t="shared" si="272"/>
        <v>0.45</v>
      </c>
      <c r="R4361" s="9">
        <f t="shared" si="273"/>
        <v>714.44999999999993</v>
      </c>
      <c r="S4361" s="9">
        <f>IF(R4361="",AVERAGEIF(Table1[Category],Table1[[#This Row],[Category]],Table2[orignal data]),Table2[[#This Row],[orignal data]])</f>
        <v>714.44999999999993</v>
      </c>
      <c r="T4361" t="str">
        <f t="shared" si="274"/>
        <v>UNIQUE</v>
      </c>
      <c r="U4361" t="str">
        <f>IF(ISBLANK(Table1[[#This Row],[SizeOption]]),"NOT AVAILABLE",Table1[[#This Row],[SizeOption]])</f>
        <v>Onesize</v>
      </c>
      <c r="Y4361" t="str">
        <f>IF(Table2[[#This Row],[Column1]]&gt;50%,"HIGH DISCOUNT","LOW DISCOUNT")</f>
        <v>LOW DISCOUNT</v>
      </c>
    </row>
    <row r="4362" spans="1:25" x14ac:dyDescent="0.25">
      <c r="A4362" s="1" t="s">
        <v>8928</v>
      </c>
      <c r="B4362" s="1">
        <v>11068144</v>
      </c>
      <c r="C4362" s="1" t="s">
        <v>349</v>
      </c>
      <c r="D4362" s="1" t="s">
        <v>34</v>
      </c>
      <c r="E4362" s="1" t="s">
        <v>296</v>
      </c>
      <c r="F4362" s="1" t="s">
        <v>36</v>
      </c>
      <c r="G4362" s="1" t="s">
        <v>8929</v>
      </c>
      <c r="I4362" s="1">
        <v>259</v>
      </c>
      <c r="J4362" s="1"/>
      <c r="K4362" s="1" t="s">
        <v>352</v>
      </c>
      <c r="L4362" s="1">
        <v>4.7</v>
      </c>
      <c r="M4362" s="1">
        <v>505</v>
      </c>
      <c r="P4362" t="str">
        <f t="shared" si="275"/>
        <v/>
      </c>
      <c r="Q4362" s="12" t="str">
        <f t="shared" si="272"/>
        <v/>
      </c>
      <c r="R4362" s="9" t="str">
        <f t="shared" si="273"/>
        <v/>
      </c>
      <c r="S4362" s="9">
        <f>IF(R4362="",AVERAGEIF(Table1[Category],Table1[[#This Row],[Category]],Table2[orignal data]),Table2[[#This Row],[orignal data]])</f>
        <v>608.88518518518481</v>
      </c>
      <c r="T4362" t="str">
        <f t="shared" si="274"/>
        <v>UNIQUE</v>
      </c>
      <c r="U4362" t="str">
        <f>IF(ISBLANK(Table1[[#This Row],[SizeOption]]),"NOT AVAILABLE",Table1[[#This Row],[SizeOption]])</f>
        <v>S, M, L</v>
      </c>
      <c r="Y4362" t="str">
        <f>IF(Table2[[#This Row],[Column1]]&gt;50%,"HIGH DISCOUNT","LOW DISCOUNT")</f>
        <v>HIGH DISCOUNT</v>
      </c>
    </row>
    <row r="4363" spans="1:25" x14ac:dyDescent="0.25">
      <c r="A4363" s="2" t="s">
        <v>8930</v>
      </c>
      <c r="B4363" s="2">
        <v>13563608</v>
      </c>
      <c r="C4363" s="2" t="s">
        <v>349</v>
      </c>
      <c r="D4363" s="2" t="s">
        <v>34</v>
      </c>
      <c r="E4363" s="2" t="s">
        <v>296</v>
      </c>
      <c r="F4363" s="2" t="s">
        <v>36</v>
      </c>
      <c r="G4363" s="2" t="s">
        <v>3940</v>
      </c>
      <c r="I4363" s="2">
        <v>478</v>
      </c>
      <c r="J4363" s="2"/>
      <c r="K4363" s="2" t="s">
        <v>5894</v>
      </c>
      <c r="L4363" s="2">
        <v>4.5999999999999996</v>
      </c>
      <c r="M4363" s="2">
        <v>505</v>
      </c>
      <c r="P4363" t="str">
        <f t="shared" si="275"/>
        <v/>
      </c>
      <c r="Q4363" s="12" t="str">
        <f t="shared" si="272"/>
        <v/>
      </c>
      <c r="R4363" s="9" t="str">
        <f t="shared" si="273"/>
        <v/>
      </c>
      <c r="S4363" s="9">
        <f>IF(R4363="",AVERAGEIF(Table1[Category],Table1[[#This Row],[Category]],Table2[orignal data]),Table2[[#This Row],[orignal data]])</f>
        <v>608.88518518518481</v>
      </c>
      <c r="T4363" t="str">
        <f t="shared" si="274"/>
        <v>UNIQUE</v>
      </c>
      <c r="U4363" t="str">
        <f>IF(ISBLANK(Table1[[#This Row],[SizeOption]]),"NOT AVAILABLE",Table1[[#This Row],[SizeOption]])</f>
        <v>M, S, L</v>
      </c>
      <c r="Y4363" t="str">
        <f>IF(Table2[[#This Row],[Column1]]&gt;50%,"HIGH DISCOUNT","LOW DISCOUNT")</f>
        <v>HIGH DISCOUNT</v>
      </c>
    </row>
    <row r="4364" spans="1:25" x14ac:dyDescent="0.25">
      <c r="A4364" s="1" t="s">
        <v>8931</v>
      </c>
      <c r="B4364" s="1">
        <v>11538100</v>
      </c>
      <c r="C4364" s="1" t="s">
        <v>349</v>
      </c>
      <c r="D4364" s="1" t="s">
        <v>34</v>
      </c>
      <c r="E4364" s="1" t="s">
        <v>296</v>
      </c>
      <c r="F4364" s="1" t="s">
        <v>36</v>
      </c>
      <c r="G4364" s="1" t="s">
        <v>8932</v>
      </c>
      <c r="I4364" s="1">
        <v>518</v>
      </c>
      <c r="J4364" s="1"/>
      <c r="K4364" s="1" t="s">
        <v>352</v>
      </c>
      <c r="L4364" s="1">
        <v>4.7</v>
      </c>
      <c r="M4364" s="1">
        <v>505</v>
      </c>
      <c r="P4364" t="str">
        <f t="shared" si="275"/>
        <v/>
      </c>
      <c r="Q4364" s="12" t="str">
        <f t="shared" si="272"/>
        <v/>
      </c>
      <c r="R4364" s="9" t="str">
        <f t="shared" si="273"/>
        <v/>
      </c>
      <c r="S4364" s="9">
        <f>IF(R4364="",AVERAGEIF(Table1[Category],Table1[[#This Row],[Category]],Table2[orignal data]),Table2[[#This Row],[orignal data]])</f>
        <v>608.88518518518481</v>
      </c>
      <c r="T4364" t="str">
        <f t="shared" si="274"/>
        <v>UNIQUE</v>
      </c>
      <c r="U4364" t="str">
        <f>IF(ISBLANK(Table1[[#This Row],[SizeOption]]),"NOT AVAILABLE",Table1[[#This Row],[SizeOption]])</f>
        <v>S, M, L</v>
      </c>
      <c r="Y4364" t="str">
        <f>IF(Table2[[#This Row],[Column1]]&gt;50%,"HIGH DISCOUNT","LOW DISCOUNT")</f>
        <v>HIGH DISCOUNT</v>
      </c>
    </row>
    <row r="4365" spans="1:25" x14ac:dyDescent="0.25">
      <c r="A4365" s="2" t="s">
        <v>8933</v>
      </c>
      <c r="B4365" s="2">
        <v>9299455</v>
      </c>
      <c r="C4365" s="2" t="s">
        <v>623</v>
      </c>
      <c r="D4365" s="2" t="s">
        <v>34</v>
      </c>
      <c r="E4365" s="2" t="s">
        <v>3223</v>
      </c>
      <c r="F4365" s="2" t="s">
        <v>36</v>
      </c>
      <c r="G4365" s="2" t="s">
        <v>8934</v>
      </c>
      <c r="H4365">
        <v>467</v>
      </c>
      <c r="I4365" s="2">
        <v>899</v>
      </c>
      <c r="J4365" s="2" t="s">
        <v>602</v>
      </c>
      <c r="K4365" s="2" t="s">
        <v>39</v>
      </c>
      <c r="L4365" s="2">
        <v>3.9</v>
      </c>
      <c r="M4365" s="2">
        <v>505</v>
      </c>
      <c r="P4365" t="str">
        <f t="shared" si="275"/>
        <v>48%</v>
      </c>
      <c r="Q4365" s="12">
        <f t="shared" si="272"/>
        <v>0.48</v>
      </c>
      <c r="R4365" s="9">
        <f t="shared" si="273"/>
        <v>467.48</v>
      </c>
      <c r="S4365" s="9">
        <f>IF(R4365="",AVERAGEIF(Table1[Category],Table1[[#This Row],[Category]],Table2[orignal data]),Table2[[#This Row],[orignal data]])</f>
        <v>467.48</v>
      </c>
      <c r="T4365" t="str">
        <f t="shared" si="274"/>
        <v>UNIQUE</v>
      </c>
      <c r="U4365" t="str">
        <f>IF(ISBLANK(Table1[[#This Row],[SizeOption]]),"NOT AVAILABLE",Table1[[#This Row],[SizeOption]])</f>
        <v>S, M, L, XL, XXL</v>
      </c>
      <c r="Y4365" t="str">
        <f>IF(Table2[[#This Row],[Column1]]&gt;50%,"HIGH DISCOUNT","LOW DISCOUNT")</f>
        <v>LOW DISCOUNT</v>
      </c>
    </row>
    <row r="4366" spans="1:25" x14ac:dyDescent="0.25">
      <c r="A4366" s="1" t="s">
        <v>8935</v>
      </c>
      <c r="B4366" s="1">
        <v>9077165</v>
      </c>
      <c r="C4366" s="1" t="s">
        <v>64</v>
      </c>
      <c r="D4366" s="1" t="s">
        <v>98</v>
      </c>
      <c r="E4366" s="1" t="s">
        <v>93</v>
      </c>
      <c r="F4366" s="1" t="s">
        <v>36</v>
      </c>
      <c r="G4366" s="1" t="s">
        <v>8936</v>
      </c>
      <c r="H4366">
        <v>799</v>
      </c>
      <c r="I4366" s="1">
        <v>1999</v>
      </c>
      <c r="J4366" s="1" t="s">
        <v>55</v>
      </c>
      <c r="K4366" s="1" t="s">
        <v>100</v>
      </c>
      <c r="L4366" s="1">
        <v>4</v>
      </c>
      <c r="M4366" s="1">
        <v>505</v>
      </c>
      <c r="P4366" t="str">
        <f t="shared" si="275"/>
        <v>60%</v>
      </c>
      <c r="Q4366" s="12">
        <f t="shared" si="272"/>
        <v>0.6</v>
      </c>
      <c r="R4366" s="9">
        <f t="shared" si="273"/>
        <v>799.60000000000014</v>
      </c>
      <c r="S4366" s="9">
        <f>IF(R4366="",AVERAGEIF(Table1[Category],Table1[[#This Row],[Category]],Table2[orignal data]),Table2[[#This Row],[orignal data]])</f>
        <v>799.60000000000014</v>
      </c>
      <c r="T4366" t="str">
        <f t="shared" si="274"/>
        <v>UNIQUE</v>
      </c>
      <c r="U4366" t="str">
        <f>IF(ISBLANK(Table1[[#This Row],[SizeOption]]),"NOT AVAILABLE",Table1[[#This Row],[SizeOption]])</f>
        <v>XS, S, M, L, XL, XXL, 3XL</v>
      </c>
      <c r="Y4366" t="str">
        <f>IF(Table2[[#This Row],[Column1]]&gt;50%,"HIGH DISCOUNT","LOW DISCOUNT")</f>
        <v>HIGH DISCOUNT</v>
      </c>
    </row>
    <row r="4367" spans="1:25" x14ac:dyDescent="0.25">
      <c r="A4367" s="2" t="s">
        <v>8937</v>
      </c>
      <c r="B4367" s="2">
        <v>6788972</v>
      </c>
      <c r="C4367" s="2" t="s">
        <v>64</v>
      </c>
      <c r="D4367" s="2" t="s">
        <v>98</v>
      </c>
      <c r="E4367" s="2" t="s">
        <v>189</v>
      </c>
      <c r="F4367" s="2" t="s">
        <v>36</v>
      </c>
      <c r="G4367" s="2" t="s">
        <v>8938</v>
      </c>
      <c r="H4367">
        <v>1499</v>
      </c>
      <c r="I4367" s="2">
        <v>4999</v>
      </c>
      <c r="J4367" s="2" t="s">
        <v>1566</v>
      </c>
      <c r="K4367" s="2" t="s">
        <v>100</v>
      </c>
      <c r="L4367" s="2">
        <v>3.7</v>
      </c>
      <c r="M4367" s="2">
        <v>505</v>
      </c>
      <c r="P4367" t="str">
        <f t="shared" si="275"/>
        <v>70%</v>
      </c>
      <c r="Q4367" s="12">
        <f t="shared" si="272"/>
        <v>0.7</v>
      </c>
      <c r="R4367" s="9">
        <f t="shared" si="273"/>
        <v>1499.7000000000003</v>
      </c>
      <c r="S4367" s="9">
        <f>IF(R4367="",AVERAGEIF(Table1[Category],Table1[[#This Row],[Category]],Table2[orignal data]),Table2[[#This Row],[orignal data]])</f>
        <v>1499.7000000000003</v>
      </c>
      <c r="T4367" t="str">
        <f t="shared" si="274"/>
        <v>UNIQUE</v>
      </c>
      <c r="U4367" t="str">
        <f>IF(ISBLANK(Table1[[#This Row],[SizeOption]]),"NOT AVAILABLE",Table1[[#This Row],[SizeOption]])</f>
        <v>XS, S, M, L, XL, XXL, 3XL</v>
      </c>
      <c r="Y4367" t="str">
        <f>IF(Table2[[#This Row],[Column1]]&gt;50%,"HIGH DISCOUNT","LOW DISCOUNT")</f>
        <v>HIGH DISCOUNT</v>
      </c>
    </row>
    <row r="4368" spans="1:25" x14ac:dyDescent="0.25">
      <c r="A4368" s="1" t="s">
        <v>8939</v>
      </c>
      <c r="B4368" s="1">
        <v>2495141</v>
      </c>
      <c r="C4368" s="1" t="s">
        <v>47</v>
      </c>
      <c r="D4368" s="1" t="s">
        <v>41</v>
      </c>
      <c r="E4368" s="1" t="s">
        <v>48</v>
      </c>
      <c r="F4368" s="1" t="s">
        <v>36</v>
      </c>
      <c r="G4368" s="1" t="s">
        <v>8940</v>
      </c>
      <c r="I4368" s="1">
        <v>1299</v>
      </c>
      <c r="J4368" s="1" t="s">
        <v>84</v>
      </c>
      <c r="K4368" s="1" t="s">
        <v>45</v>
      </c>
      <c r="L4368" s="1">
        <v>3.8</v>
      </c>
      <c r="M4368" s="1">
        <v>505</v>
      </c>
      <c r="P4368" t="str">
        <f t="shared" si="275"/>
        <v>50%</v>
      </c>
      <c r="Q4368" s="12">
        <f t="shared" si="272"/>
        <v>0.5</v>
      </c>
      <c r="R4368" s="9">
        <f t="shared" si="273"/>
        <v>649.5</v>
      </c>
      <c r="S4368" s="9">
        <f>IF(R4368="",AVERAGEIF(Table1[Category],Table1[[#This Row],[Category]],Table2[orignal data]),Table2[[#This Row],[orignal data]])</f>
        <v>649.5</v>
      </c>
      <c r="T4368" t="str">
        <f t="shared" si="274"/>
        <v>UNIQUE</v>
      </c>
      <c r="U4368" t="str">
        <f>IF(ISBLANK(Table1[[#This Row],[SizeOption]]),"NOT AVAILABLE",Table1[[#This Row],[SizeOption]])</f>
        <v>XS, S, M, L, XL</v>
      </c>
      <c r="Y4368" t="str">
        <f>IF(Table2[[#This Row],[Column1]]&gt;50%,"HIGH DISCOUNT","LOW DISCOUNT")</f>
        <v>LOW DISCOUNT</v>
      </c>
    </row>
    <row r="4369" spans="1:25" x14ac:dyDescent="0.25">
      <c r="A4369" s="2" t="s">
        <v>8941</v>
      </c>
      <c r="B4369" s="2">
        <v>17385734</v>
      </c>
      <c r="C4369" s="2" t="s">
        <v>14</v>
      </c>
      <c r="D4369" s="2" t="s">
        <v>41</v>
      </c>
      <c r="E4369" s="2" t="s">
        <v>42</v>
      </c>
      <c r="F4369" s="2" t="s">
        <v>36</v>
      </c>
      <c r="G4369" s="2" t="s">
        <v>5324</v>
      </c>
      <c r="I4369" s="2">
        <v>1398</v>
      </c>
      <c r="J4369" s="2" t="s">
        <v>84</v>
      </c>
      <c r="K4369" s="2" t="s">
        <v>45</v>
      </c>
      <c r="L4369" s="2">
        <v>4.3</v>
      </c>
      <c r="M4369" s="2">
        <v>505</v>
      </c>
      <c r="P4369" t="str">
        <f t="shared" si="275"/>
        <v>50%</v>
      </c>
      <c r="Q4369" s="12">
        <f t="shared" si="272"/>
        <v>0.5</v>
      </c>
      <c r="R4369" s="9">
        <f t="shared" si="273"/>
        <v>699</v>
      </c>
      <c r="S4369" s="9">
        <f>IF(R4369="",AVERAGEIF(Table1[Category],Table1[[#This Row],[Category]],Table2[orignal data]),Table2[[#This Row],[orignal data]])</f>
        <v>699</v>
      </c>
      <c r="T4369" t="str">
        <f t="shared" si="274"/>
        <v>UNIQUE</v>
      </c>
      <c r="U4369" t="str">
        <f>IF(ISBLANK(Table1[[#This Row],[SizeOption]]),"NOT AVAILABLE",Table1[[#This Row],[SizeOption]])</f>
        <v>XS, S, M, L, XL</v>
      </c>
      <c r="Y4369" t="str">
        <f>IF(Table2[[#This Row],[Column1]]&gt;50%,"HIGH DISCOUNT","LOW DISCOUNT")</f>
        <v>LOW DISCOUNT</v>
      </c>
    </row>
    <row r="4370" spans="1:25" x14ac:dyDescent="0.25">
      <c r="A4370" s="1" t="s">
        <v>8942</v>
      </c>
      <c r="B4370" s="1">
        <v>12225738</v>
      </c>
      <c r="C4370" s="1" t="s">
        <v>102</v>
      </c>
      <c r="D4370" s="1" t="s">
        <v>41</v>
      </c>
      <c r="E4370" s="1" t="s">
        <v>53</v>
      </c>
      <c r="F4370" s="1" t="s">
        <v>36</v>
      </c>
      <c r="G4370" s="1" t="s">
        <v>8943</v>
      </c>
      <c r="I4370" s="1">
        <v>1799</v>
      </c>
      <c r="J4370" s="1" t="s">
        <v>95</v>
      </c>
      <c r="K4370" s="1" t="s">
        <v>105</v>
      </c>
      <c r="L4370" s="1">
        <v>3.6</v>
      </c>
      <c r="M4370" s="1">
        <v>505</v>
      </c>
      <c r="P4370" t="str">
        <f t="shared" si="275"/>
        <v>59%</v>
      </c>
      <c r="Q4370" s="12">
        <f t="shared" si="272"/>
        <v>0.59</v>
      </c>
      <c r="R4370" s="9">
        <f t="shared" si="273"/>
        <v>737.59000000000015</v>
      </c>
      <c r="S4370" s="9">
        <f>IF(R4370="",AVERAGEIF(Table1[Category],Table1[[#This Row],[Category]],Table2[orignal data]),Table2[[#This Row],[orignal data]])</f>
        <v>737.59000000000015</v>
      </c>
      <c r="T4370" t="str">
        <f t="shared" si="274"/>
        <v>UNIQUE</v>
      </c>
      <c r="U4370" t="str">
        <f>IF(ISBLANK(Table1[[#This Row],[SizeOption]]),"NOT AVAILABLE",Table1[[#This Row],[SizeOption]])</f>
        <v>28, 30, 32, 34</v>
      </c>
      <c r="Y4370" t="str">
        <f>IF(Table2[[#This Row],[Column1]]&gt;50%,"HIGH DISCOUNT","LOW DISCOUNT")</f>
        <v>HIGH DISCOUNT</v>
      </c>
    </row>
    <row r="4371" spans="1:25" x14ac:dyDescent="0.25">
      <c r="A4371" s="2" t="s">
        <v>8944</v>
      </c>
      <c r="B4371" s="2">
        <v>9018035</v>
      </c>
      <c r="C4371" s="2" t="s">
        <v>14</v>
      </c>
      <c r="D4371" s="2" t="s">
        <v>41</v>
      </c>
      <c r="E4371" s="2" t="s">
        <v>16</v>
      </c>
      <c r="F4371" s="2" t="s">
        <v>36</v>
      </c>
      <c r="G4371" s="2" t="s">
        <v>4749</v>
      </c>
      <c r="I4371" s="2">
        <v>2399</v>
      </c>
      <c r="J4371" s="2" t="s">
        <v>55</v>
      </c>
      <c r="K4371" s="2" t="s">
        <v>134</v>
      </c>
      <c r="L4371" s="2">
        <v>4.0999999999999996</v>
      </c>
      <c r="M4371" s="2">
        <v>505</v>
      </c>
      <c r="P4371" t="str">
        <f t="shared" si="275"/>
        <v>60%</v>
      </c>
      <c r="Q4371" s="12">
        <f t="shared" si="272"/>
        <v>0.6</v>
      </c>
      <c r="R4371" s="9">
        <f t="shared" si="273"/>
        <v>959.60000000000014</v>
      </c>
      <c r="S4371" s="9">
        <f>IF(R4371="",AVERAGEIF(Table1[Category],Table1[[#This Row],[Category]],Table2[orignal data]),Table2[[#This Row],[orignal data]])</f>
        <v>959.60000000000014</v>
      </c>
      <c r="T4371" t="str">
        <f t="shared" si="274"/>
        <v>UNIQUE</v>
      </c>
      <c r="U4371" t="str">
        <f>IF(ISBLANK(Table1[[#This Row],[SizeOption]]),"NOT AVAILABLE",Table1[[#This Row],[SizeOption]])</f>
        <v>26, 28, 30, 32, 34, 36</v>
      </c>
      <c r="Y4371" t="str">
        <f>IF(Table2[[#This Row],[Column1]]&gt;50%,"HIGH DISCOUNT","LOW DISCOUNT")</f>
        <v>HIGH DISCOUNT</v>
      </c>
    </row>
    <row r="4372" spans="1:25" x14ac:dyDescent="0.25">
      <c r="A4372" s="1" t="s">
        <v>8945</v>
      </c>
      <c r="B4372" s="1">
        <v>13214462</v>
      </c>
      <c r="C4372" s="1" t="s">
        <v>558</v>
      </c>
      <c r="D4372" s="1" t="s">
        <v>41</v>
      </c>
      <c r="E4372" s="1" t="s">
        <v>148</v>
      </c>
      <c r="F4372" s="1" t="s">
        <v>36</v>
      </c>
      <c r="G4372" s="1" t="s">
        <v>8946</v>
      </c>
      <c r="I4372" s="1">
        <v>3399</v>
      </c>
      <c r="J4372" s="1" t="s">
        <v>50</v>
      </c>
      <c r="K4372" s="1" t="s">
        <v>115</v>
      </c>
      <c r="L4372" s="1">
        <v>4.3</v>
      </c>
      <c r="M4372" s="1">
        <v>505</v>
      </c>
      <c r="P4372" t="str">
        <f t="shared" si="275"/>
        <v>40%</v>
      </c>
      <c r="Q4372" s="12">
        <f t="shared" si="272"/>
        <v>0.4</v>
      </c>
      <c r="R4372" s="9">
        <f t="shared" si="273"/>
        <v>2039.3999999999999</v>
      </c>
      <c r="S4372" s="9">
        <f>IF(R4372="",AVERAGEIF(Table1[Category],Table1[[#This Row],[Category]],Table2[orignal data]),Table2[[#This Row],[orignal data]])</f>
        <v>2039.3999999999999</v>
      </c>
      <c r="T4372" t="str">
        <f t="shared" si="274"/>
        <v>UNIQUE</v>
      </c>
      <c r="U4372" t="str">
        <f>IF(ISBLANK(Table1[[#This Row],[SizeOption]]),"NOT AVAILABLE",Table1[[#This Row],[SizeOption]])</f>
        <v>XS, S, M, L, XL, XXL</v>
      </c>
      <c r="Y4372" t="str">
        <f>IF(Table2[[#This Row],[Column1]]&gt;50%,"HIGH DISCOUNT","LOW DISCOUNT")</f>
        <v>LOW DISCOUNT</v>
      </c>
    </row>
    <row r="4373" spans="1:25" x14ac:dyDescent="0.25">
      <c r="A4373" s="2" t="s">
        <v>8947</v>
      </c>
      <c r="B4373" s="2">
        <v>13000836</v>
      </c>
      <c r="C4373" s="2" t="s">
        <v>8948</v>
      </c>
      <c r="D4373" s="2" t="s">
        <v>41</v>
      </c>
      <c r="E4373" s="2" t="s">
        <v>3694</v>
      </c>
      <c r="F4373" s="2" t="s">
        <v>36</v>
      </c>
      <c r="G4373" s="2" t="s">
        <v>8949</v>
      </c>
      <c r="I4373" s="2">
        <v>3999</v>
      </c>
      <c r="J4373" s="2" t="s">
        <v>79</v>
      </c>
      <c r="K4373" s="2" t="s">
        <v>115</v>
      </c>
      <c r="L4373" s="2">
        <v>3.7</v>
      </c>
      <c r="M4373" s="2">
        <v>505</v>
      </c>
      <c r="P4373" t="str">
        <f t="shared" si="275"/>
        <v>70%</v>
      </c>
      <c r="Q4373" s="12">
        <f t="shared" si="272"/>
        <v>0.7</v>
      </c>
      <c r="R4373" s="9">
        <f t="shared" si="273"/>
        <v>1199.7000000000003</v>
      </c>
      <c r="S4373" s="9">
        <f>IF(R4373="",AVERAGEIF(Table1[Category],Table1[[#This Row],[Category]],Table2[orignal data]),Table2[[#This Row],[orignal data]])</f>
        <v>1199.7000000000003</v>
      </c>
      <c r="T4373" t="str">
        <f t="shared" si="274"/>
        <v>UNIQUE</v>
      </c>
      <c r="U4373" t="str">
        <f>IF(ISBLANK(Table1[[#This Row],[SizeOption]]),"NOT AVAILABLE",Table1[[#This Row],[SizeOption]])</f>
        <v>XS, S, M, L, XL, XXL</v>
      </c>
      <c r="Y4373" t="str">
        <f>IF(Table2[[#This Row],[Column1]]&gt;50%,"HIGH DISCOUNT","LOW DISCOUNT")</f>
        <v>HIGH DISCOUNT</v>
      </c>
    </row>
    <row r="4374" spans="1:25" x14ac:dyDescent="0.25">
      <c r="A4374" s="1" t="s">
        <v>8950</v>
      </c>
      <c r="B4374" s="1">
        <v>13815356</v>
      </c>
      <c r="C4374" s="1" t="s">
        <v>52</v>
      </c>
      <c r="D4374" s="1" t="s">
        <v>15</v>
      </c>
      <c r="E4374" s="1" t="s">
        <v>16</v>
      </c>
      <c r="F4374" s="1" t="s">
        <v>17</v>
      </c>
      <c r="G4374" s="1" t="s">
        <v>8951</v>
      </c>
      <c r="H4374">
        <v>775</v>
      </c>
      <c r="I4374" s="1">
        <v>1649</v>
      </c>
      <c r="J4374" s="1" t="s">
        <v>89</v>
      </c>
      <c r="K4374" s="1" t="s">
        <v>816</v>
      </c>
      <c r="L4374" s="1">
        <v>3.7</v>
      </c>
      <c r="M4374" s="1">
        <v>504</v>
      </c>
      <c r="P4374" t="str">
        <f t="shared" si="275"/>
        <v>53%</v>
      </c>
      <c r="Q4374" s="12">
        <f t="shared" si="272"/>
        <v>0.53</v>
      </c>
      <c r="R4374" s="9">
        <f t="shared" si="273"/>
        <v>775.03</v>
      </c>
      <c r="S4374" s="9">
        <f>IF(R4374="",AVERAGEIF(Table1[Category],Table1[[#This Row],[Category]],Table2[orignal data]),Table2[[#This Row],[orignal data]])</f>
        <v>775.03</v>
      </c>
      <c r="T4374" t="str">
        <f t="shared" si="274"/>
        <v>UNIQUE</v>
      </c>
      <c r="U4374" t="str">
        <f>IF(ISBLANK(Table1[[#This Row],[SizeOption]]),"NOT AVAILABLE",Table1[[#This Row],[SizeOption]])</f>
        <v>30, 32, 34, 36, 38</v>
      </c>
      <c r="Y4374" t="str">
        <f>IF(Table2[[#This Row],[Column1]]&gt;50%,"HIGH DISCOUNT","LOW DISCOUNT")</f>
        <v>HIGH DISCOUNT</v>
      </c>
    </row>
    <row r="4375" spans="1:25" x14ac:dyDescent="0.25">
      <c r="A4375" s="2" t="s">
        <v>8952</v>
      </c>
      <c r="B4375" s="2">
        <v>13570668</v>
      </c>
      <c r="C4375" s="2" t="s">
        <v>52</v>
      </c>
      <c r="D4375" s="2" t="s">
        <v>15</v>
      </c>
      <c r="E4375" s="2" t="s">
        <v>53</v>
      </c>
      <c r="F4375" s="2" t="s">
        <v>17</v>
      </c>
      <c r="G4375" s="2" t="s">
        <v>8953</v>
      </c>
      <c r="H4375">
        <v>799</v>
      </c>
      <c r="I4375" s="2">
        <v>1599</v>
      </c>
      <c r="J4375" s="2" t="s">
        <v>84</v>
      </c>
      <c r="K4375" s="2" t="s">
        <v>56</v>
      </c>
      <c r="L4375" s="2">
        <v>4</v>
      </c>
      <c r="M4375" s="2">
        <v>504</v>
      </c>
      <c r="P4375" t="str">
        <f t="shared" si="275"/>
        <v>50%</v>
      </c>
      <c r="Q4375" s="12">
        <f t="shared" si="272"/>
        <v>0.5</v>
      </c>
      <c r="R4375" s="9">
        <f t="shared" si="273"/>
        <v>799.5</v>
      </c>
      <c r="S4375" s="9">
        <f>IF(R4375="",AVERAGEIF(Table1[Category],Table1[[#This Row],[Category]],Table2[orignal data]),Table2[[#This Row],[orignal data]])</f>
        <v>799.5</v>
      </c>
      <c r="T4375" t="str">
        <f t="shared" si="274"/>
        <v>UNIQUE</v>
      </c>
      <c r="U4375" t="str">
        <f>IF(ISBLANK(Table1[[#This Row],[SizeOption]]),"NOT AVAILABLE",Table1[[#This Row],[SizeOption]])</f>
        <v>30, 32, 34, 36</v>
      </c>
      <c r="Y4375" t="str">
        <f>IF(Table2[[#This Row],[Column1]]&gt;50%,"HIGH DISCOUNT","LOW DISCOUNT")</f>
        <v>LOW DISCOUNT</v>
      </c>
    </row>
    <row r="4376" spans="1:25" x14ac:dyDescent="0.25">
      <c r="A4376" s="1" t="s">
        <v>8954</v>
      </c>
      <c r="B4376" s="1">
        <v>11658912</v>
      </c>
      <c r="C4376" s="1" t="s">
        <v>1516</v>
      </c>
      <c r="D4376" s="1" t="s">
        <v>76</v>
      </c>
      <c r="E4376" s="1" t="s">
        <v>77</v>
      </c>
      <c r="F4376" s="1" t="s">
        <v>17</v>
      </c>
      <c r="G4376" s="1" t="s">
        <v>8955</v>
      </c>
      <c r="H4376">
        <v>1746</v>
      </c>
      <c r="I4376" s="1">
        <v>4990</v>
      </c>
      <c r="J4376" s="1" t="s">
        <v>150</v>
      </c>
      <c r="K4376" s="1" t="s">
        <v>234</v>
      </c>
      <c r="L4376" s="1">
        <v>3.9</v>
      </c>
      <c r="M4376" s="1">
        <v>504</v>
      </c>
      <c r="P4376" t="str">
        <f t="shared" si="275"/>
        <v>65%</v>
      </c>
      <c r="Q4376" s="12">
        <f t="shared" si="272"/>
        <v>0.65</v>
      </c>
      <c r="R4376" s="9">
        <f t="shared" si="273"/>
        <v>1746.5</v>
      </c>
      <c r="S4376" s="9">
        <f>IF(R4376="",AVERAGEIF(Table1[Category],Table1[[#This Row],[Category]],Table2[orignal data]),Table2[[#This Row],[orignal data]])</f>
        <v>1746.5</v>
      </c>
      <c r="T4376" t="str">
        <f t="shared" si="274"/>
        <v>UNIQUE</v>
      </c>
      <c r="U4376" t="str">
        <f>IF(ISBLANK(Table1[[#This Row],[SizeOption]]),"NOT AVAILABLE",Table1[[#This Row],[SizeOption]])</f>
        <v>S, M, L, XL, XXL, 3XL</v>
      </c>
      <c r="Y4376" t="str">
        <f>IF(Table2[[#This Row],[Column1]]&gt;50%,"HIGH DISCOUNT","LOW DISCOUNT")</f>
        <v>HIGH DISCOUNT</v>
      </c>
    </row>
    <row r="4377" spans="1:25" x14ac:dyDescent="0.25">
      <c r="A4377" s="2" t="s">
        <v>8956</v>
      </c>
      <c r="B4377" s="2">
        <v>11444386</v>
      </c>
      <c r="C4377" s="2" t="s">
        <v>349</v>
      </c>
      <c r="D4377" s="2" t="s">
        <v>197</v>
      </c>
      <c r="E4377" s="2" t="s">
        <v>1807</v>
      </c>
      <c r="F4377" s="2" t="s">
        <v>17</v>
      </c>
      <c r="G4377" s="2" t="s">
        <v>8957</v>
      </c>
      <c r="I4377" s="2">
        <v>319</v>
      </c>
      <c r="J4377" s="2"/>
      <c r="K4377" s="2" t="s">
        <v>352</v>
      </c>
      <c r="L4377" s="2">
        <v>4.5</v>
      </c>
      <c r="M4377" s="2">
        <v>504</v>
      </c>
      <c r="P4377" t="str">
        <f t="shared" si="275"/>
        <v/>
      </c>
      <c r="Q4377" s="12" t="str">
        <f t="shared" si="272"/>
        <v/>
      </c>
      <c r="R4377" s="9" t="str">
        <f t="shared" si="273"/>
        <v/>
      </c>
      <c r="S4377" s="9">
        <f>IF(R4377="",AVERAGEIF(Table1[Category],Table1[[#This Row],[Category]],Table2[orignal data]),Table2[[#This Row],[orignal data]])</f>
        <v>552.70900000000006</v>
      </c>
      <c r="T4377" t="str">
        <f t="shared" si="274"/>
        <v>UNIQUE</v>
      </c>
      <c r="U4377" t="str">
        <f>IF(ISBLANK(Table1[[#This Row],[SizeOption]]),"NOT AVAILABLE",Table1[[#This Row],[SizeOption]])</f>
        <v>S, M, L</v>
      </c>
      <c r="Y4377" t="str">
        <f>IF(Table2[[#This Row],[Column1]]&gt;50%,"HIGH DISCOUNT","LOW DISCOUNT")</f>
        <v>HIGH DISCOUNT</v>
      </c>
    </row>
    <row r="4378" spans="1:25" x14ac:dyDescent="0.25">
      <c r="A4378" s="1" t="s">
        <v>8958</v>
      </c>
      <c r="B4378" s="1">
        <v>9599049</v>
      </c>
      <c r="C4378" s="1" t="s">
        <v>5231</v>
      </c>
      <c r="D4378" s="1" t="s">
        <v>197</v>
      </c>
      <c r="E4378" s="1" t="s">
        <v>350</v>
      </c>
      <c r="F4378" s="1" t="s">
        <v>17</v>
      </c>
      <c r="G4378" s="1" t="s">
        <v>8959</v>
      </c>
      <c r="I4378" s="1">
        <v>1250</v>
      </c>
      <c r="J4378" s="1"/>
      <c r="K4378" s="1" t="s">
        <v>39</v>
      </c>
      <c r="L4378" s="1">
        <v>4.4000000000000004</v>
      </c>
      <c r="M4378" s="1">
        <v>504</v>
      </c>
      <c r="P4378" t="str">
        <f t="shared" si="275"/>
        <v/>
      </c>
      <c r="Q4378" s="12" t="str">
        <f t="shared" si="272"/>
        <v/>
      </c>
      <c r="R4378" s="9" t="str">
        <f t="shared" si="273"/>
        <v/>
      </c>
      <c r="S4378" s="9">
        <f>IF(R4378="",AVERAGEIF(Table1[Category],Table1[[#This Row],[Category]],Table2[orignal data]),Table2[[#This Row],[orignal data]])</f>
        <v>552.70900000000006</v>
      </c>
      <c r="T4378" t="str">
        <f t="shared" si="274"/>
        <v>UNIQUE</v>
      </c>
      <c r="U4378" t="str">
        <f>IF(ISBLANK(Table1[[#This Row],[SizeOption]]),"NOT AVAILABLE",Table1[[#This Row],[SizeOption]])</f>
        <v>S, M, L, XL, XXL</v>
      </c>
      <c r="Y4378" t="str">
        <f>IF(Table2[[#This Row],[Column1]]&gt;50%,"HIGH DISCOUNT","LOW DISCOUNT")</f>
        <v>HIGH DISCOUNT</v>
      </c>
    </row>
    <row r="4379" spans="1:25" x14ac:dyDescent="0.25">
      <c r="A4379" s="2" t="s">
        <v>8960</v>
      </c>
      <c r="B4379" s="2">
        <v>11638806</v>
      </c>
      <c r="C4379" s="2" t="s">
        <v>349</v>
      </c>
      <c r="D4379" s="2" t="s">
        <v>197</v>
      </c>
      <c r="E4379" s="2" t="s">
        <v>1807</v>
      </c>
      <c r="F4379" s="2" t="s">
        <v>17</v>
      </c>
      <c r="G4379" s="2" t="s">
        <v>8961</v>
      </c>
      <c r="I4379" s="2">
        <v>638</v>
      </c>
      <c r="J4379" s="2"/>
      <c r="K4379" s="2" t="s">
        <v>352</v>
      </c>
      <c r="L4379" s="2">
        <v>4.5</v>
      </c>
      <c r="M4379" s="2">
        <v>504</v>
      </c>
      <c r="P4379" t="str">
        <f t="shared" si="275"/>
        <v/>
      </c>
      <c r="Q4379" s="12" t="str">
        <f t="shared" si="272"/>
        <v/>
      </c>
      <c r="R4379" s="9" t="str">
        <f t="shared" si="273"/>
        <v/>
      </c>
      <c r="S4379" s="9">
        <f>IF(R4379="",AVERAGEIF(Table1[Category],Table1[[#This Row],[Category]],Table2[orignal data]),Table2[[#This Row],[orignal data]])</f>
        <v>552.70900000000006</v>
      </c>
      <c r="T4379" t="str">
        <f t="shared" si="274"/>
        <v>UNIQUE</v>
      </c>
      <c r="U4379" t="str">
        <f>IF(ISBLANK(Table1[[#This Row],[SizeOption]]),"NOT AVAILABLE",Table1[[#This Row],[SizeOption]])</f>
        <v>S, M, L</v>
      </c>
      <c r="Y4379" t="str">
        <f>IF(Table2[[#This Row],[Column1]]&gt;50%,"HIGH DISCOUNT","LOW DISCOUNT")</f>
        <v>HIGH DISCOUNT</v>
      </c>
    </row>
    <row r="4380" spans="1:25" x14ac:dyDescent="0.25">
      <c r="A4380" s="1" t="s">
        <v>8962</v>
      </c>
      <c r="B4380" s="1">
        <v>11607342</v>
      </c>
      <c r="C4380" s="1" t="s">
        <v>47</v>
      </c>
      <c r="D4380" s="1" t="s">
        <v>28</v>
      </c>
      <c r="E4380" s="1" t="s">
        <v>42</v>
      </c>
      <c r="F4380" s="1" t="s">
        <v>17</v>
      </c>
      <c r="G4380" s="1" t="s">
        <v>8963</v>
      </c>
      <c r="H4380">
        <v>439</v>
      </c>
      <c r="I4380" s="1">
        <v>1099</v>
      </c>
      <c r="J4380" s="1" t="s">
        <v>55</v>
      </c>
      <c r="K4380" s="1" t="s">
        <v>26</v>
      </c>
      <c r="L4380" s="1">
        <v>3.8</v>
      </c>
      <c r="M4380" s="1">
        <v>504</v>
      </c>
      <c r="P4380" t="str">
        <f t="shared" si="275"/>
        <v>60%</v>
      </c>
      <c r="Q4380" s="12">
        <f t="shared" si="272"/>
        <v>0.6</v>
      </c>
      <c r="R4380" s="9">
        <f t="shared" si="273"/>
        <v>439.6</v>
      </c>
      <c r="S4380" s="9">
        <f>IF(R4380="",AVERAGEIF(Table1[Category],Table1[[#This Row],[Category]],Table2[orignal data]),Table2[[#This Row],[orignal data]])</f>
        <v>439.6</v>
      </c>
      <c r="T4380" t="str">
        <f t="shared" si="274"/>
        <v>UNIQUE</v>
      </c>
      <c r="U4380" t="str">
        <f>IF(ISBLANK(Table1[[#This Row],[SizeOption]]),"NOT AVAILABLE",Table1[[#This Row],[SizeOption]])</f>
        <v>S, M, L, XL</v>
      </c>
      <c r="Y4380" t="str">
        <f>IF(Table2[[#This Row],[Column1]]&gt;50%,"HIGH DISCOUNT","LOW DISCOUNT")</f>
        <v>HIGH DISCOUNT</v>
      </c>
    </row>
    <row r="4381" spans="1:25" x14ac:dyDescent="0.25">
      <c r="A4381" s="2" t="s">
        <v>8964</v>
      </c>
      <c r="B4381" s="2">
        <v>10920052</v>
      </c>
      <c r="C4381" s="2" t="s">
        <v>14</v>
      </c>
      <c r="D4381" s="2" t="s">
        <v>28</v>
      </c>
      <c r="E4381" s="2" t="s">
        <v>42</v>
      </c>
      <c r="F4381" s="2" t="s">
        <v>17</v>
      </c>
      <c r="G4381" s="2" t="s">
        <v>8965</v>
      </c>
      <c r="H4381">
        <v>399</v>
      </c>
      <c r="I4381" s="2">
        <v>999</v>
      </c>
      <c r="J4381" s="2" t="s">
        <v>55</v>
      </c>
      <c r="K4381" s="2" t="s">
        <v>45</v>
      </c>
      <c r="L4381" s="2">
        <v>4.2</v>
      </c>
      <c r="M4381" s="2">
        <v>504</v>
      </c>
      <c r="P4381" t="str">
        <f t="shared" si="275"/>
        <v>60%</v>
      </c>
      <c r="Q4381" s="12">
        <f t="shared" si="272"/>
        <v>0.6</v>
      </c>
      <c r="R4381" s="9">
        <f t="shared" si="273"/>
        <v>399.6</v>
      </c>
      <c r="S4381" s="9">
        <f>IF(R4381="",AVERAGEIF(Table1[Category],Table1[[#This Row],[Category]],Table2[orignal data]),Table2[[#This Row],[orignal data]])</f>
        <v>399.6</v>
      </c>
      <c r="T4381" t="str">
        <f t="shared" si="274"/>
        <v>UNIQUE</v>
      </c>
      <c r="U4381" t="str">
        <f>IF(ISBLANK(Table1[[#This Row],[SizeOption]]),"NOT AVAILABLE",Table1[[#This Row],[SizeOption]])</f>
        <v>XS, S, M, L, XL</v>
      </c>
      <c r="Y4381" t="str">
        <f>IF(Table2[[#This Row],[Column1]]&gt;50%,"HIGH DISCOUNT","LOW DISCOUNT")</f>
        <v>HIGH DISCOUNT</v>
      </c>
    </row>
    <row r="4382" spans="1:25" x14ac:dyDescent="0.25">
      <c r="A4382" s="1" t="s">
        <v>8966</v>
      </c>
      <c r="B4382" s="1">
        <v>10668612</v>
      </c>
      <c r="C4382" s="1" t="s">
        <v>75</v>
      </c>
      <c r="D4382" s="1" t="s">
        <v>76</v>
      </c>
      <c r="E4382" s="1" t="s">
        <v>93</v>
      </c>
      <c r="F4382" s="1" t="s">
        <v>36</v>
      </c>
      <c r="G4382" s="1" t="s">
        <v>8967</v>
      </c>
      <c r="H4382">
        <v>509</v>
      </c>
      <c r="I4382" s="1">
        <v>1699</v>
      </c>
      <c r="J4382" s="1" t="s">
        <v>79</v>
      </c>
      <c r="K4382" s="1" t="s">
        <v>39</v>
      </c>
      <c r="L4382" s="1">
        <v>4.0999999999999996</v>
      </c>
      <c r="M4382" s="1">
        <v>504</v>
      </c>
      <c r="P4382" t="str">
        <f t="shared" si="275"/>
        <v>70%</v>
      </c>
      <c r="Q4382" s="12">
        <f t="shared" si="272"/>
        <v>0.7</v>
      </c>
      <c r="R4382" s="9">
        <f t="shared" si="273"/>
        <v>509.70000000000005</v>
      </c>
      <c r="S4382" s="9">
        <f>IF(R4382="",AVERAGEIF(Table1[Category],Table1[[#This Row],[Category]],Table2[orignal data]),Table2[[#This Row],[orignal data]])</f>
        <v>509.70000000000005</v>
      </c>
      <c r="T4382" t="str">
        <f t="shared" si="274"/>
        <v>UNIQUE</v>
      </c>
      <c r="U4382" t="str">
        <f>IF(ISBLANK(Table1[[#This Row],[SizeOption]]),"NOT AVAILABLE",Table1[[#This Row],[SizeOption]])</f>
        <v>S, M, L, XL, XXL</v>
      </c>
      <c r="Y4382" t="str">
        <f>IF(Table2[[#This Row],[Column1]]&gt;50%,"HIGH DISCOUNT","LOW DISCOUNT")</f>
        <v>HIGH DISCOUNT</v>
      </c>
    </row>
    <row r="4383" spans="1:25" x14ac:dyDescent="0.25">
      <c r="A4383" s="2" t="s">
        <v>8968</v>
      </c>
      <c r="B4383" s="2">
        <v>8090821</v>
      </c>
      <c r="C4383" s="2" t="s">
        <v>1613</v>
      </c>
      <c r="D4383" s="2" t="s">
        <v>76</v>
      </c>
      <c r="E4383" s="2" t="s">
        <v>533</v>
      </c>
      <c r="F4383" s="2" t="s">
        <v>36</v>
      </c>
      <c r="G4383" s="2" t="s">
        <v>8969</v>
      </c>
      <c r="H4383">
        <v>649</v>
      </c>
      <c r="I4383" s="2">
        <v>999</v>
      </c>
      <c r="J4383" s="2" t="s">
        <v>44</v>
      </c>
      <c r="K4383" s="2" t="s">
        <v>20</v>
      </c>
      <c r="L4383" s="2">
        <v>4</v>
      </c>
      <c r="M4383" s="2">
        <v>504</v>
      </c>
      <c r="P4383" t="str">
        <f t="shared" si="275"/>
        <v>35%</v>
      </c>
      <c r="Q4383" s="12">
        <f t="shared" si="272"/>
        <v>0.35</v>
      </c>
      <c r="R4383" s="9">
        <f t="shared" si="273"/>
        <v>649.35</v>
      </c>
      <c r="S4383" s="9">
        <f>IF(R4383="",AVERAGEIF(Table1[Category],Table1[[#This Row],[Category]],Table2[orignal data]),Table2[[#This Row],[orignal data]])</f>
        <v>649.35</v>
      </c>
      <c r="T4383" t="str">
        <f t="shared" si="274"/>
        <v>UNIQUE</v>
      </c>
      <c r="U4383" t="str">
        <f>IF(ISBLANK(Table1[[#This Row],[SizeOption]]),"NOT AVAILABLE",Table1[[#This Row],[SizeOption]])</f>
        <v>28, 30, 32, 34, 36</v>
      </c>
      <c r="Y4383" t="str">
        <f>IF(Table2[[#This Row],[Column1]]&gt;50%,"HIGH DISCOUNT","LOW DISCOUNT")</f>
        <v>LOW DISCOUNT</v>
      </c>
    </row>
    <row r="4384" spans="1:25" x14ac:dyDescent="0.25">
      <c r="A4384" s="1" t="s">
        <v>8970</v>
      </c>
      <c r="B4384" s="1">
        <v>363049</v>
      </c>
      <c r="C4384" s="1" t="s">
        <v>7419</v>
      </c>
      <c r="D4384" s="1" t="s">
        <v>34</v>
      </c>
      <c r="E4384" s="1" t="s">
        <v>118</v>
      </c>
      <c r="F4384" s="1" t="s">
        <v>36</v>
      </c>
      <c r="G4384" s="1" t="s">
        <v>8971</v>
      </c>
      <c r="I4384" s="1">
        <v>1499</v>
      </c>
      <c r="J4384" s="1"/>
      <c r="K4384" s="1" t="s">
        <v>8972</v>
      </c>
      <c r="L4384" s="1">
        <v>4.5</v>
      </c>
      <c r="M4384" s="1">
        <v>504</v>
      </c>
      <c r="P4384" t="str">
        <f t="shared" si="275"/>
        <v/>
      </c>
      <c r="Q4384" s="12" t="str">
        <f t="shared" si="272"/>
        <v/>
      </c>
      <c r="R4384" s="9" t="str">
        <f t="shared" si="273"/>
        <v/>
      </c>
      <c r="S4384" s="9">
        <f>IF(R4384="",AVERAGEIF(Table1[Category],Table1[[#This Row],[Category]],Table2[orignal data]),Table2[[#This Row],[orignal data]])</f>
        <v>608.88518518518481</v>
      </c>
      <c r="T4384" t="str">
        <f t="shared" si="274"/>
        <v>UNIQUE</v>
      </c>
      <c r="U4384" t="str">
        <f>IF(ISBLANK(Table1[[#This Row],[SizeOption]]),"NOT AVAILABLE",Table1[[#This Row],[SizeOption]])</f>
        <v>34C, 34D, 34E, 36C, 36D, 36E, 36F, 38C, 38D, 38E, 38F, 38G, 40C, 40D, 40E, 40F, 40G, 42D, 42E, 42F, 42G, 44D, 44E, 44F, 44G</v>
      </c>
      <c r="Y4384" t="str">
        <f>IF(Table2[[#This Row],[Column1]]&gt;50%,"HIGH DISCOUNT","LOW DISCOUNT")</f>
        <v>HIGH DISCOUNT</v>
      </c>
    </row>
    <row r="4385" spans="1:25" x14ac:dyDescent="0.25">
      <c r="A4385" s="2" t="s">
        <v>8973</v>
      </c>
      <c r="B4385" s="2">
        <v>1972842</v>
      </c>
      <c r="C4385" s="2" t="s">
        <v>64</v>
      </c>
      <c r="D4385" s="2" t="s">
        <v>98</v>
      </c>
      <c r="E4385" s="2" t="s">
        <v>16</v>
      </c>
      <c r="F4385" s="2" t="s">
        <v>36</v>
      </c>
      <c r="G4385" s="2" t="s">
        <v>8974</v>
      </c>
      <c r="H4385">
        <v>599</v>
      </c>
      <c r="I4385" s="2">
        <v>1999</v>
      </c>
      <c r="J4385" s="2" t="s">
        <v>1566</v>
      </c>
      <c r="K4385" s="2" t="s">
        <v>643</v>
      </c>
      <c r="L4385" s="2">
        <v>3.9</v>
      </c>
      <c r="M4385" s="2">
        <v>504</v>
      </c>
      <c r="P4385" t="str">
        <f t="shared" si="275"/>
        <v>70%</v>
      </c>
      <c r="Q4385" s="12">
        <f t="shared" si="272"/>
        <v>0.7</v>
      </c>
      <c r="R4385" s="9">
        <f t="shared" si="273"/>
        <v>599.70000000000005</v>
      </c>
      <c r="S4385" s="9">
        <f>IF(R4385="",AVERAGEIF(Table1[Category],Table1[[#This Row],[Category]],Table2[orignal data]),Table2[[#This Row],[orignal data]])</f>
        <v>599.70000000000005</v>
      </c>
      <c r="T4385" t="str">
        <f t="shared" si="274"/>
        <v>UNIQUE</v>
      </c>
      <c r="U4385" t="str">
        <f>IF(ISBLANK(Table1[[#This Row],[SizeOption]]),"NOT AVAILABLE",Table1[[#This Row],[SizeOption]])</f>
        <v>26, 28, 30, 32, 34, 36, 38, 40</v>
      </c>
      <c r="Y4385" t="str">
        <f>IF(Table2[[#This Row],[Column1]]&gt;50%,"HIGH DISCOUNT","LOW DISCOUNT")</f>
        <v>HIGH DISCOUNT</v>
      </c>
    </row>
    <row r="4386" spans="1:25" x14ac:dyDescent="0.25">
      <c r="A4386" s="1" t="s">
        <v>8975</v>
      </c>
      <c r="B4386" s="1">
        <v>6687788</v>
      </c>
      <c r="C4386" s="1" t="s">
        <v>952</v>
      </c>
      <c r="D4386" s="1" t="s">
        <v>41</v>
      </c>
      <c r="E4386" s="1" t="s">
        <v>148</v>
      </c>
      <c r="F4386" s="1" t="s">
        <v>36</v>
      </c>
      <c r="G4386" s="1" t="s">
        <v>8976</v>
      </c>
      <c r="I4386" s="1">
        <v>1649</v>
      </c>
      <c r="J4386" s="1" t="s">
        <v>208</v>
      </c>
      <c r="K4386" s="1" t="s">
        <v>45</v>
      </c>
      <c r="L4386" s="1">
        <v>4.4000000000000004</v>
      </c>
      <c r="M4386" s="1">
        <v>504</v>
      </c>
      <c r="P4386" t="str">
        <f t="shared" si="275"/>
        <v>52%</v>
      </c>
      <c r="Q4386" s="12">
        <f t="shared" si="272"/>
        <v>0.52</v>
      </c>
      <c r="R4386" s="9">
        <f t="shared" si="273"/>
        <v>791.52</v>
      </c>
      <c r="S4386" s="9">
        <f>IF(R4386="",AVERAGEIF(Table1[Category],Table1[[#This Row],[Category]],Table2[orignal data]),Table2[[#This Row],[orignal data]])</f>
        <v>791.52</v>
      </c>
      <c r="T4386" t="str">
        <f t="shared" si="274"/>
        <v>UNIQUE</v>
      </c>
      <c r="U4386" t="str">
        <f>IF(ISBLANK(Table1[[#This Row],[SizeOption]]),"NOT AVAILABLE",Table1[[#This Row],[SizeOption]])</f>
        <v>XS, S, M, L, XL</v>
      </c>
      <c r="Y4386" t="str">
        <f>IF(Table2[[#This Row],[Column1]]&gt;50%,"HIGH DISCOUNT","LOW DISCOUNT")</f>
        <v>HIGH DISCOUNT</v>
      </c>
    </row>
    <row r="4387" spans="1:25" x14ac:dyDescent="0.25">
      <c r="A4387" s="2" t="s">
        <v>8977</v>
      </c>
      <c r="B4387" s="2">
        <v>1949962</v>
      </c>
      <c r="C4387" s="2" t="s">
        <v>14</v>
      </c>
      <c r="D4387" s="2" t="s">
        <v>41</v>
      </c>
      <c r="E4387" s="2" t="s">
        <v>1881</v>
      </c>
      <c r="F4387" s="2" t="s">
        <v>36</v>
      </c>
      <c r="G4387" s="2" t="s">
        <v>8978</v>
      </c>
      <c r="I4387" s="2">
        <v>1699</v>
      </c>
      <c r="J4387" s="2" t="s">
        <v>55</v>
      </c>
      <c r="K4387" s="2" t="s">
        <v>115</v>
      </c>
      <c r="L4387" s="2">
        <v>4.2</v>
      </c>
      <c r="M4387" s="2">
        <v>504</v>
      </c>
      <c r="P4387" t="str">
        <f t="shared" si="275"/>
        <v>60%</v>
      </c>
      <c r="Q4387" s="12">
        <f t="shared" si="272"/>
        <v>0.6</v>
      </c>
      <c r="R4387" s="9">
        <f t="shared" si="273"/>
        <v>679.6</v>
      </c>
      <c r="S4387" s="9">
        <f>IF(R4387="",AVERAGEIF(Table1[Category],Table1[[#This Row],[Category]],Table2[orignal data]),Table2[[#This Row],[orignal data]])</f>
        <v>679.6</v>
      </c>
      <c r="T4387" t="str">
        <f t="shared" si="274"/>
        <v>UNIQUE</v>
      </c>
      <c r="U4387" t="str">
        <f>IF(ISBLANK(Table1[[#This Row],[SizeOption]]),"NOT AVAILABLE",Table1[[#This Row],[SizeOption]])</f>
        <v>XS, S, M, L, XL, XXL</v>
      </c>
      <c r="Y4387" t="str">
        <f>IF(Table2[[#This Row],[Column1]]&gt;50%,"HIGH DISCOUNT","LOW DISCOUNT")</f>
        <v>HIGH DISCOUNT</v>
      </c>
    </row>
    <row r="4388" spans="1:25" x14ac:dyDescent="0.25">
      <c r="A4388" s="1" t="s">
        <v>8979</v>
      </c>
      <c r="B4388" s="1">
        <v>10847890</v>
      </c>
      <c r="C4388" s="1" t="s">
        <v>102</v>
      </c>
      <c r="D4388" s="1" t="s">
        <v>41</v>
      </c>
      <c r="E4388" s="1" t="s">
        <v>148</v>
      </c>
      <c r="F4388" s="1" t="s">
        <v>36</v>
      </c>
      <c r="G4388" s="1" t="s">
        <v>8980</v>
      </c>
      <c r="I4388" s="1">
        <v>2149</v>
      </c>
      <c r="J4388" s="1" t="s">
        <v>758</v>
      </c>
      <c r="K4388" s="1" t="s">
        <v>26</v>
      </c>
      <c r="L4388" s="1">
        <v>4.4000000000000004</v>
      </c>
      <c r="M4388" s="1">
        <v>504</v>
      </c>
      <c r="P4388" t="str">
        <f t="shared" si="275"/>
        <v>47%</v>
      </c>
      <c r="Q4388" s="12">
        <f t="shared" si="272"/>
        <v>0.47</v>
      </c>
      <c r="R4388" s="9">
        <f t="shared" si="273"/>
        <v>1138.97</v>
      </c>
      <c r="S4388" s="9">
        <f>IF(R4388="",AVERAGEIF(Table1[Category],Table1[[#This Row],[Category]],Table2[orignal data]),Table2[[#This Row],[orignal data]])</f>
        <v>1138.97</v>
      </c>
      <c r="T4388" t="str">
        <f t="shared" si="274"/>
        <v>UNIQUE</v>
      </c>
      <c r="U4388" t="str">
        <f>IF(ISBLANK(Table1[[#This Row],[SizeOption]]),"NOT AVAILABLE",Table1[[#This Row],[SizeOption]])</f>
        <v>S, M, L, XL</v>
      </c>
      <c r="Y4388" t="str">
        <f>IF(Table2[[#This Row],[Column1]]&gt;50%,"HIGH DISCOUNT","LOW DISCOUNT")</f>
        <v>LOW DISCOUNT</v>
      </c>
    </row>
    <row r="4389" spans="1:25" x14ac:dyDescent="0.25">
      <c r="A4389" s="2" t="s">
        <v>8981</v>
      </c>
      <c r="B4389" s="2">
        <v>10606456</v>
      </c>
      <c r="C4389" s="2" t="s">
        <v>132</v>
      </c>
      <c r="D4389" s="2" t="s">
        <v>41</v>
      </c>
      <c r="E4389" s="2" t="s">
        <v>3635</v>
      </c>
      <c r="F4389" s="2" t="s">
        <v>36</v>
      </c>
      <c r="G4389" s="2" t="s">
        <v>8982</v>
      </c>
      <c r="I4389" s="2">
        <v>3999</v>
      </c>
      <c r="J4389" s="2" t="s">
        <v>589</v>
      </c>
      <c r="K4389" s="2" t="s">
        <v>428</v>
      </c>
      <c r="L4389" s="2">
        <v>4.5</v>
      </c>
      <c r="M4389" s="2">
        <v>504</v>
      </c>
      <c r="P4389" t="str">
        <f t="shared" si="275"/>
        <v>80%</v>
      </c>
      <c r="Q4389" s="12">
        <f t="shared" si="272"/>
        <v>0.8</v>
      </c>
      <c r="R4389" s="9">
        <f t="shared" si="273"/>
        <v>799.79999999999973</v>
      </c>
      <c r="S4389" s="9">
        <f>IF(R4389="",AVERAGEIF(Table1[Category],Table1[[#This Row],[Category]],Table2[orignal data]),Table2[[#This Row],[orignal data]])</f>
        <v>799.79999999999973</v>
      </c>
      <c r="T4389" t="str">
        <f t="shared" si="274"/>
        <v>UNIQUE</v>
      </c>
      <c r="U4389" t="str">
        <f>IF(ISBLANK(Table1[[#This Row],[SizeOption]]),"NOT AVAILABLE",Table1[[#This Row],[SizeOption]])</f>
        <v>26, 28, 30, 32, 34</v>
      </c>
      <c r="Y4389" t="str">
        <f>IF(Table2[[#This Row],[Column1]]&gt;50%,"HIGH DISCOUNT","LOW DISCOUNT")</f>
        <v>HIGH DISCOUNT</v>
      </c>
    </row>
    <row r="4390" spans="1:25" x14ac:dyDescent="0.25">
      <c r="A4390" s="1" t="s">
        <v>8983</v>
      </c>
      <c r="B4390" s="1">
        <v>12193832</v>
      </c>
      <c r="C4390" s="1" t="s">
        <v>14</v>
      </c>
      <c r="D4390" s="1" t="s">
        <v>41</v>
      </c>
      <c r="E4390" s="1" t="s">
        <v>42</v>
      </c>
      <c r="F4390" s="1" t="s">
        <v>36</v>
      </c>
      <c r="G4390" s="1" t="s">
        <v>8984</v>
      </c>
      <c r="I4390" s="1">
        <v>899</v>
      </c>
      <c r="J4390" s="1" t="s">
        <v>577</v>
      </c>
      <c r="K4390" s="1" t="s">
        <v>45</v>
      </c>
      <c r="L4390" s="1">
        <v>4.3</v>
      </c>
      <c r="M4390" s="1">
        <v>504</v>
      </c>
      <c r="P4390" t="str">
        <f t="shared" si="275"/>
        <v>400</v>
      </c>
      <c r="Q4390" s="12">
        <f t="shared" si="272"/>
        <v>0.44493882091212456</v>
      </c>
      <c r="R4390" s="9">
        <f t="shared" si="273"/>
        <v>499</v>
      </c>
      <c r="S4390" s="9">
        <f>IF(R4390="",AVERAGEIF(Table1[Category],Table1[[#This Row],[Category]],Table2[orignal data]),Table2[[#This Row],[orignal data]])</f>
        <v>499</v>
      </c>
      <c r="T4390" t="str">
        <f t="shared" si="274"/>
        <v>UNIQUE</v>
      </c>
      <c r="U4390" t="str">
        <f>IF(ISBLANK(Table1[[#This Row],[SizeOption]]),"NOT AVAILABLE",Table1[[#This Row],[SizeOption]])</f>
        <v>XS, S, M, L, XL</v>
      </c>
      <c r="Y4390" t="str">
        <f>IF(Table2[[#This Row],[Column1]]&gt;50%,"HIGH DISCOUNT","LOW DISCOUNT")</f>
        <v>LOW DISCOUNT</v>
      </c>
    </row>
    <row r="4391" spans="1:25" x14ac:dyDescent="0.25">
      <c r="A4391" s="2" t="s">
        <v>8985</v>
      </c>
      <c r="B4391" s="2">
        <v>12221948</v>
      </c>
      <c r="C4391" s="2" t="s">
        <v>181</v>
      </c>
      <c r="D4391" s="2" t="s">
        <v>41</v>
      </c>
      <c r="E4391" s="2" t="s">
        <v>42</v>
      </c>
      <c r="F4391" s="2" t="s">
        <v>36</v>
      </c>
      <c r="G4391" s="2" t="s">
        <v>8986</v>
      </c>
      <c r="I4391" s="2">
        <v>899</v>
      </c>
      <c r="J4391" s="2" t="s">
        <v>84</v>
      </c>
      <c r="K4391" s="2" t="s">
        <v>115</v>
      </c>
      <c r="L4391" s="2">
        <v>4.3</v>
      </c>
      <c r="M4391" s="2">
        <v>504</v>
      </c>
      <c r="P4391" t="str">
        <f t="shared" si="275"/>
        <v>50%</v>
      </c>
      <c r="Q4391" s="12">
        <f t="shared" si="272"/>
        <v>0.5</v>
      </c>
      <c r="R4391" s="9">
        <f t="shared" si="273"/>
        <v>449.5</v>
      </c>
      <c r="S4391" s="9">
        <f>IF(R4391="",AVERAGEIF(Table1[Category],Table1[[#This Row],[Category]],Table2[orignal data]),Table2[[#This Row],[orignal data]])</f>
        <v>449.5</v>
      </c>
      <c r="T4391" t="str">
        <f t="shared" si="274"/>
        <v>UNIQUE</v>
      </c>
      <c r="U4391" t="str">
        <f>IF(ISBLANK(Table1[[#This Row],[SizeOption]]),"NOT AVAILABLE",Table1[[#This Row],[SizeOption]])</f>
        <v>XS, S, M, L, XL, XXL</v>
      </c>
      <c r="Y4391" t="str">
        <f>IF(Table2[[#This Row],[Column1]]&gt;50%,"HIGH DISCOUNT","LOW DISCOUNT")</f>
        <v>LOW DISCOUNT</v>
      </c>
    </row>
    <row r="4392" spans="1:25" x14ac:dyDescent="0.25">
      <c r="A4392" s="1" t="s">
        <v>8987</v>
      </c>
      <c r="B4392" s="1">
        <v>15038450</v>
      </c>
      <c r="C4392" s="1" t="s">
        <v>295</v>
      </c>
      <c r="D4392" s="1" t="s">
        <v>15</v>
      </c>
      <c r="E4392" s="1" t="s">
        <v>16</v>
      </c>
      <c r="F4392" s="1" t="s">
        <v>17</v>
      </c>
      <c r="G4392" s="1" t="s">
        <v>3653</v>
      </c>
      <c r="I4392" s="1">
        <v>2599</v>
      </c>
      <c r="J4392" s="1"/>
      <c r="K4392" s="1" t="s">
        <v>2664</v>
      </c>
      <c r="L4392" s="1">
        <v>4.5</v>
      </c>
      <c r="M4392" s="1">
        <v>503</v>
      </c>
      <c r="P4392" t="str">
        <f t="shared" si="275"/>
        <v/>
      </c>
      <c r="Q4392" s="12" t="str">
        <f t="shared" si="272"/>
        <v/>
      </c>
      <c r="R4392" s="9" t="str">
        <f t="shared" si="273"/>
        <v/>
      </c>
      <c r="S4392" s="9">
        <f>IF(R4392="",AVERAGEIF(Table1[Category],Table1[[#This Row],[Category]],Table2[orignal data]),Table2[[#This Row],[orignal data]])</f>
        <v>892.27590339892538</v>
      </c>
      <c r="T4392" t="str">
        <f t="shared" si="274"/>
        <v>UNIQUE</v>
      </c>
      <c r="U4392" t="str">
        <f>IF(ISBLANK(Table1[[#This Row],[SizeOption]]),"NOT AVAILABLE",Table1[[#This Row],[SizeOption]])</f>
        <v>28, 30, 32, 34, 36, 38, 40, 42</v>
      </c>
      <c r="Y4392" t="str">
        <f>IF(Table2[[#This Row],[Column1]]&gt;50%,"HIGH DISCOUNT","LOW DISCOUNT")</f>
        <v>HIGH DISCOUNT</v>
      </c>
    </row>
    <row r="4393" spans="1:25" x14ac:dyDescent="0.25">
      <c r="A4393" s="2" t="s">
        <v>8988</v>
      </c>
      <c r="B4393" s="2">
        <v>13167772</v>
      </c>
      <c r="C4393" s="2" t="s">
        <v>6783</v>
      </c>
      <c r="D4393" s="2" t="s">
        <v>15</v>
      </c>
      <c r="E4393" s="2" t="s">
        <v>53</v>
      </c>
      <c r="F4393" s="2" t="s">
        <v>17</v>
      </c>
      <c r="G4393" s="2" t="s">
        <v>8989</v>
      </c>
      <c r="H4393">
        <v>2729</v>
      </c>
      <c r="I4393" s="2">
        <v>2999</v>
      </c>
      <c r="J4393" s="2" t="s">
        <v>8990</v>
      </c>
      <c r="K4393" s="2" t="s">
        <v>8991</v>
      </c>
      <c r="L4393" s="2">
        <v>4.3</v>
      </c>
      <c r="M4393" s="2">
        <v>503</v>
      </c>
      <c r="P4393" t="str">
        <f t="shared" si="275"/>
        <v>9%</v>
      </c>
      <c r="Q4393" s="12">
        <f t="shared" si="272"/>
        <v>0.09</v>
      </c>
      <c r="R4393" s="9">
        <f t="shared" si="273"/>
        <v>2729.09</v>
      </c>
      <c r="S4393" s="9">
        <f>IF(R4393="",AVERAGEIF(Table1[Category],Table1[[#This Row],[Category]],Table2[orignal data]),Table2[[#This Row],[orignal data]])</f>
        <v>2729.09</v>
      </c>
      <c r="T4393" t="str">
        <f t="shared" si="274"/>
        <v>UNIQUE</v>
      </c>
      <c r="U4393" t="str">
        <f>IF(ISBLANK(Table1[[#This Row],[SizeOption]]),"NOT AVAILABLE",Table1[[#This Row],[SizeOption]])</f>
        <v>27, 29, 31, 32, 34, 36, 39, 41, 43</v>
      </c>
      <c r="Y4393" t="str">
        <f>IF(Table2[[#This Row],[Column1]]&gt;50%,"HIGH DISCOUNT","LOW DISCOUNT")</f>
        <v>LOW DISCOUNT</v>
      </c>
    </row>
    <row r="4394" spans="1:25" x14ac:dyDescent="0.25">
      <c r="A4394" s="1" t="s">
        <v>8992</v>
      </c>
      <c r="B4394" s="1">
        <v>2338465</v>
      </c>
      <c r="C4394" s="1" t="s">
        <v>169</v>
      </c>
      <c r="D4394" s="1" t="s">
        <v>15</v>
      </c>
      <c r="E4394" s="1" t="s">
        <v>16</v>
      </c>
      <c r="F4394" s="1" t="s">
        <v>17</v>
      </c>
      <c r="G4394" s="1" t="s">
        <v>3800</v>
      </c>
      <c r="H4394">
        <v>1649</v>
      </c>
      <c r="I4394" s="1">
        <v>2999</v>
      </c>
      <c r="J4394" s="1" t="s">
        <v>19</v>
      </c>
      <c r="K4394" s="1" t="s">
        <v>20</v>
      </c>
      <c r="L4394" s="1">
        <v>4.0999999999999996</v>
      </c>
      <c r="M4394" s="1">
        <v>503</v>
      </c>
      <c r="P4394" t="str">
        <f t="shared" si="275"/>
        <v>45%</v>
      </c>
      <c r="Q4394" s="12">
        <f t="shared" si="272"/>
        <v>0.45</v>
      </c>
      <c r="R4394" s="9">
        <f t="shared" si="273"/>
        <v>1649.45</v>
      </c>
      <c r="S4394" s="9">
        <f>IF(R4394="",AVERAGEIF(Table1[Category],Table1[[#This Row],[Category]],Table2[orignal data]),Table2[[#This Row],[orignal data]])</f>
        <v>1649.45</v>
      </c>
      <c r="T4394" t="str">
        <f t="shared" si="274"/>
        <v>UNIQUE</v>
      </c>
      <c r="U4394" t="str">
        <f>IF(ISBLANK(Table1[[#This Row],[SizeOption]]),"NOT AVAILABLE",Table1[[#This Row],[SizeOption]])</f>
        <v>28, 30, 32, 34, 36</v>
      </c>
      <c r="Y4394" t="str">
        <f>IF(Table2[[#This Row],[Column1]]&gt;50%,"HIGH DISCOUNT","LOW DISCOUNT")</f>
        <v>LOW DISCOUNT</v>
      </c>
    </row>
    <row r="4395" spans="1:25" x14ac:dyDescent="0.25">
      <c r="A4395" s="2" t="s">
        <v>8993</v>
      </c>
      <c r="B4395" s="2">
        <v>6832376</v>
      </c>
      <c r="C4395" s="2" t="s">
        <v>169</v>
      </c>
      <c r="D4395" s="2" t="s">
        <v>15</v>
      </c>
      <c r="E4395" s="2" t="s">
        <v>16</v>
      </c>
      <c r="F4395" s="2" t="s">
        <v>17</v>
      </c>
      <c r="G4395" s="2" t="s">
        <v>8994</v>
      </c>
      <c r="H4395">
        <v>1249</v>
      </c>
      <c r="I4395" s="2">
        <v>2499</v>
      </c>
      <c r="J4395" s="2" t="s">
        <v>84</v>
      </c>
      <c r="K4395" s="2" t="s">
        <v>171</v>
      </c>
      <c r="L4395" s="2">
        <v>4</v>
      </c>
      <c r="M4395" s="2">
        <v>503</v>
      </c>
      <c r="P4395" t="str">
        <f t="shared" si="275"/>
        <v>50%</v>
      </c>
      <c r="Q4395" s="12">
        <f t="shared" si="272"/>
        <v>0.5</v>
      </c>
      <c r="R4395" s="9">
        <f t="shared" si="273"/>
        <v>1249.5</v>
      </c>
      <c r="S4395" s="9">
        <f>IF(R4395="",AVERAGEIF(Table1[Category],Table1[[#This Row],[Category]],Table2[orignal data]),Table2[[#This Row],[orignal data]])</f>
        <v>1249.5</v>
      </c>
      <c r="T4395" t="str">
        <f t="shared" si="274"/>
        <v>UNIQUE</v>
      </c>
      <c r="U4395" t="str">
        <f>IF(ISBLANK(Table1[[#This Row],[SizeOption]]),"NOT AVAILABLE",Table1[[#This Row],[SizeOption]])</f>
        <v>28, 30, 32, 34, 36, 38</v>
      </c>
      <c r="Y4395" t="str">
        <f>IF(Table2[[#This Row],[Column1]]&gt;50%,"HIGH DISCOUNT","LOW DISCOUNT")</f>
        <v>LOW DISCOUNT</v>
      </c>
    </row>
    <row r="4396" spans="1:25" x14ac:dyDescent="0.25">
      <c r="A4396" s="1" t="s">
        <v>8995</v>
      </c>
      <c r="B4396" s="1">
        <v>8275663</v>
      </c>
      <c r="C4396" s="1" t="s">
        <v>14</v>
      </c>
      <c r="D4396" s="1" t="s">
        <v>15</v>
      </c>
      <c r="E4396" s="1" t="s">
        <v>16</v>
      </c>
      <c r="F4396" s="1" t="s">
        <v>17</v>
      </c>
      <c r="G4396" s="1" t="s">
        <v>8085</v>
      </c>
      <c r="H4396">
        <v>759</v>
      </c>
      <c r="I4396" s="1">
        <v>1899</v>
      </c>
      <c r="J4396" s="1" t="s">
        <v>55</v>
      </c>
      <c r="K4396" s="1" t="s">
        <v>20</v>
      </c>
      <c r="L4396" s="1">
        <v>3.8</v>
      </c>
      <c r="M4396" s="1">
        <v>503</v>
      </c>
      <c r="P4396" t="str">
        <f t="shared" si="275"/>
        <v>60%</v>
      </c>
      <c r="Q4396" s="12">
        <f t="shared" si="272"/>
        <v>0.6</v>
      </c>
      <c r="R4396" s="9">
        <f t="shared" si="273"/>
        <v>759.60000000000014</v>
      </c>
      <c r="S4396" s="9">
        <f>IF(R4396="",AVERAGEIF(Table1[Category],Table1[[#This Row],[Category]],Table2[orignal data]),Table2[[#This Row],[orignal data]])</f>
        <v>759.60000000000014</v>
      </c>
      <c r="T4396" t="str">
        <f t="shared" si="274"/>
        <v>UNIQUE</v>
      </c>
      <c r="U4396" t="str">
        <f>IF(ISBLANK(Table1[[#This Row],[SizeOption]]),"NOT AVAILABLE",Table1[[#This Row],[SizeOption]])</f>
        <v>28, 30, 32, 34, 36</v>
      </c>
      <c r="Y4396" t="str">
        <f>IF(Table2[[#This Row],[Column1]]&gt;50%,"HIGH DISCOUNT","LOW DISCOUNT")</f>
        <v>HIGH DISCOUNT</v>
      </c>
    </row>
    <row r="4397" spans="1:25" x14ac:dyDescent="0.25">
      <c r="A4397" s="2" t="s">
        <v>8996</v>
      </c>
      <c r="B4397" s="2">
        <v>10106139</v>
      </c>
      <c r="C4397" s="2" t="s">
        <v>67</v>
      </c>
      <c r="D4397" s="2" t="s">
        <v>15</v>
      </c>
      <c r="E4397" s="2" t="s">
        <v>23</v>
      </c>
      <c r="F4397" s="2" t="s">
        <v>17</v>
      </c>
      <c r="G4397" s="2" t="s">
        <v>8997</v>
      </c>
      <c r="H4397">
        <v>849</v>
      </c>
      <c r="I4397" s="2">
        <v>1699</v>
      </c>
      <c r="J4397" s="2" t="s">
        <v>84</v>
      </c>
      <c r="K4397" s="2" t="s">
        <v>115</v>
      </c>
      <c r="L4397" s="2">
        <v>4.0999999999999996</v>
      </c>
      <c r="M4397" s="2">
        <v>503</v>
      </c>
      <c r="P4397" t="str">
        <f t="shared" si="275"/>
        <v>50%</v>
      </c>
      <c r="Q4397" s="12">
        <f t="shared" si="272"/>
        <v>0.5</v>
      </c>
      <c r="R4397" s="9">
        <f t="shared" si="273"/>
        <v>849.5</v>
      </c>
      <c r="S4397" s="9">
        <f>IF(R4397="",AVERAGEIF(Table1[Category],Table1[[#This Row],[Category]],Table2[orignal data]),Table2[[#This Row],[orignal data]])</f>
        <v>849.5</v>
      </c>
      <c r="T4397" t="str">
        <f t="shared" si="274"/>
        <v>UNIQUE</v>
      </c>
      <c r="U4397" t="str">
        <f>IF(ISBLANK(Table1[[#This Row],[SizeOption]]),"NOT AVAILABLE",Table1[[#This Row],[SizeOption]])</f>
        <v>XS, S, M, L, XL, XXL</v>
      </c>
      <c r="Y4397" t="str">
        <f>IF(Table2[[#This Row],[Column1]]&gt;50%,"HIGH DISCOUNT","LOW DISCOUNT")</f>
        <v>LOW DISCOUNT</v>
      </c>
    </row>
    <row r="4398" spans="1:25" x14ac:dyDescent="0.25">
      <c r="A4398" s="1" t="s">
        <v>8998</v>
      </c>
      <c r="B4398" s="1">
        <v>9867745</v>
      </c>
      <c r="C4398" s="1" t="s">
        <v>349</v>
      </c>
      <c r="D4398" s="1" t="s">
        <v>197</v>
      </c>
      <c r="E4398" s="1" t="s">
        <v>296</v>
      </c>
      <c r="F4398" s="1" t="s">
        <v>17</v>
      </c>
      <c r="G4398" s="1" t="s">
        <v>8999</v>
      </c>
      <c r="I4398" s="1">
        <v>239</v>
      </c>
      <c r="J4398" s="1"/>
      <c r="K4398" s="1" t="s">
        <v>352</v>
      </c>
      <c r="L4398" s="1">
        <v>4.0999999999999996</v>
      </c>
      <c r="M4398" s="1">
        <v>503</v>
      </c>
      <c r="P4398" t="str">
        <f t="shared" si="275"/>
        <v/>
      </c>
      <c r="Q4398" s="12" t="str">
        <f t="shared" si="272"/>
        <v/>
      </c>
      <c r="R4398" s="9" t="str">
        <f t="shared" si="273"/>
        <v/>
      </c>
      <c r="S4398" s="9">
        <f>IF(R4398="",AVERAGEIF(Table1[Category],Table1[[#This Row],[Category]],Table2[orignal data]),Table2[[#This Row],[orignal data]])</f>
        <v>552.70900000000006</v>
      </c>
      <c r="T4398" t="str">
        <f t="shared" si="274"/>
        <v>UNIQUE</v>
      </c>
      <c r="U4398" t="str">
        <f>IF(ISBLANK(Table1[[#This Row],[SizeOption]]),"NOT AVAILABLE",Table1[[#This Row],[SizeOption]])</f>
        <v>S, M, L</v>
      </c>
      <c r="Y4398" t="str">
        <f>IF(Table2[[#This Row],[Column1]]&gt;50%,"HIGH DISCOUNT","LOW DISCOUNT")</f>
        <v>HIGH DISCOUNT</v>
      </c>
    </row>
    <row r="4399" spans="1:25" x14ac:dyDescent="0.25">
      <c r="A4399" s="2" t="s">
        <v>9000</v>
      </c>
      <c r="B4399" s="2">
        <v>11638544</v>
      </c>
      <c r="C4399" s="2" t="s">
        <v>349</v>
      </c>
      <c r="D4399" s="2" t="s">
        <v>197</v>
      </c>
      <c r="E4399" s="2" t="s">
        <v>296</v>
      </c>
      <c r="F4399" s="2" t="s">
        <v>17</v>
      </c>
      <c r="G4399" s="2" t="s">
        <v>9001</v>
      </c>
      <c r="I4399" s="2">
        <v>478</v>
      </c>
      <c r="J4399" s="2"/>
      <c r="K4399" s="2" t="s">
        <v>352</v>
      </c>
      <c r="L4399" s="2">
        <v>4.0999999999999996</v>
      </c>
      <c r="M4399" s="2">
        <v>503</v>
      </c>
      <c r="P4399" t="str">
        <f t="shared" si="275"/>
        <v/>
      </c>
      <c r="Q4399" s="12" t="str">
        <f t="shared" si="272"/>
        <v/>
      </c>
      <c r="R4399" s="9" t="str">
        <f t="shared" si="273"/>
        <v/>
      </c>
      <c r="S4399" s="9">
        <f>IF(R4399="",AVERAGEIF(Table1[Category],Table1[[#This Row],[Category]],Table2[orignal data]),Table2[[#This Row],[orignal data]])</f>
        <v>552.70900000000006</v>
      </c>
      <c r="T4399" t="str">
        <f t="shared" si="274"/>
        <v>UNIQUE</v>
      </c>
      <c r="U4399" t="str">
        <f>IF(ISBLANK(Table1[[#This Row],[SizeOption]]),"NOT AVAILABLE",Table1[[#This Row],[SizeOption]])</f>
        <v>S, M, L</v>
      </c>
      <c r="Y4399" t="str">
        <f>IF(Table2[[#This Row],[Column1]]&gt;50%,"HIGH DISCOUNT","LOW DISCOUNT")</f>
        <v>HIGH DISCOUNT</v>
      </c>
    </row>
    <row r="4400" spans="1:25" x14ac:dyDescent="0.25">
      <c r="A4400" s="1" t="s">
        <v>9002</v>
      </c>
      <c r="B4400" s="1">
        <v>8889631</v>
      </c>
      <c r="C4400" s="1" t="s">
        <v>14</v>
      </c>
      <c r="D4400" s="1" t="s">
        <v>28</v>
      </c>
      <c r="E4400" s="1" t="s">
        <v>29</v>
      </c>
      <c r="F4400" s="1" t="s">
        <v>17</v>
      </c>
      <c r="G4400" s="1" t="s">
        <v>8629</v>
      </c>
      <c r="I4400" s="1">
        <v>1499</v>
      </c>
      <c r="J4400" s="1"/>
      <c r="K4400" s="1" t="s">
        <v>31</v>
      </c>
      <c r="L4400" s="1">
        <v>4.0999999999999996</v>
      </c>
      <c r="M4400" s="1">
        <v>503</v>
      </c>
      <c r="P4400" t="str">
        <f t="shared" si="275"/>
        <v/>
      </c>
      <c r="Q4400" s="12" t="str">
        <f t="shared" si="272"/>
        <v/>
      </c>
      <c r="R4400" s="9" t="str">
        <f t="shared" si="273"/>
        <v/>
      </c>
      <c r="S4400" s="9">
        <f>IF(R4400="",AVERAGEIF(Table1[Category],Table1[[#This Row],[Category]],Table2[orignal data]),Table2[[#This Row],[orignal data]])</f>
        <v>671.7823941958867</v>
      </c>
      <c r="T4400" t="str">
        <f t="shared" si="274"/>
        <v>UNIQUE</v>
      </c>
      <c r="U4400" t="str">
        <f>IF(ISBLANK(Table1[[#This Row],[SizeOption]]),"NOT AVAILABLE",Table1[[#This Row],[SizeOption]])</f>
        <v>38, 40, 42, 44, 46, 48</v>
      </c>
      <c r="Y4400" t="str">
        <f>IF(Table2[[#This Row],[Column1]]&gt;50%,"HIGH DISCOUNT","LOW DISCOUNT")</f>
        <v>HIGH DISCOUNT</v>
      </c>
    </row>
    <row r="4401" spans="1:25" x14ac:dyDescent="0.25">
      <c r="A4401" s="2" t="s">
        <v>9003</v>
      </c>
      <c r="B4401" s="2">
        <v>4321458</v>
      </c>
      <c r="C4401" s="2" t="s">
        <v>64</v>
      </c>
      <c r="D4401" s="2" t="s">
        <v>76</v>
      </c>
      <c r="E4401" s="2" t="s">
        <v>148</v>
      </c>
      <c r="F4401" s="2" t="s">
        <v>36</v>
      </c>
      <c r="G4401" s="2" t="s">
        <v>9004</v>
      </c>
      <c r="H4401">
        <v>1099</v>
      </c>
      <c r="I4401" s="2">
        <v>1999</v>
      </c>
      <c r="J4401" s="2" t="s">
        <v>19</v>
      </c>
      <c r="K4401" s="2" t="s">
        <v>115</v>
      </c>
      <c r="L4401" s="2">
        <v>4.2</v>
      </c>
      <c r="M4401" s="2">
        <v>503</v>
      </c>
      <c r="P4401" t="str">
        <f t="shared" si="275"/>
        <v>45%</v>
      </c>
      <c r="Q4401" s="12">
        <f t="shared" si="272"/>
        <v>0.45</v>
      </c>
      <c r="R4401" s="9">
        <f t="shared" si="273"/>
        <v>1099.4499999999998</v>
      </c>
      <c r="S4401" s="9">
        <f>IF(R4401="",AVERAGEIF(Table1[Category],Table1[[#This Row],[Category]],Table2[orignal data]),Table2[[#This Row],[orignal data]])</f>
        <v>1099.4499999999998</v>
      </c>
      <c r="T4401" t="str">
        <f t="shared" si="274"/>
        <v>UNIQUE</v>
      </c>
      <c r="U4401" t="str">
        <f>IF(ISBLANK(Table1[[#This Row],[SizeOption]]),"NOT AVAILABLE",Table1[[#This Row],[SizeOption]])</f>
        <v>XS, S, M, L, XL, XXL</v>
      </c>
      <c r="Y4401" t="str">
        <f>IF(Table2[[#This Row],[Column1]]&gt;50%,"HIGH DISCOUNT","LOW DISCOUNT")</f>
        <v>LOW DISCOUNT</v>
      </c>
    </row>
    <row r="4402" spans="1:25" x14ac:dyDescent="0.25">
      <c r="A4402" s="1" t="s">
        <v>9005</v>
      </c>
      <c r="B4402" s="1">
        <v>11505972</v>
      </c>
      <c r="C4402" s="1" t="s">
        <v>33</v>
      </c>
      <c r="D4402" s="1" t="s">
        <v>34</v>
      </c>
      <c r="E4402" s="1" t="s">
        <v>118</v>
      </c>
      <c r="F4402" s="1" t="s">
        <v>36</v>
      </c>
      <c r="G4402" s="1" t="s">
        <v>9006</v>
      </c>
      <c r="H4402">
        <v>971</v>
      </c>
      <c r="I4402" s="1">
        <v>1495</v>
      </c>
      <c r="J4402" s="1" t="s">
        <v>44</v>
      </c>
      <c r="K4402" s="1" t="s">
        <v>9007</v>
      </c>
      <c r="L4402" s="1">
        <v>4.2</v>
      </c>
      <c r="M4402" s="1">
        <v>503</v>
      </c>
      <c r="P4402" t="str">
        <f t="shared" si="275"/>
        <v>35%</v>
      </c>
      <c r="Q4402" s="12">
        <f t="shared" si="272"/>
        <v>0.35</v>
      </c>
      <c r="R4402" s="9">
        <f t="shared" si="273"/>
        <v>971.75</v>
      </c>
      <c r="S4402" s="9">
        <f>IF(R4402="",AVERAGEIF(Table1[Category],Table1[[#This Row],[Category]],Table2[orignal data]),Table2[[#This Row],[orignal data]])</f>
        <v>971.75</v>
      </c>
      <c r="T4402" t="str">
        <f t="shared" si="274"/>
        <v>UNIQUE</v>
      </c>
      <c r="U4402" t="str">
        <f>IF(ISBLANK(Table1[[#This Row],[SizeOption]]),"NOT AVAILABLE",Table1[[#This Row],[SizeOption]])</f>
        <v>32DD, 32E, 32F, 34DD, 34E, 34F, 36C, 36D, 36DD, 36E, 36F, 38C, 38D, 38DD, 38E, 40C, 40D, 40DD</v>
      </c>
      <c r="Y4402" t="str">
        <f>IF(Table2[[#This Row],[Column1]]&gt;50%,"HIGH DISCOUNT","LOW DISCOUNT")</f>
        <v>LOW DISCOUNT</v>
      </c>
    </row>
    <row r="4403" spans="1:25" x14ac:dyDescent="0.25">
      <c r="A4403" s="2" t="s">
        <v>9008</v>
      </c>
      <c r="B4403" s="2">
        <v>12441754</v>
      </c>
      <c r="C4403" s="2" t="s">
        <v>620</v>
      </c>
      <c r="D4403" s="2" t="s">
        <v>34</v>
      </c>
      <c r="E4403" s="2" t="s">
        <v>406</v>
      </c>
      <c r="F4403" s="2" t="s">
        <v>36</v>
      </c>
      <c r="G4403" s="2" t="s">
        <v>9009</v>
      </c>
      <c r="H4403">
        <v>509</v>
      </c>
      <c r="I4403" s="2">
        <v>1699</v>
      </c>
      <c r="J4403" s="2" t="s">
        <v>79</v>
      </c>
      <c r="K4403" s="2" t="s">
        <v>26</v>
      </c>
      <c r="L4403" s="2">
        <v>4.2</v>
      </c>
      <c r="M4403" s="2">
        <v>503</v>
      </c>
      <c r="P4403" t="str">
        <f t="shared" si="275"/>
        <v>70%</v>
      </c>
      <c r="Q4403" s="12">
        <f t="shared" si="272"/>
        <v>0.7</v>
      </c>
      <c r="R4403" s="9">
        <f t="shared" si="273"/>
        <v>509.70000000000005</v>
      </c>
      <c r="S4403" s="9">
        <f>IF(R4403="",AVERAGEIF(Table1[Category],Table1[[#This Row],[Category]],Table2[orignal data]),Table2[[#This Row],[orignal data]])</f>
        <v>509.70000000000005</v>
      </c>
      <c r="T4403" t="str">
        <f t="shared" si="274"/>
        <v>UNIQUE</v>
      </c>
      <c r="U4403" t="str">
        <f>IF(ISBLANK(Table1[[#This Row],[SizeOption]]),"NOT AVAILABLE",Table1[[#This Row],[SizeOption]])</f>
        <v>S, M, L, XL</v>
      </c>
      <c r="Y4403" t="str">
        <f>IF(Table2[[#This Row],[Column1]]&gt;50%,"HIGH DISCOUNT","LOW DISCOUNT")</f>
        <v>HIGH DISCOUNT</v>
      </c>
    </row>
    <row r="4404" spans="1:25" x14ac:dyDescent="0.25">
      <c r="A4404" s="1" t="s">
        <v>9010</v>
      </c>
      <c r="B4404" s="1">
        <v>9004967</v>
      </c>
      <c r="C4404" s="1" t="s">
        <v>9011</v>
      </c>
      <c r="D4404" s="1" t="s">
        <v>34</v>
      </c>
      <c r="E4404" s="1" t="s">
        <v>2168</v>
      </c>
      <c r="F4404" s="1" t="s">
        <v>36</v>
      </c>
      <c r="G4404" s="1" t="s">
        <v>9012</v>
      </c>
      <c r="H4404">
        <v>447</v>
      </c>
      <c r="I4404" s="1">
        <v>699</v>
      </c>
      <c r="J4404" s="1" t="s">
        <v>554</v>
      </c>
      <c r="K4404" s="1" t="s">
        <v>234</v>
      </c>
      <c r="L4404" s="1">
        <v>4.5999999999999996</v>
      </c>
      <c r="M4404" s="1">
        <v>503</v>
      </c>
      <c r="P4404" t="str">
        <f t="shared" si="275"/>
        <v>36%</v>
      </c>
      <c r="Q4404" s="12">
        <f t="shared" si="272"/>
        <v>0.36</v>
      </c>
      <c r="R4404" s="9">
        <f t="shared" si="273"/>
        <v>447.36</v>
      </c>
      <c r="S4404" s="9">
        <f>IF(R4404="",AVERAGEIF(Table1[Category],Table1[[#This Row],[Category]],Table2[orignal data]),Table2[[#This Row],[orignal data]])</f>
        <v>447.36</v>
      </c>
      <c r="T4404" t="str">
        <f t="shared" si="274"/>
        <v>UNIQUE</v>
      </c>
      <c r="U4404" t="str">
        <f>IF(ISBLANK(Table1[[#This Row],[SizeOption]]),"NOT AVAILABLE",Table1[[#This Row],[SizeOption]])</f>
        <v>S, M, L, XL, XXL, 3XL</v>
      </c>
      <c r="Y4404" t="str">
        <f>IF(Table2[[#This Row],[Column1]]&gt;50%,"HIGH DISCOUNT","LOW DISCOUNT")</f>
        <v>LOW DISCOUNT</v>
      </c>
    </row>
    <row r="4405" spans="1:25" x14ac:dyDescent="0.25">
      <c r="A4405" s="2" t="s">
        <v>9013</v>
      </c>
      <c r="B4405" s="2">
        <v>11173980</v>
      </c>
      <c r="C4405" s="2" t="s">
        <v>97</v>
      </c>
      <c r="D4405" s="2" t="s">
        <v>98</v>
      </c>
      <c r="E4405" s="2" t="s">
        <v>93</v>
      </c>
      <c r="F4405" s="2" t="s">
        <v>36</v>
      </c>
      <c r="G4405" s="2" t="s">
        <v>9014</v>
      </c>
      <c r="H4405">
        <v>439</v>
      </c>
      <c r="I4405" s="2">
        <v>1099</v>
      </c>
      <c r="J4405" s="2" t="s">
        <v>141</v>
      </c>
      <c r="K4405" s="2" t="s">
        <v>100</v>
      </c>
      <c r="L4405" s="2">
        <v>4.0999999999999996</v>
      </c>
      <c r="M4405" s="2">
        <v>503</v>
      </c>
      <c r="P4405" t="str">
        <f t="shared" si="275"/>
        <v>60%</v>
      </c>
      <c r="Q4405" s="12">
        <f t="shared" si="272"/>
        <v>0.6</v>
      </c>
      <c r="R4405" s="9">
        <f t="shared" si="273"/>
        <v>439.6</v>
      </c>
      <c r="S4405" s="9">
        <f>IF(R4405="",AVERAGEIF(Table1[Category],Table1[[#This Row],[Category]],Table2[orignal data]),Table2[[#This Row],[orignal data]])</f>
        <v>439.6</v>
      </c>
      <c r="T4405" t="str">
        <f t="shared" si="274"/>
        <v>UNIQUE</v>
      </c>
      <c r="U4405" t="str">
        <f>IF(ISBLANK(Table1[[#This Row],[SizeOption]]),"NOT AVAILABLE",Table1[[#This Row],[SizeOption]])</f>
        <v>XS, S, M, L, XL, XXL, 3XL</v>
      </c>
      <c r="Y4405" t="str">
        <f>IF(Table2[[#This Row],[Column1]]&gt;50%,"HIGH DISCOUNT","LOW DISCOUNT")</f>
        <v>HIGH DISCOUNT</v>
      </c>
    </row>
    <row r="4406" spans="1:25" x14ac:dyDescent="0.25">
      <c r="A4406" s="1" t="s">
        <v>9015</v>
      </c>
      <c r="B4406" s="1">
        <v>12524806</v>
      </c>
      <c r="C4406" s="1" t="s">
        <v>64</v>
      </c>
      <c r="D4406" s="1" t="s">
        <v>98</v>
      </c>
      <c r="E4406" s="1" t="s">
        <v>93</v>
      </c>
      <c r="F4406" s="1" t="s">
        <v>36</v>
      </c>
      <c r="G4406" s="1" t="s">
        <v>9016</v>
      </c>
      <c r="H4406">
        <v>359</v>
      </c>
      <c r="I4406" s="1">
        <v>1199</v>
      </c>
      <c r="J4406" s="1" t="s">
        <v>1566</v>
      </c>
      <c r="K4406" s="1" t="s">
        <v>100</v>
      </c>
      <c r="L4406" s="1">
        <v>4.2</v>
      </c>
      <c r="M4406" s="1">
        <v>503</v>
      </c>
      <c r="P4406" t="str">
        <f t="shared" si="275"/>
        <v>70%</v>
      </c>
      <c r="Q4406" s="12">
        <f t="shared" si="272"/>
        <v>0.7</v>
      </c>
      <c r="R4406" s="9">
        <f t="shared" si="273"/>
        <v>359.70000000000005</v>
      </c>
      <c r="S4406" s="9">
        <f>IF(R4406="",AVERAGEIF(Table1[Category],Table1[[#This Row],[Category]],Table2[orignal data]),Table2[[#This Row],[orignal data]])</f>
        <v>359.70000000000005</v>
      </c>
      <c r="T4406" t="str">
        <f t="shared" si="274"/>
        <v>UNIQUE</v>
      </c>
      <c r="U4406" t="str">
        <f>IF(ISBLANK(Table1[[#This Row],[SizeOption]]),"NOT AVAILABLE",Table1[[#This Row],[SizeOption]])</f>
        <v>XS, S, M, L, XL, XXL, 3XL</v>
      </c>
      <c r="Y4406" t="str">
        <f>IF(Table2[[#This Row],[Column1]]&gt;50%,"HIGH DISCOUNT","LOW DISCOUNT")</f>
        <v>HIGH DISCOUNT</v>
      </c>
    </row>
    <row r="4407" spans="1:25" x14ac:dyDescent="0.25">
      <c r="A4407" s="2" t="s">
        <v>9017</v>
      </c>
      <c r="B4407" s="2">
        <v>13430662</v>
      </c>
      <c r="C4407" s="2" t="s">
        <v>14</v>
      </c>
      <c r="D4407" s="2" t="s">
        <v>41</v>
      </c>
      <c r="E4407" s="2" t="s">
        <v>579</v>
      </c>
      <c r="F4407" s="2" t="s">
        <v>36</v>
      </c>
      <c r="G4407" s="2" t="s">
        <v>9018</v>
      </c>
      <c r="I4407" s="2">
        <v>1299</v>
      </c>
      <c r="J4407" s="2" t="s">
        <v>50</v>
      </c>
      <c r="K4407" s="2" t="s">
        <v>134</v>
      </c>
      <c r="L4407" s="2">
        <v>4.4000000000000004</v>
      </c>
      <c r="M4407" s="2">
        <v>503</v>
      </c>
      <c r="P4407" t="str">
        <f t="shared" si="275"/>
        <v>40%</v>
      </c>
      <c r="Q4407" s="12">
        <f t="shared" si="272"/>
        <v>0.4</v>
      </c>
      <c r="R4407" s="9">
        <f t="shared" si="273"/>
        <v>779.4</v>
      </c>
      <c r="S4407" s="9">
        <f>IF(R4407="",AVERAGEIF(Table1[Category],Table1[[#This Row],[Category]],Table2[orignal data]),Table2[[#This Row],[orignal data]])</f>
        <v>779.4</v>
      </c>
      <c r="T4407" t="str">
        <f t="shared" si="274"/>
        <v>UNIQUE</v>
      </c>
      <c r="U4407" t="str">
        <f>IF(ISBLANK(Table1[[#This Row],[SizeOption]]),"NOT AVAILABLE",Table1[[#This Row],[SizeOption]])</f>
        <v>26, 28, 30, 32, 34, 36</v>
      </c>
      <c r="Y4407" t="str">
        <f>IF(Table2[[#This Row],[Column1]]&gt;50%,"HIGH DISCOUNT","LOW DISCOUNT")</f>
        <v>LOW DISCOUNT</v>
      </c>
    </row>
    <row r="4408" spans="1:25" x14ac:dyDescent="0.25">
      <c r="A4408" s="1" t="s">
        <v>9019</v>
      </c>
      <c r="B4408" s="1">
        <v>11005692</v>
      </c>
      <c r="C4408" s="1" t="s">
        <v>107</v>
      </c>
      <c r="D4408" s="1" t="s">
        <v>41</v>
      </c>
      <c r="E4408" s="1" t="s">
        <v>48</v>
      </c>
      <c r="F4408" s="1" t="s">
        <v>36</v>
      </c>
      <c r="G4408" s="1" t="s">
        <v>9020</v>
      </c>
      <c r="I4408" s="1">
        <v>1399</v>
      </c>
      <c r="J4408" s="1" t="s">
        <v>19</v>
      </c>
      <c r="K4408" s="1" t="s">
        <v>45</v>
      </c>
      <c r="L4408" s="1">
        <v>4.2</v>
      </c>
      <c r="M4408" s="1">
        <v>503</v>
      </c>
      <c r="P4408" t="str">
        <f t="shared" si="275"/>
        <v>45%</v>
      </c>
      <c r="Q4408" s="12">
        <f t="shared" si="272"/>
        <v>0.45</v>
      </c>
      <c r="R4408" s="9">
        <f t="shared" si="273"/>
        <v>769.44999999999993</v>
      </c>
      <c r="S4408" s="9">
        <f>IF(R4408="",AVERAGEIF(Table1[Category],Table1[[#This Row],[Category]],Table2[orignal data]),Table2[[#This Row],[orignal data]])</f>
        <v>769.44999999999993</v>
      </c>
      <c r="T4408" t="str">
        <f t="shared" si="274"/>
        <v>UNIQUE</v>
      </c>
      <c r="U4408" t="str">
        <f>IF(ISBLANK(Table1[[#This Row],[SizeOption]]),"NOT AVAILABLE",Table1[[#This Row],[SizeOption]])</f>
        <v>XS, S, M, L, XL</v>
      </c>
      <c r="Y4408" t="str">
        <f>IF(Table2[[#This Row],[Column1]]&gt;50%,"HIGH DISCOUNT","LOW DISCOUNT")</f>
        <v>LOW DISCOUNT</v>
      </c>
    </row>
    <row r="4409" spans="1:25" x14ac:dyDescent="0.25">
      <c r="A4409" s="2" t="s">
        <v>9021</v>
      </c>
      <c r="B4409" s="2">
        <v>11364274</v>
      </c>
      <c r="C4409" s="2" t="s">
        <v>181</v>
      </c>
      <c r="D4409" s="2" t="s">
        <v>41</v>
      </c>
      <c r="E4409" s="2" t="s">
        <v>48</v>
      </c>
      <c r="F4409" s="2" t="s">
        <v>36</v>
      </c>
      <c r="G4409" s="2" t="s">
        <v>9022</v>
      </c>
      <c r="I4409" s="2">
        <v>1399</v>
      </c>
      <c r="J4409" s="2" t="s">
        <v>167</v>
      </c>
      <c r="K4409" s="2" t="s">
        <v>115</v>
      </c>
      <c r="L4409" s="2">
        <v>4.2</v>
      </c>
      <c r="M4409" s="2">
        <v>503</v>
      </c>
      <c r="P4409" t="str">
        <f t="shared" si="275"/>
        <v>49%</v>
      </c>
      <c r="Q4409" s="12">
        <f t="shared" si="272"/>
        <v>0.49</v>
      </c>
      <c r="R4409" s="9">
        <f t="shared" si="273"/>
        <v>713.49</v>
      </c>
      <c r="S4409" s="9">
        <f>IF(R4409="",AVERAGEIF(Table1[Category],Table1[[#This Row],[Category]],Table2[orignal data]),Table2[[#This Row],[orignal data]])</f>
        <v>713.49</v>
      </c>
      <c r="T4409" t="str">
        <f t="shared" si="274"/>
        <v>UNIQUE</v>
      </c>
      <c r="U4409" t="str">
        <f>IF(ISBLANK(Table1[[#This Row],[SizeOption]]),"NOT AVAILABLE",Table1[[#This Row],[SizeOption]])</f>
        <v>XS, S, M, L, XL, XXL</v>
      </c>
      <c r="Y4409" t="str">
        <f>IF(Table2[[#This Row],[Column1]]&gt;50%,"HIGH DISCOUNT","LOW DISCOUNT")</f>
        <v>LOW DISCOUNT</v>
      </c>
    </row>
    <row r="4410" spans="1:25" x14ac:dyDescent="0.25">
      <c r="A4410" s="1" t="s">
        <v>9023</v>
      </c>
      <c r="B4410" s="1">
        <v>11818282</v>
      </c>
      <c r="C4410" s="1" t="s">
        <v>14</v>
      </c>
      <c r="D4410" s="1" t="s">
        <v>41</v>
      </c>
      <c r="E4410" s="1" t="s">
        <v>189</v>
      </c>
      <c r="F4410" s="1" t="s">
        <v>36</v>
      </c>
      <c r="G4410" s="1" t="s">
        <v>9024</v>
      </c>
      <c r="I4410" s="1">
        <v>1999</v>
      </c>
      <c r="J4410" s="1" t="s">
        <v>1986</v>
      </c>
      <c r="K4410" s="1" t="s">
        <v>115</v>
      </c>
      <c r="L4410" s="1">
        <v>4</v>
      </c>
      <c r="M4410" s="1">
        <v>503</v>
      </c>
      <c r="P4410" t="str">
        <f t="shared" si="275"/>
        <v>60 %</v>
      </c>
      <c r="Q4410" s="12">
        <f t="shared" si="272"/>
        <v>0.6</v>
      </c>
      <c r="R4410" s="9">
        <f t="shared" si="273"/>
        <v>799.60000000000014</v>
      </c>
      <c r="S4410" s="9">
        <f>IF(R4410="",AVERAGEIF(Table1[Category],Table1[[#This Row],[Category]],Table2[orignal data]),Table2[[#This Row],[orignal data]])</f>
        <v>799.60000000000014</v>
      </c>
      <c r="T4410" t="str">
        <f t="shared" si="274"/>
        <v>UNIQUE</v>
      </c>
      <c r="U4410" t="str">
        <f>IF(ISBLANK(Table1[[#This Row],[SizeOption]]),"NOT AVAILABLE",Table1[[#This Row],[SizeOption]])</f>
        <v>XS, S, M, L, XL, XXL</v>
      </c>
      <c r="Y4410" t="str">
        <f>IF(Table2[[#This Row],[Column1]]&gt;50%,"HIGH DISCOUNT","LOW DISCOUNT")</f>
        <v>HIGH DISCOUNT</v>
      </c>
    </row>
    <row r="4411" spans="1:25" x14ac:dyDescent="0.25">
      <c r="A4411" s="2" t="s">
        <v>9025</v>
      </c>
      <c r="B4411" s="2">
        <v>12194214</v>
      </c>
      <c r="C4411" s="2" t="s">
        <v>14</v>
      </c>
      <c r="D4411" s="2" t="s">
        <v>41</v>
      </c>
      <c r="E4411" s="2" t="s">
        <v>48</v>
      </c>
      <c r="F4411" s="2" t="s">
        <v>36</v>
      </c>
      <c r="G4411" s="2" t="s">
        <v>9026</v>
      </c>
      <c r="I4411" s="2">
        <v>999</v>
      </c>
      <c r="J4411" s="2" t="s">
        <v>50</v>
      </c>
      <c r="K4411" s="2" t="s">
        <v>45</v>
      </c>
      <c r="L4411" s="2">
        <v>4.4000000000000004</v>
      </c>
      <c r="M4411" s="2">
        <v>503</v>
      </c>
      <c r="P4411" t="str">
        <f t="shared" si="275"/>
        <v>40%</v>
      </c>
      <c r="Q4411" s="12">
        <f t="shared" si="272"/>
        <v>0.4</v>
      </c>
      <c r="R4411" s="9">
        <f t="shared" si="273"/>
        <v>599.4</v>
      </c>
      <c r="S4411" s="9">
        <f>IF(R4411="",AVERAGEIF(Table1[Category],Table1[[#This Row],[Category]],Table2[orignal data]),Table2[[#This Row],[orignal data]])</f>
        <v>599.4</v>
      </c>
      <c r="T4411" t="str">
        <f t="shared" si="274"/>
        <v>UNIQUE</v>
      </c>
      <c r="U4411" t="str">
        <f>IF(ISBLANK(Table1[[#This Row],[SizeOption]]),"NOT AVAILABLE",Table1[[#This Row],[SizeOption]])</f>
        <v>XS, S, M, L, XL</v>
      </c>
      <c r="Y4411" t="str">
        <f>IF(Table2[[#This Row],[Column1]]&gt;50%,"HIGH DISCOUNT","LOW DISCOUNT")</f>
        <v>LOW DISCOUNT</v>
      </c>
    </row>
    <row r="4412" spans="1:25" x14ac:dyDescent="0.25">
      <c r="A4412" s="1" t="s">
        <v>9027</v>
      </c>
      <c r="B4412" s="1">
        <v>11560472</v>
      </c>
      <c r="C4412" s="1" t="s">
        <v>169</v>
      </c>
      <c r="D4412" s="1" t="s">
        <v>15</v>
      </c>
      <c r="E4412" s="1" t="s">
        <v>53</v>
      </c>
      <c r="F4412" s="1" t="s">
        <v>17</v>
      </c>
      <c r="G4412" s="1" t="s">
        <v>7746</v>
      </c>
      <c r="H4412">
        <v>1319</v>
      </c>
      <c r="I4412" s="1">
        <v>2199</v>
      </c>
      <c r="J4412" s="1" t="s">
        <v>50</v>
      </c>
      <c r="K4412" s="1" t="s">
        <v>171</v>
      </c>
      <c r="L4412" s="1">
        <v>4.0999999999999996</v>
      </c>
      <c r="M4412" s="1">
        <v>502</v>
      </c>
      <c r="P4412" t="str">
        <f t="shared" si="275"/>
        <v>40%</v>
      </c>
      <c r="Q4412" s="12">
        <f t="shared" si="272"/>
        <v>0.4</v>
      </c>
      <c r="R4412" s="9">
        <f t="shared" si="273"/>
        <v>1319.4</v>
      </c>
      <c r="S4412" s="9">
        <f>IF(R4412="",AVERAGEIF(Table1[Category],Table1[[#This Row],[Category]],Table2[orignal data]),Table2[[#This Row],[orignal data]])</f>
        <v>1319.4</v>
      </c>
      <c r="T4412" t="str">
        <f t="shared" si="274"/>
        <v>UNIQUE</v>
      </c>
      <c r="U4412" t="str">
        <f>IF(ISBLANK(Table1[[#This Row],[SizeOption]]),"NOT AVAILABLE",Table1[[#This Row],[SizeOption]])</f>
        <v>28, 30, 32, 34, 36, 38</v>
      </c>
      <c r="Y4412" t="str">
        <f>IF(Table2[[#This Row],[Column1]]&gt;50%,"HIGH DISCOUNT","LOW DISCOUNT")</f>
        <v>LOW DISCOUNT</v>
      </c>
    </row>
    <row r="4413" spans="1:25" x14ac:dyDescent="0.25">
      <c r="A4413" s="2" t="s">
        <v>9028</v>
      </c>
      <c r="B4413" s="2">
        <v>6775099</v>
      </c>
      <c r="C4413" s="2" t="s">
        <v>14</v>
      </c>
      <c r="D4413" s="2" t="s">
        <v>15</v>
      </c>
      <c r="E4413" s="2" t="s">
        <v>16</v>
      </c>
      <c r="F4413" s="2" t="s">
        <v>17</v>
      </c>
      <c r="G4413" s="2" t="s">
        <v>2846</v>
      </c>
      <c r="H4413">
        <v>999</v>
      </c>
      <c r="I4413" s="2">
        <v>1999</v>
      </c>
      <c r="J4413" s="2" t="s">
        <v>84</v>
      </c>
      <c r="K4413" s="2" t="s">
        <v>20</v>
      </c>
      <c r="L4413" s="2">
        <v>4</v>
      </c>
      <c r="M4413" s="2">
        <v>502</v>
      </c>
      <c r="P4413" t="str">
        <f t="shared" si="275"/>
        <v>50%</v>
      </c>
      <c r="Q4413" s="12">
        <f t="shared" si="272"/>
        <v>0.5</v>
      </c>
      <c r="R4413" s="9">
        <f t="shared" si="273"/>
        <v>999.5</v>
      </c>
      <c r="S4413" s="9">
        <f>IF(R4413="",AVERAGEIF(Table1[Category],Table1[[#This Row],[Category]],Table2[orignal data]),Table2[[#This Row],[orignal data]])</f>
        <v>999.5</v>
      </c>
      <c r="T4413" t="str">
        <f t="shared" si="274"/>
        <v>UNIQUE</v>
      </c>
      <c r="U4413" t="str">
        <f>IF(ISBLANK(Table1[[#This Row],[SizeOption]]),"NOT AVAILABLE",Table1[[#This Row],[SizeOption]])</f>
        <v>28, 30, 32, 34, 36</v>
      </c>
      <c r="Y4413" t="str">
        <f>IF(Table2[[#This Row],[Column1]]&gt;50%,"HIGH DISCOUNT","LOW DISCOUNT")</f>
        <v>LOW DISCOUNT</v>
      </c>
    </row>
    <row r="4414" spans="1:25" x14ac:dyDescent="0.25">
      <c r="A4414" s="1" t="s">
        <v>9029</v>
      </c>
      <c r="B4414" s="1">
        <v>18028858</v>
      </c>
      <c r="C4414" s="1" t="s">
        <v>295</v>
      </c>
      <c r="D4414" s="1" t="s">
        <v>197</v>
      </c>
      <c r="E4414" s="1" t="s">
        <v>939</v>
      </c>
      <c r="F4414" s="1" t="s">
        <v>17</v>
      </c>
      <c r="G4414" s="1" t="s">
        <v>4736</v>
      </c>
      <c r="I4414" s="1">
        <v>1098</v>
      </c>
      <c r="J4414" s="1"/>
      <c r="K4414" s="1" t="s">
        <v>26</v>
      </c>
      <c r="L4414" s="1">
        <v>4.4000000000000004</v>
      </c>
      <c r="M4414" s="1">
        <v>502</v>
      </c>
      <c r="P4414" t="str">
        <f t="shared" si="275"/>
        <v/>
      </c>
      <c r="Q4414" s="12" t="str">
        <f t="shared" si="272"/>
        <v/>
      </c>
      <c r="R4414" s="9" t="str">
        <f t="shared" si="273"/>
        <v/>
      </c>
      <c r="S4414" s="9">
        <f>IF(R4414="",AVERAGEIF(Table1[Category],Table1[[#This Row],[Category]],Table2[orignal data]),Table2[[#This Row],[orignal data]])</f>
        <v>552.70900000000006</v>
      </c>
      <c r="T4414" t="str">
        <f t="shared" si="274"/>
        <v>UNIQUE</v>
      </c>
      <c r="U4414" t="str">
        <f>IF(ISBLANK(Table1[[#This Row],[SizeOption]]),"NOT AVAILABLE",Table1[[#This Row],[SizeOption]])</f>
        <v>S, M, L, XL</v>
      </c>
      <c r="Y4414" t="str">
        <f>IF(Table2[[#This Row],[Column1]]&gt;50%,"HIGH DISCOUNT","LOW DISCOUNT")</f>
        <v>HIGH DISCOUNT</v>
      </c>
    </row>
    <row r="4415" spans="1:25" x14ac:dyDescent="0.25">
      <c r="A4415" s="2" t="s">
        <v>9030</v>
      </c>
      <c r="B4415" s="2">
        <v>10106195</v>
      </c>
      <c r="C4415" s="2" t="s">
        <v>67</v>
      </c>
      <c r="D4415" s="2" t="s">
        <v>68</v>
      </c>
      <c r="E4415" s="2" t="s">
        <v>42</v>
      </c>
      <c r="F4415" s="2" t="s">
        <v>17</v>
      </c>
      <c r="G4415" s="2" t="s">
        <v>9031</v>
      </c>
      <c r="H4415">
        <v>489</v>
      </c>
      <c r="I4415" s="2">
        <v>699</v>
      </c>
      <c r="J4415" s="2" t="s">
        <v>186</v>
      </c>
      <c r="K4415" s="2" t="s">
        <v>39</v>
      </c>
      <c r="L4415" s="2">
        <v>4.2</v>
      </c>
      <c r="M4415" s="2">
        <v>502</v>
      </c>
      <c r="P4415" t="str">
        <f t="shared" si="275"/>
        <v>30%</v>
      </c>
      <c r="Q4415" s="12">
        <f t="shared" si="272"/>
        <v>0.3</v>
      </c>
      <c r="R4415" s="9">
        <f t="shared" si="273"/>
        <v>489.3</v>
      </c>
      <c r="S4415" s="9">
        <f>IF(R4415="",AVERAGEIF(Table1[Category],Table1[[#This Row],[Category]],Table2[orignal data]),Table2[[#This Row],[orignal data]])</f>
        <v>489.3</v>
      </c>
      <c r="T4415" t="str">
        <f t="shared" si="274"/>
        <v>UNIQUE</v>
      </c>
      <c r="U4415" t="str">
        <f>IF(ISBLANK(Table1[[#This Row],[SizeOption]]),"NOT AVAILABLE",Table1[[#This Row],[SizeOption]])</f>
        <v>S, M, L, XL, XXL</v>
      </c>
      <c r="Y4415" t="str">
        <f>IF(Table2[[#This Row],[Column1]]&gt;50%,"HIGH DISCOUNT","LOW DISCOUNT")</f>
        <v>LOW DISCOUNT</v>
      </c>
    </row>
    <row r="4416" spans="1:25" x14ac:dyDescent="0.25">
      <c r="A4416" s="1" t="s">
        <v>9032</v>
      </c>
      <c r="B4416" s="1">
        <v>12654918</v>
      </c>
      <c r="C4416" s="1" t="s">
        <v>64</v>
      </c>
      <c r="D4416" s="1" t="s">
        <v>28</v>
      </c>
      <c r="E4416" s="1" t="s">
        <v>29</v>
      </c>
      <c r="F4416" s="1" t="s">
        <v>17</v>
      </c>
      <c r="G4416" s="1" t="s">
        <v>9033</v>
      </c>
      <c r="H4416">
        <v>664</v>
      </c>
      <c r="I4416" s="1">
        <v>1899</v>
      </c>
      <c r="J4416" s="1" t="s">
        <v>150</v>
      </c>
      <c r="K4416" s="1" t="s">
        <v>361</v>
      </c>
      <c r="L4416" s="1">
        <v>4.4000000000000004</v>
      </c>
      <c r="M4416" s="1">
        <v>502</v>
      </c>
      <c r="P4416" t="str">
        <f t="shared" si="275"/>
        <v>65%</v>
      </c>
      <c r="Q4416" s="12">
        <f t="shared" si="272"/>
        <v>0.65</v>
      </c>
      <c r="R4416" s="9">
        <f t="shared" si="273"/>
        <v>664.64999999999986</v>
      </c>
      <c r="S4416" s="9">
        <f>IF(R4416="",AVERAGEIF(Table1[Category],Table1[[#This Row],[Category]],Table2[orignal data]),Table2[[#This Row],[orignal data]])</f>
        <v>664.64999999999986</v>
      </c>
      <c r="T4416" t="str">
        <f t="shared" si="274"/>
        <v>UNIQUE</v>
      </c>
      <c r="U4416" t="str">
        <f>IF(ISBLANK(Table1[[#This Row],[SizeOption]]),"NOT AVAILABLE",Table1[[#This Row],[SizeOption]])</f>
        <v>38, 40, 42, 44, 46</v>
      </c>
      <c r="Y4416" t="str">
        <f>IF(Table2[[#This Row],[Column1]]&gt;50%,"HIGH DISCOUNT","LOW DISCOUNT")</f>
        <v>HIGH DISCOUNT</v>
      </c>
    </row>
    <row r="4417" spans="1:25" x14ac:dyDescent="0.25">
      <c r="A4417" s="2" t="s">
        <v>9034</v>
      </c>
      <c r="B4417" s="2">
        <v>7079944</v>
      </c>
      <c r="C4417" s="2" t="s">
        <v>924</v>
      </c>
      <c r="D4417" s="2" t="s">
        <v>76</v>
      </c>
      <c r="E4417" s="2" t="s">
        <v>320</v>
      </c>
      <c r="F4417" s="2" t="s">
        <v>36</v>
      </c>
      <c r="G4417" s="2" t="s">
        <v>9035</v>
      </c>
      <c r="H4417">
        <v>1889</v>
      </c>
      <c r="I4417" s="2">
        <v>4499</v>
      </c>
      <c r="J4417" s="2" t="s">
        <v>60</v>
      </c>
      <c r="K4417" s="2" t="s">
        <v>164</v>
      </c>
      <c r="L4417" s="2">
        <v>4.2</v>
      </c>
      <c r="M4417" s="2">
        <v>502</v>
      </c>
      <c r="P4417" t="str">
        <f t="shared" si="275"/>
        <v>58%</v>
      </c>
      <c r="Q4417" s="12">
        <f t="shared" si="272"/>
        <v>0.57999999999999996</v>
      </c>
      <c r="R4417" s="9">
        <f t="shared" si="273"/>
        <v>1889.5800000000004</v>
      </c>
      <c r="S4417" s="9">
        <f>IF(R4417="",AVERAGEIF(Table1[Category],Table1[[#This Row],[Category]],Table2[orignal data]),Table2[[#This Row],[orignal data]])</f>
        <v>1889.5800000000004</v>
      </c>
      <c r="T4417" t="str">
        <f t="shared" si="274"/>
        <v>UNIQUE</v>
      </c>
      <c r="U4417" t="str">
        <f>IF(ISBLANK(Table1[[#This Row],[SizeOption]]),"NOT AVAILABLE",Table1[[#This Row],[SizeOption]])</f>
        <v>Onesize</v>
      </c>
      <c r="Y4417" t="str">
        <f>IF(Table2[[#This Row],[Column1]]&gt;50%,"HIGH DISCOUNT","LOW DISCOUNT")</f>
        <v>HIGH DISCOUNT</v>
      </c>
    </row>
    <row r="4418" spans="1:25" x14ac:dyDescent="0.25">
      <c r="A4418" s="1" t="s">
        <v>9036</v>
      </c>
      <c r="B4418" s="1">
        <v>11245668</v>
      </c>
      <c r="C4418" s="1" t="s">
        <v>67</v>
      </c>
      <c r="D4418" s="1" t="s">
        <v>34</v>
      </c>
      <c r="E4418" s="1" t="s">
        <v>118</v>
      </c>
      <c r="F4418" s="1" t="s">
        <v>36</v>
      </c>
      <c r="G4418" s="1" t="s">
        <v>9037</v>
      </c>
      <c r="H4418">
        <v>584</v>
      </c>
      <c r="I4418" s="1">
        <v>1299</v>
      </c>
      <c r="J4418" s="1" t="s">
        <v>25</v>
      </c>
      <c r="K4418" s="1" t="s">
        <v>45</v>
      </c>
      <c r="L4418" s="1">
        <v>4.2</v>
      </c>
      <c r="M4418" s="1">
        <v>502</v>
      </c>
      <c r="P4418" t="str">
        <f t="shared" si="275"/>
        <v>55%</v>
      </c>
      <c r="Q4418" s="12">
        <f t="shared" ref="Q4418:Q4481" si="276">IF(P4418="","",IF(ISNUMBER(SEARCH("%",P4418)),P4418,P4418/I4418)*100%)</f>
        <v>0.55000000000000004</v>
      </c>
      <c r="R4418" s="9">
        <f t="shared" ref="R4418:R4481" si="277">IF(P4418="","",I4418-(I4418*Q4418))</f>
        <v>584.54999999999995</v>
      </c>
      <c r="S4418" s="9">
        <f>IF(R4418="",AVERAGEIF(Table1[Category],Table1[[#This Row],[Category]],Table2[orignal data]),Table2[[#This Row],[orignal data]])</f>
        <v>584.54999999999995</v>
      </c>
      <c r="T4418" t="str">
        <f t="shared" ref="T4418:T4481" si="278">IF(COUNTIF($B$2:$B$5000,B4418)&gt;1,"DUPLICATE","UNIQUE")</f>
        <v>UNIQUE</v>
      </c>
      <c r="U4418" t="str">
        <f>IF(ISBLANK(Table1[[#This Row],[SizeOption]]),"NOT AVAILABLE",Table1[[#This Row],[SizeOption]])</f>
        <v>XS, S, M, L, XL</v>
      </c>
      <c r="Y4418" t="str">
        <f>IF(Table2[[#This Row],[Column1]]&gt;50%,"HIGH DISCOUNT","LOW DISCOUNT")</f>
        <v>HIGH DISCOUNT</v>
      </c>
    </row>
    <row r="4419" spans="1:25" x14ac:dyDescent="0.25">
      <c r="A4419" s="2" t="s">
        <v>9038</v>
      </c>
      <c r="B4419" s="2">
        <v>12163940</v>
      </c>
      <c r="C4419" s="2" t="s">
        <v>97</v>
      </c>
      <c r="D4419" s="2" t="s">
        <v>98</v>
      </c>
      <c r="E4419" s="2" t="s">
        <v>53</v>
      </c>
      <c r="F4419" s="2" t="s">
        <v>36</v>
      </c>
      <c r="G4419" s="2" t="s">
        <v>9039</v>
      </c>
      <c r="H4419">
        <v>399</v>
      </c>
      <c r="I4419" s="2">
        <v>999</v>
      </c>
      <c r="J4419" s="2" t="s">
        <v>55</v>
      </c>
      <c r="K4419" s="2" t="s">
        <v>2290</v>
      </c>
      <c r="L4419" s="2">
        <v>3.9</v>
      </c>
      <c r="M4419" s="2">
        <v>502</v>
      </c>
      <c r="P4419" t="str">
        <f t="shared" ref="P4419:P4482" si="279">TRIM(SUBSTITUTE(SUBSTITUTE(SUBSTITUTE(SUBSTITUTE(J4419,"OFF",""),"Rs.",""),"Hurry*",""),",",""))</f>
        <v>60%</v>
      </c>
      <c r="Q4419" s="12">
        <f t="shared" si="276"/>
        <v>0.6</v>
      </c>
      <c r="R4419" s="9">
        <f t="shared" si="277"/>
        <v>399.6</v>
      </c>
      <c r="S4419" s="9">
        <f>IF(R4419="",AVERAGEIF(Table1[Category],Table1[[#This Row],[Category]],Table2[orignal data]),Table2[[#This Row],[orignal data]])</f>
        <v>399.6</v>
      </c>
      <c r="T4419" t="str">
        <f t="shared" si="278"/>
        <v>UNIQUE</v>
      </c>
      <c r="U4419" t="str">
        <f>IF(ISBLANK(Table1[[#This Row],[SizeOption]]),"NOT AVAILABLE",Table1[[#This Row],[SizeOption]])</f>
        <v>26, 28, 30, 32, 34, 36, 38</v>
      </c>
      <c r="Y4419" t="str">
        <f>IF(Table2[[#This Row],[Column1]]&gt;50%,"HIGH DISCOUNT","LOW DISCOUNT")</f>
        <v>HIGH DISCOUNT</v>
      </c>
    </row>
    <row r="4420" spans="1:25" x14ac:dyDescent="0.25">
      <c r="A4420" s="1" t="s">
        <v>9040</v>
      </c>
      <c r="B4420" s="1">
        <v>10868192</v>
      </c>
      <c r="C4420" s="1" t="s">
        <v>1385</v>
      </c>
      <c r="D4420" s="1" t="s">
        <v>41</v>
      </c>
      <c r="E4420" s="1" t="s">
        <v>29</v>
      </c>
      <c r="F4420" s="1" t="s">
        <v>36</v>
      </c>
      <c r="G4420" s="1" t="s">
        <v>9041</v>
      </c>
      <c r="I4420" s="1">
        <v>1499</v>
      </c>
      <c r="J4420" s="1" t="s">
        <v>44</v>
      </c>
      <c r="K4420" s="1" t="s">
        <v>45</v>
      </c>
      <c r="L4420" s="1">
        <v>4.0999999999999996</v>
      </c>
      <c r="M4420" s="1">
        <v>502</v>
      </c>
      <c r="P4420" t="str">
        <f t="shared" si="279"/>
        <v>35%</v>
      </c>
      <c r="Q4420" s="12">
        <f t="shared" si="276"/>
        <v>0.35</v>
      </c>
      <c r="R4420" s="9">
        <f t="shared" si="277"/>
        <v>974.35</v>
      </c>
      <c r="S4420" s="9">
        <f>IF(R4420="",AVERAGEIF(Table1[Category],Table1[[#This Row],[Category]],Table2[orignal data]),Table2[[#This Row],[orignal data]])</f>
        <v>974.35</v>
      </c>
      <c r="T4420" t="str">
        <f t="shared" si="278"/>
        <v>UNIQUE</v>
      </c>
      <c r="U4420" t="str">
        <f>IF(ISBLANK(Table1[[#This Row],[SizeOption]]),"NOT AVAILABLE",Table1[[#This Row],[SizeOption]])</f>
        <v>XS, S, M, L, XL</v>
      </c>
      <c r="Y4420" t="str">
        <f>IF(Table2[[#This Row],[Column1]]&gt;50%,"HIGH DISCOUNT","LOW DISCOUNT")</f>
        <v>LOW DISCOUNT</v>
      </c>
    </row>
    <row r="4421" spans="1:25" x14ac:dyDescent="0.25">
      <c r="A4421" s="2" t="s">
        <v>9042</v>
      </c>
      <c r="B4421" s="2">
        <v>11118500</v>
      </c>
      <c r="C4421" s="2" t="s">
        <v>14</v>
      </c>
      <c r="D4421" s="2" t="s">
        <v>41</v>
      </c>
      <c r="E4421" s="2" t="s">
        <v>137</v>
      </c>
      <c r="F4421" s="2" t="s">
        <v>36</v>
      </c>
      <c r="G4421" s="2" t="s">
        <v>5757</v>
      </c>
      <c r="I4421" s="2">
        <v>1499</v>
      </c>
      <c r="J4421" s="2" t="s">
        <v>25</v>
      </c>
      <c r="K4421" s="2" t="s">
        <v>134</v>
      </c>
      <c r="L4421" s="2">
        <v>4.4000000000000004</v>
      </c>
      <c r="M4421" s="2">
        <v>502</v>
      </c>
      <c r="P4421" t="str">
        <f t="shared" si="279"/>
        <v>55%</v>
      </c>
      <c r="Q4421" s="12">
        <f t="shared" si="276"/>
        <v>0.55000000000000004</v>
      </c>
      <c r="R4421" s="9">
        <f t="shared" si="277"/>
        <v>674.55</v>
      </c>
      <c r="S4421" s="9">
        <f>IF(R4421="",AVERAGEIF(Table1[Category],Table1[[#This Row],[Category]],Table2[orignal data]),Table2[[#This Row],[orignal data]])</f>
        <v>674.55</v>
      </c>
      <c r="T4421" t="str">
        <f t="shared" si="278"/>
        <v>UNIQUE</v>
      </c>
      <c r="U4421" t="str">
        <f>IF(ISBLANK(Table1[[#This Row],[SizeOption]]),"NOT AVAILABLE",Table1[[#This Row],[SizeOption]])</f>
        <v>26, 28, 30, 32, 34, 36</v>
      </c>
      <c r="Y4421" t="str">
        <f>IF(Table2[[#This Row],[Column1]]&gt;50%,"HIGH DISCOUNT","LOW DISCOUNT")</f>
        <v>HIGH DISCOUNT</v>
      </c>
    </row>
    <row r="4422" spans="1:25" x14ac:dyDescent="0.25">
      <c r="A4422" s="1" t="s">
        <v>9043</v>
      </c>
      <c r="B4422" s="1">
        <v>17525208</v>
      </c>
      <c r="C4422" s="1" t="s">
        <v>47</v>
      </c>
      <c r="D4422" s="1" t="s">
        <v>41</v>
      </c>
      <c r="E4422" s="1" t="s">
        <v>42</v>
      </c>
      <c r="F4422" s="1" t="s">
        <v>36</v>
      </c>
      <c r="G4422" s="1" t="s">
        <v>9044</v>
      </c>
      <c r="I4422" s="1">
        <v>1598</v>
      </c>
      <c r="J4422" s="1" t="s">
        <v>84</v>
      </c>
      <c r="K4422" s="1" t="s">
        <v>1234</v>
      </c>
      <c r="L4422" s="1">
        <v>4.4000000000000004</v>
      </c>
      <c r="M4422" s="1">
        <v>502</v>
      </c>
      <c r="P4422" t="str">
        <f t="shared" si="279"/>
        <v>50%</v>
      </c>
      <c r="Q4422" s="12">
        <f t="shared" si="276"/>
        <v>0.5</v>
      </c>
      <c r="R4422" s="9">
        <f t="shared" si="277"/>
        <v>799</v>
      </c>
      <c r="S4422" s="9">
        <f>IF(R4422="",AVERAGEIF(Table1[Category],Table1[[#This Row],[Category]],Table2[orignal data]),Table2[[#This Row],[orignal data]])</f>
        <v>799</v>
      </c>
      <c r="T4422" t="str">
        <f t="shared" si="278"/>
        <v>UNIQUE</v>
      </c>
      <c r="U4422" t="str">
        <f>IF(ISBLANK(Table1[[#This Row],[SizeOption]]),"NOT AVAILABLE",Table1[[#This Row],[SizeOption]])</f>
        <v>XL, L, M, S, XS</v>
      </c>
      <c r="Y4422" t="str">
        <f>IF(Table2[[#This Row],[Column1]]&gt;50%,"HIGH DISCOUNT","LOW DISCOUNT")</f>
        <v>LOW DISCOUNT</v>
      </c>
    </row>
    <row r="4423" spans="1:25" x14ac:dyDescent="0.25">
      <c r="A4423" s="2" t="s">
        <v>9045</v>
      </c>
      <c r="B4423" s="2">
        <v>11636208</v>
      </c>
      <c r="C4423" s="2" t="s">
        <v>1656</v>
      </c>
      <c r="D4423" s="2" t="s">
        <v>41</v>
      </c>
      <c r="E4423" s="2" t="s">
        <v>148</v>
      </c>
      <c r="F4423" s="2" t="s">
        <v>36</v>
      </c>
      <c r="G4423" s="2" t="s">
        <v>9046</v>
      </c>
      <c r="I4423" s="2">
        <v>2299</v>
      </c>
      <c r="J4423" s="2"/>
      <c r="K4423" s="2" t="s">
        <v>115</v>
      </c>
      <c r="L4423" s="2">
        <v>4.3</v>
      </c>
      <c r="M4423" s="2">
        <v>502</v>
      </c>
      <c r="P4423" t="str">
        <f t="shared" si="279"/>
        <v/>
      </c>
      <c r="Q4423" s="12" t="str">
        <f t="shared" si="276"/>
        <v/>
      </c>
      <c r="R4423" s="9" t="str">
        <f t="shared" si="277"/>
        <v/>
      </c>
      <c r="S4423" s="9">
        <f>IF(R4423="",AVERAGEIF(Table1[Category],Table1[[#This Row],[Category]],Table2[orignal data]),Table2[[#This Row],[orignal data]])</f>
        <v>715.78890751086249</v>
      </c>
      <c r="T4423" t="str">
        <f t="shared" si="278"/>
        <v>UNIQUE</v>
      </c>
      <c r="U4423" t="str">
        <f>IF(ISBLANK(Table1[[#This Row],[SizeOption]]),"NOT AVAILABLE",Table1[[#This Row],[SizeOption]])</f>
        <v>XS, S, M, L, XL, XXL</v>
      </c>
      <c r="Y4423" t="str">
        <f>IF(Table2[[#This Row],[Column1]]&gt;50%,"HIGH DISCOUNT","LOW DISCOUNT")</f>
        <v>HIGH DISCOUNT</v>
      </c>
    </row>
    <row r="4424" spans="1:25" x14ac:dyDescent="0.25">
      <c r="A4424" s="1" t="s">
        <v>9047</v>
      </c>
      <c r="B4424" s="1">
        <v>2200590</v>
      </c>
      <c r="C4424" s="1" t="s">
        <v>9048</v>
      </c>
      <c r="D4424" s="1" t="s">
        <v>15</v>
      </c>
      <c r="E4424" s="1" t="s">
        <v>16</v>
      </c>
      <c r="F4424" s="1" t="s">
        <v>17</v>
      </c>
      <c r="G4424" s="1" t="s">
        <v>9049</v>
      </c>
      <c r="I4424" s="1">
        <v>1999</v>
      </c>
      <c r="J4424" s="1"/>
      <c r="K4424" s="1" t="s">
        <v>195</v>
      </c>
      <c r="L4424" s="1">
        <v>4.4000000000000004</v>
      </c>
      <c r="M4424" s="1">
        <v>501</v>
      </c>
      <c r="P4424" t="str">
        <f t="shared" si="279"/>
        <v/>
      </c>
      <c r="Q4424" s="12" t="str">
        <f t="shared" si="276"/>
        <v/>
      </c>
      <c r="R4424" s="9" t="str">
        <f t="shared" si="277"/>
        <v/>
      </c>
      <c r="S4424" s="9">
        <f>IF(R4424="",AVERAGEIF(Table1[Category],Table1[[#This Row],[Category]],Table2[orignal data]),Table2[[#This Row],[orignal data]])</f>
        <v>892.27590339892538</v>
      </c>
      <c r="T4424" t="str">
        <f t="shared" si="278"/>
        <v>UNIQUE</v>
      </c>
      <c r="U4424" t="str">
        <f>IF(ISBLANK(Table1[[#This Row],[SizeOption]]),"NOT AVAILABLE",Table1[[#This Row],[SizeOption]])</f>
        <v>28, 30, 32, 34, 36, 38, 40</v>
      </c>
      <c r="Y4424" t="str">
        <f>IF(Table2[[#This Row],[Column1]]&gt;50%,"HIGH DISCOUNT","LOW DISCOUNT")</f>
        <v>HIGH DISCOUNT</v>
      </c>
    </row>
    <row r="4425" spans="1:25" x14ac:dyDescent="0.25">
      <c r="A4425" s="2" t="s">
        <v>9050</v>
      </c>
      <c r="B4425" s="2">
        <v>9181045</v>
      </c>
      <c r="C4425" s="2" t="s">
        <v>1952</v>
      </c>
      <c r="D4425" s="2" t="s">
        <v>15</v>
      </c>
      <c r="E4425" s="2" t="s">
        <v>53</v>
      </c>
      <c r="F4425" s="2" t="s">
        <v>17</v>
      </c>
      <c r="G4425" s="2" t="s">
        <v>9051</v>
      </c>
      <c r="H4425">
        <v>909</v>
      </c>
      <c r="I4425" s="2">
        <v>2599</v>
      </c>
      <c r="J4425" s="2" t="s">
        <v>150</v>
      </c>
      <c r="K4425" s="2" t="s">
        <v>195</v>
      </c>
      <c r="L4425" s="2">
        <v>3.7</v>
      </c>
      <c r="M4425" s="2">
        <v>501</v>
      </c>
      <c r="P4425" t="str">
        <f t="shared" si="279"/>
        <v>65%</v>
      </c>
      <c r="Q4425" s="12">
        <f t="shared" si="276"/>
        <v>0.65</v>
      </c>
      <c r="R4425" s="9">
        <f t="shared" si="277"/>
        <v>909.64999999999986</v>
      </c>
      <c r="S4425" s="9">
        <f>IF(R4425="",AVERAGEIF(Table1[Category],Table1[[#This Row],[Category]],Table2[orignal data]),Table2[[#This Row],[orignal data]])</f>
        <v>909.64999999999986</v>
      </c>
      <c r="T4425" t="str">
        <f t="shared" si="278"/>
        <v>UNIQUE</v>
      </c>
      <c r="U4425" t="str">
        <f>IF(ISBLANK(Table1[[#This Row],[SizeOption]]),"NOT AVAILABLE",Table1[[#This Row],[SizeOption]])</f>
        <v>28, 30, 32, 34, 36, 38, 40</v>
      </c>
      <c r="Y4425" t="str">
        <f>IF(Table2[[#This Row],[Column1]]&gt;50%,"HIGH DISCOUNT","LOW DISCOUNT")</f>
        <v>HIGH DISCOUNT</v>
      </c>
    </row>
    <row r="4426" spans="1:25" x14ac:dyDescent="0.25">
      <c r="A4426" s="1" t="s">
        <v>9052</v>
      </c>
      <c r="B4426" s="1">
        <v>6863013</v>
      </c>
      <c r="C4426" s="1" t="s">
        <v>47</v>
      </c>
      <c r="D4426" s="1" t="s">
        <v>15</v>
      </c>
      <c r="E4426" s="1" t="s">
        <v>23</v>
      </c>
      <c r="F4426" s="1" t="s">
        <v>17</v>
      </c>
      <c r="G4426" s="1" t="s">
        <v>9053</v>
      </c>
      <c r="H4426">
        <v>989</v>
      </c>
      <c r="I4426" s="1">
        <v>1799</v>
      </c>
      <c r="J4426" s="1" t="s">
        <v>19</v>
      </c>
      <c r="K4426" s="1" t="s">
        <v>115</v>
      </c>
      <c r="L4426" s="1">
        <v>4.3</v>
      </c>
      <c r="M4426" s="1">
        <v>501</v>
      </c>
      <c r="P4426" t="str">
        <f t="shared" si="279"/>
        <v>45%</v>
      </c>
      <c r="Q4426" s="12">
        <f t="shared" si="276"/>
        <v>0.45</v>
      </c>
      <c r="R4426" s="9">
        <f t="shared" si="277"/>
        <v>989.44999999999993</v>
      </c>
      <c r="S4426" s="9">
        <f>IF(R4426="",AVERAGEIF(Table1[Category],Table1[[#This Row],[Category]],Table2[orignal data]),Table2[[#This Row],[orignal data]])</f>
        <v>989.44999999999993</v>
      </c>
      <c r="T4426" t="str">
        <f t="shared" si="278"/>
        <v>UNIQUE</v>
      </c>
      <c r="U4426" t="str">
        <f>IF(ISBLANK(Table1[[#This Row],[SizeOption]]),"NOT AVAILABLE",Table1[[#This Row],[SizeOption]])</f>
        <v>XS, S, M, L, XL, XXL</v>
      </c>
      <c r="Y4426" t="str">
        <f>IF(Table2[[#This Row],[Column1]]&gt;50%,"HIGH DISCOUNT","LOW DISCOUNT")</f>
        <v>LOW DISCOUNT</v>
      </c>
    </row>
    <row r="4427" spans="1:25" x14ac:dyDescent="0.25">
      <c r="A4427" s="2" t="s">
        <v>9054</v>
      </c>
      <c r="B4427" s="2">
        <v>11435726</v>
      </c>
      <c r="C4427" s="2" t="s">
        <v>837</v>
      </c>
      <c r="D4427" s="2" t="s">
        <v>76</v>
      </c>
      <c r="E4427" s="2" t="s">
        <v>320</v>
      </c>
      <c r="F4427" s="2" t="s">
        <v>36</v>
      </c>
      <c r="G4427" s="2" t="s">
        <v>9055</v>
      </c>
      <c r="H4427">
        <v>604</v>
      </c>
      <c r="I4427" s="2">
        <v>2085</v>
      </c>
      <c r="J4427" s="2" t="s">
        <v>279</v>
      </c>
      <c r="K4427" s="2" t="s">
        <v>164</v>
      </c>
      <c r="L4427" s="2">
        <v>3.5</v>
      </c>
      <c r="M4427" s="2">
        <v>501</v>
      </c>
      <c r="P4427" t="str">
        <f t="shared" si="279"/>
        <v>71%</v>
      </c>
      <c r="Q4427" s="12">
        <f t="shared" si="276"/>
        <v>0.71</v>
      </c>
      <c r="R4427" s="9">
        <f t="shared" si="277"/>
        <v>604.65000000000009</v>
      </c>
      <c r="S4427" s="9">
        <f>IF(R4427="",AVERAGEIF(Table1[Category],Table1[[#This Row],[Category]],Table2[orignal data]),Table2[[#This Row],[orignal data]])</f>
        <v>604.65000000000009</v>
      </c>
      <c r="T4427" t="str">
        <f t="shared" si="278"/>
        <v>UNIQUE</v>
      </c>
      <c r="U4427" t="str">
        <f>IF(ISBLANK(Table1[[#This Row],[SizeOption]]),"NOT AVAILABLE",Table1[[#This Row],[SizeOption]])</f>
        <v>Onesize</v>
      </c>
      <c r="Y4427" t="str">
        <f>IF(Table2[[#This Row],[Column1]]&gt;50%,"HIGH DISCOUNT","LOW DISCOUNT")</f>
        <v>HIGH DISCOUNT</v>
      </c>
    </row>
    <row r="4428" spans="1:25" x14ac:dyDescent="0.25">
      <c r="A4428" s="1" t="s">
        <v>9056</v>
      </c>
      <c r="B4428" s="1">
        <v>10691454</v>
      </c>
      <c r="C4428" s="1" t="s">
        <v>181</v>
      </c>
      <c r="D4428" s="1" t="s">
        <v>76</v>
      </c>
      <c r="E4428" s="1" t="s">
        <v>148</v>
      </c>
      <c r="F4428" s="1" t="s">
        <v>36</v>
      </c>
      <c r="G4428" s="1" t="s">
        <v>9057</v>
      </c>
      <c r="H4428">
        <v>1033</v>
      </c>
      <c r="I4428" s="1">
        <v>2199</v>
      </c>
      <c r="J4428" s="1" t="s">
        <v>89</v>
      </c>
      <c r="K4428" s="1" t="s">
        <v>115</v>
      </c>
      <c r="L4428" s="1">
        <v>4.3</v>
      </c>
      <c r="M4428" s="1">
        <v>501</v>
      </c>
      <c r="P4428" t="str">
        <f t="shared" si="279"/>
        <v>53%</v>
      </c>
      <c r="Q4428" s="12">
        <f t="shared" si="276"/>
        <v>0.53</v>
      </c>
      <c r="R4428" s="9">
        <f t="shared" si="277"/>
        <v>1033.53</v>
      </c>
      <c r="S4428" s="9">
        <f>IF(R4428="",AVERAGEIF(Table1[Category],Table1[[#This Row],[Category]],Table2[orignal data]),Table2[[#This Row],[orignal data]])</f>
        <v>1033.53</v>
      </c>
      <c r="T4428" t="str">
        <f t="shared" si="278"/>
        <v>UNIQUE</v>
      </c>
      <c r="U4428" t="str">
        <f>IF(ISBLANK(Table1[[#This Row],[SizeOption]]),"NOT AVAILABLE",Table1[[#This Row],[SizeOption]])</f>
        <v>XS, S, M, L, XL, XXL</v>
      </c>
      <c r="Y4428" t="str">
        <f>IF(Table2[[#This Row],[Column1]]&gt;50%,"HIGH DISCOUNT","LOW DISCOUNT")</f>
        <v>HIGH DISCOUNT</v>
      </c>
    </row>
    <row r="4429" spans="1:25" x14ac:dyDescent="0.25">
      <c r="A4429" s="2" t="s">
        <v>9058</v>
      </c>
      <c r="B4429" s="2">
        <v>9063647</v>
      </c>
      <c r="C4429" s="2" t="s">
        <v>9059</v>
      </c>
      <c r="D4429" s="2" t="s">
        <v>76</v>
      </c>
      <c r="E4429" s="2" t="s">
        <v>93</v>
      </c>
      <c r="F4429" s="2" t="s">
        <v>36</v>
      </c>
      <c r="G4429" s="2" t="s">
        <v>9060</v>
      </c>
      <c r="H4429">
        <v>874</v>
      </c>
      <c r="I4429" s="2">
        <v>2499</v>
      </c>
      <c r="J4429" s="2" t="s">
        <v>150</v>
      </c>
      <c r="K4429" s="2" t="s">
        <v>881</v>
      </c>
      <c r="L4429" s="2">
        <v>3.7</v>
      </c>
      <c r="M4429" s="2">
        <v>501</v>
      </c>
      <c r="P4429" t="str">
        <f t="shared" si="279"/>
        <v>65%</v>
      </c>
      <c r="Q4429" s="12">
        <f t="shared" si="276"/>
        <v>0.65</v>
      </c>
      <c r="R4429" s="9">
        <f t="shared" si="277"/>
        <v>874.64999999999986</v>
      </c>
      <c r="S4429" s="9">
        <f>IF(R4429="",AVERAGEIF(Table1[Category],Table1[[#This Row],[Category]],Table2[orignal data]),Table2[[#This Row],[orignal data]])</f>
        <v>874.64999999999986</v>
      </c>
      <c r="T4429" t="str">
        <f t="shared" si="278"/>
        <v>UNIQUE</v>
      </c>
      <c r="U4429" t="str">
        <f>IF(ISBLANK(Table1[[#This Row],[SizeOption]]),"NOT AVAILABLE",Table1[[#This Row],[SizeOption]])</f>
        <v>M, L, XL, XXL</v>
      </c>
      <c r="Y4429" t="str">
        <f>IF(Table2[[#This Row],[Column1]]&gt;50%,"HIGH DISCOUNT","LOW DISCOUNT")</f>
        <v>HIGH DISCOUNT</v>
      </c>
    </row>
    <row r="4430" spans="1:25" x14ac:dyDescent="0.25">
      <c r="A4430" s="1" t="s">
        <v>9061</v>
      </c>
      <c r="B4430" s="1">
        <v>14810388</v>
      </c>
      <c r="C4430" s="1" t="s">
        <v>33</v>
      </c>
      <c r="D4430" s="1" t="s">
        <v>34</v>
      </c>
      <c r="E4430" s="1" t="s">
        <v>118</v>
      </c>
      <c r="F4430" s="1" t="s">
        <v>36</v>
      </c>
      <c r="G4430" s="1" t="s">
        <v>9062</v>
      </c>
      <c r="H4430">
        <v>449</v>
      </c>
      <c r="I4430" s="1">
        <v>749</v>
      </c>
      <c r="J4430" s="1" t="s">
        <v>50</v>
      </c>
      <c r="K4430" s="1" t="s">
        <v>9063</v>
      </c>
      <c r="L4430" s="1">
        <v>4.2</v>
      </c>
      <c r="M4430" s="1">
        <v>501</v>
      </c>
      <c r="P4430" t="str">
        <f t="shared" si="279"/>
        <v>40%</v>
      </c>
      <c r="Q4430" s="12">
        <f t="shared" si="276"/>
        <v>0.4</v>
      </c>
      <c r="R4430" s="9">
        <f t="shared" si="277"/>
        <v>449.4</v>
      </c>
      <c r="S4430" s="9">
        <f>IF(R4430="",AVERAGEIF(Table1[Category],Table1[[#This Row],[Category]],Table2[orignal data]),Table2[[#This Row],[orignal data]])</f>
        <v>449.4</v>
      </c>
      <c r="T4430" t="str">
        <f t="shared" si="278"/>
        <v>UNIQUE</v>
      </c>
      <c r="U4430" t="str">
        <f>IF(ISBLANK(Table1[[#This Row],[SizeOption]]),"NOT AVAILABLE",Table1[[#This Row],[SizeOption]])</f>
        <v>32B, 32C, 32D, 32DD, 32E, 34B, 34C, 34D, 34DD, 34E, 36B, 36C, 36D, 36DD, 36E, 38B, 38C, 38D, 38DD, 38E, 40C, 40D, 40DD, 40E, 42DD, 42E</v>
      </c>
      <c r="Y4430" t="str">
        <f>IF(Table2[[#This Row],[Column1]]&gt;50%,"HIGH DISCOUNT","LOW DISCOUNT")</f>
        <v>LOW DISCOUNT</v>
      </c>
    </row>
    <row r="4431" spans="1:25" x14ac:dyDescent="0.25">
      <c r="A4431" s="2" t="s">
        <v>9064</v>
      </c>
      <c r="B4431" s="2">
        <v>12026420</v>
      </c>
      <c r="C4431" s="2" t="s">
        <v>102</v>
      </c>
      <c r="D4431" s="2" t="s">
        <v>41</v>
      </c>
      <c r="E4431" s="2" t="s">
        <v>53</v>
      </c>
      <c r="F4431" s="2" t="s">
        <v>36</v>
      </c>
      <c r="G4431" s="2" t="s">
        <v>9065</v>
      </c>
      <c r="I4431" s="2">
        <v>1249</v>
      </c>
      <c r="J4431" s="2" t="s">
        <v>208</v>
      </c>
      <c r="K4431" s="2" t="s">
        <v>105</v>
      </c>
      <c r="L4431" s="2">
        <v>4.0999999999999996</v>
      </c>
      <c r="M4431" s="2">
        <v>501</v>
      </c>
      <c r="P4431" t="str">
        <f t="shared" si="279"/>
        <v>52%</v>
      </c>
      <c r="Q4431" s="12">
        <f t="shared" si="276"/>
        <v>0.52</v>
      </c>
      <c r="R4431" s="9">
        <f t="shared" si="277"/>
        <v>599.52</v>
      </c>
      <c r="S4431" s="9">
        <f>IF(R4431="",AVERAGEIF(Table1[Category],Table1[[#This Row],[Category]],Table2[orignal data]),Table2[[#This Row],[orignal data]])</f>
        <v>599.52</v>
      </c>
      <c r="T4431" t="str">
        <f t="shared" si="278"/>
        <v>UNIQUE</v>
      </c>
      <c r="U4431" t="str">
        <f>IF(ISBLANK(Table1[[#This Row],[SizeOption]]),"NOT AVAILABLE",Table1[[#This Row],[SizeOption]])</f>
        <v>28, 30, 32, 34</v>
      </c>
      <c r="Y4431" t="str">
        <f>IF(Table2[[#This Row],[Column1]]&gt;50%,"HIGH DISCOUNT","LOW DISCOUNT")</f>
        <v>HIGH DISCOUNT</v>
      </c>
    </row>
    <row r="4432" spans="1:25" x14ac:dyDescent="0.25">
      <c r="A4432" s="1" t="s">
        <v>9066</v>
      </c>
      <c r="B4432" s="1">
        <v>6826883</v>
      </c>
      <c r="C4432" s="1" t="s">
        <v>107</v>
      </c>
      <c r="D4432" s="1" t="s">
        <v>41</v>
      </c>
      <c r="E4432" s="1" t="s">
        <v>148</v>
      </c>
      <c r="F4432" s="1" t="s">
        <v>36</v>
      </c>
      <c r="G4432" s="1" t="s">
        <v>9067</v>
      </c>
      <c r="I4432" s="1">
        <v>2099</v>
      </c>
      <c r="J4432" s="1" t="s">
        <v>84</v>
      </c>
      <c r="K4432" s="1" t="s">
        <v>115</v>
      </c>
      <c r="L4432" s="1">
        <v>4.4000000000000004</v>
      </c>
      <c r="M4432" s="1">
        <v>501</v>
      </c>
      <c r="P4432" t="str">
        <f t="shared" si="279"/>
        <v>50%</v>
      </c>
      <c r="Q4432" s="12">
        <f t="shared" si="276"/>
        <v>0.5</v>
      </c>
      <c r="R4432" s="9">
        <f t="shared" si="277"/>
        <v>1049.5</v>
      </c>
      <c r="S4432" s="9">
        <f>IF(R4432="",AVERAGEIF(Table1[Category],Table1[[#This Row],[Category]],Table2[orignal data]),Table2[[#This Row],[orignal data]])</f>
        <v>1049.5</v>
      </c>
      <c r="T4432" t="str">
        <f t="shared" si="278"/>
        <v>UNIQUE</v>
      </c>
      <c r="U4432" t="str">
        <f>IF(ISBLANK(Table1[[#This Row],[SizeOption]]),"NOT AVAILABLE",Table1[[#This Row],[SizeOption]])</f>
        <v>XS, S, M, L, XL, XXL</v>
      </c>
      <c r="Y4432" t="str">
        <f>IF(Table2[[#This Row],[Column1]]&gt;50%,"HIGH DISCOUNT","LOW DISCOUNT")</f>
        <v>LOW DISCOUNT</v>
      </c>
    </row>
    <row r="4433" spans="1:25" x14ac:dyDescent="0.25">
      <c r="A4433" s="2" t="s">
        <v>9068</v>
      </c>
      <c r="B4433" s="2">
        <v>11893832</v>
      </c>
      <c r="C4433" s="2" t="s">
        <v>14</v>
      </c>
      <c r="D4433" s="2" t="s">
        <v>41</v>
      </c>
      <c r="E4433" s="2" t="s">
        <v>42</v>
      </c>
      <c r="F4433" s="2" t="s">
        <v>36</v>
      </c>
      <c r="G4433" s="2" t="s">
        <v>9069</v>
      </c>
      <c r="I4433" s="2">
        <v>599</v>
      </c>
      <c r="J4433" s="2" t="s">
        <v>50</v>
      </c>
      <c r="K4433" s="2" t="s">
        <v>45</v>
      </c>
      <c r="L4433" s="2">
        <v>4.4000000000000004</v>
      </c>
      <c r="M4433" s="2">
        <v>501</v>
      </c>
      <c r="P4433" t="str">
        <f t="shared" si="279"/>
        <v>40%</v>
      </c>
      <c r="Q4433" s="12">
        <f t="shared" si="276"/>
        <v>0.4</v>
      </c>
      <c r="R4433" s="9">
        <f t="shared" si="277"/>
        <v>359.4</v>
      </c>
      <c r="S4433" s="9">
        <f>IF(R4433="",AVERAGEIF(Table1[Category],Table1[[#This Row],[Category]],Table2[orignal data]),Table2[[#This Row],[orignal data]])</f>
        <v>359.4</v>
      </c>
      <c r="T4433" t="str">
        <f t="shared" si="278"/>
        <v>UNIQUE</v>
      </c>
      <c r="U4433" t="str">
        <f>IF(ISBLANK(Table1[[#This Row],[SizeOption]]),"NOT AVAILABLE",Table1[[#This Row],[SizeOption]])</f>
        <v>XS, S, M, L, XL</v>
      </c>
      <c r="Y4433" t="str">
        <f>IF(Table2[[#This Row],[Column1]]&gt;50%,"HIGH DISCOUNT","LOW DISCOUNT")</f>
        <v>LOW DISCOUNT</v>
      </c>
    </row>
    <row r="4434" spans="1:25" x14ac:dyDescent="0.25">
      <c r="A4434" s="1" t="s">
        <v>9070</v>
      </c>
      <c r="B4434" s="1">
        <v>10092093</v>
      </c>
      <c r="C4434" s="1" t="s">
        <v>14</v>
      </c>
      <c r="D4434" s="1" t="s">
        <v>15</v>
      </c>
      <c r="E4434" s="1" t="s">
        <v>16</v>
      </c>
      <c r="F4434" s="1" t="s">
        <v>17</v>
      </c>
      <c r="G4434" s="1" t="s">
        <v>9071</v>
      </c>
      <c r="H4434">
        <v>574</v>
      </c>
      <c r="I4434" s="1">
        <v>2299</v>
      </c>
      <c r="J4434" s="1" t="s">
        <v>109</v>
      </c>
      <c r="K4434" s="1" t="s">
        <v>20</v>
      </c>
      <c r="L4434" s="1">
        <v>3.8</v>
      </c>
      <c r="M4434" s="1">
        <v>500</v>
      </c>
      <c r="P4434" t="str">
        <f t="shared" si="279"/>
        <v>75%</v>
      </c>
      <c r="Q4434" s="12">
        <f t="shared" si="276"/>
        <v>0.75</v>
      </c>
      <c r="R4434" s="9">
        <f t="shared" si="277"/>
        <v>574.75</v>
      </c>
      <c r="S4434" s="9">
        <f>IF(R4434="",AVERAGEIF(Table1[Category],Table1[[#This Row],[Category]],Table2[orignal data]),Table2[[#This Row],[orignal data]])</f>
        <v>574.75</v>
      </c>
      <c r="T4434" t="str">
        <f t="shared" si="278"/>
        <v>UNIQUE</v>
      </c>
      <c r="U4434" t="str">
        <f>IF(ISBLANK(Table1[[#This Row],[SizeOption]]),"NOT AVAILABLE",Table1[[#This Row],[SizeOption]])</f>
        <v>28, 30, 32, 34, 36</v>
      </c>
      <c r="Y4434" t="str">
        <f>IF(Table2[[#This Row],[Column1]]&gt;50%,"HIGH DISCOUNT","LOW DISCOUNT")</f>
        <v>HIGH DISCOUNT</v>
      </c>
    </row>
    <row r="4435" spans="1:25" x14ac:dyDescent="0.25">
      <c r="A4435" s="2" t="s">
        <v>9072</v>
      </c>
      <c r="B4435" s="2">
        <v>2030818</v>
      </c>
      <c r="C4435" s="2" t="s">
        <v>67</v>
      </c>
      <c r="D4435" s="2" t="s">
        <v>68</v>
      </c>
      <c r="E4435" s="2" t="s">
        <v>189</v>
      </c>
      <c r="F4435" s="2" t="s">
        <v>17</v>
      </c>
      <c r="G4435" s="2" t="s">
        <v>9073</v>
      </c>
      <c r="H4435">
        <v>1259</v>
      </c>
      <c r="I4435" s="2">
        <v>2799</v>
      </c>
      <c r="J4435" s="2" t="s">
        <v>25</v>
      </c>
      <c r="K4435" s="2" t="s">
        <v>39</v>
      </c>
      <c r="L4435" s="2">
        <v>4.0999999999999996</v>
      </c>
      <c r="M4435" s="2">
        <v>500</v>
      </c>
      <c r="P4435" t="str">
        <f t="shared" si="279"/>
        <v>55%</v>
      </c>
      <c r="Q4435" s="12">
        <f t="shared" si="276"/>
        <v>0.55000000000000004</v>
      </c>
      <c r="R4435" s="9">
        <f t="shared" si="277"/>
        <v>1259.55</v>
      </c>
      <c r="S4435" s="9">
        <f>IF(R4435="",AVERAGEIF(Table1[Category],Table1[[#This Row],[Category]],Table2[orignal data]),Table2[[#This Row],[orignal data]])</f>
        <v>1259.55</v>
      </c>
      <c r="T4435" t="str">
        <f t="shared" si="278"/>
        <v>UNIQUE</v>
      </c>
      <c r="U4435" t="str">
        <f>IF(ISBLANK(Table1[[#This Row],[SizeOption]]),"NOT AVAILABLE",Table1[[#This Row],[SizeOption]])</f>
        <v>S, M, L, XL, XXL</v>
      </c>
      <c r="Y4435" t="str">
        <f>IF(Table2[[#This Row],[Column1]]&gt;50%,"HIGH DISCOUNT","LOW DISCOUNT")</f>
        <v>HIGH DISCOUNT</v>
      </c>
    </row>
    <row r="4436" spans="1:25" x14ac:dyDescent="0.25">
      <c r="A4436" s="1" t="s">
        <v>9074</v>
      </c>
      <c r="B4436" s="1">
        <v>11332294</v>
      </c>
      <c r="C4436" s="1" t="s">
        <v>1176</v>
      </c>
      <c r="D4436" s="1" t="s">
        <v>28</v>
      </c>
      <c r="E4436" s="1" t="s">
        <v>42</v>
      </c>
      <c r="F4436" s="1" t="s">
        <v>17</v>
      </c>
      <c r="G4436" s="1" t="s">
        <v>9075</v>
      </c>
      <c r="H4436">
        <v>474</v>
      </c>
      <c r="I4436" s="1">
        <v>1249</v>
      </c>
      <c r="J4436" s="1" t="s">
        <v>126</v>
      </c>
      <c r="K4436" s="1" t="s">
        <v>26</v>
      </c>
      <c r="L4436" s="1">
        <v>4</v>
      </c>
      <c r="M4436" s="1">
        <v>500</v>
      </c>
      <c r="P4436" t="str">
        <f t="shared" si="279"/>
        <v>62%</v>
      </c>
      <c r="Q4436" s="12">
        <f t="shared" si="276"/>
        <v>0.62</v>
      </c>
      <c r="R4436" s="9">
        <f t="shared" si="277"/>
        <v>474.62</v>
      </c>
      <c r="S4436" s="9">
        <f>IF(R4436="",AVERAGEIF(Table1[Category],Table1[[#This Row],[Category]],Table2[orignal data]),Table2[[#This Row],[orignal data]])</f>
        <v>474.62</v>
      </c>
      <c r="T4436" t="str">
        <f t="shared" si="278"/>
        <v>UNIQUE</v>
      </c>
      <c r="U4436" t="str">
        <f>IF(ISBLANK(Table1[[#This Row],[SizeOption]]),"NOT AVAILABLE",Table1[[#This Row],[SizeOption]])</f>
        <v>S, M, L, XL</v>
      </c>
      <c r="Y4436" t="str">
        <f>IF(Table2[[#This Row],[Column1]]&gt;50%,"HIGH DISCOUNT","LOW DISCOUNT")</f>
        <v>HIGH DISCOUNT</v>
      </c>
    </row>
    <row r="4437" spans="1:25" x14ac:dyDescent="0.25">
      <c r="A4437" s="2" t="s">
        <v>9076</v>
      </c>
      <c r="B4437" s="2">
        <v>2296336</v>
      </c>
      <c r="C4437" s="2" t="s">
        <v>169</v>
      </c>
      <c r="D4437" s="2" t="s">
        <v>28</v>
      </c>
      <c r="E4437" s="2" t="s">
        <v>29</v>
      </c>
      <c r="F4437" s="2" t="s">
        <v>17</v>
      </c>
      <c r="G4437" s="2" t="s">
        <v>9077</v>
      </c>
      <c r="H4437">
        <v>1249</v>
      </c>
      <c r="I4437" s="2">
        <v>2499</v>
      </c>
      <c r="J4437" s="2" t="s">
        <v>84</v>
      </c>
      <c r="K4437" s="2" t="s">
        <v>484</v>
      </c>
      <c r="L4437" s="2">
        <v>4.0999999999999996</v>
      </c>
      <c r="M4437" s="2">
        <v>500</v>
      </c>
      <c r="P4437" t="str">
        <f t="shared" si="279"/>
        <v>50%</v>
      </c>
      <c r="Q4437" s="12">
        <f t="shared" si="276"/>
        <v>0.5</v>
      </c>
      <c r="R4437" s="9">
        <f t="shared" si="277"/>
        <v>1249.5</v>
      </c>
      <c r="S4437" s="9">
        <f>IF(R4437="",AVERAGEIF(Table1[Category],Table1[[#This Row],[Category]],Table2[orignal data]),Table2[[#This Row],[orignal data]])</f>
        <v>1249.5</v>
      </c>
      <c r="T4437" t="str">
        <f t="shared" si="278"/>
        <v>UNIQUE</v>
      </c>
      <c r="U4437" t="str">
        <f>IF(ISBLANK(Table1[[#This Row],[SizeOption]]),"NOT AVAILABLE",Table1[[#This Row],[SizeOption]])</f>
        <v>39, 40, 42, 44, 46</v>
      </c>
      <c r="Y4437" t="str">
        <f>IF(Table2[[#This Row],[Column1]]&gt;50%,"HIGH DISCOUNT","LOW DISCOUNT")</f>
        <v>LOW DISCOUNT</v>
      </c>
    </row>
    <row r="4438" spans="1:25" x14ac:dyDescent="0.25">
      <c r="A4438" s="1" t="s">
        <v>9078</v>
      </c>
      <c r="B4438" s="1">
        <v>7100025</v>
      </c>
      <c r="C4438" s="1" t="s">
        <v>1179</v>
      </c>
      <c r="D4438" s="1" t="s">
        <v>76</v>
      </c>
      <c r="E4438" s="1" t="s">
        <v>148</v>
      </c>
      <c r="F4438" s="1" t="s">
        <v>36</v>
      </c>
      <c r="G4438" s="1" t="s">
        <v>9079</v>
      </c>
      <c r="H4438">
        <v>899</v>
      </c>
      <c r="I4438" s="1">
        <v>2230</v>
      </c>
      <c r="J4438" s="1" t="s">
        <v>9080</v>
      </c>
      <c r="K4438" s="1" t="s">
        <v>39</v>
      </c>
      <c r="L4438" s="1">
        <v>4.0999999999999996</v>
      </c>
      <c r="M4438" s="1">
        <v>500</v>
      </c>
      <c r="P4438" t="str">
        <f t="shared" si="279"/>
        <v>1331</v>
      </c>
      <c r="Q4438" s="12">
        <f t="shared" si="276"/>
        <v>0.59686098654708519</v>
      </c>
      <c r="R4438" s="9">
        <f t="shared" si="277"/>
        <v>899</v>
      </c>
      <c r="S4438" s="9">
        <f>IF(R4438="",AVERAGEIF(Table1[Category],Table1[[#This Row],[Category]],Table2[orignal data]),Table2[[#This Row],[orignal data]])</f>
        <v>899</v>
      </c>
      <c r="T4438" t="str">
        <f t="shared" si="278"/>
        <v>UNIQUE</v>
      </c>
      <c r="U4438" t="str">
        <f>IF(ISBLANK(Table1[[#This Row],[SizeOption]]),"NOT AVAILABLE",Table1[[#This Row],[SizeOption]])</f>
        <v>S, M, L, XL, XXL</v>
      </c>
      <c r="Y4438" t="str">
        <f>IF(Table2[[#This Row],[Column1]]&gt;50%,"HIGH DISCOUNT","LOW DISCOUNT")</f>
        <v>HIGH DISCOUNT</v>
      </c>
    </row>
    <row r="4439" spans="1:25" x14ac:dyDescent="0.25">
      <c r="A4439" s="2" t="s">
        <v>9081</v>
      </c>
      <c r="B4439" s="2">
        <v>13529882</v>
      </c>
      <c r="C4439" s="2" t="s">
        <v>9082</v>
      </c>
      <c r="D4439" s="2" t="s">
        <v>76</v>
      </c>
      <c r="E4439" s="2" t="s">
        <v>148</v>
      </c>
      <c r="F4439" s="2" t="s">
        <v>36</v>
      </c>
      <c r="G4439" s="2" t="s">
        <v>9083</v>
      </c>
      <c r="H4439">
        <v>1259</v>
      </c>
      <c r="I4439" s="2">
        <v>2799</v>
      </c>
      <c r="J4439" s="2" t="s">
        <v>25</v>
      </c>
      <c r="K4439" s="2" t="s">
        <v>39</v>
      </c>
      <c r="L4439" s="2">
        <v>4.4000000000000004</v>
      </c>
      <c r="M4439" s="2">
        <v>500</v>
      </c>
      <c r="P4439" t="str">
        <f t="shared" si="279"/>
        <v>55%</v>
      </c>
      <c r="Q4439" s="12">
        <f t="shared" si="276"/>
        <v>0.55000000000000004</v>
      </c>
      <c r="R4439" s="9">
        <f t="shared" si="277"/>
        <v>1259.55</v>
      </c>
      <c r="S4439" s="9">
        <f>IF(R4439="",AVERAGEIF(Table1[Category],Table1[[#This Row],[Category]],Table2[orignal data]),Table2[[#This Row],[orignal data]])</f>
        <v>1259.55</v>
      </c>
      <c r="T4439" t="str">
        <f t="shared" si="278"/>
        <v>UNIQUE</v>
      </c>
      <c r="U4439" t="str">
        <f>IF(ISBLANK(Table1[[#This Row],[SizeOption]]),"NOT AVAILABLE",Table1[[#This Row],[SizeOption]])</f>
        <v>S, M, L, XL, XXL</v>
      </c>
      <c r="Y4439" t="str">
        <f>IF(Table2[[#This Row],[Column1]]&gt;50%,"HIGH DISCOUNT","LOW DISCOUNT")</f>
        <v>HIGH DISCOUNT</v>
      </c>
    </row>
    <row r="4440" spans="1:25" x14ac:dyDescent="0.25">
      <c r="A4440" s="1" t="s">
        <v>9084</v>
      </c>
      <c r="B4440" s="1">
        <v>12124544</v>
      </c>
      <c r="C4440" s="1" t="s">
        <v>865</v>
      </c>
      <c r="D4440" s="1" t="s">
        <v>76</v>
      </c>
      <c r="E4440" s="1" t="s">
        <v>77</v>
      </c>
      <c r="F4440" s="1" t="s">
        <v>36</v>
      </c>
      <c r="G4440" s="1" t="s">
        <v>9085</v>
      </c>
      <c r="H4440">
        <v>1749</v>
      </c>
      <c r="I4440" s="1">
        <v>4999</v>
      </c>
      <c r="J4440" s="1" t="s">
        <v>150</v>
      </c>
      <c r="K4440" s="1" t="s">
        <v>39</v>
      </c>
      <c r="L4440" s="1">
        <v>4.5</v>
      </c>
      <c r="M4440" s="1">
        <v>500</v>
      </c>
      <c r="P4440" t="str">
        <f t="shared" si="279"/>
        <v>65%</v>
      </c>
      <c r="Q4440" s="12">
        <f t="shared" si="276"/>
        <v>0.65</v>
      </c>
      <c r="R4440" s="9">
        <f t="shared" si="277"/>
        <v>1749.65</v>
      </c>
      <c r="S4440" s="9">
        <f>IF(R4440="",AVERAGEIF(Table1[Category],Table1[[#This Row],[Category]],Table2[orignal data]),Table2[[#This Row],[orignal data]])</f>
        <v>1749.65</v>
      </c>
      <c r="T4440" t="str">
        <f t="shared" si="278"/>
        <v>UNIQUE</v>
      </c>
      <c r="U4440" t="str">
        <f>IF(ISBLANK(Table1[[#This Row],[SizeOption]]),"NOT AVAILABLE",Table1[[#This Row],[SizeOption]])</f>
        <v>S, M, L, XL, XXL</v>
      </c>
      <c r="Y4440" t="str">
        <f>IF(Table2[[#This Row],[Column1]]&gt;50%,"HIGH DISCOUNT","LOW DISCOUNT")</f>
        <v>HIGH DISCOUNT</v>
      </c>
    </row>
    <row r="4441" spans="1:25" x14ac:dyDescent="0.25">
      <c r="A4441" s="2" t="s">
        <v>9086</v>
      </c>
      <c r="B4441" s="2">
        <v>12441776</v>
      </c>
      <c r="C4441" s="2" t="s">
        <v>620</v>
      </c>
      <c r="D4441" s="2" t="s">
        <v>34</v>
      </c>
      <c r="E4441" s="2" t="s">
        <v>406</v>
      </c>
      <c r="F4441" s="2" t="s">
        <v>36</v>
      </c>
      <c r="G4441" s="2" t="s">
        <v>9087</v>
      </c>
      <c r="H4441">
        <v>764</v>
      </c>
      <c r="I4441" s="2">
        <v>1699</v>
      </c>
      <c r="J4441" s="2" t="s">
        <v>25</v>
      </c>
      <c r="K4441" s="2" t="s">
        <v>26</v>
      </c>
      <c r="L4441" s="2">
        <v>3.9</v>
      </c>
      <c r="M4441" s="2">
        <v>500</v>
      </c>
      <c r="P4441" t="str">
        <f t="shared" si="279"/>
        <v>55%</v>
      </c>
      <c r="Q4441" s="12">
        <f t="shared" si="276"/>
        <v>0.55000000000000004</v>
      </c>
      <c r="R4441" s="9">
        <f t="shared" si="277"/>
        <v>764.55</v>
      </c>
      <c r="S4441" s="9">
        <f>IF(R4441="",AVERAGEIF(Table1[Category],Table1[[#This Row],[Category]],Table2[orignal data]),Table2[[#This Row],[orignal data]])</f>
        <v>764.55</v>
      </c>
      <c r="T4441" t="str">
        <f t="shared" si="278"/>
        <v>UNIQUE</v>
      </c>
      <c r="U4441" t="str">
        <f>IF(ISBLANK(Table1[[#This Row],[SizeOption]]),"NOT AVAILABLE",Table1[[#This Row],[SizeOption]])</f>
        <v>S, M, L, XL</v>
      </c>
      <c r="Y4441" t="str">
        <f>IF(Table2[[#This Row],[Column1]]&gt;50%,"HIGH DISCOUNT","LOW DISCOUNT")</f>
        <v>HIGH DISCOUNT</v>
      </c>
    </row>
    <row r="4442" spans="1:25" x14ac:dyDescent="0.25">
      <c r="A4442" s="1" t="s">
        <v>9088</v>
      </c>
      <c r="B4442" s="1">
        <v>2461539</v>
      </c>
      <c r="C4442" s="1" t="s">
        <v>4309</v>
      </c>
      <c r="D4442" s="1" t="s">
        <v>34</v>
      </c>
      <c r="E4442" s="1" t="s">
        <v>118</v>
      </c>
      <c r="F4442" s="1" t="s">
        <v>36</v>
      </c>
      <c r="G4442" s="1" t="s">
        <v>9089</v>
      </c>
      <c r="H4442">
        <v>449</v>
      </c>
      <c r="I4442" s="1">
        <v>999</v>
      </c>
      <c r="J4442" s="1" t="s">
        <v>25</v>
      </c>
      <c r="K4442" s="1" t="s">
        <v>4311</v>
      </c>
      <c r="L4442" s="1">
        <v>3.8</v>
      </c>
      <c r="M4442" s="1">
        <v>500</v>
      </c>
      <c r="P4442" t="str">
        <f t="shared" si="279"/>
        <v>55%</v>
      </c>
      <c r="Q4442" s="12">
        <f t="shared" si="276"/>
        <v>0.55000000000000004</v>
      </c>
      <c r="R4442" s="9">
        <f t="shared" si="277"/>
        <v>449.54999999999995</v>
      </c>
      <c r="S4442" s="9">
        <f>IF(R4442="",AVERAGEIF(Table1[Category],Table1[[#This Row],[Category]],Table2[orignal data]),Table2[[#This Row],[orignal data]])</f>
        <v>449.54999999999995</v>
      </c>
      <c r="T4442" t="str">
        <f t="shared" si="278"/>
        <v>UNIQUE</v>
      </c>
      <c r="U4442" t="str">
        <f>IF(ISBLANK(Table1[[#This Row],[SizeOption]]),"NOT AVAILABLE",Table1[[#This Row],[SizeOption]])</f>
        <v>30A, 30B, 32A, 32B, 34A, 34B, 36A, 36B</v>
      </c>
      <c r="Y4442" t="str">
        <f>IF(Table2[[#This Row],[Column1]]&gt;50%,"HIGH DISCOUNT","LOW DISCOUNT")</f>
        <v>HIGH DISCOUNT</v>
      </c>
    </row>
    <row r="4443" spans="1:25" x14ac:dyDescent="0.25">
      <c r="A4443" s="2" t="s">
        <v>9090</v>
      </c>
      <c r="B4443" s="2">
        <v>13382042</v>
      </c>
      <c r="C4443" s="2" t="s">
        <v>221</v>
      </c>
      <c r="D4443" s="2" t="s">
        <v>98</v>
      </c>
      <c r="E4443" s="2" t="s">
        <v>48</v>
      </c>
      <c r="F4443" s="2" t="s">
        <v>36</v>
      </c>
      <c r="G4443" s="2" t="s">
        <v>9091</v>
      </c>
      <c r="H4443">
        <v>569</v>
      </c>
      <c r="I4443" s="2">
        <v>1499</v>
      </c>
      <c r="J4443" s="2" t="s">
        <v>126</v>
      </c>
      <c r="K4443" s="2" t="s">
        <v>223</v>
      </c>
      <c r="L4443" s="2">
        <v>4.5</v>
      </c>
      <c r="M4443" s="2">
        <v>500</v>
      </c>
      <c r="P4443" t="str">
        <f t="shared" si="279"/>
        <v>62%</v>
      </c>
      <c r="Q4443" s="12">
        <f t="shared" si="276"/>
        <v>0.62</v>
      </c>
      <c r="R4443" s="9">
        <f t="shared" si="277"/>
        <v>569.62</v>
      </c>
      <c r="S4443" s="9">
        <f>IF(R4443="",AVERAGEIF(Table1[Category],Table1[[#This Row],[Category]],Table2[orignal data]),Table2[[#This Row],[orignal data]])</f>
        <v>569.62</v>
      </c>
      <c r="T4443" t="str">
        <f t="shared" si="278"/>
        <v>UNIQUE</v>
      </c>
      <c r="U4443" t="str">
        <f>IF(ISBLANK(Table1[[#This Row],[SizeOption]]),"NOT AVAILABLE",Table1[[#This Row],[SizeOption]])</f>
        <v>S, M, L, XL, XXL, 3XL, 4XL</v>
      </c>
      <c r="Y4443" t="str">
        <f>IF(Table2[[#This Row],[Column1]]&gt;50%,"HIGH DISCOUNT","LOW DISCOUNT")</f>
        <v>HIGH DISCOUNT</v>
      </c>
    </row>
    <row r="4444" spans="1:25" x14ac:dyDescent="0.25">
      <c r="A4444" s="1" t="s">
        <v>9092</v>
      </c>
      <c r="B4444" s="1">
        <v>8349785</v>
      </c>
      <c r="C4444" s="1" t="s">
        <v>97</v>
      </c>
      <c r="D4444" s="1" t="s">
        <v>98</v>
      </c>
      <c r="E4444" s="1" t="s">
        <v>93</v>
      </c>
      <c r="F4444" s="1" t="s">
        <v>36</v>
      </c>
      <c r="G4444" s="1" t="s">
        <v>2808</v>
      </c>
      <c r="H4444">
        <v>999</v>
      </c>
      <c r="I4444" s="1">
        <v>1999</v>
      </c>
      <c r="J4444" s="1" t="s">
        <v>84</v>
      </c>
      <c r="K4444" s="1" t="s">
        <v>100</v>
      </c>
      <c r="L4444" s="1">
        <v>4.2</v>
      </c>
      <c r="M4444" s="1">
        <v>500</v>
      </c>
      <c r="P4444" t="str">
        <f t="shared" si="279"/>
        <v>50%</v>
      </c>
      <c r="Q4444" s="12">
        <f t="shared" si="276"/>
        <v>0.5</v>
      </c>
      <c r="R4444" s="9">
        <f t="shared" si="277"/>
        <v>999.5</v>
      </c>
      <c r="S4444" s="9">
        <f>IF(R4444="",AVERAGEIF(Table1[Category],Table1[[#This Row],[Category]],Table2[orignal data]),Table2[[#This Row],[orignal data]])</f>
        <v>999.5</v>
      </c>
      <c r="T4444" t="str">
        <f t="shared" si="278"/>
        <v>UNIQUE</v>
      </c>
      <c r="U4444" t="str">
        <f>IF(ISBLANK(Table1[[#This Row],[SizeOption]]),"NOT AVAILABLE",Table1[[#This Row],[SizeOption]])</f>
        <v>XS, S, M, L, XL, XXL, 3XL</v>
      </c>
      <c r="Y4444" t="str">
        <f>IF(Table2[[#This Row],[Column1]]&gt;50%,"HIGH DISCOUNT","LOW DISCOUNT")</f>
        <v>LOW DISCOUNT</v>
      </c>
    </row>
    <row r="4445" spans="1:25" x14ac:dyDescent="0.25">
      <c r="A4445" s="2" t="s">
        <v>9093</v>
      </c>
      <c r="B4445" s="2">
        <v>10095221</v>
      </c>
      <c r="C4445" s="2" t="s">
        <v>64</v>
      </c>
      <c r="D4445" s="2" t="s">
        <v>98</v>
      </c>
      <c r="E4445" s="2" t="s">
        <v>16</v>
      </c>
      <c r="F4445" s="2" t="s">
        <v>36</v>
      </c>
      <c r="G4445" s="2" t="s">
        <v>9094</v>
      </c>
      <c r="H4445">
        <v>599</v>
      </c>
      <c r="I4445" s="2">
        <v>1999</v>
      </c>
      <c r="J4445" s="2" t="s">
        <v>1566</v>
      </c>
      <c r="K4445" s="2" t="s">
        <v>643</v>
      </c>
      <c r="L4445" s="2">
        <v>4.0999999999999996</v>
      </c>
      <c r="M4445" s="2">
        <v>500</v>
      </c>
      <c r="P4445" t="str">
        <f t="shared" si="279"/>
        <v>70%</v>
      </c>
      <c r="Q4445" s="12">
        <f t="shared" si="276"/>
        <v>0.7</v>
      </c>
      <c r="R4445" s="9">
        <f t="shared" si="277"/>
        <v>599.70000000000005</v>
      </c>
      <c r="S4445" s="9">
        <f>IF(R4445="",AVERAGEIF(Table1[Category],Table1[[#This Row],[Category]],Table2[orignal data]),Table2[[#This Row],[orignal data]])</f>
        <v>599.70000000000005</v>
      </c>
      <c r="T4445" t="str">
        <f t="shared" si="278"/>
        <v>UNIQUE</v>
      </c>
      <c r="U4445" t="str">
        <f>IF(ISBLANK(Table1[[#This Row],[SizeOption]]),"NOT AVAILABLE",Table1[[#This Row],[SizeOption]])</f>
        <v>26, 28, 30, 32, 34, 36, 38, 40</v>
      </c>
      <c r="Y4445" t="str">
        <f>IF(Table2[[#This Row],[Column1]]&gt;50%,"HIGH DISCOUNT","LOW DISCOUNT")</f>
        <v>HIGH DISCOUNT</v>
      </c>
    </row>
    <row r="4446" spans="1:25" x14ac:dyDescent="0.25">
      <c r="A4446" s="1" t="s">
        <v>9095</v>
      </c>
      <c r="B4446" s="1">
        <v>9073231</v>
      </c>
      <c r="C4446" s="1" t="s">
        <v>7632</v>
      </c>
      <c r="D4446" s="1" t="s">
        <v>41</v>
      </c>
      <c r="E4446" s="1" t="s">
        <v>82</v>
      </c>
      <c r="F4446" s="1" t="s">
        <v>36</v>
      </c>
      <c r="G4446" s="1" t="s">
        <v>9096</v>
      </c>
      <c r="I4446" s="1">
        <v>1899</v>
      </c>
      <c r="J4446" s="1" t="s">
        <v>786</v>
      </c>
      <c r="K4446" s="1" t="s">
        <v>39</v>
      </c>
      <c r="L4446" s="1">
        <v>4.2</v>
      </c>
      <c r="M4446" s="1">
        <v>500</v>
      </c>
      <c r="P4446" t="str">
        <f t="shared" si="279"/>
        <v>15%</v>
      </c>
      <c r="Q4446" s="12">
        <f t="shared" si="276"/>
        <v>0.15</v>
      </c>
      <c r="R4446" s="9">
        <f t="shared" si="277"/>
        <v>1614.15</v>
      </c>
      <c r="S4446" s="9">
        <f>IF(R4446="",AVERAGEIF(Table1[Category],Table1[[#This Row],[Category]],Table2[orignal data]),Table2[[#This Row],[orignal data]])</f>
        <v>1614.15</v>
      </c>
      <c r="T4446" t="str">
        <f t="shared" si="278"/>
        <v>UNIQUE</v>
      </c>
      <c r="U4446" t="str">
        <f>IF(ISBLANK(Table1[[#This Row],[SizeOption]]),"NOT AVAILABLE",Table1[[#This Row],[SizeOption]])</f>
        <v>S, M, L, XL, XXL</v>
      </c>
      <c r="Y4446" t="str">
        <f>IF(Table2[[#This Row],[Column1]]&gt;50%,"HIGH DISCOUNT","LOW DISCOUNT")</f>
        <v>LOW DISCOUNT</v>
      </c>
    </row>
    <row r="4447" spans="1:25" x14ac:dyDescent="0.25">
      <c r="A4447" s="2" t="s">
        <v>9097</v>
      </c>
      <c r="B4447" s="2">
        <v>2157915</v>
      </c>
      <c r="C4447" s="2" t="s">
        <v>14</v>
      </c>
      <c r="D4447" s="2" t="s">
        <v>15</v>
      </c>
      <c r="E4447" s="2" t="s">
        <v>16</v>
      </c>
      <c r="F4447" s="2" t="s">
        <v>17</v>
      </c>
      <c r="G4447" s="2" t="s">
        <v>9098</v>
      </c>
      <c r="I4447" s="2">
        <v>2199</v>
      </c>
      <c r="J4447" s="2"/>
      <c r="K4447" s="2" t="s">
        <v>20</v>
      </c>
      <c r="L4447" s="2">
        <v>3.4</v>
      </c>
      <c r="M4447" s="2">
        <v>499</v>
      </c>
      <c r="P4447" t="str">
        <f t="shared" si="279"/>
        <v/>
      </c>
      <c r="Q4447" s="12" t="str">
        <f t="shared" si="276"/>
        <v/>
      </c>
      <c r="R4447" s="9" t="str">
        <f t="shared" si="277"/>
        <v/>
      </c>
      <c r="S4447" s="9">
        <f>IF(R4447="",AVERAGEIF(Table1[Category],Table1[[#This Row],[Category]],Table2[orignal data]),Table2[[#This Row],[orignal data]])</f>
        <v>892.27590339892538</v>
      </c>
      <c r="T4447" t="str">
        <f t="shared" si="278"/>
        <v>UNIQUE</v>
      </c>
      <c r="U4447" t="str">
        <f>IF(ISBLANK(Table1[[#This Row],[SizeOption]]),"NOT AVAILABLE",Table1[[#This Row],[SizeOption]])</f>
        <v>28, 30, 32, 34, 36</v>
      </c>
      <c r="Y4447" t="str">
        <f>IF(Table2[[#This Row],[Column1]]&gt;50%,"HIGH DISCOUNT","LOW DISCOUNT")</f>
        <v>HIGH DISCOUNT</v>
      </c>
    </row>
    <row r="4448" spans="1:25" x14ac:dyDescent="0.25">
      <c r="A4448" s="1" t="s">
        <v>9099</v>
      </c>
      <c r="B4448" s="1">
        <v>10187345</v>
      </c>
      <c r="C4448" s="1" t="s">
        <v>169</v>
      </c>
      <c r="D4448" s="1" t="s">
        <v>15</v>
      </c>
      <c r="E4448" s="1" t="s">
        <v>16</v>
      </c>
      <c r="F4448" s="1" t="s">
        <v>17</v>
      </c>
      <c r="G4448" s="1" t="s">
        <v>2511</v>
      </c>
      <c r="H4448">
        <v>1399</v>
      </c>
      <c r="I4448" s="1">
        <v>2799</v>
      </c>
      <c r="J4448" s="1" t="s">
        <v>84</v>
      </c>
      <c r="K4448" s="1" t="s">
        <v>171</v>
      </c>
      <c r="L4448" s="1">
        <v>4.2</v>
      </c>
      <c r="M4448" s="1">
        <v>499</v>
      </c>
      <c r="P4448" t="str">
        <f t="shared" si="279"/>
        <v>50%</v>
      </c>
      <c r="Q4448" s="12">
        <f t="shared" si="276"/>
        <v>0.5</v>
      </c>
      <c r="R4448" s="9">
        <f t="shared" si="277"/>
        <v>1399.5</v>
      </c>
      <c r="S4448" s="9">
        <f>IF(R4448="",AVERAGEIF(Table1[Category],Table1[[#This Row],[Category]],Table2[orignal data]),Table2[[#This Row],[orignal data]])</f>
        <v>1399.5</v>
      </c>
      <c r="T4448" t="str">
        <f t="shared" si="278"/>
        <v>UNIQUE</v>
      </c>
      <c r="U4448" t="str">
        <f>IF(ISBLANK(Table1[[#This Row],[SizeOption]]),"NOT AVAILABLE",Table1[[#This Row],[SizeOption]])</f>
        <v>28, 30, 32, 34, 36, 38</v>
      </c>
      <c r="Y4448" t="str">
        <f>IF(Table2[[#This Row],[Column1]]&gt;50%,"HIGH DISCOUNT","LOW DISCOUNT")</f>
        <v>LOW DISCOUNT</v>
      </c>
    </row>
    <row r="4449" spans="1:25" x14ac:dyDescent="0.25">
      <c r="A4449" s="2" t="s">
        <v>9100</v>
      </c>
      <c r="B4449" s="2">
        <v>10343505</v>
      </c>
      <c r="C4449" s="2" t="s">
        <v>47</v>
      </c>
      <c r="D4449" s="2" t="s">
        <v>15</v>
      </c>
      <c r="E4449" s="2" t="s">
        <v>53</v>
      </c>
      <c r="F4449" s="2" t="s">
        <v>17</v>
      </c>
      <c r="G4449" s="2" t="s">
        <v>9101</v>
      </c>
      <c r="H4449">
        <v>1499</v>
      </c>
      <c r="I4449" s="2">
        <v>2499</v>
      </c>
      <c r="J4449" s="2" t="s">
        <v>50</v>
      </c>
      <c r="K4449" s="2" t="s">
        <v>20</v>
      </c>
      <c r="L4449" s="2">
        <v>4</v>
      </c>
      <c r="M4449" s="2">
        <v>499</v>
      </c>
      <c r="P4449" t="str">
        <f t="shared" si="279"/>
        <v>40%</v>
      </c>
      <c r="Q4449" s="12">
        <f t="shared" si="276"/>
        <v>0.4</v>
      </c>
      <c r="R4449" s="9">
        <f t="shared" si="277"/>
        <v>1499.4</v>
      </c>
      <c r="S4449" s="9">
        <f>IF(R4449="",AVERAGEIF(Table1[Category],Table1[[#This Row],[Category]],Table2[orignal data]),Table2[[#This Row],[orignal data]])</f>
        <v>1499.4</v>
      </c>
      <c r="T4449" t="str">
        <f t="shared" si="278"/>
        <v>UNIQUE</v>
      </c>
      <c r="U4449" t="str">
        <f>IF(ISBLANK(Table1[[#This Row],[SizeOption]]),"NOT AVAILABLE",Table1[[#This Row],[SizeOption]])</f>
        <v>28, 30, 32, 34, 36</v>
      </c>
      <c r="Y4449" t="str">
        <f>IF(Table2[[#This Row],[Column1]]&gt;50%,"HIGH DISCOUNT","LOW DISCOUNT")</f>
        <v>LOW DISCOUNT</v>
      </c>
    </row>
    <row r="4450" spans="1:25" x14ac:dyDescent="0.25">
      <c r="A4450" s="1" t="s">
        <v>9102</v>
      </c>
      <c r="B4450" s="1">
        <v>11362736</v>
      </c>
      <c r="C4450" s="1" t="s">
        <v>169</v>
      </c>
      <c r="D4450" s="1" t="s">
        <v>15</v>
      </c>
      <c r="E4450" s="1" t="s">
        <v>53</v>
      </c>
      <c r="F4450" s="1" t="s">
        <v>17</v>
      </c>
      <c r="G4450" s="1" t="s">
        <v>9103</v>
      </c>
      <c r="H4450">
        <v>1439</v>
      </c>
      <c r="I4450" s="1">
        <v>2399</v>
      </c>
      <c r="J4450" s="1" t="s">
        <v>50</v>
      </c>
      <c r="K4450" s="1" t="s">
        <v>171</v>
      </c>
      <c r="L4450" s="1">
        <v>4.0999999999999996</v>
      </c>
      <c r="M4450" s="1">
        <v>499</v>
      </c>
      <c r="P4450" t="str">
        <f t="shared" si="279"/>
        <v>40%</v>
      </c>
      <c r="Q4450" s="12">
        <f t="shared" si="276"/>
        <v>0.4</v>
      </c>
      <c r="R4450" s="9">
        <f t="shared" si="277"/>
        <v>1439.4</v>
      </c>
      <c r="S4450" s="9">
        <f>IF(R4450="",AVERAGEIF(Table1[Category],Table1[[#This Row],[Category]],Table2[orignal data]),Table2[[#This Row],[orignal data]])</f>
        <v>1439.4</v>
      </c>
      <c r="T4450" t="str">
        <f t="shared" si="278"/>
        <v>UNIQUE</v>
      </c>
      <c r="U4450" t="str">
        <f>IF(ISBLANK(Table1[[#This Row],[SizeOption]]),"NOT AVAILABLE",Table1[[#This Row],[SizeOption]])</f>
        <v>28, 30, 32, 34, 36, 38</v>
      </c>
      <c r="Y4450" t="str">
        <f>IF(Table2[[#This Row],[Column1]]&gt;50%,"HIGH DISCOUNT","LOW DISCOUNT")</f>
        <v>LOW DISCOUNT</v>
      </c>
    </row>
    <row r="4451" spans="1:25" x14ac:dyDescent="0.25">
      <c r="A4451" s="2" t="s">
        <v>9104</v>
      </c>
      <c r="B4451" s="2">
        <v>11361968</v>
      </c>
      <c r="C4451" s="2" t="s">
        <v>169</v>
      </c>
      <c r="D4451" s="2" t="s">
        <v>15</v>
      </c>
      <c r="E4451" s="2" t="s">
        <v>23</v>
      </c>
      <c r="F4451" s="2" t="s">
        <v>17</v>
      </c>
      <c r="G4451" s="2" t="s">
        <v>9105</v>
      </c>
      <c r="H4451">
        <v>1049</v>
      </c>
      <c r="I4451" s="2">
        <v>2099</v>
      </c>
      <c r="J4451" s="2" t="s">
        <v>84</v>
      </c>
      <c r="K4451" s="2" t="s">
        <v>39</v>
      </c>
      <c r="L4451" s="2">
        <v>4.2</v>
      </c>
      <c r="M4451" s="2">
        <v>499</v>
      </c>
      <c r="P4451" t="str">
        <f t="shared" si="279"/>
        <v>50%</v>
      </c>
      <c r="Q4451" s="12">
        <f t="shared" si="276"/>
        <v>0.5</v>
      </c>
      <c r="R4451" s="9">
        <f t="shared" si="277"/>
        <v>1049.5</v>
      </c>
      <c r="S4451" s="9">
        <f>IF(R4451="",AVERAGEIF(Table1[Category],Table1[[#This Row],[Category]],Table2[orignal data]),Table2[[#This Row],[orignal data]])</f>
        <v>1049.5</v>
      </c>
      <c r="T4451" t="str">
        <f t="shared" si="278"/>
        <v>UNIQUE</v>
      </c>
      <c r="U4451" t="str">
        <f>IF(ISBLANK(Table1[[#This Row],[SizeOption]]),"NOT AVAILABLE",Table1[[#This Row],[SizeOption]])</f>
        <v>S, M, L, XL, XXL</v>
      </c>
      <c r="Y4451" t="str">
        <f>IF(Table2[[#This Row],[Column1]]&gt;50%,"HIGH DISCOUNT","LOW DISCOUNT")</f>
        <v>LOW DISCOUNT</v>
      </c>
    </row>
    <row r="4452" spans="1:25" x14ac:dyDescent="0.25">
      <c r="A4452" s="1" t="s">
        <v>9106</v>
      </c>
      <c r="B4452" s="1">
        <v>2167367</v>
      </c>
      <c r="C4452" s="1" t="s">
        <v>14</v>
      </c>
      <c r="D4452" s="1" t="s">
        <v>15</v>
      </c>
      <c r="E4452" s="1" t="s">
        <v>53</v>
      </c>
      <c r="F4452" s="1" t="s">
        <v>17</v>
      </c>
      <c r="G4452" s="1" t="s">
        <v>9107</v>
      </c>
      <c r="H4452">
        <v>799</v>
      </c>
      <c r="I4452" s="1">
        <v>1999</v>
      </c>
      <c r="J4452" s="1" t="s">
        <v>55</v>
      </c>
      <c r="K4452" s="1" t="s">
        <v>20</v>
      </c>
      <c r="L4452" s="1">
        <v>4.2</v>
      </c>
      <c r="M4452" s="1">
        <v>499</v>
      </c>
      <c r="P4452" t="str">
        <f t="shared" si="279"/>
        <v>60%</v>
      </c>
      <c r="Q4452" s="12">
        <f t="shared" si="276"/>
        <v>0.6</v>
      </c>
      <c r="R4452" s="9">
        <f t="shared" si="277"/>
        <v>799.60000000000014</v>
      </c>
      <c r="S4452" s="9">
        <f>IF(R4452="",AVERAGEIF(Table1[Category],Table1[[#This Row],[Category]],Table2[orignal data]),Table2[[#This Row],[orignal data]])</f>
        <v>799.60000000000014</v>
      </c>
      <c r="T4452" t="str">
        <f t="shared" si="278"/>
        <v>UNIQUE</v>
      </c>
      <c r="U4452" t="str">
        <f>IF(ISBLANK(Table1[[#This Row],[SizeOption]]),"NOT AVAILABLE",Table1[[#This Row],[SizeOption]])</f>
        <v>28, 30, 32, 34, 36</v>
      </c>
      <c r="Y4452" t="str">
        <f>IF(Table2[[#This Row],[Column1]]&gt;50%,"HIGH DISCOUNT","LOW DISCOUNT")</f>
        <v>HIGH DISCOUNT</v>
      </c>
    </row>
    <row r="4453" spans="1:25" x14ac:dyDescent="0.25">
      <c r="A4453" s="2" t="s">
        <v>9108</v>
      </c>
      <c r="B4453" s="2">
        <v>5395416</v>
      </c>
      <c r="C4453" s="2" t="s">
        <v>64</v>
      </c>
      <c r="D4453" s="2" t="s">
        <v>15</v>
      </c>
      <c r="E4453" s="2" t="s">
        <v>23</v>
      </c>
      <c r="F4453" s="2" t="s">
        <v>17</v>
      </c>
      <c r="G4453" s="2" t="s">
        <v>9109</v>
      </c>
      <c r="H4453">
        <v>764</v>
      </c>
      <c r="I4453" s="2">
        <v>1699</v>
      </c>
      <c r="J4453" s="2" t="s">
        <v>25</v>
      </c>
      <c r="K4453" s="2" t="s">
        <v>26</v>
      </c>
      <c r="L4453" s="2">
        <v>4.0999999999999996</v>
      </c>
      <c r="M4453" s="2">
        <v>499</v>
      </c>
      <c r="P4453" t="str">
        <f t="shared" si="279"/>
        <v>55%</v>
      </c>
      <c r="Q4453" s="12">
        <f t="shared" si="276"/>
        <v>0.55000000000000004</v>
      </c>
      <c r="R4453" s="9">
        <f t="shared" si="277"/>
        <v>764.55</v>
      </c>
      <c r="S4453" s="9">
        <f>IF(R4453="",AVERAGEIF(Table1[Category],Table1[[#This Row],[Category]],Table2[orignal data]),Table2[[#This Row],[orignal data]])</f>
        <v>764.55</v>
      </c>
      <c r="T4453" t="str">
        <f t="shared" si="278"/>
        <v>UNIQUE</v>
      </c>
      <c r="U4453" t="str">
        <f>IF(ISBLANK(Table1[[#This Row],[SizeOption]]),"NOT AVAILABLE",Table1[[#This Row],[SizeOption]])</f>
        <v>S, M, L, XL</v>
      </c>
      <c r="Y4453" t="str">
        <f>IF(Table2[[#This Row],[Column1]]&gt;50%,"HIGH DISCOUNT","LOW DISCOUNT")</f>
        <v>HIGH DISCOUNT</v>
      </c>
    </row>
    <row r="4454" spans="1:25" x14ac:dyDescent="0.25">
      <c r="A4454" s="1" t="s">
        <v>9110</v>
      </c>
      <c r="B4454" s="1">
        <v>12158062</v>
      </c>
      <c r="C4454" s="1" t="s">
        <v>5231</v>
      </c>
      <c r="D4454" s="1" t="s">
        <v>197</v>
      </c>
      <c r="E4454" s="1" t="s">
        <v>350</v>
      </c>
      <c r="F4454" s="1" t="s">
        <v>17</v>
      </c>
      <c r="G4454" s="1" t="s">
        <v>9111</v>
      </c>
      <c r="I4454" s="1">
        <v>1050</v>
      </c>
      <c r="J4454" s="1"/>
      <c r="K4454" s="1" t="s">
        <v>39</v>
      </c>
      <c r="L4454" s="1">
        <v>4.3</v>
      </c>
      <c r="M4454" s="1">
        <v>499</v>
      </c>
      <c r="P4454" t="str">
        <f t="shared" si="279"/>
        <v/>
      </c>
      <c r="Q4454" s="12" t="str">
        <f t="shared" si="276"/>
        <v/>
      </c>
      <c r="R4454" s="9" t="str">
        <f t="shared" si="277"/>
        <v/>
      </c>
      <c r="S4454" s="9">
        <f>IF(R4454="",AVERAGEIF(Table1[Category],Table1[[#This Row],[Category]],Table2[orignal data]),Table2[[#This Row],[orignal data]])</f>
        <v>552.70900000000006</v>
      </c>
      <c r="T4454" t="str">
        <f t="shared" si="278"/>
        <v>UNIQUE</v>
      </c>
      <c r="U4454" t="str">
        <f>IF(ISBLANK(Table1[[#This Row],[SizeOption]]),"NOT AVAILABLE",Table1[[#This Row],[SizeOption]])</f>
        <v>S, M, L, XL, XXL</v>
      </c>
      <c r="Y4454" t="str">
        <f>IF(Table2[[#This Row],[Column1]]&gt;50%,"HIGH DISCOUNT","LOW DISCOUNT")</f>
        <v>HIGH DISCOUNT</v>
      </c>
    </row>
    <row r="4455" spans="1:25" x14ac:dyDescent="0.25">
      <c r="A4455" s="2" t="s">
        <v>9112</v>
      </c>
      <c r="B4455" s="2">
        <v>11896032</v>
      </c>
      <c r="C4455" s="2" t="s">
        <v>14</v>
      </c>
      <c r="D4455" s="2" t="s">
        <v>28</v>
      </c>
      <c r="E4455" s="2" t="s">
        <v>29</v>
      </c>
      <c r="F4455" s="2" t="s">
        <v>17</v>
      </c>
      <c r="G4455" s="2" t="s">
        <v>7119</v>
      </c>
      <c r="I4455" s="2">
        <v>1199</v>
      </c>
      <c r="J4455" s="2"/>
      <c r="K4455" s="2" t="s">
        <v>253</v>
      </c>
      <c r="L4455" s="2">
        <v>4.4000000000000004</v>
      </c>
      <c r="M4455" s="2">
        <v>499</v>
      </c>
      <c r="P4455" t="str">
        <f t="shared" si="279"/>
        <v/>
      </c>
      <c r="Q4455" s="12" t="str">
        <f t="shared" si="276"/>
        <v/>
      </c>
      <c r="R4455" s="9" t="str">
        <f t="shared" si="277"/>
        <v/>
      </c>
      <c r="S4455" s="9">
        <f>IF(R4455="",AVERAGEIF(Table1[Category],Table1[[#This Row],[Category]],Table2[orignal data]),Table2[[#This Row],[orignal data]])</f>
        <v>671.7823941958867</v>
      </c>
      <c r="T4455" t="str">
        <f t="shared" si="278"/>
        <v>UNIQUE</v>
      </c>
      <c r="U4455" t="str">
        <f>IF(ISBLANK(Table1[[#This Row],[SizeOption]]),"NOT AVAILABLE",Table1[[#This Row],[SizeOption]])</f>
        <v>38, 40, 42, 44</v>
      </c>
      <c r="Y4455" t="str">
        <f>IF(Table2[[#This Row],[Column1]]&gt;50%,"HIGH DISCOUNT","LOW DISCOUNT")</f>
        <v>HIGH DISCOUNT</v>
      </c>
    </row>
    <row r="4456" spans="1:25" x14ac:dyDescent="0.25">
      <c r="A4456" s="1" t="s">
        <v>9113</v>
      </c>
      <c r="B4456" s="1">
        <v>11468934</v>
      </c>
      <c r="C4456" s="1" t="s">
        <v>490</v>
      </c>
      <c r="D4456" s="1" t="s">
        <v>28</v>
      </c>
      <c r="E4456" s="1" t="s">
        <v>306</v>
      </c>
      <c r="F4456" s="1" t="s">
        <v>17</v>
      </c>
      <c r="G4456" s="1" t="s">
        <v>9114</v>
      </c>
      <c r="I4456" s="1">
        <v>799</v>
      </c>
      <c r="J4456" s="1"/>
      <c r="K4456" s="1" t="s">
        <v>45</v>
      </c>
      <c r="L4456" s="1">
        <v>4.0999999999999996</v>
      </c>
      <c r="M4456" s="1">
        <v>499</v>
      </c>
      <c r="P4456" t="str">
        <f t="shared" si="279"/>
        <v/>
      </c>
      <c r="Q4456" s="12" t="str">
        <f t="shared" si="276"/>
        <v/>
      </c>
      <c r="R4456" s="9" t="str">
        <f t="shared" si="277"/>
        <v/>
      </c>
      <c r="S4456" s="9">
        <f>IF(R4456="",AVERAGEIF(Table1[Category],Table1[[#This Row],[Category]],Table2[orignal data]),Table2[[#This Row],[orignal data]])</f>
        <v>671.7823941958867</v>
      </c>
      <c r="T4456" t="str">
        <f t="shared" si="278"/>
        <v>UNIQUE</v>
      </c>
      <c r="U4456" t="str">
        <f>IF(ISBLANK(Table1[[#This Row],[SizeOption]]),"NOT AVAILABLE",Table1[[#This Row],[SizeOption]])</f>
        <v>XS, S, M, L, XL</v>
      </c>
      <c r="Y4456" t="str">
        <f>IF(Table2[[#This Row],[Column1]]&gt;50%,"HIGH DISCOUNT","LOW DISCOUNT")</f>
        <v>HIGH DISCOUNT</v>
      </c>
    </row>
    <row r="4457" spans="1:25" x14ac:dyDescent="0.25">
      <c r="A4457" s="2" t="s">
        <v>9115</v>
      </c>
      <c r="B4457" s="2">
        <v>14078786</v>
      </c>
      <c r="C4457" s="2" t="s">
        <v>92</v>
      </c>
      <c r="D4457" s="2" t="s">
        <v>76</v>
      </c>
      <c r="E4457" s="2" t="s">
        <v>148</v>
      </c>
      <c r="F4457" s="2" t="s">
        <v>36</v>
      </c>
      <c r="G4457" s="2" t="s">
        <v>9116</v>
      </c>
      <c r="H4457">
        <v>614</v>
      </c>
      <c r="I4457" s="2">
        <v>1499</v>
      </c>
      <c r="J4457" s="2" t="s">
        <v>95</v>
      </c>
      <c r="K4457" s="2" t="s">
        <v>39</v>
      </c>
      <c r="L4457" s="2">
        <v>4.2</v>
      </c>
      <c r="M4457" s="2">
        <v>499</v>
      </c>
      <c r="P4457" t="str">
        <f t="shared" si="279"/>
        <v>59%</v>
      </c>
      <c r="Q4457" s="12">
        <f t="shared" si="276"/>
        <v>0.59</v>
      </c>
      <c r="R4457" s="9">
        <f t="shared" si="277"/>
        <v>614.59</v>
      </c>
      <c r="S4457" s="9">
        <f>IF(R4457="",AVERAGEIF(Table1[Category],Table1[[#This Row],[Category]],Table2[orignal data]),Table2[[#This Row],[orignal data]])</f>
        <v>614.59</v>
      </c>
      <c r="T4457" t="str">
        <f t="shared" si="278"/>
        <v>UNIQUE</v>
      </c>
      <c r="U4457" t="str">
        <f>IF(ISBLANK(Table1[[#This Row],[SizeOption]]),"NOT AVAILABLE",Table1[[#This Row],[SizeOption]])</f>
        <v>S, M, L, XL, XXL</v>
      </c>
      <c r="Y4457" t="str">
        <f>IF(Table2[[#This Row],[Column1]]&gt;50%,"HIGH DISCOUNT","LOW DISCOUNT")</f>
        <v>HIGH DISCOUNT</v>
      </c>
    </row>
    <row r="4458" spans="1:25" x14ac:dyDescent="0.25">
      <c r="A4458" s="1" t="s">
        <v>9117</v>
      </c>
      <c r="B4458" s="1">
        <v>9371587</v>
      </c>
      <c r="C4458" s="1" t="s">
        <v>97</v>
      </c>
      <c r="D4458" s="1" t="s">
        <v>76</v>
      </c>
      <c r="E4458" s="1" t="s">
        <v>148</v>
      </c>
      <c r="F4458" s="1" t="s">
        <v>36</v>
      </c>
      <c r="G4458" s="1" t="s">
        <v>9118</v>
      </c>
      <c r="H4458">
        <v>1199</v>
      </c>
      <c r="I4458" s="1">
        <v>1999</v>
      </c>
      <c r="J4458" s="1" t="s">
        <v>50</v>
      </c>
      <c r="K4458" s="1" t="s">
        <v>100</v>
      </c>
      <c r="L4458" s="1">
        <v>4.2</v>
      </c>
      <c r="M4458" s="1">
        <v>499</v>
      </c>
      <c r="P4458" t="str">
        <f t="shared" si="279"/>
        <v>40%</v>
      </c>
      <c r="Q4458" s="12">
        <f t="shared" si="276"/>
        <v>0.4</v>
      </c>
      <c r="R4458" s="9">
        <f t="shared" si="277"/>
        <v>1199.4000000000001</v>
      </c>
      <c r="S4458" s="9">
        <f>IF(R4458="",AVERAGEIF(Table1[Category],Table1[[#This Row],[Category]],Table2[orignal data]),Table2[[#This Row],[orignal data]])</f>
        <v>1199.4000000000001</v>
      </c>
      <c r="T4458" t="str">
        <f t="shared" si="278"/>
        <v>UNIQUE</v>
      </c>
      <c r="U4458" t="str">
        <f>IF(ISBLANK(Table1[[#This Row],[SizeOption]]),"NOT AVAILABLE",Table1[[#This Row],[SizeOption]])</f>
        <v>XS, S, M, L, XL, XXL, 3XL</v>
      </c>
      <c r="Y4458" t="str">
        <f>IF(Table2[[#This Row],[Column1]]&gt;50%,"HIGH DISCOUNT","LOW DISCOUNT")</f>
        <v>LOW DISCOUNT</v>
      </c>
    </row>
    <row r="4459" spans="1:25" x14ac:dyDescent="0.25">
      <c r="A4459" s="2" t="s">
        <v>9119</v>
      </c>
      <c r="B4459" s="2">
        <v>14507212</v>
      </c>
      <c r="C4459" s="2" t="s">
        <v>2306</v>
      </c>
      <c r="D4459" s="2" t="s">
        <v>76</v>
      </c>
      <c r="E4459" s="2" t="s">
        <v>77</v>
      </c>
      <c r="F4459" s="2" t="s">
        <v>36</v>
      </c>
      <c r="G4459" s="2" t="s">
        <v>9120</v>
      </c>
      <c r="H4459">
        <v>1034</v>
      </c>
      <c r="I4459" s="2">
        <v>3233</v>
      </c>
      <c r="J4459" s="2" t="s">
        <v>839</v>
      </c>
      <c r="K4459" s="2" t="s">
        <v>234</v>
      </c>
      <c r="L4459" s="2">
        <v>3.6</v>
      </c>
      <c r="M4459" s="2">
        <v>499</v>
      </c>
      <c r="P4459" t="str">
        <f t="shared" si="279"/>
        <v>68%</v>
      </c>
      <c r="Q4459" s="12">
        <f t="shared" si="276"/>
        <v>0.68</v>
      </c>
      <c r="R4459" s="9">
        <f t="shared" si="277"/>
        <v>1034.56</v>
      </c>
      <c r="S4459" s="9">
        <f>IF(R4459="",AVERAGEIF(Table1[Category],Table1[[#This Row],[Category]],Table2[orignal data]),Table2[[#This Row],[orignal data]])</f>
        <v>1034.56</v>
      </c>
      <c r="T4459" t="str">
        <f t="shared" si="278"/>
        <v>UNIQUE</v>
      </c>
      <c r="U4459" t="str">
        <f>IF(ISBLANK(Table1[[#This Row],[SizeOption]]),"NOT AVAILABLE",Table1[[#This Row],[SizeOption]])</f>
        <v>S, M, L, XL, XXL, 3XL</v>
      </c>
      <c r="Y4459" t="str">
        <f>IF(Table2[[#This Row],[Column1]]&gt;50%,"HIGH DISCOUNT","LOW DISCOUNT")</f>
        <v>HIGH DISCOUNT</v>
      </c>
    </row>
    <row r="4460" spans="1:25" x14ac:dyDescent="0.25">
      <c r="A4460" s="1" t="s">
        <v>9121</v>
      </c>
      <c r="B4460" s="1">
        <v>13703704</v>
      </c>
      <c r="C4460" s="1" t="s">
        <v>541</v>
      </c>
      <c r="D4460" s="1" t="s">
        <v>76</v>
      </c>
      <c r="E4460" s="1" t="s">
        <v>77</v>
      </c>
      <c r="F4460" s="1" t="s">
        <v>36</v>
      </c>
      <c r="G4460" s="1" t="s">
        <v>9122</v>
      </c>
      <c r="H4460">
        <v>1154</v>
      </c>
      <c r="I4460" s="1">
        <v>3299</v>
      </c>
      <c r="J4460" s="1" t="s">
        <v>150</v>
      </c>
      <c r="K4460" s="1" t="s">
        <v>39</v>
      </c>
      <c r="L4460" s="1">
        <v>3.8</v>
      </c>
      <c r="M4460" s="1">
        <v>499</v>
      </c>
      <c r="P4460" t="str">
        <f t="shared" si="279"/>
        <v>65%</v>
      </c>
      <c r="Q4460" s="12">
        <f t="shared" si="276"/>
        <v>0.65</v>
      </c>
      <c r="R4460" s="9">
        <f t="shared" si="277"/>
        <v>1154.6500000000001</v>
      </c>
      <c r="S4460" s="9">
        <f>IF(R4460="",AVERAGEIF(Table1[Category],Table1[[#This Row],[Category]],Table2[orignal data]),Table2[[#This Row],[orignal data]])</f>
        <v>1154.6500000000001</v>
      </c>
      <c r="T4460" t="str">
        <f t="shared" si="278"/>
        <v>UNIQUE</v>
      </c>
      <c r="U4460" t="str">
        <f>IF(ISBLANK(Table1[[#This Row],[SizeOption]]),"NOT AVAILABLE",Table1[[#This Row],[SizeOption]])</f>
        <v>S, M, L, XL, XXL</v>
      </c>
      <c r="Y4460" t="str">
        <f>IF(Table2[[#This Row],[Column1]]&gt;50%,"HIGH DISCOUNT","LOW DISCOUNT")</f>
        <v>HIGH DISCOUNT</v>
      </c>
    </row>
    <row r="4461" spans="1:25" x14ac:dyDescent="0.25">
      <c r="A4461" s="2" t="s">
        <v>9123</v>
      </c>
      <c r="B4461" s="2">
        <v>8420299</v>
      </c>
      <c r="C4461" s="2" t="s">
        <v>97</v>
      </c>
      <c r="D4461" s="2" t="s">
        <v>76</v>
      </c>
      <c r="E4461" s="2" t="s">
        <v>77</v>
      </c>
      <c r="F4461" s="2" t="s">
        <v>36</v>
      </c>
      <c r="G4461" s="2" t="s">
        <v>9124</v>
      </c>
      <c r="H4461">
        <v>2159</v>
      </c>
      <c r="I4461" s="2">
        <v>5399</v>
      </c>
      <c r="J4461" s="2" t="s">
        <v>55</v>
      </c>
      <c r="K4461" s="2" t="s">
        <v>100</v>
      </c>
      <c r="L4461" s="2">
        <v>4.2</v>
      </c>
      <c r="M4461" s="2">
        <v>499</v>
      </c>
      <c r="P4461" t="str">
        <f t="shared" si="279"/>
        <v>60%</v>
      </c>
      <c r="Q4461" s="12">
        <f t="shared" si="276"/>
        <v>0.6</v>
      </c>
      <c r="R4461" s="9">
        <f t="shared" si="277"/>
        <v>2159.6</v>
      </c>
      <c r="S4461" s="9">
        <f>IF(R4461="",AVERAGEIF(Table1[Category],Table1[[#This Row],[Category]],Table2[orignal data]),Table2[[#This Row],[orignal data]])</f>
        <v>2159.6</v>
      </c>
      <c r="T4461" t="str">
        <f t="shared" si="278"/>
        <v>UNIQUE</v>
      </c>
      <c r="U4461" t="str">
        <f>IF(ISBLANK(Table1[[#This Row],[SizeOption]]),"NOT AVAILABLE",Table1[[#This Row],[SizeOption]])</f>
        <v>XS, S, M, L, XL, XXL, 3XL</v>
      </c>
      <c r="Y4461" t="str">
        <f>IF(Table2[[#This Row],[Column1]]&gt;50%,"HIGH DISCOUNT","LOW DISCOUNT")</f>
        <v>HIGH DISCOUNT</v>
      </c>
    </row>
    <row r="4462" spans="1:25" x14ac:dyDescent="0.25">
      <c r="A4462" s="1" t="s">
        <v>9125</v>
      </c>
      <c r="B4462" s="1">
        <v>11012468</v>
      </c>
      <c r="C4462" s="1" t="s">
        <v>58</v>
      </c>
      <c r="D4462" s="1" t="s">
        <v>41</v>
      </c>
      <c r="E4462" s="1" t="s">
        <v>818</v>
      </c>
      <c r="F4462" s="1" t="s">
        <v>36</v>
      </c>
      <c r="G4462" s="1" t="s">
        <v>9126</v>
      </c>
      <c r="I4462" s="1">
        <v>1195</v>
      </c>
      <c r="J4462" s="1" t="s">
        <v>60</v>
      </c>
      <c r="K4462" s="1" t="s">
        <v>26</v>
      </c>
      <c r="L4462" s="1">
        <v>4.2</v>
      </c>
      <c r="M4462" s="1">
        <v>499</v>
      </c>
      <c r="P4462" t="str">
        <f t="shared" si="279"/>
        <v>58%</v>
      </c>
      <c r="Q4462" s="12">
        <f t="shared" si="276"/>
        <v>0.57999999999999996</v>
      </c>
      <c r="R4462" s="9">
        <f t="shared" si="277"/>
        <v>501.90000000000009</v>
      </c>
      <c r="S4462" s="9">
        <f>IF(R4462="",AVERAGEIF(Table1[Category],Table1[[#This Row],[Category]],Table2[orignal data]),Table2[[#This Row],[orignal data]])</f>
        <v>501.90000000000009</v>
      </c>
      <c r="T4462" t="str">
        <f t="shared" si="278"/>
        <v>UNIQUE</v>
      </c>
      <c r="U4462" t="str">
        <f>IF(ISBLANK(Table1[[#This Row],[SizeOption]]),"NOT AVAILABLE",Table1[[#This Row],[SizeOption]])</f>
        <v>S, M, L, XL</v>
      </c>
      <c r="Y4462" t="str">
        <f>IF(Table2[[#This Row],[Column1]]&gt;50%,"HIGH DISCOUNT","LOW DISCOUNT")</f>
        <v>HIGH DISCOUNT</v>
      </c>
    </row>
    <row r="4463" spans="1:25" x14ac:dyDescent="0.25">
      <c r="A4463" s="2" t="s">
        <v>9127</v>
      </c>
      <c r="B4463" s="2">
        <v>12259246</v>
      </c>
      <c r="C4463" s="2" t="s">
        <v>121</v>
      </c>
      <c r="D4463" s="2" t="s">
        <v>41</v>
      </c>
      <c r="E4463" s="2" t="s">
        <v>42</v>
      </c>
      <c r="F4463" s="2" t="s">
        <v>36</v>
      </c>
      <c r="G4463" s="2" t="s">
        <v>9128</v>
      </c>
      <c r="I4463" s="2">
        <v>1199</v>
      </c>
      <c r="J4463" s="2" t="s">
        <v>50</v>
      </c>
      <c r="K4463" s="2" t="s">
        <v>115</v>
      </c>
      <c r="L4463" s="2">
        <v>4.2</v>
      </c>
      <c r="M4463" s="2">
        <v>499</v>
      </c>
      <c r="P4463" t="str">
        <f t="shared" si="279"/>
        <v>40%</v>
      </c>
      <c r="Q4463" s="12">
        <f t="shared" si="276"/>
        <v>0.4</v>
      </c>
      <c r="R4463" s="9">
        <f t="shared" si="277"/>
        <v>719.4</v>
      </c>
      <c r="S4463" s="9">
        <f>IF(R4463="",AVERAGEIF(Table1[Category],Table1[[#This Row],[Category]],Table2[orignal data]),Table2[[#This Row],[orignal data]])</f>
        <v>719.4</v>
      </c>
      <c r="T4463" t="str">
        <f t="shared" si="278"/>
        <v>UNIQUE</v>
      </c>
      <c r="U4463" t="str">
        <f>IF(ISBLANK(Table1[[#This Row],[SizeOption]]),"NOT AVAILABLE",Table1[[#This Row],[SizeOption]])</f>
        <v>XS, S, M, L, XL, XXL</v>
      </c>
      <c r="Y4463" t="str">
        <f>IF(Table2[[#This Row],[Column1]]&gt;50%,"HIGH DISCOUNT","LOW DISCOUNT")</f>
        <v>LOW DISCOUNT</v>
      </c>
    </row>
    <row r="4464" spans="1:25" x14ac:dyDescent="0.25">
      <c r="A4464" s="1" t="s">
        <v>9129</v>
      </c>
      <c r="B4464" s="1">
        <v>13842512</v>
      </c>
      <c r="C4464" s="1" t="s">
        <v>102</v>
      </c>
      <c r="D4464" s="1" t="s">
        <v>41</v>
      </c>
      <c r="E4464" s="1" t="s">
        <v>148</v>
      </c>
      <c r="F4464" s="1" t="s">
        <v>36</v>
      </c>
      <c r="G4464" s="1" t="s">
        <v>9130</v>
      </c>
      <c r="I4464" s="1">
        <v>1399</v>
      </c>
      <c r="J4464" s="1" t="s">
        <v>130</v>
      </c>
      <c r="K4464" s="1" t="s">
        <v>26</v>
      </c>
      <c r="L4464" s="1">
        <v>4.4000000000000004</v>
      </c>
      <c r="M4464" s="1">
        <v>499</v>
      </c>
      <c r="P4464" t="str">
        <f t="shared" si="279"/>
        <v>57%</v>
      </c>
      <c r="Q4464" s="12">
        <f t="shared" si="276"/>
        <v>0.56999999999999995</v>
      </c>
      <c r="R4464" s="9">
        <f t="shared" si="277"/>
        <v>601.57000000000005</v>
      </c>
      <c r="S4464" s="9">
        <f>IF(R4464="",AVERAGEIF(Table1[Category],Table1[[#This Row],[Category]],Table2[orignal data]),Table2[[#This Row],[orignal data]])</f>
        <v>601.57000000000005</v>
      </c>
      <c r="T4464" t="str">
        <f t="shared" si="278"/>
        <v>UNIQUE</v>
      </c>
      <c r="U4464" t="str">
        <f>IF(ISBLANK(Table1[[#This Row],[SizeOption]]),"NOT AVAILABLE",Table1[[#This Row],[SizeOption]])</f>
        <v>S, M, L, XL</v>
      </c>
      <c r="Y4464" t="str">
        <f>IF(Table2[[#This Row],[Column1]]&gt;50%,"HIGH DISCOUNT","LOW DISCOUNT")</f>
        <v>HIGH DISCOUNT</v>
      </c>
    </row>
    <row r="4465" spans="1:25" x14ac:dyDescent="0.25">
      <c r="A4465" s="2" t="s">
        <v>9131</v>
      </c>
      <c r="B4465" s="2">
        <v>10856420</v>
      </c>
      <c r="C4465" s="2" t="s">
        <v>14</v>
      </c>
      <c r="D4465" s="2" t="s">
        <v>41</v>
      </c>
      <c r="E4465" s="2" t="s">
        <v>48</v>
      </c>
      <c r="F4465" s="2" t="s">
        <v>36</v>
      </c>
      <c r="G4465" s="2" t="s">
        <v>9132</v>
      </c>
      <c r="I4465" s="2">
        <v>1499</v>
      </c>
      <c r="J4465" s="2" t="s">
        <v>55</v>
      </c>
      <c r="K4465" s="2" t="s">
        <v>45</v>
      </c>
      <c r="L4465" s="2">
        <v>4.3</v>
      </c>
      <c r="M4465" s="2">
        <v>499</v>
      </c>
      <c r="P4465" t="str">
        <f t="shared" si="279"/>
        <v>60%</v>
      </c>
      <c r="Q4465" s="12">
        <f t="shared" si="276"/>
        <v>0.6</v>
      </c>
      <c r="R4465" s="9">
        <f t="shared" si="277"/>
        <v>599.6</v>
      </c>
      <c r="S4465" s="9">
        <f>IF(R4465="",AVERAGEIF(Table1[Category],Table1[[#This Row],[Category]],Table2[orignal data]),Table2[[#This Row],[orignal data]])</f>
        <v>599.6</v>
      </c>
      <c r="T4465" t="str">
        <f t="shared" si="278"/>
        <v>UNIQUE</v>
      </c>
      <c r="U4465" t="str">
        <f>IF(ISBLANK(Table1[[#This Row],[SizeOption]]),"NOT AVAILABLE",Table1[[#This Row],[SizeOption]])</f>
        <v>XS, S, M, L, XL</v>
      </c>
      <c r="Y4465" t="str">
        <f>IF(Table2[[#This Row],[Column1]]&gt;50%,"HIGH DISCOUNT","LOW DISCOUNT")</f>
        <v>HIGH DISCOUNT</v>
      </c>
    </row>
    <row r="4466" spans="1:25" x14ac:dyDescent="0.25">
      <c r="A4466" s="1" t="s">
        <v>9133</v>
      </c>
      <c r="B4466" s="1">
        <v>17382710</v>
      </c>
      <c r="C4466" s="1" t="s">
        <v>14</v>
      </c>
      <c r="D4466" s="1" t="s">
        <v>41</v>
      </c>
      <c r="E4466" s="1" t="s">
        <v>42</v>
      </c>
      <c r="F4466" s="1" t="s">
        <v>36</v>
      </c>
      <c r="G4466" s="1" t="s">
        <v>1816</v>
      </c>
      <c r="I4466" s="1">
        <v>1598</v>
      </c>
      <c r="J4466" s="1" t="s">
        <v>84</v>
      </c>
      <c r="K4466" s="1" t="s">
        <v>45</v>
      </c>
      <c r="L4466" s="1">
        <v>4.2</v>
      </c>
      <c r="M4466" s="1">
        <v>499</v>
      </c>
      <c r="P4466" t="str">
        <f t="shared" si="279"/>
        <v>50%</v>
      </c>
      <c r="Q4466" s="12">
        <f t="shared" si="276"/>
        <v>0.5</v>
      </c>
      <c r="R4466" s="9">
        <f t="shared" si="277"/>
        <v>799</v>
      </c>
      <c r="S4466" s="9">
        <f>IF(R4466="",AVERAGEIF(Table1[Category],Table1[[#This Row],[Category]],Table2[orignal data]),Table2[[#This Row],[orignal data]])</f>
        <v>799</v>
      </c>
      <c r="T4466" t="str">
        <f t="shared" si="278"/>
        <v>UNIQUE</v>
      </c>
      <c r="U4466" t="str">
        <f>IF(ISBLANK(Table1[[#This Row],[SizeOption]]),"NOT AVAILABLE",Table1[[#This Row],[SizeOption]])</f>
        <v>XS, S, M, L, XL</v>
      </c>
      <c r="Y4466" t="str">
        <f>IF(Table2[[#This Row],[Column1]]&gt;50%,"HIGH DISCOUNT","LOW DISCOUNT")</f>
        <v>LOW DISCOUNT</v>
      </c>
    </row>
    <row r="4467" spans="1:25" x14ac:dyDescent="0.25">
      <c r="A4467" s="2" t="s">
        <v>9134</v>
      </c>
      <c r="B4467" s="2">
        <v>12335306</v>
      </c>
      <c r="C4467" s="2" t="s">
        <v>14</v>
      </c>
      <c r="D4467" s="2" t="s">
        <v>41</v>
      </c>
      <c r="E4467" s="2" t="s">
        <v>306</v>
      </c>
      <c r="F4467" s="2" t="s">
        <v>36</v>
      </c>
      <c r="G4467" s="2" t="s">
        <v>9135</v>
      </c>
      <c r="I4467" s="2">
        <v>1699</v>
      </c>
      <c r="J4467" s="2" t="s">
        <v>150</v>
      </c>
      <c r="K4467" s="2" t="s">
        <v>115</v>
      </c>
      <c r="L4467" s="2">
        <v>4.2</v>
      </c>
      <c r="M4467" s="2">
        <v>499</v>
      </c>
      <c r="P4467" t="str">
        <f t="shared" si="279"/>
        <v>65%</v>
      </c>
      <c r="Q4467" s="12">
        <f t="shared" si="276"/>
        <v>0.65</v>
      </c>
      <c r="R4467" s="9">
        <f t="shared" si="277"/>
        <v>594.64999999999986</v>
      </c>
      <c r="S4467" s="9">
        <f>IF(R4467="",AVERAGEIF(Table1[Category],Table1[[#This Row],[Category]],Table2[orignal data]),Table2[[#This Row],[orignal data]])</f>
        <v>594.64999999999986</v>
      </c>
      <c r="T4467" t="str">
        <f t="shared" si="278"/>
        <v>UNIQUE</v>
      </c>
      <c r="U4467" t="str">
        <f>IF(ISBLANK(Table1[[#This Row],[SizeOption]]),"NOT AVAILABLE",Table1[[#This Row],[SizeOption]])</f>
        <v>XS, S, M, L, XL, XXL</v>
      </c>
      <c r="Y4467" t="str">
        <f>IF(Table2[[#This Row],[Column1]]&gt;50%,"HIGH DISCOUNT","LOW DISCOUNT")</f>
        <v>HIGH DISCOUNT</v>
      </c>
    </row>
    <row r="4468" spans="1:25" x14ac:dyDescent="0.25">
      <c r="A4468" s="1" t="s">
        <v>9136</v>
      </c>
      <c r="B4468" s="1">
        <v>8962427</v>
      </c>
      <c r="C4468" s="1" t="s">
        <v>14</v>
      </c>
      <c r="D4468" s="1" t="s">
        <v>15</v>
      </c>
      <c r="E4468" s="1" t="s">
        <v>16</v>
      </c>
      <c r="F4468" s="1" t="s">
        <v>17</v>
      </c>
      <c r="G4468" s="1" t="s">
        <v>1185</v>
      </c>
      <c r="H4468">
        <v>769</v>
      </c>
      <c r="I4468" s="1">
        <v>2199</v>
      </c>
      <c r="J4468" s="1" t="s">
        <v>150</v>
      </c>
      <c r="K4468" s="1" t="s">
        <v>134</v>
      </c>
      <c r="L4468" s="1">
        <v>3.6</v>
      </c>
      <c r="M4468" s="1">
        <v>498</v>
      </c>
      <c r="P4468" t="str">
        <f t="shared" si="279"/>
        <v>65%</v>
      </c>
      <c r="Q4468" s="12">
        <f t="shared" si="276"/>
        <v>0.65</v>
      </c>
      <c r="R4468" s="9">
        <f t="shared" si="277"/>
        <v>769.64999999999986</v>
      </c>
      <c r="S4468" s="9">
        <f>IF(R4468="",AVERAGEIF(Table1[Category],Table1[[#This Row],[Category]],Table2[orignal data]),Table2[[#This Row],[orignal data]])</f>
        <v>769.64999999999986</v>
      </c>
      <c r="T4468" t="str">
        <f t="shared" si="278"/>
        <v>UNIQUE</v>
      </c>
      <c r="U4468" t="str">
        <f>IF(ISBLANK(Table1[[#This Row],[SizeOption]]),"NOT AVAILABLE",Table1[[#This Row],[SizeOption]])</f>
        <v>26, 28, 30, 32, 34, 36</v>
      </c>
      <c r="Y4468" t="str">
        <f>IF(Table2[[#This Row],[Column1]]&gt;50%,"HIGH DISCOUNT","LOW DISCOUNT")</f>
        <v>HIGH DISCOUNT</v>
      </c>
    </row>
    <row r="4469" spans="1:25" x14ac:dyDescent="0.25">
      <c r="A4469" s="2" t="s">
        <v>9137</v>
      </c>
      <c r="B4469" s="2">
        <v>11274582</v>
      </c>
      <c r="C4469" s="2" t="s">
        <v>14</v>
      </c>
      <c r="D4469" s="2" t="s">
        <v>15</v>
      </c>
      <c r="E4469" s="2" t="s">
        <v>16</v>
      </c>
      <c r="F4469" s="2" t="s">
        <v>17</v>
      </c>
      <c r="G4469" s="2" t="s">
        <v>3068</v>
      </c>
      <c r="H4469">
        <v>719</v>
      </c>
      <c r="I4469" s="2">
        <v>1799</v>
      </c>
      <c r="J4469" s="2" t="s">
        <v>55</v>
      </c>
      <c r="K4469" s="2" t="s">
        <v>20</v>
      </c>
      <c r="L4469" s="2">
        <v>3.8</v>
      </c>
      <c r="M4469" s="2">
        <v>498</v>
      </c>
      <c r="P4469" t="str">
        <f t="shared" si="279"/>
        <v>60%</v>
      </c>
      <c r="Q4469" s="12">
        <f t="shared" si="276"/>
        <v>0.6</v>
      </c>
      <c r="R4469" s="9">
        <f t="shared" si="277"/>
        <v>719.60000000000014</v>
      </c>
      <c r="S4469" s="9">
        <f>IF(R4469="",AVERAGEIF(Table1[Category],Table1[[#This Row],[Category]],Table2[orignal data]),Table2[[#This Row],[orignal data]])</f>
        <v>719.60000000000014</v>
      </c>
      <c r="T4469" t="str">
        <f t="shared" si="278"/>
        <v>UNIQUE</v>
      </c>
      <c r="U4469" t="str">
        <f>IF(ISBLANK(Table1[[#This Row],[SizeOption]]),"NOT AVAILABLE",Table1[[#This Row],[SizeOption]])</f>
        <v>28, 30, 32, 34, 36</v>
      </c>
      <c r="Y4469" t="str">
        <f>IF(Table2[[#This Row],[Column1]]&gt;50%,"HIGH DISCOUNT","LOW DISCOUNT")</f>
        <v>HIGH DISCOUNT</v>
      </c>
    </row>
    <row r="4470" spans="1:25" x14ac:dyDescent="0.25">
      <c r="A4470" s="1" t="s">
        <v>9138</v>
      </c>
      <c r="B4470" s="1">
        <v>5395412</v>
      </c>
      <c r="C4470" s="1" t="s">
        <v>64</v>
      </c>
      <c r="D4470" s="1" t="s">
        <v>15</v>
      </c>
      <c r="E4470" s="1" t="s">
        <v>23</v>
      </c>
      <c r="F4470" s="1" t="s">
        <v>17</v>
      </c>
      <c r="G4470" s="1" t="s">
        <v>9139</v>
      </c>
      <c r="H4470">
        <v>594</v>
      </c>
      <c r="I4470" s="1">
        <v>1699</v>
      </c>
      <c r="J4470" s="1" t="s">
        <v>150</v>
      </c>
      <c r="K4470" s="1" t="s">
        <v>39</v>
      </c>
      <c r="L4470" s="1">
        <v>3.9</v>
      </c>
      <c r="M4470" s="1">
        <v>498</v>
      </c>
      <c r="P4470" t="str">
        <f t="shared" si="279"/>
        <v>65%</v>
      </c>
      <c r="Q4470" s="12">
        <f t="shared" si="276"/>
        <v>0.65</v>
      </c>
      <c r="R4470" s="9">
        <f t="shared" si="277"/>
        <v>594.64999999999986</v>
      </c>
      <c r="S4470" s="9">
        <f>IF(R4470="",AVERAGEIF(Table1[Category],Table1[[#This Row],[Category]],Table2[orignal data]),Table2[[#This Row],[orignal data]])</f>
        <v>594.64999999999986</v>
      </c>
      <c r="T4470" t="str">
        <f t="shared" si="278"/>
        <v>UNIQUE</v>
      </c>
      <c r="U4470" t="str">
        <f>IF(ISBLANK(Table1[[#This Row],[SizeOption]]),"NOT AVAILABLE",Table1[[#This Row],[SizeOption]])</f>
        <v>S, M, L, XL, XXL</v>
      </c>
      <c r="Y4470" t="str">
        <f>IF(Table2[[#This Row],[Column1]]&gt;50%,"HIGH DISCOUNT","LOW DISCOUNT")</f>
        <v>HIGH DISCOUNT</v>
      </c>
    </row>
    <row r="4471" spans="1:25" x14ac:dyDescent="0.25">
      <c r="A4471" s="2" t="s">
        <v>9140</v>
      </c>
      <c r="B4471" s="2">
        <v>10004147</v>
      </c>
      <c r="C4471" s="2" t="s">
        <v>52</v>
      </c>
      <c r="D4471" s="2" t="s">
        <v>15</v>
      </c>
      <c r="E4471" s="2" t="s">
        <v>53</v>
      </c>
      <c r="F4471" s="2" t="s">
        <v>17</v>
      </c>
      <c r="G4471" s="2" t="s">
        <v>9141</v>
      </c>
      <c r="H4471">
        <v>623</v>
      </c>
      <c r="I4471" s="2">
        <v>1599</v>
      </c>
      <c r="J4471" s="2" t="s">
        <v>104</v>
      </c>
      <c r="K4471" s="2" t="s">
        <v>56</v>
      </c>
      <c r="L4471" s="2">
        <v>4</v>
      </c>
      <c r="M4471" s="2">
        <v>498</v>
      </c>
      <c r="P4471" t="str">
        <f t="shared" si="279"/>
        <v>61%</v>
      </c>
      <c r="Q4471" s="12">
        <f t="shared" si="276"/>
        <v>0.61</v>
      </c>
      <c r="R4471" s="9">
        <f t="shared" si="277"/>
        <v>623.61</v>
      </c>
      <c r="S4471" s="9">
        <f>IF(R4471="",AVERAGEIF(Table1[Category],Table1[[#This Row],[Category]],Table2[orignal data]),Table2[[#This Row],[orignal data]])</f>
        <v>623.61</v>
      </c>
      <c r="T4471" t="str">
        <f t="shared" si="278"/>
        <v>UNIQUE</v>
      </c>
      <c r="U4471" t="str">
        <f>IF(ISBLANK(Table1[[#This Row],[SizeOption]]),"NOT AVAILABLE",Table1[[#This Row],[SizeOption]])</f>
        <v>30, 32, 34, 36</v>
      </c>
      <c r="Y4471" t="str">
        <f>IF(Table2[[#This Row],[Column1]]&gt;50%,"HIGH DISCOUNT","LOW DISCOUNT")</f>
        <v>HIGH DISCOUNT</v>
      </c>
    </row>
    <row r="4472" spans="1:25" x14ac:dyDescent="0.25">
      <c r="A4472" s="1" t="s">
        <v>9142</v>
      </c>
      <c r="B4472" s="1">
        <v>14191396</v>
      </c>
      <c r="C4472" s="1" t="s">
        <v>794</v>
      </c>
      <c r="D4472" s="1" t="s">
        <v>197</v>
      </c>
      <c r="E4472" s="1" t="s">
        <v>350</v>
      </c>
      <c r="F4472" s="1" t="s">
        <v>17</v>
      </c>
      <c r="G4472" s="1" t="s">
        <v>9143</v>
      </c>
      <c r="I4472" s="1">
        <v>369</v>
      </c>
      <c r="J4472" s="1"/>
      <c r="K4472" s="1" t="s">
        <v>352</v>
      </c>
      <c r="L4472" s="1">
        <v>4.2</v>
      </c>
      <c r="M4472" s="1">
        <v>498</v>
      </c>
      <c r="P4472" t="str">
        <f t="shared" si="279"/>
        <v/>
      </c>
      <c r="Q4472" s="12" t="str">
        <f t="shared" si="276"/>
        <v/>
      </c>
      <c r="R4472" s="9" t="str">
        <f t="shared" si="277"/>
        <v/>
      </c>
      <c r="S4472" s="9">
        <f>IF(R4472="",AVERAGEIF(Table1[Category],Table1[[#This Row],[Category]],Table2[orignal data]),Table2[[#This Row],[orignal data]])</f>
        <v>552.70900000000006</v>
      </c>
      <c r="T4472" t="str">
        <f t="shared" si="278"/>
        <v>UNIQUE</v>
      </c>
      <c r="U4472" t="str">
        <f>IF(ISBLANK(Table1[[#This Row],[SizeOption]]),"NOT AVAILABLE",Table1[[#This Row],[SizeOption]])</f>
        <v>S, M, L</v>
      </c>
      <c r="Y4472" t="str">
        <f>IF(Table2[[#This Row],[Column1]]&gt;50%,"HIGH DISCOUNT","LOW DISCOUNT")</f>
        <v>HIGH DISCOUNT</v>
      </c>
    </row>
    <row r="4473" spans="1:25" x14ac:dyDescent="0.25">
      <c r="A4473" s="2" t="s">
        <v>9144</v>
      </c>
      <c r="B4473" s="2">
        <v>10283351</v>
      </c>
      <c r="C4473" s="2" t="s">
        <v>6904</v>
      </c>
      <c r="D4473" s="2" t="s">
        <v>28</v>
      </c>
      <c r="E4473" s="2" t="s">
        <v>42</v>
      </c>
      <c r="F4473" s="2" t="s">
        <v>17</v>
      </c>
      <c r="G4473" s="2" t="s">
        <v>9145</v>
      </c>
      <c r="H4473">
        <v>439</v>
      </c>
      <c r="I4473" s="2">
        <v>1099</v>
      </c>
      <c r="J4473" s="2" t="s">
        <v>55</v>
      </c>
      <c r="K4473" s="2" t="s">
        <v>39</v>
      </c>
      <c r="L4473" s="2">
        <v>3.7</v>
      </c>
      <c r="M4473" s="2">
        <v>498</v>
      </c>
      <c r="P4473" t="str">
        <f t="shared" si="279"/>
        <v>60%</v>
      </c>
      <c r="Q4473" s="12">
        <f t="shared" si="276"/>
        <v>0.6</v>
      </c>
      <c r="R4473" s="9">
        <f t="shared" si="277"/>
        <v>439.6</v>
      </c>
      <c r="S4473" s="9">
        <f>IF(R4473="",AVERAGEIF(Table1[Category],Table1[[#This Row],[Category]],Table2[orignal data]),Table2[[#This Row],[orignal data]])</f>
        <v>439.6</v>
      </c>
      <c r="T4473" t="str">
        <f t="shared" si="278"/>
        <v>UNIQUE</v>
      </c>
      <c r="U4473" t="str">
        <f>IF(ISBLANK(Table1[[#This Row],[SizeOption]]),"NOT AVAILABLE",Table1[[#This Row],[SizeOption]])</f>
        <v>S, M, L, XL, XXL</v>
      </c>
      <c r="Y4473" t="str">
        <f>IF(Table2[[#This Row],[Column1]]&gt;50%,"HIGH DISCOUNT","LOW DISCOUNT")</f>
        <v>HIGH DISCOUNT</v>
      </c>
    </row>
    <row r="4474" spans="1:25" x14ac:dyDescent="0.25">
      <c r="A4474" s="1" t="s">
        <v>9146</v>
      </c>
      <c r="B4474" s="1">
        <v>4328866</v>
      </c>
      <c r="C4474" s="1" t="s">
        <v>64</v>
      </c>
      <c r="D4474" s="1" t="s">
        <v>28</v>
      </c>
      <c r="E4474" s="1" t="s">
        <v>29</v>
      </c>
      <c r="F4474" s="1" t="s">
        <v>17</v>
      </c>
      <c r="G4474" s="1" t="s">
        <v>9147</v>
      </c>
      <c r="H4474">
        <v>849</v>
      </c>
      <c r="I4474" s="1">
        <v>1699</v>
      </c>
      <c r="J4474" s="1" t="s">
        <v>84</v>
      </c>
      <c r="K4474" s="1" t="s">
        <v>361</v>
      </c>
      <c r="L4474" s="1">
        <v>4.2</v>
      </c>
      <c r="M4474" s="1">
        <v>498</v>
      </c>
      <c r="P4474" t="str">
        <f t="shared" si="279"/>
        <v>50%</v>
      </c>
      <c r="Q4474" s="12">
        <f t="shared" si="276"/>
        <v>0.5</v>
      </c>
      <c r="R4474" s="9">
        <f t="shared" si="277"/>
        <v>849.5</v>
      </c>
      <c r="S4474" s="9">
        <f>IF(R4474="",AVERAGEIF(Table1[Category],Table1[[#This Row],[Category]],Table2[orignal data]),Table2[[#This Row],[orignal data]])</f>
        <v>849.5</v>
      </c>
      <c r="T4474" t="str">
        <f t="shared" si="278"/>
        <v>UNIQUE</v>
      </c>
      <c r="U4474" t="str">
        <f>IF(ISBLANK(Table1[[#This Row],[SizeOption]]),"NOT AVAILABLE",Table1[[#This Row],[SizeOption]])</f>
        <v>38, 40, 42, 44, 46</v>
      </c>
      <c r="Y4474" t="str">
        <f>IF(Table2[[#This Row],[Column1]]&gt;50%,"HIGH DISCOUNT","LOW DISCOUNT")</f>
        <v>LOW DISCOUNT</v>
      </c>
    </row>
    <row r="4475" spans="1:25" x14ac:dyDescent="0.25">
      <c r="A4475" s="2" t="s">
        <v>9148</v>
      </c>
      <c r="B4475" s="2">
        <v>13511632</v>
      </c>
      <c r="C4475" s="2" t="s">
        <v>865</v>
      </c>
      <c r="D4475" s="2" t="s">
        <v>76</v>
      </c>
      <c r="E4475" s="2" t="s">
        <v>93</v>
      </c>
      <c r="F4475" s="2" t="s">
        <v>36</v>
      </c>
      <c r="G4475" s="2" t="s">
        <v>9149</v>
      </c>
      <c r="H4475">
        <v>1999</v>
      </c>
      <c r="I4475" s="2">
        <v>4999</v>
      </c>
      <c r="J4475" s="2" t="s">
        <v>55</v>
      </c>
      <c r="K4475" s="2" t="s">
        <v>39</v>
      </c>
      <c r="L4475" s="2">
        <v>4.2</v>
      </c>
      <c r="M4475" s="2">
        <v>498</v>
      </c>
      <c r="P4475" t="str">
        <f t="shared" si="279"/>
        <v>60%</v>
      </c>
      <c r="Q4475" s="12">
        <f t="shared" si="276"/>
        <v>0.6</v>
      </c>
      <c r="R4475" s="9">
        <f t="shared" si="277"/>
        <v>1999.6</v>
      </c>
      <c r="S4475" s="9">
        <f>IF(R4475="",AVERAGEIF(Table1[Category],Table1[[#This Row],[Category]],Table2[orignal data]),Table2[[#This Row],[orignal data]])</f>
        <v>1999.6</v>
      </c>
      <c r="T4475" t="str">
        <f t="shared" si="278"/>
        <v>UNIQUE</v>
      </c>
      <c r="U4475" t="str">
        <f>IF(ISBLANK(Table1[[#This Row],[SizeOption]]),"NOT AVAILABLE",Table1[[#This Row],[SizeOption]])</f>
        <v>S, M, L, XL, XXL</v>
      </c>
      <c r="Y4475" t="str">
        <f>IF(Table2[[#This Row],[Column1]]&gt;50%,"HIGH DISCOUNT","LOW DISCOUNT")</f>
        <v>HIGH DISCOUNT</v>
      </c>
    </row>
    <row r="4476" spans="1:25" x14ac:dyDescent="0.25">
      <c r="A4476" s="1" t="s">
        <v>9150</v>
      </c>
      <c r="B4476" s="1">
        <v>14663970</v>
      </c>
      <c r="C4476" s="1" t="s">
        <v>113</v>
      </c>
      <c r="D4476" s="1" t="s">
        <v>76</v>
      </c>
      <c r="E4476" s="1" t="s">
        <v>93</v>
      </c>
      <c r="F4476" s="1" t="s">
        <v>36</v>
      </c>
      <c r="G4476" s="1" t="s">
        <v>9151</v>
      </c>
      <c r="H4476">
        <v>359</v>
      </c>
      <c r="I4476" s="1">
        <v>899</v>
      </c>
      <c r="J4476" s="1" t="s">
        <v>55</v>
      </c>
      <c r="K4476" s="1" t="s">
        <v>115</v>
      </c>
      <c r="L4476" s="1">
        <v>4.0999999999999996</v>
      </c>
      <c r="M4476" s="1">
        <v>498</v>
      </c>
      <c r="P4476" t="str">
        <f t="shared" si="279"/>
        <v>60%</v>
      </c>
      <c r="Q4476" s="12">
        <f t="shared" si="276"/>
        <v>0.6</v>
      </c>
      <c r="R4476" s="9">
        <f t="shared" si="277"/>
        <v>359.6</v>
      </c>
      <c r="S4476" s="9">
        <f>IF(R4476="",AVERAGEIF(Table1[Category],Table1[[#This Row],[Category]],Table2[orignal data]),Table2[[#This Row],[orignal data]])</f>
        <v>359.6</v>
      </c>
      <c r="T4476" t="str">
        <f t="shared" si="278"/>
        <v>UNIQUE</v>
      </c>
      <c r="U4476" t="str">
        <f>IF(ISBLANK(Table1[[#This Row],[SizeOption]]),"NOT AVAILABLE",Table1[[#This Row],[SizeOption]])</f>
        <v>XS, S, M, L, XL, XXL</v>
      </c>
      <c r="Y4476" t="str">
        <f>IF(Table2[[#This Row],[Column1]]&gt;50%,"HIGH DISCOUNT","LOW DISCOUNT")</f>
        <v>HIGH DISCOUNT</v>
      </c>
    </row>
    <row r="4477" spans="1:25" x14ac:dyDescent="0.25">
      <c r="A4477" s="2" t="s">
        <v>9152</v>
      </c>
      <c r="B4477" s="2">
        <v>11773518</v>
      </c>
      <c r="C4477" s="2" t="s">
        <v>623</v>
      </c>
      <c r="D4477" s="2" t="s">
        <v>34</v>
      </c>
      <c r="E4477" s="2" t="s">
        <v>118</v>
      </c>
      <c r="F4477" s="2" t="s">
        <v>36</v>
      </c>
      <c r="G4477" s="2" t="s">
        <v>9153</v>
      </c>
      <c r="H4477">
        <v>455</v>
      </c>
      <c r="I4477" s="2">
        <v>1199</v>
      </c>
      <c r="J4477" s="2" t="s">
        <v>126</v>
      </c>
      <c r="K4477" s="2" t="s">
        <v>2429</v>
      </c>
      <c r="L4477" s="2">
        <v>4.3</v>
      </c>
      <c r="M4477" s="2">
        <v>498</v>
      </c>
      <c r="P4477" t="str">
        <f t="shared" si="279"/>
        <v>62%</v>
      </c>
      <c r="Q4477" s="12">
        <f t="shared" si="276"/>
        <v>0.62</v>
      </c>
      <c r="R4477" s="9">
        <f t="shared" si="277"/>
        <v>455.62</v>
      </c>
      <c r="S4477" s="9">
        <f>IF(R4477="",AVERAGEIF(Table1[Category],Table1[[#This Row],[Category]],Table2[orignal data]),Table2[[#This Row],[orignal data]])</f>
        <v>455.62</v>
      </c>
      <c r="T4477" t="str">
        <f t="shared" si="278"/>
        <v>UNIQUE</v>
      </c>
      <c r="U4477" t="str">
        <f>IF(ISBLANK(Table1[[#This Row],[SizeOption]]),"NOT AVAILABLE",Table1[[#This Row],[SizeOption]])</f>
        <v>32B, 32C, 32D, 34B, 34C, 34D, 36B, 36C, 36D, 38B, 38C, 40B, 40C</v>
      </c>
      <c r="Y4477" t="str">
        <f>IF(Table2[[#This Row],[Column1]]&gt;50%,"HIGH DISCOUNT","LOW DISCOUNT")</f>
        <v>HIGH DISCOUNT</v>
      </c>
    </row>
    <row r="4478" spans="1:25" x14ac:dyDescent="0.25">
      <c r="A4478" s="1" t="s">
        <v>9154</v>
      </c>
      <c r="B4478" s="1">
        <v>13437268</v>
      </c>
      <c r="C4478" s="1" t="s">
        <v>97</v>
      </c>
      <c r="D4478" s="1" t="s">
        <v>98</v>
      </c>
      <c r="E4478" s="1" t="s">
        <v>148</v>
      </c>
      <c r="F4478" s="1" t="s">
        <v>36</v>
      </c>
      <c r="G4478" s="1" t="s">
        <v>9155</v>
      </c>
      <c r="H4478">
        <v>799</v>
      </c>
      <c r="I4478" s="1">
        <v>1999</v>
      </c>
      <c r="J4478" s="1" t="s">
        <v>141</v>
      </c>
      <c r="K4478" s="1" t="s">
        <v>100</v>
      </c>
      <c r="L4478" s="1">
        <v>4</v>
      </c>
      <c r="M4478" s="1">
        <v>498</v>
      </c>
      <c r="P4478" t="str">
        <f t="shared" si="279"/>
        <v>60%</v>
      </c>
      <c r="Q4478" s="12">
        <f t="shared" si="276"/>
        <v>0.6</v>
      </c>
      <c r="R4478" s="9">
        <f t="shared" si="277"/>
        <v>799.60000000000014</v>
      </c>
      <c r="S4478" s="9">
        <f>IF(R4478="",AVERAGEIF(Table1[Category],Table1[[#This Row],[Category]],Table2[orignal data]),Table2[[#This Row],[orignal data]])</f>
        <v>799.60000000000014</v>
      </c>
      <c r="T4478" t="str">
        <f t="shared" si="278"/>
        <v>UNIQUE</v>
      </c>
      <c r="U4478" t="str">
        <f>IF(ISBLANK(Table1[[#This Row],[SizeOption]]),"NOT AVAILABLE",Table1[[#This Row],[SizeOption]])</f>
        <v>XS, S, M, L, XL, XXL, 3XL</v>
      </c>
      <c r="Y4478" t="str">
        <f>IF(Table2[[#This Row],[Column1]]&gt;50%,"HIGH DISCOUNT","LOW DISCOUNT")</f>
        <v>HIGH DISCOUNT</v>
      </c>
    </row>
    <row r="4479" spans="1:25" x14ac:dyDescent="0.25">
      <c r="A4479" s="2" t="s">
        <v>9156</v>
      </c>
      <c r="B4479" s="2">
        <v>13437286</v>
      </c>
      <c r="C4479" s="2" t="s">
        <v>97</v>
      </c>
      <c r="D4479" s="2" t="s">
        <v>98</v>
      </c>
      <c r="E4479" s="2" t="s">
        <v>77</v>
      </c>
      <c r="F4479" s="2" t="s">
        <v>36</v>
      </c>
      <c r="G4479" s="2" t="s">
        <v>9157</v>
      </c>
      <c r="H4479">
        <v>599</v>
      </c>
      <c r="I4479" s="2">
        <v>1999</v>
      </c>
      <c r="J4479" s="2" t="s">
        <v>79</v>
      </c>
      <c r="K4479" s="2" t="s">
        <v>100</v>
      </c>
      <c r="L4479" s="2">
        <v>4</v>
      </c>
      <c r="M4479" s="2">
        <v>498</v>
      </c>
      <c r="P4479" t="str">
        <f t="shared" si="279"/>
        <v>70%</v>
      </c>
      <c r="Q4479" s="12">
        <f t="shared" si="276"/>
        <v>0.7</v>
      </c>
      <c r="R4479" s="9">
        <f t="shared" si="277"/>
        <v>599.70000000000005</v>
      </c>
      <c r="S4479" s="9">
        <f>IF(R4479="",AVERAGEIF(Table1[Category],Table1[[#This Row],[Category]],Table2[orignal data]),Table2[[#This Row],[orignal data]])</f>
        <v>599.70000000000005</v>
      </c>
      <c r="T4479" t="str">
        <f t="shared" si="278"/>
        <v>UNIQUE</v>
      </c>
      <c r="U4479" t="str">
        <f>IF(ISBLANK(Table1[[#This Row],[SizeOption]]),"NOT AVAILABLE",Table1[[#This Row],[SizeOption]])</f>
        <v>XS, S, M, L, XL, XXL, 3XL</v>
      </c>
      <c r="Y4479" t="str">
        <f>IF(Table2[[#This Row],[Column1]]&gt;50%,"HIGH DISCOUNT","LOW DISCOUNT")</f>
        <v>HIGH DISCOUNT</v>
      </c>
    </row>
    <row r="4480" spans="1:25" x14ac:dyDescent="0.25">
      <c r="A4480" s="1" t="s">
        <v>9158</v>
      </c>
      <c r="B4480" s="1">
        <v>9369705</v>
      </c>
      <c r="C4480" s="1" t="s">
        <v>97</v>
      </c>
      <c r="D4480" s="1" t="s">
        <v>98</v>
      </c>
      <c r="E4480" s="1" t="s">
        <v>148</v>
      </c>
      <c r="F4480" s="1" t="s">
        <v>36</v>
      </c>
      <c r="G4480" s="1" t="s">
        <v>9159</v>
      </c>
      <c r="H4480">
        <v>999</v>
      </c>
      <c r="I4480" s="1">
        <v>2499</v>
      </c>
      <c r="J4480" s="1" t="s">
        <v>55</v>
      </c>
      <c r="K4480" s="1" t="s">
        <v>100</v>
      </c>
      <c r="L4480" s="1">
        <v>4.3</v>
      </c>
      <c r="M4480" s="1">
        <v>498</v>
      </c>
      <c r="P4480" t="str">
        <f t="shared" si="279"/>
        <v>60%</v>
      </c>
      <c r="Q4480" s="12">
        <f t="shared" si="276"/>
        <v>0.6</v>
      </c>
      <c r="R4480" s="9">
        <f t="shared" si="277"/>
        <v>999.60000000000014</v>
      </c>
      <c r="S4480" s="9">
        <f>IF(R4480="",AVERAGEIF(Table1[Category],Table1[[#This Row],[Category]],Table2[orignal data]),Table2[[#This Row],[orignal data]])</f>
        <v>999.60000000000014</v>
      </c>
      <c r="T4480" t="str">
        <f t="shared" si="278"/>
        <v>UNIQUE</v>
      </c>
      <c r="U4480" t="str">
        <f>IF(ISBLANK(Table1[[#This Row],[SizeOption]]),"NOT AVAILABLE",Table1[[#This Row],[SizeOption]])</f>
        <v>XS, S, M, L, XL, XXL, 3XL</v>
      </c>
      <c r="Y4480" t="str">
        <f>IF(Table2[[#This Row],[Column1]]&gt;50%,"HIGH DISCOUNT","LOW DISCOUNT")</f>
        <v>HIGH DISCOUNT</v>
      </c>
    </row>
    <row r="4481" spans="1:25" x14ac:dyDescent="0.25">
      <c r="A4481" s="2" t="s">
        <v>9160</v>
      </c>
      <c r="B4481" s="2">
        <v>8328113</v>
      </c>
      <c r="C4481" s="2" t="s">
        <v>67</v>
      </c>
      <c r="D4481" s="2" t="s">
        <v>68</v>
      </c>
      <c r="E4481" s="2" t="s">
        <v>137</v>
      </c>
      <c r="F4481" s="2" t="s">
        <v>36</v>
      </c>
      <c r="G4481" s="2" t="s">
        <v>9161</v>
      </c>
      <c r="H4481">
        <v>849</v>
      </c>
      <c r="I4481" s="2">
        <v>1699</v>
      </c>
      <c r="J4481" s="2" t="s">
        <v>84</v>
      </c>
      <c r="K4481" s="2" t="s">
        <v>134</v>
      </c>
      <c r="L4481" s="2">
        <v>4.4000000000000004</v>
      </c>
      <c r="M4481" s="2">
        <v>498</v>
      </c>
      <c r="P4481" t="str">
        <f t="shared" si="279"/>
        <v>50%</v>
      </c>
      <c r="Q4481" s="12">
        <f t="shared" si="276"/>
        <v>0.5</v>
      </c>
      <c r="R4481" s="9">
        <f t="shared" si="277"/>
        <v>849.5</v>
      </c>
      <c r="S4481" s="9">
        <f>IF(R4481="",AVERAGEIF(Table1[Category],Table1[[#This Row],[Category]],Table2[orignal data]),Table2[[#This Row],[orignal data]])</f>
        <v>849.5</v>
      </c>
      <c r="T4481" t="str">
        <f t="shared" si="278"/>
        <v>UNIQUE</v>
      </c>
      <c r="U4481" t="str">
        <f>IF(ISBLANK(Table1[[#This Row],[SizeOption]]),"NOT AVAILABLE",Table1[[#This Row],[SizeOption]])</f>
        <v>26, 28, 30, 32, 34, 36</v>
      </c>
      <c r="Y4481" t="str">
        <f>IF(Table2[[#This Row],[Column1]]&gt;50%,"HIGH DISCOUNT","LOW DISCOUNT")</f>
        <v>LOW DISCOUNT</v>
      </c>
    </row>
    <row r="4482" spans="1:25" x14ac:dyDescent="0.25">
      <c r="A4482" s="1" t="s">
        <v>9162</v>
      </c>
      <c r="B4482" s="1">
        <v>5151616</v>
      </c>
      <c r="C4482" s="1" t="s">
        <v>1158</v>
      </c>
      <c r="D4482" s="1" t="s">
        <v>41</v>
      </c>
      <c r="E4482" s="1" t="s">
        <v>48</v>
      </c>
      <c r="F4482" s="1" t="s">
        <v>36</v>
      </c>
      <c r="G4482" s="1" t="s">
        <v>9163</v>
      </c>
      <c r="I4482" s="1">
        <v>1170</v>
      </c>
      <c r="J4482" s="1" t="s">
        <v>55</v>
      </c>
      <c r="K4482" s="1" t="s">
        <v>311</v>
      </c>
      <c r="L4482" s="1">
        <v>4.4000000000000004</v>
      </c>
      <c r="M4482" s="1">
        <v>498</v>
      </c>
      <c r="P4482" t="str">
        <f t="shared" si="279"/>
        <v>60%</v>
      </c>
      <c r="Q4482" s="12">
        <f t="shared" ref="Q4482:Q4545" si="280">IF(P4482="","",IF(ISNUMBER(SEARCH("%",P4482)),P4482,P4482/I4482)*100%)</f>
        <v>0.6</v>
      </c>
      <c r="R4482" s="9">
        <f t="shared" ref="R4482:R4545" si="281">IF(P4482="","",I4482-(I4482*Q4482))</f>
        <v>468</v>
      </c>
      <c r="S4482" s="9">
        <f>IF(R4482="",AVERAGEIF(Table1[Category],Table1[[#This Row],[Category]],Table2[orignal data]),Table2[[#This Row],[orignal data]])</f>
        <v>468</v>
      </c>
      <c r="T4482" t="str">
        <f t="shared" ref="T4482:T4545" si="282">IF(COUNTIF($B$2:$B$5000,B4482)&gt;1,"DUPLICATE","UNIQUE")</f>
        <v>UNIQUE</v>
      </c>
      <c r="U4482" t="str">
        <f>IF(ISBLANK(Table1[[#This Row],[SizeOption]]),"NOT AVAILABLE",Table1[[#This Row],[SizeOption]])</f>
        <v>XS, S, M, L</v>
      </c>
      <c r="Y4482" t="str">
        <f>IF(Table2[[#This Row],[Column1]]&gt;50%,"HIGH DISCOUNT","LOW DISCOUNT")</f>
        <v>HIGH DISCOUNT</v>
      </c>
    </row>
    <row r="4483" spans="1:25" x14ac:dyDescent="0.25">
      <c r="A4483" s="2" t="s">
        <v>9164</v>
      </c>
      <c r="B4483" s="2">
        <v>11193684</v>
      </c>
      <c r="C4483" s="2" t="s">
        <v>1385</v>
      </c>
      <c r="D4483" s="2" t="s">
        <v>41</v>
      </c>
      <c r="E4483" s="2" t="s">
        <v>48</v>
      </c>
      <c r="F4483" s="2" t="s">
        <v>36</v>
      </c>
      <c r="G4483" s="2" t="s">
        <v>9165</v>
      </c>
      <c r="I4483" s="2">
        <v>1299</v>
      </c>
      <c r="J4483" s="2" t="s">
        <v>4584</v>
      </c>
      <c r="K4483" s="2" t="s">
        <v>45</v>
      </c>
      <c r="L4483" s="2">
        <v>4.3</v>
      </c>
      <c r="M4483" s="2">
        <v>498</v>
      </c>
      <c r="P4483" t="str">
        <f t="shared" ref="P4483:P4546" si="283">TRIM(SUBSTITUTE(SUBSTITUTE(SUBSTITUTE(SUBSTITUTE(J4483,"OFF",""),"Rs.",""),"Hurry*",""),",",""))</f>
        <v>800</v>
      </c>
      <c r="Q4483" s="12">
        <f t="shared" si="280"/>
        <v>0.61585835257890686</v>
      </c>
      <c r="R4483" s="9">
        <f t="shared" si="281"/>
        <v>499</v>
      </c>
      <c r="S4483" s="9">
        <f>IF(R4483="",AVERAGEIF(Table1[Category],Table1[[#This Row],[Category]],Table2[orignal data]),Table2[[#This Row],[orignal data]])</f>
        <v>499</v>
      </c>
      <c r="T4483" t="str">
        <f t="shared" si="282"/>
        <v>UNIQUE</v>
      </c>
      <c r="U4483" t="str">
        <f>IF(ISBLANK(Table1[[#This Row],[SizeOption]]),"NOT AVAILABLE",Table1[[#This Row],[SizeOption]])</f>
        <v>XS, S, M, L, XL</v>
      </c>
      <c r="Y4483" t="str">
        <f>IF(Table2[[#This Row],[Column1]]&gt;50%,"HIGH DISCOUNT","LOW DISCOUNT")</f>
        <v>HIGH DISCOUNT</v>
      </c>
    </row>
    <row r="4484" spans="1:25" x14ac:dyDescent="0.25">
      <c r="A4484" s="1" t="s">
        <v>9166</v>
      </c>
      <c r="B4484" s="1">
        <v>11513186</v>
      </c>
      <c r="C4484" s="1" t="s">
        <v>887</v>
      </c>
      <c r="D4484" s="1" t="s">
        <v>41</v>
      </c>
      <c r="E4484" s="1" t="s">
        <v>148</v>
      </c>
      <c r="F4484" s="1" t="s">
        <v>36</v>
      </c>
      <c r="G4484" s="1" t="s">
        <v>9167</v>
      </c>
      <c r="I4484" s="1">
        <v>2600</v>
      </c>
      <c r="J4484" s="1" t="s">
        <v>167</v>
      </c>
      <c r="K4484" s="1" t="s">
        <v>26</v>
      </c>
      <c r="L4484" s="1">
        <v>4.5</v>
      </c>
      <c r="M4484" s="1">
        <v>498</v>
      </c>
      <c r="P4484" t="str">
        <f t="shared" si="283"/>
        <v>49%</v>
      </c>
      <c r="Q4484" s="12">
        <f t="shared" si="280"/>
        <v>0.49</v>
      </c>
      <c r="R4484" s="9">
        <f t="shared" si="281"/>
        <v>1326</v>
      </c>
      <c r="S4484" s="9">
        <f>IF(R4484="",AVERAGEIF(Table1[Category],Table1[[#This Row],[Category]],Table2[orignal data]),Table2[[#This Row],[orignal data]])</f>
        <v>1326</v>
      </c>
      <c r="T4484" t="str">
        <f t="shared" si="282"/>
        <v>UNIQUE</v>
      </c>
      <c r="U4484" t="str">
        <f>IF(ISBLANK(Table1[[#This Row],[SizeOption]]),"NOT AVAILABLE",Table1[[#This Row],[SizeOption]])</f>
        <v>S, M, L, XL</v>
      </c>
      <c r="Y4484" t="str">
        <f>IF(Table2[[#This Row],[Column1]]&gt;50%,"HIGH DISCOUNT","LOW DISCOUNT")</f>
        <v>LOW DISCOUNT</v>
      </c>
    </row>
    <row r="4485" spans="1:25" x14ac:dyDescent="0.25">
      <c r="A4485" s="2" t="s">
        <v>9168</v>
      </c>
      <c r="B4485" s="2">
        <v>10064471</v>
      </c>
      <c r="C4485" s="2" t="s">
        <v>14</v>
      </c>
      <c r="D4485" s="2" t="s">
        <v>15</v>
      </c>
      <c r="E4485" s="2" t="s">
        <v>16</v>
      </c>
      <c r="F4485" s="2" t="s">
        <v>17</v>
      </c>
      <c r="G4485" s="2" t="s">
        <v>918</v>
      </c>
      <c r="H4485">
        <v>799</v>
      </c>
      <c r="I4485" s="2">
        <v>1999</v>
      </c>
      <c r="J4485" s="2" t="s">
        <v>55</v>
      </c>
      <c r="K4485" s="2" t="s">
        <v>20</v>
      </c>
      <c r="L4485" s="2">
        <v>3.9</v>
      </c>
      <c r="M4485" s="2">
        <v>497</v>
      </c>
      <c r="P4485" t="str">
        <f t="shared" si="283"/>
        <v>60%</v>
      </c>
      <c r="Q4485" s="12">
        <f t="shared" si="280"/>
        <v>0.6</v>
      </c>
      <c r="R4485" s="9">
        <f t="shared" si="281"/>
        <v>799.60000000000014</v>
      </c>
      <c r="S4485" s="9">
        <f>IF(R4485="",AVERAGEIF(Table1[Category],Table1[[#This Row],[Category]],Table2[orignal data]),Table2[[#This Row],[orignal data]])</f>
        <v>799.60000000000014</v>
      </c>
      <c r="T4485" t="str">
        <f t="shared" si="282"/>
        <v>UNIQUE</v>
      </c>
      <c r="U4485" t="str">
        <f>IF(ISBLANK(Table1[[#This Row],[SizeOption]]),"NOT AVAILABLE",Table1[[#This Row],[SizeOption]])</f>
        <v>28, 30, 32, 34, 36</v>
      </c>
      <c r="Y4485" t="str">
        <f>IF(Table2[[#This Row],[Column1]]&gt;50%,"HIGH DISCOUNT","LOW DISCOUNT")</f>
        <v>HIGH DISCOUNT</v>
      </c>
    </row>
    <row r="4486" spans="1:25" x14ac:dyDescent="0.25">
      <c r="A4486" s="1" t="s">
        <v>9169</v>
      </c>
      <c r="B4486" s="1">
        <v>10184943</v>
      </c>
      <c r="C4486" s="1" t="s">
        <v>271</v>
      </c>
      <c r="D4486" s="1" t="s">
        <v>76</v>
      </c>
      <c r="E4486" s="1" t="s">
        <v>93</v>
      </c>
      <c r="F4486" s="1" t="s">
        <v>17</v>
      </c>
      <c r="G4486" s="1" t="s">
        <v>9170</v>
      </c>
      <c r="H4486">
        <v>734</v>
      </c>
      <c r="I4486" s="1">
        <v>2099</v>
      </c>
      <c r="J4486" s="1" t="s">
        <v>150</v>
      </c>
      <c r="K4486" s="1" t="s">
        <v>39</v>
      </c>
      <c r="L4486" s="1">
        <v>4.0999999999999996</v>
      </c>
      <c r="M4486" s="1">
        <v>497</v>
      </c>
      <c r="P4486" t="str">
        <f t="shared" si="283"/>
        <v>65%</v>
      </c>
      <c r="Q4486" s="12">
        <f t="shared" si="280"/>
        <v>0.65</v>
      </c>
      <c r="R4486" s="9">
        <f t="shared" si="281"/>
        <v>734.64999999999986</v>
      </c>
      <c r="S4486" s="9">
        <f>IF(R4486="",AVERAGEIF(Table1[Category],Table1[[#This Row],[Category]],Table2[orignal data]),Table2[[#This Row],[orignal data]])</f>
        <v>734.64999999999986</v>
      </c>
      <c r="T4486" t="str">
        <f t="shared" si="282"/>
        <v>UNIQUE</v>
      </c>
      <c r="U4486" t="str">
        <f>IF(ISBLANK(Table1[[#This Row],[SizeOption]]),"NOT AVAILABLE",Table1[[#This Row],[SizeOption]])</f>
        <v>S, M, L, XL, XXL</v>
      </c>
      <c r="Y4486" t="str">
        <f>IF(Table2[[#This Row],[Column1]]&gt;50%,"HIGH DISCOUNT","LOW DISCOUNT")</f>
        <v>HIGH DISCOUNT</v>
      </c>
    </row>
    <row r="4487" spans="1:25" x14ac:dyDescent="0.25">
      <c r="A4487" s="2" t="s">
        <v>9171</v>
      </c>
      <c r="B4487" s="2">
        <v>11807558</v>
      </c>
      <c r="C4487" s="2" t="s">
        <v>563</v>
      </c>
      <c r="D4487" s="2" t="s">
        <v>197</v>
      </c>
      <c r="E4487" s="2" t="s">
        <v>518</v>
      </c>
      <c r="F4487" s="2" t="s">
        <v>17</v>
      </c>
      <c r="G4487" s="2" t="s">
        <v>4102</v>
      </c>
      <c r="H4487">
        <v>881</v>
      </c>
      <c r="I4487" s="2">
        <v>1798</v>
      </c>
      <c r="J4487" s="2" t="s">
        <v>163</v>
      </c>
      <c r="K4487" s="2" t="s">
        <v>39</v>
      </c>
      <c r="L4487" s="2">
        <v>4</v>
      </c>
      <c r="M4487" s="2">
        <v>497</v>
      </c>
      <c r="P4487" t="str">
        <f t="shared" si="283"/>
        <v>51%</v>
      </c>
      <c r="Q4487" s="12">
        <f t="shared" si="280"/>
        <v>0.51</v>
      </c>
      <c r="R4487" s="9">
        <f t="shared" si="281"/>
        <v>881.02</v>
      </c>
      <c r="S4487" s="9">
        <f>IF(R4487="",AVERAGEIF(Table1[Category],Table1[[#This Row],[Category]],Table2[orignal data]),Table2[[#This Row],[orignal data]])</f>
        <v>881.02</v>
      </c>
      <c r="T4487" t="str">
        <f t="shared" si="282"/>
        <v>UNIQUE</v>
      </c>
      <c r="U4487" t="str">
        <f>IF(ISBLANK(Table1[[#This Row],[SizeOption]]),"NOT AVAILABLE",Table1[[#This Row],[SizeOption]])</f>
        <v>S, M, L, XL, XXL</v>
      </c>
      <c r="Y4487" t="str">
        <f>IF(Table2[[#This Row],[Column1]]&gt;50%,"HIGH DISCOUNT","LOW DISCOUNT")</f>
        <v>HIGH DISCOUNT</v>
      </c>
    </row>
    <row r="4488" spans="1:25" x14ac:dyDescent="0.25">
      <c r="A4488" s="1" t="s">
        <v>9172</v>
      </c>
      <c r="B4488" s="1">
        <v>12708352</v>
      </c>
      <c r="C4488" s="1" t="s">
        <v>563</v>
      </c>
      <c r="D4488" s="1" t="s">
        <v>197</v>
      </c>
      <c r="E4488" s="1" t="s">
        <v>518</v>
      </c>
      <c r="F4488" s="1" t="s">
        <v>17</v>
      </c>
      <c r="G4488" s="1" t="s">
        <v>9173</v>
      </c>
      <c r="H4488">
        <v>881</v>
      </c>
      <c r="I4488" s="1">
        <v>1798</v>
      </c>
      <c r="J4488" s="1" t="s">
        <v>163</v>
      </c>
      <c r="K4488" s="1" t="s">
        <v>39</v>
      </c>
      <c r="L4488" s="1">
        <v>4</v>
      </c>
      <c r="M4488" s="1">
        <v>497</v>
      </c>
      <c r="P4488" t="str">
        <f t="shared" si="283"/>
        <v>51%</v>
      </c>
      <c r="Q4488" s="12">
        <f t="shared" si="280"/>
        <v>0.51</v>
      </c>
      <c r="R4488" s="9">
        <f t="shared" si="281"/>
        <v>881.02</v>
      </c>
      <c r="S4488" s="9">
        <f>IF(R4488="",AVERAGEIF(Table1[Category],Table1[[#This Row],[Category]],Table2[orignal data]),Table2[[#This Row],[orignal data]])</f>
        <v>881.02</v>
      </c>
      <c r="T4488" t="str">
        <f t="shared" si="282"/>
        <v>UNIQUE</v>
      </c>
      <c r="U4488" t="str">
        <f>IF(ISBLANK(Table1[[#This Row],[SizeOption]]),"NOT AVAILABLE",Table1[[#This Row],[SizeOption]])</f>
        <v>S, M, L, XL, XXL</v>
      </c>
      <c r="Y4488" t="str">
        <f>IF(Table2[[#This Row],[Column1]]&gt;50%,"HIGH DISCOUNT","LOW DISCOUNT")</f>
        <v>HIGH DISCOUNT</v>
      </c>
    </row>
    <row r="4489" spans="1:25" x14ac:dyDescent="0.25">
      <c r="A4489" s="2" t="s">
        <v>9174</v>
      </c>
      <c r="B4489" s="2">
        <v>10188589</v>
      </c>
      <c r="C4489" s="2" t="s">
        <v>169</v>
      </c>
      <c r="D4489" s="2" t="s">
        <v>28</v>
      </c>
      <c r="E4489" s="2" t="s">
        <v>42</v>
      </c>
      <c r="F4489" s="2" t="s">
        <v>17</v>
      </c>
      <c r="G4489" s="2" t="s">
        <v>9175</v>
      </c>
      <c r="H4489">
        <v>599</v>
      </c>
      <c r="I4489" s="2">
        <v>1199</v>
      </c>
      <c r="J4489" s="2" t="s">
        <v>84</v>
      </c>
      <c r="K4489" s="2" t="s">
        <v>39</v>
      </c>
      <c r="L4489" s="2">
        <v>4.0999999999999996</v>
      </c>
      <c r="M4489" s="2">
        <v>497</v>
      </c>
      <c r="P4489" t="str">
        <f t="shared" si="283"/>
        <v>50%</v>
      </c>
      <c r="Q4489" s="12">
        <f t="shared" si="280"/>
        <v>0.5</v>
      </c>
      <c r="R4489" s="9">
        <f t="shared" si="281"/>
        <v>599.5</v>
      </c>
      <c r="S4489" s="9">
        <f>IF(R4489="",AVERAGEIF(Table1[Category],Table1[[#This Row],[Category]],Table2[orignal data]),Table2[[#This Row],[orignal data]])</f>
        <v>599.5</v>
      </c>
      <c r="T4489" t="str">
        <f t="shared" si="282"/>
        <v>UNIQUE</v>
      </c>
      <c r="U4489" t="str">
        <f>IF(ISBLANK(Table1[[#This Row],[SizeOption]]),"NOT AVAILABLE",Table1[[#This Row],[SizeOption]])</f>
        <v>S, M, L, XL, XXL</v>
      </c>
      <c r="Y4489" t="str">
        <f>IF(Table2[[#This Row],[Column1]]&gt;50%,"HIGH DISCOUNT","LOW DISCOUNT")</f>
        <v>LOW DISCOUNT</v>
      </c>
    </row>
    <row r="4490" spans="1:25" x14ac:dyDescent="0.25">
      <c r="A4490" s="1" t="s">
        <v>9176</v>
      </c>
      <c r="B4490" s="1">
        <v>8669773</v>
      </c>
      <c r="C4490" s="1" t="s">
        <v>623</v>
      </c>
      <c r="D4490" s="1" t="s">
        <v>34</v>
      </c>
      <c r="E4490" s="1" t="s">
        <v>296</v>
      </c>
      <c r="F4490" s="1" t="s">
        <v>36</v>
      </c>
      <c r="G4490" s="1" t="s">
        <v>9177</v>
      </c>
      <c r="H4490">
        <v>259</v>
      </c>
      <c r="I4490" s="1">
        <v>499</v>
      </c>
      <c r="J4490" s="1" t="s">
        <v>602</v>
      </c>
      <c r="K4490" s="1" t="s">
        <v>881</v>
      </c>
      <c r="L4490" s="1">
        <v>3.8</v>
      </c>
      <c r="M4490" s="1">
        <v>497</v>
      </c>
      <c r="P4490" t="str">
        <f t="shared" si="283"/>
        <v>48%</v>
      </c>
      <c r="Q4490" s="12">
        <f t="shared" si="280"/>
        <v>0.48</v>
      </c>
      <c r="R4490" s="9">
        <f t="shared" si="281"/>
        <v>259.48</v>
      </c>
      <c r="S4490" s="9">
        <f>IF(R4490="",AVERAGEIF(Table1[Category],Table1[[#This Row],[Category]],Table2[orignal data]),Table2[[#This Row],[orignal data]])</f>
        <v>259.48</v>
      </c>
      <c r="T4490" t="str">
        <f t="shared" si="282"/>
        <v>UNIQUE</v>
      </c>
      <c r="U4490" t="str">
        <f>IF(ISBLANK(Table1[[#This Row],[SizeOption]]),"NOT AVAILABLE",Table1[[#This Row],[SizeOption]])</f>
        <v>M, L, XL, XXL</v>
      </c>
      <c r="Y4490" t="str">
        <f>IF(Table2[[#This Row],[Column1]]&gt;50%,"HIGH DISCOUNT","LOW DISCOUNT")</f>
        <v>LOW DISCOUNT</v>
      </c>
    </row>
    <row r="4491" spans="1:25" x14ac:dyDescent="0.25">
      <c r="A4491" s="2" t="s">
        <v>9178</v>
      </c>
      <c r="B4491" s="2">
        <v>17383382</v>
      </c>
      <c r="C4491" s="2" t="s">
        <v>14</v>
      </c>
      <c r="D4491" s="2" t="s">
        <v>41</v>
      </c>
      <c r="E4491" s="2" t="s">
        <v>42</v>
      </c>
      <c r="F4491" s="2" t="s">
        <v>36</v>
      </c>
      <c r="G4491" s="2" t="s">
        <v>9179</v>
      </c>
      <c r="I4491" s="2">
        <v>1598</v>
      </c>
      <c r="J4491" s="2" t="s">
        <v>84</v>
      </c>
      <c r="K4491" s="2" t="s">
        <v>146</v>
      </c>
      <c r="L4491" s="2">
        <v>4.0999999999999996</v>
      </c>
      <c r="M4491" s="2">
        <v>497</v>
      </c>
      <c r="P4491" t="str">
        <f t="shared" si="283"/>
        <v>50%</v>
      </c>
      <c r="Q4491" s="12">
        <f t="shared" si="280"/>
        <v>0.5</v>
      </c>
      <c r="R4491" s="9">
        <f t="shared" si="281"/>
        <v>799</v>
      </c>
      <c r="S4491" s="9">
        <f>IF(R4491="",AVERAGEIF(Table1[Category],Table1[[#This Row],[Category]],Table2[orignal data]),Table2[[#This Row],[orignal data]])</f>
        <v>799</v>
      </c>
      <c r="T4491" t="str">
        <f t="shared" si="282"/>
        <v>UNIQUE</v>
      </c>
      <c r="U4491" t="str">
        <f>IF(ISBLANK(Table1[[#This Row],[SizeOption]]),"NOT AVAILABLE",Table1[[#This Row],[SizeOption]])</f>
        <v>L, M, S, XS, XL</v>
      </c>
      <c r="Y4491" t="str">
        <f>IF(Table2[[#This Row],[Column1]]&gt;50%,"HIGH DISCOUNT","LOW DISCOUNT")</f>
        <v>LOW DISCOUNT</v>
      </c>
    </row>
    <row r="4492" spans="1:25" x14ac:dyDescent="0.25">
      <c r="A4492" s="1" t="s">
        <v>9180</v>
      </c>
      <c r="B4492" s="1">
        <v>10405247</v>
      </c>
      <c r="C4492" s="1" t="s">
        <v>64</v>
      </c>
      <c r="D4492" s="1" t="s">
        <v>15</v>
      </c>
      <c r="E4492" s="1" t="s">
        <v>16</v>
      </c>
      <c r="F4492" s="1" t="s">
        <v>17</v>
      </c>
      <c r="G4492" s="1" t="s">
        <v>9181</v>
      </c>
      <c r="H4492">
        <v>899</v>
      </c>
      <c r="I4492" s="1">
        <v>2999</v>
      </c>
      <c r="J4492" s="1" t="s">
        <v>79</v>
      </c>
      <c r="K4492" s="1" t="s">
        <v>20</v>
      </c>
      <c r="L4492" s="1">
        <v>3.8</v>
      </c>
      <c r="M4492" s="1">
        <v>496</v>
      </c>
      <c r="P4492" t="str">
        <f t="shared" si="283"/>
        <v>70%</v>
      </c>
      <c r="Q4492" s="12">
        <f t="shared" si="280"/>
        <v>0.7</v>
      </c>
      <c r="R4492" s="9">
        <f t="shared" si="281"/>
        <v>899.70000000000027</v>
      </c>
      <c r="S4492" s="9">
        <f>IF(R4492="",AVERAGEIF(Table1[Category],Table1[[#This Row],[Category]],Table2[orignal data]),Table2[[#This Row],[orignal data]])</f>
        <v>899.70000000000027</v>
      </c>
      <c r="T4492" t="str">
        <f t="shared" si="282"/>
        <v>UNIQUE</v>
      </c>
      <c r="U4492" t="str">
        <f>IF(ISBLANK(Table1[[#This Row],[SizeOption]]),"NOT AVAILABLE",Table1[[#This Row],[SizeOption]])</f>
        <v>28, 30, 32, 34, 36</v>
      </c>
      <c r="Y4492" t="str">
        <f>IF(Table2[[#This Row],[Column1]]&gt;50%,"HIGH DISCOUNT","LOW DISCOUNT")</f>
        <v>HIGH DISCOUNT</v>
      </c>
    </row>
    <row r="4493" spans="1:25" x14ac:dyDescent="0.25">
      <c r="A4493" s="2" t="s">
        <v>9182</v>
      </c>
      <c r="B4493" s="2">
        <v>10248043</v>
      </c>
      <c r="C4493" s="2" t="s">
        <v>794</v>
      </c>
      <c r="D4493" s="2" t="s">
        <v>197</v>
      </c>
      <c r="E4493" s="2" t="s">
        <v>518</v>
      </c>
      <c r="F4493" s="2" t="s">
        <v>17</v>
      </c>
      <c r="G4493" s="2" t="s">
        <v>9183</v>
      </c>
      <c r="H4493">
        <v>839</v>
      </c>
      <c r="I4493" s="2">
        <v>1049</v>
      </c>
      <c r="J4493" s="2" t="s">
        <v>412</v>
      </c>
      <c r="K4493" s="2" t="s">
        <v>39</v>
      </c>
      <c r="L4493" s="2">
        <v>4.3</v>
      </c>
      <c r="M4493" s="2">
        <v>496</v>
      </c>
      <c r="P4493" t="str">
        <f t="shared" si="283"/>
        <v>20%</v>
      </c>
      <c r="Q4493" s="12">
        <f t="shared" si="280"/>
        <v>0.2</v>
      </c>
      <c r="R4493" s="9">
        <f t="shared" si="281"/>
        <v>839.2</v>
      </c>
      <c r="S4493" s="9">
        <f>IF(R4493="",AVERAGEIF(Table1[Category],Table1[[#This Row],[Category]],Table2[orignal data]),Table2[[#This Row],[orignal data]])</f>
        <v>839.2</v>
      </c>
      <c r="T4493" t="str">
        <f t="shared" si="282"/>
        <v>UNIQUE</v>
      </c>
      <c r="U4493" t="str">
        <f>IF(ISBLANK(Table1[[#This Row],[SizeOption]]),"NOT AVAILABLE",Table1[[#This Row],[SizeOption]])</f>
        <v>S, M, L, XL, XXL</v>
      </c>
      <c r="Y4493" t="str">
        <f>IF(Table2[[#This Row],[Column1]]&gt;50%,"HIGH DISCOUNT","LOW DISCOUNT")</f>
        <v>LOW DISCOUNT</v>
      </c>
    </row>
    <row r="4494" spans="1:25" x14ac:dyDescent="0.25">
      <c r="A4494" s="1" t="s">
        <v>9184</v>
      </c>
      <c r="B4494" s="1">
        <v>11786030</v>
      </c>
      <c r="C4494" s="1" t="s">
        <v>794</v>
      </c>
      <c r="D4494" s="1" t="s">
        <v>197</v>
      </c>
      <c r="E4494" s="1" t="s">
        <v>518</v>
      </c>
      <c r="F4494" s="1" t="s">
        <v>17</v>
      </c>
      <c r="G4494" s="1" t="s">
        <v>9185</v>
      </c>
      <c r="I4494" s="1">
        <v>2198</v>
      </c>
      <c r="J4494" s="1"/>
      <c r="K4494" s="1" t="s">
        <v>1847</v>
      </c>
      <c r="L4494" s="1">
        <v>4.3</v>
      </c>
      <c r="M4494" s="1">
        <v>496</v>
      </c>
      <c r="P4494" t="str">
        <f t="shared" si="283"/>
        <v/>
      </c>
      <c r="Q4494" s="12" t="str">
        <f t="shared" si="280"/>
        <v/>
      </c>
      <c r="R4494" s="9" t="str">
        <f t="shared" si="281"/>
        <v/>
      </c>
      <c r="S4494" s="9">
        <f>IF(R4494="",AVERAGEIF(Table1[Category],Table1[[#This Row],[Category]],Table2[orignal data]),Table2[[#This Row],[orignal data]])</f>
        <v>552.70900000000006</v>
      </c>
      <c r="T4494" t="str">
        <f t="shared" si="282"/>
        <v>UNIQUE</v>
      </c>
      <c r="U4494" t="str">
        <f>IF(ISBLANK(Table1[[#This Row],[SizeOption]]),"NOT AVAILABLE",Table1[[#This Row],[SizeOption]])</f>
        <v>XXL, XL, M, S, L</v>
      </c>
      <c r="Y4494" t="str">
        <f>IF(Table2[[#This Row],[Column1]]&gt;50%,"HIGH DISCOUNT","LOW DISCOUNT")</f>
        <v>HIGH DISCOUNT</v>
      </c>
    </row>
    <row r="4495" spans="1:25" x14ac:dyDescent="0.25">
      <c r="A4495" s="2" t="s">
        <v>9186</v>
      </c>
      <c r="B4495" s="2">
        <v>13842374</v>
      </c>
      <c r="C4495" s="2" t="s">
        <v>52</v>
      </c>
      <c r="D4495" s="2" t="s">
        <v>28</v>
      </c>
      <c r="E4495" s="2" t="s">
        <v>29</v>
      </c>
      <c r="F4495" s="2" t="s">
        <v>17</v>
      </c>
      <c r="G4495" s="2" t="s">
        <v>9187</v>
      </c>
      <c r="H4495">
        <v>657</v>
      </c>
      <c r="I4495" s="2">
        <v>1399</v>
      </c>
      <c r="J4495" s="2" t="s">
        <v>89</v>
      </c>
      <c r="K4495" s="2" t="s">
        <v>90</v>
      </c>
      <c r="L4495" s="2">
        <v>4.2</v>
      </c>
      <c r="M4495" s="2">
        <v>496</v>
      </c>
      <c r="P4495" t="str">
        <f t="shared" si="283"/>
        <v>53%</v>
      </c>
      <c r="Q4495" s="12">
        <f t="shared" si="280"/>
        <v>0.53</v>
      </c>
      <c r="R4495" s="9">
        <f t="shared" si="281"/>
        <v>657.53</v>
      </c>
      <c r="S4495" s="9">
        <f>IF(R4495="",AVERAGEIF(Table1[Category],Table1[[#This Row],[Category]],Table2[orignal data]),Table2[[#This Row],[orignal data]])</f>
        <v>657.53</v>
      </c>
      <c r="T4495" t="str">
        <f t="shared" si="282"/>
        <v>UNIQUE</v>
      </c>
      <c r="U4495" t="str">
        <f>IF(ISBLANK(Table1[[#This Row],[SizeOption]]),"NOT AVAILABLE",Table1[[#This Row],[SizeOption]])</f>
        <v>39, 40, 42, 44</v>
      </c>
      <c r="Y4495" t="str">
        <f>IF(Table2[[#This Row],[Column1]]&gt;50%,"HIGH DISCOUNT","LOW DISCOUNT")</f>
        <v>HIGH DISCOUNT</v>
      </c>
    </row>
    <row r="4496" spans="1:25" x14ac:dyDescent="0.25">
      <c r="A4496" s="1" t="s">
        <v>9188</v>
      </c>
      <c r="B4496" s="1">
        <v>10136771</v>
      </c>
      <c r="C4496" s="1" t="s">
        <v>47</v>
      </c>
      <c r="D4496" s="1" t="s">
        <v>28</v>
      </c>
      <c r="E4496" s="1" t="s">
        <v>306</v>
      </c>
      <c r="F4496" s="1" t="s">
        <v>17</v>
      </c>
      <c r="G4496" s="1" t="s">
        <v>9189</v>
      </c>
      <c r="H4496">
        <v>879</v>
      </c>
      <c r="I4496" s="1">
        <v>2199</v>
      </c>
      <c r="J4496" s="1" t="s">
        <v>55</v>
      </c>
      <c r="K4496" s="1" t="s">
        <v>26</v>
      </c>
      <c r="L4496" s="1">
        <v>4</v>
      </c>
      <c r="M4496" s="1">
        <v>496</v>
      </c>
      <c r="P4496" t="str">
        <f t="shared" si="283"/>
        <v>60%</v>
      </c>
      <c r="Q4496" s="12">
        <f t="shared" si="280"/>
        <v>0.6</v>
      </c>
      <c r="R4496" s="9">
        <f t="shared" si="281"/>
        <v>879.60000000000014</v>
      </c>
      <c r="S4496" s="9">
        <f>IF(R4496="",AVERAGEIF(Table1[Category],Table1[[#This Row],[Category]],Table2[orignal data]),Table2[[#This Row],[orignal data]])</f>
        <v>879.60000000000014</v>
      </c>
      <c r="T4496" t="str">
        <f t="shared" si="282"/>
        <v>UNIQUE</v>
      </c>
      <c r="U4496" t="str">
        <f>IF(ISBLANK(Table1[[#This Row],[SizeOption]]),"NOT AVAILABLE",Table1[[#This Row],[SizeOption]])</f>
        <v>S, M, L, XL</v>
      </c>
      <c r="Y4496" t="str">
        <f>IF(Table2[[#This Row],[Column1]]&gt;50%,"HIGH DISCOUNT","LOW DISCOUNT")</f>
        <v>HIGH DISCOUNT</v>
      </c>
    </row>
    <row r="4497" spans="1:25" x14ac:dyDescent="0.25">
      <c r="A4497" s="2" t="s">
        <v>9190</v>
      </c>
      <c r="B4497" s="2">
        <v>11244990</v>
      </c>
      <c r="C4497" s="2" t="s">
        <v>1375</v>
      </c>
      <c r="D4497" s="2" t="s">
        <v>76</v>
      </c>
      <c r="E4497" s="2" t="s">
        <v>320</v>
      </c>
      <c r="F4497" s="2" t="s">
        <v>36</v>
      </c>
      <c r="G4497" s="2" t="s">
        <v>1376</v>
      </c>
      <c r="H4497">
        <v>999</v>
      </c>
      <c r="I4497" s="2">
        <v>3999</v>
      </c>
      <c r="J4497" s="2" t="s">
        <v>109</v>
      </c>
      <c r="K4497" s="2" t="s">
        <v>164</v>
      </c>
      <c r="L4497" s="2">
        <v>3.9</v>
      </c>
      <c r="M4497" s="2">
        <v>496</v>
      </c>
      <c r="P4497" t="str">
        <f t="shared" si="283"/>
        <v>75%</v>
      </c>
      <c r="Q4497" s="12">
        <f t="shared" si="280"/>
        <v>0.75</v>
      </c>
      <c r="R4497" s="9">
        <f t="shared" si="281"/>
        <v>999.75</v>
      </c>
      <c r="S4497" s="9">
        <f>IF(R4497="",AVERAGEIF(Table1[Category],Table1[[#This Row],[Category]],Table2[orignal data]),Table2[[#This Row],[orignal data]])</f>
        <v>999.75</v>
      </c>
      <c r="T4497" t="str">
        <f t="shared" si="282"/>
        <v>UNIQUE</v>
      </c>
      <c r="U4497" t="str">
        <f>IF(ISBLANK(Table1[[#This Row],[SizeOption]]),"NOT AVAILABLE",Table1[[#This Row],[SizeOption]])</f>
        <v>Onesize</v>
      </c>
      <c r="Y4497" t="str">
        <f>IF(Table2[[#This Row],[Column1]]&gt;50%,"HIGH DISCOUNT","LOW DISCOUNT")</f>
        <v>HIGH DISCOUNT</v>
      </c>
    </row>
    <row r="4498" spans="1:25" x14ac:dyDescent="0.25">
      <c r="A4498" s="1" t="s">
        <v>9191</v>
      </c>
      <c r="B4498" s="1">
        <v>14069940</v>
      </c>
      <c r="C4498" s="1" t="s">
        <v>277</v>
      </c>
      <c r="D4498" s="1" t="s">
        <v>76</v>
      </c>
      <c r="E4498" s="1" t="s">
        <v>77</v>
      </c>
      <c r="F4498" s="1" t="s">
        <v>36</v>
      </c>
      <c r="G4498" s="1" t="s">
        <v>9192</v>
      </c>
      <c r="H4498">
        <v>1149</v>
      </c>
      <c r="I4498" s="1">
        <v>4599</v>
      </c>
      <c r="J4498" s="1" t="s">
        <v>109</v>
      </c>
      <c r="K4498" s="1" t="s">
        <v>39</v>
      </c>
      <c r="L4498" s="1">
        <v>4.2</v>
      </c>
      <c r="M4498" s="1">
        <v>496</v>
      </c>
      <c r="P4498" t="str">
        <f t="shared" si="283"/>
        <v>75%</v>
      </c>
      <c r="Q4498" s="12">
        <f t="shared" si="280"/>
        <v>0.75</v>
      </c>
      <c r="R4498" s="9">
        <f t="shared" si="281"/>
        <v>1149.75</v>
      </c>
      <c r="S4498" s="9">
        <f>IF(R4498="",AVERAGEIF(Table1[Category],Table1[[#This Row],[Category]],Table2[orignal data]),Table2[[#This Row],[orignal data]])</f>
        <v>1149.75</v>
      </c>
      <c r="T4498" t="str">
        <f t="shared" si="282"/>
        <v>UNIQUE</v>
      </c>
      <c r="U4498" t="str">
        <f>IF(ISBLANK(Table1[[#This Row],[SizeOption]]),"NOT AVAILABLE",Table1[[#This Row],[SizeOption]])</f>
        <v>S, M, L, XL, XXL</v>
      </c>
      <c r="Y4498" t="str">
        <f>IF(Table2[[#This Row],[Column1]]&gt;50%,"HIGH DISCOUNT","LOW DISCOUNT")</f>
        <v>HIGH DISCOUNT</v>
      </c>
    </row>
    <row r="4499" spans="1:25" x14ac:dyDescent="0.25">
      <c r="A4499" s="2" t="s">
        <v>9193</v>
      </c>
      <c r="B4499" s="2">
        <v>17048604</v>
      </c>
      <c r="C4499" s="2" t="s">
        <v>6131</v>
      </c>
      <c r="D4499" s="2" t="s">
        <v>76</v>
      </c>
      <c r="E4499" s="2" t="s">
        <v>77</v>
      </c>
      <c r="F4499" s="2" t="s">
        <v>36</v>
      </c>
      <c r="G4499" s="2" t="s">
        <v>9194</v>
      </c>
      <c r="H4499">
        <v>1589</v>
      </c>
      <c r="I4499" s="2">
        <v>5299</v>
      </c>
      <c r="J4499" s="2" t="s">
        <v>79</v>
      </c>
      <c r="K4499" s="2" t="s">
        <v>39</v>
      </c>
      <c r="L4499" s="2">
        <v>4.2</v>
      </c>
      <c r="M4499" s="2">
        <v>496</v>
      </c>
      <c r="P4499" t="str">
        <f t="shared" si="283"/>
        <v>70%</v>
      </c>
      <c r="Q4499" s="12">
        <f t="shared" si="280"/>
        <v>0.7</v>
      </c>
      <c r="R4499" s="9">
        <f t="shared" si="281"/>
        <v>1589.7000000000003</v>
      </c>
      <c r="S4499" s="9">
        <f>IF(R4499="",AVERAGEIF(Table1[Category],Table1[[#This Row],[Category]],Table2[orignal data]),Table2[[#This Row],[orignal data]])</f>
        <v>1589.7000000000003</v>
      </c>
      <c r="T4499" t="str">
        <f t="shared" si="282"/>
        <v>UNIQUE</v>
      </c>
      <c r="U4499" t="str">
        <f>IF(ISBLANK(Table1[[#This Row],[SizeOption]]),"NOT AVAILABLE",Table1[[#This Row],[SizeOption]])</f>
        <v>S, M, L, XL, XXL</v>
      </c>
      <c r="Y4499" t="str">
        <f>IF(Table2[[#This Row],[Column1]]&gt;50%,"HIGH DISCOUNT","LOW DISCOUNT")</f>
        <v>HIGH DISCOUNT</v>
      </c>
    </row>
    <row r="4500" spans="1:25" x14ac:dyDescent="0.25">
      <c r="A4500" s="1" t="s">
        <v>9195</v>
      </c>
      <c r="B4500" s="1">
        <v>10494132</v>
      </c>
      <c r="C4500" s="1" t="s">
        <v>184</v>
      </c>
      <c r="D4500" s="1" t="s">
        <v>41</v>
      </c>
      <c r="E4500" s="1" t="s">
        <v>48</v>
      </c>
      <c r="F4500" s="1" t="s">
        <v>36</v>
      </c>
      <c r="G4500" s="1" t="s">
        <v>9196</v>
      </c>
      <c r="I4500" s="1">
        <v>1399</v>
      </c>
      <c r="J4500" s="1" t="s">
        <v>3283</v>
      </c>
      <c r="K4500" s="1" t="s">
        <v>39</v>
      </c>
      <c r="L4500" s="1">
        <v>4.0999999999999996</v>
      </c>
      <c r="M4500" s="1">
        <v>496</v>
      </c>
      <c r="P4500" t="str">
        <f t="shared" si="283"/>
        <v>900</v>
      </c>
      <c r="Q4500" s="12">
        <f t="shared" si="280"/>
        <v>0.64331665475339528</v>
      </c>
      <c r="R4500" s="9">
        <f t="shared" si="281"/>
        <v>499</v>
      </c>
      <c r="S4500" s="9">
        <f>IF(R4500="",AVERAGEIF(Table1[Category],Table1[[#This Row],[Category]],Table2[orignal data]),Table2[[#This Row],[orignal data]])</f>
        <v>499</v>
      </c>
      <c r="T4500" t="str">
        <f t="shared" si="282"/>
        <v>UNIQUE</v>
      </c>
      <c r="U4500" t="str">
        <f>IF(ISBLANK(Table1[[#This Row],[SizeOption]]),"NOT AVAILABLE",Table1[[#This Row],[SizeOption]])</f>
        <v>S, M, L, XL, XXL</v>
      </c>
      <c r="Y4500" t="str">
        <f>IF(Table2[[#This Row],[Column1]]&gt;50%,"HIGH DISCOUNT","LOW DISCOUNT")</f>
        <v>HIGH DISCOUNT</v>
      </c>
    </row>
    <row r="4501" spans="1:25" x14ac:dyDescent="0.25">
      <c r="A4501" s="2" t="s">
        <v>9197</v>
      </c>
      <c r="B4501" s="2">
        <v>11489576</v>
      </c>
      <c r="C4501" s="2" t="s">
        <v>14</v>
      </c>
      <c r="D4501" s="2" t="s">
        <v>41</v>
      </c>
      <c r="E4501" s="2" t="s">
        <v>579</v>
      </c>
      <c r="F4501" s="2" t="s">
        <v>36</v>
      </c>
      <c r="G4501" s="2" t="s">
        <v>985</v>
      </c>
      <c r="I4501" s="2">
        <v>1499</v>
      </c>
      <c r="J4501" s="2" t="s">
        <v>9198</v>
      </c>
      <c r="K4501" s="2" t="s">
        <v>134</v>
      </c>
      <c r="L4501" s="2">
        <v>4.4000000000000004</v>
      </c>
      <c r="M4501" s="2">
        <v>496</v>
      </c>
      <c r="P4501" t="str">
        <f t="shared" si="283"/>
        <v>1000</v>
      </c>
      <c r="Q4501" s="12">
        <f t="shared" si="280"/>
        <v>0.66711140760507004</v>
      </c>
      <c r="R4501" s="9">
        <f t="shared" si="281"/>
        <v>499</v>
      </c>
      <c r="S4501" s="9">
        <f>IF(R4501="",AVERAGEIF(Table1[Category],Table1[[#This Row],[Category]],Table2[orignal data]),Table2[[#This Row],[orignal data]])</f>
        <v>499</v>
      </c>
      <c r="T4501" t="str">
        <f t="shared" si="282"/>
        <v>UNIQUE</v>
      </c>
      <c r="U4501" t="str">
        <f>IF(ISBLANK(Table1[[#This Row],[SizeOption]]),"NOT AVAILABLE",Table1[[#This Row],[SizeOption]])</f>
        <v>26, 28, 30, 32, 34, 36</v>
      </c>
      <c r="Y4501" t="str">
        <f>IF(Table2[[#This Row],[Column1]]&gt;50%,"HIGH DISCOUNT","LOW DISCOUNT")</f>
        <v>HIGH DISCOUNT</v>
      </c>
    </row>
    <row r="4502" spans="1:25" x14ac:dyDescent="0.25">
      <c r="A4502" s="1" t="s">
        <v>9199</v>
      </c>
      <c r="B4502" s="1">
        <v>12193678</v>
      </c>
      <c r="C4502" s="1" t="s">
        <v>14</v>
      </c>
      <c r="D4502" s="1" t="s">
        <v>41</v>
      </c>
      <c r="E4502" s="1" t="s">
        <v>42</v>
      </c>
      <c r="F4502" s="1" t="s">
        <v>36</v>
      </c>
      <c r="G4502" s="1" t="s">
        <v>696</v>
      </c>
      <c r="I4502" s="1">
        <v>699</v>
      </c>
      <c r="J4502" s="1" t="s">
        <v>50</v>
      </c>
      <c r="K4502" s="1" t="s">
        <v>45</v>
      </c>
      <c r="L4502" s="1">
        <v>4.3</v>
      </c>
      <c r="M4502" s="1">
        <v>496</v>
      </c>
      <c r="P4502" t="str">
        <f t="shared" si="283"/>
        <v>40%</v>
      </c>
      <c r="Q4502" s="12">
        <f t="shared" si="280"/>
        <v>0.4</v>
      </c>
      <c r="R4502" s="9">
        <f t="shared" si="281"/>
        <v>419.4</v>
      </c>
      <c r="S4502" s="9">
        <f>IF(R4502="",AVERAGEIF(Table1[Category],Table1[[#This Row],[Category]],Table2[orignal data]),Table2[[#This Row],[orignal data]])</f>
        <v>419.4</v>
      </c>
      <c r="T4502" t="str">
        <f t="shared" si="282"/>
        <v>UNIQUE</v>
      </c>
      <c r="U4502" t="str">
        <f>IF(ISBLANK(Table1[[#This Row],[SizeOption]]),"NOT AVAILABLE",Table1[[#This Row],[SizeOption]])</f>
        <v>XS, S, M, L, XL</v>
      </c>
      <c r="Y4502" t="str">
        <f>IF(Table2[[#This Row],[Column1]]&gt;50%,"HIGH DISCOUNT","LOW DISCOUNT")</f>
        <v>LOW DISCOUNT</v>
      </c>
    </row>
    <row r="4503" spans="1:25" x14ac:dyDescent="0.25">
      <c r="A4503" s="2" t="s">
        <v>9200</v>
      </c>
      <c r="B4503" s="2">
        <v>2490947</v>
      </c>
      <c r="C4503" s="2" t="s">
        <v>47</v>
      </c>
      <c r="D4503" s="2" t="s">
        <v>41</v>
      </c>
      <c r="E4503" s="2" t="s">
        <v>42</v>
      </c>
      <c r="F4503" s="2" t="s">
        <v>36</v>
      </c>
      <c r="G4503" s="2" t="s">
        <v>9201</v>
      </c>
      <c r="I4503" s="2">
        <v>799</v>
      </c>
      <c r="J4503" s="2" t="s">
        <v>84</v>
      </c>
      <c r="K4503" s="2" t="s">
        <v>45</v>
      </c>
      <c r="L4503" s="2">
        <v>4.3</v>
      </c>
      <c r="M4503" s="2">
        <v>496</v>
      </c>
      <c r="P4503" t="str">
        <f t="shared" si="283"/>
        <v>50%</v>
      </c>
      <c r="Q4503" s="12">
        <f t="shared" si="280"/>
        <v>0.5</v>
      </c>
      <c r="R4503" s="9">
        <f t="shared" si="281"/>
        <v>399.5</v>
      </c>
      <c r="S4503" s="9">
        <f>IF(R4503="",AVERAGEIF(Table1[Category],Table1[[#This Row],[Category]],Table2[orignal data]),Table2[[#This Row],[orignal data]])</f>
        <v>399.5</v>
      </c>
      <c r="T4503" t="str">
        <f t="shared" si="282"/>
        <v>UNIQUE</v>
      </c>
      <c r="U4503" t="str">
        <f>IF(ISBLANK(Table1[[#This Row],[SizeOption]]),"NOT AVAILABLE",Table1[[#This Row],[SizeOption]])</f>
        <v>XS, S, M, L, XL</v>
      </c>
      <c r="Y4503" t="str">
        <f>IF(Table2[[#This Row],[Column1]]&gt;50%,"HIGH DISCOUNT","LOW DISCOUNT")</f>
        <v>LOW DISCOUNT</v>
      </c>
    </row>
    <row r="4504" spans="1:25" x14ac:dyDescent="0.25">
      <c r="A4504" s="1" t="s">
        <v>9202</v>
      </c>
      <c r="B4504" s="1">
        <v>11421902</v>
      </c>
      <c r="C4504" s="1" t="s">
        <v>346</v>
      </c>
      <c r="D4504" s="1" t="s">
        <v>15</v>
      </c>
      <c r="E4504" s="1" t="s">
        <v>137</v>
      </c>
      <c r="F4504" s="1" t="s">
        <v>17</v>
      </c>
      <c r="G4504" s="1" t="s">
        <v>9203</v>
      </c>
      <c r="H4504">
        <v>849</v>
      </c>
      <c r="I4504" s="1">
        <v>1699</v>
      </c>
      <c r="J4504" s="1" t="s">
        <v>84</v>
      </c>
      <c r="K4504" s="1" t="s">
        <v>20</v>
      </c>
      <c r="L4504" s="1">
        <v>4.4000000000000004</v>
      </c>
      <c r="M4504" s="1">
        <v>495</v>
      </c>
      <c r="P4504" t="str">
        <f t="shared" si="283"/>
        <v>50%</v>
      </c>
      <c r="Q4504" s="12">
        <f t="shared" si="280"/>
        <v>0.5</v>
      </c>
      <c r="R4504" s="9">
        <f t="shared" si="281"/>
        <v>849.5</v>
      </c>
      <c r="S4504" s="9">
        <f>IF(R4504="",AVERAGEIF(Table1[Category],Table1[[#This Row],[Category]],Table2[orignal data]),Table2[[#This Row],[orignal data]])</f>
        <v>849.5</v>
      </c>
      <c r="T4504" t="str">
        <f t="shared" si="282"/>
        <v>UNIQUE</v>
      </c>
      <c r="U4504" t="str">
        <f>IF(ISBLANK(Table1[[#This Row],[SizeOption]]),"NOT AVAILABLE",Table1[[#This Row],[SizeOption]])</f>
        <v>28, 30, 32, 34, 36</v>
      </c>
      <c r="Y4504" t="str">
        <f>IF(Table2[[#This Row],[Column1]]&gt;50%,"HIGH DISCOUNT","LOW DISCOUNT")</f>
        <v>LOW DISCOUNT</v>
      </c>
    </row>
    <row r="4505" spans="1:25" x14ac:dyDescent="0.25">
      <c r="A4505" s="2" t="s">
        <v>9204</v>
      </c>
      <c r="B4505" s="2">
        <v>14703708</v>
      </c>
      <c r="C4505" s="2" t="s">
        <v>67</v>
      </c>
      <c r="D4505" s="2" t="s">
        <v>15</v>
      </c>
      <c r="E4505" s="2" t="s">
        <v>23</v>
      </c>
      <c r="F4505" s="2" t="s">
        <v>17</v>
      </c>
      <c r="G4505" s="2" t="s">
        <v>9205</v>
      </c>
      <c r="H4505">
        <v>559</v>
      </c>
      <c r="I4505" s="2">
        <v>1399</v>
      </c>
      <c r="J4505" s="2" t="s">
        <v>55</v>
      </c>
      <c r="K4505" s="2" t="s">
        <v>39</v>
      </c>
      <c r="L4505" s="2">
        <v>4.0999999999999996</v>
      </c>
      <c r="M4505" s="2">
        <v>495</v>
      </c>
      <c r="P4505" t="str">
        <f t="shared" si="283"/>
        <v>60%</v>
      </c>
      <c r="Q4505" s="12">
        <f t="shared" si="280"/>
        <v>0.6</v>
      </c>
      <c r="R4505" s="9">
        <f t="shared" si="281"/>
        <v>559.6</v>
      </c>
      <c r="S4505" s="9">
        <f>IF(R4505="",AVERAGEIF(Table1[Category],Table1[[#This Row],[Category]],Table2[orignal data]),Table2[[#This Row],[orignal data]])</f>
        <v>559.6</v>
      </c>
      <c r="T4505" t="str">
        <f t="shared" si="282"/>
        <v>UNIQUE</v>
      </c>
      <c r="U4505" t="str">
        <f>IF(ISBLANK(Table1[[#This Row],[SizeOption]]),"NOT AVAILABLE",Table1[[#This Row],[SizeOption]])</f>
        <v>S, M, L, XL, XXL</v>
      </c>
      <c r="Y4505" t="str">
        <f>IF(Table2[[#This Row],[Column1]]&gt;50%,"HIGH DISCOUNT","LOW DISCOUNT")</f>
        <v>HIGH DISCOUNT</v>
      </c>
    </row>
    <row r="4506" spans="1:25" x14ac:dyDescent="0.25">
      <c r="A4506" s="1" t="s">
        <v>9206</v>
      </c>
      <c r="B4506" s="1">
        <v>6518647</v>
      </c>
      <c r="C4506" s="1" t="s">
        <v>1516</v>
      </c>
      <c r="D4506" s="1" t="s">
        <v>76</v>
      </c>
      <c r="E4506" s="1" t="s">
        <v>77</v>
      </c>
      <c r="F4506" s="1" t="s">
        <v>17</v>
      </c>
      <c r="G4506" s="1" t="s">
        <v>9207</v>
      </c>
      <c r="H4506">
        <v>1436</v>
      </c>
      <c r="I4506" s="1">
        <v>3590</v>
      </c>
      <c r="J4506" s="1" t="s">
        <v>55</v>
      </c>
      <c r="K4506" s="1" t="s">
        <v>234</v>
      </c>
      <c r="L4506" s="1">
        <v>3.9</v>
      </c>
      <c r="M4506" s="1">
        <v>495</v>
      </c>
      <c r="P4506" t="str">
        <f t="shared" si="283"/>
        <v>60%</v>
      </c>
      <c r="Q4506" s="12">
        <f t="shared" si="280"/>
        <v>0.6</v>
      </c>
      <c r="R4506" s="9">
        <f t="shared" si="281"/>
        <v>1436</v>
      </c>
      <c r="S4506" s="9">
        <f>IF(R4506="",AVERAGEIF(Table1[Category],Table1[[#This Row],[Category]],Table2[orignal data]),Table2[[#This Row],[orignal data]])</f>
        <v>1436</v>
      </c>
      <c r="T4506" t="str">
        <f t="shared" si="282"/>
        <v>UNIQUE</v>
      </c>
      <c r="U4506" t="str">
        <f>IF(ISBLANK(Table1[[#This Row],[SizeOption]]),"NOT AVAILABLE",Table1[[#This Row],[SizeOption]])</f>
        <v>S, M, L, XL, XXL, 3XL</v>
      </c>
      <c r="Y4506" t="str">
        <f>IF(Table2[[#This Row],[Column1]]&gt;50%,"HIGH DISCOUNT","LOW DISCOUNT")</f>
        <v>HIGH DISCOUNT</v>
      </c>
    </row>
    <row r="4507" spans="1:25" x14ac:dyDescent="0.25">
      <c r="A4507" s="2" t="s">
        <v>9208</v>
      </c>
      <c r="B4507" s="2">
        <v>14447770</v>
      </c>
      <c r="C4507" s="2" t="s">
        <v>295</v>
      </c>
      <c r="D4507" s="2" t="s">
        <v>197</v>
      </c>
      <c r="E4507" s="2" t="s">
        <v>296</v>
      </c>
      <c r="F4507" s="2" t="s">
        <v>17</v>
      </c>
      <c r="G4507" s="2" t="s">
        <v>9209</v>
      </c>
      <c r="I4507" s="2">
        <v>279</v>
      </c>
      <c r="J4507" s="2"/>
      <c r="K4507" s="2" t="s">
        <v>26</v>
      </c>
      <c r="L4507" s="2">
        <v>4.0999999999999996</v>
      </c>
      <c r="M4507" s="2">
        <v>495</v>
      </c>
      <c r="P4507" t="str">
        <f t="shared" si="283"/>
        <v/>
      </c>
      <c r="Q4507" s="12" t="str">
        <f t="shared" si="280"/>
        <v/>
      </c>
      <c r="R4507" s="9" t="str">
        <f t="shared" si="281"/>
        <v/>
      </c>
      <c r="S4507" s="9">
        <f>IF(R4507="",AVERAGEIF(Table1[Category],Table1[[#This Row],[Category]],Table2[orignal data]),Table2[[#This Row],[orignal data]])</f>
        <v>552.70900000000006</v>
      </c>
      <c r="T4507" t="str">
        <f t="shared" si="282"/>
        <v>UNIQUE</v>
      </c>
      <c r="U4507" t="str">
        <f>IF(ISBLANK(Table1[[#This Row],[SizeOption]]),"NOT AVAILABLE",Table1[[#This Row],[SizeOption]])</f>
        <v>S, M, L, XL</v>
      </c>
      <c r="Y4507" t="str">
        <f>IF(Table2[[#This Row],[Column1]]&gt;50%,"HIGH DISCOUNT","LOW DISCOUNT")</f>
        <v>HIGH DISCOUNT</v>
      </c>
    </row>
    <row r="4508" spans="1:25" x14ac:dyDescent="0.25">
      <c r="A4508" s="1" t="s">
        <v>9210</v>
      </c>
      <c r="B4508" s="1">
        <v>7645136</v>
      </c>
      <c r="C4508" s="1" t="s">
        <v>4545</v>
      </c>
      <c r="D4508" s="1" t="s">
        <v>28</v>
      </c>
      <c r="E4508" s="1" t="s">
        <v>42</v>
      </c>
      <c r="F4508" s="1" t="s">
        <v>17</v>
      </c>
      <c r="G4508" s="1" t="s">
        <v>9211</v>
      </c>
      <c r="H4508">
        <v>479</v>
      </c>
      <c r="I4508" s="1">
        <v>1199</v>
      </c>
      <c r="J4508" s="1" t="s">
        <v>55</v>
      </c>
      <c r="K4508" s="1" t="s">
        <v>39</v>
      </c>
      <c r="L4508" s="1">
        <v>4.2</v>
      </c>
      <c r="M4508" s="1">
        <v>495</v>
      </c>
      <c r="P4508" t="str">
        <f t="shared" si="283"/>
        <v>60%</v>
      </c>
      <c r="Q4508" s="12">
        <f t="shared" si="280"/>
        <v>0.6</v>
      </c>
      <c r="R4508" s="9">
        <f t="shared" si="281"/>
        <v>479.6</v>
      </c>
      <c r="S4508" s="9">
        <f>IF(R4508="",AVERAGEIF(Table1[Category],Table1[[#This Row],[Category]],Table2[orignal data]),Table2[[#This Row],[orignal data]])</f>
        <v>479.6</v>
      </c>
      <c r="T4508" t="str">
        <f t="shared" si="282"/>
        <v>UNIQUE</v>
      </c>
      <c r="U4508" t="str">
        <f>IF(ISBLANK(Table1[[#This Row],[SizeOption]]),"NOT AVAILABLE",Table1[[#This Row],[SizeOption]])</f>
        <v>S, M, L, XL, XXL</v>
      </c>
      <c r="Y4508" t="str">
        <f>IF(Table2[[#This Row],[Column1]]&gt;50%,"HIGH DISCOUNT","LOW DISCOUNT")</f>
        <v>HIGH DISCOUNT</v>
      </c>
    </row>
    <row r="4509" spans="1:25" x14ac:dyDescent="0.25">
      <c r="A4509" s="2" t="s">
        <v>9212</v>
      </c>
      <c r="B4509" s="2">
        <v>12541948</v>
      </c>
      <c r="C4509" s="2" t="s">
        <v>1656</v>
      </c>
      <c r="D4509" s="2" t="s">
        <v>76</v>
      </c>
      <c r="E4509" s="2" t="s">
        <v>93</v>
      </c>
      <c r="F4509" s="2" t="s">
        <v>36</v>
      </c>
      <c r="G4509" s="2" t="s">
        <v>9213</v>
      </c>
      <c r="H4509">
        <v>835</v>
      </c>
      <c r="I4509" s="2">
        <v>1899</v>
      </c>
      <c r="J4509" s="2" t="s">
        <v>1204</v>
      </c>
      <c r="K4509" s="2" t="s">
        <v>115</v>
      </c>
      <c r="L4509" s="2">
        <v>4.0999999999999996</v>
      </c>
      <c r="M4509" s="2">
        <v>495</v>
      </c>
      <c r="P4509" t="str">
        <f t="shared" si="283"/>
        <v>56%</v>
      </c>
      <c r="Q4509" s="12">
        <f t="shared" si="280"/>
        <v>0.56000000000000005</v>
      </c>
      <c r="R4509" s="9">
        <f t="shared" si="281"/>
        <v>835.56</v>
      </c>
      <c r="S4509" s="9">
        <f>IF(R4509="",AVERAGEIF(Table1[Category],Table1[[#This Row],[Category]],Table2[orignal data]),Table2[[#This Row],[orignal data]])</f>
        <v>835.56</v>
      </c>
      <c r="T4509" t="str">
        <f t="shared" si="282"/>
        <v>UNIQUE</v>
      </c>
      <c r="U4509" t="str">
        <f>IF(ISBLANK(Table1[[#This Row],[SizeOption]]),"NOT AVAILABLE",Table1[[#This Row],[SizeOption]])</f>
        <v>XS, S, M, L, XL, XXL</v>
      </c>
      <c r="Y4509" t="str">
        <f>IF(Table2[[#This Row],[Column1]]&gt;50%,"HIGH DISCOUNT","LOW DISCOUNT")</f>
        <v>HIGH DISCOUNT</v>
      </c>
    </row>
    <row r="4510" spans="1:25" x14ac:dyDescent="0.25">
      <c r="A4510" s="1" t="s">
        <v>9214</v>
      </c>
      <c r="B4510" s="1">
        <v>13503126</v>
      </c>
      <c r="C4510" s="1" t="s">
        <v>75</v>
      </c>
      <c r="D4510" s="1" t="s">
        <v>76</v>
      </c>
      <c r="E4510" s="1" t="s">
        <v>148</v>
      </c>
      <c r="F4510" s="1" t="s">
        <v>36</v>
      </c>
      <c r="G4510" s="1" t="s">
        <v>9215</v>
      </c>
      <c r="H4510">
        <v>1199</v>
      </c>
      <c r="I4510" s="1">
        <v>2999</v>
      </c>
      <c r="J4510" s="1" t="s">
        <v>55</v>
      </c>
      <c r="K4510" s="1" t="s">
        <v>39</v>
      </c>
      <c r="L4510" s="1">
        <v>4</v>
      </c>
      <c r="M4510" s="1">
        <v>495</v>
      </c>
      <c r="P4510" t="str">
        <f t="shared" si="283"/>
        <v>60%</v>
      </c>
      <c r="Q4510" s="12">
        <f t="shared" si="280"/>
        <v>0.6</v>
      </c>
      <c r="R4510" s="9">
        <f t="shared" si="281"/>
        <v>1199.6000000000001</v>
      </c>
      <c r="S4510" s="9">
        <f>IF(R4510="",AVERAGEIF(Table1[Category],Table1[[#This Row],[Category]],Table2[orignal data]),Table2[[#This Row],[orignal data]])</f>
        <v>1199.6000000000001</v>
      </c>
      <c r="T4510" t="str">
        <f t="shared" si="282"/>
        <v>UNIQUE</v>
      </c>
      <c r="U4510" t="str">
        <f>IF(ISBLANK(Table1[[#This Row],[SizeOption]]),"NOT AVAILABLE",Table1[[#This Row],[SizeOption]])</f>
        <v>S, M, L, XL, XXL</v>
      </c>
      <c r="Y4510" t="str">
        <f>IF(Table2[[#This Row],[Column1]]&gt;50%,"HIGH DISCOUNT","LOW DISCOUNT")</f>
        <v>HIGH DISCOUNT</v>
      </c>
    </row>
    <row r="4511" spans="1:25" x14ac:dyDescent="0.25">
      <c r="A4511" s="2" t="s">
        <v>9216</v>
      </c>
      <c r="B4511" s="2">
        <v>7823723</v>
      </c>
      <c r="C4511" s="2" t="s">
        <v>623</v>
      </c>
      <c r="D4511" s="2" t="s">
        <v>34</v>
      </c>
      <c r="E4511" s="2" t="s">
        <v>118</v>
      </c>
      <c r="F4511" s="2" t="s">
        <v>36</v>
      </c>
      <c r="G4511" s="2" t="s">
        <v>9217</v>
      </c>
      <c r="H4511">
        <v>281</v>
      </c>
      <c r="I4511" s="2">
        <v>599</v>
      </c>
      <c r="J4511" s="2" t="s">
        <v>89</v>
      </c>
      <c r="K4511" s="2" t="s">
        <v>9218</v>
      </c>
      <c r="L4511" s="2">
        <v>4.2</v>
      </c>
      <c r="M4511" s="2">
        <v>495</v>
      </c>
      <c r="P4511" t="str">
        <f t="shared" si="283"/>
        <v>53%</v>
      </c>
      <c r="Q4511" s="12">
        <f t="shared" si="280"/>
        <v>0.53</v>
      </c>
      <c r="R4511" s="9">
        <f t="shared" si="281"/>
        <v>281.52999999999997</v>
      </c>
      <c r="S4511" s="9">
        <f>IF(R4511="",AVERAGEIF(Table1[Category],Table1[[#This Row],[Category]],Table2[orignal data]),Table2[[#This Row],[orignal data]])</f>
        <v>281.52999999999997</v>
      </c>
      <c r="T4511" t="str">
        <f t="shared" si="282"/>
        <v>UNIQUE</v>
      </c>
      <c r="U4511" t="str">
        <f>IF(ISBLANK(Table1[[#This Row],[SizeOption]]),"NOT AVAILABLE",Table1[[#This Row],[SizeOption]])</f>
        <v>32B, 32C, 32D, 34B, 34C, 34D, 36B, 36C, 36D, 38B, 38C, 40B, 40C, 42B, 42C</v>
      </c>
      <c r="Y4511" t="str">
        <f>IF(Table2[[#This Row],[Column1]]&gt;50%,"HIGH DISCOUNT","LOW DISCOUNT")</f>
        <v>HIGH DISCOUNT</v>
      </c>
    </row>
    <row r="4512" spans="1:25" x14ac:dyDescent="0.25">
      <c r="A4512" s="1" t="s">
        <v>9219</v>
      </c>
      <c r="B4512" s="1">
        <v>10562074</v>
      </c>
      <c r="C4512" s="1" t="s">
        <v>97</v>
      </c>
      <c r="D4512" s="1" t="s">
        <v>98</v>
      </c>
      <c r="E4512" s="1" t="s">
        <v>533</v>
      </c>
      <c r="F4512" s="1" t="s">
        <v>36</v>
      </c>
      <c r="G4512" s="1" t="s">
        <v>9220</v>
      </c>
      <c r="H4512">
        <v>509</v>
      </c>
      <c r="I4512" s="1">
        <v>1699</v>
      </c>
      <c r="J4512" s="1" t="s">
        <v>79</v>
      </c>
      <c r="K4512" s="1" t="s">
        <v>134</v>
      </c>
      <c r="L4512" s="1">
        <v>4</v>
      </c>
      <c r="M4512" s="1">
        <v>495</v>
      </c>
      <c r="P4512" t="str">
        <f t="shared" si="283"/>
        <v>70%</v>
      </c>
      <c r="Q4512" s="12">
        <f t="shared" si="280"/>
        <v>0.7</v>
      </c>
      <c r="R4512" s="9">
        <f t="shared" si="281"/>
        <v>509.70000000000005</v>
      </c>
      <c r="S4512" s="9">
        <f>IF(R4512="",AVERAGEIF(Table1[Category],Table1[[#This Row],[Category]],Table2[orignal data]),Table2[[#This Row],[orignal data]])</f>
        <v>509.70000000000005</v>
      </c>
      <c r="T4512" t="str">
        <f t="shared" si="282"/>
        <v>UNIQUE</v>
      </c>
      <c r="U4512" t="str">
        <f>IF(ISBLANK(Table1[[#This Row],[SizeOption]]),"NOT AVAILABLE",Table1[[#This Row],[SizeOption]])</f>
        <v>26, 28, 30, 32, 34, 36</v>
      </c>
      <c r="Y4512" t="str">
        <f>IF(Table2[[#This Row],[Column1]]&gt;50%,"HIGH DISCOUNT","LOW DISCOUNT")</f>
        <v>HIGH DISCOUNT</v>
      </c>
    </row>
    <row r="4513" spans="1:25" x14ac:dyDescent="0.25">
      <c r="A4513" s="2" t="s">
        <v>9221</v>
      </c>
      <c r="B4513" s="2">
        <v>12167280</v>
      </c>
      <c r="C4513" s="2" t="s">
        <v>67</v>
      </c>
      <c r="D4513" s="2" t="s">
        <v>68</v>
      </c>
      <c r="E4513" s="2" t="s">
        <v>23</v>
      </c>
      <c r="F4513" s="2" t="s">
        <v>36</v>
      </c>
      <c r="G4513" s="2" t="s">
        <v>9222</v>
      </c>
      <c r="H4513">
        <v>679</v>
      </c>
      <c r="I4513" s="2">
        <v>1699</v>
      </c>
      <c r="J4513" s="2" t="s">
        <v>55</v>
      </c>
      <c r="K4513" s="2" t="s">
        <v>45</v>
      </c>
      <c r="L4513" s="2">
        <v>4.4000000000000004</v>
      </c>
      <c r="M4513" s="2">
        <v>495</v>
      </c>
      <c r="P4513" t="str">
        <f t="shared" si="283"/>
        <v>60%</v>
      </c>
      <c r="Q4513" s="12">
        <f t="shared" si="280"/>
        <v>0.6</v>
      </c>
      <c r="R4513" s="9">
        <f t="shared" si="281"/>
        <v>679.6</v>
      </c>
      <c r="S4513" s="9">
        <f>IF(R4513="",AVERAGEIF(Table1[Category],Table1[[#This Row],[Category]],Table2[orignal data]),Table2[[#This Row],[orignal data]])</f>
        <v>679.6</v>
      </c>
      <c r="T4513" t="str">
        <f t="shared" si="282"/>
        <v>UNIQUE</v>
      </c>
      <c r="U4513" t="str">
        <f>IF(ISBLANK(Table1[[#This Row],[SizeOption]]),"NOT AVAILABLE",Table1[[#This Row],[SizeOption]])</f>
        <v>XS, S, M, L, XL</v>
      </c>
      <c r="Y4513" t="str">
        <f>IF(Table2[[#This Row],[Column1]]&gt;50%,"HIGH DISCOUNT","LOW DISCOUNT")</f>
        <v>HIGH DISCOUNT</v>
      </c>
    </row>
    <row r="4514" spans="1:25" x14ac:dyDescent="0.25">
      <c r="A4514" s="1" t="s">
        <v>9223</v>
      </c>
      <c r="B4514" s="1">
        <v>14615076</v>
      </c>
      <c r="C4514" s="1" t="s">
        <v>14</v>
      </c>
      <c r="D4514" s="1" t="s">
        <v>41</v>
      </c>
      <c r="E4514" s="1" t="s">
        <v>29</v>
      </c>
      <c r="F4514" s="1" t="s">
        <v>36</v>
      </c>
      <c r="G4514" s="1" t="s">
        <v>9224</v>
      </c>
      <c r="I4514" s="1">
        <v>1299</v>
      </c>
      <c r="J4514" s="1" t="s">
        <v>84</v>
      </c>
      <c r="K4514" s="1" t="s">
        <v>45</v>
      </c>
      <c r="L4514" s="1">
        <v>4.3</v>
      </c>
      <c r="M4514" s="1">
        <v>495</v>
      </c>
      <c r="P4514" t="str">
        <f t="shared" si="283"/>
        <v>50%</v>
      </c>
      <c r="Q4514" s="12">
        <f t="shared" si="280"/>
        <v>0.5</v>
      </c>
      <c r="R4514" s="9">
        <f t="shared" si="281"/>
        <v>649.5</v>
      </c>
      <c r="S4514" s="9">
        <f>IF(R4514="",AVERAGEIF(Table1[Category],Table1[[#This Row],[Category]],Table2[orignal data]),Table2[[#This Row],[orignal data]])</f>
        <v>649.5</v>
      </c>
      <c r="T4514" t="str">
        <f t="shared" si="282"/>
        <v>UNIQUE</v>
      </c>
      <c r="U4514" t="str">
        <f>IF(ISBLANK(Table1[[#This Row],[SizeOption]]),"NOT AVAILABLE",Table1[[#This Row],[SizeOption]])</f>
        <v>XS, S, M, L, XL</v>
      </c>
      <c r="Y4514" t="str">
        <f>IF(Table2[[#This Row],[Column1]]&gt;50%,"HIGH DISCOUNT","LOW DISCOUNT")</f>
        <v>LOW DISCOUNT</v>
      </c>
    </row>
    <row r="4515" spans="1:25" x14ac:dyDescent="0.25">
      <c r="A4515" s="2" t="s">
        <v>9225</v>
      </c>
      <c r="B4515" s="2">
        <v>9339585</v>
      </c>
      <c r="C4515" s="2" t="s">
        <v>676</v>
      </c>
      <c r="D4515" s="2" t="s">
        <v>41</v>
      </c>
      <c r="E4515" s="2" t="s">
        <v>48</v>
      </c>
      <c r="F4515" s="2" t="s">
        <v>36</v>
      </c>
      <c r="G4515" s="2" t="s">
        <v>2098</v>
      </c>
      <c r="I4515" s="2">
        <v>1998</v>
      </c>
      <c r="J4515" s="2" t="s">
        <v>84</v>
      </c>
      <c r="K4515" s="2" t="s">
        <v>26</v>
      </c>
      <c r="L4515" s="2">
        <v>3.6</v>
      </c>
      <c r="M4515" s="2">
        <v>495</v>
      </c>
      <c r="P4515" t="str">
        <f t="shared" si="283"/>
        <v>50%</v>
      </c>
      <c r="Q4515" s="12">
        <f t="shared" si="280"/>
        <v>0.5</v>
      </c>
      <c r="R4515" s="9">
        <f t="shared" si="281"/>
        <v>999</v>
      </c>
      <c r="S4515" s="9">
        <f>IF(R4515="",AVERAGEIF(Table1[Category],Table1[[#This Row],[Category]],Table2[orignal data]),Table2[[#This Row],[orignal data]])</f>
        <v>999</v>
      </c>
      <c r="T4515" t="str">
        <f t="shared" si="282"/>
        <v>UNIQUE</v>
      </c>
      <c r="U4515" t="str">
        <f>IF(ISBLANK(Table1[[#This Row],[SizeOption]]),"NOT AVAILABLE",Table1[[#This Row],[SizeOption]])</f>
        <v>S, M, L, XL</v>
      </c>
      <c r="Y4515" t="str">
        <f>IF(Table2[[#This Row],[Column1]]&gt;50%,"HIGH DISCOUNT","LOW DISCOUNT")</f>
        <v>LOW DISCOUNT</v>
      </c>
    </row>
    <row r="4516" spans="1:25" x14ac:dyDescent="0.25">
      <c r="A4516" s="1" t="s">
        <v>9226</v>
      </c>
      <c r="B4516" s="1">
        <v>11738534</v>
      </c>
      <c r="C4516" s="1" t="s">
        <v>9227</v>
      </c>
      <c r="D4516" s="1" t="s">
        <v>41</v>
      </c>
      <c r="E4516" s="1" t="s">
        <v>16</v>
      </c>
      <c r="F4516" s="1" t="s">
        <v>36</v>
      </c>
      <c r="G4516" s="1" t="s">
        <v>9228</v>
      </c>
      <c r="I4516" s="1">
        <v>1999</v>
      </c>
      <c r="J4516" s="1" t="s">
        <v>7149</v>
      </c>
      <c r="K4516" s="1" t="s">
        <v>20</v>
      </c>
      <c r="L4516" s="1">
        <v>4.2</v>
      </c>
      <c r="M4516" s="1">
        <v>495</v>
      </c>
      <c r="P4516" t="str">
        <f t="shared" si="283"/>
        <v>700</v>
      </c>
      <c r="Q4516" s="12">
        <f t="shared" si="280"/>
        <v>0.35017508754377191</v>
      </c>
      <c r="R4516" s="9">
        <f t="shared" si="281"/>
        <v>1299</v>
      </c>
      <c r="S4516" s="9">
        <f>IF(R4516="",AVERAGEIF(Table1[Category],Table1[[#This Row],[Category]],Table2[orignal data]),Table2[[#This Row],[orignal data]])</f>
        <v>1299</v>
      </c>
      <c r="T4516" t="str">
        <f t="shared" si="282"/>
        <v>UNIQUE</v>
      </c>
      <c r="U4516" t="str">
        <f>IF(ISBLANK(Table1[[#This Row],[SizeOption]]),"NOT AVAILABLE",Table1[[#This Row],[SizeOption]])</f>
        <v>28, 30, 32, 34, 36</v>
      </c>
      <c r="Y4516" t="str">
        <f>IF(Table2[[#This Row],[Column1]]&gt;50%,"HIGH DISCOUNT","LOW DISCOUNT")</f>
        <v>LOW DISCOUNT</v>
      </c>
    </row>
    <row r="4517" spans="1:25" x14ac:dyDescent="0.25">
      <c r="A4517" s="2" t="s">
        <v>9229</v>
      </c>
      <c r="B4517" s="2">
        <v>10144367</v>
      </c>
      <c r="C4517" s="2" t="s">
        <v>14</v>
      </c>
      <c r="D4517" s="2" t="s">
        <v>41</v>
      </c>
      <c r="E4517" s="2" t="s">
        <v>42</v>
      </c>
      <c r="F4517" s="2" t="s">
        <v>36</v>
      </c>
      <c r="G4517" s="2" t="s">
        <v>9230</v>
      </c>
      <c r="I4517" s="2">
        <v>699</v>
      </c>
      <c r="J4517" s="2" t="s">
        <v>55</v>
      </c>
      <c r="K4517" s="2" t="s">
        <v>45</v>
      </c>
      <c r="L4517" s="2">
        <v>3.5</v>
      </c>
      <c r="M4517" s="2">
        <v>495</v>
      </c>
      <c r="P4517" t="str">
        <f t="shared" si="283"/>
        <v>60%</v>
      </c>
      <c r="Q4517" s="12">
        <f t="shared" si="280"/>
        <v>0.6</v>
      </c>
      <c r="R4517" s="9">
        <f t="shared" si="281"/>
        <v>279.60000000000002</v>
      </c>
      <c r="S4517" s="9">
        <f>IF(R4517="",AVERAGEIF(Table1[Category],Table1[[#This Row],[Category]],Table2[orignal data]),Table2[[#This Row],[orignal data]])</f>
        <v>279.60000000000002</v>
      </c>
      <c r="T4517" t="str">
        <f t="shared" si="282"/>
        <v>UNIQUE</v>
      </c>
      <c r="U4517" t="str">
        <f>IF(ISBLANK(Table1[[#This Row],[SizeOption]]),"NOT AVAILABLE",Table1[[#This Row],[SizeOption]])</f>
        <v>XS, S, M, L, XL</v>
      </c>
      <c r="Y4517" t="str">
        <f>IF(Table2[[#This Row],[Column1]]&gt;50%,"HIGH DISCOUNT","LOW DISCOUNT")</f>
        <v>HIGH DISCOUNT</v>
      </c>
    </row>
    <row r="4518" spans="1:25" x14ac:dyDescent="0.25">
      <c r="A4518" s="1" t="s">
        <v>9231</v>
      </c>
      <c r="B4518" s="1">
        <v>11991108</v>
      </c>
      <c r="C4518" s="1" t="s">
        <v>14</v>
      </c>
      <c r="D4518" s="1" t="s">
        <v>41</v>
      </c>
      <c r="E4518" s="1" t="s">
        <v>306</v>
      </c>
      <c r="F4518" s="1" t="s">
        <v>36</v>
      </c>
      <c r="G4518" s="1" t="s">
        <v>9232</v>
      </c>
      <c r="I4518" s="1">
        <v>999</v>
      </c>
      <c r="J4518" s="1" t="s">
        <v>150</v>
      </c>
      <c r="K4518" s="1" t="s">
        <v>45</v>
      </c>
      <c r="L4518" s="1">
        <v>4.3</v>
      </c>
      <c r="M4518" s="1">
        <v>495</v>
      </c>
      <c r="P4518" t="str">
        <f t="shared" si="283"/>
        <v>65%</v>
      </c>
      <c r="Q4518" s="12">
        <f t="shared" si="280"/>
        <v>0.65</v>
      </c>
      <c r="R4518" s="9">
        <f t="shared" si="281"/>
        <v>349.65</v>
      </c>
      <c r="S4518" s="9">
        <f>IF(R4518="",AVERAGEIF(Table1[Category],Table1[[#This Row],[Category]],Table2[orignal data]),Table2[[#This Row],[orignal data]])</f>
        <v>349.65</v>
      </c>
      <c r="T4518" t="str">
        <f t="shared" si="282"/>
        <v>UNIQUE</v>
      </c>
      <c r="U4518" t="str">
        <f>IF(ISBLANK(Table1[[#This Row],[SizeOption]]),"NOT AVAILABLE",Table1[[#This Row],[SizeOption]])</f>
        <v>XS, S, M, L, XL</v>
      </c>
      <c r="Y4518" t="str">
        <f>IF(Table2[[#This Row],[Column1]]&gt;50%,"HIGH DISCOUNT","LOW DISCOUNT")</f>
        <v>HIGH DISCOUNT</v>
      </c>
    </row>
    <row r="4519" spans="1:25" x14ac:dyDescent="0.25">
      <c r="A4519" s="2" t="s">
        <v>9233</v>
      </c>
      <c r="B4519" s="2">
        <v>13682892</v>
      </c>
      <c r="C4519" s="2" t="s">
        <v>973</v>
      </c>
      <c r="D4519" s="2" t="s">
        <v>197</v>
      </c>
      <c r="E4519" s="2" t="s">
        <v>350</v>
      </c>
      <c r="F4519" s="2" t="s">
        <v>17</v>
      </c>
      <c r="G4519" s="2" t="s">
        <v>9234</v>
      </c>
      <c r="H4519">
        <v>729</v>
      </c>
      <c r="I4519" s="2">
        <v>807</v>
      </c>
      <c r="J4519" s="2" t="s">
        <v>1826</v>
      </c>
      <c r="K4519" s="2" t="s">
        <v>39</v>
      </c>
      <c r="L4519" s="2">
        <v>4.2</v>
      </c>
      <c r="M4519" s="2">
        <v>494</v>
      </c>
      <c r="P4519" t="str">
        <f t="shared" si="283"/>
        <v>78</v>
      </c>
      <c r="Q4519" s="12">
        <f t="shared" si="280"/>
        <v>9.6654275092936809E-2</v>
      </c>
      <c r="R4519" s="9">
        <f t="shared" si="281"/>
        <v>729</v>
      </c>
      <c r="S4519" s="9">
        <f>IF(R4519="",AVERAGEIF(Table1[Category],Table1[[#This Row],[Category]],Table2[orignal data]),Table2[[#This Row],[orignal data]])</f>
        <v>729</v>
      </c>
      <c r="T4519" t="str">
        <f t="shared" si="282"/>
        <v>UNIQUE</v>
      </c>
      <c r="U4519" t="str">
        <f>IF(ISBLANK(Table1[[#This Row],[SizeOption]]),"NOT AVAILABLE",Table1[[#This Row],[SizeOption]])</f>
        <v>S, M, L, XL, XXL</v>
      </c>
      <c r="Y4519" t="str">
        <f>IF(Table2[[#This Row],[Column1]]&gt;50%,"HIGH DISCOUNT","LOW DISCOUNT")</f>
        <v>LOW DISCOUNT</v>
      </c>
    </row>
    <row r="4520" spans="1:25" x14ac:dyDescent="0.25">
      <c r="A4520" s="1" t="s">
        <v>9235</v>
      </c>
      <c r="B4520" s="1">
        <v>12941942</v>
      </c>
      <c r="C4520" s="1" t="s">
        <v>2895</v>
      </c>
      <c r="D4520" s="1" t="s">
        <v>68</v>
      </c>
      <c r="E4520" s="1" t="s">
        <v>306</v>
      </c>
      <c r="F4520" s="1" t="s">
        <v>17</v>
      </c>
      <c r="G4520" s="1" t="s">
        <v>9236</v>
      </c>
      <c r="I4520" s="1">
        <v>799</v>
      </c>
      <c r="J4520" s="1"/>
      <c r="K4520" s="1" t="s">
        <v>73</v>
      </c>
      <c r="L4520" s="1">
        <v>4.3</v>
      </c>
      <c r="M4520" s="1">
        <v>494</v>
      </c>
      <c r="P4520" t="str">
        <f t="shared" si="283"/>
        <v/>
      </c>
      <c r="Q4520" s="12" t="str">
        <f t="shared" si="280"/>
        <v/>
      </c>
      <c r="R4520" s="9" t="str">
        <f t="shared" si="281"/>
        <v/>
      </c>
      <c r="S4520" s="9">
        <f>IF(R4520="",AVERAGEIF(Table1[Category],Table1[[#This Row],[Category]],Table2[orignal data]),Table2[[#This Row],[orignal data]])</f>
        <v>734.32085365853686</v>
      </c>
      <c r="T4520" t="str">
        <f t="shared" si="282"/>
        <v>UNIQUE</v>
      </c>
      <c r="U4520" t="str">
        <f>IF(ISBLANK(Table1[[#This Row],[SizeOption]]),"NOT AVAILABLE",Table1[[#This Row],[SizeOption]])</f>
        <v>XS, S, M, L, XL, XXL, 3XL, 4XL</v>
      </c>
      <c r="Y4520" t="str">
        <f>IF(Table2[[#This Row],[Column1]]&gt;50%,"HIGH DISCOUNT","LOW DISCOUNT")</f>
        <v>HIGH DISCOUNT</v>
      </c>
    </row>
    <row r="4521" spans="1:25" x14ac:dyDescent="0.25">
      <c r="A4521" s="2" t="s">
        <v>9237</v>
      </c>
      <c r="B4521" s="2">
        <v>11326740</v>
      </c>
      <c r="C4521" s="2" t="s">
        <v>14</v>
      </c>
      <c r="D4521" s="2" t="s">
        <v>28</v>
      </c>
      <c r="E4521" s="2" t="s">
        <v>29</v>
      </c>
      <c r="F4521" s="2" t="s">
        <v>17</v>
      </c>
      <c r="G4521" s="2" t="s">
        <v>9238</v>
      </c>
      <c r="H4521">
        <v>849</v>
      </c>
      <c r="I4521" s="2">
        <v>1699</v>
      </c>
      <c r="J4521" s="2" t="s">
        <v>84</v>
      </c>
      <c r="K4521" s="2" t="s">
        <v>253</v>
      </c>
      <c r="L4521" s="2">
        <v>4.3</v>
      </c>
      <c r="M4521" s="2">
        <v>494</v>
      </c>
      <c r="P4521" t="str">
        <f t="shared" si="283"/>
        <v>50%</v>
      </c>
      <c r="Q4521" s="12">
        <f t="shared" si="280"/>
        <v>0.5</v>
      </c>
      <c r="R4521" s="9">
        <f t="shared" si="281"/>
        <v>849.5</v>
      </c>
      <c r="S4521" s="9">
        <f>IF(R4521="",AVERAGEIF(Table1[Category],Table1[[#This Row],[Category]],Table2[orignal data]),Table2[[#This Row],[orignal data]])</f>
        <v>849.5</v>
      </c>
      <c r="T4521" t="str">
        <f t="shared" si="282"/>
        <v>UNIQUE</v>
      </c>
      <c r="U4521" t="str">
        <f>IF(ISBLANK(Table1[[#This Row],[SizeOption]]),"NOT AVAILABLE",Table1[[#This Row],[SizeOption]])</f>
        <v>38, 40, 42, 44</v>
      </c>
      <c r="Y4521" t="str">
        <f>IF(Table2[[#This Row],[Column1]]&gt;50%,"HIGH DISCOUNT","LOW DISCOUNT")</f>
        <v>LOW DISCOUNT</v>
      </c>
    </row>
    <row r="4522" spans="1:25" x14ac:dyDescent="0.25">
      <c r="A4522" s="1" t="s">
        <v>9239</v>
      </c>
      <c r="B4522" s="1">
        <v>11692210</v>
      </c>
      <c r="C4522" s="1" t="s">
        <v>64</v>
      </c>
      <c r="D4522" s="1" t="s">
        <v>28</v>
      </c>
      <c r="E4522" s="1" t="s">
        <v>29</v>
      </c>
      <c r="F4522" s="1" t="s">
        <v>17</v>
      </c>
      <c r="G4522" s="1" t="s">
        <v>9240</v>
      </c>
      <c r="H4522">
        <v>999</v>
      </c>
      <c r="I4522" s="1">
        <v>1999</v>
      </c>
      <c r="J4522" s="1" t="s">
        <v>84</v>
      </c>
      <c r="K4522" s="1" t="s">
        <v>361</v>
      </c>
      <c r="L4522" s="1">
        <v>4.2</v>
      </c>
      <c r="M4522" s="1">
        <v>494</v>
      </c>
      <c r="P4522" t="str">
        <f t="shared" si="283"/>
        <v>50%</v>
      </c>
      <c r="Q4522" s="12">
        <f t="shared" si="280"/>
        <v>0.5</v>
      </c>
      <c r="R4522" s="9">
        <f t="shared" si="281"/>
        <v>999.5</v>
      </c>
      <c r="S4522" s="9">
        <f>IF(R4522="",AVERAGEIF(Table1[Category],Table1[[#This Row],[Category]],Table2[orignal data]),Table2[[#This Row],[orignal data]])</f>
        <v>999.5</v>
      </c>
      <c r="T4522" t="str">
        <f t="shared" si="282"/>
        <v>UNIQUE</v>
      </c>
      <c r="U4522" t="str">
        <f>IF(ISBLANK(Table1[[#This Row],[SizeOption]]),"NOT AVAILABLE",Table1[[#This Row],[SizeOption]])</f>
        <v>38, 40, 42, 44, 46</v>
      </c>
      <c r="Y4522" t="str">
        <f>IF(Table2[[#This Row],[Column1]]&gt;50%,"HIGH DISCOUNT","LOW DISCOUNT")</f>
        <v>LOW DISCOUNT</v>
      </c>
    </row>
    <row r="4523" spans="1:25" x14ac:dyDescent="0.25">
      <c r="A4523" s="2" t="s">
        <v>9241</v>
      </c>
      <c r="B4523" s="2">
        <v>1823135</v>
      </c>
      <c r="C4523" s="2" t="s">
        <v>169</v>
      </c>
      <c r="D4523" s="2" t="s">
        <v>28</v>
      </c>
      <c r="E4523" s="2" t="s">
        <v>29</v>
      </c>
      <c r="F4523" s="2" t="s">
        <v>17</v>
      </c>
      <c r="G4523" s="2" t="s">
        <v>4174</v>
      </c>
      <c r="H4523">
        <v>1299</v>
      </c>
      <c r="I4523" s="2">
        <v>2599</v>
      </c>
      <c r="J4523" s="2" t="s">
        <v>84</v>
      </c>
      <c r="K4523" s="2" t="s">
        <v>484</v>
      </c>
      <c r="L4523" s="2">
        <v>4.2</v>
      </c>
      <c r="M4523" s="2">
        <v>494</v>
      </c>
      <c r="P4523" t="str">
        <f t="shared" si="283"/>
        <v>50%</v>
      </c>
      <c r="Q4523" s="12">
        <f t="shared" si="280"/>
        <v>0.5</v>
      </c>
      <c r="R4523" s="9">
        <f t="shared" si="281"/>
        <v>1299.5</v>
      </c>
      <c r="S4523" s="9">
        <f>IF(R4523="",AVERAGEIF(Table1[Category],Table1[[#This Row],[Category]],Table2[orignal data]),Table2[[#This Row],[orignal data]])</f>
        <v>1299.5</v>
      </c>
      <c r="T4523" t="str">
        <f t="shared" si="282"/>
        <v>UNIQUE</v>
      </c>
      <c r="U4523" t="str">
        <f>IF(ISBLANK(Table1[[#This Row],[SizeOption]]),"NOT AVAILABLE",Table1[[#This Row],[SizeOption]])</f>
        <v>39, 40, 42, 44, 46</v>
      </c>
      <c r="Y4523" t="str">
        <f>IF(Table2[[#This Row],[Column1]]&gt;50%,"HIGH DISCOUNT","LOW DISCOUNT")</f>
        <v>LOW DISCOUNT</v>
      </c>
    </row>
    <row r="4524" spans="1:25" x14ac:dyDescent="0.25">
      <c r="A4524" s="1" t="s">
        <v>9242</v>
      </c>
      <c r="B4524" s="1">
        <v>11752182</v>
      </c>
      <c r="C4524" s="1" t="s">
        <v>346</v>
      </c>
      <c r="D4524" s="1" t="s">
        <v>28</v>
      </c>
      <c r="E4524" s="1" t="s">
        <v>42</v>
      </c>
      <c r="F4524" s="1" t="s">
        <v>17</v>
      </c>
      <c r="G4524" s="1" t="s">
        <v>9243</v>
      </c>
      <c r="H4524">
        <v>314</v>
      </c>
      <c r="I4524" s="1">
        <v>699</v>
      </c>
      <c r="J4524" s="1" t="s">
        <v>25</v>
      </c>
      <c r="K4524" s="1" t="s">
        <v>115</v>
      </c>
      <c r="L4524" s="1">
        <v>4.3</v>
      </c>
      <c r="M4524" s="1">
        <v>494</v>
      </c>
      <c r="P4524" t="str">
        <f t="shared" si="283"/>
        <v>55%</v>
      </c>
      <c r="Q4524" s="12">
        <f t="shared" si="280"/>
        <v>0.55000000000000004</v>
      </c>
      <c r="R4524" s="9">
        <f t="shared" si="281"/>
        <v>314.54999999999995</v>
      </c>
      <c r="S4524" s="9">
        <f>IF(R4524="",AVERAGEIF(Table1[Category],Table1[[#This Row],[Category]],Table2[orignal data]),Table2[[#This Row],[orignal data]])</f>
        <v>314.54999999999995</v>
      </c>
      <c r="T4524" t="str">
        <f t="shared" si="282"/>
        <v>UNIQUE</v>
      </c>
      <c r="U4524" t="str">
        <f>IF(ISBLANK(Table1[[#This Row],[SizeOption]]),"NOT AVAILABLE",Table1[[#This Row],[SizeOption]])</f>
        <v>XS, S, M, L, XL, XXL</v>
      </c>
      <c r="Y4524" t="str">
        <f>IF(Table2[[#This Row],[Column1]]&gt;50%,"HIGH DISCOUNT","LOW DISCOUNT")</f>
        <v>HIGH DISCOUNT</v>
      </c>
    </row>
    <row r="4525" spans="1:25" x14ac:dyDescent="0.25">
      <c r="A4525" s="2" t="s">
        <v>9244</v>
      </c>
      <c r="B4525" s="2">
        <v>13191588</v>
      </c>
      <c r="C4525" s="2" t="s">
        <v>92</v>
      </c>
      <c r="D4525" s="2" t="s">
        <v>76</v>
      </c>
      <c r="E4525" s="2" t="s">
        <v>1708</v>
      </c>
      <c r="F4525" s="2" t="s">
        <v>36</v>
      </c>
      <c r="G4525" s="2" t="s">
        <v>9245</v>
      </c>
      <c r="H4525">
        <v>430</v>
      </c>
      <c r="I4525" s="2">
        <v>1049</v>
      </c>
      <c r="J4525" s="2" t="s">
        <v>95</v>
      </c>
      <c r="K4525" s="2" t="s">
        <v>26</v>
      </c>
      <c r="L4525" s="2">
        <v>4.0999999999999996</v>
      </c>
      <c r="M4525" s="2">
        <v>494</v>
      </c>
      <c r="P4525" t="str">
        <f t="shared" si="283"/>
        <v>59%</v>
      </c>
      <c r="Q4525" s="12">
        <f t="shared" si="280"/>
        <v>0.59</v>
      </c>
      <c r="R4525" s="9">
        <f t="shared" si="281"/>
        <v>430.09000000000003</v>
      </c>
      <c r="S4525" s="9">
        <f>IF(R4525="",AVERAGEIF(Table1[Category],Table1[[#This Row],[Category]],Table2[orignal data]),Table2[[#This Row],[orignal data]])</f>
        <v>430.09000000000003</v>
      </c>
      <c r="T4525" t="str">
        <f t="shared" si="282"/>
        <v>UNIQUE</v>
      </c>
      <c r="U4525" t="str">
        <f>IF(ISBLANK(Table1[[#This Row],[SizeOption]]),"NOT AVAILABLE",Table1[[#This Row],[SizeOption]])</f>
        <v>S, M, L, XL</v>
      </c>
      <c r="Y4525" t="str">
        <f>IF(Table2[[#This Row],[Column1]]&gt;50%,"HIGH DISCOUNT","LOW DISCOUNT")</f>
        <v>HIGH DISCOUNT</v>
      </c>
    </row>
    <row r="4526" spans="1:25" x14ac:dyDescent="0.25">
      <c r="A4526" s="1" t="s">
        <v>9246</v>
      </c>
      <c r="B4526" s="1">
        <v>14370138</v>
      </c>
      <c r="C4526" s="1" t="s">
        <v>92</v>
      </c>
      <c r="D4526" s="1" t="s">
        <v>76</v>
      </c>
      <c r="E4526" s="1" t="s">
        <v>93</v>
      </c>
      <c r="F4526" s="1" t="s">
        <v>36</v>
      </c>
      <c r="G4526" s="1" t="s">
        <v>9247</v>
      </c>
      <c r="H4526">
        <v>487</v>
      </c>
      <c r="I4526" s="1">
        <v>1249</v>
      </c>
      <c r="J4526" s="1" t="s">
        <v>104</v>
      </c>
      <c r="K4526" s="1" t="s">
        <v>39</v>
      </c>
      <c r="L4526" s="1">
        <v>3.8</v>
      </c>
      <c r="M4526" s="1">
        <v>494</v>
      </c>
      <c r="P4526" t="str">
        <f t="shared" si="283"/>
        <v>61%</v>
      </c>
      <c r="Q4526" s="12">
        <f t="shared" si="280"/>
        <v>0.61</v>
      </c>
      <c r="R4526" s="9">
        <f t="shared" si="281"/>
        <v>487.11</v>
      </c>
      <c r="S4526" s="9">
        <f>IF(R4526="",AVERAGEIF(Table1[Category],Table1[[#This Row],[Category]],Table2[orignal data]),Table2[[#This Row],[orignal data]])</f>
        <v>487.11</v>
      </c>
      <c r="T4526" t="str">
        <f t="shared" si="282"/>
        <v>UNIQUE</v>
      </c>
      <c r="U4526" t="str">
        <f>IF(ISBLANK(Table1[[#This Row],[SizeOption]]),"NOT AVAILABLE",Table1[[#This Row],[SizeOption]])</f>
        <v>S, M, L, XL, XXL</v>
      </c>
      <c r="Y4526" t="str">
        <f>IF(Table2[[#This Row],[Column1]]&gt;50%,"HIGH DISCOUNT","LOW DISCOUNT")</f>
        <v>HIGH DISCOUNT</v>
      </c>
    </row>
    <row r="4527" spans="1:25" x14ac:dyDescent="0.25">
      <c r="A4527" s="2" t="s">
        <v>9248</v>
      </c>
      <c r="B4527" s="2">
        <v>13237968</v>
      </c>
      <c r="C4527" s="2" t="s">
        <v>113</v>
      </c>
      <c r="D4527" s="2" t="s">
        <v>76</v>
      </c>
      <c r="E4527" s="2" t="s">
        <v>77</v>
      </c>
      <c r="F4527" s="2" t="s">
        <v>36</v>
      </c>
      <c r="G4527" s="2" t="s">
        <v>9249</v>
      </c>
      <c r="H4527">
        <v>809</v>
      </c>
      <c r="I4527" s="2">
        <v>1799</v>
      </c>
      <c r="J4527" s="2" t="s">
        <v>25</v>
      </c>
      <c r="K4527" s="2" t="s">
        <v>115</v>
      </c>
      <c r="L4527" s="2">
        <v>4</v>
      </c>
      <c r="M4527" s="2">
        <v>494</v>
      </c>
      <c r="P4527" t="str">
        <f t="shared" si="283"/>
        <v>55%</v>
      </c>
      <c r="Q4527" s="12">
        <f t="shared" si="280"/>
        <v>0.55000000000000004</v>
      </c>
      <c r="R4527" s="9">
        <f t="shared" si="281"/>
        <v>809.55</v>
      </c>
      <c r="S4527" s="9">
        <f>IF(R4527="",AVERAGEIF(Table1[Category],Table1[[#This Row],[Category]],Table2[orignal data]),Table2[[#This Row],[orignal data]])</f>
        <v>809.55</v>
      </c>
      <c r="T4527" t="str">
        <f t="shared" si="282"/>
        <v>UNIQUE</v>
      </c>
      <c r="U4527" t="str">
        <f>IF(ISBLANK(Table1[[#This Row],[SizeOption]]),"NOT AVAILABLE",Table1[[#This Row],[SizeOption]])</f>
        <v>XS, S, M, L, XL, XXL</v>
      </c>
      <c r="Y4527" t="str">
        <f>IF(Table2[[#This Row],[Column1]]&gt;50%,"HIGH DISCOUNT","LOW DISCOUNT")</f>
        <v>HIGH DISCOUNT</v>
      </c>
    </row>
    <row r="4528" spans="1:25" x14ac:dyDescent="0.25">
      <c r="A4528" s="1" t="s">
        <v>9250</v>
      </c>
      <c r="B4528" s="1">
        <v>8212009</v>
      </c>
      <c r="C4528" s="1" t="s">
        <v>405</v>
      </c>
      <c r="D4528" s="1" t="s">
        <v>34</v>
      </c>
      <c r="E4528" s="1" t="s">
        <v>406</v>
      </c>
      <c r="F4528" s="1" t="s">
        <v>36</v>
      </c>
      <c r="G4528" s="1" t="s">
        <v>9251</v>
      </c>
      <c r="H4528">
        <v>949</v>
      </c>
      <c r="I4528" s="1">
        <v>1899</v>
      </c>
      <c r="J4528" s="1" t="s">
        <v>84</v>
      </c>
      <c r="K4528" s="1" t="s">
        <v>26</v>
      </c>
      <c r="L4528" s="1">
        <v>4.0999999999999996</v>
      </c>
      <c r="M4528" s="1">
        <v>494</v>
      </c>
      <c r="P4528" t="str">
        <f t="shared" si="283"/>
        <v>50%</v>
      </c>
      <c r="Q4528" s="12">
        <f t="shared" si="280"/>
        <v>0.5</v>
      </c>
      <c r="R4528" s="9">
        <f t="shared" si="281"/>
        <v>949.5</v>
      </c>
      <c r="S4528" s="9">
        <f>IF(R4528="",AVERAGEIF(Table1[Category],Table1[[#This Row],[Category]],Table2[orignal data]),Table2[[#This Row],[orignal data]])</f>
        <v>949.5</v>
      </c>
      <c r="T4528" t="str">
        <f t="shared" si="282"/>
        <v>UNIQUE</v>
      </c>
      <c r="U4528" t="str">
        <f>IF(ISBLANK(Table1[[#This Row],[SizeOption]]),"NOT AVAILABLE",Table1[[#This Row],[SizeOption]])</f>
        <v>S, M, L, XL</v>
      </c>
      <c r="Y4528" t="str">
        <f>IF(Table2[[#This Row],[Column1]]&gt;50%,"HIGH DISCOUNT","LOW DISCOUNT")</f>
        <v>LOW DISCOUNT</v>
      </c>
    </row>
    <row r="4529" spans="1:25" x14ac:dyDescent="0.25">
      <c r="A4529" s="2" t="s">
        <v>9252</v>
      </c>
      <c r="B4529" s="2">
        <v>11466132</v>
      </c>
      <c r="C4529" s="2" t="s">
        <v>346</v>
      </c>
      <c r="D4529" s="2" t="s">
        <v>41</v>
      </c>
      <c r="E4529" s="2" t="s">
        <v>148</v>
      </c>
      <c r="F4529" s="2" t="s">
        <v>36</v>
      </c>
      <c r="G4529" s="2" t="s">
        <v>9253</v>
      </c>
      <c r="I4529" s="2">
        <v>1499</v>
      </c>
      <c r="J4529" s="2" t="s">
        <v>84</v>
      </c>
      <c r="K4529" s="2" t="s">
        <v>26</v>
      </c>
      <c r="L4529" s="2">
        <v>4.3</v>
      </c>
      <c r="M4529" s="2">
        <v>494</v>
      </c>
      <c r="P4529" t="str">
        <f t="shared" si="283"/>
        <v>50%</v>
      </c>
      <c r="Q4529" s="12">
        <f t="shared" si="280"/>
        <v>0.5</v>
      </c>
      <c r="R4529" s="9">
        <f t="shared" si="281"/>
        <v>749.5</v>
      </c>
      <c r="S4529" s="9">
        <f>IF(R4529="",AVERAGEIF(Table1[Category],Table1[[#This Row],[Category]],Table2[orignal data]),Table2[[#This Row],[orignal data]])</f>
        <v>749.5</v>
      </c>
      <c r="T4529" t="str">
        <f t="shared" si="282"/>
        <v>UNIQUE</v>
      </c>
      <c r="U4529" t="str">
        <f>IF(ISBLANK(Table1[[#This Row],[SizeOption]]),"NOT AVAILABLE",Table1[[#This Row],[SizeOption]])</f>
        <v>S, M, L, XL</v>
      </c>
      <c r="Y4529" t="str">
        <f>IF(Table2[[#This Row],[Column1]]&gt;50%,"HIGH DISCOUNT","LOW DISCOUNT")</f>
        <v>LOW DISCOUNT</v>
      </c>
    </row>
    <row r="4530" spans="1:25" x14ac:dyDescent="0.25">
      <c r="A4530" s="1" t="s">
        <v>9254</v>
      </c>
      <c r="B4530" s="1">
        <v>17525206</v>
      </c>
      <c r="C4530" s="1" t="s">
        <v>47</v>
      </c>
      <c r="D4530" s="1" t="s">
        <v>41</v>
      </c>
      <c r="E4530" s="1" t="s">
        <v>42</v>
      </c>
      <c r="F4530" s="1" t="s">
        <v>36</v>
      </c>
      <c r="G4530" s="1" t="s">
        <v>9044</v>
      </c>
      <c r="I4530" s="1">
        <v>1598</v>
      </c>
      <c r="J4530" s="1" t="s">
        <v>84</v>
      </c>
      <c r="K4530" s="1" t="s">
        <v>146</v>
      </c>
      <c r="L4530" s="1">
        <v>4.4000000000000004</v>
      </c>
      <c r="M4530" s="1">
        <v>494</v>
      </c>
      <c r="P4530" t="str">
        <f t="shared" si="283"/>
        <v>50%</v>
      </c>
      <c r="Q4530" s="12">
        <f t="shared" si="280"/>
        <v>0.5</v>
      </c>
      <c r="R4530" s="9">
        <f t="shared" si="281"/>
        <v>799</v>
      </c>
      <c r="S4530" s="9">
        <f>IF(R4530="",AVERAGEIF(Table1[Category],Table1[[#This Row],[Category]],Table2[orignal data]),Table2[[#This Row],[orignal data]])</f>
        <v>799</v>
      </c>
      <c r="T4530" t="str">
        <f t="shared" si="282"/>
        <v>UNIQUE</v>
      </c>
      <c r="U4530" t="str">
        <f>IF(ISBLANK(Table1[[#This Row],[SizeOption]]),"NOT AVAILABLE",Table1[[#This Row],[SizeOption]])</f>
        <v>L, M, S, XS, XL</v>
      </c>
      <c r="Y4530" t="str">
        <f>IF(Table2[[#This Row],[Column1]]&gt;50%,"HIGH DISCOUNT","LOW DISCOUNT")</f>
        <v>LOW DISCOUNT</v>
      </c>
    </row>
    <row r="4531" spans="1:25" x14ac:dyDescent="0.25">
      <c r="A4531" s="2" t="s">
        <v>9255</v>
      </c>
      <c r="B4531" s="2">
        <v>9205403</v>
      </c>
      <c r="C4531" s="2" t="s">
        <v>14</v>
      </c>
      <c r="D4531" s="2" t="s">
        <v>41</v>
      </c>
      <c r="E4531" s="2" t="s">
        <v>16</v>
      </c>
      <c r="F4531" s="2" t="s">
        <v>36</v>
      </c>
      <c r="G4531" s="2" t="s">
        <v>2005</v>
      </c>
      <c r="I4531" s="2">
        <v>1699</v>
      </c>
      <c r="J4531" s="2" t="s">
        <v>19</v>
      </c>
      <c r="K4531" s="2" t="s">
        <v>134</v>
      </c>
      <c r="L4531" s="2">
        <v>4.0999999999999996</v>
      </c>
      <c r="M4531" s="2">
        <v>494</v>
      </c>
      <c r="P4531" t="str">
        <f t="shared" si="283"/>
        <v>45%</v>
      </c>
      <c r="Q4531" s="12">
        <f t="shared" si="280"/>
        <v>0.45</v>
      </c>
      <c r="R4531" s="9">
        <f t="shared" si="281"/>
        <v>934.44999999999993</v>
      </c>
      <c r="S4531" s="9">
        <f>IF(R4531="",AVERAGEIF(Table1[Category],Table1[[#This Row],[Category]],Table2[orignal data]),Table2[[#This Row],[orignal data]])</f>
        <v>934.44999999999993</v>
      </c>
      <c r="T4531" t="str">
        <f t="shared" si="282"/>
        <v>UNIQUE</v>
      </c>
      <c r="U4531" t="str">
        <f>IF(ISBLANK(Table1[[#This Row],[SizeOption]]),"NOT AVAILABLE",Table1[[#This Row],[SizeOption]])</f>
        <v>26, 28, 30, 32, 34, 36</v>
      </c>
      <c r="Y4531" t="str">
        <f>IF(Table2[[#This Row],[Column1]]&gt;50%,"HIGH DISCOUNT","LOW DISCOUNT")</f>
        <v>LOW DISCOUNT</v>
      </c>
    </row>
    <row r="4532" spans="1:25" x14ac:dyDescent="0.25">
      <c r="A4532" s="1" t="s">
        <v>9256</v>
      </c>
      <c r="B4532" s="1">
        <v>2426461</v>
      </c>
      <c r="C4532" s="1" t="s">
        <v>1385</v>
      </c>
      <c r="D4532" s="1" t="s">
        <v>41</v>
      </c>
      <c r="E4532" s="1" t="s">
        <v>48</v>
      </c>
      <c r="F4532" s="1" t="s">
        <v>36</v>
      </c>
      <c r="G4532" s="1" t="s">
        <v>9257</v>
      </c>
      <c r="I4532" s="1">
        <v>1699</v>
      </c>
      <c r="J4532" s="1" t="s">
        <v>79</v>
      </c>
      <c r="K4532" s="1" t="s">
        <v>45</v>
      </c>
      <c r="L4532" s="1">
        <v>4.0999999999999996</v>
      </c>
      <c r="M4532" s="1">
        <v>494</v>
      </c>
      <c r="P4532" t="str">
        <f t="shared" si="283"/>
        <v>70%</v>
      </c>
      <c r="Q4532" s="12">
        <f t="shared" si="280"/>
        <v>0.7</v>
      </c>
      <c r="R4532" s="9">
        <f t="shared" si="281"/>
        <v>509.70000000000005</v>
      </c>
      <c r="S4532" s="9">
        <f>IF(R4532="",AVERAGEIF(Table1[Category],Table1[[#This Row],[Category]],Table2[orignal data]),Table2[[#This Row],[orignal data]])</f>
        <v>509.70000000000005</v>
      </c>
      <c r="T4532" t="str">
        <f t="shared" si="282"/>
        <v>UNIQUE</v>
      </c>
      <c r="U4532" t="str">
        <f>IF(ISBLANK(Table1[[#This Row],[SizeOption]]),"NOT AVAILABLE",Table1[[#This Row],[SizeOption]])</f>
        <v>XS, S, M, L, XL</v>
      </c>
      <c r="Y4532" t="str">
        <f>IF(Table2[[#This Row],[Column1]]&gt;50%,"HIGH DISCOUNT","LOW DISCOUNT")</f>
        <v>HIGH DISCOUNT</v>
      </c>
    </row>
    <row r="4533" spans="1:25" x14ac:dyDescent="0.25">
      <c r="A4533" s="2" t="s">
        <v>9258</v>
      </c>
      <c r="B4533" s="2">
        <v>9338217</v>
      </c>
      <c r="C4533" s="2" t="s">
        <v>676</v>
      </c>
      <c r="D4533" s="2" t="s">
        <v>41</v>
      </c>
      <c r="E4533" s="2" t="s">
        <v>48</v>
      </c>
      <c r="F4533" s="2" t="s">
        <v>36</v>
      </c>
      <c r="G4533" s="2" t="s">
        <v>2543</v>
      </c>
      <c r="I4533" s="2">
        <v>1898</v>
      </c>
      <c r="J4533" s="2" t="s">
        <v>84</v>
      </c>
      <c r="K4533" s="2" t="s">
        <v>26</v>
      </c>
      <c r="L4533" s="2">
        <v>3.6</v>
      </c>
      <c r="M4533" s="2">
        <v>494</v>
      </c>
      <c r="P4533" t="str">
        <f t="shared" si="283"/>
        <v>50%</v>
      </c>
      <c r="Q4533" s="12">
        <f t="shared" si="280"/>
        <v>0.5</v>
      </c>
      <c r="R4533" s="9">
        <f t="shared" si="281"/>
        <v>949</v>
      </c>
      <c r="S4533" s="9">
        <f>IF(R4533="",AVERAGEIF(Table1[Category],Table1[[#This Row],[Category]],Table2[orignal data]),Table2[[#This Row],[orignal data]])</f>
        <v>949</v>
      </c>
      <c r="T4533" t="str">
        <f t="shared" si="282"/>
        <v>UNIQUE</v>
      </c>
      <c r="U4533" t="str">
        <f>IF(ISBLANK(Table1[[#This Row],[SizeOption]]),"NOT AVAILABLE",Table1[[#This Row],[SizeOption]])</f>
        <v>S, M, L, XL</v>
      </c>
      <c r="Y4533" t="str">
        <f>IF(Table2[[#This Row],[Column1]]&gt;50%,"HIGH DISCOUNT","LOW DISCOUNT")</f>
        <v>LOW DISCOUNT</v>
      </c>
    </row>
    <row r="4534" spans="1:25" x14ac:dyDescent="0.25">
      <c r="A4534" s="1" t="s">
        <v>9259</v>
      </c>
      <c r="B4534" s="1">
        <v>7206980</v>
      </c>
      <c r="C4534" s="1" t="s">
        <v>14</v>
      </c>
      <c r="D4534" s="1" t="s">
        <v>41</v>
      </c>
      <c r="E4534" s="1" t="s">
        <v>48</v>
      </c>
      <c r="F4534" s="1" t="s">
        <v>36</v>
      </c>
      <c r="G4534" s="1" t="s">
        <v>9260</v>
      </c>
      <c r="I4534" s="1">
        <v>1999</v>
      </c>
      <c r="J4534" s="1" t="s">
        <v>25</v>
      </c>
      <c r="K4534" s="1" t="s">
        <v>45</v>
      </c>
      <c r="L4534" s="1">
        <v>4.0999999999999996</v>
      </c>
      <c r="M4534" s="1">
        <v>494</v>
      </c>
      <c r="P4534" t="str">
        <f t="shared" si="283"/>
        <v>55%</v>
      </c>
      <c r="Q4534" s="12">
        <f t="shared" si="280"/>
        <v>0.55000000000000004</v>
      </c>
      <c r="R4534" s="9">
        <f t="shared" si="281"/>
        <v>899.55</v>
      </c>
      <c r="S4534" s="9">
        <f>IF(R4534="",AVERAGEIF(Table1[Category],Table1[[#This Row],[Category]],Table2[orignal data]),Table2[[#This Row],[orignal data]])</f>
        <v>899.55</v>
      </c>
      <c r="T4534" t="str">
        <f t="shared" si="282"/>
        <v>UNIQUE</v>
      </c>
      <c r="U4534" t="str">
        <f>IF(ISBLANK(Table1[[#This Row],[SizeOption]]),"NOT AVAILABLE",Table1[[#This Row],[SizeOption]])</f>
        <v>XS, S, M, L, XL</v>
      </c>
      <c r="Y4534" t="str">
        <f>IF(Table2[[#This Row],[Column1]]&gt;50%,"HIGH DISCOUNT","LOW DISCOUNT")</f>
        <v>HIGH DISCOUNT</v>
      </c>
    </row>
    <row r="4535" spans="1:25" x14ac:dyDescent="0.25">
      <c r="A4535" s="2" t="s">
        <v>9261</v>
      </c>
      <c r="B4535" s="2">
        <v>15198584</v>
      </c>
      <c r="C4535" s="2" t="s">
        <v>490</v>
      </c>
      <c r="D4535" s="2" t="s">
        <v>41</v>
      </c>
      <c r="E4535" s="2" t="s">
        <v>306</v>
      </c>
      <c r="F4535" s="2" t="s">
        <v>36</v>
      </c>
      <c r="G4535" s="2" t="s">
        <v>9262</v>
      </c>
      <c r="I4535" s="2">
        <v>799</v>
      </c>
      <c r="J4535" s="2"/>
      <c r="K4535" s="2" t="s">
        <v>1875</v>
      </c>
      <c r="L4535" s="2">
        <v>4.5</v>
      </c>
      <c r="M4535" s="2">
        <v>494</v>
      </c>
      <c r="P4535" t="str">
        <f t="shared" si="283"/>
        <v/>
      </c>
      <c r="Q4535" s="12" t="str">
        <f t="shared" si="280"/>
        <v/>
      </c>
      <c r="R4535" s="9" t="str">
        <f t="shared" si="281"/>
        <v/>
      </c>
      <c r="S4535" s="9">
        <f>IF(R4535="",AVERAGEIF(Table1[Category],Table1[[#This Row],[Category]],Table2[orignal data]),Table2[[#This Row],[orignal data]])</f>
        <v>715.78890751086249</v>
      </c>
      <c r="T4535" t="str">
        <f t="shared" si="282"/>
        <v>UNIQUE</v>
      </c>
      <c r="U4535" t="str">
        <f>IF(ISBLANK(Table1[[#This Row],[SizeOption]]),"NOT AVAILABLE",Table1[[#This Row],[SizeOption]])</f>
        <v>XXS, XS, S, M, L, XL</v>
      </c>
      <c r="Y4535" t="str">
        <f>IF(Table2[[#This Row],[Column1]]&gt;50%,"HIGH DISCOUNT","LOW DISCOUNT")</f>
        <v>HIGH DISCOUNT</v>
      </c>
    </row>
    <row r="4536" spans="1:25" x14ac:dyDescent="0.25">
      <c r="A4536" s="1" t="s">
        <v>9263</v>
      </c>
      <c r="B4536" s="1">
        <v>2304347</v>
      </c>
      <c r="C4536" s="1" t="s">
        <v>201</v>
      </c>
      <c r="D4536" s="1" t="s">
        <v>15</v>
      </c>
      <c r="E4536" s="1" t="s">
        <v>16</v>
      </c>
      <c r="F4536" s="1" t="s">
        <v>17</v>
      </c>
      <c r="G4536" s="1" t="s">
        <v>9264</v>
      </c>
      <c r="H4536">
        <v>919</v>
      </c>
      <c r="I4536" s="1">
        <v>2299</v>
      </c>
      <c r="J4536" s="1" t="s">
        <v>55</v>
      </c>
      <c r="K4536" s="1" t="s">
        <v>171</v>
      </c>
      <c r="L4536" s="1">
        <v>3.8</v>
      </c>
      <c r="M4536" s="1">
        <v>493</v>
      </c>
      <c r="P4536" t="str">
        <f t="shared" si="283"/>
        <v>60%</v>
      </c>
      <c r="Q4536" s="12">
        <f t="shared" si="280"/>
        <v>0.6</v>
      </c>
      <c r="R4536" s="9">
        <f t="shared" si="281"/>
        <v>919.60000000000014</v>
      </c>
      <c r="S4536" s="9">
        <f>IF(R4536="",AVERAGEIF(Table1[Category],Table1[[#This Row],[Category]],Table2[orignal data]),Table2[[#This Row],[orignal data]])</f>
        <v>919.60000000000014</v>
      </c>
      <c r="T4536" t="str">
        <f t="shared" si="282"/>
        <v>UNIQUE</v>
      </c>
      <c r="U4536" t="str">
        <f>IF(ISBLANK(Table1[[#This Row],[SizeOption]]),"NOT AVAILABLE",Table1[[#This Row],[SizeOption]])</f>
        <v>28, 30, 32, 34, 36, 38</v>
      </c>
      <c r="Y4536" t="str">
        <f>IF(Table2[[#This Row],[Column1]]&gt;50%,"HIGH DISCOUNT","LOW DISCOUNT")</f>
        <v>HIGH DISCOUNT</v>
      </c>
    </row>
    <row r="4537" spans="1:25" x14ac:dyDescent="0.25">
      <c r="A4537" s="2" t="s">
        <v>9265</v>
      </c>
      <c r="B4537" s="2">
        <v>12135192</v>
      </c>
      <c r="C4537" s="2" t="s">
        <v>113</v>
      </c>
      <c r="D4537" s="2" t="s">
        <v>76</v>
      </c>
      <c r="E4537" s="2" t="s">
        <v>93</v>
      </c>
      <c r="F4537" s="2" t="s">
        <v>17</v>
      </c>
      <c r="G4537" s="2" t="s">
        <v>9266</v>
      </c>
      <c r="H4537">
        <v>689</v>
      </c>
      <c r="I4537" s="2">
        <v>2299</v>
      </c>
      <c r="J4537" s="2" t="s">
        <v>79</v>
      </c>
      <c r="K4537" s="2" t="s">
        <v>39</v>
      </c>
      <c r="L4537" s="2">
        <v>4.5</v>
      </c>
      <c r="M4537" s="2">
        <v>493</v>
      </c>
      <c r="P4537" t="str">
        <f t="shared" si="283"/>
        <v>70%</v>
      </c>
      <c r="Q4537" s="12">
        <f t="shared" si="280"/>
        <v>0.7</v>
      </c>
      <c r="R4537" s="9">
        <f t="shared" si="281"/>
        <v>689.7</v>
      </c>
      <c r="S4537" s="9">
        <f>IF(R4537="",AVERAGEIF(Table1[Category],Table1[[#This Row],[Category]],Table2[orignal data]),Table2[[#This Row],[orignal data]])</f>
        <v>689.7</v>
      </c>
      <c r="T4537" t="str">
        <f t="shared" si="282"/>
        <v>UNIQUE</v>
      </c>
      <c r="U4537" t="str">
        <f>IF(ISBLANK(Table1[[#This Row],[SizeOption]]),"NOT AVAILABLE",Table1[[#This Row],[SizeOption]])</f>
        <v>S, M, L, XL, XXL</v>
      </c>
      <c r="Y4537" t="str">
        <f>IF(Table2[[#This Row],[Column1]]&gt;50%,"HIGH DISCOUNT","LOW DISCOUNT")</f>
        <v>HIGH DISCOUNT</v>
      </c>
    </row>
    <row r="4538" spans="1:25" x14ac:dyDescent="0.25">
      <c r="A4538" s="1" t="s">
        <v>9267</v>
      </c>
      <c r="B4538" s="1">
        <v>13819040</v>
      </c>
      <c r="C4538" s="1" t="s">
        <v>1003</v>
      </c>
      <c r="D4538" s="1" t="s">
        <v>28</v>
      </c>
      <c r="E4538" s="1" t="s">
        <v>42</v>
      </c>
      <c r="F4538" s="1" t="s">
        <v>17</v>
      </c>
      <c r="G4538" s="1" t="s">
        <v>9268</v>
      </c>
      <c r="H4538">
        <v>464</v>
      </c>
      <c r="I4538" s="1">
        <v>499</v>
      </c>
      <c r="J4538" s="1" t="s">
        <v>9269</v>
      </c>
      <c r="K4538" s="1" t="s">
        <v>234</v>
      </c>
      <c r="L4538" s="1">
        <v>4.2</v>
      </c>
      <c r="M4538" s="1">
        <v>493</v>
      </c>
      <c r="P4538" t="str">
        <f t="shared" si="283"/>
        <v>35</v>
      </c>
      <c r="Q4538" s="12">
        <f t="shared" si="280"/>
        <v>7.0140280561122245E-2</v>
      </c>
      <c r="R4538" s="9">
        <f t="shared" si="281"/>
        <v>464</v>
      </c>
      <c r="S4538" s="9">
        <f>IF(R4538="",AVERAGEIF(Table1[Category],Table1[[#This Row],[Category]],Table2[orignal data]),Table2[[#This Row],[orignal data]])</f>
        <v>464</v>
      </c>
      <c r="T4538" t="str">
        <f t="shared" si="282"/>
        <v>UNIQUE</v>
      </c>
      <c r="U4538" t="str">
        <f>IF(ISBLANK(Table1[[#This Row],[SizeOption]]),"NOT AVAILABLE",Table1[[#This Row],[SizeOption]])</f>
        <v>S, M, L, XL, XXL, 3XL</v>
      </c>
      <c r="Y4538" t="str">
        <f>IF(Table2[[#This Row],[Column1]]&gt;50%,"HIGH DISCOUNT","LOW DISCOUNT")</f>
        <v>LOW DISCOUNT</v>
      </c>
    </row>
    <row r="4539" spans="1:25" x14ac:dyDescent="0.25">
      <c r="A4539" s="2" t="s">
        <v>9270</v>
      </c>
      <c r="B4539" s="2">
        <v>15570020</v>
      </c>
      <c r="C4539" s="2" t="s">
        <v>1857</v>
      </c>
      <c r="D4539" s="2" t="s">
        <v>76</v>
      </c>
      <c r="E4539" s="2" t="s">
        <v>93</v>
      </c>
      <c r="F4539" s="2" t="s">
        <v>36</v>
      </c>
      <c r="G4539" s="2" t="s">
        <v>9271</v>
      </c>
      <c r="H4539">
        <v>692</v>
      </c>
      <c r="I4539" s="2">
        <v>2099</v>
      </c>
      <c r="J4539" s="2" t="s">
        <v>543</v>
      </c>
      <c r="K4539" s="2" t="s">
        <v>39</v>
      </c>
      <c r="L4539" s="2">
        <v>4.4000000000000004</v>
      </c>
      <c r="M4539" s="2">
        <v>493</v>
      </c>
      <c r="P4539" t="str">
        <f t="shared" si="283"/>
        <v>67%</v>
      </c>
      <c r="Q4539" s="12">
        <f t="shared" si="280"/>
        <v>0.67</v>
      </c>
      <c r="R4539" s="9">
        <f t="shared" si="281"/>
        <v>692.66999999999985</v>
      </c>
      <c r="S4539" s="9">
        <f>IF(R4539="",AVERAGEIF(Table1[Category],Table1[[#This Row],[Category]],Table2[orignal data]),Table2[[#This Row],[orignal data]])</f>
        <v>692.66999999999985</v>
      </c>
      <c r="T4539" t="str">
        <f t="shared" si="282"/>
        <v>UNIQUE</v>
      </c>
      <c r="U4539" t="str">
        <f>IF(ISBLANK(Table1[[#This Row],[SizeOption]]),"NOT AVAILABLE",Table1[[#This Row],[SizeOption]])</f>
        <v>S, M, L, XL, XXL</v>
      </c>
      <c r="Y4539" t="str">
        <f>IF(Table2[[#This Row],[Column1]]&gt;50%,"HIGH DISCOUNT","LOW DISCOUNT")</f>
        <v>HIGH DISCOUNT</v>
      </c>
    </row>
    <row r="4540" spans="1:25" x14ac:dyDescent="0.25">
      <c r="A4540" s="1" t="s">
        <v>9272</v>
      </c>
      <c r="B4540" s="1">
        <v>8756547</v>
      </c>
      <c r="C4540" s="1" t="s">
        <v>591</v>
      </c>
      <c r="D4540" s="1" t="s">
        <v>76</v>
      </c>
      <c r="E4540" s="1" t="s">
        <v>592</v>
      </c>
      <c r="F4540" s="1" t="s">
        <v>36</v>
      </c>
      <c r="G4540" s="1" t="s">
        <v>9273</v>
      </c>
      <c r="I4540" s="1">
        <v>599</v>
      </c>
      <c r="J4540" s="1"/>
      <c r="K4540" s="1" t="s">
        <v>26</v>
      </c>
      <c r="L4540" s="1">
        <v>4.5</v>
      </c>
      <c r="M4540" s="1">
        <v>493</v>
      </c>
      <c r="P4540" t="str">
        <f t="shared" si="283"/>
        <v/>
      </c>
      <c r="Q4540" s="12" t="str">
        <f t="shared" si="280"/>
        <v/>
      </c>
      <c r="R4540" s="9" t="str">
        <f t="shared" si="281"/>
        <v/>
      </c>
      <c r="S4540" s="9">
        <f>IF(R4540="",AVERAGEIF(Table1[Category],Table1[[#This Row],[Category]],Table2[orignal data]),Table2[[#This Row],[orignal data]])</f>
        <v>1045.2418648648661</v>
      </c>
      <c r="T4540" t="str">
        <f t="shared" si="282"/>
        <v>UNIQUE</v>
      </c>
      <c r="U4540" t="str">
        <f>IF(ISBLANK(Table1[[#This Row],[SizeOption]]),"NOT AVAILABLE",Table1[[#This Row],[SizeOption]])</f>
        <v>S, M, L, XL</v>
      </c>
      <c r="Y4540" t="str">
        <f>IF(Table2[[#This Row],[Column1]]&gt;50%,"HIGH DISCOUNT","LOW DISCOUNT")</f>
        <v>HIGH DISCOUNT</v>
      </c>
    </row>
    <row r="4541" spans="1:25" x14ac:dyDescent="0.25">
      <c r="A4541" s="2" t="s">
        <v>9274</v>
      </c>
      <c r="B4541" s="2">
        <v>7575242</v>
      </c>
      <c r="C4541" s="2" t="s">
        <v>4094</v>
      </c>
      <c r="D4541" s="2" t="s">
        <v>34</v>
      </c>
      <c r="E4541" s="2" t="s">
        <v>118</v>
      </c>
      <c r="F4541" s="2" t="s">
        <v>36</v>
      </c>
      <c r="G4541" s="2" t="s">
        <v>9275</v>
      </c>
      <c r="H4541">
        <v>575</v>
      </c>
      <c r="I4541" s="2">
        <v>899</v>
      </c>
      <c r="J4541" s="2" t="s">
        <v>554</v>
      </c>
      <c r="K4541" s="2" t="s">
        <v>9276</v>
      </c>
      <c r="L4541" s="2">
        <v>3.7</v>
      </c>
      <c r="M4541" s="2">
        <v>493</v>
      </c>
      <c r="P4541" t="str">
        <f t="shared" si="283"/>
        <v>36%</v>
      </c>
      <c r="Q4541" s="12">
        <f t="shared" si="280"/>
        <v>0.36</v>
      </c>
      <c r="R4541" s="9">
        <f t="shared" si="281"/>
        <v>575.36</v>
      </c>
      <c r="S4541" s="9">
        <f>IF(R4541="",AVERAGEIF(Table1[Category],Table1[[#This Row],[Category]],Table2[orignal data]),Table2[[#This Row],[orignal data]])</f>
        <v>575.36</v>
      </c>
      <c r="T4541" t="str">
        <f t="shared" si="282"/>
        <v>UNIQUE</v>
      </c>
      <c r="U4541" t="str">
        <f>IF(ISBLANK(Table1[[#This Row],[SizeOption]]),"NOT AVAILABLE",Table1[[#This Row],[SizeOption]])</f>
        <v>32B, 32C, 34B, 34C, 36B, 36C, 38B, 38C, 40B, 40C</v>
      </c>
      <c r="Y4541" t="str">
        <f>IF(Table2[[#This Row],[Column1]]&gt;50%,"HIGH DISCOUNT","LOW DISCOUNT")</f>
        <v>LOW DISCOUNT</v>
      </c>
    </row>
    <row r="4542" spans="1:25" x14ac:dyDescent="0.25">
      <c r="A4542" s="1" t="s">
        <v>9277</v>
      </c>
      <c r="B4542" s="1">
        <v>10561344</v>
      </c>
      <c r="C4542" s="1" t="s">
        <v>97</v>
      </c>
      <c r="D4542" s="1" t="s">
        <v>98</v>
      </c>
      <c r="E4542" s="1" t="s">
        <v>93</v>
      </c>
      <c r="F4542" s="1" t="s">
        <v>36</v>
      </c>
      <c r="G4542" s="1" t="s">
        <v>9278</v>
      </c>
      <c r="H4542">
        <v>439</v>
      </c>
      <c r="I4542" s="1">
        <v>1099</v>
      </c>
      <c r="J4542" s="1" t="s">
        <v>141</v>
      </c>
      <c r="K4542" s="1" t="s">
        <v>100</v>
      </c>
      <c r="L4542" s="1">
        <v>3.9</v>
      </c>
      <c r="M4542" s="1">
        <v>493</v>
      </c>
      <c r="P4542" t="str">
        <f t="shared" si="283"/>
        <v>60%</v>
      </c>
      <c r="Q4542" s="12">
        <f t="shared" si="280"/>
        <v>0.6</v>
      </c>
      <c r="R4542" s="9">
        <f t="shared" si="281"/>
        <v>439.6</v>
      </c>
      <c r="S4542" s="9">
        <f>IF(R4542="",AVERAGEIF(Table1[Category],Table1[[#This Row],[Category]],Table2[orignal data]),Table2[[#This Row],[orignal data]])</f>
        <v>439.6</v>
      </c>
      <c r="T4542" t="str">
        <f t="shared" si="282"/>
        <v>UNIQUE</v>
      </c>
      <c r="U4542" t="str">
        <f>IF(ISBLANK(Table1[[#This Row],[SizeOption]]),"NOT AVAILABLE",Table1[[#This Row],[SizeOption]])</f>
        <v>XS, S, M, L, XL, XXL, 3XL</v>
      </c>
      <c r="Y4542" t="str">
        <f>IF(Table2[[#This Row],[Column1]]&gt;50%,"HIGH DISCOUNT","LOW DISCOUNT")</f>
        <v>HIGH DISCOUNT</v>
      </c>
    </row>
    <row r="4543" spans="1:25" x14ac:dyDescent="0.25">
      <c r="A4543" s="2" t="s">
        <v>9279</v>
      </c>
      <c r="B4543" s="2">
        <v>7030741</v>
      </c>
      <c r="C4543" s="2" t="s">
        <v>5934</v>
      </c>
      <c r="D4543" s="2" t="s">
        <v>98</v>
      </c>
      <c r="E4543" s="2" t="s">
        <v>48</v>
      </c>
      <c r="F4543" s="2" t="s">
        <v>36</v>
      </c>
      <c r="G4543" s="2" t="s">
        <v>9280</v>
      </c>
      <c r="H4543">
        <v>714</v>
      </c>
      <c r="I4543" s="2">
        <v>1299</v>
      </c>
      <c r="J4543" s="2" t="s">
        <v>19</v>
      </c>
      <c r="K4543" s="2" t="s">
        <v>8829</v>
      </c>
      <c r="L4543" s="2">
        <v>4.3</v>
      </c>
      <c r="M4543" s="2">
        <v>493</v>
      </c>
      <c r="P4543" t="str">
        <f t="shared" si="283"/>
        <v>45%</v>
      </c>
      <c r="Q4543" s="12">
        <f t="shared" si="280"/>
        <v>0.45</v>
      </c>
      <c r="R4543" s="9">
        <f t="shared" si="281"/>
        <v>714.44999999999993</v>
      </c>
      <c r="S4543" s="9">
        <f>IF(R4543="",AVERAGEIF(Table1[Category],Table1[[#This Row],[Category]],Table2[orignal data]),Table2[[#This Row],[orignal data]])</f>
        <v>714.44999999999993</v>
      </c>
      <c r="T4543" t="str">
        <f t="shared" si="282"/>
        <v>UNIQUE</v>
      </c>
      <c r="U4543" t="str">
        <f>IF(ISBLANK(Table1[[#This Row],[SizeOption]]),"NOT AVAILABLE",Table1[[#This Row],[SizeOption]])</f>
        <v>L, XL, XXL, 3XL, 4XL, 5XL, 6XL</v>
      </c>
      <c r="Y4543" t="str">
        <f>IF(Table2[[#This Row],[Column1]]&gt;50%,"HIGH DISCOUNT","LOW DISCOUNT")</f>
        <v>LOW DISCOUNT</v>
      </c>
    </row>
    <row r="4544" spans="1:25" x14ac:dyDescent="0.25">
      <c r="A4544" s="1" t="s">
        <v>9281</v>
      </c>
      <c r="B4544" s="1">
        <v>12374410</v>
      </c>
      <c r="C4544" s="1" t="s">
        <v>841</v>
      </c>
      <c r="D4544" s="1" t="s">
        <v>41</v>
      </c>
      <c r="E4544" s="1" t="s">
        <v>23</v>
      </c>
      <c r="F4544" s="1" t="s">
        <v>36</v>
      </c>
      <c r="G4544" s="1" t="s">
        <v>9282</v>
      </c>
      <c r="I4544" s="1">
        <v>1599</v>
      </c>
      <c r="J4544" s="1" t="s">
        <v>55</v>
      </c>
      <c r="K4544" s="1" t="s">
        <v>26</v>
      </c>
      <c r="L4544" s="1">
        <v>4.2</v>
      </c>
      <c r="M4544" s="1">
        <v>493</v>
      </c>
      <c r="P4544" t="str">
        <f t="shared" si="283"/>
        <v>60%</v>
      </c>
      <c r="Q4544" s="12">
        <f t="shared" si="280"/>
        <v>0.6</v>
      </c>
      <c r="R4544" s="9">
        <f t="shared" si="281"/>
        <v>639.6</v>
      </c>
      <c r="S4544" s="9">
        <f>IF(R4544="",AVERAGEIF(Table1[Category],Table1[[#This Row],[Category]],Table2[orignal data]),Table2[[#This Row],[orignal data]])</f>
        <v>639.6</v>
      </c>
      <c r="T4544" t="str">
        <f t="shared" si="282"/>
        <v>UNIQUE</v>
      </c>
      <c r="U4544" t="str">
        <f>IF(ISBLANK(Table1[[#This Row],[SizeOption]]),"NOT AVAILABLE",Table1[[#This Row],[SizeOption]])</f>
        <v>S, M, L, XL</v>
      </c>
      <c r="Y4544" t="str">
        <f>IF(Table2[[#This Row],[Column1]]&gt;50%,"HIGH DISCOUNT","LOW DISCOUNT")</f>
        <v>HIGH DISCOUNT</v>
      </c>
    </row>
    <row r="4545" spans="1:25" x14ac:dyDescent="0.25">
      <c r="A4545" s="2" t="s">
        <v>9283</v>
      </c>
      <c r="B4545" s="2">
        <v>11550408</v>
      </c>
      <c r="C4545" s="2" t="s">
        <v>573</v>
      </c>
      <c r="D4545" s="2" t="s">
        <v>41</v>
      </c>
      <c r="E4545" s="2" t="s">
        <v>48</v>
      </c>
      <c r="F4545" s="2" t="s">
        <v>36</v>
      </c>
      <c r="G4545" s="2" t="s">
        <v>9284</v>
      </c>
      <c r="I4545" s="2">
        <v>1599</v>
      </c>
      <c r="J4545" s="2" t="s">
        <v>1204</v>
      </c>
      <c r="K4545" s="2" t="s">
        <v>45</v>
      </c>
      <c r="L4545" s="2">
        <v>4.2</v>
      </c>
      <c r="M4545" s="2">
        <v>493</v>
      </c>
      <c r="P4545" t="str">
        <f t="shared" si="283"/>
        <v>56%</v>
      </c>
      <c r="Q4545" s="12">
        <f t="shared" si="280"/>
        <v>0.56000000000000005</v>
      </c>
      <c r="R4545" s="9">
        <f t="shared" si="281"/>
        <v>703.56</v>
      </c>
      <c r="S4545" s="9">
        <f>IF(R4545="",AVERAGEIF(Table1[Category],Table1[[#This Row],[Category]],Table2[orignal data]),Table2[[#This Row],[orignal data]])</f>
        <v>703.56</v>
      </c>
      <c r="T4545" t="str">
        <f t="shared" si="282"/>
        <v>UNIQUE</v>
      </c>
      <c r="U4545" t="str">
        <f>IF(ISBLANK(Table1[[#This Row],[SizeOption]]),"NOT AVAILABLE",Table1[[#This Row],[SizeOption]])</f>
        <v>XS, S, M, L, XL</v>
      </c>
      <c r="Y4545" t="str">
        <f>IF(Table2[[#This Row],[Column1]]&gt;50%,"HIGH DISCOUNT","LOW DISCOUNT")</f>
        <v>HIGH DISCOUNT</v>
      </c>
    </row>
    <row r="4546" spans="1:25" x14ac:dyDescent="0.25">
      <c r="A4546" s="1" t="s">
        <v>9285</v>
      </c>
      <c r="B4546" s="1">
        <v>14327572</v>
      </c>
      <c r="C4546" s="1" t="s">
        <v>887</v>
      </c>
      <c r="D4546" s="1" t="s">
        <v>41</v>
      </c>
      <c r="E4546" s="1" t="s">
        <v>148</v>
      </c>
      <c r="F4546" s="1" t="s">
        <v>36</v>
      </c>
      <c r="G4546" s="1" t="s">
        <v>9286</v>
      </c>
      <c r="I4546" s="1">
        <v>1899</v>
      </c>
      <c r="J4546" s="1" t="s">
        <v>130</v>
      </c>
      <c r="K4546" s="1" t="s">
        <v>26</v>
      </c>
      <c r="L4546" s="1">
        <v>4</v>
      </c>
      <c r="M4546" s="1">
        <v>493</v>
      </c>
      <c r="P4546" t="str">
        <f t="shared" si="283"/>
        <v>57%</v>
      </c>
      <c r="Q4546" s="12">
        <f t="shared" ref="Q4546:Q4609" si="284">IF(P4546="","",IF(ISNUMBER(SEARCH("%",P4546)),P4546,P4546/I4546)*100%)</f>
        <v>0.56999999999999995</v>
      </c>
      <c r="R4546" s="9">
        <f t="shared" ref="R4546:R4609" si="285">IF(P4546="","",I4546-(I4546*Q4546))</f>
        <v>816.57000000000016</v>
      </c>
      <c r="S4546" s="9">
        <f>IF(R4546="",AVERAGEIF(Table1[Category],Table1[[#This Row],[Category]],Table2[orignal data]),Table2[[#This Row],[orignal data]])</f>
        <v>816.57000000000016</v>
      </c>
      <c r="T4546" t="str">
        <f t="shared" ref="T4546:T4609" si="286">IF(COUNTIF($B$2:$B$5000,B4546)&gt;1,"DUPLICATE","UNIQUE")</f>
        <v>UNIQUE</v>
      </c>
      <c r="U4546" t="str">
        <f>IF(ISBLANK(Table1[[#This Row],[SizeOption]]),"NOT AVAILABLE",Table1[[#This Row],[SizeOption]])</f>
        <v>S, M, L, XL</v>
      </c>
      <c r="Y4546" t="str">
        <f>IF(Table2[[#This Row],[Column1]]&gt;50%,"HIGH DISCOUNT","LOW DISCOUNT")</f>
        <v>HIGH DISCOUNT</v>
      </c>
    </row>
    <row r="4547" spans="1:25" x14ac:dyDescent="0.25">
      <c r="A4547" s="2" t="s">
        <v>9287</v>
      </c>
      <c r="B4547" s="2">
        <v>2337100</v>
      </c>
      <c r="C4547" s="2" t="s">
        <v>225</v>
      </c>
      <c r="D4547" s="2" t="s">
        <v>41</v>
      </c>
      <c r="E4547" s="2" t="s">
        <v>148</v>
      </c>
      <c r="F4547" s="2" t="s">
        <v>36</v>
      </c>
      <c r="G4547" s="2" t="s">
        <v>9288</v>
      </c>
      <c r="I4547" s="2">
        <v>2599</v>
      </c>
      <c r="J4547" s="2" t="s">
        <v>403</v>
      </c>
      <c r="K4547" s="2" t="s">
        <v>26</v>
      </c>
      <c r="L4547" s="2">
        <v>4.0999999999999996</v>
      </c>
      <c r="M4547" s="2">
        <v>493</v>
      </c>
      <c r="P4547" t="str">
        <f t="shared" ref="P4547:P4610" si="287">TRIM(SUBSTITUTE(SUBSTITUTE(SUBSTITUTE(SUBSTITUTE(J4547,"OFF",""),"Rs.",""),"Hurry*",""),",",""))</f>
        <v>66%</v>
      </c>
      <c r="Q4547" s="12">
        <f t="shared" si="284"/>
        <v>0.66</v>
      </c>
      <c r="R4547" s="9">
        <f t="shared" si="285"/>
        <v>883.65999999999985</v>
      </c>
      <c r="S4547" s="9">
        <f>IF(R4547="",AVERAGEIF(Table1[Category],Table1[[#This Row],[Category]],Table2[orignal data]),Table2[[#This Row],[orignal data]])</f>
        <v>883.65999999999985</v>
      </c>
      <c r="T4547" t="str">
        <f t="shared" si="286"/>
        <v>UNIQUE</v>
      </c>
      <c r="U4547" t="str">
        <f>IF(ISBLANK(Table1[[#This Row],[SizeOption]]),"NOT AVAILABLE",Table1[[#This Row],[SizeOption]])</f>
        <v>S, M, L, XL</v>
      </c>
      <c r="Y4547" t="str">
        <f>IF(Table2[[#This Row],[Column1]]&gt;50%,"HIGH DISCOUNT","LOW DISCOUNT")</f>
        <v>HIGH DISCOUNT</v>
      </c>
    </row>
    <row r="4548" spans="1:25" x14ac:dyDescent="0.25">
      <c r="A4548" s="1" t="s">
        <v>9289</v>
      </c>
      <c r="B4548" s="1">
        <v>14695606</v>
      </c>
      <c r="C4548" s="1" t="s">
        <v>102</v>
      </c>
      <c r="D4548" s="1" t="s">
        <v>41</v>
      </c>
      <c r="E4548" s="1" t="s">
        <v>137</v>
      </c>
      <c r="F4548" s="1" t="s">
        <v>36</v>
      </c>
      <c r="G4548" s="1" t="s">
        <v>9290</v>
      </c>
      <c r="I4548" s="1">
        <v>699</v>
      </c>
      <c r="J4548" s="1" t="s">
        <v>89</v>
      </c>
      <c r="K4548" s="1" t="s">
        <v>1252</v>
      </c>
      <c r="L4548" s="1">
        <v>4.5</v>
      </c>
      <c r="M4548" s="1">
        <v>493</v>
      </c>
      <c r="P4548" t="str">
        <f t="shared" si="287"/>
        <v>53%</v>
      </c>
      <c r="Q4548" s="12">
        <f t="shared" si="284"/>
        <v>0.53</v>
      </c>
      <c r="R4548" s="9">
        <f t="shared" si="285"/>
        <v>328.53</v>
      </c>
      <c r="S4548" s="9">
        <f>IF(R4548="",AVERAGEIF(Table1[Category],Table1[[#This Row],[Category]],Table2[orignal data]),Table2[[#This Row],[orignal data]])</f>
        <v>328.53</v>
      </c>
      <c r="T4548" t="str">
        <f t="shared" si="286"/>
        <v>UNIQUE</v>
      </c>
      <c r="U4548" t="str">
        <f>IF(ISBLANK(Table1[[#This Row],[SizeOption]]),"NOT AVAILABLE",Table1[[#This Row],[SizeOption]])</f>
        <v>26, 28, 30, 32</v>
      </c>
      <c r="Y4548" t="str">
        <f>IF(Table2[[#This Row],[Column1]]&gt;50%,"HIGH DISCOUNT","LOW DISCOUNT")</f>
        <v>HIGH DISCOUNT</v>
      </c>
    </row>
    <row r="4549" spans="1:25" x14ac:dyDescent="0.25">
      <c r="A4549" s="2" t="s">
        <v>9291</v>
      </c>
      <c r="B4549" s="2">
        <v>7140526</v>
      </c>
      <c r="C4549" s="2" t="s">
        <v>47</v>
      </c>
      <c r="D4549" s="2" t="s">
        <v>41</v>
      </c>
      <c r="E4549" s="2" t="s">
        <v>42</v>
      </c>
      <c r="F4549" s="2" t="s">
        <v>36</v>
      </c>
      <c r="G4549" s="2" t="s">
        <v>1337</v>
      </c>
      <c r="I4549" s="2">
        <v>799</v>
      </c>
      <c r="J4549" s="2" t="s">
        <v>680</v>
      </c>
      <c r="K4549" s="2" t="s">
        <v>45</v>
      </c>
      <c r="L4549" s="2">
        <v>4</v>
      </c>
      <c r="M4549" s="2">
        <v>493</v>
      </c>
      <c r="P4549" t="str">
        <f t="shared" si="287"/>
        <v>300</v>
      </c>
      <c r="Q4549" s="12">
        <f t="shared" si="284"/>
        <v>0.37546933667083854</v>
      </c>
      <c r="R4549" s="9">
        <f t="shared" si="285"/>
        <v>499</v>
      </c>
      <c r="S4549" s="9">
        <f>IF(R4549="",AVERAGEIF(Table1[Category],Table1[[#This Row],[Category]],Table2[orignal data]),Table2[[#This Row],[orignal data]])</f>
        <v>499</v>
      </c>
      <c r="T4549" t="str">
        <f t="shared" si="286"/>
        <v>UNIQUE</v>
      </c>
      <c r="U4549" t="str">
        <f>IF(ISBLANK(Table1[[#This Row],[SizeOption]]),"NOT AVAILABLE",Table1[[#This Row],[SizeOption]])</f>
        <v>XS, S, M, L, XL</v>
      </c>
      <c r="Y4549" t="str">
        <f>IF(Table2[[#This Row],[Column1]]&gt;50%,"HIGH DISCOUNT","LOW DISCOUNT")</f>
        <v>LOW DISCOUNT</v>
      </c>
    </row>
    <row r="4550" spans="1:25" x14ac:dyDescent="0.25">
      <c r="A4550" s="1" t="s">
        <v>9292</v>
      </c>
      <c r="B4550" s="1">
        <v>2353142</v>
      </c>
      <c r="C4550" s="1" t="s">
        <v>14</v>
      </c>
      <c r="D4550" s="1" t="s">
        <v>41</v>
      </c>
      <c r="E4550" s="1" t="s">
        <v>42</v>
      </c>
      <c r="F4550" s="1" t="s">
        <v>36</v>
      </c>
      <c r="G4550" s="1" t="s">
        <v>2359</v>
      </c>
      <c r="I4550" s="1">
        <v>999</v>
      </c>
      <c r="J4550" s="1" t="s">
        <v>55</v>
      </c>
      <c r="K4550" s="1" t="s">
        <v>45</v>
      </c>
      <c r="L4550" s="1">
        <v>4.2</v>
      </c>
      <c r="M4550" s="1">
        <v>493</v>
      </c>
      <c r="P4550" t="str">
        <f t="shared" si="287"/>
        <v>60%</v>
      </c>
      <c r="Q4550" s="12">
        <f t="shared" si="284"/>
        <v>0.6</v>
      </c>
      <c r="R4550" s="9">
        <f t="shared" si="285"/>
        <v>399.6</v>
      </c>
      <c r="S4550" s="9">
        <f>IF(R4550="",AVERAGEIF(Table1[Category],Table1[[#This Row],[Category]],Table2[orignal data]),Table2[[#This Row],[orignal data]])</f>
        <v>399.6</v>
      </c>
      <c r="T4550" t="str">
        <f t="shared" si="286"/>
        <v>UNIQUE</v>
      </c>
      <c r="U4550" t="str">
        <f>IF(ISBLANK(Table1[[#This Row],[SizeOption]]),"NOT AVAILABLE",Table1[[#This Row],[SizeOption]])</f>
        <v>XS, S, M, L, XL</v>
      </c>
      <c r="Y4550" t="str">
        <f>IF(Table2[[#This Row],[Column1]]&gt;50%,"HIGH DISCOUNT","LOW DISCOUNT")</f>
        <v>HIGH DISCOUNT</v>
      </c>
    </row>
    <row r="4551" spans="1:25" x14ac:dyDescent="0.25">
      <c r="A4551" s="2" t="s">
        <v>9293</v>
      </c>
      <c r="B4551" s="2">
        <v>12404238</v>
      </c>
      <c r="C4551" s="2" t="s">
        <v>67</v>
      </c>
      <c r="D4551" s="2" t="s">
        <v>15</v>
      </c>
      <c r="E4551" s="2" t="s">
        <v>23</v>
      </c>
      <c r="F4551" s="2" t="s">
        <v>17</v>
      </c>
      <c r="G4551" s="2" t="s">
        <v>9294</v>
      </c>
      <c r="I4551" s="2">
        <v>1899</v>
      </c>
      <c r="J4551" s="2"/>
      <c r="K4551" s="2" t="s">
        <v>39</v>
      </c>
      <c r="L4551" s="2">
        <v>3.9</v>
      </c>
      <c r="M4551" s="2">
        <v>492</v>
      </c>
      <c r="P4551" t="str">
        <f t="shared" si="287"/>
        <v/>
      </c>
      <c r="Q4551" s="12" t="str">
        <f t="shared" si="284"/>
        <v/>
      </c>
      <c r="R4551" s="9" t="str">
        <f t="shared" si="285"/>
        <v/>
      </c>
      <c r="S4551" s="9">
        <f>IF(R4551="",AVERAGEIF(Table1[Category],Table1[[#This Row],[Category]],Table2[orignal data]),Table2[[#This Row],[orignal data]])</f>
        <v>892.27590339892538</v>
      </c>
      <c r="T4551" t="str">
        <f t="shared" si="286"/>
        <v>UNIQUE</v>
      </c>
      <c r="U4551" t="str">
        <f>IF(ISBLANK(Table1[[#This Row],[SizeOption]]),"NOT AVAILABLE",Table1[[#This Row],[SizeOption]])</f>
        <v>S, M, L, XL, XXL</v>
      </c>
      <c r="Y4551" t="str">
        <f>IF(Table2[[#This Row],[Column1]]&gt;50%,"HIGH DISCOUNT","LOW DISCOUNT")</f>
        <v>HIGH DISCOUNT</v>
      </c>
    </row>
    <row r="4552" spans="1:25" x14ac:dyDescent="0.25">
      <c r="A4552" s="1" t="s">
        <v>9295</v>
      </c>
      <c r="B4552" s="1">
        <v>11359016</v>
      </c>
      <c r="C4552" s="1" t="s">
        <v>169</v>
      </c>
      <c r="D4552" s="1" t="s">
        <v>15</v>
      </c>
      <c r="E4552" s="1" t="s">
        <v>16</v>
      </c>
      <c r="F4552" s="1" t="s">
        <v>17</v>
      </c>
      <c r="G4552" s="1" t="s">
        <v>8637</v>
      </c>
      <c r="H4552">
        <v>1619</v>
      </c>
      <c r="I4552" s="1">
        <v>2699</v>
      </c>
      <c r="J4552" s="1" t="s">
        <v>50</v>
      </c>
      <c r="K4552" s="1" t="s">
        <v>171</v>
      </c>
      <c r="L4552" s="1">
        <v>4</v>
      </c>
      <c r="M4552" s="1">
        <v>492</v>
      </c>
      <c r="P4552" t="str">
        <f t="shared" si="287"/>
        <v>40%</v>
      </c>
      <c r="Q4552" s="12">
        <f t="shared" si="284"/>
        <v>0.4</v>
      </c>
      <c r="R4552" s="9">
        <f t="shared" si="285"/>
        <v>1619.3999999999999</v>
      </c>
      <c r="S4552" s="9">
        <f>IF(R4552="",AVERAGEIF(Table1[Category],Table1[[#This Row],[Category]],Table2[orignal data]),Table2[[#This Row],[orignal data]])</f>
        <v>1619.3999999999999</v>
      </c>
      <c r="T4552" t="str">
        <f t="shared" si="286"/>
        <v>UNIQUE</v>
      </c>
      <c r="U4552" t="str">
        <f>IF(ISBLANK(Table1[[#This Row],[SizeOption]]),"NOT AVAILABLE",Table1[[#This Row],[SizeOption]])</f>
        <v>28, 30, 32, 34, 36, 38</v>
      </c>
      <c r="Y4552" t="str">
        <f>IF(Table2[[#This Row],[Column1]]&gt;50%,"HIGH DISCOUNT","LOW DISCOUNT")</f>
        <v>LOW DISCOUNT</v>
      </c>
    </row>
    <row r="4553" spans="1:25" x14ac:dyDescent="0.25">
      <c r="A4553" s="2" t="s">
        <v>9296</v>
      </c>
      <c r="B4553" s="2">
        <v>11109652</v>
      </c>
      <c r="C4553" s="2" t="s">
        <v>841</v>
      </c>
      <c r="D4553" s="2" t="s">
        <v>15</v>
      </c>
      <c r="E4553" s="2" t="s">
        <v>23</v>
      </c>
      <c r="F4553" s="2" t="s">
        <v>17</v>
      </c>
      <c r="G4553" s="2" t="s">
        <v>9297</v>
      </c>
      <c r="H4553">
        <v>629</v>
      </c>
      <c r="I4553" s="2">
        <v>1399</v>
      </c>
      <c r="J4553" s="2" t="s">
        <v>25</v>
      </c>
      <c r="K4553" s="2" t="s">
        <v>39</v>
      </c>
      <c r="L4553" s="2">
        <v>4</v>
      </c>
      <c r="M4553" s="2">
        <v>492</v>
      </c>
      <c r="P4553" t="str">
        <f t="shared" si="287"/>
        <v>55%</v>
      </c>
      <c r="Q4553" s="12">
        <f t="shared" si="284"/>
        <v>0.55000000000000004</v>
      </c>
      <c r="R4553" s="9">
        <f t="shared" si="285"/>
        <v>629.54999999999995</v>
      </c>
      <c r="S4553" s="9">
        <f>IF(R4553="",AVERAGEIF(Table1[Category],Table1[[#This Row],[Category]],Table2[orignal data]),Table2[[#This Row],[orignal data]])</f>
        <v>629.54999999999995</v>
      </c>
      <c r="T4553" t="str">
        <f t="shared" si="286"/>
        <v>UNIQUE</v>
      </c>
      <c r="U4553" t="str">
        <f>IF(ISBLANK(Table1[[#This Row],[SizeOption]]),"NOT AVAILABLE",Table1[[#This Row],[SizeOption]])</f>
        <v>S, M, L, XL, XXL</v>
      </c>
      <c r="Y4553" t="str">
        <f>IF(Table2[[#This Row],[Column1]]&gt;50%,"HIGH DISCOUNT","LOW DISCOUNT")</f>
        <v>HIGH DISCOUNT</v>
      </c>
    </row>
    <row r="4554" spans="1:25" x14ac:dyDescent="0.25">
      <c r="A4554" s="1" t="s">
        <v>9298</v>
      </c>
      <c r="B4554" s="1">
        <v>1422480</v>
      </c>
      <c r="C4554" s="1" t="s">
        <v>47</v>
      </c>
      <c r="D4554" s="1" t="s">
        <v>197</v>
      </c>
      <c r="E4554" s="1" t="s">
        <v>198</v>
      </c>
      <c r="F4554" s="1" t="s">
        <v>17</v>
      </c>
      <c r="G4554" s="1" t="s">
        <v>9299</v>
      </c>
      <c r="H4554">
        <v>224</v>
      </c>
      <c r="I4554" s="1">
        <v>299</v>
      </c>
      <c r="J4554" s="1" t="s">
        <v>282</v>
      </c>
      <c r="K4554" s="1" t="s">
        <v>164</v>
      </c>
      <c r="L4554" s="1">
        <v>4.3</v>
      </c>
      <c r="M4554" s="1">
        <v>492</v>
      </c>
      <c r="P4554" t="str">
        <f t="shared" si="287"/>
        <v>25%</v>
      </c>
      <c r="Q4554" s="12">
        <f t="shared" si="284"/>
        <v>0.25</v>
      </c>
      <c r="R4554" s="9">
        <f t="shared" si="285"/>
        <v>224.25</v>
      </c>
      <c r="S4554" s="9">
        <f>IF(R4554="",AVERAGEIF(Table1[Category],Table1[[#This Row],[Category]],Table2[orignal data]),Table2[[#This Row],[orignal data]])</f>
        <v>224.25</v>
      </c>
      <c r="T4554" t="str">
        <f t="shared" si="286"/>
        <v>UNIQUE</v>
      </c>
      <c r="U4554" t="str">
        <f>IF(ISBLANK(Table1[[#This Row],[SizeOption]]),"NOT AVAILABLE",Table1[[#This Row],[SizeOption]])</f>
        <v>Onesize</v>
      </c>
      <c r="Y4554" t="str">
        <f>IF(Table2[[#This Row],[Column1]]&gt;50%,"HIGH DISCOUNT","LOW DISCOUNT")</f>
        <v>LOW DISCOUNT</v>
      </c>
    </row>
    <row r="4555" spans="1:25" x14ac:dyDescent="0.25">
      <c r="A4555" s="2" t="s">
        <v>9300</v>
      </c>
      <c r="B4555" s="2">
        <v>10398419</v>
      </c>
      <c r="C4555" s="2" t="s">
        <v>14</v>
      </c>
      <c r="D4555" s="2" t="s">
        <v>28</v>
      </c>
      <c r="E4555" s="2" t="s">
        <v>29</v>
      </c>
      <c r="F4555" s="2" t="s">
        <v>17</v>
      </c>
      <c r="G4555" s="2" t="s">
        <v>9301</v>
      </c>
      <c r="H4555">
        <v>674</v>
      </c>
      <c r="I4555" s="2">
        <v>1499</v>
      </c>
      <c r="J4555" s="2" t="s">
        <v>25</v>
      </c>
      <c r="K4555" s="2" t="s">
        <v>253</v>
      </c>
      <c r="L4555" s="2">
        <v>4.4000000000000004</v>
      </c>
      <c r="M4555" s="2">
        <v>492</v>
      </c>
      <c r="P4555" t="str">
        <f t="shared" si="287"/>
        <v>55%</v>
      </c>
      <c r="Q4555" s="12">
        <f t="shared" si="284"/>
        <v>0.55000000000000004</v>
      </c>
      <c r="R4555" s="9">
        <f t="shared" si="285"/>
        <v>674.55</v>
      </c>
      <c r="S4555" s="9">
        <f>IF(R4555="",AVERAGEIF(Table1[Category],Table1[[#This Row],[Category]],Table2[orignal data]),Table2[[#This Row],[orignal data]])</f>
        <v>674.55</v>
      </c>
      <c r="T4555" t="str">
        <f t="shared" si="286"/>
        <v>UNIQUE</v>
      </c>
      <c r="U4555" t="str">
        <f>IF(ISBLANK(Table1[[#This Row],[SizeOption]]),"NOT AVAILABLE",Table1[[#This Row],[SizeOption]])</f>
        <v>38, 40, 42, 44</v>
      </c>
      <c r="Y4555" t="str">
        <f>IF(Table2[[#This Row],[Column1]]&gt;50%,"HIGH DISCOUNT","LOW DISCOUNT")</f>
        <v>HIGH DISCOUNT</v>
      </c>
    </row>
    <row r="4556" spans="1:25" x14ac:dyDescent="0.25">
      <c r="A4556" s="1" t="s">
        <v>9302</v>
      </c>
      <c r="B4556" s="1">
        <v>9869597</v>
      </c>
      <c r="C4556" s="1" t="s">
        <v>47</v>
      </c>
      <c r="D4556" s="1" t="s">
        <v>28</v>
      </c>
      <c r="E4556" s="1" t="s">
        <v>29</v>
      </c>
      <c r="F4556" s="1" t="s">
        <v>17</v>
      </c>
      <c r="G4556" s="1" t="s">
        <v>9303</v>
      </c>
      <c r="H4556">
        <v>879</v>
      </c>
      <c r="I4556" s="1">
        <v>2199</v>
      </c>
      <c r="J4556" s="1" t="s">
        <v>55</v>
      </c>
      <c r="K4556" s="1" t="s">
        <v>253</v>
      </c>
      <c r="L4556" s="1">
        <v>4</v>
      </c>
      <c r="M4556" s="1">
        <v>492</v>
      </c>
      <c r="P4556" t="str">
        <f t="shared" si="287"/>
        <v>60%</v>
      </c>
      <c r="Q4556" s="12">
        <f t="shared" si="284"/>
        <v>0.6</v>
      </c>
      <c r="R4556" s="9">
        <f t="shared" si="285"/>
        <v>879.60000000000014</v>
      </c>
      <c r="S4556" s="9">
        <f>IF(R4556="",AVERAGEIF(Table1[Category],Table1[[#This Row],[Category]],Table2[orignal data]),Table2[[#This Row],[orignal data]])</f>
        <v>879.60000000000014</v>
      </c>
      <c r="T4556" t="str">
        <f t="shared" si="286"/>
        <v>UNIQUE</v>
      </c>
      <c r="U4556" t="str">
        <f>IF(ISBLANK(Table1[[#This Row],[SizeOption]]),"NOT AVAILABLE",Table1[[#This Row],[SizeOption]])</f>
        <v>38, 40, 42, 44</v>
      </c>
      <c r="Y4556" t="str">
        <f>IF(Table2[[#This Row],[Column1]]&gt;50%,"HIGH DISCOUNT","LOW DISCOUNT")</f>
        <v>HIGH DISCOUNT</v>
      </c>
    </row>
    <row r="4557" spans="1:25" x14ac:dyDescent="0.25">
      <c r="A4557" s="2" t="s">
        <v>9304</v>
      </c>
      <c r="B4557" s="2">
        <v>11905786</v>
      </c>
      <c r="C4557" s="2" t="s">
        <v>1013</v>
      </c>
      <c r="D4557" s="2" t="s">
        <v>76</v>
      </c>
      <c r="E4557" s="2" t="s">
        <v>77</v>
      </c>
      <c r="F4557" s="2" t="s">
        <v>36</v>
      </c>
      <c r="G4557" s="2" t="s">
        <v>9305</v>
      </c>
      <c r="H4557">
        <v>1374</v>
      </c>
      <c r="I4557" s="2">
        <v>2499</v>
      </c>
      <c r="J4557" s="2" t="s">
        <v>19</v>
      </c>
      <c r="K4557" s="2" t="s">
        <v>115</v>
      </c>
      <c r="L4557" s="2">
        <v>4.4000000000000004</v>
      </c>
      <c r="M4557" s="2">
        <v>492</v>
      </c>
      <c r="P4557" t="str">
        <f t="shared" si="287"/>
        <v>45%</v>
      </c>
      <c r="Q4557" s="12">
        <f t="shared" si="284"/>
        <v>0.45</v>
      </c>
      <c r="R4557" s="9">
        <f t="shared" si="285"/>
        <v>1374.45</v>
      </c>
      <c r="S4557" s="9">
        <f>IF(R4557="",AVERAGEIF(Table1[Category],Table1[[#This Row],[Category]],Table2[orignal data]),Table2[[#This Row],[orignal data]])</f>
        <v>1374.45</v>
      </c>
      <c r="T4557" t="str">
        <f t="shared" si="286"/>
        <v>UNIQUE</v>
      </c>
      <c r="U4557" t="str">
        <f>IF(ISBLANK(Table1[[#This Row],[SizeOption]]),"NOT AVAILABLE",Table1[[#This Row],[SizeOption]])</f>
        <v>XS, S, M, L, XL, XXL</v>
      </c>
      <c r="Y4557" t="str">
        <f>IF(Table2[[#This Row],[Column1]]&gt;50%,"HIGH DISCOUNT","LOW DISCOUNT")</f>
        <v>LOW DISCOUNT</v>
      </c>
    </row>
    <row r="4558" spans="1:25" x14ac:dyDescent="0.25">
      <c r="A4558" s="1" t="s">
        <v>9306</v>
      </c>
      <c r="B4558" s="1">
        <v>14323728</v>
      </c>
      <c r="C4558" s="1" t="s">
        <v>1013</v>
      </c>
      <c r="D4558" s="1" t="s">
        <v>76</v>
      </c>
      <c r="E4558" s="1" t="s">
        <v>77</v>
      </c>
      <c r="F4558" s="1" t="s">
        <v>36</v>
      </c>
      <c r="G4558" s="1" t="s">
        <v>9307</v>
      </c>
      <c r="H4558">
        <v>1279</v>
      </c>
      <c r="I4558" s="1">
        <v>3999</v>
      </c>
      <c r="J4558" s="1" t="s">
        <v>839</v>
      </c>
      <c r="K4558" s="1" t="s">
        <v>115</v>
      </c>
      <c r="L4558" s="1">
        <v>4.4000000000000004</v>
      </c>
      <c r="M4558" s="1">
        <v>492</v>
      </c>
      <c r="P4558" t="str">
        <f t="shared" si="287"/>
        <v>68%</v>
      </c>
      <c r="Q4558" s="12">
        <f t="shared" si="284"/>
        <v>0.68</v>
      </c>
      <c r="R4558" s="9">
        <f t="shared" si="285"/>
        <v>1279.6799999999998</v>
      </c>
      <c r="S4558" s="9">
        <f>IF(R4558="",AVERAGEIF(Table1[Category],Table1[[#This Row],[Category]],Table2[orignal data]),Table2[[#This Row],[orignal data]])</f>
        <v>1279.6799999999998</v>
      </c>
      <c r="T4558" t="str">
        <f t="shared" si="286"/>
        <v>UNIQUE</v>
      </c>
      <c r="U4558" t="str">
        <f>IF(ISBLANK(Table1[[#This Row],[SizeOption]]),"NOT AVAILABLE",Table1[[#This Row],[SizeOption]])</f>
        <v>XS, S, M, L, XL, XXL</v>
      </c>
      <c r="Y4558" t="str">
        <f>IF(Table2[[#This Row],[Column1]]&gt;50%,"HIGH DISCOUNT","LOW DISCOUNT")</f>
        <v>HIGH DISCOUNT</v>
      </c>
    </row>
    <row r="4559" spans="1:25" x14ac:dyDescent="0.25">
      <c r="A4559" s="2" t="s">
        <v>9308</v>
      </c>
      <c r="B4559" s="2">
        <v>9791069</v>
      </c>
      <c r="C4559" s="2" t="s">
        <v>9309</v>
      </c>
      <c r="D4559" s="2" t="s">
        <v>34</v>
      </c>
      <c r="E4559" s="2" t="s">
        <v>118</v>
      </c>
      <c r="F4559" s="2" t="s">
        <v>36</v>
      </c>
      <c r="G4559" s="2" t="s">
        <v>9310</v>
      </c>
      <c r="H4559">
        <v>1197</v>
      </c>
      <c r="I4559" s="2">
        <v>1995</v>
      </c>
      <c r="J4559" s="2" t="s">
        <v>50</v>
      </c>
      <c r="K4559" s="2" t="s">
        <v>9311</v>
      </c>
      <c r="L4559" s="2">
        <v>4.4000000000000004</v>
      </c>
      <c r="M4559" s="2">
        <v>492</v>
      </c>
      <c r="P4559" t="str">
        <f t="shared" si="287"/>
        <v>40%</v>
      </c>
      <c r="Q4559" s="12">
        <f t="shared" si="284"/>
        <v>0.4</v>
      </c>
      <c r="R4559" s="9">
        <f t="shared" si="285"/>
        <v>1197</v>
      </c>
      <c r="S4559" s="9">
        <f>IF(R4559="",AVERAGEIF(Table1[Category],Table1[[#This Row],[Category]],Table2[orignal data]),Table2[[#This Row],[orignal data]])</f>
        <v>1197</v>
      </c>
      <c r="T4559" t="str">
        <f t="shared" si="286"/>
        <v>UNIQUE</v>
      </c>
      <c r="U4559" t="str">
        <f>IF(ISBLANK(Table1[[#This Row],[SizeOption]]),"NOT AVAILABLE",Table1[[#This Row],[SizeOption]])</f>
        <v>32B, 32C, 32D, 34B, 34C, 34D, 34DD, 34E, 36B, 36C, 36D, 36DD, 38B, 38C, 38D</v>
      </c>
      <c r="Y4559" t="str">
        <f>IF(Table2[[#This Row],[Column1]]&gt;50%,"HIGH DISCOUNT","LOW DISCOUNT")</f>
        <v>LOW DISCOUNT</v>
      </c>
    </row>
    <row r="4560" spans="1:25" x14ac:dyDescent="0.25">
      <c r="A4560" s="1" t="s">
        <v>9312</v>
      </c>
      <c r="B4560" s="1">
        <v>10166763</v>
      </c>
      <c r="C4560" s="1" t="s">
        <v>64</v>
      </c>
      <c r="D4560" s="1" t="s">
        <v>98</v>
      </c>
      <c r="E4560" s="1" t="s">
        <v>16</v>
      </c>
      <c r="F4560" s="1" t="s">
        <v>36</v>
      </c>
      <c r="G4560" s="1" t="s">
        <v>9313</v>
      </c>
      <c r="H4560">
        <v>899</v>
      </c>
      <c r="I4560" s="1">
        <v>1999</v>
      </c>
      <c r="J4560" s="1" t="s">
        <v>25</v>
      </c>
      <c r="K4560" s="1" t="s">
        <v>643</v>
      </c>
      <c r="L4560" s="1">
        <v>3.4</v>
      </c>
      <c r="M4560" s="1">
        <v>492</v>
      </c>
      <c r="P4560" t="str">
        <f t="shared" si="287"/>
        <v>55%</v>
      </c>
      <c r="Q4560" s="12">
        <f t="shared" si="284"/>
        <v>0.55000000000000004</v>
      </c>
      <c r="R4560" s="9">
        <f t="shared" si="285"/>
        <v>899.55</v>
      </c>
      <c r="S4560" s="9">
        <f>IF(R4560="",AVERAGEIF(Table1[Category],Table1[[#This Row],[Category]],Table2[orignal data]),Table2[[#This Row],[orignal data]])</f>
        <v>899.55</v>
      </c>
      <c r="T4560" t="str">
        <f t="shared" si="286"/>
        <v>UNIQUE</v>
      </c>
      <c r="U4560" t="str">
        <f>IF(ISBLANK(Table1[[#This Row],[SizeOption]]),"NOT AVAILABLE",Table1[[#This Row],[SizeOption]])</f>
        <v>26, 28, 30, 32, 34, 36, 38, 40</v>
      </c>
      <c r="Y4560" t="str">
        <f>IF(Table2[[#This Row],[Column1]]&gt;50%,"HIGH DISCOUNT","LOW DISCOUNT")</f>
        <v>HIGH DISCOUNT</v>
      </c>
    </row>
    <row r="4561" spans="1:25" x14ac:dyDescent="0.25">
      <c r="A4561" s="2" t="s">
        <v>9314</v>
      </c>
      <c r="B4561" s="2">
        <v>1911757</v>
      </c>
      <c r="C4561" s="2" t="s">
        <v>3685</v>
      </c>
      <c r="D4561" s="2" t="s">
        <v>41</v>
      </c>
      <c r="E4561" s="2" t="s">
        <v>48</v>
      </c>
      <c r="F4561" s="2" t="s">
        <v>36</v>
      </c>
      <c r="G4561" s="2" t="s">
        <v>9315</v>
      </c>
      <c r="I4561" s="2">
        <v>1199</v>
      </c>
      <c r="J4561" s="2" t="s">
        <v>19</v>
      </c>
      <c r="K4561" s="2" t="s">
        <v>26</v>
      </c>
      <c r="L4561" s="2">
        <v>3.7</v>
      </c>
      <c r="M4561" s="2">
        <v>492</v>
      </c>
      <c r="P4561" t="str">
        <f t="shared" si="287"/>
        <v>45%</v>
      </c>
      <c r="Q4561" s="12">
        <f t="shared" si="284"/>
        <v>0.45</v>
      </c>
      <c r="R4561" s="9">
        <f t="shared" si="285"/>
        <v>659.44999999999993</v>
      </c>
      <c r="S4561" s="9">
        <f>IF(R4561="",AVERAGEIF(Table1[Category],Table1[[#This Row],[Category]],Table2[orignal data]),Table2[[#This Row],[orignal data]])</f>
        <v>659.44999999999993</v>
      </c>
      <c r="T4561" t="str">
        <f t="shared" si="286"/>
        <v>UNIQUE</v>
      </c>
      <c r="U4561" t="str">
        <f>IF(ISBLANK(Table1[[#This Row],[SizeOption]]),"NOT AVAILABLE",Table1[[#This Row],[SizeOption]])</f>
        <v>S, M, L, XL</v>
      </c>
      <c r="Y4561" t="str">
        <f>IF(Table2[[#This Row],[Column1]]&gt;50%,"HIGH DISCOUNT","LOW DISCOUNT")</f>
        <v>LOW DISCOUNT</v>
      </c>
    </row>
    <row r="4562" spans="1:25" x14ac:dyDescent="0.25">
      <c r="A4562" s="1" t="s">
        <v>9316</v>
      </c>
      <c r="B4562" s="1">
        <v>12054678</v>
      </c>
      <c r="C4562" s="1" t="s">
        <v>102</v>
      </c>
      <c r="D4562" s="1" t="s">
        <v>41</v>
      </c>
      <c r="E4562" s="1" t="s">
        <v>29</v>
      </c>
      <c r="F4562" s="1" t="s">
        <v>36</v>
      </c>
      <c r="G4562" s="1" t="s">
        <v>9317</v>
      </c>
      <c r="I4562" s="1">
        <v>1399</v>
      </c>
      <c r="J4562" s="1" t="s">
        <v>758</v>
      </c>
      <c r="K4562" s="1" t="s">
        <v>26</v>
      </c>
      <c r="L4562" s="1">
        <v>4.3</v>
      </c>
      <c r="M4562" s="1">
        <v>492</v>
      </c>
      <c r="P4562" t="str">
        <f t="shared" si="287"/>
        <v>47%</v>
      </c>
      <c r="Q4562" s="12">
        <f t="shared" si="284"/>
        <v>0.47</v>
      </c>
      <c r="R4562" s="9">
        <f t="shared" si="285"/>
        <v>741.47</v>
      </c>
      <c r="S4562" s="9">
        <f>IF(R4562="",AVERAGEIF(Table1[Category],Table1[[#This Row],[Category]],Table2[orignal data]),Table2[[#This Row],[orignal data]])</f>
        <v>741.47</v>
      </c>
      <c r="T4562" t="str">
        <f t="shared" si="286"/>
        <v>UNIQUE</v>
      </c>
      <c r="U4562" t="str">
        <f>IF(ISBLANK(Table1[[#This Row],[SizeOption]]),"NOT AVAILABLE",Table1[[#This Row],[SizeOption]])</f>
        <v>S, M, L, XL</v>
      </c>
      <c r="Y4562" t="str">
        <f>IF(Table2[[#This Row],[Column1]]&gt;50%,"HIGH DISCOUNT","LOW DISCOUNT")</f>
        <v>LOW DISCOUNT</v>
      </c>
    </row>
    <row r="4563" spans="1:25" x14ac:dyDescent="0.25">
      <c r="A4563" s="2" t="s">
        <v>9318</v>
      </c>
      <c r="B4563" s="2">
        <v>10051315</v>
      </c>
      <c r="C4563" s="2" t="s">
        <v>102</v>
      </c>
      <c r="D4563" s="2" t="s">
        <v>41</v>
      </c>
      <c r="E4563" s="2" t="s">
        <v>48</v>
      </c>
      <c r="F4563" s="2" t="s">
        <v>36</v>
      </c>
      <c r="G4563" s="2" t="s">
        <v>9319</v>
      </c>
      <c r="I4563" s="2">
        <v>1499</v>
      </c>
      <c r="J4563" s="2" t="s">
        <v>758</v>
      </c>
      <c r="K4563" s="2" t="s">
        <v>26</v>
      </c>
      <c r="L4563" s="2">
        <v>4.3</v>
      </c>
      <c r="M4563" s="2">
        <v>492</v>
      </c>
      <c r="P4563" t="str">
        <f t="shared" si="287"/>
        <v>47%</v>
      </c>
      <c r="Q4563" s="12">
        <f t="shared" si="284"/>
        <v>0.47</v>
      </c>
      <c r="R4563" s="9">
        <f t="shared" si="285"/>
        <v>794.47</v>
      </c>
      <c r="S4563" s="9">
        <f>IF(R4563="",AVERAGEIF(Table1[Category],Table1[[#This Row],[Category]],Table2[orignal data]),Table2[[#This Row],[orignal data]])</f>
        <v>794.47</v>
      </c>
      <c r="T4563" t="str">
        <f t="shared" si="286"/>
        <v>UNIQUE</v>
      </c>
      <c r="U4563" t="str">
        <f>IF(ISBLANK(Table1[[#This Row],[SizeOption]]),"NOT AVAILABLE",Table1[[#This Row],[SizeOption]])</f>
        <v>S, M, L, XL</v>
      </c>
      <c r="Y4563" t="str">
        <f>IF(Table2[[#This Row],[Column1]]&gt;50%,"HIGH DISCOUNT","LOW DISCOUNT")</f>
        <v>LOW DISCOUNT</v>
      </c>
    </row>
    <row r="4564" spans="1:25" x14ac:dyDescent="0.25">
      <c r="A4564" s="1" t="s">
        <v>9320</v>
      </c>
      <c r="B4564" s="1">
        <v>17477802</v>
      </c>
      <c r="C4564" s="1" t="s">
        <v>107</v>
      </c>
      <c r="D4564" s="1" t="s">
        <v>41</v>
      </c>
      <c r="E4564" s="1" t="s">
        <v>42</v>
      </c>
      <c r="F4564" s="1" t="s">
        <v>36</v>
      </c>
      <c r="G4564" s="1" t="s">
        <v>5563</v>
      </c>
      <c r="I4564" s="1">
        <v>1598</v>
      </c>
      <c r="J4564" s="1" t="s">
        <v>55</v>
      </c>
      <c r="K4564" s="1" t="s">
        <v>45</v>
      </c>
      <c r="L4564" s="1">
        <v>4.3</v>
      </c>
      <c r="M4564" s="1">
        <v>492</v>
      </c>
      <c r="P4564" t="str">
        <f t="shared" si="287"/>
        <v>60%</v>
      </c>
      <c r="Q4564" s="12">
        <f t="shared" si="284"/>
        <v>0.6</v>
      </c>
      <c r="R4564" s="9">
        <f t="shared" si="285"/>
        <v>639.20000000000005</v>
      </c>
      <c r="S4564" s="9">
        <f>IF(R4564="",AVERAGEIF(Table1[Category],Table1[[#This Row],[Category]],Table2[orignal data]),Table2[[#This Row],[orignal data]])</f>
        <v>639.20000000000005</v>
      </c>
      <c r="T4564" t="str">
        <f t="shared" si="286"/>
        <v>UNIQUE</v>
      </c>
      <c r="U4564" t="str">
        <f>IF(ISBLANK(Table1[[#This Row],[SizeOption]]),"NOT AVAILABLE",Table1[[#This Row],[SizeOption]])</f>
        <v>XS, S, M, L, XL</v>
      </c>
      <c r="Y4564" t="str">
        <f>IF(Table2[[#This Row],[Column1]]&gt;50%,"HIGH DISCOUNT","LOW DISCOUNT")</f>
        <v>HIGH DISCOUNT</v>
      </c>
    </row>
    <row r="4565" spans="1:25" x14ac:dyDescent="0.25">
      <c r="A4565" s="2" t="s">
        <v>9321</v>
      </c>
      <c r="B4565" s="2">
        <v>6750252</v>
      </c>
      <c r="C4565" s="2" t="s">
        <v>3685</v>
      </c>
      <c r="D4565" s="2" t="s">
        <v>41</v>
      </c>
      <c r="E4565" s="2" t="s">
        <v>818</v>
      </c>
      <c r="F4565" s="2" t="s">
        <v>36</v>
      </c>
      <c r="G4565" s="2" t="s">
        <v>9322</v>
      </c>
      <c r="I4565" s="2">
        <v>1699</v>
      </c>
      <c r="J4565" s="2" t="s">
        <v>758</v>
      </c>
      <c r="K4565" s="2" t="s">
        <v>26</v>
      </c>
      <c r="L4565" s="2">
        <v>4.0999999999999996</v>
      </c>
      <c r="M4565" s="2">
        <v>492</v>
      </c>
      <c r="P4565" t="str">
        <f t="shared" si="287"/>
        <v>47%</v>
      </c>
      <c r="Q4565" s="12">
        <f t="shared" si="284"/>
        <v>0.47</v>
      </c>
      <c r="R4565" s="9">
        <f t="shared" si="285"/>
        <v>900.47</v>
      </c>
      <c r="S4565" s="9">
        <f>IF(R4565="",AVERAGEIF(Table1[Category],Table1[[#This Row],[Category]],Table2[orignal data]),Table2[[#This Row],[orignal data]])</f>
        <v>900.47</v>
      </c>
      <c r="T4565" t="str">
        <f t="shared" si="286"/>
        <v>UNIQUE</v>
      </c>
      <c r="U4565" t="str">
        <f>IF(ISBLANK(Table1[[#This Row],[SizeOption]]),"NOT AVAILABLE",Table1[[#This Row],[SizeOption]])</f>
        <v>S, M, L, XL</v>
      </c>
      <c r="Y4565" t="str">
        <f>IF(Table2[[#This Row],[Column1]]&gt;50%,"HIGH DISCOUNT","LOW DISCOUNT")</f>
        <v>LOW DISCOUNT</v>
      </c>
    </row>
    <row r="4566" spans="1:25" x14ac:dyDescent="0.25">
      <c r="A4566" s="1" t="s">
        <v>9323</v>
      </c>
      <c r="B4566" s="1">
        <v>10365199</v>
      </c>
      <c r="C4566" s="1" t="s">
        <v>107</v>
      </c>
      <c r="D4566" s="1" t="s">
        <v>41</v>
      </c>
      <c r="E4566" s="1" t="s">
        <v>16</v>
      </c>
      <c r="F4566" s="1" t="s">
        <v>36</v>
      </c>
      <c r="G4566" s="1" t="s">
        <v>9324</v>
      </c>
      <c r="I4566" s="1">
        <v>1699</v>
      </c>
      <c r="J4566" s="1" t="s">
        <v>25</v>
      </c>
      <c r="K4566" s="1" t="s">
        <v>134</v>
      </c>
      <c r="L4566" s="1">
        <v>4.2</v>
      </c>
      <c r="M4566" s="1">
        <v>492</v>
      </c>
      <c r="P4566" t="str">
        <f t="shared" si="287"/>
        <v>55%</v>
      </c>
      <c r="Q4566" s="12">
        <f t="shared" si="284"/>
        <v>0.55000000000000004</v>
      </c>
      <c r="R4566" s="9">
        <f t="shared" si="285"/>
        <v>764.55</v>
      </c>
      <c r="S4566" s="9">
        <f>IF(R4566="",AVERAGEIF(Table1[Category],Table1[[#This Row],[Category]],Table2[orignal data]),Table2[[#This Row],[orignal data]])</f>
        <v>764.55</v>
      </c>
      <c r="T4566" t="str">
        <f t="shared" si="286"/>
        <v>UNIQUE</v>
      </c>
      <c r="U4566" t="str">
        <f>IF(ISBLANK(Table1[[#This Row],[SizeOption]]),"NOT AVAILABLE",Table1[[#This Row],[SizeOption]])</f>
        <v>26, 28, 30, 32, 34, 36</v>
      </c>
      <c r="Y4566" t="str">
        <f>IF(Table2[[#This Row],[Column1]]&gt;50%,"HIGH DISCOUNT","LOW DISCOUNT")</f>
        <v>HIGH DISCOUNT</v>
      </c>
    </row>
    <row r="4567" spans="1:25" x14ac:dyDescent="0.25">
      <c r="A4567" s="2" t="s">
        <v>9325</v>
      </c>
      <c r="B4567" s="2">
        <v>11296146</v>
      </c>
      <c r="C4567" s="2" t="s">
        <v>14</v>
      </c>
      <c r="D4567" s="2" t="s">
        <v>41</v>
      </c>
      <c r="E4567" s="2" t="s">
        <v>42</v>
      </c>
      <c r="F4567" s="2" t="s">
        <v>36</v>
      </c>
      <c r="G4567" s="2" t="s">
        <v>9326</v>
      </c>
      <c r="I4567" s="2">
        <v>899</v>
      </c>
      <c r="J4567" s="2" t="s">
        <v>25</v>
      </c>
      <c r="K4567" s="2" t="s">
        <v>45</v>
      </c>
      <c r="L4567" s="2">
        <v>3.8</v>
      </c>
      <c r="M4567" s="2">
        <v>492</v>
      </c>
      <c r="P4567" t="str">
        <f t="shared" si="287"/>
        <v>55%</v>
      </c>
      <c r="Q4567" s="12">
        <f t="shared" si="284"/>
        <v>0.55000000000000004</v>
      </c>
      <c r="R4567" s="9">
        <f t="shared" si="285"/>
        <v>404.54999999999995</v>
      </c>
      <c r="S4567" s="9">
        <f>IF(R4567="",AVERAGEIF(Table1[Category],Table1[[#This Row],[Category]],Table2[orignal data]),Table2[[#This Row],[orignal data]])</f>
        <v>404.54999999999995</v>
      </c>
      <c r="T4567" t="str">
        <f t="shared" si="286"/>
        <v>UNIQUE</v>
      </c>
      <c r="U4567" t="str">
        <f>IF(ISBLANK(Table1[[#This Row],[SizeOption]]),"NOT AVAILABLE",Table1[[#This Row],[SizeOption]])</f>
        <v>XS, S, M, L, XL</v>
      </c>
      <c r="Y4567" t="str">
        <f>IF(Table2[[#This Row],[Column1]]&gt;50%,"HIGH DISCOUNT","LOW DISCOUNT")</f>
        <v>HIGH DISCOUNT</v>
      </c>
    </row>
    <row r="4568" spans="1:25" x14ac:dyDescent="0.25">
      <c r="A4568" s="1" t="s">
        <v>9327</v>
      </c>
      <c r="B4568" s="1">
        <v>5395400</v>
      </c>
      <c r="C4568" s="1" t="s">
        <v>64</v>
      </c>
      <c r="D4568" s="1" t="s">
        <v>15</v>
      </c>
      <c r="E4568" s="1" t="s">
        <v>23</v>
      </c>
      <c r="F4568" s="1" t="s">
        <v>17</v>
      </c>
      <c r="G4568" s="1" t="s">
        <v>9328</v>
      </c>
      <c r="H4568">
        <v>647</v>
      </c>
      <c r="I4568" s="1">
        <v>1849</v>
      </c>
      <c r="J4568" s="1" t="s">
        <v>150</v>
      </c>
      <c r="K4568" s="1" t="s">
        <v>26</v>
      </c>
      <c r="L4568" s="1">
        <v>3.7</v>
      </c>
      <c r="M4568" s="1">
        <v>491</v>
      </c>
      <c r="P4568" t="str">
        <f t="shared" si="287"/>
        <v>65%</v>
      </c>
      <c r="Q4568" s="12">
        <f t="shared" si="284"/>
        <v>0.65</v>
      </c>
      <c r="R4568" s="9">
        <f t="shared" si="285"/>
        <v>647.14999999999986</v>
      </c>
      <c r="S4568" s="9">
        <f>IF(R4568="",AVERAGEIF(Table1[Category],Table1[[#This Row],[Category]],Table2[orignal data]),Table2[[#This Row],[orignal data]])</f>
        <v>647.14999999999986</v>
      </c>
      <c r="T4568" t="str">
        <f t="shared" si="286"/>
        <v>UNIQUE</v>
      </c>
      <c r="U4568" t="str">
        <f>IF(ISBLANK(Table1[[#This Row],[SizeOption]]),"NOT AVAILABLE",Table1[[#This Row],[SizeOption]])</f>
        <v>S, M, L, XL</v>
      </c>
      <c r="Y4568" t="str">
        <f>IF(Table2[[#This Row],[Column1]]&gt;50%,"HIGH DISCOUNT","LOW DISCOUNT")</f>
        <v>HIGH DISCOUNT</v>
      </c>
    </row>
    <row r="4569" spans="1:25" x14ac:dyDescent="0.25">
      <c r="A4569" s="2" t="s">
        <v>9329</v>
      </c>
      <c r="B4569" s="2">
        <v>14121288</v>
      </c>
      <c r="C4569" s="2" t="s">
        <v>52</v>
      </c>
      <c r="D4569" s="2" t="s">
        <v>15</v>
      </c>
      <c r="E4569" s="2" t="s">
        <v>53</v>
      </c>
      <c r="F4569" s="2" t="s">
        <v>17</v>
      </c>
      <c r="G4569" s="2" t="s">
        <v>9330</v>
      </c>
      <c r="H4569">
        <v>591</v>
      </c>
      <c r="I4569" s="2">
        <v>1599</v>
      </c>
      <c r="J4569" s="2" t="s">
        <v>476</v>
      </c>
      <c r="K4569" s="2" t="s">
        <v>56</v>
      </c>
      <c r="L4569" s="2">
        <v>4.0999999999999996</v>
      </c>
      <c r="M4569" s="2">
        <v>491</v>
      </c>
      <c r="P4569" t="str">
        <f t="shared" si="287"/>
        <v>63%</v>
      </c>
      <c r="Q4569" s="12">
        <f t="shared" si="284"/>
        <v>0.63</v>
      </c>
      <c r="R4569" s="9">
        <f t="shared" si="285"/>
        <v>591.63</v>
      </c>
      <c r="S4569" s="9">
        <f>IF(R4569="",AVERAGEIF(Table1[Category],Table1[[#This Row],[Category]],Table2[orignal data]),Table2[[#This Row],[orignal data]])</f>
        <v>591.63</v>
      </c>
      <c r="T4569" t="str">
        <f t="shared" si="286"/>
        <v>UNIQUE</v>
      </c>
      <c r="U4569" t="str">
        <f>IF(ISBLANK(Table1[[#This Row],[SizeOption]]),"NOT AVAILABLE",Table1[[#This Row],[SizeOption]])</f>
        <v>30, 32, 34, 36</v>
      </c>
      <c r="Y4569" t="str">
        <f>IF(Table2[[#This Row],[Column1]]&gt;50%,"HIGH DISCOUNT","LOW DISCOUNT")</f>
        <v>HIGH DISCOUNT</v>
      </c>
    </row>
    <row r="4570" spans="1:25" x14ac:dyDescent="0.25">
      <c r="A4570" s="1" t="s">
        <v>9331</v>
      </c>
      <c r="B4570" s="1">
        <v>8351299</v>
      </c>
      <c r="C4570" s="1" t="s">
        <v>97</v>
      </c>
      <c r="D4570" s="1" t="s">
        <v>76</v>
      </c>
      <c r="E4570" s="1" t="s">
        <v>93</v>
      </c>
      <c r="F4570" s="1" t="s">
        <v>36</v>
      </c>
      <c r="G4570" s="1" t="s">
        <v>9332</v>
      </c>
      <c r="H4570">
        <v>524</v>
      </c>
      <c r="I4570" s="1">
        <v>1499</v>
      </c>
      <c r="J4570" s="1" t="s">
        <v>150</v>
      </c>
      <c r="K4570" s="1" t="s">
        <v>100</v>
      </c>
      <c r="L4570" s="1">
        <v>4.0999999999999996</v>
      </c>
      <c r="M4570" s="1">
        <v>491</v>
      </c>
      <c r="P4570" t="str">
        <f t="shared" si="287"/>
        <v>65%</v>
      </c>
      <c r="Q4570" s="12">
        <f t="shared" si="284"/>
        <v>0.65</v>
      </c>
      <c r="R4570" s="9">
        <f t="shared" si="285"/>
        <v>524.65</v>
      </c>
      <c r="S4570" s="9">
        <f>IF(R4570="",AVERAGEIF(Table1[Category],Table1[[#This Row],[Category]],Table2[orignal data]),Table2[[#This Row],[orignal data]])</f>
        <v>524.65</v>
      </c>
      <c r="T4570" t="str">
        <f t="shared" si="286"/>
        <v>UNIQUE</v>
      </c>
      <c r="U4570" t="str">
        <f>IF(ISBLANK(Table1[[#This Row],[SizeOption]]),"NOT AVAILABLE",Table1[[#This Row],[SizeOption]])</f>
        <v>XS, S, M, L, XL, XXL, 3XL</v>
      </c>
      <c r="Y4570" t="str">
        <f>IF(Table2[[#This Row],[Column1]]&gt;50%,"HIGH DISCOUNT","LOW DISCOUNT")</f>
        <v>HIGH DISCOUNT</v>
      </c>
    </row>
    <row r="4571" spans="1:25" x14ac:dyDescent="0.25">
      <c r="A4571" s="2" t="s">
        <v>9333</v>
      </c>
      <c r="B4571" s="2">
        <v>12386528</v>
      </c>
      <c r="C4571" s="2" t="s">
        <v>924</v>
      </c>
      <c r="D4571" s="2" t="s">
        <v>76</v>
      </c>
      <c r="E4571" s="2" t="s">
        <v>320</v>
      </c>
      <c r="F4571" s="2" t="s">
        <v>36</v>
      </c>
      <c r="G4571" s="2" t="s">
        <v>9334</v>
      </c>
      <c r="H4571">
        <v>1727</v>
      </c>
      <c r="I4571" s="2">
        <v>3599</v>
      </c>
      <c r="J4571" s="2" t="s">
        <v>208</v>
      </c>
      <c r="K4571" s="2" t="s">
        <v>164</v>
      </c>
      <c r="L4571" s="2">
        <v>4.3</v>
      </c>
      <c r="M4571" s="2">
        <v>491</v>
      </c>
      <c r="P4571" t="str">
        <f t="shared" si="287"/>
        <v>52%</v>
      </c>
      <c r="Q4571" s="12">
        <f t="shared" si="284"/>
        <v>0.52</v>
      </c>
      <c r="R4571" s="9">
        <f t="shared" si="285"/>
        <v>1727.52</v>
      </c>
      <c r="S4571" s="9">
        <f>IF(R4571="",AVERAGEIF(Table1[Category],Table1[[#This Row],[Category]],Table2[orignal data]),Table2[[#This Row],[orignal data]])</f>
        <v>1727.52</v>
      </c>
      <c r="T4571" t="str">
        <f t="shared" si="286"/>
        <v>UNIQUE</v>
      </c>
      <c r="U4571" t="str">
        <f>IF(ISBLANK(Table1[[#This Row],[SizeOption]]),"NOT AVAILABLE",Table1[[#This Row],[SizeOption]])</f>
        <v>Onesize</v>
      </c>
      <c r="Y4571" t="str">
        <f>IF(Table2[[#This Row],[Column1]]&gt;50%,"HIGH DISCOUNT","LOW DISCOUNT")</f>
        <v>HIGH DISCOUNT</v>
      </c>
    </row>
    <row r="4572" spans="1:25" x14ac:dyDescent="0.25">
      <c r="A4572" s="1" t="s">
        <v>9335</v>
      </c>
      <c r="B4572" s="1">
        <v>13348348</v>
      </c>
      <c r="C4572" s="1" t="s">
        <v>5743</v>
      </c>
      <c r="D4572" s="1" t="s">
        <v>76</v>
      </c>
      <c r="E4572" s="1" t="s">
        <v>320</v>
      </c>
      <c r="F4572" s="1" t="s">
        <v>36</v>
      </c>
      <c r="G4572" s="1" t="s">
        <v>9336</v>
      </c>
      <c r="H4572">
        <v>1368</v>
      </c>
      <c r="I4572" s="1">
        <v>5700</v>
      </c>
      <c r="J4572" s="1" t="s">
        <v>5678</v>
      </c>
      <c r="K4572" s="1" t="s">
        <v>164</v>
      </c>
      <c r="L4572" s="1">
        <v>4.0999999999999996</v>
      </c>
      <c r="M4572" s="1">
        <v>491</v>
      </c>
      <c r="P4572" t="str">
        <f t="shared" si="287"/>
        <v>76%</v>
      </c>
      <c r="Q4572" s="12">
        <f t="shared" si="284"/>
        <v>0.76</v>
      </c>
      <c r="R4572" s="9">
        <f t="shared" si="285"/>
        <v>1368</v>
      </c>
      <c r="S4572" s="9">
        <f>IF(R4572="",AVERAGEIF(Table1[Category],Table1[[#This Row],[Category]],Table2[orignal data]),Table2[[#This Row],[orignal data]])</f>
        <v>1368</v>
      </c>
      <c r="T4572" t="str">
        <f t="shared" si="286"/>
        <v>UNIQUE</v>
      </c>
      <c r="U4572" t="str">
        <f>IF(ISBLANK(Table1[[#This Row],[SizeOption]]),"NOT AVAILABLE",Table1[[#This Row],[SizeOption]])</f>
        <v>Onesize</v>
      </c>
      <c r="Y4572" t="str">
        <f>IF(Table2[[#This Row],[Column1]]&gt;50%,"HIGH DISCOUNT","LOW DISCOUNT")</f>
        <v>HIGH DISCOUNT</v>
      </c>
    </row>
    <row r="4573" spans="1:25" x14ac:dyDescent="0.25">
      <c r="A4573" s="2" t="s">
        <v>9337</v>
      </c>
      <c r="B4573" s="2">
        <v>8225817</v>
      </c>
      <c r="C4573" s="2" t="s">
        <v>9338</v>
      </c>
      <c r="D4573" s="2" t="s">
        <v>34</v>
      </c>
      <c r="E4573" s="2" t="s">
        <v>35</v>
      </c>
      <c r="F4573" s="2" t="s">
        <v>36</v>
      </c>
      <c r="G4573" s="2" t="s">
        <v>9339</v>
      </c>
      <c r="H4573">
        <v>950</v>
      </c>
      <c r="I4573" s="2">
        <v>1199</v>
      </c>
      <c r="J4573" s="2" t="s">
        <v>9340</v>
      </c>
      <c r="K4573" s="2" t="s">
        <v>26</v>
      </c>
      <c r="L4573" s="2">
        <v>4.2</v>
      </c>
      <c r="M4573" s="2">
        <v>491</v>
      </c>
      <c r="P4573" t="str">
        <f t="shared" si="287"/>
        <v>249</v>
      </c>
      <c r="Q4573" s="12">
        <f t="shared" si="284"/>
        <v>0.20767306088407006</v>
      </c>
      <c r="R4573" s="9">
        <f t="shared" si="285"/>
        <v>950</v>
      </c>
      <c r="S4573" s="9">
        <f>IF(R4573="",AVERAGEIF(Table1[Category],Table1[[#This Row],[Category]],Table2[orignal data]),Table2[[#This Row],[orignal data]])</f>
        <v>950</v>
      </c>
      <c r="T4573" t="str">
        <f t="shared" si="286"/>
        <v>UNIQUE</v>
      </c>
      <c r="U4573" t="str">
        <f>IF(ISBLANK(Table1[[#This Row],[SizeOption]]),"NOT AVAILABLE",Table1[[#This Row],[SizeOption]])</f>
        <v>S, M, L, XL</v>
      </c>
      <c r="Y4573" t="str">
        <f>IF(Table2[[#This Row],[Column1]]&gt;50%,"HIGH DISCOUNT","LOW DISCOUNT")</f>
        <v>LOW DISCOUNT</v>
      </c>
    </row>
    <row r="4574" spans="1:25" x14ac:dyDescent="0.25">
      <c r="A4574" s="1" t="s">
        <v>9341</v>
      </c>
      <c r="B4574" s="1">
        <v>2295698</v>
      </c>
      <c r="C4574" s="1" t="s">
        <v>117</v>
      </c>
      <c r="D4574" s="1" t="s">
        <v>34</v>
      </c>
      <c r="E4574" s="1" t="s">
        <v>296</v>
      </c>
      <c r="F4574" s="1" t="s">
        <v>36</v>
      </c>
      <c r="G4574" s="1" t="s">
        <v>9342</v>
      </c>
      <c r="I4574" s="1">
        <v>399</v>
      </c>
      <c r="J4574" s="1"/>
      <c r="K4574" s="1" t="s">
        <v>26</v>
      </c>
      <c r="L4574" s="1">
        <v>4.2</v>
      </c>
      <c r="M4574" s="1">
        <v>491</v>
      </c>
      <c r="P4574" t="str">
        <f t="shared" si="287"/>
        <v/>
      </c>
      <c r="Q4574" s="12" t="str">
        <f t="shared" si="284"/>
        <v/>
      </c>
      <c r="R4574" s="9" t="str">
        <f t="shared" si="285"/>
        <v/>
      </c>
      <c r="S4574" s="9">
        <f>IF(R4574="",AVERAGEIF(Table1[Category],Table1[[#This Row],[Category]],Table2[orignal data]),Table2[[#This Row],[orignal data]])</f>
        <v>608.88518518518481</v>
      </c>
      <c r="T4574" t="str">
        <f t="shared" si="286"/>
        <v>UNIQUE</v>
      </c>
      <c r="U4574" t="str">
        <f>IF(ISBLANK(Table1[[#This Row],[SizeOption]]),"NOT AVAILABLE",Table1[[#This Row],[SizeOption]])</f>
        <v>S, M, L, XL</v>
      </c>
      <c r="Y4574" t="str">
        <f>IF(Table2[[#This Row],[Column1]]&gt;50%,"HIGH DISCOUNT","LOW DISCOUNT")</f>
        <v>HIGH DISCOUNT</v>
      </c>
    </row>
    <row r="4575" spans="1:25" x14ac:dyDescent="0.25">
      <c r="A4575" s="2" t="s">
        <v>9343</v>
      </c>
      <c r="B4575" s="2">
        <v>2038144</v>
      </c>
      <c r="C4575" s="2" t="s">
        <v>64</v>
      </c>
      <c r="D4575" s="2" t="s">
        <v>98</v>
      </c>
      <c r="E4575" s="2" t="s">
        <v>148</v>
      </c>
      <c r="F4575" s="2" t="s">
        <v>36</v>
      </c>
      <c r="G4575" s="2" t="s">
        <v>9344</v>
      </c>
      <c r="H4575">
        <v>479</v>
      </c>
      <c r="I4575" s="2">
        <v>1599</v>
      </c>
      <c r="J4575" s="2" t="s">
        <v>1566</v>
      </c>
      <c r="K4575" s="2" t="s">
        <v>115</v>
      </c>
      <c r="L4575" s="2">
        <v>3.6</v>
      </c>
      <c r="M4575" s="2">
        <v>491</v>
      </c>
      <c r="P4575" t="str">
        <f t="shared" si="287"/>
        <v>70%</v>
      </c>
      <c r="Q4575" s="12">
        <f t="shared" si="284"/>
        <v>0.7</v>
      </c>
      <c r="R4575" s="9">
        <f t="shared" si="285"/>
        <v>479.70000000000005</v>
      </c>
      <c r="S4575" s="9">
        <f>IF(R4575="",AVERAGEIF(Table1[Category],Table1[[#This Row],[Category]],Table2[orignal data]),Table2[[#This Row],[orignal data]])</f>
        <v>479.70000000000005</v>
      </c>
      <c r="T4575" t="str">
        <f t="shared" si="286"/>
        <v>UNIQUE</v>
      </c>
      <c r="U4575" t="str">
        <f>IF(ISBLANK(Table1[[#This Row],[SizeOption]]),"NOT AVAILABLE",Table1[[#This Row],[SizeOption]])</f>
        <v>XS, S, M, L, XL, XXL</v>
      </c>
      <c r="Y4575" t="str">
        <f>IF(Table2[[#This Row],[Column1]]&gt;50%,"HIGH DISCOUNT","LOW DISCOUNT")</f>
        <v>HIGH DISCOUNT</v>
      </c>
    </row>
    <row r="4576" spans="1:25" x14ac:dyDescent="0.25">
      <c r="A4576" s="1" t="s">
        <v>9345</v>
      </c>
      <c r="B4576" s="1">
        <v>8349477</v>
      </c>
      <c r="C4576" s="1" t="s">
        <v>97</v>
      </c>
      <c r="D4576" s="1" t="s">
        <v>98</v>
      </c>
      <c r="E4576" s="1" t="s">
        <v>93</v>
      </c>
      <c r="F4576" s="1" t="s">
        <v>36</v>
      </c>
      <c r="G4576" s="1" t="s">
        <v>9346</v>
      </c>
      <c r="H4576">
        <v>624</v>
      </c>
      <c r="I4576" s="1">
        <v>2499</v>
      </c>
      <c r="J4576" s="1" t="s">
        <v>109</v>
      </c>
      <c r="K4576" s="1" t="s">
        <v>100</v>
      </c>
      <c r="L4576" s="1">
        <v>4.3</v>
      </c>
      <c r="M4576" s="1">
        <v>491</v>
      </c>
      <c r="P4576" t="str">
        <f t="shared" si="287"/>
        <v>75%</v>
      </c>
      <c r="Q4576" s="12">
        <f t="shared" si="284"/>
        <v>0.75</v>
      </c>
      <c r="R4576" s="9">
        <f t="shared" si="285"/>
        <v>624.75</v>
      </c>
      <c r="S4576" s="9">
        <f>IF(R4576="",AVERAGEIF(Table1[Category],Table1[[#This Row],[Category]],Table2[orignal data]),Table2[[#This Row],[orignal data]])</f>
        <v>624.75</v>
      </c>
      <c r="T4576" t="str">
        <f t="shared" si="286"/>
        <v>UNIQUE</v>
      </c>
      <c r="U4576" t="str">
        <f>IF(ISBLANK(Table1[[#This Row],[SizeOption]]),"NOT AVAILABLE",Table1[[#This Row],[SizeOption]])</f>
        <v>XS, S, M, L, XL, XXL, 3XL</v>
      </c>
      <c r="Y4576" t="str">
        <f>IF(Table2[[#This Row],[Column1]]&gt;50%,"HIGH DISCOUNT","LOW DISCOUNT")</f>
        <v>HIGH DISCOUNT</v>
      </c>
    </row>
    <row r="4577" spans="1:25" x14ac:dyDescent="0.25">
      <c r="A4577" s="2" t="s">
        <v>9347</v>
      </c>
      <c r="B4577" s="2">
        <v>10197145</v>
      </c>
      <c r="C4577" s="2" t="s">
        <v>64</v>
      </c>
      <c r="D4577" s="2" t="s">
        <v>98</v>
      </c>
      <c r="E4577" s="2" t="s">
        <v>148</v>
      </c>
      <c r="F4577" s="2" t="s">
        <v>36</v>
      </c>
      <c r="G4577" s="2" t="s">
        <v>9348</v>
      </c>
      <c r="H4577">
        <v>779</v>
      </c>
      <c r="I4577" s="2">
        <v>2599</v>
      </c>
      <c r="J4577" s="2" t="s">
        <v>1566</v>
      </c>
      <c r="K4577" s="2" t="s">
        <v>115</v>
      </c>
      <c r="L4577" s="2">
        <v>4.5</v>
      </c>
      <c r="M4577" s="2">
        <v>491</v>
      </c>
      <c r="P4577" t="str">
        <f t="shared" si="287"/>
        <v>70%</v>
      </c>
      <c r="Q4577" s="12">
        <f t="shared" si="284"/>
        <v>0.7</v>
      </c>
      <c r="R4577" s="9">
        <f t="shared" si="285"/>
        <v>779.7</v>
      </c>
      <c r="S4577" s="9">
        <f>IF(R4577="",AVERAGEIF(Table1[Category],Table1[[#This Row],[Category]],Table2[orignal data]),Table2[[#This Row],[orignal data]])</f>
        <v>779.7</v>
      </c>
      <c r="T4577" t="str">
        <f t="shared" si="286"/>
        <v>UNIQUE</v>
      </c>
      <c r="U4577" t="str">
        <f>IF(ISBLANK(Table1[[#This Row],[SizeOption]]),"NOT AVAILABLE",Table1[[#This Row],[SizeOption]])</f>
        <v>XS, S, M, L, XL, XXL</v>
      </c>
      <c r="Y4577" t="str">
        <f>IF(Table2[[#This Row],[Column1]]&gt;50%,"HIGH DISCOUNT","LOW DISCOUNT")</f>
        <v>HIGH DISCOUNT</v>
      </c>
    </row>
    <row r="4578" spans="1:25" x14ac:dyDescent="0.25">
      <c r="A4578" s="1" t="s">
        <v>9349</v>
      </c>
      <c r="B4578" s="1">
        <v>11640588</v>
      </c>
      <c r="C4578" s="1" t="s">
        <v>67</v>
      </c>
      <c r="D4578" s="1" t="s">
        <v>68</v>
      </c>
      <c r="E4578" s="1" t="s">
        <v>23</v>
      </c>
      <c r="F4578" s="1" t="s">
        <v>36</v>
      </c>
      <c r="G4578" s="1" t="s">
        <v>9350</v>
      </c>
      <c r="H4578">
        <v>934</v>
      </c>
      <c r="I4578" s="1">
        <v>1699</v>
      </c>
      <c r="J4578" s="1" t="s">
        <v>19</v>
      </c>
      <c r="K4578" s="1" t="s">
        <v>45</v>
      </c>
      <c r="L4578" s="1">
        <v>4.2</v>
      </c>
      <c r="M4578" s="1">
        <v>491</v>
      </c>
      <c r="P4578" t="str">
        <f t="shared" si="287"/>
        <v>45%</v>
      </c>
      <c r="Q4578" s="12">
        <f t="shared" si="284"/>
        <v>0.45</v>
      </c>
      <c r="R4578" s="9">
        <f t="shared" si="285"/>
        <v>934.44999999999993</v>
      </c>
      <c r="S4578" s="9">
        <f>IF(R4578="",AVERAGEIF(Table1[Category],Table1[[#This Row],[Category]],Table2[orignal data]),Table2[[#This Row],[orignal data]])</f>
        <v>934.44999999999993</v>
      </c>
      <c r="T4578" t="str">
        <f t="shared" si="286"/>
        <v>UNIQUE</v>
      </c>
      <c r="U4578" t="str">
        <f>IF(ISBLANK(Table1[[#This Row],[SizeOption]]),"NOT AVAILABLE",Table1[[#This Row],[SizeOption]])</f>
        <v>XS, S, M, L, XL</v>
      </c>
      <c r="Y4578" t="str">
        <f>IF(Table2[[#This Row],[Column1]]&gt;50%,"HIGH DISCOUNT","LOW DISCOUNT")</f>
        <v>LOW DISCOUNT</v>
      </c>
    </row>
    <row r="4579" spans="1:25" x14ac:dyDescent="0.25">
      <c r="A4579" s="2" t="s">
        <v>9351</v>
      </c>
      <c r="B4579" s="2">
        <v>9478817</v>
      </c>
      <c r="C4579" s="2" t="s">
        <v>14</v>
      </c>
      <c r="D4579" s="2" t="s">
        <v>41</v>
      </c>
      <c r="E4579" s="2" t="s">
        <v>1881</v>
      </c>
      <c r="F4579" s="2" t="s">
        <v>36</v>
      </c>
      <c r="G4579" s="2" t="s">
        <v>9352</v>
      </c>
      <c r="I4579" s="2">
        <v>1699</v>
      </c>
      <c r="J4579" s="2" t="s">
        <v>150</v>
      </c>
      <c r="K4579" s="2" t="s">
        <v>115</v>
      </c>
      <c r="L4579" s="2">
        <v>3.5</v>
      </c>
      <c r="M4579" s="2">
        <v>491</v>
      </c>
      <c r="P4579" t="str">
        <f t="shared" si="287"/>
        <v>65%</v>
      </c>
      <c r="Q4579" s="12">
        <f t="shared" si="284"/>
        <v>0.65</v>
      </c>
      <c r="R4579" s="9">
        <f t="shared" si="285"/>
        <v>594.64999999999986</v>
      </c>
      <c r="S4579" s="9">
        <f>IF(R4579="",AVERAGEIF(Table1[Category],Table1[[#This Row],[Category]],Table2[orignal data]),Table2[[#This Row],[orignal data]])</f>
        <v>594.64999999999986</v>
      </c>
      <c r="T4579" t="str">
        <f t="shared" si="286"/>
        <v>UNIQUE</v>
      </c>
      <c r="U4579" t="str">
        <f>IF(ISBLANK(Table1[[#This Row],[SizeOption]]),"NOT AVAILABLE",Table1[[#This Row],[SizeOption]])</f>
        <v>XS, S, M, L, XL, XXL</v>
      </c>
      <c r="Y4579" t="str">
        <f>IF(Table2[[#This Row],[Column1]]&gt;50%,"HIGH DISCOUNT","LOW DISCOUNT")</f>
        <v>HIGH DISCOUNT</v>
      </c>
    </row>
    <row r="4580" spans="1:25" x14ac:dyDescent="0.25">
      <c r="A4580" s="1" t="s">
        <v>9353</v>
      </c>
      <c r="B4580" s="1">
        <v>9070121</v>
      </c>
      <c r="C4580" s="1" t="s">
        <v>181</v>
      </c>
      <c r="D4580" s="1" t="s">
        <v>41</v>
      </c>
      <c r="E4580" s="1" t="s">
        <v>82</v>
      </c>
      <c r="F4580" s="1" t="s">
        <v>36</v>
      </c>
      <c r="G4580" s="1" t="s">
        <v>9354</v>
      </c>
      <c r="I4580" s="1">
        <v>1799</v>
      </c>
      <c r="J4580" s="1" t="s">
        <v>84</v>
      </c>
      <c r="K4580" s="1" t="s">
        <v>115</v>
      </c>
      <c r="L4580" s="1">
        <v>4.2</v>
      </c>
      <c r="M4580" s="1">
        <v>491</v>
      </c>
      <c r="P4580" t="str">
        <f t="shared" si="287"/>
        <v>50%</v>
      </c>
      <c r="Q4580" s="12">
        <f t="shared" si="284"/>
        <v>0.5</v>
      </c>
      <c r="R4580" s="9">
        <f t="shared" si="285"/>
        <v>899.5</v>
      </c>
      <c r="S4580" s="9">
        <f>IF(R4580="",AVERAGEIF(Table1[Category],Table1[[#This Row],[Category]],Table2[orignal data]),Table2[[#This Row],[orignal data]])</f>
        <v>899.5</v>
      </c>
      <c r="T4580" t="str">
        <f t="shared" si="286"/>
        <v>UNIQUE</v>
      </c>
      <c r="U4580" t="str">
        <f>IF(ISBLANK(Table1[[#This Row],[SizeOption]]),"NOT AVAILABLE",Table1[[#This Row],[SizeOption]])</f>
        <v>XS, S, M, L, XL, XXL</v>
      </c>
      <c r="Y4580" t="str">
        <f>IF(Table2[[#This Row],[Column1]]&gt;50%,"HIGH DISCOUNT","LOW DISCOUNT")</f>
        <v>LOW DISCOUNT</v>
      </c>
    </row>
    <row r="4581" spans="1:25" x14ac:dyDescent="0.25">
      <c r="A4581" s="2" t="s">
        <v>9355</v>
      </c>
      <c r="B4581" s="2">
        <v>9341283</v>
      </c>
      <c r="C4581" s="2" t="s">
        <v>676</v>
      </c>
      <c r="D4581" s="2" t="s">
        <v>41</v>
      </c>
      <c r="E4581" s="2" t="s">
        <v>48</v>
      </c>
      <c r="F4581" s="2" t="s">
        <v>36</v>
      </c>
      <c r="G4581" s="2" t="s">
        <v>2570</v>
      </c>
      <c r="I4581" s="2">
        <v>1998</v>
      </c>
      <c r="J4581" s="2" t="s">
        <v>84</v>
      </c>
      <c r="K4581" s="2" t="s">
        <v>26</v>
      </c>
      <c r="L4581" s="2">
        <v>3.6</v>
      </c>
      <c r="M4581" s="2">
        <v>491</v>
      </c>
      <c r="P4581" t="str">
        <f t="shared" si="287"/>
        <v>50%</v>
      </c>
      <c r="Q4581" s="12">
        <f t="shared" si="284"/>
        <v>0.5</v>
      </c>
      <c r="R4581" s="9">
        <f t="shared" si="285"/>
        <v>999</v>
      </c>
      <c r="S4581" s="9">
        <f>IF(R4581="",AVERAGEIF(Table1[Category],Table1[[#This Row],[Category]],Table2[orignal data]),Table2[[#This Row],[orignal data]])</f>
        <v>999</v>
      </c>
      <c r="T4581" t="str">
        <f t="shared" si="286"/>
        <v>UNIQUE</v>
      </c>
      <c r="U4581" t="str">
        <f>IF(ISBLANK(Table1[[#This Row],[SizeOption]]),"NOT AVAILABLE",Table1[[#This Row],[SizeOption]])</f>
        <v>S, M, L, XL</v>
      </c>
      <c r="Y4581" t="str">
        <f>IF(Table2[[#This Row],[Column1]]&gt;50%,"HIGH DISCOUNT","LOW DISCOUNT")</f>
        <v>LOW DISCOUNT</v>
      </c>
    </row>
    <row r="4582" spans="1:25" x14ac:dyDescent="0.25">
      <c r="A4582" s="1" t="s">
        <v>9356</v>
      </c>
      <c r="B4582" s="1">
        <v>1639356</v>
      </c>
      <c r="C4582" s="1" t="s">
        <v>573</v>
      </c>
      <c r="D4582" s="1" t="s">
        <v>41</v>
      </c>
      <c r="E4582" s="1" t="s">
        <v>148</v>
      </c>
      <c r="F4582" s="1" t="s">
        <v>36</v>
      </c>
      <c r="G4582" s="1" t="s">
        <v>9357</v>
      </c>
      <c r="I4582" s="1">
        <v>2299</v>
      </c>
      <c r="J4582" s="1" t="s">
        <v>104</v>
      </c>
      <c r="K4582" s="1" t="s">
        <v>45</v>
      </c>
      <c r="L4582" s="1">
        <v>4.2</v>
      </c>
      <c r="M4582" s="1">
        <v>491</v>
      </c>
      <c r="P4582" t="str">
        <f t="shared" si="287"/>
        <v>61%</v>
      </c>
      <c r="Q4582" s="12">
        <f t="shared" si="284"/>
        <v>0.61</v>
      </c>
      <c r="R4582" s="9">
        <f t="shared" si="285"/>
        <v>896.61000000000013</v>
      </c>
      <c r="S4582" s="9">
        <f>IF(R4582="",AVERAGEIF(Table1[Category],Table1[[#This Row],[Category]],Table2[orignal data]),Table2[[#This Row],[orignal data]])</f>
        <v>896.61000000000013</v>
      </c>
      <c r="T4582" t="str">
        <f t="shared" si="286"/>
        <v>UNIQUE</v>
      </c>
      <c r="U4582" t="str">
        <f>IF(ISBLANK(Table1[[#This Row],[SizeOption]]),"NOT AVAILABLE",Table1[[#This Row],[SizeOption]])</f>
        <v>XS, S, M, L, XL</v>
      </c>
      <c r="Y4582" t="str">
        <f>IF(Table2[[#This Row],[Column1]]&gt;50%,"HIGH DISCOUNT","LOW DISCOUNT")</f>
        <v>HIGH DISCOUNT</v>
      </c>
    </row>
    <row r="4583" spans="1:25" x14ac:dyDescent="0.25">
      <c r="A4583" s="2" t="s">
        <v>9358</v>
      </c>
      <c r="B4583" s="2">
        <v>8330967</v>
      </c>
      <c r="C4583" s="2" t="s">
        <v>14</v>
      </c>
      <c r="D4583" s="2" t="s">
        <v>41</v>
      </c>
      <c r="E4583" s="2" t="s">
        <v>42</v>
      </c>
      <c r="F4583" s="2" t="s">
        <v>36</v>
      </c>
      <c r="G4583" s="2" t="s">
        <v>9359</v>
      </c>
      <c r="I4583" s="2">
        <v>599</v>
      </c>
      <c r="J4583" s="2" t="s">
        <v>50</v>
      </c>
      <c r="K4583" s="2" t="s">
        <v>45</v>
      </c>
      <c r="L4583" s="2">
        <v>4.0999999999999996</v>
      </c>
      <c r="M4583" s="2">
        <v>491</v>
      </c>
      <c r="P4583" t="str">
        <f t="shared" si="287"/>
        <v>40%</v>
      </c>
      <c r="Q4583" s="12">
        <f t="shared" si="284"/>
        <v>0.4</v>
      </c>
      <c r="R4583" s="9">
        <f t="shared" si="285"/>
        <v>359.4</v>
      </c>
      <c r="S4583" s="9">
        <f>IF(R4583="",AVERAGEIF(Table1[Category],Table1[[#This Row],[Category]],Table2[orignal data]),Table2[[#This Row],[orignal data]])</f>
        <v>359.4</v>
      </c>
      <c r="T4583" t="str">
        <f t="shared" si="286"/>
        <v>UNIQUE</v>
      </c>
      <c r="U4583" t="str">
        <f>IF(ISBLANK(Table1[[#This Row],[SizeOption]]),"NOT AVAILABLE",Table1[[#This Row],[SizeOption]])</f>
        <v>XS, S, M, L, XL</v>
      </c>
      <c r="Y4583" t="str">
        <f>IF(Table2[[#This Row],[Column1]]&gt;50%,"HIGH DISCOUNT","LOW DISCOUNT")</f>
        <v>LOW DISCOUNT</v>
      </c>
    </row>
    <row r="4584" spans="1:25" x14ac:dyDescent="0.25">
      <c r="A4584" s="1" t="s">
        <v>9360</v>
      </c>
      <c r="B4584" s="1">
        <v>2490937</v>
      </c>
      <c r="C4584" s="1" t="s">
        <v>47</v>
      </c>
      <c r="D4584" s="1" t="s">
        <v>41</v>
      </c>
      <c r="E4584" s="1" t="s">
        <v>42</v>
      </c>
      <c r="F4584" s="1" t="s">
        <v>36</v>
      </c>
      <c r="G4584" s="1" t="s">
        <v>5862</v>
      </c>
      <c r="I4584" s="1">
        <v>749</v>
      </c>
      <c r="J4584" s="1" t="s">
        <v>84</v>
      </c>
      <c r="K4584" s="1" t="s">
        <v>45</v>
      </c>
      <c r="L4584" s="1">
        <v>4.4000000000000004</v>
      </c>
      <c r="M4584" s="1">
        <v>491</v>
      </c>
      <c r="P4584" t="str">
        <f t="shared" si="287"/>
        <v>50%</v>
      </c>
      <c r="Q4584" s="12">
        <f t="shared" si="284"/>
        <v>0.5</v>
      </c>
      <c r="R4584" s="9">
        <f t="shared" si="285"/>
        <v>374.5</v>
      </c>
      <c r="S4584" s="9">
        <f>IF(R4584="",AVERAGEIF(Table1[Category],Table1[[#This Row],[Category]],Table2[orignal data]),Table2[[#This Row],[orignal data]])</f>
        <v>374.5</v>
      </c>
      <c r="T4584" t="str">
        <f t="shared" si="286"/>
        <v>UNIQUE</v>
      </c>
      <c r="U4584" t="str">
        <f>IF(ISBLANK(Table1[[#This Row],[SizeOption]]),"NOT AVAILABLE",Table1[[#This Row],[SizeOption]])</f>
        <v>XS, S, M, L, XL</v>
      </c>
      <c r="Y4584" t="str">
        <f>IF(Table2[[#This Row],[Column1]]&gt;50%,"HIGH DISCOUNT","LOW DISCOUNT")</f>
        <v>LOW DISCOUNT</v>
      </c>
    </row>
    <row r="4585" spans="1:25" x14ac:dyDescent="0.25">
      <c r="A4585" s="2" t="s">
        <v>9361</v>
      </c>
      <c r="B4585" s="2">
        <v>2363500</v>
      </c>
      <c r="C4585" s="2" t="s">
        <v>14</v>
      </c>
      <c r="D4585" s="2" t="s">
        <v>15</v>
      </c>
      <c r="E4585" s="2" t="s">
        <v>53</v>
      </c>
      <c r="F4585" s="2" t="s">
        <v>17</v>
      </c>
      <c r="G4585" s="2" t="s">
        <v>9362</v>
      </c>
      <c r="H4585">
        <v>799</v>
      </c>
      <c r="I4585" s="2">
        <v>1999</v>
      </c>
      <c r="J4585" s="2" t="s">
        <v>55</v>
      </c>
      <c r="K4585" s="2" t="s">
        <v>195</v>
      </c>
      <c r="L4585" s="2">
        <v>3.9</v>
      </c>
      <c r="M4585" s="2">
        <v>490</v>
      </c>
      <c r="P4585" t="str">
        <f t="shared" si="287"/>
        <v>60%</v>
      </c>
      <c r="Q4585" s="12">
        <f t="shared" si="284"/>
        <v>0.6</v>
      </c>
      <c r="R4585" s="9">
        <f t="shared" si="285"/>
        <v>799.60000000000014</v>
      </c>
      <c r="S4585" s="9">
        <f>IF(R4585="",AVERAGEIF(Table1[Category],Table1[[#This Row],[Category]],Table2[orignal data]),Table2[[#This Row],[orignal data]])</f>
        <v>799.60000000000014</v>
      </c>
      <c r="T4585" t="str">
        <f t="shared" si="286"/>
        <v>UNIQUE</v>
      </c>
      <c r="U4585" t="str">
        <f>IF(ISBLANK(Table1[[#This Row],[SizeOption]]),"NOT AVAILABLE",Table1[[#This Row],[SizeOption]])</f>
        <v>28, 30, 32, 34, 36, 38, 40</v>
      </c>
      <c r="Y4585" t="str">
        <f>IF(Table2[[#This Row],[Column1]]&gt;50%,"HIGH DISCOUNT","LOW DISCOUNT")</f>
        <v>HIGH DISCOUNT</v>
      </c>
    </row>
    <row r="4586" spans="1:25" x14ac:dyDescent="0.25">
      <c r="A4586" s="1" t="s">
        <v>9363</v>
      </c>
      <c r="B4586" s="1">
        <v>12983720</v>
      </c>
      <c r="C4586" s="1" t="s">
        <v>47</v>
      </c>
      <c r="D4586" s="1" t="s">
        <v>15</v>
      </c>
      <c r="E4586" s="1" t="s">
        <v>16</v>
      </c>
      <c r="F4586" s="1" t="s">
        <v>17</v>
      </c>
      <c r="G4586" s="1" t="s">
        <v>846</v>
      </c>
      <c r="H4586">
        <v>499</v>
      </c>
      <c r="I4586" s="1">
        <v>1999</v>
      </c>
      <c r="J4586" s="1" t="s">
        <v>109</v>
      </c>
      <c r="K4586" s="1" t="s">
        <v>20</v>
      </c>
      <c r="L4586" s="1">
        <v>3.7</v>
      </c>
      <c r="M4586" s="1">
        <v>490</v>
      </c>
      <c r="P4586" t="str">
        <f t="shared" si="287"/>
        <v>75%</v>
      </c>
      <c r="Q4586" s="12">
        <f t="shared" si="284"/>
        <v>0.75</v>
      </c>
      <c r="R4586" s="9">
        <f t="shared" si="285"/>
        <v>499.75</v>
      </c>
      <c r="S4586" s="9">
        <f>IF(R4586="",AVERAGEIF(Table1[Category],Table1[[#This Row],[Category]],Table2[orignal data]),Table2[[#This Row],[orignal data]])</f>
        <v>499.75</v>
      </c>
      <c r="T4586" t="str">
        <f t="shared" si="286"/>
        <v>UNIQUE</v>
      </c>
      <c r="U4586" t="str">
        <f>IF(ISBLANK(Table1[[#This Row],[SizeOption]]),"NOT AVAILABLE",Table1[[#This Row],[SizeOption]])</f>
        <v>28, 30, 32, 34, 36</v>
      </c>
      <c r="Y4586" t="str">
        <f>IF(Table2[[#This Row],[Column1]]&gt;50%,"HIGH DISCOUNT","LOW DISCOUNT")</f>
        <v>HIGH DISCOUNT</v>
      </c>
    </row>
    <row r="4587" spans="1:25" x14ac:dyDescent="0.25">
      <c r="A4587" s="2" t="s">
        <v>9364</v>
      </c>
      <c r="B4587" s="2">
        <v>12983738</v>
      </c>
      <c r="C4587" s="2" t="s">
        <v>47</v>
      </c>
      <c r="D4587" s="2" t="s">
        <v>15</v>
      </c>
      <c r="E4587" s="2" t="s">
        <v>16</v>
      </c>
      <c r="F4587" s="2" t="s">
        <v>17</v>
      </c>
      <c r="G4587" s="2" t="s">
        <v>4673</v>
      </c>
      <c r="H4587">
        <v>1044</v>
      </c>
      <c r="I4587" s="2">
        <v>1899</v>
      </c>
      <c r="J4587" s="2" t="s">
        <v>19</v>
      </c>
      <c r="K4587" s="2" t="s">
        <v>20</v>
      </c>
      <c r="L4587" s="2">
        <v>4</v>
      </c>
      <c r="M4587" s="2">
        <v>490</v>
      </c>
      <c r="P4587" t="str">
        <f t="shared" si="287"/>
        <v>45%</v>
      </c>
      <c r="Q4587" s="12">
        <f t="shared" si="284"/>
        <v>0.45</v>
      </c>
      <c r="R4587" s="9">
        <f t="shared" si="285"/>
        <v>1044.4499999999998</v>
      </c>
      <c r="S4587" s="9">
        <f>IF(R4587="",AVERAGEIF(Table1[Category],Table1[[#This Row],[Category]],Table2[orignal data]),Table2[[#This Row],[orignal data]])</f>
        <v>1044.4499999999998</v>
      </c>
      <c r="T4587" t="str">
        <f t="shared" si="286"/>
        <v>UNIQUE</v>
      </c>
      <c r="U4587" t="str">
        <f>IF(ISBLANK(Table1[[#This Row],[SizeOption]]),"NOT AVAILABLE",Table1[[#This Row],[SizeOption]])</f>
        <v>28, 30, 32, 34, 36</v>
      </c>
      <c r="Y4587" t="str">
        <f>IF(Table2[[#This Row],[Column1]]&gt;50%,"HIGH DISCOUNT","LOW DISCOUNT")</f>
        <v>LOW DISCOUNT</v>
      </c>
    </row>
    <row r="4588" spans="1:25" x14ac:dyDescent="0.25">
      <c r="A4588" s="1" t="s">
        <v>9365</v>
      </c>
      <c r="B4588" s="1">
        <v>9963247</v>
      </c>
      <c r="C4588" s="1" t="s">
        <v>9366</v>
      </c>
      <c r="D4588" s="1" t="s">
        <v>197</v>
      </c>
      <c r="E4588" s="1" t="s">
        <v>939</v>
      </c>
      <c r="F4588" s="1" t="s">
        <v>17</v>
      </c>
      <c r="G4588" s="1" t="s">
        <v>9367</v>
      </c>
      <c r="H4588">
        <v>279</v>
      </c>
      <c r="I4588" s="1">
        <v>1399</v>
      </c>
      <c r="J4588" s="1" t="s">
        <v>589</v>
      </c>
      <c r="K4588" s="1" t="s">
        <v>881</v>
      </c>
      <c r="L4588" s="1">
        <v>3.6</v>
      </c>
      <c r="M4588" s="1">
        <v>490</v>
      </c>
      <c r="P4588" t="str">
        <f t="shared" si="287"/>
        <v>80%</v>
      </c>
      <c r="Q4588" s="12">
        <f t="shared" si="284"/>
        <v>0.8</v>
      </c>
      <c r="R4588" s="9">
        <f t="shared" si="285"/>
        <v>279.79999999999995</v>
      </c>
      <c r="S4588" s="9">
        <f>IF(R4588="",AVERAGEIF(Table1[Category],Table1[[#This Row],[Category]],Table2[orignal data]),Table2[[#This Row],[orignal data]])</f>
        <v>279.79999999999995</v>
      </c>
      <c r="T4588" t="str">
        <f t="shared" si="286"/>
        <v>UNIQUE</v>
      </c>
      <c r="U4588" t="str">
        <f>IF(ISBLANK(Table1[[#This Row],[SizeOption]]),"NOT AVAILABLE",Table1[[#This Row],[SizeOption]])</f>
        <v>M, L, XL, XXL</v>
      </c>
      <c r="Y4588" t="str">
        <f>IF(Table2[[#This Row],[Column1]]&gt;50%,"HIGH DISCOUNT","LOW DISCOUNT")</f>
        <v>HIGH DISCOUNT</v>
      </c>
    </row>
    <row r="4589" spans="1:25" x14ac:dyDescent="0.25">
      <c r="A4589" s="2" t="s">
        <v>9368</v>
      </c>
      <c r="B4589" s="2">
        <v>11655366</v>
      </c>
      <c r="C4589" s="2" t="s">
        <v>490</v>
      </c>
      <c r="D4589" s="2" t="s">
        <v>197</v>
      </c>
      <c r="E4589" s="2" t="s">
        <v>4987</v>
      </c>
      <c r="F4589" s="2" t="s">
        <v>17</v>
      </c>
      <c r="G4589" s="2" t="s">
        <v>9369</v>
      </c>
      <c r="I4589" s="2">
        <v>799</v>
      </c>
      <c r="J4589" s="2"/>
      <c r="K4589" s="2" t="s">
        <v>115</v>
      </c>
      <c r="L4589" s="2">
        <v>4.4000000000000004</v>
      </c>
      <c r="M4589" s="2">
        <v>490</v>
      </c>
      <c r="P4589" t="str">
        <f t="shared" si="287"/>
        <v/>
      </c>
      <c r="Q4589" s="12" t="str">
        <f t="shared" si="284"/>
        <v/>
      </c>
      <c r="R4589" s="9" t="str">
        <f t="shared" si="285"/>
        <v/>
      </c>
      <c r="S4589" s="9">
        <f>IF(R4589="",AVERAGEIF(Table1[Category],Table1[[#This Row],[Category]],Table2[orignal data]),Table2[[#This Row],[orignal data]])</f>
        <v>552.70900000000006</v>
      </c>
      <c r="T4589" t="str">
        <f t="shared" si="286"/>
        <v>UNIQUE</v>
      </c>
      <c r="U4589" t="str">
        <f>IF(ISBLANK(Table1[[#This Row],[SizeOption]]),"NOT AVAILABLE",Table1[[#This Row],[SizeOption]])</f>
        <v>XS, S, M, L, XL, XXL</v>
      </c>
      <c r="Y4589" t="str">
        <f>IF(Table2[[#This Row],[Column1]]&gt;50%,"HIGH DISCOUNT","LOW DISCOUNT")</f>
        <v>HIGH DISCOUNT</v>
      </c>
    </row>
    <row r="4590" spans="1:25" x14ac:dyDescent="0.25">
      <c r="A4590" s="1" t="s">
        <v>9370</v>
      </c>
      <c r="B4590" s="1">
        <v>18028876</v>
      </c>
      <c r="C4590" s="1" t="s">
        <v>295</v>
      </c>
      <c r="D4590" s="1" t="s">
        <v>197</v>
      </c>
      <c r="E4590" s="1" t="s">
        <v>939</v>
      </c>
      <c r="F4590" s="1" t="s">
        <v>17</v>
      </c>
      <c r="G4590" s="1" t="s">
        <v>4736</v>
      </c>
      <c r="I4590" s="1">
        <v>1098</v>
      </c>
      <c r="J4590" s="1"/>
      <c r="K4590" s="1" t="s">
        <v>26</v>
      </c>
      <c r="L4590" s="1">
        <v>4.4000000000000004</v>
      </c>
      <c r="M4590" s="1">
        <v>490</v>
      </c>
      <c r="P4590" t="str">
        <f t="shared" si="287"/>
        <v/>
      </c>
      <c r="Q4590" s="12" t="str">
        <f t="shared" si="284"/>
        <v/>
      </c>
      <c r="R4590" s="9" t="str">
        <f t="shared" si="285"/>
        <v/>
      </c>
      <c r="S4590" s="9">
        <f>IF(R4590="",AVERAGEIF(Table1[Category],Table1[[#This Row],[Category]],Table2[orignal data]),Table2[[#This Row],[orignal data]])</f>
        <v>552.70900000000006</v>
      </c>
      <c r="T4590" t="str">
        <f t="shared" si="286"/>
        <v>UNIQUE</v>
      </c>
      <c r="U4590" t="str">
        <f>IF(ISBLANK(Table1[[#This Row],[SizeOption]]),"NOT AVAILABLE",Table1[[#This Row],[SizeOption]])</f>
        <v>S, M, L, XL</v>
      </c>
      <c r="Y4590" t="str">
        <f>IF(Table2[[#This Row],[Column1]]&gt;50%,"HIGH DISCOUNT","LOW DISCOUNT")</f>
        <v>HIGH DISCOUNT</v>
      </c>
    </row>
    <row r="4591" spans="1:25" x14ac:dyDescent="0.25">
      <c r="A4591" s="2" t="s">
        <v>9371</v>
      </c>
      <c r="B4591" s="2">
        <v>11700110</v>
      </c>
      <c r="C4591" s="2" t="s">
        <v>47</v>
      </c>
      <c r="D4591" s="2" t="s">
        <v>28</v>
      </c>
      <c r="E4591" s="2" t="s">
        <v>42</v>
      </c>
      <c r="F4591" s="2" t="s">
        <v>17</v>
      </c>
      <c r="G4591" s="2" t="s">
        <v>9372</v>
      </c>
      <c r="H4591">
        <v>359</v>
      </c>
      <c r="I4591" s="2">
        <v>899</v>
      </c>
      <c r="J4591" s="2" t="s">
        <v>55</v>
      </c>
      <c r="K4591" s="2" t="s">
        <v>26</v>
      </c>
      <c r="L4591" s="2">
        <v>4.0999999999999996</v>
      </c>
      <c r="M4591" s="2">
        <v>490</v>
      </c>
      <c r="P4591" t="str">
        <f t="shared" si="287"/>
        <v>60%</v>
      </c>
      <c r="Q4591" s="12">
        <f t="shared" si="284"/>
        <v>0.6</v>
      </c>
      <c r="R4591" s="9">
        <f t="shared" si="285"/>
        <v>359.6</v>
      </c>
      <c r="S4591" s="9">
        <f>IF(R4591="",AVERAGEIF(Table1[Category],Table1[[#This Row],[Category]],Table2[orignal data]),Table2[[#This Row],[orignal data]])</f>
        <v>359.6</v>
      </c>
      <c r="T4591" t="str">
        <f t="shared" si="286"/>
        <v>UNIQUE</v>
      </c>
      <c r="U4591" t="str">
        <f>IF(ISBLANK(Table1[[#This Row],[SizeOption]]),"NOT AVAILABLE",Table1[[#This Row],[SizeOption]])</f>
        <v>S, M, L, XL</v>
      </c>
      <c r="Y4591" t="str">
        <f>IF(Table2[[#This Row],[Column1]]&gt;50%,"HIGH DISCOUNT","LOW DISCOUNT")</f>
        <v>HIGH DISCOUNT</v>
      </c>
    </row>
    <row r="4592" spans="1:25" x14ac:dyDescent="0.25">
      <c r="A4592" s="1" t="s">
        <v>9373</v>
      </c>
      <c r="B4592" s="1">
        <v>10370671</v>
      </c>
      <c r="C4592" s="1" t="s">
        <v>924</v>
      </c>
      <c r="D4592" s="1" t="s">
        <v>76</v>
      </c>
      <c r="E4592" s="1" t="s">
        <v>93</v>
      </c>
      <c r="F4592" s="1" t="s">
        <v>36</v>
      </c>
      <c r="G4592" s="1" t="s">
        <v>9374</v>
      </c>
      <c r="H4592">
        <v>1033</v>
      </c>
      <c r="I4592" s="1">
        <v>2199</v>
      </c>
      <c r="J4592" s="1" t="s">
        <v>89</v>
      </c>
      <c r="K4592" s="1" t="s">
        <v>115</v>
      </c>
      <c r="L4592" s="1">
        <v>4.3</v>
      </c>
      <c r="M4592" s="1">
        <v>490</v>
      </c>
      <c r="P4592" t="str">
        <f t="shared" si="287"/>
        <v>53%</v>
      </c>
      <c r="Q4592" s="12">
        <f t="shared" si="284"/>
        <v>0.53</v>
      </c>
      <c r="R4592" s="9">
        <f t="shared" si="285"/>
        <v>1033.53</v>
      </c>
      <c r="S4592" s="9">
        <f>IF(R4592="",AVERAGEIF(Table1[Category],Table1[[#This Row],[Category]],Table2[orignal data]),Table2[[#This Row],[orignal data]])</f>
        <v>1033.53</v>
      </c>
      <c r="T4592" t="str">
        <f t="shared" si="286"/>
        <v>UNIQUE</v>
      </c>
      <c r="U4592" t="str">
        <f>IF(ISBLANK(Table1[[#This Row],[SizeOption]]),"NOT AVAILABLE",Table1[[#This Row],[SizeOption]])</f>
        <v>XS, S, M, L, XL, XXL</v>
      </c>
      <c r="Y4592" t="str">
        <f>IF(Table2[[#This Row],[Column1]]&gt;50%,"HIGH DISCOUNT","LOW DISCOUNT")</f>
        <v>HIGH DISCOUNT</v>
      </c>
    </row>
    <row r="4593" spans="1:25" x14ac:dyDescent="0.25">
      <c r="A4593" s="2" t="s">
        <v>9375</v>
      </c>
      <c r="B4593" s="2">
        <v>10474702</v>
      </c>
      <c r="C4593" s="2" t="s">
        <v>1375</v>
      </c>
      <c r="D4593" s="2" t="s">
        <v>76</v>
      </c>
      <c r="E4593" s="2" t="s">
        <v>320</v>
      </c>
      <c r="F4593" s="2" t="s">
        <v>36</v>
      </c>
      <c r="G4593" s="2" t="s">
        <v>9376</v>
      </c>
      <c r="H4593">
        <v>857</v>
      </c>
      <c r="I4593" s="2">
        <v>2383</v>
      </c>
      <c r="J4593" s="2" t="s">
        <v>416</v>
      </c>
      <c r="K4593" s="2" t="s">
        <v>164</v>
      </c>
      <c r="L4593" s="2">
        <v>4</v>
      </c>
      <c r="M4593" s="2">
        <v>490</v>
      </c>
      <c r="P4593" t="str">
        <f t="shared" si="287"/>
        <v>64%</v>
      </c>
      <c r="Q4593" s="12">
        <f t="shared" si="284"/>
        <v>0.64</v>
      </c>
      <c r="R4593" s="9">
        <f t="shared" si="285"/>
        <v>857.87999999999988</v>
      </c>
      <c r="S4593" s="9">
        <f>IF(R4593="",AVERAGEIF(Table1[Category],Table1[[#This Row],[Category]],Table2[orignal data]),Table2[[#This Row],[orignal data]])</f>
        <v>857.87999999999988</v>
      </c>
      <c r="T4593" t="str">
        <f t="shared" si="286"/>
        <v>UNIQUE</v>
      </c>
      <c r="U4593" t="str">
        <f>IF(ISBLANK(Table1[[#This Row],[SizeOption]]),"NOT AVAILABLE",Table1[[#This Row],[SizeOption]])</f>
        <v>Onesize</v>
      </c>
      <c r="Y4593" t="str">
        <f>IF(Table2[[#This Row],[Column1]]&gt;50%,"HIGH DISCOUNT","LOW DISCOUNT")</f>
        <v>HIGH DISCOUNT</v>
      </c>
    </row>
    <row r="4594" spans="1:25" x14ac:dyDescent="0.25">
      <c r="A4594" s="1" t="s">
        <v>9377</v>
      </c>
      <c r="B4594" s="1">
        <v>11531496</v>
      </c>
      <c r="C4594" s="1" t="s">
        <v>75</v>
      </c>
      <c r="D4594" s="1" t="s">
        <v>76</v>
      </c>
      <c r="E4594" s="1" t="s">
        <v>77</v>
      </c>
      <c r="F4594" s="1" t="s">
        <v>36</v>
      </c>
      <c r="G4594" s="1" t="s">
        <v>9378</v>
      </c>
      <c r="H4594">
        <v>815</v>
      </c>
      <c r="I4594" s="1">
        <v>2399</v>
      </c>
      <c r="J4594" s="1" t="s">
        <v>403</v>
      </c>
      <c r="K4594" s="1" t="s">
        <v>39</v>
      </c>
      <c r="L4594" s="1">
        <v>4.2</v>
      </c>
      <c r="M4594" s="1">
        <v>490</v>
      </c>
      <c r="P4594" t="str">
        <f t="shared" si="287"/>
        <v>66%</v>
      </c>
      <c r="Q4594" s="12">
        <f t="shared" si="284"/>
        <v>0.66</v>
      </c>
      <c r="R4594" s="9">
        <f t="shared" si="285"/>
        <v>815.65999999999985</v>
      </c>
      <c r="S4594" s="9">
        <f>IF(R4594="",AVERAGEIF(Table1[Category],Table1[[#This Row],[Category]],Table2[orignal data]),Table2[[#This Row],[orignal data]])</f>
        <v>815.65999999999985</v>
      </c>
      <c r="T4594" t="str">
        <f t="shared" si="286"/>
        <v>UNIQUE</v>
      </c>
      <c r="U4594" t="str">
        <f>IF(ISBLANK(Table1[[#This Row],[SizeOption]]),"NOT AVAILABLE",Table1[[#This Row],[SizeOption]])</f>
        <v>S, M, L, XL, XXL</v>
      </c>
      <c r="Y4594" t="str">
        <f>IF(Table2[[#This Row],[Column1]]&gt;50%,"HIGH DISCOUNT","LOW DISCOUNT")</f>
        <v>HIGH DISCOUNT</v>
      </c>
    </row>
    <row r="4595" spans="1:25" x14ac:dyDescent="0.25">
      <c r="A4595" s="2" t="s">
        <v>9379</v>
      </c>
      <c r="B4595" s="2">
        <v>13883606</v>
      </c>
      <c r="C4595" s="2" t="s">
        <v>2408</v>
      </c>
      <c r="D4595" s="2" t="s">
        <v>76</v>
      </c>
      <c r="E4595" s="2" t="s">
        <v>77</v>
      </c>
      <c r="F4595" s="2" t="s">
        <v>36</v>
      </c>
      <c r="G4595" s="2" t="s">
        <v>9380</v>
      </c>
      <c r="H4595">
        <v>1349</v>
      </c>
      <c r="I4595" s="2">
        <v>2999</v>
      </c>
      <c r="J4595" s="2" t="s">
        <v>25</v>
      </c>
      <c r="K4595" s="2" t="s">
        <v>39</v>
      </c>
      <c r="L4595" s="2">
        <v>4.3</v>
      </c>
      <c r="M4595" s="2">
        <v>490</v>
      </c>
      <c r="P4595" t="str">
        <f t="shared" si="287"/>
        <v>55%</v>
      </c>
      <c r="Q4595" s="12">
        <f t="shared" si="284"/>
        <v>0.55000000000000004</v>
      </c>
      <c r="R4595" s="9">
        <f t="shared" si="285"/>
        <v>1349.55</v>
      </c>
      <c r="S4595" s="9">
        <f>IF(R4595="",AVERAGEIF(Table1[Category],Table1[[#This Row],[Category]],Table2[orignal data]),Table2[[#This Row],[orignal data]])</f>
        <v>1349.55</v>
      </c>
      <c r="T4595" t="str">
        <f t="shared" si="286"/>
        <v>UNIQUE</v>
      </c>
      <c r="U4595" t="str">
        <f>IF(ISBLANK(Table1[[#This Row],[SizeOption]]),"NOT AVAILABLE",Table1[[#This Row],[SizeOption]])</f>
        <v>S, M, L, XL, XXL</v>
      </c>
      <c r="Y4595" t="str">
        <f>IF(Table2[[#This Row],[Column1]]&gt;50%,"HIGH DISCOUNT","LOW DISCOUNT")</f>
        <v>HIGH DISCOUNT</v>
      </c>
    </row>
    <row r="4596" spans="1:25" x14ac:dyDescent="0.25">
      <c r="A4596" s="1" t="s">
        <v>9381</v>
      </c>
      <c r="B4596" s="1">
        <v>12831974</v>
      </c>
      <c r="C4596" s="1" t="s">
        <v>221</v>
      </c>
      <c r="D4596" s="1" t="s">
        <v>98</v>
      </c>
      <c r="E4596" s="1" t="s">
        <v>23</v>
      </c>
      <c r="F4596" s="1" t="s">
        <v>36</v>
      </c>
      <c r="G4596" s="1" t="s">
        <v>9382</v>
      </c>
      <c r="H4596">
        <v>629</v>
      </c>
      <c r="I4596" s="1">
        <v>1799</v>
      </c>
      <c r="J4596" s="1" t="s">
        <v>150</v>
      </c>
      <c r="K4596" s="1" t="s">
        <v>223</v>
      </c>
      <c r="L4596" s="1">
        <v>4.2</v>
      </c>
      <c r="M4596" s="1">
        <v>490</v>
      </c>
      <c r="P4596" t="str">
        <f t="shared" si="287"/>
        <v>65%</v>
      </c>
      <c r="Q4596" s="12">
        <f t="shared" si="284"/>
        <v>0.65</v>
      </c>
      <c r="R4596" s="9">
        <f t="shared" si="285"/>
        <v>629.64999999999986</v>
      </c>
      <c r="S4596" s="9">
        <f>IF(R4596="",AVERAGEIF(Table1[Category],Table1[[#This Row],[Category]],Table2[orignal data]),Table2[[#This Row],[orignal data]])</f>
        <v>629.64999999999986</v>
      </c>
      <c r="T4596" t="str">
        <f t="shared" si="286"/>
        <v>UNIQUE</v>
      </c>
      <c r="U4596" t="str">
        <f>IF(ISBLANK(Table1[[#This Row],[SizeOption]]),"NOT AVAILABLE",Table1[[#This Row],[SizeOption]])</f>
        <v>S, M, L, XL, XXL, 3XL, 4XL</v>
      </c>
      <c r="Y4596" t="str">
        <f>IF(Table2[[#This Row],[Column1]]&gt;50%,"HIGH DISCOUNT","LOW DISCOUNT")</f>
        <v>HIGH DISCOUNT</v>
      </c>
    </row>
    <row r="4597" spans="1:25" x14ac:dyDescent="0.25">
      <c r="A4597" s="2" t="s">
        <v>9383</v>
      </c>
      <c r="B4597" s="2">
        <v>10490160</v>
      </c>
      <c r="C4597" s="2" t="s">
        <v>64</v>
      </c>
      <c r="D4597" s="2" t="s">
        <v>98</v>
      </c>
      <c r="E4597" s="2" t="s">
        <v>368</v>
      </c>
      <c r="F4597" s="2" t="s">
        <v>36</v>
      </c>
      <c r="G4597" s="2" t="s">
        <v>9384</v>
      </c>
      <c r="H4597">
        <v>799</v>
      </c>
      <c r="I4597" s="2">
        <v>1999</v>
      </c>
      <c r="J4597" s="2" t="s">
        <v>141</v>
      </c>
      <c r="K4597" s="2" t="s">
        <v>2290</v>
      </c>
      <c r="L4597" s="2">
        <v>3.9</v>
      </c>
      <c r="M4597" s="2">
        <v>490</v>
      </c>
      <c r="P4597" t="str">
        <f t="shared" si="287"/>
        <v>60%</v>
      </c>
      <c r="Q4597" s="12">
        <f t="shared" si="284"/>
        <v>0.6</v>
      </c>
      <c r="R4597" s="9">
        <f t="shared" si="285"/>
        <v>799.60000000000014</v>
      </c>
      <c r="S4597" s="9">
        <f>IF(R4597="",AVERAGEIF(Table1[Category],Table1[[#This Row],[Category]],Table2[orignal data]),Table2[[#This Row],[orignal data]])</f>
        <v>799.60000000000014</v>
      </c>
      <c r="T4597" t="str">
        <f t="shared" si="286"/>
        <v>UNIQUE</v>
      </c>
      <c r="U4597" t="str">
        <f>IF(ISBLANK(Table1[[#This Row],[SizeOption]]),"NOT AVAILABLE",Table1[[#This Row],[SizeOption]])</f>
        <v>26, 28, 30, 32, 34, 36, 38</v>
      </c>
      <c r="Y4597" t="str">
        <f>IF(Table2[[#This Row],[Column1]]&gt;50%,"HIGH DISCOUNT","LOW DISCOUNT")</f>
        <v>HIGH DISCOUNT</v>
      </c>
    </row>
    <row r="4598" spans="1:25" x14ac:dyDescent="0.25">
      <c r="A4598" s="1" t="s">
        <v>9385</v>
      </c>
      <c r="B4598" s="1">
        <v>8420261</v>
      </c>
      <c r="C4598" s="1" t="s">
        <v>97</v>
      </c>
      <c r="D4598" s="1" t="s">
        <v>98</v>
      </c>
      <c r="E4598" s="1" t="s">
        <v>77</v>
      </c>
      <c r="F4598" s="1" t="s">
        <v>36</v>
      </c>
      <c r="G4598" s="1" t="s">
        <v>9386</v>
      </c>
      <c r="H4598">
        <v>869</v>
      </c>
      <c r="I4598" s="1">
        <v>2899</v>
      </c>
      <c r="J4598" s="1" t="s">
        <v>79</v>
      </c>
      <c r="K4598" s="1" t="s">
        <v>115</v>
      </c>
      <c r="L4598" s="1">
        <v>4</v>
      </c>
      <c r="M4598" s="1">
        <v>490</v>
      </c>
      <c r="P4598" t="str">
        <f t="shared" si="287"/>
        <v>70%</v>
      </c>
      <c r="Q4598" s="12">
        <f t="shared" si="284"/>
        <v>0.7</v>
      </c>
      <c r="R4598" s="9">
        <f t="shared" si="285"/>
        <v>869.7</v>
      </c>
      <c r="S4598" s="9">
        <f>IF(R4598="",AVERAGEIF(Table1[Category],Table1[[#This Row],[Category]],Table2[orignal data]),Table2[[#This Row],[orignal data]])</f>
        <v>869.7</v>
      </c>
      <c r="T4598" t="str">
        <f t="shared" si="286"/>
        <v>UNIQUE</v>
      </c>
      <c r="U4598" t="str">
        <f>IF(ISBLANK(Table1[[#This Row],[SizeOption]]),"NOT AVAILABLE",Table1[[#This Row],[SizeOption]])</f>
        <v>XS, S, M, L, XL, XXL</v>
      </c>
      <c r="Y4598" t="str">
        <f>IF(Table2[[#This Row],[Column1]]&gt;50%,"HIGH DISCOUNT","LOW DISCOUNT")</f>
        <v>HIGH DISCOUNT</v>
      </c>
    </row>
    <row r="4599" spans="1:25" x14ac:dyDescent="0.25">
      <c r="A4599" s="2" t="s">
        <v>9387</v>
      </c>
      <c r="B4599" s="2">
        <v>12374402</v>
      </c>
      <c r="C4599" s="2" t="s">
        <v>841</v>
      </c>
      <c r="D4599" s="2" t="s">
        <v>41</v>
      </c>
      <c r="E4599" s="2" t="s">
        <v>23</v>
      </c>
      <c r="F4599" s="2" t="s">
        <v>36</v>
      </c>
      <c r="G4599" s="2" t="s">
        <v>9388</v>
      </c>
      <c r="I4599" s="2">
        <v>1499</v>
      </c>
      <c r="J4599" s="2" t="s">
        <v>55</v>
      </c>
      <c r="K4599" s="2" t="s">
        <v>26</v>
      </c>
      <c r="L4599" s="2">
        <v>4.2</v>
      </c>
      <c r="M4599" s="2">
        <v>490</v>
      </c>
      <c r="P4599" t="str">
        <f t="shared" si="287"/>
        <v>60%</v>
      </c>
      <c r="Q4599" s="12">
        <f t="shared" si="284"/>
        <v>0.6</v>
      </c>
      <c r="R4599" s="9">
        <f t="shared" si="285"/>
        <v>599.6</v>
      </c>
      <c r="S4599" s="9">
        <f>IF(R4599="",AVERAGEIF(Table1[Category],Table1[[#This Row],[Category]],Table2[orignal data]),Table2[[#This Row],[orignal data]])</f>
        <v>599.6</v>
      </c>
      <c r="T4599" t="str">
        <f t="shared" si="286"/>
        <v>UNIQUE</v>
      </c>
      <c r="U4599" t="str">
        <f>IF(ISBLANK(Table1[[#This Row],[SizeOption]]),"NOT AVAILABLE",Table1[[#This Row],[SizeOption]])</f>
        <v>S, M, L, XL</v>
      </c>
      <c r="Y4599" t="str">
        <f>IF(Table2[[#This Row],[Column1]]&gt;50%,"HIGH DISCOUNT","LOW DISCOUNT")</f>
        <v>HIGH DISCOUNT</v>
      </c>
    </row>
    <row r="4600" spans="1:25" x14ac:dyDescent="0.25">
      <c r="A4600" s="1" t="s">
        <v>9389</v>
      </c>
      <c r="B4600" s="1">
        <v>9340725</v>
      </c>
      <c r="C4600" s="1" t="s">
        <v>676</v>
      </c>
      <c r="D4600" s="1" t="s">
        <v>41</v>
      </c>
      <c r="E4600" s="1" t="s">
        <v>48</v>
      </c>
      <c r="F4600" s="1" t="s">
        <v>36</v>
      </c>
      <c r="G4600" s="1" t="s">
        <v>2417</v>
      </c>
      <c r="I4600" s="1">
        <v>1998</v>
      </c>
      <c r="J4600" s="1" t="s">
        <v>84</v>
      </c>
      <c r="K4600" s="1" t="s">
        <v>26</v>
      </c>
      <c r="L4600" s="1">
        <v>3.6</v>
      </c>
      <c r="M4600" s="1">
        <v>490</v>
      </c>
      <c r="P4600" t="str">
        <f t="shared" si="287"/>
        <v>50%</v>
      </c>
      <c r="Q4600" s="12">
        <f t="shared" si="284"/>
        <v>0.5</v>
      </c>
      <c r="R4600" s="9">
        <f t="shared" si="285"/>
        <v>999</v>
      </c>
      <c r="S4600" s="9">
        <f>IF(R4600="",AVERAGEIF(Table1[Category],Table1[[#This Row],[Category]],Table2[orignal data]),Table2[[#This Row],[orignal data]])</f>
        <v>999</v>
      </c>
      <c r="T4600" t="str">
        <f t="shared" si="286"/>
        <v>UNIQUE</v>
      </c>
      <c r="U4600" t="str">
        <f>IF(ISBLANK(Table1[[#This Row],[SizeOption]]),"NOT AVAILABLE",Table1[[#This Row],[SizeOption]])</f>
        <v>S, M, L, XL</v>
      </c>
      <c r="Y4600" t="str">
        <f>IF(Table2[[#This Row],[Column1]]&gt;50%,"HIGH DISCOUNT","LOW DISCOUNT")</f>
        <v>LOW DISCOUNT</v>
      </c>
    </row>
    <row r="4601" spans="1:25" x14ac:dyDescent="0.25">
      <c r="A4601" s="2" t="s">
        <v>9390</v>
      </c>
      <c r="B4601" s="2">
        <v>2330759</v>
      </c>
      <c r="C4601" s="2" t="s">
        <v>107</v>
      </c>
      <c r="D4601" s="2" t="s">
        <v>41</v>
      </c>
      <c r="E4601" s="2" t="s">
        <v>82</v>
      </c>
      <c r="F4601" s="2" t="s">
        <v>36</v>
      </c>
      <c r="G4601" s="2" t="s">
        <v>9391</v>
      </c>
      <c r="I4601" s="2">
        <v>1999</v>
      </c>
      <c r="J4601" s="2" t="s">
        <v>150</v>
      </c>
      <c r="K4601" s="2" t="s">
        <v>45</v>
      </c>
      <c r="L4601" s="2">
        <v>4.3</v>
      </c>
      <c r="M4601" s="2">
        <v>490</v>
      </c>
      <c r="P4601" t="str">
        <f t="shared" si="287"/>
        <v>65%</v>
      </c>
      <c r="Q4601" s="12">
        <f t="shared" si="284"/>
        <v>0.65</v>
      </c>
      <c r="R4601" s="9">
        <f t="shared" si="285"/>
        <v>699.64999999999986</v>
      </c>
      <c r="S4601" s="9">
        <f>IF(R4601="",AVERAGEIF(Table1[Category],Table1[[#This Row],[Category]],Table2[orignal data]),Table2[[#This Row],[orignal data]])</f>
        <v>699.64999999999986</v>
      </c>
      <c r="T4601" t="str">
        <f t="shared" si="286"/>
        <v>UNIQUE</v>
      </c>
      <c r="U4601" t="str">
        <f>IF(ISBLANK(Table1[[#This Row],[SizeOption]]),"NOT AVAILABLE",Table1[[#This Row],[SizeOption]])</f>
        <v>XS, S, M, L, XL</v>
      </c>
      <c r="Y4601" t="str">
        <f>IF(Table2[[#This Row],[Column1]]&gt;50%,"HIGH DISCOUNT","LOW DISCOUNT")</f>
        <v>HIGH DISCOUNT</v>
      </c>
    </row>
    <row r="4602" spans="1:25" x14ac:dyDescent="0.25">
      <c r="A4602" s="1" t="s">
        <v>9392</v>
      </c>
      <c r="B4602" s="1">
        <v>10237779</v>
      </c>
      <c r="C4602" s="1" t="s">
        <v>8692</v>
      </c>
      <c r="D4602" s="1" t="s">
        <v>41</v>
      </c>
      <c r="E4602" s="1" t="s">
        <v>42</v>
      </c>
      <c r="F4602" s="1" t="s">
        <v>36</v>
      </c>
      <c r="G4602" s="1" t="s">
        <v>9393</v>
      </c>
      <c r="I4602" s="1">
        <v>899</v>
      </c>
      <c r="J4602" s="1" t="s">
        <v>408</v>
      </c>
      <c r="K4602" s="1" t="s">
        <v>45</v>
      </c>
      <c r="L4602" s="1">
        <v>4.2</v>
      </c>
      <c r="M4602" s="1">
        <v>490</v>
      </c>
      <c r="P4602" t="str">
        <f t="shared" si="287"/>
        <v>38%</v>
      </c>
      <c r="Q4602" s="12">
        <f t="shared" si="284"/>
        <v>0.38</v>
      </c>
      <c r="R4602" s="9">
        <f t="shared" si="285"/>
        <v>557.38</v>
      </c>
      <c r="S4602" s="9">
        <f>IF(R4602="",AVERAGEIF(Table1[Category],Table1[[#This Row],[Category]],Table2[orignal data]),Table2[[#This Row],[orignal data]])</f>
        <v>557.38</v>
      </c>
      <c r="T4602" t="str">
        <f t="shared" si="286"/>
        <v>UNIQUE</v>
      </c>
      <c r="U4602" t="str">
        <f>IF(ISBLANK(Table1[[#This Row],[SizeOption]]),"NOT AVAILABLE",Table1[[#This Row],[SizeOption]])</f>
        <v>XS, S, M, L, XL</v>
      </c>
      <c r="Y4602" t="str">
        <f>IF(Table2[[#This Row],[Column1]]&gt;50%,"HIGH DISCOUNT","LOW DISCOUNT")</f>
        <v>LOW DISCOUNT</v>
      </c>
    </row>
    <row r="4603" spans="1:25" x14ac:dyDescent="0.25">
      <c r="A4603" s="2" t="s">
        <v>9394</v>
      </c>
      <c r="B4603" s="2">
        <v>13899952</v>
      </c>
      <c r="C4603" s="2" t="s">
        <v>52</v>
      </c>
      <c r="D4603" s="2" t="s">
        <v>15</v>
      </c>
      <c r="E4603" s="2" t="s">
        <v>23</v>
      </c>
      <c r="F4603" s="2" t="s">
        <v>17</v>
      </c>
      <c r="G4603" s="2" t="s">
        <v>9395</v>
      </c>
      <c r="H4603">
        <v>379</v>
      </c>
      <c r="I4603" s="2">
        <v>949</v>
      </c>
      <c r="J4603" s="2" t="s">
        <v>55</v>
      </c>
      <c r="K4603" s="2" t="s">
        <v>26</v>
      </c>
      <c r="L4603" s="2">
        <v>4</v>
      </c>
      <c r="M4603" s="2">
        <v>489</v>
      </c>
      <c r="P4603" t="str">
        <f t="shared" si="287"/>
        <v>60%</v>
      </c>
      <c r="Q4603" s="12">
        <f t="shared" si="284"/>
        <v>0.6</v>
      </c>
      <c r="R4603" s="9">
        <f t="shared" si="285"/>
        <v>379.6</v>
      </c>
      <c r="S4603" s="9">
        <f>IF(R4603="",AVERAGEIF(Table1[Category],Table1[[#This Row],[Category]],Table2[orignal data]),Table2[[#This Row],[orignal data]])</f>
        <v>379.6</v>
      </c>
      <c r="T4603" t="str">
        <f t="shared" si="286"/>
        <v>UNIQUE</v>
      </c>
      <c r="U4603" t="str">
        <f>IF(ISBLANK(Table1[[#This Row],[SizeOption]]),"NOT AVAILABLE",Table1[[#This Row],[SizeOption]])</f>
        <v>S, M, L, XL</v>
      </c>
      <c r="Y4603" t="str">
        <f>IF(Table2[[#This Row],[Column1]]&gt;50%,"HIGH DISCOUNT","LOW DISCOUNT")</f>
        <v>HIGH DISCOUNT</v>
      </c>
    </row>
    <row r="4604" spans="1:25" x14ac:dyDescent="0.25">
      <c r="A4604" s="1" t="s">
        <v>9396</v>
      </c>
      <c r="B4604" s="1">
        <v>9476079</v>
      </c>
      <c r="C4604" s="1" t="s">
        <v>3673</v>
      </c>
      <c r="D4604" s="1" t="s">
        <v>76</v>
      </c>
      <c r="E4604" s="1" t="s">
        <v>93</v>
      </c>
      <c r="F4604" s="1" t="s">
        <v>17</v>
      </c>
      <c r="G4604" s="1" t="s">
        <v>9397</v>
      </c>
      <c r="H4604">
        <v>794</v>
      </c>
      <c r="I4604" s="1">
        <v>2099</v>
      </c>
      <c r="J4604" s="1" t="s">
        <v>3675</v>
      </c>
      <c r="K4604" s="1" t="s">
        <v>39</v>
      </c>
      <c r="L4604" s="1">
        <v>4.0999999999999996</v>
      </c>
      <c r="M4604" s="1">
        <v>489</v>
      </c>
      <c r="P4604" t="str">
        <f t="shared" si="287"/>
        <v>1305</v>
      </c>
      <c r="Q4604" s="12">
        <f t="shared" si="284"/>
        <v>0.62172463077656026</v>
      </c>
      <c r="R4604" s="9">
        <f t="shared" si="285"/>
        <v>794</v>
      </c>
      <c r="S4604" s="9">
        <f>IF(R4604="",AVERAGEIF(Table1[Category],Table1[[#This Row],[Category]],Table2[orignal data]),Table2[[#This Row],[orignal data]])</f>
        <v>794</v>
      </c>
      <c r="T4604" t="str">
        <f t="shared" si="286"/>
        <v>UNIQUE</v>
      </c>
      <c r="U4604" t="str">
        <f>IF(ISBLANK(Table1[[#This Row],[SizeOption]]),"NOT AVAILABLE",Table1[[#This Row],[SizeOption]])</f>
        <v>S, M, L, XL, XXL</v>
      </c>
      <c r="Y4604" t="str">
        <f>IF(Table2[[#This Row],[Column1]]&gt;50%,"HIGH DISCOUNT","LOW DISCOUNT")</f>
        <v>HIGH DISCOUNT</v>
      </c>
    </row>
    <row r="4605" spans="1:25" x14ac:dyDescent="0.25">
      <c r="A4605" s="2" t="s">
        <v>9398</v>
      </c>
      <c r="B4605" s="2">
        <v>17801294</v>
      </c>
      <c r="C4605" s="2" t="s">
        <v>3804</v>
      </c>
      <c r="D4605" s="2" t="s">
        <v>197</v>
      </c>
      <c r="E4605" s="2" t="s">
        <v>296</v>
      </c>
      <c r="F4605" s="2" t="s">
        <v>17</v>
      </c>
      <c r="G4605" s="2" t="s">
        <v>9399</v>
      </c>
      <c r="I4605" s="2">
        <v>898</v>
      </c>
      <c r="J4605" s="2"/>
      <c r="K4605" s="2" t="s">
        <v>5894</v>
      </c>
      <c r="L4605" s="2">
        <v>4.0999999999999996</v>
      </c>
      <c r="M4605" s="2">
        <v>489</v>
      </c>
      <c r="P4605" t="str">
        <f t="shared" si="287"/>
        <v/>
      </c>
      <c r="Q4605" s="12" t="str">
        <f t="shared" si="284"/>
        <v/>
      </c>
      <c r="R4605" s="9" t="str">
        <f t="shared" si="285"/>
        <v/>
      </c>
      <c r="S4605" s="9">
        <f>IF(R4605="",AVERAGEIF(Table1[Category],Table1[[#This Row],[Category]],Table2[orignal data]),Table2[[#This Row],[orignal data]])</f>
        <v>552.70900000000006</v>
      </c>
      <c r="T4605" t="str">
        <f t="shared" si="286"/>
        <v>UNIQUE</v>
      </c>
      <c r="U4605" t="str">
        <f>IF(ISBLANK(Table1[[#This Row],[SizeOption]]),"NOT AVAILABLE",Table1[[#This Row],[SizeOption]])</f>
        <v>M, S, L</v>
      </c>
      <c r="Y4605" t="str">
        <f>IF(Table2[[#This Row],[Column1]]&gt;50%,"HIGH DISCOUNT","LOW DISCOUNT")</f>
        <v>HIGH DISCOUNT</v>
      </c>
    </row>
    <row r="4606" spans="1:25" x14ac:dyDescent="0.25">
      <c r="A4606" s="1" t="s">
        <v>9400</v>
      </c>
      <c r="B4606" s="1">
        <v>10180691</v>
      </c>
      <c r="C4606" s="1" t="s">
        <v>6005</v>
      </c>
      <c r="D4606" s="1" t="s">
        <v>28</v>
      </c>
      <c r="E4606" s="1" t="s">
        <v>42</v>
      </c>
      <c r="F4606" s="1" t="s">
        <v>17</v>
      </c>
      <c r="G4606" s="1" t="s">
        <v>9401</v>
      </c>
      <c r="H4606">
        <v>599</v>
      </c>
      <c r="I4606" s="1">
        <v>1249</v>
      </c>
      <c r="J4606" s="1" t="s">
        <v>208</v>
      </c>
      <c r="K4606" s="1" t="s">
        <v>39</v>
      </c>
      <c r="L4606" s="1">
        <v>4.2</v>
      </c>
      <c r="M4606" s="1">
        <v>489</v>
      </c>
      <c r="P4606" t="str">
        <f t="shared" si="287"/>
        <v>52%</v>
      </c>
      <c r="Q4606" s="12">
        <f t="shared" si="284"/>
        <v>0.52</v>
      </c>
      <c r="R4606" s="9">
        <f t="shared" si="285"/>
        <v>599.52</v>
      </c>
      <c r="S4606" s="9">
        <f>IF(R4606="",AVERAGEIF(Table1[Category],Table1[[#This Row],[Category]],Table2[orignal data]),Table2[[#This Row],[orignal data]])</f>
        <v>599.52</v>
      </c>
      <c r="T4606" t="str">
        <f t="shared" si="286"/>
        <v>UNIQUE</v>
      </c>
      <c r="U4606" t="str">
        <f>IF(ISBLANK(Table1[[#This Row],[SizeOption]]),"NOT AVAILABLE",Table1[[#This Row],[SizeOption]])</f>
        <v>S, M, L, XL, XXL</v>
      </c>
      <c r="Y4606" t="str">
        <f>IF(Table2[[#This Row],[Column1]]&gt;50%,"HIGH DISCOUNT","LOW DISCOUNT")</f>
        <v>HIGH DISCOUNT</v>
      </c>
    </row>
    <row r="4607" spans="1:25" x14ac:dyDescent="0.25">
      <c r="A4607" s="2" t="s">
        <v>9402</v>
      </c>
      <c r="B4607" s="2">
        <v>11780474</v>
      </c>
      <c r="C4607" s="2" t="s">
        <v>47</v>
      </c>
      <c r="D4607" s="2" t="s">
        <v>28</v>
      </c>
      <c r="E4607" s="2" t="s">
        <v>42</v>
      </c>
      <c r="F4607" s="2" t="s">
        <v>17</v>
      </c>
      <c r="G4607" s="2" t="s">
        <v>9403</v>
      </c>
      <c r="H4607">
        <v>649</v>
      </c>
      <c r="I4607" s="2">
        <v>1299</v>
      </c>
      <c r="J4607" s="2" t="s">
        <v>84</v>
      </c>
      <c r="K4607" s="2" t="s">
        <v>26</v>
      </c>
      <c r="L4607" s="2">
        <v>4.3</v>
      </c>
      <c r="M4607" s="2">
        <v>489</v>
      </c>
      <c r="P4607" t="str">
        <f t="shared" si="287"/>
        <v>50%</v>
      </c>
      <c r="Q4607" s="12">
        <f t="shared" si="284"/>
        <v>0.5</v>
      </c>
      <c r="R4607" s="9">
        <f t="shared" si="285"/>
        <v>649.5</v>
      </c>
      <c r="S4607" s="9">
        <f>IF(R4607="",AVERAGEIF(Table1[Category],Table1[[#This Row],[Category]],Table2[orignal data]),Table2[[#This Row],[orignal data]])</f>
        <v>649.5</v>
      </c>
      <c r="T4607" t="str">
        <f t="shared" si="286"/>
        <v>UNIQUE</v>
      </c>
      <c r="U4607" t="str">
        <f>IF(ISBLANK(Table1[[#This Row],[SizeOption]]),"NOT AVAILABLE",Table1[[#This Row],[SizeOption]])</f>
        <v>S, M, L, XL</v>
      </c>
      <c r="Y4607" t="str">
        <f>IF(Table2[[#This Row],[Column1]]&gt;50%,"HIGH DISCOUNT","LOW DISCOUNT")</f>
        <v>LOW DISCOUNT</v>
      </c>
    </row>
    <row r="4608" spans="1:25" x14ac:dyDescent="0.25">
      <c r="A4608" s="1" t="s">
        <v>9404</v>
      </c>
      <c r="B4608" s="1">
        <v>10659104</v>
      </c>
      <c r="C4608" s="1" t="s">
        <v>52</v>
      </c>
      <c r="D4608" s="1" t="s">
        <v>28</v>
      </c>
      <c r="E4608" s="1" t="s">
        <v>29</v>
      </c>
      <c r="F4608" s="1" t="s">
        <v>17</v>
      </c>
      <c r="G4608" s="1" t="s">
        <v>9405</v>
      </c>
      <c r="H4608">
        <v>539</v>
      </c>
      <c r="I4608" s="1">
        <v>1349</v>
      </c>
      <c r="J4608" s="1" t="s">
        <v>55</v>
      </c>
      <c r="K4608" s="1" t="s">
        <v>90</v>
      </c>
      <c r="L4608" s="1">
        <v>4.0999999999999996</v>
      </c>
      <c r="M4608" s="1">
        <v>489</v>
      </c>
      <c r="P4608" t="str">
        <f t="shared" si="287"/>
        <v>60%</v>
      </c>
      <c r="Q4608" s="12">
        <f t="shared" si="284"/>
        <v>0.6</v>
      </c>
      <c r="R4608" s="9">
        <f t="shared" si="285"/>
        <v>539.6</v>
      </c>
      <c r="S4608" s="9">
        <f>IF(R4608="",AVERAGEIF(Table1[Category],Table1[[#This Row],[Category]],Table2[orignal data]),Table2[[#This Row],[orignal data]])</f>
        <v>539.6</v>
      </c>
      <c r="T4608" t="str">
        <f t="shared" si="286"/>
        <v>UNIQUE</v>
      </c>
      <c r="U4608" t="str">
        <f>IF(ISBLANK(Table1[[#This Row],[SizeOption]]),"NOT AVAILABLE",Table1[[#This Row],[SizeOption]])</f>
        <v>39, 40, 42, 44</v>
      </c>
      <c r="Y4608" t="str">
        <f>IF(Table2[[#This Row],[Column1]]&gt;50%,"HIGH DISCOUNT","LOW DISCOUNT")</f>
        <v>HIGH DISCOUNT</v>
      </c>
    </row>
    <row r="4609" spans="1:25" x14ac:dyDescent="0.25">
      <c r="A4609" s="2" t="s">
        <v>9406</v>
      </c>
      <c r="B4609" s="2">
        <v>10341665</v>
      </c>
      <c r="C4609" s="2" t="s">
        <v>52</v>
      </c>
      <c r="D4609" s="2" t="s">
        <v>28</v>
      </c>
      <c r="E4609" s="2" t="s">
        <v>29</v>
      </c>
      <c r="F4609" s="2" t="s">
        <v>17</v>
      </c>
      <c r="G4609" s="2" t="s">
        <v>4971</v>
      </c>
      <c r="H4609">
        <v>517</v>
      </c>
      <c r="I4609" s="2">
        <v>1399</v>
      </c>
      <c r="J4609" s="2" t="s">
        <v>476</v>
      </c>
      <c r="K4609" s="2" t="s">
        <v>90</v>
      </c>
      <c r="L4609" s="2">
        <v>4.2</v>
      </c>
      <c r="M4609" s="2">
        <v>489</v>
      </c>
      <c r="P4609" t="str">
        <f t="shared" si="287"/>
        <v>63%</v>
      </c>
      <c r="Q4609" s="12">
        <f t="shared" si="284"/>
        <v>0.63</v>
      </c>
      <c r="R4609" s="9">
        <f t="shared" si="285"/>
        <v>517.63</v>
      </c>
      <c r="S4609" s="9">
        <f>IF(R4609="",AVERAGEIF(Table1[Category],Table1[[#This Row],[Category]],Table2[orignal data]),Table2[[#This Row],[orignal data]])</f>
        <v>517.63</v>
      </c>
      <c r="T4609" t="str">
        <f t="shared" si="286"/>
        <v>UNIQUE</v>
      </c>
      <c r="U4609" t="str">
        <f>IF(ISBLANK(Table1[[#This Row],[SizeOption]]),"NOT AVAILABLE",Table1[[#This Row],[SizeOption]])</f>
        <v>39, 40, 42, 44</v>
      </c>
      <c r="Y4609" t="str">
        <f>IF(Table2[[#This Row],[Column1]]&gt;50%,"HIGH DISCOUNT","LOW DISCOUNT")</f>
        <v>HIGH DISCOUNT</v>
      </c>
    </row>
    <row r="4610" spans="1:25" x14ac:dyDescent="0.25">
      <c r="A4610" s="1" t="s">
        <v>9407</v>
      </c>
      <c r="B4610" s="1">
        <v>12056224</v>
      </c>
      <c r="C4610" s="1" t="s">
        <v>14</v>
      </c>
      <c r="D4610" s="1" t="s">
        <v>28</v>
      </c>
      <c r="E4610" s="1" t="s">
        <v>29</v>
      </c>
      <c r="F4610" s="1" t="s">
        <v>17</v>
      </c>
      <c r="G4610" s="1" t="s">
        <v>9408</v>
      </c>
      <c r="H4610">
        <v>719</v>
      </c>
      <c r="I4610" s="1">
        <v>1599</v>
      </c>
      <c r="J4610" s="1" t="s">
        <v>25</v>
      </c>
      <c r="K4610" s="1" t="s">
        <v>253</v>
      </c>
      <c r="L4610" s="1">
        <v>4.3</v>
      </c>
      <c r="M4610" s="1">
        <v>489</v>
      </c>
      <c r="P4610" t="str">
        <f t="shared" si="287"/>
        <v>55%</v>
      </c>
      <c r="Q4610" s="12">
        <f t="shared" ref="Q4610:Q4673" si="288">IF(P4610="","",IF(ISNUMBER(SEARCH("%",P4610)),P4610,P4610/I4610)*100%)</f>
        <v>0.55000000000000004</v>
      </c>
      <c r="R4610" s="9">
        <f t="shared" ref="R4610:R4673" si="289">IF(P4610="","",I4610-(I4610*Q4610))</f>
        <v>719.55</v>
      </c>
      <c r="S4610" s="9">
        <f>IF(R4610="",AVERAGEIF(Table1[Category],Table1[[#This Row],[Category]],Table2[orignal data]),Table2[[#This Row],[orignal data]])</f>
        <v>719.55</v>
      </c>
      <c r="T4610" t="str">
        <f t="shared" ref="T4610:T4673" si="290">IF(COUNTIF($B$2:$B$5000,B4610)&gt;1,"DUPLICATE","UNIQUE")</f>
        <v>UNIQUE</v>
      </c>
      <c r="U4610" t="str">
        <f>IF(ISBLANK(Table1[[#This Row],[SizeOption]]),"NOT AVAILABLE",Table1[[#This Row],[SizeOption]])</f>
        <v>38, 40, 42, 44</v>
      </c>
      <c r="Y4610" t="str">
        <f>IF(Table2[[#This Row],[Column1]]&gt;50%,"HIGH DISCOUNT","LOW DISCOUNT")</f>
        <v>HIGH DISCOUNT</v>
      </c>
    </row>
    <row r="4611" spans="1:25" x14ac:dyDescent="0.25">
      <c r="A4611" s="2" t="s">
        <v>9409</v>
      </c>
      <c r="B4611" s="2">
        <v>7324874</v>
      </c>
      <c r="C4611" s="2" t="s">
        <v>52</v>
      </c>
      <c r="D4611" s="2" t="s">
        <v>28</v>
      </c>
      <c r="E4611" s="2" t="s">
        <v>29</v>
      </c>
      <c r="F4611" s="2" t="s">
        <v>17</v>
      </c>
      <c r="G4611" s="2" t="s">
        <v>9410</v>
      </c>
      <c r="H4611">
        <v>751</v>
      </c>
      <c r="I4611" s="2">
        <v>1599</v>
      </c>
      <c r="J4611" s="2" t="s">
        <v>89</v>
      </c>
      <c r="K4611" s="2" t="s">
        <v>90</v>
      </c>
      <c r="L4611" s="2">
        <v>4.2</v>
      </c>
      <c r="M4611" s="2">
        <v>489</v>
      </c>
      <c r="P4611" t="str">
        <f t="shared" ref="P4611:P4674" si="291">TRIM(SUBSTITUTE(SUBSTITUTE(SUBSTITUTE(SUBSTITUTE(J4611,"OFF",""),"Rs.",""),"Hurry*",""),",",""))</f>
        <v>53%</v>
      </c>
      <c r="Q4611" s="12">
        <f t="shared" si="288"/>
        <v>0.53</v>
      </c>
      <c r="R4611" s="9">
        <f t="shared" si="289"/>
        <v>751.53</v>
      </c>
      <c r="S4611" s="9">
        <f>IF(R4611="",AVERAGEIF(Table1[Category],Table1[[#This Row],[Category]],Table2[orignal data]),Table2[[#This Row],[orignal data]])</f>
        <v>751.53</v>
      </c>
      <c r="T4611" t="str">
        <f t="shared" si="290"/>
        <v>UNIQUE</v>
      </c>
      <c r="U4611" t="str">
        <f>IF(ISBLANK(Table1[[#This Row],[SizeOption]]),"NOT AVAILABLE",Table1[[#This Row],[SizeOption]])</f>
        <v>39, 40, 42, 44</v>
      </c>
      <c r="Y4611" t="str">
        <f>IF(Table2[[#This Row],[Column1]]&gt;50%,"HIGH DISCOUNT","LOW DISCOUNT")</f>
        <v>HIGH DISCOUNT</v>
      </c>
    </row>
    <row r="4612" spans="1:25" x14ac:dyDescent="0.25">
      <c r="A4612" s="1" t="s">
        <v>9411</v>
      </c>
      <c r="B4612" s="1">
        <v>1308791</v>
      </c>
      <c r="C4612" s="1" t="s">
        <v>1461</v>
      </c>
      <c r="D4612" s="1" t="s">
        <v>28</v>
      </c>
      <c r="E4612" s="1" t="s">
        <v>42</v>
      </c>
      <c r="F4612" s="1" t="s">
        <v>17</v>
      </c>
      <c r="G4612" s="1" t="s">
        <v>9412</v>
      </c>
      <c r="H4612">
        <v>797</v>
      </c>
      <c r="I4612" s="1">
        <v>985</v>
      </c>
      <c r="J4612" s="1" t="s">
        <v>1463</v>
      </c>
      <c r="K4612" s="1" t="s">
        <v>26</v>
      </c>
      <c r="L4612" s="1">
        <v>4.3</v>
      </c>
      <c r="M4612" s="1">
        <v>489</v>
      </c>
      <c r="P4612" t="str">
        <f t="shared" si="291"/>
        <v>19%</v>
      </c>
      <c r="Q4612" s="12">
        <f t="shared" si="288"/>
        <v>0.19</v>
      </c>
      <c r="R4612" s="9">
        <f t="shared" si="289"/>
        <v>797.85</v>
      </c>
      <c r="S4612" s="9">
        <f>IF(R4612="",AVERAGEIF(Table1[Category],Table1[[#This Row],[Category]],Table2[orignal data]),Table2[[#This Row],[orignal data]])</f>
        <v>797.85</v>
      </c>
      <c r="T4612" t="str">
        <f t="shared" si="290"/>
        <v>UNIQUE</v>
      </c>
      <c r="U4612" t="str">
        <f>IF(ISBLANK(Table1[[#This Row],[SizeOption]]),"NOT AVAILABLE",Table1[[#This Row],[SizeOption]])</f>
        <v>S, M, L, XL</v>
      </c>
      <c r="Y4612" t="str">
        <f>IF(Table2[[#This Row],[Column1]]&gt;50%,"HIGH DISCOUNT","LOW DISCOUNT")</f>
        <v>LOW DISCOUNT</v>
      </c>
    </row>
    <row r="4613" spans="1:25" x14ac:dyDescent="0.25">
      <c r="A4613" s="2" t="s">
        <v>9413</v>
      </c>
      <c r="B4613" s="2">
        <v>12524790</v>
      </c>
      <c r="C4613" s="2" t="s">
        <v>64</v>
      </c>
      <c r="D4613" s="2" t="s">
        <v>76</v>
      </c>
      <c r="E4613" s="2" t="s">
        <v>93</v>
      </c>
      <c r="F4613" s="2" t="s">
        <v>36</v>
      </c>
      <c r="G4613" s="2" t="s">
        <v>9414</v>
      </c>
      <c r="H4613">
        <v>559</v>
      </c>
      <c r="I4613" s="2">
        <v>1399</v>
      </c>
      <c r="J4613" s="2" t="s">
        <v>55</v>
      </c>
      <c r="K4613" s="2" t="s">
        <v>100</v>
      </c>
      <c r="L4613" s="2">
        <v>4.0999999999999996</v>
      </c>
      <c r="M4613" s="2">
        <v>489</v>
      </c>
      <c r="P4613" t="str">
        <f t="shared" si="291"/>
        <v>60%</v>
      </c>
      <c r="Q4613" s="12">
        <f t="shared" si="288"/>
        <v>0.6</v>
      </c>
      <c r="R4613" s="9">
        <f t="shared" si="289"/>
        <v>559.6</v>
      </c>
      <c r="S4613" s="9">
        <f>IF(R4613="",AVERAGEIF(Table1[Category],Table1[[#This Row],[Category]],Table2[orignal data]),Table2[[#This Row],[orignal data]])</f>
        <v>559.6</v>
      </c>
      <c r="T4613" t="str">
        <f t="shared" si="290"/>
        <v>UNIQUE</v>
      </c>
      <c r="U4613" t="str">
        <f>IF(ISBLANK(Table1[[#This Row],[SizeOption]]),"NOT AVAILABLE",Table1[[#This Row],[SizeOption]])</f>
        <v>XS, S, M, L, XL, XXL, 3XL</v>
      </c>
      <c r="Y4613" t="str">
        <f>IF(Table2[[#This Row],[Column1]]&gt;50%,"HIGH DISCOUNT","LOW DISCOUNT")</f>
        <v>HIGH DISCOUNT</v>
      </c>
    </row>
    <row r="4614" spans="1:25" x14ac:dyDescent="0.25">
      <c r="A4614" s="1" t="s">
        <v>9415</v>
      </c>
      <c r="B4614" s="1">
        <v>11331964</v>
      </c>
      <c r="C4614" s="1" t="s">
        <v>92</v>
      </c>
      <c r="D4614" s="1" t="s">
        <v>76</v>
      </c>
      <c r="E4614" s="1" t="s">
        <v>1708</v>
      </c>
      <c r="F4614" s="1" t="s">
        <v>36</v>
      </c>
      <c r="G4614" s="1" t="s">
        <v>9416</v>
      </c>
      <c r="H4614">
        <v>781</v>
      </c>
      <c r="I4614" s="1">
        <v>1699</v>
      </c>
      <c r="J4614" s="1" t="s">
        <v>606</v>
      </c>
      <c r="K4614" s="1" t="s">
        <v>39</v>
      </c>
      <c r="L4614" s="1">
        <v>4</v>
      </c>
      <c r="M4614" s="1">
        <v>489</v>
      </c>
      <c r="P4614" t="str">
        <f t="shared" si="291"/>
        <v>54%</v>
      </c>
      <c r="Q4614" s="12">
        <f t="shared" si="288"/>
        <v>0.54</v>
      </c>
      <c r="R4614" s="9">
        <f t="shared" si="289"/>
        <v>781.54</v>
      </c>
      <c r="S4614" s="9">
        <f>IF(R4614="",AVERAGEIF(Table1[Category],Table1[[#This Row],[Category]],Table2[orignal data]),Table2[[#This Row],[orignal data]])</f>
        <v>781.54</v>
      </c>
      <c r="T4614" t="str">
        <f t="shared" si="290"/>
        <v>UNIQUE</v>
      </c>
      <c r="U4614" t="str">
        <f>IF(ISBLANK(Table1[[#This Row],[SizeOption]]),"NOT AVAILABLE",Table1[[#This Row],[SizeOption]])</f>
        <v>S, M, L, XL, XXL</v>
      </c>
      <c r="Y4614" t="str">
        <f>IF(Table2[[#This Row],[Column1]]&gt;50%,"HIGH DISCOUNT","LOW DISCOUNT")</f>
        <v>HIGH DISCOUNT</v>
      </c>
    </row>
    <row r="4615" spans="1:25" x14ac:dyDescent="0.25">
      <c r="A4615" s="2" t="s">
        <v>9417</v>
      </c>
      <c r="B4615" s="2">
        <v>1839678</v>
      </c>
      <c r="C4615" s="2" t="s">
        <v>201</v>
      </c>
      <c r="D4615" s="2" t="s">
        <v>98</v>
      </c>
      <c r="E4615" s="2" t="s">
        <v>93</v>
      </c>
      <c r="F4615" s="2" t="s">
        <v>36</v>
      </c>
      <c r="G4615" s="2" t="s">
        <v>9418</v>
      </c>
      <c r="H4615">
        <v>419</v>
      </c>
      <c r="I4615" s="2">
        <v>1399</v>
      </c>
      <c r="J4615" s="2" t="s">
        <v>1566</v>
      </c>
      <c r="K4615" s="2" t="s">
        <v>234</v>
      </c>
      <c r="L4615" s="2">
        <v>3.8</v>
      </c>
      <c r="M4615" s="2">
        <v>489</v>
      </c>
      <c r="P4615" t="str">
        <f t="shared" si="291"/>
        <v>70%</v>
      </c>
      <c r="Q4615" s="12">
        <f t="shared" si="288"/>
        <v>0.7</v>
      </c>
      <c r="R4615" s="9">
        <f t="shared" si="289"/>
        <v>419.70000000000005</v>
      </c>
      <c r="S4615" s="9">
        <f>IF(R4615="",AVERAGEIF(Table1[Category],Table1[[#This Row],[Category]],Table2[orignal data]),Table2[[#This Row],[orignal data]])</f>
        <v>419.70000000000005</v>
      </c>
      <c r="T4615" t="str">
        <f t="shared" si="290"/>
        <v>UNIQUE</v>
      </c>
      <c r="U4615" t="str">
        <f>IF(ISBLANK(Table1[[#This Row],[SizeOption]]),"NOT AVAILABLE",Table1[[#This Row],[SizeOption]])</f>
        <v>S, M, L, XL, XXL, 3XL</v>
      </c>
      <c r="Y4615" t="str">
        <f>IF(Table2[[#This Row],[Column1]]&gt;50%,"HIGH DISCOUNT","LOW DISCOUNT")</f>
        <v>HIGH DISCOUNT</v>
      </c>
    </row>
    <row r="4616" spans="1:25" x14ac:dyDescent="0.25">
      <c r="A4616" s="1" t="s">
        <v>9419</v>
      </c>
      <c r="B4616" s="1">
        <v>8802667</v>
      </c>
      <c r="C4616" s="1" t="s">
        <v>97</v>
      </c>
      <c r="D4616" s="1" t="s">
        <v>98</v>
      </c>
      <c r="E4616" s="1" t="s">
        <v>93</v>
      </c>
      <c r="F4616" s="1" t="s">
        <v>36</v>
      </c>
      <c r="G4616" s="1" t="s">
        <v>9420</v>
      </c>
      <c r="H4616">
        <v>594</v>
      </c>
      <c r="I4616" s="1">
        <v>1699</v>
      </c>
      <c r="J4616" s="1" t="s">
        <v>150</v>
      </c>
      <c r="K4616" s="1" t="s">
        <v>100</v>
      </c>
      <c r="L4616" s="1">
        <v>4.2</v>
      </c>
      <c r="M4616" s="1">
        <v>489</v>
      </c>
      <c r="P4616" t="str">
        <f t="shared" si="291"/>
        <v>65%</v>
      </c>
      <c r="Q4616" s="12">
        <f t="shared" si="288"/>
        <v>0.65</v>
      </c>
      <c r="R4616" s="9">
        <f t="shared" si="289"/>
        <v>594.64999999999986</v>
      </c>
      <c r="S4616" s="9">
        <f>IF(R4616="",AVERAGEIF(Table1[Category],Table1[[#This Row],[Category]],Table2[orignal data]),Table2[[#This Row],[orignal data]])</f>
        <v>594.64999999999986</v>
      </c>
      <c r="T4616" t="str">
        <f t="shared" si="290"/>
        <v>UNIQUE</v>
      </c>
      <c r="U4616" t="str">
        <f>IF(ISBLANK(Table1[[#This Row],[SizeOption]]),"NOT AVAILABLE",Table1[[#This Row],[SizeOption]])</f>
        <v>XS, S, M, L, XL, XXL, 3XL</v>
      </c>
      <c r="Y4616" t="str">
        <f>IF(Table2[[#This Row],[Column1]]&gt;50%,"HIGH DISCOUNT","LOW DISCOUNT")</f>
        <v>HIGH DISCOUNT</v>
      </c>
    </row>
    <row r="4617" spans="1:25" x14ac:dyDescent="0.25">
      <c r="A4617" s="2" t="s">
        <v>9421</v>
      </c>
      <c r="B4617" s="2">
        <v>12010832</v>
      </c>
      <c r="C4617" s="2" t="s">
        <v>64</v>
      </c>
      <c r="D4617" s="2" t="s">
        <v>98</v>
      </c>
      <c r="E4617" s="2" t="s">
        <v>1708</v>
      </c>
      <c r="F4617" s="2" t="s">
        <v>36</v>
      </c>
      <c r="G4617" s="2" t="s">
        <v>9422</v>
      </c>
      <c r="H4617">
        <v>1079</v>
      </c>
      <c r="I4617" s="2">
        <v>1799</v>
      </c>
      <c r="J4617" s="2" t="s">
        <v>50</v>
      </c>
      <c r="K4617" s="2" t="s">
        <v>234</v>
      </c>
      <c r="L4617" s="2">
        <v>4.2</v>
      </c>
      <c r="M4617" s="2">
        <v>489</v>
      </c>
      <c r="P4617" t="str">
        <f t="shared" si="291"/>
        <v>40%</v>
      </c>
      <c r="Q4617" s="12">
        <f t="shared" si="288"/>
        <v>0.4</v>
      </c>
      <c r="R4617" s="9">
        <f t="shared" si="289"/>
        <v>1079.4000000000001</v>
      </c>
      <c r="S4617" s="9">
        <f>IF(R4617="",AVERAGEIF(Table1[Category],Table1[[#This Row],[Category]],Table2[orignal data]),Table2[[#This Row],[orignal data]])</f>
        <v>1079.4000000000001</v>
      </c>
      <c r="T4617" t="str">
        <f t="shared" si="290"/>
        <v>UNIQUE</v>
      </c>
      <c r="U4617" t="str">
        <f>IF(ISBLANK(Table1[[#This Row],[SizeOption]]),"NOT AVAILABLE",Table1[[#This Row],[SizeOption]])</f>
        <v>S, M, L, XL, XXL, 3XL</v>
      </c>
      <c r="Y4617" t="str">
        <f>IF(Table2[[#This Row],[Column1]]&gt;50%,"HIGH DISCOUNT","LOW DISCOUNT")</f>
        <v>LOW DISCOUNT</v>
      </c>
    </row>
    <row r="4618" spans="1:25" x14ac:dyDescent="0.25">
      <c r="A4618" s="1" t="s">
        <v>9423</v>
      </c>
      <c r="B4618" s="1">
        <v>13498312</v>
      </c>
      <c r="C4618" s="1" t="s">
        <v>64</v>
      </c>
      <c r="D4618" s="1" t="s">
        <v>98</v>
      </c>
      <c r="E4618" s="1" t="s">
        <v>93</v>
      </c>
      <c r="F4618" s="1" t="s">
        <v>36</v>
      </c>
      <c r="G4618" s="1" t="s">
        <v>9424</v>
      </c>
      <c r="H4618">
        <v>1399</v>
      </c>
      <c r="I4618" s="1">
        <v>2799</v>
      </c>
      <c r="J4618" s="1" t="s">
        <v>84</v>
      </c>
      <c r="K4618" s="1" t="s">
        <v>100</v>
      </c>
      <c r="L4618" s="1">
        <v>4.4000000000000004</v>
      </c>
      <c r="M4618" s="1">
        <v>489</v>
      </c>
      <c r="P4618" t="str">
        <f t="shared" si="291"/>
        <v>50%</v>
      </c>
      <c r="Q4618" s="12">
        <f t="shared" si="288"/>
        <v>0.5</v>
      </c>
      <c r="R4618" s="9">
        <f t="shared" si="289"/>
        <v>1399.5</v>
      </c>
      <c r="S4618" s="9">
        <f>IF(R4618="",AVERAGEIF(Table1[Category],Table1[[#This Row],[Category]],Table2[orignal data]),Table2[[#This Row],[orignal data]])</f>
        <v>1399.5</v>
      </c>
      <c r="T4618" t="str">
        <f t="shared" si="290"/>
        <v>UNIQUE</v>
      </c>
      <c r="U4618" t="str">
        <f>IF(ISBLANK(Table1[[#This Row],[SizeOption]]),"NOT AVAILABLE",Table1[[#This Row],[SizeOption]])</f>
        <v>XS, S, M, L, XL, XXL, 3XL</v>
      </c>
      <c r="Y4618" t="str">
        <f>IF(Table2[[#This Row],[Column1]]&gt;50%,"HIGH DISCOUNT","LOW DISCOUNT")</f>
        <v>LOW DISCOUNT</v>
      </c>
    </row>
    <row r="4619" spans="1:25" x14ac:dyDescent="0.25">
      <c r="A4619" s="2" t="s">
        <v>9425</v>
      </c>
      <c r="B4619" s="2">
        <v>11999804</v>
      </c>
      <c r="C4619" s="2" t="s">
        <v>67</v>
      </c>
      <c r="D4619" s="2" t="s">
        <v>68</v>
      </c>
      <c r="E4619" s="2" t="s">
        <v>42</v>
      </c>
      <c r="F4619" s="2" t="s">
        <v>36</v>
      </c>
      <c r="G4619" s="2" t="s">
        <v>9426</v>
      </c>
      <c r="H4619">
        <v>279</v>
      </c>
      <c r="I4619" s="2">
        <v>699</v>
      </c>
      <c r="J4619" s="2" t="s">
        <v>55</v>
      </c>
      <c r="K4619" s="2" t="s">
        <v>45</v>
      </c>
      <c r="L4619" s="2">
        <v>4.3</v>
      </c>
      <c r="M4619" s="2">
        <v>489</v>
      </c>
      <c r="P4619" t="str">
        <f t="shared" si="291"/>
        <v>60%</v>
      </c>
      <c r="Q4619" s="12">
        <f t="shared" si="288"/>
        <v>0.6</v>
      </c>
      <c r="R4619" s="9">
        <f t="shared" si="289"/>
        <v>279.60000000000002</v>
      </c>
      <c r="S4619" s="9">
        <f>IF(R4619="",AVERAGEIF(Table1[Category],Table1[[#This Row],[Category]],Table2[orignal data]),Table2[[#This Row],[orignal data]])</f>
        <v>279.60000000000002</v>
      </c>
      <c r="T4619" t="str">
        <f t="shared" si="290"/>
        <v>UNIQUE</v>
      </c>
      <c r="U4619" t="str">
        <f>IF(ISBLANK(Table1[[#This Row],[SizeOption]]),"NOT AVAILABLE",Table1[[#This Row],[SizeOption]])</f>
        <v>XS, S, M, L, XL</v>
      </c>
      <c r="Y4619" t="str">
        <f>IF(Table2[[#This Row],[Column1]]&gt;50%,"HIGH DISCOUNT","LOW DISCOUNT")</f>
        <v>HIGH DISCOUNT</v>
      </c>
    </row>
    <row r="4620" spans="1:25" x14ac:dyDescent="0.25">
      <c r="A4620" s="1" t="s">
        <v>9427</v>
      </c>
      <c r="B4620" s="1">
        <v>6707873</v>
      </c>
      <c r="C4620" s="1" t="s">
        <v>102</v>
      </c>
      <c r="D4620" s="1" t="s">
        <v>41</v>
      </c>
      <c r="E4620" s="1" t="s">
        <v>48</v>
      </c>
      <c r="F4620" s="1" t="s">
        <v>36</v>
      </c>
      <c r="G4620" s="1" t="s">
        <v>9428</v>
      </c>
      <c r="I4620" s="1">
        <v>1249</v>
      </c>
      <c r="J4620" s="1" t="s">
        <v>60</v>
      </c>
      <c r="K4620" s="1" t="s">
        <v>26</v>
      </c>
      <c r="L4620" s="1">
        <v>3.8</v>
      </c>
      <c r="M4620" s="1">
        <v>489</v>
      </c>
      <c r="P4620" t="str">
        <f t="shared" si="291"/>
        <v>58%</v>
      </c>
      <c r="Q4620" s="12">
        <f t="shared" si="288"/>
        <v>0.57999999999999996</v>
      </c>
      <c r="R4620" s="9">
        <f t="shared" si="289"/>
        <v>524.58000000000004</v>
      </c>
      <c r="S4620" s="9">
        <f>IF(R4620="",AVERAGEIF(Table1[Category],Table1[[#This Row],[Category]],Table2[orignal data]),Table2[[#This Row],[orignal data]])</f>
        <v>524.58000000000004</v>
      </c>
      <c r="T4620" t="str">
        <f t="shared" si="290"/>
        <v>UNIQUE</v>
      </c>
      <c r="U4620" t="str">
        <f>IF(ISBLANK(Table1[[#This Row],[SizeOption]]),"NOT AVAILABLE",Table1[[#This Row],[SizeOption]])</f>
        <v>S, M, L, XL</v>
      </c>
      <c r="Y4620" t="str">
        <f>IF(Table2[[#This Row],[Column1]]&gt;50%,"HIGH DISCOUNT","LOW DISCOUNT")</f>
        <v>HIGH DISCOUNT</v>
      </c>
    </row>
    <row r="4621" spans="1:25" x14ac:dyDescent="0.25">
      <c r="A4621" s="2" t="s">
        <v>9429</v>
      </c>
      <c r="B4621" s="2">
        <v>10409547</v>
      </c>
      <c r="C4621" s="2" t="s">
        <v>841</v>
      </c>
      <c r="D4621" s="2" t="s">
        <v>41</v>
      </c>
      <c r="E4621" s="2" t="s">
        <v>48</v>
      </c>
      <c r="F4621" s="2" t="s">
        <v>36</v>
      </c>
      <c r="G4621" s="2" t="s">
        <v>9430</v>
      </c>
      <c r="I4621" s="2">
        <v>1499</v>
      </c>
      <c r="J4621" s="2" t="s">
        <v>50</v>
      </c>
      <c r="K4621" s="2" t="s">
        <v>26</v>
      </c>
      <c r="L4621" s="2">
        <v>3.9</v>
      </c>
      <c r="M4621" s="2">
        <v>489</v>
      </c>
      <c r="P4621" t="str">
        <f t="shared" si="291"/>
        <v>40%</v>
      </c>
      <c r="Q4621" s="12">
        <f t="shared" si="288"/>
        <v>0.4</v>
      </c>
      <c r="R4621" s="9">
        <f t="shared" si="289"/>
        <v>899.4</v>
      </c>
      <c r="S4621" s="9">
        <f>IF(R4621="",AVERAGEIF(Table1[Category],Table1[[#This Row],[Category]],Table2[orignal data]),Table2[[#This Row],[orignal data]])</f>
        <v>899.4</v>
      </c>
      <c r="T4621" t="str">
        <f t="shared" si="290"/>
        <v>UNIQUE</v>
      </c>
      <c r="U4621" t="str">
        <f>IF(ISBLANK(Table1[[#This Row],[SizeOption]]),"NOT AVAILABLE",Table1[[#This Row],[SizeOption]])</f>
        <v>S, M, L, XL</v>
      </c>
      <c r="Y4621" t="str">
        <f>IF(Table2[[#This Row],[Column1]]&gt;50%,"HIGH DISCOUNT","LOW DISCOUNT")</f>
        <v>LOW DISCOUNT</v>
      </c>
    </row>
    <row r="4622" spans="1:25" x14ac:dyDescent="0.25">
      <c r="A4622" s="1" t="s">
        <v>9431</v>
      </c>
      <c r="B4622" s="1">
        <v>7030643</v>
      </c>
      <c r="C4622" s="1" t="s">
        <v>5934</v>
      </c>
      <c r="D4622" s="1" t="s">
        <v>41</v>
      </c>
      <c r="E4622" s="1" t="s">
        <v>148</v>
      </c>
      <c r="F4622" s="1" t="s">
        <v>36</v>
      </c>
      <c r="G4622" s="1" t="s">
        <v>9432</v>
      </c>
      <c r="I4622" s="1">
        <v>1799</v>
      </c>
      <c r="J4622" s="1" t="s">
        <v>84</v>
      </c>
      <c r="K4622" s="1" t="s">
        <v>8829</v>
      </c>
      <c r="L4622" s="1">
        <v>4.3</v>
      </c>
      <c r="M4622" s="1">
        <v>489</v>
      </c>
      <c r="P4622" t="str">
        <f t="shared" si="291"/>
        <v>50%</v>
      </c>
      <c r="Q4622" s="12">
        <f t="shared" si="288"/>
        <v>0.5</v>
      </c>
      <c r="R4622" s="9">
        <f t="shared" si="289"/>
        <v>899.5</v>
      </c>
      <c r="S4622" s="9">
        <f>IF(R4622="",AVERAGEIF(Table1[Category],Table1[[#This Row],[Category]],Table2[orignal data]),Table2[[#This Row],[orignal data]])</f>
        <v>899.5</v>
      </c>
      <c r="T4622" t="str">
        <f t="shared" si="290"/>
        <v>UNIQUE</v>
      </c>
      <c r="U4622" t="str">
        <f>IF(ISBLANK(Table1[[#This Row],[SizeOption]]),"NOT AVAILABLE",Table1[[#This Row],[SizeOption]])</f>
        <v>L, XL, XXL, 3XL, 4XL, 5XL, 6XL</v>
      </c>
      <c r="Y4622" t="str">
        <f>IF(Table2[[#This Row],[Column1]]&gt;50%,"HIGH DISCOUNT","LOW DISCOUNT")</f>
        <v>LOW DISCOUNT</v>
      </c>
    </row>
    <row r="4623" spans="1:25" x14ac:dyDescent="0.25">
      <c r="A4623" s="2" t="s">
        <v>9433</v>
      </c>
      <c r="B4623" s="2">
        <v>9341507</v>
      </c>
      <c r="C4623" s="2" t="s">
        <v>676</v>
      </c>
      <c r="D4623" s="2" t="s">
        <v>41</v>
      </c>
      <c r="E4623" s="2" t="s">
        <v>48</v>
      </c>
      <c r="F4623" s="2" t="s">
        <v>36</v>
      </c>
      <c r="G4623" s="2" t="s">
        <v>2570</v>
      </c>
      <c r="I4623" s="2">
        <v>1998</v>
      </c>
      <c r="J4623" s="2" t="s">
        <v>84</v>
      </c>
      <c r="K4623" s="2" t="s">
        <v>26</v>
      </c>
      <c r="L4623" s="2">
        <v>3.6</v>
      </c>
      <c r="M4623" s="2">
        <v>489</v>
      </c>
      <c r="P4623" t="str">
        <f t="shared" si="291"/>
        <v>50%</v>
      </c>
      <c r="Q4623" s="12">
        <f t="shared" si="288"/>
        <v>0.5</v>
      </c>
      <c r="R4623" s="9">
        <f t="shared" si="289"/>
        <v>999</v>
      </c>
      <c r="S4623" s="9">
        <f>IF(R4623="",AVERAGEIF(Table1[Category],Table1[[#This Row],[Category]],Table2[orignal data]),Table2[[#This Row],[orignal data]])</f>
        <v>999</v>
      </c>
      <c r="T4623" t="str">
        <f t="shared" si="290"/>
        <v>UNIQUE</v>
      </c>
      <c r="U4623" t="str">
        <f>IF(ISBLANK(Table1[[#This Row],[SizeOption]]),"NOT AVAILABLE",Table1[[#This Row],[SizeOption]])</f>
        <v>S, M, L, XL</v>
      </c>
      <c r="Y4623" t="str">
        <f>IF(Table2[[#This Row],[Column1]]&gt;50%,"HIGH DISCOUNT","LOW DISCOUNT")</f>
        <v>LOW DISCOUNT</v>
      </c>
    </row>
    <row r="4624" spans="1:25" x14ac:dyDescent="0.25">
      <c r="A4624" s="1" t="s">
        <v>9434</v>
      </c>
      <c r="B4624" s="1">
        <v>2188947</v>
      </c>
      <c r="C4624" s="1" t="s">
        <v>107</v>
      </c>
      <c r="D4624" s="1" t="s">
        <v>41</v>
      </c>
      <c r="E4624" s="1" t="s">
        <v>82</v>
      </c>
      <c r="F4624" s="1" t="s">
        <v>36</v>
      </c>
      <c r="G4624" s="1" t="s">
        <v>9435</v>
      </c>
      <c r="I4624" s="1">
        <v>2199</v>
      </c>
      <c r="J4624" s="1" t="s">
        <v>150</v>
      </c>
      <c r="K4624" s="1" t="s">
        <v>45</v>
      </c>
      <c r="L4624" s="1">
        <v>4.4000000000000004</v>
      </c>
      <c r="M4624" s="1">
        <v>489</v>
      </c>
      <c r="P4624" t="str">
        <f t="shared" si="291"/>
        <v>65%</v>
      </c>
      <c r="Q4624" s="12">
        <f t="shared" si="288"/>
        <v>0.65</v>
      </c>
      <c r="R4624" s="9">
        <f t="shared" si="289"/>
        <v>769.64999999999986</v>
      </c>
      <c r="S4624" s="9">
        <f>IF(R4624="",AVERAGEIF(Table1[Category],Table1[[#This Row],[Category]],Table2[orignal data]),Table2[[#This Row],[orignal data]])</f>
        <v>769.64999999999986</v>
      </c>
      <c r="T4624" t="str">
        <f t="shared" si="290"/>
        <v>UNIQUE</v>
      </c>
      <c r="U4624" t="str">
        <f>IF(ISBLANK(Table1[[#This Row],[SizeOption]]),"NOT AVAILABLE",Table1[[#This Row],[SizeOption]])</f>
        <v>XS, S, M, L, XL</v>
      </c>
      <c r="Y4624" t="str">
        <f>IF(Table2[[#This Row],[Column1]]&gt;50%,"HIGH DISCOUNT","LOW DISCOUNT")</f>
        <v>HIGH DISCOUNT</v>
      </c>
    </row>
    <row r="4625" spans="1:25" x14ac:dyDescent="0.25">
      <c r="A4625" s="2" t="s">
        <v>9436</v>
      </c>
      <c r="B4625" s="2">
        <v>13127032</v>
      </c>
      <c r="C4625" s="2" t="s">
        <v>14</v>
      </c>
      <c r="D4625" s="2" t="s">
        <v>41</v>
      </c>
      <c r="E4625" s="2" t="s">
        <v>42</v>
      </c>
      <c r="F4625" s="2" t="s">
        <v>36</v>
      </c>
      <c r="G4625" s="2" t="s">
        <v>9437</v>
      </c>
      <c r="I4625" s="2">
        <v>599</v>
      </c>
      <c r="J4625" s="2" t="s">
        <v>50</v>
      </c>
      <c r="K4625" s="2" t="s">
        <v>45</v>
      </c>
      <c r="L4625" s="2">
        <v>4.3</v>
      </c>
      <c r="M4625" s="2">
        <v>489</v>
      </c>
      <c r="P4625" t="str">
        <f t="shared" si="291"/>
        <v>40%</v>
      </c>
      <c r="Q4625" s="12">
        <f t="shared" si="288"/>
        <v>0.4</v>
      </c>
      <c r="R4625" s="9">
        <f t="shared" si="289"/>
        <v>359.4</v>
      </c>
      <c r="S4625" s="9">
        <f>IF(R4625="",AVERAGEIF(Table1[Category],Table1[[#This Row],[Category]],Table2[orignal data]),Table2[[#This Row],[orignal data]])</f>
        <v>359.4</v>
      </c>
      <c r="T4625" t="str">
        <f t="shared" si="290"/>
        <v>UNIQUE</v>
      </c>
      <c r="U4625" t="str">
        <f>IF(ISBLANK(Table1[[#This Row],[SizeOption]]),"NOT AVAILABLE",Table1[[#This Row],[SizeOption]])</f>
        <v>XS, S, M, L, XL</v>
      </c>
      <c r="Y4625" t="str">
        <f>IF(Table2[[#This Row],[Column1]]&gt;50%,"HIGH DISCOUNT","LOW DISCOUNT")</f>
        <v>LOW DISCOUNT</v>
      </c>
    </row>
    <row r="4626" spans="1:25" x14ac:dyDescent="0.25">
      <c r="A4626" s="1" t="s">
        <v>9438</v>
      </c>
      <c r="B4626" s="1">
        <v>2314239</v>
      </c>
      <c r="C4626" s="1" t="s">
        <v>1299</v>
      </c>
      <c r="D4626" s="1" t="s">
        <v>15</v>
      </c>
      <c r="E4626" s="1" t="s">
        <v>53</v>
      </c>
      <c r="F4626" s="1" t="s">
        <v>17</v>
      </c>
      <c r="G4626" s="1" t="s">
        <v>9439</v>
      </c>
      <c r="H4626">
        <v>959</v>
      </c>
      <c r="I4626" s="1">
        <v>2399</v>
      </c>
      <c r="J4626" s="1" t="s">
        <v>55</v>
      </c>
      <c r="K4626" s="1" t="s">
        <v>56</v>
      </c>
      <c r="L4626" s="1">
        <v>4.0999999999999996</v>
      </c>
      <c r="M4626" s="1">
        <v>488</v>
      </c>
      <c r="P4626" t="str">
        <f t="shared" si="291"/>
        <v>60%</v>
      </c>
      <c r="Q4626" s="12">
        <f t="shared" si="288"/>
        <v>0.6</v>
      </c>
      <c r="R4626" s="9">
        <f t="shared" si="289"/>
        <v>959.60000000000014</v>
      </c>
      <c r="S4626" s="9">
        <f>IF(R4626="",AVERAGEIF(Table1[Category],Table1[[#This Row],[Category]],Table2[orignal data]),Table2[[#This Row],[orignal data]])</f>
        <v>959.60000000000014</v>
      </c>
      <c r="T4626" t="str">
        <f t="shared" si="290"/>
        <v>UNIQUE</v>
      </c>
      <c r="U4626" t="str">
        <f>IF(ISBLANK(Table1[[#This Row],[SizeOption]]),"NOT AVAILABLE",Table1[[#This Row],[SizeOption]])</f>
        <v>30, 32, 34, 36</v>
      </c>
      <c r="Y4626" t="str">
        <f>IF(Table2[[#This Row],[Column1]]&gt;50%,"HIGH DISCOUNT","LOW DISCOUNT")</f>
        <v>HIGH DISCOUNT</v>
      </c>
    </row>
    <row r="4627" spans="1:25" x14ac:dyDescent="0.25">
      <c r="A4627" s="2" t="s">
        <v>9440</v>
      </c>
      <c r="B4627" s="2">
        <v>11198090</v>
      </c>
      <c r="C4627" s="2" t="s">
        <v>1176</v>
      </c>
      <c r="D4627" s="2" t="s">
        <v>68</v>
      </c>
      <c r="E4627" s="2" t="s">
        <v>23</v>
      </c>
      <c r="F4627" s="2" t="s">
        <v>17</v>
      </c>
      <c r="G4627" s="2" t="s">
        <v>9441</v>
      </c>
      <c r="H4627">
        <v>643</v>
      </c>
      <c r="I4627" s="2">
        <v>1109</v>
      </c>
      <c r="J4627" s="2" t="s">
        <v>2327</v>
      </c>
      <c r="K4627" s="2" t="s">
        <v>1341</v>
      </c>
      <c r="L4627" s="2">
        <v>3.7</v>
      </c>
      <c r="M4627" s="2">
        <v>488</v>
      </c>
      <c r="P4627" t="str">
        <f t="shared" si="291"/>
        <v>42%</v>
      </c>
      <c r="Q4627" s="12">
        <f t="shared" si="288"/>
        <v>0.42</v>
      </c>
      <c r="R4627" s="9">
        <f t="shared" si="289"/>
        <v>643.22</v>
      </c>
      <c r="S4627" s="9">
        <f>IF(R4627="",AVERAGEIF(Table1[Category],Table1[[#This Row],[Category]],Table2[orignal data]),Table2[[#This Row],[orignal data]])</f>
        <v>643.22</v>
      </c>
      <c r="T4627" t="str">
        <f t="shared" si="290"/>
        <v>UNIQUE</v>
      </c>
      <c r="U4627" t="str">
        <f>IF(ISBLANK(Table1[[#This Row],[SizeOption]]),"NOT AVAILABLE",Table1[[#This Row],[SizeOption]])</f>
        <v>M, L, XL</v>
      </c>
      <c r="Y4627" t="str">
        <f>IF(Table2[[#This Row],[Column1]]&gt;50%,"HIGH DISCOUNT","LOW DISCOUNT")</f>
        <v>LOW DISCOUNT</v>
      </c>
    </row>
    <row r="4628" spans="1:25" x14ac:dyDescent="0.25">
      <c r="A4628" s="1" t="s">
        <v>9442</v>
      </c>
      <c r="B4628" s="1">
        <v>2001974</v>
      </c>
      <c r="C4628" s="1" t="s">
        <v>169</v>
      </c>
      <c r="D4628" s="1" t="s">
        <v>28</v>
      </c>
      <c r="E4628" s="1" t="s">
        <v>42</v>
      </c>
      <c r="F4628" s="1" t="s">
        <v>17</v>
      </c>
      <c r="G4628" s="1" t="s">
        <v>9443</v>
      </c>
      <c r="H4628">
        <v>499</v>
      </c>
      <c r="I4628" s="1">
        <v>999</v>
      </c>
      <c r="J4628" s="1" t="s">
        <v>84</v>
      </c>
      <c r="K4628" s="1" t="s">
        <v>39</v>
      </c>
      <c r="L4628" s="1">
        <v>4.2</v>
      </c>
      <c r="M4628" s="1">
        <v>488</v>
      </c>
      <c r="P4628" t="str">
        <f t="shared" si="291"/>
        <v>50%</v>
      </c>
      <c r="Q4628" s="12">
        <f t="shared" si="288"/>
        <v>0.5</v>
      </c>
      <c r="R4628" s="9">
        <f t="shared" si="289"/>
        <v>499.5</v>
      </c>
      <c r="S4628" s="9">
        <f>IF(R4628="",AVERAGEIF(Table1[Category],Table1[[#This Row],[Category]],Table2[orignal data]),Table2[[#This Row],[orignal data]])</f>
        <v>499.5</v>
      </c>
      <c r="T4628" t="str">
        <f t="shared" si="290"/>
        <v>UNIQUE</v>
      </c>
      <c r="U4628" t="str">
        <f>IF(ISBLANK(Table1[[#This Row],[SizeOption]]),"NOT AVAILABLE",Table1[[#This Row],[SizeOption]])</f>
        <v>S, M, L, XL, XXL</v>
      </c>
      <c r="Y4628" t="str">
        <f>IF(Table2[[#This Row],[Column1]]&gt;50%,"HIGH DISCOUNT","LOW DISCOUNT")</f>
        <v>LOW DISCOUNT</v>
      </c>
    </row>
    <row r="4629" spans="1:25" x14ac:dyDescent="0.25">
      <c r="A4629" s="2" t="s">
        <v>9444</v>
      </c>
      <c r="B4629" s="2">
        <v>12530344</v>
      </c>
      <c r="C4629" s="2" t="s">
        <v>64</v>
      </c>
      <c r="D4629" s="2" t="s">
        <v>76</v>
      </c>
      <c r="E4629" s="2" t="s">
        <v>93</v>
      </c>
      <c r="F4629" s="2" t="s">
        <v>36</v>
      </c>
      <c r="G4629" s="2" t="s">
        <v>9445</v>
      </c>
      <c r="H4629">
        <v>479</v>
      </c>
      <c r="I4629" s="2">
        <v>1199</v>
      </c>
      <c r="J4629" s="2" t="s">
        <v>55</v>
      </c>
      <c r="K4629" s="2" t="s">
        <v>100</v>
      </c>
      <c r="L4629" s="2">
        <v>3.9</v>
      </c>
      <c r="M4629" s="2">
        <v>488</v>
      </c>
      <c r="P4629" t="str">
        <f t="shared" si="291"/>
        <v>60%</v>
      </c>
      <c r="Q4629" s="12">
        <f t="shared" si="288"/>
        <v>0.6</v>
      </c>
      <c r="R4629" s="9">
        <f t="shared" si="289"/>
        <v>479.6</v>
      </c>
      <c r="S4629" s="9">
        <f>IF(R4629="",AVERAGEIF(Table1[Category],Table1[[#This Row],[Category]],Table2[orignal data]),Table2[[#This Row],[orignal data]])</f>
        <v>479.6</v>
      </c>
      <c r="T4629" t="str">
        <f t="shared" si="290"/>
        <v>UNIQUE</v>
      </c>
      <c r="U4629" t="str">
        <f>IF(ISBLANK(Table1[[#This Row],[SizeOption]]),"NOT AVAILABLE",Table1[[#This Row],[SizeOption]])</f>
        <v>XS, S, M, L, XL, XXL, 3XL</v>
      </c>
      <c r="Y4629" t="str">
        <f>IF(Table2[[#This Row],[Column1]]&gt;50%,"HIGH DISCOUNT","LOW DISCOUNT")</f>
        <v>HIGH DISCOUNT</v>
      </c>
    </row>
    <row r="4630" spans="1:25" x14ac:dyDescent="0.25">
      <c r="A4630" s="1" t="s">
        <v>9446</v>
      </c>
      <c r="B4630" s="1">
        <v>12530356</v>
      </c>
      <c r="C4630" s="1" t="s">
        <v>64</v>
      </c>
      <c r="D4630" s="1" t="s">
        <v>76</v>
      </c>
      <c r="E4630" s="1" t="s">
        <v>93</v>
      </c>
      <c r="F4630" s="1" t="s">
        <v>36</v>
      </c>
      <c r="G4630" s="1" t="s">
        <v>9447</v>
      </c>
      <c r="H4630">
        <v>359</v>
      </c>
      <c r="I4630" s="1">
        <v>1199</v>
      </c>
      <c r="J4630" s="1" t="s">
        <v>79</v>
      </c>
      <c r="K4630" s="1" t="s">
        <v>100</v>
      </c>
      <c r="L4630" s="1">
        <v>4.0999999999999996</v>
      </c>
      <c r="M4630" s="1">
        <v>488</v>
      </c>
      <c r="P4630" t="str">
        <f t="shared" si="291"/>
        <v>70%</v>
      </c>
      <c r="Q4630" s="12">
        <f t="shared" si="288"/>
        <v>0.7</v>
      </c>
      <c r="R4630" s="9">
        <f t="shared" si="289"/>
        <v>359.70000000000005</v>
      </c>
      <c r="S4630" s="9">
        <f>IF(R4630="",AVERAGEIF(Table1[Category],Table1[[#This Row],[Category]],Table2[orignal data]),Table2[[#This Row],[orignal data]])</f>
        <v>359.70000000000005</v>
      </c>
      <c r="T4630" t="str">
        <f t="shared" si="290"/>
        <v>UNIQUE</v>
      </c>
      <c r="U4630" t="str">
        <f>IF(ISBLANK(Table1[[#This Row],[SizeOption]]),"NOT AVAILABLE",Table1[[#This Row],[SizeOption]])</f>
        <v>XS, S, M, L, XL, XXL, 3XL</v>
      </c>
      <c r="Y4630" t="str">
        <f>IF(Table2[[#This Row],[Column1]]&gt;50%,"HIGH DISCOUNT","LOW DISCOUNT")</f>
        <v>HIGH DISCOUNT</v>
      </c>
    </row>
    <row r="4631" spans="1:25" x14ac:dyDescent="0.25">
      <c r="A4631" s="2" t="s">
        <v>9448</v>
      </c>
      <c r="B4631" s="2">
        <v>11114230</v>
      </c>
      <c r="C4631" s="2" t="s">
        <v>92</v>
      </c>
      <c r="D4631" s="2" t="s">
        <v>76</v>
      </c>
      <c r="E4631" s="2" t="s">
        <v>48</v>
      </c>
      <c r="F4631" s="2" t="s">
        <v>36</v>
      </c>
      <c r="G4631" s="2" t="s">
        <v>9449</v>
      </c>
      <c r="H4631">
        <v>521</v>
      </c>
      <c r="I4631" s="2">
        <v>1449</v>
      </c>
      <c r="J4631" s="2" t="s">
        <v>416</v>
      </c>
      <c r="K4631" s="2" t="s">
        <v>39</v>
      </c>
      <c r="L4631" s="2">
        <v>4</v>
      </c>
      <c r="M4631" s="2">
        <v>488</v>
      </c>
      <c r="P4631" t="str">
        <f t="shared" si="291"/>
        <v>64%</v>
      </c>
      <c r="Q4631" s="12">
        <f t="shared" si="288"/>
        <v>0.64</v>
      </c>
      <c r="R4631" s="9">
        <f t="shared" si="289"/>
        <v>521.64</v>
      </c>
      <c r="S4631" s="9">
        <f>IF(R4631="",AVERAGEIF(Table1[Category],Table1[[#This Row],[Category]],Table2[orignal data]),Table2[[#This Row],[orignal data]])</f>
        <v>521.64</v>
      </c>
      <c r="T4631" t="str">
        <f t="shared" si="290"/>
        <v>UNIQUE</v>
      </c>
      <c r="U4631" t="str">
        <f>IF(ISBLANK(Table1[[#This Row],[SizeOption]]),"NOT AVAILABLE",Table1[[#This Row],[SizeOption]])</f>
        <v>S, M, L, XL, XXL</v>
      </c>
      <c r="Y4631" t="str">
        <f>IF(Table2[[#This Row],[Column1]]&gt;50%,"HIGH DISCOUNT","LOW DISCOUNT")</f>
        <v>HIGH DISCOUNT</v>
      </c>
    </row>
    <row r="4632" spans="1:25" x14ac:dyDescent="0.25">
      <c r="A4632" s="1" t="s">
        <v>9450</v>
      </c>
      <c r="B4632" s="1">
        <v>5617751</v>
      </c>
      <c r="C4632" s="1" t="s">
        <v>92</v>
      </c>
      <c r="D4632" s="1" t="s">
        <v>76</v>
      </c>
      <c r="E4632" s="1" t="s">
        <v>93</v>
      </c>
      <c r="F4632" s="1" t="s">
        <v>36</v>
      </c>
      <c r="G4632" s="1" t="s">
        <v>9451</v>
      </c>
      <c r="H4632">
        <v>728</v>
      </c>
      <c r="I4632" s="1">
        <v>1549</v>
      </c>
      <c r="J4632" s="1" t="s">
        <v>89</v>
      </c>
      <c r="K4632" s="1" t="s">
        <v>39</v>
      </c>
      <c r="L4632" s="1">
        <v>3.9</v>
      </c>
      <c r="M4632" s="1">
        <v>488</v>
      </c>
      <c r="P4632" t="str">
        <f t="shared" si="291"/>
        <v>53%</v>
      </c>
      <c r="Q4632" s="12">
        <f t="shared" si="288"/>
        <v>0.53</v>
      </c>
      <c r="R4632" s="9">
        <f t="shared" si="289"/>
        <v>728.03</v>
      </c>
      <c r="S4632" s="9">
        <f>IF(R4632="",AVERAGEIF(Table1[Category],Table1[[#This Row],[Category]],Table2[orignal data]),Table2[[#This Row],[orignal data]])</f>
        <v>728.03</v>
      </c>
      <c r="T4632" t="str">
        <f t="shared" si="290"/>
        <v>UNIQUE</v>
      </c>
      <c r="U4632" t="str">
        <f>IF(ISBLANK(Table1[[#This Row],[SizeOption]]),"NOT AVAILABLE",Table1[[#This Row],[SizeOption]])</f>
        <v>S, M, L, XL, XXL</v>
      </c>
      <c r="Y4632" t="str">
        <f>IF(Table2[[#This Row],[Column1]]&gt;50%,"HIGH DISCOUNT","LOW DISCOUNT")</f>
        <v>HIGH DISCOUNT</v>
      </c>
    </row>
    <row r="4633" spans="1:25" x14ac:dyDescent="0.25">
      <c r="A4633" s="2" t="s">
        <v>9452</v>
      </c>
      <c r="B4633" s="2">
        <v>13221602</v>
      </c>
      <c r="C4633" s="2" t="s">
        <v>397</v>
      </c>
      <c r="D4633" s="2" t="s">
        <v>76</v>
      </c>
      <c r="E4633" s="2" t="s">
        <v>77</v>
      </c>
      <c r="F4633" s="2" t="s">
        <v>36</v>
      </c>
      <c r="G4633" s="2" t="s">
        <v>9453</v>
      </c>
      <c r="H4633">
        <v>1461</v>
      </c>
      <c r="I4633" s="2">
        <v>4299</v>
      </c>
      <c r="J4633" s="2" t="s">
        <v>403</v>
      </c>
      <c r="K4633" s="2" t="s">
        <v>234</v>
      </c>
      <c r="L4633" s="2">
        <v>4.0999999999999996</v>
      </c>
      <c r="M4633" s="2">
        <v>488</v>
      </c>
      <c r="P4633" t="str">
        <f t="shared" si="291"/>
        <v>66%</v>
      </c>
      <c r="Q4633" s="12">
        <f t="shared" si="288"/>
        <v>0.66</v>
      </c>
      <c r="R4633" s="9">
        <f t="shared" si="289"/>
        <v>1461.6599999999999</v>
      </c>
      <c r="S4633" s="9">
        <f>IF(R4633="",AVERAGEIF(Table1[Category],Table1[[#This Row],[Category]],Table2[orignal data]),Table2[[#This Row],[orignal data]])</f>
        <v>1461.6599999999999</v>
      </c>
      <c r="T4633" t="str">
        <f t="shared" si="290"/>
        <v>UNIQUE</v>
      </c>
      <c r="U4633" t="str">
        <f>IF(ISBLANK(Table1[[#This Row],[SizeOption]]),"NOT AVAILABLE",Table1[[#This Row],[SizeOption]])</f>
        <v>S, M, L, XL, XXL, 3XL</v>
      </c>
      <c r="Y4633" t="str">
        <f>IF(Table2[[#This Row],[Column1]]&gt;50%,"HIGH DISCOUNT","LOW DISCOUNT")</f>
        <v>HIGH DISCOUNT</v>
      </c>
    </row>
    <row r="4634" spans="1:25" x14ac:dyDescent="0.25">
      <c r="A4634" s="1" t="s">
        <v>9454</v>
      </c>
      <c r="B4634" s="1">
        <v>12441822</v>
      </c>
      <c r="C4634" s="1" t="s">
        <v>620</v>
      </c>
      <c r="D4634" s="1" t="s">
        <v>34</v>
      </c>
      <c r="E4634" s="1" t="s">
        <v>406</v>
      </c>
      <c r="F4634" s="1" t="s">
        <v>36</v>
      </c>
      <c r="G4634" s="1" t="s">
        <v>9455</v>
      </c>
      <c r="H4634">
        <v>594</v>
      </c>
      <c r="I4634" s="1">
        <v>1699</v>
      </c>
      <c r="J4634" s="1" t="s">
        <v>150</v>
      </c>
      <c r="K4634" s="1" t="s">
        <v>26</v>
      </c>
      <c r="L4634" s="1">
        <v>4.2</v>
      </c>
      <c r="M4634" s="1">
        <v>488</v>
      </c>
      <c r="P4634" t="str">
        <f t="shared" si="291"/>
        <v>65%</v>
      </c>
      <c r="Q4634" s="12">
        <f t="shared" si="288"/>
        <v>0.65</v>
      </c>
      <c r="R4634" s="9">
        <f t="shared" si="289"/>
        <v>594.64999999999986</v>
      </c>
      <c r="S4634" s="9">
        <f>IF(R4634="",AVERAGEIF(Table1[Category],Table1[[#This Row],[Category]],Table2[orignal data]),Table2[[#This Row],[orignal data]])</f>
        <v>594.64999999999986</v>
      </c>
      <c r="T4634" t="str">
        <f t="shared" si="290"/>
        <v>UNIQUE</v>
      </c>
      <c r="U4634" t="str">
        <f>IF(ISBLANK(Table1[[#This Row],[SizeOption]]),"NOT AVAILABLE",Table1[[#This Row],[SizeOption]])</f>
        <v>S, M, L, XL</v>
      </c>
      <c r="Y4634" t="str">
        <f>IF(Table2[[#This Row],[Column1]]&gt;50%,"HIGH DISCOUNT","LOW DISCOUNT")</f>
        <v>HIGH DISCOUNT</v>
      </c>
    </row>
    <row r="4635" spans="1:25" x14ac:dyDescent="0.25">
      <c r="A4635" s="2" t="s">
        <v>9456</v>
      </c>
      <c r="B4635" s="2">
        <v>9920479</v>
      </c>
      <c r="C4635" s="2" t="s">
        <v>2018</v>
      </c>
      <c r="D4635" s="2" t="s">
        <v>34</v>
      </c>
      <c r="E4635" s="2" t="s">
        <v>118</v>
      </c>
      <c r="F4635" s="2" t="s">
        <v>36</v>
      </c>
      <c r="G4635" s="2" t="s">
        <v>9457</v>
      </c>
      <c r="H4635">
        <v>476</v>
      </c>
      <c r="I4635" s="2">
        <v>700</v>
      </c>
      <c r="J4635" s="2" t="s">
        <v>3574</v>
      </c>
      <c r="K4635" s="2" t="s">
        <v>8136</v>
      </c>
      <c r="L4635" s="2">
        <v>4</v>
      </c>
      <c r="M4635" s="2">
        <v>488</v>
      </c>
      <c r="P4635" t="str">
        <f t="shared" si="291"/>
        <v>32%</v>
      </c>
      <c r="Q4635" s="12">
        <f t="shared" si="288"/>
        <v>0.32</v>
      </c>
      <c r="R4635" s="9">
        <f t="shared" si="289"/>
        <v>476</v>
      </c>
      <c r="S4635" s="9">
        <f>IF(R4635="",AVERAGEIF(Table1[Category],Table1[[#This Row],[Category]],Table2[orignal data]),Table2[[#This Row],[orignal data]])</f>
        <v>476</v>
      </c>
      <c r="T4635" t="str">
        <f t="shared" si="290"/>
        <v>UNIQUE</v>
      </c>
      <c r="U4635" t="str">
        <f>IF(ISBLANK(Table1[[#This Row],[SizeOption]]),"NOT AVAILABLE",Table1[[#This Row],[SizeOption]])</f>
        <v>30C, 30D, 32B, 32C, 34B, 34C, 36B</v>
      </c>
      <c r="Y4635" t="str">
        <f>IF(Table2[[#This Row],[Column1]]&gt;50%,"HIGH DISCOUNT","LOW DISCOUNT")</f>
        <v>LOW DISCOUNT</v>
      </c>
    </row>
    <row r="4636" spans="1:25" x14ac:dyDescent="0.25">
      <c r="A4636" s="1" t="s">
        <v>9458</v>
      </c>
      <c r="B4636" s="1">
        <v>13437280</v>
      </c>
      <c r="C4636" s="1" t="s">
        <v>97</v>
      </c>
      <c r="D4636" s="1" t="s">
        <v>98</v>
      </c>
      <c r="E4636" s="1" t="s">
        <v>77</v>
      </c>
      <c r="F4636" s="1" t="s">
        <v>36</v>
      </c>
      <c r="G4636" s="1" t="s">
        <v>9459</v>
      </c>
      <c r="H4636">
        <v>1049</v>
      </c>
      <c r="I4636" s="1">
        <v>3499</v>
      </c>
      <c r="J4636" s="1" t="s">
        <v>79</v>
      </c>
      <c r="K4636" s="1" t="s">
        <v>100</v>
      </c>
      <c r="L4636" s="1">
        <v>4.3</v>
      </c>
      <c r="M4636" s="1">
        <v>488</v>
      </c>
      <c r="P4636" t="str">
        <f t="shared" si="291"/>
        <v>70%</v>
      </c>
      <c r="Q4636" s="12">
        <f t="shared" si="288"/>
        <v>0.7</v>
      </c>
      <c r="R4636" s="9">
        <f t="shared" si="289"/>
        <v>1049.7000000000003</v>
      </c>
      <c r="S4636" s="9">
        <f>IF(R4636="",AVERAGEIF(Table1[Category],Table1[[#This Row],[Category]],Table2[orignal data]),Table2[[#This Row],[orignal data]])</f>
        <v>1049.7000000000003</v>
      </c>
      <c r="T4636" t="str">
        <f t="shared" si="290"/>
        <v>UNIQUE</v>
      </c>
      <c r="U4636" t="str">
        <f>IF(ISBLANK(Table1[[#This Row],[SizeOption]]),"NOT AVAILABLE",Table1[[#This Row],[SizeOption]])</f>
        <v>XS, S, M, L, XL, XXL, 3XL</v>
      </c>
      <c r="Y4636" t="str">
        <f>IF(Table2[[#This Row],[Column1]]&gt;50%,"HIGH DISCOUNT","LOW DISCOUNT")</f>
        <v>HIGH DISCOUNT</v>
      </c>
    </row>
    <row r="4637" spans="1:25" x14ac:dyDescent="0.25">
      <c r="A4637" s="2" t="s">
        <v>9460</v>
      </c>
      <c r="B4637" s="2">
        <v>10426068</v>
      </c>
      <c r="C4637" s="2" t="s">
        <v>1083</v>
      </c>
      <c r="D4637" s="2" t="s">
        <v>41</v>
      </c>
      <c r="E4637" s="2" t="s">
        <v>42</v>
      </c>
      <c r="F4637" s="2" t="s">
        <v>36</v>
      </c>
      <c r="G4637" s="2" t="s">
        <v>9461</v>
      </c>
      <c r="I4637" s="2">
        <v>1199</v>
      </c>
      <c r="J4637" s="2" t="s">
        <v>126</v>
      </c>
      <c r="K4637" s="2" t="s">
        <v>45</v>
      </c>
      <c r="L4637" s="2">
        <v>4.2</v>
      </c>
      <c r="M4637" s="2">
        <v>488</v>
      </c>
      <c r="P4637" t="str">
        <f t="shared" si="291"/>
        <v>62%</v>
      </c>
      <c r="Q4637" s="12">
        <f t="shared" si="288"/>
        <v>0.62</v>
      </c>
      <c r="R4637" s="9">
        <f t="shared" si="289"/>
        <v>455.62</v>
      </c>
      <c r="S4637" s="9">
        <f>IF(R4637="",AVERAGEIF(Table1[Category],Table1[[#This Row],[Category]],Table2[orignal data]),Table2[[#This Row],[orignal data]])</f>
        <v>455.62</v>
      </c>
      <c r="T4637" t="str">
        <f t="shared" si="290"/>
        <v>UNIQUE</v>
      </c>
      <c r="U4637" t="str">
        <f>IF(ISBLANK(Table1[[#This Row],[SizeOption]]),"NOT AVAILABLE",Table1[[#This Row],[SizeOption]])</f>
        <v>XS, S, M, L, XL</v>
      </c>
      <c r="Y4637" t="str">
        <f>IF(Table2[[#This Row],[Column1]]&gt;50%,"HIGH DISCOUNT","LOW DISCOUNT")</f>
        <v>HIGH DISCOUNT</v>
      </c>
    </row>
    <row r="4638" spans="1:25" x14ac:dyDescent="0.25">
      <c r="A4638" s="1" t="s">
        <v>9462</v>
      </c>
      <c r="B4638" s="1">
        <v>10308603</v>
      </c>
      <c r="C4638" s="1" t="s">
        <v>181</v>
      </c>
      <c r="D4638" s="1" t="s">
        <v>41</v>
      </c>
      <c r="E4638" s="1" t="s">
        <v>53</v>
      </c>
      <c r="F4638" s="1" t="s">
        <v>36</v>
      </c>
      <c r="G4638" s="1" t="s">
        <v>9463</v>
      </c>
      <c r="I4638" s="1">
        <v>1599</v>
      </c>
      <c r="J4638" s="1" t="s">
        <v>84</v>
      </c>
      <c r="K4638" s="1" t="s">
        <v>134</v>
      </c>
      <c r="L4638" s="1">
        <v>4</v>
      </c>
      <c r="M4638" s="1">
        <v>488</v>
      </c>
      <c r="P4638" t="str">
        <f t="shared" si="291"/>
        <v>50%</v>
      </c>
      <c r="Q4638" s="12">
        <f t="shared" si="288"/>
        <v>0.5</v>
      </c>
      <c r="R4638" s="9">
        <f t="shared" si="289"/>
        <v>799.5</v>
      </c>
      <c r="S4638" s="9">
        <f>IF(R4638="",AVERAGEIF(Table1[Category],Table1[[#This Row],[Category]],Table2[orignal data]),Table2[[#This Row],[orignal data]])</f>
        <v>799.5</v>
      </c>
      <c r="T4638" t="str">
        <f t="shared" si="290"/>
        <v>UNIQUE</v>
      </c>
      <c r="U4638" t="str">
        <f>IF(ISBLANK(Table1[[#This Row],[SizeOption]]),"NOT AVAILABLE",Table1[[#This Row],[SizeOption]])</f>
        <v>26, 28, 30, 32, 34, 36</v>
      </c>
      <c r="Y4638" t="str">
        <f>IF(Table2[[#This Row],[Column1]]&gt;50%,"HIGH DISCOUNT","LOW DISCOUNT")</f>
        <v>LOW DISCOUNT</v>
      </c>
    </row>
    <row r="4639" spans="1:25" x14ac:dyDescent="0.25">
      <c r="A4639" s="2" t="s">
        <v>9464</v>
      </c>
      <c r="B4639" s="2">
        <v>12332492</v>
      </c>
      <c r="C4639" s="2" t="s">
        <v>47</v>
      </c>
      <c r="D4639" s="2" t="s">
        <v>41</v>
      </c>
      <c r="E4639" s="2" t="s">
        <v>23</v>
      </c>
      <c r="F4639" s="2" t="s">
        <v>36</v>
      </c>
      <c r="G4639" s="2" t="s">
        <v>9465</v>
      </c>
      <c r="I4639" s="2">
        <v>1699</v>
      </c>
      <c r="J4639" s="2" t="s">
        <v>9466</v>
      </c>
      <c r="K4639" s="2" t="s">
        <v>45</v>
      </c>
      <c r="L4639" s="2">
        <v>4</v>
      </c>
      <c r="M4639" s="2">
        <v>488</v>
      </c>
      <c r="P4639" t="str">
        <f t="shared" si="291"/>
        <v>1200</v>
      </c>
      <c r="Q4639" s="12">
        <f t="shared" si="288"/>
        <v>0.70629782224838145</v>
      </c>
      <c r="R4639" s="9">
        <f t="shared" si="289"/>
        <v>499</v>
      </c>
      <c r="S4639" s="9">
        <f>IF(R4639="",AVERAGEIF(Table1[Category],Table1[[#This Row],[Category]],Table2[orignal data]),Table2[[#This Row],[orignal data]])</f>
        <v>499</v>
      </c>
      <c r="T4639" t="str">
        <f t="shared" si="290"/>
        <v>UNIQUE</v>
      </c>
      <c r="U4639" t="str">
        <f>IF(ISBLANK(Table1[[#This Row],[SizeOption]]),"NOT AVAILABLE",Table1[[#This Row],[SizeOption]])</f>
        <v>XS, S, M, L, XL</v>
      </c>
      <c r="Y4639" t="str">
        <f>IF(Table2[[#This Row],[Column1]]&gt;50%,"HIGH DISCOUNT","LOW DISCOUNT")</f>
        <v>HIGH DISCOUNT</v>
      </c>
    </row>
    <row r="4640" spans="1:25" x14ac:dyDescent="0.25">
      <c r="A4640" s="1" t="s">
        <v>9467</v>
      </c>
      <c r="B4640" s="1">
        <v>13661758</v>
      </c>
      <c r="C4640" s="1" t="s">
        <v>92</v>
      </c>
      <c r="D4640" s="1" t="s">
        <v>41</v>
      </c>
      <c r="E4640" s="1" t="s">
        <v>53</v>
      </c>
      <c r="F4640" s="1" t="s">
        <v>36</v>
      </c>
      <c r="G4640" s="1" t="s">
        <v>9468</v>
      </c>
      <c r="I4640" s="1">
        <v>899</v>
      </c>
      <c r="J4640" s="1" t="s">
        <v>403</v>
      </c>
      <c r="K4640" s="1" t="s">
        <v>20</v>
      </c>
      <c r="L4640" s="1">
        <v>3.7</v>
      </c>
      <c r="M4640" s="1">
        <v>488</v>
      </c>
      <c r="P4640" t="str">
        <f t="shared" si="291"/>
        <v>66%</v>
      </c>
      <c r="Q4640" s="12">
        <f t="shared" si="288"/>
        <v>0.66</v>
      </c>
      <c r="R4640" s="9">
        <f t="shared" si="289"/>
        <v>305.65999999999997</v>
      </c>
      <c r="S4640" s="9">
        <f>IF(R4640="",AVERAGEIF(Table1[Category],Table1[[#This Row],[Category]],Table2[orignal data]),Table2[[#This Row],[orignal data]])</f>
        <v>305.65999999999997</v>
      </c>
      <c r="T4640" t="str">
        <f t="shared" si="290"/>
        <v>UNIQUE</v>
      </c>
      <c r="U4640" t="str">
        <f>IF(ISBLANK(Table1[[#This Row],[SizeOption]]),"NOT AVAILABLE",Table1[[#This Row],[SizeOption]])</f>
        <v>28, 30, 32, 34, 36</v>
      </c>
      <c r="Y4640" t="str">
        <f>IF(Table2[[#This Row],[Column1]]&gt;50%,"HIGH DISCOUNT","LOW DISCOUNT")</f>
        <v>HIGH DISCOUNT</v>
      </c>
    </row>
    <row r="4641" spans="1:25" x14ac:dyDescent="0.25">
      <c r="A4641" s="2" t="s">
        <v>9469</v>
      </c>
      <c r="B4641" s="2">
        <v>8195041</v>
      </c>
      <c r="C4641" s="2" t="s">
        <v>102</v>
      </c>
      <c r="D4641" s="2" t="s">
        <v>41</v>
      </c>
      <c r="E4641" s="2" t="s">
        <v>48</v>
      </c>
      <c r="F4641" s="2" t="s">
        <v>36</v>
      </c>
      <c r="G4641" s="2" t="s">
        <v>9470</v>
      </c>
      <c r="I4641" s="2">
        <v>899</v>
      </c>
      <c r="J4641" s="2" t="s">
        <v>2469</v>
      </c>
      <c r="K4641" s="2" t="s">
        <v>26</v>
      </c>
      <c r="L4641" s="2">
        <v>4</v>
      </c>
      <c r="M4641" s="2">
        <v>488</v>
      </c>
      <c r="P4641" t="str">
        <f t="shared" si="291"/>
        <v>74%</v>
      </c>
      <c r="Q4641" s="12">
        <f t="shared" si="288"/>
        <v>0.74</v>
      </c>
      <c r="R4641" s="9">
        <f t="shared" si="289"/>
        <v>233.74</v>
      </c>
      <c r="S4641" s="9">
        <f>IF(R4641="",AVERAGEIF(Table1[Category],Table1[[#This Row],[Category]],Table2[orignal data]),Table2[[#This Row],[orignal data]])</f>
        <v>233.74</v>
      </c>
      <c r="T4641" t="str">
        <f t="shared" si="290"/>
        <v>UNIQUE</v>
      </c>
      <c r="U4641" t="str">
        <f>IF(ISBLANK(Table1[[#This Row],[SizeOption]]),"NOT AVAILABLE",Table1[[#This Row],[SizeOption]])</f>
        <v>S, M, L, XL</v>
      </c>
      <c r="Y4641" t="str">
        <f>IF(Table2[[#This Row],[Column1]]&gt;50%,"HIGH DISCOUNT","LOW DISCOUNT")</f>
        <v>HIGH DISCOUNT</v>
      </c>
    </row>
    <row r="4642" spans="1:25" x14ac:dyDescent="0.25">
      <c r="A4642" s="1" t="s">
        <v>9471</v>
      </c>
      <c r="B4642" s="1">
        <v>14637930</v>
      </c>
      <c r="C4642" s="1" t="s">
        <v>14</v>
      </c>
      <c r="D4642" s="1" t="s">
        <v>15</v>
      </c>
      <c r="E4642" s="1" t="s">
        <v>16</v>
      </c>
      <c r="F4642" s="1" t="s">
        <v>17</v>
      </c>
      <c r="G4642" s="1" t="s">
        <v>9472</v>
      </c>
      <c r="H4642">
        <v>539</v>
      </c>
      <c r="I4642" s="1">
        <v>1799</v>
      </c>
      <c r="J4642" s="1" t="s">
        <v>79</v>
      </c>
      <c r="K4642" s="1" t="s">
        <v>20</v>
      </c>
      <c r="L4642" s="1">
        <v>3.8</v>
      </c>
      <c r="M4642" s="1">
        <v>487</v>
      </c>
      <c r="P4642" t="str">
        <f t="shared" si="291"/>
        <v>70%</v>
      </c>
      <c r="Q4642" s="12">
        <f t="shared" si="288"/>
        <v>0.7</v>
      </c>
      <c r="R4642" s="9">
        <f t="shared" si="289"/>
        <v>539.70000000000005</v>
      </c>
      <c r="S4642" s="9">
        <f>IF(R4642="",AVERAGEIF(Table1[Category],Table1[[#This Row],[Category]],Table2[orignal data]),Table2[[#This Row],[orignal data]])</f>
        <v>539.70000000000005</v>
      </c>
      <c r="T4642" t="str">
        <f t="shared" si="290"/>
        <v>UNIQUE</v>
      </c>
      <c r="U4642" t="str">
        <f>IF(ISBLANK(Table1[[#This Row],[SizeOption]]),"NOT AVAILABLE",Table1[[#This Row],[SizeOption]])</f>
        <v>28, 30, 32, 34, 36</v>
      </c>
      <c r="Y4642" t="str">
        <f>IF(Table2[[#This Row],[Column1]]&gt;50%,"HIGH DISCOUNT","LOW DISCOUNT")</f>
        <v>HIGH DISCOUNT</v>
      </c>
    </row>
    <row r="4643" spans="1:25" x14ac:dyDescent="0.25">
      <c r="A4643" s="2" t="s">
        <v>9473</v>
      </c>
      <c r="B4643" s="2">
        <v>13266540</v>
      </c>
      <c r="C4643" s="2" t="s">
        <v>52</v>
      </c>
      <c r="D4643" s="2" t="s">
        <v>15</v>
      </c>
      <c r="E4643" s="2" t="s">
        <v>53</v>
      </c>
      <c r="F4643" s="2" t="s">
        <v>17</v>
      </c>
      <c r="G4643" s="2" t="s">
        <v>9474</v>
      </c>
      <c r="H4643">
        <v>751</v>
      </c>
      <c r="I4643" s="2">
        <v>1599</v>
      </c>
      <c r="J4643" s="2" t="s">
        <v>89</v>
      </c>
      <c r="K4643" s="2" t="s">
        <v>56</v>
      </c>
      <c r="L4643" s="2">
        <v>4.0999999999999996</v>
      </c>
      <c r="M4643" s="2">
        <v>487</v>
      </c>
      <c r="P4643" t="str">
        <f t="shared" si="291"/>
        <v>53%</v>
      </c>
      <c r="Q4643" s="12">
        <f t="shared" si="288"/>
        <v>0.53</v>
      </c>
      <c r="R4643" s="9">
        <f t="shared" si="289"/>
        <v>751.53</v>
      </c>
      <c r="S4643" s="9">
        <f>IF(R4643="",AVERAGEIF(Table1[Category],Table1[[#This Row],[Category]],Table2[orignal data]),Table2[[#This Row],[orignal data]])</f>
        <v>751.53</v>
      </c>
      <c r="T4643" t="str">
        <f t="shared" si="290"/>
        <v>UNIQUE</v>
      </c>
      <c r="U4643" t="str">
        <f>IF(ISBLANK(Table1[[#This Row],[SizeOption]]),"NOT AVAILABLE",Table1[[#This Row],[SizeOption]])</f>
        <v>30, 32, 34, 36</v>
      </c>
      <c r="Y4643" t="str">
        <f>IF(Table2[[#This Row],[Column1]]&gt;50%,"HIGH DISCOUNT","LOW DISCOUNT")</f>
        <v>HIGH DISCOUNT</v>
      </c>
    </row>
    <row r="4644" spans="1:25" x14ac:dyDescent="0.25">
      <c r="A4644" s="1" t="s">
        <v>9475</v>
      </c>
      <c r="B4644" s="1">
        <v>9436575</v>
      </c>
      <c r="C4644" s="1" t="s">
        <v>1176</v>
      </c>
      <c r="D4644" s="1" t="s">
        <v>15</v>
      </c>
      <c r="E4644" s="1" t="s">
        <v>23</v>
      </c>
      <c r="F4644" s="1" t="s">
        <v>17</v>
      </c>
      <c r="G4644" s="1" t="s">
        <v>1339</v>
      </c>
      <c r="H4644">
        <v>676</v>
      </c>
      <c r="I4644" s="1">
        <v>1109</v>
      </c>
      <c r="J4644" s="1" t="s">
        <v>1863</v>
      </c>
      <c r="K4644" s="1" t="s">
        <v>1341</v>
      </c>
      <c r="L4644" s="1">
        <v>3.6</v>
      </c>
      <c r="M4644" s="1">
        <v>487</v>
      </c>
      <c r="P4644" t="str">
        <f t="shared" si="291"/>
        <v>39%</v>
      </c>
      <c r="Q4644" s="12">
        <f t="shared" si="288"/>
        <v>0.39</v>
      </c>
      <c r="R4644" s="9">
        <f t="shared" si="289"/>
        <v>676.49</v>
      </c>
      <c r="S4644" s="9">
        <f>IF(R4644="",AVERAGEIF(Table1[Category],Table1[[#This Row],[Category]],Table2[orignal data]),Table2[[#This Row],[orignal data]])</f>
        <v>676.49</v>
      </c>
      <c r="T4644" t="str">
        <f t="shared" si="290"/>
        <v>UNIQUE</v>
      </c>
      <c r="U4644" t="str">
        <f>IF(ISBLANK(Table1[[#This Row],[SizeOption]]),"NOT AVAILABLE",Table1[[#This Row],[SizeOption]])</f>
        <v>M, L, XL</v>
      </c>
      <c r="Y4644" t="str">
        <f>IF(Table2[[#This Row],[Column1]]&gt;50%,"HIGH DISCOUNT","LOW DISCOUNT")</f>
        <v>LOW DISCOUNT</v>
      </c>
    </row>
    <row r="4645" spans="1:25" x14ac:dyDescent="0.25">
      <c r="A4645" s="2" t="s">
        <v>9476</v>
      </c>
      <c r="B4645" s="2">
        <v>10861808</v>
      </c>
      <c r="C4645" s="2" t="s">
        <v>794</v>
      </c>
      <c r="D4645" s="2" t="s">
        <v>197</v>
      </c>
      <c r="E4645" s="2" t="s">
        <v>518</v>
      </c>
      <c r="F4645" s="2" t="s">
        <v>17</v>
      </c>
      <c r="G4645" s="2" t="s">
        <v>9477</v>
      </c>
      <c r="H4645">
        <v>1139</v>
      </c>
      <c r="I4645" s="2">
        <v>1199</v>
      </c>
      <c r="J4645" s="2" t="s">
        <v>764</v>
      </c>
      <c r="K4645" s="2" t="s">
        <v>39</v>
      </c>
      <c r="L4645" s="2">
        <v>4.4000000000000004</v>
      </c>
      <c r="M4645" s="2">
        <v>487</v>
      </c>
      <c r="P4645" t="str">
        <f t="shared" si="291"/>
        <v>5%</v>
      </c>
      <c r="Q4645" s="12">
        <f t="shared" si="288"/>
        <v>0.05</v>
      </c>
      <c r="R4645" s="9">
        <f t="shared" si="289"/>
        <v>1139.05</v>
      </c>
      <c r="S4645" s="9">
        <f>IF(R4645="",AVERAGEIF(Table1[Category],Table1[[#This Row],[Category]],Table2[orignal data]),Table2[[#This Row],[orignal data]])</f>
        <v>1139.05</v>
      </c>
      <c r="T4645" t="str">
        <f t="shared" si="290"/>
        <v>UNIQUE</v>
      </c>
      <c r="U4645" t="str">
        <f>IF(ISBLANK(Table1[[#This Row],[SizeOption]]),"NOT AVAILABLE",Table1[[#This Row],[SizeOption]])</f>
        <v>S, M, L, XL, XXL</v>
      </c>
      <c r="Y4645" t="str">
        <f>IF(Table2[[#This Row],[Column1]]&gt;50%,"HIGH DISCOUNT","LOW DISCOUNT")</f>
        <v>LOW DISCOUNT</v>
      </c>
    </row>
    <row r="4646" spans="1:25" x14ac:dyDescent="0.25">
      <c r="A4646" s="1" t="s">
        <v>9478</v>
      </c>
      <c r="B4646" s="1">
        <v>12056232</v>
      </c>
      <c r="C4646" s="1" t="s">
        <v>14</v>
      </c>
      <c r="D4646" s="1" t="s">
        <v>28</v>
      </c>
      <c r="E4646" s="1" t="s">
        <v>29</v>
      </c>
      <c r="F4646" s="1" t="s">
        <v>17</v>
      </c>
      <c r="G4646" s="1" t="s">
        <v>9479</v>
      </c>
      <c r="H4646">
        <v>849</v>
      </c>
      <c r="I4646" s="1">
        <v>1699</v>
      </c>
      <c r="J4646" s="1" t="s">
        <v>84</v>
      </c>
      <c r="K4646" s="1" t="s">
        <v>253</v>
      </c>
      <c r="L4646" s="1">
        <v>3.9</v>
      </c>
      <c r="M4646" s="1">
        <v>487</v>
      </c>
      <c r="P4646" t="str">
        <f t="shared" si="291"/>
        <v>50%</v>
      </c>
      <c r="Q4646" s="12">
        <f t="shared" si="288"/>
        <v>0.5</v>
      </c>
      <c r="R4646" s="9">
        <f t="shared" si="289"/>
        <v>849.5</v>
      </c>
      <c r="S4646" s="9">
        <f>IF(R4646="",AVERAGEIF(Table1[Category],Table1[[#This Row],[Category]],Table2[orignal data]),Table2[[#This Row],[orignal data]])</f>
        <v>849.5</v>
      </c>
      <c r="T4646" t="str">
        <f t="shared" si="290"/>
        <v>UNIQUE</v>
      </c>
      <c r="U4646" t="str">
        <f>IF(ISBLANK(Table1[[#This Row],[SizeOption]]),"NOT AVAILABLE",Table1[[#This Row],[SizeOption]])</f>
        <v>38, 40, 42, 44</v>
      </c>
      <c r="Y4646" t="str">
        <f>IF(Table2[[#This Row],[Column1]]&gt;50%,"HIGH DISCOUNT","LOW DISCOUNT")</f>
        <v>LOW DISCOUNT</v>
      </c>
    </row>
    <row r="4647" spans="1:25" x14ac:dyDescent="0.25">
      <c r="A4647" s="2" t="s">
        <v>9480</v>
      </c>
      <c r="B4647" s="2">
        <v>8571067</v>
      </c>
      <c r="C4647" s="2" t="s">
        <v>3402</v>
      </c>
      <c r="D4647" s="2" t="s">
        <v>28</v>
      </c>
      <c r="E4647" s="2" t="s">
        <v>29</v>
      </c>
      <c r="F4647" s="2" t="s">
        <v>17</v>
      </c>
      <c r="G4647" s="2" t="s">
        <v>9481</v>
      </c>
      <c r="H4647">
        <v>649</v>
      </c>
      <c r="I4647" s="2">
        <v>999</v>
      </c>
      <c r="J4647" s="2" t="s">
        <v>44</v>
      </c>
      <c r="K4647" s="2" t="s">
        <v>253</v>
      </c>
      <c r="L4647" s="2">
        <v>4.0999999999999996</v>
      </c>
      <c r="M4647" s="2">
        <v>487</v>
      </c>
      <c r="P4647" t="str">
        <f t="shared" si="291"/>
        <v>35%</v>
      </c>
      <c r="Q4647" s="12">
        <f t="shared" si="288"/>
        <v>0.35</v>
      </c>
      <c r="R4647" s="9">
        <f t="shared" si="289"/>
        <v>649.35</v>
      </c>
      <c r="S4647" s="9">
        <f>IF(R4647="",AVERAGEIF(Table1[Category],Table1[[#This Row],[Category]],Table2[orignal data]),Table2[[#This Row],[orignal data]])</f>
        <v>649.35</v>
      </c>
      <c r="T4647" t="str">
        <f t="shared" si="290"/>
        <v>UNIQUE</v>
      </c>
      <c r="U4647" t="str">
        <f>IF(ISBLANK(Table1[[#This Row],[SizeOption]]),"NOT AVAILABLE",Table1[[#This Row],[SizeOption]])</f>
        <v>38, 40, 42, 44</v>
      </c>
      <c r="Y4647" t="str">
        <f>IF(Table2[[#This Row],[Column1]]&gt;50%,"HIGH DISCOUNT","LOW DISCOUNT")</f>
        <v>LOW DISCOUNT</v>
      </c>
    </row>
    <row r="4648" spans="1:25" x14ac:dyDescent="0.25">
      <c r="A4648" s="1" t="s">
        <v>9482</v>
      </c>
      <c r="B4648" s="1">
        <v>11977322</v>
      </c>
      <c r="C4648" s="1" t="s">
        <v>102</v>
      </c>
      <c r="D4648" s="1" t="s">
        <v>41</v>
      </c>
      <c r="E4648" s="1" t="s">
        <v>53</v>
      </c>
      <c r="F4648" s="1" t="s">
        <v>36</v>
      </c>
      <c r="G4648" s="1" t="s">
        <v>9483</v>
      </c>
      <c r="I4648" s="1">
        <v>1249</v>
      </c>
      <c r="J4648" s="1" t="s">
        <v>758</v>
      </c>
      <c r="K4648" s="1" t="s">
        <v>105</v>
      </c>
      <c r="L4648" s="1">
        <v>4.2</v>
      </c>
      <c r="M4648" s="1">
        <v>487</v>
      </c>
      <c r="P4648" t="str">
        <f t="shared" si="291"/>
        <v>47%</v>
      </c>
      <c r="Q4648" s="12">
        <f t="shared" si="288"/>
        <v>0.47</v>
      </c>
      <c r="R4648" s="9">
        <f t="shared" si="289"/>
        <v>661.97</v>
      </c>
      <c r="S4648" s="9">
        <f>IF(R4648="",AVERAGEIF(Table1[Category],Table1[[#This Row],[Category]],Table2[orignal data]),Table2[[#This Row],[orignal data]])</f>
        <v>661.97</v>
      </c>
      <c r="T4648" t="str">
        <f t="shared" si="290"/>
        <v>UNIQUE</v>
      </c>
      <c r="U4648" t="str">
        <f>IF(ISBLANK(Table1[[#This Row],[SizeOption]]),"NOT AVAILABLE",Table1[[#This Row],[SizeOption]])</f>
        <v>28, 30, 32, 34</v>
      </c>
      <c r="Y4648" t="str">
        <f>IF(Table2[[#This Row],[Column1]]&gt;50%,"HIGH DISCOUNT","LOW DISCOUNT")</f>
        <v>LOW DISCOUNT</v>
      </c>
    </row>
    <row r="4649" spans="1:25" x14ac:dyDescent="0.25">
      <c r="A4649" s="2" t="s">
        <v>9484</v>
      </c>
      <c r="B4649" s="2">
        <v>17383934</v>
      </c>
      <c r="C4649" s="2" t="s">
        <v>14</v>
      </c>
      <c r="D4649" s="2" t="s">
        <v>41</v>
      </c>
      <c r="E4649" s="2" t="s">
        <v>42</v>
      </c>
      <c r="F4649" s="2" t="s">
        <v>36</v>
      </c>
      <c r="G4649" s="2" t="s">
        <v>657</v>
      </c>
      <c r="I4649" s="2">
        <v>1398</v>
      </c>
      <c r="J4649" s="2" t="s">
        <v>84</v>
      </c>
      <c r="K4649" s="2" t="s">
        <v>45</v>
      </c>
      <c r="L4649" s="2">
        <v>4.4000000000000004</v>
      </c>
      <c r="M4649" s="2">
        <v>487</v>
      </c>
      <c r="P4649" t="str">
        <f t="shared" si="291"/>
        <v>50%</v>
      </c>
      <c r="Q4649" s="12">
        <f t="shared" si="288"/>
        <v>0.5</v>
      </c>
      <c r="R4649" s="9">
        <f t="shared" si="289"/>
        <v>699</v>
      </c>
      <c r="S4649" s="9">
        <f>IF(R4649="",AVERAGEIF(Table1[Category],Table1[[#This Row],[Category]],Table2[orignal data]),Table2[[#This Row],[orignal data]])</f>
        <v>699</v>
      </c>
      <c r="T4649" t="str">
        <f t="shared" si="290"/>
        <v>UNIQUE</v>
      </c>
      <c r="U4649" t="str">
        <f>IF(ISBLANK(Table1[[#This Row],[SizeOption]]),"NOT AVAILABLE",Table1[[#This Row],[SizeOption]])</f>
        <v>XS, S, M, L, XL</v>
      </c>
      <c r="Y4649" t="str">
        <f>IF(Table2[[#This Row],[Column1]]&gt;50%,"HIGH DISCOUNT","LOW DISCOUNT")</f>
        <v>LOW DISCOUNT</v>
      </c>
    </row>
    <row r="4650" spans="1:25" x14ac:dyDescent="0.25">
      <c r="A4650" s="1" t="s">
        <v>9485</v>
      </c>
      <c r="B4650" s="1">
        <v>2521911</v>
      </c>
      <c r="C4650" s="1" t="s">
        <v>107</v>
      </c>
      <c r="D4650" s="1" t="s">
        <v>41</v>
      </c>
      <c r="E4650" s="1" t="s">
        <v>48</v>
      </c>
      <c r="F4650" s="1" t="s">
        <v>36</v>
      </c>
      <c r="G4650" s="1" t="s">
        <v>9486</v>
      </c>
      <c r="I4650" s="1">
        <v>1499</v>
      </c>
      <c r="J4650" s="1" t="s">
        <v>55</v>
      </c>
      <c r="K4650" s="1" t="s">
        <v>45</v>
      </c>
      <c r="L4650" s="1">
        <v>4.4000000000000004</v>
      </c>
      <c r="M4650" s="1">
        <v>487</v>
      </c>
      <c r="P4650" t="str">
        <f t="shared" si="291"/>
        <v>60%</v>
      </c>
      <c r="Q4650" s="12">
        <f t="shared" si="288"/>
        <v>0.6</v>
      </c>
      <c r="R4650" s="9">
        <f t="shared" si="289"/>
        <v>599.6</v>
      </c>
      <c r="S4650" s="9">
        <f>IF(R4650="",AVERAGEIF(Table1[Category],Table1[[#This Row],[Category]],Table2[orignal data]),Table2[[#This Row],[orignal data]])</f>
        <v>599.6</v>
      </c>
      <c r="T4650" t="str">
        <f t="shared" si="290"/>
        <v>UNIQUE</v>
      </c>
      <c r="U4650" t="str">
        <f>IF(ISBLANK(Table1[[#This Row],[SizeOption]]),"NOT AVAILABLE",Table1[[#This Row],[SizeOption]])</f>
        <v>XS, S, M, L, XL</v>
      </c>
      <c r="Y4650" t="str">
        <f>IF(Table2[[#This Row],[Column1]]&gt;50%,"HIGH DISCOUNT","LOW DISCOUNT")</f>
        <v>HIGH DISCOUNT</v>
      </c>
    </row>
    <row r="4651" spans="1:25" x14ac:dyDescent="0.25">
      <c r="A4651" s="2" t="s">
        <v>9487</v>
      </c>
      <c r="B4651" s="2">
        <v>15204104</v>
      </c>
      <c r="C4651" s="2" t="s">
        <v>9488</v>
      </c>
      <c r="D4651" s="2" t="s">
        <v>41</v>
      </c>
      <c r="E4651" s="2" t="s">
        <v>53</v>
      </c>
      <c r="F4651" s="2" t="s">
        <v>36</v>
      </c>
      <c r="G4651" s="2" t="s">
        <v>9489</v>
      </c>
      <c r="I4651" s="2">
        <v>1599</v>
      </c>
      <c r="J4651" s="2" t="s">
        <v>543</v>
      </c>
      <c r="K4651" s="2" t="s">
        <v>20</v>
      </c>
      <c r="L4651" s="2">
        <v>3.8</v>
      </c>
      <c r="M4651" s="2">
        <v>487</v>
      </c>
      <c r="P4651" t="str">
        <f t="shared" si="291"/>
        <v>67%</v>
      </c>
      <c r="Q4651" s="12">
        <f t="shared" si="288"/>
        <v>0.67</v>
      </c>
      <c r="R4651" s="9">
        <f t="shared" si="289"/>
        <v>527.66999999999985</v>
      </c>
      <c r="S4651" s="9">
        <f>IF(R4651="",AVERAGEIF(Table1[Category],Table1[[#This Row],[Category]],Table2[orignal data]),Table2[[#This Row],[orignal data]])</f>
        <v>527.66999999999985</v>
      </c>
      <c r="T4651" t="str">
        <f t="shared" si="290"/>
        <v>UNIQUE</v>
      </c>
      <c r="U4651" t="str">
        <f>IF(ISBLANK(Table1[[#This Row],[SizeOption]]),"NOT AVAILABLE",Table1[[#This Row],[SizeOption]])</f>
        <v>28, 30, 32, 34, 36</v>
      </c>
      <c r="Y4651" t="str">
        <f>IF(Table2[[#This Row],[Column1]]&gt;50%,"HIGH DISCOUNT","LOW DISCOUNT")</f>
        <v>HIGH DISCOUNT</v>
      </c>
    </row>
    <row r="4652" spans="1:25" x14ac:dyDescent="0.25">
      <c r="A4652" s="1" t="s">
        <v>9490</v>
      </c>
      <c r="B4652" s="1">
        <v>8352839</v>
      </c>
      <c r="C4652" s="1" t="s">
        <v>47</v>
      </c>
      <c r="D4652" s="1" t="s">
        <v>41</v>
      </c>
      <c r="E4652" s="1" t="s">
        <v>29</v>
      </c>
      <c r="F4652" s="1" t="s">
        <v>36</v>
      </c>
      <c r="G4652" s="1" t="s">
        <v>9491</v>
      </c>
      <c r="I4652" s="1">
        <v>1699</v>
      </c>
      <c r="J4652" s="1" t="s">
        <v>84</v>
      </c>
      <c r="K4652" s="1" t="s">
        <v>45</v>
      </c>
      <c r="L4652" s="1">
        <v>3.6</v>
      </c>
      <c r="M4652" s="1">
        <v>487</v>
      </c>
      <c r="P4652" t="str">
        <f t="shared" si="291"/>
        <v>50%</v>
      </c>
      <c r="Q4652" s="12">
        <f t="shared" si="288"/>
        <v>0.5</v>
      </c>
      <c r="R4652" s="9">
        <f t="shared" si="289"/>
        <v>849.5</v>
      </c>
      <c r="S4652" s="9">
        <f>IF(R4652="",AVERAGEIF(Table1[Category],Table1[[#This Row],[Category]],Table2[orignal data]),Table2[[#This Row],[orignal data]])</f>
        <v>849.5</v>
      </c>
      <c r="T4652" t="str">
        <f t="shared" si="290"/>
        <v>UNIQUE</v>
      </c>
      <c r="U4652" t="str">
        <f>IF(ISBLANK(Table1[[#This Row],[SizeOption]]),"NOT AVAILABLE",Table1[[#This Row],[SizeOption]])</f>
        <v>XS, S, M, L, XL</v>
      </c>
      <c r="Y4652" t="str">
        <f>IF(Table2[[#This Row],[Column1]]&gt;50%,"HIGH DISCOUNT","LOW DISCOUNT")</f>
        <v>LOW DISCOUNT</v>
      </c>
    </row>
    <row r="4653" spans="1:25" x14ac:dyDescent="0.25">
      <c r="A4653" s="2" t="s">
        <v>9492</v>
      </c>
      <c r="B4653" s="2">
        <v>11132224</v>
      </c>
      <c r="C4653" s="2" t="s">
        <v>14</v>
      </c>
      <c r="D4653" s="2" t="s">
        <v>41</v>
      </c>
      <c r="E4653" s="2" t="s">
        <v>16</v>
      </c>
      <c r="F4653" s="2" t="s">
        <v>36</v>
      </c>
      <c r="G4653" s="2" t="s">
        <v>9493</v>
      </c>
      <c r="I4653" s="2">
        <v>1799</v>
      </c>
      <c r="J4653" s="2" t="s">
        <v>150</v>
      </c>
      <c r="K4653" s="2" t="s">
        <v>134</v>
      </c>
      <c r="L4653" s="2">
        <v>4.2</v>
      </c>
      <c r="M4653" s="2">
        <v>487</v>
      </c>
      <c r="P4653" t="str">
        <f t="shared" si="291"/>
        <v>65%</v>
      </c>
      <c r="Q4653" s="12">
        <f t="shared" si="288"/>
        <v>0.65</v>
      </c>
      <c r="R4653" s="9">
        <f t="shared" si="289"/>
        <v>629.64999999999986</v>
      </c>
      <c r="S4653" s="9">
        <f>IF(R4653="",AVERAGEIF(Table1[Category],Table1[[#This Row],[Category]],Table2[orignal data]),Table2[[#This Row],[orignal data]])</f>
        <v>629.64999999999986</v>
      </c>
      <c r="T4653" t="str">
        <f t="shared" si="290"/>
        <v>UNIQUE</v>
      </c>
      <c r="U4653" t="str">
        <f>IF(ISBLANK(Table1[[#This Row],[SizeOption]]),"NOT AVAILABLE",Table1[[#This Row],[SizeOption]])</f>
        <v>26, 28, 30, 32, 34, 36</v>
      </c>
      <c r="Y4653" t="str">
        <f>IF(Table2[[#This Row],[Column1]]&gt;50%,"HIGH DISCOUNT","LOW DISCOUNT")</f>
        <v>HIGH DISCOUNT</v>
      </c>
    </row>
    <row r="4654" spans="1:25" x14ac:dyDescent="0.25">
      <c r="A4654" s="1" t="s">
        <v>9494</v>
      </c>
      <c r="B4654" s="1">
        <v>11793372</v>
      </c>
      <c r="C4654" s="1" t="s">
        <v>420</v>
      </c>
      <c r="D4654" s="1" t="s">
        <v>15</v>
      </c>
      <c r="E4654" s="1" t="s">
        <v>16</v>
      </c>
      <c r="F4654" s="1" t="s">
        <v>17</v>
      </c>
      <c r="G4654" s="1" t="s">
        <v>9495</v>
      </c>
      <c r="H4654">
        <v>816</v>
      </c>
      <c r="I4654" s="1">
        <v>1899</v>
      </c>
      <c r="J4654" s="1" t="s">
        <v>130</v>
      </c>
      <c r="K4654" s="1" t="s">
        <v>20</v>
      </c>
      <c r="L4654" s="1">
        <v>3.7</v>
      </c>
      <c r="M4654" s="1">
        <v>486</v>
      </c>
      <c r="P4654" t="str">
        <f t="shared" si="291"/>
        <v>57%</v>
      </c>
      <c r="Q4654" s="12">
        <f t="shared" si="288"/>
        <v>0.56999999999999995</v>
      </c>
      <c r="R4654" s="9">
        <f t="shared" si="289"/>
        <v>816.57000000000016</v>
      </c>
      <c r="S4654" s="9">
        <f>IF(R4654="",AVERAGEIF(Table1[Category],Table1[[#This Row],[Category]],Table2[orignal data]),Table2[[#This Row],[orignal data]])</f>
        <v>816.57000000000016</v>
      </c>
      <c r="T4654" t="str">
        <f t="shared" si="290"/>
        <v>UNIQUE</v>
      </c>
      <c r="U4654" t="str">
        <f>IF(ISBLANK(Table1[[#This Row],[SizeOption]]),"NOT AVAILABLE",Table1[[#This Row],[SizeOption]])</f>
        <v>28, 30, 32, 34, 36</v>
      </c>
      <c r="Y4654" t="str">
        <f>IF(Table2[[#This Row],[Column1]]&gt;50%,"HIGH DISCOUNT","LOW DISCOUNT")</f>
        <v>HIGH DISCOUNT</v>
      </c>
    </row>
    <row r="4655" spans="1:25" x14ac:dyDescent="0.25">
      <c r="A4655" s="2" t="s">
        <v>9496</v>
      </c>
      <c r="B4655" s="2">
        <v>8962421</v>
      </c>
      <c r="C4655" s="2" t="s">
        <v>14</v>
      </c>
      <c r="D4655" s="2" t="s">
        <v>15</v>
      </c>
      <c r="E4655" s="2" t="s">
        <v>16</v>
      </c>
      <c r="F4655" s="2" t="s">
        <v>17</v>
      </c>
      <c r="G4655" s="2" t="s">
        <v>9497</v>
      </c>
      <c r="H4655">
        <v>899</v>
      </c>
      <c r="I4655" s="2">
        <v>1799</v>
      </c>
      <c r="J4655" s="2" t="s">
        <v>84</v>
      </c>
      <c r="K4655" s="2" t="s">
        <v>134</v>
      </c>
      <c r="L4655" s="2">
        <v>3.9</v>
      </c>
      <c r="M4655" s="2">
        <v>486</v>
      </c>
      <c r="P4655" t="str">
        <f t="shared" si="291"/>
        <v>50%</v>
      </c>
      <c r="Q4655" s="12">
        <f t="shared" si="288"/>
        <v>0.5</v>
      </c>
      <c r="R4655" s="9">
        <f t="shared" si="289"/>
        <v>899.5</v>
      </c>
      <c r="S4655" s="9">
        <f>IF(R4655="",AVERAGEIF(Table1[Category],Table1[[#This Row],[Category]],Table2[orignal data]),Table2[[#This Row],[orignal data]])</f>
        <v>899.5</v>
      </c>
      <c r="T4655" t="str">
        <f t="shared" si="290"/>
        <v>UNIQUE</v>
      </c>
      <c r="U4655" t="str">
        <f>IF(ISBLANK(Table1[[#This Row],[SizeOption]]),"NOT AVAILABLE",Table1[[#This Row],[SizeOption]])</f>
        <v>26, 28, 30, 32, 34, 36</v>
      </c>
      <c r="Y4655" t="str">
        <f>IF(Table2[[#This Row],[Column1]]&gt;50%,"HIGH DISCOUNT","LOW DISCOUNT")</f>
        <v>LOW DISCOUNT</v>
      </c>
    </row>
    <row r="4656" spans="1:25" x14ac:dyDescent="0.25">
      <c r="A4656" s="1" t="s">
        <v>9498</v>
      </c>
      <c r="B4656" s="1">
        <v>12771392</v>
      </c>
      <c r="C4656" s="1" t="s">
        <v>841</v>
      </c>
      <c r="D4656" s="1" t="s">
        <v>15</v>
      </c>
      <c r="E4656" s="1" t="s">
        <v>16</v>
      </c>
      <c r="F4656" s="1" t="s">
        <v>17</v>
      </c>
      <c r="G4656" s="1" t="s">
        <v>9499</v>
      </c>
      <c r="H4656">
        <v>594</v>
      </c>
      <c r="I4656" s="1">
        <v>1698</v>
      </c>
      <c r="J4656" s="1" t="s">
        <v>150</v>
      </c>
      <c r="K4656" s="1" t="s">
        <v>134</v>
      </c>
      <c r="L4656" s="1">
        <v>3.7</v>
      </c>
      <c r="M4656" s="1">
        <v>486</v>
      </c>
      <c r="P4656" t="str">
        <f t="shared" si="291"/>
        <v>65%</v>
      </c>
      <c r="Q4656" s="12">
        <f t="shared" si="288"/>
        <v>0.65</v>
      </c>
      <c r="R4656" s="9">
        <f t="shared" si="289"/>
        <v>594.29999999999995</v>
      </c>
      <c r="S4656" s="9">
        <f>IF(R4656="",AVERAGEIF(Table1[Category],Table1[[#This Row],[Category]],Table2[orignal data]),Table2[[#This Row],[orignal data]])</f>
        <v>594.29999999999995</v>
      </c>
      <c r="T4656" t="str">
        <f t="shared" si="290"/>
        <v>UNIQUE</v>
      </c>
      <c r="U4656" t="str">
        <f>IF(ISBLANK(Table1[[#This Row],[SizeOption]]),"NOT AVAILABLE",Table1[[#This Row],[SizeOption]])</f>
        <v>26, 28, 30, 32, 34, 36</v>
      </c>
      <c r="Y4656" t="str">
        <f>IF(Table2[[#This Row],[Column1]]&gt;50%,"HIGH DISCOUNT","LOW DISCOUNT")</f>
        <v>HIGH DISCOUNT</v>
      </c>
    </row>
    <row r="4657" spans="1:25" x14ac:dyDescent="0.25">
      <c r="A4657" s="2" t="s">
        <v>9500</v>
      </c>
      <c r="B4657" s="2">
        <v>13188736</v>
      </c>
      <c r="C4657" s="2" t="s">
        <v>52</v>
      </c>
      <c r="D4657" s="2" t="s">
        <v>15</v>
      </c>
      <c r="E4657" s="2" t="s">
        <v>53</v>
      </c>
      <c r="F4657" s="2" t="s">
        <v>17</v>
      </c>
      <c r="G4657" s="2" t="s">
        <v>9501</v>
      </c>
      <c r="H4657">
        <v>704</v>
      </c>
      <c r="I4657" s="2">
        <v>1499</v>
      </c>
      <c r="J4657" s="2" t="s">
        <v>89</v>
      </c>
      <c r="K4657" s="2" t="s">
        <v>56</v>
      </c>
      <c r="L4657" s="2">
        <v>4</v>
      </c>
      <c r="M4657" s="2">
        <v>486</v>
      </c>
      <c r="P4657" t="str">
        <f t="shared" si="291"/>
        <v>53%</v>
      </c>
      <c r="Q4657" s="12">
        <f t="shared" si="288"/>
        <v>0.53</v>
      </c>
      <c r="R4657" s="9">
        <f t="shared" si="289"/>
        <v>704.53</v>
      </c>
      <c r="S4657" s="9">
        <f>IF(R4657="",AVERAGEIF(Table1[Category],Table1[[#This Row],[Category]],Table2[orignal data]),Table2[[#This Row],[orignal data]])</f>
        <v>704.53</v>
      </c>
      <c r="T4657" t="str">
        <f t="shared" si="290"/>
        <v>UNIQUE</v>
      </c>
      <c r="U4657" t="str">
        <f>IF(ISBLANK(Table1[[#This Row],[SizeOption]]),"NOT AVAILABLE",Table1[[#This Row],[SizeOption]])</f>
        <v>30, 32, 34, 36</v>
      </c>
      <c r="Y4657" t="str">
        <f>IF(Table2[[#This Row],[Column1]]&gt;50%,"HIGH DISCOUNT","LOW DISCOUNT")</f>
        <v>HIGH DISCOUNT</v>
      </c>
    </row>
    <row r="4658" spans="1:25" x14ac:dyDescent="0.25">
      <c r="A4658" s="1" t="s">
        <v>9502</v>
      </c>
      <c r="B4658" s="1">
        <v>9973939</v>
      </c>
      <c r="C4658" s="1" t="s">
        <v>1693</v>
      </c>
      <c r="D4658" s="1" t="s">
        <v>76</v>
      </c>
      <c r="E4658" s="1" t="s">
        <v>93</v>
      </c>
      <c r="F4658" s="1" t="s">
        <v>17</v>
      </c>
      <c r="G4658" s="1" t="s">
        <v>9503</v>
      </c>
      <c r="H4658">
        <v>499</v>
      </c>
      <c r="I4658" s="1">
        <v>999</v>
      </c>
      <c r="J4658" s="1" t="s">
        <v>84</v>
      </c>
      <c r="K4658" s="1" t="s">
        <v>39</v>
      </c>
      <c r="L4658" s="1">
        <v>4.5</v>
      </c>
      <c r="M4658" s="1">
        <v>486</v>
      </c>
      <c r="P4658" t="str">
        <f t="shared" si="291"/>
        <v>50%</v>
      </c>
      <c r="Q4658" s="12">
        <f t="shared" si="288"/>
        <v>0.5</v>
      </c>
      <c r="R4658" s="9">
        <f t="shared" si="289"/>
        <v>499.5</v>
      </c>
      <c r="S4658" s="9">
        <f>IF(R4658="",AVERAGEIF(Table1[Category],Table1[[#This Row],[Category]],Table2[orignal data]),Table2[[#This Row],[orignal data]])</f>
        <v>499.5</v>
      </c>
      <c r="T4658" t="str">
        <f t="shared" si="290"/>
        <v>UNIQUE</v>
      </c>
      <c r="U4658" t="str">
        <f>IF(ISBLANK(Table1[[#This Row],[SizeOption]]),"NOT AVAILABLE",Table1[[#This Row],[SizeOption]])</f>
        <v>S, M, L, XL, XXL</v>
      </c>
      <c r="Y4658" t="str">
        <f>IF(Table2[[#This Row],[Column1]]&gt;50%,"HIGH DISCOUNT","LOW DISCOUNT")</f>
        <v>LOW DISCOUNT</v>
      </c>
    </row>
    <row r="4659" spans="1:25" x14ac:dyDescent="0.25">
      <c r="A4659" s="2" t="s">
        <v>9504</v>
      </c>
      <c r="B4659" s="2">
        <v>11326766</v>
      </c>
      <c r="C4659" s="2" t="s">
        <v>14</v>
      </c>
      <c r="D4659" s="2" t="s">
        <v>28</v>
      </c>
      <c r="E4659" s="2" t="s">
        <v>29</v>
      </c>
      <c r="F4659" s="2" t="s">
        <v>17</v>
      </c>
      <c r="G4659" s="2" t="s">
        <v>9505</v>
      </c>
      <c r="H4659">
        <v>649</v>
      </c>
      <c r="I4659" s="2">
        <v>1299</v>
      </c>
      <c r="J4659" s="2" t="s">
        <v>84</v>
      </c>
      <c r="K4659" s="2" t="s">
        <v>253</v>
      </c>
      <c r="L4659" s="2">
        <v>4.2</v>
      </c>
      <c r="M4659" s="2">
        <v>486</v>
      </c>
      <c r="P4659" t="str">
        <f t="shared" si="291"/>
        <v>50%</v>
      </c>
      <c r="Q4659" s="12">
        <f t="shared" si="288"/>
        <v>0.5</v>
      </c>
      <c r="R4659" s="9">
        <f t="shared" si="289"/>
        <v>649.5</v>
      </c>
      <c r="S4659" s="9">
        <f>IF(R4659="",AVERAGEIF(Table1[Category],Table1[[#This Row],[Category]],Table2[orignal data]),Table2[[#This Row],[orignal data]])</f>
        <v>649.5</v>
      </c>
      <c r="T4659" t="str">
        <f t="shared" si="290"/>
        <v>UNIQUE</v>
      </c>
      <c r="U4659" t="str">
        <f>IF(ISBLANK(Table1[[#This Row],[SizeOption]]),"NOT AVAILABLE",Table1[[#This Row],[SizeOption]])</f>
        <v>38, 40, 42, 44</v>
      </c>
      <c r="Y4659" t="str">
        <f>IF(Table2[[#This Row],[Column1]]&gt;50%,"HIGH DISCOUNT","LOW DISCOUNT")</f>
        <v>LOW DISCOUNT</v>
      </c>
    </row>
    <row r="4660" spans="1:25" x14ac:dyDescent="0.25">
      <c r="A4660" s="1" t="s">
        <v>9506</v>
      </c>
      <c r="B4660" s="1">
        <v>11326992</v>
      </c>
      <c r="C4660" s="1" t="s">
        <v>14</v>
      </c>
      <c r="D4660" s="1" t="s">
        <v>28</v>
      </c>
      <c r="E4660" s="1" t="s">
        <v>29</v>
      </c>
      <c r="F4660" s="1" t="s">
        <v>17</v>
      </c>
      <c r="G4660" s="1" t="s">
        <v>9507</v>
      </c>
      <c r="I4660" s="1">
        <v>649</v>
      </c>
      <c r="J4660" s="1"/>
      <c r="K4660" s="1" t="s">
        <v>253</v>
      </c>
      <c r="L4660" s="1">
        <v>4.3</v>
      </c>
      <c r="M4660" s="1">
        <v>486</v>
      </c>
      <c r="P4660" t="str">
        <f t="shared" si="291"/>
        <v/>
      </c>
      <c r="Q4660" s="12" t="str">
        <f t="shared" si="288"/>
        <v/>
      </c>
      <c r="R4660" s="9" t="str">
        <f t="shared" si="289"/>
        <v/>
      </c>
      <c r="S4660" s="9">
        <f>IF(R4660="",AVERAGEIF(Table1[Category],Table1[[#This Row],[Category]],Table2[orignal data]),Table2[[#This Row],[orignal data]])</f>
        <v>671.7823941958867</v>
      </c>
      <c r="T4660" t="str">
        <f t="shared" si="290"/>
        <v>UNIQUE</v>
      </c>
      <c r="U4660" t="str">
        <f>IF(ISBLANK(Table1[[#This Row],[SizeOption]]),"NOT AVAILABLE",Table1[[#This Row],[SizeOption]])</f>
        <v>38, 40, 42, 44</v>
      </c>
      <c r="Y4660" t="str">
        <f>IF(Table2[[#This Row],[Column1]]&gt;50%,"HIGH DISCOUNT","LOW DISCOUNT")</f>
        <v>HIGH DISCOUNT</v>
      </c>
    </row>
    <row r="4661" spans="1:25" x14ac:dyDescent="0.25">
      <c r="A4661" s="2" t="s">
        <v>9508</v>
      </c>
      <c r="B4661" s="2">
        <v>11896612</v>
      </c>
      <c r="C4661" s="2" t="s">
        <v>47</v>
      </c>
      <c r="D4661" s="2" t="s">
        <v>28</v>
      </c>
      <c r="E4661" s="2" t="s">
        <v>42</v>
      </c>
      <c r="F4661" s="2" t="s">
        <v>17</v>
      </c>
      <c r="G4661" s="2" t="s">
        <v>9509</v>
      </c>
      <c r="H4661">
        <v>319</v>
      </c>
      <c r="I4661" s="2">
        <v>799</v>
      </c>
      <c r="J4661" s="2" t="s">
        <v>55</v>
      </c>
      <c r="K4661" s="2" t="s">
        <v>26</v>
      </c>
      <c r="L4661" s="2">
        <v>4.3</v>
      </c>
      <c r="M4661" s="2">
        <v>486</v>
      </c>
      <c r="P4661" t="str">
        <f t="shared" si="291"/>
        <v>60%</v>
      </c>
      <c r="Q4661" s="12">
        <f t="shared" si="288"/>
        <v>0.6</v>
      </c>
      <c r="R4661" s="9">
        <f t="shared" si="289"/>
        <v>319.60000000000002</v>
      </c>
      <c r="S4661" s="9">
        <f>IF(R4661="",AVERAGEIF(Table1[Category],Table1[[#This Row],[Category]],Table2[orignal data]),Table2[[#This Row],[orignal data]])</f>
        <v>319.60000000000002</v>
      </c>
      <c r="T4661" t="str">
        <f t="shared" si="290"/>
        <v>UNIQUE</v>
      </c>
      <c r="U4661" t="str">
        <f>IF(ISBLANK(Table1[[#This Row],[SizeOption]]),"NOT AVAILABLE",Table1[[#This Row],[SizeOption]])</f>
        <v>S, M, L, XL</v>
      </c>
      <c r="Y4661" t="str">
        <f>IF(Table2[[#This Row],[Column1]]&gt;50%,"HIGH DISCOUNT","LOW DISCOUNT")</f>
        <v>HIGH DISCOUNT</v>
      </c>
    </row>
    <row r="4662" spans="1:25" x14ac:dyDescent="0.25">
      <c r="A4662" s="1" t="s">
        <v>9510</v>
      </c>
      <c r="B4662" s="1">
        <v>13833200</v>
      </c>
      <c r="C4662" s="1" t="s">
        <v>97</v>
      </c>
      <c r="D4662" s="1" t="s">
        <v>76</v>
      </c>
      <c r="E4662" s="1" t="s">
        <v>320</v>
      </c>
      <c r="F4662" s="1" t="s">
        <v>36</v>
      </c>
      <c r="G4662" s="1" t="s">
        <v>9511</v>
      </c>
      <c r="H4662">
        <v>1835</v>
      </c>
      <c r="I4662" s="1">
        <v>3599</v>
      </c>
      <c r="J4662" s="1" t="s">
        <v>167</v>
      </c>
      <c r="K4662" s="1" t="s">
        <v>164</v>
      </c>
      <c r="L4662" s="1">
        <v>4.0999999999999996</v>
      </c>
      <c r="M4662" s="1">
        <v>486</v>
      </c>
      <c r="P4662" t="str">
        <f t="shared" si="291"/>
        <v>49%</v>
      </c>
      <c r="Q4662" s="12">
        <f t="shared" si="288"/>
        <v>0.49</v>
      </c>
      <c r="R4662" s="9">
        <f t="shared" si="289"/>
        <v>1835.49</v>
      </c>
      <c r="S4662" s="9">
        <f>IF(R4662="",AVERAGEIF(Table1[Category],Table1[[#This Row],[Category]],Table2[orignal data]),Table2[[#This Row],[orignal data]])</f>
        <v>1835.49</v>
      </c>
      <c r="T4662" t="str">
        <f t="shared" si="290"/>
        <v>UNIQUE</v>
      </c>
      <c r="U4662" t="str">
        <f>IF(ISBLANK(Table1[[#This Row],[SizeOption]]),"NOT AVAILABLE",Table1[[#This Row],[SizeOption]])</f>
        <v>Onesize</v>
      </c>
      <c r="Y4662" t="str">
        <f>IF(Table2[[#This Row],[Column1]]&gt;50%,"HIGH DISCOUNT","LOW DISCOUNT")</f>
        <v>LOW DISCOUNT</v>
      </c>
    </row>
    <row r="4663" spans="1:25" x14ac:dyDescent="0.25">
      <c r="A4663" s="2" t="s">
        <v>9512</v>
      </c>
      <c r="B4663" s="2">
        <v>7079948</v>
      </c>
      <c r="C4663" s="2" t="s">
        <v>924</v>
      </c>
      <c r="D4663" s="2" t="s">
        <v>76</v>
      </c>
      <c r="E4663" s="2" t="s">
        <v>320</v>
      </c>
      <c r="F4663" s="2" t="s">
        <v>36</v>
      </c>
      <c r="G4663" s="2" t="s">
        <v>9513</v>
      </c>
      <c r="H4663">
        <v>1658</v>
      </c>
      <c r="I4663" s="2">
        <v>3949</v>
      </c>
      <c r="J4663" s="2" t="s">
        <v>60</v>
      </c>
      <c r="K4663" s="2" t="s">
        <v>164</v>
      </c>
      <c r="L4663" s="2">
        <v>4.3</v>
      </c>
      <c r="M4663" s="2">
        <v>486</v>
      </c>
      <c r="P4663" t="str">
        <f t="shared" si="291"/>
        <v>58%</v>
      </c>
      <c r="Q4663" s="12">
        <f t="shared" si="288"/>
        <v>0.57999999999999996</v>
      </c>
      <c r="R4663" s="9">
        <f t="shared" si="289"/>
        <v>1658.5800000000004</v>
      </c>
      <c r="S4663" s="9">
        <f>IF(R4663="",AVERAGEIF(Table1[Category],Table1[[#This Row],[Category]],Table2[orignal data]),Table2[[#This Row],[orignal data]])</f>
        <v>1658.5800000000004</v>
      </c>
      <c r="T4663" t="str">
        <f t="shared" si="290"/>
        <v>UNIQUE</v>
      </c>
      <c r="U4663" t="str">
        <f>IF(ISBLANK(Table1[[#This Row],[SizeOption]]),"NOT AVAILABLE",Table1[[#This Row],[SizeOption]])</f>
        <v>Onesize</v>
      </c>
      <c r="Y4663" t="str">
        <f>IF(Table2[[#This Row],[Column1]]&gt;50%,"HIGH DISCOUNT","LOW DISCOUNT")</f>
        <v>HIGH DISCOUNT</v>
      </c>
    </row>
    <row r="4664" spans="1:25" x14ac:dyDescent="0.25">
      <c r="A4664" s="1" t="s">
        <v>9514</v>
      </c>
      <c r="B4664" s="1">
        <v>13994486</v>
      </c>
      <c r="C4664" s="1" t="s">
        <v>97</v>
      </c>
      <c r="D4664" s="1" t="s">
        <v>98</v>
      </c>
      <c r="E4664" s="1" t="s">
        <v>93</v>
      </c>
      <c r="F4664" s="1" t="s">
        <v>36</v>
      </c>
      <c r="G4664" s="1" t="s">
        <v>9515</v>
      </c>
      <c r="H4664">
        <v>519</v>
      </c>
      <c r="I4664" s="1">
        <v>1299</v>
      </c>
      <c r="J4664" s="1" t="s">
        <v>55</v>
      </c>
      <c r="K4664" s="1" t="s">
        <v>115</v>
      </c>
      <c r="L4664" s="1">
        <v>3.8</v>
      </c>
      <c r="M4664" s="1">
        <v>486</v>
      </c>
      <c r="P4664" t="str">
        <f t="shared" si="291"/>
        <v>60%</v>
      </c>
      <c r="Q4664" s="12">
        <f t="shared" si="288"/>
        <v>0.6</v>
      </c>
      <c r="R4664" s="9">
        <f t="shared" si="289"/>
        <v>519.6</v>
      </c>
      <c r="S4664" s="9">
        <f>IF(R4664="",AVERAGEIF(Table1[Category],Table1[[#This Row],[Category]],Table2[orignal data]),Table2[[#This Row],[orignal data]])</f>
        <v>519.6</v>
      </c>
      <c r="T4664" t="str">
        <f t="shared" si="290"/>
        <v>UNIQUE</v>
      </c>
      <c r="U4664" t="str">
        <f>IF(ISBLANK(Table1[[#This Row],[SizeOption]]),"NOT AVAILABLE",Table1[[#This Row],[SizeOption]])</f>
        <v>XS, S, M, L, XL, XXL</v>
      </c>
      <c r="Y4664" t="str">
        <f>IF(Table2[[#This Row],[Column1]]&gt;50%,"HIGH DISCOUNT","LOW DISCOUNT")</f>
        <v>HIGH DISCOUNT</v>
      </c>
    </row>
    <row r="4665" spans="1:25" x14ac:dyDescent="0.25">
      <c r="A4665" s="2" t="s">
        <v>9516</v>
      </c>
      <c r="B4665" s="2">
        <v>14172592</v>
      </c>
      <c r="C4665" s="2" t="s">
        <v>64</v>
      </c>
      <c r="D4665" s="2" t="s">
        <v>98</v>
      </c>
      <c r="E4665" s="2" t="s">
        <v>93</v>
      </c>
      <c r="F4665" s="2" t="s">
        <v>36</v>
      </c>
      <c r="G4665" s="2" t="s">
        <v>9517</v>
      </c>
      <c r="H4665">
        <v>419</v>
      </c>
      <c r="I4665" s="2">
        <v>1399</v>
      </c>
      <c r="J4665" s="2" t="s">
        <v>1566</v>
      </c>
      <c r="K4665" s="2" t="s">
        <v>100</v>
      </c>
      <c r="L4665" s="2">
        <v>4.0999999999999996</v>
      </c>
      <c r="M4665" s="2">
        <v>486</v>
      </c>
      <c r="P4665" t="str">
        <f t="shared" si="291"/>
        <v>70%</v>
      </c>
      <c r="Q4665" s="12">
        <f t="shared" si="288"/>
        <v>0.7</v>
      </c>
      <c r="R4665" s="9">
        <f t="shared" si="289"/>
        <v>419.70000000000005</v>
      </c>
      <c r="S4665" s="9">
        <f>IF(R4665="",AVERAGEIF(Table1[Category],Table1[[#This Row],[Category]],Table2[orignal data]),Table2[[#This Row],[orignal data]])</f>
        <v>419.70000000000005</v>
      </c>
      <c r="T4665" t="str">
        <f t="shared" si="290"/>
        <v>UNIQUE</v>
      </c>
      <c r="U4665" t="str">
        <f>IF(ISBLANK(Table1[[#This Row],[SizeOption]]),"NOT AVAILABLE",Table1[[#This Row],[SizeOption]])</f>
        <v>XS, S, M, L, XL, XXL, 3XL</v>
      </c>
      <c r="Y4665" t="str">
        <f>IF(Table2[[#This Row],[Column1]]&gt;50%,"HIGH DISCOUNT","LOW DISCOUNT")</f>
        <v>HIGH DISCOUNT</v>
      </c>
    </row>
    <row r="4666" spans="1:25" x14ac:dyDescent="0.25">
      <c r="A4666" s="1" t="s">
        <v>9518</v>
      </c>
      <c r="B4666" s="1">
        <v>8349143</v>
      </c>
      <c r="C4666" s="1" t="s">
        <v>97</v>
      </c>
      <c r="D4666" s="1" t="s">
        <v>98</v>
      </c>
      <c r="E4666" s="1" t="s">
        <v>77</v>
      </c>
      <c r="F4666" s="1" t="s">
        <v>36</v>
      </c>
      <c r="G4666" s="1" t="s">
        <v>9519</v>
      </c>
      <c r="H4666">
        <v>2499</v>
      </c>
      <c r="I4666" s="1">
        <v>4999</v>
      </c>
      <c r="J4666" s="1" t="s">
        <v>84</v>
      </c>
      <c r="K4666" s="1" t="s">
        <v>115</v>
      </c>
      <c r="L4666" s="1">
        <v>4.3</v>
      </c>
      <c r="M4666" s="1">
        <v>486</v>
      </c>
      <c r="P4666" t="str">
        <f t="shared" si="291"/>
        <v>50%</v>
      </c>
      <c r="Q4666" s="12">
        <f t="shared" si="288"/>
        <v>0.5</v>
      </c>
      <c r="R4666" s="9">
        <f t="shared" si="289"/>
        <v>2499.5</v>
      </c>
      <c r="S4666" s="9">
        <f>IF(R4666="",AVERAGEIF(Table1[Category],Table1[[#This Row],[Category]],Table2[orignal data]),Table2[[#This Row],[orignal data]])</f>
        <v>2499.5</v>
      </c>
      <c r="T4666" t="str">
        <f t="shared" si="290"/>
        <v>UNIQUE</v>
      </c>
      <c r="U4666" t="str">
        <f>IF(ISBLANK(Table1[[#This Row],[SizeOption]]),"NOT AVAILABLE",Table1[[#This Row],[SizeOption]])</f>
        <v>XS, S, M, L, XL, XXL</v>
      </c>
      <c r="Y4666" t="str">
        <f>IF(Table2[[#This Row],[Column1]]&gt;50%,"HIGH DISCOUNT","LOW DISCOUNT")</f>
        <v>LOW DISCOUNT</v>
      </c>
    </row>
    <row r="4667" spans="1:25" x14ac:dyDescent="0.25">
      <c r="A4667" s="2" t="s">
        <v>9520</v>
      </c>
      <c r="B4667" s="2">
        <v>12340612</v>
      </c>
      <c r="C4667" s="2" t="s">
        <v>102</v>
      </c>
      <c r="D4667" s="2" t="s">
        <v>41</v>
      </c>
      <c r="E4667" s="2" t="s">
        <v>48</v>
      </c>
      <c r="F4667" s="2" t="s">
        <v>36</v>
      </c>
      <c r="G4667" s="2" t="s">
        <v>9521</v>
      </c>
      <c r="I4667" s="2">
        <v>1199</v>
      </c>
      <c r="J4667" s="2" t="s">
        <v>60</v>
      </c>
      <c r="K4667" s="2" t="s">
        <v>26</v>
      </c>
      <c r="L4667" s="2">
        <v>4.5999999999999996</v>
      </c>
      <c r="M4667" s="2">
        <v>486</v>
      </c>
      <c r="P4667" t="str">
        <f t="shared" si="291"/>
        <v>58%</v>
      </c>
      <c r="Q4667" s="12">
        <f t="shared" si="288"/>
        <v>0.57999999999999996</v>
      </c>
      <c r="R4667" s="9">
        <f t="shared" si="289"/>
        <v>503.58000000000004</v>
      </c>
      <c r="S4667" s="9">
        <f>IF(R4667="",AVERAGEIF(Table1[Category],Table1[[#This Row],[Category]],Table2[orignal data]),Table2[[#This Row],[orignal data]])</f>
        <v>503.58000000000004</v>
      </c>
      <c r="T4667" t="str">
        <f t="shared" si="290"/>
        <v>UNIQUE</v>
      </c>
      <c r="U4667" t="str">
        <f>IF(ISBLANK(Table1[[#This Row],[SizeOption]]),"NOT AVAILABLE",Table1[[#This Row],[SizeOption]])</f>
        <v>S, M, L, XL</v>
      </c>
      <c r="Y4667" t="str">
        <f>IF(Table2[[#This Row],[Column1]]&gt;50%,"HIGH DISCOUNT","LOW DISCOUNT")</f>
        <v>HIGH DISCOUNT</v>
      </c>
    </row>
    <row r="4668" spans="1:25" x14ac:dyDescent="0.25">
      <c r="A4668" s="1" t="s">
        <v>9522</v>
      </c>
      <c r="B4668" s="1">
        <v>10962020</v>
      </c>
      <c r="C4668" s="1" t="s">
        <v>14</v>
      </c>
      <c r="D4668" s="1" t="s">
        <v>41</v>
      </c>
      <c r="E4668" s="1" t="s">
        <v>29</v>
      </c>
      <c r="F4668" s="1" t="s">
        <v>36</v>
      </c>
      <c r="G4668" s="1" t="s">
        <v>9523</v>
      </c>
      <c r="I4668" s="1">
        <v>1799</v>
      </c>
      <c r="J4668" s="1" t="s">
        <v>84</v>
      </c>
      <c r="K4668" s="1" t="s">
        <v>45</v>
      </c>
      <c r="L4668" s="1">
        <v>4.2</v>
      </c>
      <c r="M4668" s="1">
        <v>486</v>
      </c>
      <c r="P4668" t="str">
        <f t="shared" si="291"/>
        <v>50%</v>
      </c>
      <c r="Q4668" s="12">
        <f t="shared" si="288"/>
        <v>0.5</v>
      </c>
      <c r="R4668" s="9">
        <f t="shared" si="289"/>
        <v>899.5</v>
      </c>
      <c r="S4668" s="9">
        <f>IF(R4668="",AVERAGEIF(Table1[Category],Table1[[#This Row],[Category]],Table2[orignal data]),Table2[[#This Row],[orignal data]])</f>
        <v>899.5</v>
      </c>
      <c r="T4668" t="str">
        <f t="shared" si="290"/>
        <v>UNIQUE</v>
      </c>
      <c r="U4668" t="str">
        <f>IF(ISBLANK(Table1[[#This Row],[SizeOption]]),"NOT AVAILABLE",Table1[[#This Row],[SizeOption]])</f>
        <v>XS, S, M, L, XL</v>
      </c>
      <c r="Y4668" t="str">
        <f>IF(Table2[[#This Row],[Column1]]&gt;50%,"HIGH DISCOUNT","LOW DISCOUNT")</f>
        <v>LOW DISCOUNT</v>
      </c>
    </row>
    <row r="4669" spans="1:25" x14ac:dyDescent="0.25">
      <c r="A4669" s="2" t="s">
        <v>9524</v>
      </c>
      <c r="B4669" s="2">
        <v>13584062</v>
      </c>
      <c r="C4669" s="2" t="s">
        <v>81</v>
      </c>
      <c r="D4669" s="2" t="s">
        <v>41</v>
      </c>
      <c r="E4669" s="2" t="s">
        <v>148</v>
      </c>
      <c r="F4669" s="2" t="s">
        <v>36</v>
      </c>
      <c r="G4669" s="2" t="s">
        <v>9525</v>
      </c>
      <c r="I4669" s="2">
        <v>2299</v>
      </c>
      <c r="J4669" s="2" t="s">
        <v>602</v>
      </c>
      <c r="K4669" s="2" t="s">
        <v>115</v>
      </c>
      <c r="L4669" s="2">
        <v>4.4000000000000004</v>
      </c>
      <c r="M4669" s="2">
        <v>486</v>
      </c>
      <c r="P4669" t="str">
        <f t="shared" si="291"/>
        <v>48%</v>
      </c>
      <c r="Q4669" s="12">
        <f t="shared" si="288"/>
        <v>0.48</v>
      </c>
      <c r="R4669" s="9">
        <f t="shared" si="289"/>
        <v>1195.48</v>
      </c>
      <c r="S4669" s="9">
        <f>IF(R4669="",AVERAGEIF(Table1[Category],Table1[[#This Row],[Category]],Table2[orignal data]),Table2[[#This Row],[orignal data]])</f>
        <v>1195.48</v>
      </c>
      <c r="T4669" t="str">
        <f t="shared" si="290"/>
        <v>UNIQUE</v>
      </c>
      <c r="U4669" t="str">
        <f>IF(ISBLANK(Table1[[#This Row],[SizeOption]]),"NOT AVAILABLE",Table1[[#This Row],[SizeOption]])</f>
        <v>XS, S, M, L, XL, XXL</v>
      </c>
      <c r="Y4669" t="str">
        <f>IF(Table2[[#This Row],[Column1]]&gt;50%,"HIGH DISCOUNT","LOW DISCOUNT")</f>
        <v>LOW DISCOUNT</v>
      </c>
    </row>
    <row r="4670" spans="1:25" x14ac:dyDescent="0.25">
      <c r="A4670" s="1" t="s">
        <v>9526</v>
      </c>
      <c r="B4670" s="1">
        <v>12434920</v>
      </c>
      <c r="C4670" s="1" t="s">
        <v>33</v>
      </c>
      <c r="D4670" s="1" t="s">
        <v>41</v>
      </c>
      <c r="E4670" s="1" t="s">
        <v>368</v>
      </c>
      <c r="F4670" s="1" t="s">
        <v>36</v>
      </c>
      <c r="G4670" s="1" t="s">
        <v>9527</v>
      </c>
      <c r="I4670" s="1">
        <v>495</v>
      </c>
      <c r="J4670" s="1" t="s">
        <v>44</v>
      </c>
      <c r="K4670" s="1" t="s">
        <v>105</v>
      </c>
      <c r="L4670" s="1">
        <v>4.3</v>
      </c>
      <c r="M4670" s="1">
        <v>486</v>
      </c>
      <c r="P4670" t="str">
        <f t="shared" si="291"/>
        <v>35%</v>
      </c>
      <c r="Q4670" s="12">
        <f t="shared" si="288"/>
        <v>0.35</v>
      </c>
      <c r="R4670" s="9">
        <f t="shared" si="289"/>
        <v>321.75</v>
      </c>
      <c r="S4670" s="9">
        <f>IF(R4670="",AVERAGEIF(Table1[Category],Table1[[#This Row],[Category]],Table2[orignal data]),Table2[[#This Row],[orignal data]])</f>
        <v>321.75</v>
      </c>
      <c r="T4670" t="str">
        <f t="shared" si="290"/>
        <v>UNIQUE</v>
      </c>
      <c r="U4670" t="str">
        <f>IF(ISBLANK(Table1[[#This Row],[SizeOption]]),"NOT AVAILABLE",Table1[[#This Row],[SizeOption]])</f>
        <v>28, 30, 32, 34</v>
      </c>
      <c r="Y4670" t="str">
        <f>IF(Table2[[#This Row],[Column1]]&gt;50%,"HIGH DISCOUNT","LOW DISCOUNT")</f>
        <v>LOW DISCOUNT</v>
      </c>
    </row>
    <row r="4671" spans="1:25" x14ac:dyDescent="0.25">
      <c r="A4671" s="2" t="s">
        <v>9528</v>
      </c>
      <c r="B4671" s="2">
        <v>13858430</v>
      </c>
      <c r="C4671" s="2" t="s">
        <v>52</v>
      </c>
      <c r="D4671" s="2" t="s">
        <v>15</v>
      </c>
      <c r="E4671" s="2" t="s">
        <v>23</v>
      </c>
      <c r="F4671" s="2" t="s">
        <v>17</v>
      </c>
      <c r="G4671" s="2" t="s">
        <v>813</v>
      </c>
      <c r="H4671">
        <v>436</v>
      </c>
      <c r="I4671" s="2">
        <v>949</v>
      </c>
      <c r="J4671" s="2" t="s">
        <v>606</v>
      </c>
      <c r="K4671" s="2" t="s">
        <v>26</v>
      </c>
      <c r="L4671" s="2">
        <v>4.2</v>
      </c>
      <c r="M4671" s="2">
        <v>485</v>
      </c>
      <c r="P4671" t="str">
        <f t="shared" si="291"/>
        <v>54%</v>
      </c>
      <c r="Q4671" s="12">
        <f t="shared" si="288"/>
        <v>0.54</v>
      </c>
      <c r="R4671" s="9">
        <f t="shared" si="289"/>
        <v>436.53999999999996</v>
      </c>
      <c r="S4671" s="9">
        <f>IF(R4671="",AVERAGEIF(Table1[Category],Table1[[#This Row],[Category]],Table2[orignal data]),Table2[[#This Row],[orignal data]])</f>
        <v>436.53999999999996</v>
      </c>
      <c r="T4671" t="str">
        <f t="shared" si="290"/>
        <v>UNIQUE</v>
      </c>
      <c r="U4671" t="str">
        <f>IF(ISBLANK(Table1[[#This Row],[SizeOption]]),"NOT AVAILABLE",Table1[[#This Row],[SizeOption]])</f>
        <v>S, M, L, XL</v>
      </c>
      <c r="Y4671" t="str">
        <f>IF(Table2[[#This Row],[Column1]]&gt;50%,"HIGH DISCOUNT","LOW DISCOUNT")</f>
        <v>HIGH DISCOUNT</v>
      </c>
    </row>
    <row r="4672" spans="1:25" x14ac:dyDescent="0.25">
      <c r="A4672" s="1" t="s">
        <v>9529</v>
      </c>
      <c r="B4672" s="1">
        <v>8676109</v>
      </c>
      <c r="C4672" s="1" t="s">
        <v>169</v>
      </c>
      <c r="D4672" s="1" t="s">
        <v>15</v>
      </c>
      <c r="E4672" s="1" t="s">
        <v>16</v>
      </c>
      <c r="F4672" s="1" t="s">
        <v>17</v>
      </c>
      <c r="G4672" s="1" t="s">
        <v>9530</v>
      </c>
      <c r="H4672">
        <v>1559</v>
      </c>
      <c r="I4672" s="1">
        <v>2599</v>
      </c>
      <c r="J4672" s="1" t="s">
        <v>50</v>
      </c>
      <c r="K4672" s="1" t="s">
        <v>171</v>
      </c>
      <c r="L4672" s="1">
        <v>4.0999999999999996</v>
      </c>
      <c r="M4672" s="1">
        <v>485</v>
      </c>
      <c r="P4672" t="str">
        <f t="shared" si="291"/>
        <v>40%</v>
      </c>
      <c r="Q4672" s="12">
        <f t="shared" si="288"/>
        <v>0.4</v>
      </c>
      <c r="R4672" s="9">
        <f t="shared" si="289"/>
        <v>1559.3999999999999</v>
      </c>
      <c r="S4672" s="9">
        <f>IF(R4672="",AVERAGEIF(Table1[Category],Table1[[#This Row],[Category]],Table2[orignal data]),Table2[[#This Row],[orignal data]])</f>
        <v>1559.3999999999999</v>
      </c>
      <c r="T4672" t="str">
        <f t="shared" si="290"/>
        <v>UNIQUE</v>
      </c>
      <c r="U4672" t="str">
        <f>IF(ISBLANK(Table1[[#This Row],[SizeOption]]),"NOT AVAILABLE",Table1[[#This Row],[SizeOption]])</f>
        <v>28, 30, 32, 34, 36, 38</v>
      </c>
      <c r="Y4672" t="str">
        <f>IF(Table2[[#This Row],[Column1]]&gt;50%,"HIGH DISCOUNT","LOW DISCOUNT")</f>
        <v>LOW DISCOUNT</v>
      </c>
    </row>
    <row r="4673" spans="1:25" x14ac:dyDescent="0.25">
      <c r="A4673" s="2" t="s">
        <v>9531</v>
      </c>
      <c r="B4673" s="2">
        <v>2145326</v>
      </c>
      <c r="C4673" s="2" t="s">
        <v>14</v>
      </c>
      <c r="D4673" s="2" t="s">
        <v>15</v>
      </c>
      <c r="E4673" s="2" t="s">
        <v>53</v>
      </c>
      <c r="F4673" s="2" t="s">
        <v>17</v>
      </c>
      <c r="G4673" s="2" t="s">
        <v>9532</v>
      </c>
      <c r="H4673">
        <v>1149</v>
      </c>
      <c r="I4673" s="2">
        <v>2299</v>
      </c>
      <c r="J4673" s="2" t="s">
        <v>84</v>
      </c>
      <c r="K4673" s="2" t="s">
        <v>20</v>
      </c>
      <c r="L4673" s="2">
        <v>4.0999999999999996</v>
      </c>
      <c r="M4673" s="2">
        <v>485</v>
      </c>
      <c r="P4673" t="str">
        <f t="shared" si="291"/>
        <v>50%</v>
      </c>
      <c r="Q4673" s="12">
        <f t="shared" si="288"/>
        <v>0.5</v>
      </c>
      <c r="R4673" s="9">
        <f t="shared" si="289"/>
        <v>1149.5</v>
      </c>
      <c r="S4673" s="9">
        <f>IF(R4673="",AVERAGEIF(Table1[Category],Table1[[#This Row],[Category]],Table2[orignal data]),Table2[[#This Row],[orignal data]])</f>
        <v>1149.5</v>
      </c>
      <c r="T4673" t="str">
        <f t="shared" si="290"/>
        <v>UNIQUE</v>
      </c>
      <c r="U4673" t="str">
        <f>IF(ISBLANK(Table1[[#This Row],[SizeOption]]),"NOT AVAILABLE",Table1[[#This Row],[SizeOption]])</f>
        <v>28, 30, 32, 34, 36</v>
      </c>
      <c r="Y4673" t="str">
        <f>IF(Table2[[#This Row],[Column1]]&gt;50%,"HIGH DISCOUNT","LOW DISCOUNT")</f>
        <v>LOW DISCOUNT</v>
      </c>
    </row>
    <row r="4674" spans="1:25" x14ac:dyDescent="0.25">
      <c r="A4674" s="1" t="s">
        <v>9533</v>
      </c>
      <c r="B4674" s="1">
        <v>11863564</v>
      </c>
      <c r="C4674" s="1" t="s">
        <v>349</v>
      </c>
      <c r="D4674" s="1" t="s">
        <v>197</v>
      </c>
      <c r="E4674" s="1" t="s">
        <v>350</v>
      </c>
      <c r="F4674" s="1" t="s">
        <v>17</v>
      </c>
      <c r="G4674" s="1" t="s">
        <v>9534</v>
      </c>
      <c r="I4674" s="1">
        <v>299</v>
      </c>
      <c r="J4674" s="1"/>
      <c r="K4674" s="1" t="s">
        <v>352</v>
      </c>
      <c r="L4674" s="1">
        <v>4.3</v>
      </c>
      <c r="M4674" s="1">
        <v>485</v>
      </c>
      <c r="P4674" t="str">
        <f t="shared" si="291"/>
        <v/>
      </c>
      <c r="Q4674" s="12" t="str">
        <f t="shared" ref="Q4674:Q4737" si="292">IF(P4674="","",IF(ISNUMBER(SEARCH("%",P4674)),P4674,P4674/I4674)*100%)</f>
        <v/>
      </c>
      <c r="R4674" s="9" t="str">
        <f t="shared" ref="R4674:R4737" si="293">IF(P4674="","",I4674-(I4674*Q4674))</f>
        <v/>
      </c>
      <c r="S4674" s="9">
        <f>IF(R4674="",AVERAGEIF(Table1[Category],Table1[[#This Row],[Category]],Table2[orignal data]),Table2[[#This Row],[orignal data]])</f>
        <v>552.70900000000006</v>
      </c>
      <c r="T4674" t="str">
        <f t="shared" ref="T4674:T4737" si="294">IF(COUNTIF($B$2:$B$5000,B4674)&gt;1,"DUPLICATE","UNIQUE")</f>
        <v>UNIQUE</v>
      </c>
      <c r="U4674" t="str">
        <f>IF(ISBLANK(Table1[[#This Row],[SizeOption]]),"NOT AVAILABLE",Table1[[#This Row],[SizeOption]])</f>
        <v>S, M, L</v>
      </c>
      <c r="Y4674" t="str">
        <f>IF(Table2[[#This Row],[Column1]]&gt;50%,"HIGH DISCOUNT","LOW DISCOUNT")</f>
        <v>HIGH DISCOUNT</v>
      </c>
    </row>
    <row r="4675" spans="1:25" x14ac:dyDescent="0.25">
      <c r="A4675" s="2" t="s">
        <v>9535</v>
      </c>
      <c r="B4675" s="2">
        <v>11551938</v>
      </c>
      <c r="C4675" s="2" t="s">
        <v>4001</v>
      </c>
      <c r="D4675" s="2" t="s">
        <v>68</v>
      </c>
      <c r="E4675" s="2" t="s">
        <v>42</v>
      </c>
      <c r="F4675" s="2" t="s">
        <v>17</v>
      </c>
      <c r="G4675" s="2" t="s">
        <v>9536</v>
      </c>
      <c r="H4675">
        <v>909</v>
      </c>
      <c r="I4675" s="2">
        <v>1299</v>
      </c>
      <c r="J4675" s="2" t="s">
        <v>186</v>
      </c>
      <c r="K4675" s="2" t="s">
        <v>39</v>
      </c>
      <c r="L4675" s="2">
        <v>4.0999999999999996</v>
      </c>
      <c r="M4675" s="2">
        <v>485</v>
      </c>
      <c r="P4675" t="str">
        <f t="shared" ref="P4675:P4738" si="295">TRIM(SUBSTITUTE(SUBSTITUTE(SUBSTITUTE(SUBSTITUTE(J4675,"OFF",""),"Rs.",""),"Hurry*",""),",",""))</f>
        <v>30%</v>
      </c>
      <c r="Q4675" s="12">
        <f t="shared" si="292"/>
        <v>0.3</v>
      </c>
      <c r="R4675" s="9">
        <f t="shared" si="293"/>
        <v>909.3</v>
      </c>
      <c r="S4675" s="9">
        <f>IF(R4675="",AVERAGEIF(Table1[Category],Table1[[#This Row],[Category]],Table2[orignal data]),Table2[[#This Row],[orignal data]])</f>
        <v>909.3</v>
      </c>
      <c r="T4675" t="str">
        <f t="shared" si="294"/>
        <v>UNIQUE</v>
      </c>
      <c r="U4675" t="str">
        <f>IF(ISBLANK(Table1[[#This Row],[SizeOption]]),"NOT AVAILABLE",Table1[[#This Row],[SizeOption]])</f>
        <v>S, M, L, XL, XXL</v>
      </c>
      <c r="Y4675" t="str">
        <f>IF(Table2[[#This Row],[Column1]]&gt;50%,"HIGH DISCOUNT","LOW DISCOUNT")</f>
        <v>LOW DISCOUNT</v>
      </c>
    </row>
    <row r="4676" spans="1:25" x14ac:dyDescent="0.25">
      <c r="A4676" s="1" t="s">
        <v>9537</v>
      </c>
      <c r="B4676" s="1">
        <v>10944542</v>
      </c>
      <c r="C4676" s="1" t="s">
        <v>14</v>
      </c>
      <c r="D4676" s="1" t="s">
        <v>28</v>
      </c>
      <c r="E4676" s="1" t="s">
        <v>29</v>
      </c>
      <c r="F4676" s="1" t="s">
        <v>17</v>
      </c>
      <c r="G4676" s="1" t="s">
        <v>9538</v>
      </c>
      <c r="H4676">
        <v>899</v>
      </c>
      <c r="I4676" s="1">
        <v>1499</v>
      </c>
      <c r="J4676" s="1" t="s">
        <v>50</v>
      </c>
      <c r="K4676" s="1" t="s">
        <v>253</v>
      </c>
      <c r="L4676" s="1">
        <v>4.3</v>
      </c>
      <c r="M4676" s="1">
        <v>485</v>
      </c>
      <c r="P4676" t="str">
        <f t="shared" si="295"/>
        <v>40%</v>
      </c>
      <c r="Q4676" s="12">
        <f t="shared" si="292"/>
        <v>0.4</v>
      </c>
      <c r="R4676" s="9">
        <f t="shared" si="293"/>
        <v>899.4</v>
      </c>
      <c r="S4676" s="9">
        <f>IF(R4676="",AVERAGEIF(Table1[Category],Table1[[#This Row],[Category]],Table2[orignal data]),Table2[[#This Row],[orignal data]])</f>
        <v>899.4</v>
      </c>
      <c r="T4676" t="str">
        <f t="shared" si="294"/>
        <v>UNIQUE</v>
      </c>
      <c r="U4676" t="str">
        <f>IF(ISBLANK(Table1[[#This Row],[SizeOption]]),"NOT AVAILABLE",Table1[[#This Row],[SizeOption]])</f>
        <v>38, 40, 42, 44</v>
      </c>
      <c r="Y4676" t="str">
        <f>IF(Table2[[#This Row],[Column1]]&gt;50%,"HIGH DISCOUNT","LOW DISCOUNT")</f>
        <v>LOW DISCOUNT</v>
      </c>
    </row>
    <row r="4677" spans="1:25" x14ac:dyDescent="0.25">
      <c r="A4677" s="2" t="s">
        <v>9539</v>
      </c>
      <c r="B4677" s="2">
        <v>10187639</v>
      </c>
      <c r="C4677" s="2" t="s">
        <v>169</v>
      </c>
      <c r="D4677" s="2" t="s">
        <v>28</v>
      </c>
      <c r="E4677" s="2" t="s">
        <v>29</v>
      </c>
      <c r="F4677" s="2" t="s">
        <v>17</v>
      </c>
      <c r="G4677" s="2" t="s">
        <v>9540</v>
      </c>
      <c r="H4677">
        <v>1439</v>
      </c>
      <c r="I4677" s="2">
        <v>2399</v>
      </c>
      <c r="J4677" s="2" t="s">
        <v>50</v>
      </c>
      <c r="K4677" s="2" t="s">
        <v>484</v>
      </c>
      <c r="L4677" s="2">
        <v>4.3</v>
      </c>
      <c r="M4677" s="2">
        <v>485</v>
      </c>
      <c r="P4677" t="str">
        <f t="shared" si="295"/>
        <v>40%</v>
      </c>
      <c r="Q4677" s="12">
        <f t="shared" si="292"/>
        <v>0.4</v>
      </c>
      <c r="R4677" s="9">
        <f t="shared" si="293"/>
        <v>1439.4</v>
      </c>
      <c r="S4677" s="9">
        <f>IF(R4677="",AVERAGEIF(Table1[Category],Table1[[#This Row],[Category]],Table2[orignal data]),Table2[[#This Row],[orignal data]])</f>
        <v>1439.4</v>
      </c>
      <c r="T4677" t="str">
        <f t="shared" si="294"/>
        <v>UNIQUE</v>
      </c>
      <c r="U4677" t="str">
        <f>IF(ISBLANK(Table1[[#This Row],[SizeOption]]),"NOT AVAILABLE",Table1[[#This Row],[SizeOption]])</f>
        <v>39, 40, 42, 44, 46</v>
      </c>
      <c r="Y4677" t="str">
        <f>IF(Table2[[#This Row],[Column1]]&gt;50%,"HIGH DISCOUNT","LOW DISCOUNT")</f>
        <v>LOW DISCOUNT</v>
      </c>
    </row>
    <row r="4678" spans="1:25" x14ac:dyDescent="0.25">
      <c r="A4678" s="1" t="s">
        <v>9541</v>
      </c>
      <c r="B4678" s="1">
        <v>11363862</v>
      </c>
      <c r="C4678" s="1" t="s">
        <v>169</v>
      </c>
      <c r="D4678" s="1" t="s">
        <v>28</v>
      </c>
      <c r="E4678" s="1" t="s">
        <v>42</v>
      </c>
      <c r="F4678" s="1" t="s">
        <v>17</v>
      </c>
      <c r="G4678" s="1" t="s">
        <v>9542</v>
      </c>
      <c r="H4678">
        <v>449</v>
      </c>
      <c r="I4678" s="1">
        <v>899</v>
      </c>
      <c r="J4678" s="1" t="s">
        <v>84</v>
      </c>
      <c r="K4678" s="1" t="s">
        <v>39</v>
      </c>
      <c r="L4678" s="1">
        <v>4.2</v>
      </c>
      <c r="M4678" s="1">
        <v>485</v>
      </c>
      <c r="P4678" t="str">
        <f t="shared" si="295"/>
        <v>50%</v>
      </c>
      <c r="Q4678" s="12">
        <f t="shared" si="292"/>
        <v>0.5</v>
      </c>
      <c r="R4678" s="9">
        <f t="shared" si="293"/>
        <v>449.5</v>
      </c>
      <c r="S4678" s="9">
        <f>IF(R4678="",AVERAGEIF(Table1[Category],Table1[[#This Row],[Category]],Table2[orignal data]),Table2[[#This Row],[orignal data]])</f>
        <v>449.5</v>
      </c>
      <c r="T4678" t="str">
        <f t="shared" si="294"/>
        <v>UNIQUE</v>
      </c>
      <c r="U4678" t="str">
        <f>IF(ISBLANK(Table1[[#This Row],[SizeOption]]),"NOT AVAILABLE",Table1[[#This Row],[SizeOption]])</f>
        <v>S, M, L, XL, XXL</v>
      </c>
      <c r="Y4678" t="str">
        <f>IF(Table2[[#This Row],[Column1]]&gt;50%,"HIGH DISCOUNT","LOW DISCOUNT")</f>
        <v>LOW DISCOUNT</v>
      </c>
    </row>
    <row r="4679" spans="1:25" x14ac:dyDescent="0.25">
      <c r="A4679" s="2" t="s">
        <v>9543</v>
      </c>
      <c r="B4679" s="2">
        <v>10074615</v>
      </c>
      <c r="C4679" s="2" t="s">
        <v>92</v>
      </c>
      <c r="D4679" s="2" t="s">
        <v>76</v>
      </c>
      <c r="E4679" s="2" t="s">
        <v>533</v>
      </c>
      <c r="F4679" s="2" t="s">
        <v>36</v>
      </c>
      <c r="G4679" s="2" t="s">
        <v>9544</v>
      </c>
      <c r="H4679">
        <v>430</v>
      </c>
      <c r="I4679" s="2">
        <v>1049</v>
      </c>
      <c r="J4679" s="2" t="s">
        <v>95</v>
      </c>
      <c r="K4679" s="2" t="s">
        <v>20</v>
      </c>
      <c r="L4679" s="2">
        <v>3.9</v>
      </c>
      <c r="M4679" s="2">
        <v>485</v>
      </c>
      <c r="P4679" t="str">
        <f t="shared" si="295"/>
        <v>59%</v>
      </c>
      <c r="Q4679" s="12">
        <f t="shared" si="292"/>
        <v>0.59</v>
      </c>
      <c r="R4679" s="9">
        <f t="shared" si="293"/>
        <v>430.09000000000003</v>
      </c>
      <c r="S4679" s="9">
        <f>IF(R4679="",AVERAGEIF(Table1[Category],Table1[[#This Row],[Category]],Table2[orignal data]),Table2[[#This Row],[orignal data]])</f>
        <v>430.09000000000003</v>
      </c>
      <c r="T4679" t="str">
        <f t="shared" si="294"/>
        <v>UNIQUE</v>
      </c>
      <c r="U4679" t="str">
        <f>IF(ISBLANK(Table1[[#This Row],[SizeOption]]),"NOT AVAILABLE",Table1[[#This Row],[SizeOption]])</f>
        <v>28, 30, 32, 34, 36</v>
      </c>
      <c r="Y4679" t="str">
        <f>IF(Table2[[#This Row],[Column1]]&gt;50%,"HIGH DISCOUNT","LOW DISCOUNT")</f>
        <v>HIGH DISCOUNT</v>
      </c>
    </row>
    <row r="4680" spans="1:25" x14ac:dyDescent="0.25">
      <c r="A4680" s="1" t="s">
        <v>9545</v>
      </c>
      <c r="B4680" s="1">
        <v>7764105</v>
      </c>
      <c r="C4680" s="1" t="s">
        <v>113</v>
      </c>
      <c r="D4680" s="1" t="s">
        <v>76</v>
      </c>
      <c r="E4680" s="1" t="s">
        <v>365</v>
      </c>
      <c r="F4680" s="1" t="s">
        <v>36</v>
      </c>
      <c r="G4680" s="1" t="s">
        <v>9546</v>
      </c>
      <c r="H4680">
        <v>599</v>
      </c>
      <c r="I4680" s="1">
        <v>999</v>
      </c>
      <c r="J4680" s="1" t="s">
        <v>50</v>
      </c>
      <c r="K4680" s="1" t="s">
        <v>45</v>
      </c>
      <c r="L4680" s="1">
        <v>4.3</v>
      </c>
      <c r="M4680" s="1">
        <v>485</v>
      </c>
      <c r="P4680" t="str">
        <f t="shared" si="295"/>
        <v>40%</v>
      </c>
      <c r="Q4680" s="12">
        <f t="shared" si="292"/>
        <v>0.4</v>
      </c>
      <c r="R4680" s="9">
        <f t="shared" si="293"/>
        <v>599.4</v>
      </c>
      <c r="S4680" s="9">
        <f>IF(R4680="",AVERAGEIF(Table1[Category],Table1[[#This Row],[Category]],Table2[orignal data]),Table2[[#This Row],[orignal data]])</f>
        <v>599.4</v>
      </c>
      <c r="T4680" t="str">
        <f t="shared" si="294"/>
        <v>UNIQUE</v>
      </c>
      <c r="U4680" t="str">
        <f>IF(ISBLANK(Table1[[#This Row],[SizeOption]]),"NOT AVAILABLE",Table1[[#This Row],[SizeOption]])</f>
        <v>XS, S, M, L, XL</v>
      </c>
      <c r="Y4680" t="str">
        <f>IF(Table2[[#This Row],[Column1]]&gt;50%,"HIGH DISCOUNT","LOW DISCOUNT")</f>
        <v>LOW DISCOUNT</v>
      </c>
    </row>
    <row r="4681" spans="1:25" x14ac:dyDescent="0.25">
      <c r="A4681" s="2" t="s">
        <v>9547</v>
      </c>
      <c r="B4681" s="2">
        <v>10167087</v>
      </c>
      <c r="C4681" s="2" t="s">
        <v>1111</v>
      </c>
      <c r="D4681" s="2" t="s">
        <v>34</v>
      </c>
      <c r="E4681" s="2" t="s">
        <v>118</v>
      </c>
      <c r="F4681" s="2" t="s">
        <v>36</v>
      </c>
      <c r="G4681" s="2" t="s">
        <v>9548</v>
      </c>
      <c r="H4681">
        <v>269</v>
      </c>
      <c r="I4681" s="2">
        <v>449</v>
      </c>
      <c r="J4681" s="2" t="s">
        <v>50</v>
      </c>
      <c r="K4681" s="2" t="s">
        <v>1113</v>
      </c>
      <c r="L4681" s="2">
        <v>4.4000000000000004</v>
      </c>
      <c r="M4681" s="2">
        <v>485</v>
      </c>
      <c r="P4681" t="str">
        <f t="shared" si="295"/>
        <v>40%</v>
      </c>
      <c r="Q4681" s="12">
        <f t="shared" si="292"/>
        <v>0.4</v>
      </c>
      <c r="R4681" s="9">
        <f t="shared" si="293"/>
        <v>269.39999999999998</v>
      </c>
      <c r="S4681" s="9">
        <f>IF(R4681="",AVERAGEIF(Table1[Category],Table1[[#This Row],[Category]],Table2[orignal data]),Table2[[#This Row],[orignal data]])</f>
        <v>269.39999999999998</v>
      </c>
      <c r="T4681" t="str">
        <f t="shared" si="294"/>
        <v>UNIQUE</v>
      </c>
      <c r="U4681" t="str">
        <f>IF(ISBLANK(Table1[[#This Row],[SizeOption]]),"NOT AVAILABLE",Table1[[#This Row],[SizeOption]])</f>
        <v>32B, 32C, 32D, 34B, 34C, 34D, 36B, 36C, 36D, 38B, 38C, 38D</v>
      </c>
      <c r="Y4681" t="str">
        <f>IF(Table2[[#This Row],[Column1]]&gt;50%,"HIGH DISCOUNT","LOW DISCOUNT")</f>
        <v>LOW DISCOUNT</v>
      </c>
    </row>
    <row r="4682" spans="1:25" x14ac:dyDescent="0.25">
      <c r="A4682" s="1" t="s">
        <v>9549</v>
      </c>
      <c r="B4682" s="1">
        <v>12468766</v>
      </c>
      <c r="C4682" s="1" t="s">
        <v>9550</v>
      </c>
      <c r="D4682" s="1" t="s">
        <v>98</v>
      </c>
      <c r="E4682" s="1" t="s">
        <v>579</v>
      </c>
      <c r="F4682" s="1" t="s">
        <v>36</v>
      </c>
      <c r="G4682" s="1" t="s">
        <v>9551</v>
      </c>
      <c r="H4682">
        <v>1299</v>
      </c>
      <c r="I4682" s="1">
        <v>2499</v>
      </c>
      <c r="J4682" s="1" t="s">
        <v>602</v>
      </c>
      <c r="K4682" s="1" t="s">
        <v>9552</v>
      </c>
      <c r="L4682" s="1">
        <v>4.5</v>
      </c>
      <c r="M4682" s="1">
        <v>485</v>
      </c>
      <c r="P4682" t="str">
        <f t="shared" si="295"/>
        <v>48%</v>
      </c>
      <c r="Q4682" s="12">
        <f t="shared" si="292"/>
        <v>0.48</v>
      </c>
      <c r="R4682" s="9">
        <f t="shared" si="293"/>
        <v>1299.48</v>
      </c>
      <c r="S4682" s="9">
        <f>IF(R4682="",AVERAGEIF(Table1[Category],Table1[[#This Row],[Category]],Table2[orignal data]),Table2[[#This Row],[orignal data]])</f>
        <v>1299.48</v>
      </c>
      <c r="T4682" t="str">
        <f t="shared" si="294"/>
        <v>UNIQUE</v>
      </c>
      <c r="U4682" t="str">
        <f>IF(ISBLANK(Table1[[#This Row],[SizeOption]]),"NOT AVAILABLE",Table1[[#This Row],[SizeOption]])</f>
        <v>38, 40, 42, 44, 46, 48, 49</v>
      </c>
      <c r="Y4682" t="str">
        <f>IF(Table2[[#This Row],[Column1]]&gt;50%,"HIGH DISCOUNT","LOW DISCOUNT")</f>
        <v>LOW DISCOUNT</v>
      </c>
    </row>
    <row r="4683" spans="1:25" x14ac:dyDescent="0.25">
      <c r="A4683" s="2" t="s">
        <v>9553</v>
      </c>
      <c r="B4683" s="2">
        <v>11255840</v>
      </c>
      <c r="C4683" s="2" t="s">
        <v>47</v>
      </c>
      <c r="D4683" s="2" t="s">
        <v>41</v>
      </c>
      <c r="E4683" s="2" t="s">
        <v>16</v>
      </c>
      <c r="F4683" s="2" t="s">
        <v>36</v>
      </c>
      <c r="G4683" s="2" t="s">
        <v>9554</v>
      </c>
      <c r="I4683" s="2">
        <v>1699</v>
      </c>
      <c r="J4683" s="2" t="s">
        <v>273</v>
      </c>
      <c r="K4683" s="2" t="s">
        <v>134</v>
      </c>
      <c r="L4683" s="2">
        <v>3.8</v>
      </c>
      <c r="M4683" s="2">
        <v>485</v>
      </c>
      <c r="P4683" t="str">
        <f t="shared" si="295"/>
        <v>45 %</v>
      </c>
      <c r="Q4683" s="12">
        <f t="shared" si="292"/>
        <v>0.45</v>
      </c>
      <c r="R4683" s="9">
        <f t="shared" si="293"/>
        <v>934.44999999999993</v>
      </c>
      <c r="S4683" s="9">
        <f>IF(R4683="",AVERAGEIF(Table1[Category],Table1[[#This Row],[Category]],Table2[orignal data]),Table2[[#This Row],[orignal data]])</f>
        <v>934.44999999999993</v>
      </c>
      <c r="T4683" t="str">
        <f t="shared" si="294"/>
        <v>UNIQUE</v>
      </c>
      <c r="U4683" t="str">
        <f>IF(ISBLANK(Table1[[#This Row],[SizeOption]]),"NOT AVAILABLE",Table1[[#This Row],[SizeOption]])</f>
        <v>26, 28, 30, 32, 34, 36</v>
      </c>
      <c r="Y4683" t="str">
        <f>IF(Table2[[#This Row],[Column1]]&gt;50%,"HIGH DISCOUNT","LOW DISCOUNT")</f>
        <v>LOW DISCOUNT</v>
      </c>
    </row>
    <row r="4684" spans="1:25" x14ac:dyDescent="0.25">
      <c r="A4684" s="1" t="s">
        <v>9555</v>
      </c>
      <c r="B4684" s="1">
        <v>12111112</v>
      </c>
      <c r="C4684" s="1" t="s">
        <v>102</v>
      </c>
      <c r="D4684" s="1" t="s">
        <v>41</v>
      </c>
      <c r="E4684" s="1" t="s">
        <v>53</v>
      </c>
      <c r="F4684" s="1" t="s">
        <v>36</v>
      </c>
      <c r="G4684" s="1" t="s">
        <v>9556</v>
      </c>
      <c r="I4684" s="1">
        <v>1799</v>
      </c>
      <c r="J4684" s="1" t="s">
        <v>95</v>
      </c>
      <c r="K4684" s="1" t="s">
        <v>105</v>
      </c>
      <c r="L4684" s="1">
        <v>3.9</v>
      </c>
      <c r="M4684" s="1">
        <v>485</v>
      </c>
      <c r="P4684" t="str">
        <f t="shared" si="295"/>
        <v>59%</v>
      </c>
      <c r="Q4684" s="12">
        <f t="shared" si="292"/>
        <v>0.59</v>
      </c>
      <c r="R4684" s="9">
        <f t="shared" si="293"/>
        <v>737.59000000000015</v>
      </c>
      <c r="S4684" s="9">
        <f>IF(R4684="",AVERAGEIF(Table1[Category],Table1[[#This Row],[Category]],Table2[orignal data]),Table2[[#This Row],[orignal data]])</f>
        <v>737.59000000000015</v>
      </c>
      <c r="T4684" t="str">
        <f t="shared" si="294"/>
        <v>UNIQUE</v>
      </c>
      <c r="U4684" t="str">
        <f>IF(ISBLANK(Table1[[#This Row],[SizeOption]]),"NOT AVAILABLE",Table1[[#This Row],[SizeOption]])</f>
        <v>28, 30, 32, 34</v>
      </c>
      <c r="Y4684" t="str">
        <f>IF(Table2[[#This Row],[Column1]]&gt;50%,"HIGH DISCOUNT","LOW DISCOUNT")</f>
        <v>HIGH DISCOUNT</v>
      </c>
    </row>
    <row r="4685" spans="1:25" x14ac:dyDescent="0.25">
      <c r="A4685" s="2" t="s">
        <v>9557</v>
      </c>
      <c r="B4685" s="2">
        <v>13270060</v>
      </c>
      <c r="C4685" s="2" t="s">
        <v>14</v>
      </c>
      <c r="D4685" s="2" t="s">
        <v>41</v>
      </c>
      <c r="E4685" s="2" t="s">
        <v>42</v>
      </c>
      <c r="F4685" s="2" t="s">
        <v>36</v>
      </c>
      <c r="G4685" s="2" t="s">
        <v>9558</v>
      </c>
      <c r="I4685" s="2">
        <v>499</v>
      </c>
      <c r="J4685" s="2" t="s">
        <v>50</v>
      </c>
      <c r="K4685" s="2" t="s">
        <v>45</v>
      </c>
      <c r="L4685" s="2">
        <v>4.4000000000000004</v>
      </c>
      <c r="M4685" s="2">
        <v>485</v>
      </c>
      <c r="P4685" t="str">
        <f t="shared" si="295"/>
        <v>40%</v>
      </c>
      <c r="Q4685" s="12">
        <f t="shared" si="292"/>
        <v>0.4</v>
      </c>
      <c r="R4685" s="9">
        <f t="shared" si="293"/>
        <v>299.39999999999998</v>
      </c>
      <c r="S4685" s="9">
        <f>IF(R4685="",AVERAGEIF(Table1[Category],Table1[[#This Row],[Category]],Table2[orignal data]),Table2[[#This Row],[orignal data]])</f>
        <v>299.39999999999998</v>
      </c>
      <c r="T4685" t="str">
        <f t="shared" si="294"/>
        <v>UNIQUE</v>
      </c>
      <c r="U4685" t="str">
        <f>IF(ISBLANK(Table1[[#This Row],[SizeOption]]),"NOT AVAILABLE",Table1[[#This Row],[SizeOption]])</f>
        <v>XS, S, M, L, XL</v>
      </c>
      <c r="Y4685" t="str">
        <f>IF(Table2[[#This Row],[Column1]]&gt;50%,"HIGH DISCOUNT","LOW DISCOUNT")</f>
        <v>LOW DISCOUNT</v>
      </c>
    </row>
    <row r="4686" spans="1:25" x14ac:dyDescent="0.25">
      <c r="A4686" s="1" t="s">
        <v>9559</v>
      </c>
      <c r="B4686" s="1">
        <v>8673339</v>
      </c>
      <c r="C4686" s="1" t="s">
        <v>169</v>
      </c>
      <c r="D4686" s="1" t="s">
        <v>15</v>
      </c>
      <c r="E4686" s="1" t="s">
        <v>16</v>
      </c>
      <c r="F4686" s="1" t="s">
        <v>17</v>
      </c>
      <c r="G4686" s="1" t="s">
        <v>2511</v>
      </c>
      <c r="H4686">
        <v>1399</v>
      </c>
      <c r="I4686" s="1">
        <v>2799</v>
      </c>
      <c r="J4686" s="1" t="s">
        <v>84</v>
      </c>
      <c r="K4686" s="1" t="s">
        <v>171</v>
      </c>
      <c r="L4686" s="1">
        <v>4.2</v>
      </c>
      <c r="M4686" s="1">
        <v>484</v>
      </c>
      <c r="P4686" t="str">
        <f t="shared" si="295"/>
        <v>50%</v>
      </c>
      <c r="Q4686" s="12">
        <f t="shared" si="292"/>
        <v>0.5</v>
      </c>
      <c r="R4686" s="9">
        <f t="shared" si="293"/>
        <v>1399.5</v>
      </c>
      <c r="S4686" s="9">
        <f>IF(R4686="",AVERAGEIF(Table1[Category],Table1[[#This Row],[Category]],Table2[orignal data]),Table2[[#This Row],[orignal data]])</f>
        <v>1399.5</v>
      </c>
      <c r="T4686" t="str">
        <f t="shared" si="294"/>
        <v>UNIQUE</v>
      </c>
      <c r="U4686" t="str">
        <f>IF(ISBLANK(Table1[[#This Row],[SizeOption]]),"NOT AVAILABLE",Table1[[#This Row],[SizeOption]])</f>
        <v>28, 30, 32, 34, 36, 38</v>
      </c>
      <c r="Y4686" t="str">
        <f>IF(Table2[[#This Row],[Column1]]&gt;50%,"HIGH DISCOUNT","LOW DISCOUNT")</f>
        <v>LOW DISCOUNT</v>
      </c>
    </row>
    <row r="4687" spans="1:25" x14ac:dyDescent="0.25">
      <c r="A4687" s="2" t="s">
        <v>9560</v>
      </c>
      <c r="B4687" s="2">
        <v>12358244</v>
      </c>
      <c r="C4687" s="2" t="s">
        <v>14</v>
      </c>
      <c r="D4687" s="2" t="s">
        <v>15</v>
      </c>
      <c r="E4687" s="2" t="s">
        <v>16</v>
      </c>
      <c r="F4687" s="2" t="s">
        <v>17</v>
      </c>
      <c r="G4687" s="2" t="s">
        <v>918</v>
      </c>
      <c r="H4687">
        <v>999</v>
      </c>
      <c r="I4687" s="2">
        <v>1999</v>
      </c>
      <c r="J4687" s="2" t="s">
        <v>84</v>
      </c>
      <c r="K4687" s="2" t="s">
        <v>20</v>
      </c>
      <c r="L4687" s="2">
        <v>3.6</v>
      </c>
      <c r="M4687" s="2">
        <v>484</v>
      </c>
      <c r="P4687" t="str">
        <f t="shared" si="295"/>
        <v>50%</v>
      </c>
      <c r="Q4687" s="12">
        <f t="shared" si="292"/>
        <v>0.5</v>
      </c>
      <c r="R4687" s="9">
        <f t="shared" si="293"/>
        <v>999.5</v>
      </c>
      <c r="S4687" s="9">
        <f>IF(R4687="",AVERAGEIF(Table1[Category],Table1[[#This Row],[Category]],Table2[orignal data]),Table2[[#This Row],[orignal data]])</f>
        <v>999.5</v>
      </c>
      <c r="T4687" t="str">
        <f t="shared" si="294"/>
        <v>UNIQUE</v>
      </c>
      <c r="U4687" t="str">
        <f>IF(ISBLANK(Table1[[#This Row],[SizeOption]]),"NOT AVAILABLE",Table1[[#This Row],[SizeOption]])</f>
        <v>28, 30, 32, 34, 36</v>
      </c>
      <c r="Y4687" t="str">
        <f>IF(Table2[[#This Row],[Column1]]&gt;50%,"HIGH DISCOUNT","LOW DISCOUNT")</f>
        <v>LOW DISCOUNT</v>
      </c>
    </row>
    <row r="4688" spans="1:25" x14ac:dyDescent="0.25">
      <c r="A4688" s="1" t="s">
        <v>9561</v>
      </c>
      <c r="B4688" s="1">
        <v>10208613</v>
      </c>
      <c r="C4688" s="1" t="s">
        <v>3030</v>
      </c>
      <c r="D4688" s="1" t="s">
        <v>76</v>
      </c>
      <c r="E4688" s="1" t="s">
        <v>93</v>
      </c>
      <c r="F4688" s="1" t="s">
        <v>17</v>
      </c>
      <c r="G4688" s="1" t="s">
        <v>9562</v>
      </c>
      <c r="H4688">
        <v>899</v>
      </c>
      <c r="I4688" s="1">
        <v>1499</v>
      </c>
      <c r="J4688" s="1" t="s">
        <v>50</v>
      </c>
      <c r="K4688" s="1" t="s">
        <v>881</v>
      </c>
      <c r="L4688" s="1">
        <v>4.2</v>
      </c>
      <c r="M4688" s="1">
        <v>484</v>
      </c>
      <c r="P4688" t="str">
        <f t="shared" si="295"/>
        <v>40%</v>
      </c>
      <c r="Q4688" s="12">
        <f t="shared" si="292"/>
        <v>0.4</v>
      </c>
      <c r="R4688" s="9">
        <f t="shared" si="293"/>
        <v>899.4</v>
      </c>
      <c r="S4688" s="9">
        <f>IF(R4688="",AVERAGEIF(Table1[Category],Table1[[#This Row],[Category]],Table2[orignal data]),Table2[[#This Row],[orignal data]])</f>
        <v>899.4</v>
      </c>
      <c r="T4688" t="str">
        <f t="shared" si="294"/>
        <v>UNIQUE</v>
      </c>
      <c r="U4688" t="str">
        <f>IF(ISBLANK(Table1[[#This Row],[SizeOption]]),"NOT AVAILABLE",Table1[[#This Row],[SizeOption]])</f>
        <v>M, L, XL, XXL</v>
      </c>
      <c r="Y4688" t="str">
        <f>IF(Table2[[#This Row],[Column1]]&gt;50%,"HIGH DISCOUNT","LOW DISCOUNT")</f>
        <v>LOW DISCOUNT</v>
      </c>
    </row>
    <row r="4689" spans="1:25" x14ac:dyDescent="0.25">
      <c r="A4689" s="2" t="s">
        <v>9563</v>
      </c>
      <c r="B4689" s="2">
        <v>10188639</v>
      </c>
      <c r="C4689" s="2" t="s">
        <v>169</v>
      </c>
      <c r="D4689" s="2" t="s">
        <v>28</v>
      </c>
      <c r="E4689" s="2" t="s">
        <v>42</v>
      </c>
      <c r="F4689" s="2" t="s">
        <v>17</v>
      </c>
      <c r="G4689" s="2" t="s">
        <v>9564</v>
      </c>
      <c r="H4689">
        <v>649</v>
      </c>
      <c r="I4689" s="2">
        <v>1299</v>
      </c>
      <c r="J4689" s="2" t="s">
        <v>84</v>
      </c>
      <c r="K4689" s="2" t="s">
        <v>39</v>
      </c>
      <c r="L4689" s="2">
        <v>4.2</v>
      </c>
      <c r="M4689" s="2">
        <v>484</v>
      </c>
      <c r="P4689" t="str">
        <f t="shared" si="295"/>
        <v>50%</v>
      </c>
      <c r="Q4689" s="12">
        <f t="shared" si="292"/>
        <v>0.5</v>
      </c>
      <c r="R4689" s="9">
        <f t="shared" si="293"/>
        <v>649.5</v>
      </c>
      <c r="S4689" s="9">
        <f>IF(R4689="",AVERAGEIF(Table1[Category],Table1[[#This Row],[Category]],Table2[orignal data]),Table2[[#This Row],[orignal data]])</f>
        <v>649.5</v>
      </c>
      <c r="T4689" t="str">
        <f t="shared" si="294"/>
        <v>UNIQUE</v>
      </c>
      <c r="U4689" t="str">
        <f>IF(ISBLANK(Table1[[#This Row],[SizeOption]]),"NOT AVAILABLE",Table1[[#This Row],[SizeOption]])</f>
        <v>S, M, L, XL, XXL</v>
      </c>
      <c r="Y4689" t="str">
        <f>IF(Table2[[#This Row],[Column1]]&gt;50%,"HIGH DISCOUNT","LOW DISCOUNT")</f>
        <v>LOW DISCOUNT</v>
      </c>
    </row>
    <row r="4690" spans="1:25" x14ac:dyDescent="0.25">
      <c r="A4690" s="1" t="s">
        <v>9565</v>
      </c>
      <c r="B4690" s="1">
        <v>11984734</v>
      </c>
      <c r="C4690" s="1" t="s">
        <v>9566</v>
      </c>
      <c r="D4690" s="1" t="s">
        <v>28</v>
      </c>
      <c r="E4690" s="1" t="s">
        <v>42</v>
      </c>
      <c r="F4690" s="1" t="s">
        <v>17</v>
      </c>
      <c r="G4690" s="1" t="s">
        <v>9567</v>
      </c>
      <c r="H4690">
        <v>495</v>
      </c>
      <c r="I4690" s="1">
        <v>1599</v>
      </c>
      <c r="J4690" s="1" t="s">
        <v>731</v>
      </c>
      <c r="K4690" s="1" t="s">
        <v>881</v>
      </c>
      <c r="L4690" s="1">
        <v>4.2</v>
      </c>
      <c r="M4690" s="1">
        <v>484</v>
      </c>
      <c r="P4690" t="str">
        <f t="shared" si="295"/>
        <v>69%</v>
      </c>
      <c r="Q4690" s="12">
        <f t="shared" si="292"/>
        <v>0.69</v>
      </c>
      <c r="R4690" s="9">
        <f t="shared" si="293"/>
        <v>495.69000000000005</v>
      </c>
      <c r="S4690" s="9">
        <f>IF(R4690="",AVERAGEIF(Table1[Category],Table1[[#This Row],[Category]],Table2[orignal data]),Table2[[#This Row],[orignal data]])</f>
        <v>495.69000000000005</v>
      </c>
      <c r="T4690" t="str">
        <f t="shared" si="294"/>
        <v>UNIQUE</v>
      </c>
      <c r="U4690" t="str">
        <f>IF(ISBLANK(Table1[[#This Row],[SizeOption]]),"NOT AVAILABLE",Table1[[#This Row],[SizeOption]])</f>
        <v>M, L, XL, XXL</v>
      </c>
      <c r="Y4690" t="str">
        <f>IF(Table2[[#This Row],[Column1]]&gt;50%,"HIGH DISCOUNT","LOW DISCOUNT")</f>
        <v>HIGH DISCOUNT</v>
      </c>
    </row>
    <row r="4691" spans="1:25" x14ac:dyDescent="0.25">
      <c r="A4691" s="2" t="s">
        <v>9568</v>
      </c>
      <c r="B4691" s="2">
        <v>12056188</v>
      </c>
      <c r="C4691" s="2" t="s">
        <v>14</v>
      </c>
      <c r="D4691" s="2" t="s">
        <v>28</v>
      </c>
      <c r="E4691" s="2" t="s">
        <v>29</v>
      </c>
      <c r="F4691" s="2" t="s">
        <v>17</v>
      </c>
      <c r="G4691" s="2" t="s">
        <v>9569</v>
      </c>
      <c r="H4691">
        <v>849</v>
      </c>
      <c r="I4691" s="2">
        <v>1699</v>
      </c>
      <c r="J4691" s="2" t="s">
        <v>84</v>
      </c>
      <c r="K4691" s="2" t="s">
        <v>253</v>
      </c>
      <c r="L4691" s="2">
        <v>4.0999999999999996</v>
      </c>
      <c r="M4691" s="2">
        <v>484</v>
      </c>
      <c r="P4691" t="str">
        <f t="shared" si="295"/>
        <v>50%</v>
      </c>
      <c r="Q4691" s="12">
        <f t="shared" si="292"/>
        <v>0.5</v>
      </c>
      <c r="R4691" s="9">
        <f t="shared" si="293"/>
        <v>849.5</v>
      </c>
      <c r="S4691" s="9">
        <f>IF(R4691="",AVERAGEIF(Table1[Category],Table1[[#This Row],[Category]],Table2[orignal data]),Table2[[#This Row],[orignal data]])</f>
        <v>849.5</v>
      </c>
      <c r="T4691" t="str">
        <f t="shared" si="294"/>
        <v>UNIQUE</v>
      </c>
      <c r="U4691" t="str">
        <f>IF(ISBLANK(Table1[[#This Row],[SizeOption]]),"NOT AVAILABLE",Table1[[#This Row],[SizeOption]])</f>
        <v>38, 40, 42, 44</v>
      </c>
      <c r="Y4691" t="str">
        <f>IF(Table2[[#This Row],[Column1]]&gt;50%,"HIGH DISCOUNT","LOW DISCOUNT")</f>
        <v>LOW DISCOUNT</v>
      </c>
    </row>
    <row r="4692" spans="1:25" x14ac:dyDescent="0.25">
      <c r="A4692" s="1" t="s">
        <v>9570</v>
      </c>
      <c r="B4692" s="1">
        <v>14192620</v>
      </c>
      <c r="C4692" s="1" t="s">
        <v>545</v>
      </c>
      <c r="D4692" s="1" t="s">
        <v>76</v>
      </c>
      <c r="E4692" s="1" t="s">
        <v>320</v>
      </c>
      <c r="F4692" s="1" t="s">
        <v>36</v>
      </c>
      <c r="G4692" s="1" t="s">
        <v>9571</v>
      </c>
      <c r="H4692">
        <v>824</v>
      </c>
      <c r="I4692" s="1">
        <v>2499</v>
      </c>
      <c r="J4692" s="1" t="s">
        <v>543</v>
      </c>
      <c r="K4692" s="1" t="s">
        <v>164</v>
      </c>
      <c r="L4692" s="1">
        <v>3.9</v>
      </c>
      <c r="M4692" s="1">
        <v>484</v>
      </c>
      <c r="P4692" t="str">
        <f t="shared" si="295"/>
        <v>67%</v>
      </c>
      <c r="Q4692" s="12">
        <f t="shared" si="292"/>
        <v>0.67</v>
      </c>
      <c r="R4692" s="9">
        <f t="shared" si="293"/>
        <v>824.66999999999985</v>
      </c>
      <c r="S4692" s="9">
        <f>IF(R4692="",AVERAGEIF(Table1[Category],Table1[[#This Row],[Category]],Table2[orignal data]),Table2[[#This Row],[orignal data]])</f>
        <v>824.66999999999985</v>
      </c>
      <c r="T4692" t="str">
        <f t="shared" si="294"/>
        <v>UNIQUE</v>
      </c>
      <c r="U4692" t="str">
        <f>IF(ISBLANK(Table1[[#This Row],[SizeOption]]),"NOT AVAILABLE",Table1[[#This Row],[SizeOption]])</f>
        <v>Onesize</v>
      </c>
      <c r="Y4692" t="str">
        <f>IF(Table2[[#This Row],[Column1]]&gt;50%,"HIGH DISCOUNT","LOW DISCOUNT")</f>
        <v>HIGH DISCOUNT</v>
      </c>
    </row>
    <row r="4693" spans="1:25" x14ac:dyDescent="0.25">
      <c r="A4693" s="2" t="s">
        <v>9572</v>
      </c>
      <c r="B4693" s="2">
        <v>14046632</v>
      </c>
      <c r="C4693" s="2" t="s">
        <v>1489</v>
      </c>
      <c r="D4693" s="2" t="s">
        <v>76</v>
      </c>
      <c r="E4693" s="2" t="s">
        <v>77</v>
      </c>
      <c r="F4693" s="2" t="s">
        <v>36</v>
      </c>
      <c r="G4693" s="2" t="s">
        <v>9573</v>
      </c>
      <c r="H4693">
        <v>1869</v>
      </c>
      <c r="I4693" s="2">
        <v>3399</v>
      </c>
      <c r="J4693" s="2" t="s">
        <v>19</v>
      </c>
      <c r="K4693" s="2" t="s">
        <v>115</v>
      </c>
      <c r="L4693" s="2">
        <v>4.3</v>
      </c>
      <c r="M4693" s="2">
        <v>484</v>
      </c>
      <c r="P4693" t="str">
        <f t="shared" si="295"/>
        <v>45%</v>
      </c>
      <c r="Q4693" s="12">
        <f t="shared" si="292"/>
        <v>0.45</v>
      </c>
      <c r="R4693" s="9">
        <f t="shared" si="293"/>
        <v>1869.45</v>
      </c>
      <c r="S4693" s="9">
        <f>IF(R4693="",AVERAGEIF(Table1[Category],Table1[[#This Row],[Category]],Table2[orignal data]),Table2[[#This Row],[orignal data]])</f>
        <v>1869.45</v>
      </c>
      <c r="T4693" t="str">
        <f t="shared" si="294"/>
        <v>UNIQUE</v>
      </c>
      <c r="U4693" t="str">
        <f>IF(ISBLANK(Table1[[#This Row],[SizeOption]]),"NOT AVAILABLE",Table1[[#This Row],[SizeOption]])</f>
        <v>XS, S, M, L, XL, XXL</v>
      </c>
      <c r="Y4693" t="str">
        <f>IF(Table2[[#This Row],[Column1]]&gt;50%,"HIGH DISCOUNT","LOW DISCOUNT")</f>
        <v>LOW DISCOUNT</v>
      </c>
    </row>
    <row r="4694" spans="1:25" x14ac:dyDescent="0.25">
      <c r="A4694" s="1" t="s">
        <v>9574</v>
      </c>
      <c r="B4694" s="1">
        <v>13027860</v>
      </c>
      <c r="C4694" s="1" t="s">
        <v>397</v>
      </c>
      <c r="D4694" s="1" t="s">
        <v>76</v>
      </c>
      <c r="E4694" s="1" t="s">
        <v>77</v>
      </c>
      <c r="F4694" s="1" t="s">
        <v>36</v>
      </c>
      <c r="G4694" s="1" t="s">
        <v>9575</v>
      </c>
      <c r="H4694">
        <v>1574</v>
      </c>
      <c r="I4694" s="1">
        <v>3499</v>
      </c>
      <c r="J4694" s="1" t="s">
        <v>25</v>
      </c>
      <c r="K4694" s="1" t="s">
        <v>234</v>
      </c>
      <c r="L4694" s="1">
        <v>4.0999999999999996</v>
      </c>
      <c r="M4694" s="1">
        <v>484</v>
      </c>
      <c r="P4694" t="str">
        <f t="shared" si="295"/>
        <v>55%</v>
      </c>
      <c r="Q4694" s="12">
        <f t="shared" si="292"/>
        <v>0.55000000000000004</v>
      </c>
      <c r="R4694" s="9">
        <f t="shared" si="293"/>
        <v>1574.55</v>
      </c>
      <c r="S4694" s="9">
        <f>IF(R4694="",AVERAGEIF(Table1[Category],Table1[[#This Row],[Category]],Table2[orignal data]),Table2[[#This Row],[orignal data]])</f>
        <v>1574.55</v>
      </c>
      <c r="T4694" t="str">
        <f t="shared" si="294"/>
        <v>UNIQUE</v>
      </c>
      <c r="U4694" t="str">
        <f>IF(ISBLANK(Table1[[#This Row],[SizeOption]]),"NOT AVAILABLE",Table1[[#This Row],[SizeOption]])</f>
        <v>S, M, L, XL, XXL, 3XL</v>
      </c>
      <c r="Y4694" t="str">
        <f>IF(Table2[[#This Row],[Column1]]&gt;50%,"HIGH DISCOUNT","LOW DISCOUNT")</f>
        <v>HIGH DISCOUNT</v>
      </c>
    </row>
    <row r="4695" spans="1:25" x14ac:dyDescent="0.25">
      <c r="A4695" s="2" t="s">
        <v>9576</v>
      </c>
      <c r="B4695" s="2">
        <v>10304989</v>
      </c>
      <c r="C4695" s="2" t="s">
        <v>5934</v>
      </c>
      <c r="D4695" s="2" t="s">
        <v>34</v>
      </c>
      <c r="E4695" s="2" t="s">
        <v>118</v>
      </c>
      <c r="F4695" s="2" t="s">
        <v>36</v>
      </c>
      <c r="G4695" s="2" t="s">
        <v>9577</v>
      </c>
      <c r="H4695">
        <v>339</v>
      </c>
      <c r="I4695" s="2">
        <v>849</v>
      </c>
      <c r="J4695" s="2" t="s">
        <v>7310</v>
      </c>
      <c r="K4695" s="2" t="s">
        <v>5937</v>
      </c>
      <c r="L4695" s="2">
        <v>4.3</v>
      </c>
      <c r="M4695" s="2">
        <v>484</v>
      </c>
      <c r="P4695" t="str">
        <f t="shared" si="295"/>
        <v>510</v>
      </c>
      <c r="Q4695" s="12">
        <f t="shared" si="292"/>
        <v>0.60070671378091878</v>
      </c>
      <c r="R4695" s="9">
        <f t="shared" si="293"/>
        <v>338.99999999999994</v>
      </c>
      <c r="S4695" s="9">
        <f>IF(R4695="",AVERAGEIF(Table1[Category],Table1[[#This Row],[Category]],Table2[orignal data]),Table2[[#This Row],[orignal data]])</f>
        <v>338.99999999999994</v>
      </c>
      <c r="T4695" t="str">
        <f t="shared" si="294"/>
        <v>UNIQUE</v>
      </c>
      <c r="U4695" t="str">
        <f>IF(ISBLANK(Table1[[#This Row],[SizeOption]]),"NOT AVAILABLE",Table1[[#This Row],[SizeOption]])</f>
        <v>38B, 38C, 38D, 40B, 40C, 40D, 42B, 42C, 42D, 44B, 44C, 44D, 46B, 46C, 46D</v>
      </c>
      <c r="Y4695" t="str">
        <f>IF(Table2[[#This Row],[Column1]]&gt;50%,"HIGH DISCOUNT","LOW DISCOUNT")</f>
        <v>HIGH DISCOUNT</v>
      </c>
    </row>
    <row r="4696" spans="1:25" x14ac:dyDescent="0.25">
      <c r="A4696" s="1" t="s">
        <v>9578</v>
      </c>
      <c r="B4696" s="1">
        <v>2486223</v>
      </c>
      <c r="C4696" s="1" t="s">
        <v>762</v>
      </c>
      <c r="D4696" s="1" t="s">
        <v>34</v>
      </c>
      <c r="E4696" s="1" t="s">
        <v>118</v>
      </c>
      <c r="F4696" s="1" t="s">
        <v>36</v>
      </c>
      <c r="G4696" s="1" t="s">
        <v>9579</v>
      </c>
      <c r="H4696">
        <v>910</v>
      </c>
      <c r="I4696" s="1">
        <v>958</v>
      </c>
      <c r="J4696" s="1" t="s">
        <v>764</v>
      </c>
      <c r="K4696" s="1" t="s">
        <v>765</v>
      </c>
      <c r="L4696" s="1">
        <v>4.2</v>
      </c>
      <c r="M4696" s="1">
        <v>484</v>
      </c>
      <c r="P4696" t="str">
        <f t="shared" si="295"/>
        <v>5%</v>
      </c>
      <c r="Q4696" s="12">
        <f t="shared" si="292"/>
        <v>0.05</v>
      </c>
      <c r="R4696" s="9">
        <f t="shared" si="293"/>
        <v>910.1</v>
      </c>
      <c r="S4696" s="9">
        <f>IF(R4696="",AVERAGEIF(Table1[Category],Table1[[#This Row],[Category]],Table2[orignal data]),Table2[[#This Row],[orignal data]])</f>
        <v>910.1</v>
      </c>
      <c r="T4696" t="str">
        <f t="shared" si="294"/>
        <v>UNIQUE</v>
      </c>
      <c r="U4696" t="str">
        <f>IF(ISBLANK(Table1[[#This Row],[SizeOption]]),"NOT AVAILABLE",Table1[[#This Row],[SizeOption]])</f>
        <v>30B, 32B, 34B, 36B, 38B, 40B</v>
      </c>
      <c r="Y4696" t="str">
        <f>IF(Table2[[#This Row],[Column1]]&gt;50%,"HIGH DISCOUNT","LOW DISCOUNT")</f>
        <v>LOW DISCOUNT</v>
      </c>
    </row>
    <row r="4697" spans="1:25" x14ac:dyDescent="0.25">
      <c r="A4697" s="2" t="s">
        <v>9580</v>
      </c>
      <c r="B4697" s="2">
        <v>7557260</v>
      </c>
      <c r="C4697" s="2" t="s">
        <v>33</v>
      </c>
      <c r="D4697" s="2" t="s">
        <v>34</v>
      </c>
      <c r="E4697" s="2" t="s">
        <v>118</v>
      </c>
      <c r="F4697" s="2" t="s">
        <v>36</v>
      </c>
      <c r="G4697" s="2" t="s">
        <v>9581</v>
      </c>
      <c r="H4697">
        <v>547</v>
      </c>
      <c r="I4697" s="2">
        <v>995</v>
      </c>
      <c r="J4697" s="2" t="s">
        <v>19</v>
      </c>
      <c r="K4697" s="2" t="s">
        <v>9582</v>
      </c>
      <c r="L4697" s="2">
        <v>4</v>
      </c>
      <c r="M4697" s="2">
        <v>484</v>
      </c>
      <c r="P4697" t="str">
        <f t="shared" si="295"/>
        <v>45%</v>
      </c>
      <c r="Q4697" s="12">
        <f t="shared" si="292"/>
        <v>0.45</v>
      </c>
      <c r="R4697" s="9">
        <f t="shared" si="293"/>
        <v>547.25</v>
      </c>
      <c r="S4697" s="9">
        <f>IF(R4697="",AVERAGEIF(Table1[Category],Table1[[#This Row],[Category]],Table2[orignal data]),Table2[[#This Row],[orignal data]])</f>
        <v>547.25</v>
      </c>
      <c r="T4697" t="str">
        <f t="shared" si="294"/>
        <v>UNIQUE</v>
      </c>
      <c r="U4697" t="str">
        <f>IF(ISBLANK(Table1[[#This Row],[SizeOption]]),"NOT AVAILABLE",Table1[[#This Row],[SizeOption]])</f>
        <v>32E, 34DD, 34E, 34F, 36D, 36DD, 36E, 36F, 38D, 38DD, 38E, 40C, 40D, 40DD, 40E</v>
      </c>
      <c r="Y4697" t="str">
        <f>IF(Table2[[#This Row],[Column1]]&gt;50%,"HIGH DISCOUNT","LOW DISCOUNT")</f>
        <v>LOW DISCOUNT</v>
      </c>
    </row>
    <row r="4698" spans="1:25" x14ac:dyDescent="0.25">
      <c r="A4698" s="1" t="s">
        <v>9583</v>
      </c>
      <c r="B4698" s="1">
        <v>13103862</v>
      </c>
      <c r="C4698" s="1" t="s">
        <v>201</v>
      </c>
      <c r="D4698" s="1" t="s">
        <v>98</v>
      </c>
      <c r="E4698" s="1" t="s">
        <v>16</v>
      </c>
      <c r="F4698" s="1" t="s">
        <v>36</v>
      </c>
      <c r="G4698" s="1" t="s">
        <v>9584</v>
      </c>
      <c r="I4698" s="1">
        <v>1599</v>
      </c>
      <c r="J4698" s="1"/>
      <c r="K4698" s="1" t="s">
        <v>643</v>
      </c>
      <c r="L4698" s="1">
        <v>4</v>
      </c>
      <c r="M4698" s="1">
        <v>484</v>
      </c>
      <c r="P4698" t="str">
        <f t="shared" si="295"/>
        <v/>
      </c>
      <c r="Q4698" s="12" t="str">
        <f t="shared" si="292"/>
        <v/>
      </c>
      <c r="R4698" s="9" t="str">
        <f t="shared" si="293"/>
        <v/>
      </c>
      <c r="S4698" s="9">
        <f>IF(R4698="",AVERAGEIF(Table1[Category],Table1[[#This Row],[Category]],Table2[orignal data]),Table2[[#This Row],[orignal data]])</f>
        <v>680.92918566775427</v>
      </c>
      <c r="T4698" t="str">
        <f t="shared" si="294"/>
        <v>UNIQUE</v>
      </c>
      <c r="U4698" t="str">
        <f>IF(ISBLANK(Table1[[#This Row],[SizeOption]]),"NOT AVAILABLE",Table1[[#This Row],[SizeOption]])</f>
        <v>26, 28, 30, 32, 34, 36, 38, 40</v>
      </c>
      <c r="Y4698" t="str">
        <f>IF(Table2[[#This Row],[Column1]]&gt;50%,"HIGH DISCOUNT","LOW DISCOUNT")</f>
        <v>HIGH DISCOUNT</v>
      </c>
    </row>
    <row r="4699" spans="1:25" x14ac:dyDescent="0.25">
      <c r="A4699" s="2" t="s">
        <v>9585</v>
      </c>
      <c r="B4699" s="2">
        <v>10967568</v>
      </c>
      <c r="C4699" s="2" t="s">
        <v>14</v>
      </c>
      <c r="D4699" s="2" t="s">
        <v>41</v>
      </c>
      <c r="E4699" s="2" t="s">
        <v>579</v>
      </c>
      <c r="F4699" s="2" t="s">
        <v>36</v>
      </c>
      <c r="G4699" s="2" t="s">
        <v>9586</v>
      </c>
      <c r="I4699" s="2">
        <v>1499</v>
      </c>
      <c r="J4699" s="2" t="s">
        <v>25</v>
      </c>
      <c r="K4699" s="2" t="s">
        <v>134</v>
      </c>
      <c r="L4699" s="2">
        <v>4.3</v>
      </c>
      <c r="M4699" s="2">
        <v>484</v>
      </c>
      <c r="P4699" t="str">
        <f t="shared" si="295"/>
        <v>55%</v>
      </c>
      <c r="Q4699" s="12">
        <f t="shared" si="292"/>
        <v>0.55000000000000004</v>
      </c>
      <c r="R4699" s="9">
        <f t="shared" si="293"/>
        <v>674.55</v>
      </c>
      <c r="S4699" s="9">
        <f>IF(R4699="",AVERAGEIF(Table1[Category],Table1[[#This Row],[Category]],Table2[orignal data]),Table2[[#This Row],[orignal data]])</f>
        <v>674.55</v>
      </c>
      <c r="T4699" t="str">
        <f t="shared" si="294"/>
        <v>UNIQUE</v>
      </c>
      <c r="U4699" t="str">
        <f>IF(ISBLANK(Table1[[#This Row],[SizeOption]]),"NOT AVAILABLE",Table1[[#This Row],[SizeOption]])</f>
        <v>26, 28, 30, 32, 34, 36</v>
      </c>
      <c r="Y4699" t="str">
        <f>IF(Table2[[#This Row],[Column1]]&gt;50%,"HIGH DISCOUNT","LOW DISCOUNT")</f>
        <v>HIGH DISCOUNT</v>
      </c>
    </row>
    <row r="4700" spans="1:25" x14ac:dyDescent="0.25">
      <c r="A4700" s="1" t="s">
        <v>9587</v>
      </c>
      <c r="B4700" s="1">
        <v>12222042</v>
      </c>
      <c r="C4700" s="1" t="s">
        <v>181</v>
      </c>
      <c r="D4700" s="1" t="s">
        <v>41</v>
      </c>
      <c r="E4700" s="1" t="s">
        <v>53</v>
      </c>
      <c r="F4700" s="1" t="s">
        <v>36</v>
      </c>
      <c r="G4700" s="1" t="s">
        <v>9588</v>
      </c>
      <c r="I4700" s="1">
        <v>1799</v>
      </c>
      <c r="J4700" s="1" t="s">
        <v>84</v>
      </c>
      <c r="K4700" s="1" t="s">
        <v>134</v>
      </c>
      <c r="L4700" s="1">
        <v>4.0999999999999996</v>
      </c>
      <c r="M4700" s="1">
        <v>484</v>
      </c>
      <c r="P4700" t="str">
        <f t="shared" si="295"/>
        <v>50%</v>
      </c>
      <c r="Q4700" s="12">
        <f t="shared" si="292"/>
        <v>0.5</v>
      </c>
      <c r="R4700" s="9">
        <f t="shared" si="293"/>
        <v>899.5</v>
      </c>
      <c r="S4700" s="9">
        <f>IF(R4700="",AVERAGEIF(Table1[Category],Table1[[#This Row],[Category]],Table2[orignal data]),Table2[[#This Row],[orignal data]])</f>
        <v>899.5</v>
      </c>
      <c r="T4700" t="str">
        <f t="shared" si="294"/>
        <v>UNIQUE</v>
      </c>
      <c r="U4700" t="str">
        <f>IF(ISBLANK(Table1[[#This Row],[SizeOption]]),"NOT AVAILABLE",Table1[[#This Row],[SizeOption]])</f>
        <v>26, 28, 30, 32, 34, 36</v>
      </c>
      <c r="Y4700" t="str">
        <f>IF(Table2[[#This Row],[Column1]]&gt;50%,"HIGH DISCOUNT","LOW DISCOUNT")</f>
        <v>LOW DISCOUNT</v>
      </c>
    </row>
    <row r="4701" spans="1:25" x14ac:dyDescent="0.25">
      <c r="A4701" s="2" t="s">
        <v>9589</v>
      </c>
      <c r="B4701" s="2">
        <v>14025478</v>
      </c>
      <c r="C4701" s="2" t="s">
        <v>102</v>
      </c>
      <c r="D4701" s="2" t="s">
        <v>41</v>
      </c>
      <c r="E4701" s="2" t="s">
        <v>82</v>
      </c>
      <c r="F4701" s="2" t="s">
        <v>36</v>
      </c>
      <c r="G4701" s="2" t="s">
        <v>9590</v>
      </c>
      <c r="I4701" s="2">
        <v>2449</v>
      </c>
      <c r="J4701" s="2" t="s">
        <v>208</v>
      </c>
      <c r="K4701" s="2" t="s">
        <v>26</v>
      </c>
      <c r="L4701" s="2">
        <v>4.5999999999999996</v>
      </c>
      <c r="M4701" s="2">
        <v>484</v>
      </c>
      <c r="P4701" t="str">
        <f t="shared" si="295"/>
        <v>52%</v>
      </c>
      <c r="Q4701" s="12">
        <f t="shared" si="292"/>
        <v>0.52</v>
      </c>
      <c r="R4701" s="9">
        <f t="shared" si="293"/>
        <v>1175.52</v>
      </c>
      <c r="S4701" s="9">
        <f>IF(R4701="",AVERAGEIF(Table1[Category],Table1[[#This Row],[Category]],Table2[orignal data]),Table2[[#This Row],[orignal data]])</f>
        <v>1175.52</v>
      </c>
      <c r="T4701" t="str">
        <f t="shared" si="294"/>
        <v>UNIQUE</v>
      </c>
      <c r="U4701" t="str">
        <f>IF(ISBLANK(Table1[[#This Row],[SizeOption]]),"NOT AVAILABLE",Table1[[#This Row],[SizeOption]])</f>
        <v>S, M, L, XL</v>
      </c>
      <c r="Y4701" t="str">
        <f>IF(Table2[[#This Row],[Column1]]&gt;50%,"HIGH DISCOUNT","LOW DISCOUNT")</f>
        <v>HIGH DISCOUNT</v>
      </c>
    </row>
    <row r="4702" spans="1:25" x14ac:dyDescent="0.25">
      <c r="A4702" s="1" t="s">
        <v>9591</v>
      </c>
      <c r="B4702" s="1">
        <v>13322066</v>
      </c>
      <c r="C4702" s="1" t="s">
        <v>14</v>
      </c>
      <c r="D4702" s="1" t="s">
        <v>41</v>
      </c>
      <c r="E4702" s="1" t="s">
        <v>42</v>
      </c>
      <c r="F4702" s="1" t="s">
        <v>36</v>
      </c>
      <c r="G4702" s="1" t="s">
        <v>9592</v>
      </c>
      <c r="I4702" s="1">
        <v>799</v>
      </c>
      <c r="J4702" s="1" t="s">
        <v>79</v>
      </c>
      <c r="K4702" s="1" t="s">
        <v>45</v>
      </c>
      <c r="L4702" s="1">
        <v>4.3</v>
      </c>
      <c r="M4702" s="1">
        <v>484</v>
      </c>
      <c r="P4702" t="str">
        <f t="shared" si="295"/>
        <v>70%</v>
      </c>
      <c r="Q4702" s="12">
        <f t="shared" si="292"/>
        <v>0.7</v>
      </c>
      <c r="R4702" s="9">
        <f t="shared" si="293"/>
        <v>239.70000000000005</v>
      </c>
      <c r="S4702" s="9">
        <f>IF(R4702="",AVERAGEIF(Table1[Category],Table1[[#This Row],[Category]],Table2[orignal data]),Table2[[#This Row],[orignal data]])</f>
        <v>239.70000000000005</v>
      </c>
      <c r="T4702" t="str">
        <f t="shared" si="294"/>
        <v>UNIQUE</v>
      </c>
      <c r="U4702" t="str">
        <f>IF(ISBLANK(Table1[[#This Row],[SizeOption]]),"NOT AVAILABLE",Table1[[#This Row],[SizeOption]])</f>
        <v>XS, S, M, L, XL</v>
      </c>
      <c r="Y4702" t="str">
        <f>IF(Table2[[#This Row],[Column1]]&gt;50%,"HIGH DISCOUNT","LOW DISCOUNT")</f>
        <v>HIGH DISCOUNT</v>
      </c>
    </row>
    <row r="4703" spans="1:25" x14ac:dyDescent="0.25">
      <c r="A4703" s="2" t="s">
        <v>9593</v>
      </c>
      <c r="B4703" s="2">
        <v>1570773</v>
      </c>
      <c r="C4703" s="2" t="s">
        <v>1299</v>
      </c>
      <c r="D4703" s="2" t="s">
        <v>15</v>
      </c>
      <c r="E4703" s="2" t="s">
        <v>53</v>
      </c>
      <c r="F4703" s="2" t="s">
        <v>17</v>
      </c>
      <c r="G4703" s="2" t="s">
        <v>9594</v>
      </c>
      <c r="H4703">
        <v>949</v>
      </c>
      <c r="I4703" s="2">
        <v>1899</v>
      </c>
      <c r="J4703" s="2" t="s">
        <v>84</v>
      </c>
      <c r="K4703" s="2" t="s">
        <v>56</v>
      </c>
      <c r="L4703" s="2">
        <v>3.6</v>
      </c>
      <c r="M4703" s="2">
        <v>483</v>
      </c>
      <c r="P4703" t="str">
        <f t="shared" si="295"/>
        <v>50%</v>
      </c>
      <c r="Q4703" s="12">
        <f t="shared" si="292"/>
        <v>0.5</v>
      </c>
      <c r="R4703" s="9">
        <f t="shared" si="293"/>
        <v>949.5</v>
      </c>
      <c r="S4703" s="9">
        <f>IF(R4703="",AVERAGEIF(Table1[Category],Table1[[#This Row],[Category]],Table2[orignal data]),Table2[[#This Row],[orignal data]])</f>
        <v>949.5</v>
      </c>
      <c r="T4703" t="str">
        <f t="shared" si="294"/>
        <v>UNIQUE</v>
      </c>
      <c r="U4703" t="str">
        <f>IF(ISBLANK(Table1[[#This Row],[SizeOption]]),"NOT AVAILABLE",Table1[[#This Row],[SizeOption]])</f>
        <v>30, 32, 34, 36</v>
      </c>
      <c r="Y4703" t="str">
        <f>IF(Table2[[#This Row],[Column1]]&gt;50%,"HIGH DISCOUNT","LOW DISCOUNT")</f>
        <v>LOW DISCOUNT</v>
      </c>
    </row>
    <row r="4704" spans="1:25" x14ac:dyDescent="0.25">
      <c r="A4704" s="1" t="s">
        <v>9595</v>
      </c>
      <c r="B4704" s="1">
        <v>11093680</v>
      </c>
      <c r="C4704" s="1" t="s">
        <v>52</v>
      </c>
      <c r="D4704" s="1" t="s">
        <v>15</v>
      </c>
      <c r="E4704" s="1" t="s">
        <v>16</v>
      </c>
      <c r="F4704" s="1" t="s">
        <v>17</v>
      </c>
      <c r="G4704" s="1" t="s">
        <v>9596</v>
      </c>
      <c r="H4704">
        <v>892</v>
      </c>
      <c r="I4704" s="1">
        <v>1899</v>
      </c>
      <c r="J4704" s="1" t="s">
        <v>89</v>
      </c>
      <c r="K4704" s="1" t="s">
        <v>816</v>
      </c>
      <c r="L4704" s="1">
        <v>4.0999999999999996</v>
      </c>
      <c r="M4704" s="1">
        <v>483</v>
      </c>
      <c r="P4704" t="str">
        <f t="shared" si="295"/>
        <v>53%</v>
      </c>
      <c r="Q4704" s="12">
        <f t="shared" si="292"/>
        <v>0.53</v>
      </c>
      <c r="R4704" s="9">
        <f t="shared" si="293"/>
        <v>892.53</v>
      </c>
      <c r="S4704" s="9">
        <f>IF(R4704="",AVERAGEIF(Table1[Category],Table1[[#This Row],[Category]],Table2[orignal data]),Table2[[#This Row],[orignal data]])</f>
        <v>892.53</v>
      </c>
      <c r="T4704" t="str">
        <f t="shared" si="294"/>
        <v>UNIQUE</v>
      </c>
      <c r="U4704" t="str">
        <f>IF(ISBLANK(Table1[[#This Row],[SizeOption]]),"NOT AVAILABLE",Table1[[#This Row],[SizeOption]])</f>
        <v>30, 32, 34, 36, 38</v>
      </c>
      <c r="Y4704" t="str">
        <f>IF(Table2[[#This Row],[Column1]]&gt;50%,"HIGH DISCOUNT","LOW DISCOUNT")</f>
        <v>HIGH DISCOUNT</v>
      </c>
    </row>
    <row r="4705" spans="1:25" x14ac:dyDescent="0.25">
      <c r="A4705" s="2" t="s">
        <v>9597</v>
      </c>
      <c r="B4705" s="2">
        <v>3077233</v>
      </c>
      <c r="C4705" s="2" t="s">
        <v>52</v>
      </c>
      <c r="D4705" s="2" t="s">
        <v>15</v>
      </c>
      <c r="E4705" s="2" t="s">
        <v>16</v>
      </c>
      <c r="F4705" s="2" t="s">
        <v>17</v>
      </c>
      <c r="G4705" s="2" t="s">
        <v>6337</v>
      </c>
      <c r="H4705">
        <v>684</v>
      </c>
      <c r="I4705" s="2">
        <v>1849</v>
      </c>
      <c r="J4705" s="2" t="s">
        <v>476</v>
      </c>
      <c r="K4705" s="2" t="s">
        <v>816</v>
      </c>
      <c r="L4705" s="2">
        <v>3.8</v>
      </c>
      <c r="M4705" s="2">
        <v>483</v>
      </c>
      <c r="P4705" t="str">
        <f t="shared" si="295"/>
        <v>63%</v>
      </c>
      <c r="Q4705" s="12">
        <f t="shared" si="292"/>
        <v>0.63</v>
      </c>
      <c r="R4705" s="9">
        <f t="shared" si="293"/>
        <v>684.12999999999988</v>
      </c>
      <c r="S4705" s="9">
        <f>IF(R4705="",AVERAGEIF(Table1[Category],Table1[[#This Row],[Category]],Table2[orignal data]),Table2[[#This Row],[orignal data]])</f>
        <v>684.12999999999988</v>
      </c>
      <c r="T4705" t="str">
        <f t="shared" si="294"/>
        <v>UNIQUE</v>
      </c>
      <c r="U4705" t="str">
        <f>IF(ISBLANK(Table1[[#This Row],[SizeOption]]),"NOT AVAILABLE",Table1[[#This Row],[SizeOption]])</f>
        <v>30, 32, 34, 36, 38</v>
      </c>
      <c r="Y4705" t="str">
        <f>IF(Table2[[#This Row],[Column1]]&gt;50%,"HIGH DISCOUNT","LOW DISCOUNT")</f>
        <v>HIGH DISCOUNT</v>
      </c>
    </row>
    <row r="4706" spans="1:25" x14ac:dyDescent="0.25">
      <c r="A4706" s="1" t="s">
        <v>9598</v>
      </c>
      <c r="B4706" s="1">
        <v>10764372</v>
      </c>
      <c r="C4706" s="1" t="s">
        <v>14</v>
      </c>
      <c r="D4706" s="1" t="s">
        <v>15</v>
      </c>
      <c r="E4706" s="1" t="s">
        <v>16</v>
      </c>
      <c r="F4706" s="1" t="s">
        <v>17</v>
      </c>
      <c r="G4706" s="1" t="s">
        <v>918</v>
      </c>
      <c r="H4706">
        <v>719</v>
      </c>
      <c r="I4706" s="1">
        <v>1799</v>
      </c>
      <c r="J4706" s="1" t="s">
        <v>55</v>
      </c>
      <c r="K4706" s="1" t="s">
        <v>20</v>
      </c>
      <c r="L4706" s="1">
        <v>3.8</v>
      </c>
      <c r="M4706" s="1">
        <v>483</v>
      </c>
      <c r="P4706" t="str">
        <f t="shared" si="295"/>
        <v>60%</v>
      </c>
      <c r="Q4706" s="12">
        <f t="shared" si="292"/>
        <v>0.6</v>
      </c>
      <c r="R4706" s="9">
        <f t="shared" si="293"/>
        <v>719.60000000000014</v>
      </c>
      <c r="S4706" s="9">
        <f>IF(R4706="",AVERAGEIF(Table1[Category],Table1[[#This Row],[Category]],Table2[orignal data]),Table2[[#This Row],[orignal data]])</f>
        <v>719.60000000000014</v>
      </c>
      <c r="T4706" t="str">
        <f t="shared" si="294"/>
        <v>UNIQUE</v>
      </c>
      <c r="U4706" t="str">
        <f>IF(ISBLANK(Table1[[#This Row],[SizeOption]]),"NOT AVAILABLE",Table1[[#This Row],[SizeOption]])</f>
        <v>28, 30, 32, 34, 36</v>
      </c>
      <c r="Y4706" t="str">
        <f>IF(Table2[[#This Row],[Column1]]&gt;50%,"HIGH DISCOUNT","LOW DISCOUNT")</f>
        <v>HIGH DISCOUNT</v>
      </c>
    </row>
    <row r="4707" spans="1:25" x14ac:dyDescent="0.25">
      <c r="A4707" s="2" t="s">
        <v>9599</v>
      </c>
      <c r="B4707" s="2">
        <v>11160634</v>
      </c>
      <c r="C4707" s="2" t="s">
        <v>14</v>
      </c>
      <c r="D4707" s="2" t="s">
        <v>15</v>
      </c>
      <c r="E4707" s="2" t="s">
        <v>137</v>
      </c>
      <c r="F4707" s="2" t="s">
        <v>17</v>
      </c>
      <c r="G4707" s="2" t="s">
        <v>9600</v>
      </c>
      <c r="H4707">
        <v>764</v>
      </c>
      <c r="I4707" s="2">
        <v>1699</v>
      </c>
      <c r="J4707" s="2" t="s">
        <v>25</v>
      </c>
      <c r="K4707" s="2" t="s">
        <v>20</v>
      </c>
      <c r="L4707" s="2">
        <v>4.0999999999999996</v>
      </c>
      <c r="M4707" s="2">
        <v>483</v>
      </c>
      <c r="P4707" t="str">
        <f t="shared" si="295"/>
        <v>55%</v>
      </c>
      <c r="Q4707" s="12">
        <f t="shared" si="292"/>
        <v>0.55000000000000004</v>
      </c>
      <c r="R4707" s="9">
        <f t="shared" si="293"/>
        <v>764.55</v>
      </c>
      <c r="S4707" s="9">
        <f>IF(R4707="",AVERAGEIF(Table1[Category],Table1[[#This Row],[Category]],Table2[orignal data]),Table2[[#This Row],[orignal data]])</f>
        <v>764.55</v>
      </c>
      <c r="T4707" t="str">
        <f t="shared" si="294"/>
        <v>UNIQUE</v>
      </c>
      <c r="U4707" t="str">
        <f>IF(ISBLANK(Table1[[#This Row],[SizeOption]]),"NOT AVAILABLE",Table1[[#This Row],[SizeOption]])</f>
        <v>28, 30, 32, 34, 36</v>
      </c>
      <c r="Y4707" t="str">
        <f>IF(Table2[[#This Row],[Column1]]&gt;50%,"HIGH DISCOUNT","LOW DISCOUNT")</f>
        <v>HIGH DISCOUNT</v>
      </c>
    </row>
    <row r="4708" spans="1:25" x14ac:dyDescent="0.25">
      <c r="A4708" s="1" t="s">
        <v>9601</v>
      </c>
      <c r="B4708" s="1">
        <v>11422648</v>
      </c>
      <c r="C4708" s="1" t="s">
        <v>3308</v>
      </c>
      <c r="D4708" s="1" t="s">
        <v>76</v>
      </c>
      <c r="E4708" s="1" t="s">
        <v>93</v>
      </c>
      <c r="F4708" s="1" t="s">
        <v>17</v>
      </c>
      <c r="G4708" s="1" t="s">
        <v>9602</v>
      </c>
      <c r="H4708">
        <v>719</v>
      </c>
      <c r="I4708" s="1">
        <v>1599</v>
      </c>
      <c r="J4708" s="1" t="s">
        <v>25</v>
      </c>
      <c r="K4708" s="1" t="s">
        <v>39</v>
      </c>
      <c r="L4708" s="1">
        <v>4.0999999999999996</v>
      </c>
      <c r="M4708" s="1">
        <v>483</v>
      </c>
      <c r="P4708" t="str">
        <f t="shared" si="295"/>
        <v>55%</v>
      </c>
      <c r="Q4708" s="12">
        <f t="shared" si="292"/>
        <v>0.55000000000000004</v>
      </c>
      <c r="R4708" s="9">
        <f t="shared" si="293"/>
        <v>719.55</v>
      </c>
      <c r="S4708" s="9">
        <f>IF(R4708="",AVERAGEIF(Table1[Category],Table1[[#This Row],[Category]],Table2[orignal data]),Table2[[#This Row],[orignal data]])</f>
        <v>719.55</v>
      </c>
      <c r="T4708" t="str">
        <f t="shared" si="294"/>
        <v>UNIQUE</v>
      </c>
      <c r="U4708" t="str">
        <f>IF(ISBLANK(Table1[[#This Row],[SizeOption]]),"NOT AVAILABLE",Table1[[#This Row],[SizeOption]])</f>
        <v>S, M, L, XL, XXL</v>
      </c>
      <c r="Y4708" t="str">
        <f>IF(Table2[[#This Row],[Column1]]&gt;50%,"HIGH DISCOUNT","LOW DISCOUNT")</f>
        <v>HIGH DISCOUNT</v>
      </c>
    </row>
    <row r="4709" spans="1:25" x14ac:dyDescent="0.25">
      <c r="A4709" s="2" t="s">
        <v>9603</v>
      </c>
      <c r="B4709" s="2">
        <v>9367405</v>
      </c>
      <c r="C4709" s="2" t="s">
        <v>113</v>
      </c>
      <c r="D4709" s="2" t="s">
        <v>76</v>
      </c>
      <c r="E4709" s="2" t="s">
        <v>77</v>
      </c>
      <c r="F4709" s="2" t="s">
        <v>17</v>
      </c>
      <c r="G4709" s="2" t="s">
        <v>9604</v>
      </c>
      <c r="H4709">
        <v>1574</v>
      </c>
      <c r="I4709" s="2">
        <v>3499</v>
      </c>
      <c r="J4709" s="2" t="s">
        <v>25</v>
      </c>
      <c r="K4709" s="2" t="s">
        <v>39</v>
      </c>
      <c r="L4709" s="2">
        <v>4</v>
      </c>
      <c r="M4709" s="2">
        <v>483</v>
      </c>
      <c r="P4709" t="str">
        <f t="shared" si="295"/>
        <v>55%</v>
      </c>
      <c r="Q4709" s="12">
        <f t="shared" si="292"/>
        <v>0.55000000000000004</v>
      </c>
      <c r="R4709" s="9">
        <f t="shared" si="293"/>
        <v>1574.55</v>
      </c>
      <c r="S4709" s="9">
        <f>IF(R4709="",AVERAGEIF(Table1[Category],Table1[[#This Row],[Category]],Table2[orignal data]),Table2[[#This Row],[orignal data]])</f>
        <v>1574.55</v>
      </c>
      <c r="T4709" t="str">
        <f t="shared" si="294"/>
        <v>UNIQUE</v>
      </c>
      <c r="U4709" t="str">
        <f>IF(ISBLANK(Table1[[#This Row],[SizeOption]]),"NOT AVAILABLE",Table1[[#This Row],[SizeOption]])</f>
        <v>S, M, L, XL, XXL</v>
      </c>
      <c r="Y4709" t="str">
        <f>IF(Table2[[#This Row],[Column1]]&gt;50%,"HIGH DISCOUNT","LOW DISCOUNT")</f>
        <v>HIGH DISCOUNT</v>
      </c>
    </row>
    <row r="4710" spans="1:25" x14ac:dyDescent="0.25">
      <c r="A4710" s="1" t="s">
        <v>9605</v>
      </c>
      <c r="B4710" s="1">
        <v>11290262</v>
      </c>
      <c r="C4710" s="1" t="s">
        <v>3741</v>
      </c>
      <c r="D4710" s="1" t="s">
        <v>68</v>
      </c>
      <c r="E4710" s="1" t="s">
        <v>42</v>
      </c>
      <c r="F4710" s="1" t="s">
        <v>17</v>
      </c>
      <c r="G4710" s="1" t="s">
        <v>9606</v>
      </c>
      <c r="H4710">
        <v>1238</v>
      </c>
      <c r="I4710" s="1">
        <v>1795</v>
      </c>
      <c r="J4710" s="1" t="s">
        <v>467</v>
      </c>
      <c r="K4710" s="1" t="s">
        <v>39</v>
      </c>
      <c r="L4710" s="1">
        <v>4.0999999999999996</v>
      </c>
      <c r="M4710" s="1">
        <v>483</v>
      </c>
      <c r="P4710" t="str">
        <f t="shared" si="295"/>
        <v>31%</v>
      </c>
      <c r="Q4710" s="12">
        <f t="shared" si="292"/>
        <v>0.31</v>
      </c>
      <c r="R4710" s="9">
        <f t="shared" si="293"/>
        <v>1238.55</v>
      </c>
      <c r="S4710" s="9">
        <f>IF(R4710="",AVERAGEIF(Table1[Category],Table1[[#This Row],[Category]],Table2[orignal data]),Table2[[#This Row],[orignal data]])</f>
        <v>1238.55</v>
      </c>
      <c r="T4710" t="str">
        <f t="shared" si="294"/>
        <v>UNIQUE</v>
      </c>
      <c r="U4710" t="str">
        <f>IF(ISBLANK(Table1[[#This Row],[SizeOption]]),"NOT AVAILABLE",Table1[[#This Row],[SizeOption]])</f>
        <v>S, M, L, XL, XXL</v>
      </c>
      <c r="Y4710" t="str">
        <f>IF(Table2[[#This Row],[Column1]]&gt;50%,"HIGH DISCOUNT","LOW DISCOUNT")</f>
        <v>LOW DISCOUNT</v>
      </c>
    </row>
    <row r="4711" spans="1:25" x14ac:dyDescent="0.25">
      <c r="A4711" s="2" t="s">
        <v>9607</v>
      </c>
      <c r="B4711" s="2">
        <v>12423650</v>
      </c>
      <c r="C4711" s="2" t="s">
        <v>169</v>
      </c>
      <c r="D4711" s="2" t="s">
        <v>28</v>
      </c>
      <c r="E4711" s="2" t="s">
        <v>42</v>
      </c>
      <c r="F4711" s="2" t="s">
        <v>17</v>
      </c>
      <c r="G4711" s="2" t="s">
        <v>9608</v>
      </c>
      <c r="H4711">
        <v>659</v>
      </c>
      <c r="I4711" s="2">
        <v>1199</v>
      </c>
      <c r="J4711" s="2" t="s">
        <v>19</v>
      </c>
      <c r="K4711" s="2" t="s">
        <v>39</v>
      </c>
      <c r="L4711" s="2">
        <v>4.0999999999999996</v>
      </c>
      <c r="M4711" s="2">
        <v>483</v>
      </c>
      <c r="P4711" t="str">
        <f t="shared" si="295"/>
        <v>45%</v>
      </c>
      <c r="Q4711" s="12">
        <f t="shared" si="292"/>
        <v>0.45</v>
      </c>
      <c r="R4711" s="9">
        <f t="shared" si="293"/>
        <v>659.44999999999993</v>
      </c>
      <c r="S4711" s="9">
        <f>IF(R4711="",AVERAGEIF(Table1[Category],Table1[[#This Row],[Category]],Table2[orignal data]),Table2[[#This Row],[orignal data]])</f>
        <v>659.44999999999993</v>
      </c>
      <c r="T4711" t="str">
        <f t="shared" si="294"/>
        <v>UNIQUE</v>
      </c>
      <c r="U4711" t="str">
        <f>IF(ISBLANK(Table1[[#This Row],[SizeOption]]),"NOT AVAILABLE",Table1[[#This Row],[SizeOption]])</f>
        <v>S, M, L, XL, XXL</v>
      </c>
      <c r="Y4711" t="str">
        <f>IF(Table2[[#This Row],[Column1]]&gt;50%,"HIGH DISCOUNT","LOW DISCOUNT")</f>
        <v>LOW DISCOUNT</v>
      </c>
    </row>
    <row r="4712" spans="1:25" x14ac:dyDescent="0.25">
      <c r="A4712" s="1" t="s">
        <v>9609</v>
      </c>
      <c r="B4712" s="1">
        <v>9930089</v>
      </c>
      <c r="C4712" s="1" t="s">
        <v>52</v>
      </c>
      <c r="D4712" s="1" t="s">
        <v>28</v>
      </c>
      <c r="E4712" s="1" t="s">
        <v>29</v>
      </c>
      <c r="F4712" s="1" t="s">
        <v>17</v>
      </c>
      <c r="G4712" s="1" t="s">
        <v>9610</v>
      </c>
      <c r="H4712">
        <v>579</v>
      </c>
      <c r="I4712" s="1">
        <v>1449</v>
      </c>
      <c r="J4712" s="1" t="s">
        <v>55</v>
      </c>
      <c r="K4712" s="1" t="s">
        <v>90</v>
      </c>
      <c r="L4712" s="1">
        <v>4.2</v>
      </c>
      <c r="M4712" s="1">
        <v>483</v>
      </c>
      <c r="P4712" t="str">
        <f t="shared" si="295"/>
        <v>60%</v>
      </c>
      <c r="Q4712" s="12">
        <f t="shared" si="292"/>
        <v>0.6</v>
      </c>
      <c r="R4712" s="9">
        <f t="shared" si="293"/>
        <v>579.6</v>
      </c>
      <c r="S4712" s="9">
        <f>IF(R4712="",AVERAGEIF(Table1[Category],Table1[[#This Row],[Category]],Table2[orignal data]),Table2[[#This Row],[orignal data]])</f>
        <v>579.6</v>
      </c>
      <c r="T4712" t="str">
        <f t="shared" si="294"/>
        <v>UNIQUE</v>
      </c>
      <c r="U4712" t="str">
        <f>IF(ISBLANK(Table1[[#This Row],[SizeOption]]),"NOT AVAILABLE",Table1[[#This Row],[SizeOption]])</f>
        <v>39, 40, 42, 44</v>
      </c>
      <c r="Y4712" t="str">
        <f>IF(Table2[[#This Row],[Column1]]&gt;50%,"HIGH DISCOUNT","LOW DISCOUNT")</f>
        <v>HIGH DISCOUNT</v>
      </c>
    </row>
    <row r="4713" spans="1:25" x14ac:dyDescent="0.25">
      <c r="A4713" s="2" t="s">
        <v>9611</v>
      </c>
      <c r="B4713" s="2">
        <v>11368346</v>
      </c>
      <c r="C4713" s="2" t="s">
        <v>2790</v>
      </c>
      <c r="D4713" s="2" t="s">
        <v>28</v>
      </c>
      <c r="E4713" s="2" t="s">
        <v>42</v>
      </c>
      <c r="F4713" s="2" t="s">
        <v>17</v>
      </c>
      <c r="G4713" s="2" t="s">
        <v>9612</v>
      </c>
      <c r="I4713" s="2">
        <v>799</v>
      </c>
      <c r="J4713" s="2"/>
      <c r="K4713" s="2" t="s">
        <v>39</v>
      </c>
      <c r="L4713" s="2">
        <v>4</v>
      </c>
      <c r="M4713" s="2">
        <v>483</v>
      </c>
      <c r="P4713" t="str">
        <f t="shared" si="295"/>
        <v/>
      </c>
      <c r="Q4713" s="12" t="str">
        <f t="shared" si="292"/>
        <v/>
      </c>
      <c r="R4713" s="9" t="str">
        <f t="shared" si="293"/>
        <v/>
      </c>
      <c r="S4713" s="9">
        <f>IF(R4713="",AVERAGEIF(Table1[Category],Table1[[#This Row],[Category]],Table2[orignal data]),Table2[[#This Row],[orignal data]])</f>
        <v>671.7823941958867</v>
      </c>
      <c r="T4713" t="str">
        <f t="shared" si="294"/>
        <v>UNIQUE</v>
      </c>
      <c r="U4713" t="str">
        <f>IF(ISBLANK(Table1[[#This Row],[SizeOption]]),"NOT AVAILABLE",Table1[[#This Row],[SizeOption]])</f>
        <v>S, M, L, XL, XXL</v>
      </c>
      <c r="Y4713" t="str">
        <f>IF(Table2[[#This Row],[Column1]]&gt;50%,"HIGH DISCOUNT","LOW DISCOUNT")</f>
        <v>HIGH DISCOUNT</v>
      </c>
    </row>
    <row r="4714" spans="1:25" x14ac:dyDescent="0.25">
      <c r="A4714" s="1" t="s">
        <v>9613</v>
      </c>
      <c r="B4714" s="1">
        <v>8387601</v>
      </c>
      <c r="C4714" s="1" t="s">
        <v>545</v>
      </c>
      <c r="D4714" s="1" t="s">
        <v>76</v>
      </c>
      <c r="E4714" s="1" t="s">
        <v>9614</v>
      </c>
      <c r="F4714" s="1" t="s">
        <v>36</v>
      </c>
      <c r="G4714" s="1" t="s">
        <v>9615</v>
      </c>
      <c r="H4714">
        <v>877</v>
      </c>
      <c r="I4714" s="1">
        <v>1949</v>
      </c>
      <c r="J4714" s="1" t="s">
        <v>25</v>
      </c>
      <c r="K4714" s="1" t="s">
        <v>164</v>
      </c>
      <c r="L4714" s="1">
        <v>3.8</v>
      </c>
      <c r="M4714" s="1">
        <v>483</v>
      </c>
      <c r="P4714" t="str">
        <f t="shared" si="295"/>
        <v>55%</v>
      </c>
      <c r="Q4714" s="12">
        <f t="shared" si="292"/>
        <v>0.55000000000000004</v>
      </c>
      <c r="R4714" s="9">
        <f t="shared" si="293"/>
        <v>877.05</v>
      </c>
      <c r="S4714" s="9">
        <f>IF(R4714="",AVERAGEIF(Table1[Category],Table1[[#This Row],[Category]],Table2[orignal data]),Table2[[#This Row],[orignal data]])</f>
        <v>877.05</v>
      </c>
      <c r="T4714" t="str">
        <f t="shared" si="294"/>
        <v>UNIQUE</v>
      </c>
      <c r="U4714" t="str">
        <f>IF(ISBLANK(Table1[[#This Row],[SizeOption]]),"NOT AVAILABLE",Table1[[#This Row],[SizeOption]])</f>
        <v>Onesize</v>
      </c>
      <c r="Y4714" t="str">
        <f>IF(Table2[[#This Row],[Column1]]&gt;50%,"HIGH DISCOUNT","LOW DISCOUNT")</f>
        <v>HIGH DISCOUNT</v>
      </c>
    </row>
    <row r="4715" spans="1:25" x14ac:dyDescent="0.25">
      <c r="A4715" s="2" t="s">
        <v>9616</v>
      </c>
      <c r="B4715" s="2">
        <v>13647632</v>
      </c>
      <c r="C4715" s="2" t="s">
        <v>277</v>
      </c>
      <c r="D4715" s="2" t="s">
        <v>76</v>
      </c>
      <c r="E4715" s="2" t="s">
        <v>77</v>
      </c>
      <c r="F4715" s="2" t="s">
        <v>36</v>
      </c>
      <c r="G4715" s="2" t="s">
        <v>9617</v>
      </c>
      <c r="H4715">
        <v>1679</v>
      </c>
      <c r="I4715" s="2">
        <v>3999</v>
      </c>
      <c r="J4715" s="2" t="s">
        <v>60</v>
      </c>
      <c r="K4715" s="2" t="s">
        <v>39</v>
      </c>
      <c r="L4715" s="2">
        <v>4.2</v>
      </c>
      <c r="M4715" s="2">
        <v>483</v>
      </c>
      <c r="P4715" t="str">
        <f t="shared" si="295"/>
        <v>58%</v>
      </c>
      <c r="Q4715" s="12">
        <f t="shared" si="292"/>
        <v>0.57999999999999996</v>
      </c>
      <c r="R4715" s="9">
        <f t="shared" si="293"/>
        <v>1679.5800000000004</v>
      </c>
      <c r="S4715" s="9">
        <f>IF(R4715="",AVERAGEIF(Table1[Category],Table1[[#This Row],[Category]],Table2[orignal data]),Table2[[#This Row],[orignal data]])</f>
        <v>1679.5800000000004</v>
      </c>
      <c r="T4715" t="str">
        <f t="shared" si="294"/>
        <v>UNIQUE</v>
      </c>
      <c r="U4715" t="str">
        <f>IF(ISBLANK(Table1[[#This Row],[SizeOption]]),"NOT AVAILABLE",Table1[[#This Row],[SizeOption]])</f>
        <v>S, M, L, XL, XXL</v>
      </c>
      <c r="Y4715" t="str">
        <f>IF(Table2[[#This Row],[Column1]]&gt;50%,"HIGH DISCOUNT","LOW DISCOUNT")</f>
        <v>HIGH DISCOUNT</v>
      </c>
    </row>
    <row r="4716" spans="1:25" x14ac:dyDescent="0.25">
      <c r="A4716" s="1" t="s">
        <v>9618</v>
      </c>
      <c r="B4716" s="1">
        <v>1519495</v>
      </c>
      <c r="C4716" s="1" t="s">
        <v>623</v>
      </c>
      <c r="D4716" s="1" t="s">
        <v>34</v>
      </c>
      <c r="E4716" s="1" t="s">
        <v>118</v>
      </c>
      <c r="F4716" s="1" t="s">
        <v>36</v>
      </c>
      <c r="G4716" s="1" t="s">
        <v>9619</v>
      </c>
      <c r="H4716">
        <v>259</v>
      </c>
      <c r="I4716" s="1">
        <v>499</v>
      </c>
      <c r="J4716" s="1" t="s">
        <v>602</v>
      </c>
      <c r="K4716" s="1" t="s">
        <v>2429</v>
      </c>
      <c r="L4716" s="1">
        <v>4.3</v>
      </c>
      <c r="M4716" s="1">
        <v>483</v>
      </c>
      <c r="P4716" t="str">
        <f t="shared" si="295"/>
        <v>48%</v>
      </c>
      <c r="Q4716" s="12">
        <f t="shared" si="292"/>
        <v>0.48</v>
      </c>
      <c r="R4716" s="9">
        <f t="shared" si="293"/>
        <v>259.48</v>
      </c>
      <c r="S4716" s="9">
        <f>IF(R4716="",AVERAGEIF(Table1[Category],Table1[[#This Row],[Category]],Table2[orignal data]),Table2[[#This Row],[orignal data]])</f>
        <v>259.48</v>
      </c>
      <c r="T4716" t="str">
        <f t="shared" si="294"/>
        <v>UNIQUE</v>
      </c>
      <c r="U4716" t="str">
        <f>IF(ISBLANK(Table1[[#This Row],[SizeOption]]),"NOT AVAILABLE",Table1[[#This Row],[SizeOption]])</f>
        <v>32B, 32C, 32D, 34B, 34C, 34D, 36B, 36C, 36D, 38B, 38C, 40B, 40C</v>
      </c>
      <c r="Y4716" t="str">
        <f>IF(Table2[[#This Row],[Column1]]&gt;50%,"HIGH DISCOUNT","LOW DISCOUNT")</f>
        <v>LOW DISCOUNT</v>
      </c>
    </row>
    <row r="4717" spans="1:25" x14ac:dyDescent="0.25">
      <c r="A4717" s="2" t="s">
        <v>9620</v>
      </c>
      <c r="B4717" s="2">
        <v>2061328</v>
      </c>
      <c r="C4717" s="2" t="s">
        <v>64</v>
      </c>
      <c r="D4717" s="2" t="s">
        <v>98</v>
      </c>
      <c r="E4717" s="2" t="s">
        <v>48</v>
      </c>
      <c r="F4717" s="2" t="s">
        <v>36</v>
      </c>
      <c r="G4717" s="2" t="s">
        <v>9621</v>
      </c>
      <c r="H4717">
        <v>464</v>
      </c>
      <c r="I4717" s="2">
        <v>1549</v>
      </c>
      <c r="J4717" s="2" t="s">
        <v>1566</v>
      </c>
      <c r="K4717" s="2" t="s">
        <v>115</v>
      </c>
      <c r="L4717" s="2">
        <v>3.9</v>
      </c>
      <c r="M4717" s="2">
        <v>483</v>
      </c>
      <c r="P4717" t="str">
        <f t="shared" si="295"/>
        <v>70%</v>
      </c>
      <c r="Q4717" s="12">
        <f t="shared" si="292"/>
        <v>0.7</v>
      </c>
      <c r="R4717" s="9">
        <f t="shared" si="293"/>
        <v>464.70000000000005</v>
      </c>
      <c r="S4717" s="9">
        <f>IF(R4717="",AVERAGEIF(Table1[Category],Table1[[#This Row],[Category]],Table2[orignal data]),Table2[[#This Row],[orignal data]])</f>
        <v>464.70000000000005</v>
      </c>
      <c r="T4717" t="str">
        <f t="shared" si="294"/>
        <v>UNIQUE</v>
      </c>
      <c r="U4717" t="str">
        <f>IF(ISBLANK(Table1[[#This Row],[SizeOption]]),"NOT AVAILABLE",Table1[[#This Row],[SizeOption]])</f>
        <v>XS, S, M, L, XL, XXL</v>
      </c>
      <c r="Y4717" t="str">
        <f>IF(Table2[[#This Row],[Column1]]&gt;50%,"HIGH DISCOUNT","LOW DISCOUNT")</f>
        <v>HIGH DISCOUNT</v>
      </c>
    </row>
    <row r="4718" spans="1:25" x14ac:dyDescent="0.25">
      <c r="A4718" s="1" t="s">
        <v>9622</v>
      </c>
      <c r="B4718" s="1">
        <v>12022794</v>
      </c>
      <c r="C4718" s="1" t="s">
        <v>64</v>
      </c>
      <c r="D4718" s="1" t="s">
        <v>98</v>
      </c>
      <c r="E4718" s="1" t="s">
        <v>16</v>
      </c>
      <c r="F4718" s="1" t="s">
        <v>36</v>
      </c>
      <c r="G4718" s="1" t="s">
        <v>9623</v>
      </c>
      <c r="H4718">
        <v>1539</v>
      </c>
      <c r="I4718" s="1">
        <v>2199</v>
      </c>
      <c r="J4718" s="1" t="s">
        <v>186</v>
      </c>
      <c r="K4718" s="1" t="s">
        <v>643</v>
      </c>
      <c r="L4718" s="1">
        <v>4.0999999999999996</v>
      </c>
      <c r="M4718" s="1">
        <v>483</v>
      </c>
      <c r="P4718" t="str">
        <f t="shared" si="295"/>
        <v>30%</v>
      </c>
      <c r="Q4718" s="12">
        <f t="shared" si="292"/>
        <v>0.3</v>
      </c>
      <c r="R4718" s="9">
        <f t="shared" si="293"/>
        <v>1539.3000000000002</v>
      </c>
      <c r="S4718" s="9">
        <f>IF(R4718="",AVERAGEIF(Table1[Category],Table1[[#This Row],[Category]],Table2[orignal data]),Table2[[#This Row],[orignal data]])</f>
        <v>1539.3000000000002</v>
      </c>
      <c r="T4718" t="str">
        <f t="shared" si="294"/>
        <v>UNIQUE</v>
      </c>
      <c r="U4718" t="str">
        <f>IF(ISBLANK(Table1[[#This Row],[SizeOption]]),"NOT AVAILABLE",Table1[[#This Row],[SizeOption]])</f>
        <v>26, 28, 30, 32, 34, 36, 38, 40</v>
      </c>
      <c r="Y4718" t="str">
        <f>IF(Table2[[#This Row],[Column1]]&gt;50%,"HIGH DISCOUNT","LOW DISCOUNT")</f>
        <v>LOW DISCOUNT</v>
      </c>
    </row>
    <row r="4719" spans="1:25" x14ac:dyDescent="0.25">
      <c r="A4719" s="2" t="s">
        <v>9624</v>
      </c>
      <c r="B4719" s="2">
        <v>11401678</v>
      </c>
      <c r="C4719" s="2" t="s">
        <v>14</v>
      </c>
      <c r="D4719" s="2" t="s">
        <v>41</v>
      </c>
      <c r="E4719" s="2" t="s">
        <v>48</v>
      </c>
      <c r="F4719" s="2" t="s">
        <v>36</v>
      </c>
      <c r="G4719" s="2" t="s">
        <v>8482</v>
      </c>
      <c r="I4719" s="2">
        <v>1099</v>
      </c>
      <c r="J4719" s="2" t="s">
        <v>1986</v>
      </c>
      <c r="K4719" s="2" t="s">
        <v>45</v>
      </c>
      <c r="L4719" s="2">
        <v>4.5</v>
      </c>
      <c r="M4719" s="2">
        <v>483</v>
      </c>
      <c r="P4719" t="str">
        <f t="shared" si="295"/>
        <v>60 %</v>
      </c>
      <c r="Q4719" s="12">
        <f t="shared" si="292"/>
        <v>0.6</v>
      </c>
      <c r="R4719" s="9">
        <f t="shared" si="293"/>
        <v>439.6</v>
      </c>
      <c r="S4719" s="9">
        <f>IF(R4719="",AVERAGEIF(Table1[Category],Table1[[#This Row],[Category]],Table2[orignal data]),Table2[[#This Row],[orignal data]])</f>
        <v>439.6</v>
      </c>
      <c r="T4719" t="str">
        <f t="shared" si="294"/>
        <v>UNIQUE</v>
      </c>
      <c r="U4719" t="str">
        <f>IF(ISBLANK(Table1[[#This Row],[SizeOption]]),"NOT AVAILABLE",Table1[[#This Row],[SizeOption]])</f>
        <v>XS, S, M, L, XL</v>
      </c>
      <c r="Y4719" t="str">
        <f>IF(Table2[[#This Row],[Column1]]&gt;50%,"HIGH DISCOUNT","LOW DISCOUNT")</f>
        <v>HIGH DISCOUNT</v>
      </c>
    </row>
    <row r="4720" spans="1:25" x14ac:dyDescent="0.25">
      <c r="A4720" s="1" t="s">
        <v>9625</v>
      </c>
      <c r="B4720" s="1">
        <v>9340569</v>
      </c>
      <c r="C4720" s="1" t="s">
        <v>676</v>
      </c>
      <c r="D4720" s="1" t="s">
        <v>41</v>
      </c>
      <c r="E4720" s="1" t="s">
        <v>48</v>
      </c>
      <c r="F4720" s="1" t="s">
        <v>36</v>
      </c>
      <c r="G4720" s="1" t="s">
        <v>2417</v>
      </c>
      <c r="I4720" s="1">
        <v>1998</v>
      </c>
      <c r="J4720" s="1" t="s">
        <v>84</v>
      </c>
      <c r="K4720" s="1" t="s">
        <v>26</v>
      </c>
      <c r="L4720" s="1">
        <v>3.6</v>
      </c>
      <c r="M4720" s="1">
        <v>483</v>
      </c>
      <c r="P4720" t="str">
        <f t="shared" si="295"/>
        <v>50%</v>
      </c>
      <c r="Q4720" s="12">
        <f t="shared" si="292"/>
        <v>0.5</v>
      </c>
      <c r="R4720" s="9">
        <f t="shared" si="293"/>
        <v>999</v>
      </c>
      <c r="S4720" s="9">
        <f>IF(R4720="",AVERAGEIF(Table1[Category],Table1[[#This Row],[Category]],Table2[orignal data]),Table2[[#This Row],[orignal data]])</f>
        <v>999</v>
      </c>
      <c r="T4720" t="str">
        <f t="shared" si="294"/>
        <v>UNIQUE</v>
      </c>
      <c r="U4720" t="str">
        <f>IF(ISBLANK(Table1[[#This Row],[SizeOption]]),"NOT AVAILABLE",Table1[[#This Row],[SizeOption]])</f>
        <v>S, M, L, XL</v>
      </c>
      <c r="Y4720" t="str">
        <f>IF(Table2[[#This Row],[Column1]]&gt;50%,"HIGH DISCOUNT","LOW DISCOUNT")</f>
        <v>LOW DISCOUNT</v>
      </c>
    </row>
    <row r="4721" spans="1:25" x14ac:dyDescent="0.25">
      <c r="A4721" s="2" t="s">
        <v>9626</v>
      </c>
      <c r="B4721" s="2">
        <v>8905311</v>
      </c>
      <c r="C4721" s="2" t="s">
        <v>67</v>
      </c>
      <c r="D4721" s="2" t="s">
        <v>41</v>
      </c>
      <c r="E4721" s="2" t="s">
        <v>23</v>
      </c>
      <c r="F4721" s="2" t="s">
        <v>36</v>
      </c>
      <c r="G4721" s="2" t="s">
        <v>9627</v>
      </c>
      <c r="I4721" s="2">
        <v>2099</v>
      </c>
      <c r="J4721" s="2" t="s">
        <v>150</v>
      </c>
      <c r="K4721" s="2" t="s">
        <v>45</v>
      </c>
      <c r="L4721" s="2">
        <v>4.3</v>
      </c>
      <c r="M4721" s="2">
        <v>483</v>
      </c>
      <c r="P4721" t="str">
        <f t="shared" si="295"/>
        <v>65%</v>
      </c>
      <c r="Q4721" s="12">
        <f t="shared" si="292"/>
        <v>0.65</v>
      </c>
      <c r="R4721" s="9">
        <f t="shared" si="293"/>
        <v>734.64999999999986</v>
      </c>
      <c r="S4721" s="9">
        <f>IF(R4721="",AVERAGEIF(Table1[Category],Table1[[#This Row],[Category]],Table2[orignal data]),Table2[[#This Row],[orignal data]])</f>
        <v>734.64999999999986</v>
      </c>
      <c r="T4721" t="str">
        <f t="shared" si="294"/>
        <v>UNIQUE</v>
      </c>
      <c r="U4721" t="str">
        <f>IF(ISBLANK(Table1[[#This Row],[SizeOption]]),"NOT AVAILABLE",Table1[[#This Row],[SizeOption]])</f>
        <v>XS, S, M, L, XL</v>
      </c>
      <c r="Y4721" t="str">
        <f>IF(Table2[[#This Row],[Column1]]&gt;50%,"HIGH DISCOUNT","LOW DISCOUNT")</f>
        <v>HIGH DISCOUNT</v>
      </c>
    </row>
    <row r="4722" spans="1:25" x14ac:dyDescent="0.25">
      <c r="A4722" s="1" t="s">
        <v>9628</v>
      </c>
      <c r="B4722" s="1">
        <v>12094938</v>
      </c>
      <c r="C4722" s="1" t="s">
        <v>9629</v>
      </c>
      <c r="D4722" s="1" t="s">
        <v>41</v>
      </c>
      <c r="E4722" s="1" t="s">
        <v>148</v>
      </c>
      <c r="F4722" s="1" t="s">
        <v>36</v>
      </c>
      <c r="G4722" s="1" t="s">
        <v>9630</v>
      </c>
      <c r="I4722" s="1">
        <v>3398</v>
      </c>
      <c r="J4722" s="1" t="s">
        <v>84</v>
      </c>
      <c r="K4722" s="1" t="s">
        <v>100</v>
      </c>
      <c r="L4722" s="1">
        <v>4.4000000000000004</v>
      </c>
      <c r="M4722" s="1">
        <v>483</v>
      </c>
      <c r="P4722" t="str">
        <f t="shared" si="295"/>
        <v>50%</v>
      </c>
      <c r="Q4722" s="12">
        <f t="shared" si="292"/>
        <v>0.5</v>
      </c>
      <c r="R4722" s="9">
        <f t="shared" si="293"/>
        <v>1699</v>
      </c>
      <c r="S4722" s="9">
        <f>IF(R4722="",AVERAGEIF(Table1[Category],Table1[[#This Row],[Category]],Table2[orignal data]),Table2[[#This Row],[orignal data]])</f>
        <v>1699</v>
      </c>
      <c r="T4722" t="str">
        <f t="shared" si="294"/>
        <v>UNIQUE</v>
      </c>
      <c r="U4722" t="str">
        <f>IF(ISBLANK(Table1[[#This Row],[SizeOption]]),"NOT AVAILABLE",Table1[[#This Row],[SizeOption]])</f>
        <v>XS, S, M, L, XL, XXL, 3XL</v>
      </c>
      <c r="Y4722" t="str">
        <f>IF(Table2[[#This Row],[Column1]]&gt;50%,"HIGH DISCOUNT","LOW DISCOUNT")</f>
        <v>LOW DISCOUNT</v>
      </c>
    </row>
    <row r="4723" spans="1:25" x14ac:dyDescent="0.25">
      <c r="A4723" s="2" t="s">
        <v>9631</v>
      </c>
      <c r="B4723" s="2">
        <v>11296048</v>
      </c>
      <c r="C4723" s="2" t="s">
        <v>14</v>
      </c>
      <c r="D4723" s="2" t="s">
        <v>41</v>
      </c>
      <c r="E4723" s="2" t="s">
        <v>42</v>
      </c>
      <c r="F4723" s="2" t="s">
        <v>36</v>
      </c>
      <c r="G4723" s="2" t="s">
        <v>9632</v>
      </c>
      <c r="I4723" s="2">
        <v>799</v>
      </c>
      <c r="J4723" s="2" t="s">
        <v>25</v>
      </c>
      <c r="K4723" s="2" t="s">
        <v>45</v>
      </c>
      <c r="L4723" s="2">
        <v>4.0999999999999996</v>
      </c>
      <c r="M4723" s="2">
        <v>483</v>
      </c>
      <c r="P4723" t="str">
        <f t="shared" si="295"/>
        <v>55%</v>
      </c>
      <c r="Q4723" s="12">
        <f t="shared" si="292"/>
        <v>0.55000000000000004</v>
      </c>
      <c r="R4723" s="9">
        <f t="shared" si="293"/>
        <v>359.54999999999995</v>
      </c>
      <c r="S4723" s="9">
        <f>IF(R4723="",AVERAGEIF(Table1[Category],Table1[[#This Row],[Category]],Table2[orignal data]),Table2[[#This Row],[orignal data]])</f>
        <v>359.54999999999995</v>
      </c>
      <c r="T4723" t="str">
        <f t="shared" si="294"/>
        <v>UNIQUE</v>
      </c>
      <c r="U4723" t="str">
        <f>IF(ISBLANK(Table1[[#This Row],[SizeOption]]),"NOT AVAILABLE",Table1[[#This Row],[SizeOption]])</f>
        <v>XS, S, M, L, XL</v>
      </c>
      <c r="Y4723" t="str">
        <f>IF(Table2[[#This Row],[Column1]]&gt;50%,"HIGH DISCOUNT","LOW DISCOUNT")</f>
        <v>HIGH DISCOUNT</v>
      </c>
    </row>
    <row r="4724" spans="1:25" x14ac:dyDescent="0.25">
      <c r="A4724" s="1" t="s">
        <v>9633</v>
      </c>
      <c r="B4724" s="1">
        <v>13292114</v>
      </c>
      <c r="C4724" s="1" t="s">
        <v>841</v>
      </c>
      <c r="D4724" s="1" t="s">
        <v>15</v>
      </c>
      <c r="E4724" s="1" t="s">
        <v>16</v>
      </c>
      <c r="F4724" s="1" t="s">
        <v>17</v>
      </c>
      <c r="G4724" s="1" t="s">
        <v>9634</v>
      </c>
      <c r="H4724">
        <v>539</v>
      </c>
      <c r="I4724" s="1">
        <v>1798</v>
      </c>
      <c r="J4724" s="1" t="s">
        <v>79</v>
      </c>
      <c r="K4724" s="1" t="s">
        <v>20</v>
      </c>
      <c r="L4724" s="1">
        <v>3.9</v>
      </c>
      <c r="M4724" s="1">
        <v>482</v>
      </c>
      <c r="P4724" t="str">
        <f t="shared" si="295"/>
        <v>70%</v>
      </c>
      <c r="Q4724" s="12">
        <f t="shared" si="292"/>
        <v>0.7</v>
      </c>
      <c r="R4724" s="9">
        <f t="shared" si="293"/>
        <v>539.40000000000009</v>
      </c>
      <c r="S4724" s="9">
        <f>IF(R4724="",AVERAGEIF(Table1[Category],Table1[[#This Row],[Category]],Table2[orignal data]),Table2[[#This Row],[orignal data]])</f>
        <v>539.40000000000009</v>
      </c>
      <c r="T4724" t="str">
        <f t="shared" si="294"/>
        <v>UNIQUE</v>
      </c>
      <c r="U4724" t="str">
        <f>IF(ISBLANK(Table1[[#This Row],[SizeOption]]),"NOT AVAILABLE",Table1[[#This Row],[SizeOption]])</f>
        <v>28, 30, 32, 34, 36</v>
      </c>
      <c r="Y4724" t="str">
        <f>IF(Table2[[#This Row],[Column1]]&gt;50%,"HIGH DISCOUNT","LOW DISCOUNT")</f>
        <v>HIGH DISCOUNT</v>
      </c>
    </row>
    <row r="4725" spans="1:25" x14ac:dyDescent="0.25">
      <c r="A4725" s="2" t="s">
        <v>9635</v>
      </c>
      <c r="B4725" s="2">
        <v>13249794</v>
      </c>
      <c r="C4725" s="2" t="s">
        <v>14</v>
      </c>
      <c r="D4725" s="2" t="s">
        <v>15</v>
      </c>
      <c r="E4725" s="2" t="s">
        <v>16</v>
      </c>
      <c r="F4725" s="2" t="s">
        <v>17</v>
      </c>
      <c r="G4725" s="2" t="s">
        <v>9636</v>
      </c>
      <c r="H4725">
        <v>679</v>
      </c>
      <c r="I4725" s="2">
        <v>1699</v>
      </c>
      <c r="J4725" s="2" t="s">
        <v>55</v>
      </c>
      <c r="K4725" s="2" t="s">
        <v>20</v>
      </c>
      <c r="L4725" s="2">
        <v>3.9</v>
      </c>
      <c r="M4725" s="2">
        <v>482</v>
      </c>
      <c r="P4725" t="str">
        <f t="shared" si="295"/>
        <v>60%</v>
      </c>
      <c r="Q4725" s="12">
        <f t="shared" si="292"/>
        <v>0.6</v>
      </c>
      <c r="R4725" s="9">
        <f t="shared" si="293"/>
        <v>679.6</v>
      </c>
      <c r="S4725" s="9">
        <f>IF(R4725="",AVERAGEIF(Table1[Category],Table1[[#This Row],[Category]],Table2[orignal data]),Table2[[#This Row],[orignal data]])</f>
        <v>679.6</v>
      </c>
      <c r="T4725" t="str">
        <f t="shared" si="294"/>
        <v>UNIQUE</v>
      </c>
      <c r="U4725" t="str">
        <f>IF(ISBLANK(Table1[[#This Row],[SizeOption]]),"NOT AVAILABLE",Table1[[#This Row],[SizeOption]])</f>
        <v>28, 30, 32, 34, 36</v>
      </c>
      <c r="Y4725" t="str">
        <f>IF(Table2[[#This Row],[Column1]]&gt;50%,"HIGH DISCOUNT","LOW DISCOUNT")</f>
        <v>HIGH DISCOUNT</v>
      </c>
    </row>
    <row r="4726" spans="1:25" x14ac:dyDescent="0.25">
      <c r="A4726" s="1" t="s">
        <v>9637</v>
      </c>
      <c r="B4726" s="1">
        <v>10064521</v>
      </c>
      <c r="C4726" s="1" t="s">
        <v>14</v>
      </c>
      <c r="D4726" s="1" t="s">
        <v>15</v>
      </c>
      <c r="E4726" s="1" t="s">
        <v>16</v>
      </c>
      <c r="F4726" s="1" t="s">
        <v>17</v>
      </c>
      <c r="G4726" s="1" t="s">
        <v>2670</v>
      </c>
      <c r="H4726">
        <v>679</v>
      </c>
      <c r="I4726" s="1">
        <v>1699</v>
      </c>
      <c r="J4726" s="1" t="s">
        <v>55</v>
      </c>
      <c r="K4726" s="1" t="s">
        <v>20</v>
      </c>
      <c r="L4726" s="1">
        <v>3.9</v>
      </c>
      <c r="M4726" s="1">
        <v>482</v>
      </c>
      <c r="P4726" t="str">
        <f t="shared" si="295"/>
        <v>60%</v>
      </c>
      <c r="Q4726" s="12">
        <f t="shared" si="292"/>
        <v>0.6</v>
      </c>
      <c r="R4726" s="9">
        <f t="shared" si="293"/>
        <v>679.6</v>
      </c>
      <c r="S4726" s="9">
        <f>IF(R4726="",AVERAGEIF(Table1[Category],Table1[[#This Row],[Category]],Table2[orignal data]),Table2[[#This Row],[orignal data]])</f>
        <v>679.6</v>
      </c>
      <c r="T4726" t="str">
        <f t="shared" si="294"/>
        <v>UNIQUE</v>
      </c>
      <c r="U4726" t="str">
        <f>IF(ISBLANK(Table1[[#This Row],[SizeOption]]),"NOT AVAILABLE",Table1[[#This Row],[SizeOption]])</f>
        <v>28, 30, 32, 34, 36</v>
      </c>
      <c r="Y4726" t="str">
        <f>IF(Table2[[#This Row],[Column1]]&gt;50%,"HIGH DISCOUNT","LOW DISCOUNT")</f>
        <v>HIGH DISCOUNT</v>
      </c>
    </row>
    <row r="4727" spans="1:25" x14ac:dyDescent="0.25">
      <c r="A4727" s="2" t="s">
        <v>9638</v>
      </c>
      <c r="B4727" s="2">
        <v>10092067</v>
      </c>
      <c r="C4727" s="2" t="s">
        <v>14</v>
      </c>
      <c r="D4727" s="2" t="s">
        <v>15</v>
      </c>
      <c r="E4727" s="2" t="s">
        <v>16</v>
      </c>
      <c r="F4727" s="2" t="s">
        <v>17</v>
      </c>
      <c r="G4727" s="2" t="s">
        <v>3690</v>
      </c>
      <c r="H4727">
        <v>679</v>
      </c>
      <c r="I4727" s="2">
        <v>1699</v>
      </c>
      <c r="J4727" s="2" t="s">
        <v>55</v>
      </c>
      <c r="K4727" s="2" t="s">
        <v>20</v>
      </c>
      <c r="L4727" s="2">
        <v>3.7</v>
      </c>
      <c r="M4727" s="2">
        <v>482</v>
      </c>
      <c r="P4727" t="str">
        <f t="shared" si="295"/>
        <v>60%</v>
      </c>
      <c r="Q4727" s="12">
        <f t="shared" si="292"/>
        <v>0.6</v>
      </c>
      <c r="R4727" s="9">
        <f t="shared" si="293"/>
        <v>679.6</v>
      </c>
      <c r="S4727" s="9">
        <f>IF(R4727="",AVERAGEIF(Table1[Category],Table1[[#This Row],[Category]],Table2[orignal data]),Table2[[#This Row],[orignal data]])</f>
        <v>679.6</v>
      </c>
      <c r="T4727" t="str">
        <f t="shared" si="294"/>
        <v>UNIQUE</v>
      </c>
      <c r="U4727" t="str">
        <f>IF(ISBLANK(Table1[[#This Row],[SizeOption]]),"NOT AVAILABLE",Table1[[#This Row],[SizeOption]])</f>
        <v>28, 30, 32, 34, 36</v>
      </c>
      <c r="Y4727" t="str">
        <f>IF(Table2[[#This Row],[Column1]]&gt;50%,"HIGH DISCOUNT","LOW DISCOUNT")</f>
        <v>HIGH DISCOUNT</v>
      </c>
    </row>
    <row r="4728" spans="1:25" x14ac:dyDescent="0.25">
      <c r="A4728" s="1" t="s">
        <v>9639</v>
      </c>
      <c r="B4728" s="1">
        <v>10513044</v>
      </c>
      <c r="C4728" s="1" t="s">
        <v>1091</v>
      </c>
      <c r="D4728" s="1" t="s">
        <v>197</v>
      </c>
      <c r="E4728" s="1" t="s">
        <v>350</v>
      </c>
      <c r="F4728" s="1" t="s">
        <v>17</v>
      </c>
      <c r="G4728" s="1" t="s">
        <v>9640</v>
      </c>
      <c r="H4728">
        <v>315</v>
      </c>
      <c r="I4728" s="1">
        <v>324</v>
      </c>
      <c r="J4728" s="1" t="s">
        <v>9641</v>
      </c>
      <c r="K4728" s="1" t="s">
        <v>39</v>
      </c>
      <c r="L4728" s="1">
        <v>4.4000000000000004</v>
      </c>
      <c r="M4728" s="1">
        <v>482</v>
      </c>
      <c r="P4728" t="str">
        <f t="shared" si="295"/>
        <v>9</v>
      </c>
      <c r="Q4728" s="12">
        <f t="shared" si="292"/>
        <v>2.7777777777777776E-2</v>
      </c>
      <c r="R4728" s="9">
        <f t="shared" si="293"/>
        <v>315</v>
      </c>
      <c r="S4728" s="9">
        <f>IF(R4728="",AVERAGEIF(Table1[Category],Table1[[#This Row],[Category]],Table2[orignal data]),Table2[[#This Row],[orignal data]])</f>
        <v>315</v>
      </c>
      <c r="T4728" t="str">
        <f t="shared" si="294"/>
        <v>UNIQUE</v>
      </c>
      <c r="U4728" t="str">
        <f>IF(ISBLANK(Table1[[#This Row],[SizeOption]]),"NOT AVAILABLE",Table1[[#This Row],[SizeOption]])</f>
        <v>S, M, L, XL, XXL</v>
      </c>
      <c r="Y4728" t="str">
        <f>IF(Table2[[#This Row],[Column1]]&gt;50%,"HIGH DISCOUNT","LOW DISCOUNT")</f>
        <v>LOW DISCOUNT</v>
      </c>
    </row>
    <row r="4729" spans="1:25" x14ac:dyDescent="0.25">
      <c r="A4729" s="2" t="s">
        <v>9642</v>
      </c>
      <c r="B4729" s="2">
        <v>10144529</v>
      </c>
      <c r="C4729" s="2" t="s">
        <v>52</v>
      </c>
      <c r="D4729" s="2" t="s">
        <v>28</v>
      </c>
      <c r="E4729" s="2" t="s">
        <v>42</v>
      </c>
      <c r="F4729" s="2" t="s">
        <v>17</v>
      </c>
      <c r="G4729" s="2" t="s">
        <v>9643</v>
      </c>
      <c r="H4729">
        <v>571</v>
      </c>
      <c r="I4729" s="2">
        <v>1099</v>
      </c>
      <c r="J4729" s="2" t="s">
        <v>602</v>
      </c>
      <c r="K4729" s="2" t="s">
        <v>26</v>
      </c>
      <c r="L4729" s="2">
        <v>4.2</v>
      </c>
      <c r="M4729" s="2">
        <v>482</v>
      </c>
      <c r="P4729" t="str">
        <f t="shared" si="295"/>
        <v>48%</v>
      </c>
      <c r="Q4729" s="12">
        <f t="shared" si="292"/>
        <v>0.48</v>
      </c>
      <c r="R4729" s="9">
        <f t="shared" si="293"/>
        <v>571.48</v>
      </c>
      <c r="S4729" s="9">
        <f>IF(R4729="",AVERAGEIF(Table1[Category],Table1[[#This Row],[Category]],Table2[orignal data]),Table2[[#This Row],[orignal data]])</f>
        <v>571.48</v>
      </c>
      <c r="T4729" t="str">
        <f t="shared" si="294"/>
        <v>UNIQUE</v>
      </c>
      <c r="U4729" t="str">
        <f>IF(ISBLANK(Table1[[#This Row],[SizeOption]]),"NOT AVAILABLE",Table1[[#This Row],[SizeOption]])</f>
        <v>S, M, L, XL</v>
      </c>
      <c r="Y4729" t="str">
        <f>IF(Table2[[#This Row],[Column1]]&gt;50%,"HIGH DISCOUNT","LOW DISCOUNT")</f>
        <v>LOW DISCOUNT</v>
      </c>
    </row>
    <row r="4730" spans="1:25" x14ac:dyDescent="0.25">
      <c r="A4730" s="1" t="s">
        <v>9644</v>
      </c>
      <c r="B4730" s="1">
        <v>13840392</v>
      </c>
      <c r="C4730" s="1" t="s">
        <v>22</v>
      </c>
      <c r="D4730" s="1" t="s">
        <v>28</v>
      </c>
      <c r="E4730" s="1" t="s">
        <v>29</v>
      </c>
      <c r="F4730" s="1" t="s">
        <v>17</v>
      </c>
      <c r="G4730" s="1" t="s">
        <v>9645</v>
      </c>
      <c r="H4730">
        <v>593</v>
      </c>
      <c r="I4730" s="1">
        <v>1349</v>
      </c>
      <c r="J4730" s="1" t="s">
        <v>1204</v>
      </c>
      <c r="K4730" s="1" t="s">
        <v>90</v>
      </c>
      <c r="L4730" s="1">
        <v>4</v>
      </c>
      <c r="M4730" s="1">
        <v>482</v>
      </c>
      <c r="P4730" t="str">
        <f t="shared" si="295"/>
        <v>56%</v>
      </c>
      <c r="Q4730" s="12">
        <f t="shared" si="292"/>
        <v>0.56000000000000005</v>
      </c>
      <c r="R4730" s="9">
        <f t="shared" si="293"/>
        <v>593.55999999999995</v>
      </c>
      <c r="S4730" s="9">
        <f>IF(R4730="",AVERAGEIF(Table1[Category],Table1[[#This Row],[Category]],Table2[orignal data]),Table2[[#This Row],[orignal data]])</f>
        <v>593.55999999999995</v>
      </c>
      <c r="T4730" t="str">
        <f t="shared" si="294"/>
        <v>UNIQUE</v>
      </c>
      <c r="U4730" t="str">
        <f>IF(ISBLANK(Table1[[#This Row],[SizeOption]]),"NOT AVAILABLE",Table1[[#This Row],[SizeOption]])</f>
        <v>39, 40, 42, 44</v>
      </c>
      <c r="Y4730" t="str">
        <f>IF(Table2[[#This Row],[Column1]]&gt;50%,"HIGH DISCOUNT","LOW DISCOUNT")</f>
        <v>HIGH DISCOUNT</v>
      </c>
    </row>
    <row r="4731" spans="1:25" x14ac:dyDescent="0.25">
      <c r="A4731" s="2" t="s">
        <v>9646</v>
      </c>
      <c r="B4731" s="2">
        <v>10986232</v>
      </c>
      <c r="C4731" s="2" t="s">
        <v>924</v>
      </c>
      <c r="D4731" s="2" t="s">
        <v>76</v>
      </c>
      <c r="E4731" s="2" t="s">
        <v>320</v>
      </c>
      <c r="F4731" s="2" t="s">
        <v>36</v>
      </c>
      <c r="G4731" s="2" t="s">
        <v>9647</v>
      </c>
      <c r="H4731">
        <v>924</v>
      </c>
      <c r="I4731" s="2">
        <v>3699</v>
      </c>
      <c r="J4731" s="2" t="s">
        <v>109</v>
      </c>
      <c r="K4731" s="2" t="s">
        <v>164</v>
      </c>
      <c r="L4731" s="2">
        <v>4</v>
      </c>
      <c r="M4731" s="2">
        <v>482</v>
      </c>
      <c r="P4731" t="str">
        <f t="shared" si="295"/>
        <v>75%</v>
      </c>
      <c r="Q4731" s="12">
        <f t="shared" si="292"/>
        <v>0.75</v>
      </c>
      <c r="R4731" s="9">
        <f t="shared" si="293"/>
        <v>924.75</v>
      </c>
      <c r="S4731" s="9">
        <f>IF(R4731="",AVERAGEIF(Table1[Category],Table1[[#This Row],[Category]],Table2[orignal data]),Table2[[#This Row],[orignal data]])</f>
        <v>924.75</v>
      </c>
      <c r="T4731" t="str">
        <f t="shared" si="294"/>
        <v>UNIQUE</v>
      </c>
      <c r="U4731" t="str">
        <f>IF(ISBLANK(Table1[[#This Row],[SizeOption]]),"NOT AVAILABLE",Table1[[#This Row],[SizeOption]])</f>
        <v>Onesize</v>
      </c>
      <c r="Y4731" t="str">
        <f>IF(Table2[[#This Row],[Column1]]&gt;50%,"HIGH DISCOUNT","LOW DISCOUNT")</f>
        <v>HIGH DISCOUNT</v>
      </c>
    </row>
    <row r="4732" spans="1:25" x14ac:dyDescent="0.25">
      <c r="A4732" s="1" t="s">
        <v>9648</v>
      </c>
      <c r="B4732" s="1">
        <v>14224108</v>
      </c>
      <c r="C4732" s="1" t="s">
        <v>113</v>
      </c>
      <c r="D4732" s="1" t="s">
        <v>76</v>
      </c>
      <c r="E4732" s="1" t="s">
        <v>77</v>
      </c>
      <c r="F4732" s="1" t="s">
        <v>36</v>
      </c>
      <c r="G4732" s="1" t="s">
        <v>9649</v>
      </c>
      <c r="H4732">
        <v>2879</v>
      </c>
      <c r="I4732" s="1">
        <v>4799</v>
      </c>
      <c r="J4732" s="1" t="s">
        <v>50</v>
      </c>
      <c r="K4732" s="1" t="s">
        <v>115</v>
      </c>
      <c r="L4732" s="1">
        <v>4.0999999999999996</v>
      </c>
      <c r="M4732" s="1">
        <v>482</v>
      </c>
      <c r="P4732" t="str">
        <f t="shared" si="295"/>
        <v>40%</v>
      </c>
      <c r="Q4732" s="12">
        <f t="shared" si="292"/>
        <v>0.4</v>
      </c>
      <c r="R4732" s="9">
        <f t="shared" si="293"/>
        <v>2879.3999999999996</v>
      </c>
      <c r="S4732" s="9">
        <f>IF(R4732="",AVERAGEIF(Table1[Category],Table1[[#This Row],[Category]],Table2[orignal data]),Table2[[#This Row],[orignal data]])</f>
        <v>2879.3999999999996</v>
      </c>
      <c r="T4732" t="str">
        <f t="shared" si="294"/>
        <v>UNIQUE</v>
      </c>
      <c r="U4732" t="str">
        <f>IF(ISBLANK(Table1[[#This Row],[SizeOption]]),"NOT AVAILABLE",Table1[[#This Row],[SizeOption]])</f>
        <v>XS, S, M, L, XL, XXL</v>
      </c>
      <c r="Y4732" t="str">
        <f>IF(Table2[[#This Row],[Column1]]&gt;50%,"HIGH DISCOUNT","LOW DISCOUNT")</f>
        <v>LOW DISCOUNT</v>
      </c>
    </row>
    <row r="4733" spans="1:25" x14ac:dyDescent="0.25">
      <c r="A4733" s="2" t="s">
        <v>9650</v>
      </c>
      <c r="B4733" s="2">
        <v>1910056</v>
      </c>
      <c r="C4733" s="2" t="s">
        <v>9651</v>
      </c>
      <c r="D4733" s="2" t="s">
        <v>34</v>
      </c>
      <c r="E4733" s="2" t="s">
        <v>118</v>
      </c>
      <c r="F4733" s="2" t="s">
        <v>36</v>
      </c>
      <c r="G4733" s="2" t="s">
        <v>9652</v>
      </c>
      <c r="I4733" s="2">
        <v>849</v>
      </c>
      <c r="J4733" s="2"/>
      <c r="K4733" s="2" t="s">
        <v>2429</v>
      </c>
      <c r="L4733" s="2">
        <v>3.8</v>
      </c>
      <c r="M4733" s="2">
        <v>482</v>
      </c>
      <c r="P4733" t="str">
        <f t="shared" si="295"/>
        <v/>
      </c>
      <c r="Q4733" s="12" t="str">
        <f t="shared" si="292"/>
        <v/>
      </c>
      <c r="R4733" s="9" t="str">
        <f t="shared" si="293"/>
        <v/>
      </c>
      <c r="S4733" s="9">
        <f>IF(R4733="",AVERAGEIF(Table1[Category],Table1[[#This Row],[Category]],Table2[orignal data]),Table2[[#This Row],[orignal data]])</f>
        <v>608.88518518518481</v>
      </c>
      <c r="T4733" t="str">
        <f t="shared" si="294"/>
        <v>UNIQUE</v>
      </c>
      <c r="U4733" t="str">
        <f>IF(ISBLANK(Table1[[#This Row],[SizeOption]]),"NOT AVAILABLE",Table1[[#This Row],[SizeOption]])</f>
        <v>32B, 32C, 32D, 34B, 34C, 34D, 36B, 36C, 36D, 38B, 38C, 40B, 40C</v>
      </c>
      <c r="Y4733" t="str">
        <f>IF(Table2[[#This Row],[Column1]]&gt;50%,"HIGH DISCOUNT","LOW DISCOUNT")</f>
        <v>HIGH DISCOUNT</v>
      </c>
    </row>
    <row r="4734" spans="1:25" x14ac:dyDescent="0.25">
      <c r="A4734" s="1" t="s">
        <v>9653</v>
      </c>
      <c r="B4734" s="1">
        <v>11005624</v>
      </c>
      <c r="C4734" s="1" t="s">
        <v>107</v>
      </c>
      <c r="D4734" s="1" t="s">
        <v>41</v>
      </c>
      <c r="E4734" s="1" t="s">
        <v>48</v>
      </c>
      <c r="F4734" s="1" t="s">
        <v>36</v>
      </c>
      <c r="G4734" s="1" t="s">
        <v>9654</v>
      </c>
      <c r="I4734" s="1">
        <v>1649</v>
      </c>
      <c r="J4734" s="1" t="s">
        <v>50</v>
      </c>
      <c r="K4734" s="1" t="s">
        <v>45</v>
      </c>
      <c r="L4734" s="1">
        <v>4.2</v>
      </c>
      <c r="M4734" s="1">
        <v>482</v>
      </c>
      <c r="P4734" t="str">
        <f t="shared" si="295"/>
        <v>40%</v>
      </c>
      <c r="Q4734" s="12">
        <f t="shared" si="292"/>
        <v>0.4</v>
      </c>
      <c r="R4734" s="9">
        <f t="shared" si="293"/>
        <v>989.4</v>
      </c>
      <c r="S4734" s="9">
        <f>IF(R4734="",AVERAGEIF(Table1[Category],Table1[[#This Row],[Category]],Table2[orignal data]),Table2[[#This Row],[orignal data]])</f>
        <v>989.4</v>
      </c>
      <c r="T4734" t="str">
        <f t="shared" si="294"/>
        <v>UNIQUE</v>
      </c>
      <c r="U4734" t="str">
        <f>IF(ISBLANK(Table1[[#This Row],[SizeOption]]),"NOT AVAILABLE",Table1[[#This Row],[SizeOption]])</f>
        <v>XS, S, M, L, XL</v>
      </c>
      <c r="Y4734" t="str">
        <f>IF(Table2[[#This Row],[Column1]]&gt;50%,"HIGH DISCOUNT","LOW DISCOUNT")</f>
        <v>LOW DISCOUNT</v>
      </c>
    </row>
    <row r="4735" spans="1:25" x14ac:dyDescent="0.25">
      <c r="A4735" s="2" t="s">
        <v>9655</v>
      </c>
      <c r="B4735" s="2">
        <v>2308193</v>
      </c>
      <c r="C4735" s="2" t="s">
        <v>47</v>
      </c>
      <c r="D4735" s="2" t="s">
        <v>41</v>
      </c>
      <c r="E4735" s="2" t="s">
        <v>148</v>
      </c>
      <c r="F4735" s="2" t="s">
        <v>36</v>
      </c>
      <c r="G4735" s="2" t="s">
        <v>9656</v>
      </c>
      <c r="I4735" s="2">
        <v>1699</v>
      </c>
      <c r="J4735" s="2" t="s">
        <v>44</v>
      </c>
      <c r="K4735" s="2" t="s">
        <v>45</v>
      </c>
      <c r="L4735" s="2">
        <v>4.4000000000000004</v>
      </c>
      <c r="M4735" s="2">
        <v>482</v>
      </c>
      <c r="P4735" t="str">
        <f t="shared" si="295"/>
        <v>35%</v>
      </c>
      <c r="Q4735" s="12">
        <f t="shared" si="292"/>
        <v>0.35</v>
      </c>
      <c r="R4735" s="9">
        <f t="shared" si="293"/>
        <v>1104.3499999999999</v>
      </c>
      <c r="S4735" s="9">
        <f>IF(R4735="",AVERAGEIF(Table1[Category],Table1[[#This Row],[Category]],Table2[orignal data]),Table2[[#This Row],[orignal data]])</f>
        <v>1104.3499999999999</v>
      </c>
      <c r="T4735" t="str">
        <f t="shared" si="294"/>
        <v>UNIQUE</v>
      </c>
      <c r="U4735" t="str">
        <f>IF(ISBLANK(Table1[[#This Row],[SizeOption]]),"NOT AVAILABLE",Table1[[#This Row],[SizeOption]])</f>
        <v>XS, S, M, L, XL</v>
      </c>
      <c r="Y4735" t="str">
        <f>IF(Table2[[#This Row],[Column1]]&gt;50%,"HIGH DISCOUNT","LOW DISCOUNT")</f>
        <v>LOW DISCOUNT</v>
      </c>
    </row>
    <row r="4736" spans="1:25" x14ac:dyDescent="0.25">
      <c r="A4736" s="1" t="s">
        <v>9657</v>
      </c>
      <c r="B4736" s="1">
        <v>9338345</v>
      </c>
      <c r="C4736" s="1" t="s">
        <v>676</v>
      </c>
      <c r="D4736" s="1" t="s">
        <v>41</v>
      </c>
      <c r="E4736" s="1" t="s">
        <v>48</v>
      </c>
      <c r="F4736" s="1" t="s">
        <v>36</v>
      </c>
      <c r="G4736" s="1" t="s">
        <v>2543</v>
      </c>
      <c r="I4736" s="1">
        <v>1898</v>
      </c>
      <c r="J4736" s="1" t="s">
        <v>84</v>
      </c>
      <c r="K4736" s="1" t="s">
        <v>26</v>
      </c>
      <c r="L4736" s="1">
        <v>3.6</v>
      </c>
      <c r="M4736" s="1">
        <v>482</v>
      </c>
      <c r="P4736" t="str">
        <f t="shared" si="295"/>
        <v>50%</v>
      </c>
      <c r="Q4736" s="12">
        <f t="shared" si="292"/>
        <v>0.5</v>
      </c>
      <c r="R4736" s="9">
        <f t="shared" si="293"/>
        <v>949</v>
      </c>
      <c r="S4736" s="9">
        <f>IF(R4736="",AVERAGEIF(Table1[Category],Table1[[#This Row],[Category]],Table2[orignal data]),Table2[[#This Row],[orignal data]])</f>
        <v>949</v>
      </c>
      <c r="T4736" t="str">
        <f t="shared" si="294"/>
        <v>UNIQUE</v>
      </c>
      <c r="U4736" t="str">
        <f>IF(ISBLANK(Table1[[#This Row],[SizeOption]]),"NOT AVAILABLE",Table1[[#This Row],[SizeOption]])</f>
        <v>S, M, L, XL</v>
      </c>
      <c r="Y4736" t="str">
        <f>IF(Table2[[#This Row],[Column1]]&gt;50%,"HIGH DISCOUNT","LOW DISCOUNT")</f>
        <v>LOW DISCOUNT</v>
      </c>
    </row>
    <row r="4737" spans="1:25" x14ac:dyDescent="0.25">
      <c r="A4737" s="2" t="s">
        <v>9658</v>
      </c>
      <c r="B4737" s="2">
        <v>11537354</v>
      </c>
      <c r="C4737" s="2" t="s">
        <v>499</v>
      </c>
      <c r="D4737" s="2" t="s">
        <v>41</v>
      </c>
      <c r="E4737" s="2" t="s">
        <v>48</v>
      </c>
      <c r="F4737" s="2" t="s">
        <v>36</v>
      </c>
      <c r="G4737" s="2" t="s">
        <v>9659</v>
      </c>
      <c r="I4737" s="2">
        <v>1999</v>
      </c>
      <c r="J4737" s="2" t="s">
        <v>167</v>
      </c>
      <c r="K4737" s="2" t="s">
        <v>115</v>
      </c>
      <c r="L4737" s="2">
        <v>4.2</v>
      </c>
      <c r="M4737" s="2">
        <v>482</v>
      </c>
      <c r="P4737" t="str">
        <f t="shared" si="295"/>
        <v>49%</v>
      </c>
      <c r="Q4737" s="12">
        <f t="shared" si="292"/>
        <v>0.49</v>
      </c>
      <c r="R4737" s="9">
        <f t="shared" si="293"/>
        <v>1019.49</v>
      </c>
      <c r="S4737" s="9">
        <f>IF(R4737="",AVERAGEIF(Table1[Category],Table1[[#This Row],[Category]],Table2[orignal data]),Table2[[#This Row],[orignal data]])</f>
        <v>1019.49</v>
      </c>
      <c r="T4737" t="str">
        <f t="shared" si="294"/>
        <v>UNIQUE</v>
      </c>
      <c r="U4737" t="str">
        <f>IF(ISBLANK(Table1[[#This Row],[SizeOption]]),"NOT AVAILABLE",Table1[[#This Row],[SizeOption]])</f>
        <v>XS, S, M, L, XL, XXL</v>
      </c>
      <c r="Y4737" t="str">
        <f>IF(Table2[[#This Row],[Column1]]&gt;50%,"HIGH DISCOUNT","LOW DISCOUNT")</f>
        <v>LOW DISCOUNT</v>
      </c>
    </row>
    <row r="4738" spans="1:25" x14ac:dyDescent="0.25">
      <c r="A4738" s="1" t="s">
        <v>9660</v>
      </c>
      <c r="B4738" s="1">
        <v>12204780</v>
      </c>
      <c r="C4738" s="1" t="s">
        <v>47</v>
      </c>
      <c r="D4738" s="1" t="s">
        <v>41</v>
      </c>
      <c r="E4738" s="1" t="s">
        <v>42</v>
      </c>
      <c r="F4738" s="1" t="s">
        <v>36</v>
      </c>
      <c r="G4738" s="1" t="s">
        <v>9661</v>
      </c>
      <c r="I4738" s="1">
        <v>799</v>
      </c>
      <c r="J4738" s="1" t="s">
        <v>680</v>
      </c>
      <c r="K4738" s="1" t="s">
        <v>45</v>
      </c>
      <c r="L4738" s="1">
        <v>4.4000000000000004</v>
      </c>
      <c r="M4738" s="1">
        <v>482</v>
      </c>
      <c r="P4738" t="str">
        <f t="shared" si="295"/>
        <v>300</v>
      </c>
      <c r="Q4738" s="12">
        <f t="shared" ref="Q4738:Q4801" si="296">IF(P4738="","",IF(ISNUMBER(SEARCH("%",P4738)),P4738,P4738/I4738)*100%)</f>
        <v>0.37546933667083854</v>
      </c>
      <c r="R4738" s="9">
        <f t="shared" ref="R4738:R4801" si="297">IF(P4738="","",I4738-(I4738*Q4738))</f>
        <v>499</v>
      </c>
      <c r="S4738" s="9">
        <f>IF(R4738="",AVERAGEIF(Table1[Category],Table1[[#This Row],[Category]],Table2[orignal data]),Table2[[#This Row],[orignal data]])</f>
        <v>499</v>
      </c>
      <c r="T4738" t="str">
        <f t="shared" ref="T4738:T4801" si="298">IF(COUNTIF($B$2:$B$5000,B4738)&gt;1,"DUPLICATE","UNIQUE")</f>
        <v>UNIQUE</v>
      </c>
      <c r="U4738" t="str">
        <f>IF(ISBLANK(Table1[[#This Row],[SizeOption]]),"NOT AVAILABLE",Table1[[#This Row],[SizeOption]])</f>
        <v>XS, S, M, L, XL</v>
      </c>
      <c r="Y4738" t="str">
        <f>IF(Table2[[#This Row],[Column1]]&gt;50%,"HIGH DISCOUNT","LOW DISCOUNT")</f>
        <v>LOW DISCOUNT</v>
      </c>
    </row>
    <row r="4739" spans="1:25" x14ac:dyDescent="0.25">
      <c r="A4739" s="2" t="s">
        <v>9662</v>
      </c>
      <c r="B4739" s="2">
        <v>8342011</v>
      </c>
      <c r="C4739" s="2" t="s">
        <v>14</v>
      </c>
      <c r="D4739" s="2" t="s">
        <v>41</v>
      </c>
      <c r="E4739" s="2" t="s">
        <v>42</v>
      </c>
      <c r="F4739" s="2" t="s">
        <v>36</v>
      </c>
      <c r="G4739" s="2" t="s">
        <v>9663</v>
      </c>
      <c r="I4739" s="2">
        <v>799</v>
      </c>
      <c r="J4739" s="2" t="s">
        <v>25</v>
      </c>
      <c r="K4739" s="2" t="s">
        <v>45</v>
      </c>
      <c r="L4739" s="2">
        <v>4.2</v>
      </c>
      <c r="M4739" s="2">
        <v>482</v>
      </c>
      <c r="P4739" t="str">
        <f t="shared" ref="P4739:P4802" si="299">TRIM(SUBSTITUTE(SUBSTITUTE(SUBSTITUTE(SUBSTITUTE(J4739,"OFF",""),"Rs.",""),"Hurry*",""),",",""))</f>
        <v>55%</v>
      </c>
      <c r="Q4739" s="12">
        <f t="shared" si="296"/>
        <v>0.55000000000000004</v>
      </c>
      <c r="R4739" s="9">
        <f t="shared" si="297"/>
        <v>359.54999999999995</v>
      </c>
      <c r="S4739" s="9">
        <f>IF(R4739="",AVERAGEIF(Table1[Category],Table1[[#This Row],[Category]],Table2[orignal data]),Table2[[#This Row],[orignal data]])</f>
        <v>359.54999999999995</v>
      </c>
      <c r="T4739" t="str">
        <f t="shared" si="298"/>
        <v>UNIQUE</v>
      </c>
      <c r="U4739" t="str">
        <f>IF(ISBLANK(Table1[[#This Row],[SizeOption]]),"NOT AVAILABLE",Table1[[#This Row],[SizeOption]])</f>
        <v>XS, S, M, L, XL</v>
      </c>
      <c r="Y4739" t="str">
        <f>IF(Table2[[#This Row],[Column1]]&gt;50%,"HIGH DISCOUNT","LOW DISCOUNT")</f>
        <v>HIGH DISCOUNT</v>
      </c>
    </row>
    <row r="4740" spans="1:25" x14ac:dyDescent="0.25">
      <c r="A4740" s="1" t="s">
        <v>9664</v>
      </c>
      <c r="B4740" s="1">
        <v>11296162</v>
      </c>
      <c r="C4740" s="1" t="s">
        <v>14</v>
      </c>
      <c r="D4740" s="1" t="s">
        <v>41</v>
      </c>
      <c r="E4740" s="1" t="s">
        <v>42</v>
      </c>
      <c r="F4740" s="1" t="s">
        <v>36</v>
      </c>
      <c r="G4740" s="1" t="s">
        <v>250</v>
      </c>
      <c r="I4740" s="1">
        <v>899</v>
      </c>
      <c r="J4740" s="1" t="s">
        <v>577</v>
      </c>
      <c r="K4740" s="1" t="s">
        <v>45</v>
      </c>
      <c r="L4740" s="1">
        <v>4</v>
      </c>
      <c r="M4740" s="1">
        <v>482</v>
      </c>
      <c r="P4740" t="str">
        <f t="shared" si="299"/>
        <v>400</v>
      </c>
      <c r="Q4740" s="12">
        <f t="shared" si="296"/>
        <v>0.44493882091212456</v>
      </c>
      <c r="R4740" s="9">
        <f t="shared" si="297"/>
        <v>499</v>
      </c>
      <c r="S4740" s="9">
        <f>IF(R4740="",AVERAGEIF(Table1[Category],Table1[[#This Row],[Category]],Table2[orignal data]),Table2[[#This Row],[orignal data]])</f>
        <v>499</v>
      </c>
      <c r="T4740" t="str">
        <f t="shared" si="298"/>
        <v>UNIQUE</v>
      </c>
      <c r="U4740" t="str">
        <f>IF(ISBLANK(Table1[[#This Row],[SizeOption]]),"NOT AVAILABLE",Table1[[#This Row],[SizeOption]])</f>
        <v>XS, S, M, L, XL</v>
      </c>
      <c r="Y4740" t="str">
        <f>IF(Table2[[#This Row],[Column1]]&gt;50%,"HIGH DISCOUNT","LOW DISCOUNT")</f>
        <v>LOW DISCOUNT</v>
      </c>
    </row>
    <row r="4741" spans="1:25" x14ac:dyDescent="0.25">
      <c r="A4741" s="2" t="s">
        <v>9665</v>
      </c>
      <c r="B4741" s="2">
        <v>11296128</v>
      </c>
      <c r="C4741" s="2" t="s">
        <v>14</v>
      </c>
      <c r="D4741" s="2" t="s">
        <v>41</v>
      </c>
      <c r="E4741" s="2" t="s">
        <v>42</v>
      </c>
      <c r="F4741" s="2" t="s">
        <v>36</v>
      </c>
      <c r="G4741" s="2" t="s">
        <v>4711</v>
      </c>
      <c r="I4741" s="2">
        <v>899</v>
      </c>
      <c r="J4741" s="2" t="s">
        <v>25</v>
      </c>
      <c r="K4741" s="2" t="s">
        <v>45</v>
      </c>
      <c r="L4741" s="2">
        <v>4.0999999999999996</v>
      </c>
      <c r="M4741" s="2">
        <v>482</v>
      </c>
      <c r="P4741" t="str">
        <f t="shared" si="299"/>
        <v>55%</v>
      </c>
      <c r="Q4741" s="12">
        <f t="shared" si="296"/>
        <v>0.55000000000000004</v>
      </c>
      <c r="R4741" s="9">
        <f t="shared" si="297"/>
        <v>404.54999999999995</v>
      </c>
      <c r="S4741" s="9">
        <f>IF(R4741="",AVERAGEIF(Table1[Category],Table1[[#This Row],[Category]],Table2[orignal data]),Table2[[#This Row],[orignal data]])</f>
        <v>404.54999999999995</v>
      </c>
      <c r="T4741" t="str">
        <f t="shared" si="298"/>
        <v>UNIQUE</v>
      </c>
      <c r="U4741" t="str">
        <f>IF(ISBLANK(Table1[[#This Row],[SizeOption]]),"NOT AVAILABLE",Table1[[#This Row],[SizeOption]])</f>
        <v>XS, S, M, L, XL</v>
      </c>
      <c r="Y4741" t="str">
        <f>IF(Table2[[#This Row],[Column1]]&gt;50%,"HIGH DISCOUNT","LOW DISCOUNT")</f>
        <v>HIGH DISCOUNT</v>
      </c>
    </row>
    <row r="4742" spans="1:25" x14ac:dyDescent="0.25">
      <c r="A4742" s="1" t="s">
        <v>9666</v>
      </c>
      <c r="B4742" s="1">
        <v>17383262</v>
      </c>
      <c r="C4742" s="1" t="s">
        <v>14</v>
      </c>
      <c r="D4742" s="1" t="s">
        <v>41</v>
      </c>
      <c r="E4742" s="1" t="s">
        <v>42</v>
      </c>
      <c r="F4742" s="1" t="s">
        <v>36</v>
      </c>
      <c r="G4742" s="1" t="s">
        <v>9667</v>
      </c>
      <c r="I4742" s="1">
        <v>1598</v>
      </c>
      <c r="J4742" s="1"/>
      <c r="K4742" s="1" t="s">
        <v>146</v>
      </c>
      <c r="L4742" s="1">
        <v>4.3</v>
      </c>
      <c r="M4742" s="1">
        <v>482</v>
      </c>
      <c r="P4742" t="str">
        <f t="shared" si="299"/>
        <v/>
      </c>
      <c r="Q4742" s="12" t="str">
        <f t="shared" si="296"/>
        <v/>
      </c>
      <c r="R4742" s="9" t="str">
        <f t="shared" si="297"/>
        <v/>
      </c>
      <c r="S4742" s="9">
        <f>IF(R4742="",AVERAGEIF(Table1[Category],Table1[[#This Row],[Category]],Table2[orignal data]),Table2[[#This Row],[orignal data]])</f>
        <v>715.78890751086249</v>
      </c>
      <c r="T4742" t="str">
        <f t="shared" si="298"/>
        <v>UNIQUE</v>
      </c>
      <c r="U4742" t="str">
        <f>IF(ISBLANK(Table1[[#This Row],[SizeOption]]),"NOT AVAILABLE",Table1[[#This Row],[SizeOption]])</f>
        <v>L, M, S, XS, XL</v>
      </c>
      <c r="Y4742" t="str">
        <f>IF(Table2[[#This Row],[Column1]]&gt;50%,"HIGH DISCOUNT","LOW DISCOUNT")</f>
        <v>HIGH DISCOUNT</v>
      </c>
    </row>
    <row r="4743" spans="1:25" x14ac:dyDescent="0.25">
      <c r="A4743" s="2" t="s">
        <v>9668</v>
      </c>
      <c r="B4743" s="2">
        <v>11274452</v>
      </c>
      <c r="C4743" s="2" t="s">
        <v>14</v>
      </c>
      <c r="D4743" s="2" t="s">
        <v>15</v>
      </c>
      <c r="E4743" s="2" t="s">
        <v>16</v>
      </c>
      <c r="F4743" s="2" t="s">
        <v>17</v>
      </c>
      <c r="G4743" s="2" t="s">
        <v>8697</v>
      </c>
      <c r="I4743" s="2">
        <v>1999</v>
      </c>
      <c r="J4743" s="2"/>
      <c r="K4743" s="2" t="s">
        <v>20</v>
      </c>
      <c r="L4743" s="2">
        <v>4</v>
      </c>
      <c r="M4743" s="2">
        <v>481</v>
      </c>
      <c r="P4743" t="str">
        <f t="shared" si="299"/>
        <v/>
      </c>
      <c r="Q4743" s="12" t="str">
        <f t="shared" si="296"/>
        <v/>
      </c>
      <c r="R4743" s="9" t="str">
        <f t="shared" si="297"/>
        <v/>
      </c>
      <c r="S4743" s="9">
        <f>IF(R4743="",AVERAGEIF(Table1[Category],Table1[[#This Row],[Category]],Table2[orignal data]),Table2[[#This Row],[orignal data]])</f>
        <v>892.27590339892538</v>
      </c>
      <c r="T4743" t="str">
        <f t="shared" si="298"/>
        <v>UNIQUE</v>
      </c>
      <c r="U4743" t="str">
        <f>IF(ISBLANK(Table1[[#This Row],[SizeOption]]),"NOT AVAILABLE",Table1[[#This Row],[SizeOption]])</f>
        <v>28, 30, 32, 34, 36</v>
      </c>
      <c r="Y4743" t="str">
        <f>IF(Table2[[#This Row],[Column1]]&gt;50%,"HIGH DISCOUNT","LOW DISCOUNT")</f>
        <v>HIGH DISCOUNT</v>
      </c>
    </row>
    <row r="4744" spans="1:25" x14ac:dyDescent="0.25">
      <c r="A4744" s="1" t="s">
        <v>9669</v>
      </c>
      <c r="B4744" s="1">
        <v>1086723</v>
      </c>
      <c r="C4744" s="1" t="s">
        <v>1299</v>
      </c>
      <c r="D4744" s="1" t="s">
        <v>28</v>
      </c>
      <c r="E4744" s="1" t="s">
        <v>29</v>
      </c>
      <c r="F4744" s="1" t="s">
        <v>17</v>
      </c>
      <c r="G4744" s="1" t="s">
        <v>9670</v>
      </c>
      <c r="H4744">
        <v>809</v>
      </c>
      <c r="I4744" s="1">
        <v>1799</v>
      </c>
      <c r="J4744" s="1" t="s">
        <v>25</v>
      </c>
      <c r="K4744" s="1" t="s">
        <v>1674</v>
      </c>
      <c r="L4744" s="1">
        <v>4.0999999999999996</v>
      </c>
      <c r="M4744" s="1">
        <v>481</v>
      </c>
      <c r="P4744" t="str">
        <f t="shared" si="299"/>
        <v>55%</v>
      </c>
      <c r="Q4744" s="12">
        <f t="shared" si="296"/>
        <v>0.55000000000000004</v>
      </c>
      <c r="R4744" s="9">
        <f t="shared" si="297"/>
        <v>809.55</v>
      </c>
      <c r="S4744" s="9">
        <f>IF(R4744="",AVERAGEIF(Table1[Category],Table1[[#This Row],[Category]],Table2[orignal data]),Table2[[#This Row],[orignal data]])</f>
        <v>809.55</v>
      </c>
      <c r="T4744" t="str">
        <f t="shared" si="298"/>
        <v>UNIQUE</v>
      </c>
      <c r="U4744" t="str">
        <f>IF(ISBLANK(Table1[[#This Row],[SizeOption]]),"NOT AVAILABLE",Table1[[#This Row],[SizeOption]])</f>
        <v>38, 39, 40, 42, 44</v>
      </c>
      <c r="Y4744" t="str">
        <f>IF(Table2[[#This Row],[Column1]]&gt;50%,"HIGH DISCOUNT","LOW DISCOUNT")</f>
        <v>HIGH DISCOUNT</v>
      </c>
    </row>
    <row r="4745" spans="1:25" x14ac:dyDescent="0.25">
      <c r="A4745" s="2" t="s">
        <v>9671</v>
      </c>
      <c r="B4745" s="2">
        <v>10926752</v>
      </c>
      <c r="C4745" s="2" t="s">
        <v>214</v>
      </c>
      <c r="D4745" s="2" t="s">
        <v>41</v>
      </c>
      <c r="E4745" s="2" t="s">
        <v>42</v>
      </c>
      <c r="F4745" s="2" t="s">
        <v>36</v>
      </c>
      <c r="G4745" s="2" t="s">
        <v>9672</v>
      </c>
      <c r="I4745" s="2">
        <v>1099</v>
      </c>
      <c r="J4745" s="2" t="s">
        <v>4409</v>
      </c>
      <c r="K4745" s="2" t="s">
        <v>45</v>
      </c>
      <c r="L4745" s="2">
        <v>4.4000000000000004</v>
      </c>
      <c r="M4745" s="2">
        <v>481</v>
      </c>
      <c r="P4745" t="str">
        <f t="shared" si="299"/>
        <v>600</v>
      </c>
      <c r="Q4745" s="12">
        <f t="shared" si="296"/>
        <v>0.54595086442220198</v>
      </c>
      <c r="R4745" s="9">
        <f t="shared" si="297"/>
        <v>499</v>
      </c>
      <c r="S4745" s="9">
        <f>IF(R4745="",AVERAGEIF(Table1[Category],Table1[[#This Row],[Category]],Table2[orignal data]),Table2[[#This Row],[orignal data]])</f>
        <v>499</v>
      </c>
      <c r="T4745" t="str">
        <f t="shared" si="298"/>
        <v>UNIQUE</v>
      </c>
      <c r="U4745" t="str">
        <f>IF(ISBLANK(Table1[[#This Row],[SizeOption]]),"NOT AVAILABLE",Table1[[#This Row],[SizeOption]])</f>
        <v>XS, S, M, L, XL</v>
      </c>
      <c r="Y4745" t="str">
        <f>IF(Table2[[#This Row],[Column1]]&gt;50%,"HIGH DISCOUNT","LOW DISCOUNT")</f>
        <v>HIGH DISCOUNT</v>
      </c>
    </row>
    <row r="4746" spans="1:25" x14ac:dyDescent="0.25">
      <c r="A4746" s="1" t="s">
        <v>9673</v>
      </c>
      <c r="B4746" s="1">
        <v>17381630</v>
      </c>
      <c r="C4746" s="1" t="s">
        <v>14</v>
      </c>
      <c r="D4746" s="1" t="s">
        <v>41</v>
      </c>
      <c r="E4746" s="1" t="s">
        <v>42</v>
      </c>
      <c r="F4746" s="1" t="s">
        <v>36</v>
      </c>
      <c r="G4746" s="1" t="s">
        <v>9674</v>
      </c>
      <c r="I4746" s="1">
        <v>1798</v>
      </c>
      <c r="J4746" s="1" t="s">
        <v>84</v>
      </c>
      <c r="K4746" s="1" t="s">
        <v>45</v>
      </c>
      <c r="L4746" s="1">
        <v>4.0999999999999996</v>
      </c>
      <c r="M4746" s="1">
        <v>481</v>
      </c>
      <c r="P4746" t="str">
        <f t="shared" si="299"/>
        <v>50%</v>
      </c>
      <c r="Q4746" s="12">
        <f t="shared" si="296"/>
        <v>0.5</v>
      </c>
      <c r="R4746" s="9">
        <f t="shared" si="297"/>
        <v>899</v>
      </c>
      <c r="S4746" s="9">
        <f>IF(R4746="",AVERAGEIF(Table1[Category],Table1[[#This Row],[Category]],Table2[orignal data]),Table2[[#This Row],[orignal data]])</f>
        <v>899</v>
      </c>
      <c r="T4746" t="str">
        <f t="shared" si="298"/>
        <v>UNIQUE</v>
      </c>
      <c r="U4746" t="str">
        <f>IF(ISBLANK(Table1[[#This Row],[SizeOption]]),"NOT AVAILABLE",Table1[[#This Row],[SizeOption]])</f>
        <v>XS, S, M, L, XL</v>
      </c>
      <c r="Y4746" t="str">
        <f>IF(Table2[[#This Row],[Column1]]&gt;50%,"HIGH DISCOUNT","LOW DISCOUNT")</f>
        <v>LOW DISCOUNT</v>
      </c>
    </row>
    <row r="4747" spans="1:25" x14ac:dyDescent="0.25">
      <c r="A4747" s="2" t="s">
        <v>9675</v>
      </c>
      <c r="B4747" s="2">
        <v>13270222</v>
      </c>
      <c r="C4747" s="2" t="s">
        <v>14</v>
      </c>
      <c r="D4747" s="2" t="s">
        <v>41</v>
      </c>
      <c r="E4747" s="2" t="s">
        <v>42</v>
      </c>
      <c r="F4747" s="2" t="s">
        <v>36</v>
      </c>
      <c r="G4747" s="2" t="s">
        <v>9676</v>
      </c>
      <c r="I4747" s="2">
        <v>799</v>
      </c>
      <c r="J4747" s="2" t="s">
        <v>9677</v>
      </c>
      <c r="K4747" s="2" t="s">
        <v>45</v>
      </c>
      <c r="L4747" s="2">
        <v>4.4000000000000004</v>
      </c>
      <c r="M4747" s="2">
        <v>481</v>
      </c>
      <c r="P4747" t="str">
        <f t="shared" si="299"/>
        <v>40 %</v>
      </c>
      <c r="Q4747" s="12">
        <f t="shared" si="296"/>
        <v>0.4</v>
      </c>
      <c r="R4747" s="9">
        <f t="shared" si="297"/>
        <v>479.4</v>
      </c>
      <c r="S4747" s="9">
        <f>IF(R4747="",AVERAGEIF(Table1[Category],Table1[[#This Row],[Category]],Table2[orignal data]),Table2[[#This Row],[orignal data]])</f>
        <v>479.4</v>
      </c>
      <c r="T4747" t="str">
        <f t="shared" si="298"/>
        <v>UNIQUE</v>
      </c>
      <c r="U4747" t="str">
        <f>IF(ISBLANK(Table1[[#This Row],[SizeOption]]),"NOT AVAILABLE",Table1[[#This Row],[SizeOption]])</f>
        <v>XS, S, M, L, XL</v>
      </c>
      <c r="Y4747" t="str">
        <f>IF(Table2[[#This Row],[Column1]]&gt;50%,"HIGH DISCOUNT","LOW DISCOUNT")</f>
        <v>LOW DISCOUNT</v>
      </c>
    </row>
    <row r="4748" spans="1:25" x14ac:dyDescent="0.25">
      <c r="A4748" s="1" t="s">
        <v>9678</v>
      </c>
      <c r="B4748" s="1">
        <v>12151964</v>
      </c>
      <c r="C4748" s="1" t="s">
        <v>841</v>
      </c>
      <c r="D4748" s="1" t="s">
        <v>41</v>
      </c>
      <c r="E4748" s="1" t="s">
        <v>148</v>
      </c>
      <c r="F4748" s="1" t="s">
        <v>36</v>
      </c>
      <c r="G4748" s="1" t="s">
        <v>9679</v>
      </c>
      <c r="I4748" s="1">
        <v>999</v>
      </c>
      <c r="J4748" s="1" t="s">
        <v>55</v>
      </c>
      <c r="K4748" s="1" t="s">
        <v>26</v>
      </c>
      <c r="L4748" s="1">
        <v>4.2</v>
      </c>
      <c r="M4748" s="1">
        <v>481</v>
      </c>
      <c r="P4748" t="str">
        <f t="shared" si="299"/>
        <v>60%</v>
      </c>
      <c r="Q4748" s="12">
        <f t="shared" si="296"/>
        <v>0.6</v>
      </c>
      <c r="R4748" s="9">
        <f t="shared" si="297"/>
        <v>399.6</v>
      </c>
      <c r="S4748" s="9">
        <f>IF(R4748="",AVERAGEIF(Table1[Category],Table1[[#This Row],[Category]],Table2[orignal data]),Table2[[#This Row],[orignal data]])</f>
        <v>399.6</v>
      </c>
      <c r="T4748" t="str">
        <f t="shared" si="298"/>
        <v>UNIQUE</v>
      </c>
      <c r="U4748" t="str">
        <f>IF(ISBLANK(Table1[[#This Row],[SizeOption]]),"NOT AVAILABLE",Table1[[#This Row],[SizeOption]])</f>
        <v>S, M, L, XL</v>
      </c>
      <c r="Y4748" t="str">
        <f>IF(Table2[[#This Row],[Column1]]&gt;50%,"HIGH DISCOUNT","LOW DISCOUNT")</f>
        <v>HIGH DISCOUNT</v>
      </c>
    </row>
    <row r="4749" spans="1:25" x14ac:dyDescent="0.25">
      <c r="A4749" s="2" t="s">
        <v>9680</v>
      </c>
      <c r="B4749" s="2">
        <v>4446330</v>
      </c>
      <c r="C4749" s="2" t="s">
        <v>430</v>
      </c>
      <c r="D4749" s="2" t="s">
        <v>15</v>
      </c>
      <c r="E4749" s="2" t="s">
        <v>23</v>
      </c>
      <c r="F4749" s="2" t="s">
        <v>17</v>
      </c>
      <c r="G4749" s="2" t="s">
        <v>9681</v>
      </c>
      <c r="H4749">
        <v>799</v>
      </c>
      <c r="I4749" s="2">
        <v>1999</v>
      </c>
      <c r="J4749" s="2" t="s">
        <v>55</v>
      </c>
      <c r="K4749" s="2" t="s">
        <v>39</v>
      </c>
      <c r="L4749" s="2">
        <v>3.7</v>
      </c>
      <c r="M4749" s="2">
        <v>480</v>
      </c>
      <c r="P4749" t="str">
        <f t="shared" si="299"/>
        <v>60%</v>
      </c>
      <c r="Q4749" s="12">
        <f t="shared" si="296"/>
        <v>0.6</v>
      </c>
      <c r="R4749" s="9">
        <f t="shared" si="297"/>
        <v>799.60000000000014</v>
      </c>
      <c r="S4749" s="9">
        <f>IF(R4749="",AVERAGEIF(Table1[Category],Table1[[#This Row],[Category]],Table2[orignal data]),Table2[[#This Row],[orignal data]])</f>
        <v>799.60000000000014</v>
      </c>
      <c r="T4749" t="str">
        <f t="shared" si="298"/>
        <v>UNIQUE</v>
      </c>
      <c r="U4749" t="str">
        <f>IF(ISBLANK(Table1[[#This Row],[SizeOption]]),"NOT AVAILABLE",Table1[[#This Row],[SizeOption]])</f>
        <v>S, M, L, XL, XXL</v>
      </c>
      <c r="Y4749" t="str">
        <f>IF(Table2[[#This Row],[Column1]]&gt;50%,"HIGH DISCOUNT","LOW DISCOUNT")</f>
        <v>HIGH DISCOUNT</v>
      </c>
    </row>
    <row r="4750" spans="1:25" x14ac:dyDescent="0.25">
      <c r="A4750" s="1" t="s">
        <v>9682</v>
      </c>
      <c r="B4750" s="1">
        <v>14441202</v>
      </c>
      <c r="C4750" s="1" t="s">
        <v>52</v>
      </c>
      <c r="D4750" s="1" t="s">
        <v>15</v>
      </c>
      <c r="E4750" s="1" t="s">
        <v>23</v>
      </c>
      <c r="F4750" s="1" t="s">
        <v>17</v>
      </c>
      <c r="G4750" s="1" t="s">
        <v>9683</v>
      </c>
      <c r="H4750">
        <v>459</v>
      </c>
      <c r="I4750" s="1">
        <v>1149</v>
      </c>
      <c r="J4750" s="1" t="s">
        <v>55</v>
      </c>
      <c r="K4750" s="1" t="s">
        <v>26</v>
      </c>
      <c r="L4750" s="1">
        <v>4.2</v>
      </c>
      <c r="M4750" s="1">
        <v>480</v>
      </c>
      <c r="P4750" t="str">
        <f t="shared" si="299"/>
        <v>60%</v>
      </c>
      <c r="Q4750" s="12">
        <f t="shared" si="296"/>
        <v>0.6</v>
      </c>
      <c r="R4750" s="9">
        <f t="shared" si="297"/>
        <v>459.6</v>
      </c>
      <c r="S4750" s="9">
        <f>IF(R4750="",AVERAGEIF(Table1[Category],Table1[[#This Row],[Category]],Table2[orignal data]),Table2[[#This Row],[orignal data]])</f>
        <v>459.6</v>
      </c>
      <c r="T4750" t="str">
        <f t="shared" si="298"/>
        <v>UNIQUE</v>
      </c>
      <c r="U4750" t="str">
        <f>IF(ISBLANK(Table1[[#This Row],[SizeOption]]),"NOT AVAILABLE",Table1[[#This Row],[SizeOption]])</f>
        <v>S, M, L, XL</v>
      </c>
      <c r="Y4750" t="str">
        <f>IF(Table2[[#This Row],[Column1]]&gt;50%,"HIGH DISCOUNT","LOW DISCOUNT")</f>
        <v>HIGH DISCOUNT</v>
      </c>
    </row>
    <row r="4751" spans="1:25" x14ac:dyDescent="0.25">
      <c r="A4751" s="2" t="s">
        <v>9684</v>
      </c>
      <c r="B4751" s="2">
        <v>8826215</v>
      </c>
      <c r="C4751" s="2" t="s">
        <v>47</v>
      </c>
      <c r="D4751" s="2" t="s">
        <v>28</v>
      </c>
      <c r="E4751" s="2" t="s">
        <v>42</v>
      </c>
      <c r="F4751" s="2" t="s">
        <v>17</v>
      </c>
      <c r="G4751" s="2" t="s">
        <v>9685</v>
      </c>
      <c r="H4751">
        <v>604</v>
      </c>
      <c r="I4751" s="2">
        <v>1099</v>
      </c>
      <c r="J4751" s="2" t="s">
        <v>19</v>
      </c>
      <c r="K4751" s="2" t="s">
        <v>26</v>
      </c>
      <c r="L4751" s="2">
        <v>4.3</v>
      </c>
      <c r="M4751" s="2">
        <v>480</v>
      </c>
      <c r="P4751" t="str">
        <f t="shared" si="299"/>
        <v>45%</v>
      </c>
      <c r="Q4751" s="12">
        <f t="shared" si="296"/>
        <v>0.45</v>
      </c>
      <c r="R4751" s="9">
        <f t="shared" si="297"/>
        <v>604.45000000000005</v>
      </c>
      <c r="S4751" s="9">
        <f>IF(R4751="",AVERAGEIF(Table1[Category],Table1[[#This Row],[Category]],Table2[orignal data]),Table2[[#This Row],[orignal data]])</f>
        <v>604.45000000000005</v>
      </c>
      <c r="T4751" t="str">
        <f t="shared" si="298"/>
        <v>UNIQUE</v>
      </c>
      <c r="U4751" t="str">
        <f>IF(ISBLANK(Table1[[#This Row],[SizeOption]]),"NOT AVAILABLE",Table1[[#This Row],[SizeOption]])</f>
        <v>S, M, L, XL</v>
      </c>
      <c r="Y4751" t="str">
        <f>IF(Table2[[#This Row],[Column1]]&gt;50%,"HIGH DISCOUNT","LOW DISCOUNT")</f>
        <v>LOW DISCOUNT</v>
      </c>
    </row>
    <row r="4752" spans="1:25" x14ac:dyDescent="0.25">
      <c r="A4752" s="1" t="s">
        <v>9686</v>
      </c>
      <c r="B4752" s="1">
        <v>10143661</v>
      </c>
      <c r="C4752" s="1" t="s">
        <v>22</v>
      </c>
      <c r="D4752" s="1" t="s">
        <v>28</v>
      </c>
      <c r="E4752" s="1" t="s">
        <v>29</v>
      </c>
      <c r="F4752" s="1" t="s">
        <v>17</v>
      </c>
      <c r="G4752" s="1" t="s">
        <v>9687</v>
      </c>
      <c r="H4752">
        <v>527</v>
      </c>
      <c r="I4752" s="1">
        <v>1599</v>
      </c>
      <c r="J4752" s="1" t="s">
        <v>543</v>
      </c>
      <c r="K4752" s="1" t="s">
        <v>90</v>
      </c>
      <c r="L4752" s="1">
        <v>4.2</v>
      </c>
      <c r="M4752" s="1">
        <v>480</v>
      </c>
      <c r="P4752" t="str">
        <f t="shared" si="299"/>
        <v>67%</v>
      </c>
      <c r="Q4752" s="12">
        <f t="shared" si="296"/>
        <v>0.67</v>
      </c>
      <c r="R4752" s="9">
        <f t="shared" si="297"/>
        <v>527.66999999999985</v>
      </c>
      <c r="S4752" s="9">
        <f>IF(R4752="",AVERAGEIF(Table1[Category],Table1[[#This Row],[Category]],Table2[orignal data]),Table2[[#This Row],[orignal data]])</f>
        <v>527.66999999999985</v>
      </c>
      <c r="T4752" t="str">
        <f t="shared" si="298"/>
        <v>UNIQUE</v>
      </c>
      <c r="U4752" t="str">
        <f>IF(ISBLANK(Table1[[#This Row],[SizeOption]]),"NOT AVAILABLE",Table1[[#This Row],[SizeOption]])</f>
        <v>39, 40, 42, 44</v>
      </c>
      <c r="Y4752" t="str">
        <f>IF(Table2[[#This Row],[Column1]]&gt;50%,"HIGH DISCOUNT","LOW DISCOUNT")</f>
        <v>HIGH DISCOUNT</v>
      </c>
    </row>
    <row r="4753" spans="1:25" x14ac:dyDescent="0.25">
      <c r="A4753" s="2" t="s">
        <v>9688</v>
      </c>
      <c r="B4753" s="2">
        <v>1700781</v>
      </c>
      <c r="C4753" s="2" t="s">
        <v>169</v>
      </c>
      <c r="D4753" s="2" t="s">
        <v>28</v>
      </c>
      <c r="E4753" s="2" t="s">
        <v>29</v>
      </c>
      <c r="F4753" s="2" t="s">
        <v>17</v>
      </c>
      <c r="G4753" s="2" t="s">
        <v>483</v>
      </c>
      <c r="H4753">
        <v>1099</v>
      </c>
      <c r="I4753" s="2">
        <v>2199</v>
      </c>
      <c r="J4753" s="2" t="s">
        <v>84</v>
      </c>
      <c r="K4753" s="2" t="s">
        <v>484</v>
      </c>
      <c r="L4753" s="2">
        <v>4.2</v>
      </c>
      <c r="M4753" s="2">
        <v>480</v>
      </c>
      <c r="P4753" t="str">
        <f t="shared" si="299"/>
        <v>50%</v>
      </c>
      <c r="Q4753" s="12">
        <f t="shared" si="296"/>
        <v>0.5</v>
      </c>
      <c r="R4753" s="9">
        <f t="shared" si="297"/>
        <v>1099.5</v>
      </c>
      <c r="S4753" s="9">
        <f>IF(R4753="",AVERAGEIF(Table1[Category],Table1[[#This Row],[Category]],Table2[orignal data]),Table2[[#This Row],[orignal data]])</f>
        <v>1099.5</v>
      </c>
      <c r="T4753" t="str">
        <f t="shared" si="298"/>
        <v>UNIQUE</v>
      </c>
      <c r="U4753" t="str">
        <f>IF(ISBLANK(Table1[[#This Row],[SizeOption]]),"NOT AVAILABLE",Table1[[#This Row],[SizeOption]])</f>
        <v>39, 40, 42, 44, 46</v>
      </c>
      <c r="Y4753" t="str">
        <f>IF(Table2[[#This Row],[Column1]]&gt;50%,"HIGH DISCOUNT","LOW DISCOUNT")</f>
        <v>LOW DISCOUNT</v>
      </c>
    </row>
    <row r="4754" spans="1:25" x14ac:dyDescent="0.25">
      <c r="A4754" s="1" t="s">
        <v>9689</v>
      </c>
      <c r="B4754" s="1">
        <v>10200203</v>
      </c>
      <c r="C4754" s="1" t="s">
        <v>1179</v>
      </c>
      <c r="D4754" s="1" t="s">
        <v>76</v>
      </c>
      <c r="E4754" s="1" t="s">
        <v>148</v>
      </c>
      <c r="F4754" s="1" t="s">
        <v>36</v>
      </c>
      <c r="G4754" s="1" t="s">
        <v>9690</v>
      </c>
      <c r="H4754">
        <v>1476</v>
      </c>
      <c r="I4754" s="1">
        <v>3885</v>
      </c>
      <c r="J4754" s="1" t="s">
        <v>126</v>
      </c>
      <c r="K4754" s="1" t="s">
        <v>39</v>
      </c>
      <c r="L4754" s="1">
        <v>4.2</v>
      </c>
      <c r="M4754" s="1">
        <v>480</v>
      </c>
      <c r="P4754" t="str">
        <f t="shared" si="299"/>
        <v>62%</v>
      </c>
      <c r="Q4754" s="12">
        <f t="shared" si="296"/>
        <v>0.62</v>
      </c>
      <c r="R4754" s="9">
        <f t="shared" si="297"/>
        <v>1476.3000000000002</v>
      </c>
      <c r="S4754" s="9">
        <f>IF(R4754="",AVERAGEIF(Table1[Category],Table1[[#This Row],[Category]],Table2[orignal data]),Table2[[#This Row],[orignal data]])</f>
        <v>1476.3000000000002</v>
      </c>
      <c r="T4754" t="str">
        <f t="shared" si="298"/>
        <v>UNIQUE</v>
      </c>
      <c r="U4754" t="str">
        <f>IF(ISBLANK(Table1[[#This Row],[SizeOption]]),"NOT AVAILABLE",Table1[[#This Row],[SizeOption]])</f>
        <v>S, M, L, XL, XXL</v>
      </c>
      <c r="Y4754" t="str">
        <f>IF(Table2[[#This Row],[Column1]]&gt;50%,"HIGH DISCOUNT","LOW DISCOUNT")</f>
        <v>HIGH DISCOUNT</v>
      </c>
    </row>
    <row r="4755" spans="1:25" x14ac:dyDescent="0.25">
      <c r="A4755" s="2" t="s">
        <v>9691</v>
      </c>
      <c r="B4755" s="2">
        <v>15119228</v>
      </c>
      <c r="C4755" s="2" t="s">
        <v>6723</v>
      </c>
      <c r="D4755" s="2" t="s">
        <v>76</v>
      </c>
      <c r="E4755" s="2" t="s">
        <v>93</v>
      </c>
      <c r="F4755" s="2" t="s">
        <v>36</v>
      </c>
      <c r="G4755" s="2" t="s">
        <v>9692</v>
      </c>
      <c r="I4755" s="2">
        <v>599</v>
      </c>
      <c r="J4755" s="2"/>
      <c r="K4755" s="2" t="s">
        <v>39</v>
      </c>
      <c r="L4755" s="2">
        <v>4.4000000000000004</v>
      </c>
      <c r="M4755" s="2">
        <v>480</v>
      </c>
      <c r="P4755" t="str">
        <f t="shared" si="299"/>
        <v/>
      </c>
      <c r="Q4755" s="12" t="str">
        <f t="shared" si="296"/>
        <v/>
      </c>
      <c r="R4755" s="9" t="str">
        <f t="shared" si="297"/>
        <v/>
      </c>
      <c r="S4755" s="9">
        <f>IF(R4755="",AVERAGEIF(Table1[Category],Table1[[#This Row],[Category]],Table2[orignal data]),Table2[[#This Row],[orignal data]])</f>
        <v>1045.2418648648661</v>
      </c>
      <c r="T4755" t="str">
        <f t="shared" si="298"/>
        <v>UNIQUE</v>
      </c>
      <c r="U4755" t="str">
        <f>IF(ISBLANK(Table1[[#This Row],[SizeOption]]),"NOT AVAILABLE",Table1[[#This Row],[SizeOption]])</f>
        <v>S, M, L, XL, XXL</v>
      </c>
      <c r="Y4755" t="str">
        <f>IF(Table2[[#This Row],[Column1]]&gt;50%,"HIGH DISCOUNT","LOW DISCOUNT")</f>
        <v>HIGH DISCOUNT</v>
      </c>
    </row>
    <row r="4756" spans="1:25" x14ac:dyDescent="0.25">
      <c r="A4756" s="1" t="s">
        <v>9693</v>
      </c>
      <c r="B4756" s="1">
        <v>10054519</v>
      </c>
      <c r="C4756" s="1" t="s">
        <v>1158</v>
      </c>
      <c r="D4756" s="1" t="s">
        <v>41</v>
      </c>
      <c r="E4756" s="1" t="s">
        <v>48</v>
      </c>
      <c r="F4756" s="1" t="s">
        <v>36</v>
      </c>
      <c r="G4756" s="1" t="s">
        <v>9694</v>
      </c>
      <c r="I4756" s="1">
        <v>1170</v>
      </c>
      <c r="J4756" s="1" t="s">
        <v>55</v>
      </c>
      <c r="K4756" s="1" t="s">
        <v>311</v>
      </c>
      <c r="L4756" s="1">
        <v>3.7</v>
      </c>
      <c r="M4756" s="1">
        <v>480</v>
      </c>
      <c r="P4756" t="str">
        <f t="shared" si="299"/>
        <v>60%</v>
      </c>
      <c r="Q4756" s="12">
        <f t="shared" si="296"/>
        <v>0.6</v>
      </c>
      <c r="R4756" s="9">
        <f t="shared" si="297"/>
        <v>468</v>
      </c>
      <c r="S4756" s="9">
        <f>IF(R4756="",AVERAGEIF(Table1[Category],Table1[[#This Row],[Category]],Table2[orignal data]),Table2[[#This Row],[orignal data]])</f>
        <v>468</v>
      </c>
      <c r="T4756" t="str">
        <f t="shared" si="298"/>
        <v>UNIQUE</v>
      </c>
      <c r="U4756" t="str">
        <f>IF(ISBLANK(Table1[[#This Row],[SizeOption]]),"NOT AVAILABLE",Table1[[#This Row],[SizeOption]])</f>
        <v>XS, S, M, L</v>
      </c>
      <c r="Y4756" t="str">
        <f>IF(Table2[[#This Row],[Column1]]&gt;50%,"HIGH DISCOUNT","LOW DISCOUNT")</f>
        <v>HIGH DISCOUNT</v>
      </c>
    </row>
    <row r="4757" spans="1:25" x14ac:dyDescent="0.25">
      <c r="A4757" s="2" t="s">
        <v>9695</v>
      </c>
      <c r="B4757" s="2">
        <v>10932034</v>
      </c>
      <c r="C4757" s="2" t="s">
        <v>102</v>
      </c>
      <c r="D4757" s="2" t="s">
        <v>41</v>
      </c>
      <c r="E4757" s="2" t="s">
        <v>148</v>
      </c>
      <c r="F4757" s="2" t="s">
        <v>36</v>
      </c>
      <c r="G4757" s="2" t="s">
        <v>9696</v>
      </c>
      <c r="I4757" s="2">
        <v>1749</v>
      </c>
      <c r="J4757" s="2" t="s">
        <v>758</v>
      </c>
      <c r="K4757" s="2" t="s">
        <v>26</v>
      </c>
      <c r="L4757" s="2">
        <v>4.2</v>
      </c>
      <c r="M4757" s="2">
        <v>480</v>
      </c>
      <c r="P4757" t="str">
        <f t="shared" si="299"/>
        <v>47%</v>
      </c>
      <c r="Q4757" s="12">
        <f t="shared" si="296"/>
        <v>0.47</v>
      </c>
      <c r="R4757" s="9">
        <f t="shared" si="297"/>
        <v>926.97</v>
      </c>
      <c r="S4757" s="9">
        <f>IF(R4757="",AVERAGEIF(Table1[Category],Table1[[#This Row],[Category]],Table2[orignal data]),Table2[[#This Row],[orignal data]])</f>
        <v>926.97</v>
      </c>
      <c r="T4757" t="str">
        <f t="shared" si="298"/>
        <v>UNIQUE</v>
      </c>
      <c r="U4757" t="str">
        <f>IF(ISBLANK(Table1[[#This Row],[SizeOption]]),"NOT AVAILABLE",Table1[[#This Row],[SizeOption]])</f>
        <v>S, M, L, XL</v>
      </c>
      <c r="Y4757" t="str">
        <f>IF(Table2[[#This Row],[Column1]]&gt;50%,"HIGH DISCOUNT","LOW DISCOUNT")</f>
        <v>LOW DISCOUNT</v>
      </c>
    </row>
    <row r="4758" spans="1:25" x14ac:dyDescent="0.25">
      <c r="A4758" s="1" t="s">
        <v>9697</v>
      </c>
      <c r="B4758" s="1">
        <v>10867938</v>
      </c>
      <c r="C4758" s="1" t="s">
        <v>1385</v>
      </c>
      <c r="D4758" s="1" t="s">
        <v>41</v>
      </c>
      <c r="E4758" s="1" t="s">
        <v>16</v>
      </c>
      <c r="F4758" s="1" t="s">
        <v>36</v>
      </c>
      <c r="G4758" s="1" t="s">
        <v>9698</v>
      </c>
      <c r="I4758" s="1">
        <v>1999</v>
      </c>
      <c r="J4758" s="1" t="s">
        <v>273</v>
      </c>
      <c r="K4758" s="1" t="s">
        <v>428</v>
      </c>
      <c r="L4758" s="1">
        <v>4.2</v>
      </c>
      <c r="M4758" s="1">
        <v>480</v>
      </c>
      <c r="P4758" t="str">
        <f t="shared" si="299"/>
        <v>45 %</v>
      </c>
      <c r="Q4758" s="12">
        <f t="shared" si="296"/>
        <v>0.45</v>
      </c>
      <c r="R4758" s="9">
        <f t="shared" si="297"/>
        <v>1099.4499999999998</v>
      </c>
      <c r="S4758" s="9">
        <f>IF(R4758="",AVERAGEIF(Table1[Category],Table1[[#This Row],[Category]],Table2[orignal data]),Table2[[#This Row],[orignal data]])</f>
        <v>1099.4499999999998</v>
      </c>
      <c r="T4758" t="str">
        <f t="shared" si="298"/>
        <v>UNIQUE</v>
      </c>
      <c r="U4758" t="str">
        <f>IF(ISBLANK(Table1[[#This Row],[SizeOption]]),"NOT AVAILABLE",Table1[[#This Row],[SizeOption]])</f>
        <v>26, 28, 30, 32, 34</v>
      </c>
      <c r="Y4758" t="str">
        <f>IF(Table2[[#This Row],[Column1]]&gt;50%,"HIGH DISCOUNT","LOW DISCOUNT")</f>
        <v>LOW DISCOUNT</v>
      </c>
    </row>
    <row r="4759" spans="1:25" x14ac:dyDescent="0.25">
      <c r="A4759" s="2" t="s">
        <v>9699</v>
      </c>
      <c r="B4759" s="2">
        <v>10742380</v>
      </c>
      <c r="C4759" s="2" t="s">
        <v>102</v>
      </c>
      <c r="D4759" s="2" t="s">
        <v>41</v>
      </c>
      <c r="E4759" s="2" t="s">
        <v>189</v>
      </c>
      <c r="F4759" s="2" t="s">
        <v>36</v>
      </c>
      <c r="G4759" s="2" t="s">
        <v>3411</v>
      </c>
      <c r="I4759" s="2">
        <v>2149</v>
      </c>
      <c r="J4759" s="2" t="s">
        <v>50</v>
      </c>
      <c r="K4759" s="2" t="s">
        <v>26</v>
      </c>
      <c r="L4759" s="2">
        <v>4.3</v>
      </c>
      <c r="M4759" s="2">
        <v>480</v>
      </c>
      <c r="P4759" t="str">
        <f t="shared" si="299"/>
        <v>40%</v>
      </c>
      <c r="Q4759" s="12">
        <f t="shared" si="296"/>
        <v>0.4</v>
      </c>
      <c r="R4759" s="9">
        <f t="shared" si="297"/>
        <v>1289.4000000000001</v>
      </c>
      <c r="S4759" s="9">
        <f>IF(R4759="",AVERAGEIF(Table1[Category],Table1[[#This Row],[Category]],Table2[orignal data]),Table2[[#This Row],[orignal data]])</f>
        <v>1289.4000000000001</v>
      </c>
      <c r="T4759" t="str">
        <f t="shared" si="298"/>
        <v>UNIQUE</v>
      </c>
      <c r="U4759" t="str">
        <f>IF(ISBLANK(Table1[[#This Row],[SizeOption]]),"NOT AVAILABLE",Table1[[#This Row],[SizeOption]])</f>
        <v>S, M, L, XL</v>
      </c>
      <c r="Y4759" t="str">
        <f>IF(Table2[[#This Row],[Column1]]&gt;50%,"HIGH DISCOUNT","LOW DISCOUNT")</f>
        <v>LOW DISCOUNT</v>
      </c>
    </row>
    <row r="4760" spans="1:25" x14ac:dyDescent="0.25">
      <c r="A4760" s="1" t="s">
        <v>9700</v>
      </c>
      <c r="B4760" s="1">
        <v>1866532</v>
      </c>
      <c r="C4760" s="1" t="s">
        <v>14</v>
      </c>
      <c r="D4760" s="1" t="s">
        <v>41</v>
      </c>
      <c r="E4760" s="1" t="s">
        <v>42</v>
      </c>
      <c r="F4760" s="1" t="s">
        <v>36</v>
      </c>
      <c r="G4760" s="1" t="s">
        <v>9701</v>
      </c>
      <c r="I4760" s="1">
        <v>499</v>
      </c>
      <c r="J4760" s="1" t="s">
        <v>50</v>
      </c>
      <c r="K4760" s="1" t="s">
        <v>45</v>
      </c>
      <c r="L4760" s="1">
        <v>3.9</v>
      </c>
      <c r="M4760" s="1">
        <v>480</v>
      </c>
      <c r="P4760" t="str">
        <f t="shared" si="299"/>
        <v>40%</v>
      </c>
      <c r="Q4760" s="12">
        <f t="shared" si="296"/>
        <v>0.4</v>
      </c>
      <c r="R4760" s="9">
        <f t="shared" si="297"/>
        <v>299.39999999999998</v>
      </c>
      <c r="S4760" s="9">
        <f>IF(R4760="",AVERAGEIF(Table1[Category],Table1[[#This Row],[Category]],Table2[orignal data]),Table2[[#This Row],[orignal data]])</f>
        <v>299.39999999999998</v>
      </c>
      <c r="T4760" t="str">
        <f t="shared" si="298"/>
        <v>UNIQUE</v>
      </c>
      <c r="U4760" t="str">
        <f>IF(ISBLANK(Table1[[#This Row],[SizeOption]]),"NOT AVAILABLE",Table1[[#This Row],[SizeOption]])</f>
        <v>XS, S, M, L, XL</v>
      </c>
      <c r="Y4760" t="str">
        <f>IF(Table2[[#This Row],[Column1]]&gt;50%,"HIGH DISCOUNT","LOW DISCOUNT")</f>
        <v>LOW DISCOUNT</v>
      </c>
    </row>
    <row r="4761" spans="1:25" x14ac:dyDescent="0.25">
      <c r="A4761" s="2" t="s">
        <v>9702</v>
      </c>
      <c r="B4761" s="2">
        <v>10025137</v>
      </c>
      <c r="C4761" s="2" t="s">
        <v>102</v>
      </c>
      <c r="D4761" s="2" t="s">
        <v>41</v>
      </c>
      <c r="E4761" s="2" t="s">
        <v>48</v>
      </c>
      <c r="F4761" s="2" t="s">
        <v>36</v>
      </c>
      <c r="G4761" s="2" t="s">
        <v>9703</v>
      </c>
      <c r="I4761" s="2">
        <v>999</v>
      </c>
      <c r="J4761" s="2" t="s">
        <v>89</v>
      </c>
      <c r="K4761" s="2" t="s">
        <v>26</v>
      </c>
      <c r="L4761" s="2">
        <v>4.2</v>
      </c>
      <c r="M4761" s="2">
        <v>480</v>
      </c>
      <c r="P4761" t="str">
        <f t="shared" si="299"/>
        <v>53%</v>
      </c>
      <c r="Q4761" s="12">
        <f t="shared" si="296"/>
        <v>0.53</v>
      </c>
      <c r="R4761" s="9">
        <f t="shared" si="297"/>
        <v>469.53</v>
      </c>
      <c r="S4761" s="9">
        <f>IF(R4761="",AVERAGEIF(Table1[Category],Table1[[#This Row],[Category]],Table2[orignal data]),Table2[[#This Row],[orignal data]])</f>
        <v>469.53</v>
      </c>
      <c r="T4761" t="str">
        <f t="shared" si="298"/>
        <v>UNIQUE</v>
      </c>
      <c r="U4761" t="str">
        <f>IF(ISBLANK(Table1[[#This Row],[SizeOption]]),"NOT AVAILABLE",Table1[[#This Row],[SizeOption]])</f>
        <v>S, M, L, XL</v>
      </c>
      <c r="Y4761" t="str">
        <f>IF(Table2[[#This Row],[Column1]]&gt;50%,"HIGH DISCOUNT","LOW DISCOUNT")</f>
        <v>HIGH DISCOUNT</v>
      </c>
    </row>
    <row r="4762" spans="1:25" x14ac:dyDescent="0.25">
      <c r="A4762" s="1" t="s">
        <v>9704</v>
      </c>
      <c r="B4762" s="1">
        <v>17382166</v>
      </c>
      <c r="C4762" s="1" t="s">
        <v>14</v>
      </c>
      <c r="D4762" s="1" t="s">
        <v>41</v>
      </c>
      <c r="E4762" s="1" t="s">
        <v>42</v>
      </c>
      <c r="F4762" s="1" t="s">
        <v>36</v>
      </c>
      <c r="G4762" s="1" t="s">
        <v>696</v>
      </c>
      <c r="I4762" s="1">
        <v>1698</v>
      </c>
      <c r="J4762" s="1"/>
      <c r="K4762" s="1" t="s">
        <v>45</v>
      </c>
      <c r="L4762" s="1">
        <v>3.9</v>
      </c>
      <c r="M4762" s="1">
        <v>480</v>
      </c>
      <c r="P4762" t="str">
        <f t="shared" si="299"/>
        <v/>
      </c>
      <c r="Q4762" s="12" t="str">
        <f t="shared" si="296"/>
        <v/>
      </c>
      <c r="R4762" s="9" t="str">
        <f t="shared" si="297"/>
        <v/>
      </c>
      <c r="S4762" s="9">
        <f>IF(R4762="",AVERAGEIF(Table1[Category],Table1[[#This Row],[Category]],Table2[orignal data]),Table2[[#This Row],[orignal data]])</f>
        <v>715.78890751086249</v>
      </c>
      <c r="T4762" t="str">
        <f t="shared" si="298"/>
        <v>UNIQUE</v>
      </c>
      <c r="U4762" t="str">
        <f>IF(ISBLANK(Table1[[#This Row],[SizeOption]]),"NOT AVAILABLE",Table1[[#This Row],[SizeOption]])</f>
        <v>XS, S, M, L, XL</v>
      </c>
      <c r="Y4762" t="str">
        <f>IF(Table2[[#This Row],[Column1]]&gt;50%,"HIGH DISCOUNT","LOW DISCOUNT")</f>
        <v>HIGH DISCOUNT</v>
      </c>
    </row>
    <row r="4763" spans="1:25" x14ac:dyDescent="0.25">
      <c r="A4763" s="2" t="s">
        <v>9705</v>
      </c>
      <c r="B4763" s="2">
        <v>11274538</v>
      </c>
      <c r="C4763" s="2" t="s">
        <v>14</v>
      </c>
      <c r="D4763" s="2" t="s">
        <v>15</v>
      </c>
      <c r="E4763" s="2" t="s">
        <v>16</v>
      </c>
      <c r="F4763" s="2" t="s">
        <v>17</v>
      </c>
      <c r="G4763" s="2" t="s">
        <v>918</v>
      </c>
      <c r="H4763">
        <v>679</v>
      </c>
      <c r="I4763" s="2">
        <v>1699</v>
      </c>
      <c r="J4763" s="2" t="s">
        <v>55</v>
      </c>
      <c r="K4763" s="2" t="s">
        <v>20</v>
      </c>
      <c r="L4763" s="2">
        <v>4.2</v>
      </c>
      <c r="M4763" s="2">
        <v>479</v>
      </c>
      <c r="P4763" t="str">
        <f t="shared" si="299"/>
        <v>60%</v>
      </c>
      <c r="Q4763" s="12">
        <f t="shared" si="296"/>
        <v>0.6</v>
      </c>
      <c r="R4763" s="9">
        <f t="shared" si="297"/>
        <v>679.6</v>
      </c>
      <c r="S4763" s="9">
        <f>IF(R4763="",AVERAGEIF(Table1[Category],Table1[[#This Row],[Category]],Table2[orignal data]),Table2[[#This Row],[orignal data]])</f>
        <v>679.6</v>
      </c>
      <c r="T4763" t="str">
        <f t="shared" si="298"/>
        <v>UNIQUE</v>
      </c>
      <c r="U4763" t="str">
        <f>IF(ISBLANK(Table1[[#This Row],[SizeOption]]),"NOT AVAILABLE",Table1[[#This Row],[SizeOption]])</f>
        <v>28, 30, 32, 34, 36</v>
      </c>
      <c r="Y4763" t="str">
        <f>IF(Table2[[#This Row],[Column1]]&gt;50%,"HIGH DISCOUNT","LOW DISCOUNT")</f>
        <v>HIGH DISCOUNT</v>
      </c>
    </row>
    <row r="4764" spans="1:25" x14ac:dyDescent="0.25">
      <c r="A4764" s="1" t="s">
        <v>9706</v>
      </c>
      <c r="B4764" s="1">
        <v>5387862</v>
      </c>
      <c r="C4764" s="1" t="s">
        <v>52</v>
      </c>
      <c r="D4764" s="1" t="s">
        <v>15</v>
      </c>
      <c r="E4764" s="1" t="s">
        <v>53</v>
      </c>
      <c r="F4764" s="1" t="s">
        <v>17</v>
      </c>
      <c r="G4764" s="1" t="s">
        <v>9707</v>
      </c>
      <c r="H4764">
        <v>610</v>
      </c>
      <c r="I4764" s="1">
        <v>1649</v>
      </c>
      <c r="J4764" s="1" t="s">
        <v>476</v>
      </c>
      <c r="K4764" s="1" t="s">
        <v>56</v>
      </c>
      <c r="L4764" s="1">
        <v>4</v>
      </c>
      <c r="M4764" s="1">
        <v>479</v>
      </c>
      <c r="P4764" t="str">
        <f t="shared" si="299"/>
        <v>63%</v>
      </c>
      <c r="Q4764" s="12">
        <f t="shared" si="296"/>
        <v>0.63</v>
      </c>
      <c r="R4764" s="9">
        <f t="shared" si="297"/>
        <v>610.12999999999988</v>
      </c>
      <c r="S4764" s="9">
        <f>IF(R4764="",AVERAGEIF(Table1[Category],Table1[[#This Row],[Category]],Table2[orignal data]),Table2[[#This Row],[orignal data]])</f>
        <v>610.12999999999988</v>
      </c>
      <c r="T4764" t="str">
        <f t="shared" si="298"/>
        <v>UNIQUE</v>
      </c>
      <c r="U4764" t="str">
        <f>IF(ISBLANK(Table1[[#This Row],[SizeOption]]),"NOT AVAILABLE",Table1[[#This Row],[SizeOption]])</f>
        <v>30, 32, 34, 36</v>
      </c>
      <c r="Y4764" t="str">
        <f>IF(Table2[[#This Row],[Column1]]&gt;50%,"HIGH DISCOUNT","LOW DISCOUNT")</f>
        <v>HIGH DISCOUNT</v>
      </c>
    </row>
    <row r="4765" spans="1:25" x14ac:dyDescent="0.25">
      <c r="A4765" s="2" t="s">
        <v>9708</v>
      </c>
      <c r="B4765" s="2">
        <v>9168531</v>
      </c>
      <c r="C4765" s="2" t="s">
        <v>794</v>
      </c>
      <c r="D4765" s="2" t="s">
        <v>197</v>
      </c>
      <c r="E4765" s="2" t="s">
        <v>4987</v>
      </c>
      <c r="F4765" s="2" t="s">
        <v>17</v>
      </c>
      <c r="G4765" s="2" t="s">
        <v>9709</v>
      </c>
      <c r="I4765" s="2">
        <v>749</v>
      </c>
      <c r="J4765" s="2"/>
      <c r="K4765" s="2" t="s">
        <v>352</v>
      </c>
      <c r="L4765" s="2">
        <v>4.4000000000000004</v>
      </c>
      <c r="M4765" s="2">
        <v>479</v>
      </c>
      <c r="P4765" t="str">
        <f t="shared" si="299"/>
        <v/>
      </c>
      <c r="Q4765" s="12" t="str">
        <f t="shared" si="296"/>
        <v/>
      </c>
      <c r="R4765" s="9" t="str">
        <f t="shared" si="297"/>
        <v/>
      </c>
      <c r="S4765" s="9">
        <f>IF(R4765="",AVERAGEIF(Table1[Category],Table1[[#This Row],[Category]],Table2[orignal data]),Table2[[#This Row],[orignal data]])</f>
        <v>552.70900000000006</v>
      </c>
      <c r="T4765" t="str">
        <f t="shared" si="298"/>
        <v>UNIQUE</v>
      </c>
      <c r="U4765" t="str">
        <f>IF(ISBLANK(Table1[[#This Row],[SizeOption]]),"NOT AVAILABLE",Table1[[#This Row],[SizeOption]])</f>
        <v>S, M, L</v>
      </c>
      <c r="Y4765" t="str">
        <f>IF(Table2[[#This Row],[Column1]]&gt;50%,"HIGH DISCOUNT","LOW DISCOUNT")</f>
        <v>HIGH DISCOUNT</v>
      </c>
    </row>
    <row r="4766" spans="1:25" x14ac:dyDescent="0.25">
      <c r="A4766" s="1" t="s">
        <v>9710</v>
      </c>
      <c r="B4766" s="1">
        <v>11785978</v>
      </c>
      <c r="C4766" s="1" t="s">
        <v>794</v>
      </c>
      <c r="D4766" s="1" t="s">
        <v>197</v>
      </c>
      <c r="E4766" s="1" t="s">
        <v>4987</v>
      </c>
      <c r="F4766" s="1" t="s">
        <v>17</v>
      </c>
      <c r="G4766" s="1" t="s">
        <v>9709</v>
      </c>
      <c r="I4766" s="1">
        <v>1498</v>
      </c>
      <c r="J4766" s="1"/>
      <c r="K4766" s="1" t="s">
        <v>5894</v>
      </c>
      <c r="L4766" s="1">
        <v>4.4000000000000004</v>
      </c>
      <c r="M4766" s="1">
        <v>479</v>
      </c>
      <c r="P4766" t="str">
        <f t="shared" si="299"/>
        <v/>
      </c>
      <c r="Q4766" s="12" t="str">
        <f t="shared" si="296"/>
        <v/>
      </c>
      <c r="R4766" s="9" t="str">
        <f t="shared" si="297"/>
        <v/>
      </c>
      <c r="S4766" s="9">
        <f>IF(R4766="",AVERAGEIF(Table1[Category],Table1[[#This Row],[Category]],Table2[orignal data]),Table2[[#This Row],[orignal data]])</f>
        <v>552.70900000000006</v>
      </c>
      <c r="T4766" t="str">
        <f t="shared" si="298"/>
        <v>UNIQUE</v>
      </c>
      <c r="U4766" t="str">
        <f>IF(ISBLANK(Table1[[#This Row],[SizeOption]]),"NOT AVAILABLE",Table1[[#This Row],[SizeOption]])</f>
        <v>M, S, L</v>
      </c>
      <c r="Y4766" t="str">
        <f>IF(Table2[[#This Row],[Column1]]&gt;50%,"HIGH DISCOUNT","LOW DISCOUNT")</f>
        <v>HIGH DISCOUNT</v>
      </c>
    </row>
    <row r="4767" spans="1:25" x14ac:dyDescent="0.25">
      <c r="A4767" s="2" t="s">
        <v>9711</v>
      </c>
      <c r="B4767" s="2">
        <v>5634534</v>
      </c>
      <c r="C4767" s="2" t="s">
        <v>4766</v>
      </c>
      <c r="D4767" s="2" t="s">
        <v>68</v>
      </c>
      <c r="E4767" s="2" t="s">
        <v>42</v>
      </c>
      <c r="F4767" s="2" t="s">
        <v>17</v>
      </c>
      <c r="G4767" s="2" t="s">
        <v>9712</v>
      </c>
      <c r="H4767">
        <v>519</v>
      </c>
      <c r="I4767" s="2">
        <v>1299</v>
      </c>
      <c r="J4767" s="2" t="s">
        <v>55</v>
      </c>
      <c r="K4767" s="2" t="s">
        <v>39</v>
      </c>
      <c r="L4767" s="2">
        <v>3.9</v>
      </c>
      <c r="M4767" s="2">
        <v>479</v>
      </c>
      <c r="P4767" t="str">
        <f t="shared" si="299"/>
        <v>60%</v>
      </c>
      <c r="Q4767" s="12">
        <f t="shared" si="296"/>
        <v>0.6</v>
      </c>
      <c r="R4767" s="9">
        <f t="shared" si="297"/>
        <v>519.6</v>
      </c>
      <c r="S4767" s="9">
        <f>IF(R4767="",AVERAGEIF(Table1[Category],Table1[[#This Row],[Category]],Table2[orignal data]),Table2[[#This Row],[orignal data]])</f>
        <v>519.6</v>
      </c>
      <c r="T4767" t="str">
        <f t="shared" si="298"/>
        <v>UNIQUE</v>
      </c>
      <c r="U4767" t="str">
        <f>IF(ISBLANK(Table1[[#This Row],[SizeOption]]),"NOT AVAILABLE",Table1[[#This Row],[SizeOption]])</f>
        <v>S, M, L, XL, XXL</v>
      </c>
      <c r="Y4767" t="str">
        <f>IF(Table2[[#This Row],[Column1]]&gt;50%,"HIGH DISCOUNT","LOW DISCOUNT")</f>
        <v>HIGH DISCOUNT</v>
      </c>
    </row>
    <row r="4768" spans="1:25" x14ac:dyDescent="0.25">
      <c r="A4768" s="1" t="s">
        <v>9713</v>
      </c>
      <c r="B4768" s="1">
        <v>12919564</v>
      </c>
      <c r="C4768" s="1" t="s">
        <v>14</v>
      </c>
      <c r="D4768" s="1" t="s">
        <v>28</v>
      </c>
      <c r="E4768" s="1" t="s">
        <v>29</v>
      </c>
      <c r="F4768" s="1" t="s">
        <v>17</v>
      </c>
      <c r="G4768" s="1" t="s">
        <v>9714</v>
      </c>
      <c r="H4768">
        <v>584</v>
      </c>
      <c r="I4768" s="1">
        <v>1299</v>
      </c>
      <c r="J4768" s="1" t="s">
        <v>25</v>
      </c>
      <c r="K4768" s="1" t="s">
        <v>253</v>
      </c>
      <c r="L4768" s="1">
        <v>4.2</v>
      </c>
      <c r="M4768" s="1">
        <v>479</v>
      </c>
      <c r="P4768" t="str">
        <f t="shared" si="299"/>
        <v>55%</v>
      </c>
      <c r="Q4768" s="12">
        <f t="shared" si="296"/>
        <v>0.55000000000000004</v>
      </c>
      <c r="R4768" s="9">
        <f t="shared" si="297"/>
        <v>584.54999999999995</v>
      </c>
      <c r="S4768" s="9">
        <f>IF(R4768="",AVERAGEIF(Table1[Category],Table1[[#This Row],[Category]],Table2[orignal data]),Table2[[#This Row],[orignal data]])</f>
        <v>584.54999999999995</v>
      </c>
      <c r="T4768" t="str">
        <f t="shared" si="298"/>
        <v>UNIQUE</v>
      </c>
      <c r="U4768" t="str">
        <f>IF(ISBLANK(Table1[[#This Row],[SizeOption]]),"NOT AVAILABLE",Table1[[#This Row],[SizeOption]])</f>
        <v>38, 40, 42, 44</v>
      </c>
      <c r="Y4768" t="str">
        <f>IF(Table2[[#This Row],[Column1]]&gt;50%,"HIGH DISCOUNT","LOW DISCOUNT")</f>
        <v>HIGH DISCOUNT</v>
      </c>
    </row>
    <row r="4769" spans="1:25" x14ac:dyDescent="0.25">
      <c r="A4769" s="2" t="s">
        <v>9715</v>
      </c>
      <c r="B4769" s="2">
        <v>10605186</v>
      </c>
      <c r="C4769" s="2" t="s">
        <v>420</v>
      </c>
      <c r="D4769" s="2" t="s">
        <v>28</v>
      </c>
      <c r="E4769" s="2" t="s">
        <v>306</v>
      </c>
      <c r="F4769" s="2" t="s">
        <v>17</v>
      </c>
      <c r="G4769" s="2" t="s">
        <v>1263</v>
      </c>
      <c r="H4769">
        <v>730</v>
      </c>
      <c r="I4769" s="2">
        <v>1699</v>
      </c>
      <c r="J4769" s="2" t="s">
        <v>130</v>
      </c>
      <c r="K4769" s="2" t="s">
        <v>26</v>
      </c>
      <c r="L4769" s="2">
        <v>4.0999999999999996</v>
      </c>
      <c r="M4769" s="2">
        <v>479</v>
      </c>
      <c r="P4769" t="str">
        <f t="shared" si="299"/>
        <v>57%</v>
      </c>
      <c r="Q4769" s="12">
        <f t="shared" si="296"/>
        <v>0.56999999999999995</v>
      </c>
      <c r="R4769" s="9">
        <f t="shared" si="297"/>
        <v>730.57</v>
      </c>
      <c r="S4769" s="9">
        <f>IF(R4769="",AVERAGEIF(Table1[Category],Table1[[#This Row],[Category]],Table2[orignal data]),Table2[[#This Row],[orignal data]])</f>
        <v>730.57</v>
      </c>
      <c r="T4769" t="str">
        <f t="shared" si="298"/>
        <v>UNIQUE</v>
      </c>
      <c r="U4769" t="str">
        <f>IF(ISBLANK(Table1[[#This Row],[SizeOption]]),"NOT AVAILABLE",Table1[[#This Row],[SizeOption]])</f>
        <v>S, M, L, XL</v>
      </c>
      <c r="Y4769" t="str">
        <f>IF(Table2[[#This Row],[Column1]]&gt;50%,"HIGH DISCOUNT","LOW DISCOUNT")</f>
        <v>HIGH DISCOUNT</v>
      </c>
    </row>
    <row r="4770" spans="1:25" x14ac:dyDescent="0.25">
      <c r="A4770" s="1" t="s">
        <v>9716</v>
      </c>
      <c r="B4770" s="1">
        <v>2338548</v>
      </c>
      <c r="C4770" s="1" t="s">
        <v>169</v>
      </c>
      <c r="D4770" s="1" t="s">
        <v>28</v>
      </c>
      <c r="E4770" s="1" t="s">
        <v>29</v>
      </c>
      <c r="F4770" s="1" t="s">
        <v>17</v>
      </c>
      <c r="G4770" s="1" t="s">
        <v>9717</v>
      </c>
      <c r="H4770">
        <v>1099</v>
      </c>
      <c r="I4770" s="1">
        <v>2199</v>
      </c>
      <c r="J4770" s="1" t="s">
        <v>84</v>
      </c>
      <c r="K4770" s="1" t="s">
        <v>484</v>
      </c>
      <c r="L4770" s="1">
        <v>4.4000000000000004</v>
      </c>
      <c r="M4770" s="1">
        <v>479</v>
      </c>
      <c r="P4770" t="str">
        <f t="shared" si="299"/>
        <v>50%</v>
      </c>
      <c r="Q4770" s="12">
        <f t="shared" si="296"/>
        <v>0.5</v>
      </c>
      <c r="R4770" s="9">
        <f t="shared" si="297"/>
        <v>1099.5</v>
      </c>
      <c r="S4770" s="9">
        <f>IF(R4770="",AVERAGEIF(Table1[Category],Table1[[#This Row],[Category]],Table2[orignal data]),Table2[[#This Row],[orignal data]])</f>
        <v>1099.5</v>
      </c>
      <c r="T4770" t="str">
        <f t="shared" si="298"/>
        <v>UNIQUE</v>
      </c>
      <c r="U4770" t="str">
        <f>IF(ISBLANK(Table1[[#This Row],[SizeOption]]),"NOT AVAILABLE",Table1[[#This Row],[SizeOption]])</f>
        <v>39, 40, 42, 44, 46</v>
      </c>
      <c r="Y4770" t="str">
        <f>IF(Table2[[#This Row],[Column1]]&gt;50%,"HIGH DISCOUNT","LOW DISCOUNT")</f>
        <v>LOW DISCOUNT</v>
      </c>
    </row>
    <row r="4771" spans="1:25" x14ac:dyDescent="0.25">
      <c r="A4771" s="2" t="s">
        <v>9718</v>
      </c>
      <c r="B4771" s="2">
        <v>12696206</v>
      </c>
      <c r="C4771" s="2" t="s">
        <v>490</v>
      </c>
      <c r="D4771" s="2" t="s">
        <v>28</v>
      </c>
      <c r="E4771" s="2" t="s">
        <v>42</v>
      </c>
      <c r="F4771" s="2" t="s">
        <v>17</v>
      </c>
      <c r="G4771" s="2" t="s">
        <v>9719</v>
      </c>
      <c r="I4771" s="2">
        <v>799</v>
      </c>
      <c r="J4771" s="2"/>
      <c r="K4771" s="2" t="s">
        <v>115</v>
      </c>
      <c r="L4771" s="2">
        <v>4.4000000000000004</v>
      </c>
      <c r="M4771" s="2">
        <v>479</v>
      </c>
      <c r="P4771" t="str">
        <f t="shared" si="299"/>
        <v/>
      </c>
      <c r="Q4771" s="12" t="str">
        <f t="shared" si="296"/>
        <v/>
      </c>
      <c r="R4771" s="9" t="str">
        <f t="shared" si="297"/>
        <v/>
      </c>
      <c r="S4771" s="9">
        <f>IF(R4771="",AVERAGEIF(Table1[Category],Table1[[#This Row],[Category]],Table2[orignal data]),Table2[[#This Row],[orignal data]])</f>
        <v>671.7823941958867</v>
      </c>
      <c r="T4771" t="str">
        <f t="shared" si="298"/>
        <v>UNIQUE</v>
      </c>
      <c r="U4771" t="str">
        <f>IF(ISBLANK(Table1[[#This Row],[SizeOption]]),"NOT AVAILABLE",Table1[[#This Row],[SizeOption]])</f>
        <v>XS, S, M, L, XL, XXL</v>
      </c>
      <c r="Y4771" t="str">
        <f>IF(Table2[[#This Row],[Column1]]&gt;50%,"HIGH DISCOUNT","LOW DISCOUNT")</f>
        <v>HIGH DISCOUNT</v>
      </c>
    </row>
    <row r="4772" spans="1:25" x14ac:dyDescent="0.25">
      <c r="A4772" s="1" t="s">
        <v>9720</v>
      </c>
      <c r="B4772" s="1">
        <v>13237918</v>
      </c>
      <c r="C4772" s="1" t="s">
        <v>113</v>
      </c>
      <c r="D4772" s="1" t="s">
        <v>76</v>
      </c>
      <c r="E4772" s="1" t="s">
        <v>77</v>
      </c>
      <c r="F4772" s="1" t="s">
        <v>36</v>
      </c>
      <c r="G4772" s="1" t="s">
        <v>9721</v>
      </c>
      <c r="H4772">
        <v>1549</v>
      </c>
      <c r="I4772" s="1">
        <v>3099</v>
      </c>
      <c r="J4772" s="1" t="s">
        <v>84</v>
      </c>
      <c r="K4772" s="1" t="s">
        <v>115</v>
      </c>
      <c r="L4772" s="1">
        <v>4.0999999999999996</v>
      </c>
      <c r="M4772" s="1">
        <v>479</v>
      </c>
      <c r="P4772" t="str">
        <f t="shared" si="299"/>
        <v>50%</v>
      </c>
      <c r="Q4772" s="12">
        <f t="shared" si="296"/>
        <v>0.5</v>
      </c>
      <c r="R4772" s="9">
        <f t="shared" si="297"/>
        <v>1549.5</v>
      </c>
      <c r="S4772" s="9">
        <f>IF(R4772="",AVERAGEIF(Table1[Category],Table1[[#This Row],[Category]],Table2[orignal data]),Table2[[#This Row],[orignal data]])</f>
        <v>1549.5</v>
      </c>
      <c r="T4772" t="str">
        <f t="shared" si="298"/>
        <v>UNIQUE</v>
      </c>
      <c r="U4772" t="str">
        <f>IF(ISBLANK(Table1[[#This Row],[SizeOption]]),"NOT AVAILABLE",Table1[[#This Row],[SizeOption]])</f>
        <v>XS, S, M, L, XL, XXL</v>
      </c>
      <c r="Y4772" t="str">
        <f>IF(Table2[[#This Row],[Column1]]&gt;50%,"HIGH DISCOUNT","LOW DISCOUNT")</f>
        <v>LOW DISCOUNT</v>
      </c>
    </row>
    <row r="4773" spans="1:25" x14ac:dyDescent="0.25">
      <c r="A4773" s="2" t="s">
        <v>9722</v>
      </c>
      <c r="B4773" s="2">
        <v>2039876</v>
      </c>
      <c r="C4773" s="2" t="s">
        <v>377</v>
      </c>
      <c r="D4773" s="2" t="s">
        <v>98</v>
      </c>
      <c r="E4773" s="2" t="s">
        <v>53</v>
      </c>
      <c r="F4773" s="2" t="s">
        <v>36</v>
      </c>
      <c r="G4773" s="2" t="s">
        <v>9723</v>
      </c>
      <c r="H4773">
        <v>623</v>
      </c>
      <c r="I4773" s="2">
        <v>1299</v>
      </c>
      <c r="J4773" s="2" t="s">
        <v>208</v>
      </c>
      <c r="K4773" s="2" t="s">
        <v>20</v>
      </c>
      <c r="L4773" s="2">
        <v>4.3</v>
      </c>
      <c r="M4773" s="2">
        <v>479</v>
      </c>
      <c r="P4773" t="str">
        <f t="shared" si="299"/>
        <v>52%</v>
      </c>
      <c r="Q4773" s="12">
        <f t="shared" si="296"/>
        <v>0.52</v>
      </c>
      <c r="R4773" s="9">
        <f t="shared" si="297"/>
        <v>623.52</v>
      </c>
      <c r="S4773" s="9">
        <f>IF(R4773="",AVERAGEIF(Table1[Category],Table1[[#This Row],[Category]],Table2[orignal data]),Table2[[#This Row],[orignal data]])</f>
        <v>623.52</v>
      </c>
      <c r="T4773" t="str">
        <f t="shared" si="298"/>
        <v>UNIQUE</v>
      </c>
      <c r="U4773" t="str">
        <f>IF(ISBLANK(Table1[[#This Row],[SizeOption]]),"NOT AVAILABLE",Table1[[#This Row],[SizeOption]])</f>
        <v>28, 30, 32, 34, 36</v>
      </c>
      <c r="Y4773" t="str">
        <f>IF(Table2[[#This Row],[Column1]]&gt;50%,"HIGH DISCOUNT","LOW DISCOUNT")</f>
        <v>HIGH DISCOUNT</v>
      </c>
    </row>
    <row r="4774" spans="1:25" x14ac:dyDescent="0.25">
      <c r="A4774" s="1" t="s">
        <v>9724</v>
      </c>
      <c r="B4774" s="1">
        <v>12663858</v>
      </c>
      <c r="C4774" s="1" t="s">
        <v>7343</v>
      </c>
      <c r="D4774" s="1" t="s">
        <v>98</v>
      </c>
      <c r="E4774" s="1" t="s">
        <v>93</v>
      </c>
      <c r="F4774" s="1" t="s">
        <v>36</v>
      </c>
      <c r="G4774" s="1" t="s">
        <v>9725</v>
      </c>
      <c r="H4774">
        <v>747</v>
      </c>
      <c r="I4774" s="1">
        <v>1699</v>
      </c>
      <c r="J4774" s="1" t="s">
        <v>1204</v>
      </c>
      <c r="K4774" s="1" t="s">
        <v>7345</v>
      </c>
      <c r="L4774" s="1">
        <v>4.4000000000000004</v>
      </c>
      <c r="M4774" s="1">
        <v>479</v>
      </c>
      <c r="P4774" t="str">
        <f t="shared" si="299"/>
        <v>56%</v>
      </c>
      <c r="Q4774" s="12">
        <f t="shared" si="296"/>
        <v>0.56000000000000005</v>
      </c>
      <c r="R4774" s="9">
        <f t="shared" si="297"/>
        <v>747.56</v>
      </c>
      <c r="S4774" s="9">
        <f>IF(R4774="",AVERAGEIF(Table1[Category],Table1[[#This Row],[Category]],Table2[orignal data]),Table2[[#This Row],[orignal data]])</f>
        <v>747.56</v>
      </c>
      <c r="T4774" t="str">
        <f t="shared" si="298"/>
        <v>UNIQUE</v>
      </c>
      <c r="U4774" t="str">
        <f>IF(ISBLANK(Table1[[#This Row],[SizeOption]]),"NOT AVAILABLE",Table1[[#This Row],[SizeOption]])</f>
        <v>3XL, 4XL, 5XL, 6XL</v>
      </c>
      <c r="Y4774" t="str">
        <f>IF(Table2[[#This Row],[Column1]]&gt;50%,"HIGH DISCOUNT","LOW DISCOUNT")</f>
        <v>HIGH DISCOUNT</v>
      </c>
    </row>
    <row r="4775" spans="1:25" x14ac:dyDescent="0.25">
      <c r="A4775" s="2" t="s">
        <v>9726</v>
      </c>
      <c r="B4775" s="2">
        <v>9295345</v>
      </c>
      <c r="C4775" s="2" t="s">
        <v>221</v>
      </c>
      <c r="D4775" s="2" t="s">
        <v>98</v>
      </c>
      <c r="E4775" s="2" t="s">
        <v>148</v>
      </c>
      <c r="F4775" s="2" t="s">
        <v>36</v>
      </c>
      <c r="G4775" s="2" t="s">
        <v>9727</v>
      </c>
      <c r="H4775">
        <v>659</v>
      </c>
      <c r="I4775" s="2">
        <v>2199</v>
      </c>
      <c r="J4775" s="2" t="s">
        <v>79</v>
      </c>
      <c r="K4775" s="2" t="s">
        <v>223</v>
      </c>
      <c r="L4775" s="2">
        <v>4.0999999999999996</v>
      </c>
      <c r="M4775" s="2">
        <v>479</v>
      </c>
      <c r="P4775" t="str">
        <f t="shared" si="299"/>
        <v>70%</v>
      </c>
      <c r="Q4775" s="12">
        <f t="shared" si="296"/>
        <v>0.7</v>
      </c>
      <c r="R4775" s="9">
        <f t="shared" si="297"/>
        <v>659.7</v>
      </c>
      <c r="S4775" s="9">
        <f>IF(R4775="",AVERAGEIF(Table1[Category],Table1[[#This Row],[Category]],Table2[orignal data]),Table2[[#This Row],[orignal data]])</f>
        <v>659.7</v>
      </c>
      <c r="T4775" t="str">
        <f t="shared" si="298"/>
        <v>UNIQUE</v>
      </c>
      <c r="U4775" t="str">
        <f>IF(ISBLANK(Table1[[#This Row],[SizeOption]]),"NOT AVAILABLE",Table1[[#This Row],[SizeOption]])</f>
        <v>S, M, L, XL, XXL, 3XL, 4XL</v>
      </c>
      <c r="Y4775" t="str">
        <f>IF(Table2[[#This Row],[Column1]]&gt;50%,"HIGH DISCOUNT","LOW DISCOUNT")</f>
        <v>HIGH DISCOUNT</v>
      </c>
    </row>
    <row r="4776" spans="1:25" x14ac:dyDescent="0.25">
      <c r="A4776" s="1" t="s">
        <v>9728</v>
      </c>
      <c r="B4776" s="1">
        <v>10216863</v>
      </c>
      <c r="C4776" s="1" t="s">
        <v>201</v>
      </c>
      <c r="D4776" s="1" t="s">
        <v>98</v>
      </c>
      <c r="E4776" s="1" t="s">
        <v>148</v>
      </c>
      <c r="F4776" s="1" t="s">
        <v>36</v>
      </c>
      <c r="G4776" s="1" t="s">
        <v>9729</v>
      </c>
      <c r="H4776">
        <v>959</v>
      </c>
      <c r="I4776" s="1">
        <v>2399</v>
      </c>
      <c r="J4776" s="1" t="s">
        <v>141</v>
      </c>
      <c r="K4776" s="1" t="s">
        <v>115</v>
      </c>
      <c r="L4776" s="1">
        <v>4</v>
      </c>
      <c r="M4776" s="1">
        <v>479</v>
      </c>
      <c r="P4776" t="str">
        <f t="shared" si="299"/>
        <v>60%</v>
      </c>
      <c r="Q4776" s="12">
        <f t="shared" si="296"/>
        <v>0.6</v>
      </c>
      <c r="R4776" s="9">
        <f t="shared" si="297"/>
        <v>959.60000000000014</v>
      </c>
      <c r="S4776" s="9">
        <f>IF(R4776="",AVERAGEIF(Table1[Category],Table1[[#This Row],[Category]],Table2[orignal data]),Table2[[#This Row],[orignal data]])</f>
        <v>959.60000000000014</v>
      </c>
      <c r="T4776" t="str">
        <f t="shared" si="298"/>
        <v>UNIQUE</v>
      </c>
      <c r="U4776" t="str">
        <f>IF(ISBLANK(Table1[[#This Row],[SizeOption]]),"NOT AVAILABLE",Table1[[#This Row],[SizeOption]])</f>
        <v>XS, S, M, L, XL, XXL</v>
      </c>
      <c r="Y4776" t="str">
        <f>IF(Table2[[#This Row],[Column1]]&gt;50%,"HIGH DISCOUNT","LOW DISCOUNT")</f>
        <v>HIGH DISCOUNT</v>
      </c>
    </row>
    <row r="4777" spans="1:25" x14ac:dyDescent="0.25">
      <c r="A4777" s="2" t="s">
        <v>9730</v>
      </c>
      <c r="B4777" s="2">
        <v>10658926</v>
      </c>
      <c r="C4777" s="2" t="s">
        <v>124</v>
      </c>
      <c r="D4777" s="2" t="s">
        <v>41</v>
      </c>
      <c r="E4777" s="2" t="s">
        <v>48</v>
      </c>
      <c r="F4777" s="2" t="s">
        <v>36</v>
      </c>
      <c r="G4777" s="2" t="s">
        <v>9731</v>
      </c>
      <c r="I4777" s="2">
        <v>1199</v>
      </c>
      <c r="J4777" s="2" t="s">
        <v>104</v>
      </c>
      <c r="K4777" s="2" t="s">
        <v>115</v>
      </c>
      <c r="L4777" s="2">
        <v>4.3</v>
      </c>
      <c r="M4777" s="2">
        <v>479</v>
      </c>
      <c r="P4777" t="str">
        <f t="shared" si="299"/>
        <v>61%</v>
      </c>
      <c r="Q4777" s="12">
        <f t="shared" si="296"/>
        <v>0.61</v>
      </c>
      <c r="R4777" s="9">
        <f t="shared" si="297"/>
        <v>467.61</v>
      </c>
      <c r="S4777" s="9">
        <f>IF(R4777="",AVERAGEIF(Table1[Category],Table1[[#This Row],[Category]],Table2[orignal data]),Table2[[#This Row],[orignal data]])</f>
        <v>467.61</v>
      </c>
      <c r="T4777" t="str">
        <f t="shared" si="298"/>
        <v>UNIQUE</v>
      </c>
      <c r="U4777" t="str">
        <f>IF(ISBLANK(Table1[[#This Row],[SizeOption]]),"NOT AVAILABLE",Table1[[#This Row],[SizeOption]])</f>
        <v>XS, S, M, L, XL, XXL</v>
      </c>
      <c r="Y4777" t="str">
        <f>IF(Table2[[#This Row],[Column1]]&gt;50%,"HIGH DISCOUNT","LOW DISCOUNT")</f>
        <v>HIGH DISCOUNT</v>
      </c>
    </row>
    <row r="4778" spans="1:25" x14ac:dyDescent="0.25">
      <c r="A4778" s="1" t="s">
        <v>9732</v>
      </c>
      <c r="B4778" s="1">
        <v>13298956</v>
      </c>
      <c r="C4778" s="1" t="s">
        <v>14</v>
      </c>
      <c r="D4778" s="1" t="s">
        <v>41</v>
      </c>
      <c r="E4778" s="1" t="s">
        <v>48</v>
      </c>
      <c r="F4778" s="1" t="s">
        <v>36</v>
      </c>
      <c r="G4778" s="1" t="s">
        <v>9733</v>
      </c>
      <c r="I4778" s="1">
        <v>1299</v>
      </c>
      <c r="J4778" s="1" t="s">
        <v>4584</v>
      </c>
      <c r="K4778" s="1" t="s">
        <v>115</v>
      </c>
      <c r="L4778" s="1">
        <v>4.0999999999999996</v>
      </c>
      <c r="M4778" s="1">
        <v>479</v>
      </c>
      <c r="P4778" t="str">
        <f t="shared" si="299"/>
        <v>800</v>
      </c>
      <c r="Q4778" s="12">
        <f t="shared" si="296"/>
        <v>0.61585835257890686</v>
      </c>
      <c r="R4778" s="9">
        <f t="shared" si="297"/>
        <v>499</v>
      </c>
      <c r="S4778" s="9">
        <f>IF(R4778="",AVERAGEIF(Table1[Category],Table1[[#This Row],[Category]],Table2[orignal data]),Table2[[#This Row],[orignal data]])</f>
        <v>499</v>
      </c>
      <c r="T4778" t="str">
        <f t="shared" si="298"/>
        <v>UNIQUE</v>
      </c>
      <c r="U4778" t="str">
        <f>IF(ISBLANK(Table1[[#This Row],[SizeOption]]),"NOT AVAILABLE",Table1[[#This Row],[SizeOption]])</f>
        <v>XS, S, M, L, XL, XXL</v>
      </c>
      <c r="Y4778" t="str">
        <f>IF(Table2[[#This Row],[Column1]]&gt;50%,"HIGH DISCOUNT","LOW DISCOUNT")</f>
        <v>HIGH DISCOUNT</v>
      </c>
    </row>
    <row r="4779" spans="1:25" x14ac:dyDescent="0.25">
      <c r="A4779" s="2" t="s">
        <v>9734</v>
      </c>
      <c r="B4779" s="2">
        <v>10856280</v>
      </c>
      <c r="C4779" s="2" t="s">
        <v>181</v>
      </c>
      <c r="D4779" s="2" t="s">
        <v>41</v>
      </c>
      <c r="E4779" s="2" t="s">
        <v>53</v>
      </c>
      <c r="F4779" s="2" t="s">
        <v>36</v>
      </c>
      <c r="G4779" s="2" t="s">
        <v>9735</v>
      </c>
      <c r="I4779" s="2">
        <v>1399</v>
      </c>
      <c r="J4779" s="2" t="s">
        <v>19</v>
      </c>
      <c r="K4779" s="2" t="s">
        <v>134</v>
      </c>
      <c r="L4779" s="2">
        <v>3.8</v>
      </c>
      <c r="M4779" s="2">
        <v>479</v>
      </c>
      <c r="P4779" t="str">
        <f t="shared" si="299"/>
        <v>45%</v>
      </c>
      <c r="Q4779" s="12">
        <f t="shared" si="296"/>
        <v>0.45</v>
      </c>
      <c r="R4779" s="9">
        <f t="shared" si="297"/>
        <v>769.44999999999993</v>
      </c>
      <c r="S4779" s="9">
        <f>IF(R4779="",AVERAGEIF(Table1[Category],Table1[[#This Row],[Category]],Table2[orignal data]),Table2[[#This Row],[orignal data]])</f>
        <v>769.44999999999993</v>
      </c>
      <c r="T4779" t="str">
        <f t="shared" si="298"/>
        <v>UNIQUE</v>
      </c>
      <c r="U4779" t="str">
        <f>IF(ISBLANK(Table1[[#This Row],[SizeOption]]),"NOT AVAILABLE",Table1[[#This Row],[SizeOption]])</f>
        <v>26, 28, 30, 32, 34, 36</v>
      </c>
      <c r="Y4779" t="str">
        <f>IF(Table2[[#This Row],[Column1]]&gt;50%,"HIGH DISCOUNT","LOW DISCOUNT")</f>
        <v>LOW DISCOUNT</v>
      </c>
    </row>
    <row r="4780" spans="1:25" x14ac:dyDescent="0.25">
      <c r="A4780" s="1" t="s">
        <v>9736</v>
      </c>
      <c r="B4780" s="1">
        <v>5294229</v>
      </c>
      <c r="C4780" s="1" t="s">
        <v>4731</v>
      </c>
      <c r="D4780" s="1" t="s">
        <v>41</v>
      </c>
      <c r="E4780" s="1" t="s">
        <v>148</v>
      </c>
      <c r="F4780" s="1" t="s">
        <v>36</v>
      </c>
      <c r="G4780" s="1" t="s">
        <v>9737</v>
      </c>
      <c r="I4780" s="1">
        <v>1599</v>
      </c>
      <c r="J4780" s="1" t="s">
        <v>25</v>
      </c>
      <c r="K4780" s="1" t="s">
        <v>26</v>
      </c>
      <c r="L4780" s="1">
        <v>4.2</v>
      </c>
      <c r="M4780" s="1">
        <v>479</v>
      </c>
      <c r="P4780" t="str">
        <f t="shared" si="299"/>
        <v>55%</v>
      </c>
      <c r="Q4780" s="12">
        <f t="shared" si="296"/>
        <v>0.55000000000000004</v>
      </c>
      <c r="R4780" s="9">
        <f t="shared" si="297"/>
        <v>719.55</v>
      </c>
      <c r="S4780" s="9">
        <f>IF(R4780="",AVERAGEIF(Table1[Category],Table1[[#This Row],[Category]],Table2[orignal data]),Table2[[#This Row],[orignal data]])</f>
        <v>719.55</v>
      </c>
      <c r="T4780" t="str">
        <f t="shared" si="298"/>
        <v>UNIQUE</v>
      </c>
      <c r="U4780" t="str">
        <f>IF(ISBLANK(Table1[[#This Row],[SizeOption]]),"NOT AVAILABLE",Table1[[#This Row],[SizeOption]])</f>
        <v>S, M, L, XL</v>
      </c>
      <c r="Y4780" t="str">
        <f>IF(Table2[[#This Row],[Column1]]&gt;50%,"HIGH DISCOUNT","LOW DISCOUNT")</f>
        <v>HIGH DISCOUNT</v>
      </c>
    </row>
    <row r="4781" spans="1:25" x14ac:dyDescent="0.25">
      <c r="A4781" s="2" t="s">
        <v>9738</v>
      </c>
      <c r="B4781" s="2">
        <v>9341449</v>
      </c>
      <c r="C4781" s="2" t="s">
        <v>676</v>
      </c>
      <c r="D4781" s="2" t="s">
        <v>41</v>
      </c>
      <c r="E4781" s="2" t="s">
        <v>48</v>
      </c>
      <c r="F4781" s="2" t="s">
        <v>36</v>
      </c>
      <c r="G4781" s="2" t="s">
        <v>2417</v>
      </c>
      <c r="I4781" s="2">
        <v>1998</v>
      </c>
      <c r="J4781" s="2" t="s">
        <v>84</v>
      </c>
      <c r="K4781" s="2" t="s">
        <v>26</v>
      </c>
      <c r="L4781" s="2">
        <v>3.6</v>
      </c>
      <c r="M4781" s="2">
        <v>479</v>
      </c>
      <c r="P4781" t="str">
        <f t="shared" si="299"/>
        <v>50%</v>
      </c>
      <c r="Q4781" s="12">
        <f t="shared" si="296"/>
        <v>0.5</v>
      </c>
      <c r="R4781" s="9">
        <f t="shared" si="297"/>
        <v>999</v>
      </c>
      <c r="S4781" s="9">
        <f>IF(R4781="",AVERAGEIF(Table1[Category],Table1[[#This Row],[Category]],Table2[orignal data]),Table2[[#This Row],[orignal data]])</f>
        <v>999</v>
      </c>
      <c r="T4781" t="str">
        <f t="shared" si="298"/>
        <v>UNIQUE</v>
      </c>
      <c r="U4781" t="str">
        <f>IF(ISBLANK(Table1[[#This Row],[SizeOption]]),"NOT AVAILABLE",Table1[[#This Row],[SizeOption]])</f>
        <v>S, M, L, XL</v>
      </c>
      <c r="Y4781" t="str">
        <f>IF(Table2[[#This Row],[Column1]]&gt;50%,"HIGH DISCOUNT","LOW DISCOUNT")</f>
        <v>LOW DISCOUNT</v>
      </c>
    </row>
    <row r="4782" spans="1:25" x14ac:dyDescent="0.25">
      <c r="A4782" s="1" t="s">
        <v>9739</v>
      </c>
      <c r="B4782" s="1">
        <v>10162047</v>
      </c>
      <c r="C4782" s="1" t="s">
        <v>107</v>
      </c>
      <c r="D4782" s="1" t="s">
        <v>41</v>
      </c>
      <c r="E4782" s="1" t="s">
        <v>48</v>
      </c>
      <c r="F4782" s="1" t="s">
        <v>36</v>
      </c>
      <c r="G4782" s="1" t="s">
        <v>9740</v>
      </c>
      <c r="I4782" s="1">
        <v>1999</v>
      </c>
      <c r="J4782" s="1" t="s">
        <v>150</v>
      </c>
      <c r="K4782" s="1" t="s">
        <v>45</v>
      </c>
      <c r="L4782" s="1">
        <v>4.2</v>
      </c>
      <c r="M4782" s="1">
        <v>479</v>
      </c>
      <c r="P4782" t="str">
        <f t="shared" si="299"/>
        <v>65%</v>
      </c>
      <c r="Q4782" s="12">
        <f t="shared" si="296"/>
        <v>0.65</v>
      </c>
      <c r="R4782" s="9">
        <f t="shared" si="297"/>
        <v>699.64999999999986</v>
      </c>
      <c r="S4782" s="9">
        <f>IF(R4782="",AVERAGEIF(Table1[Category],Table1[[#This Row],[Category]],Table2[orignal data]),Table2[[#This Row],[orignal data]])</f>
        <v>699.64999999999986</v>
      </c>
      <c r="T4782" t="str">
        <f t="shared" si="298"/>
        <v>UNIQUE</v>
      </c>
      <c r="U4782" t="str">
        <f>IF(ISBLANK(Table1[[#This Row],[SizeOption]]),"NOT AVAILABLE",Table1[[#This Row],[SizeOption]])</f>
        <v>XS, S, M, L, XL</v>
      </c>
      <c r="Y4782" t="str">
        <f>IF(Table2[[#This Row],[Column1]]&gt;50%,"HIGH DISCOUNT","LOW DISCOUNT")</f>
        <v>HIGH DISCOUNT</v>
      </c>
    </row>
    <row r="4783" spans="1:25" x14ac:dyDescent="0.25">
      <c r="A4783" s="2" t="s">
        <v>9741</v>
      </c>
      <c r="B4783" s="2">
        <v>10833302</v>
      </c>
      <c r="C4783" s="2" t="s">
        <v>181</v>
      </c>
      <c r="D4783" s="2" t="s">
        <v>41</v>
      </c>
      <c r="E4783" s="2" t="s">
        <v>82</v>
      </c>
      <c r="F4783" s="2" t="s">
        <v>36</v>
      </c>
      <c r="G4783" s="2" t="s">
        <v>9742</v>
      </c>
      <c r="I4783" s="2">
        <v>2199</v>
      </c>
      <c r="J4783" s="2" t="s">
        <v>1204</v>
      </c>
      <c r="K4783" s="2" t="s">
        <v>115</v>
      </c>
      <c r="L4783" s="2">
        <v>4.5</v>
      </c>
      <c r="M4783" s="2">
        <v>479</v>
      </c>
      <c r="P4783" t="str">
        <f t="shared" si="299"/>
        <v>56%</v>
      </c>
      <c r="Q4783" s="12">
        <f t="shared" si="296"/>
        <v>0.56000000000000005</v>
      </c>
      <c r="R4783" s="9">
        <f t="shared" si="297"/>
        <v>967.56</v>
      </c>
      <c r="S4783" s="9">
        <f>IF(R4783="",AVERAGEIF(Table1[Category],Table1[[#This Row],[Category]],Table2[orignal data]),Table2[[#This Row],[orignal data]])</f>
        <v>967.56</v>
      </c>
      <c r="T4783" t="str">
        <f t="shared" si="298"/>
        <v>UNIQUE</v>
      </c>
      <c r="U4783" t="str">
        <f>IF(ISBLANK(Table1[[#This Row],[SizeOption]]),"NOT AVAILABLE",Table1[[#This Row],[SizeOption]])</f>
        <v>XS, S, M, L, XL, XXL</v>
      </c>
      <c r="Y4783" t="str">
        <f>IF(Table2[[#This Row],[Column1]]&gt;50%,"HIGH DISCOUNT","LOW DISCOUNT")</f>
        <v>HIGH DISCOUNT</v>
      </c>
    </row>
    <row r="4784" spans="1:25" x14ac:dyDescent="0.25">
      <c r="A4784" s="1" t="s">
        <v>9743</v>
      </c>
      <c r="B4784" s="1">
        <v>8394647</v>
      </c>
      <c r="C4784" s="1" t="s">
        <v>1127</v>
      </c>
      <c r="D4784" s="1" t="s">
        <v>41</v>
      </c>
      <c r="E4784" s="1" t="s">
        <v>189</v>
      </c>
      <c r="F4784" s="1" t="s">
        <v>36</v>
      </c>
      <c r="G4784" s="1" t="s">
        <v>9744</v>
      </c>
      <c r="I4784" s="1">
        <v>2999</v>
      </c>
      <c r="J4784" s="1" t="s">
        <v>543</v>
      </c>
      <c r="K4784" s="1" t="s">
        <v>26</v>
      </c>
      <c r="L4784" s="1">
        <v>4.2</v>
      </c>
      <c r="M4784" s="1">
        <v>479</v>
      </c>
      <c r="P4784" t="str">
        <f t="shared" si="299"/>
        <v>67%</v>
      </c>
      <c r="Q4784" s="12">
        <f t="shared" si="296"/>
        <v>0.67</v>
      </c>
      <c r="R4784" s="9">
        <f t="shared" si="297"/>
        <v>989.66999999999985</v>
      </c>
      <c r="S4784" s="9">
        <f>IF(R4784="",AVERAGEIF(Table1[Category],Table1[[#This Row],[Category]],Table2[orignal data]),Table2[[#This Row],[orignal data]])</f>
        <v>989.66999999999985</v>
      </c>
      <c r="T4784" t="str">
        <f t="shared" si="298"/>
        <v>UNIQUE</v>
      </c>
      <c r="U4784" t="str">
        <f>IF(ISBLANK(Table1[[#This Row],[SizeOption]]),"NOT AVAILABLE",Table1[[#This Row],[SizeOption]])</f>
        <v>S, M, L, XL</v>
      </c>
      <c r="Y4784" t="str">
        <f>IF(Table2[[#This Row],[Column1]]&gt;50%,"HIGH DISCOUNT","LOW DISCOUNT")</f>
        <v>HIGH DISCOUNT</v>
      </c>
    </row>
    <row r="4785" spans="1:25" x14ac:dyDescent="0.25">
      <c r="A4785" s="2" t="s">
        <v>9745</v>
      </c>
      <c r="B4785" s="2">
        <v>11037656</v>
      </c>
      <c r="C4785" s="2" t="s">
        <v>346</v>
      </c>
      <c r="D4785" s="2" t="s">
        <v>41</v>
      </c>
      <c r="E4785" s="2" t="s">
        <v>42</v>
      </c>
      <c r="F4785" s="2" t="s">
        <v>36</v>
      </c>
      <c r="G4785" s="2" t="s">
        <v>9746</v>
      </c>
      <c r="I4785" s="2">
        <v>849</v>
      </c>
      <c r="J4785" s="2" t="s">
        <v>19</v>
      </c>
      <c r="K4785" s="2" t="s">
        <v>45</v>
      </c>
      <c r="L4785" s="2">
        <v>4.2</v>
      </c>
      <c r="M4785" s="2">
        <v>479</v>
      </c>
      <c r="P4785" t="str">
        <f t="shared" si="299"/>
        <v>45%</v>
      </c>
      <c r="Q4785" s="12">
        <f t="shared" si="296"/>
        <v>0.45</v>
      </c>
      <c r="R4785" s="9">
        <f t="shared" si="297"/>
        <v>466.95</v>
      </c>
      <c r="S4785" s="9">
        <f>IF(R4785="",AVERAGEIF(Table1[Category],Table1[[#This Row],[Category]],Table2[orignal data]),Table2[[#This Row],[orignal data]])</f>
        <v>466.95</v>
      </c>
      <c r="T4785" t="str">
        <f t="shared" si="298"/>
        <v>UNIQUE</v>
      </c>
      <c r="U4785" t="str">
        <f>IF(ISBLANK(Table1[[#This Row],[SizeOption]]),"NOT AVAILABLE",Table1[[#This Row],[SizeOption]])</f>
        <v>XS, S, M, L, XL</v>
      </c>
      <c r="Y4785" t="str">
        <f>IF(Table2[[#This Row],[Column1]]&gt;50%,"HIGH DISCOUNT","LOW DISCOUNT")</f>
        <v>LOW DISCOUNT</v>
      </c>
    </row>
    <row r="4786" spans="1:25" x14ac:dyDescent="0.25">
      <c r="A4786" s="1" t="s">
        <v>9747</v>
      </c>
      <c r="B4786" s="1">
        <v>2477111</v>
      </c>
      <c r="C4786" s="1" t="s">
        <v>169</v>
      </c>
      <c r="D4786" s="1" t="s">
        <v>15</v>
      </c>
      <c r="E4786" s="1" t="s">
        <v>16</v>
      </c>
      <c r="F4786" s="1" t="s">
        <v>17</v>
      </c>
      <c r="G4786" s="1" t="s">
        <v>2900</v>
      </c>
      <c r="H4786">
        <v>1679</v>
      </c>
      <c r="I4786" s="1">
        <v>2799</v>
      </c>
      <c r="J4786" s="1" t="s">
        <v>50</v>
      </c>
      <c r="K4786" s="1" t="s">
        <v>171</v>
      </c>
      <c r="L4786" s="1">
        <v>4.0999999999999996</v>
      </c>
      <c r="M4786" s="1">
        <v>478</v>
      </c>
      <c r="P4786" t="str">
        <f t="shared" si="299"/>
        <v>40%</v>
      </c>
      <c r="Q4786" s="12">
        <f t="shared" si="296"/>
        <v>0.4</v>
      </c>
      <c r="R4786" s="9">
        <f t="shared" si="297"/>
        <v>1679.3999999999999</v>
      </c>
      <c r="S4786" s="9">
        <f>IF(R4786="",AVERAGEIF(Table1[Category],Table1[[#This Row],[Category]],Table2[orignal data]),Table2[[#This Row],[orignal data]])</f>
        <v>1679.3999999999999</v>
      </c>
      <c r="T4786" t="str">
        <f t="shared" si="298"/>
        <v>UNIQUE</v>
      </c>
      <c r="U4786" t="str">
        <f>IF(ISBLANK(Table1[[#This Row],[SizeOption]]),"NOT AVAILABLE",Table1[[#This Row],[SizeOption]])</f>
        <v>28, 30, 32, 34, 36, 38</v>
      </c>
      <c r="Y4786" t="str">
        <f>IF(Table2[[#This Row],[Column1]]&gt;50%,"HIGH DISCOUNT","LOW DISCOUNT")</f>
        <v>LOW DISCOUNT</v>
      </c>
    </row>
    <row r="4787" spans="1:25" x14ac:dyDescent="0.25">
      <c r="A4787" s="2" t="s">
        <v>9748</v>
      </c>
      <c r="B4787" s="2">
        <v>4446820</v>
      </c>
      <c r="C4787" s="2" t="s">
        <v>9749</v>
      </c>
      <c r="D4787" s="2" t="s">
        <v>15</v>
      </c>
      <c r="E4787" s="2" t="s">
        <v>16</v>
      </c>
      <c r="F4787" s="2" t="s">
        <v>17</v>
      </c>
      <c r="G4787" s="2" t="s">
        <v>9750</v>
      </c>
      <c r="H4787">
        <v>1639</v>
      </c>
      <c r="I4787" s="2">
        <v>1999</v>
      </c>
      <c r="J4787" s="2" t="s">
        <v>3014</v>
      </c>
      <c r="K4787" s="2" t="s">
        <v>6798</v>
      </c>
      <c r="L4787" s="2">
        <v>4.4000000000000004</v>
      </c>
      <c r="M4787" s="2">
        <v>478</v>
      </c>
      <c r="P4787" t="str">
        <f t="shared" si="299"/>
        <v>18%</v>
      </c>
      <c r="Q4787" s="12">
        <f t="shared" si="296"/>
        <v>0.18</v>
      </c>
      <c r="R4787" s="9">
        <f t="shared" si="297"/>
        <v>1639.18</v>
      </c>
      <c r="S4787" s="9">
        <f>IF(R4787="",AVERAGEIF(Table1[Category],Table1[[#This Row],[Category]],Table2[orignal data]),Table2[[#This Row],[orignal data]])</f>
        <v>1639.18</v>
      </c>
      <c r="T4787" t="str">
        <f t="shared" si="298"/>
        <v>UNIQUE</v>
      </c>
      <c r="U4787" t="str">
        <f>IF(ISBLANK(Table1[[#This Row],[SizeOption]]),"NOT AVAILABLE",Table1[[#This Row],[SizeOption]])</f>
        <v>36, 38, 40, 42, 44, 46, 48, 50, 52, 54</v>
      </c>
      <c r="Y4787" t="str">
        <f>IF(Table2[[#This Row],[Column1]]&gt;50%,"HIGH DISCOUNT","LOW DISCOUNT")</f>
        <v>LOW DISCOUNT</v>
      </c>
    </row>
    <row r="4788" spans="1:25" x14ac:dyDescent="0.25">
      <c r="A4788" s="1" t="s">
        <v>9751</v>
      </c>
      <c r="B4788" s="1">
        <v>10236761</v>
      </c>
      <c r="C4788" s="1" t="s">
        <v>1176</v>
      </c>
      <c r="D4788" s="1" t="s">
        <v>15</v>
      </c>
      <c r="E4788" s="1" t="s">
        <v>23</v>
      </c>
      <c r="F4788" s="1" t="s">
        <v>17</v>
      </c>
      <c r="G4788" s="1" t="s">
        <v>9752</v>
      </c>
      <c r="H4788">
        <v>624</v>
      </c>
      <c r="I4788" s="1">
        <v>1329</v>
      </c>
      <c r="J4788" s="1" t="s">
        <v>89</v>
      </c>
      <c r="K4788" s="1" t="s">
        <v>1341</v>
      </c>
      <c r="L4788" s="1">
        <v>3.8</v>
      </c>
      <c r="M4788" s="1">
        <v>478</v>
      </c>
      <c r="P4788" t="str">
        <f t="shared" si="299"/>
        <v>53%</v>
      </c>
      <c r="Q4788" s="12">
        <f t="shared" si="296"/>
        <v>0.53</v>
      </c>
      <c r="R4788" s="9">
        <f t="shared" si="297"/>
        <v>624.63</v>
      </c>
      <c r="S4788" s="9">
        <f>IF(R4788="",AVERAGEIF(Table1[Category],Table1[[#This Row],[Category]],Table2[orignal data]),Table2[[#This Row],[orignal data]])</f>
        <v>624.63</v>
      </c>
      <c r="T4788" t="str">
        <f t="shared" si="298"/>
        <v>UNIQUE</v>
      </c>
      <c r="U4788" t="str">
        <f>IF(ISBLANK(Table1[[#This Row],[SizeOption]]),"NOT AVAILABLE",Table1[[#This Row],[SizeOption]])</f>
        <v>M, L, XL</v>
      </c>
      <c r="Y4788" t="str">
        <f>IF(Table2[[#This Row],[Column1]]&gt;50%,"HIGH DISCOUNT","LOW DISCOUNT")</f>
        <v>HIGH DISCOUNT</v>
      </c>
    </row>
    <row r="4789" spans="1:25" x14ac:dyDescent="0.25">
      <c r="A4789" s="2" t="s">
        <v>9753</v>
      </c>
      <c r="B4789" s="2">
        <v>16265466</v>
      </c>
      <c r="C4789" s="2" t="s">
        <v>5462</v>
      </c>
      <c r="D4789" s="2" t="s">
        <v>68</v>
      </c>
      <c r="E4789" s="2" t="s">
        <v>42</v>
      </c>
      <c r="F4789" s="2" t="s">
        <v>17</v>
      </c>
      <c r="G4789" s="2" t="s">
        <v>9754</v>
      </c>
      <c r="H4789">
        <v>1104</v>
      </c>
      <c r="I4789" s="2">
        <v>1299</v>
      </c>
      <c r="J4789" s="2" t="s">
        <v>786</v>
      </c>
      <c r="K4789" s="2" t="s">
        <v>26</v>
      </c>
      <c r="L4789" s="2">
        <v>4.4000000000000004</v>
      </c>
      <c r="M4789" s="2">
        <v>478</v>
      </c>
      <c r="P4789" t="str">
        <f t="shared" si="299"/>
        <v>15%</v>
      </c>
      <c r="Q4789" s="12">
        <f t="shared" si="296"/>
        <v>0.15</v>
      </c>
      <c r="R4789" s="9">
        <f t="shared" si="297"/>
        <v>1104.1500000000001</v>
      </c>
      <c r="S4789" s="9">
        <f>IF(R4789="",AVERAGEIF(Table1[Category],Table1[[#This Row],[Category]],Table2[orignal data]),Table2[[#This Row],[orignal data]])</f>
        <v>1104.1500000000001</v>
      </c>
      <c r="T4789" t="str">
        <f t="shared" si="298"/>
        <v>UNIQUE</v>
      </c>
      <c r="U4789" t="str">
        <f>IF(ISBLANK(Table1[[#This Row],[SizeOption]]),"NOT AVAILABLE",Table1[[#This Row],[SizeOption]])</f>
        <v>S, M, L, XL</v>
      </c>
      <c r="Y4789" t="str">
        <f>IF(Table2[[#This Row],[Column1]]&gt;50%,"HIGH DISCOUNT","LOW DISCOUNT")</f>
        <v>LOW DISCOUNT</v>
      </c>
    </row>
    <row r="4790" spans="1:25" x14ac:dyDescent="0.25">
      <c r="A4790" s="1" t="s">
        <v>9755</v>
      </c>
      <c r="B4790" s="1">
        <v>8217415</v>
      </c>
      <c r="C4790" s="1" t="s">
        <v>5462</v>
      </c>
      <c r="D4790" s="1" t="s">
        <v>68</v>
      </c>
      <c r="E4790" s="1" t="s">
        <v>189</v>
      </c>
      <c r="F4790" s="1" t="s">
        <v>17</v>
      </c>
      <c r="G4790" s="1" t="s">
        <v>9756</v>
      </c>
      <c r="H4790">
        <v>1874</v>
      </c>
      <c r="I4790" s="1">
        <v>2499</v>
      </c>
      <c r="J4790" s="1" t="s">
        <v>282</v>
      </c>
      <c r="K4790" s="1" t="s">
        <v>39</v>
      </c>
      <c r="L4790" s="1">
        <v>4.0999999999999996</v>
      </c>
      <c r="M4790" s="1">
        <v>478</v>
      </c>
      <c r="P4790" t="str">
        <f t="shared" si="299"/>
        <v>25%</v>
      </c>
      <c r="Q4790" s="12">
        <f t="shared" si="296"/>
        <v>0.25</v>
      </c>
      <c r="R4790" s="9">
        <f t="shared" si="297"/>
        <v>1874.25</v>
      </c>
      <c r="S4790" s="9">
        <f>IF(R4790="",AVERAGEIF(Table1[Category],Table1[[#This Row],[Category]],Table2[orignal data]),Table2[[#This Row],[orignal data]])</f>
        <v>1874.25</v>
      </c>
      <c r="T4790" t="str">
        <f t="shared" si="298"/>
        <v>UNIQUE</v>
      </c>
      <c r="U4790" t="str">
        <f>IF(ISBLANK(Table1[[#This Row],[SizeOption]]),"NOT AVAILABLE",Table1[[#This Row],[SizeOption]])</f>
        <v>S, M, L, XL, XXL</v>
      </c>
      <c r="Y4790" t="str">
        <f>IF(Table2[[#This Row],[Column1]]&gt;50%,"HIGH DISCOUNT","LOW DISCOUNT")</f>
        <v>LOW DISCOUNT</v>
      </c>
    </row>
    <row r="4791" spans="1:25" x14ac:dyDescent="0.25">
      <c r="A4791" s="2" t="s">
        <v>9757</v>
      </c>
      <c r="B4791" s="2">
        <v>7739997</v>
      </c>
      <c r="C4791" s="2" t="s">
        <v>779</v>
      </c>
      <c r="D4791" s="2" t="s">
        <v>34</v>
      </c>
      <c r="E4791" s="2" t="s">
        <v>118</v>
      </c>
      <c r="F4791" s="2" t="s">
        <v>36</v>
      </c>
      <c r="G4791" s="2" t="s">
        <v>9758</v>
      </c>
      <c r="H4791">
        <v>599</v>
      </c>
      <c r="I4791" s="2">
        <v>749</v>
      </c>
      <c r="J4791" s="2" t="s">
        <v>412</v>
      </c>
      <c r="K4791" s="2" t="s">
        <v>26</v>
      </c>
      <c r="L4791" s="2">
        <v>4.3</v>
      </c>
      <c r="M4791" s="2">
        <v>478</v>
      </c>
      <c r="P4791" t="str">
        <f t="shared" si="299"/>
        <v>20%</v>
      </c>
      <c r="Q4791" s="12">
        <f t="shared" si="296"/>
        <v>0.2</v>
      </c>
      <c r="R4791" s="9">
        <f t="shared" si="297"/>
        <v>599.20000000000005</v>
      </c>
      <c r="S4791" s="9">
        <f>IF(R4791="",AVERAGEIF(Table1[Category],Table1[[#This Row],[Category]],Table2[orignal data]),Table2[[#This Row],[orignal data]])</f>
        <v>599.20000000000005</v>
      </c>
      <c r="T4791" t="str">
        <f t="shared" si="298"/>
        <v>UNIQUE</v>
      </c>
      <c r="U4791" t="str">
        <f>IF(ISBLANK(Table1[[#This Row],[SizeOption]]),"NOT AVAILABLE",Table1[[#This Row],[SizeOption]])</f>
        <v>S, M, L, XL</v>
      </c>
      <c r="Y4791" t="str">
        <f>IF(Table2[[#This Row],[Column1]]&gt;50%,"HIGH DISCOUNT","LOW DISCOUNT")</f>
        <v>LOW DISCOUNT</v>
      </c>
    </row>
    <row r="4792" spans="1:25" x14ac:dyDescent="0.25">
      <c r="A4792" s="1" t="s">
        <v>9759</v>
      </c>
      <c r="B4792" s="1">
        <v>10967624</v>
      </c>
      <c r="C4792" s="1" t="s">
        <v>14</v>
      </c>
      <c r="D4792" s="1" t="s">
        <v>41</v>
      </c>
      <c r="E4792" s="1" t="s">
        <v>579</v>
      </c>
      <c r="F4792" s="1" t="s">
        <v>36</v>
      </c>
      <c r="G4792" s="1" t="s">
        <v>9760</v>
      </c>
      <c r="I4792" s="1">
        <v>1299</v>
      </c>
      <c r="J4792" s="1" t="s">
        <v>25</v>
      </c>
      <c r="K4792" s="1" t="s">
        <v>134</v>
      </c>
      <c r="L4792" s="1">
        <v>4.5</v>
      </c>
      <c r="M4792" s="1">
        <v>478</v>
      </c>
      <c r="P4792" t="str">
        <f t="shared" si="299"/>
        <v>55%</v>
      </c>
      <c r="Q4792" s="12">
        <f t="shared" si="296"/>
        <v>0.55000000000000004</v>
      </c>
      <c r="R4792" s="9">
        <f t="shared" si="297"/>
        <v>584.54999999999995</v>
      </c>
      <c r="S4792" s="9">
        <f>IF(R4792="",AVERAGEIF(Table1[Category],Table1[[#This Row],[Category]],Table2[orignal data]),Table2[[#This Row],[orignal data]])</f>
        <v>584.54999999999995</v>
      </c>
      <c r="T4792" t="str">
        <f t="shared" si="298"/>
        <v>UNIQUE</v>
      </c>
      <c r="U4792" t="str">
        <f>IF(ISBLANK(Table1[[#This Row],[SizeOption]]),"NOT AVAILABLE",Table1[[#This Row],[SizeOption]])</f>
        <v>26, 28, 30, 32, 34, 36</v>
      </c>
      <c r="Y4792" t="str">
        <f>IF(Table2[[#This Row],[Column1]]&gt;50%,"HIGH DISCOUNT","LOW DISCOUNT")</f>
        <v>HIGH DISCOUNT</v>
      </c>
    </row>
    <row r="4793" spans="1:25" x14ac:dyDescent="0.25">
      <c r="A4793" s="2" t="s">
        <v>9761</v>
      </c>
      <c r="B4793" s="2">
        <v>13527020</v>
      </c>
      <c r="C4793" s="2" t="s">
        <v>92</v>
      </c>
      <c r="D4793" s="2" t="s">
        <v>41</v>
      </c>
      <c r="E4793" s="2" t="s">
        <v>148</v>
      </c>
      <c r="F4793" s="2" t="s">
        <v>36</v>
      </c>
      <c r="G4793" s="2" t="s">
        <v>9762</v>
      </c>
      <c r="I4793" s="2">
        <v>1549</v>
      </c>
      <c r="J4793" s="2" t="s">
        <v>104</v>
      </c>
      <c r="K4793" s="2" t="s">
        <v>39</v>
      </c>
      <c r="L4793" s="2">
        <v>4.2</v>
      </c>
      <c r="M4793" s="2">
        <v>478</v>
      </c>
      <c r="P4793" t="str">
        <f t="shared" si="299"/>
        <v>61%</v>
      </c>
      <c r="Q4793" s="12">
        <f t="shared" si="296"/>
        <v>0.61</v>
      </c>
      <c r="R4793" s="9">
        <f t="shared" si="297"/>
        <v>604.11</v>
      </c>
      <c r="S4793" s="9">
        <f>IF(R4793="",AVERAGEIF(Table1[Category],Table1[[#This Row],[Category]],Table2[orignal data]),Table2[[#This Row],[orignal data]])</f>
        <v>604.11</v>
      </c>
      <c r="T4793" t="str">
        <f t="shared" si="298"/>
        <v>UNIQUE</v>
      </c>
      <c r="U4793" t="str">
        <f>IF(ISBLANK(Table1[[#This Row],[SizeOption]]),"NOT AVAILABLE",Table1[[#This Row],[SizeOption]])</f>
        <v>S, M, L, XL, XXL</v>
      </c>
      <c r="Y4793" t="str">
        <f>IF(Table2[[#This Row],[Column1]]&gt;50%,"HIGH DISCOUNT","LOW DISCOUNT")</f>
        <v>HIGH DISCOUNT</v>
      </c>
    </row>
    <row r="4794" spans="1:25" x14ac:dyDescent="0.25">
      <c r="A4794" s="1" t="s">
        <v>9763</v>
      </c>
      <c r="B4794" s="1">
        <v>9254649</v>
      </c>
      <c r="C4794" s="1" t="s">
        <v>271</v>
      </c>
      <c r="D4794" s="1" t="s">
        <v>41</v>
      </c>
      <c r="E4794" s="1" t="s">
        <v>148</v>
      </c>
      <c r="F4794" s="1" t="s">
        <v>36</v>
      </c>
      <c r="G4794" s="1" t="s">
        <v>9764</v>
      </c>
      <c r="I4794" s="1">
        <v>1799</v>
      </c>
      <c r="J4794" s="1" t="s">
        <v>150</v>
      </c>
      <c r="K4794" s="1" t="s">
        <v>45</v>
      </c>
      <c r="L4794" s="1">
        <v>3.9</v>
      </c>
      <c r="M4794" s="1">
        <v>478</v>
      </c>
      <c r="P4794" t="str">
        <f t="shared" si="299"/>
        <v>65%</v>
      </c>
      <c r="Q4794" s="12">
        <f t="shared" si="296"/>
        <v>0.65</v>
      </c>
      <c r="R4794" s="9">
        <f t="shared" si="297"/>
        <v>629.64999999999986</v>
      </c>
      <c r="S4794" s="9">
        <f>IF(R4794="",AVERAGEIF(Table1[Category],Table1[[#This Row],[Category]],Table2[orignal data]),Table2[[#This Row],[orignal data]])</f>
        <v>629.64999999999986</v>
      </c>
      <c r="T4794" t="str">
        <f t="shared" si="298"/>
        <v>UNIQUE</v>
      </c>
      <c r="U4794" t="str">
        <f>IF(ISBLANK(Table1[[#This Row],[SizeOption]]),"NOT AVAILABLE",Table1[[#This Row],[SizeOption]])</f>
        <v>XS, S, M, L, XL</v>
      </c>
      <c r="Y4794" t="str">
        <f>IF(Table2[[#This Row],[Column1]]&gt;50%,"HIGH DISCOUNT","LOW DISCOUNT")</f>
        <v>HIGH DISCOUNT</v>
      </c>
    </row>
    <row r="4795" spans="1:25" x14ac:dyDescent="0.25">
      <c r="A4795" s="2" t="s">
        <v>9765</v>
      </c>
      <c r="B4795" s="2">
        <v>8300831</v>
      </c>
      <c r="C4795" s="2" t="s">
        <v>14</v>
      </c>
      <c r="D4795" s="2" t="s">
        <v>41</v>
      </c>
      <c r="E4795" s="2" t="s">
        <v>16</v>
      </c>
      <c r="F4795" s="2" t="s">
        <v>36</v>
      </c>
      <c r="G4795" s="2" t="s">
        <v>9766</v>
      </c>
      <c r="I4795" s="2">
        <v>1899</v>
      </c>
      <c r="J4795" s="2" t="s">
        <v>50</v>
      </c>
      <c r="K4795" s="2" t="s">
        <v>134</v>
      </c>
      <c r="L4795" s="2">
        <v>3.8</v>
      </c>
      <c r="M4795" s="2">
        <v>478</v>
      </c>
      <c r="P4795" t="str">
        <f t="shared" si="299"/>
        <v>40%</v>
      </c>
      <c r="Q4795" s="12">
        <f t="shared" si="296"/>
        <v>0.4</v>
      </c>
      <c r="R4795" s="9">
        <f t="shared" si="297"/>
        <v>1139.4000000000001</v>
      </c>
      <c r="S4795" s="9">
        <f>IF(R4795="",AVERAGEIF(Table1[Category],Table1[[#This Row],[Category]],Table2[orignal data]),Table2[[#This Row],[orignal data]])</f>
        <v>1139.4000000000001</v>
      </c>
      <c r="T4795" t="str">
        <f t="shared" si="298"/>
        <v>UNIQUE</v>
      </c>
      <c r="U4795" t="str">
        <f>IF(ISBLANK(Table1[[#This Row],[SizeOption]]),"NOT AVAILABLE",Table1[[#This Row],[SizeOption]])</f>
        <v>26, 28, 30, 32, 34, 36</v>
      </c>
      <c r="Y4795" t="str">
        <f>IF(Table2[[#This Row],[Column1]]&gt;50%,"HIGH DISCOUNT","LOW DISCOUNT")</f>
        <v>LOW DISCOUNT</v>
      </c>
    </row>
    <row r="4796" spans="1:25" x14ac:dyDescent="0.25">
      <c r="A4796" s="1" t="s">
        <v>9767</v>
      </c>
      <c r="B4796" s="1">
        <v>9341703</v>
      </c>
      <c r="C4796" s="1" t="s">
        <v>676</v>
      </c>
      <c r="D4796" s="1" t="s">
        <v>41</v>
      </c>
      <c r="E4796" s="1" t="s">
        <v>48</v>
      </c>
      <c r="F4796" s="1" t="s">
        <v>36</v>
      </c>
      <c r="G4796" s="1" t="s">
        <v>6846</v>
      </c>
      <c r="I4796" s="1">
        <v>2098</v>
      </c>
      <c r="J4796" s="1" t="s">
        <v>84</v>
      </c>
      <c r="K4796" s="1" t="s">
        <v>26</v>
      </c>
      <c r="L4796" s="1">
        <v>3.6</v>
      </c>
      <c r="M4796" s="1">
        <v>478</v>
      </c>
      <c r="P4796" t="str">
        <f t="shared" si="299"/>
        <v>50%</v>
      </c>
      <c r="Q4796" s="12">
        <f t="shared" si="296"/>
        <v>0.5</v>
      </c>
      <c r="R4796" s="9">
        <f t="shared" si="297"/>
        <v>1049</v>
      </c>
      <c r="S4796" s="9">
        <f>IF(R4796="",AVERAGEIF(Table1[Category],Table1[[#This Row],[Category]],Table2[orignal data]),Table2[[#This Row],[orignal data]])</f>
        <v>1049</v>
      </c>
      <c r="T4796" t="str">
        <f t="shared" si="298"/>
        <v>UNIQUE</v>
      </c>
      <c r="U4796" t="str">
        <f>IF(ISBLANK(Table1[[#This Row],[SizeOption]]),"NOT AVAILABLE",Table1[[#This Row],[SizeOption]])</f>
        <v>S, M, L, XL</v>
      </c>
      <c r="Y4796" t="str">
        <f>IF(Table2[[#This Row],[Column1]]&gt;50%,"HIGH DISCOUNT","LOW DISCOUNT")</f>
        <v>LOW DISCOUNT</v>
      </c>
    </row>
    <row r="4797" spans="1:25" x14ac:dyDescent="0.25">
      <c r="A4797" s="2" t="s">
        <v>9768</v>
      </c>
      <c r="B4797" s="2">
        <v>7417312</v>
      </c>
      <c r="C4797" s="2" t="s">
        <v>887</v>
      </c>
      <c r="D4797" s="2" t="s">
        <v>41</v>
      </c>
      <c r="E4797" s="2" t="s">
        <v>148</v>
      </c>
      <c r="F4797" s="2" t="s">
        <v>36</v>
      </c>
      <c r="G4797" s="2" t="s">
        <v>9769</v>
      </c>
      <c r="I4797" s="2">
        <v>3200</v>
      </c>
      <c r="J4797" s="2" t="s">
        <v>2415</v>
      </c>
      <c r="K4797" s="2" t="s">
        <v>26</v>
      </c>
      <c r="L4797" s="2">
        <v>4.4000000000000004</v>
      </c>
      <c r="M4797" s="2">
        <v>478</v>
      </c>
      <c r="P4797" t="str">
        <f t="shared" si="299"/>
        <v>46%</v>
      </c>
      <c r="Q4797" s="12">
        <f t="shared" si="296"/>
        <v>0.46</v>
      </c>
      <c r="R4797" s="9">
        <f t="shared" si="297"/>
        <v>1728</v>
      </c>
      <c r="S4797" s="9">
        <f>IF(R4797="",AVERAGEIF(Table1[Category],Table1[[#This Row],[Category]],Table2[orignal data]),Table2[[#This Row],[orignal data]])</f>
        <v>1728</v>
      </c>
      <c r="T4797" t="str">
        <f t="shared" si="298"/>
        <v>UNIQUE</v>
      </c>
      <c r="U4797" t="str">
        <f>IF(ISBLANK(Table1[[#This Row],[SizeOption]]),"NOT AVAILABLE",Table1[[#This Row],[SizeOption]])</f>
        <v>S, M, L, XL</v>
      </c>
      <c r="Y4797" t="str">
        <f>IF(Table2[[#This Row],[Column1]]&gt;50%,"HIGH DISCOUNT","LOW DISCOUNT")</f>
        <v>LOW DISCOUNT</v>
      </c>
    </row>
    <row r="4798" spans="1:25" x14ac:dyDescent="0.25">
      <c r="A4798" s="1" t="s">
        <v>9770</v>
      </c>
      <c r="B4798" s="1">
        <v>10301011</v>
      </c>
      <c r="C4798" s="1" t="s">
        <v>14</v>
      </c>
      <c r="D4798" s="1" t="s">
        <v>41</v>
      </c>
      <c r="E4798" s="1" t="s">
        <v>42</v>
      </c>
      <c r="F4798" s="1" t="s">
        <v>36</v>
      </c>
      <c r="G4798" s="1" t="s">
        <v>9771</v>
      </c>
      <c r="I4798" s="1">
        <v>599</v>
      </c>
      <c r="J4798" s="1" t="s">
        <v>19</v>
      </c>
      <c r="K4798" s="1" t="s">
        <v>45</v>
      </c>
      <c r="L4798" s="1">
        <v>4.3</v>
      </c>
      <c r="M4798" s="1">
        <v>478</v>
      </c>
      <c r="P4798" t="str">
        <f t="shared" si="299"/>
        <v>45%</v>
      </c>
      <c r="Q4798" s="12">
        <f t="shared" si="296"/>
        <v>0.45</v>
      </c>
      <c r="R4798" s="9">
        <f t="shared" si="297"/>
        <v>329.45</v>
      </c>
      <c r="S4798" s="9">
        <f>IF(R4798="",AVERAGEIF(Table1[Category],Table1[[#This Row],[Category]],Table2[orignal data]),Table2[[#This Row],[orignal data]])</f>
        <v>329.45</v>
      </c>
      <c r="T4798" t="str">
        <f t="shared" si="298"/>
        <v>UNIQUE</v>
      </c>
      <c r="U4798" t="str">
        <f>IF(ISBLANK(Table1[[#This Row],[SizeOption]]),"NOT AVAILABLE",Table1[[#This Row],[SizeOption]])</f>
        <v>XS, S, M, L, XL</v>
      </c>
      <c r="Y4798" t="str">
        <f>IF(Table2[[#This Row],[Column1]]&gt;50%,"HIGH DISCOUNT","LOW DISCOUNT")</f>
        <v>LOW DISCOUNT</v>
      </c>
    </row>
    <row r="4799" spans="1:25" x14ac:dyDescent="0.25">
      <c r="A4799" s="2" t="s">
        <v>9772</v>
      </c>
      <c r="B4799" s="2">
        <v>12822672</v>
      </c>
      <c r="C4799" s="2" t="s">
        <v>92</v>
      </c>
      <c r="D4799" s="2" t="s">
        <v>41</v>
      </c>
      <c r="E4799" s="2" t="s">
        <v>53</v>
      </c>
      <c r="F4799" s="2" t="s">
        <v>36</v>
      </c>
      <c r="G4799" s="2" t="s">
        <v>9773</v>
      </c>
      <c r="I4799" s="2">
        <v>899</v>
      </c>
      <c r="J4799" s="2" t="s">
        <v>416</v>
      </c>
      <c r="K4799" s="2" t="s">
        <v>20</v>
      </c>
      <c r="L4799" s="2">
        <v>3.9</v>
      </c>
      <c r="M4799" s="2">
        <v>478</v>
      </c>
      <c r="P4799" t="str">
        <f t="shared" si="299"/>
        <v>64%</v>
      </c>
      <c r="Q4799" s="12">
        <f t="shared" si="296"/>
        <v>0.64</v>
      </c>
      <c r="R4799" s="9">
        <f t="shared" si="297"/>
        <v>323.64</v>
      </c>
      <c r="S4799" s="9">
        <f>IF(R4799="",AVERAGEIF(Table1[Category],Table1[[#This Row],[Category]],Table2[orignal data]),Table2[[#This Row],[orignal data]])</f>
        <v>323.64</v>
      </c>
      <c r="T4799" t="str">
        <f t="shared" si="298"/>
        <v>UNIQUE</v>
      </c>
      <c r="U4799" t="str">
        <f>IF(ISBLANK(Table1[[#This Row],[SizeOption]]),"NOT AVAILABLE",Table1[[#This Row],[SizeOption]])</f>
        <v>28, 30, 32, 34, 36</v>
      </c>
      <c r="Y4799" t="str">
        <f>IF(Table2[[#This Row],[Column1]]&gt;50%,"HIGH DISCOUNT","LOW DISCOUNT")</f>
        <v>HIGH DISCOUNT</v>
      </c>
    </row>
    <row r="4800" spans="1:25" x14ac:dyDescent="0.25">
      <c r="A4800" s="1" t="s">
        <v>9774</v>
      </c>
      <c r="B4800" s="1">
        <v>17383254</v>
      </c>
      <c r="C4800" s="1" t="s">
        <v>14</v>
      </c>
      <c r="D4800" s="1" t="s">
        <v>41</v>
      </c>
      <c r="E4800" s="1" t="s">
        <v>42</v>
      </c>
      <c r="F4800" s="1" t="s">
        <v>36</v>
      </c>
      <c r="G4800" s="1" t="s">
        <v>9775</v>
      </c>
      <c r="I4800" s="1">
        <v>1598</v>
      </c>
      <c r="J4800" s="1"/>
      <c r="K4800" s="1" t="s">
        <v>447</v>
      </c>
      <c r="L4800" s="1">
        <v>4.4000000000000004</v>
      </c>
      <c r="M4800" s="1">
        <v>478</v>
      </c>
      <c r="P4800" t="str">
        <f t="shared" si="299"/>
        <v/>
      </c>
      <c r="Q4800" s="12" t="str">
        <f t="shared" si="296"/>
        <v/>
      </c>
      <c r="R4800" s="9" t="str">
        <f t="shared" si="297"/>
        <v/>
      </c>
      <c r="S4800" s="9">
        <f>IF(R4800="",AVERAGEIF(Table1[Category],Table1[[#This Row],[Category]],Table2[orignal data]),Table2[[#This Row],[orignal data]])</f>
        <v>715.78890751086249</v>
      </c>
      <c r="T4800" t="str">
        <f t="shared" si="298"/>
        <v>UNIQUE</v>
      </c>
      <c r="U4800" t="str">
        <f>IF(ISBLANK(Table1[[#This Row],[SizeOption]]),"NOT AVAILABLE",Table1[[#This Row],[SizeOption]])</f>
        <v>M, S, XS, XL, L</v>
      </c>
      <c r="Y4800" t="str">
        <f>IF(Table2[[#This Row],[Column1]]&gt;50%,"HIGH DISCOUNT","LOW DISCOUNT")</f>
        <v>HIGH DISCOUNT</v>
      </c>
    </row>
    <row r="4801" spans="1:25" x14ac:dyDescent="0.25">
      <c r="A4801" s="2" t="s">
        <v>9776</v>
      </c>
      <c r="B4801" s="2">
        <v>10242711</v>
      </c>
      <c r="C4801" s="2" t="s">
        <v>9777</v>
      </c>
      <c r="D4801" s="2" t="s">
        <v>41</v>
      </c>
      <c r="E4801" s="2" t="s">
        <v>53</v>
      </c>
      <c r="F4801" s="2" t="s">
        <v>36</v>
      </c>
      <c r="G4801" s="2" t="s">
        <v>9778</v>
      </c>
      <c r="I4801" s="2">
        <v>2795</v>
      </c>
      <c r="J4801" s="2"/>
      <c r="K4801" s="2" t="s">
        <v>428</v>
      </c>
      <c r="L4801" s="2">
        <v>4.2</v>
      </c>
      <c r="M4801" s="2">
        <v>478</v>
      </c>
      <c r="P4801" t="str">
        <f t="shared" si="299"/>
        <v/>
      </c>
      <c r="Q4801" s="12" t="str">
        <f t="shared" si="296"/>
        <v/>
      </c>
      <c r="R4801" s="9" t="str">
        <f t="shared" si="297"/>
        <v/>
      </c>
      <c r="S4801" s="9">
        <f>IF(R4801="",AVERAGEIF(Table1[Category],Table1[[#This Row],[Category]],Table2[orignal data]),Table2[[#This Row],[orignal data]])</f>
        <v>715.78890751086249</v>
      </c>
      <c r="T4801" t="str">
        <f t="shared" si="298"/>
        <v>UNIQUE</v>
      </c>
      <c r="U4801" t="str">
        <f>IF(ISBLANK(Table1[[#This Row],[SizeOption]]),"NOT AVAILABLE",Table1[[#This Row],[SizeOption]])</f>
        <v>26, 28, 30, 32, 34</v>
      </c>
      <c r="Y4801" t="str">
        <f>IF(Table2[[#This Row],[Column1]]&gt;50%,"HIGH DISCOUNT","LOW DISCOUNT")</f>
        <v>HIGH DISCOUNT</v>
      </c>
    </row>
    <row r="4802" spans="1:25" x14ac:dyDescent="0.25">
      <c r="A4802" s="1" t="s">
        <v>9779</v>
      </c>
      <c r="B4802" s="1">
        <v>11354726</v>
      </c>
      <c r="C4802" s="1" t="s">
        <v>14</v>
      </c>
      <c r="D4802" s="1" t="s">
        <v>15</v>
      </c>
      <c r="E4802" s="1" t="s">
        <v>53</v>
      </c>
      <c r="F4802" s="1" t="s">
        <v>17</v>
      </c>
      <c r="G4802" s="1" t="s">
        <v>9780</v>
      </c>
      <c r="I4802" s="1">
        <v>2299</v>
      </c>
      <c r="J4802" s="1"/>
      <c r="K4802" s="1" t="s">
        <v>20</v>
      </c>
      <c r="L4802" s="1">
        <v>4.3</v>
      </c>
      <c r="M4802" s="1">
        <v>477</v>
      </c>
      <c r="P4802" t="str">
        <f t="shared" si="299"/>
        <v/>
      </c>
      <c r="Q4802" s="12" t="str">
        <f t="shared" ref="Q4802:Q4865" si="300">IF(P4802="","",IF(ISNUMBER(SEARCH("%",P4802)),P4802,P4802/I4802)*100%)</f>
        <v/>
      </c>
      <c r="R4802" s="9" t="str">
        <f t="shared" ref="R4802:R4865" si="301">IF(P4802="","",I4802-(I4802*Q4802))</f>
        <v/>
      </c>
      <c r="S4802" s="9">
        <f>IF(R4802="",AVERAGEIF(Table1[Category],Table1[[#This Row],[Category]],Table2[orignal data]),Table2[[#This Row],[orignal data]])</f>
        <v>892.27590339892538</v>
      </c>
      <c r="T4802" t="str">
        <f t="shared" ref="T4802:T4865" si="302">IF(COUNTIF($B$2:$B$5000,B4802)&gt;1,"DUPLICATE","UNIQUE")</f>
        <v>UNIQUE</v>
      </c>
      <c r="U4802" t="str">
        <f>IF(ISBLANK(Table1[[#This Row],[SizeOption]]),"NOT AVAILABLE",Table1[[#This Row],[SizeOption]])</f>
        <v>28, 30, 32, 34, 36</v>
      </c>
      <c r="Y4802" t="str">
        <f>IF(Table2[[#This Row],[Column1]]&gt;50%,"HIGH DISCOUNT","LOW DISCOUNT")</f>
        <v>HIGH DISCOUNT</v>
      </c>
    </row>
    <row r="4803" spans="1:25" x14ac:dyDescent="0.25">
      <c r="A4803" s="2" t="s">
        <v>9781</v>
      </c>
      <c r="B4803" s="2">
        <v>9966833</v>
      </c>
      <c r="C4803" s="2" t="s">
        <v>938</v>
      </c>
      <c r="D4803" s="2" t="s">
        <v>197</v>
      </c>
      <c r="E4803" s="2" t="s">
        <v>939</v>
      </c>
      <c r="F4803" s="2" t="s">
        <v>17</v>
      </c>
      <c r="G4803" s="2" t="s">
        <v>9782</v>
      </c>
      <c r="H4803">
        <v>629</v>
      </c>
      <c r="I4803" s="2">
        <v>1499</v>
      </c>
      <c r="J4803" s="2" t="s">
        <v>60</v>
      </c>
      <c r="K4803" s="2" t="s">
        <v>39</v>
      </c>
      <c r="L4803" s="2">
        <v>4.0999999999999996</v>
      </c>
      <c r="M4803" s="2">
        <v>477</v>
      </c>
      <c r="P4803" t="str">
        <f t="shared" ref="P4803:P4866" si="303">TRIM(SUBSTITUTE(SUBSTITUTE(SUBSTITUTE(SUBSTITUTE(J4803,"OFF",""),"Rs.",""),"Hurry*",""),",",""))</f>
        <v>58%</v>
      </c>
      <c r="Q4803" s="12">
        <f t="shared" si="300"/>
        <v>0.57999999999999996</v>
      </c>
      <c r="R4803" s="9">
        <f t="shared" si="301"/>
        <v>629.58000000000004</v>
      </c>
      <c r="S4803" s="9">
        <f>IF(R4803="",AVERAGEIF(Table1[Category],Table1[[#This Row],[Category]],Table2[orignal data]),Table2[[#This Row],[orignal data]])</f>
        <v>629.58000000000004</v>
      </c>
      <c r="T4803" t="str">
        <f t="shared" si="302"/>
        <v>UNIQUE</v>
      </c>
      <c r="U4803" t="str">
        <f>IF(ISBLANK(Table1[[#This Row],[SizeOption]]),"NOT AVAILABLE",Table1[[#This Row],[SizeOption]])</f>
        <v>S, M, L, XL, XXL</v>
      </c>
      <c r="Y4803" t="str">
        <f>IF(Table2[[#This Row],[Column1]]&gt;50%,"HIGH DISCOUNT","LOW DISCOUNT")</f>
        <v>HIGH DISCOUNT</v>
      </c>
    </row>
    <row r="4804" spans="1:25" x14ac:dyDescent="0.25">
      <c r="A4804" s="1" t="s">
        <v>9783</v>
      </c>
      <c r="B4804" s="1">
        <v>11326188</v>
      </c>
      <c r="C4804" s="1" t="s">
        <v>14</v>
      </c>
      <c r="D4804" s="1" t="s">
        <v>28</v>
      </c>
      <c r="E4804" s="1" t="s">
        <v>29</v>
      </c>
      <c r="F4804" s="1" t="s">
        <v>17</v>
      </c>
      <c r="G4804" s="1" t="s">
        <v>9784</v>
      </c>
      <c r="H4804">
        <v>599</v>
      </c>
      <c r="I4804" s="1">
        <v>1499</v>
      </c>
      <c r="J4804" s="1" t="s">
        <v>55</v>
      </c>
      <c r="K4804" s="1" t="s">
        <v>253</v>
      </c>
      <c r="L4804" s="1">
        <v>4.2</v>
      </c>
      <c r="M4804" s="1">
        <v>477</v>
      </c>
      <c r="P4804" t="str">
        <f t="shared" si="303"/>
        <v>60%</v>
      </c>
      <c r="Q4804" s="12">
        <f t="shared" si="300"/>
        <v>0.6</v>
      </c>
      <c r="R4804" s="9">
        <f t="shared" si="301"/>
        <v>599.6</v>
      </c>
      <c r="S4804" s="9">
        <f>IF(R4804="",AVERAGEIF(Table1[Category],Table1[[#This Row],[Category]],Table2[orignal data]),Table2[[#This Row],[orignal data]])</f>
        <v>599.6</v>
      </c>
      <c r="T4804" t="str">
        <f t="shared" si="302"/>
        <v>UNIQUE</v>
      </c>
      <c r="U4804" t="str">
        <f>IF(ISBLANK(Table1[[#This Row],[SizeOption]]),"NOT AVAILABLE",Table1[[#This Row],[SizeOption]])</f>
        <v>38, 40, 42, 44</v>
      </c>
      <c r="Y4804" t="str">
        <f>IF(Table2[[#This Row],[Column1]]&gt;50%,"HIGH DISCOUNT","LOW DISCOUNT")</f>
        <v>HIGH DISCOUNT</v>
      </c>
    </row>
    <row r="4805" spans="1:25" x14ac:dyDescent="0.25">
      <c r="A4805" s="2" t="s">
        <v>9785</v>
      </c>
      <c r="B4805" s="2">
        <v>11195044</v>
      </c>
      <c r="C4805" s="2" t="s">
        <v>47</v>
      </c>
      <c r="D4805" s="2" t="s">
        <v>28</v>
      </c>
      <c r="E4805" s="2" t="s">
        <v>29</v>
      </c>
      <c r="F4805" s="2" t="s">
        <v>17</v>
      </c>
      <c r="G4805" s="2" t="s">
        <v>9786</v>
      </c>
      <c r="H4805">
        <v>1154</v>
      </c>
      <c r="I4805" s="2">
        <v>2099</v>
      </c>
      <c r="J4805" s="2" t="s">
        <v>19</v>
      </c>
      <c r="K4805" s="2" t="s">
        <v>253</v>
      </c>
      <c r="L4805" s="2">
        <v>4.4000000000000004</v>
      </c>
      <c r="M4805" s="2">
        <v>477</v>
      </c>
      <c r="P4805" t="str">
        <f t="shared" si="303"/>
        <v>45%</v>
      </c>
      <c r="Q4805" s="12">
        <f t="shared" si="300"/>
        <v>0.45</v>
      </c>
      <c r="R4805" s="9">
        <f t="shared" si="301"/>
        <v>1154.4499999999998</v>
      </c>
      <c r="S4805" s="9">
        <f>IF(R4805="",AVERAGEIF(Table1[Category],Table1[[#This Row],[Category]],Table2[orignal data]),Table2[[#This Row],[orignal data]])</f>
        <v>1154.4499999999998</v>
      </c>
      <c r="T4805" t="str">
        <f t="shared" si="302"/>
        <v>UNIQUE</v>
      </c>
      <c r="U4805" t="str">
        <f>IF(ISBLANK(Table1[[#This Row],[SizeOption]]),"NOT AVAILABLE",Table1[[#This Row],[SizeOption]])</f>
        <v>38, 40, 42, 44</v>
      </c>
      <c r="Y4805" t="str">
        <f>IF(Table2[[#This Row],[Column1]]&gt;50%,"HIGH DISCOUNT","LOW DISCOUNT")</f>
        <v>LOW DISCOUNT</v>
      </c>
    </row>
    <row r="4806" spans="1:25" x14ac:dyDescent="0.25">
      <c r="A4806" s="1" t="s">
        <v>9787</v>
      </c>
      <c r="B4806" s="1">
        <v>11544718</v>
      </c>
      <c r="C4806" s="1" t="s">
        <v>14</v>
      </c>
      <c r="D4806" s="1" t="s">
        <v>28</v>
      </c>
      <c r="E4806" s="1" t="s">
        <v>42</v>
      </c>
      <c r="F4806" s="1" t="s">
        <v>17</v>
      </c>
      <c r="G4806" s="1" t="s">
        <v>9788</v>
      </c>
      <c r="H4806">
        <v>439</v>
      </c>
      <c r="I4806" s="1">
        <v>799</v>
      </c>
      <c r="J4806" s="1" t="s">
        <v>19</v>
      </c>
      <c r="K4806" s="1" t="s">
        <v>26</v>
      </c>
      <c r="L4806" s="1">
        <v>4.2</v>
      </c>
      <c r="M4806" s="1">
        <v>477</v>
      </c>
      <c r="P4806" t="str">
        <f t="shared" si="303"/>
        <v>45%</v>
      </c>
      <c r="Q4806" s="12">
        <f t="shared" si="300"/>
        <v>0.45</v>
      </c>
      <c r="R4806" s="9">
        <f t="shared" si="301"/>
        <v>439.45</v>
      </c>
      <c r="S4806" s="9">
        <f>IF(R4806="",AVERAGEIF(Table1[Category],Table1[[#This Row],[Category]],Table2[orignal data]),Table2[[#This Row],[orignal data]])</f>
        <v>439.45</v>
      </c>
      <c r="T4806" t="str">
        <f t="shared" si="302"/>
        <v>UNIQUE</v>
      </c>
      <c r="U4806" t="str">
        <f>IF(ISBLANK(Table1[[#This Row],[SizeOption]]),"NOT AVAILABLE",Table1[[#This Row],[SizeOption]])</f>
        <v>S, M, L, XL</v>
      </c>
      <c r="Y4806" t="str">
        <f>IF(Table2[[#This Row],[Column1]]&gt;50%,"HIGH DISCOUNT","LOW DISCOUNT")</f>
        <v>LOW DISCOUNT</v>
      </c>
    </row>
    <row r="4807" spans="1:25" x14ac:dyDescent="0.25">
      <c r="A4807" s="2" t="s">
        <v>9789</v>
      </c>
      <c r="B4807" s="2">
        <v>12317118</v>
      </c>
      <c r="C4807" s="2" t="s">
        <v>277</v>
      </c>
      <c r="D4807" s="2" t="s">
        <v>76</v>
      </c>
      <c r="E4807" s="2" t="s">
        <v>533</v>
      </c>
      <c r="F4807" s="2" t="s">
        <v>36</v>
      </c>
      <c r="G4807" s="2" t="s">
        <v>9790</v>
      </c>
      <c r="H4807">
        <v>967</v>
      </c>
      <c r="I4807" s="2">
        <v>2199</v>
      </c>
      <c r="J4807" s="2" t="s">
        <v>1204</v>
      </c>
      <c r="K4807" s="2" t="s">
        <v>6384</v>
      </c>
      <c r="L4807" s="2">
        <v>4.3</v>
      </c>
      <c r="M4807" s="2">
        <v>477</v>
      </c>
      <c r="P4807" t="str">
        <f t="shared" si="303"/>
        <v>56%</v>
      </c>
      <c r="Q4807" s="12">
        <f t="shared" si="300"/>
        <v>0.56000000000000005</v>
      </c>
      <c r="R4807" s="9">
        <f t="shared" si="301"/>
        <v>967.56</v>
      </c>
      <c r="S4807" s="9">
        <f>IF(R4807="",AVERAGEIF(Table1[Category],Table1[[#This Row],[Category]],Table2[orignal data]),Table2[[#This Row],[orignal data]])</f>
        <v>967.56</v>
      </c>
      <c r="T4807" t="str">
        <f t="shared" si="302"/>
        <v>UNIQUE</v>
      </c>
      <c r="U4807" t="str">
        <f>IF(ISBLANK(Table1[[#This Row],[SizeOption]]),"NOT AVAILABLE",Table1[[#This Row],[SizeOption]])</f>
        <v>26, 28, 30, 32, 35</v>
      </c>
      <c r="Y4807" t="str">
        <f>IF(Table2[[#This Row],[Column1]]&gt;50%,"HIGH DISCOUNT","LOW DISCOUNT")</f>
        <v>HIGH DISCOUNT</v>
      </c>
    </row>
    <row r="4808" spans="1:25" x14ac:dyDescent="0.25">
      <c r="A4808" s="1" t="s">
        <v>9791</v>
      </c>
      <c r="B4808" s="1">
        <v>8420407</v>
      </c>
      <c r="C4808" s="1" t="s">
        <v>97</v>
      </c>
      <c r="D4808" s="1" t="s">
        <v>76</v>
      </c>
      <c r="E4808" s="1" t="s">
        <v>148</v>
      </c>
      <c r="F4808" s="1" t="s">
        <v>36</v>
      </c>
      <c r="G4808" s="1" t="s">
        <v>9792</v>
      </c>
      <c r="H4808">
        <v>874</v>
      </c>
      <c r="I4808" s="1">
        <v>2499</v>
      </c>
      <c r="J4808" s="1" t="s">
        <v>150</v>
      </c>
      <c r="K4808" s="1" t="s">
        <v>100</v>
      </c>
      <c r="L4808" s="1">
        <v>4</v>
      </c>
      <c r="M4808" s="1">
        <v>477</v>
      </c>
      <c r="P4808" t="str">
        <f t="shared" si="303"/>
        <v>65%</v>
      </c>
      <c r="Q4808" s="12">
        <f t="shared" si="300"/>
        <v>0.65</v>
      </c>
      <c r="R4808" s="9">
        <f t="shared" si="301"/>
        <v>874.64999999999986</v>
      </c>
      <c r="S4808" s="9">
        <f>IF(R4808="",AVERAGEIF(Table1[Category],Table1[[#This Row],[Category]],Table2[orignal data]),Table2[[#This Row],[orignal data]])</f>
        <v>874.64999999999986</v>
      </c>
      <c r="T4808" t="str">
        <f t="shared" si="302"/>
        <v>UNIQUE</v>
      </c>
      <c r="U4808" t="str">
        <f>IF(ISBLANK(Table1[[#This Row],[SizeOption]]),"NOT AVAILABLE",Table1[[#This Row],[SizeOption]])</f>
        <v>XS, S, M, L, XL, XXL, 3XL</v>
      </c>
      <c r="Y4808" t="str">
        <f>IF(Table2[[#This Row],[Column1]]&gt;50%,"HIGH DISCOUNT","LOW DISCOUNT")</f>
        <v>HIGH DISCOUNT</v>
      </c>
    </row>
    <row r="4809" spans="1:25" x14ac:dyDescent="0.25">
      <c r="A4809" s="2" t="s">
        <v>9793</v>
      </c>
      <c r="B4809" s="2">
        <v>12337070</v>
      </c>
      <c r="C4809" s="2" t="s">
        <v>113</v>
      </c>
      <c r="D4809" s="2" t="s">
        <v>76</v>
      </c>
      <c r="E4809" s="2" t="s">
        <v>77</v>
      </c>
      <c r="F4809" s="2" t="s">
        <v>36</v>
      </c>
      <c r="G4809" s="2" t="s">
        <v>9794</v>
      </c>
      <c r="H4809">
        <v>1019</v>
      </c>
      <c r="I4809" s="2">
        <v>3399</v>
      </c>
      <c r="J4809" s="2" t="s">
        <v>79</v>
      </c>
      <c r="K4809" s="2" t="s">
        <v>115</v>
      </c>
      <c r="L4809" s="2">
        <v>4.2</v>
      </c>
      <c r="M4809" s="2">
        <v>477</v>
      </c>
      <c r="P4809" t="str">
        <f t="shared" si="303"/>
        <v>70%</v>
      </c>
      <c r="Q4809" s="12">
        <f t="shared" si="300"/>
        <v>0.7</v>
      </c>
      <c r="R4809" s="9">
        <f t="shared" si="301"/>
        <v>1019.7000000000003</v>
      </c>
      <c r="S4809" s="9">
        <f>IF(R4809="",AVERAGEIF(Table1[Category],Table1[[#This Row],[Category]],Table2[orignal data]),Table2[[#This Row],[orignal data]])</f>
        <v>1019.7000000000003</v>
      </c>
      <c r="T4809" t="str">
        <f t="shared" si="302"/>
        <v>UNIQUE</v>
      </c>
      <c r="U4809" t="str">
        <f>IF(ISBLANK(Table1[[#This Row],[SizeOption]]),"NOT AVAILABLE",Table1[[#This Row],[SizeOption]])</f>
        <v>XS, S, M, L, XL, XXL</v>
      </c>
      <c r="Y4809" t="str">
        <f>IF(Table2[[#This Row],[Column1]]&gt;50%,"HIGH DISCOUNT","LOW DISCOUNT")</f>
        <v>HIGH DISCOUNT</v>
      </c>
    </row>
    <row r="4810" spans="1:25" x14ac:dyDescent="0.25">
      <c r="A4810" s="1" t="s">
        <v>9795</v>
      </c>
      <c r="B4810" s="1">
        <v>13957048</v>
      </c>
      <c r="C4810" s="1" t="s">
        <v>277</v>
      </c>
      <c r="D4810" s="1" t="s">
        <v>76</v>
      </c>
      <c r="E4810" s="1" t="s">
        <v>77</v>
      </c>
      <c r="F4810" s="1" t="s">
        <v>36</v>
      </c>
      <c r="G4810" s="1" t="s">
        <v>9796</v>
      </c>
      <c r="H4810">
        <v>1959</v>
      </c>
      <c r="I4810" s="1">
        <v>5599</v>
      </c>
      <c r="J4810" s="1" t="s">
        <v>150</v>
      </c>
      <c r="K4810" s="1" t="s">
        <v>39</v>
      </c>
      <c r="L4810" s="1">
        <v>4.0999999999999996</v>
      </c>
      <c r="M4810" s="1">
        <v>477</v>
      </c>
      <c r="P4810" t="str">
        <f t="shared" si="303"/>
        <v>65%</v>
      </c>
      <c r="Q4810" s="12">
        <f t="shared" si="300"/>
        <v>0.65</v>
      </c>
      <c r="R4810" s="9">
        <f t="shared" si="301"/>
        <v>1959.65</v>
      </c>
      <c r="S4810" s="9">
        <f>IF(R4810="",AVERAGEIF(Table1[Category],Table1[[#This Row],[Category]],Table2[orignal data]),Table2[[#This Row],[orignal data]])</f>
        <v>1959.65</v>
      </c>
      <c r="T4810" t="str">
        <f t="shared" si="302"/>
        <v>UNIQUE</v>
      </c>
      <c r="U4810" t="str">
        <f>IF(ISBLANK(Table1[[#This Row],[SizeOption]]),"NOT AVAILABLE",Table1[[#This Row],[SizeOption]])</f>
        <v>S, M, L, XL, XXL</v>
      </c>
      <c r="Y4810" t="str">
        <f>IF(Table2[[#This Row],[Column1]]&gt;50%,"HIGH DISCOUNT","LOW DISCOUNT")</f>
        <v>HIGH DISCOUNT</v>
      </c>
    </row>
    <row r="4811" spans="1:25" x14ac:dyDescent="0.25">
      <c r="A4811" s="2" t="s">
        <v>9797</v>
      </c>
      <c r="B4811" s="2">
        <v>9314637</v>
      </c>
      <c r="C4811" s="2" t="s">
        <v>349</v>
      </c>
      <c r="D4811" s="2" t="s">
        <v>34</v>
      </c>
      <c r="E4811" s="2" t="s">
        <v>118</v>
      </c>
      <c r="F4811" s="2" t="s">
        <v>36</v>
      </c>
      <c r="G4811" s="2" t="s">
        <v>9798</v>
      </c>
      <c r="I4811" s="2">
        <v>429</v>
      </c>
      <c r="J4811" s="2"/>
      <c r="K4811" s="2" t="s">
        <v>1131</v>
      </c>
      <c r="L4811" s="2">
        <v>4.5</v>
      </c>
      <c r="M4811" s="2">
        <v>477</v>
      </c>
      <c r="P4811" t="str">
        <f t="shared" si="303"/>
        <v/>
      </c>
      <c r="Q4811" s="12" t="str">
        <f t="shared" si="300"/>
        <v/>
      </c>
      <c r="R4811" s="9" t="str">
        <f t="shared" si="301"/>
        <v/>
      </c>
      <c r="S4811" s="9">
        <f>IF(R4811="",AVERAGEIF(Table1[Category],Table1[[#This Row],[Category]],Table2[orignal data]),Table2[[#This Row],[orignal data]])</f>
        <v>608.88518518518481</v>
      </c>
      <c r="T4811" t="str">
        <f t="shared" si="302"/>
        <v>UNIQUE</v>
      </c>
      <c r="U4811" t="str">
        <f>IF(ISBLANK(Table1[[#This Row],[SizeOption]]),"NOT AVAILABLE",Table1[[#This Row],[SizeOption]])</f>
        <v>30B, 32B, 32C, 34B, 34C, 36B, 36C, 38B</v>
      </c>
      <c r="Y4811" t="str">
        <f>IF(Table2[[#This Row],[Column1]]&gt;50%,"HIGH DISCOUNT","LOW DISCOUNT")</f>
        <v>HIGH DISCOUNT</v>
      </c>
    </row>
    <row r="4812" spans="1:25" x14ac:dyDescent="0.25">
      <c r="A4812" s="1" t="s">
        <v>9799</v>
      </c>
      <c r="B4812" s="1">
        <v>6521972</v>
      </c>
      <c r="C4812" s="1" t="s">
        <v>4309</v>
      </c>
      <c r="D4812" s="1" t="s">
        <v>34</v>
      </c>
      <c r="E4812" s="1" t="s">
        <v>118</v>
      </c>
      <c r="F4812" s="1" t="s">
        <v>36</v>
      </c>
      <c r="G4812" s="1" t="s">
        <v>9800</v>
      </c>
      <c r="H4812">
        <v>439</v>
      </c>
      <c r="I4812" s="1">
        <v>799</v>
      </c>
      <c r="J4812" s="1" t="s">
        <v>19</v>
      </c>
      <c r="K4812" s="1" t="s">
        <v>4311</v>
      </c>
      <c r="L4812" s="1">
        <v>3.9</v>
      </c>
      <c r="M4812" s="1">
        <v>477</v>
      </c>
      <c r="P4812" t="str">
        <f t="shared" si="303"/>
        <v>45%</v>
      </c>
      <c r="Q4812" s="12">
        <f t="shared" si="300"/>
        <v>0.45</v>
      </c>
      <c r="R4812" s="9">
        <f t="shared" si="301"/>
        <v>439.45</v>
      </c>
      <c r="S4812" s="9">
        <f>IF(R4812="",AVERAGEIF(Table1[Category],Table1[[#This Row],[Category]],Table2[orignal data]),Table2[[#This Row],[orignal data]])</f>
        <v>439.45</v>
      </c>
      <c r="T4812" t="str">
        <f t="shared" si="302"/>
        <v>UNIQUE</v>
      </c>
      <c r="U4812" t="str">
        <f>IF(ISBLANK(Table1[[#This Row],[SizeOption]]),"NOT AVAILABLE",Table1[[#This Row],[SizeOption]])</f>
        <v>30A, 30B, 32A, 32B, 34A, 34B, 36A, 36B</v>
      </c>
      <c r="Y4812" t="str">
        <f>IF(Table2[[#This Row],[Column1]]&gt;50%,"HIGH DISCOUNT","LOW DISCOUNT")</f>
        <v>LOW DISCOUNT</v>
      </c>
    </row>
    <row r="4813" spans="1:25" x14ac:dyDescent="0.25">
      <c r="A4813" s="2" t="s">
        <v>9801</v>
      </c>
      <c r="B4813" s="2">
        <v>14917720</v>
      </c>
      <c r="C4813" s="2" t="s">
        <v>107</v>
      </c>
      <c r="D4813" s="2" t="s">
        <v>34</v>
      </c>
      <c r="E4813" s="2" t="s">
        <v>296</v>
      </c>
      <c r="F4813" s="2" t="s">
        <v>36</v>
      </c>
      <c r="G4813" s="2" t="s">
        <v>9802</v>
      </c>
      <c r="H4813">
        <v>399</v>
      </c>
      <c r="I4813" s="2">
        <v>999</v>
      </c>
      <c r="J4813" s="2" t="s">
        <v>55</v>
      </c>
      <c r="K4813" s="2" t="s">
        <v>26</v>
      </c>
      <c r="L4813" s="2">
        <v>4.2</v>
      </c>
      <c r="M4813" s="2">
        <v>477</v>
      </c>
      <c r="P4813" t="str">
        <f t="shared" si="303"/>
        <v>60%</v>
      </c>
      <c r="Q4813" s="12">
        <f t="shared" si="300"/>
        <v>0.6</v>
      </c>
      <c r="R4813" s="9">
        <f t="shared" si="301"/>
        <v>399.6</v>
      </c>
      <c r="S4813" s="9">
        <f>IF(R4813="",AVERAGEIF(Table1[Category],Table1[[#This Row],[Category]],Table2[orignal data]),Table2[[#This Row],[orignal data]])</f>
        <v>399.6</v>
      </c>
      <c r="T4813" t="str">
        <f t="shared" si="302"/>
        <v>UNIQUE</v>
      </c>
      <c r="U4813" t="str">
        <f>IF(ISBLANK(Table1[[#This Row],[SizeOption]]),"NOT AVAILABLE",Table1[[#This Row],[SizeOption]])</f>
        <v>S, M, L, XL</v>
      </c>
      <c r="Y4813" t="str">
        <f>IF(Table2[[#This Row],[Column1]]&gt;50%,"HIGH DISCOUNT","LOW DISCOUNT")</f>
        <v>HIGH DISCOUNT</v>
      </c>
    </row>
    <row r="4814" spans="1:25" x14ac:dyDescent="0.25">
      <c r="A4814" s="1" t="s">
        <v>9803</v>
      </c>
      <c r="B4814" s="1">
        <v>11430020</v>
      </c>
      <c r="C4814" s="1" t="s">
        <v>64</v>
      </c>
      <c r="D4814" s="1" t="s">
        <v>98</v>
      </c>
      <c r="E4814" s="1" t="s">
        <v>148</v>
      </c>
      <c r="F4814" s="1" t="s">
        <v>36</v>
      </c>
      <c r="G4814" s="1" t="s">
        <v>9804</v>
      </c>
      <c r="H4814">
        <v>479</v>
      </c>
      <c r="I4814" s="1">
        <v>1599</v>
      </c>
      <c r="J4814" s="1" t="s">
        <v>1566</v>
      </c>
      <c r="K4814" s="1" t="s">
        <v>115</v>
      </c>
      <c r="L4814" s="1">
        <v>4</v>
      </c>
      <c r="M4814" s="1">
        <v>477</v>
      </c>
      <c r="P4814" t="str">
        <f t="shared" si="303"/>
        <v>70%</v>
      </c>
      <c r="Q4814" s="12">
        <f t="shared" si="300"/>
        <v>0.7</v>
      </c>
      <c r="R4814" s="9">
        <f t="shared" si="301"/>
        <v>479.70000000000005</v>
      </c>
      <c r="S4814" s="9">
        <f>IF(R4814="",AVERAGEIF(Table1[Category],Table1[[#This Row],[Category]],Table2[orignal data]),Table2[[#This Row],[orignal data]])</f>
        <v>479.70000000000005</v>
      </c>
      <c r="T4814" t="str">
        <f t="shared" si="302"/>
        <v>UNIQUE</v>
      </c>
      <c r="U4814" t="str">
        <f>IF(ISBLANK(Table1[[#This Row],[SizeOption]]),"NOT AVAILABLE",Table1[[#This Row],[SizeOption]])</f>
        <v>XS, S, M, L, XL, XXL</v>
      </c>
      <c r="Y4814" t="str">
        <f>IF(Table2[[#This Row],[Column1]]&gt;50%,"HIGH DISCOUNT","LOW DISCOUNT")</f>
        <v>HIGH DISCOUNT</v>
      </c>
    </row>
    <row r="4815" spans="1:25" x14ac:dyDescent="0.25">
      <c r="A4815" s="2" t="s">
        <v>9805</v>
      </c>
      <c r="B4815" s="2">
        <v>12562910</v>
      </c>
      <c r="C4815" s="2" t="s">
        <v>14</v>
      </c>
      <c r="D4815" s="2" t="s">
        <v>41</v>
      </c>
      <c r="E4815" s="2" t="s">
        <v>1881</v>
      </c>
      <c r="F4815" s="2" t="s">
        <v>36</v>
      </c>
      <c r="G4815" s="2" t="s">
        <v>9806</v>
      </c>
      <c r="I4815" s="2">
        <v>1099</v>
      </c>
      <c r="J4815" s="2" t="s">
        <v>79</v>
      </c>
      <c r="K4815" s="2" t="s">
        <v>115</v>
      </c>
      <c r="L4815" s="2">
        <v>4.2</v>
      </c>
      <c r="M4815" s="2">
        <v>477</v>
      </c>
      <c r="P4815" t="str">
        <f t="shared" si="303"/>
        <v>70%</v>
      </c>
      <c r="Q4815" s="12">
        <f t="shared" si="300"/>
        <v>0.7</v>
      </c>
      <c r="R4815" s="9">
        <f t="shared" si="301"/>
        <v>329.70000000000005</v>
      </c>
      <c r="S4815" s="9">
        <f>IF(R4815="",AVERAGEIF(Table1[Category],Table1[[#This Row],[Category]],Table2[orignal data]),Table2[[#This Row],[orignal data]])</f>
        <v>329.70000000000005</v>
      </c>
      <c r="T4815" t="str">
        <f t="shared" si="302"/>
        <v>UNIQUE</v>
      </c>
      <c r="U4815" t="str">
        <f>IF(ISBLANK(Table1[[#This Row],[SizeOption]]),"NOT AVAILABLE",Table1[[#This Row],[SizeOption]])</f>
        <v>XS, S, M, L, XL, XXL</v>
      </c>
      <c r="Y4815" t="str">
        <f>IF(Table2[[#This Row],[Column1]]&gt;50%,"HIGH DISCOUNT","LOW DISCOUNT")</f>
        <v>HIGH DISCOUNT</v>
      </c>
    </row>
    <row r="4816" spans="1:25" x14ac:dyDescent="0.25">
      <c r="A4816" s="1" t="s">
        <v>9807</v>
      </c>
      <c r="B4816" s="1">
        <v>13398934</v>
      </c>
      <c r="C4816" s="1" t="s">
        <v>14</v>
      </c>
      <c r="D4816" s="1" t="s">
        <v>41</v>
      </c>
      <c r="E4816" s="1" t="s">
        <v>29</v>
      </c>
      <c r="F4816" s="1" t="s">
        <v>36</v>
      </c>
      <c r="G4816" s="1" t="s">
        <v>9808</v>
      </c>
      <c r="I4816" s="1">
        <v>1199</v>
      </c>
      <c r="J4816" s="1" t="s">
        <v>84</v>
      </c>
      <c r="K4816" s="1" t="s">
        <v>45</v>
      </c>
      <c r="L4816" s="1">
        <v>4.0999999999999996</v>
      </c>
      <c r="M4816" s="1">
        <v>477</v>
      </c>
      <c r="P4816" t="str">
        <f t="shared" si="303"/>
        <v>50%</v>
      </c>
      <c r="Q4816" s="12">
        <f t="shared" si="300"/>
        <v>0.5</v>
      </c>
      <c r="R4816" s="9">
        <f t="shared" si="301"/>
        <v>599.5</v>
      </c>
      <c r="S4816" s="9">
        <f>IF(R4816="",AVERAGEIF(Table1[Category],Table1[[#This Row],[Category]],Table2[orignal data]),Table2[[#This Row],[orignal data]])</f>
        <v>599.5</v>
      </c>
      <c r="T4816" t="str">
        <f t="shared" si="302"/>
        <v>UNIQUE</v>
      </c>
      <c r="U4816" t="str">
        <f>IF(ISBLANK(Table1[[#This Row],[SizeOption]]),"NOT AVAILABLE",Table1[[#This Row],[SizeOption]])</f>
        <v>XS, S, M, L, XL</v>
      </c>
      <c r="Y4816" t="str">
        <f>IF(Table2[[#This Row],[Column1]]&gt;50%,"HIGH DISCOUNT","LOW DISCOUNT")</f>
        <v>LOW DISCOUNT</v>
      </c>
    </row>
    <row r="4817" spans="1:25" x14ac:dyDescent="0.25">
      <c r="A4817" s="2" t="s">
        <v>9809</v>
      </c>
      <c r="B4817" s="2">
        <v>10877220</v>
      </c>
      <c r="C4817" s="2" t="s">
        <v>1083</v>
      </c>
      <c r="D4817" s="2" t="s">
        <v>41</v>
      </c>
      <c r="E4817" s="2" t="s">
        <v>42</v>
      </c>
      <c r="F4817" s="2" t="s">
        <v>36</v>
      </c>
      <c r="G4817" s="2" t="s">
        <v>9810</v>
      </c>
      <c r="I4817" s="2">
        <v>1199</v>
      </c>
      <c r="J4817" s="2" t="s">
        <v>208</v>
      </c>
      <c r="K4817" s="2" t="s">
        <v>45</v>
      </c>
      <c r="L4817" s="2">
        <v>4.3</v>
      </c>
      <c r="M4817" s="2">
        <v>477</v>
      </c>
      <c r="P4817" t="str">
        <f t="shared" si="303"/>
        <v>52%</v>
      </c>
      <c r="Q4817" s="12">
        <f t="shared" si="300"/>
        <v>0.52</v>
      </c>
      <c r="R4817" s="9">
        <f t="shared" si="301"/>
        <v>575.52</v>
      </c>
      <c r="S4817" s="9">
        <f>IF(R4817="",AVERAGEIF(Table1[Category],Table1[[#This Row],[Category]],Table2[orignal data]),Table2[[#This Row],[orignal data]])</f>
        <v>575.52</v>
      </c>
      <c r="T4817" t="str">
        <f t="shared" si="302"/>
        <v>UNIQUE</v>
      </c>
      <c r="U4817" t="str">
        <f>IF(ISBLANK(Table1[[#This Row],[SizeOption]]),"NOT AVAILABLE",Table1[[#This Row],[SizeOption]])</f>
        <v>XS, S, M, L, XL</v>
      </c>
      <c r="Y4817" t="str">
        <f>IF(Table2[[#This Row],[Column1]]&gt;50%,"HIGH DISCOUNT","LOW DISCOUNT")</f>
        <v>HIGH DISCOUNT</v>
      </c>
    </row>
    <row r="4818" spans="1:25" x14ac:dyDescent="0.25">
      <c r="A4818" s="1" t="s">
        <v>9811</v>
      </c>
      <c r="B4818" s="1">
        <v>7713803</v>
      </c>
      <c r="C4818" s="1" t="s">
        <v>14</v>
      </c>
      <c r="D4818" s="1" t="s">
        <v>41</v>
      </c>
      <c r="E4818" s="1" t="s">
        <v>16</v>
      </c>
      <c r="F4818" s="1" t="s">
        <v>36</v>
      </c>
      <c r="G4818" s="1" t="s">
        <v>9766</v>
      </c>
      <c r="I4818" s="1">
        <v>1199</v>
      </c>
      <c r="J4818" s="1"/>
      <c r="K4818" s="1" t="s">
        <v>134</v>
      </c>
      <c r="L4818" s="1">
        <v>3.9</v>
      </c>
      <c r="M4818" s="1">
        <v>477</v>
      </c>
      <c r="P4818" t="str">
        <f t="shared" si="303"/>
        <v/>
      </c>
      <c r="Q4818" s="12" t="str">
        <f t="shared" si="300"/>
        <v/>
      </c>
      <c r="R4818" s="9" t="str">
        <f t="shared" si="301"/>
        <v/>
      </c>
      <c r="S4818" s="9">
        <f>IF(R4818="",AVERAGEIF(Table1[Category],Table1[[#This Row],[Category]],Table2[orignal data]),Table2[[#This Row],[orignal data]])</f>
        <v>715.78890751086249</v>
      </c>
      <c r="T4818" t="str">
        <f t="shared" si="302"/>
        <v>UNIQUE</v>
      </c>
      <c r="U4818" t="str">
        <f>IF(ISBLANK(Table1[[#This Row],[SizeOption]]),"NOT AVAILABLE",Table1[[#This Row],[SizeOption]])</f>
        <v>26, 28, 30, 32, 34, 36</v>
      </c>
      <c r="Y4818" t="str">
        <f>IF(Table2[[#This Row],[Column1]]&gt;50%,"HIGH DISCOUNT","LOW DISCOUNT")</f>
        <v>HIGH DISCOUNT</v>
      </c>
    </row>
    <row r="4819" spans="1:25" x14ac:dyDescent="0.25">
      <c r="A4819" s="2" t="s">
        <v>9812</v>
      </c>
      <c r="B4819" s="2">
        <v>10632192</v>
      </c>
      <c r="C4819" s="2" t="s">
        <v>58</v>
      </c>
      <c r="D4819" s="2" t="s">
        <v>41</v>
      </c>
      <c r="E4819" s="2" t="s">
        <v>48</v>
      </c>
      <c r="F4819" s="2" t="s">
        <v>36</v>
      </c>
      <c r="G4819" s="2" t="s">
        <v>9813</v>
      </c>
      <c r="I4819" s="2">
        <v>1395</v>
      </c>
      <c r="J4819" s="2" t="s">
        <v>60</v>
      </c>
      <c r="K4819" s="2" t="s">
        <v>26</v>
      </c>
      <c r="L4819" s="2">
        <v>3.7</v>
      </c>
      <c r="M4819" s="2">
        <v>477</v>
      </c>
      <c r="P4819" t="str">
        <f t="shared" si="303"/>
        <v>58%</v>
      </c>
      <c r="Q4819" s="12">
        <f t="shared" si="300"/>
        <v>0.57999999999999996</v>
      </c>
      <c r="R4819" s="9">
        <f t="shared" si="301"/>
        <v>585.90000000000009</v>
      </c>
      <c r="S4819" s="9">
        <f>IF(R4819="",AVERAGEIF(Table1[Category],Table1[[#This Row],[Category]],Table2[orignal data]),Table2[[#This Row],[orignal data]])</f>
        <v>585.90000000000009</v>
      </c>
      <c r="T4819" t="str">
        <f t="shared" si="302"/>
        <v>UNIQUE</v>
      </c>
      <c r="U4819" t="str">
        <f>IF(ISBLANK(Table1[[#This Row],[SizeOption]]),"NOT AVAILABLE",Table1[[#This Row],[SizeOption]])</f>
        <v>S, M, L, XL</v>
      </c>
      <c r="Y4819" t="str">
        <f>IF(Table2[[#This Row],[Column1]]&gt;50%,"HIGH DISCOUNT","LOW DISCOUNT")</f>
        <v>HIGH DISCOUNT</v>
      </c>
    </row>
    <row r="4820" spans="1:25" x14ac:dyDescent="0.25">
      <c r="A4820" s="1" t="s">
        <v>9814</v>
      </c>
      <c r="B4820" s="1">
        <v>8841549</v>
      </c>
      <c r="C4820" s="1" t="s">
        <v>225</v>
      </c>
      <c r="D4820" s="1" t="s">
        <v>41</v>
      </c>
      <c r="E4820" s="1" t="s">
        <v>29</v>
      </c>
      <c r="F4820" s="1" t="s">
        <v>36</v>
      </c>
      <c r="G4820" s="1" t="s">
        <v>9815</v>
      </c>
      <c r="I4820" s="1">
        <v>1499</v>
      </c>
      <c r="J4820" s="1" t="s">
        <v>126</v>
      </c>
      <c r="K4820" s="1" t="s">
        <v>26</v>
      </c>
      <c r="L4820" s="1">
        <v>4.4000000000000004</v>
      </c>
      <c r="M4820" s="1">
        <v>477</v>
      </c>
      <c r="P4820" t="str">
        <f t="shared" si="303"/>
        <v>62%</v>
      </c>
      <c r="Q4820" s="12">
        <f t="shared" si="300"/>
        <v>0.62</v>
      </c>
      <c r="R4820" s="9">
        <f t="shared" si="301"/>
        <v>569.62</v>
      </c>
      <c r="S4820" s="9">
        <f>IF(R4820="",AVERAGEIF(Table1[Category],Table1[[#This Row],[Category]],Table2[orignal data]),Table2[[#This Row],[orignal data]])</f>
        <v>569.62</v>
      </c>
      <c r="T4820" t="str">
        <f t="shared" si="302"/>
        <v>UNIQUE</v>
      </c>
      <c r="U4820" t="str">
        <f>IF(ISBLANK(Table1[[#This Row],[SizeOption]]),"NOT AVAILABLE",Table1[[#This Row],[SizeOption]])</f>
        <v>S, M, L, XL</v>
      </c>
      <c r="Y4820" t="str">
        <f>IF(Table2[[#This Row],[Column1]]&gt;50%,"HIGH DISCOUNT","LOW DISCOUNT")</f>
        <v>HIGH DISCOUNT</v>
      </c>
    </row>
    <row r="4821" spans="1:25" x14ac:dyDescent="0.25">
      <c r="A4821" s="2" t="s">
        <v>9816</v>
      </c>
      <c r="B4821" s="2">
        <v>12278670</v>
      </c>
      <c r="C4821" s="2" t="s">
        <v>14</v>
      </c>
      <c r="D4821" s="2" t="s">
        <v>41</v>
      </c>
      <c r="E4821" s="2" t="s">
        <v>16</v>
      </c>
      <c r="F4821" s="2" t="s">
        <v>36</v>
      </c>
      <c r="G4821" s="2" t="s">
        <v>725</v>
      </c>
      <c r="I4821" s="2">
        <v>1599</v>
      </c>
      <c r="J4821" s="2" t="s">
        <v>84</v>
      </c>
      <c r="K4821" s="2" t="s">
        <v>134</v>
      </c>
      <c r="L4821" s="2">
        <v>4.0999999999999996</v>
      </c>
      <c r="M4821" s="2">
        <v>477</v>
      </c>
      <c r="P4821" t="str">
        <f t="shared" si="303"/>
        <v>50%</v>
      </c>
      <c r="Q4821" s="12">
        <f t="shared" si="300"/>
        <v>0.5</v>
      </c>
      <c r="R4821" s="9">
        <f t="shared" si="301"/>
        <v>799.5</v>
      </c>
      <c r="S4821" s="9">
        <f>IF(R4821="",AVERAGEIF(Table1[Category],Table1[[#This Row],[Category]],Table2[orignal data]),Table2[[#This Row],[orignal data]])</f>
        <v>799.5</v>
      </c>
      <c r="T4821" t="str">
        <f t="shared" si="302"/>
        <v>UNIQUE</v>
      </c>
      <c r="U4821" t="str">
        <f>IF(ISBLANK(Table1[[#This Row],[SizeOption]]),"NOT AVAILABLE",Table1[[#This Row],[SizeOption]])</f>
        <v>26, 28, 30, 32, 34, 36</v>
      </c>
      <c r="Y4821" t="str">
        <f>IF(Table2[[#This Row],[Column1]]&gt;50%,"HIGH DISCOUNT","LOW DISCOUNT")</f>
        <v>LOW DISCOUNT</v>
      </c>
    </row>
    <row r="4822" spans="1:25" x14ac:dyDescent="0.25">
      <c r="A4822" s="1" t="s">
        <v>9817</v>
      </c>
      <c r="B4822" s="1">
        <v>12094324</v>
      </c>
      <c r="C4822" s="1" t="s">
        <v>102</v>
      </c>
      <c r="D4822" s="1" t="s">
        <v>41</v>
      </c>
      <c r="E4822" s="1" t="s">
        <v>148</v>
      </c>
      <c r="F4822" s="1" t="s">
        <v>36</v>
      </c>
      <c r="G4822" s="1" t="s">
        <v>7917</v>
      </c>
      <c r="I4822" s="1">
        <v>1849</v>
      </c>
      <c r="J4822" s="1" t="s">
        <v>60</v>
      </c>
      <c r="K4822" s="1" t="s">
        <v>26</v>
      </c>
      <c r="L4822" s="1">
        <v>4.3</v>
      </c>
      <c r="M4822" s="1">
        <v>477</v>
      </c>
      <c r="P4822" t="str">
        <f t="shared" si="303"/>
        <v>58%</v>
      </c>
      <c r="Q4822" s="12">
        <f t="shared" si="300"/>
        <v>0.57999999999999996</v>
      </c>
      <c r="R4822" s="9">
        <f t="shared" si="301"/>
        <v>776.58000000000015</v>
      </c>
      <c r="S4822" s="9">
        <f>IF(R4822="",AVERAGEIF(Table1[Category],Table1[[#This Row],[Category]],Table2[orignal data]),Table2[[#This Row],[orignal data]])</f>
        <v>776.58000000000015</v>
      </c>
      <c r="T4822" t="str">
        <f t="shared" si="302"/>
        <v>UNIQUE</v>
      </c>
      <c r="U4822" t="str">
        <f>IF(ISBLANK(Table1[[#This Row],[SizeOption]]),"NOT AVAILABLE",Table1[[#This Row],[SizeOption]])</f>
        <v>S, M, L, XL</v>
      </c>
      <c r="Y4822" t="str">
        <f>IF(Table2[[#This Row],[Column1]]&gt;50%,"HIGH DISCOUNT","LOW DISCOUNT")</f>
        <v>HIGH DISCOUNT</v>
      </c>
    </row>
    <row r="4823" spans="1:25" x14ac:dyDescent="0.25">
      <c r="A4823" s="2" t="s">
        <v>9818</v>
      </c>
      <c r="B4823" s="2">
        <v>9341445</v>
      </c>
      <c r="C4823" s="2" t="s">
        <v>676</v>
      </c>
      <c r="D4823" s="2" t="s">
        <v>41</v>
      </c>
      <c r="E4823" s="2" t="s">
        <v>48</v>
      </c>
      <c r="F4823" s="2" t="s">
        <v>36</v>
      </c>
      <c r="G4823" s="2" t="s">
        <v>2417</v>
      </c>
      <c r="I4823" s="2">
        <v>1998</v>
      </c>
      <c r="J4823" s="2" t="s">
        <v>84</v>
      </c>
      <c r="K4823" s="2" t="s">
        <v>26</v>
      </c>
      <c r="L4823" s="2">
        <v>3.6</v>
      </c>
      <c r="M4823" s="2">
        <v>477</v>
      </c>
      <c r="P4823" t="str">
        <f t="shared" si="303"/>
        <v>50%</v>
      </c>
      <c r="Q4823" s="12">
        <f t="shared" si="300"/>
        <v>0.5</v>
      </c>
      <c r="R4823" s="9">
        <f t="shared" si="301"/>
        <v>999</v>
      </c>
      <c r="S4823" s="9">
        <f>IF(R4823="",AVERAGEIF(Table1[Category],Table1[[#This Row],[Category]],Table2[orignal data]),Table2[[#This Row],[orignal data]])</f>
        <v>999</v>
      </c>
      <c r="T4823" t="str">
        <f t="shared" si="302"/>
        <v>UNIQUE</v>
      </c>
      <c r="U4823" t="str">
        <f>IF(ISBLANK(Table1[[#This Row],[SizeOption]]),"NOT AVAILABLE",Table1[[#This Row],[SizeOption]])</f>
        <v>S, M, L, XL</v>
      </c>
      <c r="Y4823" t="str">
        <f>IF(Table2[[#This Row],[Column1]]&gt;50%,"HIGH DISCOUNT","LOW DISCOUNT")</f>
        <v>LOW DISCOUNT</v>
      </c>
    </row>
    <row r="4824" spans="1:25" x14ac:dyDescent="0.25">
      <c r="A4824" s="1" t="s">
        <v>9819</v>
      </c>
      <c r="B4824" s="1">
        <v>9042987</v>
      </c>
      <c r="C4824" s="1" t="s">
        <v>1345</v>
      </c>
      <c r="D4824" s="1" t="s">
        <v>41</v>
      </c>
      <c r="E4824" s="1" t="s">
        <v>16</v>
      </c>
      <c r="F4824" s="1" t="s">
        <v>36</v>
      </c>
      <c r="G4824" s="1" t="s">
        <v>9820</v>
      </c>
      <c r="I4824" s="1">
        <v>2299</v>
      </c>
      <c r="J4824" s="1" t="s">
        <v>95</v>
      </c>
      <c r="K4824" s="1" t="s">
        <v>134</v>
      </c>
      <c r="L4824" s="1">
        <v>4.3</v>
      </c>
      <c r="M4824" s="1">
        <v>477</v>
      </c>
      <c r="P4824" t="str">
        <f t="shared" si="303"/>
        <v>59%</v>
      </c>
      <c r="Q4824" s="12">
        <f t="shared" si="300"/>
        <v>0.59</v>
      </c>
      <c r="R4824" s="9">
        <f t="shared" si="301"/>
        <v>942.59000000000015</v>
      </c>
      <c r="S4824" s="9">
        <f>IF(R4824="",AVERAGEIF(Table1[Category],Table1[[#This Row],[Category]],Table2[orignal data]),Table2[[#This Row],[orignal data]])</f>
        <v>942.59000000000015</v>
      </c>
      <c r="T4824" t="str">
        <f t="shared" si="302"/>
        <v>UNIQUE</v>
      </c>
      <c r="U4824" t="str">
        <f>IF(ISBLANK(Table1[[#This Row],[SizeOption]]),"NOT AVAILABLE",Table1[[#This Row],[SizeOption]])</f>
        <v>26, 28, 30, 32, 34, 36</v>
      </c>
      <c r="Y4824" t="str">
        <f>IF(Table2[[#This Row],[Column1]]&gt;50%,"HIGH DISCOUNT","LOW DISCOUNT")</f>
        <v>HIGH DISCOUNT</v>
      </c>
    </row>
    <row r="4825" spans="1:25" x14ac:dyDescent="0.25">
      <c r="A4825" s="2" t="s">
        <v>9821</v>
      </c>
      <c r="B4825" s="2">
        <v>11143566</v>
      </c>
      <c r="C4825" s="2" t="s">
        <v>47</v>
      </c>
      <c r="D4825" s="2" t="s">
        <v>41</v>
      </c>
      <c r="E4825" s="2" t="s">
        <v>42</v>
      </c>
      <c r="F4825" s="2" t="s">
        <v>36</v>
      </c>
      <c r="G4825" s="2" t="s">
        <v>9822</v>
      </c>
      <c r="I4825" s="2">
        <v>899</v>
      </c>
      <c r="J4825" s="2" t="s">
        <v>9677</v>
      </c>
      <c r="K4825" s="2" t="s">
        <v>45</v>
      </c>
      <c r="L4825" s="2">
        <v>4.3</v>
      </c>
      <c r="M4825" s="2">
        <v>477</v>
      </c>
      <c r="P4825" t="str">
        <f t="shared" si="303"/>
        <v>40 %</v>
      </c>
      <c r="Q4825" s="12">
        <f t="shared" si="300"/>
        <v>0.4</v>
      </c>
      <c r="R4825" s="9">
        <f t="shared" si="301"/>
        <v>539.4</v>
      </c>
      <c r="S4825" s="9">
        <f>IF(R4825="",AVERAGEIF(Table1[Category],Table1[[#This Row],[Category]],Table2[orignal data]),Table2[[#This Row],[orignal data]])</f>
        <v>539.4</v>
      </c>
      <c r="T4825" t="str">
        <f t="shared" si="302"/>
        <v>UNIQUE</v>
      </c>
      <c r="U4825" t="str">
        <f>IF(ISBLANK(Table1[[#This Row],[SizeOption]]),"NOT AVAILABLE",Table1[[#This Row],[SizeOption]])</f>
        <v>XS, S, M, L, XL</v>
      </c>
      <c r="Y4825" t="str">
        <f>IF(Table2[[#This Row],[Column1]]&gt;50%,"HIGH DISCOUNT","LOW DISCOUNT")</f>
        <v>LOW DISCOUNT</v>
      </c>
    </row>
    <row r="4826" spans="1:25" x14ac:dyDescent="0.25">
      <c r="A4826" s="1" t="s">
        <v>9823</v>
      </c>
      <c r="B4826" s="1">
        <v>14645988</v>
      </c>
      <c r="C4826" s="1" t="s">
        <v>52</v>
      </c>
      <c r="D4826" s="1" t="s">
        <v>15</v>
      </c>
      <c r="E4826" s="1" t="s">
        <v>137</v>
      </c>
      <c r="F4826" s="1" t="s">
        <v>17</v>
      </c>
      <c r="G4826" s="1" t="s">
        <v>9824</v>
      </c>
      <c r="H4826">
        <v>349</v>
      </c>
      <c r="I4826" s="1">
        <v>699</v>
      </c>
      <c r="J4826" s="1" t="s">
        <v>84</v>
      </c>
      <c r="K4826" s="1" t="s">
        <v>56</v>
      </c>
      <c r="L4826" s="1">
        <v>4.4000000000000004</v>
      </c>
      <c r="M4826" s="1">
        <v>476</v>
      </c>
      <c r="P4826" t="str">
        <f t="shared" si="303"/>
        <v>50%</v>
      </c>
      <c r="Q4826" s="12">
        <f t="shared" si="300"/>
        <v>0.5</v>
      </c>
      <c r="R4826" s="9">
        <f t="shared" si="301"/>
        <v>349.5</v>
      </c>
      <c r="S4826" s="9">
        <f>IF(R4826="",AVERAGEIF(Table1[Category],Table1[[#This Row],[Category]],Table2[orignal data]),Table2[[#This Row],[orignal data]])</f>
        <v>349.5</v>
      </c>
      <c r="T4826" t="str">
        <f t="shared" si="302"/>
        <v>UNIQUE</v>
      </c>
      <c r="U4826" t="str">
        <f>IF(ISBLANK(Table1[[#This Row],[SizeOption]]),"NOT AVAILABLE",Table1[[#This Row],[SizeOption]])</f>
        <v>30, 32, 34, 36</v>
      </c>
      <c r="Y4826" t="str">
        <f>IF(Table2[[#This Row],[Column1]]&gt;50%,"HIGH DISCOUNT","LOW DISCOUNT")</f>
        <v>LOW DISCOUNT</v>
      </c>
    </row>
    <row r="4827" spans="1:25" x14ac:dyDescent="0.25">
      <c r="A4827" s="2" t="s">
        <v>9825</v>
      </c>
      <c r="B4827" s="2">
        <v>11160544</v>
      </c>
      <c r="C4827" s="2" t="s">
        <v>14</v>
      </c>
      <c r="D4827" s="2" t="s">
        <v>15</v>
      </c>
      <c r="E4827" s="2" t="s">
        <v>53</v>
      </c>
      <c r="F4827" s="2" t="s">
        <v>17</v>
      </c>
      <c r="G4827" s="2" t="s">
        <v>9826</v>
      </c>
      <c r="H4827">
        <v>1679</v>
      </c>
      <c r="I4827" s="2">
        <v>2799</v>
      </c>
      <c r="J4827" s="2" t="s">
        <v>50</v>
      </c>
      <c r="K4827" s="2" t="s">
        <v>20</v>
      </c>
      <c r="L4827" s="2">
        <v>3.9</v>
      </c>
      <c r="M4827" s="2">
        <v>476</v>
      </c>
      <c r="P4827" t="str">
        <f t="shared" si="303"/>
        <v>40%</v>
      </c>
      <c r="Q4827" s="12">
        <f t="shared" si="300"/>
        <v>0.4</v>
      </c>
      <c r="R4827" s="9">
        <f t="shared" si="301"/>
        <v>1679.3999999999999</v>
      </c>
      <c r="S4827" s="9">
        <f>IF(R4827="",AVERAGEIF(Table1[Category],Table1[[#This Row],[Category]],Table2[orignal data]),Table2[[#This Row],[orignal data]])</f>
        <v>1679.3999999999999</v>
      </c>
      <c r="T4827" t="str">
        <f t="shared" si="302"/>
        <v>UNIQUE</v>
      </c>
      <c r="U4827" t="str">
        <f>IF(ISBLANK(Table1[[#This Row],[SizeOption]]),"NOT AVAILABLE",Table1[[#This Row],[SizeOption]])</f>
        <v>28, 30, 32, 34, 36</v>
      </c>
      <c r="Y4827" t="str">
        <f>IF(Table2[[#This Row],[Column1]]&gt;50%,"HIGH DISCOUNT","LOW DISCOUNT")</f>
        <v>LOW DISCOUNT</v>
      </c>
    </row>
    <row r="4828" spans="1:25" x14ac:dyDescent="0.25">
      <c r="A4828" s="1" t="s">
        <v>9827</v>
      </c>
      <c r="B4828" s="1">
        <v>12242822</v>
      </c>
      <c r="C4828" s="1" t="s">
        <v>64</v>
      </c>
      <c r="D4828" s="1" t="s">
        <v>15</v>
      </c>
      <c r="E4828" s="1" t="s">
        <v>16</v>
      </c>
      <c r="F4828" s="1" t="s">
        <v>17</v>
      </c>
      <c r="G4828" s="1" t="s">
        <v>9828</v>
      </c>
      <c r="H4828">
        <v>752</v>
      </c>
      <c r="I4828" s="1">
        <v>2149</v>
      </c>
      <c r="J4828" s="1" t="s">
        <v>150</v>
      </c>
      <c r="K4828" s="1" t="s">
        <v>20</v>
      </c>
      <c r="L4828" s="1">
        <v>3.8</v>
      </c>
      <c r="M4828" s="1">
        <v>476</v>
      </c>
      <c r="P4828" t="str">
        <f t="shared" si="303"/>
        <v>65%</v>
      </c>
      <c r="Q4828" s="12">
        <f t="shared" si="300"/>
        <v>0.65</v>
      </c>
      <c r="R4828" s="9">
        <f t="shared" si="301"/>
        <v>752.14999999999986</v>
      </c>
      <c r="S4828" s="9">
        <f>IF(R4828="",AVERAGEIF(Table1[Category],Table1[[#This Row],[Category]],Table2[orignal data]),Table2[[#This Row],[orignal data]])</f>
        <v>752.14999999999986</v>
      </c>
      <c r="T4828" t="str">
        <f t="shared" si="302"/>
        <v>UNIQUE</v>
      </c>
      <c r="U4828" t="str">
        <f>IF(ISBLANK(Table1[[#This Row],[SizeOption]]),"NOT AVAILABLE",Table1[[#This Row],[SizeOption]])</f>
        <v>28, 30, 32, 34, 36</v>
      </c>
      <c r="Y4828" t="str">
        <f>IF(Table2[[#This Row],[Column1]]&gt;50%,"HIGH DISCOUNT","LOW DISCOUNT")</f>
        <v>HIGH DISCOUNT</v>
      </c>
    </row>
    <row r="4829" spans="1:25" x14ac:dyDescent="0.25">
      <c r="A4829" s="2" t="s">
        <v>9829</v>
      </c>
      <c r="B4829" s="2">
        <v>12032810</v>
      </c>
      <c r="C4829" s="2" t="s">
        <v>295</v>
      </c>
      <c r="D4829" s="2" t="s">
        <v>197</v>
      </c>
      <c r="E4829" s="2" t="s">
        <v>1807</v>
      </c>
      <c r="F4829" s="2" t="s">
        <v>17</v>
      </c>
      <c r="G4829" s="2" t="s">
        <v>9830</v>
      </c>
      <c r="H4829">
        <v>588</v>
      </c>
      <c r="I4829" s="2">
        <v>619</v>
      </c>
      <c r="J4829" s="2" t="s">
        <v>764</v>
      </c>
      <c r="K4829" s="2" t="s">
        <v>26</v>
      </c>
      <c r="L4829" s="2">
        <v>4.4000000000000004</v>
      </c>
      <c r="M4829" s="2">
        <v>476</v>
      </c>
      <c r="P4829" t="str">
        <f t="shared" si="303"/>
        <v>5%</v>
      </c>
      <c r="Q4829" s="12">
        <f t="shared" si="300"/>
        <v>0.05</v>
      </c>
      <c r="R4829" s="9">
        <f t="shared" si="301"/>
        <v>588.04999999999995</v>
      </c>
      <c r="S4829" s="9">
        <f>IF(R4829="",AVERAGEIF(Table1[Category],Table1[[#This Row],[Category]],Table2[orignal data]),Table2[[#This Row],[orignal data]])</f>
        <v>588.04999999999995</v>
      </c>
      <c r="T4829" t="str">
        <f t="shared" si="302"/>
        <v>UNIQUE</v>
      </c>
      <c r="U4829" t="str">
        <f>IF(ISBLANK(Table1[[#This Row],[SizeOption]]),"NOT AVAILABLE",Table1[[#This Row],[SizeOption]])</f>
        <v>S, M, L, XL</v>
      </c>
      <c r="Y4829" t="str">
        <f>IF(Table2[[#This Row],[Column1]]&gt;50%,"HIGH DISCOUNT","LOW DISCOUNT")</f>
        <v>LOW DISCOUNT</v>
      </c>
    </row>
    <row r="4830" spans="1:25" x14ac:dyDescent="0.25">
      <c r="A4830" s="1" t="s">
        <v>9831</v>
      </c>
      <c r="B4830" s="1">
        <v>11217410</v>
      </c>
      <c r="C4830" s="1" t="s">
        <v>1091</v>
      </c>
      <c r="D4830" s="1" t="s">
        <v>197</v>
      </c>
      <c r="E4830" s="1" t="s">
        <v>350</v>
      </c>
      <c r="F4830" s="1" t="s">
        <v>17</v>
      </c>
      <c r="G4830" s="1" t="s">
        <v>9832</v>
      </c>
      <c r="H4830">
        <v>468</v>
      </c>
      <c r="I4830" s="1">
        <v>572</v>
      </c>
      <c r="J4830" s="1" t="s">
        <v>9833</v>
      </c>
      <c r="K4830" s="1" t="s">
        <v>39</v>
      </c>
      <c r="L4830" s="1">
        <v>4.0999999999999996</v>
      </c>
      <c r="M4830" s="1">
        <v>476</v>
      </c>
      <c r="P4830" t="str">
        <f t="shared" si="303"/>
        <v>104</v>
      </c>
      <c r="Q4830" s="12">
        <f t="shared" si="300"/>
        <v>0.18181818181818182</v>
      </c>
      <c r="R4830" s="9">
        <f t="shared" si="301"/>
        <v>468</v>
      </c>
      <c r="S4830" s="9">
        <f>IF(R4830="",AVERAGEIF(Table1[Category],Table1[[#This Row],[Category]],Table2[orignal data]),Table2[[#This Row],[orignal data]])</f>
        <v>468</v>
      </c>
      <c r="T4830" t="str">
        <f t="shared" si="302"/>
        <v>UNIQUE</v>
      </c>
      <c r="U4830" t="str">
        <f>IF(ISBLANK(Table1[[#This Row],[SizeOption]]),"NOT AVAILABLE",Table1[[#This Row],[SizeOption]])</f>
        <v>S, M, L, XL, XXL</v>
      </c>
      <c r="Y4830" t="str">
        <f>IF(Table2[[#This Row],[Column1]]&gt;50%,"HIGH DISCOUNT","LOW DISCOUNT")</f>
        <v>LOW DISCOUNT</v>
      </c>
    </row>
    <row r="4831" spans="1:25" x14ac:dyDescent="0.25">
      <c r="A4831" s="2" t="s">
        <v>9834</v>
      </c>
      <c r="B4831" s="2">
        <v>18028834</v>
      </c>
      <c r="C4831" s="2" t="s">
        <v>295</v>
      </c>
      <c r="D4831" s="2" t="s">
        <v>197</v>
      </c>
      <c r="E4831" s="2" t="s">
        <v>939</v>
      </c>
      <c r="F4831" s="2" t="s">
        <v>17</v>
      </c>
      <c r="G4831" s="2" t="s">
        <v>4736</v>
      </c>
      <c r="I4831" s="2">
        <v>1098</v>
      </c>
      <c r="J4831" s="2"/>
      <c r="K4831" s="2" t="s">
        <v>26</v>
      </c>
      <c r="L4831" s="2">
        <v>4.4000000000000004</v>
      </c>
      <c r="M4831" s="2">
        <v>476</v>
      </c>
      <c r="P4831" t="str">
        <f t="shared" si="303"/>
        <v/>
      </c>
      <c r="Q4831" s="12" t="str">
        <f t="shared" si="300"/>
        <v/>
      </c>
      <c r="R4831" s="9" t="str">
        <f t="shared" si="301"/>
        <v/>
      </c>
      <c r="S4831" s="9">
        <f>IF(R4831="",AVERAGEIF(Table1[Category],Table1[[#This Row],[Category]],Table2[orignal data]),Table2[[#This Row],[orignal data]])</f>
        <v>552.70900000000006</v>
      </c>
      <c r="T4831" t="str">
        <f t="shared" si="302"/>
        <v>UNIQUE</v>
      </c>
      <c r="U4831" t="str">
        <f>IF(ISBLANK(Table1[[#This Row],[SizeOption]]),"NOT AVAILABLE",Table1[[#This Row],[SizeOption]])</f>
        <v>S, M, L, XL</v>
      </c>
      <c r="Y4831" t="str">
        <f>IF(Table2[[#This Row],[Column1]]&gt;50%,"HIGH DISCOUNT","LOW DISCOUNT")</f>
        <v>HIGH DISCOUNT</v>
      </c>
    </row>
    <row r="4832" spans="1:25" x14ac:dyDescent="0.25">
      <c r="A4832" s="1" t="s">
        <v>9835</v>
      </c>
      <c r="B4832" s="1">
        <v>18028704</v>
      </c>
      <c r="C4832" s="1" t="s">
        <v>295</v>
      </c>
      <c r="D4832" s="1" t="s">
        <v>197</v>
      </c>
      <c r="E4832" s="1" t="s">
        <v>939</v>
      </c>
      <c r="F4832" s="1" t="s">
        <v>17</v>
      </c>
      <c r="G4832" s="1" t="s">
        <v>4736</v>
      </c>
      <c r="I4832" s="1">
        <v>1098</v>
      </c>
      <c r="J4832" s="1"/>
      <c r="K4832" s="1" t="s">
        <v>26</v>
      </c>
      <c r="L4832" s="1">
        <v>4.4000000000000004</v>
      </c>
      <c r="M4832" s="1">
        <v>476</v>
      </c>
      <c r="P4832" t="str">
        <f t="shared" si="303"/>
        <v/>
      </c>
      <c r="Q4832" s="12" t="str">
        <f t="shared" si="300"/>
        <v/>
      </c>
      <c r="R4832" s="9" t="str">
        <f t="shared" si="301"/>
        <v/>
      </c>
      <c r="S4832" s="9">
        <f>IF(R4832="",AVERAGEIF(Table1[Category],Table1[[#This Row],[Category]],Table2[orignal data]),Table2[[#This Row],[orignal data]])</f>
        <v>552.70900000000006</v>
      </c>
      <c r="T4832" t="str">
        <f t="shared" si="302"/>
        <v>UNIQUE</v>
      </c>
      <c r="U4832" t="str">
        <f>IF(ISBLANK(Table1[[#This Row],[SizeOption]]),"NOT AVAILABLE",Table1[[#This Row],[SizeOption]])</f>
        <v>S, M, L, XL</v>
      </c>
      <c r="Y4832" t="str">
        <f>IF(Table2[[#This Row],[Column1]]&gt;50%,"HIGH DISCOUNT","LOW DISCOUNT")</f>
        <v>HIGH DISCOUNT</v>
      </c>
    </row>
    <row r="4833" spans="1:25" x14ac:dyDescent="0.25">
      <c r="A4833" s="2" t="s">
        <v>9836</v>
      </c>
      <c r="B4833" s="2">
        <v>10398499</v>
      </c>
      <c r="C4833" s="2" t="s">
        <v>14</v>
      </c>
      <c r="D4833" s="2" t="s">
        <v>28</v>
      </c>
      <c r="E4833" s="2" t="s">
        <v>29</v>
      </c>
      <c r="F4833" s="2" t="s">
        <v>17</v>
      </c>
      <c r="G4833" s="2" t="s">
        <v>9837</v>
      </c>
      <c r="H4833">
        <v>714</v>
      </c>
      <c r="I4833" s="2">
        <v>1299</v>
      </c>
      <c r="J4833" s="2" t="s">
        <v>19</v>
      </c>
      <c r="K4833" s="2" t="s">
        <v>253</v>
      </c>
      <c r="L4833" s="2">
        <v>4.4000000000000004</v>
      </c>
      <c r="M4833" s="2">
        <v>476</v>
      </c>
      <c r="P4833" t="str">
        <f t="shared" si="303"/>
        <v>45%</v>
      </c>
      <c r="Q4833" s="12">
        <f t="shared" si="300"/>
        <v>0.45</v>
      </c>
      <c r="R4833" s="9">
        <f t="shared" si="301"/>
        <v>714.44999999999993</v>
      </c>
      <c r="S4833" s="9">
        <f>IF(R4833="",AVERAGEIF(Table1[Category],Table1[[#This Row],[Category]],Table2[orignal data]),Table2[[#This Row],[orignal data]])</f>
        <v>714.44999999999993</v>
      </c>
      <c r="T4833" t="str">
        <f t="shared" si="302"/>
        <v>UNIQUE</v>
      </c>
      <c r="U4833" t="str">
        <f>IF(ISBLANK(Table1[[#This Row],[SizeOption]]),"NOT AVAILABLE",Table1[[#This Row],[SizeOption]])</f>
        <v>38, 40, 42, 44</v>
      </c>
      <c r="Y4833" t="str">
        <f>IF(Table2[[#This Row],[Column1]]&gt;50%,"HIGH DISCOUNT","LOW DISCOUNT")</f>
        <v>LOW DISCOUNT</v>
      </c>
    </row>
    <row r="4834" spans="1:25" x14ac:dyDescent="0.25">
      <c r="A4834" s="1" t="s">
        <v>9838</v>
      </c>
      <c r="B4834" s="1">
        <v>2498501</v>
      </c>
      <c r="C4834" s="1" t="s">
        <v>14</v>
      </c>
      <c r="D4834" s="1" t="s">
        <v>28</v>
      </c>
      <c r="E4834" s="1" t="s">
        <v>42</v>
      </c>
      <c r="F4834" s="1" t="s">
        <v>17</v>
      </c>
      <c r="G4834" s="1" t="s">
        <v>9839</v>
      </c>
      <c r="H4834">
        <v>224</v>
      </c>
      <c r="I4834" s="1">
        <v>499</v>
      </c>
      <c r="J4834" s="1" t="s">
        <v>25</v>
      </c>
      <c r="K4834" s="1" t="s">
        <v>45</v>
      </c>
      <c r="L4834" s="1">
        <v>4.0999999999999996</v>
      </c>
      <c r="M4834" s="1">
        <v>476</v>
      </c>
      <c r="P4834" t="str">
        <f t="shared" si="303"/>
        <v>55%</v>
      </c>
      <c r="Q4834" s="12">
        <f t="shared" si="300"/>
        <v>0.55000000000000004</v>
      </c>
      <c r="R4834" s="9">
        <f t="shared" si="301"/>
        <v>224.54999999999995</v>
      </c>
      <c r="S4834" s="9">
        <f>IF(R4834="",AVERAGEIF(Table1[Category],Table1[[#This Row],[Category]],Table2[orignal data]),Table2[[#This Row],[orignal data]])</f>
        <v>224.54999999999995</v>
      </c>
      <c r="T4834" t="str">
        <f t="shared" si="302"/>
        <v>UNIQUE</v>
      </c>
      <c r="U4834" t="str">
        <f>IF(ISBLANK(Table1[[#This Row],[SizeOption]]),"NOT AVAILABLE",Table1[[#This Row],[SizeOption]])</f>
        <v>XS, S, M, L, XL</v>
      </c>
      <c r="Y4834" t="str">
        <f>IF(Table2[[#This Row],[Column1]]&gt;50%,"HIGH DISCOUNT","LOW DISCOUNT")</f>
        <v>HIGH DISCOUNT</v>
      </c>
    </row>
    <row r="4835" spans="1:25" x14ac:dyDescent="0.25">
      <c r="A4835" s="2" t="s">
        <v>9840</v>
      </c>
      <c r="B4835" s="2">
        <v>13429552</v>
      </c>
      <c r="C4835" s="2" t="s">
        <v>887</v>
      </c>
      <c r="D4835" s="2" t="s">
        <v>76</v>
      </c>
      <c r="E4835" s="2" t="s">
        <v>148</v>
      </c>
      <c r="F4835" s="2" t="s">
        <v>36</v>
      </c>
      <c r="G4835" s="2" t="s">
        <v>9841</v>
      </c>
      <c r="H4835">
        <v>1599</v>
      </c>
      <c r="I4835" s="2">
        <v>1999</v>
      </c>
      <c r="J4835" s="2" t="s">
        <v>412</v>
      </c>
      <c r="K4835" s="2" t="s">
        <v>26</v>
      </c>
      <c r="L4835" s="2">
        <v>4.5999999999999996</v>
      </c>
      <c r="M4835" s="2">
        <v>476</v>
      </c>
      <c r="P4835" t="str">
        <f t="shared" si="303"/>
        <v>20%</v>
      </c>
      <c r="Q4835" s="12">
        <f t="shared" si="300"/>
        <v>0.2</v>
      </c>
      <c r="R4835" s="9">
        <f t="shared" si="301"/>
        <v>1599.2</v>
      </c>
      <c r="S4835" s="9">
        <f>IF(R4835="",AVERAGEIF(Table1[Category],Table1[[#This Row],[Category]],Table2[orignal data]),Table2[[#This Row],[orignal data]])</f>
        <v>1599.2</v>
      </c>
      <c r="T4835" t="str">
        <f t="shared" si="302"/>
        <v>UNIQUE</v>
      </c>
      <c r="U4835" t="str">
        <f>IF(ISBLANK(Table1[[#This Row],[SizeOption]]),"NOT AVAILABLE",Table1[[#This Row],[SizeOption]])</f>
        <v>S, M, L, XL</v>
      </c>
      <c r="Y4835" t="str">
        <f>IF(Table2[[#This Row],[Column1]]&gt;50%,"HIGH DISCOUNT","LOW DISCOUNT")</f>
        <v>LOW DISCOUNT</v>
      </c>
    </row>
    <row r="4836" spans="1:25" x14ac:dyDescent="0.25">
      <c r="A4836" s="1" t="s">
        <v>9842</v>
      </c>
      <c r="B4836" s="1">
        <v>7340671</v>
      </c>
      <c r="C4836" s="1" t="s">
        <v>33</v>
      </c>
      <c r="D4836" s="1" t="s">
        <v>34</v>
      </c>
      <c r="E4836" s="1" t="s">
        <v>35</v>
      </c>
      <c r="F4836" s="1" t="s">
        <v>36</v>
      </c>
      <c r="G4836" s="1" t="s">
        <v>9843</v>
      </c>
      <c r="H4836">
        <v>893</v>
      </c>
      <c r="I4836" s="1">
        <v>1295</v>
      </c>
      <c r="J4836" s="1" t="s">
        <v>467</v>
      </c>
      <c r="K4836" s="1" t="s">
        <v>39</v>
      </c>
      <c r="L4836" s="1">
        <v>4.2</v>
      </c>
      <c r="M4836" s="1">
        <v>476</v>
      </c>
      <c r="P4836" t="str">
        <f t="shared" si="303"/>
        <v>31%</v>
      </c>
      <c r="Q4836" s="12">
        <f t="shared" si="300"/>
        <v>0.31</v>
      </c>
      <c r="R4836" s="9">
        <f t="shared" si="301"/>
        <v>893.55</v>
      </c>
      <c r="S4836" s="9">
        <f>IF(R4836="",AVERAGEIF(Table1[Category],Table1[[#This Row],[Category]],Table2[orignal data]),Table2[[#This Row],[orignal data]])</f>
        <v>893.55</v>
      </c>
      <c r="T4836" t="str">
        <f t="shared" si="302"/>
        <v>UNIQUE</v>
      </c>
      <c r="U4836" t="str">
        <f>IF(ISBLANK(Table1[[#This Row],[SizeOption]]),"NOT AVAILABLE",Table1[[#This Row],[SizeOption]])</f>
        <v>S, M, L, XL, XXL</v>
      </c>
      <c r="Y4836" t="str">
        <f>IF(Table2[[#This Row],[Column1]]&gt;50%,"HIGH DISCOUNT","LOW DISCOUNT")</f>
        <v>LOW DISCOUNT</v>
      </c>
    </row>
    <row r="4837" spans="1:25" x14ac:dyDescent="0.25">
      <c r="A4837" s="2" t="s">
        <v>9844</v>
      </c>
      <c r="B4837" s="2">
        <v>9801597</v>
      </c>
      <c r="C4837" s="2" t="s">
        <v>102</v>
      </c>
      <c r="D4837" s="2" t="s">
        <v>41</v>
      </c>
      <c r="E4837" s="2" t="s">
        <v>16</v>
      </c>
      <c r="F4837" s="2" t="s">
        <v>36</v>
      </c>
      <c r="G4837" s="2" t="s">
        <v>1318</v>
      </c>
      <c r="I4837" s="2">
        <v>1899</v>
      </c>
      <c r="J4837" s="2" t="s">
        <v>130</v>
      </c>
      <c r="K4837" s="2" t="s">
        <v>428</v>
      </c>
      <c r="L4837" s="2">
        <v>3.7</v>
      </c>
      <c r="M4837" s="2">
        <v>476</v>
      </c>
      <c r="P4837" t="str">
        <f t="shared" si="303"/>
        <v>57%</v>
      </c>
      <c r="Q4837" s="12">
        <f t="shared" si="300"/>
        <v>0.56999999999999995</v>
      </c>
      <c r="R4837" s="9">
        <f t="shared" si="301"/>
        <v>816.57000000000016</v>
      </c>
      <c r="S4837" s="9">
        <f>IF(R4837="",AVERAGEIF(Table1[Category],Table1[[#This Row],[Category]],Table2[orignal data]),Table2[[#This Row],[orignal data]])</f>
        <v>816.57000000000016</v>
      </c>
      <c r="T4837" t="str">
        <f t="shared" si="302"/>
        <v>UNIQUE</v>
      </c>
      <c r="U4837" t="str">
        <f>IF(ISBLANK(Table1[[#This Row],[SizeOption]]),"NOT AVAILABLE",Table1[[#This Row],[SizeOption]])</f>
        <v>26, 28, 30, 32, 34</v>
      </c>
      <c r="Y4837" t="str">
        <f>IF(Table2[[#This Row],[Column1]]&gt;50%,"HIGH DISCOUNT","LOW DISCOUNT")</f>
        <v>HIGH DISCOUNT</v>
      </c>
    </row>
    <row r="4838" spans="1:25" x14ac:dyDescent="0.25">
      <c r="A4838" s="1" t="s">
        <v>9845</v>
      </c>
      <c r="B4838" s="1">
        <v>12209542</v>
      </c>
      <c r="C4838" s="1" t="s">
        <v>887</v>
      </c>
      <c r="D4838" s="1" t="s">
        <v>41</v>
      </c>
      <c r="E4838" s="1" t="s">
        <v>148</v>
      </c>
      <c r="F4838" s="1" t="s">
        <v>36</v>
      </c>
      <c r="G4838" s="1" t="s">
        <v>9846</v>
      </c>
      <c r="I4838" s="1">
        <v>2400</v>
      </c>
      <c r="J4838" s="1" t="s">
        <v>408</v>
      </c>
      <c r="K4838" s="1" t="s">
        <v>26</v>
      </c>
      <c r="L4838" s="1">
        <v>4.5</v>
      </c>
      <c r="M4838" s="1">
        <v>476</v>
      </c>
      <c r="P4838" t="str">
        <f t="shared" si="303"/>
        <v>38%</v>
      </c>
      <c r="Q4838" s="12">
        <f t="shared" si="300"/>
        <v>0.38</v>
      </c>
      <c r="R4838" s="9">
        <f t="shared" si="301"/>
        <v>1488</v>
      </c>
      <c r="S4838" s="9">
        <f>IF(R4838="",AVERAGEIF(Table1[Category],Table1[[#This Row],[Category]],Table2[orignal data]),Table2[[#This Row],[orignal data]])</f>
        <v>1488</v>
      </c>
      <c r="T4838" t="str">
        <f t="shared" si="302"/>
        <v>UNIQUE</v>
      </c>
      <c r="U4838" t="str">
        <f>IF(ISBLANK(Table1[[#This Row],[SizeOption]]),"NOT AVAILABLE",Table1[[#This Row],[SizeOption]])</f>
        <v>S, M, L, XL</v>
      </c>
      <c r="Y4838" t="str">
        <f>IF(Table2[[#This Row],[Column1]]&gt;50%,"HIGH DISCOUNT","LOW DISCOUNT")</f>
        <v>LOW DISCOUNT</v>
      </c>
    </row>
    <row r="4839" spans="1:25" x14ac:dyDescent="0.25">
      <c r="A4839" s="2" t="s">
        <v>9847</v>
      </c>
      <c r="B4839" s="2">
        <v>9855315</v>
      </c>
      <c r="C4839" s="2" t="s">
        <v>9848</v>
      </c>
      <c r="D4839" s="2" t="s">
        <v>41</v>
      </c>
      <c r="E4839" s="2" t="s">
        <v>189</v>
      </c>
      <c r="F4839" s="2" t="s">
        <v>36</v>
      </c>
      <c r="G4839" s="2" t="s">
        <v>9849</v>
      </c>
      <c r="I4839" s="2">
        <v>3999</v>
      </c>
      <c r="J4839" s="2" t="s">
        <v>25</v>
      </c>
      <c r="K4839" s="2" t="s">
        <v>26</v>
      </c>
      <c r="L4839" s="2">
        <v>4.4000000000000004</v>
      </c>
      <c r="M4839" s="2">
        <v>476</v>
      </c>
      <c r="P4839" t="str">
        <f t="shared" si="303"/>
        <v>55%</v>
      </c>
      <c r="Q4839" s="12">
        <f t="shared" si="300"/>
        <v>0.55000000000000004</v>
      </c>
      <c r="R4839" s="9">
        <f t="shared" si="301"/>
        <v>1799.5499999999997</v>
      </c>
      <c r="S4839" s="9">
        <f>IF(R4839="",AVERAGEIF(Table1[Category],Table1[[#This Row],[Category]],Table2[orignal data]),Table2[[#This Row],[orignal data]])</f>
        <v>1799.5499999999997</v>
      </c>
      <c r="T4839" t="str">
        <f t="shared" si="302"/>
        <v>UNIQUE</v>
      </c>
      <c r="U4839" t="str">
        <f>IF(ISBLANK(Table1[[#This Row],[SizeOption]]),"NOT AVAILABLE",Table1[[#This Row],[SizeOption]])</f>
        <v>S, M, L, XL</v>
      </c>
      <c r="Y4839" t="str">
        <f>IF(Table2[[#This Row],[Column1]]&gt;50%,"HIGH DISCOUNT","LOW DISCOUNT")</f>
        <v>HIGH DISCOUNT</v>
      </c>
    </row>
    <row r="4840" spans="1:25" x14ac:dyDescent="0.25">
      <c r="A4840" s="1" t="s">
        <v>9850</v>
      </c>
      <c r="B4840" s="1">
        <v>14350744</v>
      </c>
      <c r="C4840" s="1" t="s">
        <v>102</v>
      </c>
      <c r="D4840" s="1" t="s">
        <v>41</v>
      </c>
      <c r="E4840" s="1" t="s">
        <v>42</v>
      </c>
      <c r="F4840" s="1" t="s">
        <v>36</v>
      </c>
      <c r="G4840" s="1" t="s">
        <v>9851</v>
      </c>
      <c r="I4840" s="1">
        <v>649</v>
      </c>
      <c r="J4840" s="1" t="s">
        <v>60</v>
      </c>
      <c r="K4840" s="1" t="s">
        <v>26</v>
      </c>
      <c r="L4840" s="1">
        <v>4.4000000000000004</v>
      </c>
      <c r="M4840" s="1">
        <v>476</v>
      </c>
      <c r="P4840" t="str">
        <f t="shared" si="303"/>
        <v>58%</v>
      </c>
      <c r="Q4840" s="12">
        <f t="shared" si="300"/>
        <v>0.57999999999999996</v>
      </c>
      <c r="R4840" s="9">
        <f t="shared" si="301"/>
        <v>272.58000000000004</v>
      </c>
      <c r="S4840" s="9">
        <f>IF(R4840="",AVERAGEIF(Table1[Category],Table1[[#This Row],[Category]],Table2[orignal data]),Table2[[#This Row],[orignal data]])</f>
        <v>272.58000000000004</v>
      </c>
      <c r="T4840" t="str">
        <f t="shared" si="302"/>
        <v>UNIQUE</v>
      </c>
      <c r="U4840" t="str">
        <f>IF(ISBLANK(Table1[[#This Row],[SizeOption]]),"NOT AVAILABLE",Table1[[#This Row],[SizeOption]])</f>
        <v>S, M, L, XL</v>
      </c>
      <c r="Y4840" t="str">
        <f>IF(Table2[[#This Row],[Column1]]&gt;50%,"HIGH DISCOUNT","LOW DISCOUNT")</f>
        <v>HIGH DISCOUNT</v>
      </c>
    </row>
    <row r="4841" spans="1:25" x14ac:dyDescent="0.25">
      <c r="A4841" s="2" t="s">
        <v>9852</v>
      </c>
      <c r="B4841" s="2">
        <v>383104</v>
      </c>
      <c r="C4841" s="2" t="s">
        <v>3150</v>
      </c>
      <c r="D4841" s="2" t="s">
        <v>41</v>
      </c>
      <c r="E4841" s="2" t="s">
        <v>592</v>
      </c>
      <c r="F4841" s="2" t="s">
        <v>36</v>
      </c>
      <c r="G4841" s="2" t="s">
        <v>9853</v>
      </c>
      <c r="I4841" s="2">
        <v>999</v>
      </c>
      <c r="J4841" s="2" t="s">
        <v>186</v>
      </c>
      <c r="K4841" s="2" t="s">
        <v>881</v>
      </c>
      <c r="L4841" s="2">
        <v>4.0999999999999996</v>
      </c>
      <c r="M4841" s="2">
        <v>476</v>
      </c>
      <c r="P4841" t="str">
        <f t="shared" si="303"/>
        <v>30%</v>
      </c>
      <c r="Q4841" s="12">
        <f t="shared" si="300"/>
        <v>0.3</v>
      </c>
      <c r="R4841" s="9">
        <f t="shared" si="301"/>
        <v>699.3</v>
      </c>
      <c r="S4841" s="9">
        <f>IF(R4841="",AVERAGEIF(Table1[Category],Table1[[#This Row],[Category]],Table2[orignal data]),Table2[[#This Row],[orignal data]])</f>
        <v>699.3</v>
      </c>
      <c r="T4841" t="str">
        <f t="shared" si="302"/>
        <v>UNIQUE</v>
      </c>
      <c r="U4841" t="str">
        <f>IF(ISBLANK(Table1[[#This Row],[SizeOption]]),"NOT AVAILABLE",Table1[[#This Row],[SizeOption]])</f>
        <v>M, L, XL, XXL</v>
      </c>
      <c r="Y4841" t="str">
        <f>IF(Table2[[#This Row],[Column1]]&gt;50%,"HIGH DISCOUNT","LOW DISCOUNT")</f>
        <v>LOW DISCOUNT</v>
      </c>
    </row>
    <row r="4842" spans="1:25" x14ac:dyDescent="0.25">
      <c r="A4842" s="1" t="s">
        <v>9854</v>
      </c>
      <c r="B4842" s="1">
        <v>7736676</v>
      </c>
      <c r="C4842" s="1" t="s">
        <v>3903</v>
      </c>
      <c r="D4842" s="1" t="s">
        <v>41</v>
      </c>
      <c r="E4842" s="1" t="s">
        <v>53</v>
      </c>
      <c r="F4842" s="1" t="s">
        <v>36</v>
      </c>
      <c r="G4842" s="1" t="s">
        <v>9855</v>
      </c>
      <c r="I4842" s="1">
        <v>1499</v>
      </c>
      <c r="J4842" s="1"/>
      <c r="K4842" s="1" t="s">
        <v>9856</v>
      </c>
      <c r="L4842" s="1">
        <v>4.0999999999999996</v>
      </c>
      <c r="M4842" s="1">
        <v>476</v>
      </c>
      <c r="P4842" t="str">
        <f t="shared" si="303"/>
        <v/>
      </c>
      <c r="Q4842" s="12" t="str">
        <f t="shared" si="300"/>
        <v/>
      </c>
      <c r="R4842" s="9" t="str">
        <f t="shared" si="301"/>
        <v/>
      </c>
      <c r="S4842" s="9">
        <f>IF(R4842="",AVERAGEIF(Table1[Category],Table1[[#This Row],[Category]],Table2[orignal data]),Table2[[#This Row],[orignal data]])</f>
        <v>715.78890751086249</v>
      </c>
      <c r="T4842" t="str">
        <f t="shared" si="302"/>
        <v>UNIQUE</v>
      </c>
      <c r="U4842" t="str">
        <f>IF(ISBLANK(Table1[[#This Row],[SizeOption]]),"NOT AVAILABLE",Table1[[#This Row],[SizeOption]])</f>
        <v>29, 31, 33</v>
      </c>
      <c r="Y4842" t="str">
        <f>IF(Table2[[#This Row],[Column1]]&gt;50%,"HIGH DISCOUNT","LOW DISCOUNT")</f>
        <v>HIGH DISCOUNT</v>
      </c>
    </row>
    <row r="4843" spans="1:25" x14ac:dyDescent="0.25">
      <c r="A4843" s="2" t="s">
        <v>9857</v>
      </c>
      <c r="B4843" s="2">
        <v>11560466</v>
      </c>
      <c r="C4843" s="2" t="s">
        <v>169</v>
      </c>
      <c r="D4843" s="2" t="s">
        <v>15</v>
      </c>
      <c r="E4843" s="2" t="s">
        <v>53</v>
      </c>
      <c r="F4843" s="2" t="s">
        <v>17</v>
      </c>
      <c r="G4843" s="2" t="s">
        <v>9858</v>
      </c>
      <c r="H4843">
        <v>999</v>
      </c>
      <c r="I4843" s="2">
        <v>1999</v>
      </c>
      <c r="J4843" s="2" t="s">
        <v>84</v>
      </c>
      <c r="K4843" s="2" t="s">
        <v>171</v>
      </c>
      <c r="L4843" s="2">
        <v>4</v>
      </c>
      <c r="M4843" s="2">
        <v>475</v>
      </c>
      <c r="P4843" t="str">
        <f t="shared" si="303"/>
        <v>50%</v>
      </c>
      <c r="Q4843" s="12">
        <f t="shared" si="300"/>
        <v>0.5</v>
      </c>
      <c r="R4843" s="9">
        <f t="shared" si="301"/>
        <v>999.5</v>
      </c>
      <c r="S4843" s="9">
        <f>IF(R4843="",AVERAGEIF(Table1[Category],Table1[[#This Row],[Category]],Table2[orignal data]),Table2[[#This Row],[orignal data]])</f>
        <v>999.5</v>
      </c>
      <c r="T4843" t="str">
        <f t="shared" si="302"/>
        <v>UNIQUE</v>
      </c>
      <c r="U4843" t="str">
        <f>IF(ISBLANK(Table1[[#This Row],[SizeOption]]),"NOT AVAILABLE",Table1[[#This Row],[SizeOption]])</f>
        <v>28, 30, 32, 34, 36, 38</v>
      </c>
      <c r="Y4843" t="str">
        <f>IF(Table2[[#This Row],[Column1]]&gt;50%,"HIGH DISCOUNT","LOW DISCOUNT")</f>
        <v>LOW DISCOUNT</v>
      </c>
    </row>
    <row r="4844" spans="1:25" x14ac:dyDescent="0.25">
      <c r="A4844" s="1" t="s">
        <v>9859</v>
      </c>
      <c r="B4844" s="1">
        <v>4451384</v>
      </c>
      <c r="C4844" s="1" t="s">
        <v>639</v>
      </c>
      <c r="D4844" s="1" t="s">
        <v>15</v>
      </c>
      <c r="E4844" s="1" t="s">
        <v>16</v>
      </c>
      <c r="F4844" s="1" t="s">
        <v>17</v>
      </c>
      <c r="G4844" s="1" t="s">
        <v>9860</v>
      </c>
      <c r="H4844">
        <v>799</v>
      </c>
      <c r="I4844" s="1">
        <v>1999</v>
      </c>
      <c r="J4844" s="1" t="s">
        <v>55</v>
      </c>
      <c r="K4844" s="1" t="s">
        <v>20</v>
      </c>
      <c r="L4844" s="1">
        <v>3.8</v>
      </c>
      <c r="M4844" s="1">
        <v>475</v>
      </c>
      <c r="P4844" t="str">
        <f t="shared" si="303"/>
        <v>60%</v>
      </c>
      <c r="Q4844" s="12">
        <f t="shared" si="300"/>
        <v>0.6</v>
      </c>
      <c r="R4844" s="9">
        <f t="shared" si="301"/>
        <v>799.60000000000014</v>
      </c>
      <c r="S4844" s="9">
        <f>IF(R4844="",AVERAGEIF(Table1[Category],Table1[[#This Row],[Category]],Table2[orignal data]),Table2[[#This Row],[orignal data]])</f>
        <v>799.60000000000014</v>
      </c>
      <c r="T4844" t="str">
        <f t="shared" si="302"/>
        <v>UNIQUE</v>
      </c>
      <c r="U4844" t="str">
        <f>IF(ISBLANK(Table1[[#This Row],[SizeOption]]),"NOT AVAILABLE",Table1[[#This Row],[SizeOption]])</f>
        <v>28, 30, 32, 34, 36</v>
      </c>
      <c r="Y4844" t="str">
        <f>IF(Table2[[#This Row],[Column1]]&gt;50%,"HIGH DISCOUNT","LOW DISCOUNT")</f>
        <v>HIGH DISCOUNT</v>
      </c>
    </row>
    <row r="4845" spans="1:25" x14ac:dyDescent="0.25">
      <c r="A4845" s="2" t="s">
        <v>9861</v>
      </c>
      <c r="B4845" s="2">
        <v>9973947</v>
      </c>
      <c r="C4845" s="2" t="s">
        <v>1693</v>
      </c>
      <c r="D4845" s="2" t="s">
        <v>76</v>
      </c>
      <c r="E4845" s="2" t="s">
        <v>93</v>
      </c>
      <c r="F4845" s="2" t="s">
        <v>17</v>
      </c>
      <c r="G4845" s="2" t="s">
        <v>9862</v>
      </c>
      <c r="H4845">
        <v>1249</v>
      </c>
      <c r="I4845" s="2">
        <v>2499</v>
      </c>
      <c r="J4845" s="2" t="s">
        <v>84</v>
      </c>
      <c r="K4845" s="2" t="s">
        <v>39</v>
      </c>
      <c r="L4845" s="2">
        <v>4.5</v>
      </c>
      <c r="M4845" s="2">
        <v>475</v>
      </c>
      <c r="P4845" t="str">
        <f t="shared" si="303"/>
        <v>50%</v>
      </c>
      <c r="Q4845" s="12">
        <f t="shared" si="300"/>
        <v>0.5</v>
      </c>
      <c r="R4845" s="9">
        <f t="shared" si="301"/>
        <v>1249.5</v>
      </c>
      <c r="S4845" s="9">
        <f>IF(R4845="",AVERAGEIF(Table1[Category],Table1[[#This Row],[Category]],Table2[orignal data]),Table2[[#This Row],[orignal data]])</f>
        <v>1249.5</v>
      </c>
      <c r="T4845" t="str">
        <f t="shared" si="302"/>
        <v>UNIQUE</v>
      </c>
      <c r="U4845" t="str">
        <f>IF(ISBLANK(Table1[[#This Row],[SizeOption]]),"NOT AVAILABLE",Table1[[#This Row],[SizeOption]])</f>
        <v>S, M, L, XL, XXL</v>
      </c>
      <c r="Y4845" t="str">
        <f>IF(Table2[[#This Row],[Column1]]&gt;50%,"HIGH DISCOUNT","LOW DISCOUNT")</f>
        <v>LOW DISCOUNT</v>
      </c>
    </row>
    <row r="4846" spans="1:25" x14ac:dyDescent="0.25">
      <c r="A4846" s="1" t="s">
        <v>9863</v>
      </c>
      <c r="B4846" s="1">
        <v>11361484</v>
      </c>
      <c r="C4846" s="1" t="s">
        <v>169</v>
      </c>
      <c r="D4846" s="1" t="s">
        <v>28</v>
      </c>
      <c r="E4846" s="1" t="s">
        <v>29</v>
      </c>
      <c r="F4846" s="1" t="s">
        <v>17</v>
      </c>
      <c r="G4846" s="1" t="s">
        <v>9864</v>
      </c>
      <c r="H4846">
        <v>1209</v>
      </c>
      <c r="I4846" s="1">
        <v>2199</v>
      </c>
      <c r="J4846" s="1" t="s">
        <v>19</v>
      </c>
      <c r="K4846" s="1" t="s">
        <v>484</v>
      </c>
      <c r="L4846" s="1">
        <v>4.4000000000000004</v>
      </c>
      <c r="M4846" s="1">
        <v>475</v>
      </c>
      <c r="P4846" t="str">
        <f t="shared" si="303"/>
        <v>45%</v>
      </c>
      <c r="Q4846" s="12">
        <f t="shared" si="300"/>
        <v>0.45</v>
      </c>
      <c r="R4846" s="9">
        <f t="shared" si="301"/>
        <v>1209.4499999999998</v>
      </c>
      <c r="S4846" s="9">
        <f>IF(R4846="",AVERAGEIF(Table1[Category],Table1[[#This Row],[Category]],Table2[orignal data]),Table2[[#This Row],[orignal data]])</f>
        <v>1209.4499999999998</v>
      </c>
      <c r="T4846" t="str">
        <f t="shared" si="302"/>
        <v>UNIQUE</v>
      </c>
      <c r="U4846" t="str">
        <f>IF(ISBLANK(Table1[[#This Row],[SizeOption]]),"NOT AVAILABLE",Table1[[#This Row],[SizeOption]])</f>
        <v>39, 40, 42, 44, 46</v>
      </c>
      <c r="Y4846" t="str">
        <f>IF(Table2[[#This Row],[Column1]]&gt;50%,"HIGH DISCOUNT","LOW DISCOUNT")</f>
        <v>LOW DISCOUNT</v>
      </c>
    </row>
    <row r="4847" spans="1:25" x14ac:dyDescent="0.25">
      <c r="A4847" s="2" t="s">
        <v>9865</v>
      </c>
      <c r="B4847" s="2">
        <v>8237079</v>
      </c>
      <c r="C4847" s="2" t="s">
        <v>14</v>
      </c>
      <c r="D4847" s="2" t="s">
        <v>28</v>
      </c>
      <c r="E4847" s="2" t="s">
        <v>29</v>
      </c>
      <c r="F4847" s="2" t="s">
        <v>17</v>
      </c>
      <c r="G4847" s="2" t="s">
        <v>9866</v>
      </c>
      <c r="H4847">
        <v>1199</v>
      </c>
      <c r="I4847" s="2">
        <v>2399</v>
      </c>
      <c r="J4847" s="2" t="s">
        <v>84</v>
      </c>
      <c r="K4847" s="2" t="s">
        <v>253</v>
      </c>
      <c r="L4847" s="2">
        <v>3.9</v>
      </c>
      <c r="M4847" s="2">
        <v>475</v>
      </c>
      <c r="P4847" t="str">
        <f t="shared" si="303"/>
        <v>50%</v>
      </c>
      <c r="Q4847" s="12">
        <f t="shared" si="300"/>
        <v>0.5</v>
      </c>
      <c r="R4847" s="9">
        <f t="shared" si="301"/>
        <v>1199.5</v>
      </c>
      <c r="S4847" s="9">
        <f>IF(R4847="",AVERAGEIF(Table1[Category],Table1[[#This Row],[Category]],Table2[orignal data]),Table2[[#This Row],[orignal data]])</f>
        <v>1199.5</v>
      </c>
      <c r="T4847" t="str">
        <f t="shared" si="302"/>
        <v>UNIQUE</v>
      </c>
      <c r="U4847" t="str">
        <f>IF(ISBLANK(Table1[[#This Row],[SizeOption]]),"NOT AVAILABLE",Table1[[#This Row],[SizeOption]])</f>
        <v>38, 40, 42, 44</v>
      </c>
      <c r="Y4847" t="str">
        <f>IF(Table2[[#This Row],[Column1]]&gt;50%,"HIGH DISCOUNT","LOW DISCOUNT")</f>
        <v>LOW DISCOUNT</v>
      </c>
    </row>
    <row r="4848" spans="1:25" x14ac:dyDescent="0.25">
      <c r="A4848" s="1" t="s">
        <v>9867</v>
      </c>
      <c r="B4848" s="1">
        <v>6832172</v>
      </c>
      <c r="C4848" s="1" t="s">
        <v>169</v>
      </c>
      <c r="D4848" s="1" t="s">
        <v>28</v>
      </c>
      <c r="E4848" s="1" t="s">
        <v>189</v>
      </c>
      <c r="F4848" s="1" t="s">
        <v>17</v>
      </c>
      <c r="G4848" s="1" t="s">
        <v>9868</v>
      </c>
      <c r="H4848">
        <v>1799</v>
      </c>
      <c r="I4848" s="1">
        <v>4499</v>
      </c>
      <c r="J4848" s="1" t="s">
        <v>55</v>
      </c>
      <c r="K4848" s="1" t="s">
        <v>881</v>
      </c>
      <c r="L4848" s="1">
        <v>3.7</v>
      </c>
      <c r="M4848" s="1">
        <v>475</v>
      </c>
      <c r="P4848" t="str">
        <f t="shared" si="303"/>
        <v>60%</v>
      </c>
      <c r="Q4848" s="12">
        <f t="shared" si="300"/>
        <v>0.6</v>
      </c>
      <c r="R4848" s="9">
        <f t="shared" si="301"/>
        <v>1799.6</v>
      </c>
      <c r="S4848" s="9">
        <f>IF(R4848="",AVERAGEIF(Table1[Category],Table1[[#This Row],[Category]],Table2[orignal data]),Table2[[#This Row],[orignal data]])</f>
        <v>1799.6</v>
      </c>
      <c r="T4848" t="str">
        <f t="shared" si="302"/>
        <v>UNIQUE</v>
      </c>
      <c r="U4848" t="str">
        <f>IF(ISBLANK(Table1[[#This Row],[SizeOption]]),"NOT AVAILABLE",Table1[[#This Row],[SizeOption]])</f>
        <v>M, L, XL, XXL</v>
      </c>
      <c r="Y4848" t="str">
        <f>IF(Table2[[#This Row],[Column1]]&gt;50%,"HIGH DISCOUNT","LOW DISCOUNT")</f>
        <v>HIGH DISCOUNT</v>
      </c>
    </row>
    <row r="4849" spans="1:25" x14ac:dyDescent="0.25">
      <c r="A4849" s="2" t="s">
        <v>9869</v>
      </c>
      <c r="B4849" s="2">
        <v>11544670</v>
      </c>
      <c r="C4849" s="2" t="s">
        <v>14</v>
      </c>
      <c r="D4849" s="2" t="s">
        <v>28</v>
      </c>
      <c r="E4849" s="2" t="s">
        <v>42</v>
      </c>
      <c r="F4849" s="2" t="s">
        <v>17</v>
      </c>
      <c r="G4849" s="2" t="s">
        <v>9870</v>
      </c>
      <c r="H4849">
        <v>404</v>
      </c>
      <c r="I4849" s="2">
        <v>899</v>
      </c>
      <c r="J4849" s="2" t="s">
        <v>25</v>
      </c>
      <c r="K4849" s="2" t="s">
        <v>45</v>
      </c>
      <c r="L4849" s="2">
        <v>4.0999999999999996</v>
      </c>
      <c r="M4849" s="2">
        <v>475</v>
      </c>
      <c r="P4849" t="str">
        <f t="shared" si="303"/>
        <v>55%</v>
      </c>
      <c r="Q4849" s="12">
        <f t="shared" si="300"/>
        <v>0.55000000000000004</v>
      </c>
      <c r="R4849" s="9">
        <f t="shared" si="301"/>
        <v>404.54999999999995</v>
      </c>
      <c r="S4849" s="9">
        <f>IF(R4849="",AVERAGEIF(Table1[Category],Table1[[#This Row],[Category]],Table2[orignal data]),Table2[[#This Row],[orignal data]])</f>
        <v>404.54999999999995</v>
      </c>
      <c r="T4849" t="str">
        <f t="shared" si="302"/>
        <v>UNIQUE</v>
      </c>
      <c r="U4849" t="str">
        <f>IF(ISBLANK(Table1[[#This Row],[SizeOption]]),"NOT AVAILABLE",Table1[[#This Row],[SizeOption]])</f>
        <v>XS, S, M, L, XL</v>
      </c>
      <c r="Y4849" t="str">
        <f>IF(Table2[[#This Row],[Column1]]&gt;50%,"HIGH DISCOUNT","LOW DISCOUNT")</f>
        <v>HIGH DISCOUNT</v>
      </c>
    </row>
    <row r="4850" spans="1:25" x14ac:dyDescent="0.25">
      <c r="A4850" s="1" t="s">
        <v>9871</v>
      </c>
      <c r="B4850" s="1">
        <v>7204998</v>
      </c>
      <c r="C4850" s="1" t="s">
        <v>3402</v>
      </c>
      <c r="D4850" s="1" t="s">
        <v>28</v>
      </c>
      <c r="E4850" s="1" t="s">
        <v>29</v>
      </c>
      <c r="F4850" s="1" t="s">
        <v>17</v>
      </c>
      <c r="G4850" s="1" t="s">
        <v>9872</v>
      </c>
      <c r="H4850">
        <v>599</v>
      </c>
      <c r="I4850" s="1">
        <v>999</v>
      </c>
      <c r="J4850" s="1" t="s">
        <v>50</v>
      </c>
      <c r="K4850" s="1" t="s">
        <v>253</v>
      </c>
      <c r="L4850" s="1">
        <v>4.2</v>
      </c>
      <c r="M4850" s="1">
        <v>475</v>
      </c>
      <c r="P4850" t="str">
        <f t="shared" si="303"/>
        <v>40%</v>
      </c>
      <c r="Q4850" s="12">
        <f t="shared" si="300"/>
        <v>0.4</v>
      </c>
      <c r="R4850" s="9">
        <f t="shared" si="301"/>
        <v>599.4</v>
      </c>
      <c r="S4850" s="9">
        <f>IF(R4850="",AVERAGEIF(Table1[Category],Table1[[#This Row],[Category]],Table2[orignal data]),Table2[[#This Row],[orignal data]])</f>
        <v>599.4</v>
      </c>
      <c r="T4850" t="str">
        <f t="shared" si="302"/>
        <v>UNIQUE</v>
      </c>
      <c r="U4850" t="str">
        <f>IF(ISBLANK(Table1[[#This Row],[SizeOption]]),"NOT AVAILABLE",Table1[[#This Row],[SizeOption]])</f>
        <v>38, 40, 42, 44</v>
      </c>
      <c r="Y4850" t="str">
        <f>IF(Table2[[#This Row],[Column1]]&gt;50%,"HIGH DISCOUNT","LOW DISCOUNT")</f>
        <v>LOW DISCOUNT</v>
      </c>
    </row>
    <row r="4851" spans="1:25" x14ac:dyDescent="0.25">
      <c r="A4851" s="2" t="s">
        <v>9873</v>
      </c>
      <c r="B4851" s="2">
        <v>13104792</v>
      </c>
      <c r="C4851" s="2" t="s">
        <v>397</v>
      </c>
      <c r="D4851" s="2" t="s">
        <v>76</v>
      </c>
      <c r="E4851" s="2" t="s">
        <v>77</v>
      </c>
      <c r="F4851" s="2" t="s">
        <v>36</v>
      </c>
      <c r="G4851" s="2" t="s">
        <v>9874</v>
      </c>
      <c r="H4851">
        <v>1461</v>
      </c>
      <c r="I4851" s="2">
        <v>4299</v>
      </c>
      <c r="J4851" s="2" t="s">
        <v>403</v>
      </c>
      <c r="K4851" s="2" t="s">
        <v>234</v>
      </c>
      <c r="L4851" s="2">
        <v>4.0999999999999996</v>
      </c>
      <c r="M4851" s="2">
        <v>475</v>
      </c>
      <c r="P4851" t="str">
        <f t="shared" si="303"/>
        <v>66%</v>
      </c>
      <c r="Q4851" s="12">
        <f t="shared" si="300"/>
        <v>0.66</v>
      </c>
      <c r="R4851" s="9">
        <f t="shared" si="301"/>
        <v>1461.6599999999999</v>
      </c>
      <c r="S4851" s="9">
        <f>IF(R4851="",AVERAGEIF(Table1[Category],Table1[[#This Row],[Category]],Table2[orignal data]),Table2[[#This Row],[orignal data]])</f>
        <v>1461.6599999999999</v>
      </c>
      <c r="T4851" t="str">
        <f t="shared" si="302"/>
        <v>UNIQUE</v>
      </c>
      <c r="U4851" t="str">
        <f>IF(ISBLANK(Table1[[#This Row],[SizeOption]]),"NOT AVAILABLE",Table1[[#This Row],[SizeOption]])</f>
        <v>S, M, L, XL, XXL, 3XL</v>
      </c>
      <c r="Y4851" t="str">
        <f>IF(Table2[[#This Row],[Column1]]&gt;50%,"HIGH DISCOUNT","LOW DISCOUNT")</f>
        <v>HIGH DISCOUNT</v>
      </c>
    </row>
    <row r="4852" spans="1:25" x14ac:dyDescent="0.25">
      <c r="A4852" s="1" t="s">
        <v>9875</v>
      </c>
      <c r="B4852" s="1">
        <v>13549768</v>
      </c>
      <c r="C4852" s="1" t="s">
        <v>9876</v>
      </c>
      <c r="D4852" s="1" t="s">
        <v>34</v>
      </c>
      <c r="E4852" s="1" t="s">
        <v>35</v>
      </c>
      <c r="F4852" s="1" t="s">
        <v>36</v>
      </c>
      <c r="G4852" s="1" t="s">
        <v>9877</v>
      </c>
      <c r="H4852">
        <v>830</v>
      </c>
      <c r="I4852" s="1">
        <v>1000</v>
      </c>
      <c r="J4852" s="1" t="s">
        <v>889</v>
      </c>
      <c r="K4852" s="1" t="s">
        <v>1341</v>
      </c>
      <c r="L4852" s="1">
        <v>4.0999999999999996</v>
      </c>
      <c r="M4852" s="1">
        <v>475</v>
      </c>
      <c r="P4852" t="str">
        <f t="shared" si="303"/>
        <v>17%</v>
      </c>
      <c r="Q4852" s="12">
        <f t="shared" si="300"/>
        <v>0.17</v>
      </c>
      <c r="R4852" s="9">
        <f t="shared" si="301"/>
        <v>830</v>
      </c>
      <c r="S4852" s="9">
        <f>IF(R4852="",AVERAGEIF(Table1[Category],Table1[[#This Row],[Category]],Table2[orignal data]),Table2[[#This Row],[orignal data]])</f>
        <v>830</v>
      </c>
      <c r="T4852" t="str">
        <f t="shared" si="302"/>
        <v>UNIQUE</v>
      </c>
      <c r="U4852" t="str">
        <f>IF(ISBLANK(Table1[[#This Row],[SizeOption]]),"NOT AVAILABLE",Table1[[#This Row],[SizeOption]])</f>
        <v>M, L, XL</v>
      </c>
      <c r="Y4852" t="str">
        <f>IF(Table2[[#This Row],[Column1]]&gt;50%,"HIGH DISCOUNT","LOW DISCOUNT")</f>
        <v>LOW DISCOUNT</v>
      </c>
    </row>
    <row r="4853" spans="1:25" x14ac:dyDescent="0.25">
      <c r="A4853" s="2" t="s">
        <v>9878</v>
      </c>
      <c r="B4853" s="2">
        <v>14650998</v>
      </c>
      <c r="C4853" s="2" t="s">
        <v>107</v>
      </c>
      <c r="D4853" s="2" t="s">
        <v>34</v>
      </c>
      <c r="E4853" s="2" t="s">
        <v>118</v>
      </c>
      <c r="F4853" s="2" t="s">
        <v>36</v>
      </c>
      <c r="G4853" s="2" t="s">
        <v>9879</v>
      </c>
      <c r="H4853">
        <v>299</v>
      </c>
      <c r="I4853" s="2">
        <v>1199</v>
      </c>
      <c r="J4853" s="2" t="s">
        <v>109</v>
      </c>
      <c r="K4853" s="2" t="s">
        <v>1113</v>
      </c>
      <c r="L4853" s="2">
        <v>4.3</v>
      </c>
      <c r="M4853" s="2">
        <v>475</v>
      </c>
      <c r="P4853" t="str">
        <f t="shared" si="303"/>
        <v>75%</v>
      </c>
      <c r="Q4853" s="12">
        <f t="shared" si="300"/>
        <v>0.75</v>
      </c>
      <c r="R4853" s="9">
        <f t="shared" si="301"/>
        <v>299.75</v>
      </c>
      <c r="S4853" s="9">
        <f>IF(R4853="",AVERAGEIF(Table1[Category],Table1[[#This Row],[Category]],Table2[orignal data]),Table2[[#This Row],[orignal data]])</f>
        <v>299.75</v>
      </c>
      <c r="T4853" t="str">
        <f t="shared" si="302"/>
        <v>UNIQUE</v>
      </c>
      <c r="U4853" t="str">
        <f>IF(ISBLANK(Table1[[#This Row],[SizeOption]]),"NOT AVAILABLE",Table1[[#This Row],[SizeOption]])</f>
        <v>32B, 32C, 32D, 34B, 34C, 34D, 36B, 36C, 36D, 38B, 38C, 38D</v>
      </c>
      <c r="Y4853" t="str">
        <f>IF(Table2[[#This Row],[Column1]]&gt;50%,"HIGH DISCOUNT","LOW DISCOUNT")</f>
        <v>HIGH DISCOUNT</v>
      </c>
    </row>
    <row r="4854" spans="1:25" x14ac:dyDescent="0.25">
      <c r="A4854" s="1" t="s">
        <v>9880</v>
      </c>
      <c r="B4854" s="1">
        <v>11248370</v>
      </c>
      <c r="C4854" s="1" t="s">
        <v>405</v>
      </c>
      <c r="D4854" s="1" t="s">
        <v>34</v>
      </c>
      <c r="E4854" s="1" t="s">
        <v>406</v>
      </c>
      <c r="F4854" s="1" t="s">
        <v>36</v>
      </c>
      <c r="G4854" s="1" t="s">
        <v>9881</v>
      </c>
      <c r="H4854">
        <v>979</v>
      </c>
      <c r="I4854" s="1">
        <v>1999</v>
      </c>
      <c r="J4854" s="1" t="s">
        <v>163</v>
      </c>
      <c r="K4854" s="1" t="s">
        <v>39</v>
      </c>
      <c r="L4854" s="1">
        <v>4</v>
      </c>
      <c r="M4854" s="1">
        <v>475</v>
      </c>
      <c r="P4854" t="str">
        <f t="shared" si="303"/>
        <v>51%</v>
      </c>
      <c r="Q4854" s="12">
        <f t="shared" si="300"/>
        <v>0.51</v>
      </c>
      <c r="R4854" s="9">
        <f t="shared" si="301"/>
        <v>979.51</v>
      </c>
      <c r="S4854" s="9">
        <f>IF(R4854="",AVERAGEIF(Table1[Category],Table1[[#This Row],[Category]],Table2[orignal data]),Table2[[#This Row],[orignal data]])</f>
        <v>979.51</v>
      </c>
      <c r="T4854" t="str">
        <f t="shared" si="302"/>
        <v>UNIQUE</v>
      </c>
      <c r="U4854" t="str">
        <f>IF(ISBLANK(Table1[[#This Row],[SizeOption]]),"NOT AVAILABLE",Table1[[#This Row],[SizeOption]])</f>
        <v>S, M, L, XL, XXL</v>
      </c>
      <c r="Y4854" t="str">
        <f>IF(Table2[[#This Row],[Column1]]&gt;50%,"HIGH DISCOUNT","LOW DISCOUNT")</f>
        <v>HIGH DISCOUNT</v>
      </c>
    </row>
    <row r="4855" spans="1:25" x14ac:dyDescent="0.25">
      <c r="A4855" s="2" t="s">
        <v>9882</v>
      </c>
      <c r="B4855" s="2">
        <v>12041150</v>
      </c>
      <c r="C4855" s="2" t="s">
        <v>5316</v>
      </c>
      <c r="D4855" s="2" t="s">
        <v>34</v>
      </c>
      <c r="E4855" s="2" t="s">
        <v>518</v>
      </c>
      <c r="F4855" s="2" t="s">
        <v>36</v>
      </c>
      <c r="G4855" s="2" t="s">
        <v>9883</v>
      </c>
      <c r="H4855">
        <v>599</v>
      </c>
      <c r="I4855" s="2">
        <v>999</v>
      </c>
      <c r="J4855" s="2" t="s">
        <v>50</v>
      </c>
      <c r="K4855" s="2" t="s">
        <v>26</v>
      </c>
      <c r="L4855" s="2">
        <v>3.8</v>
      </c>
      <c r="M4855" s="2">
        <v>475</v>
      </c>
      <c r="P4855" t="str">
        <f t="shared" si="303"/>
        <v>40%</v>
      </c>
      <c r="Q4855" s="12">
        <f t="shared" si="300"/>
        <v>0.4</v>
      </c>
      <c r="R4855" s="9">
        <f t="shared" si="301"/>
        <v>599.4</v>
      </c>
      <c r="S4855" s="9">
        <f>IF(R4855="",AVERAGEIF(Table1[Category],Table1[[#This Row],[Category]],Table2[orignal data]),Table2[[#This Row],[orignal data]])</f>
        <v>599.4</v>
      </c>
      <c r="T4855" t="str">
        <f t="shared" si="302"/>
        <v>UNIQUE</v>
      </c>
      <c r="U4855" t="str">
        <f>IF(ISBLANK(Table1[[#This Row],[SizeOption]]),"NOT AVAILABLE",Table1[[#This Row],[SizeOption]])</f>
        <v>S, M, L, XL</v>
      </c>
      <c r="Y4855" t="str">
        <f>IF(Table2[[#This Row],[Column1]]&gt;50%,"HIGH DISCOUNT","LOW DISCOUNT")</f>
        <v>LOW DISCOUNT</v>
      </c>
    </row>
    <row r="4856" spans="1:25" x14ac:dyDescent="0.25">
      <c r="A4856" s="1" t="s">
        <v>9884</v>
      </c>
      <c r="B4856" s="1">
        <v>12851402</v>
      </c>
      <c r="C4856" s="1" t="s">
        <v>64</v>
      </c>
      <c r="D4856" s="1" t="s">
        <v>98</v>
      </c>
      <c r="E4856" s="1" t="s">
        <v>93</v>
      </c>
      <c r="F4856" s="1" t="s">
        <v>36</v>
      </c>
      <c r="G4856" s="1" t="s">
        <v>9885</v>
      </c>
      <c r="H4856">
        <v>419</v>
      </c>
      <c r="I4856" s="1">
        <v>1399</v>
      </c>
      <c r="J4856" s="1" t="s">
        <v>1566</v>
      </c>
      <c r="K4856" s="1" t="s">
        <v>100</v>
      </c>
      <c r="L4856" s="1">
        <v>4</v>
      </c>
      <c r="M4856" s="1">
        <v>475</v>
      </c>
      <c r="P4856" t="str">
        <f t="shared" si="303"/>
        <v>70%</v>
      </c>
      <c r="Q4856" s="12">
        <f t="shared" si="300"/>
        <v>0.7</v>
      </c>
      <c r="R4856" s="9">
        <f t="shared" si="301"/>
        <v>419.70000000000005</v>
      </c>
      <c r="S4856" s="9">
        <f>IF(R4856="",AVERAGEIF(Table1[Category],Table1[[#This Row],[Category]],Table2[orignal data]),Table2[[#This Row],[orignal data]])</f>
        <v>419.70000000000005</v>
      </c>
      <c r="T4856" t="str">
        <f t="shared" si="302"/>
        <v>UNIQUE</v>
      </c>
      <c r="U4856" t="str">
        <f>IF(ISBLANK(Table1[[#This Row],[SizeOption]]),"NOT AVAILABLE",Table1[[#This Row],[SizeOption]])</f>
        <v>XS, S, M, L, XL, XXL, 3XL</v>
      </c>
      <c r="Y4856" t="str">
        <f>IF(Table2[[#This Row],[Column1]]&gt;50%,"HIGH DISCOUNT","LOW DISCOUNT")</f>
        <v>HIGH DISCOUNT</v>
      </c>
    </row>
    <row r="4857" spans="1:25" x14ac:dyDescent="0.25">
      <c r="A4857" s="2" t="s">
        <v>9886</v>
      </c>
      <c r="B4857" s="2">
        <v>12529366</v>
      </c>
      <c r="C4857" s="2" t="s">
        <v>221</v>
      </c>
      <c r="D4857" s="2" t="s">
        <v>98</v>
      </c>
      <c r="E4857" s="2" t="s">
        <v>148</v>
      </c>
      <c r="F4857" s="2" t="s">
        <v>36</v>
      </c>
      <c r="G4857" s="2" t="s">
        <v>9887</v>
      </c>
      <c r="H4857">
        <v>759</v>
      </c>
      <c r="I4857" s="2">
        <v>1899</v>
      </c>
      <c r="J4857" s="2" t="s">
        <v>55</v>
      </c>
      <c r="K4857" s="2" t="s">
        <v>223</v>
      </c>
      <c r="L4857" s="2">
        <v>4.3</v>
      </c>
      <c r="M4857" s="2">
        <v>475</v>
      </c>
      <c r="P4857" t="str">
        <f t="shared" si="303"/>
        <v>60%</v>
      </c>
      <c r="Q4857" s="12">
        <f t="shared" si="300"/>
        <v>0.6</v>
      </c>
      <c r="R4857" s="9">
        <f t="shared" si="301"/>
        <v>759.60000000000014</v>
      </c>
      <c r="S4857" s="9">
        <f>IF(R4857="",AVERAGEIF(Table1[Category],Table1[[#This Row],[Category]],Table2[orignal data]),Table2[[#This Row],[orignal data]])</f>
        <v>759.60000000000014</v>
      </c>
      <c r="T4857" t="str">
        <f t="shared" si="302"/>
        <v>UNIQUE</v>
      </c>
      <c r="U4857" t="str">
        <f>IF(ISBLANK(Table1[[#This Row],[SizeOption]]),"NOT AVAILABLE",Table1[[#This Row],[SizeOption]])</f>
        <v>S, M, L, XL, XXL, 3XL, 4XL</v>
      </c>
      <c r="Y4857" t="str">
        <f>IF(Table2[[#This Row],[Column1]]&gt;50%,"HIGH DISCOUNT","LOW DISCOUNT")</f>
        <v>HIGH DISCOUNT</v>
      </c>
    </row>
    <row r="4858" spans="1:25" x14ac:dyDescent="0.25">
      <c r="A4858" s="1" t="s">
        <v>9888</v>
      </c>
      <c r="B4858" s="1">
        <v>8912611</v>
      </c>
      <c r="C4858" s="1" t="s">
        <v>430</v>
      </c>
      <c r="D4858" s="1" t="s">
        <v>41</v>
      </c>
      <c r="E4858" s="1" t="s">
        <v>42</v>
      </c>
      <c r="F4858" s="1" t="s">
        <v>36</v>
      </c>
      <c r="G4858" s="1" t="s">
        <v>9889</v>
      </c>
      <c r="I4858" s="1">
        <v>1249</v>
      </c>
      <c r="J4858" s="1" t="s">
        <v>84</v>
      </c>
      <c r="K4858" s="1" t="s">
        <v>45</v>
      </c>
      <c r="L4858" s="1">
        <v>3.9</v>
      </c>
      <c r="M4858" s="1">
        <v>475</v>
      </c>
      <c r="P4858" t="str">
        <f t="shared" si="303"/>
        <v>50%</v>
      </c>
      <c r="Q4858" s="12">
        <f t="shared" si="300"/>
        <v>0.5</v>
      </c>
      <c r="R4858" s="9">
        <f t="shared" si="301"/>
        <v>624.5</v>
      </c>
      <c r="S4858" s="9">
        <f>IF(R4858="",AVERAGEIF(Table1[Category],Table1[[#This Row],[Category]],Table2[orignal data]),Table2[[#This Row],[orignal data]])</f>
        <v>624.5</v>
      </c>
      <c r="T4858" t="str">
        <f t="shared" si="302"/>
        <v>UNIQUE</v>
      </c>
      <c r="U4858" t="str">
        <f>IF(ISBLANK(Table1[[#This Row],[SizeOption]]),"NOT AVAILABLE",Table1[[#This Row],[SizeOption]])</f>
        <v>XS, S, M, L, XL</v>
      </c>
      <c r="Y4858" t="str">
        <f>IF(Table2[[#This Row],[Column1]]&gt;50%,"HIGH DISCOUNT","LOW DISCOUNT")</f>
        <v>LOW DISCOUNT</v>
      </c>
    </row>
    <row r="4859" spans="1:25" x14ac:dyDescent="0.25">
      <c r="A4859" s="2" t="s">
        <v>9890</v>
      </c>
      <c r="B4859" s="2">
        <v>17525200</v>
      </c>
      <c r="C4859" s="2" t="s">
        <v>47</v>
      </c>
      <c r="D4859" s="2" t="s">
        <v>41</v>
      </c>
      <c r="E4859" s="2" t="s">
        <v>42</v>
      </c>
      <c r="F4859" s="2" t="s">
        <v>36</v>
      </c>
      <c r="G4859" s="2" t="s">
        <v>9044</v>
      </c>
      <c r="I4859" s="2">
        <v>1598</v>
      </c>
      <c r="J4859" s="2" t="s">
        <v>84</v>
      </c>
      <c r="K4859" s="2" t="s">
        <v>146</v>
      </c>
      <c r="L4859" s="2">
        <v>4.4000000000000004</v>
      </c>
      <c r="M4859" s="2">
        <v>475</v>
      </c>
      <c r="P4859" t="str">
        <f t="shared" si="303"/>
        <v>50%</v>
      </c>
      <c r="Q4859" s="12">
        <f t="shared" si="300"/>
        <v>0.5</v>
      </c>
      <c r="R4859" s="9">
        <f t="shared" si="301"/>
        <v>799</v>
      </c>
      <c r="S4859" s="9">
        <f>IF(R4859="",AVERAGEIF(Table1[Category],Table1[[#This Row],[Category]],Table2[orignal data]),Table2[[#This Row],[orignal data]])</f>
        <v>799</v>
      </c>
      <c r="T4859" t="str">
        <f t="shared" si="302"/>
        <v>UNIQUE</v>
      </c>
      <c r="U4859" t="str">
        <f>IF(ISBLANK(Table1[[#This Row],[SizeOption]]),"NOT AVAILABLE",Table1[[#This Row],[SizeOption]])</f>
        <v>L, M, S, XS, XL</v>
      </c>
      <c r="Y4859" t="str">
        <f>IF(Table2[[#This Row],[Column1]]&gt;50%,"HIGH DISCOUNT","LOW DISCOUNT")</f>
        <v>LOW DISCOUNT</v>
      </c>
    </row>
    <row r="4860" spans="1:25" x14ac:dyDescent="0.25">
      <c r="A4860" s="1" t="s">
        <v>9891</v>
      </c>
      <c r="B4860" s="1">
        <v>14224386</v>
      </c>
      <c r="C4860" s="1" t="s">
        <v>1465</v>
      </c>
      <c r="D4860" s="1" t="s">
        <v>41</v>
      </c>
      <c r="E4860" s="1" t="s">
        <v>148</v>
      </c>
      <c r="F4860" s="1" t="s">
        <v>36</v>
      </c>
      <c r="G4860" s="1" t="s">
        <v>9892</v>
      </c>
      <c r="I4860" s="1">
        <v>1999</v>
      </c>
      <c r="J4860" s="1" t="s">
        <v>55</v>
      </c>
      <c r="K4860" s="1" t="s">
        <v>234</v>
      </c>
      <c r="L4860" s="1">
        <v>4</v>
      </c>
      <c r="M4860" s="1">
        <v>475</v>
      </c>
      <c r="P4860" t="str">
        <f t="shared" si="303"/>
        <v>60%</v>
      </c>
      <c r="Q4860" s="12">
        <f t="shared" si="300"/>
        <v>0.6</v>
      </c>
      <c r="R4860" s="9">
        <f t="shared" si="301"/>
        <v>799.60000000000014</v>
      </c>
      <c r="S4860" s="9">
        <f>IF(R4860="",AVERAGEIF(Table1[Category],Table1[[#This Row],[Category]],Table2[orignal data]),Table2[[#This Row],[orignal data]])</f>
        <v>799.60000000000014</v>
      </c>
      <c r="T4860" t="str">
        <f t="shared" si="302"/>
        <v>UNIQUE</v>
      </c>
      <c r="U4860" t="str">
        <f>IF(ISBLANK(Table1[[#This Row],[SizeOption]]),"NOT AVAILABLE",Table1[[#This Row],[SizeOption]])</f>
        <v>S, M, L, XL, XXL, 3XL</v>
      </c>
      <c r="Y4860" t="str">
        <f>IF(Table2[[#This Row],[Column1]]&gt;50%,"HIGH DISCOUNT","LOW DISCOUNT")</f>
        <v>HIGH DISCOUNT</v>
      </c>
    </row>
    <row r="4861" spans="1:25" x14ac:dyDescent="0.25">
      <c r="A4861" s="2" t="s">
        <v>9893</v>
      </c>
      <c r="B4861" s="2">
        <v>11045894</v>
      </c>
      <c r="C4861" s="2" t="s">
        <v>14</v>
      </c>
      <c r="D4861" s="2" t="s">
        <v>41</v>
      </c>
      <c r="E4861" s="2" t="s">
        <v>16</v>
      </c>
      <c r="F4861" s="2" t="s">
        <v>36</v>
      </c>
      <c r="G4861" s="2" t="s">
        <v>9894</v>
      </c>
      <c r="I4861" s="2">
        <v>2199</v>
      </c>
      <c r="J4861" s="2" t="s">
        <v>55</v>
      </c>
      <c r="K4861" s="2" t="s">
        <v>134</v>
      </c>
      <c r="L4861" s="2">
        <v>3.7</v>
      </c>
      <c r="M4861" s="2">
        <v>475</v>
      </c>
      <c r="P4861" t="str">
        <f t="shared" si="303"/>
        <v>60%</v>
      </c>
      <c r="Q4861" s="12">
        <f t="shared" si="300"/>
        <v>0.6</v>
      </c>
      <c r="R4861" s="9">
        <f t="shared" si="301"/>
        <v>879.60000000000014</v>
      </c>
      <c r="S4861" s="9">
        <f>IF(R4861="",AVERAGEIF(Table1[Category],Table1[[#This Row],[Category]],Table2[orignal data]),Table2[[#This Row],[orignal data]])</f>
        <v>879.60000000000014</v>
      </c>
      <c r="T4861" t="str">
        <f t="shared" si="302"/>
        <v>UNIQUE</v>
      </c>
      <c r="U4861" t="str">
        <f>IF(ISBLANK(Table1[[#This Row],[SizeOption]]),"NOT AVAILABLE",Table1[[#This Row],[SizeOption]])</f>
        <v>26, 28, 30, 32, 34, 36</v>
      </c>
      <c r="Y4861" t="str">
        <f>IF(Table2[[#This Row],[Column1]]&gt;50%,"HIGH DISCOUNT","LOW DISCOUNT")</f>
        <v>HIGH DISCOUNT</v>
      </c>
    </row>
    <row r="4862" spans="1:25" x14ac:dyDescent="0.25">
      <c r="A4862" s="1" t="s">
        <v>9895</v>
      </c>
      <c r="B4862" s="1">
        <v>11284704</v>
      </c>
      <c r="C4862" s="1" t="s">
        <v>47</v>
      </c>
      <c r="D4862" s="1" t="s">
        <v>41</v>
      </c>
      <c r="E4862" s="1" t="s">
        <v>16</v>
      </c>
      <c r="F4862" s="1" t="s">
        <v>36</v>
      </c>
      <c r="G4862" s="1" t="s">
        <v>9896</v>
      </c>
      <c r="I4862" s="1">
        <v>2199</v>
      </c>
      <c r="J4862" s="1" t="s">
        <v>1005</v>
      </c>
      <c r="K4862" s="1" t="s">
        <v>134</v>
      </c>
      <c r="L4862" s="1">
        <v>3.7</v>
      </c>
      <c r="M4862" s="1">
        <v>475</v>
      </c>
      <c r="P4862" t="str">
        <f t="shared" si="303"/>
        <v>10%</v>
      </c>
      <c r="Q4862" s="12">
        <f t="shared" si="300"/>
        <v>0.1</v>
      </c>
      <c r="R4862" s="9">
        <f t="shared" si="301"/>
        <v>1979.1</v>
      </c>
      <c r="S4862" s="9">
        <f>IF(R4862="",AVERAGEIF(Table1[Category],Table1[[#This Row],[Category]],Table2[orignal data]),Table2[[#This Row],[orignal data]])</f>
        <v>1979.1</v>
      </c>
      <c r="T4862" t="str">
        <f t="shared" si="302"/>
        <v>UNIQUE</v>
      </c>
      <c r="U4862" t="str">
        <f>IF(ISBLANK(Table1[[#This Row],[SizeOption]]),"NOT AVAILABLE",Table1[[#This Row],[SizeOption]])</f>
        <v>26, 28, 30, 32, 34, 36</v>
      </c>
      <c r="Y4862" t="str">
        <f>IF(Table2[[#This Row],[Column1]]&gt;50%,"HIGH DISCOUNT","LOW DISCOUNT")</f>
        <v>LOW DISCOUNT</v>
      </c>
    </row>
    <row r="4863" spans="1:25" x14ac:dyDescent="0.25">
      <c r="A4863" s="2" t="s">
        <v>9897</v>
      </c>
      <c r="B4863" s="2">
        <v>7713850</v>
      </c>
      <c r="C4863" s="2" t="s">
        <v>14</v>
      </c>
      <c r="D4863" s="2" t="s">
        <v>41</v>
      </c>
      <c r="E4863" s="2" t="s">
        <v>16</v>
      </c>
      <c r="F4863" s="2" t="s">
        <v>36</v>
      </c>
      <c r="G4863" s="2" t="s">
        <v>9898</v>
      </c>
      <c r="I4863" s="2">
        <v>2499</v>
      </c>
      <c r="J4863" s="2" t="s">
        <v>55</v>
      </c>
      <c r="K4863" s="2" t="s">
        <v>134</v>
      </c>
      <c r="L4863" s="2">
        <v>3.6</v>
      </c>
      <c r="M4863" s="2">
        <v>475</v>
      </c>
      <c r="P4863" t="str">
        <f t="shared" si="303"/>
        <v>60%</v>
      </c>
      <c r="Q4863" s="12">
        <f t="shared" si="300"/>
        <v>0.6</v>
      </c>
      <c r="R4863" s="9">
        <f t="shared" si="301"/>
        <v>999.60000000000014</v>
      </c>
      <c r="S4863" s="9">
        <f>IF(R4863="",AVERAGEIF(Table1[Category],Table1[[#This Row],[Category]],Table2[orignal data]),Table2[[#This Row],[orignal data]])</f>
        <v>999.60000000000014</v>
      </c>
      <c r="T4863" t="str">
        <f t="shared" si="302"/>
        <v>UNIQUE</v>
      </c>
      <c r="U4863" t="str">
        <f>IF(ISBLANK(Table1[[#This Row],[SizeOption]]),"NOT AVAILABLE",Table1[[#This Row],[SizeOption]])</f>
        <v>26, 28, 30, 32, 34, 36</v>
      </c>
      <c r="Y4863" t="str">
        <f>IF(Table2[[#This Row],[Column1]]&gt;50%,"HIGH DISCOUNT","LOW DISCOUNT")</f>
        <v>HIGH DISCOUNT</v>
      </c>
    </row>
    <row r="4864" spans="1:25" x14ac:dyDescent="0.25">
      <c r="A4864" s="1" t="s">
        <v>9899</v>
      </c>
      <c r="B4864" s="1">
        <v>11271958</v>
      </c>
      <c r="C4864" s="1" t="s">
        <v>107</v>
      </c>
      <c r="D4864" s="1" t="s">
        <v>41</v>
      </c>
      <c r="E4864" s="1" t="s">
        <v>42</v>
      </c>
      <c r="F4864" s="1" t="s">
        <v>36</v>
      </c>
      <c r="G4864" s="1" t="s">
        <v>9900</v>
      </c>
      <c r="I4864" s="1">
        <v>699</v>
      </c>
      <c r="J4864" s="1" t="s">
        <v>55</v>
      </c>
      <c r="K4864" s="1" t="s">
        <v>45</v>
      </c>
      <c r="L4864" s="1">
        <v>4.0999999999999996</v>
      </c>
      <c r="M4864" s="1">
        <v>475</v>
      </c>
      <c r="P4864" t="str">
        <f t="shared" si="303"/>
        <v>60%</v>
      </c>
      <c r="Q4864" s="12">
        <f t="shared" si="300"/>
        <v>0.6</v>
      </c>
      <c r="R4864" s="9">
        <f t="shared" si="301"/>
        <v>279.60000000000002</v>
      </c>
      <c r="S4864" s="9">
        <f>IF(R4864="",AVERAGEIF(Table1[Category],Table1[[#This Row],[Category]],Table2[orignal data]),Table2[[#This Row],[orignal data]])</f>
        <v>279.60000000000002</v>
      </c>
      <c r="T4864" t="str">
        <f t="shared" si="302"/>
        <v>UNIQUE</v>
      </c>
      <c r="U4864" t="str">
        <f>IF(ISBLANK(Table1[[#This Row],[SizeOption]]),"NOT AVAILABLE",Table1[[#This Row],[SizeOption]])</f>
        <v>XS, S, M, L, XL</v>
      </c>
      <c r="Y4864" t="str">
        <f>IF(Table2[[#This Row],[Column1]]&gt;50%,"HIGH DISCOUNT","LOW DISCOUNT")</f>
        <v>HIGH DISCOUNT</v>
      </c>
    </row>
    <row r="4865" spans="1:25" x14ac:dyDescent="0.25">
      <c r="A4865" s="2" t="s">
        <v>9901</v>
      </c>
      <c r="B4865" s="2">
        <v>11401690</v>
      </c>
      <c r="C4865" s="2" t="s">
        <v>14</v>
      </c>
      <c r="D4865" s="2" t="s">
        <v>41</v>
      </c>
      <c r="E4865" s="2" t="s">
        <v>48</v>
      </c>
      <c r="F4865" s="2" t="s">
        <v>36</v>
      </c>
      <c r="G4865" s="2" t="s">
        <v>9902</v>
      </c>
      <c r="I4865" s="2">
        <v>999</v>
      </c>
      <c r="J4865" s="2" t="s">
        <v>528</v>
      </c>
      <c r="K4865" s="2" t="s">
        <v>45</v>
      </c>
      <c r="L4865" s="2">
        <v>4.0999999999999996</v>
      </c>
      <c r="M4865" s="2">
        <v>475</v>
      </c>
      <c r="P4865" t="str">
        <f t="shared" si="303"/>
        <v>500</v>
      </c>
      <c r="Q4865" s="12">
        <f t="shared" si="300"/>
        <v>0.50050050050050054</v>
      </c>
      <c r="R4865" s="9">
        <f t="shared" si="301"/>
        <v>498.99999999999994</v>
      </c>
      <c r="S4865" s="9">
        <f>IF(R4865="",AVERAGEIF(Table1[Category],Table1[[#This Row],[Category]],Table2[orignal data]),Table2[[#This Row],[orignal data]])</f>
        <v>498.99999999999994</v>
      </c>
      <c r="T4865" t="str">
        <f t="shared" si="302"/>
        <v>UNIQUE</v>
      </c>
      <c r="U4865" t="str">
        <f>IF(ISBLANK(Table1[[#This Row],[SizeOption]]),"NOT AVAILABLE",Table1[[#This Row],[SizeOption]])</f>
        <v>XS, S, M, L, XL</v>
      </c>
      <c r="Y4865" t="str">
        <f>IF(Table2[[#This Row],[Column1]]&gt;50%,"HIGH DISCOUNT","LOW DISCOUNT")</f>
        <v>HIGH DISCOUNT</v>
      </c>
    </row>
    <row r="4866" spans="1:25" x14ac:dyDescent="0.25">
      <c r="A4866" s="1" t="s">
        <v>9903</v>
      </c>
      <c r="B4866" s="1">
        <v>10685154</v>
      </c>
      <c r="C4866" s="1" t="s">
        <v>169</v>
      </c>
      <c r="D4866" s="1" t="s">
        <v>15</v>
      </c>
      <c r="E4866" s="1" t="s">
        <v>16</v>
      </c>
      <c r="F4866" s="1" t="s">
        <v>17</v>
      </c>
      <c r="G4866" s="1" t="s">
        <v>173</v>
      </c>
      <c r="H4866">
        <v>1199</v>
      </c>
      <c r="I4866" s="1">
        <v>2399</v>
      </c>
      <c r="J4866" s="1" t="s">
        <v>84</v>
      </c>
      <c r="K4866" s="1" t="s">
        <v>171</v>
      </c>
      <c r="L4866" s="1">
        <v>4.2</v>
      </c>
      <c r="M4866" s="1">
        <v>474</v>
      </c>
      <c r="P4866" t="str">
        <f t="shared" si="303"/>
        <v>50%</v>
      </c>
      <c r="Q4866" s="12">
        <f t="shared" ref="Q4866:Q4929" si="304">IF(P4866="","",IF(ISNUMBER(SEARCH("%",P4866)),P4866,P4866/I4866)*100%)</f>
        <v>0.5</v>
      </c>
      <c r="R4866" s="9">
        <f t="shared" ref="R4866:R4929" si="305">IF(P4866="","",I4866-(I4866*Q4866))</f>
        <v>1199.5</v>
      </c>
      <c r="S4866" s="9">
        <f>IF(R4866="",AVERAGEIF(Table1[Category],Table1[[#This Row],[Category]],Table2[orignal data]),Table2[[#This Row],[orignal data]])</f>
        <v>1199.5</v>
      </c>
      <c r="T4866" t="str">
        <f t="shared" ref="T4866:T4929" si="306">IF(COUNTIF($B$2:$B$5000,B4866)&gt;1,"DUPLICATE","UNIQUE")</f>
        <v>UNIQUE</v>
      </c>
      <c r="U4866" t="str">
        <f>IF(ISBLANK(Table1[[#This Row],[SizeOption]]),"NOT AVAILABLE",Table1[[#This Row],[SizeOption]])</f>
        <v>28, 30, 32, 34, 36, 38</v>
      </c>
      <c r="Y4866" t="str">
        <f>IF(Table2[[#This Row],[Column1]]&gt;50%,"HIGH DISCOUNT","LOW DISCOUNT")</f>
        <v>LOW DISCOUNT</v>
      </c>
    </row>
    <row r="4867" spans="1:25" x14ac:dyDescent="0.25">
      <c r="A4867" s="2" t="s">
        <v>9904</v>
      </c>
      <c r="B4867" s="2">
        <v>12135140</v>
      </c>
      <c r="C4867" s="2" t="s">
        <v>113</v>
      </c>
      <c r="D4867" s="2" t="s">
        <v>76</v>
      </c>
      <c r="E4867" s="2" t="s">
        <v>93</v>
      </c>
      <c r="F4867" s="2" t="s">
        <v>17</v>
      </c>
      <c r="G4867" s="2" t="s">
        <v>9905</v>
      </c>
      <c r="H4867">
        <v>629</v>
      </c>
      <c r="I4867" s="2">
        <v>1399</v>
      </c>
      <c r="J4867" s="2" t="s">
        <v>25</v>
      </c>
      <c r="K4867" s="2" t="s">
        <v>39</v>
      </c>
      <c r="L4867" s="2">
        <v>4.2</v>
      </c>
      <c r="M4867" s="2">
        <v>474</v>
      </c>
      <c r="P4867" t="str">
        <f t="shared" ref="P4867:P4930" si="307">TRIM(SUBSTITUTE(SUBSTITUTE(SUBSTITUTE(SUBSTITUTE(J4867,"OFF",""),"Rs.",""),"Hurry*",""),",",""))</f>
        <v>55%</v>
      </c>
      <c r="Q4867" s="12">
        <f t="shared" si="304"/>
        <v>0.55000000000000004</v>
      </c>
      <c r="R4867" s="9">
        <f t="shared" si="305"/>
        <v>629.54999999999995</v>
      </c>
      <c r="S4867" s="9">
        <f>IF(R4867="",AVERAGEIF(Table1[Category],Table1[[#This Row],[Category]],Table2[orignal data]),Table2[[#This Row],[orignal data]])</f>
        <v>629.54999999999995</v>
      </c>
      <c r="T4867" t="str">
        <f t="shared" si="306"/>
        <v>UNIQUE</v>
      </c>
      <c r="U4867" t="str">
        <f>IF(ISBLANK(Table1[[#This Row],[SizeOption]]),"NOT AVAILABLE",Table1[[#This Row],[SizeOption]])</f>
        <v>S, M, L, XL, XXL</v>
      </c>
      <c r="Y4867" t="str">
        <f>IF(Table2[[#This Row],[Column1]]&gt;50%,"HIGH DISCOUNT","LOW DISCOUNT")</f>
        <v>HIGH DISCOUNT</v>
      </c>
    </row>
    <row r="4868" spans="1:25" x14ac:dyDescent="0.25">
      <c r="A4868" s="1" t="s">
        <v>9906</v>
      </c>
      <c r="B4868" s="1">
        <v>10354073</v>
      </c>
      <c r="C4868" s="1" t="s">
        <v>113</v>
      </c>
      <c r="D4868" s="1" t="s">
        <v>76</v>
      </c>
      <c r="E4868" s="1" t="s">
        <v>93</v>
      </c>
      <c r="F4868" s="1" t="s">
        <v>17</v>
      </c>
      <c r="G4868" s="1" t="s">
        <v>9907</v>
      </c>
      <c r="H4868">
        <v>719</v>
      </c>
      <c r="I4868" s="1">
        <v>1799</v>
      </c>
      <c r="J4868" s="1" t="s">
        <v>55</v>
      </c>
      <c r="K4868" s="1" t="s">
        <v>9908</v>
      </c>
      <c r="L4868" s="1">
        <v>4</v>
      </c>
      <c r="M4868" s="1">
        <v>474</v>
      </c>
      <c r="P4868" t="str">
        <f t="shared" si="307"/>
        <v>60%</v>
      </c>
      <c r="Q4868" s="12">
        <f t="shared" si="304"/>
        <v>0.6</v>
      </c>
      <c r="R4868" s="9">
        <f t="shared" si="305"/>
        <v>719.60000000000014</v>
      </c>
      <c r="S4868" s="9">
        <f>IF(R4868="",AVERAGEIF(Table1[Category],Table1[[#This Row],[Category]],Table2[orignal data]),Table2[[#This Row],[orignal data]])</f>
        <v>719.60000000000014</v>
      </c>
      <c r="T4868" t="str">
        <f t="shared" si="306"/>
        <v>UNIQUE</v>
      </c>
      <c r="U4868" t="str">
        <f>IF(ISBLANK(Table1[[#This Row],[SizeOption]]),"NOT AVAILABLE",Table1[[#This Row],[SizeOption]])</f>
        <v>S, M, L, XL, 3XL</v>
      </c>
      <c r="Y4868" t="str">
        <f>IF(Table2[[#This Row],[Column1]]&gt;50%,"HIGH DISCOUNT","LOW DISCOUNT")</f>
        <v>HIGH DISCOUNT</v>
      </c>
    </row>
    <row r="4869" spans="1:25" x14ac:dyDescent="0.25">
      <c r="A4869" s="2" t="s">
        <v>9909</v>
      </c>
      <c r="B4869" s="2">
        <v>10248035</v>
      </c>
      <c r="C4869" s="2" t="s">
        <v>794</v>
      </c>
      <c r="D4869" s="2" t="s">
        <v>197</v>
      </c>
      <c r="E4869" s="2" t="s">
        <v>939</v>
      </c>
      <c r="F4869" s="2" t="s">
        <v>17</v>
      </c>
      <c r="G4869" s="2" t="s">
        <v>9910</v>
      </c>
      <c r="H4869">
        <v>747</v>
      </c>
      <c r="I4869" s="2">
        <v>879</v>
      </c>
      <c r="J4869" s="2" t="s">
        <v>786</v>
      </c>
      <c r="K4869" s="2" t="s">
        <v>352</v>
      </c>
      <c r="L4869" s="2">
        <v>4.3</v>
      </c>
      <c r="M4869" s="2">
        <v>474</v>
      </c>
      <c r="P4869" t="str">
        <f t="shared" si="307"/>
        <v>15%</v>
      </c>
      <c r="Q4869" s="12">
        <f t="shared" si="304"/>
        <v>0.15</v>
      </c>
      <c r="R4869" s="9">
        <f t="shared" si="305"/>
        <v>747.15</v>
      </c>
      <c r="S4869" s="9">
        <f>IF(R4869="",AVERAGEIF(Table1[Category],Table1[[#This Row],[Category]],Table2[orignal data]),Table2[[#This Row],[orignal data]])</f>
        <v>747.15</v>
      </c>
      <c r="T4869" t="str">
        <f t="shared" si="306"/>
        <v>UNIQUE</v>
      </c>
      <c r="U4869" t="str">
        <f>IF(ISBLANK(Table1[[#This Row],[SizeOption]]),"NOT AVAILABLE",Table1[[#This Row],[SizeOption]])</f>
        <v>S, M, L</v>
      </c>
      <c r="Y4869" t="str">
        <f>IF(Table2[[#This Row],[Column1]]&gt;50%,"HIGH DISCOUNT","LOW DISCOUNT")</f>
        <v>LOW DISCOUNT</v>
      </c>
    </row>
    <row r="4870" spans="1:25" x14ac:dyDescent="0.25">
      <c r="A4870" s="1" t="s">
        <v>9911</v>
      </c>
      <c r="B4870" s="1">
        <v>14515068</v>
      </c>
      <c r="C4870" s="1" t="s">
        <v>9912</v>
      </c>
      <c r="D4870" s="1" t="s">
        <v>68</v>
      </c>
      <c r="E4870" s="1" t="s">
        <v>42</v>
      </c>
      <c r="F4870" s="1" t="s">
        <v>17</v>
      </c>
      <c r="G4870" s="1" t="s">
        <v>9913</v>
      </c>
      <c r="H4870">
        <v>545</v>
      </c>
      <c r="I4870" s="1">
        <v>599</v>
      </c>
      <c r="J4870" s="1" t="s">
        <v>8990</v>
      </c>
      <c r="K4870" s="1" t="s">
        <v>39</v>
      </c>
      <c r="L4870" s="1">
        <v>4.3</v>
      </c>
      <c r="M4870" s="1">
        <v>474</v>
      </c>
      <c r="P4870" t="str">
        <f t="shared" si="307"/>
        <v>9%</v>
      </c>
      <c r="Q4870" s="12">
        <f t="shared" si="304"/>
        <v>0.09</v>
      </c>
      <c r="R4870" s="9">
        <f t="shared" si="305"/>
        <v>545.09</v>
      </c>
      <c r="S4870" s="9">
        <f>IF(R4870="",AVERAGEIF(Table1[Category],Table1[[#This Row],[Category]],Table2[orignal data]),Table2[[#This Row],[orignal data]])</f>
        <v>545.09</v>
      </c>
      <c r="T4870" t="str">
        <f t="shared" si="306"/>
        <v>UNIQUE</v>
      </c>
      <c r="U4870" t="str">
        <f>IF(ISBLANK(Table1[[#This Row],[SizeOption]]),"NOT AVAILABLE",Table1[[#This Row],[SizeOption]])</f>
        <v>S, M, L, XL, XXL</v>
      </c>
      <c r="Y4870" t="str">
        <f>IF(Table2[[#This Row],[Column1]]&gt;50%,"HIGH DISCOUNT","LOW DISCOUNT")</f>
        <v>LOW DISCOUNT</v>
      </c>
    </row>
    <row r="4871" spans="1:25" x14ac:dyDescent="0.25">
      <c r="A4871" s="2" t="s">
        <v>9914</v>
      </c>
      <c r="B4871" s="2">
        <v>11526918</v>
      </c>
      <c r="C4871" s="2" t="s">
        <v>1176</v>
      </c>
      <c r="D4871" s="2" t="s">
        <v>68</v>
      </c>
      <c r="E4871" s="2" t="s">
        <v>42</v>
      </c>
      <c r="F4871" s="2" t="s">
        <v>17</v>
      </c>
      <c r="G4871" s="2" t="s">
        <v>9915</v>
      </c>
      <c r="H4871">
        <v>389</v>
      </c>
      <c r="I4871" s="2">
        <v>829</v>
      </c>
      <c r="J4871" s="2" t="s">
        <v>89</v>
      </c>
      <c r="K4871" s="2" t="s">
        <v>26</v>
      </c>
      <c r="L4871" s="2">
        <v>4.2</v>
      </c>
      <c r="M4871" s="2">
        <v>474</v>
      </c>
      <c r="P4871" t="str">
        <f t="shared" si="307"/>
        <v>53%</v>
      </c>
      <c r="Q4871" s="12">
        <f t="shared" si="304"/>
        <v>0.53</v>
      </c>
      <c r="R4871" s="9">
        <f t="shared" si="305"/>
        <v>389.63</v>
      </c>
      <c r="S4871" s="9">
        <f>IF(R4871="",AVERAGEIF(Table1[Category],Table1[[#This Row],[Category]],Table2[orignal data]),Table2[[#This Row],[orignal data]])</f>
        <v>389.63</v>
      </c>
      <c r="T4871" t="str">
        <f t="shared" si="306"/>
        <v>UNIQUE</v>
      </c>
      <c r="U4871" t="str">
        <f>IF(ISBLANK(Table1[[#This Row],[SizeOption]]),"NOT AVAILABLE",Table1[[#This Row],[SizeOption]])</f>
        <v>S, M, L, XL</v>
      </c>
      <c r="Y4871" t="str">
        <f>IF(Table2[[#This Row],[Column1]]&gt;50%,"HIGH DISCOUNT","LOW DISCOUNT")</f>
        <v>HIGH DISCOUNT</v>
      </c>
    </row>
    <row r="4872" spans="1:25" x14ac:dyDescent="0.25">
      <c r="A4872" s="1" t="s">
        <v>9916</v>
      </c>
      <c r="B4872" s="1">
        <v>11999464</v>
      </c>
      <c r="C4872" s="1" t="s">
        <v>67</v>
      </c>
      <c r="D4872" s="1" t="s">
        <v>68</v>
      </c>
      <c r="E4872" s="1" t="s">
        <v>42</v>
      </c>
      <c r="F4872" s="1" t="s">
        <v>17</v>
      </c>
      <c r="G4872" s="1" t="s">
        <v>9917</v>
      </c>
      <c r="I4872" s="1">
        <v>699</v>
      </c>
      <c r="J4872" s="1"/>
      <c r="K4872" s="1" t="s">
        <v>39</v>
      </c>
      <c r="L4872" s="1">
        <v>4.0999999999999996</v>
      </c>
      <c r="M4872" s="1">
        <v>474</v>
      </c>
      <c r="P4872" t="str">
        <f t="shared" si="307"/>
        <v/>
      </c>
      <c r="Q4872" s="12" t="str">
        <f t="shared" si="304"/>
        <v/>
      </c>
      <c r="R4872" s="9" t="str">
        <f t="shared" si="305"/>
        <v/>
      </c>
      <c r="S4872" s="9">
        <f>IF(R4872="",AVERAGEIF(Table1[Category],Table1[[#This Row],[Category]],Table2[orignal data]),Table2[[#This Row],[orignal data]])</f>
        <v>734.32085365853686</v>
      </c>
      <c r="T4872" t="str">
        <f t="shared" si="306"/>
        <v>UNIQUE</v>
      </c>
      <c r="U4872" t="str">
        <f>IF(ISBLANK(Table1[[#This Row],[SizeOption]]),"NOT AVAILABLE",Table1[[#This Row],[SizeOption]])</f>
        <v>S, M, L, XL, XXL</v>
      </c>
      <c r="Y4872" t="str">
        <f>IF(Table2[[#This Row],[Column1]]&gt;50%,"HIGH DISCOUNT","LOW DISCOUNT")</f>
        <v>HIGH DISCOUNT</v>
      </c>
    </row>
    <row r="4873" spans="1:25" x14ac:dyDescent="0.25">
      <c r="A4873" s="2" t="s">
        <v>9918</v>
      </c>
      <c r="B4873" s="2">
        <v>11363912</v>
      </c>
      <c r="C4873" s="2" t="s">
        <v>169</v>
      </c>
      <c r="D4873" s="2" t="s">
        <v>28</v>
      </c>
      <c r="E4873" s="2" t="s">
        <v>42</v>
      </c>
      <c r="F4873" s="2" t="s">
        <v>17</v>
      </c>
      <c r="G4873" s="2" t="s">
        <v>9919</v>
      </c>
      <c r="H4873">
        <v>909</v>
      </c>
      <c r="I4873" s="2">
        <v>1399</v>
      </c>
      <c r="J4873" s="2" t="s">
        <v>44</v>
      </c>
      <c r="K4873" s="2" t="s">
        <v>39</v>
      </c>
      <c r="L4873" s="2">
        <v>4.2</v>
      </c>
      <c r="M4873" s="2">
        <v>474</v>
      </c>
      <c r="P4873" t="str">
        <f t="shared" si="307"/>
        <v>35%</v>
      </c>
      <c r="Q4873" s="12">
        <f t="shared" si="304"/>
        <v>0.35</v>
      </c>
      <c r="R4873" s="9">
        <f t="shared" si="305"/>
        <v>909.35</v>
      </c>
      <c r="S4873" s="9">
        <f>IF(R4873="",AVERAGEIF(Table1[Category],Table1[[#This Row],[Category]],Table2[orignal data]),Table2[[#This Row],[orignal data]])</f>
        <v>909.35</v>
      </c>
      <c r="T4873" t="str">
        <f t="shared" si="306"/>
        <v>UNIQUE</v>
      </c>
      <c r="U4873" t="str">
        <f>IF(ISBLANK(Table1[[#This Row],[SizeOption]]),"NOT AVAILABLE",Table1[[#This Row],[SizeOption]])</f>
        <v>S, M, L, XL, XXL</v>
      </c>
      <c r="Y4873" t="str">
        <f>IF(Table2[[#This Row],[Column1]]&gt;50%,"HIGH DISCOUNT","LOW DISCOUNT")</f>
        <v>LOW DISCOUNT</v>
      </c>
    </row>
    <row r="4874" spans="1:25" x14ac:dyDescent="0.25">
      <c r="A4874" s="1" t="s">
        <v>9920</v>
      </c>
      <c r="B4874" s="1">
        <v>9825419</v>
      </c>
      <c r="C4874" s="1" t="s">
        <v>1074</v>
      </c>
      <c r="D4874" s="1" t="s">
        <v>76</v>
      </c>
      <c r="E4874" s="1" t="s">
        <v>148</v>
      </c>
      <c r="F4874" s="1" t="s">
        <v>36</v>
      </c>
      <c r="G4874" s="1" t="s">
        <v>9921</v>
      </c>
      <c r="H4874">
        <v>629</v>
      </c>
      <c r="I4874" s="1">
        <v>1499</v>
      </c>
      <c r="J4874" s="1" t="s">
        <v>60</v>
      </c>
      <c r="K4874" s="1" t="s">
        <v>39</v>
      </c>
      <c r="L4874" s="1">
        <v>3.8</v>
      </c>
      <c r="M4874" s="1">
        <v>474</v>
      </c>
      <c r="P4874" t="str">
        <f t="shared" si="307"/>
        <v>58%</v>
      </c>
      <c r="Q4874" s="12">
        <f t="shared" si="304"/>
        <v>0.57999999999999996</v>
      </c>
      <c r="R4874" s="9">
        <f t="shared" si="305"/>
        <v>629.58000000000004</v>
      </c>
      <c r="S4874" s="9">
        <f>IF(R4874="",AVERAGEIF(Table1[Category],Table1[[#This Row],[Category]],Table2[orignal data]),Table2[[#This Row],[orignal data]])</f>
        <v>629.58000000000004</v>
      </c>
      <c r="T4874" t="str">
        <f t="shared" si="306"/>
        <v>UNIQUE</v>
      </c>
      <c r="U4874" t="str">
        <f>IF(ISBLANK(Table1[[#This Row],[SizeOption]]),"NOT AVAILABLE",Table1[[#This Row],[SizeOption]])</f>
        <v>S, M, L, XL, XXL</v>
      </c>
      <c r="Y4874" t="str">
        <f>IF(Table2[[#This Row],[Column1]]&gt;50%,"HIGH DISCOUNT","LOW DISCOUNT")</f>
        <v>HIGH DISCOUNT</v>
      </c>
    </row>
    <row r="4875" spans="1:25" x14ac:dyDescent="0.25">
      <c r="A4875" s="2" t="s">
        <v>9922</v>
      </c>
      <c r="B4875" s="2">
        <v>902394</v>
      </c>
      <c r="C4875" s="2" t="s">
        <v>865</v>
      </c>
      <c r="D4875" s="2" t="s">
        <v>76</v>
      </c>
      <c r="E4875" s="2" t="s">
        <v>320</v>
      </c>
      <c r="F4875" s="2" t="s">
        <v>36</v>
      </c>
      <c r="G4875" s="2" t="s">
        <v>9923</v>
      </c>
      <c r="H4875">
        <v>1775</v>
      </c>
      <c r="I4875" s="2">
        <v>3699</v>
      </c>
      <c r="J4875" s="2" t="s">
        <v>208</v>
      </c>
      <c r="K4875" s="2" t="s">
        <v>164</v>
      </c>
      <c r="L4875" s="2">
        <v>4.3</v>
      </c>
      <c r="M4875" s="2">
        <v>474</v>
      </c>
      <c r="P4875" t="str">
        <f t="shared" si="307"/>
        <v>52%</v>
      </c>
      <c r="Q4875" s="12">
        <f t="shared" si="304"/>
        <v>0.52</v>
      </c>
      <c r="R4875" s="9">
        <f t="shared" si="305"/>
        <v>1775.52</v>
      </c>
      <c r="S4875" s="9">
        <f>IF(R4875="",AVERAGEIF(Table1[Category],Table1[[#This Row],[Category]],Table2[orignal data]),Table2[[#This Row],[orignal data]])</f>
        <v>1775.52</v>
      </c>
      <c r="T4875" t="str">
        <f t="shared" si="306"/>
        <v>UNIQUE</v>
      </c>
      <c r="U4875" t="str">
        <f>IF(ISBLANK(Table1[[#This Row],[SizeOption]]),"NOT AVAILABLE",Table1[[#This Row],[SizeOption]])</f>
        <v>Onesize</v>
      </c>
      <c r="Y4875" t="str">
        <f>IF(Table2[[#This Row],[Column1]]&gt;50%,"HIGH DISCOUNT","LOW DISCOUNT")</f>
        <v>HIGH DISCOUNT</v>
      </c>
    </row>
    <row r="4876" spans="1:25" x14ac:dyDescent="0.25">
      <c r="A4876" s="1" t="s">
        <v>9924</v>
      </c>
      <c r="B4876" s="1">
        <v>2252778</v>
      </c>
      <c r="C4876" s="1" t="s">
        <v>1107</v>
      </c>
      <c r="D4876" s="1" t="s">
        <v>34</v>
      </c>
      <c r="E4876" s="1" t="s">
        <v>35</v>
      </c>
      <c r="F4876" s="1" t="s">
        <v>36</v>
      </c>
      <c r="G4876" s="1" t="s">
        <v>9925</v>
      </c>
      <c r="H4876">
        <v>825</v>
      </c>
      <c r="I4876" s="1">
        <v>1399</v>
      </c>
      <c r="J4876" s="1" t="s">
        <v>1109</v>
      </c>
      <c r="K4876" s="1" t="s">
        <v>881</v>
      </c>
      <c r="L4876" s="1">
        <v>3.8</v>
      </c>
      <c r="M4876" s="1">
        <v>474</v>
      </c>
      <c r="P4876" t="str">
        <f t="shared" si="307"/>
        <v>41%</v>
      </c>
      <c r="Q4876" s="12">
        <f t="shared" si="304"/>
        <v>0.41</v>
      </c>
      <c r="R4876" s="9">
        <f t="shared" si="305"/>
        <v>825.41000000000008</v>
      </c>
      <c r="S4876" s="9">
        <f>IF(R4876="",AVERAGEIF(Table1[Category],Table1[[#This Row],[Category]],Table2[orignal data]),Table2[[#This Row],[orignal data]])</f>
        <v>825.41000000000008</v>
      </c>
      <c r="T4876" t="str">
        <f t="shared" si="306"/>
        <v>UNIQUE</v>
      </c>
      <c r="U4876" t="str">
        <f>IF(ISBLANK(Table1[[#This Row],[SizeOption]]),"NOT AVAILABLE",Table1[[#This Row],[SizeOption]])</f>
        <v>M, L, XL, XXL</v>
      </c>
      <c r="Y4876" t="str">
        <f>IF(Table2[[#This Row],[Column1]]&gt;50%,"HIGH DISCOUNT","LOW DISCOUNT")</f>
        <v>LOW DISCOUNT</v>
      </c>
    </row>
    <row r="4877" spans="1:25" x14ac:dyDescent="0.25">
      <c r="A4877" s="2" t="s">
        <v>9926</v>
      </c>
      <c r="B4877" s="2">
        <v>10304965</v>
      </c>
      <c r="C4877" s="2" t="s">
        <v>5934</v>
      </c>
      <c r="D4877" s="2" t="s">
        <v>34</v>
      </c>
      <c r="E4877" s="2" t="s">
        <v>118</v>
      </c>
      <c r="F4877" s="2" t="s">
        <v>36</v>
      </c>
      <c r="G4877" s="2" t="s">
        <v>9927</v>
      </c>
      <c r="H4877">
        <v>339</v>
      </c>
      <c r="I4877" s="2">
        <v>899</v>
      </c>
      <c r="J4877" s="2" t="s">
        <v>5936</v>
      </c>
      <c r="K4877" s="2" t="s">
        <v>5937</v>
      </c>
      <c r="L4877" s="2">
        <v>4.3</v>
      </c>
      <c r="M4877" s="2">
        <v>474</v>
      </c>
      <c r="P4877" t="str">
        <f t="shared" si="307"/>
        <v>560</v>
      </c>
      <c r="Q4877" s="12">
        <f t="shared" si="304"/>
        <v>0.62291434927697442</v>
      </c>
      <c r="R4877" s="9">
        <f t="shared" si="305"/>
        <v>339</v>
      </c>
      <c r="S4877" s="9">
        <f>IF(R4877="",AVERAGEIF(Table1[Category],Table1[[#This Row],[Category]],Table2[orignal data]),Table2[[#This Row],[orignal data]])</f>
        <v>339</v>
      </c>
      <c r="T4877" t="str">
        <f t="shared" si="306"/>
        <v>UNIQUE</v>
      </c>
      <c r="U4877" t="str">
        <f>IF(ISBLANK(Table1[[#This Row],[SizeOption]]),"NOT AVAILABLE",Table1[[#This Row],[SizeOption]])</f>
        <v>38B, 38C, 38D, 40B, 40C, 40D, 42B, 42C, 42D, 44B, 44C, 44D, 46B, 46C, 46D</v>
      </c>
      <c r="Y4877" t="str">
        <f>IF(Table2[[#This Row],[Column1]]&gt;50%,"HIGH DISCOUNT","LOW DISCOUNT")</f>
        <v>HIGH DISCOUNT</v>
      </c>
    </row>
    <row r="4878" spans="1:25" x14ac:dyDescent="0.25">
      <c r="A4878" s="1" t="s">
        <v>9928</v>
      </c>
      <c r="B4878" s="1">
        <v>10568630</v>
      </c>
      <c r="C4878" s="1" t="s">
        <v>67</v>
      </c>
      <c r="D4878" s="1" t="s">
        <v>68</v>
      </c>
      <c r="E4878" s="1" t="s">
        <v>137</v>
      </c>
      <c r="F4878" s="1" t="s">
        <v>36</v>
      </c>
      <c r="G4878" s="1" t="s">
        <v>9929</v>
      </c>
      <c r="H4878">
        <v>519</v>
      </c>
      <c r="I4878" s="1">
        <v>1299</v>
      </c>
      <c r="J4878" s="1" t="s">
        <v>55</v>
      </c>
      <c r="K4878" s="1" t="s">
        <v>134</v>
      </c>
      <c r="L4878" s="1">
        <v>4.3</v>
      </c>
      <c r="M4878" s="1">
        <v>474</v>
      </c>
      <c r="P4878" t="str">
        <f t="shared" si="307"/>
        <v>60%</v>
      </c>
      <c r="Q4878" s="12">
        <f t="shared" si="304"/>
        <v>0.6</v>
      </c>
      <c r="R4878" s="9">
        <f t="shared" si="305"/>
        <v>519.6</v>
      </c>
      <c r="S4878" s="9">
        <f>IF(R4878="",AVERAGEIF(Table1[Category],Table1[[#This Row],[Category]],Table2[orignal data]),Table2[[#This Row],[orignal data]])</f>
        <v>519.6</v>
      </c>
      <c r="T4878" t="str">
        <f t="shared" si="306"/>
        <v>UNIQUE</v>
      </c>
      <c r="U4878" t="str">
        <f>IF(ISBLANK(Table1[[#This Row],[SizeOption]]),"NOT AVAILABLE",Table1[[#This Row],[SizeOption]])</f>
        <v>26, 28, 30, 32, 34, 36</v>
      </c>
      <c r="Y4878" t="str">
        <f>IF(Table2[[#This Row],[Column1]]&gt;50%,"HIGH DISCOUNT","LOW DISCOUNT")</f>
        <v>HIGH DISCOUNT</v>
      </c>
    </row>
    <row r="4879" spans="1:25" x14ac:dyDescent="0.25">
      <c r="A4879" s="2" t="s">
        <v>9930</v>
      </c>
      <c r="B4879" s="2">
        <v>10015983</v>
      </c>
      <c r="C4879" s="2" t="s">
        <v>102</v>
      </c>
      <c r="D4879" s="2" t="s">
        <v>41</v>
      </c>
      <c r="E4879" s="2" t="s">
        <v>48</v>
      </c>
      <c r="F4879" s="2" t="s">
        <v>36</v>
      </c>
      <c r="G4879" s="2" t="s">
        <v>4920</v>
      </c>
      <c r="I4879" s="2">
        <v>1049</v>
      </c>
      <c r="J4879" s="2" t="s">
        <v>126</v>
      </c>
      <c r="K4879" s="2" t="s">
        <v>26</v>
      </c>
      <c r="L4879" s="2">
        <v>4</v>
      </c>
      <c r="M4879" s="2">
        <v>474</v>
      </c>
      <c r="P4879" t="str">
        <f t="shared" si="307"/>
        <v>62%</v>
      </c>
      <c r="Q4879" s="12">
        <f t="shared" si="304"/>
        <v>0.62</v>
      </c>
      <c r="R4879" s="9">
        <f t="shared" si="305"/>
        <v>398.62</v>
      </c>
      <c r="S4879" s="9">
        <f>IF(R4879="",AVERAGEIF(Table1[Category],Table1[[#This Row],[Category]],Table2[orignal data]),Table2[[#This Row],[orignal data]])</f>
        <v>398.62</v>
      </c>
      <c r="T4879" t="str">
        <f t="shared" si="306"/>
        <v>UNIQUE</v>
      </c>
      <c r="U4879" t="str">
        <f>IF(ISBLANK(Table1[[#This Row],[SizeOption]]),"NOT AVAILABLE",Table1[[#This Row],[SizeOption]])</f>
        <v>S, M, L, XL</v>
      </c>
      <c r="Y4879" t="str">
        <f>IF(Table2[[#This Row],[Column1]]&gt;50%,"HIGH DISCOUNT","LOW DISCOUNT")</f>
        <v>HIGH DISCOUNT</v>
      </c>
    </row>
    <row r="4880" spans="1:25" x14ac:dyDescent="0.25">
      <c r="A4880" s="1" t="s">
        <v>9931</v>
      </c>
      <c r="B4880" s="1">
        <v>17382706</v>
      </c>
      <c r="C4880" s="1" t="s">
        <v>14</v>
      </c>
      <c r="D4880" s="1" t="s">
        <v>41</v>
      </c>
      <c r="E4880" s="1" t="s">
        <v>42</v>
      </c>
      <c r="F4880" s="1" t="s">
        <v>36</v>
      </c>
      <c r="G4880" s="1" t="s">
        <v>1816</v>
      </c>
      <c r="I4880" s="1">
        <v>1598</v>
      </c>
      <c r="J4880" s="1" t="s">
        <v>84</v>
      </c>
      <c r="K4880" s="1" t="s">
        <v>45</v>
      </c>
      <c r="L4880" s="1">
        <v>4.3</v>
      </c>
      <c r="M4880" s="1">
        <v>474</v>
      </c>
      <c r="P4880" t="str">
        <f t="shared" si="307"/>
        <v>50%</v>
      </c>
      <c r="Q4880" s="12">
        <f t="shared" si="304"/>
        <v>0.5</v>
      </c>
      <c r="R4880" s="9">
        <f t="shared" si="305"/>
        <v>799</v>
      </c>
      <c r="S4880" s="9">
        <f>IF(R4880="",AVERAGEIF(Table1[Category],Table1[[#This Row],[Category]],Table2[orignal data]),Table2[[#This Row],[orignal data]])</f>
        <v>799</v>
      </c>
      <c r="T4880" t="str">
        <f t="shared" si="306"/>
        <v>UNIQUE</v>
      </c>
      <c r="U4880" t="str">
        <f>IF(ISBLANK(Table1[[#This Row],[SizeOption]]),"NOT AVAILABLE",Table1[[#This Row],[SizeOption]])</f>
        <v>XS, S, M, L, XL</v>
      </c>
      <c r="Y4880" t="str">
        <f>IF(Table2[[#This Row],[Column1]]&gt;50%,"HIGH DISCOUNT","LOW DISCOUNT")</f>
        <v>LOW DISCOUNT</v>
      </c>
    </row>
    <row r="4881" spans="1:25" x14ac:dyDescent="0.25">
      <c r="A4881" s="2" t="s">
        <v>9932</v>
      </c>
      <c r="B4881" s="2">
        <v>17525204</v>
      </c>
      <c r="C4881" s="2" t="s">
        <v>47</v>
      </c>
      <c r="D4881" s="2" t="s">
        <v>41</v>
      </c>
      <c r="E4881" s="2" t="s">
        <v>42</v>
      </c>
      <c r="F4881" s="2" t="s">
        <v>36</v>
      </c>
      <c r="G4881" s="2" t="s">
        <v>9044</v>
      </c>
      <c r="I4881" s="2">
        <v>1598</v>
      </c>
      <c r="J4881" s="2" t="s">
        <v>84</v>
      </c>
      <c r="K4881" s="2" t="s">
        <v>703</v>
      </c>
      <c r="L4881" s="2">
        <v>4.4000000000000004</v>
      </c>
      <c r="M4881" s="2">
        <v>474</v>
      </c>
      <c r="P4881" t="str">
        <f t="shared" si="307"/>
        <v>50%</v>
      </c>
      <c r="Q4881" s="12">
        <f t="shared" si="304"/>
        <v>0.5</v>
      </c>
      <c r="R4881" s="9">
        <f t="shared" si="305"/>
        <v>799</v>
      </c>
      <c r="S4881" s="9">
        <f>IF(R4881="",AVERAGEIF(Table1[Category],Table1[[#This Row],[Category]],Table2[orignal data]),Table2[[#This Row],[orignal data]])</f>
        <v>799</v>
      </c>
      <c r="T4881" t="str">
        <f t="shared" si="306"/>
        <v>UNIQUE</v>
      </c>
      <c r="U4881" t="str">
        <f>IF(ISBLANK(Table1[[#This Row],[SizeOption]]),"NOT AVAILABLE",Table1[[#This Row],[SizeOption]])</f>
        <v>S, XS, XL, L, M</v>
      </c>
      <c r="Y4881" t="str">
        <f>IF(Table2[[#This Row],[Column1]]&gt;50%,"HIGH DISCOUNT","LOW DISCOUNT")</f>
        <v>LOW DISCOUNT</v>
      </c>
    </row>
    <row r="4882" spans="1:25" x14ac:dyDescent="0.25">
      <c r="A4882" s="1" t="s">
        <v>9933</v>
      </c>
      <c r="B4882" s="1">
        <v>10852624</v>
      </c>
      <c r="C4882" s="1" t="s">
        <v>800</v>
      </c>
      <c r="D4882" s="1" t="s">
        <v>41</v>
      </c>
      <c r="E4882" s="1" t="s">
        <v>148</v>
      </c>
      <c r="F4882" s="1" t="s">
        <v>36</v>
      </c>
      <c r="G4882" s="1" t="s">
        <v>9934</v>
      </c>
      <c r="I4882" s="1">
        <v>1699</v>
      </c>
      <c r="J4882" s="1" t="s">
        <v>126</v>
      </c>
      <c r="K4882" s="1" t="s">
        <v>26</v>
      </c>
      <c r="L4882" s="1">
        <v>3.9</v>
      </c>
      <c r="M4882" s="1">
        <v>474</v>
      </c>
      <c r="P4882" t="str">
        <f t="shared" si="307"/>
        <v>62%</v>
      </c>
      <c r="Q4882" s="12">
        <f t="shared" si="304"/>
        <v>0.62</v>
      </c>
      <c r="R4882" s="9">
        <f t="shared" si="305"/>
        <v>645.62000000000012</v>
      </c>
      <c r="S4882" s="9">
        <f>IF(R4882="",AVERAGEIF(Table1[Category],Table1[[#This Row],[Category]],Table2[orignal data]),Table2[[#This Row],[orignal data]])</f>
        <v>645.62000000000012</v>
      </c>
      <c r="T4882" t="str">
        <f t="shared" si="306"/>
        <v>UNIQUE</v>
      </c>
      <c r="U4882" t="str">
        <f>IF(ISBLANK(Table1[[#This Row],[SizeOption]]),"NOT AVAILABLE",Table1[[#This Row],[SizeOption]])</f>
        <v>S, M, L, XL</v>
      </c>
      <c r="Y4882" t="str">
        <f>IF(Table2[[#This Row],[Column1]]&gt;50%,"HIGH DISCOUNT","LOW DISCOUNT")</f>
        <v>HIGH DISCOUNT</v>
      </c>
    </row>
    <row r="4883" spans="1:25" x14ac:dyDescent="0.25">
      <c r="A4883" s="2" t="s">
        <v>9935</v>
      </c>
      <c r="B4883" s="2">
        <v>9717171</v>
      </c>
      <c r="C4883" s="2" t="s">
        <v>1127</v>
      </c>
      <c r="D4883" s="2" t="s">
        <v>41</v>
      </c>
      <c r="E4883" s="2" t="s">
        <v>48</v>
      </c>
      <c r="F4883" s="2" t="s">
        <v>36</v>
      </c>
      <c r="G4883" s="2" t="s">
        <v>9936</v>
      </c>
      <c r="I4883" s="2">
        <v>1799</v>
      </c>
      <c r="J4883" s="2" t="s">
        <v>89</v>
      </c>
      <c r="K4883" s="2" t="s">
        <v>26</v>
      </c>
      <c r="L4883" s="2">
        <v>3.7</v>
      </c>
      <c r="M4883" s="2">
        <v>474</v>
      </c>
      <c r="P4883" t="str">
        <f t="shared" si="307"/>
        <v>53%</v>
      </c>
      <c r="Q4883" s="12">
        <f t="shared" si="304"/>
        <v>0.53</v>
      </c>
      <c r="R4883" s="9">
        <f t="shared" si="305"/>
        <v>845.53</v>
      </c>
      <c r="S4883" s="9">
        <f>IF(R4883="",AVERAGEIF(Table1[Category],Table1[[#This Row],[Category]],Table2[orignal data]),Table2[[#This Row],[orignal data]])</f>
        <v>845.53</v>
      </c>
      <c r="T4883" t="str">
        <f t="shared" si="306"/>
        <v>UNIQUE</v>
      </c>
      <c r="U4883" t="str">
        <f>IF(ISBLANK(Table1[[#This Row],[SizeOption]]),"NOT AVAILABLE",Table1[[#This Row],[SizeOption]])</f>
        <v>S, M, L, XL</v>
      </c>
      <c r="Y4883" t="str">
        <f>IF(Table2[[#This Row],[Column1]]&gt;50%,"HIGH DISCOUNT","LOW DISCOUNT")</f>
        <v>HIGH DISCOUNT</v>
      </c>
    </row>
    <row r="4884" spans="1:25" x14ac:dyDescent="0.25">
      <c r="A4884" s="1" t="s">
        <v>9937</v>
      </c>
      <c r="B4884" s="1">
        <v>10053761</v>
      </c>
      <c r="C4884" s="1" t="s">
        <v>152</v>
      </c>
      <c r="D4884" s="1" t="s">
        <v>41</v>
      </c>
      <c r="E4884" s="1" t="s">
        <v>82</v>
      </c>
      <c r="F4884" s="1" t="s">
        <v>36</v>
      </c>
      <c r="G4884" s="1" t="s">
        <v>9938</v>
      </c>
      <c r="I4884" s="1">
        <v>2149</v>
      </c>
      <c r="J4884" s="1" t="s">
        <v>150</v>
      </c>
      <c r="K4884" s="1" t="s">
        <v>39</v>
      </c>
      <c r="L4884" s="1">
        <v>3.9</v>
      </c>
      <c r="M4884" s="1">
        <v>474</v>
      </c>
      <c r="P4884" t="str">
        <f t="shared" si="307"/>
        <v>65%</v>
      </c>
      <c r="Q4884" s="12">
        <f t="shared" si="304"/>
        <v>0.65</v>
      </c>
      <c r="R4884" s="9">
        <f t="shared" si="305"/>
        <v>752.14999999999986</v>
      </c>
      <c r="S4884" s="9">
        <f>IF(R4884="",AVERAGEIF(Table1[Category],Table1[[#This Row],[Category]],Table2[orignal data]),Table2[[#This Row],[orignal data]])</f>
        <v>752.14999999999986</v>
      </c>
      <c r="T4884" t="str">
        <f t="shared" si="306"/>
        <v>UNIQUE</v>
      </c>
      <c r="U4884" t="str">
        <f>IF(ISBLANK(Table1[[#This Row],[SizeOption]]),"NOT AVAILABLE",Table1[[#This Row],[SizeOption]])</f>
        <v>S, M, L, XL, XXL</v>
      </c>
      <c r="Y4884" t="str">
        <f>IF(Table2[[#This Row],[Column1]]&gt;50%,"HIGH DISCOUNT","LOW DISCOUNT")</f>
        <v>HIGH DISCOUNT</v>
      </c>
    </row>
    <row r="4885" spans="1:25" x14ac:dyDescent="0.25">
      <c r="A4885" s="2" t="s">
        <v>9939</v>
      </c>
      <c r="B4885" s="2">
        <v>11271830</v>
      </c>
      <c r="C4885" s="2" t="s">
        <v>107</v>
      </c>
      <c r="D4885" s="2" t="s">
        <v>41</v>
      </c>
      <c r="E4885" s="2" t="s">
        <v>48</v>
      </c>
      <c r="F4885" s="2" t="s">
        <v>36</v>
      </c>
      <c r="G4885" s="2" t="s">
        <v>9940</v>
      </c>
      <c r="I4885" s="2">
        <v>899</v>
      </c>
      <c r="J4885" s="2" t="s">
        <v>577</v>
      </c>
      <c r="K4885" s="2" t="s">
        <v>45</v>
      </c>
      <c r="L4885" s="2">
        <v>4.2</v>
      </c>
      <c r="M4885" s="2">
        <v>474</v>
      </c>
      <c r="P4885" t="str">
        <f t="shared" si="307"/>
        <v>400</v>
      </c>
      <c r="Q4885" s="12">
        <f t="shared" si="304"/>
        <v>0.44493882091212456</v>
      </c>
      <c r="R4885" s="9">
        <f t="shared" si="305"/>
        <v>499</v>
      </c>
      <c r="S4885" s="9">
        <f>IF(R4885="",AVERAGEIF(Table1[Category],Table1[[#This Row],[Category]],Table2[orignal data]),Table2[[#This Row],[orignal data]])</f>
        <v>499</v>
      </c>
      <c r="T4885" t="str">
        <f t="shared" si="306"/>
        <v>UNIQUE</v>
      </c>
      <c r="U4885" t="str">
        <f>IF(ISBLANK(Table1[[#This Row],[SizeOption]]),"NOT AVAILABLE",Table1[[#This Row],[SizeOption]])</f>
        <v>XS, S, M, L, XL</v>
      </c>
      <c r="Y4885" t="str">
        <f>IF(Table2[[#This Row],[Column1]]&gt;50%,"HIGH DISCOUNT","LOW DISCOUNT")</f>
        <v>LOW DISCOUNT</v>
      </c>
    </row>
    <row r="4886" spans="1:25" x14ac:dyDescent="0.25">
      <c r="A4886" s="1" t="s">
        <v>9941</v>
      </c>
      <c r="B4886" s="1">
        <v>12670626</v>
      </c>
      <c r="C4886" s="1" t="s">
        <v>14</v>
      </c>
      <c r="D4886" s="1" t="s">
        <v>41</v>
      </c>
      <c r="E4886" s="1" t="s">
        <v>42</v>
      </c>
      <c r="F4886" s="1" t="s">
        <v>36</v>
      </c>
      <c r="G4886" s="1" t="s">
        <v>9942</v>
      </c>
      <c r="I4886" s="1">
        <v>999</v>
      </c>
      <c r="J4886" s="1"/>
      <c r="K4886" s="1" t="s">
        <v>45</v>
      </c>
      <c r="L4886" s="1">
        <v>4.0999999999999996</v>
      </c>
      <c r="M4886" s="1">
        <v>474</v>
      </c>
      <c r="P4886" t="str">
        <f t="shared" si="307"/>
        <v/>
      </c>
      <c r="Q4886" s="12" t="str">
        <f t="shared" si="304"/>
        <v/>
      </c>
      <c r="R4886" s="9" t="str">
        <f t="shared" si="305"/>
        <v/>
      </c>
      <c r="S4886" s="9">
        <f>IF(R4886="",AVERAGEIF(Table1[Category],Table1[[#This Row],[Category]],Table2[orignal data]),Table2[[#This Row],[orignal data]])</f>
        <v>715.78890751086249</v>
      </c>
      <c r="T4886" t="str">
        <f t="shared" si="306"/>
        <v>UNIQUE</v>
      </c>
      <c r="U4886" t="str">
        <f>IF(ISBLANK(Table1[[#This Row],[SizeOption]]),"NOT AVAILABLE",Table1[[#This Row],[SizeOption]])</f>
        <v>XS, S, M, L, XL</v>
      </c>
      <c r="Y4886" t="str">
        <f>IF(Table2[[#This Row],[Column1]]&gt;50%,"HIGH DISCOUNT","LOW DISCOUNT")</f>
        <v>HIGH DISCOUNT</v>
      </c>
    </row>
    <row r="4887" spans="1:25" x14ac:dyDescent="0.25">
      <c r="A4887" s="2" t="s">
        <v>9943</v>
      </c>
      <c r="B4887" s="2">
        <v>1813852</v>
      </c>
      <c r="C4887" s="2" t="s">
        <v>1608</v>
      </c>
      <c r="D4887" s="2" t="s">
        <v>15</v>
      </c>
      <c r="E4887" s="2" t="s">
        <v>53</v>
      </c>
      <c r="F4887" s="2" t="s">
        <v>17</v>
      </c>
      <c r="G4887" s="2" t="s">
        <v>9944</v>
      </c>
      <c r="H4887">
        <v>742</v>
      </c>
      <c r="I4887" s="2">
        <v>1649</v>
      </c>
      <c r="J4887" s="2" t="s">
        <v>25</v>
      </c>
      <c r="K4887" s="2" t="s">
        <v>56</v>
      </c>
      <c r="L4887" s="2">
        <v>4</v>
      </c>
      <c r="M4887" s="2">
        <v>473</v>
      </c>
      <c r="P4887" t="str">
        <f t="shared" si="307"/>
        <v>55%</v>
      </c>
      <c r="Q4887" s="12">
        <f t="shared" si="304"/>
        <v>0.55000000000000004</v>
      </c>
      <c r="R4887" s="9">
        <f t="shared" si="305"/>
        <v>742.05</v>
      </c>
      <c r="S4887" s="9">
        <f>IF(R4887="",AVERAGEIF(Table1[Category],Table1[[#This Row],[Category]],Table2[orignal data]),Table2[[#This Row],[orignal data]])</f>
        <v>742.05</v>
      </c>
      <c r="T4887" t="str">
        <f t="shared" si="306"/>
        <v>UNIQUE</v>
      </c>
      <c r="U4887" t="str">
        <f>IF(ISBLANK(Table1[[#This Row],[SizeOption]]),"NOT AVAILABLE",Table1[[#This Row],[SizeOption]])</f>
        <v>30, 32, 34, 36</v>
      </c>
      <c r="Y4887" t="str">
        <f>IF(Table2[[#This Row],[Column1]]&gt;50%,"HIGH DISCOUNT","LOW DISCOUNT")</f>
        <v>HIGH DISCOUNT</v>
      </c>
    </row>
    <row r="4888" spans="1:25" x14ac:dyDescent="0.25">
      <c r="A4888" s="1" t="s">
        <v>9945</v>
      </c>
      <c r="B4888" s="1">
        <v>8937239</v>
      </c>
      <c r="C4888" s="1" t="s">
        <v>3804</v>
      </c>
      <c r="D4888" s="1" t="s">
        <v>197</v>
      </c>
      <c r="E4888" s="1" t="s">
        <v>350</v>
      </c>
      <c r="F4888" s="1" t="s">
        <v>17</v>
      </c>
      <c r="G4888" s="1" t="s">
        <v>9946</v>
      </c>
      <c r="H4888">
        <v>251</v>
      </c>
      <c r="I4888" s="1">
        <v>279</v>
      </c>
      <c r="J4888" s="1" t="s">
        <v>1005</v>
      </c>
      <c r="K4888" s="1" t="s">
        <v>352</v>
      </c>
      <c r="L4888" s="1">
        <v>4.0999999999999996</v>
      </c>
      <c r="M4888" s="1">
        <v>473</v>
      </c>
      <c r="P4888" t="str">
        <f t="shared" si="307"/>
        <v>10%</v>
      </c>
      <c r="Q4888" s="12">
        <f t="shared" si="304"/>
        <v>0.1</v>
      </c>
      <c r="R4888" s="9">
        <f t="shared" si="305"/>
        <v>251.1</v>
      </c>
      <c r="S4888" s="9">
        <f>IF(R4888="",AVERAGEIF(Table1[Category],Table1[[#This Row],[Category]],Table2[orignal data]),Table2[[#This Row],[orignal data]])</f>
        <v>251.1</v>
      </c>
      <c r="T4888" t="str">
        <f t="shared" si="306"/>
        <v>UNIQUE</v>
      </c>
      <c r="U4888" t="str">
        <f>IF(ISBLANK(Table1[[#This Row],[SizeOption]]),"NOT AVAILABLE",Table1[[#This Row],[SizeOption]])</f>
        <v>S, M, L</v>
      </c>
      <c r="Y4888" t="str">
        <f>IF(Table2[[#This Row],[Column1]]&gt;50%,"HIGH DISCOUNT","LOW DISCOUNT")</f>
        <v>LOW DISCOUNT</v>
      </c>
    </row>
    <row r="4889" spans="1:25" x14ac:dyDescent="0.25">
      <c r="A4889" s="2" t="s">
        <v>9947</v>
      </c>
      <c r="B4889" s="2">
        <v>12027374</v>
      </c>
      <c r="C4889" s="2" t="s">
        <v>295</v>
      </c>
      <c r="D4889" s="2" t="s">
        <v>197</v>
      </c>
      <c r="E4889" s="2" t="s">
        <v>939</v>
      </c>
      <c r="F4889" s="2" t="s">
        <v>17</v>
      </c>
      <c r="G4889" s="2" t="s">
        <v>9948</v>
      </c>
      <c r="H4889">
        <v>898</v>
      </c>
      <c r="I4889" s="2">
        <v>1198</v>
      </c>
      <c r="J4889" s="2" t="s">
        <v>282</v>
      </c>
      <c r="K4889" s="2" t="s">
        <v>26</v>
      </c>
      <c r="L4889" s="2">
        <v>4.5</v>
      </c>
      <c r="M4889" s="2">
        <v>473</v>
      </c>
      <c r="P4889" t="str">
        <f t="shared" si="307"/>
        <v>25%</v>
      </c>
      <c r="Q4889" s="12">
        <f t="shared" si="304"/>
        <v>0.25</v>
      </c>
      <c r="R4889" s="9">
        <f t="shared" si="305"/>
        <v>898.5</v>
      </c>
      <c r="S4889" s="9">
        <f>IF(R4889="",AVERAGEIF(Table1[Category],Table1[[#This Row],[Category]],Table2[orignal data]),Table2[[#This Row],[orignal data]])</f>
        <v>898.5</v>
      </c>
      <c r="T4889" t="str">
        <f t="shared" si="306"/>
        <v>UNIQUE</v>
      </c>
      <c r="U4889" t="str">
        <f>IF(ISBLANK(Table1[[#This Row],[SizeOption]]),"NOT AVAILABLE",Table1[[#This Row],[SizeOption]])</f>
        <v>S, M, L, XL</v>
      </c>
      <c r="Y4889" t="str">
        <f>IF(Table2[[#This Row],[Column1]]&gt;50%,"HIGH DISCOUNT","LOW DISCOUNT")</f>
        <v>LOW DISCOUNT</v>
      </c>
    </row>
    <row r="4890" spans="1:25" x14ac:dyDescent="0.25">
      <c r="A4890" s="1" t="s">
        <v>9949</v>
      </c>
      <c r="B4890" s="1">
        <v>11787084</v>
      </c>
      <c r="C4890" s="1" t="s">
        <v>3804</v>
      </c>
      <c r="D4890" s="1" t="s">
        <v>197</v>
      </c>
      <c r="E4890" s="1" t="s">
        <v>350</v>
      </c>
      <c r="F4890" s="1" t="s">
        <v>17</v>
      </c>
      <c r="G4890" s="1" t="s">
        <v>9950</v>
      </c>
      <c r="I4890" s="1">
        <v>558</v>
      </c>
      <c r="J4890" s="1"/>
      <c r="K4890" s="1" t="s">
        <v>3941</v>
      </c>
      <c r="L4890" s="1">
        <v>4.0999999999999996</v>
      </c>
      <c r="M4890" s="1">
        <v>473</v>
      </c>
      <c r="P4890" t="str">
        <f t="shared" si="307"/>
        <v/>
      </c>
      <c r="Q4890" s="12" t="str">
        <f t="shared" si="304"/>
        <v/>
      </c>
      <c r="R4890" s="9" t="str">
        <f t="shared" si="305"/>
        <v/>
      </c>
      <c r="S4890" s="9">
        <f>IF(R4890="",AVERAGEIF(Table1[Category],Table1[[#This Row],[Category]],Table2[orignal data]),Table2[[#This Row],[orignal data]])</f>
        <v>552.70900000000006</v>
      </c>
      <c r="T4890" t="str">
        <f t="shared" si="306"/>
        <v>UNIQUE</v>
      </c>
      <c r="U4890" t="str">
        <f>IF(ISBLANK(Table1[[#This Row],[SizeOption]]),"NOT AVAILABLE",Table1[[#This Row],[SizeOption]])</f>
        <v>S, L, M</v>
      </c>
      <c r="Y4890" t="str">
        <f>IF(Table2[[#This Row],[Column1]]&gt;50%,"HIGH DISCOUNT","LOW DISCOUNT")</f>
        <v>HIGH DISCOUNT</v>
      </c>
    </row>
    <row r="4891" spans="1:25" x14ac:dyDescent="0.25">
      <c r="A4891" s="2" t="s">
        <v>9951</v>
      </c>
      <c r="B4891" s="2">
        <v>12164202</v>
      </c>
      <c r="C4891" s="2" t="s">
        <v>14</v>
      </c>
      <c r="D4891" s="2" t="s">
        <v>28</v>
      </c>
      <c r="E4891" s="2" t="s">
        <v>29</v>
      </c>
      <c r="F4891" s="2" t="s">
        <v>17</v>
      </c>
      <c r="G4891" s="2" t="s">
        <v>9952</v>
      </c>
      <c r="H4891">
        <v>999</v>
      </c>
      <c r="I4891" s="2">
        <v>1999</v>
      </c>
      <c r="J4891" s="2" t="s">
        <v>84</v>
      </c>
      <c r="K4891" s="2" t="s">
        <v>253</v>
      </c>
      <c r="L4891" s="2">
        <v>4.2</v>
      </c>
      <c r="M4891" s="2">
        <v>473</v>
      </c>
      <c r="P4891" t="str">
        <f t="shared" si="307"/>
        <v>50%</v>
      </c>
      <c r="Q4891" s="12">
        <f t="shared" si="304"/>
        <v>0.5</v>
      </c>
      <c r="R4891" s="9">
        <f t="shared" si="305"/>
        <v>999.5</v>
      </c>
      <c r="S4891" s="9">
        <f>IF(R4891="",AVERAGEIF(Table1[Category],Table1[[#This Row],[Category]],Table2[orignal data]),Table2[[#This Row],[orignal data]])</f>
        <v>999.5</v>
      </c>
      <c r="T4891" t="str">
        <f t="shared" si="306"/>
        <v>UNIQUE</v>
      </c>
      <c r="U4891" t="str">
        <f>IF(ISBLANK(Table1[[#This Row],[SizeOption]]),"NOT AVAILABLE",Table1[[#This Row],[SizeOption]])</f>
        <v>38, 40, 42, 44</v>
      </c>
      <c r="Y4891" t="str">
        <f>IF(Table2[[#This Row],[Column1]]&gt;50%,"HIGH DISCOUNT","LOW DISCOUNT")</f>
        <v>LOW DISCOUNT</v>
      </c>
    </row>
    <row r="4892" spans="1:25" x14ac:dyDescent="0.25">
      <c r="A4892" s="1" t="s">
        <v>9953</v>
      </c>
      <c r="B4892" s="1">
        <v>2349396</v>
      </c>
      <c r="C4892" s="1" t="s">
        <v>14</v>
      </c>
      <c r="D4892" s="1" t="s">
        <v>28</v>
      </c>
      <c r="E4892" s="1" t="s">
        <v>29</v>
      </c>
      <c r="F4892" s="1" t="s">
        <v>17</v>
      </c>
      <c r="G4892" s="1" t="s">
        <v>9954</v>
      </c>
      <c r="H4892">
        <v>999</v>
      </c>
      <c r="I4892" s="1">
        <v>1999</v>
      </c>
      <c r="J4892" s="1" t="s">
        <v>84</v>
      </c>
      <c r="K4892" s="1" t="s">
        <v>253</v>
      </c>
      <c r="L4892" s="1">
        <v>4.3</v>
      </c>
      <c r="M4892" s="1">
        <v>473</v>
      </c>
      <c r="P4892" t="str">
        <f t="shared" si="307"/>
        <v>50%</v>
      </c>
      <c r="Q4892" s="12">
        <f t="shared" si="304"/>
        <v>0.5</v>
      </c>
      <c r="R4892" s="9">
        <f t="shared" si="305"/>
        <v>999.5</v>
      </c>
      <c r="S4892" s="9">
        <f>IF(R4892="",AVERAGEIF(Table1[Category],Table1[[#This Row],[Category]],Table2[orignal data]),Table2[[#This Row],[orignal data]])</f>
        <v>999.5</v>
      </c>
      <c r="T4892" t="str">
        <f t="shared" si="306"/>
        <v>UNIQUE</v>
      </c>
      <c r="U4892" t="str">
        <f>IF(ISBLANK(Table1[[#This Row],[SizeOption]]),"NOT AVAILABLE",Table1[[#This Row],[SizeOption]])</f>
        <v>38, 40, 42, 44</v>
      </c>
      <c r="Y4892" t="str">
        <f>IF(Table2[[#This Row],[Column1]]&gt;50%,"HIGH DISCOUNT","LOW DISCOUNT")</f>
        <v>LOW DISCOUNT</v>
      </c>
    </row>
    <row r="4893" spans="1:25" x14ac:dyDescent="0.25">
      <c r="A4893" s="2" t="s">
        <v>9955</v>
      </c>
      <c r="B4893" s="2">
        <v>2338766</v>
      </c>
      <c r="C4893" s="2" t="s">
        <v>169</v>
      </c>
      <c r="D4893" s="2" t="s">
        <v>28</v>
      </c>
      <c r="E4893" s="2" t="s">
        <v>29</v>
      </c>
      <c r="F4893" s="2" t="s">
        <v>17</v>
      </c>
      <c r="G4893" s="2" t="s">
        <v>9956</v>
      </c>
      <c r="H4893">
        <v>1249</v>
      </c>
      <c r="I4893" s="2">
        <v>2499</v>
      </c>
      <c r="J4893" s="2" t="s">
        <v>84</v>
      </c>
      <c r="K4893" s="2" t="s">
        <v>484</v>
      </c>
      <c r="L4893" s="2">
        <v>4.3</v>
      </c>
      <c r="M4893" s="2">
        <v>473</v>
      </c>
      <c r="P4893" t="str">
        <f t="shared" si="307"/>
        <v>50%</v>
      </c>
      <c r="Q4893" s="12">
        <f t="shared" si="304"/>
        <v>0.5</v>
      </c>
      <c r="R4893" s="9">
        <f t="shared" si="305"/>
        <v>1249.5</v>
      </c>
      <c r="S4893" s="9">
        <f>IF(R4893="",AVERAGEIF(Table1[Category],Table1[[#This Row],[Category]],Table2[orignal data]),Table2[[#This Row],[orignal data]])</f>
        <v>1249.5</v>
      </c>
      <c r="T4893" t="str">
        <f t="shared" si="306"/>
        <v>UNIQUE</v>
      </c>
      <c r="U4893" t="str">
        <f>IF(ISBLANK(Table1[[#This Row],[SizeOption]]),"NOT AVAILABLE",Table1[[#This Row],[SizeOption]])</f>
        <v>39, 40, 42, 44, 46</v>
      </c>
      <c r="Y4893" t="str">
        <f>IF(Table2[[#This Row],[Column1]]&gt;50%,"HIGH DISCOUNT","LOW DISCOUNT")</f>
        <v>LOW DISCOUNT</v>
      </c>
    </row>
    <row r="4894" spans="1:25" x14ac:dyDescent="0.25">
      <c r="A4894" s="1" t="s">
        <v>9957</v>
      </c>
      <c r="B4894" s="1">
        <v>11037626</v>
      </c>
      <c r="C4894" s="1" t="s">
        <v>346</v>
      </c>
      <c r="D4894" s="1" t="s">
        <v>28</v>
      </c>
      <c r="E4894" s="1" t="s">
        <v>42</v>
      </c>
      <c r="F4894" s="1" t="s">
        <v>17</v>
      </c>
      <c r="G4894" s="1" t="s">
        <v>9958</v>
      </c>
      <c r="H4894">
        <v>314</v>
      </c>
      <c r="I4894" s="1">
        <v>699</v>
      </c>
      <c r="J4894" s="1" t="s">
        <v>25</v>
      </c>
      <c r="K4894" s="1" t="s">
        <v>39</v>
      </c>
      <c r="L4894" s="1">
        <v>4.5</v>
      </c>
      <c r="M4894" s="1">
        <v>473</v>
      </c>
      <c r="P4894" t="str">
        <f t="shared" si="307"/>
        <v>55%</v>
      </c>
      <c r="Q4894" s="12">
        <f t="shared" si="304"/>
        <v>0.55000000000000004</v>
      </c>
      <c r="R4894" s="9">
        <f t="shared" si="305"/>
        <v>314.54999999999995</v>
      </c>
      <c r="S4894" s="9">
        <f>IF(R4894="",AVERAGEIF(Table1[Category],Table1[[#This Row],[Category]],Table2[orignal data]),Table2[[#This Row],[orignal data]])</f>
        <v>314.54999999999995</v>
      </c>
      <c r="T4894" t="str">
        <f t="shared" si="306"/>
        <v>UNIQUE</v>
      </c>
      <c r="U4894" t="str">
        <f>IF(ISBLANK(Table1[[#This Row],[SizeOption]]),"NOT AVAILABLE",Table1[[#This Row],[SizeOption]])</f>
        <v>S, M, L, XL, XXL</v>
      </c>
      <c r="Y4894" t="str">
        <f>IF(Table2[[#This Row],[Column1]]&gt;50%,"HIGH DISCOUNT","LOW DISCOUNT")</f>
        <v>HIGH DISCOUNT</v>
      </c>
    </row>
    <row r="4895" spans="1:25" x14ac:dyDescent="0.25">
      <c r="A4895" s="2" t="s">
        <v>9959</v>
      </c>
      <c r="B4895" s="2">
        <v>9043539</v>
      </c>
      <c r="C4895" s="2" t="s">
        <v>97</v>
      </c>
      <c r="D4895" s="2" t="s">
        <v>76</v>
      </c>
      <c r="E4895" s="2" t="s">
        <v>93</v>
      </c>
      <c r="F4895" s="2" t="s">
        <v>36</v>
      </c>
      <c r="G4895" s="2" t="s">
        <v>9960</v>
      </c>
      <c r="H4895">
        <v>679</v>
      </c>
      <c r="I4895" s="2">
        <v>1699</v>
      </c>
      <c r="J4895" s="2" t="s">
        <v>55</v>
      </c>
      <c r="K4895" s="2" t="s">
        <v>100</v>
      </c>
      <c r="L4895" s="2">
        <v>4.2</v>
      </c>
      <c r="M4895" s="2">
        <v>473</v>
      </c>
      <c r="P4895" t="str">
        <f t="shared" si="307"/>
        <v>60%</v>
      </c>
      <c r="Q4895" s="12">
        <f t="shared" si="304"/>
        <v>0.6</v>
      </c>
      <c r="R4895" s="9">
        <f t="shared" si="305"/>
        <v>679.6</v>
      </c>
      <c r="S4895" s="9">
        <f>IF(R4895="",AVERAGEIF(Table1[Category],Table1[[#This Row],[Category]],Table2[orignal data]),Table2[[#This Row],[orignal data]])</f>
        <v>679.6</v>
      </c>
      <c r="T4895" t="str">
        <f t="shared" si="306"/>
        <v>UNIQUE</v>
      </c>
      <c r="U4895" t="str">
        <f>IF(ISBLANK(Table1[[#This Row],[SizeOption]]),"NOT AVAILABLE",Table1[[#This Row],[SizeOption]])</f>
        <v>XS, S, M, L, XL, XXL, 3XL</v>
      </c>
      <c r="Y4895" t="str">
        <f>IF(Table2[[#This Row],[Column1]]&gt;50%,"HIGH DISCOUNT","LOW DISCOUNT")</f>
        <v>HIGH DISCOUNT</v>
      </c>
    </row>
    <row r="4896" spans="1:25" x14ac:dyDescent="0.25">
      <c r="A4896" s="1" t="s">
        <v>9961</v>
      </c>
      <c r="B4896" s="1">
        <v>9863623</v>
      </c>
      <c r="C4896" s="1" t="s">
        <v>9962</v>
      </c>
      <c r="D4896" s="1" t="s">
        <v>76</v>
      </c>
      <c r="E4896" s="1" t="s">
        <v>320</v>
      </c>
      <c r="F4896" s="1" t="s">
        <v>36</v>
      </c>
      <c r="G4896" s="1" t="s">
        <v>9963</v>
      </c>
      <c r="H4896">
        <v>1071</v>
      </c>
      <c r="I4896" s="1">
        <v>1949</v>
      </c>
      <c r="J4896" s="1" t="s">
        <v>19</v>
      </c>
      <c r="K4896" s="1" t="s">
        <v>164</v>
      </c>
      <c r="L4896" s="1">
        <v>4</v>
      </c>
      <c r="M4896" s="1">
        <v>473</v>
      </c>
      <c r="P4896" t="str">
        <f t="shared" si="307"/>
        <v>45%</v>
      </c>
      <c r="Q4896" s="12">
        <f t="shared" si="304"/>
        <v>0.45</v>
      </c>
      <c r="R4896" s="9">
        <f t="shared" si="305"/>
        <v>1071.9499999999998</v>
      </c>
      <c r="S4896" s="9">
        <f>IF(R4896="",AVERAGEIF(Table1[Category],Table1[[#This Row],[Category]],Table2[orignal data]),Table2[[#This Row],[orignal data]])</f>
        <v>1071.9499999999998</v>
      </c>
      <c r="T4896" t="str">
        <f t="shared" si="306"/>
        <v>UNIQUE</v>
      </c>
      <c r="U4896" t="str">
        <f>IF(ISBLANK(Table1[[#This Row],[SizeOption]]),"NOT AVAILABLE",Table1[[#This Row],[SizeOption]])</f>
        <v>Onesize</v>
      </c>
      <c r="Y4896" t="str">
        <f>IF(Table2[[#This Row],[Column1]]&gt;50%,"HIGH DISCOUNT","LOW DISCOUNT")</f>
        <v>LOW DISCOUNT</v>
      </c>
    </row>
    <row r="4897" spans="1:25" x14ac:dyDescent="0.25">
      <c r="A4897" s="2" t="s">
        <v>9964</v>
      </c>
      <c r="B4897" s="2">
        <v>13437292</v>
      </c>
      <c r="C4897" s="2" t="s">
        <v>97</v>
      </c>
      <c r="D4897" s="2" t="s">
        <v>76</v>
      </c>
      <c r="E4897" s="2" t="s">
        <v>77</v>
      </c>
      <c r="F4897" s="2" t="s">
        <v>36</v>
      </c>
      <c r="G4897" s="2" t="s">
        <v>9965</v>
      </c>
      <c r="H4897">
        <v>769</v>
      </c>
      <c r="I4897" s="2">
        <v>2199</v>
      </c>
      <c r="J4897" s="2" t="s">
        <v>150</v>
      </c>
      <c r="K4897" s="2" t="s">
        <v>100</v>
      </c>
      <c r="L4897" s="2">
        <v>4.2</v>
      </c>
      <c r="M4897" s="2">
        <v>473</v>
      </c>
      <c r="P4897" t="str">
        <f t="shared" si="307"/>
        <v>65%</v>
      </c>
      <c r="Q4897" s="12">
        <f t="shared" si="304"/>
        <v>0.65</v>
      </c>
      <c r="R4897" s="9">
        <f t="shared" si="305"/>
        <v>769.64999999999986</v>
      </c>
      <c r="S4897" s="9">
        <f>IF(R4897="",AVERAGEIF(Table1[Category],Table1[[#This Row],[Category]],Table2[orignal data]),Table2[[#This Row],[orignal data]])</f>
        <v>769.64999999999986</v>
      </c>
      <c r="T4897" t="str">
        <f t="shared" si="306"/>
        <v>UNIQUE</v>
      </c>
      <c r="U4897" t="str">
        <f>IF(ISBLANK(Table1[[#This Row],[SizeOption]]),"NOT AVAILABLE",Table1[[#This Row],[SizeOption]])</f>
        <v>XS, S, M, L, XL, XXL, 3XL</v>
      </c>
      <c r="Y4897" t="str">
        <f>IF(Table2[[#This Row],[Column1]]&gt;50%,"HIGH DISCOUNT","LOW DISCOUNT")</f>
        <v>HIGH DISCOUNT</v>
      </c>
    </row>
    <row r="4898" spans="1:25" x14ac:dyDescent="0.25">
      <c r="A4898" s="1" t="s">
        <v>9966</v>
      </c>
      <c r="B4898" s="1">
        <v>9084181</v>
      </c>
      <c r="C4898" s="1" t="s">
        <v>3741</v>
      </c>
      <c r="D4898" s="1" t="s">
        <v>68</v>
      </c>
      <c r="E4898" s="1" t="s">
        <v>42</v>
      </c>
      <c r="F4898" s="1" t="s">
        <v>36</v>
      </c>
      <c r="G4898" s="1" t="s">
        <v>9967</v>
      </c>
      <c r="H4898">
        <v>971</v>
      </c>
      <c r="I4898" s="1">
        <v>1295</v>
      </c>
      <c r="J4898" s="1" t="s">
        <v>282</v>
      </c>
      <c r="K4898" s="1" t="s">
        <v>45</v>
      </c>
      <c r="L4898" s="1">
        <v>4.2</v>
      </c>
      <c r="M4898" s="1">
        <v>473</v>
      </c>
      <c r="P4898" t="str">
        <f t="shared" si="307"/>
        <v>25%</v>
      </c>
      <c r="Q4898" s="12">
        <f t="shared" si="304"/>
        <v>0.25</v>
      </c>
      <c r="R4898" s="9">
        <f t="shared" si="305"/>
        <v>971.25</v>
      </c>
      <c r="S4898" s="9">
        <f>IF(R4898="",AVERAGEIF(Table1[Category],Table1[[#This Row],[Category]],Table2[orignal data]),Table2[[#This Row],[orignal data]])</f>
        <v>971.25</v>
      </c>
      <c r="T4898" t="str">
        <f t="shared" si="306"/>
        <v>UNIQUE</v>
      </c>
      <c r="U4898" t="str">
        <f>IF(ISBLANK(Table1[[#This Row],[SizeOption]]),"NOT AVAILABLE",Table1[[#This Row],[SizeOption]])</f>
        <v>XS, S, M, L, XL</v>
      </c>
      <c r="Y4898" t="str">
        <f>IF(Table2[[#This Row],[Column1]]&gt;50%,"HIGH DISCOUNT","LOW DISCOUNT")</f>
        <v>LOW DISCOUNT</v>
      </c>
    </row>
    <row r="4899" spans="1:25" x14ac:dyDescent="0.25">
      <c r="A4899" s="2" t="s">
        <v>9968</v>
      </c>
      <c r="B4899" s="2">
        <v>14703676</v>
      </c>
      <c r="C4899" s="2" t="s">
        <v>67</v>
      </c>
      <c r="D4899" s="2" t="s">
        <v>68</v>
      </c>
      <c r="E4899" s="2" t="s">
        <v>23</v>
      </c>
      <c r="F4899" s="2" t="s">
        <v>36</v>
      </c>
      <c r="G4899" s="2" t="s">
        <v>9969</v>
      </c>
      <c r="H4899">
        <v>674</v>
      </c>
      <c r="I4899" s="2">
        <v>1499</v>
      </c>
      <c r="J4899" s="2" t="s">
        <v>25</v>
      </c>
      <c r="K4899" s="2" t="s">
        <v>45</v>
      </c>
      <c r="L4899" s="2">
        <v>4.3</v>
      </c>
      <c r="M4899" s="2">
        <v>473</v>
      </c>
      <c r="P4899" t="str">
        <f t="shared" si="307"/>
        <v>55%</v>
      </c>
      <c r="Q4899" s="12">
        <f t="shared" si="304"/>
        <v>0.55000000000000004</v>
      </c>
      <c r="R4899" s="9">
        <f t="shared" si="305"/>
        <v>674.55</v>
      </c>
      <c r="S4899" s="9">
        <f>IF(R4899="",AVERAGEIF(Table1[Category],Table1[[#This Row],[Category]],Table2[orignal data]),Table2[[#This Row],[orignal data]])</f>
        <v>674.55</v>
      </c>
      <c r="T4899" t="str">
        <f t="shared" si="306"/>
        <v>UNIQUE</v>
      </c>
      <c r="U4899" t="str">
        <f>IF(ISBLANK(Table1[[#This Row],[SizeOption]]),"NOT AVAILABLE",Table1[[#This Row],[SizeOption]])</f>
        <v>XS, S, M, L, XL</v>
      </c>
      <c r="Y4899" t="str">
        <f>IF(Table2[[#This Row],[Column1]]&gt;50%,"HIGH DISCOUNT","LOW DISCOUNT")</f>
        <v>HIGH DISCOUNT</v>
      </c>
    </row>
    <row r="4900" spans="1:25" x14ac:dyDescent="0.25">
      <c r="A4900" s="1" t="s">
        <v>9970</v>
      </c>
      <c r="B4900" s="1">
        <v>8841533</v>
      </c>
      <c r="C4900" s="1" t="s">
        <v>225</v>
      </c>
      <c r="D4900" s="1" t="s">
        <v>41</v>
      </c>
      <c r="E4900" s="1" t="s">
        <v>48</v>
      </c>
      <c r="F4900" s="1" t="s">
        <v>36</v>
      </c>
      <c r="G4900" s="1" t="s">
        <v>9971</v>
      </c>
      <c r="I4900" s="1">
        <v>1499</v>
      </c>
      <c r="J4900" s="1" t="s">
        <v>25</v>
      </c>
      <c r="K4900" s="1" t="s">
        <v>26</v>
      </c>
      <c r="L4900" s="1">
        <v>4.2</v>
      </c>
      <c r="M4900" s="1">
        <v>473</v>
      </c>
      <c r="P4900" t="str">
        <f t="shared" si="307"/>
        <v>55%</v>
      </c>
      <c r="Q4900" s="12">
        <f t="shared" si="304"/>
        <v>0.55000000000000004</v>
      </c>
      <c r="R4900" s="9">
        <f t="shared" si="305"/>
        <v>674.55</v>
      </c>
      <c r="S4900" s="9">
        <f>IF(R4900="",AVERAGEIF(Table1[Category],Table1[[#This Row],[Category]],Table2[orignal data]),Table2[[#This Row],[orignal data]])</f>
        <v>674.55</v>
      </c>
      <c r="T4900" t="str">
        <f t="shared" si="306"/>
        <v>UNIQUE</v>
      </c>
      <c r="U4900" t="str">
        <f>IF(ISBLANK(Table1[[#This Row],[SizeOption]]),"NOT AVAILABLE",Table1[[#This Row],[SizeOption]])</f>
        <v>S, M, L, XL</v>
      </c>
      <c r="Y4900" t="str">
        <f>IF(Table2[[#This Row],[Column1]]&gt;50%,"HIGH DISCOUNT","LOW DISCOUNT")</f>
        <v>HIGH DISCOUNT</v>
      </c>
    </row>
    <row r="4901" spans="1:25" x14ac:dyDescent="0.25">
      <c r="A4901" s="2" t="s">
        <v>9972</v>
      </c>
      <c r="B4901" s="2">
        <v>11541838</v>
      </c>
      <c r="C4901" s="2" t="s">
        <v>14</v>
      </c>
      <c r="D4901" s="2" t="s">
        <v>41</v>
      </c>
      <c r="E4901" s="2" t="s">
        <v>16</v>
      </c>
      <c r="F4901" s="2" t="s">
        <v>36</v>
      </c>
      <c r="G4901" s="2" t="s">
        <v>9973</v>
      </c>
      <c r="I4901" s="2">
        <v>1599</v>
      </c>
      <c r="J4901" s="2" t="s">
        <v>25</v>
      </c>
      <c r="K4901" s="2" t="s">
        <v>134</v>
      </c>
      <c r="L4901" s="2">
        <v>4.3</v>
      </c>
      <c r="M4901" s="2">
        <v>473</v>
      </c>
      <c r="P4901" t="str">
        <f t="shared" si="307"/>
        <v>55%</v>
      </c>
      <c r="Q4901" s="12">
        <f t="shared" si="304"/>
        <v>0.55000000000000004</v>
      </c>
      <c r="R4901" s="9">
        <f t="shared" si="305"/>
        <v>719.55</v>
      </c>
      <c r="S4901" s="9">
        <f>IF(R4901="",AVERAGEIF(Table1[Category],Table1[[#This Row],[Category]],Table2[orignal data]),Table2[[#This Row],[orignal data]])</f>
        <v>719.55</v>
      </c>
      <c r="T4901" t="str">
        <f t="shared" si="306"/>
        <v>UNIQUE</v>
      </c>
      <c r="U4901" t="str">
        <f>IF(ISBLANK(Table1[[#This Row],[SizeOption]]),"NOT AVAILABLE",Table1[[#This Row],[SizeOption]])</f>
        <v>26, 28, 30, 32, 34, 36</v>
      </c>
      <c r="Y4901" t="str">
        <f>IF(Table2[[#This Row],[Column1]]&gt;50%,"HIGH DISCOUNT","LOW DISCOUNT")</f>
        <v>HIGH DISCOUNT</v>
      </c>
    </row>
    <row r="4902" spans="1:25" x14ac:dyDescent="0.25">
      <c r="A4902" s="1" t="s">
        <v>9974</v>
      </c>
      <c r="B4902" s="1">
        <v>12541550</v>
      </c>
      <c r="C4902" s="1" t="s">
        <v>181</v>
      </c>
      <c r="D4902" s="1" t="s">
        <v>41</v>
      </c>
      <c r="E4902" s="1" t="s">
        <v>579</v>
      </c>
      <c r="F4902" s="1" t="s">
        <v>36</v>
      </c>
      <c r="G4902" s="1" t="s">
        <v>9975</v>
      </c>
      <c r="I4902" s="1">
        <v>1699</v>
      </c>
      <c r="J4902" s="1" t="s">
        <v>163</v>
      </c>
      <c r="K4902" s="1" t="s">
        <v>134</v>
      </c>
      <c r="L4902" s="1">
        <v>4.3</v>
      </c>
      <c r="M4902" s="1">
        <v>473</v>
      </c>
      <c r="P4902" t="str">
        <f t="shared" si="307"/>
        <v>51%</v>
      </c>
      <c r="Q4902" s="12">
        <f t="shared" si="304"/>
        <v>0.51</v>
      </c>
      <c r="R4902" s="9">
        <f t="shared" si="305"/>
        <v>832.51</v>
      </c>
      <c r="S4902" s="9">
        <f>IF(R4902="",AVERAGEIF(Table1[Category],Table1[[#This Row],[Category]],Table2[orignal data]),Table2[[#This Row],[orignal data]])</f>
        <v>832.51</v>
      </c>
      <c r="T4902" t="str">
        <f t="shared" si="306"/>
        <v>UNIQUE</v>
      </c>
      <c r="U4902" t="str">
        <f>IF(ISBLANK(Table1[[#This Row],[SizeOption]]),"NOT AVAILABLE",Table1[[#This Row],[SizeOption]])</f>
        <v>26, 28, 30, 32, 34, 36</v>
      </c>
      <c r="Y4902" t="str">
        <f>IF(Table2[[#This Row],[Column1]]&gt;50%,"HIGH DISCOUNT","LOW DISCOUNT")</f>
        <v>HIGH DISCOUNT</v>
      </c>
    </row>
    <row r="4903" spans="1:25" x14ac:dyDescent="0.25">
      <c r="A4903" s="2" t="s">
        <v>9976</v>
      </c>
      <c r="B4903" s="2">
        <v>9341485</v>
      </c>
      <c r="C4903" s="2" t="s">
        <v>676</v>
      </c>
      <c r="D4903" s="2" t="s">
        <v>41</v>
      </c>
      <c r="E4903" s="2" t="s">
        <v>48</v>
      </c>
      <c r="F4903" s="2" t="s">
        <v>36</v>
      </c>
      <c r="G4903" s="2" t="s">
        <v>6958</v>
      </c>
      <c r="I4903" s="2">
        <v>1998</v>
      </c>
      <c r="J4903" s="2" t="s">
        <v>84</v>
      </c>
      <c r="K4903" s="2" t="s">
        <v>26</v>
      </c>
      <c r="L4903" s="2">
        <v>3.6</v>
      </c>
      <c r="M4903" s="2">
        <v>473</v>
      </c>
      <c r="P4903" t="str">
        <f t="shared" si="307"/>
        <v>50%</v>
      </c>
      <c r="Q4903" s="12">
        <f t="shared" si="304"/>
        <v>0.5</v>
      </c>
      <c r="R4903" s="9">
        <f t="shared" si="305"/>
        <v>999</v>
      </c>
      <c r="S4903" s="9">
        <f>IF(R4903="",AVERAGEIF(Table1[Category],Table1[[#This Row],[Category]],Table2[orignal data]),Table2[[#This Row],[orignal data]])</f>
        <v>999</v>
      </c>
      <c r="T4903" t="str">
        <f t="shared" si="306"/>
        <v>UNIQUE</v>
      </c>
      <c r="U4903" t="str">
        <f>IF(ISBLANK(Table1[[#This Row],[SizeOption]]),"NOT AVAILABLE",Table1[[#This Row],[SizeOption]])</f>
        <v>S, M, L, XL</v>
      </c>
      <c r="Y4903" t="str">
        <f>IF(Table2[[#This Row],[Column1]]&gt;50%,"HIGH DISCOUNT","LOW DISCOUNT")</f>
        <v>LOW DISCOUNT</v>
      </c>
    </row>
    <row r="4904" spans="1:25" x14ac:dyDescent="0.25">
      <c r="A4904" s="1" t="s">
        <v>9977</v>
      </c>
      <c r="B4904" s="1">
        <v>10440682</v>
      </c>
      <c r="C4904" s="1" t="s">
        <v>107</v>
      </c>
      <c r="D4904" s="1" t="s">
        <v>41</v>
      </c>
      <c r="E4904" s="1" t="s">
        <v>82</v>
      </c>
      <c r="F4904" s="1" t="s">
        <v>36</v>
      </c>
      <c r="G4904" s="1" t="s">
        <v>9978</v>
      </c>
      <c r="I4904" s="1">
        <v>2099</v>
      </c>
      <c r="J4904" s="1" t="s">
        <v>150</v>
      </c>
      <c r="K4904" s="1" t="s">
        <v>26</v>
      </c>
      <c r="L4904" s="1">
        <v>4.4000000000000004</v>
      </c>
      <c r="M4904" s="1">
        <v>473</v>
      </c>
      <c r="P4904" t="str">
        <f t="shared" si="307"/>
        <v>65%</v>
      </c>
      <c r="Q4904" s="12">
        <f t="shared" si="304"/>
        <v>0.65</v>
      </c>
      <c r="R4904" s="9">
        <f t="shared" si="305"/>
        <v>734.64999999999986</v>
      </c>
      <c r="S4904" s="9">
        <f>IF(R4904="",AVERAGEIF(Table1[Category],Table1[[#This Row],[Category]],Table2[orignal data]),Table2[[#This Row],[orignal data]])</f>
        <v>734.64999999999986</v>
      </c>
      <c r="T4904" t="str">
        <f t="shared" si="306"/>
        <v>UNIQUE</v>
      </c>
      <c r="U4904" t="str">
        <f>IF(ISBLANK(Table1[[#This Row],[SizeOption]]),"NOT AVAILABLE",Table1[[#This Row],[SizeOption]])</f>
        <v>S, M, L, XL</v>
      </c>
      <c r="Y4904" t="str">
        <f>IF(Table2[[#This Row],[Column1]]&gt;50%,"HIGH DISCOUNT","LOW DISCOUNT")</f>
        <v>HIGH DISCOUNT</v>
      </c>
    </row>
    <row r="4905" spans="1:25" x14ac:dyDescent="0.25">
      <c r="A4905" s="2" t="s">
        <v>9979</v>
      </c>
      <c r="B4905" s="2">
        <v>11354674</v>
      </c>
      <c r="C4905" s="2" t="s">
        <v>14</v>
      </c>
      <c r="D4905" s="2" t="s">
        <v>15</v>
      </c>
      <c r="E4905" s="2" t="s">
        <v>53</v>
      </c>
      <c r="F4905" s="2" t="s">
        <v>17</v>
      </c>
      <c r="G4905" s="2" t="s">
        <v>9980</v>
      </c>
      <c r="H4905">
        <v>944</v>
      </c>
      <c r="I4905" s="2">
        <v>2099</v>
      </c>
      <c r="J4905" s="2" t="s">
        <v>25</v>
      </c>
      <c r="K4905" s="2" t="s">
        <v>20</v>
      </c>
      <c r="L4905" s="2">
        <v>4.0999999999999996</v>
      </c>
      <c r="M4905" s="2">
        <v>472</v>
      </c>
      <c r="P4905" t="str">
        <f t="shared" si="307"/>
        <v>55%</v>
      </c>
      <c r="Q4905" s="12">
        <f t="shared" si="304"/>
        <v>0.55000000000000004</v>
      </c>
      <c r="R4905" s="9">
        <f t="shared" si="305"/>
        <v>944.55</v>
      </c>
      <c r="S4905" s="9">
        <f>IF(R4905="",AVERAGEIF(Table1[Category],Table1[[#This Row],[Category]],Table2[orignal data]),Table2[[#This Row],[orignal data]])</f>
        <v>944.55</v>
      </c>
      <c r="T4905" t="str">
        <f t="shared" si="306"/>
        <v>UNIQUE</v>
      </c>
      <c r="U4905" t="str">
        <f>IF(ISBLANK(Table1[[#This Row],[SizeOption]]),"NOT AVAILABLE",Table1[[#This Row],[SizeOption]])</f>
        <v>28, 30, 32, 34, 36</v>
      </c>
      <c r="Y4905" t="str">
        <f>IF(Table2[[#This Row],[Column1]]&gt;50%,"HIGH DISCOUNT","LOW DISCOUNT")</f>
        <v>HIGH DISCOUNT</v>
      </c>
    </row>
    <row r="4906" spans="1:25" x14ac:dyDescent="0.25">
      <c r="A4906" s="1" t="s">
        <v>9981</v>
      </c>
      <c r="B4906" s="1">
        <v>10046881</v>
      </c>
      <c r="C4906" s="1" t="s">
        <v>14</v>
      </c>
      <c r="D4906" s="1" t="s">
        <v>15</v>
      </c>
      <c r="E4906" s="1" t="s">
        <v>16</v>
      </c>
      <c r="F4906" s="1" t="s">
        <v>17</v>
      </c>
      <c r="G4906" s="1" t="s">
        <v>918</v>
      </c>
      <c r="H4906">
        <v>629</v>
      </c>
      <c r="I4906" s="1">
        <v>1799</v>
      </c>
      <c r="J4906" s="1" t="s">
        <v>150</v>
      </c>
      <c r="K4906" s="1" t="s">
        <v>20</v>
      </c>
      <c r="L4906" s="1">
        <v>3.9</v>
      </c>
      <c r="M4906" s="1">
        <v>472</v>
      </c>
      <c r="P4906" t="str">
        <f t="shared" si="307"/>
        <v>65%</v>
      </c>
      <c r="Q4906" s="12">
        <f t="shared" si="304"/>
        <v>0.65</v>
      </c>
      <c r="R4906" s="9">
        <f t="shared" si="305"/>
        <v>629.64999999999986</v>
      </c>
      <c r="S4906" s="9">
        <f>IF(R4906="",AVERAGEIF(Table1[Category],Table1[[#This Row],[Category]],Table2[orignal data]),Table2[[#This Row],[orignal data]])</f>
        <v>629.64999999999986</v>
      </c>
      <c r="T4906" t="str">
        <f t="shared" si="306"/>
        <v>UNIQUE</v>
      </c>
      <c r="U4906" t="str">
        <f>IF(ISBLANK(Table1[[#This Row],[SizeOption]]),"NOT AVAILABLE",Table1[[#This Row],[SizeOption]])</f>
        <v>28, 30, 32, 34, 36</v>
      </c>
      <c r="Y4906" t="str">
        <f>IF(Table2[[#This Row],[Column1]]&gt;50%,"HIGH DISCOUNT","LOW DISCOUNT")</f>
        <v>HIGH DISCOUNT</v>
      </c>
    </row>
    <row r="4907" spans="1:25" x14ac:dyDescent="0.25">
      <c r="A4907" s="2" t="s">
        <v>9982</v>
      </c>
      <c r="B4907" s="2">
        <v>8962343</v>
      </c>
      <c r="C4907" s="2" t="s">
        <v>14</v>
      </c>
      <c r="D4907" s="2" t="s">
        <v>15</v>
      </c>
      <c r="E4907" s="2" t="s">
        <v>16</v>
      </c>
      <c r="F4907" s="2" t="s">
        <v>17</v>
      </c>
      <c r="G4907" s="2" t="s">
        <v>9983</v>
      </c>
      <c r="H4907">
        <v>679</v>
      </c>
      <c r="I4907" s="2">
        <v>1699</v>
      </c>
      <c r="J4907" s="2" t="s">
        <v>55</v>
      </c>
      <c r="K4907" s="2" t="s">
        <v>134</v>
      </c>
      <c r="L4907" s="2">
        <v>3.9</v>
      </c>
      <c r="M4907" s="2">
        <v>472</v>
      </c>
      <c r="P4907" t="str">
        <f t="shared" si="307"/>
        <v>60%</v>
      </c>
      <c r="Q4907" s="12">
        <f t="shared" si="304"/>
        <v>0.6</v>
      </c>
      <c r="R4907" s="9">
        <f t="shared" si="305"/>
        <v>679.6</v>
      </c>
      <c r="S4907" s="9">
        <f>IF(R4907="",AVERAGEIF(Table1[Category],Table1[[#This Row],[Category]],Table2[orignal data]),Table2[[#This Row],[orignal data]])</f>
        <v>679.6</v>
      </c>
      <c r="T4907" t="str">
        <f t="shared" si="306"/>
        <v>UNIQUE</v>
      </c>
      <c r="U4907" t="str">
        <f>IF(ISBLANK(Table1[[#This Row],[SizeOption]]),"NOT AVAILABLE",Table1[[#This Row],[SizeOption]])</f>
        <v>26, 28, 30, 32, 34, 36</v>
      </c>
      <c r="Y4907" t="str">
        <f>IF(Table2[[#This Row],[Column1]]&gt;50%,"HIGH DISCOUNT","LOW DISCOUNT")</f>
        <v>HIGH DISCOUNT</v>
      </c>
    </row>
    <row r="4908" spans="1:25" x14ac:dyDescent="0.25">
      <c r="A4908" s="1" t="s">
        <v>9984</v>
      </c>
      <c r="B4908" s="1">
        <v>1573560</v>
      </c>
      <c r="C4908" s="1" t="s">
        <v>9985</v>
      </c>
      <c r="D4908" s="1" t="s">
        <v>15</v>
      </c>
      <c r="E4908" s="1" t="s">
        <v>16</v>
      </c>
      <c r="F4908" s="1" t="s">
        <v>17</v>
      </c>
      <c r="G4908" s="1" t="s">
        <v>9986</v>
      </c>
      <c r="H4908">
        <v>899</v>
      </c>
      <c r="I4908" s="1">
        <v>1499</v>
      </c>
      <c r="J4908" s="1" t="s">
        <v>50</v>
      </c>
      <c r="K4908" s="1" t="s">
        <v>56</v>
      </c>
      <c r="L4908" s="1">
        <v>4</v>
      </c>
      <c r="M4908" s="1">
        <v>472</v>
      </c>
      <c r="P4908" t="str">
        <f t="shared" si="307"/>
        <v>40%</v>
      </c>
      <c r="Q4908" s="12">
        <f t="shared" si="304"/>
        <v>0.4</v>
      </c>
      <c r="R4908" s="9">
        <f t="shared" si="305"/>
        <v>899.4</v>
      </c>
      <c r="S4908" s="9">
        <f>IF(R4908="",AVERAGEIF(Table1[Category],Table1[[#This Row],[Category]],Table2[orignal data]),Table2[[#This Row],[orignal data]])</f>
        <v>899.4</v>
      </c>
      <c r="T4908" t="str">
        <f t="shared" si="306"/>
        <v>UNIQUE</v>
      </c>
      <c r="U4908" t="str">
        <f>IF(ISBLANK(Table1[[#This Row],[SizeOption]]),"NOT AVAILABLE",Table1[[#This Row],[SizeOption]])</f>
        <v>30, 32, 34, 36</v>
      </c>
      <c r="Y4908" t="str">
        <f>IF(Table2[[#This Row],[Column1]]&gt;50%,"HIGH DISCOUNT","LOW DISCOUNT")</f>
        <v>LOW DISCOUNT</v>
      </c>
    </row>
    <row r="4909" spans="1:25" x14ac:dyDescent="0.25">
      <c r="A4909" s="2" t="s">
        <v>9987</v>
      </c>
      <c r="B4909" s="2">
        <v>9367463</v>
      </c>
      <c r="C4909" s="2" t="s">
        <v>113</v>
      </c>
      <c r="D4909" s="2" t="s">
        <v>76</v>
      </c>
      <c r="E4909" s="2" t="s">
        <v>77</v>
      </c>
      <c r="F4909" s="2" t="s">
        <v>17</v>
      </c>
      <c r="G4909" s="2" t="s">
        <v>9988</v>
      </c>
      <c r="H4909">
        <v>1439</v>
      </c>
      <c r="I4909" s="2">
        <v>3599</v>
      </c>
      <c r="J4909" s="2" t="s">
        <v>55</v>
      </c>
      <c r="K4909" s="2" t="s">
        <v>39</v>
      </c>
      <c r="L4909" s="2">
        <v>3.9</v>
      </c>
      <c r="M4909" s="2">
        <v>472</v>
      </c>
      <c r="P4909" t="str">
        <f t="shared" si="307"/>
        <v>60%</v>
      </c>
      <c r="Q4909" s="12">
        <f t="shared" si="304"/>
        <v>0.6</v>
      </c>
      <c r="R4909" s="9">
        <f t="shared" si="305"/>
        <v>1439.6</v>
      </c>
      <c r="S4909" s="9">
        <f>IF(R4909="",AVERAGEIF(Table1[Category],Table1[[#This Row],[Category]],Table2[orignal data]),Table2[[#This Row],[orignal data]])</f>
        <v>1439.6</v>
      </c>
      <c r="T4909" t="str">
        <f t="shared" si="306"/>
        <v>UNIQUE</v>
      </c>
      <c r="U4909" t="str">
        <f>IF(ISBLANK(Table1[[#This Row],[SizeOption]]),"NOT AVAILABLE",Table1[[#This Row],[SizeOption]])</f>
        <v>S, M, L, XL, XXL</v>
      </c>
      <c r="Y4909" t="str">
        <f>IF(Table2[[#This Row],[Column1]]&gt;50%,"HIGH DISCOUNT","LOW DISCOUNT")</f>
        <v>HIGH DISCOUNT</v>
      </c>
    </row>
    <row r="4910" spans="1:25" x14ac:dyDescent="0.25">
      <c r="A4910" s="1" t="s">
        <v>9989</v>
      </c>
      <c r="B4910" s="1">
        <v>8936555</v>
      </c>
      <c r="C4910" s="1" t="s">
        <v>3804</v>
      </c>
      <c r="D4910" s="1" t="s">
        <v>197</v>
      </c>
      <c r="E4910" s="1" t="s">
        <v>296</v>
      </c>
      <c r="F4910" s="1" t="s">
        <v>17</v>
      </c>
      <c r="G4910" s="1" t="s">
        <v>9990</v>
      </c>
      <c r="H4910">
        <v>228</v>
      </c>
      <c r="I4910" s="1">
        <v>269</v>
      </c>
      <c r="J4910" s="1" t="s">
        <v>786</v>
      </c>
      <c r="K4910" s="1" t="s">
        <v>352</v>
      </c>
      <c r="L4910" s="1">
        <v>4.2</v>
      </c>
      <c r="M4910" s="1">
        <v>472</v>
      </c>
      <c r="P4910" t="str">
        <f t="shared" si="307"/>
        <v>15%</v>
      </c>
      <c r="Q4910" s="12">
        <f t="shared" si="304"/>
        <v>0.15</v>
      </c>
      <c r="R4910" s="9">
        <f t="shared" si="305"/>
        <v>228.65</v>
      </c>
      <c r="S4910" s="9">
        <f>IF(R4910="",AVERAGEIF(Table1[Category],Table1[[#This Row],[Category]],Table2[orignal data]),Table2[[#This Row],[orignal data]])</f>
        <v>228.65</v>
      </c>
      <c r="T4910" t="str">
        <f t="shared" si="306"/>
        <v>UNIQUE</v>
      </c>
      <c r="U4910" t="str">
        <f>IF(ISBLANK(Table1[[#This Row],[SizeOption]]),"NOT AVAILABLE",Table1[[#This Row],[SizeOption]])</f>
        <v>S, M, L</v>
      </c>
      <c r="Y4910" t="str">
        <f>IF(Table2[[#This Row],[Column1]]&gt;50%,"HIGH DISCOUNT","LOW DISCOUNT")</f>
        <v>LOW DISCOUNT</v>
      </c>
    </row>
    <row r="4911" spans="1:25" x14ac:dyDescent="0.25">
      <c r="A4911" s="2" t="s">
        <v>9991</v>
      </c>
      <c r="B4911" s="2">
        <v>14021712</v>
      </c>
      <c r="C4911" s="2" t="s">
        <v>64</v>
      </c>
      <c r="D4911" s="2" t="s">
        <v>28</v>
      </c>
      <c r="E4911" s="2" t="s">
        <v>42</v>
      </c>
      <c r="F4911" s="2" t="s">
        <v>17</v>
      </c>
      <c r="G4911" s="2" t="s">
        <v>9992</v>
      </c>
      <c r="H4911">
        <v>329</v>
      </c>
      <c r="I4911" s="2">
        <v>599</v>
      </c>
      <c r="J4911" s="2" t="s">
        <v>19</v>
      </c>
      <c r="K4911" s="2" t="s">
        <v>26</v>
      </c>
      <c r="L4911" s="2">
        <v>4.0999999999999996</v>
      </c>
      <c r="M4911" s="2">
        <v>472</v>
      </c>
      <c r="P4911" t="str">
        <f t="shared" si="307"/>
        <v>45%</v>
      </c>
      <c r="Q4911" s="12">
        <f t="shared" si="304"/>
        <v>0.45</v>
      </c>
      <c r="R4911" s="9">
        <f t="shared" si="305"/>
        <v>329.45</v>
      </c>
      <c r="S4911" s="9">
        <f>IF(R4911="",AVERAGEIF(Table1[Category],Table1[[#This Row],[Category]],Table2[orignal data]),Table2[[#This Row],[orignal data]])</f>
        <v>329.45</v>
      </c>
      <c r="T4911" t="str">
        <f t="shared" si="306"/>
        <v>UNIQUE</v>
      </c>
      <c r="U4911" t="str">
        <f>IF(ISBLANK(Table1[[#This Row],[SizeOption]]),"NOT AVAILABLE",Table1[[#This Row],[SizeOption]])</f>
        <v>S, M, L, XL</v>
      </c>
      <c r="Y4911" t="str">
        <f>IF(Table2[[#This Row],[Column1]]&gt;50%,"HIGH DISCOUNT","LOW DISCOUNT")</f>
        <v>LOW DISCOUNT</v>
      </c>
    </row>
    <row r="4912" spans="1:25" x14ac:dyDescent="0.25">
      <c r="A4912" s="1" t="s">
        <v>9993</v>
      </c>
      <c r="B4912" s="1">
        <v>2478313</v>
      </c>
      <c r="C4912" s="1" t="s">
        <v>169</v>
      </c>
      <c r="D4912" s="1" t="s">
        <v>28</v>
      </c>
      <c r="E4912" s="1" t="s">
        <v>42</v>
      </c>
      <c r="F4912" s="1" t="s">
        <v>17</v>
      </c>
      <c r="G4912" s="1" t="s">
        <v>9994</v>
      </c>
      <c r="H4912">
        <v>599</v>
      </c>
      <c r="I4912" s="1">
        <v>999</v>
      </c>
      <c r="J4912" s="1" t="s">
        <v>50</v>
      </c>
      <c r="K4912" s="1" t="s">
        <v>39</v>
      </c>
      <c r="L4912" s="1">
        <v>4</v>
      </c>
      <c r="M4912" s="1">
        <v>472</v>
      </c>
      <c r="P4912" t="str">
        <f t="shared" si="307"/>
        <v>40%</v>
      </c>
      <c r="Q4912" s="12">
        <f t="shared" si="304"/>
        <v>0.4</v>
      </c>
      <c r="R4912" s="9">
        <f t="shared" si="305"/>
        <v>599.4</v>
      </c>
      <c r="S4912" s="9">
        <f>IF(R4912="",AVERAGEIF(Table1[Category],Table1[[#This Row],[Category]],Table2[orignal data]),Table2[[#This Row],[orignal data]])</f>
        <v>599.4</v>
      </c>
      <c r="T4912" t="str">
        <f t="shared" si="306"/>
        <v>UNIQUE</v>
      </c>
      <c r="U4912" t="str">
        <f>IF(ISBLANK(Table1[[#This Row],[SizeOption]]),"NOT AVAILABLE",Table1[[#This Row],[SizeOption]])</f>
        <v>S, M, L, XL, XXL</v>
      </c>
      <c r="Y4912" t="str">
        <f>IF(Table2[[#This Row],[Column1]]&gt;50%,"HIGH DISCOUNT","LOW DISCOUNT")</f>
        <v>LOW DISCOUNT</v>
      </c>
    </row>
    <row r="4913" spans="1:25" x14ac:dyDescent="0.25">
      <c r="A4913" s="2" t="s">
        <v>9995</v>
      </c>
      <c r="B4913" s="2">
        <v>11432036</v>
      </c>
      <c r="C4913" s="2" t="s">
        <v>7864</v>
      </c>
      <c r="D4913" s="2" t="s">
        <v>76</v>
      </c>
      <c r="E4913" s="2" t="s">
        <v>148</v>
      </c>
      <c r="F4913" s="2" t="s">
        <v>36</v>
      </c>
      <c r="G4913" s="2" t="s">
        <v>9996</v>
      </c>
      <c r="H4913">
        <v>1799</v>
      </c>
      <c r="I4913" s="2">
        <v>3599</v>
      </c>
      <c r="J4913" s="2" t="s">
        <v>84</v>
      </c>
      <c r="K4913" s="2" t="s">
        <v>9908</v>
      </c>
      <c r="L4913" s="2">
        <v>4.0999999999999996</v>
      </c>
      <c r="M4913" s="2">
        <v>472</v>
      </c>
      <c r="P4913" t="str">
        <f t="shared" si="307"/>
        <v>50%</v>
      </c>
      <c r="Q4913" s="12">
        <f t="shared" si="304"/>
        <v>0.5</v>
      </c>
      <c r="R4913" s="9">
        <f t="shared" si="305"/>
        <v>1799.5</v>
      </c>
      <c r="S4913" s="9">
        <f>IF(R4913="",AVERAGEIF(Table1[Category],Table1[[#This Row],[Category]],Table2[orignal data]),Table2[[#This Row],[orignal data]])</f>
        <v>1799.5</v>
      </c>
      <c r="T4913" t="str">
        <f t="shared" si="306"/>
        <v>UNIQUE</v>
      </c>
      <c r="U4913" t="str">
        <f>IF(ISBLANK(Table1[[#This Row],[SizeOption]]),"NOT AVAILABLE",Table1[[#This Row],[SizeOption]])</f>
        <v>S, M, L, XL, 3XL</v>
      </c>
      <c r="Y4913" t="str">
        <f>IF(Table2[[#This Row],[Column1]]&gt;50%,"HIGH DISCOUNT","LOW DISCOUNT")</f>
        <v>LOW DISCOUNT</v>
      </c>
    </row>
    <row r="4914" spans="1:25" x14ac:dyDescent="0.25">
      <c r="A4914" s="1" t="s">
        <v>9997</v>
      </c>
      <c r="B4914" s="1">
        <v>6608564</v>
      </c>
      <c r="C4914" s="1" t="s">
        <v>33</v>
      </c>
      <c r="D4914" s="1" t="s">
        <v>34</v>
      </c>
      <c r="E4914" s="1" t="s">
        <v>118</v>
      </c>
      <c r="F4914" s="1" t="s">
        <v>36</v>
      </c>
      <c r="G4914" s="1" t="s">
        <v>9998</v>
      </c>
      <c r="H4914">
        <v>447</v>
      </c>
      <c r="I4914" s="1">
        <v>995</v>
      </c>
      <c r="J4914" s="1" t="s">
        <v>25</v>
      </c>
      <c r="K4914" s="1" t="s">
        <v>9999</v>
      </c>
      <c r="L4914" s="1">
        <v>4.3</v>
      </c>
      <c r="M4914" s="1">
        <v>472</v>
      </c>
      <c r="P4914" t="str">
        <f t="shared" si="307"/>
        <v>55%</v>
      </c>
      <c r="Q4914" s="12">
        <f t="shared" si="304"/>
        <v>0.55000000000000004</v>
      </c>
      <c r="R4914" s="9">
        <f t="shared" si="305"/>
        <v>447.75</v>
      </c>
      <c r="S4914" s="9">
        <f>IF(R4914="",AVERAGEIF(Table1[Category],Table1[[#This Row],[Category]],Table2[orignal data]),Table2[[#This Row],[orignal data]])</f>
        <v>447.75</v>
      </c>
      <c r="T4914" t="str">
        <f t="shared" si="306"/>
        <v>UNIQUE</v>
      </c>
      <c r="U4914" t="str">
        <f>IF(ISBLANK(Table1[[#This Row],[SizeOption]]),"NOT AVAILABLE",Table1[[#This Row],[SizeOption]])</f>
        <v>30B, 30C, 32B, 32C, 32D, 34C, 34D, 36B, 36C, 36D, 38B, 38C, 38D</v>
      </c>
      <c r="Y4914" t="str">
        <f>IF(Table2[[#This Row],[Column1]]&gt;50%,"HIGH DISCOUNT","LOW DISCOUNT")</f>
        <v>HIGH DISCOUNT</v>
      </c>
    </row>
    <row r="4915" spans="1:25" x14ac:dyDescent="0.25">
      <c r="A4915" s="2" t="s">
        <v>10000</v>
      </c>
      <c r="B4915" s="2">
        <v>1858343</v>
      </c>
      <c r="C4915" s="2" t="s">
        <v>201</v>
      </c>
      <c r="D4915" s="2" t="s">
        <v>98</v>
      </c>
      <c r="E4915" s="2" t="s">
        <v>16</v>
      </c>
      <c r="F4915" s="2" t="s">
        <v>36</v>
      </c>
      <c r="G4915" s="2" t="s">
        <v>10001</v>
      </c>
      <c r="H4915">
        <v>1079</v>
      </c>
      <c r="I4915" s="2">
        <v>1799</v>
      </c>
      <c r="J4915" s="2" t="s">
        <v>50</v>
      </c>
      <c r="K4915" s="2" t="s">
        <v>643</v>
      </c>
      <c r="L4915" s="2">
        <v>3.8</v>
      </c>
      <c r="M4915" s="2">
        <v>472</v>
      </c>
      <c r="P4915" t="str">
        <f t="shared" si="307"/>
        <v>40%</v>
      </c>
      <c r="Q4915" s="12">
        <f t="shared" si="304"/>
        <v>0.4</v>
      </c>
      <c r="R4915" s="9">
        <f t="shared" si="305"/>
        <v>1079.4000000000001</v>
      </c>
      <c r="S4915" s="9">
        <f>IF(R4915="",AVERAGEIF(Table1[Category],Table1[[#This Row],[Category]],Table2[orignal data]),Table2[[#This Row],[orignal data]])</f>
        <v>1079.4000000000001</v>
      </c>
      <c r="T4915" t="str">
        <f t="shared" si="306"/>
        <v>UNIQUE</v>
      </c>
      <c r="U4915" t="str">
        <f>IF(ISBLANK(Table1[[#This Row],[SizeOption]]),"NOT AVAILABLE",Table1[[#This Row],[SizeOption]])</f>
        <v>26, 28, 30, 32, 34, 36, 38, 40</v>
      </c>
      <c r="Y4915" t="str">
        <f>IF(Table2[[#This Row],[Column1]]&gt;50%,"HIGH DISCOUNT","LOW DISCOUNT")</f>
        <v>LOW DISCOUNT</v>
      </c>
    </row>
    <row r="4916" spans="1:25" x14ac:dyDescent="0.25">
      <c r="A4916" s="1" t="s">
        <v>10002</v>
      </c>
      <c r="B4916" s="1">
        <v>12545378</v>
      </c>
      <c r="C4916" s="1" t="s">
        <v>9550</v>
      </c>
      <c r="D4916" s="1" t="s">
        <v>98</v>
      </c>
      <c r="E4916" s="1" t="s">
        <v>579</v>
      </c>
      <c r="F4916" s="1" t="s">
        <v>36</v>
      </c>
      <c r="G4916" s="1" t="s">
        <v>10003</v>
      </c>
      <c r="I4916" s="1">
        <v>2499</v>
      </c>
      <c r="J4916" s="1"/>
      <c r="K4916" s="1" t="s">
        <v>9552</v>
      </c>
      <c r="L4916" s="1">
        <v>4.5999999999999996</v>
      </c>
      <c r="M4916" s="1">
        <v>472</v>
      </c>
      <c r="P4916" t="str">
        <f t="shared" si="307"/>
        <v/>
      </c>
      <c r="Q4916" s="12" t="str">
        <f t="shared" si="304"/>
        <v/>
      </c>
      <c r="R4916" s="9" t="str">
        <f t="shared" si="305"/>
        <v/>
      </c>
      <c r="S4916" s="9">
        <f>IF(R4916="",AVERAGEIF(Table1[Category],Table1[[#This Row],[Category]],Table2[orignal data]),Table2[[#This Row],[orignal data]])</f>
        <v>680.92918566775427</v>
      </c>
      <c r="T4916" t="str">
        <f t="shared" si="306"/>
        <v>UNIQUE</v>
      </c>
      <c r="U4916" t="str">
        <f>IF(ISBLANK(Table1[[#This Row],[SizeOption]]),"NOT AVAILABLE",Table1[[#This Row],[SizeOption]])</f>
        <v>38, 40, 42, 44, 46, 48, 49</v>
      </c>
      <c r="Y4916" t="str">
        <f>IF(Table2[[#This Row],[Column1]]&gt;50%,"HIGH DISCOUNT","LOW DISCOUNT")</f>
        <v>HIGH DISCOUNT</v>
      </c>
    </row>
    <row r="4917" spans="1:25" x14ac:dyDescent="0.25">
      <c r="A4917" s="2" t="s">
        <v>10004</v>
      </c>
      <c r="B4917" s="2">
        <v>10926164</v>
      </c>
      <c r="C4917" s="2" t="s">
        <v>6904</v>
      </c>
      <c r="D4917" s="2" t="s">
        <v>41</v>
      </c>
      <c r="E4917" s="2" t="s">
        <v>42</v>
      </c>
      <c r="F4917" s="2" t="s">
        <v>36</v>
      </c>
      <c r="G4917" s="2" t="s">
        <v>10005</v>
      </c>
      <c r="I4917" s="2">
        <v>1099</v>
      </c>
      <c r="J4917" s="2" t="s">
        <v>4409</v>
      </c>
      <c r="K4917" s="2" t="s">
        <v>45</v>
      </c>
      <c r="L4917" s="2">
        <v>4.4000000000000004</v>
      </c>
      <c r="M4917" s="2">
        <v>472</v>
      </c>
      <c r="P4917" t="str">
        <f t="shared" si="307"/>
        <v>600</v>
      </c>
      <c r="Q4917" s="12">
        <f t="shared" si="304"/>
        <v>0.54595086442220198</v>
      </c>
      <c r="R4917" s="9">
        <f t="shared" si="305"/>
        <v>499</v>
      </c>
      <c r="S4917" s="9">
        <f>IF(R4917="",AVERAGEIF(Table1[Category],Table1[[#This Row],[Category]],Table2[orignal data]),Table2[[#This Row],[orignal data]])</f>
        <v>499</v>
      </c>
      <c r="T4917" t="str">
        <f t="shared" si="306"/>
        <v>UNIQUE</v>
      </c>
      <c r="U4917" t="str">
        <f>IF(ISBLANK(Table1[[#This Row],[SizeOption]]),"NOT AVAILABLE",Table1[[#This Row],[SizeOption]])</f>
        <v>XS, S, M, L, XL</v>
      </c>
      <c r="Y4917" t="str">
        <f>IF(Table2[[#This Row],[Column1]]&gt;50%,"HIGH DISCOUNT","LOW DISCOUNT")</f>
        <v>HIGH DISCOUNT</v>
      </c>
    </row>
    <row r="4918" spans="1:25" x14ac:dyDescent="0.25">
      <c r="A4918" s="1" t="s">
        <v>10006</v>
      </c>
      <c r="B4918" s="1">
        <v>1949995</v>
      </c>
      <c r="C4918" s="1" t="s">
        <v>14</v>
      </c>
      <c r="D4918" s="1" t="s">
        <v>41</v>
      </c>
      <c r="E4918" s="1" t="s">
        <v>1881</v>
      </c>
      <c r="F4918" s="1" t="s">
        <v>36</v>
      </c>
      <c r="G4918" s="1" t="s">
        <v>10007</v>
      </c>
      <c r="I4918" s="1">
        <v>1299</v>
      </c>
      <c r="J4918" s="1" t="s">
        <v>79</v>
      </c>
      <c r="K4918" s="1" t="s">
        <v>115</v>
      </c>
      <c r="L4918" s="1">
        <v>4.2</v>
      </c>
      <c r="M4918" s="1">
        <v>472</v>
      </c>
      <c r="P4918" t="str">
        <f t="shared" si="307"/>
        <v>70%</v>
      </c>
      <c r="Q4918" s="12">
        <f t="shared" si="304"/>
        <v>0.7</v>
      </c>
      <c r="R4918" s="9">
        <f t="shared" si="305"/>
        <v>389.70000000000005</v>
      </c>
      <c r="S4918" s="9">
        <f>IF(R4918="",AVERAGEIF(Table1[Category],Table1[[#This Row],[Category]],Table2[orignal data]),Table2[[#This Row],[orignal data]])</f>
        <v>389.70000000000005</v>
      </c>
      <c r="T4918" t="str">
        <f t="shared" si="306"/>
        <v>UNIQUE</v>
      </c>
      <c r="U4918" t="str">
        <f>IF(ISBLANK(Table1[[#This Row],[SizeOption]]),"NOT AVAILABLE",Table1[[#This Row],[SizeOption]])</f>
        <v>XS, S, M, L, XL, XXL</v>
      </c>
      <c r="Y4918" t="str">
        <f>IF(Table2[[#This Row],[Column1]]&gt;50%,"HIGH DISCOUNT","LOW DISCOUNT")</f>
        <v>HIGH DISCOUNT</v>
      </c>
    </row>
    <row r="4919" spans="1:25" x14ac:dyDescent="0.25">
      <c r="A4919" s="2" t="s">
        <v>10008</v>
      </c>
      <c r="B4919" s="2">
        <v>17476992</v>
      </c>
      <c r="C4919" s="2" t="s">
        <v>107</v>
      </c>
      <c r="D4919" s="2" t="s">
        <v>41</v>
      </c>
      <c r="E4919" s="2" t="s">
        <v>42</v>
      </c>
      <c r="F4919" s="2" t="s">
        <v>36</v>
      </c>
      <c r="G4919" s="2" t="s">
        <v>10009</v>
      </c>
      <c r="I4919" s="2">
        <v>1398</v>
      </c>
      <c r="J4919" s="2" t="s">
        <v>55</v>
      </c>
      <c r="K4919" s="2" t="s">
        <v>26</v>
      </c>
      <c r="L4919" s="2">
        <v>4.3</v>
      </c>
      <c r="M4919" s="2">
        <v>472</v>
      </c>
      <c r="P4919" t="str">
        <f t="shared" si="307"/>
        <v>60%</v>
      </c>
      <c r="Q4919" s="12">
        <f t="shared" si="304"/>
        <v>0.6</v>
      </c>
      <c r="R4919" s="9">
        <f t="shared" si="305"/>
        <v>559.20000000000005</v>
      </c>
      <c r="S4919" s="9">
        <f>IF(R4919="",AVERAGEIF(Table1[Category],Table1[[#This Row],[Category]],Table2[orignal data]),Table2[[#This Row],[orignal data]])</f>
        <v>559.20000000000005</v>
      </c>
      <c r="T4919" t="str">
        <f t="shared" si="306"/>
        <v>UNIQUE</v>
      </c>
      <c r="U4919" t="str">
        <f>IF(ISBLANK(Table1[[#This Row],[SizeOption]]),"NOT AVAILABLE",Table1[[#This Row],[SizeOption]])</f>
        <v>S, M, L, XL</v>
      </c>
      <c r="Y4919" t="str">
        <f>IF(Table2[[#This Row],[Column1]]&gt;50%,"HIGH DISCOUNT","LOW DISCOUNT")</f>
        <v>HIGH DISCOUNT</v>
      </c>
    </row>
    <row r="4920" spans="1:25" x14ac:dyDescent="0.25">
      <c r="A4920" s="1" t="s">
        <v>10010</v>
      </c>
      <c r="B4920" s="1">
        <v>10308589</v>
      </c>
      <c r="C4920" s="1" t="s">
        <v>181</v>
      </c>
      <c r="D4920" s="1" t="s">
        <v>41</v>
      </c>
      <c r="E4920" s="1" t="s">
        <v>368</v>
      </c>
      <c r="F4920" s="1" t="s">
        <v>36</v>
      </c>
      <c r="G4920" s="1" t="s">
        <v>10011</v>
      </c>
      <c r="I4920" s="1">
        <v>1499</v>
      </c>
      <c r="J4920" s="1" t="s">
        <v>89</v>
      </c>
      <c r="K4920" s="1" t="s">
        <v>134</v>
      </c>
      <c r="L4920" s="1">
        <v>4.5</v>
      </c>
      <c r="M4920" s="1">
        <v>472</v>
      </c>
      <c r="P4920" t="str">
        <f t="shared" si="307"/>
        <v>53%</v>
      </c>
      <c r="Q4920" s="12">
        <f t="shared" si="304"/>
        <v>0.53</v>
      </c>
      <c r="R4920" s="9">
        <f t="shared" si="305"/>
        <v>704.53</v>
      </c>
      <c r="S4920" s="9">
        <f>IF(R4920="",AVERAGEIF(Table1[Category],Table1[[#This Row],[Category]],Table2[orignal data]),Table2[[#This Row],[orignal data]])</f>
        <v>704.53</v>
      </c>
      <c r="T4920" t="str">
        <f t="shared" si="306"/>
        <v>UNIQUE</v>
      </c>
      <c r="U4920" t="str">
        <f>IF(ISBLANK(Table1[[#This Row],[SizeOption]]),"NOT AVAILABLE",Table1[[#This Row],[SizeOption]])</f>
        <v>26, 28, 30, 32, 34, 36</v>
      </c>
      <c r="Y4920" t="str">
        <f>IF(Table2[[#This Row],[Column1]]&gt;50%,"HIGH DISCOUNT","LOW DISCOUNT")</f>
        <v>HIGH DISCOUNT</v>
      </c>
    </row>
    <row r="4921" spans="1:25" x14ac:dyDescent="0.25">
      <c r="A4921" s="2" t="s">
        <v>10012</v>
      </c>
      <c r="B4921" s="2">
        <v>2521912</v>
      </c>
      <c r="C4921" s="2" t="s">
        <v>107</v>
      </c>
      <c r="D4921" s="2" t="s">
        <v>41</v>
      </c>
      <c r="E4921" s="2" t="s">
        <v>48</v>
      </c>
      <c r="F4921" s="2" t="s">
        <v>36</v>
      </c>
      <c r="G4921" s="2" t="s">
        <v>10013</v>
      </c>
      <c r="I4921" s="2">
        <v>1499</v>
      </c>
      <c r="J4921" s="2" t="s">
        <v>55</v>
      </c>
      <c r="K4921" s="2" t="s">
        <v>45</v>
      </c>
      <c r="L4921" s="2">
        <v>4.2</v>
      </c>
      <c r="M4921" s="2">
        <v>472</v>
      </c>
      <c r="P4921" t="str">
        <f t="shared" si="307"/>
        <v>60%</v>
      </c>
      <c r="Q4921" s="12">
        <f t="shared" si="304"/>
        <v>0.6</v>
      </c>
      <c r="R4921" s="9">
        <f t="shared" si="305"/>
        <v>599.6</v>
      </c>
      <c r="S4921" s="9">
        <f>IF(R4921="",AVERAGEIF(Table1[Category],Table1[[#This Row],[Category]],Table2[orignal data]),Table2[[#This Row],[orignal data]])</f>
        <v>599.6</v>
      </c>
      <c r="T4921" t="str">
        <f t="shared" si="306"/>
        <v>UNIQUE</v>
      </c>
      <c r="U4921" t="str">
        <f>IF(ISBLANK(Table1[[#This Row],[SizeOption]]),"NOT AVAILABLE",Table1[[#This Row],[SizeOption]])</f>
        <v>XS, S, M, L, XL</v>
      </c>
      <c r="Y4921" t="str">
        <f>IF(Table2[[#This Row],[Column1]]&gt;50%,"HIGH DISCOUNT","LOW DISCOUNT")</f>
        <v>HIGH DISCOUNT</v>
      </c>
    </row>
    <row r="4922" spans="1:25" x14ac:dyDescent="0.25">
      <c r="A4922" s="1" t="s">
        <v>10014</v>
      </c>
      <c r="B4922" s="1">
        <v>13670856</v>
      </c>
      <c r="C4922" s="1" t="s">
        <v>124</v>
      </c>
      <c r="D4922" s="1" t="s">
        <v>41</v>
      </c>
      <c r="E4922" s="1" t="s">
        <v>48</v>
      </c>
      <c r="F4922" s="1" t="s">
        <v>36</v>
      </c>
      <c r="G4922" s="1" t="s">
        <v>10015</v>
      </c>
      <c r="I4922" s="1">
        <v>1599</v>
      </c>
      <c r="J4922" s="1" t="s">
        <v>130</v>
      </c>
      <c r="K4922" s="1" t="s">
        <v>352</v>
      </c>
      <c r="L4922" s="1">
        <v>4</v>
      </c>
      <c r="M4922" s="1">
        <v>472</v>
      </c>
      <c r="P4922" t="str">
        <f t="shared" si="307"/>
        <v>57%</v>
      </c>
      <c r="Q4922" s="12">
        <f t="shared" si="304"/>
        <v>0.56999999999999995</v>
      </c>
      <c r="R4922" s="9">
        <f t="shared" si="305"/>
        <v>687.57</v>
      </c>
      <c r="S4922" s="9">
        <f>IF(R4922="",AVERAGEIF(Table1[Category],Table1[[#This Row],[Category]],Table2[orignal data]),Table2[[#This Row],[orignal data]])</f>
        <v>687.57</v>
      </c>
      <c r="T4922" t="str">
        <f t="shared" si="306"/>
        <v>UNIQUE</v>
      </c>
      <c r="U4922" t="str">
        <f>IF(ISBLANK(Table1[[#This Row],[SizeOption]]),"NOT AVAILABLE",Table1[[#This Row],[SizeOption]])</f>
        <v>S, M, L</v>
      </c>
      <c r="Y4922" t="str">
        <f>IF(Table2[[#This Row],[Column1]]&gt;50%,"HIGH DISCOUNT","LOW DISCOUNT")</f>
        <v>HIGH DISCOUNT</v>
      </c>
    </row>
    <row r="4923" spans="1:25" x14ac:dyDescent="0.25">
      <c r="A4923" s="2" t="s">
        <v>10016</v>
      </c>
      <c r="B4923" s="2">
        <v>1010448</v>
      </c>
      <c r="C4923" s="2" t="s">
        <v>325</v>
      </c>
      <c r="D4923" s="2" t="s">
        <v>41</v>
      </c>
      <c r="E4923" s="2" t="s">
        <v>306</v>
      </c>
      <c r="F4923" s="2" t="s">
        <v>36</v>
      </c>
      <c r="G4923" s="2" t="s">
        <v>10017</v>
      </c>
      <c r="I4923" s="2">
        <v>1599</v>
      </c>
      <c r="J4923" s="2" t="s">
        <v>55</v>
      </c>
      <c r="K4923" s="2" t="s">
        <v>39</v>
      </c>
      <c r="L4923" s="2">
        <v>3.9</v>
      </c>
      <c r="M4923" s="2">
        <v>472</v>
      </c>
      <c r="P4923" t="str">
        <f t="shared" si="307"/>
        <v>60%</v>
      </c>
      <c r="Q4923" s="12">
        <f t="shared" si="304"/>
        <v>0.6</v>
      </c>
      <c r="R4923" s="9">
        <f t="shared" si="305"/>
        <v>639.6</v>
      </c>
      <c r="S4923" s="9">
        <f>IF(R4923="",AVERAGEIF(Table1[Category],Table1[[#This Row],[Category]],Table2[orignal data]),Table2[[#This Row],[orignal data]])</f>
        <v>639.6</v>
      </c>
      <c r="T4923" t="str">
        <f t="shared" si="306"/>
        <v>UNIQUE</v>
      </c>
      <c r="U4923" t="str">
        <f>IF(ISBLANK(Table1[[#This Row],[SizeOption]]),"NOT AVAILABLE",Table1[[#This Row],[SizeOption]])</f>
        <v>S, M, L, XL, XXL</v>
      </c>
      <c r="Y4923" t="str">
        <f>IF(Table2[[#This Row],[Column1]]&gt;50%,"HIGH DISCOUNT","LOW DISCOUNT")</f>
        <v>HIGH DISCOUNT</v>
      </c>
    </row>
    <row r="4924" spans="1:25" x14ac:dyDescent="0.25">
      <c r="A4924" s="1" t="s">
        <v>10018</v>
      </c>
      <c r="B4924" s="1">
        <v>8635059</v>
      </c>
      <c r="C4924" s="1" t="s">
        <v>573</v>
      </c>
      <c r="D4924" s="1" t="s">
        <v>41</v>
      </c>
      <c r="E4924" s="1" t="s">
        <v>48</v>
      </c>
      <c r="F4924" s="1" t="s">
        <v>36</v>
      </c>
      <c r="G4924" s="1" t="s">
        <v>10019</v>
      </c>
      <c r="I4924" s="1">
        <v>1799</v>
      </c>
      <c r="J4924" s="1" t="s">
        <v>60</v>
      </c>
      <c r="K4924" s="1" t="s">
        <v>45</v>
      </c>
      <c r="L4924" s="1">
        <v>4.0999999999999996</v>
      </c>
      <c r="M4924" s="1">
        <v>472</v>
      </c>
      <c r="P4924" t="str">
        <f t="shared" si="307"/>
        <v>58%</v>
      </c>
      <c r="Q4924" s="12">
        <f t="shared" si="304"/>
        <v>0.57999999999999996</v>
      </c>
      <c r="R4924" s="9">
        <f t="shared" si="305"/>
        <v>755.58000000000015</v>
      </c>
      <c r="S4924" s="9">
        <f>IF(R4924="",AVERAGEIF(Table1[Category],Table1[[#This Row],[Category]],Table2[orignal data]),Table2[[#This Row],[orignal data]])</f>
        <v>755.58000000000015</v>
      </c>
      <c r="T4924" t="str">
        <f t="shared" si="306"/>
        <v>UNIQUE</v>
      </c>
      <c r="U4924" t="str">
        <f>IF(ISBLANK(Table1[[#This Row],[SizeOption]]),"NOT AVAILABLE",Table1[[#This Row],[SizeOption]])</f>
        <v>XS, S, M, L, XL</v>
      </c>
      <c r="Y4924" t="str">
        <f>IF(Table2[[#This Row],[Column1]]&gt;50%,"HIGH DISCOUNT","LOW DISCOUNT")</f>
        <v>HIGH DISCOUNT</v>
      </c>
    </row>
    <row r="4925" spans="1:25" x14ac:dyDescent="0.25">
      <c r="A4925" s="2" t="s">
        <v>10020</v>
      </c>
      <c r="B4925" s="2">
        <v>7289174</v>
      </c>
      <c r="C4925" s="2" t="s">
        <v>1345</v>
      </c>
      <c r="D4925" s="2" t="s">
        <v>41</v>
      </c>
      <c r="E4925" s="2" t="s">
        <v>16</v>
      </c>
      <c r="F4925" s="2" t="s">
        <v>36</v>
      </c>
      <c r="G4925" s="2" t="s">
        <v>10021</v>
      </c>
      <c r="I4925" s="2">
        <v>2299</v>
      </c>
      <c r="J4925" s="2" t="s">
        <v>60</v>
      </c>
      <c r="K4925" s="2" t="s">
        <v>134</v>
      </c>
      <c r="L4925" s="2">
        <v>4.3</v>
      </c>
      <c r="M4925" s="2">
        <v>472</v>
      </c>
      <c r="P4925" t="str">
        <f t="shared" si="307"/>
        <v>58%</v>
      </c>
      <c r="Q4925" s="12">
        <f t="shared" si="304"/>
        <v>0.57999999999999996</v>
      </c>
      <c r="R4925" s="9">
        <f t="shared" si="305"/>
        <v>965.58000000000015</v>
      </c>
      <c r="S4925" s="9">
        <f>IF(R4925="",AVERAGEIF(Table1[Category],Table1[[#This Row],[Category]],Table2[orignal data]),Table2[[#This Row],[orignal data]])</f>
        <v>965.58000000000015</v>
      </c>
      <c r="T4925" t="str">
        <f t="shared" si="306"/>
        <v>UNIQUE</v>
      </c>
      <c r="U4925" t="str">
        <f>IF(ISBLANK(Table1[[#This Row],[SizeOption]]),"NOT AVAILABLE",Table1[[#This Row],[SizeOption]])</f>
        <v>26, 28, 30, 32, 34, 36</v>
      </c>
      <c r="Y4925" t="str">
        <f>IF(Table2[[#This Row],[Column1]]&gt;50%,"HIGH DISCOUNT","LOW DISCOUNT")</f>
        <v>HIGH DISCOUNT</v>
      </c>
    </row>
    <row r="4926" spans="1:25" x14ac:dyDescent="0.25">
      <c r="A4926" s="1" t="s">
        <v>10022</v>
      </c>
      <c r="B4926" s="1">
        <v>12693276</v>
      </c>
      <c r="C4926" s="1" t="s">
        <v>102</v>
      </c>
      <c r="D4926" s="1" t="s">
        <v>41</v>
      </c>
      <c r="E4926" s="1" t="s">
        <v>82</v>
      </c>
      <c r="F4926" s="1" t="s">
        <v>36</v>
      </c>
      <c r="G4926" s="1" t="s">
        <v>10023</v>
      </c>
      <c r="I4926" s="1">
        <v>2999</v>
      </c>
      <c r="J4926" s="1" t="s">
        <v>95</v>
      </c>
      <c r="K4926" s="1" t="s">
        <v>26</v>
      </c>
      <c r="L4926" s="1">
        <v>4.3</v>
      </c>
      <c r="M4926" s="1">
        <v>472</v>
      </c>
      <c r="P4926" t="str">
        <f t="shared" si="307"/>
        <v>59%</v>
      </c>
      <c r="Q4926" s="12">
        <f t="shared" si="304"/>
        <v>0.59</v>
      </c>
      <c r="R4926" s="9">
        <f t="shared" si="305"/>
        <v>1229.5900000000001</v>
      </c>
      <c r="S4926" s="9">
        <f>IF(R4926="",AVERAGEIF(Table1[Category],Table1[[#This Row],[Category]],Table2[orignal data]),Table2[[#This Row],[orignal data]])</f>
        <v>1229.5900000000001</v>
      </c>
      <c r="T4926" t="str">
        <f t="shared" si="306"/>
        <v>UNIQUE</v>
      </c>
      <c r="U4926" t="str">
        <f>IF(ISBLANK(Table1[[#This Row],[SizeOption]]),"NOT AVAILABLE",Table1[[#This Row],[SizeOption]])</f>
        <v>S, M, L, XL</v>
      </c>
      <c r="Y4926" t="str">
        <f>IF(Table2[[#This Row],[Column1]]&gt;50%,"HIGH DISCOUNT","LOW DISCOUNT")</f>
        <v>HIGH DISCOUNT</v>
      </c>
    </row>
    <row r="4927" spans="1:25" x14ac:dyDescent="0.25">
      <c r="A4927" s="2" t="s">
        <v>10024</v>
      </c>
      <c r="B4927" s="2">
        <v>1714762</v>
      </c>
      <c r="C4927" s="2" t="s">
        <v>430</v>
      </c>
      <c r="D4927" s="2" t="s">
        <v>41</v>
      </c>
      <c r="E4927" s="2" t="s">
        <v>42</v>
      </c>
      <c r="F4927" s="2" t="s">
        <v>36</v>
      </c>
      <c r="G4927" s="2" t="s">
        <v>10025</v>
      </c>
      <c r="I4927" s="2">
        <v>699</v>
      </c>
      <c r="J4927" s="2" t="s">
        <v>1986</v>
      </c>
      <c r="K4927" s="2" t="s">
        <v>1875</v>
      </c>
      <c r="L4927" s="2">
        <v>4.2</v>
      </c>
      <c r="M4927" s="2">
        <v>472</v>
      </c>
      <c r="P4927" t="str">
        <f t="shared" si="307"/>
        <v>60 %</v>
      </c>
      <c r="Q4927" s="12">
        <f t="shared" si="304"/>
        <v>0.6</v>
      </c>
      <c r="R4927" s="9">
        <f t="shared" si="305"/>
        <v>279.60000000000002</v>
      </c>
      <c r="S4927" s="9">
        <f>IF(R4927="",AVERAGEIF(Table1[Category],Table1[[#This Row],[Category]],Table2[orignal data]),Table2[[#This Row],[orignal data]])</f>
        <v>279.60000000000002</v>
      </c>
      <c r="T4927" t="str">
        <f t="shared" si="306"/>
        <v>UNIQUE</v>
      </c>
      <c r="U4927" t="str">
        <f>IF(ISBLANK(Table1[[#This Row],[SizeOption]]),"NOT AVAILABLE",Table1[[#This Row],[SizeOption]])</f>
        <v>XXS, XS, S, M, L, XL</v>
      </c>
      <c r="Y4927" t="str">
        <f>IF(Table2[[#This Row],[Column1]]&gt;50%,"HIGH DISCOUNT","LOW DISCOUNT")</f>
        <v>HIGH DISCOUNT</v>
      </c>
    </row>
    <row r="4928" spans="1:25" x14ac:dyDescent="0.25">
      <c r="A4928" s="1" t="s">
        <v>10026</v>
      </c>
      <c r="B4928" s="1">
        <v>11274760</v>
      </c>
      <c r="C4928" s="1" t="s">
        <v>14</v>
      </c>
      <c r="D4928" s="1" t="s">
        <v>15</v>
      </c>
      <c r="E4928" s="1" t="s">
        <v>16</v>
      </c>
      <c r="F4928" s="1" t="s">
        <v>17</v>
      </c>
      <c r="G4928" s="1" t="s">
        <v>1224</v>
      </c>
      <c r="I4928" s="1">
        <v>1499</v>
      </c>
      <c r="J4928" s="1"/>
      <c r="K4928" s="1" t="s">
        <v>20</v>
      </c>
      <c r="L4928" s="1">
        <v>4.2</v>
      </c>
      <c r="M4928" s="1">
        <v>471</v>
      </c>
      <c r="P4928" t="str">
        <f t="shared" si="307"/>
        <v/>
      </c>
      <c r="Q4928" s="12" t="str">
        <f t="shared" si="304"/>
        <v/>
      </c>
      <c r="R4928" s="9" t="str">
        <f t="shared" si="305"/>
        <v/>
      </c>
      <c r="S4928" s="9">
        <f>IF(R4928="",AVERAGEIF(Table1[Category],Table1[[#This Row],[Category]],Table2[orignal data]),Table2[[#This Row],[orignal data]])</f>
        <v>892.27590339892538</v>
      </c>
      <c r="T4928" t="str">
        <f t="shared" si="306"/>
        <v>UNIQUE</v>
      </c>
      <c r="U4928" t="str">
        <f>IF(ISBLANK(Table1[[#This Row],[SizeOption]]),"NOT AVAILABLE",Table1[[#This Row],[SizeOption]])</f>
        <v>28, 30, 32, 34, 36</v>
      </c>
      <c r="Y4928" t="str">
        <f>IF(Table2[[#This Row],[Column1]]&gt;50%,"HIGH DISCOUNT","LOW DISCOUNT")</f>
        <v>HIGH DISCOUNT</v>
      </c>
    </row>
    <row r="4929" spans="1:25" x14ac:dyDescent="0.25">
      <c r="A4929" s="2" t="s">
        <v>10027</v>
      </c>
      <c r="B4929" s="2">
        <v>9541603</v>
      </c>
      <c r="C4929" s="2" t="s">
        <v>22</v>
      </c>
      <c r="D4929" s="2" t="s">
        <v>15</v>
      </c>
      <c r="E4929" s="2" t="s">
        <v>16</v>
      </c>
      <c r="F4929" s="2" t="s">
        <v>17</v>
      </c>
      <c r="G4929" s="2" t="s">
        <v>582</v>
      </c>
      <c r="H4929">
        <v>1099</v>
      </c>
      <c r="I4929" s="2">
        <v>2499</v>
      </c>
      <c r="J4929" s="2" t="s">
        <v>1204</v>
      </c>
      <c r="K4929" s="2" t="s">
        <v>56</v>
      </c>
      <c r="L4929" s="2">
        <v>3.8</v>
      </c>
      <c r="M4929" s="2">
        <v>471</v>
      </c>
      <c r="P4929" t="str">
        <f t="shared" si="307"/>
        <v>56%</v>
      </c>
      <c r="Q4929" s="12">
        <f t="shared" si="304"/>
        <v>0.56000000000000005</v>
      </c>
      <c r="R4929" s="9">
        <f t="shared" si="305"/>
        <v>1099.56</v>
      </c>
      <c r="S4929" s="9">
        <f>IF(R4929="",AVERAGEIF(Table1[Category],Table1[[#This Row],[Category]],Table2[orignal data]),Table2[[#This Row],[orignal data]])</f>
        <v>1099.56</v>
      </c>
      <c r="T4929" t="str">
        <f t="shared" si="306"/>
        <v>UNIQUE</v>
      </c>
      <c r="U4929" t="str">
        <f>IF(ISBLANK(Table1[[#This Row],[SizeOption]]),"NOT AVAILABLE",Table1[[#This Row],[SizeOption]])</f>
        <v>30, 32, 34, 36</v>
      </c>
      <c r="Y4929" t="str">
        <f>IF(Table2[[#This Row],[Column1]]&gt;50%,"HIGH DISCOUNT","LOW DISCOUNT")</f>
        <v>HIGH DISCOUNT</v>
      </c>
    </row>
    <row r="4930" spans="1:25" x14ac:dyDescent="0.25">
      <c r="A4930" s="1" t="s">
        <v>10028</v>
      </c>
      <c r="B4930" s="1">
        <v>11044450</v>
      </c>
      <c r="C4930" s="1" t="s">
        <v>52</v>
      </c>
      <c r="D4930" s="1" t="s">
        <v>28</v>
      </c>
      <c r="E4930" s="1" t="s">
        <v>29</v>
      </c>
      <c r="F4930" s="1" t="s">
        <v>17</v>
      </c>
      <c r="G4930" s="1" t="s">
        <v>10029</v>
      </c>
      <c r="H4930">
        <v>487</v>
      </c>
      <c r="I4930" s="1">
        <v>1249</v>
      </c>
      <c r="J4930" s="1" t="s">
        <v>104</v>
      </c>
      <c r="K4930" s="1" t="s">
        <v>90</v>
      </c>
      <c r="L4930" s="1">
        <v>4</v>
      </c>
      <c r="M4930" s="1">
        <v>471</v>
      </c>
      <c r="P4930" t="str">
        <f t="shared" si="307"/>
        <v>61%</v>
      </c>
      <c r="Q4930" s="12">
        <f t="shared" ref="Q4930:Q4993" si="308">IF(P4930="","",IF(ISNUMBER(SEARCH("%",P4930)),P4930,P4930/I4930)*100%)</f>
        <v>0.61</v>
      </c>
      <c r="R4930" s="9">
        <f t="shared" ref="R4930:R4993" si="309">IF(P4930="","",I4930-(I4930*Q4930))</f>
        <v>487.11</v>
      </c>
      <c r="S4930" s="9">
        <f>IF(R4930="",AVERAGEIF(Table1[Category],Table1[[#This Row],[Category]],Table2[orignal data]),Table2[[#This Row],[orignal data]])</f>
        <v>487.11</v>
      </c>
      <c r="T4930" t="str">
        <f t="shared" ref="T4930:T4993" si="310">IF(COUNTIF($B$2:$B$5000,B4930)&gt;1,"DUPLICATE","UNIQUE")</f>
        <v>UNIQUE</v>
      </c>
      <c r="U4930" t="str">
        <f>IF(ISBLANK(Table1[[#This Row],[SizeOption]]),"NOT AVAILABLE",Table1[[#This Row],[SizeOption]])</f>
        <v>39, 40, 42, 44</v>
      </c>
      <c r="Y4930" t="str">
        <f>IF(Table2[[#This Row],[Column1]]&gt;50%,"HIGH DISCOUNT","LOW DISCOUNT")</f>
        <v>HIGH DISCOUNT</v>
      </c>
    </row>
    <row r="4931" spans="1:25" x14ac:dyDescent="0.25">
      <c r="A4931" s="2" t="s">
        <v>10030</v>
      </c>
      <c r="B4931" s="2">
        <v>12085984</v>
      </c>
      <c r="C4931" s="2" t="s">
        <v>52</v>
      </c>
      <c r="D4931" s="2" t="s">
        <v>28</v>
      </c>
      <c r="E4931" s="2" t="s">
        <v>29</v>
      </c>
      <c r="F4931" s="2" t="s">
        <v>17</v>
      </c>
      <c r="G4931" s="2" t="s">
        <v>10031</v>
      </c>
      <c r="H4931">
        <v>749</v>
      </c>
      <c r="I4931" s="2">
        <v>1499</v>
      </c>
      <c r="J4931" s="2" t="s">
        <v>84</v>
      </c>
      <c r="K4931" s="2" t="s">
        <v>90</v>
      </c>
      <c r="L4931" s="2">
        <v>4.2</v>
      </c>
      <c r="M4931" s="2">
        <v>471</v>
      </c>
      <c r="P4931" t="str">
        <f t="shared" ref="P4931:P4994" si="311">TRIM(SUBSTITUTE(SUBSTITUTE(SUBSTITUTE(SUBSTITUTE(J4931,"OFF",""),"Rs.",""),"Hurry*",""),",",""))</f>
        <v>50%</v>
      </c>
      <c r="Q4931" s="12">
        <f t="shared" si="308"/>
        <v>0.5</v>
      </c>
      <c r="R4931" s="9">
        <f t="shared" si="309"/>
        <v>749.5</v>
      </c>
      <c r="S4931" s="9">
        <f>IF(R4931="",AVERAGEIF(Table1[Category],Table1[[#This Row],[Category]],Table2[orignal data]),Table2[[#This Row],[orignal data]])</f>
        <v>749.5</v>
      </c>
      <c r="T4931" t="str">
        <f t="shared" si="310"/>
        <v>UNIQUE</v>
      </c>
      <c r="U4931" t="str">
        <f>IF(ISBLANK(Table1[[#This Row],[SizeOption]]),"NOT AVAILABLE",Table1[[#This Row],[SizeOption]])</f>
        <v>39, 40, 42, 44</v>
      </c>
      <c r="Y4931" t="str">
        <f>IF(Table2[[#This Row],[Column1]]&gt;50%,"HIGH DISCOUNT","LOW DISCOUNT")</f>
        <v>LOW DISCOUNT</v>
      </c>
    </row>
    <row r="4932" spans="1:25" x14ac:dyDescent="0.25">
      <c r="A4932" s="1" t="s">
        <v>10032</v>
      </c>
      <c r="B4932" s="1">
        <v>13238668</v>
      </c>
      <c r="C4932" s="1" t="s">
        <v>113</v>
      </c>
      <c r="D4932" s="1" t="s">
        <v>76</v>
      </c>
      <c r="E4932" s="1" t="s">
        <v>93</v>
      </c>
      <c r="F4932" s="1" t="s">
        <v>36</v>
      </c>
      <c r="G4932" s="1" t="s">
        <v>10033</v>
      </c>
      <c r="H4932">
        <v>679</v>
      </c>
      <c r="I4932" s="1">
        <v>1699</v>
      </c>
      <c r="J4932" s="1" t="s">
        <v>55</v>
      </c>
      <c r="K4932" s="1" t="s">
        <v>115</v>
      </c>
      <c r="L4932" s="1">
        <v>4</v>
      </c>
      <c r="M4932" s="1">
        <v>471</v>
      </c>
      <c r="P4932" t="str">
        <f t="shared" si="311"/>
        <v>60%</v>
      </c>
      <c r="Q4932" s="12">
        <f t="shared" si="308"/>
        <v>0.6</v>
      </c>
      <c r="R4932" s="9">
        <f t="shared" si="309"/>
        <v>679.6</v>
      </c>
      <c r="S4932" s="9">
        <f>IF(R4932="",AVERAGEIF(Table1[Category],Table1[[#This Row],[Category]],Table2[orignal data]),Table2[[#This Row],[orignal data]])</f>
        <v>679.6</v>
      </c>
      <c r="T4932" t="str">
        <f t="shared" si="310"/>
        <v>UNIQUE</v>
      </c>
      <c r="U4932" t="str">
        <f>IF(ISBLANK(Table1[[#This Row],[SizeOption]]),"NOT AVAILABLE",Table1[[#This Row],[SizeOption]])</f>
        <v>XS, S, M, L, XL, XXL</v>
      </c>
      <c r="Y4932" t="str">
        <f>IF(Table2[[#This Row],[Column1]]&gt;50%,"HIGH DISCOUNT","LOW DISCOUNT")</f>
        <v>HIGH DISCOUNT</v>
      </c>
    </row>
    <row r="4933" spans="1:25" x14ac:dyDescent="0.25">
      <c r="A4933" s="2" t="s">
        <v>10034</v>
      </c>
      <c r="B4933" s="2">
        <v>13243430</v>
      </c>
      <c r="C4933" s="2" t="s">
        <v>92</v>
      </c>
      <c r="D4933" s="2" t="s">
        <v>76</v>
      </c>
      <c r="E4933" s="2" t="s">
        <v>148</v>
      </c>
      <c r="F4933" s="2" t="s">
        <v>36</v>
      </c>
      <c r="G4933" s="2" t="s">
        <v>10035</v>
      </c>
      <c r="H4933">
        <v>859</v>
      </c>
      <c r="I4933" s="2">
        <v>2149</v>
      </c>
      <c r="J4933" s="2" t="s">
        <v>55</v>
      </c>
      <c r="K4933" s="2" t="s">
        <v>39</v>
      </c>
      <c r="L4933" s="2">
        <v>4.0999999999999996</v>
      </c>
      <c r="M4933" s="2">
        <v>471</v>
      </c>
      <c r="P4933" t="str">
        <f t="shared" si="311"/>
        <v>60%</v>
      </c>
      <c r="Q4933" s="12">
        <f t="shared" si="308"/>
        <v>0.6</v>
      </c>
      <c r="R4933" s="9">
        <f t="shared" si="309"/>
        <v>859.60000000000014</v>
      </c>
      <c r="S4933" s="9">
        <f>IF(R4933="",AVERAGEIF(Table1[Category],Table1[[#This Row],[Category]],Table2[orignal data]),Table2[[#This Row],[orignal data]])</f>
        <v>859.60000000000014</v>
      </c>
      <c r="T4933" t="str">
        <f t="shared" si="310"/>
        <v>UNIQUE</v>
      </c>
      <c r="U4933" t="str">
        <f>IF(ISBLANK(Table1[[#This Row],[SizeOption]]),"NOT AVAILABLE",Table1[[#This Row],[SizeOption]])</f>
        <v>S, M, L, XL, XXL</v>
      </c>
      <c r="Y4933" t="str">
        <f>IF(Table2[[#This Row],[Column1]]&gt;50%,"HIGH DISCOUNT","LOW DISCOUNT")</f>
        <v>HIGH DISCOUNT</v>
      </c>
    </row>
    <row r="4934" spans="1:25" x14ac:dyDescent="0.25">
      <c r="A4934" s="1" t="s">
        <v>10036</v>
      </c>
      <c r="B4934" s="1">
        <v>4670939</v>
      </c>
      <c r="C4934" s="1" t="s">
        <v>4309</v>
      </c>
      <c r="D4934" s="1" t="s">
        <v>34</v>
      </c>
      <c r="E4934" s="1" t="s">
        <v>118</v>
      </c>
      <c r="F4934" s="1" t="s">
        <v>36</v>
      </c>
      <c r="G4934" s="1" t="s">
        <v>10037</v>
      </c>
      <c r="H4934">
        <v>479</v>
      </c>
      <c r="I4934" s="1">
        <v>799</v>
      </c>
      <c r="J4934" s="1" t="s">
        <v>50</v>
      </c>
      <c r="K4934" s="1" t="s">
        <v>4311</v>
      </c>
      <c r="L4934" s="1">
        <v>4</v>
      </c>
      <c r="M4934" s="1">
        <v>471</v>
      </c>
      <c r="P4934" t="str">
        <f t="shared" si="311"/>
        <v>40%</v>
      </c>
      <c r="Q4934" s="12">
        <f t="shared" si="308"/>
        <v>0.4</v>
      </c>
      <c r="R4934" s="9">
        <f t="shared" si="309"/>
        <v>479.4</v>
      </c>
      <c r="S4934" s="9">
        <f>IF(R4934="",AVERAGEIF(Table1[Category],Table1[[#This Row],[Category]],Table2[orignal data]),Table2[[#This Row],[orignal data]])</f>
        <v>479.4</v>
      </c>
      <c r="T4934" t="str">
        <f t="shared" si="310"/>
        <v>UNIQUE</v>
      </c>
      <c r="U4934" t="str">
        <f>IF(ISBLANK(Table1[[#This Row],[SizeOption]]),"NOT AVAILABLE",Table1[[#This Row],[SizeOption]])</f>
        <v>30A, 30B, 32A, 32B, 34A, 34B, 36A, 36B</v>
      </c>
      <c r="Y4934" t="str">
        <f>IF(Table2[[#This Row],[Column1]]&gt;50%,"HIGH DISCOUNT","LOW DISCOUNT")</f>
        <v>LOW DISCOUNT</v>
      </c>
    </row>
    <row r="4935" spans="1:25" x14ac:dyDescent="0.25">
      <c r="A4935" s="2" t="s">
        <v>10038</v>
      </c>
      <c r="B4935" s="2">
        <v>10426090</v>
      </c>
      <c r="C4935" s="2" t="s">
        <v>1083</v>
      </c>
      <c r="D4935" s="2" t="s">
        <v>41</v>
      </c>
      <c r="E4935" s="2" t="s">
        <v>42</v>
      </c>
      <c r="F4935" s="2" t="s">
        <v>36</v>
      </c>
      <c r="G4935" s="2" t="s">
        <v>10039</v>
      </c>
      <c r="I4935" s="2">
        <v>1199</v>
      </c>
      <c r="J4935" s="2" t="s">
        <v>126</v>
      </c>
      <c r="K4935" s="2" t="s">
        <v>45</v>
      </c>
      <c r="L4935" s="2">
        <v>4.2</v>
      </c>
      <c r="M4935" s="2">
        <v>471</v>
      </c>
      <c r="P4935" t="str">
        <f t="shared" si="311"/>
        <v>62%</v>
      </c>
      <c r="Q4935" s="12">
        <f t="shared" si="308"/>
        <v>0.62</v>
      </c>
      <c r="R4935" s="9">
        <f t="shared" si="309"/>
        <v>455.62</v>
      </c>
      <c r="S4935" s="9">
        <f>IF(R4935="",AVERAGEIF(Table1[Category],Table1[[#This Row],[Category]],Table2[orignal data]),Table2[[#This Row],[orignal data]])</f>
        <v>455.62</v>
      </c>
      <c r="T4935" t="str">
        <f t="shared" si="310"/>
        <v>UNIQUE</v>
      </c>
      <c r="U4935" t="str">
        <f>IF(ISBLANK(Table1[[#This Row],[SizeOption]]),"NOT AVAILABLE",Table1[[#This Row],[SizeOption]])</f>
        <v>XS, S, M, L, XL</v>
      </c>
      <c r="Y4935" t="str">
        <f>IF(Table2[[#This Row],[Column1]]&gt;50%,"HIGH DISCOUNT","LOW DISCOUNT")</f>
        <v>HIGH DISCOUNT</v>
      </c>
    </row>
    <row r="4936" spans="1:25" x14ac:dyDescent="0.25">
      <c r="A4936" s="1" t="s">
        <v>10040</v>
      </c>
      <c r="B4936" s="1">
        <v>10821314</v>
      </c>
      <c r="C4936" s="1" t="s">
        <v>184</v>
      </c>
      <c r="D4936" s="1" t="s">
        <v>41</v>
      </c>
      <c r="E4936" s="1" t="s">
        <v>148</v>
      </c>
      <c r="F4936" s="1" t="s">
        <v>36</v>
      </c>
      <c r="G4936" s="1" t="s">
        <v>10041</v>
      </c>
      <c r="I4936" s="1">
        <v>1299</v>
      </c>
      <c r="J4936" s="1" t="s">
        <v>25</v>
      </c>
      <c r="K4936" s="1" t="s">
        <v>39</v>
      </c>
      <c r="L4936" s="1">
        <v>4</v>
      </c>
      <c r="M4936" s="1">
        <v>471</v>
      </c>
      <c r="P4936" t="str">
        <f t="shared" si="311"/>
        <v>55%</v>
      </c>
      <c r="Q4936" s="12">
        <f t="shared" si="308"/>
        <v>0.55000000000000004</v>
      </c>
      <c r="R4936" s="9">
        <f t="shared" si="309"/>
        <v>584.54999999999995</v>
      </c>
      <c r="S4936" s="9">
        <f>IF(R4936="",AVERAGEIF(Table1[Category],Table1[[#This Row],[Category]],Table2[orignal data]),Table2[[#This Row],[orignal data]])</f>
        <v>584.54999999999995</v>
      </c>
      <c r="T4936" t="str">
        <f t="shared" si="310"/>
        <v>UNIQUE</v>
      </c>
      <c r="U4936" t="str">
        <f>IF(ISBLANK(Table1[[#This Row],[SizeOption]]),"NOT AVAILABLE",Table1[[#This Row],[SizeOption]])</f>
        <v>S, M, L, XL, XXL</v>
      </c>
      <c r="Y4936" t="str">
        <f>IF(Table2[[#This Row],[Column1]]&gt;50%,"HIGH DISCOUNT","LOW DISCOUNT")</f>
        <v>HIGH DISCOUNT</v>
      </c>
    </row>
    <row r="4937" spans="1:25" x14ac:dyDescent="0.25">
      <c r="A4937" s="2" t="s">
        <v>10042</v>
      </c>
      <c r="B4937" s="2">
        <v>9656255</v>
      </c>
      <c r="C4937" s="2" t="s">
        <v>14</v>
      </c>
      <c r="D4937" s="2" t="s">
        <v>41</v>
      </c>
      <c r="E4937" s="2" t="s">
        <v>29</v>
      </c>
      <c r="F4937" s="2" t="s">
        <v>36</v>
      </c>
      <c r="G4937" s="2" t="s">
        <v>10043</v>
      </c>
      <c r="I4937" s="2">
        <v>1499</v>
      </c>
      <c r="J4937" s="2" t="s">
        <v>84</v>
      </c>
      <c r="K4937" s="2" t="s">
        <v>45</v>
      </c>
      <c r="L4937" s="2">
        <v>4.3</v>
      </c>
      <c r="M4937" s="2">
        <v>471</v>
      </c>
      <c r="P4937" t="str">
        <f t="shared" si="311"/>
        <v>50%</v>
      </c>
      <c r="Q4937" s="12">
        <f t="shared" si="308"/>
        <v>0.5</v>
      </c>
      <c r="R4937" s="9">
        <f t="shared" si="309"/>
        <v>749.5</v>
      </c>
      <c r="S4937" s="9">
        <f>IF(R4937="",AVERAGEIF(Table1[Category],Table1[[#This Row],[Category]],Table2[orignal data]),Table2[[#This Row],[orignal data]])</f>
        <v>749.5</v>
      </c>
      <c r="T4937" t="str">
        <f t="shared" si="310"/>
        <v>UNIQUE</v>
      </c>
      <c r="U4937" t="str">
        <f>IF(ISBLANK(Table1[[#This Row],[SizeOption]]),"NOT AVAILABLE",Table1[[#This Row],[SizeOption]])</f>
        <v>XS, S, M, L, XL</v>
      </c>
      <c r="Y4937" t="str">
        <f>IF(Table2[[#This Row],[Column1]]&gt;50%,"HIGH DISCOUNT","LOW DISCOUNT")</f>
        <v>LOW DISCOUNT</v>
      </c>
    </row>
    <row r="4938" spans="1:25" x14ac:dyDescent="0.25">
      <c r="A4938" s="1" t="s">
        <v>10044</v>
      </c>
      <c r="B4938" s="1">
        <v>17383378</v>
      </c>
      <c r="C4938" s="1" t="s">
        <v>14</v>
      </c>
      <c r="D4938" s="1" t="s">
        <v>41</v>
      </c>
      <c r="E4938" s="1" t="s">
        <v>42</v>
      </c>
      <c r="F4938" s="1" t="s">
        <v>36</v>
      </c>
      <c r="G4938" s="1" t="s">
        <v>10045</v>
      </c>
      <c r="I4938" s="1">
        <v>1598</v>
      </c>
      <c r="J4938" s="1" t="s">
        <v>84</v>
      </c>
      <c r="K4938" s="1" t="s">
        <v>447</v>
      </c>
      <c r="L4938" s="1">
        <v>4.0999999999999996</v>
      </c>
      <c r="M4938" s="1">
        <v>471</v>
      </c>
      <c r="P4938" t="str">
        <f t="shared" si="311"/>
        <v>50%</v>
      </c>
      <c r="Q4938" s="12">
        <f t="shared" si="308"/>
        <v>0.5</v>
      </c>
      <c r="R4938" s="9">
        <f t="shared" si="309"/>
        <v>799</v>
      </c>
      <c r="S4938" s="9">
        <f>IF(R4938="",AVERAGEIF(Table1[Category],Table1[[#This Row],[Category]],Table2[orignal data]),Table2[[#This Row],[orignal data]])</f>
        <v>799</v>
      </c>
      <c r="T4938" t="str">
        <f t="shared" si="310"/>
        <v>UNIQUE</v>
      </c>
      <c r="U4938" t="str">
        <f>IF(ISBLANK(Table1[[#This Row],[SizeOption]]),"NOT AVAILABLE",Table1[[#This Row],[SizeOption]])</f>
        <v>M, S, XS, XL, L</v>
      </c>
      <c r="Y4938" t="str">
        <f>IF(Table2[[#This Row],[Column1]]&gt;50%,"HIGH DISCOUNT","LOW DISCOUNT")</f>
        <v>LOW DISCOUNT</v>
      </c>
    </row>
    <row r="4939" spans="1:25" x14ac:dyDescent="0.25">
      <c r="A4939" s="2" t="s">
        <v>10046</v>
      </c>
      <c r="B4939" s="2">
        <v>13710342</v>
      </c>
      <c r="C4939" s="2" t="s">
        <v>14</v>
      </c>
      <c r="D4939" s="2" t="s">
        <v>41</v>
      </c>
      <c r="E4939" s="2" t="s">
        <v>16</v>
      </c>
      <c r="F4939" s="2" t="s">
        <v>36</v>
      </c>
      <c r="G4939" s="2" t="s">
        <v>10047</v>
      </c>
      <c r="I4939" s="2">
        <v>1799</v>
      </c>
      <c r="J4939" s="2" t="s">
        <v>50</v>
      </c>
      <c r="K4939" s="2" t="s">
        <v>134</v>
      </c>
      <c r="L4939" s="2">
        <v>4.2</v>
      </c>
      <c r="M4939" s="2">
        <v>471</v>
      </c>
      <c r="P4939" t="str">
        <f t="shared" si="311"/>
        <v>40%</v>
      </c>
      <c r="Q4939" s="12">
        <f t="shared" si="308"/>
        <v>0.4</v>
      </c>
      <c r="R4939" s="9">
        <f t="shared" si="309"/>
        <v>1079.4000000000001</v>
      </c>
      <c r="S4939" s="9">
        <f>IF(R4939="",AVERAGEIF(Table1[Category],Table1[[#This Row],[Category]],Table2[orignal data]),Table2[[#This Row],[orignal data]])</f>
        <v>1079.4000000000001</v>
      </c>
      <c r="T4939" t="str">
        <f t="shared" si="310"/>
        <v>UNIQUE</v>
      </c>
      <c r="U4939" t="str">
        <f>IF(ISBLANK(Table1[[#This Row],[SizeOption]]),"NOT AVAILABLE",Table1[[#This Row],[SizeOption]])</f>
        <v>26, 28, 30, 32, 34, 36</v>
      </c>
      <c r="Y4939" t="str">
        <f>IF(Table2[[#This Row],[Column1]]&gt;50%,"HIGH DISCOUNT","LOW DISCOUNT")</f>
        <v>LOW DISCOUNT</v>
      </c>
    </row>
    <row r="4940" spans="1:25" x14ac:dyDescent="0.25">
      <c r="A4940" s="1" t="s">
        <v>10048</v>
      </c>
      <c r="B4940" s="1">
        <v>13738586</v>
      </c>
      <c r="C4940" s="1" t="s">
        <v>290</v>
      </c>
      <c r="D4940" s="1" t="s">
        <v>41</v>
      </c>
      <c r="E4940" s="1" t="s">
        <v>189</v>
      </c>
      <c r="F4940" s="1" t="s">
        <v>36</v>
      </c>
      <c r="G4940" s="1" t="s">
        <v>10049</v>
      </c>
      <c r="I4940" s="1">
        <v>1899</v>
      </c>
      <c r="J4940" s="1" t="s">
        <v>84</v>
      </c>
      <c r="K4940" s="1" t="s">
        <v>45</v>
      </c>
      <c r="L4940" s="1">
        <v>3.8</v>
      </c>
      <c r="M4940" s="1">
        <v>471</v>
      </c>
      <c r="P4940" t="str">
        <f t="shared" si="311"/>
        <v>50%</v>
      </c>
      <c r="Q4940" s="12">
        <f t="shared" si="308"/>
        <v>0.5</v>
      </c>
      <c r="R4940" s="9">
        <f t="shared" si="309"/>
        <v>949.5</v>
      </c>
      <c r="S4940" s="9">
        <f>IF(R4940="",AVERAGEIF(Table1[Category],Table1[[#This Row],[Category]],Table2[orignal data]),Table2[[#This Row],[orignal data]])</f>
        <v>949.5</v>
      </c>
      <c r="T4940" t="str">
        <f t="shared" si="310"/>
        <v>UNIQUE</v>
      </c>
      <c r="U4940" t="str">
        <f>IF(ISBLANK(Table1[[#This Row],[SizeOption]]),"NOT AVAILABLE",Table1[[#This Row],[SizeOption]])</f>
        <v>XS, S, M, L, XL</v>
      </c>
      <c r="Y4940" t="str">
        <f>IF(Table2[[#This Row],[Column1]]&gt;50%,"HIGH DISCOUNT","LOW DISCOUNT")</f>
        <v>LOW DISCOUNT</v>
      </c>
    </row>
    <row r="4941" spans="1:25" x14ac:dyDescent="0.25">
      <c r="A4941" s="2" t="s">
        <v>10050</v>
      </c>
      <c r="B4941" s="2">
        <v>6838371</v>
      </c>
      <c r="C4941" s="2" t="s">
        <v>10051</v>
      </c>
      <c r="D4941" s="2" t="s">
        <v>41</v>
      </c>
      <c r="E4941" s="2" t="s">
        <v>306</v>
      </c>
      <c r="F4941" s="2" t="s">
        <v>36</v>
      </c>
      <c r="G4941" s="2" t="s">
        <v>10052</v>
      </c>
      <c r="I4941" s="2">
        <v>1999</v>
      </c>
      <c r="J4941" s="2" t="s">
        <v>79</v>
      </c>
      <c r="K4941" s="2" t="s">
        <v>26</v>
      </c>
      <c r="L4941" s="2">
        <v>4.0999999999999996</v>
      </c>
      <c r="M4941" s="2">
        <v>471</v>
      </c>
      <c r="P4941" t="str">
        <f t="shared" si="311"/>
        <v>70%</v>
      </c>
      <c r="Q4941" s="12">
        <f t="shared" si="308"/>
        <v>0.7</v>
      </c>
      <c r="R4941" s="9">
        <f t="shared" si="309"/>
        <v>599.70000000000005</v>
      </c>
      <c r="S4941" s="9">
        <f>IF(R4941="",AVERAGEIF(Table1[Category],Table1[[#This Row],[Category]],Table2[orignal data]),Table2[[#This Row],[orignal data]])</f>
        <v>599.70000000000005</v>
      </c>
      <c r="T4941" t="str">
        <f t="shared" si="310"/>
        <v>UNIQUE</v>
      </c>
      <c r="U4941" t="str">
        <f>IF(ISBLANK(Table1[[#This Row],[SizeOption]]),"NOT AVAILABLE",Table1[[#This Row],[SizeOption]])</f>
        <v>S, M, L, XL</v>
      </c>
      <c r="Y4941" t="str">
        <f>IF(Table2[[#This Row],[Column1]]&gt;50%,"HIGH DISCOUNT","LOW DISCOUNT")</f>
        <v>HIGH DISCOUNT</v>
      </c>
    </row>
    <row r="4942" spans="1:25" x14ac:dyDescent="0.25">
      <c r="A4942" s="1" t="s">
        <v>10053</v>
      </c>
      <c r="B4942" s="1">
        <v>2464261</v>
      </c>
      <c r="C4942" s="1" t="s">
        <v>47</v>
      </c>
      <c r="D4942" s="1" t="s">
        <v>41</v>
      </c>
      <c r="E4942" s="1" t="s">
        <v>42</v>
      </c>
      <c r="F4942" s="1" t="s">
        <v>36</v>
      </c>
      <c r="G4942" s="1" t="s">
        <v>10054</v>
      </c>
      <c r="I4942" s="1">
        <v>239</v>
      </c>
      <c r="J4942" s="1"/>
      <c r="K4942" s="1" t="s">
        <v>45</v>
      </c>
      <c r="L4942" s="1">
        <v>4.2</v>
      </c>
      <c r="M4942" s="1">
        <v>471</v>
      </c>
      <c r="P4942" t="str">
        <f t="shared" si="311"/>
        <v/>
      </c>
      <c r="Q4942" s="12" t="str">
        <f t="shared" si="308"/>
        <v/>
      </c>
      <c r="R4942" s="9" t="str">
        <f t="shared" si="309"/>
        <v/>
      </c>
      <c r="S4942" s="9">
        <f>IF(R4942="",AVERAGEIF(Table1[Category],Table1[[#This Row],[Category]],Table2[orignal data]),Table2[[#This Row],[orignal data]])</f>
        <v>715.78890751086249</v>
      </c>
      <c r="T4942" t="str">
        <f t="shared" si="310"/>
        <v>UNIQUE</v>
      </c>
      <c r="U4942" t="str">
        <f>IF(ISBLANK(Table1[[#This Row],[SizeOption]]),"NOT AVAILABLE",Table1[[#This Row],[SizeOption]])</f>
        <v>XS, S, M, L, XL</v>
      </c>
      <c r="Y4942" t="str">
        <f>IF(Table2[[#This Row],[Column1]]&gt;50%,"HIGH DISCOUNT","LOW DISCOUNT")</f>
        <v>HIGH DISCOUNT</v>
      </c>
    </row>
    <row r="4943" spans="1:25" x14ac:dyDescent="0.25">
      <c r="A4943" s="2" t="s">
        <v>10055</v>
      </c>
      <c r="B4943" s="2">
        <v>12809668</v>
      </c>
      <c r="C4943" s="2" t="s">
        <v>10056</v>
      </c>
      <c r="D4943" s="2" t="s">
        <v>41</v>
      </c>
      <c r="E4943" s="2" t="s">
        <v>148</v>
      </c>
      <c r="F4943" s="2" t="s">
        <v>36</v>
      </c>
      <c r="G4943" s="2" t="s">
        <v>10057</v>
      </c>
      <c r="I4943" s="2">
        <v>2499</v>
      </c>
      <c r="J4943" s="2" t="s">
        <v>186</v>
      </c>
      <c r="K4943" s="2" t="s">
        <v>223</v>
      </c>
      <c r="L4943" s="2">
        <v>4.3</v>
      </c>
      <c r="M4943" s="2">
        <v>471</v>
      </c>
      <c r="P4943" t="str">
        <f t="shared" si="311"/>
        <v>30%</v>
      </c>
      <c r="Q4943" s="12">
        <f t="shared" si="308"/>
        <v>0.3</v>
      </c>
      <c r="R4943" s="9">
        <f t="shared" si="309"/>
        <v>1749.3000000000002</v>
      </c>
      <c r="S4943" s="9">
        <f>IF(R4943="",AVERAGEIF(Table1[Category],Table1[[#This Row],[Category]],Table2[orignal data]),Table2[[#This Row],[orignal data]])</f>
        <v>1749.3000000000002</v>
      </c>
      <c r="T4943" t="str">
        <f t="shared" si="310"/>
        <v>UNIQUE</v>
      </c>
      <c r="U4943" t="str">
        <f>IF(ISBLANK(Table1[[#This Row],[SizeOption]]),"NOT AVAILABLE",Table1[[#This Row],[SizeOption]])</f>
        <v>S, M, L, XL, XXL, 3XL, 4XL</v>
      </c>
      <c r="Y4943" t="str">
        <f>IF(Table2[[#This Row],[Column1]]&gt;50%,"HIGH DISCOUNT","LOW DISCOUNT")</f>
        <v>LOW DISCOUNT</v>
      </c>
    </row>
    <row r="4944" spans="1:25" x14ac:dyDescent="0.25">
      <c r="A4944" s="1" t="s">
        <v>10058</v>
      </c>
      <c r="B4944" s="1">
        <v>13666806</v>
      </c>
      <c r="C4944" s="1" t="s">
        <v>92</v>
      </c>
      <c r="D4944" s="1" t="s">
        <v>41</v>
      </c>
      <c r="E4944" s="1" t="s">
        <v>53</v>
      </c>
      <c r="F4944" s="1" t="s">
        <v>36</v>
      </c>
      <c r="G4944" s="1" t="s">
        <v>10059</v>
      </c>
      <c r="I4944" s="1">
        <v>899</v>
      </c>
      <c r="J4944" s="1" t="s">
        <v>104</v>
      </c>
      <c r="K4944" s="1" t="s">
        <v>20</v>
      </c>
      <c r="L4944" s="1">
        <v>3.7</v>
      </c>
      <c r="M4944" s="1">
        <v>471</v>
      </c>
      <c r="P4944" t="str">
        <f t="shared" si="311"/>
        <v>61%</v>
      </c>
      <c r="Q4944" s="12">
        <f t="shared" si="308"/>
        <v>0.61</v>
      </c>
      <c r="R4944" s="9">
        <f t="shared" si="309"/>
        <v>350.61</v>
      </c>
      <c r="S4944" s="9">
        <f>IF(R4944="",AVERAGEIF(Table1[Category],Table1[[#This Row],[Category]],Table2[orignal data]),Table2[[#This Row],[orignal data]])</f>
        <v>350.61</v>
      </c>
      <c r="T4944" t="str">
        <f t="shared" si="310"/>
        <v>UNIQUE</v>
      </c>
      <c r="U4944" t="str">
        <f>IF(ISBLANK(Table1[[#This Row],[SizeOption]]),"NOT AVAILABLE",Table1[[#This Row],[SizeOption]])</f>
        <v>28, 30, 32, 34, 36</v>
      </c>
      <c r="Y4944" t="str">
        <f>IF(Table2[[#This Row],[Column1]]&gt;50%,"HIGH DISCOUNT","LOW DISCOUNT")</f>
        <v>HIGH DISCOUNT</v>
      </c>
    </row>
    <row r="4945" spans="1:25" x14ac:dyDescent="0.25">
      <c r="A4945" s="2" t="s">
        <v>10060</v>
      </c>
      <c r="B4945" s="2">
        <v>10604596</v>
      </c>
      <c r="C4945" s="2" t="s">
        <v>181</v>
      </c>
      <c r="D4945" s="2" t="s">
        <v>41</v>
      </c>
      <c r="E4945" s="2" t="s">
        <v>42</v>
      </c>
      <c r="F4945" s="2" t="s">
        <v>36</v>
      </c>
      <c r="G4945" s="2" t="s">
        <v>10061</v>
      </c>
      <c r="I4945" s="2">
        <v>999</v>
      </c>
      <c r="J4945" s="2" t="s">
        <v>606</v>
      </c>
      <c r="K4945" s="2" t="s">
        <v>45</v>
      </c>
      <c r="L4945" s="2">
        <v>4.4000000000000004</v>
      </c>
      <c r="M4945" s="2">
        <v>471</v>
      </c>
      <c r="P4945" t="str">
        <f t="shared" si="311"/>
        <v>54%</v>
      </c>
      <c r="Q4945" s="12">
        <f t="shared" si="308"/>
        <v>0.54</v>
      </c>
      <c r="R4945" s="9">
        <f t="shared" si="309"/>
        <v>459.53999999999996</v>
      </c>
      <c r="S4945" s="9">
        <f>IF(R4945="",AVERAGEIF(Table1[Category],Table1[[#This Row],[Category]],Table2[orignal data]),Table2[[#This Row],[orignal data]])</f>
        <v>459.53999999999996</v>
      </c>
      <c r="T4945" t="str">
        <f t="shared" si="310"/>
        <v>UNIQUE</v>
      </c>
      <c r="U4945" t="str">
        <f>IF(ISBLANK(Table1[[#This Row],[SizeOption]]),"NOT AVAILABLE",Table1[[#This Row],[SizeOption]])</f>
        <v>XS, S, M, L, XL</v>
      </c>
      <c r="Y4945" t="str">
        <f>IF(Table2[[#This Row],[Column1]]&gt;50%,"HIGH DISCOUNT","LOW DISCOUNT")</f>
        <v>HIGH DISCOUNT</v>
      </c>
    </row>
    <row r="4946" spans="1:25" x14ac:dyDescent="0.25">
      <c r="A4946" s="1" t="s">
        <v>10062</v>
      </c>
      <c r="B4946" s="1">
        <v>11274754</v>
      </c>
      <c r="C4946" s="1" t="s">
        <v>14</v>
      </c>
      <c r="D4946" s="1" t="s">
        <v>15</v>
      </c>
      <c r="E4946" s="1" t="s">
        <v>16</v>
      </c>
      <c r="F4946" s="1" t="s">
        <v>17</v>
      </c>
      <c r="G4946" s="1" t="s">
        <v>3068</v>
      </c>
      <c r="H4946">
        <v>679</v>
      </c>
      <c r="I4946" s="1">
        <v>1699</v>
      </c>
      <c r="J4946" s="1" t="s">
        <v>55</v>
      </c>
      <c r="K4946" s="1" t="s">
        <v>20</v>
      </c>
      <c r="L4946" s="1">
        <v>3.9</v>
      </c>
      <c r="M4946" s="1">
        <v>470</v>
      </c>
      <c r="P4946" t="str">
        <f t="shared" si="311"/>
        <v>60%</v>
      </c>
      <c r="Q4946" s="12">
        <f t="shared" si="308"/>
        <v>0.6</v>
      </c>
      <c r="R4946" s="9">
        <f t="shared" si="309"/>
        <v>679.6</v>
      </c>
      <c r="S4946" s="9">
        <f>IF(R4946="",AVERAGEIF(Table1[Category],Table1[[#This Row],[Category]],Table2[orignal data]),Table2[[#This Row],[orignal data]])</f>
        <v>679.6</v>
      </c>
      <c r="T4946" t="str">
        <f t="shared" si="310"/>
        <v>UNIQUE</v>
      </c>
      <c r="U4946" t="str">
        <f>IF(ISBLANK(Table1[[#This Row],[SizeOption]]),"NOT AVAILABLE",Table1[[#This Row],[SizeOption]])</f>
        <v>28, 30, 32, 34, 36</v>
      </c>
      <c r="Y4946" t="str">
        <f>IF(Table2[[#This Row],[Column1]]&gt;50%,"HIGH DISCOUNT","LOW DISCOUNT")</f>
        <v>HIGH DISCOUNT</v>
      </c>
    </row>
    <row r="4947" spans="1:25" x14ac:dyDescent="0.25">
      <c r="A4947" s="2" t="s">
        <v>10063</v>
      </c>
      <c r="B4947" s="2">
        <v>1422479</v>
      </c>
      <c r="C4947" s="2" t="s">
        <v>47</v>
      </c>
      <c r="D4947" s="2" t="s">
        <v>197</v>
      </c>
      <c r="E4947" s="2" t="s">
        <v>198</v>
      </c>
      <c r="F4947" s="2" t="s">
        <v>17</v>
      </c>
      <c r="G4947" s="2" t="s">
        <v>10064</v>
      </c>
      <c r="H4947">
        <v>299</v>
      </c>
      <c r="I4947" s="2">
        <v>399</v>
      </c>
      <c r="J4947" s="2" t="s">
        <v>282</v>
      </c>
      <c r="K4947" s="2" t="s">
        <v>164</v>
      </c>
      <c r="L4947" s="2">
        <v>4.3</v>
      </c>
      <c r="M4947" s="2">
        <v>470</v>
      </c>
      <c r="P4947" t="str">
        <f t="shared" si="311"/>
        <v>25%</v>
      </c>
      <c r="Q4947" s="12">
        <f t="shared" si="308"/>
        <v>0.25</v>
      </c>
      <c r="R4947" s="9">
        <f t="shared" si="309"/>
        <v>299.25</v>
      </c>
      <c r="S4947" s="9">
        <f>IF(R4947="",AVERAGEIF(Table1[Category],Table1[[#This Row],[Category]],Table2[orignal data]),Table2[[#This Row],[orignal data]])</f>
        <v>299.25</v>
      </c>
      <c r="T4947" t="str">
        <f t="shared" si="310"/>
        <v>UNIQUE</v>
      </c>
      <c r="U4947" t="str">
        <f>IF(ISBLANK(Table1[[#This Row],[SizeOption]]),"NOT AVAILABLE",Table1[[#This Row],[SizeOption]])</f>
        <v>Onesize</v>
      </c>
      <c r="Y4947" t="str">
        <f>IF(Table2[[#This Row],[Column1]]&gt;50%,"HIGH DISCOUNT","LOW DISCOUNT")</f>
        <v>LOW DISCOUNT</v>
      </c>
    </row>
    <row r="4948" spans="1:25" x14ac:dyDescent="0.25">
      <c r="A4948" s="1" t="s">
        <v>10065</v>
      </c>
      <c r="B4948" s="1">
        <v>11446240</v>
      </c>
      <c r="C4948" s="1" t="s">
        <v>794</v>
      </c>
      <c r="D4948" s="1" t="s">
        <v>197</v>
      </c>
      <c r="E4948" s="1" t="s">
        <v>2168</v>
      </c>
      <c r="F4948" s="1" t="s">
        <v>17</v>
      </c>
      <c r="G4948" s="1" t="s">
        <v>10066</v>
      </c>
      <c r="I4948" s="1">
        <v>999</v>
      </c>
      <c r="J4948" s="1"/>
      <c r="K4948" s="1" t="s">
        <v>352</v>
      </c>
      <c r="L4948" s="1">
        <v>4.5</v>
      </c>
      <c r="M4948" s="1">
        <v>470</v>
      </c>
      <c r="P4948" t="str">
        <f t="shared" si="311"/>
        <v/>
      </c>
      <c r="Q4948" s="12" t="str">
        <f t="shared" si="308"/>
        <v/>
      </c>
      <c r="R4948" s="9" t="str">
        <f t="shared" si="309"/>
        <v/>
      </c>
      <c r="S4948" s="9">
        <f>IF(R4948="",AVERAGEIF(Table1[Category],Table1[[#This Row],[Category]],Table2[orignal data]),Table2[[#This Row],[orignal data]])</f>
        <v>552.70900000000006</v>
      </c>
      <c r="T4948" t="str">
        <f t="shared" si="310"/>
        <v>UNIQUE</v>
      </c>
      <c r="U4948" t="str">
        <f>IF(ISBLANK(Table1[[#This Row],[SizeOption]]),"NOT AVAILABLE",Table1[[#This Row],[SizeOption]])</f>
        <v>S, M, L</v>
      </c>
      <c r="Y4948" t="str">
        <f>IF(Table2[[#This Row],[Column1]]&gt;50%,"HIGH DISCOUNT","LOW DISCOUNT")</f>
        <v>HIGH DISCOUNT</v>
      </c>
    </row>
    <row r="4949" spans="1:25" x14ac:dyDescent="0.25">
      <c r="A4949" s="2" t="s">
        <v>10067</v>
      </c>
      <c r="B4949" s="2">
        <v>2338737</v>
      </c>
      <c r="C4949" s="2" t="s">
        <v>169</v>
      </c>
      <c r="D4949" s="2" t="s">
        <v>28</v>
      </c>
      <c r="E4949" s="2" t="s">
        <v>29</v>
      </c>
      <c r="F4949" s="2" t="s">
        <v>17</v>
      </c>
      <c r="G4949" s="2" t="s">
        <v>10068</v>
      </c>
      <c r="H4949">
        <v>1199</v>
      </c>
      <c r="I4949" s="2">
        <v>2399</v>
      </c>
      <c r="J4949" s="2" t="s">
        <v>84</v>
      </c>
      <c r="K4949" s="2" t="s">
        <v>484</v>
      </c>
      <c r="L4949" s="2">
        <v>4</v>
      </c>
      <c r="M4949" s="2">
        <v>470</v>
      </c>
      <c r="P4949" t="str">
        <f t="shared" si="311"/>
        <v>50%</v>
      </c>
      <c r="Q4949" s="12">
        <f t="shared" si="308"/>
        <v>0.5</v>
      </c>
      <c r="R4949" s="9">
        <f t="shared" si="309"/>
        <v>1199.5</v>
      </c>
      <c r="S4949" s="9">
        <f>IF(R4949="",AVERAGEIF(Table1[Category],Table1[[#This Row],[Category]],Table2[orignal data]),Table2[[#This Row],[orignal data]])</f>
        <v>1199.5</v>
      </c>
      <c r="T4949" t="str">
        <f t="shared" si="310"/>
        <v>UNIQUE</v>
      </c>
      <c r="U4949" t="str">
        <f>IF(ISBLANK(Table1[[#This Row],[SizeOption]]),"NOT AVAILABLE",Table1[[#This Row],[SizeOption]])</f>
        <v>39, 40, 42, 44, 46</v>
      </c>
      <c r="Y4949" t="str">
        <f>IF(Table2[[#This Row],[Column1]]&gt;50%,"HIGH DISCOUNT","LOW DISCOUNT")</f>
        <v>LOW DISCOUNT</v>
      </c>
    </row>
    <row r="4950" spans="1:25" x14ac:dyDescent="0.25">
      <c r="A4950" s="1" t="s">
        <v>10069</v>
      </c>
      <c r="B4950" s="1">
        <v>12786742</v>
      </c>
      <c r="C4950" s="1" t="s">
        <v>232</v>
      </c>
      <c r="D4950" s="1" t="s">
        <v>76</v>
      </c>
      <c r="E4950" s="1" t="s">
        <v>148</v>
      </c>
      <c r="F4950" s="1" t="s">
        <v>36</v>
      </c>
      <c r="G4950" s="1" t="s">
        <v>10070</v>
      </c>
      <c r="H4950">
        <v>998</v>
      </c>
      <c r="I4950" s="1">
        <v>2495</v>
      </c>
      <c r="J4950" s="1" t="s">
        <v>55</v>
      </c>
      <c r="K4950" s="1" t="s">
        <v>223</v>
      </c>
      <c r="L4950" s="1">
        <v>4.3</v>
      </c>
      <c r="M4950" s="1">
        <v>470</v>
      </c>
      <c r="P4950" t="str">
        <f t="shared" si="311"/>
        <v>60%</v>
      </c>
      <c r="Q4950" s="12">
        <f t="shared" si="308"/>
        <v>0.6</v>
      </c>
      <c r="R4950" s="9">
        <f t="shared" si="309"/>
        <v>998</v>
      </c>
      <c r="S4950" s="9">
        <f>IF(R4950="",AVERAGEIF(Table1[Category],Table1[[#This Row],[Category]],Table2[orignal data]),Table2[[#This Row],[orignal data]])</f>
        <v>998</v>
      </c>
      <c r="T4950" t="str">
        <f t="shared" si="310"/>
        <v>UNIQUE</v>
      </c>
      <c r="U4950" t="str">
        <f>IF(ISBLANK(Table1[[#This Row],[SizeOption]]),"NOT AVAILABLE",Table1[[#This Row],[SizeOption]])</f>
        <v>S, M, L, XL, XXL, 3XL, 4XL</v>
      </c>
      <c r="Y4950" t="str">
        <f>IF(Table2[[#This Row],[Column1]]&gt;50%,"HIGH DISCOUNT","LOW DISCOUNT")</f>
        <v>HIGH DISCOUNT</v>
      </c>
    </row>
    <row r="4951" spans="1:25" x14ac:dyDescent="0.25">
      <c r="A4951" s="2" t="s">
        <v>10071</v>
      </c>
      <c r="B4951" s="2">
        <v>14390990</v>
      </c>
      <c r="C4951" s="2" t="s">
        <v>397</v>
      </c>
      <c r="D4951" s="2" t="s">
        <v>76</v>
      </c>
      <c r="E4951" s="2" t="s">
        <v>77</v>
      </c>
      <c r="F4951" s="2" t="s">
        <v>36</v>
      </c>
      <c r="G4951" s="2" t="s">
        <v>10072</v>
      </c>
      <c r="H4951">
        <v>1399</v>
      </c>
      <c r="I4951" s="2">
        <v>3499</v>
      </c>
      <c r="J4951" s="2" t="s">
        <v>55</v>
      </c>
      <c r="K4951" s="2" t="s">
        <v>234</v>
      </c>
      <c r="L4951" s="2">
        <v>4</v>
      </c>
      <c r="M4951" s="2">
        <v>470</v>
      </c>
      <c r="P4951" t="str">
        <f t="shared" si="311"/>
        <v>60%</v>
      </c>
      <c r="Q4951" s="12">
        <f t="shared" si="308"/>
        <v>0.6</v>
      </c>
      <c r="R4951" s="9">
        <f t="shared" si="309"/>
        <v>1399.6</v>
      </c>
      <c r="S4951" s="9">
        <f>IF(R4951="",AVERAGEIF(Table1[Category],Table1[[#This Row],[Category]],Table2[orignal data]),Table2[[#This Row],[orignal data]])</f>
        <v>1399.6</v>
      </c>
      <c r="T4951" t="str">
        <f t="shared" si="310"/>
        <v>UNIQUE</v>
      </c>
      <c r="U4951" t="str">
        <f>IF(ISBLANK(Table1[[#This Row],[SizeOption]]),"NOT AVAILABLE",Table1[[#This Row],[SizeOption]])</f>
        <v>S, M, L, XL, XXL, 3XL</v>
      </c>
      <c r="Y4951" t="str">
        <f>IF(Table2[[#This Row],[Column1]]&gt;50%,"HIGH DISCOUNT","LOW DISCOUNT")</f>
        <v>HIGH DISCOUNT</v>
      </c>
    </row>
    <row r="4952" spans="1:25" x14ac:dyDescent="0.25">
      <c r="A4952" s="1" t="s">
        <v>10073</v>
      </c>
      <c r="B4952" s="1">
        <v>7286686</v>
      </c>
      <c r="C4952" s="1" t="s">
        <v>92</v>
      </c>
      <c r="D4952" s="1" t="s">
        <v>76</v>
      </c>
      <c r="E4952" s="1" t="s">
        <v>148</v>
      </c>
      <c r="F4952" s="1" t="s">
        <v>36</v>
      </c>
      <c r="G4952" s="1" t="s">
        <v>10074</v>
      </c>
      <c r="H4952">
        <v>1442</v>
      </c>
      <c r="I4952" s="1">
        <v>3699</v>
      </c>
      <c r="J4952" s="1" t="s">
        <v>104</v>
      </c>
      <c r="K4952" s="1" t="s">
        <v>39</v>
      </c>
      <c r="L4952" s="1">
        <v>4.0999999999999996</v>
      </c>
      <c r="M4952" s="1">
        <v>470</v>
      </c>
      <c r="P4952" t="str">
        <f t="shared" si="311"/>
        <v>61%</v>
      </c>
      <c r="Q4952" s="12">
        <f t="shared" si="308"/>
        <v>0.61</v>
      </c>
      <c r="R4952" s="9">
        <f t="shared" si="309"/>
        <v>1442.6100000000001</v>
      </c>
      <c r="S4952" s="9">
        <f>IF(R4952="",AVERAGEIF(Table1[Category],Table1[[#This Row],[Category]],Table2[orignal data]),Table2[[#This Row],[orignal data]])</f>
        <v>1442.6100000000001</v>
      </c>
      <c r="T4952" t="str">
        <f t="shared" si="310"/>
        <v>UNIQUE</v>
      </c>
      <c r="U4952" t="str">
        <f>IF(ISBLANK(Table1[[#This Row],[SizeOption]]),"NOT AVAILABLE",Table1[[#This Row],[SizeOption]])</f>
        <v>S, M, L, XL, XXL</v>
      </c>
      <c r="Y4952" t="str">
        <f>IF(Table2[[#This Row],[Column1]]&gt;50%,"HIGH DISCOUNT","LOW DISCOUNT")</f>
        <v>HIGH DISCOUNT</v>
      </c>
    </row>
    <row r="4953" spans="1:25" x14ac:dyDescent="0.25">
      <c r="A4953" s="2" t="s">
        <v>10075</v>
      </c>
      <c r="B4953" s="2">
        <v>10704788</v>
      </c>
      <c r="C4953" s="2" t="s">
        <v>558</v>
      </c>
      <c r="D4953" s="2" t="s">
        <v>41</v>
      </c>
      <c r="E4953" s="2" t="s">
        <v>53</v>
      </c>
      <c r="F4953" s="2" t="s">
        <v>36</v>
      </c>
      <c r="G4953" s="2" t="s">
        <v>10076</v>
      </c>
      <c r="I4953" s="2">
        <v>1099</v>
      </c>
      <c r="J4953" s="2" t="s">
        <v>412</v>
      </c>
      <c r="K4953" s="2" t="s">
        <v>134</v>
      </c>
      <c r="L4953" s="2">
        <v>4.2</v>
      </c>
      <c r="M4953" s="2">
        <v>470</v>
      </c>
      <c r="P4953" t="str">
        <f t="shared" si="311"/>
        <v>20%</v>
      </c>
      <c r="Q4953" s="12">
        <f t="shared" si="308"/>
        <v>0.2</v>
      </c>
      <c r="R4953" s="9">
        <f t="shared" si="309"/>
        <v>879.2</v>
      </c>
      <c r="S4953" s="9">
        <f>IF(R4953="",AVERAGEIF(Table1[Category],Table1[[#This Row],[Category]],Table2[orignal data]),Table2[[#This Row],[orignal data]])</f>
        <v>879.2</v>
      </c>
      <c r="T4953" t="str">
        <f t="shared" si="310"/>
        <v>UNIQUE</v>
      </c>
      <c r="U4953" t="str">
        <f>IF(ISBLANK(Table1[[#This Row],[SizeOption]]),"NOT AVAILABLE",Table1[[#This Row],[SizeOption]])</f>
        <v>26, 28, 30, 32, 34, 36</v>
      </c>
      <c r="Y4953" t="str">
        <f>IF(Table2[[#This Row],[Column1]]&gt;50%,"HIGH DISCOUNT","LOW DISCOUNT")</f>
        <v>LOW DISCOUNT</v>
      </c>
    </row>
    <row r="4954" spans="1:25" x14ac:dyDescent="0.25">
      <c r="A4954" s="1" t="s">
        <v>10077</v>
      </c>
      <c r="B4954" s="1">
        <v>8340315</v>
      </c>
      <c r="C4954" s="1" t="s">
        <v>271</v>
      </c>
      <c r="D4954" s="1" t="s">
        <v>41</v>
      </c>
      <c r="E4954" s="1" t="s">
        <v>48</v>
      </c>
      <c r="F4954" s="1" t="s">
        <v>36</v>
      </c>
      <c r="G4954" s="1" t="s">
        <v>10078</v>
      </c>
      <c r="I4954" s="1">
        <v>1699</v>
      </c>
      <c r="J4954" s="1" t="s">
        <v>79</v>
      </c>
      <c r="K4954" s="1" t="s">
        <v>45</v>
      </c>
      <c r="L4954" s="1">
        <v>4.2</v>
      </c>
      <c r="M4954" s="1">
        <v>470</v>
      </c>
      <c r="P4954" t="str">
        <f t="shared" si="311"/>
        <v>70%</v>
      </c>
      <c r="Q4954" s="12">
        <f t="shared" si="308"/>
        <v>0.7</v>
      </c>
      <c r="R4954" s="9">
        <f t="shared" si="309"/>
        <v>509.70000000000005</v>
      </c>
      <c r="S4954" s="9">
        <f>IF(R4954="",AVERAGEIF(Table1[Category],Table1[[#This Row],[Category]],Table2[orignal data]),Table2[[#This Row],[orignal data]])</f>
        <v>509.70000000000005</v>
      </c>
      <c r="T4954" t="str">
        <f t="shared" si="310"/>
        <v>UNIQUE</v>
      </c>
      <c r="U4954" t="str">
        <f>IF(ISBLANK(Table1[[#This Row],[SizeOption]]),"NOT AVAILABLE",Table1[[#This Row],[SizeOption]])</f>
        <v>XS, S, M, L, XL</v>
      </c>
      <c r="Y4954" t="str">
        <f>IF(Table2[[#This Row],[Column1]]&gt;50%,"HIGH DISCOUNT","LOW DISCOUNT")</f>
        <v>HIGH DISCOUNT</v>
      </c>
    </row>
    <row r="4955" spans="1:25" x14ac:dyDescent="0.25">
      <c r="A4955" s="2" t="s">
        <v>10079</v>
      </c>
      <c r="B4955" s="2">
        <v>10512764</v>
      </c>
      <c r="C4955" s="2" t="s">
        <v>58</v>
      </c>
      <c r="D4955" s="2" t="s">
        <v>41</v>
      </c>
      <c r="E4955" s="2" t="s">
        <v>148</v>
      </c>
      <c r="F4955" s="2" t="s">
        <v>36</v>
      </c>
      <c r="G4955" s="2" t="s">
        <v>10080</v>
      </c>
      <c r="I4955" s="2">
        <v>1995</v>
      </c>
      <c r="J4955" s="2" t="s">
        <v>126</v>
      </c>
      <c r="K4955" s="2" t="s">
        <v>26</v>
      </c>
      <c r="L4955" s="2">
        <v>3.8</v>
      </c>
      <c r="M4955" s="2">
        <v>470</v>
      </c>
      <c r="P4955" t="str">
        <f t="shared" si="311"/>
        <v>62%</v>
      </c>
      <c r="Q4955" s="12">
        <f t="shared" si="308"/>
        <v>0.62</v>
      </c>
      <c r="R4955" s="9">
        <f t="shared" si="309"/>
        <v>758.09999999999991</v>
      </c>
      <c r="S4955" s="9">
        <f>IF(R4955="",AVERAGEIF(Table1[Category],Table1[[#This Row],[Category]],Table2[orignal data]),Table2[[#This Row],[orignal data]])</f>
        <v>758.09999999999991</v>
      </c>
      <c r="T4955" t="str">
        <f t="shared" si="310"/>
        <v>UNIQUE</v>
      </c>
      <c r="U4955" t="str">
        <f>IF(ISBLANK(Table1[[#This Row],[SizeOption]]),"NOT AVAILABLE",Table1[[#This Row],[SizeOption]])</f>
        <v>S, M, L, XL</v>
      </c>
      <c r="Y4955" t="str">
        <f>IF(Table2[[#This Row],[Column1]]&gt;50%,"HIGH DISCOUNT","LOW DISCOUNT")</f>
        <v>HIGH DISCOUNT</v>
      </c>
    </row>
    <row r="4956" spans="1:25" x14ac:dyDescent="0.25">
      <c r="A4956" s="1" t="s">
        <v>10081</v>
      </c>
      <c r="B4956" s="1">
        <v>11435322</v>
      </c>
      <c r="C4956" s="1" t="s">
        <v>952</v>
      </c>
      <c r="D4956" s="1" t="s">
        <v>41</v>
      </c>
      <c r="E4956" s="1" t="s">
        <v>82</v>
      </c>
      <c r="F4956" s="1" t="s">
        <v>36</v>
      </c>
      <c r="G4956" s="1" t="s">
        <v>10082</v>
      </c>
      <c r="I4956" s="1">
        <v>2899</v>
      </c>
      <c r="J4956" s="1" t="s">
        <v>55</v>
      </c>
      <c r="K4956" s="1" t="s">
        <v>45</v>
      </c>
      <c r="L4956" s="1">
        <v>4.5</v>
      </c>
      <c r="M4956" s="1">
        <v>470</v>
      </c>
      <c r="P4956" t="str">
        <f t="shared" si="311"/>
        <v>60%</v>
      </c>
      <c r="Q4956" s="12">
        <f t="shared" si="308"/>
        <v>0.6</v>
      </c>
      <c r="R4956" s="9">
        <f t="shared" si="309"/>
        <v>1159.6000000000001</v>
      </c>
      <c r="S4956" s="9">
        <f>IF(R4956="",AVERAGEIF(Table1[Category],Table1[[#This Row],[Category]],Table2[orignal data]),Table2[[#This Row],[orignal data]])</f>
        <v>1159.6000000000001</v>
      </c>
      <c r="T4956" t="str">
        <f t="shared" si="310"/>
        <v>UNIQUE</v>
      </c>
      <c r="U4956" t="str">
        <f>IF(ISBLANK(Table1[[#This Row],[SizeOption]]),"NOT AVAILABLE",Table1[[#This Row],[SizeOption]])</f>
        <v>XS, S, M, L, XL</v>
      </c>
      <c r="Y4956" t="str">
        <f>IF(Table2[[#This Row],[Column1]]&gt;50%,"HIGH DISCOUNT","LOW DISCOUNT")</f>
        <v>HIGH DISCOUNT</v>
      </c>
    </row>
    <row r="4957" spans="1:25" x14ac:dyDescent="0.25">
      <c r="A4957" s="2" t="s">
        <v>10083</v>
      </c>
      <c r="B4957" s="2">
        <v>1745120</v>
      </c>
      <c r="C4957" s="2" t="s">
        <v>47</v>
      </c>
      <c r="D4957" s="2" t="s">
        <v>41</v>
      </c>
      <c r="E4957" s="2" t="s">
        <v>42</v>
      </c>
      <c r="F4957" s="2" t="s">
        <v>36</v>
      </c>
      <c r="G4957" s="2" t="s">
        <v>10084</v>
      </c>
      <c r="I4957" s="2">
        <v>799</v>
      </c>
      <c r="J4957" s="2" t="s">
        <v>680</v>
      </c>
      <c r="K4957" s="2" t="s">
        <v>45</v>
      </c>
      <c r="L4957" s="2">
        <v>4.0999999999999996</v>
      </c>
      <c r="M4957" s="2">
        <v>470</v>
      </c>
      <c r="P4957" t="str">
        <f t="shared" si="311"/>
        <v>300</v>
      </c>
      <c r="Q4957" s="12">
        <f t="shared" si="308"/>
        <v>0.37546933667083854</v>
      </c>
      <c r="R4957" s="9">
        <f t="shared" si="309"/>
        <v>499</v>
      </c>
      <c r="S4957" s="9">
        <f>IF(R4957="",AVERAGEIF(Table1[Category],Table1[[#This Row],[Category]],Table2[orignal data]),Table2[[#This Row],[orignal data]])</f>
        <v>499</v>
      </c>
      <c r="T4957" t="str">
        <f t="shared" si="310"/>
        <v>UNIQUE</v>
      </c>
      <c r="U4957" t="str">
        <f>IF(ISBLANK(Table1[[#This Row],[SizeOption]]),"NOT AVAILABLE",Table1[[#This Row],[SizeOption]])</f>
        <v>XS, S, M, L, XL</v>
      </c>
      <c r="Y4957" t="str">
        <f>IF(Table2[[#This Row],[Column1]]&gt;50%,"HIGH DISCOUNT","LOW DISCOUNT")</f>
        <v>LOW DISCOUNT</v>
      </c>
    </row>
    <row r="4958" spans="1:25" x14ac:dyDescent="0.25">
      <c r="A4958" s="1" t="s">
        <v>10085</v>
      </c>
      <c r="B4958" s="1">
        <v>10271357</v>
      </c>
      <c r="C4958" s="1" t="s">
        <v>3741</v>
      </c>
      <c r="D4958" s="1" t="s">
        <v>15</v>
      </c>
      <c r="E4958" s="1" t="s">
        <v>23</v>
      </c>
      <c r="F4958" s="1" t="s">
        <v>17</v>
      </c>
      <c r="G4958" s="1" t="s">
        <v>10086</v>
      </c>
      <c r="I4958" s="1">
        <v>2895</v>
      </c>
      <c r="J4958" s="1"/>
      <c r="K4958" s="1" t="s">
        <v>10087</v>
      </c>
      <c r="L4958" s="1">
        <v>4.2</v>
      </c>
      <c r="M4958" s="1">
        <v>469</v>
      </c>
      <c r="P4958" t="str">
        <f t="shared" si="311"/>
        <v/>
      </c>
      <c r="Q4958" s="12" t="str">
        <f t="shared" si="308"/>
        <v/>
      </c>
      <c r="R4958" s="9" t="str">
        <f t="shared" si="309"/>
        <v/>
      </c>
      <c r="S4958" s="9">
        <f>IF(R4958="",AVERAGEIF(Table1[Category],Table1[[#This Row],[Category]],Table2[orignal data]),Table2[[#This Row],[orignal data]])</f>
        <v>892.27590339892538</v>
      </c>
      <c r="T4958" t="str">
        <f t="shared" si="310"/>
        <v>UNIQUE</v>
      </c>
      <c r="U4958" t="str">
        <f>IF(ISBLANK(Table1[[#This Row],[SizeOption]]),"NOT AVAILABLE",Table1[[#This Row],[SizeOption]])</f>
        <v>XXS, S, M, L, XL, XXL</v>
      </c>
      <c r="Y4958" t="str">
        <f>IF(Table2[[#This Row],[Column1]]&gt;50%,"HIGH DISCOUNT","LOW DISCOUNT")</f>
        <v>HIGH DISCOUNT</v>
      </c>
    </row>
    <row r="4959" spans="1:25" x14ac:dyDescent="0.25">
      <c r="A4959" s="2" t="s">
        <v>10088</v>
      </c>
      <c r="B4959" s="2">
        <v>10895696</v>
      </c>
      <c r="C4959" s="2" t="s">
        <v>64</v>
      </c>
      <c r="D4959" s="2" t="s">
        <v>15</v>
      </c>
      <c r="E4959" s="2" t="s">
        <v>16</v>
      </c>
      <c r="F4959" s="2" t="s">
        <v>17</v>
      </c>
      <c r="G4959" s="2" t="s">
        <v>10089</v>
      </c>
      <c r="H4959">
        <v>1159</v>
      </c>
      <c r="I4959" s="2">
        <v>2899</v>
      </c>
      <c r="J4959" s="2" t="s">
        <v>55</v>
      </c>
      <c r="K4959" s="2" t="s">
        <v>20</v>
      </c>
      <c r="L4959" s="2">
        <v>3.9</v>
      </c>
      <c r="M4959" s="2">
        <v>469</v>
      </c>
      <c r="P4959" t="str">
        <f t="shared" si="311"/>
        <v>60%</v>
      </c>
      <c r="Q4959" s="12">
        <f t="shared" si="308"/>
        <v>0.6</v>
      </c>
      <c r="R4959" s="9">
        <f t="shared" si="309"/>
        <v>1159.6000000000001</v>
      </c>
      <c r="S4959" s="9">
        <f>IF(R4959="",AVERAGEIF(Table1[Category],Table1[[#This Row],[Category]],Table2[orignal data]),Table2[[#This Row],[orignal data]])</f>
        <v>1159.6000000000001</v>
      </c>
      <c r="T4959" t="str">
        <f t="shared" si="310"/>
        <v>UNIQUE</v>
      </c>
      <c r="U4959" t="str">
        <f>IF(ISBLANK(Table1[[#This Row],[SizeOption]]),"NOT AVAILABLE",Table1[[#This Row],[SizeOption]])</f>
        <v>28, 30, 32, 34, 36</v>
      </c>
      <c r="Y4959" t="str">
        <f>IF(Table2[[#This Row],[Column1]]&gt;50%,"HIGH DISCOUNT","LOW DISCOUNT")</f>
        <v>HIGH DISCOUNT</v>
      </c>
    </row>
    <row r="4960" spans="1:25" x14ac:dyDescent="0.25">
      <c r="A4960" s="1" t="s">
        <v>10090</v>
      </c>
      <c r="B4960" s="1">
        <v>13040578</v>
      </c>
      <c r="C4960" s="1" t="s">
        <v>67</v>
      </c>
      <c r="D4960" s="1" t="s">
        <v>15</v>
      </c>
      <c r="E4960" s="1" t="s">
        <v>23</v>
      </c>
      <c r="F4960" s="1" t="s">
        <v>17</v>
      </c>
      <c r="G4960" s="1" t="s">
        <v>10091</v>
      </c>
      <c r="H4960">
        <v>1139</v>
      </c>
      <c r="I4960" s="1">
        <v>1899</v>
      </c>
      <c r="J4960" s="1" t="s">
        <v>50</v>
      </c>
      <c r="K4960" s="1" t="s">
        <v>39</v>
      </c>
      <c r="L4960" s="1">
        <v>4</v>
      </c>
      <c r="M4960" s="1">
        <v>469</v>
      </c>
      <c r="P4960" t="str">
        <f t="shared" si="311"/>
        <v>40%</v>
      </c>
      <c r="Q4960" s="12">
        <f t="shared" si="308"/>
        <v>0.4</v>
      </c>
      <c r="R4960" s="9">
        <f t="shared" si="309"/>
        <v>1139.4000000000001</v>
      </c>
      <c r="S4960" s="9">
        <f>IF(R4960="",AVERAGEIF(Table1[Category],Table1[[#This Row],[Category]],Table2[orignal data]),Table2[[#This Row],[orignal data]])</f>
        <v>1139.4000000000001</v>
      </c>
      <c r="T4960" t="str">
        <f t="shared" si="310"/>
        <v>UNIQUE</v>
      </c>
      <c r="U4960" t="str">
        <f>IF(ISBLANK(Table1[[#This Row],[SizeOption]]),"NOT AVAILABLE",Table1[[#This Row],[SizeOption]])</f>
        <v>S, M, L, XL, XXL</v>
      </c>
      <c r="Y4960" t="str">
        <f>IF(Table2[[#This Row],[Column1]]&gt;50%,"HIGH DISCOUNT","LOW DISCOUNT")</f>
        <v>LOW DISCOUNT</v>
      </c>
    </row>
    <row r="4961" spans="1:25" x14ac:dyDescent="0.25">
      <c r="A4961" s="2" t="s">
        <v>10092</v>
      </c>
      <c r="B4961" s="2">
        <v>10671336</v>
      </c>
      <c r="C4961" s="2" t="s">
        <v>14</v>
      </c>
      <c r="D4961" s="2" t="s">
        <v>15</v>
      </c>
      <c r="E4961" s="2" t="s">
        <v>16</v>
      </c>
      <c r="F4961" s="2" t="s">
        <v>17</v>
      </c>
      <c r="G4961" s="2" t="s">
        <v>3690</v>
      </c>
      <c r="H4961">
        <v>524</v>
      </c>
      <c r="I4961" s="2">
        <v>1499</v>
      </c>
      <c r="J4961" s="2" t="s">
        <v>150</v>
      </c>
      <c r="K4961" s="2" t="s">
        <v>134</v>
      </c>
      <c r="L4961" s="2">
        <v>4</v>
      </c>
      <c r="M4961" s="2">
        <v>469</v>
      </c>
      <c r="P4961" t="str">
        <f t="shared" si="311"/>
        <v>65%</v>
      </c>
      <c r="Q4961" s="12">
        <f t="shared" si="308"/>
        <v>0.65</v>
      </c>
      <c r="R4961" s="9">
        <f t="shared" si="309"/>
        <v>524.65</v>
      </c>
      <c r="S4961" s="9">
        <f>IF(R4961="",AVERAGEIF(Table1[Category],Table1[[#This Row],[Category]],Table2[orignal data]),Table2[[#This Row],[orignal data]])</f>
        <v>524.65</v>
      </c>
      <c r="T4961" t="str">
        <f t="shared" si="310"/>
        <v>UNIQUE</v>
      </c>
      <c r="U4961" t="str">
        <f>IF(ISBLANK(Table1[[#This Row],[SizeOption]]),"NOT AVAILABLE",Table1[[#This Row],[SizeOption]])</f>
        <v>26, 28, 30, 32, 34, 36</v>
      </c>
      <c r="Y4961" t="str">
        <f>IF(Table2[[#This Row],[Column1]]&gt;50%,"HIGH DISCOUNT","LOW DISCOUNT")</f>
        <v>HIGH DISCOUNT</v>
      </c>
    </row>
    <row r="4962" spans="1:25" x14ac:dyDescent="0.25">
      <c r="A4962" s="1" t="s">
        <v>10093</v>
      </c>
      <c r="B4962" s="1">
        <v>13859578</v>
      </c>
      <c r="C4962" s="1" t="s">
        <v>14</v>
      </c>
      <c r="D4962" s="1" t="s">
        <v>15</v>
      </c>
      <c r="E4962" s="1" t="s">
        <v>53</v>
      </c>
      <c r="F4962" s="1" t="s">
        <v>17</v>
      </c>
      <c r="G4962" s="1" t="s">
        <v>10094</v>
      </c>
      <c r="H4962">
        <v>584</v>
      </c>
      <c r="I4962" s="1">
        <v>1299</v>
      </c>
      <c r="J4962" s="1" t="s">
        <v>25</v>
      </c>
      <c r="K4962" s="1" t="s">
        <v>20</v>
      </c>
      <c r="L4962" s="1">
        <v>4</v>
      </c>
      <c r="M4962" s="1">
        <v>469</v>
      </c>
      <c r="P4962" t="str">
        <f t="shared" si="311"/>
        <v>55%</v>
      </c>
      <c r="Q4962" s="12">
        <f t="shared" si="308"/>
        <v>0.55000000000000004</v>
      </c>
      <c r="R4962" s="9">
        <f t="shared" si="309"/>
        <v>584.54999999999995</v>
      </c>
      <c r="S4962" s="9">
        <f>IF(R4962="",AVERAGEIF(Table1[Category],Table1[[#This Row],[Category]],Table2[orignal data]),Table2[[#This Row],[orignal data]])</f>
        <v>584.54999999999995</v>
      </c>
      <c r="T4962" t="str">
        <f t="shared" si="310"/>
        <v>UNIQUE</v>
      </c>
      <c r="U4962" t="str">
        <f>IF(ISBLANK(Table1[[#This Row],[SizeOption]]),"NOT AVAILABLE",Table1[[#This Row],[SizeOption]])</f>
        <v>28, 30, 32, 34, 36</v>
      </c>
      <c r="Y4962" t="str">
        <f>IF(Table2[[#This Row],[Column1]]&gt;50%,"HIGH DISCOUNT","LOW DISCOUNT")</f>
        <v>HIGH DISCOUNT</v>
      </c>
    </row>
    <row r="4963" spans="1:25" x14ac:dyDescent="0.25">
      <c r="A4963" s="2" t="s">
        <v>10095</v>
      </c>
      <c r="B4963" s="2">
        <v>9445829</v>
      </c>
      <c r="C4963" s="2" t="s">
        <v>67</v>
      </c>
      <c r="D4963" s="2" t="s">
        <v>68</v>
      </c>
      <c r="E4963" s="2" t="s">
        <v>306</v>
      </c>
      <c r="F4963" s="2" t="s">
        <v>17</v>
      </c>
      <c r="G4963" s="2" t="s">
        <v>10096</v>
      </c>
      <c r="H4963">
        <v>769</v>
      </c>
      <c r="I4963" s="2">
        <v>2199</v>
      </c>
      <c r="J4963" s="2" t="s">
        <v>150</v>
      </c>
      <c r="K4963" s="2" t="s">
        <v>39</v>
      </c>
      <c r="L4963" s="2">
        <v>4.4000000000000004</v>
      </c>
      <c r="M4963" s="2">
        <v>469</v>
      </c>
      <c r="P4963" t="str">
        <f t="shared" si="311"/>
        <v>65%</v>
      </c>
      <c r="Q4963" s="12">
        <f t="shared" si="308"/>
        <v>0.65</v>
      </c>
      <c r="R4963" s="9">
        <f t="shared" si="309"/>
        <v>769.64999999999986</v>
      </c>
      <c r="S4963" s="9">
        <f>IF(R4963="",AVERAGEIF(Table1[Category],Table1[[#This Row],[Category]],Table2[orignal data]),Table2[[#This Row],[orignal data]])</f>
        <v>769.64999999999986</v>
      </c>
      <c r="T4963" t="str">
        <f t="shared" si="310"/>
        <v>UNIQUE</v>
      </c>
      <c r="U4963" t="str">
        <f>IF(ISBLANK(Table1[[#This Row],[SizeOption]]),"NOT AVAILABLE",Table1[[#This Row],[SizeOption]])</f>
        <v>S, M, L, XL, XXL</v>
      </c>
      <c r="Y4963" t="str">
        <f>IF(Table2[[#This Row],[Column1]]&gt;50%,"HIGH DISCOUNT","LOW DISCOUNT")</f>
        <v>HIGH DISCOUNT</v>
      </c>
    </row>
    <row r="4964" spans="1:25" x14ac:dyDescent="0.25">
      <c r="A4964" s="1" t="s">
        <v>10097</v>
      </c>
      <c r="B4964" s="1">
        <v>10139165</v>
      </c>
      <c r="C4964" s="1" t="s">
        <v>3741</v>
      </c>
      <c r="D4964" s="1" t="s">
        <v>68</v>
      </c>
      <c r="E4964" s="1" t="s">
        <v>3694</v>
      </c>
      <c r="F4964" s="1" t="s">
        <v>17</v>
      </c>
      <c r="G4964" s="1" t="s">
        <v>10098</v>
      </c>
      <c r="H4964">
        <v>3596</v>
      </c>
      <c r="I4964" s="1">
        <v>4495</v>
      </c>
      <c r="J4964" s="1" t="s">
        <v>412</v>
      </c>
      <c r="K4964" s="1" t="s">
        <v>39</v>
      </c>
      <c r="L4964" s="1">
        <v>3.7</v>
      </c>
      <c r="M4964" s="1">
        <v>469</v>
      </c>
      <c r="P4964" t="str">
        <f t="shared" si="311"/>
        <v>20%</v>
      </c>
      <c r="Q4964" s="12">
        <f t="shared" si="308"/>
        <v>0.2</v>
      </c>
      <c r="R4964" s="9">
        <f t="shared" si="309"/>
        <v>3596</v>
      </c>
      <c r="S4964" s="9">
        <f>IF(R4964="",AVERAGEIF(Table1[Category],Table1[[#This Row],[Category]],Table2[orignal data]),Table2[[#This Row],[orignal data]])</f>
        <v>3596</v>
      </c>
      <c r="T4964" t="str">
        <f t="shared" si="310"/>
        <v>UNIQUE</v>
      </c>
      <c r="U4964" t="str">
        <f>IF(ISBLANK(Table1[[#This Row],[SizeOption]]),"NOT AVAILABLE",Table1[[#This Row],[SizeOption]])</f>
        <v>S, M, L, XL, XXL</v>
      </c>
      <c r="Y4964" t="str">
        <f>IF(Table2[[#This Row],[Column1]]&gt;50%,"HIGH DISCOUNT","LOW DISCOUNT")</f>
        <v>LOW DISCOUNT</v>
      </c>
    </row>
    <row r="4965" spans="1:25" x14ac:dyDescent="0.25">
      <c r="A4965" s="2" t="s">
        <v>10099</v>
      </c>
      <c r="B4965" s="2">
        <v>12738214</v>
      </c>
      <c r="C4965" s="2" t="s">
        <v>64</v>
      </c>
      <c r="D4965" s="2" t="s">
        <v>28</v>
      </c>
      <c r="E4965" s="2" t="s">
        <v>29</v>
      </c>
      <c r="F4965" s="2" t="s">
        <v>17</v>
      </c>
      <c r="G4965" s="2" t="s">
        <v>10100</v>
      </c>
      <c r="H4965">
        <v>854</v>
      </c>
      <c r="I4965" s="2">
        <v>1899</v>
      </c>
      <c r="J4965" s="2" t="s">
        <v>25</v>
      </c>
      <c r="K4965" s="2" t="s">
        <v>361</v>
      </c>
      <c r="L4965" s="2">
        <v>4.3</v>
      </c>
      <c r="M4965" s="2">
        <v>469</v>
      </c>
      <c r="P4965" t="str">
        <f t="shared" si="311"/>
        <v>55%</v>
      </c>
      <c r="Q4965" s="12">
        <f t="shared" si="308"/>
        <v>0.55000000000000004</v>
      </c>
      <c r="R4965" s="9">
        <f t="shared" si="309"/>
        <v>854.55</v>
      </c>
      <c r="S4965" s="9">
        <f>IF(R4965="",AVERAGEIF(Table1[Category],Table1[[#This Row],[Category]],Table2[orignal data]),Table2[[#This Row],[orignal data]])</f>
        <v>854.55</v>
      </c>
      <c r="T4965" t="str">
        <f t="shared" si="310"/>
        <v>UNIQUE</v>
      </c>
      <c r="U4965" t="str">
        <f>IF(ISBLANK(Table1[[#This Row],[SizeOption]]),"NOT AVAILABLE",Table1[[#This Row],[SizeOption]])</f>
        <v>38, 40, 42, 44, 46</v>
      </c>
      <c r="Y4965" t="str">
        <f>IF(Table2[[#This Row],[Column1]]&gt;50%,"HIGH DISCOUNT","LOW DISCOUNT")</f>
        <v>HIGH DISCOUNT</v>
      </c>
    </row>
    <row r="4966" spans="1:25" x14ac:dyDescent="0.25">
      <c r="A4966" s="1" t="s">
        <v>10101</v>
      </c>
      <c r="B4966" s="1">
        <v>10708244</v>
      </c>
      <c r="C4966" s="1" t="s">
        <v>794</v>
      </c>
      <c r="D4966" s="1" t="s">
        <v>28</v>
      </c>
      <c r="E4966" s="1" t="s">
        <v>29</v>
      </c>
      <c r="F4966" s="1" t="s">
        <v>17</v>
      </c>
      <c r="G4966" s="1" t="s">
        <v>10102</v>
      </c>
      <c r="I4966" s="1">
        <v>1999</v>
      </c>
      <c r="J4966" s="1"/>
      <c r="K4966" s="1" t="s">
        <v>31</v>
      </c>
      <c r="L4966" s="1">
        <v>4.4000000000000004</v>
      </c>
      <c r="M4966" s="1">
        <v>469</v>
      </c>
      <c r="P4966" t="str">
        <f t="shared" si="311"/>
        <v/>
      </c>
      <c r="Q4966" s="12" t="str">
        <f t="shared" si="308"/>
        <v/>
      </c>
      <c r="R4966" s="9" t="str">
        <f t="shared" si="309"/>
        <v/>
      </c>
      <c r="S4966" s="9">
        <f>IF(R4966="",AVERAGEIF(Table1[Category],Table1[[#This Row],[Category]],Table2[orignal data]),Table2[[#This Row],[orignal data]])</f>
        <v>671.7823941958867</v>
      </c>
      <c r="T4966" t="str">
        <f t="shared" si="310"/>
        <v>UNIQUE</v>
      </c>
      <c r="U4966" t="str">
        <f>IF(ISBLANK(Table1[[#This Row],[SizeOption]]),"NOT AVAILABLE",Table1[[#This Row],[SizeOption]])</f>
        <v>38, 40, 42, 44, 46, 48</v>
      </c>
      <c r="Y4966" t="str">
        <f>IF(Table2[[#This Row],[Column1]]&gt;50%,"HIGH DISCOUNT","LOW DISCOUNT")</f>
        <v>HIGH DISCOUNT</v>
      </c>
    </row>
    <row r="4967" spans="1:25" x14ac:dyDescent="0.25">
      <c r="A4967" s="2" t="s">
        <v>10103</v>
      </c>
      <c r="B4967" s="2">
        <v>11582800</v>
      </c>
      <c r="C4967" s="2" t="s">
        <v>420</v>
      </c>
      <c r="D4967" s="2" t="s">
        <v>28</v>
      </c>
      <c r="E4967" s="2" t="s">
        <v>42</v>
      </c>
      <c r="F4967" s="2" t="s">
        <v>17</v>
      </c>
      <c r="G4967" s="2" t="s">
        <v>10104</v>
      </c>
      <c r="H4967">
        <v>479</v>
      </c>
      <c r="I4967" s="2">
        <v>999</v>
      </c>
      <c r="J4967" s="2" t="s">
        <v>208</v>
      </c>
      <c r="K4967" s="2" t="s">
        <v>26</v>
      </c>
      <c r="L4967" s="2">
        <v>4.2</v>
      </c>
      <c r="M4967" s="2">
        <v>469</v>
      </c>
      <c r="P4967" t="str">
        <f t="shared" si="311"/>
        <v>52%</v>
      </c>
      <c r="Q4967" s="12">
        <f t="shared" si="308"/>
        <v>0.52</v>
      </c>
      <c r="R4967" s="9">
        <f t="shared" si="309"/>
        <v>479.52</v>
      </c>
      <c r="S4967" s="9">
        <f>IF(R4967="",AVERAGEIF(Table1[Category],Table1[[#This Row],[Category]],Table2[orignal data]),Table2[[#This Row],[orignal data]])</f>
        <v>479.52</v>
      </c>
      <c r="T4967" t="str">
        <f t="shared" si="310"/>
        <v>UNIQUE</v>
      </c>
      <c r="U4967" t="str">
        <f>IF(ISBLANK(Table1[[#This Row],[SizeOption]]),"NOT AVAILABLE",Table1[[#This Row],[SizeOption]])</f>
        <v>S, M, L, XL</v>
      </c>
      <c r="Y4967" t="str">
        <f>IF(Table2[[#This Row],[Column1]]&gt;50%,"HIGH DISCOUNT","LOW DISCOUNT")</f>
        <v>HIGH DISCOUNT</v>
      </c>
    </row>
    <row r="4968" spans="1:25" x14ac:dyDescent="0.25">
      <c r="A4968" s="1" t="s">
        <v>10105</v>
      </c>
      <c r="B4968" s="1">
        <v>13481942</v>
      </c>
      <c r="C4968" s="1" t="s">
        <v>92</v>
      </c>
      <c r="D4968" s="1" t="s">
        <v>76</v>
      </c>
      <c r="E4968" s="1" t="s">
        <v>93</v>
      </c>
      <c r="F4968" s="1" t="s">
        <v>36</v>
      </c>
      <c r="G4968" s="1" t="s">
        <v>10106</v>
      </c>
      <c r="H4968">
        <v>524</v>
      </c>
      <c r="I4968" s="1">
        <v>1249</v>
      </c>
      <c r="J4968" s="1" t="s">
        <v>60</v>
      </c>
      <c r="K4968" s="1" t="s">
        <v>39</v>
      </c>
      <c r="L4968" s="1">
        <v>4.0999999999999996</v>
      </c>
      <c r="M4968" s="1">
        <v>469</v>
      </c>
      <c r="P4968" t="str">
        <f t="shared" si="311"/>
        <v>58%</v>
      </c>
      <c r="Q4968" s="12">
        <f t="shared" si="308"/>
        <v>0.57999999999999996</v>
      </c>
      <c r="R4968" s="9">
        <f t="shared" si="309"/>
        <v>524.58000000000004</v>
      </c>
      <c r="S4968" s="9">
        <f>IF(R4968="",AVERAGEIF(Table1[Category],Table1[[#This Row],[Category]],Table2[orignal data]),Table2[[#This Row],[orignal data]])</f>
        <v>524.58000000000004</v>
      </c>
      <c r="T4968" t="str">
        <f t="shared" si="310"/>
        <v>UNIQUE</v>
      </c>
      <c r="U4968" t="str">
        <f>IF(ISBLANK(Table1[[#This Row],[SizeOption]]),"NOT AVAILABLE",Table1[[#This Row],[SizeOption]])</f>
        <v>S, M, L, XL, XXL</v>
      </c>
      <c r="Y4968" t="str">
        <f>IF(Table2[[#This Row],[Column1]]&gt;50%,"HIGH DISCOUNT","LOW DISCOUNT")</f>
        <v>HIGH DISCOUNT</v>
      </c>
    </row>
    <row r="4969" spans="1:25" x14ac:dyDescent="0.25">
      <c r="A4969" s="2" t="s">
        <v>10107</v>
      </c>
      <c r="B4969" s="2">
        <v>10089303</v>
      </c>
      <c r="C4969" s="2" t="s">
        <v>3569</v>
      </c>
      <c r="D4969" s="2" t="s">
        <v>76</v>
      </c>
      <c r="E4969" s="2" t="s">
        <v>93</v>
      </c>
      <c r="F4969" s="2" t="s">
        <v>36</v>
      </c>
      <c r="G4969" s="2" t="s">
        <v>10108</v>
      </c>
      <c r="H4969">
        <v>1259</v>
      </c>
      <c r="I4969" s="2">
        <v>4199</v>
      </c>
      <c r="J4969" s="2" t="s">
        <v>79</v>
      </c>
      <c r="K4969" s="2" t="s">
        <v>3571</v>
      </c>
      <c r="L4969" s="2">
        <v>4.2</v>
      </c>
      <c r="M4969" s="2">
        <v>469</v>
      </c>
      <c r="P4969" t="str">
        <f t="shared" si="311"/>
        <v>70%</v>
      </c>
      <c r="Q4969" s="12">
        <f t="shared" si="308"/>
        <v>0.7</v>
      </c>
      <c r="R4969" s="9">
        <f t="shared" si="309"/>
        <v>1259.7000000000003</v>
      </c>
      <c r="S4969" s="9">
        <f>IF(R4969="",AVERAGEIF(Table1[Category],Table1[[#This Row],[Category]],Table2[orignal data]),Table2[[#This Row],[orignal data]])</f>
        <v>1259.7000000000003</v>
      </c>
      <c r="T4969" t="str">
        <f t="shared" si="310"/>
        <v>UNIQUE</v>
      </c>
      <c r="U4969" t="str">
        <f>IF(ISBLANK(Table1[[#This Row],[SizeOption]]),"NOT AVAILABLE",Table1[[#This Row],[SizeOption]])</f>
        <v>XS, S, M, L, XL, XXL, 3XL, 4XL, 5XL</v>
      </c>
      <c r="Y4969" t="str">
        <f>IF(Table2[[#This Row],[Column1]]&gt;50%,"HIGH DISCOUNT","LOW DISCOUNT")</f>
        <v>HIGH DISCOUNT</v>
      </c>
    </row>
    <row r="4970" spans="1:25" x14ac:dyDescent="0.25">
      <c r="A4970" s="1" t="s">
        <v>10109</v>
      </c>
      <c r="B4970" s="1">
        <v>12386522</v>
      </c>
      <c r="C4970" s="1" t="s">
        <v>924</v>
      </c>
      <c r="D4970" s="1" t="s">
        <v>76</v>
      </c>
      <c r="E4970" s="1" t="s">
        <v>320</v>
      </c>
      <c r="F4970" s="1" t="s">
        <v>36</v>
      </c>
      <c r="G4970" s="1" t="s">
        <v>10110</v>
      </c>
      <c r="H4970">
        <v>1793</v>
      </c>
      <c r="I4970" s="1">
        <v>4599</v>
      </c>
      <c r="J4970" s="1" t="s">
        <v>104</v>
      </c>
      <c r="K4970" s="1" t="s">
        <v>164</v>
      </c>
      <c r="L4970" s="1">
        <v>4.3</v>
      </c>
      <c r="M4970" s="1">
        <v>469</v>
      </c>
      <c r="P4970" t="str">
        <f t="shared" si="311"/>
        <v>61%</v>
      </c>
      <c r="Q4970" s="12">
        <f t="shared" si="308"/>
        <v>0.61</v>
      </c>
      <c r="R4970" s="9">
        <f t="shared" si="309"/>
        <v>1793.6100000000001</v>
      </c>
      <c r="S4970" s="9">
        <f>IF(R4970="",AVERAGEIF(Table1[Category],Table1[[#This Row],[Category]],Table2[orignal data]),Table2[[#This Row],[orignal data]])</f>
        <v>1793.6100000000001</v>
      </c>
      <c r="T4970" t="str">
        <f t="shared" si="310"/>
        <v>UNIQUE</v>
      </c>
      <c r="U4970" t="str">
        <f>IF(ISBLANK(Table1[[#This Row],[SizeOption]]),"NOT AVAILABLE",Table1[[#This Row],[SizeOption]])</f>
        <v>Onesize</v>
      </c>
      <c r="Y4970" t="str">
        <f>IF(Table2[[#This Row],[Column1]]&gt;50%,"HIGH DISCOUNT","LOW DISCOUNT")</f>
        <v>HIGH DISCOUNT</v>
      </c>
    </row>
    <row r="4971" spans="1:25" x14ac:dyDescent="0.25">
      <c r="A4971" s="2" t="s">
        <v>10111</v>
      </c>
      <c r="B4971" s="2">
        <v>11532800</v>
      </c>
      <c r="C4971" s="2" t="s">
        <v>117</v>
      </c>
      <c r="D4971" s="2" t="s">
        <v>34</v>
      </c>
      <c r="E4971" s="2" t="s">
        <v>518</v>
      </c>
      <c r="F4971" s="2" t="s">
        <v>36</v>
      </c>
      <c r="G4971" s="2" t="s">
        <v>10112</v>
      </c>
      <c r="I4971" s="2">
        <v>1049</v>
      </c>
      <c r="J4971" s="2"/>
      <c r="K4971" s="2" t="s">
        <v>26</v>
      </c>
      <c r="L4971" s="2">
        <v>4.5999999999999996</v>
      </c>
      <c r="M4971" s="2">
        <v>469</v>
      </c>
      <c r="P4971" t="str">
        <f t="shared" si="311"/>
        <v/>
      </c>
      <c r="Q4971" s="12" t="str">
        <f t="shared" si="308"/>
        <v/>
      </c>
      <c r="R4971" s="9" t="str">
        <f t="shared" si="309"/>
        <v/>
      </c>
      <c r="S4971" s="9">
        <f>IF(R4971="",AVERAGEIF(Table1[Category],Table1[[#This Row],[Category]],Table2[orignal data]),Table2[[#This Row],[orignal data]])</f>
        <v>608.88518518518481</v>
      </c>
      <c r="T4971" t="str">
        <f t="shared" si="310"/>
        <v>UNIQUE</v>
      </c>
      <c r="U4971" t="str">
        <f>IF(ISBLANK(Table1[[#This Row],[SizeOption]]),"NOT AVAILABLE",Table1[[#This Row],[SizeOption]])</f>
        <v>S, M, L, XL</v>
      </c>
      <c r="Y4971" t="str">
        <f>IF(Table2[[#This Row],[Column1]]&gt;50%,"HIGH DISCOUNT","LOW DISCOUNT")</f>
        <v>HIGH DISCOUNT</v>
      </c>
    </row>
    <row r="4972" spans="1:25" x14ac:dyDescent="0.25">
      <c r="A4972" s="1" t="s">
        <v>10113</v>
      </c>
      <c r="B4972" s="1">
        <v>12317064</v>
      </c>
      <c r="C4972" s="1" t="s">
        <v>10114</v>
      </c>
      <c r="D4972" s="1" t="s">
        <v>34</v>
      </c>
      <c r="E4972" s="1" t="s">
        <v>406</v>
      </c>
      <c r="F4972" s="1" t="s">
        <v>36</v>
      </c>
      <c r="G4972" s="1" t="s">
        <v>10115</v>
      </c>
      <c r="H4972">
        <v>935</v>
      </c>
      <c r="I4972" s="1">
        <v>2599</v>
      </c>
      <c r="J4972" s="1" t="s">
        <v>416</v>
      </c>
      <c r="K4972" s="1" t="s">
        <v>26</v>
      </c>
      <c r="L4972" s="1">
        <v>4.4000000000000004</v>
      </c>
      <c r="M4972" s="1">
        <v>469</v>
      </c>
      <c r="P4972" t="str">
        <f t="shared" si="311"/>
        <v>64%</v>
      </c>
      <c r="Q4972" s="12">
        <f t="shared" si="308"/>
        <v>0.64</v>
      </c>
      <c r="R4972" s="9">
        <f t="shared" si="309"/>
        <v>935.63999999999987</v>
      </c>
      <c r="S4972" s="9">
        <f>IF(R4972="",AVERAGEIF(Table1[Category],Table1[[#This Row],[Category]],Table2[orignal data]),Table2[[#This Row],[orignal data]])</f>
        <v>935.63999999999987</v>
      </c>
      <c r="T4972" t="str">
        <f t="shared" si="310"/>
        <v>UNIQUE</v>
      </c>
      <c r="U4972" t="str">
        <f>IF(ISBLANK(Table1[[#This Row],[SizeOption]]),"NOT AVAILABLE",Table1[[#This Row],[SizeOption]])</f>
        <v>S, M, L, XL</v>
      </c>
      <c r="Y4972" t="str">
        <f>IF(Table2[[#This Row],[Column1]]&gt;50%,"HIGH DISCOUNT","LOW DISCOUNT")</f>
        <v>HIGH DISCOUNT</v>
      </c>
    </row>
    <row r="4973" spans="1:25" x14ac:dyDescent="0.25">
      <c r="A4973" s="2" t="s">
        <v>10116</v>
      </c>
      <c r="B4973" s="2">
        <v>11755142</v>
      </c>
      <c r="C4973" s="2" t="s">
        <v>97</v>
      </c>
      <c r="D4973" s="2" t="s">
        <v>98</v>
      </c>
      <c r="E4973" s="2" t="s">
        <v>93</v>
      </c>
      <c r="F4973" s="2" t="s">
        <v>36</v>
      </c>
      <c r="G4973" s="2" t="s">
        <v>10117</v>
      </c>
      <c r="H4973">
        <v>454</v>
      </c>
      <c r="I4973" s="2">
        <v>1299</v>
      </c>
      <c r="J4973" s="2" t="s">
        <v>150</v>
      </c>
      <c r="K4973" s="2" t="s">
        <v>100</v>
      </c>
      <c r="L4973" s="2">
        <v>4.2</v>
      </c>
      <c r="M4973" s="2">
        <v>469</v>
      </c>
      <c r="P4973" t="str">
        <f t="shared" si="311"/>
        <v>65%</v>
      </c>
      <c r="Q4973" s="12">
        <f t="shared" si="308"/>
        <v>0.65</v>
      </c>
      <c r="R4973" s="9">
        <f t="shared" si="309"/>
        <v>454.65</v>
      </c>
      <c r="S4973" s="9">
        <f>IF(R4973="",AVERAGEIF(Table1[Category],Table1[[#This Row],[Category]],Table2[orignal data]),Table2[[#This Row],[orignal data]])</f>
        <v>454.65</v>
      </c>
      <c r="T4973" t="str">
        <f t="shared" si="310"/>
        <v>UNIQUE</v>
      </c>
      <c r="U4973" t="str">
        <f>IF(ISBLANK(Table1[[#This Row],[SizeOption]]),"NOT AVAILABLE",Table1[[#This Row],[SizeOption]])</f>
        <v>XS, S, M, L, XL, XXL, 3XL</v>
      </c>
      <c r="Y4973" t="str">
        <f>IF(Table2[[#This Row],[Column1]]&gt;50%,"HIGH DISCOUNT","LOW DISCOUNT")</f>
        <v>HIGH DISCOUNT</v>
      </c>
    </row>
    <row r="4974" spans="1:25" x14ac:dyDescent="0.25">
      <c r="A4974" s="1" t="s">
        <v>10118</v>
      </c>
      <c r="B4974" s="1">
        <v>13178048</v>
      </c>
      <c r="C4974" s="1" t="s">
        <v>102</v>
      </c>
      <c r="D4974" s="1" t="s">
        <v>41</v>
      </c>
      <c r="E4974" s="1" t="s">
        <v>148</v>
      </c>
      <c r="F4974" s="1" t="s">
        <v>36</v>
      </c>
      <c r="G4974" s="1" t="s">
        <v>1526</v>
      </c>
      <c r="I4974" s="1">
        <v>1149</v>
      </c>
      <c r="J4974" s="1" t="s">
        <v>130</v>
      </c>
      <c r="K4974" s="1" t="s">
        <v>26</v>
      </c>
      <c r="L4974" s="1">
        <v>4.5</v>
      </c>
      <c r="M4974" s="1">
        <v>469</v>
      </c>
      <c r="P4974" t="str">
        <f t="shared" si="311"/>
        <v>57%</v>
      </c>
      <c r="Q4974" s="12">
        <f t="shared" si="308"/>
        <v>0.56999999999999995</v>
      </c>
      <c r="R4974" s="9">
        <f t="shared" si="309"/>
        <v>494.07000000000005</v>
      </c>
      <c r="S4974" s="9">
        <f>IF(R4974="",AVERAGEIF(Table1[Category],Table1[[#This Row],[Category]],Table2[orignal data]),Table2[[#This Row],[orignal data]])</f>
        <v>494.07000000000005</v>
      </c>
      <c r="T4974" t="str">
        <f t="shared" si="310"/>
        <v>UNIQUE</v>
      </c>
      <c r="U4974" t="str">
        <f>IF(ISBLANK(Table1[[#This Row],[SizeOption]]),"NOT AVAILABLE",Table1[[#This Row],[SizeOption]])</f>
        <v>S, M, L, XL</v>
      </c>
      <c r="Y4974" t="str">
        <f>IF(Table2[[#This Row],[Column1]]&gt;50%,"HIGH DISCOUNT","LOW DISCOUNT")</f>
        <v>HIGH DISCOUNT</v>
      </c>
    </row>
    <row r="4975" spans="1:25" x14ac:dyDescent="0.25">
      <c r="A4975" s="2" t="s">
        <v>10119</v>
      </c>
      <c r="B4975" s="2">
        <v>12035328</v>
      </c>
      <c r="C4975" s="2" t="s">
        <v>81</v>
      </c>
      <c r="D4975" s="2" t="s">
        <v>41</v>
      </c>
      <c r="E4975" s="2" t="s">
        <v>137</v>
      </c>
      <c r="F4975" s="2" t="s">
        <v>36</v>
      </c>
      <c r="G4975" s="2" t="s">
        <v>10120</v>
      </c>
      <c r="I4975" s="2">
        <v>1299</v>
      </c>
      <c r="J4975" s="2" t="s">
        <v>55</v>
      </c>
      <c r="K4975" s="2" t="s">
        <v>134</v>
      </c>
      <c r="L4975" s="2">
        <v>4.3</v>
      </c>
      <c r="M4975" s="2">
        <v>469</v>
      </c>
      <c r="P4975" t="str">
        <f t="shared" si="311"/>
        <v>60%</v>
      </c>
      <c r="Q4975" s="12">
        <f t="shared" si="308"/>
        <v>0.6</v>
      </c>
      <c r="R4975" s="9">
        <f t="shared" si="309"/>
        <v>519.6</v>
      </c>
      <c r="S4975" s="9">
        <f>IF(R4975="",AVERAGEIF(Table1[Category],Table1[[#This Row],[Category]],Table2[orignal data]),Table2[[#This Row],[orignal data]])</f>
        <v>519.6</v>
      </c>
      <c r="T4975" t="str">
        <f t="shared" si="310"/>
        <v>UNIQUE</v>
      </c>
      <c r="U4975" t="str">
        <f>IF(ISBLANK(Table1[[#This Row],[SizeOption]]),"NOT AVAILABLE",Table1[[#This Row],[SizeOption]])</f>
        <v>26, 28, 30, 32, 34, 36</v>
      </c>
      <c r="Y4975" t="str">
        <f>IF(Table2[[#This Row],[Column1]]&gt;50%,"HIGH DISCOUNT","LOW DISCOUNT")</f>
        <v>HIGH DISCOUNT</v>
      </c>
    </row>
    <row r="4976" spans="1:25" x14ac:dyDescent="0.25">
      <c r="A4976" s="1" t="s">
        <v>10121</v>
      </c>
      <c r="B4976" s="1">
        <v>17383884</v>
      </c>
      <c r="C4976" s="1" t="s">
        <v>14</v>
      </c>
      <c r="D4976" s="1" t="s">
        <v>41</v>
      </c>
      <c r="E4976" s="1" t="s">
        <v>42</v>
      </c>
      <c r="F4976" s="1" t="s">
        <v>36</v>
      </c>
      <c r="G4976" s="1" t="s">
        <v>3203</v>
      </c>
      <c r="I4976" s="1">
        <v>1398</v>
      </c>
      <c r="J4976" s="1" t="s">
        <v>84</v>
      </c>
      <c r="K4976" s="1" t="s">
        <v>45</v>
      </c>
      <c r="L4976" s="1">
        <v>4.4000000000000004</v>
      </c>
      <c r="M4976" s="1">
        <v>469</v>
      </c>
      <c r="P4976" t="str">
        <f t="shared" si="311"/>
        <v>50%</v>
      </c>
      <c r="Q4976" s="12">
        <f t="shared" si="308"/>
        <v>0.5</v>
      </c>
      <c r="R4976" s="9">
        <f t="shared" si="309"/>
        <v>699</v>
      </c>
      <c r="S4976" s="9">
        <f>IF(R4976="",AVERAGEIF(Table1[Category],Table1[[#This Row],[Category]],Table2[orignal data]),Table2[[#This Row],[orignal data]])</f>
        <v>699</v>
      </c>
      <c r="T4976" t="str">
        <f t="shared" si="310"/>
        <v>UNIQUE</v>
      </c>
      <c r="U4976" t="str">
        <f>IF(ISBLANK(Table1[[#This Row],[SizeOption]]),"NOT AVAILABLE",Table1[[#This Row],[SizeOption]])</f>
        <v>XS, S, M, L, XL</v>
      </c>
      <c r="Y4976" t="str">
        <f>IF(Table2[[#This Row],[Column1]]&gt;50%,"HIGH DISCOUNT","LOW DISCOUNT")</f>
        <v>LOW DISCOUNT</v>
      </c>
    </row>
    <row r="4977" spans="1:25" x14ac:dyDescent="0.25">
      <c r="A4977" s="2" t="s">
        <v>10122</v>
      </c>
      <c r="B4977" s="2">
        <v>11991404</v>
      </c>
      <c r="C4977" s="2" t="s">
        <v>14</v>
      </c>
      <c r="D4977" s="2" t="s">
        <v>41</v>
      </c>
      <c r="E4977" s="2" t="s">
        <v>306</v>
      </c>
      <c r="F4977" s="2" t="s">
        <v>36</v>
      </c>
      <c r="G4977" s="2" t="s">
        <v>1429</v>
      </c>
      <c r="I4977" s="2">
        <v>1399</v>
      </c>
      <c r="J4977" s="2" t="s">
        <v>79</v>
      </c>
      <c r="K4977" s="2" t="s">
        <v>115</v>
      </c>
      <c r="L4977" s="2">
        <v>4.4000000000000004</v>
      </c>
      <c r="M4977" s="2">
        <v>469</v>
      </c>
      <c r="P4977" t="str">
        <f t="shared" si="311"/>
        <v>70%</v>
      </c>
      <c r="Q4977" s="12">
        <f t="shared" si="308"/>
        <v>0.7</v>
      </c>
      <c r="R4977" s="9">
        <f t="shared" si="309"/>
        <v>419.70000000000005</v>
      </c>
      <c r="S4977" s="9">
        <f>IF(R4977="",AVERAGEIF(Table1[Category],Table1[[#This Row],[Category]],Table2[orignal data]),Table2[[#This Row],[orignal data]])</f>
        <v>419.70000000000005</v>
      </c>
      <c r="T4977" t="str">
        <f t="shared" si="310"/>
        <v>UNIQUE</v>
      </c>
      <c r="U4977" t="str">
        <f>IF(ISBLANK(Table1[[#This Row],[SizeOption]]),"NOT AVAILABLE",Table1[[#This Row],[SizeOption]])</f>
        <v>XS, S, M, L, XL, XXL</v>
      </c>
      <c r="Y4977" t="str">
        <f>IF(Table2[[#This Row],[Column1]]&gt;50%,"HIGH DISCOUNT","LOW DISCOUNT")</f>
        <v>HIGH DISCOUNT</v>
      </c>
    </row>
    <row r="4978" spans="1:25" x14ac:dyDescent="0.25">
      <c r="A4978" s="1" t="s">
        <v>10123</v>
      </c>
      <c r="B4978" s="1">
        <v>17477792</v>
      </c>
      <c r="C4978" s="1" t="s">
        <v>107</v>
      </c>
      <c r="D4978" s="1" t="s">
        <v>41</v>
      </c>
      <c r="E4978" s="1" t="s">
        <v>42</v>
      </c>
      <c r="F4978" s="1" t="s">
        <v>36</v>
      </c>
      <c r="G4978" s="1" t="s">
        <v>5563</v>
      </c>
      <c r="I4978" s="1">
        <v>1598</v>
      </c>
      <c r="J4978" s="1" t="s">
        <v>55</v>
      </c>
      <c r="K4978" s="1" t="s">
        <v>45</v>
      </c>
      <c r="L4978" s="1">
        <v>4.3</v>
      </c>
      <c r="M4978" s="1">
        <v>469</v>
      </c>
      <c r="P4978" t="str">
        <f t="shared" si="311"/>
        <v>60%</v>
      </c>
      <c r="Q4978" s="12">
        <f t="shared" si="308"/>
        <v>0.6</v>
      </c>
      <c r="R4978" s="9">
        <f t="shared" si="309"/>
        <v>639.20000000000005</v>
      </c>
      <c r="S4978" s="9">
        <f>IF(R4978="",AVERAGEIF(Table1[Category],Table1[[#This Row],[Category]],Table2[orignal data]),Table2[[#This Row],[orignal data]])</f>
        <v>639.20000000000005</v>
      </c>
      <c r="T4978" t="str">
        <f t="shared" si="310"/>
        <v>UNIQUE</v>
      </c>
      <c r="U4978" t="str">
        <f>IF(ISBLANK(Table1[[#This Row],[SizeOption]]),"NOT AVAILABLE",Table1[[#This Row],[SizeOption]])</f>
        <v>XS, S, M, L, XL</v>
      </c>
      <c r="Y4978" t="str">
        <f>IF(Table2[[#This Row],[Column1]]&gt;50%,"HIGH DISCOUNT","LOW DISCOUNT")</f>
        <v>HIGH DISCOUNT</v>
      </c>
    </row>
    <row r="4979" spans="1:25" x14ac:dyDescent="0.25">
      <c r="A4979" s="2" t="s">
        <v>10124</v>
      </c>
      <c r="B4979" s="2">
        <v>9478609</v>
      </c>
      <c r="C4979" s="2" t="s">
        <v>14</v>
      </c>
      <c r="D4979" s="2" t="s">
        <v>41</v>
      </c>
      <c r="E4979" s="2" t="s">
        <v>1881</v>
      </c>
      <c r="F4979" s="2" t="s">
        <v>36</v>
      </c>
      <c r="G4979" s="2" t="s">
        <v>10125</v>
      </c>
      <c r="I4979" s="2">
        <v>1999</v>
      </c>
      <c r="J4979" s="2" t="s">
        <v>1986</v>
      </c>
      <c r="K4979" s="2" t="s">
        <v>115</v>
      </c>
      <c r="L4979" s="2">
        <v>4</v>
      </c>
      <c r="M4979" s="2">
        <v>469</v>
      </c>
      <c r="P4979" t="str">
        <f t="shared" si="311"/>
        <v>60 %</v>
      </c>
      <c r="Q4979" s="12">
        <f t="shared" si="308"/>
        <v>0.6</v>
      </c>
      <c r="R4979" s="9">
        <f t="shared" si="309"/>
        <v>799.60000000000014</v>
      </c>
      <c r="S4979" s="9">
        <f>IF(R4979="",AVERAGEIF(Table1[Category],Table1[[#This Row],[Category]],Table2[orignal data]),Table2[[#This Row],[orignal data]])</f>
        <v>799.60000000000014</v>
      </c>
      <c r="T4979" t="str">
        <f t="shared" si="310"/>
        <v>UNIQUE</v>
      </c>
      <c r="U4979" t="str">
        <f>IF(ISBLANK(Table1[[#This Row],[SizeOption]]),"NOT AVAILABLE",Table1[[#This Row],[SizeOption]])</f>
        <v>XS, S, M, L, XL, XXL</v>
      </c>
      <c r="Y4979" t="str">
        <f>IF(Table2[[#This Row],[Column1]]&gt;50%,"HIGH DISCOUNT","LOW DISCOUNT")</f>
        <v>HIGH DISCOUNT</v>
      </c>
    </row>
    <row r="4980" spans="1:25" x14ac:dyDescent="0.25">
      <c r="A4980" s="1" t="s">
        <v>10126</v>
      </c>
      <c r="B4980" s="1">
        <v>10085983</v>
      </c>
      <c r="C4980" s="1" t="s">
        <v>102</v>
      </c>
      <c r="D4980" s="1" t="s">
        <v>41</v>
      </c>
      <c r="E4980" s="1" t="s">
        <v>148</v>
      </c>
      <c r="F4980" s="1" t="s">
        <v>36</v>
      </c>
      <c r="G4980" s="1" t="s">
        <v>10127</v>
      </c>
      <c r="I4980" s="1">
        <v>2499</v>
      </c>
      <c r="J4980" s="1" t="s">
        <v>95</v>
      </c>
      <c r="K4980" s="1" t="s">
        <v>26</v>
      </c>
      <c r="L4980" s="1">
        <v>4.3</v>
      </c>
      <c r="M4980" s="1">
        <v>469</v>
      </c>
      <c r="P4980" t="str">
        <f t="shared" si="311"/>
        <v>59%</v>
      </c>
      <c r="Q4980" s="12">
        <f t="shared" si="308"/>
        <v>0.59</v>
      </c>
      <c r="R4980" s="9">
        <f t="shared" si="309"/>
        <v>1024.5900000000001</v>
      </c>
      <c r="S4980" s="9">
        <f>IF(R4980="",AVERAGEIF(Table1[Category],Table1[[#This Row],[Category]],Table2[orignal data]),Table2[[#This Row],[orignal data]])</f>
        <v>1024.5900000000001</v>
      </c>
      <c r="T4980" t="str">
        <f t="shared" si="310"/>
        <v>UNIQUE</v>
      </c>
      <c r="U4980" t="str">
        <f>IF(ISBLANK(Table1[[#This Row],[SizeOption]]),"NOT AVAILABLE",Table1[[#This Row],[SizeOption]])</f>
        <v>S, M, L, XL</v>
      </c>
      <c r="Y4980" t="str">
        <f>IF(Table2[[#This Row],[Column1]]&gt;50%,"HIGH DISCOUNT","LOW DISCOUNT")</f>
        <v>HIGH DISCOUNT</v>
      </c>
    </row>
    <row r="4981" spans="1:25" x14ac:dyDescent="0.25">
      <c r="A4981" s="2" t="s">
        <v>10128</v>
      </c>
      <c r="B4981" s="2">
        <v>12193446</v>
      </c>
      <c r="C4981" s="2" t="s">
        <v>14</v>
      </c>
      <c r="D4981" s="2" t="s">
        <v>41</v>
      </c>
      <c r="E4981" s="2" t="s">
        <v>42</v>
      </c>
      <c r="F4981" s="2" t="s">
        <v>36</v>
      </c>
      <c r="G4981" s="2" t="s">
        <v>10129</v>
      </c>
      <c r="I4981" s="2">
        <v>599</v>
      </c>
      <c r="J4981" s="2" t="s">
        <v>186</v>
      </c>
      <c r="K4981" s="2" t="s">
        <v>45</v>
      </c>
      <c r="L4981" s="2">
        <v>4.4000000000000004</v>
      </c>
      <c r="M4981" s="2">
        <v>469</v>
      </c>
      <c r="P4981" t="str">
        <f t="shared" si="311"/>
        <v>30%</v>
      </c>
      <c r="Q4981" s="12">
        <f t="shared" si="308"/>
        <v>0.3</v>
      </c>
      <c r="R4981" s="9">
        <f t="shared" si="309"/>
        <v>419.3</v>
      </c>
      <c r="S4981" s="9">
        <f>IF(R4981="",AVERAGEIF(Table1[Category],Table1[[#This Row],[Category]],Table2[orignal data]),Table2[[#This Row],[orignal data]])</f>
        <v>419.3</v>
      </c>
      <c r="T4981" t="str">
        <f t="shared" si="310"/>
        <v>UNIQUE</v>
      </c>
      <c r="U4981" t="str">
        <f>IF(ISBLANK(Table1[[#This Row],[SizeOption]]),"NOT AVAILABLE",Table1[[#This Row],[SizeOption]])</f>
        <v>XS, S, M, L, XL</v>
      </c>
      <c r="Y4981" t="str">
        <f>IF(Table2[[#This Row],[Column1]]&gt;50%,"HIGH DISCOUNT","LOW DISCOUNT")</f>
        <v>LOW DISCOUNT</v>
      </c>
    </row>
    <row r="4982" spans="1:25" x14ac:dyDescent="0.25">
      <c r="A4982" s="1" t="s">
        <v>10130</v>
      </c>
      <c r="B4982" s="1">
        <v>11037342</v>
      </c>
      <c r="C4982" s="1" t="s">
        <v>346</v>
      </c>
      <c r="D4982" s="1" t="s">
        <v>41</v>
      </c>
      <c r="E4982" s="1" t="s">
        <v>42</v>
      </c>
      <c r="F4982" s="1" t="s">
        <v>36</v>
      </c>
      <c r="G4982" s="1" t="s">
        <v>10131</v>
      </c>
      <c r="I4982" s="1">
        <v>699</v>
      </c>
      <c r="J4982" s="1" t="s">
        <v>1986</v>
      </c>
      <c r="K4982" s="1" t="s">
        <v>45</v>
      </c>
      <c r="L4982" s="1">
        <v>4.4000000000000004</v>
      </c>
      <c r="M4982" s="1">
        <v>469</v>
      </c>
      <c r="P4982" t="str">
        <f t="shared" si="311"/>
        <v>60 %</v>
      </c>
      <c r="Q4982" s="12">
        <f t="shared" si="308"/>
        <v>0.6</v>
      </c>
      <c r="R4982" s="9">
        <f t="shared" si="309"/>
        <v>279.60000000000002</v>
      </c>
      <c r="S4982" s="9">
        <f>IF(R4982="",AVERAGEIF(Table1[Category],Table1[[#This Row],[Category]],Table2[orignal data]),Table2[[#This Row],[orignal data]])</f>
        <v>279.60000000000002</v>
      </c>
      <c r="T4982" t="str">
        <f t="shared" si="310"/>
        <v>UNIQUE</v>
      </c>
      <c r="U4982" t="str">
        <f>IF(ISBLANK(Table1[[#This Row],[SizeOption]]),"NOT AVAILABLE",Table1[[#This Row],[SizeOption]])</f>
        <v>XS, S, M, L, XL</v>
      </c>
      <c r="Y4982" t="str">
        <f>IF(Table2[[#This Row],[Column1]]&gt;50%,"HIGH DISCOUNT","LOW DISCOUNT")</f>
        <v>HIGH DISCOUNT</v>
      </c>
    </row>
    <row r="4983" spans="1:25" x14ac:dyDescent="0.25">
      <c r="A4983" s="2" t="s">
        <v>10132</v>
      </c>
      <c r="B4983" s="2">
        <v>1847683</v>
      </c>
      <c r="C4983" s="2" t="s">
        <v>67</v>
      </c>
      <c r="D4983" s="2" t="s">
        <v>15</v>
      </c>
      <c r="E4983" s="2" t="s">
        <v>23</v>
      </c>
      <c r="F4983" s="2" t="s">
        <v>17</v>
      </c>
      <c r="G4983" s="2" t="s">
        <v>10133</v>
      </c>
      <c r="I4983" s="2">
        <v>1399</v>
      </c>
      <c r="J4983" s="2"/>
      <c r="K4983" s="2" t="s">
        <v>39</v>
      </c>
      <c r="L4983" s="2">
        <v>4</v>
      </c>
      <c r="M4983" s="2">
        <v>468</v>
      </c>
      <c r="P4983" t="str">
        <f t="shared" si="311"/>
        <v/>
      </c>
      <c r="Q4983" s="12" t="str">
        <f t="shared" si="308"/>
        <v/>
      </c>
      <c r="R4983" s="9" t="str">
        <f t="shared" si="309"/>
        <v/>
      </c>
      <c r="S4983" s="9">
        <f>IF(R4983="",AVERAGEIF(Table1[Category],Table1[[#This Row],[Category]],Table2[orignal data]),Table2[[#This Row],[orignal data]])</f>
        <v>892.27590339892538</v>
      </c>
      <c r="T4983" t="str">
        <f t="shared" si="310"/>
        <v>UNIQUE</v>
      </c>
      <c r="U4983" t="str">
        <f>IF(ISBLANK(Table1[[#This Row],[SizeOption]]),"NOT AVAILABLE",Table1[[#This Row],[SizeOption]])</f>
        <v>S, M, L, XL, XXL</v>
      </c>
      <c r="Y4983" t="str">
        <f>IF(Table2[[#This Row],[Column1]]&gt;50%,"HIGH DISCOUNT","LOW DISCOUNT")</f>
        <v>HIGH DISCOUNT</v>
      </c>
    </row>
    <row r="4984" spans="1:25" x14ac:dyDescent="0.25">
      <c r="A4984" s="1" t="s">
        <v>10134</v>
      </c>
      <c r="B4984" s="1">
        <v>7149892</v>
      </c>
      <c r="C4984" s="1" t="s">
        <v>1299</v>
      </c>
      <c r="D4984" s="1" t="s">
        <v>15</v>
      </c>
      <c r="E4984" s="1" t="s">
        <v>53</v>
      </c>
      <c r="F4984" s="1" t="s">
        <v>17</v>
      </c>
      <c r="G4984" s="1" t="s">
        <v>10135</v>
      </c>
      <c r="H4984">
        <v>919</v>
      </c>
      <c r="I4984" s="1">
        <v>2299</v>
      </c>
      <c r="J4984" s="1" t="s">
        <v>55</v>
      </c>
      <c r="K4984" s="1" t="s">
        <v>56</v>
      </c>
      <c r="L4984" s="1">
        <v>4</v>
      </c>
      <c r="M4984" s="1">
        <v>468</v>
      </c>
      <c r="P4984" t="str">
        <f t="shared" si="311"/>
        <v>60%</v>
      </c>
      <c r="Q4984" s="12">
        <f t="shared" si="308"/>
        <v>0.6</v>
      </c>
      <c r="R4984" s="9">
        <f t="shared" si="309"/>
        <v>919.60000000000014</v>
      </c>
      <c r="S4984" s="9">
        <f>IF(R4984="",AVERAGEIF(Table1[Category],Table1[[#This Row],[Category]],Table2[orignal data]),Table2[[#This Row],[orignal data]])</f>
        <v>919.60000000000014</v>
      </c>
      <c r="T4984" t="str">
        <f t="shared" si="310"/>
        <v>UNIQUE</v>
      </c>
      <c r="U4984" t="str">
        <f>IF(ISBLANK(Table1[[#This Row],[SizeOption]]),"NOT AVAILABLE",Table1[[#This Row],[SizeOption]])</f>
        <v>30, 32, 34, 36</v>
      </c>
      <c r="Y4984" t="str">
        <f>IF(Table2[[#This Row],[Column1]]&gt;50%,"HIGH DISCOUNT","LOW DISCOUNT")</f>
        <v>HIGH DISCOUNT</v>
      </c>
    </row>
    <row r="4985" spans="1:25" x14ac:dyDescent="0.25">
      <c r="A4985" s="2" t="s">
        <v>10136</v>
      </c>
      <c r="B4985" s="2">
        <v>11361914</v>
      </c>
      <c r="C4985" s="2" t="s">
        <v>169</v>
      </c>
      <c r="D4985" s="2" t="s">
        <v>15</v>
      </c>
      <c r="E4985" s="2" t="s">
        <v>23</v>
      </c>
      <c r="F4985" s="2" t="s">
        <v>17</v>
      </c>
      <c r="G4985" s="2" t="s">
        <v>10137</v>
      </c>
      <c r="H4985">
        <v>1049</v>
      </c>
      <c r="I4985" s="2">
        <v>2099</v>
      </c>
      <c r="J4985" s="2" t="s">
        <v>84</v>
      </c>
      <c r="K4985" s="2" t="s">
        <v>39</v>
      </c>
      <c r="L4985" s="2">
        <v>4.2</v>
      </c>
      <c r="M4985" s="2">
        <v>468</v>
      </c>
      <c r="P4985" t="str">
        <f t="shared" si="311"/>
        <v>50%</v>
      </c>
      <c r="Q4985" s="12">
        <f t="shared" si="308"/>
        <v>0.5</v>
      </c>
      <c r="R4985" s="9">
        <f t="shared" si="309"/>
        <v>1049.5</v>
      </c>
      <c r="S4985" s="9">
        <f>IF(R4985="",AVERAGEIF(Table1[Category],Table1[[#This Row],[Category]],Table2[orignal data]),Table2[[#This Row],[orignal data]])</f>
        <v>1049.5</v>
      </c>
      <c r="T4985" t="str">
        <f t="shared" si="310"/>
        <v>UNIQUE</v>
      </c>
      <c r="U4985" t="str">
        <f>IF(ISBLANK(Table1[[#This Row],[SizeOption]]),"NOT AVAILABLE",Table1[[#This Row],[SizeOption]])</f>
        <v>S, M, L, XL, XXL</v>
      </c>
      <c r="Y4985" t="str">
        <f>IF(Table2[[#This Row],[Column1]]&gt;50%,"HIGH DISCOUNT","LOW DISCOUNT")</f>
        <v>LOW DISCOUNT</v>
      </c>
    </row>
    <row r="4986" spans="1:25" x14ac:dyDescent="0.25">
      <c r="A4986" s="1" t="s">
        <v>10138</v>
      </c>
      <c r="B4986" s="1">
        <v>11638818</v>
      </c>
      <c r="C4986" s="1" t="s">
        <v>349</v>
      </c>
      <c r="D4986" s="1" t="s">
        <v>197</v>
      </c>
      <c r="E4986" s="1" t="s">
        <v>4987</v>
      </c>
      <c r="F4986" s="1" t="s">
        <v>17</v>
      </c>
      <c r="G4986" s="1" t="s">
        <v>10139</v>
      </c>
      <c r="I4986" s="1">
        <v>1098</v>
      </c>
      <c r="J4986" s="1"/>
      <c r="K4986" s="1" t="s">
        <v>352</v>
      </c>
      <c r="L4986" s="1">
        <v>4.5</v>
      </c>
      <c r="M4986" s="1">
        <v>468</v>
      </c>
      <c r="P4986" t="str">
        <f t="shared" si="311"/>
        <v/>
      </c>
      <c r="Q4986" s="12" t="str">
        <f t="shared" si="308"/>
        <v/>
      </c>
      <c r="R4986" s="9" t="str">
        <f t="shared" si="309"/>
        <v/>
      </c>
      <c r="S4986" s="9">
        <f>IF(R4986="",AVERAGEIF(Table1[Category],Table1[[#This Row],[Category]],Table2[orignal data]),Table2[[#This Row],[orignal data]])</f>
        <v>552.70900000000006</v>
      </c>
      <c r="T4986" t="str">
        <f t="shared" si="310"/>
        <v>UNIQUE</v>
      </c>
      <c r="U4986" t="str">
        <f>IF(ISBLANK(Table1[[#This Row],[SizeOption]]),"NOT AVAILABLE",Table1[[#This Row],[SizeOption]])</f>
        <v>S, M, L</v>
      </c>
      <c r="Y4986" t="str">
        <f>IF(Table2[[#This Row],[Column1]]&gt;50%,"HIGH DISCOUNT","LOW DISCOUNT")</f>
        <v>HIGH DISCOUNT</v>
      </c>
    </row>
    <row r="4987" spans="1:25" x14ac:dyDescent="0.25">
      <c r="A4987" s="2" t="s">
        <v>10140</v>
      </c>
      <c r="B4987" s="2">
        <v>11551930</v>
      </c>
      <c r="C4987" s="2" t="s">
        <v>4001</v>
      </c>
      <c r="D4987" s="2" t="s">
        <v>68</v>
      </c>
      <c r="E4987" s="2" t="s">
        <v>42</v>
      </c>
      <c r="F4987" s="2" t="s">
        <v>17</v>
      </c>
      <c r="G4987" s="2" t="s">
        <v>10141</v>
      </c>
      <c r="H4987">
        <v>714</v>
      </c>
      <c r="I4987" s="2">
        <v>1099</v>
      </c>
      <c r="J4987" s="2" t="s">
        <v>44</v>
      </c>
      <c r="K4987" s="2" t="s">
        <v>39</v>
      </c>
      <c r="L4987" s="2">
        <v>4.2</v>
      </c>
      <c r="M4987" s="2">
        <v>468</v>
      </c>
      <c r="P4987" t="str">
        <f t="shared" si="311"/>
        <v>35%</v>
      </c>
      <c r="Q4987" s="12">
        <f t="shared" si="308"/>
        <v>0.35</v>
      </c>
      <c r="R4987" s="9">
        <f t="shared" si="309"/>
        <v>714.35</v>
      </c>
      <c r="S4987" s="9">
        <f>IF(R4987="",AVERAGEIF(Table1[Category],Table1[[#This Row],[Category]],Table2[orignal data]),Table2[[#This Row],[orignal data]])</f>
        <v>714.35</v>
      </c>
      <c r="T4987" t="str">
        <f t="shared" si="310"/>
        <v>UNIQUE</v>
      </c>
      <c r="U4987" t="str">
        <f>IF(ISBLANK(Table1[[#This Row],[SizeOption]]),"NOT AVAILABLE",Table1[[#This Row],[SizeOption]])</f>
        <v>S, M, L, XL, XXL</v>
      </c>
      <c r="Y4987" t="str">
        <f>IF(Table2[[#This Row],[Column1]]&gt;50%,"HIGH DISCOUNT","LOW DISCOUNT")</f>
        <v>LOW DISCOUNT</v>
      </c>
    </row>
    <row r="4988" spans="1:25" x14ac:dyDescent="0.25">
      <c r="A4988" s="1" t="s">
        <v>10142</v>
      </c>
      <c r="B4988" s="1">
        <v>11444480</v>
      </c>
      <c r="C4988" s="1" t="s">
        <v>349</v>
      </c>
      <c r="D4988" s="1" t="s">
        <v>68</v>
      </c>
      <c r="E4988" s="1" t="s">
        <v>42</v>
      </c>
      <c r="F4988" s="1" t="s">
        <v>17</v>
      </c>
      <c r="G4988" s="1" t="s">
        <v>10143</v>
      </c>
      <c r="H4988">
        <v>466</v>
      </c>
      <c r="I4988" s="1">
        <v>549</v>
      </c>
      <c r="J4988" s="1" t="s">
        <v>786</v>
      </c>
      <c r="K4988" s="1" t="s">
        <v>352</v>
      </c>
      <c r="L4988" s="1">
        <v>4.5</v>
      </c>
      <c r="M4988" s="1">
        <v>468</v>
      </c>
      <c r="P4988" t="str">
        <f t="shared" si="311"/>
        <v>15%</v>
      </c>
      <c r="Q4988" s="12">
        <f t="shared" si="308"/>
        <v>0.15</v>
      </c>
      <c r="R4988" s="9">
        <f t="shared" si="309"/>
        <v>466.65</v>
      </c>
      <c r="S4988" s="9">
        <f>IF(R4988="",AVERAGEIF(Table1[Category],Table1[[#This Row],[Category]],Table2[orignal data]),Table2[[#This Row],[orignal data]])</f>
        <v>466.65</v>
      </c>
      <c r="T4988" t="str">
        <f t="shared" si="310"/>
        <v>UNIQUE</v>
      </c>
      <c r="U4988" t="str">
        <f>IF(ISBLANK(Table1[[#This Row],[SizeOption]]),"NOT AVAILABLE",Table1[[#This Row],[SizeOption]])</f>
        <v>S, M, L</v>
      </c>
      <c r="Y4988" t="str">
        <f>IF(Table2[[#This Row],[Column1]]&gt;50%,"HIGH DISCOUNT","LOW DISCOUNT")</f>
        <v>LOW DISCOUNT</v>
      </c>
    </row>
    <row r="4989" spans="1:25" x14ac:dyDescent="0.25">
      <c r="A4989" s="2" t="s">
        <v>10144</v>
      </c>
      <c r="B4989" s="2">
        <v>11359590</v>
      </c>
      <c r="C4989" s="2" t="s">
        <v>794</v>
      </c>
      <c r="D4989" s="2" t="s">
        <v>28</v>
      </c>
      <c r="E4989" s="2" t="s">
        <v>42</v>
      </c>
      <c r="F4989" s="2" t="s">
        <v>17</v>
      </c>
      <c r="G4989" s="2" t="s">
        <v>10145</v>
      </c>
      <c r="H4989">
        <v>1234</v>
      </c>
      <c r="I4989" s="2">
        <v>1899</v>
      </c>
      <c r="J4989" s="2" t="s">
        <v>44</v>
      </c>
      <c r="K4989" s="2" t="s">
        <v>234</v>
      </c>
      <c r="L4989" s="2">
        <v>4.3</v>
      </c>
      <c r="M4989" s="2">
        <v>468</v>
      </c>
      <c r="P4989" t="str">
        <f t="shared" si="311"/>
        <v>35%</v>
      </c>
      <c r="Q4989" s="12">
        <f t="shared" si="308"/>
        <v>0.35</v>
      </c>
      <c r="R4989" s="9">
        <f t="shared" si="309"/>
        <v>1234.3499999999999</v>
      </c>
      <c r="S4989" s="9">
        <f>IF(R4989="",AVERAGEIF(Table1[Category],Table1[[#This Row],[Category]],Table2[orignal data]),Table2[[#This Row],[orignal data]])</f>
        <v>1234.3499999999999</v>
      </c>
      <c r="T4989" t="str">
        <f t="shared" si="310"/>
        <v>UNIQUE</v>
      </c>
      <c r="U4989" t="str">
        <f>IF(ISBLANK(Table1[[#This Row],[SizeOption]]),"NOT AVAILABLE",Table1[[#This Row],[SizeOption]])</f>
        <v>S, M, L, XL, XXL, 3XL</v>
      </c>
      <c r="Y4989" t="str">
        <f>IF(Table2[[#This Row],[Column1]]&gt;50%,"HIGH DISCOUNT","LOW DISCOUNT")</f>
        <v>LOW DISCOUNT</v>
      </c>
    </row>
    <row r="4990" spans="1:25" x14ac:dyDescent="0.25">
      <c r="A4990" s="1" t="s">
        <v>10146</v>
      </c>
      <c r="B4990" s="1">
        <v>10324013</v>
      </c>
      <c r="C4990" s="1" t="s">
        <v>64</v>
      </c>
      <c r="D4990" s="1" t="s">
        <v>76</v>
      </c>
      <c r="E4990" s="1" t="s">
        <v>93</v>
      </c>
      <c r="F4990" s="1" t="s">
        <v>36</v>
      </c>
      <c r="G4990" s="1" t="s">
        <v>10147</v>
      </c>
      <c r="H4990">
        <v>719</v>
      </c>
      <c r="I4990" s="1">
        <v>2399</v>
      </c>
      <c r="J4990" s="1" t="s">
        <v>79</v>
      </c>
      <c r="K4990" s="1" t="s">
        <v>100</v>
      </c>
      <c r="L4990" s="1">
        <v>4.4000000000000004</v>
      </c>
      <c r="M4990" s="1">
        <v>468</v>
      </c>
      <c r="P4990" t="str">
        <f t="shared" si="311"/>
        <v>70%</v>
      </c>
      <c r="Q4990" s="12">
        <f t="shared" si="308"/>
        <v>0.7</v>
      </c>
      <c r="R4990" s="9">
        <f t="shared" si="309"/>
        <v>719.7</v>
      </c>
      <c r="S4990" s="9">
        <f>IF(R4990="",AVERAGEIF(Table1[Category],Table1[[#This Row],[Category]],Table2[orignal data]),Table2[[#This Row],[orignal data]])</f>
        <v>719.7</v>
      </c>
      <c r="T4990" t="str">
        <f t="shared" si="310"/>
        <v>UNIQUE</v>
      </c>
      <c r="U4990" t="str">
        <f>IF(ISBLANK(Table1[[#This Row],[SizeOption]]),"NOT AVAILABLE",Table1[[#This Row],[SizeOption]])</f>
        <v>XS, S, M, L, XL, XXL, 3XL</v>
      </c>
      <c r="Y4990" t="str">
        <f>IF(Table2[[#This Row],[Column1]]&gt;50%,"HIGH DISCOUNT","LOW DISCOUNT")</f>
        <v>HIGH DISCOUNT</v>
      </c>
    </row>
    <row r="4991" spans="1:25" x14ac:dyDescent="0.25">
      <c r="A4991" s="2" t="s">
        <v>10148</v>
      </c>
      <c r="B4991" s="2">
        <v>14917690</v>
      </c>
      <c r="C4991" s="2" t="s">
        <v>107</v>
      </c>
      <c r="D4991" s="2" t="s">
        <v>34</v>
      </c>
      <c r="E4991" s="2" t="s">
        <v>296</v>
      </c>
      <c r="F4991" s="2" t="s">
        <v>36</v>
      </c>
      <c r="G4991" s="2" t="s">
        <v>10149</v>
      </c>
      <c r="H4991">
        <v>399</v>
      </c>
      <c r="I4991" s="2">
        <v>999</v>
      </c>
      <c r="J4991" s="2" t="s">
        <v>55</v>
      </c>
      <c r="K4991" s="2" t="s">
        <v>26</v>
      </c>
      <c r="L4991" s="2">
        <v>4.3</v>
      </c>
      <c r="M4991" s="2">
        <v>468</v>
      </c>
      <c r="P4991" t="str">
        <f t="shared" si="311"/>
        <v>60%</v>
      </c>
      <c r="Q4991" s="12">
        <f t="shared" si="308"/>
        <v>0.6</v>
      </c>
      <c r="R4991" s="9">
        <f t="shared" si="309"/>
        <v>399.6</v>
      </c>
      <c r="S4991" s="9">
        <f>IF(R4991="",AVERAGEIF(Table1[Category],Table1[[#This Row],[Category]],Table2[orignal data]),Table2[[#This Row],[orignal data]])</f>
        <v>399.6</v>
      </c>
      <c r="T4991" t="str">
        <f t="shared" si="310"/>
        <v>UNIQUE</v>
      </c>
      <c r="U4991" t="str">
        <f>IF(ISBLANK(Table1[[#This Row],[SizeOption]]),"NOT AVAILABLE",Table1[[#This Row],[SizeOption]])</f>
        <v>S, M, L, XL</v>
      </c>
      <c r="Y4991" t="str">
        <f>IF(Table2[[#This Row],[Column1]]&gt;50%,"HIGH DISCOUNT","LOW DISCOUNT")</f>
        <v>HIGH DISCOUNT</v>
      </c>
    </row>
    <row r="4992" spans="1:25" x14ac:dyDescent="0.25">
      <c r="A4992" s="1" t="s">
        <v>10150</v>
      </c>
      <c r="B4992" s="1">
        <v>17477796</v>
      </c>
      <c r="C4992" s="1" t="s">
        <v>107</v>
      </c>
      <c r="D4992" s="1" t="s">
        <v>41</v>
      </c>
      <c r="E4992" s="1" t="s">
        <v>42</v>
      </c>
      <c r="F4992" s="1" t="s">
        <v>36</v>
      </c>
      <c r="G4992" s="1" t="s">
        <v>5563</v>
      </c>
      <c r="I4992" s="1">
        <v>1598</v>
      </c>
      <c r="J4992" s="1" t="s">
        <v>55</v>
      </c>
      <c r="K4992" s="1" t="s">
        <v>45</v>
      </c>
      <c r="L4992" s="1">
        <v>4.3</v>
      </c>
      <c r="M4992" s="1">
        <v>468</v>
      </c>
      <c r="P4992" t="str">
        <f t="shared" si="311"/>
        <v>60%</v>
      </c>
      <c r="Q4992" s="12">
        <f t="shared" si="308"/>
        <v>0.6</v>
      </c>
      <c r="R4992" s="9">
        <f t="shared" si="309"/>
        <v>639.20000000000005</v>
      </c>
      <c r="S4992" s="9">
        <f>IF(R4992="",AVERAGEIF(Table1[Category],Table1[[#This Row],[Category]],Table2[orignal data]),Table2[[#This Row],[orignal data]])</f>
        <v>639.20000000000005</v>
      </c>
      <c r="T4992" t="str">
        <f t="shared" si="310"/>
        <v>UNIQUE</v>
      </c>
      <c r="U4992" t="str">
        <f>IF(ISBLANK(Table1[[#This Row],[SizeOption]]),"NOT AVAILABLE",Table1[[#This Row],[SizeOption]])</f>
        <v>XS, S, M, L, XL</v>
      </c>
      <c r="Y4992" t="str">
        <f>IF(Table2[[#This Row],[Column1]]&gt;50%,"HIGH DISCOUNT","LOW DISCOUNT")</f>
        <v>HIGH DISCOUNT</v>
      </c>
    </row>
    <row r="4993" spans="1:25" x14ac:dyDescent="0.25">
      <c r="A4993" s="2" t="s">
        <v>10151</v>
      </c>
      <c r="B4993" s="2">
        <v>10322893</v>
      </c>
      <c r="C4993" s="2" t="s">
        <v>47</v>
      </c>
      <c r="D4993" s="2" t="s">
        <v>41</v>
      </c>
      <c r="E4993" s="2" t="s">
        <v>148</v>
      </c>
      <c r="F4993" s="2" t="s">
        <v>36</v>
      </c>
      <c r="G4993" s="2" t="s">
        <v>10152</v>
      </c>
      <c r="I4993" s="2">
        <v>2499</v>
      </c>
      <c r="J4993" s="2" t="s">
        <v>84</v>
      </c>
      <c r="K4993" s="2" t="s">
        <v>45</v>
      </c>
      <c r="L4993" s="2">
        <v>4</v>
      </c>
      <c r="M4993" s="2">
        <v>468</v>
      </c>
      <c r="P4993" t="str">
        <f t="shared" si="311"/>
        <v>50%</v>
      </c>
      <c r="Q4993" s="12">
        <f t="shared" si="308"/>
        <v>0.5</v>
      </c>
      <c r="R4993" s="9">
        <f t="shared" si="309"/>
        <v>1249.5</v>
      </c>
      <c r="S4993" s="9">
        <f>IF(R4993="",AVERAGEIF(Table1[Category],Table1[[#This Row],[Category]],Table2[orignal data]),Table2[[#This Row],[orignal data]])</f>
        <v>1249.5</v>
      </c>
      <c r="T4993" t="str">
        <f t="shared" si="310"/>
        <v>UNIQUE</v>
      </c>
      <c r="U4993" t="str">
        <f>IF(ISBLANK(Table1[[#This Row],[SizeOption]]),"NOT AVAILABLE",Table1[[#This Row],[SizeOption]])</f>
        <v>XS, S, M, L, XL</v>
      </c>
      <c r="Y4993" t="str">
        <f>IF(Table2[[#This Row],[Column1]]&gt;50%,"HIGH DISCOUNT","LOW DISCOUNT")</f>
        <v>LOW DISCOUNT</v>
      </c>
    </row>
    <row r="4994" spans="1:25" x14ac:dyDescent="0.25">
      <c r="A4994" s="1" t="s">
        <v>10153</v>
      </c>
      <c r="B4994" s="1">
        <v>5388172</v>
      </c>
      <c r="C4994" s="1" t="s">
        <v>14</v>
      </c>
      <c r="D4994" s="1" t="s">
        <v>41</v>
      </c>
      <c r="E4994" s="1" t="s">
        <v>189</v>
      </c>
      <c r="F4994" s="1" t="s">
        <v>36</v>
      </c>
      <c r="G4994" s="1" t="s">
        <v>10154</v>
      </c>
      <c r="I4994" s="1">
        <v>3599</v>
      </c>
      <c r="J4994" s="1" t="s">
        <v>150</v>
      </c>
      <c r="K4994" s="1" t="s">
        <v>115</v>
      </c>
      <c r="L4994" s="1">
        <v>4.4000000000000004</v>
      </c>
      <c r="M4994" s="1">
        <v>468</v>
      </c>
      <c r="P4994" t="str">
        <f t="shared" si="311"/>
        <v>65%</v>
      </c>
      <c r="Q4994" s="12">
        <f t="shared" ref="Q4994:Q5000" si="312">IF(P4994="","",IF(ISNUMBER(SEARCH("%",P4994)),P4994,P4994/I4994)*100%)</f>
        <v>0.65</v>
      </c>
      <c r="R4994" s="9">
        <f t="shared" ref="R4994:R5000" si="313">IF(P4994="","",I4994-(I4994*Q4994))</f>
        <v>1259.6500000000001</v>
      </c>
      <c r="S4994" s="9">
        <f>IF(R4994="",AVERAGEIF(Table1[Category],Table1[[#This Row],[Category]],Table2[orignal data]),Table2[[#This Row],[orignal data]])</f>
        <v>1259.6500000000001</v>
      </c>
      <c r="T4994" t="str">
        <f t="shared" ref="T4994:T5000" si="314">IF(COUNTIF($B$2:$B$5000,B4994)&gt;1,"DUPLICATE","UNIQUE")</f>
        <v>UNIQUE</v>
      </c>
      <c r="U4994" t="str">
        <f>IF(ISBLANK(Table1[[#This Row],[SizeOption]]),"NOT AVAILABLE",Table1[[#This Row],[SizeOption]])</f>
        <v>XS, S, M, L, XL, XXL</v>
      </c>
      <c r="Y4994" t="str">
        <f>IF(Table2[[#This Row],[Column1]]&gt;50%,"HIGH DISCOUNT","LOW DISCOUNT")</f>
        <v>HIGH DISCOUNT</v>
      </c>
    </row>
    <row r="4995" spans="1:25" x14ac:dyDescent="0.25">
      <c r="A4995" s="2" t="s">
        <v>10155</v>
      </c>
      <c r="B4995" s="2">
        <v>11697386</v>
      </c>
      <c r="C4995" s="2" t="s">
        <v>14</v>
      </c>
      <c r="D4995" s="2" t="s">
        <v>41</v>
      </c>
      <c r="E4995" s="2" t="s">
        <v>42</v>
      </c>
      <c r="F4995" s="2" t="s">
        <v>36</v>
      </c>
      <c r="G4995" s="2" t="s">
        <v>10156</v>
      </c>
      <c r="I4995" s="2">
        <v>599</v>
      </c>
      <c r="J4995" s="2" t="s">
        <v>55</v>
      </c>
      <c r="K4995" s="2" t="s">
        <v>45</v>
      </c>
      <c r="L4995" s="2">
        <v>4.3</v>
      </c>
      <c r="M4995" s="2">
        <v>468</v>
      </c>
      <c r="P4995" t="str">
        <f t="shared" ref="P4995:P5000" si="315">TRIM(SUBSTITUTE(SUBSTITUTE(SUBSTITUTE(SUBSTITUTE(J4995,"OFF",""),"Rs.",""),"Hurry*",""),",",""))</f>
        <v>60%</v>
      </c>
      <c r="Q4995" s="12">
        <f t="shared" si="312"/>
        <v>0.6</v>
      </c>
      <c r="R4995" s="9">
        <f t="shared" si="313"/>
        <v>239.60000000000002</v>
      </c>
      <c r="S4995" s="9">
        <f>IF(R4995="",AVERAGEIF(Table1[Category],Table1[[#This Row],[Category]],Table2[orignal data]),Table2[[#This Row],[orignal data]])</f>
        <v>239.60000000000002</v>
      </c>
      <c r="T4995" t="str">
        <f t="shared" si="314"/>
        <v>UNIQUE</v>
      </c>
      <c r="U4995" t="str">
        <f>IF(ISBLANK(Table1[[#This Row],[SizeOption]]),"NOT AVAILABLE",Table1[[#This Row],[SizeOption]])</f>
        <v>XS, S, M, L, XL</v>
      </c>
      <c r="Y4995" t="str">
        <f>IF(Table2[[#This Row],[Column1]]&gt;50%,"HIGH DISCOUNT","LOW DISCOUNT")</f>
        <v>HIGH DISCOUNT</v>
      </c>
    </row>
    <row r="4996" spans="1:25" x14ac:dyDescent="0.25">
      <c r="A4996" s="1" t="s">
        <v>10157</v>
      </c>
      <c r="B4996" s="1">
        <v>8593791</v>
      </c>
      <c r="C4996" s="1" t="s">
        <v>14</v>
      </c>
      <c r="D4996" s="1" t="s">
        <v>41</v>
      </c>
      <c r="E4996" s="1" t="s">
        <v>48</v>
      </c>
      <c r="F4996" s="1" t="s">
        <v>36</v>
      </c>
      <c r="G4996" s="1" t="s">
        <v>10158</v>
      </c>
      <c r="I4996" s="1">
        <v>599</v>
      </c>
      <c r="J4996" s="1" t="s">
        <v>25</v>
      </c>
      <c r="K4996" s="1" t="s">
        <v>45</v>
      </c>
      <c r="L4996" s="1">
        <v>4</v>
      </c>
      <c r="M4996" s="1">
        <v>468</v>
      </c>
      <c r="P4996" t="str">
        <f t="shared" si="315"/>
        <v>55%</v>
      </c>
      <c r="Q4996" s="12">
        <f t="shared" si="312"/>
        <v>0.55000000000000004</v>
      </c>
      <c r="R4996" s="9">
        <f t="shared" si="313"/>
        <v>269.54999999999995</v>
      </c>
      <c r="S4996" s="9">
        <f>IF(R4996="",AVERAGEIF(Table1[Category],Table1[[#This Row],[Category]],Table2[orignal data]),Table2[[#This Row],[orignal data]])</f>
        <v>269.54999999999995</v>
      </c>
      <c r="T4996" t="str">
        <f t="shared" si="314"/>
        <v>UNIQUE</v>
      </c>
      <c r="U4996" t="str">
        <f>IF(ISBLANK(Table1[[#This Row],[SizeOption]]),"NOT AVAILABLE",Table1[[#This Row],[SizeOption]])</f>
        <v>XS, S, M, L, XL</v>
      </c>
      <c r="Y4996" t="str">
        <f>IF(Table2[[#This Row],[Column1]]&gt;50%,"HIGH DISCOUNT","LOW DISCOUNT")</f>
        <v>HIGH DISCOUNT</v>
      </c>
    </row>
    <row r="4997" spans="1:25" x14ac:dyDescent="0.25">
      <c r="A4997" s="2" t="s">
        <v>10159</v>
      </c>
      <c r="B4997" s="2">
        <v>7256687</v>
      </c>
      <c r="C4997" s="2" t="s">
        <v>58</v>
      </c>
      <c r="D4997" s="2" t="s">
        <v>41</v>
      </c>
      <c r="E4997" s="2" t="s">
        <v>48</v>
      </c>
      <c r="F4997" s="2" t="s">
        <v>36</v>
      </c>
      <c r="G4997" s="2" t="s">
        <v>10160</v>
      </c>
      <c r="I4997" s="2">
        <v>995</v>
      </c>
      <c r="J4997" s="2" t="s">
        <v>60</v>
      </c>
      <c r="K4997" s="2" t="s">
        <v>26</v>
      </c>
      <c r="L4997" s="2">
        <v>3.4</v>
      </c>
      <c r="M4997" s="2">
        <v>468</v>
      </c>
      <c r="P4997" t="str">
        <f t="shared" si="315"/>
        <v>58%</v>
      </c>
      <c r="Q4997" s="12">
        <f t="shared" si="312"/>
        <v>0.57999999999999996</v>
      </c>
      <c r="R4997" s="9">
        <f t="shared" si="313"/>
        <v>417.90000000000009</v>
      </c>
      <c r="S4997" s="9">
        <f>IF(R4997="",AVERAGEIF(Table1[Category],Table1[[#This Row],[Category]],Table2[orignal data]),Table2[[#This Row],[orignal data]])</f>
        <v>417.90000000000009</v>
      </c>
      <c r="T4997" t="str">
        <f t="shared" si="314"/>
        <v>UNIQUE</v>
      </c>
      <c r="U4997" t="str">
        <f>IF(ISBLANK(Table1[[#This Row],[SizeOption]]),"NOT AVAILABLE",Table1[[#This Row],[SizeOption]])</f>
        <v>S, M, L, XL</v>
      </c>
      <c r="Y4997" t="str">
        <f>IF(Table2[[#This Row],[Column1]]&gt;50%,"HIGH DISCOUNT","LOW DISCOUNT")</f>
        <v>HIGH DISCOUNT</v>
      </c>
    </row>
    <row r="4998" spans="1:25" x14ac:dyDescent="0.25">
      <c r="A4998" s="1" t="s">
        <v>10161</v>
      </c>
      <c r="B4998" s="1">
        <v>7437276</v>
      </c>
      <c r="C4998" s="1" t="s">
        <v>58</v>
      </c>
      <c r="D4998" s="1" t="s">
        <v>41</v>
      </c>
      <c r="E4998" s="1" t="s">
        <v>48</v>
      </c>
      <c r="F4998" s="1" t="s">
        <v>36</v>
      </c>
      <c r="G4998" s="1" t="s">
        <v>10162</v>
      </c>
      <c r="I4998" s="1">
        <v>995</v>
      </c>
      <c r="J4998" s="1" t="s">
        <v>60</v>
      </c>
      <c r="K4998" s="1" t="s">
        <v>26</v>
      </c>
      <c r="L4998" s="1">
        <v>3.6</v>
      </c>
      <c r="M4998" s="1">
        <v>468</v>
      </c>
      <c r="P4998" t="str">
        <f t="shared" si="315"/>
        <v>58%</v>
      </c>
      <c r="Q4998" s="12">
        <f t="shared" si="312"/>
        <v>0.57999999999999996</v>
      </c>
      <c r="R4998" s="9">
        <f t="shared" si="313"/>
        <v>417.90000000000009</v>
      </c>
      <c r="S4998" s="9">
        <f>IF(R4998="",AVERAGEIF(Table1[Category],Table1[[#This Row],[Category]],Table2[orignal data]),Table2[[#This Row],[orignal data]])</f>
        <v>417.90000000000009</v>
      </c>
      <c r="T4998" t="str">
        <f t="shared" si="314"/>
        <v>UNIQUE</v>
      </c>
      <c r="U4998" t="str">
        <f>IF(ISBLANK(Table1[[#This Row],[SizeOption]]),"NOT AVAILABLE",Table1[[#This Row],[SizeOption]])</f>
        <v>S, M, L, XL</v>
      </c>
      <c r="Y4998" t="str">
        <f>IF(Table2[[#This Row],[Column1]]&gt;50%,"HIGH DISCOUNT","LOW DISCOUNT")</f>
        <v>HIGH DISCOUNT</v>
      </c>
    </row>
    <row r="4999" spans="1:25" x14ac:dyDescent="0.25">
      <c r="A4999" s="2" t="s">
        <v>10163</v>
      </c>
      <c r="B4999" s="2">
        <v>10373911</v>
      </c>
      <c r="C4999" s="2" t="s">
        <v>490</v>
      </c>
      <c r="D4999" s="2" t="s">
        <v>15</v>
      </c>
      <c r="E4999" s="2" t="s">
        <v>53</v>
      </c>
      <c r="F4999" s="2" t="s">
        <v>17</v>
      </c>
      <c r="G4999" s="2" t="s">
        <v>10164</v>
      </c>
      <c r="I4999" s="2">
        <v>1499</v>
      </c>
      <c r="J4999" s="2"/>
      <c r="K4999" s="2" t="s">
        <v>10165</v>
      </c>
      <c r="L4999" s="2">
        <v>4.4000000000000004</v>
      </c>
      <c r="M4999" s="2">
        <v>467</v>
      </c>
      <c r="P4999" t="str">
        <f t="shared" si="315"/>
        <v/>
      </c>
      <c r="Q4999" s="12" t="str">
        <f t="shared" si="312"/>
        <v/>
      </c>
      <c r="R4999" s="9" t="str">
        <f t="shared" si="313"/>
        <v/>
      </c>
      <c r="S4999" s="9">
        <f>IF(R4999="",AVERAGEIF(Table1[Category],Table1[[#This Row],[Category]],Table2[orignal data]),Table2[[#This Row],[orignal data]])</f>
        <v>892.27590339892538</v>
      </c>
      <c r="T4999" t="str">
        <f t="shared" si="314"/>
        <v>UNIQUE</v>
      </c>
      <c r="U4999" t="str">
        <f>IF(ISBLANK(Table1[[#This Row],[SizeOption]]),"NOT AVAILABLE",Table1[[#This Row],[SizeOption]])</f>
        <v>27/30, 28/30, 29/30, 30/30, 31/32, 31/30, 32/30, 33/30, 34/30, 36/32, 36/30</v>
      </c>
      <c r="Y4999" t="str">
        <f>IF(Table2[[#This Row],[Column1]]&gt;50%,"HIGH DISCOUNT","LOW DISCOUNT")</f>
        <v>HIGH DISCOUNT</v>
      </c>
    </row>
    <row r="5000" spans="1:25" x14ac:dyDescent="0.25">
      <c r="A5000" s="4" t="s">
        <v>10166</v>
      </c>
      <c r="B5000" s="4">
        <v>1822305</v>
      </c>
      <c r="C5000" s="4" t="s">
        <v>201</v>
      </c>
      <c r="D5000" s="4" t="s">
        <v>15</v>
      </c>
      <c r="E5000" s="4" t="s">
        <v>16</v>
      </c>
      <c r="F5000" s="4" t="s">
        <v>17</v>
      </c>
      <c r="G5000" s="4" t="s">
        <v>10167</v>
      </c>
      <c r="H5000">
        <v>1264</v>
      </c>
      <c r="I5000" s="4">
        <v>2299</v>
      </c>
      <c r="J5000" s="4" t="s">
        <v>19</v>
      </c>
      <c r="K5000" s="4" t="s">
        <v>171</v>
      </c>
      <c r="L5000" s="4">
        <v>3.8</v>
      </c>
      <c r="M5000" s="4">
        <v>467</v>
      </c>
      <c r="P5000" t="str">
        <f t="shared" si="315"/>
        <v>45%</v>
      </c>
      <c r="Q5000" s="12">
        <f t="shared" si="312"/>
        <v>0.45</v>
      </c>
      <c r="R5000" s="9">
        <f t="shared" si="313"/>
        <v>1264.45</v>
      </c>
      <c r="S5000" s="9">
        <f>IF(R5000="",AVERAGEIF(Table1[Category],Table1[[#This Row],[Category]],Table2[orignal data]),Table2[[#This Row],[orignal data]])</f>
        <v>1264.45</v>
      </c>
      <c r="T5000" t="str">
        <f t="shared" si="314"/>
        <v>UNIQUE</v>
      </c>
      <c r="U5000" t="str">
        <f>IF(ISBLANK(Table1[[#This Row],[SizeOption]]),"NOT AVAILABLE",Table1[[#This Row],[SizeOption]])</f>
        <v>28, 30, 32, 34, 36, 38</v>
      </c>
      <c r="Y5000" t="str">
        <f>IF(Table2[[#This Row],[Column1]]&gt;50%,"HIGH DISCOUNT","LOW DISCOUNT")</f>
        <v>LOW DISCOUNT</v>
      </c>
    </row>
  </sheetData>
  <mergeCells count="6">
    <mergeCell ref="AG1:AG8"/>
    <mergeCell ref="O1:O7"/>
    <mergeCell ref="W1:W5"/>
    <mergeCell ref="Z1:Z5"/>
    <mergeCell ref="AA1:AA8"/>
    <mergeCell ref="AC1:AD8"/>
  </mergeCells>
  <conditionalFormatting sqref="B2:B5000">
    <cfRule type="duplicateValues" dxfId="0" priority="1"/>
  </conditionalFormatting>
  <dataValidations count="1">
    <dataValidation type="list" allowBlank="1" showInputMessage="1" showErrorMessage="1" sqref="AG1:AG8" xr:uid="{EB159ADB-FE17-4C4B-A353-1F7EF850D85D}">
      <formula1>$B$2:$B$5000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badoni</dc:creator>
  <cp:lastModifiedBy>abhishek badoni</cp:lastModifiedBy>
  <dcterms:created xsi:type="dcterms:W3CDTF">2026-08-21T13:40:04Z</dcterms:created>
  <dcterms:modified xsi:type="dcterms:W3CDTF">2026-09-02T18:03:49Z</dcterms:modified>
</cp:coreProperties>
</file>